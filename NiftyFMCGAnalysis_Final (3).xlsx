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an\Desktop\cip hero\Finalized\"/>
    </mc:Choice>
  </mc:AlternateContent>
  <xr:revisionPtr revIDLastSave="0" documentId="13_ncr:1_{E93504F0-AB19-4EA0-A282-9FC4112A17F4}" xr6:coauthVersionLast="47" xr6:coauthVersionMax="47" xr10:uidLastSave="{00000000-0000-0000-0000-000000000000}"/>
  <bookViews>
    <workbookView xWindow="-108" yWindow="-108" windowWidth="23256" windowHeight="13896" firstSheet="2" activeTab="7" xr2:uid="{00000000-000D-0000-FFFF-FFFF00000000}"/>
  </bookViews>
  <sheets>
    <sheet name="FMCG Sector Dashboard" sheetId="1" r:id="rId1"/>
    <sheet name="Stock Prices" sheetId="2" r:id="rId2"/>
    <sheet name="Valuation Scorecard" sheetId="3" r:id="rId3"/>
    <sheet name="News &amp; Events" sheetId="4" r:id="rId4"/>
    <sheet name="FII DII" sheetId="5" r:id="rId5"/>
    <sheet name="Return Analysis" sheetId="6" r:id="rId6"/>
    <sheet name="Sector Outlook" sheetId="7" r:id="rId7"/>
    <sheet name="Economical Analysi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 l="1"/>
  <c r="E21" i="7"/>
  <c r="E20" i="7"/>
  <c r="E19" i="7"/>
  <c r="E18" i="7"/>
  <c r="E17" i="7"/>
  <c r="E16" i="7"/>
  <c r="E15" i="7"/>
  <c r="E14" i="7"/>
  <c r="E13" i="7"/>
  <c r="J29" i="6"/>
  <c r="I29" i="6"/>
  <c r="H29" i="6"/>
  <c r="G29" i="6"/>
  <c r="F29" i="6"/>
  <c r="E29" i="6"/>
  <c r="J28" i="6"/>
  <c r="I28" i="6"/>
  <c r="H28" i="6"/>
  <c r="G28" i="6"/>
  <c r="F28" i="6"/>
  <c r="E28" i="6"/>
  <c r="J27" i="6"/>
  <c r="I27" i="6"/>
  <c r="H27" i="6"/>
  <c r="G27" i="6"/>
  <c r="F27" i="6"/>
  <c r="E27" i="6"/>
  <c r="J26" i="6"/>
  <c r="I26" i="6"/>
  <c r="H26" i="6"/>
  <c r="G26" i="6"/>
  <c r="F26" i="6"/>
  <c r="E26" i="6"/>
  <c r="J25" i="6"/>
  <c r="I25" i="6"/>
  <c r="H25" i="6"/>
  <c r="G25" i="6"/>
  <c r="F25" i="6"/>
  <c r="E25" i="6"/>
  <c r="J24" i="6"/>
  <c r="I24" i="6"/>
  <c r="H24" i="6"/>
  <c r="G24" i="6"/>
  <c r="F24" i="6"/>
  <c r="E24" i="6"/>
  <c r="J23" i="6"/>
  <c r="I23" i="6"/>
  <c r="H23" i="6"/>
  <c r="G23" i="6"/>
  <c r="F23" i="6"/>
  <c r="E23" i="6"/>
  <c r="J22" i="6"/>
  <c r="I22" i="6"/>
  <c r="H22" i="6"/>
  <c r="G22" i="6"/>
  <c r="F22" i="6"/>
  <c r="E22" i="6"/>
  <c r="J21" i="6"/>
  <c r="I21" i="6"/>
  <c r="H21" i="6"/>
  <c r="G21" i="6"/>
  <c r="F21" i="6"/>
  <c r="E21" i="6"/>
  <c r="J20" i="6"/>
  <c r="I20" i="6"/>
  <c r="H20" i="6"/>
  <c r="G20" i="6"/>
  <c r="F20" i="6"/>
  <c r="E20" i="6"/>
  <c r="K15" i="6"/>
  <c r="K14" i="6"/>
  <c r="K13" i="6"/>
  <c r="K12" i="6"/>
  <c r="K11" i="6"/>
  <c r="K10" i="6"/>
  <c r="K9" i="6"/>
  <c r="K8" i="6"/>
  <c r="K7" i="6"/>
  <c r="G15" i="5"/>
  <c r="F15" i="5"/>
  <c r="E15" i="5"/>
  <c r="H14" i="5"/>
  <c r="E14" i="5"/>
  <c r="H13" i="5"/>
  <c r="E13" i="5"/>
  <c r="H12" i="5"/>
  <c r="E12" i="5"/>
  <c r="I12" i="5" s="1"/>
  <c r="I11" i="5"/>
  <c r="H11" i="5"/>
  <c r="E11" i="5"/>
  <c r="H10" i="5"/>
  <c r="E10" i="5"/>
  <c r="I10" i="5" s="1"/>
  <c r="I9" i="5"/>
  <c r="H9" i="5"/>
  <c r="E9" i="5"/>
  <c r="H8" i="5"/>
  <c r="E8" i="5"/>
  <c r="I8" i="5" s="1"/>
  <c r="I7" i="5"/>
  <c r="H7" i="5"/>
  <c r="E7" i="5"/>
  <c r="H6" i="5"/>
  <c r="H15" i="5" s="1"/>
  <c r="E6" i="5"/>
  <c r="I6" i="5" s="1"/>
  <c r="J27" i="3"/>
  <c r="K26" i="3"/>
  <c r="I26" i="3"/>
  <c r="G26" i="3"/>
  <c r="E26" i="3"/>
  <c r="I25" i="3"/>
  <c r="G25" i="3"/>
  <c r="E25" i="3"/>
  <c r="K25" i="3" s="1"/>
  <c r="K24" i="3"/>
  <c r="I24" i="3"/>
  <c r="G24" i="3"/>
  <c r="E24" i="3"/>
  <c r="K23" i="3"/>
  <c r="I23" i="3"/>
  <c r="G23" i="3"/>
  <c r="E23" i="3"/>
  <c r="I22" i="3"/>
  <c r="G22" i="3"/>
  <c r="E22" i="3"/>
  <c r="K22" i="3" s="1"/>
  <c r="K21" i="3"/>
  <c r="I21" i="3"/>
  <c r="G21" i="3"/>
  <c r="E21" i="3"/>
  <c r="K20" i="3"/>
  <c r="I20" i="3"/>
  <c r="G20" i="3"/>
  <c r="E20" i="3"/>
  <c r="I19" i="3"/>
  <c r="G19" i="3"/>
  <c r="E19" i="3"/>
  <c r="K19" i="3" s="1"/>
  <c r="K18" i="3"/>
  <c r="I18" i="3"/>
  <c r="G18" i="3"/>
  <c r="E18" i="3"/>
  <c r="K17" i="3"/>
  <c r="I17" i="3"/>
  <c r="I27" i="3" s="1"/>
  <c r="G17" i="3"/>
  <c r="G27" i="3" s="1"/>
  <c r="E17" i="3"/>
  <c r="E27" i="3" s="1"/>
  <c r="J12" i="3"/>
  <c r="I12" i="3"/>
  <c r="H12" i="3"/>
  <c r="J11" i="3"/>
  <c r="I11" i="3"/>
  <c r="H11" i="3"/>
  <c r="J10" i="3"/>
  <c r="I10" i="3"/>
  <c r="H10" i="3"/>
  <c r="J9" i="3"/>
  <c r="I9" i="3"/>
  <c r="H9" i="3"/>
  <c r="J8" i="3"/>
  <c r="I8" i="3"/>
  <c r="H8" i="3"/>
  <c r="J7" i="3"/>
  <c r="I7" i="3"/>
  <c r="H7" i="3"/>
  <c r="J6" i="3"/>
  <c r="I6" i="3"/>
  <c r="H6" i="3"/>
  <c r="J5" i="3"/>
  <c r="I5" i="3"/>
  <c r="H5" i="3"/>
  <c r="L16" i="2"/>
  <c r="K16" i="2"/>
  <c r="J15" i="2"/>
  <c r="I15" i="2"/>
  <c r="F15" i="2"/>
  <c r="E15" i="2"/>
  <c r="J14" i="2"/>
  <c r="I14" i="2"/>
  <c r="F14" i="2"/>
  <c r="E14" i="2"/>
  <c r="J13" i="2"/>
  <c r="I13" i="2"/>
  <c r="F13" i="2"/>
  <c r="E13" i="2"/>
  <c r="J12" i="2"/>
  <c r="I12" i="2"/>
  <c r="F12" i="2"/>
  <c r="E12" i="2"/>
  <c r="J11" i="2"/>
  <c r="I11" i="2"/>
  <c r="F11" i="2"/>
  <c r="E11" i="2"/>
  <c r="J10" i="2"/>
  <c r="I10" i="2"/>
  <c r="F10" i="2"/>
  <c r="E10" i="2"/>
  <c r="J9" i="2"/>
  <c r="I9" i="2"/>
  <c r="F9" i="2"/>
  <c r="E9" i="2"/>
  <c r="J8" i="2"/>
  <c r="I8" i="2"/>
  <c r="F8" i="2"/>
  <c r="E8" i="2"/>
  <c r="J7" i="2"/>
  <c r="I7" i="2"/>
  <c r="F7" i="2"/>
  <c r="E7" i="2"/>
  <c r="J6" i="2"/>
  <c r="I6" i="2"/>
  <c r="F6" i="2"/>
  <c r="E6" i="2"/>
  <c r="E28" i="1"/>
  <c r="D28" i="1"/>
  <c r="E27" i="1"/>
  <c r="D27" i="1"/>
  <c r="E26" i="1"/>
  <c r="D26" i="1"/>
  <c r="E25" i="1"/>
  <c r="D25" i="1"/>
  <c r="E24" i="1"/>
  <c r="D24" i="1"/>
  <c r="E23" i="1"/>
  <c r="D23" i="1"/>
  <c r="E22" i="1"/>
  <c r="D22" i="1"/>
  <c r="E21" i="1"/>
  <c r="D21" i="1"/>
  <c r="E20" i="1"/>
  <c r="D20" i="1"/>
  <c r="E14" i="1"/>
  <c r="E10" i="1"/>
  <c r="I9" i="1"/>
  <c r="H9" i="1"/>
  <c r="E9" i="1"/>
  <c r="I8" i="1"/>
  <c r="H8" i="1"/>
  <c r="E8" i="1"/>
  <c r="I7" i="1"/>
  <c r="H7" i="1"/>
  <c r="E7" i="1"/>
  <c r="I6" i="1"/>
  <c r="H6" i="1"/>
  <c r="E6" i="1"/>
</calcChain>
</file>

<file path=xl/sharedStrings.xml><?xml version="1.0" encoding="utf-8"?>
<sst xmlns="http://schemas.openxmlformats.org/spreadsheetml/2006/main" count="463" uniqueCount="317">
  <si>
    <t>INDIAN FMCG SECTOR — LIVE MARKET PULSE  |  June 23, 2026 (Tuesday)</t>
  </si>
  <si>
    <t xml:space="preserve">  Data sourced from NSE / BSE / Company Reports / Trendlyne / Moneycontrol  ·  Nifty FMCG closed ₹49,355.10 on Jun 22 (-0.41%)  ·  Key trigger: Rural demand recovery outlook for FY27  ·  Jun 23 = weekly Nifty expiry day</t>
  </si>
  <si>
    <t xml:space="preserve">  A.  INDEX &amp; MACRO SNAPSHOT  (Jun 22, 2026 close / Jun 23, 2026 pre-market)</t>
  </si>
  <si>
    <t>Indicator</t>
  </si>
  <si>
    <t>Value</t>
  </si>
  <si>
    <t>Change</t>
  </si>
  <si>
    <t>Change %</t>
  </si>
  <si>
    <t>52W High</t>
  </si>
  <si>
    <t>52W Low</t>
  </si>
  <si>
    <t>% from 52WH</t>
  </si>
  <si>
    <t>% from 52WL</t>
  </si>
  <si>
    <t>Nifty FMCG</t>
  </si>
  <si>
    <t>Nifty 50</t>
  </si>
  <si>
    <t>Sensex</t>
  </si>
  <si>
    <t>Bank Nifty</t>
  </si>
  <si>
    <t>India VIX</t>
  </si>
  <si>
    <t>—</t>
  </si>
  <si>
    <t>Nifty FMCG Futures</t>
  </si>
  <si>
    <t>USD / INR</t>
  </si>
  <si>
    <t>RBI Repo Rate (%)</t>
  </si>
  <si>
    <t>Brent Crude $/bbl</t>
  </si>
  <si>
    <t>Gold (₹/10g)</t>
  </si>
  <si>
    <t>Sources: Nifty FMCG / NSE FMCG data; Univest.in blog Jun 22 2026</t>
  </si>
  <si>
    <t>Level Type</t>
  </si>
  <si>
    <t>Price</t>
  </si>
  <si>
    <t>Vs Close (49355.10)</t>
  </si>
  <si>
    <t>Vs Close %</t>
  </si>
  <si>
    <t>Significance</t>
  </si>
  <si>
    <t>Action</t>
  </si>
  <si>
    <t>Volume</t>
  </si>
  <si>
    <t>Timeframe</t>
  </si>
  <si>
    <t>All-Time High</t>
  </si>
  <si>
    <t>ATH Jan 5 2026</t>
  </si>
  <si>
    <t>Book Profits</t>
  </si>
  <si>
    <t>Extreme High</t>
  </si>
  <si>
    <t>Long-Term</t>
  </si>
  <si>
    <t>Upper Sector Momentum</t>
  </si>
  <si>
    <t>Post-Rural Demand Recovery zone</t>
  </si>
  <si>
    <t>Partial Exit</t>
  </si>
  <si>
    <t>Very High</t>
  </si>
  <si>
    <t>Medium-Term</t>
  </si>
  <si>
    <t>Intermediate Momentum Level</t>
  </si>
  <si>
    <t>Consumer Demand Trend</t>
  </si>
  <si>
    <t>Watch/Exit</t>
  </si>
  <si>
    <t>Moderate</t>
  </si>
  <si>
    <t>Short-Term</t>
  </si>
  <si>
    <t>Short-Term Momentum Level</t>
  </si>
  <si>
    <t>Rural Demand Indicator</t>
  </si>
  <si>
    <t>Watch/Reduce</t>
  </si>
  <si>
    <t>Intraday</t>
  </si>
  <si>
    <t>▶ Close Jun 22</t>
  </si>
  <si>
    <t>Previous Close (CMP basis)</t>
  </si>
  <si>
    <t>Immediate Demand Level</t>
  </si>
  <si>
    <t>Input Cost Trend</t>
  </si>
  <si>
    <t>Market Entry Opportunity</t>
  </si>
  <si>
    <t>High</t>
  </si>
  <si>
    <t>Secondary Demand Level</t>
  </si>
  <si>
    <t>Distribution Trend</t>
  </si>
  <si>
    <t>Add</t>
  </si>
  <si>
    <t>52-Week Low</t>
  </si>
  <si>
    <t>52W Low — strong floor</t>
  </si>
  <si>
    <t>Strong Accumulation Signal</t>
  </si>
  <si>
    <t>Historical Base Level</t>
  </si>
  <si>
    <t>Historical base 2024</t>
  </si>
  <si>
    <t>Long-Term Accum.</t>
  </si>
  <si>
    <t>Source: NSE / TradingView FMCG Technical Analysis Jun 23 2026</t>
  </si>
  <si>
    <t>NIFTY FMCG CONSTITUENTS — LIVE PRICES &amp; KEY DATA | Jun 19-22, 2026</t>
  </si>
  <si>
    <t>Note: FMCG was the lone declining sector on Jun 22 recovery day.</t>
  </si>
  <si>
    <t>LARGE-CAP FMCG STOCKS</t>
  </si>
  <si>
    <t>Company (NSE)</t>
  </si>
  <si>
    <t>CMP Jun22 ₹</t>
  </si>
  <si>
    <t>Prev Close ₹</t>
  </si>
  <si>
    <t>Day Chg ₹</t>
  </si>
  <si>
    <t>Day Chg %</t>
  </si>
  <si>
    <t>52W High ₹</t>
  </si>
  <si>
    <t>52W Low ₹</t>
  </si>
  <si>
    <t>Market Cap ₹Cr</t>
  </si>
  <si>
    <t>P/E (TTM)</t>
  </si>
  <si>
    <t>Hindustan Unilever</t>
  </si>
  <si>
    <t>ITC</t>
  </si>
  <si>
    <t>Nestle India</t>
  </si>
  <si>
    <t>Britannia Inds.</t>
  </si>
  <si>
    <t>Tata Consumer</t>
  </si>
  <si>
    <t>Varun Beverages</t>
  </si>
  <si>
    <t>Marico</t>
  </si>
  <si>
    <t>Godrej Consumer</t>
  </si>
  <si>
    <t>Dabur</t>
  </si>
  <si>
    <t>Colgate-Palmolive</t>
  </si>
  <si>
    <t>Colgate</t>
  </si>
  <si>
    <t>Sources: NSE FMCG, Tickertape FMCG, Screener FMCG stocks</t>
  </si>
  <si>
    <t>VALUATION SCORECARD — NIFTY FMCG | June 22-23, 2026</t>
  </si>
  <si>
    <t xml:space="preserve">  A.  CURRENT VALUATION vs HISTORY</t>
  </si>
  <si>
    <t>Metric</t>
  </si>
  <si>
    <t>Current</t>
  </si>
  <si>
    <t>5Y Average</t>
  </si>
  <si>
    <t>10Y Average</t>
  </si>
  <si>
    <t>Peak (FY22)</t>
  </si>
  <si>
    <t>Trough (FY20)</t>
  </si>
  <si>
    <t>vs 5Y Avg %</t>
  </si>
  <si>
    <t>vs 10Y Avg %</t>
  </si>
  <si>
    <t>vs Peak %</t>
  </si>
  <si>
    <t>P/E Ratio (TTM)</t>
  </si>
  <si>
    <t>CHEAP 🟢</t>
  </si>
  <si>
    <t>P/B Ratio</t>
  </si>
  <si>
    <t>EV / EBITDA</t>
  </si>
  <si>
    <t>P / Sales</t>
  </si>
  <si>
    <t>Dividend Yield (%)</t>
  </si>
  <si>
    <t>PEG Ratio</t>
  </si>
  <si>
    <t>EV / Revenue</t>
  </si>
  <si>
    <t>FCF Yield (%)</t>
  </si>
  <si>
    <t>Source: Systematix, JM Financial FMCG reports; Nifty FMCG sector data</t>
  </si>
  <si>
    <t xml:space="preserve">  B.  PER-STOCK VALUATION METRICS (Jun 22, 2026)</t>
  </si>
  <si>
    <t>Company</t>
  </si>
  <si>
    <t>CMP ₹</t>
  </si>
  <si>
    <t>EPS TTM ₹</t>
  </si>
  <si>
    <t>P/E (formula)</t>
  </si>
  <si>
    <t>Book Value ₹</t>
  </si>
  <si>
    <t>P/B (formula)</t>
  </si>
  <si>
    <t>Div/Share ₹</t>
  </si>
  <si>
    <t>Div Yield % (formula)</t>
  </si>
  <si>
    <t>EV/EBITDA</t>
  </si>
  <si>
    <t>SECTOR AVERAGE</t>
  </si>
  <si>
    <t>EPS/BV from Tickertape / Screener.in / company Q4 FY26 results | Dividends from NSE corporate actions</t>
  </si>
  <si>
    <t xml:space="preserve"> MARKET NEWS, EVENTS &amp; TRIGGERS  |  June 19-23, 2026</t>
  </si>
  <si>
    <t xml:space="preserve">  CHRONOLOGICAL EVENT LOG (Most Recent First)</t>
  </si>
  <si>
    <t>Date</t>
  </si>
  <si>
    <t>Company / Index</t>
  </si>
  <si>
    <t>Event &amp; Details</t>
  </si>
  <si>
    <t>Category</t>
  </si>
  <si>
    <t>Price Impact</t>
  </si>
  <si>
    <t>Source</t>
  </si>
  <si>
    <t>Jun 22 2026</t>
  </si>
  <si>
    <t>Nifty FMCG declines -0.41% to 49,355.10 on Jun 22; FMCG was the lone declining sector as broader market rallied. Asian Paints, Titan, Nestle among major laggards.</t>
  </si>
  <si>
    <t>Technical</t>
  </si>
  <si>
    <t>Market Observation</t>
  </si>
  <si>
    <t>Univest Jun 22 2026</t>
  </si>
  <si>
    <t>HUL expands premium portfolio to counter mass-market competition.</t>
  </si>
  <si>
    <t>Intraday high 49,800 / low 49,100; Support 49,000 &amp; 48,500; Resistance 50,000 &amp; 50,500</t>
  </si>
  <si>
    <t>Market Close</t>
  </si>
  <si>
    <t>▲ +0.32%</t>
  </si>
  <si>
    <t>Jun 19 2026</t>
  </si>
  <si>
    <t>ITC's cigarette volume growth remains steady despite tax concerns.</t>
  </si>
  <si>
    <t>Nifty 50 closed 24,102.90 (+89.80 pts, +0.37%)... Max pain near 24,100; VIX 27.32</t>
  </si>
  <si>
    <t>CRASH — Major Trigger</t>
  </si>
  <si>
    <t>▼ -5.74% (Crash)</t>
  </si>
  <si>
    <t>India TV News Jun 19 2026</t>
  </si>
  <si>
    <t>Nestle India focus on rural distribution and 'maggi' variants expansion.</t>
  </si>
  <si>
    <t>Opens gap-down -5.7% to ₹1,063 from prev close ₹1,127.25; Hits fresh 52W low ₹1,030.35 (intraday); closes ₹1,045.15 (-7.28%, -₹82.10); 52W High ₹1,727.85 (Feb 3 2026); MkCap ₹4,23,476 Cr</t>
  </si>
  <si>
    <t>Stock Crash</t>
  </si>
  <si>
    <t>▼ -7.28% | 52W low</t>
  </si>
  <si>
    <t>Britannia expects double-digit growth in bakery and dairy segments.</t>
  </si>
  <si>
    <t>Falls 6.01% from prev close ₹2,203.30 to ~₹2,071; 52W High ₹3,489.90 / 52W Low ₹2,059.90; MkCap ₹768,843 Cr; PE 15.62, P/B 7.09 (Tickertape Jun 19)</t>
  </si>
  <si>
    <t>▼ -6.01%</t>
  </si>
  <si>
    <t>India TV News + Tickertape Jun 19</t>
  </si>
  <si>
    <t>FMCG Sector Update
Source Verification Pending</t>
  </si>
  <si>
    <t>Falls 5.11% from prev close ₹1,161.80; BNP Paribas: SELL rating, TP ₹1,345; BritanniaTech invested ₹1,427 Cr in Sarvam AI</t>
  </si>
  <si>
    <t>▼ -5.11%</t>
  </si>
  <si>
    <t>India TV News + Groww Jun 19</t>
  </si>
  <si>
    <t>Nestle India volume growth recovery expected in Q1 FY27 as urban demand stabilizes.</t>
  </si>
  <si>
    <t>Stock Fall + M&amp;A</t>
  </si>
  <si>
    <t>▼ -3.30%</t>
  </si>
  <si>
    <t>India TV News + Screener Jun 19</t>
  </si>
  <si>
    <t>Jun 18 2026</t>
  </si>
  <si>
    <t>ITC cigarette volume growth remains steady; FMCG-others margin expansion on track.</t>
  </si>
  <si>
    <t>M&amp;A</t>
  </si>
  <si>
    <t>Neutral</t>
  </si>
  <si>
    <t>Screener.in Jun 19 2026</t>
  </si>
  <si>
    <t>FMCG Sector</t>
  </si>
  <si>
    <t>Pre-Crash Weakness</t>
  </si>
  <si>
    <t>▼ -1 to -2%</t>
  </si>
  <si>
    <t>Business Standard Jun 18 2026</t>
  </si>
  <si>
    <t>Jun 12 2026</t>
  </si>
  <si>
    <t>HUL rural market share gains reported; premiumization strategy yielding results.</t>
  </si>
  <si>
    <t>Partnership / Deal</t>
  </si>
  <si>
    <t>Positive (limited)</t>
  </si>
  <si>
    <t>Tickertape Jun 2026</t>
  </si>
  <si>
    <t>Jun 11 2026</t>
  </si>
  <si>
    <t>AI Disruption Fear</t>
  </si>
  <si>
    <t>▼ Sector -1.5%</t>
  </si>
  <si>
    <t>HDFCSky Jun 11 2026</t>
  </si>
  <si>
    <t>Jun 09 2026</t>
  </si>
  <si>
    <t>Analyst Report</t>
  </si>
  <si>
    <t>Mixed / Risk Monitoring Area</t>
  </si>
  <si>
    <t>BusinessToday Jun 9 2026</t>
  </si>
  <si>
    <t>Jun 08 2026</t>
  </si>
  <si>
    <t>Sector Performance + Analyst</t>
  </si>
  <si>
    <t>Risk Monitoring Area YTD</t>
  </si>
  <si>
    <t>BusinessToday Jun 8 2026</t>
  </si>
  <si>
    <t>INSTITUTIONAL FLOWS — FII / DII ACTIVITY  |  June 2026</t>
  </si>
  <si>
    <t>Note: Groww data — FIIs sold ₹749.18 Cr on Jun 16; DIIs near neutral on Jun 16.  Jun 19 crash day: FIIs estimated heavy sellers based on Nifty FMCG -5.74%.  Expert Ajay Bagga (May 19): 'Most FII money has exited IT'.  FIIs: blue inputs, totals: black formulas</t>
  </si>
  <si>
    <t>A.  DAILY FII / DII FLOWS (₹ Crore) — PROVISIONAL</t>
  </si>
  <si>
    <t>FII Buy</t>
  </si>
  <si>
    <t>FII Sell</t>
  </si>
  <si>
    <t>FII Net (formula)</t>
  </si>
  <si>
    <t>DII Buy</t>
  </si>
  <si>
    <t>DII Sell</t>
  </si>
  <si>
    <t>DII Net (formula)</t>
  </si>
  <si>
    <t>Total Net (formula)</t>
  </si>
  <si>
    <t>Jun 16, 2026 (Mon)</t>
  </si>
  <si>
    <t>FII net sell; DII near neutral — Groww</t>
  </si>
  <si>
    <t>Jun 17, 2026 (Tue)</t>
  </si>
  <si>
    <t>FII selling; DII absorbing</t>
  </si>
  <si>
    <t>Jun 18, 2026 (Wed)</t>
  </si>
  <si>
    <t>Institutional Flow Observation (pre-crash); DII buying</t>
  </si>
  <si>
    <t>Jun 19, 2026 (Thu)</t>
  </si>
  <si>
    <t>FII panic sell (Market Correction day); DII heavy buy</t>
  </si>
  <si>
    <t>Jun 20, 2026 (Fri)</t>
  </si>
  <si>
    <t>Partial FII recovery; DII steady buy</t>
  </si>
  <si>
    <t>Jun 22, 2026 (Mon)</t>
  </si>
  <si>
    <t>FII returning; DII supportive; recovery</t>
  </si>
  <si>
    <t>Jun MTD (1-22)</t>
  </si>
  <si>
    <t>MTD Institutional Flow Observation</t>
  </si>
  <si>
    <t>Steady rural recovery</t>
  </si>
  <si>
    <t>May: mild FII recovery</t>
  </si>
  <si>
    <t>Strong cigarette volumes</t>
  </si>
  <si>
    <t>Apr: war fears; FII sold heavily</t>
  </si>
  <si>
    <t>Premiumization focus</t>
  </si>
  <si>
    <t>Margin expansion</t>
  </si>
  <si>
    <t>TOP FMCG FUND HOLDINGS</t>
  </si>
  <si>
    <t>Fund Name</t>
  </si>
  <si>
    <t>AUM ₹Cr</t>
  </si>
  <si>
    <t>FMCG Sector %</t>
  </si>
  <si>
    <t>Top FMCG Holding</t>
  </si>
  <si>
    <t>2nd Holding</t>
  </si>
  <si>
    <t>3rd Holding</t>
  </si>
  <si>
    <t>3M Return %</t>
  </si>
  <si>
    <t>FMCG Fund Holding</t>
  </si>
  <si>
    <t>FMCG Holding Reference</t>
  </si>
  <si>
    <t>Index ETF</t>
  </si>
  <si>
    <t>Active</t>
  </si>
  <si>
    <t>SBI Technology Opp. Fund</t>
  </si>
  <si>
    <t>ITC (24%)</t>
  </si>
  <si>
    <t>Hindustan Unilever (21%)</t>
  </si>
  <si>
    <t>Nestle India (9%)</t>
  </si>
  <si>
    <t>ITC (22%)</t>
  </si>
  <si>
    <t>Hindustan Unilever (20%)</t>
  </si>
  <si>
    <t>Franklin India Tech. Fund</t>
  </si>
  <si>
    <t>ITC (19%)</t>
  </si>
  <si>
    <t xml:space="preserve">  RETURN ANALYSIS — STOCKS vs NIFTY FMCG vs NIFTY 50  |  Jun 23, 2026</t>
  </si>
  <si>
    <t xml:space="preserve">  A.  MULTI-PERIOD RETURN COMPARISON</t>
  </si>
  <si>
    <t>1 Day (Jun22)</t>
  </si>
  <si>
    <t>1 Week</t>
  </si>
  <si>
    <t>1 Month</t>
  </si>
  <si>
    <t>3 Month</t>
  </si>
  <si>
    <t>6 Month</t>
  </si>
  <si>
    <t>YTD 2026</t>
  </si>
  <si>
    <t>1 Year</t>
  </si>
  <si>
    <t>2 Year</t>
  </si>
  <si>
    <t>Nifty FMCG Index</t>
  </si>
  <si>
    <t>Britannia Industries</t>
  </si>
  <si>
    <t>Fall from ATH ₹</t>
  </si>
  <si>
    <t>Fall from ATH %</t>
  </si>
  <si>
    <t>Recovery Needed %</t>
  </si>
  <si>
    <t>To reach ATH — at 5%/yr (years)</t>
  </si>
  <si>
    <t>At 10%/yr (years)</t>
  </si>
  <si>
    <t>At 15%/yr (years)</t>
  </si>
  <si>
    <t>MED 🟡</t>
  </si>
  <si>
    <t>HIGH 🔴</t>
  </si>
  <si>
    <t>LOW 🟢</t>
  </si>
  <si>
    <t>Marico Sys.</t>
  </si>
  <si>
    <t>Recovery years = LOG(52W High / CMP) / LOG(1 + annual return rate). Formula auto-recalculates if CMP (Column D) is updated. Assumes continuous compounding at stated annual rate. | Sources: 52W Highs: Tickertape / Investing.com Jun 2026 | CMPs: Jun 22 2026 close estimates</t>
  </si>
  <si>
    <t>SECTOR OUTLOOK, RISKS &amp; INVESTMENT VIEW  |  June 23, 2026</t>
  </si>
  <si>
    <t>OPPORTUNITY: FMCG P/E ~45-52x NTM. Rural demand recovery and cooling inflation are key drivers.</t>
  </si>
  <si>
    <t xml:space="preserve">  A.  INVESTMENT OUTLOOK BY HORIZON</t>
  </si>
  <si>
    <t>Horizon</t>
  </si>
  <si>
    <t>View</t>
  </si>
  <si>
    <t>Key Catalyst</t>
  </si>
  <si>
    <t>Key Risk</t>
  </si>
  <si>
    <t>Target Return</t>
  </si>
  <si>
    <t>Short-Term
(1-4 Weeks)</t>
  </si>
  <si>
    <t>NEUTRAL
(Caution on Jun23 expiry)</t>
  </si>
  <si>
    <t>49,000</t>
  </si>
  <si>
    <t>Slowdown in urban consumption demand.</t>
  </si>
  <si>
    <t>0% to +5%</t>
  </si>
  <si>
    <t>Medium-Term
(1-6 Months)</t>
  </si>
  <si>
    <t>Sector Monitoring View</t>
  </si>
  <si>
    <t>Valuations at historical low (P/E 21x vs 5Y avg 28x); RBI easing (Repo 5.25%); FII return on India; Domestic contrarian buying</t>
  </si>
  <si>
    <t>Market Trigger miss repeat; GenConsumer Trend Review fear; US recession</t>
  </si>
  <si>
    <t>+10% to +18%</t>
  </si>
  <si>
    <t>Long-Term
(1-3 Years)</t>
  </si>
  <si>
    <t>POSITIVE</t>
  </si>
  <si>
    <t>Rural demand recovery; Premiumization across categories; Expansion of D2C channels.</t>
  </si>
  <si>
    <t>Changing Consumer Preferences</t>
  </si>
  <si>
    <t>+25% to +40% CAGR</t>
  </si>
  <si>
    <t xml:space="preserve">  B.  RISK REGISTER (Updated June 2026)</t>
  </si>
  <si>
    <t>Risk Factor</t>
  </si>
  <si>
    <t>Probability
(1-5)</t>
  </si>
  <si>
    <t>Impact
(1-5)</t>
  </si>
  <si>
    <t>Risk Score
(formula)</t>
  </si>
  <si>
    <t>Status</t>
  </si>
  <si>
    <t>Input commodity inflation (palm oil, wheat, packaging costs)</t>
  </si>
  <si>
    <t>CRITICAL</t>
  </si>
  <si>
    <t>Diversify to domestic FMCG</t>
  </si>
  <si>
    <t>D2C disruption eroding traditional distribution channels</t>
  </si>
  <si>
    <t>🔴 HIGH</t>
  </si>
  <si>
    <t>Invest in D2C channels; acquire emerging consumer brands</t>
  </si>
  <si>
    <t>Prolonged urban consumption slowdown / demand compression</t>
  </si>
  <si>
    <t>Premiumize urban portfolio; defend rural market share</t>
  </si>
  <si>
    <t>US-Iran war escalation (global risk-off)</t>
  </si>
  <si>
    <t>🟠 MEDIUM</t>
  </si>
  <si>
    <t>Monitor daily; reduce exposure</t>
  </si>
  <si>
    <t>USD/INR appreciation (&lt; ₹82)</t>
  </si>
  <si>
    <t>Natural hedge; forward cover</t>
  </si>
  <si>
    <t>USD/INR depreciation increasing imported raw material costs</t>
  </si>
  <si>
    <t>Hedge commodity exposure; backward integrate supply chain</t>
  </si>
  <si>
    <t>India VIX elevated at 27.32</t>
  </si>
  <si>
    <t>🟡 WATCH</t>
  </si>
  <si>
    <t>Reduce leverage; hedge</t>
  </si>
  <si>
    <t>FII continued outflow from FMCG</t>
  </si>
  <si>
    <t>DII absorbing; long-term hold</t>
  </si>
  <si>
    <t>Grammage reduction / shrinkflation backlash</t>
  </si>
  <si>
    <t>🟢 LOW</t>
  </si>
  <si>
    <t>Focus on value packs; consumer education on quality</t>
  </si>
  <si>
    <t>RBI rate hike surprise</t>
  </si>
  <si>
    <t>Monitor RBI MPC minutes</t>
  </si>
  <si>
    <t>Recommended Conclusion</t>
  </si>
  <si>
    <t>Sector Rating: HOLD WITH POSITIVE BIAS
The Nifty FMCG sector remains a defensive allocation within Indian equities. Rural demand recovery, easing input cost pressures, and improving consumption trends support earnings visibility. However, the sector is trading below its 52-week high, indicating that investors are still waiting for stronger volume growth before assigning higher valuation multiples.
Current positioning suggests limited downside due to the defensive nature of FMCG businesses, while upside will depend on sustained rural consumption recovery and margin expansion over the next few quarters.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</si>
</sst>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
    <numFmt numFmtId="167" formatCode="\+0.0%;\-0.0%"/>
    <numFmt numFmtId="168" formatCode="0.0\x"/>
    <numFmt numFmtId="169" formatCode="#,##0.0"/>
    <numFmt numFmtId="170" formatCode="0.0"/>
    <numFmt numFmtId="171" formatCode="\+#,##0;\-#,##0"/>
  </numFmts>
  <fonts count="2">
    <font>
      <sz val="11"/>
      <color theme="1"/>
      <name val="Calibri"/>
      <family val="2"/>
      <scheme val="minor"/>
    </font>
    <font>
      <b/>
      <sz val="11"/>
      <name val="Calibri"/>
    </font>
  </fonts>
  <fills count="19">
    <fill>
      <patternFill patternType="none"/>
    </fill>
    <fill>
      <patternFill patternType="gray125"/>
    </fill>
    <fill>
      <patternFill patternType="solid">
        <fgColor rgb="FFBDD7EE"/>
        <bgColor rgb="FFBDD7EE"/>
      </patternFill>
    </fill>
    <fill>
      <patternFill patternType="solid">
        <fgColor rgb="FFDEEAF1"/>
        <bgColor rgb="FFDEEAF1"/>
      </patternFill>
    </fill>
    <fill>
      <patternFill patternType="solid">
        <fgColor rgb="FFFFE0E0"/>
        <bgColor rgb="FFFFE0E0"/>
      </patternFill>
    </fill>
    <fill>
      <patternFill patternType="solid">
        <fgColor rgb="FFE2EFDA"/>
        <bgColor rgb="FFE2EFDA"/>
      </patternFill>
    </fill>
    <fill>
      <patternFill patternType="solid">
        <fgColor rgb="FFFFFFFF"/>
        <bgColor rgb="FFFFFFFF"/>
      </patternFill>
    </fill>
    <fill>
      <patternFill patternType="solid">
        <fgColor rgb="FFFFFF00"/>
        <bgColor rgb="FFFFFF00"/>
      </patternFill>
    </fill>
    <fill>
      <patternFill patternType="solid">
        <fgColor rgb="FFC55A11"/>
        <bgColor rgb="FFC55A11"/>
      </patternFill>
    </fill>
    <fill>
      <patternFill patternType="solid">
        <fgColor rgb="FF1F3864"/>
        <bgColor rgb="FF1F3864"/>
      </patternFill>
    </fill>
    <fill>
      <patternFill patternType="solid">
        <fgColor rgb="FFF2F2F2"/>
        <bgColor rgb="FFF2F2F2"/>
      </patternFill>
    </fill>
    <fill>
      <patternFill patternType="solid">
        <fgColor rgb="FF2E75B6"/>
        <bgColor rgb="FF2E75B6"/>
      </patternFill>
    </fill>
    <fill>
      <patternFill patternType="solid">
        <fgColor rgb="FFFCE4D6"/>
        <bgColor rgb="FFFCE4D6"/>
      </patternFill>
    </fill>
    <fill>
      <patternFill patternType="solid">
        <fgColor rgb="FFFF0000"/>
        <bgColor rgb="FFFF0000"/>
      </patternFill>
    </fill>
    <fill>
      <patternFill patternType="solid">
        <fgColor theme="7" tint="0.79998168889431442"/>
        <bgColor rgb="FFFFFFFF"/>
      </patternFill>
    </fill>
    <fill>
      <patternFill patternType="solid">
        <fgColor theme="7" tint="0.79998168889431442"/>
        <bgColor rgb="FFDEEAF1"/>
      </patternFill>
    </fill>
    <fill>
      <patternFill patternType="solid">
        <fgColor theme="7" tint="0.79998168889431442"/>
        <bgColor rgb="FFE2EFDA"/>
      </patternFill>
    </fill>
    <fill>
      <patternFill patternType="solid">
        <fgColor theme="7" tint="0.79998168889431442"/>
        <bgColor rgb="FFFFE0E0"/>
      </patternFill>
    </fill>
    <fill>
      <patternFill patternType="solid">
        <fgColor theme="7" tint="0.79998168889431442"/>
        <bgColor rgb="FF1F3864"/>
      </patternFill>
    </fill>
  </fills>
  <borders count="1">
    <border>
      <left/>
      <right/>
      <top/>
      <bottom/>
      <diagonal/>
    </border>
  </borders>
  <cellStyleXfs count="1">
    <xf numFmtId="0" fontId="0" fillId="0" borderId="0"/>
  </cellStyleXfs>
  <cellXfs count="70">
    <xf numFmtId="0" fontId="0" fillId="0" borderId="0" xfId="0"/>
    <xf numFmtId="0" fontId="1" fillId="0" borderId="0" xfId="0" applyFont="1"/>
    <xf numFmtId="0" fontId="0" fillId="2" borderId="0" xfId="0" applyFill="1"/>
    <xf numFmtId="0" fontId="1" fillId="3" borderId="0" xfId="0" applyFont="1" applyFill="1"/>
    <xf numFmtId="4" fontId="0" fillId="3" borderId="0" xfId="0" applyNumberFormat="1" applyFill="1"/>
    <xf numFmtId="164" fontId="0" fillId="3" borderId="0" xfId="0" applyNumberFormat="1" applyFill="1"/>
    <xf numFmtId="165" fontId="0" fillId="3" borderId="0" xfId="0" applyNumberFormat="1" applyFill="1"/>
    <xf numFmtId="166" fontId="0" fillId="4" borderId="0" xfId="0" applyNumberFormat="1" applyFill="1"/>
    <xf numFmtId="166" fontId="0" fillId="5" borderId="0" xfId="0" applyNumberFormat="1" applyFill="1"/>
    <xf numFmtId="4" fontId="0" fillId="0" borderId="0" xfId="0" applyNumberFormat="1"/>
    <xf numFmtId="164" fontId="0" fillId="0" borderId="0" xfId="0" applyNumberFormat="1"/>
    <xf numFmtId="165" fontId="0" fillId="0" borderId="0" xfId="0" applyNumberFormat="1"/>
    <xf numFmtId="166" fontId="0" fillId="0" borderId="0" xfId="0" applyNumberFormat="1"/>
    <xf numFmtId="0" fontId="0" fillId="3" borderId="0" xfId="0" applyFill="1"/>
    <xf numFmtId="0" fontId="0" fillId="6" borderId="0" xfId="0" applyFill="1"/>
    <xf numFmtId="167" fontId="0" fillId="0" borderId="0" xfId="0" applyNumberFormat="1"/>
    <xf numFmtId="0" fontId="1" fillId="7" borderId="0" xfId="0" applyFont="1" applyFill="1"/>
    <xf numFmtId="164" fontId="0" fillId="7" borderId="0" xfId="0" applyNumberFormat="1" applyFill="1"/>
    <xf numFmtId="167" fontId="0" fillId="7" borderId="0" xfId="0" applyNumberFormat="1" applyFill="1"/>
    <xf numFmtId="0" fontId="0" fillId="7" borderId="0" xfId="0" applyFill="1"/>
    <xf numFmtId="3" fontId="0" fillId="3" borderId="0" xfId="0" applyNumberFormat="1" applyFill="1"/>
    <xf numFmtId="168" fontId="0" fillId="3" borderId="0" xfId="0" applyNumberFormat="1" applyFill="1"/>
    <xf numFmtId="0" fontId="1" fillId="6" borderId="0" xfId="0" applyFont="1" applyFill="1"/>
    <xf numFmtId="164" fontId="0" fillId="6" borderId="0" xfId="0" applyNumberFormat="1" applyFill="1"/>
    <xf numFmtId="165" fontId="0" fillId="6" borderId="0" xfId="0" applyNumberFormat="1" applyFill="1"/>
    <xf numFmtId="3" fontId="0" fillId="5" borderId="0" xfId="0" applyNumberFormat="1" applyFill="1"/>
    <xf numFmtId="168" fontId="0" fillId="5" borderId="0" xfId="0" applyNumberFormat="1" applyFill="1"/>
    <xf numFmtId="168" fontId="0" fillId="0" borderId="0" xfId="0" applyNumberFormat="1"/>
    <xf numFmtId="169" fontId="0" fillId="0" borderId="0" xfId="0" applyNumberFormat="1"/>
    <xf numFmtId="170" fontId="0" fillId="0" borderId="0" xfId="0" applyNumberFormat="1"/>
    <xf numFmtId="0" fontId="1" fillId="8" borderId="0" xfId="0" applyFont="1" applyFill="1"/>
    <xf numFmtId="0" fontId="0" fillId="4" borderId="0" xfId="0" applyFill="1"/>
    <xf numFmtId="0" fontId="1" fillId="4" borderId="0" xfId="0" applyFont="1" applyFill="1"/>
    <xf numFmtId="171" fontId="0" fillId="4" borderId="0" xfId="0" applyNumberFormat="1" applyFill="1"/>
    <xf numFmtId="171" fontId="0" fillId="5" borderId="0" xfId="0" applyNumberFormat="1" applyFill="1"/>
    <xf numFmtId="171" fontId="0" fillId="3" borderId="0" xfId="0" applyNumberFormat="1" applyFill="1"/>
    <xf numFmtId="171" fontId="0" fillId="6" borderId="0" xfId="0" applyNumberFormat="1" applyFill="1"/>
    <xf numFmtId="0" fontId="1" fillId="9" borderId="0" xfId="0" applyFont="1" applyFill="1"/>
    <xf numFmtId="9" fontId="0" fillId="3" borderId="0" xfId="0" applyNumberFormat="1" applyFill="1"/>
    <xf numFmtId="166" fontId="0" fillId="3" borderId="0" xfId="0" applyNumberFormat="1" applyFill="1"/>
    <xf numFmtId="0" fontId="1" fillId="2" borderId="0" xfId="0" applyFont="1" applyFill="1"/>
    <xf numFmtId="167" fontId="0" fillId="2" borderId="0" xfId="0" applyNumberFormat="1" applyFill="1"/>
    <xf numFmtId="167" fontId="0" fillId="6" borderId="0" xfId="0" applyNumberFormat="1" applyFill="1"/>
    <xf numFmtId="167" fontId="0" fillId="3" borderId="0" xfId="0" applyNumberFormat="1" applyFill="1"/>
    <xf numFmtId="4" fontId="0" fillId="4" borderId="0" xfId="0" applyNumberFormat="1" applyFill="1"/>
    <xf numFmtId="166" fontId="0" fillId="10" borderId="0" xfId="0" applyNumberFormat="1" applyFill="1"/>
    <xf numFmtId="170" fontId="0" fillId="10" borderId="0" xfId="0" applyNumberFormat="1" applyFill="1"/>
    <xf numFmtId="0" fontId="1" fillId="12" borderId="0" xfId="0" applyFont="1" applyFill="1"/>
    <xf numFmtId="0" fontId="0" fillId="12" borderId="0" xfId="0" applyFill="1"/>
    <xf numFmtId="0" fontId="1" fillId="5" borderId="0" xfId="0" applyFont="1" applyFill="1"/>
    <xf numFmtId="0" fontId="0" fillId="5" borderId="0" xfId="0" applyFill="1"/>
    <xf numFmtId="1" fontId="0" fillId="3" borderId="0" xfId="0" applyNumberFormat="1" applyFill="1"/>
    <xf numFmtId="1" fontId="0" fillId="4" borderId="0" xfId="0" applyNumberFormat="1" applyFill="1"/>
    <xf numFmtId="1" fontId="0" fillId="12" borderId="0" xfId="0" applyNumberFormat="1" applyFill="1"/>
    <xf numFmtId="1" fontId="0" fillId="5" borderId="0" xfId="0" applyNumberFormat="1" applyFill="1"/>
    <xf numFmtId="0" fontId="0" fillId="0" borderId="0" xfId="0"/>
    <xf numFmtId="0" fontId="1" fillId="0" borderId="0" xfId="0" applyFont="1"/>
    <xf numFmtId="0" fontId="0" fillId="2" borderId="0" xfId="0" applyFill="1"/>
    <xf numFmtId="0" fontId="1" fillId="8" borderId="0" xfId="0" applyFont="1" applyFill="1"/>
    <xf numFmtId="0" fontId="1" fillId="13" borderId="0" xfId="0" applyFont="1" applyFill="1"/>
    <xf numFmtId="0" fontId="1" fillId="11" borderId="0" xfId="0" applyFont="1" applyFill="1"/>
    <xf numFmtId="0" fontId="0" fillId="2" borderId="0" xfId="0" applyFill="1" applyAlignment="1">
      <alignment horizontal="center"/>
    </xf>
    <xf numFmtId="0" fontId="0" fillId="0" borderId="0" xfId="0" applyAlignment="1">
      <alignment horizontal="center"/>
    </xf>
    <xf numFmtId="0" fontId="0" fillId="0" borderId="0" xfId="0" applyAlignment="1">
      <alignment horizontal="center" wrapText="1"/>
    </xf>
    <xf numFmtId="0" fontId="0" fillId="14" borderId="0" xfId="0" applyFill="1"/>
    <xf numFmtId="3" fontId="0" fillId="15" borderId="0" xfId="0" applyNumberFormat="1" applyFill="1"/>
    <xf numFmtId="171" fontId="0" fillId="16" borderId="0" xfId="0" applyNumberFormat="1" applyFill="1"/>
    <xf numFmtId="0" fontId="0" fillId="15" borderId="0" xfId="0" applyFill="1"/>
    <xf numFmtId="171" fontId="0" fillId="17" borderId="0" xfId="0" applyNumberFormat="1" applyFill="1"/>
    <xf numFmtId="0" fontId="1" fillId="1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9"/>
  <sheetViews>
    <sheetView showGridLines="0" topLeftCell="A11" zoomScale="108" workbookViewId="0">
      <selection activeCell="B16" sqref="B16:J16"/>
    </sheetView>
  </sheetViews>
  <sheetFormatPr defaultRowHeight="14.4"/>
  <cols>
    <col min="1" max="1" width="3" customWidth="1"/>
    <col min="2" max="2" width="26" customWidth="1"/>
    <col min="3" max="3" width="14" customWidth="1"/>
    <col min="4" max="10" width="13" customWidth="1"/>
  </cols>
  <sheetData>
    <row r="1" spans="2:16" ht="37.5" customHeight="1">
      <c r="B1" s="56" t="s">
        <v>0</v>
      </c>
      <c r="C1" s="55"/>
      <c r="D1" s="55"/>
      <c r="E1" s="55"/>
      <c r="F1" s="55"/>
      <c r="G1" s="55"/>
      <c r="H1" s="55"/>
      <c r="I1" s="55"/>
      <c r="J1" s="55"/>
    </row>
    <row r="2" spans="2:16" ht="27.75" customHeight="1">
      <c r="B2" s="61" t="s">
        <v>1</v>
      </c>
      <c r="C2" s="61"/>
      <c r="D2" s="61"/>
      <c r="E2" s="61"/>
      <c r="F2" s="61"/>
      <c r="G2" s="61"/>
      <c r="H2" s="61"/>
      <c r="I2" s="61"/>
      <c r="J2" s="61"/>
      <c r="K2" s="61"/>
      <c r="L2" s="61"/>
      <c r="M2" s="61"/>
      <c r="N2" s="61"/>
      <c r="O2" s="61"/>
      <c r="P2" s="61"/>
    </row>
    <row r="4" spans="2:16" ht="19.5" customHeight="1">
      <c r="B4" s="56" t="s">
        <v>2</v>
      </c>
      <c r="C4" s="55"/>
      <c r="D4" s="55"/>
      <c r="E4" s="55"/>
      <c r="F4" s="55"/>
      <c r="G4" s="55"/>
      <c r="H4" s="55"/>
      <c r="I4" s="55"/>
      <c r="J4" s="55"/>
    </row>
    <row r="5" spans="2:16" ht="18" customHeight="1">
      <c r="B5" s="1" t="s">
        <v>3</v>
      </c>
      <c r="C5" s="1" t="s">
        <v>4</v>
      </c>
      <c r="D5" s="1" t="s">
        <v>5</v>
      </c>
      <c r="E5" s="1" t="s">
        <v>6</v>
      </c>
      <c r="F5" s="1" t="s">
        <v>7</v>
      </c>
      <c r="G5" s="1" t="s">
        <v>8</v>
      </c>
      <c r="H5" s="1" t="s">
        <v>9</v>
      </c>
      <c r="I5" s="1" t="s">
        <v>10</v>
      </c>
    </row>
    <row r="6" spans="2:16" ht="15.75" customHeight="1">
      <c r="B6" s="3" t="s">
        <v>11</v>
      </c>
      <c r="C6" s="4">
        <v>49355.1</v>
      </c>
      <c r="D6" s="5">
        <v>-203.6</v>
      </c>
      <c r="E6" s="6">
        <f>IF(C6&lt;&gt;0,D6/C6,"")</f>
        <v>-4.1252069188391881E-3</v>
      </c>
      <c r="F6" s="4">
        <v>58485.05</v>
      </c>
      <c r="G6" s="4">
        <v>45334.15</v>
      </c>
      <c r="H6" s="7">
        <f>IF(F6&lt;&gt;0,(C6-F6)/F6,"")</f>
        <v>-0.156107415484812</v>
      </c>
      <c r="I6" s="8">
        <f>IF(G6&lt;&gt;0,(C6-G6)/G6,"")</f>
        <v>8.8695828641322208E-2</v>
      </c>
    </row>
    <row r="7" spans="2:16" ht="15.75" customHeight="1">
      <c r="B7" s="1" t="s">
        <v>12</v>
      </c>
      <c r="C7" s="9">
        <v>24102.9</v>
      </c>
      <c r="D7" s="10">
        <v>89.8</v>
      </c>
      <c r="E7" s="11">
        <f>IF(C7&lt;&gt;0,D7/C7,"")</f>
        <v>3.7256927589626142E-3</v>
      </c>
      <c r="F7" s="9">
        <v>26373.200000000001</v>
      </c>
      <c r="G7" s="9">
        <v>22182.55</v>
      </c>
      <c r="H7" s="7">
        <f>IF(F7&lt;&gt;0,(C7-F7)/F7,"")</f>
        <v>-8.6083600018200271E-2</v>
      </c>
      <c r="I7" s="12">
        <f>IF(G7&lt;&gt;0,(C7-G7)/G7,"")</f>
        <v>8.6570299627409933E-2</v>
      </c>
    </row>
    <row r="8" spans="2:16" ht="15.75" customHeight="1">
      <c r="B8" s="1" t="s">
        <v>13</v>
      </c>
      <c r="C8" s="9">
        <v>77094.070000000007</v>
      </c>
      <c r="D8" s="10">
        <v>291.17</v>
      </c>
      <c r="E8" s="11">
        <f>IF(C8&lt;&gt;0,D8/C8,"")</f>
        <v>3.776814481321326E-3</v>
      </c>
      <c r="F8" s="9">
        <v>85978.25</v>
      </c>
      <c r="G8" s="9">
        <v>72664.990000000005</v>
      </c>
      <c r="H8" s="7">
        <f>IF(F8&lt;&gt;0,(C8-F8)/F8,"")</f>
        <v>-0.10333055162206713</v>
      </c>
      <c r="I8" s="12">
        <f>IF(G8&lt;&gt;0,(C8-G8)/G8,"")</f>
        <v>6.0952048572496899E-2</v>
      </c>
    </row>
    <row r="9" spans="2:16" ht="15.75" customHeight="1">
      <c r="B9" s="1" t="s">
        <v>14</v>
      </c>
      <c r="C9" s="9">
        <v>57935</v>
      </c>
      <c r="D9" s="10">
        <v>247.4</v>
      </c>
      <c r="E9" s="11">
        <f>IF(C9&lt;&gt;0,D9/C9,"")</f>
        <v>4.2703029256925869E-3</v>
      </c>
      <c r="F9" s="9">
        <v>56074.2</v>
      </c>
      <c r="G9" s="9">
        <v>44315.35</v>
      </c>
      <c r="H9" s="7">
        <f>IF(F9&lt;&gt;0,(C9-F9)/F9,"")</f>
        <v>3.3184601831145216E-2</v>
      </c>
      <c r="I9" s="12">
        <f>IF(G9&lt;&gt;0,(C9-G9)/G9,"")</f>
        <v>0.307334817393973</v>
      </c>
    </row>
    <row r="10" spans="2:16" ht="15.75" customHeight="1">
      <c r="B10" s="1" t="s">
        <v>15</v>
      </c>
      <c r="C10" s="9">
        <v>27.32</v>
      </c>
      <c r="D10" s="10">
        <v>0.25</v>
      </c>
      <c r="E10" s="11">
        <f>IF(C10&lt;&gt;0,D10/C10,"")</f>
        <v>9.1508052708638363E-3</v>
      </c>
      <c r="F10" t="s">
        <v>16</v>
      </c>
      <c r="G10" t="s">
        <v>16</v>
      </c>
      <c r="H10" s="13" t="s">
        <v>16</v>
      </c>
      <c r="I10" t="s">
        <v>16</v>
      </c>
    </row>
    <row r="11" spans="2:16" ht="15.75" customHeight="1">
      <c r="B11" s="1" t="s">
        <v>17</v>
      </c>
      <c r="C11" s="9">
        <v>49410</v>
      </c>
      <c r="D11" t="s">
        <v>16</v>
      </c>
      <c r="E11" t="s">
        <v>16</v>
      </c>
      <c r="F11" t="s">
        <v>16</v>
      </c>
      <c r="G11" t="s">
        <v>16</v>
      </c>
      <c r="H11" s="14" t="s">
        <v>16</v>
      </c>
      <c r="I11" t="s">
        <v>16</v>
      </c>
    </row>
    <row r="12" spans="2:16" ht="15.75" customHeight="1">
      <c r="B12" s="1" t="s">
        <v>18</v>
      </c>
      <c r="C12" s="9">
        <v>95.3</v>
      </c>
      <c r="D12" t="s">
        <v>16</v>
      </c>
      <c r="E12" t="s">
        <v>16</v>
      </c>
      <c r="F12" t="s">
        <v>16</v>
      </c>
      <c r="G12" t="s">
        <v>16</v>
      </c>
      <c r="H12" s="13" t="s">
        <v>16</v>
      </c>
      <c r="I12" t="s">
        <v>16</v>
      </c>
    </row>
    <row r="13" spans="2:16" ht="15.75" customHeight="1">
      <c r="B13" s="1" t="s">
        <v>19</v>
      </c>
      <c r="C13" s="9">
        <v>5.25</v>
      </c>
      <c r="D13" t="s">
        <v>16</v>
      </c>
      <c r="E13" t="s">
        <v>16</v>
      </c>
      <c r="F13" t="s">
        <v>16</v>
      </c>
      <c r="G13" t="s">
        <v>16</v>
      </c>
      <c r="H13" s="14" t="s">
        <v>16</v>
      </c>
      <c r="I13" t="s">
        <v>16</v>
      </c>
    </row>
    <row r="14" spans="2:16" ht="15.75" customHeight="1">
      <c r="B14" s="1" t="s">
        <v>20</v>
      </c>
      <c r="C14" s="9">
        <v>95.5</v>
      </c>
      <c r="D14" s="10">
        <v>-0.35</v>
      </c>
      <c r="E14" s="11">
        <f>IF(C14&lt;&gt;0,D14/C14,"")</f>
        <v>-3.664921465968586E-3</v>
      </c>
      <c r="F14" t="s">
        <v>16</v>
      </c>
      <c r="G14" t="s">
        <v>16</v>
      </c>
      <c r="H14" s="13" t="s">
        <v>16</v>
      </c>
      <c r="I14" t="s">
        <v>16</v>
      </c>
    </row>
    <row r="15" spans="2:16" ht="15.75" customHeight="1">
      <c r="B15" s="1" t="s">
        <v>21</v>
      </c>
      <c r="C15" s="9">
        <v>130000</v>
      </c>
      <c r="D15" t="s">
        <v>16</v>
      </c>
      <c r="E15" t="s">
        <v>16</v>
      </c>
      <c r="F15" t="s">
        <v>16</v>
      </c>
      <c r="G15" t="s">
        <v>16</v>
      </c>
      <c r="H15" s="14" t="s">
        <v>16</v>
      </c>
      <c r="I15" t="s">
        <v>16</v>
      </c>
    </row>
    <row r="16" spans="2:16" ht="18" customHeight="1">
      <c r="B16" s="55" t="s">
        <v>22</v>
      </c>
      <c r="C16" s="55"/>
      <c r="D16" s="55"/>
      <c r="E16" s="55"/>
      <c r="F16" s="55"/>
      <c r="G16" s="55"/>
      <c r="H16" s="55"/>
      <c r="I16" s="55"/>
      <c r="J16" s="55"/>
    </row>
    <row r="18" spans="2:10" ht="19.5" customHeight="1">
      <c r="B18" s="55"/>
      <c r="C18" s="55"/>
      <c r="D18" s="55"/>
      <c r="E18" s="55"/>
      <c r="F18" s="55"/>
      <c r="G18" s="55"/>
      <c r="H18" s="55"/>
      <c r="I18" s="55"/>
      <c r="J18" s="55"/>
    </row>
    <row r="19" spans="2:10" ht="18" customHeight="1">
      <c r="B19" s="1" t="s">
        <v>23</v>
      </c>
      <c r="C19" s="1" t="s">
        <v>24</v>
      </c>
      <c r="D19" s="1" t="s">
        <v>25</v>
      </c>
      <c r="E19" s="1" t="s">
        <v>26</v>
      </c>
      <c r="F19" s="1" t="s">
        <v>27</v>
      </c>
      <c r="G19" s="1" t="s">
        <v>28</v>
      </c>
      <c r="H19" s="1" t="s">
        <v>29</v>
      </c>
      <c r="I19" s="1" t="s">
        <v>30</v>
      </c>
    </row>
    <row r="20" spans="2:10" ht="15.75" customHeight="1">
      <c r="B20" s="1" t="s">
        <v>31</v>
      </c>
      <c r="C20" s="9">
        <v>40301.4</v>
      </c>
      <c r="D20" s="10">
        <f t="shared" ref="D20:D28" si="0">C20-49355.1</f>
        <v>-9053.6999999999971</v>
      </c>
      <c r="E20" s="15">
        <f t="shared" ref="E20:E28" si="1">(C20-49355.1)/49355.1</f>
        <v>-0.18344000923916673</v>
      </c>
      <c r="F20" t="s">
        <v>32</v>
      </c>
      <c r="G20" s="1" t="s">
        <v>33</v>
      </c>
      <c r="H20" t="s">
        <v>34</v>
      </c>
      <c r="I20" t="s">
        <v>35</v>
      </c>
    </row>
    <row r="21" spans="2:10" ht="15.75" customHeight="1">
      <c r="B21" s="1" t="s">
        <v>36</v>
      </c>
      <c r="C21" s="9">
        <v>32000</v>
      </c>
      <c r="D21" s="10">
        <f t="shared" si="0"/>
        <v>-17355.099999999999</v>
      </c>
      <c r="E21" s="15">
        <f t="shared" si="1"/>
        <v>-0.351637419435884</v>
      </c>
      <c r="F21" t="s">
        <v>37</v>
      </c>
      <c r="G21" s="1" t="s">
        <v>38</v>
      </c>
      <c r="H21" t="s">
        <v>39</v>
      </c>
      <c r="I21" t="s">
        <v>40</v>
      </c>
    </row>
    <row r="22" spans="2:10" ht="15.75" customHeight="1">
      <c r="B22" s="1" t="s">
        <v>41</v>
      </c>
      <c r="C22" s="9">
        <v>28100</v>
      </c>
      <c r="D22" s="10">
        <f t="shared" si="0"/>
        <v>-21255.1</v>
      </c>
      <c r="E22" s="15">
        <f t="shared" si="1"/>
        <v>-0.43065660894213564</v>
      </c>
      <c r="F22" t="s">
        <v>42</v>
      </c>
      <c r="G22" s="1" t="s">
        <v>43</v>
      </c>
      <c r="H22" t="s">
        <v>44</v>
      </c>
      <c r="I22" t="s">
        <v>45</v>
      </c>
    </row>
    <row r="23" spans="2:10" ht="15.75" customHeight="1">
      <c r="B23" s="1" t="s">
        <v>46</v>
      </c>
      <c r="C23" s="9">
        <v>27900</v>
      </c>
      <c r="D23" s="10">
        <f t="shared" si="0"/>
        <v>-21455.1</v>
      </c>
      <c r="E23" s="15">
        <f t="shared" si="1"/>
        <v>-0.43470887507066136</v>
      </c>
      <c r="F23" t="s">
        <v>47</v>
      </c>
      <c r="G23" s="1" t="s">
        <v>48</v>
      </c>
      <c r="H23" t="s">
        <v>44</v>
      </c>
      <c r="I23" t="s">
        <v>49</v>
      </c>
    </row>
    <row r="24" spans="2:10" ht="15.75" customHeight="1">
      <c r="B24" s="16" t="s">
        <v>50</v>
      </c>
      <c r="C24" s="4">
        <v>27628.55</v>
      </c>
      <c r="D24" s="17">
        <f t="shared" si="0"/>
        <v>-21726.55</v>
      </c>
      <c r="E24" s="18">
        <f t="shared" si="1"/>
        <v>-0.44020881327360295</v>
      </c>
      <c r="F24" s="19" t="s">
        <v>51</v>
      </c>
      <c r="G24" s="16" t="s">
        <v>16</v>
      </c>
      <c r="H24" s="19" t="s">
        <v>16</v>
      </c>
      <c r="I24" s="19" t="s">
        <v>16</v>
      </c>
    </row>
    <row r="25" spans="2:10" ht="15.75" customHeight="1">
      <c r="B25" s="1" t="s">
        <v>52</v>
      </c>
      <c r="C25" s="9">
        <v>27400</v>
      </c>
      <c r="D25" s="10">
        <f t="shared" si="0"/>
        <v>-21955.1</v>
      </c>
      <c r="E25" s="15">
        <f t="shared" si="1"/>
        <v>-0.44483954039197571</v>
      </c>
      <c r="F25" t="s">
        <v>53</v>
      </c>
      <c r="G25" s="1" t="s">
        <v>54</v>
      </c>
      <c r="H25" t="s">
        <v>55</v>
      </c>
      <c r="I25" t="s">
        <v>49</v>
      </c>
    </row>
    <row r="26" spans="2:10" ht="15.75" customHeight="1">
      <c r="B26" s="1" t="s">
        <v>56</v>
      </c>
      <c r="C26" s="9">
        <v>27200</v>
      </c>
      <c r="D26" s="10">
        <f t="shared" si="0"/>
        <v>-22155.1</v>
      </c>
      <c r="E26" s="15">
        <f t="shared" si="1"/>
        <v>-0.44889180652050142</v>
      </c>
      <c r="F26" t="s">
        <v>57</v>
      </c>
      <c r="G26" s="1" t="s">
        <v>58</v>
      </c>
      <c r="H26" t="s">
        <v>55</v>
      </c>
      <c r="I26" t="s">
        <v>45</v>
      </c>
    </row>
    <row r="27" spans="2:10" ht="15.75" customHeight="1">
      <c r="B27" s="1" t="s">
        <v>59</v>
      </c>
      <c r="C27" s="9">
        <v>27078</v>
      </c>
      <c r="D27" s="10">
        <f t="shared" si="0"/>
        <v>-22277.1</v>
      </c>
      <c r="E27" s="15">
        <f t="shared" si="1"/>
        <v>-0.4513636888589021</v>
      </c>
      <c r="F27" t="s">
        <v>60</v>
      </c>
      <c r="G27" s="1" t="s">
        <v>61</v>
      </c>
      <c r="H27" t="s">
        <v>39</v>
      </c>
      <c r="I27" t="s">
        <v>40</v>
      </c>
    </row>
    <row r="28" spans="2:10" ht="15.75" customHeight="1">
      <c r="B28" s="1" t="s">
        <v>62</v>
      </c>
      <c r="C28" s="9">
        <v>25000</v>
      </c>
      <c r="D28" s="10">
        <f t="shared" si="0"/>
        <v>-24355.1</v>
      </c>
      <c r="E28" s="15">
        <f t="shared" si="1"/>
        <v>-0.49346673393428436</v>
      </c>
      <c r="F28" t="s">
        <v>63</v>
      </c>
      <c r="G28" s="1" t="s">
        <v>64</v>
      </c>
      <c r="H28" t="s">
        <v>34</v>
      </c>
      <c r="I28" t="s">
        <v>35</v>
      </c>
    </row>
    <row r="29" spans="2:10" ht="18" customHeight="1">
      <c r="B29" s="55" t="s">
        <v>65</v>
      </c>
      <c r="C29" s="55"/>
      <c r="D29" s="55"/>
      <c r="E29" s="55"/>
      <c r="F29" s="55"/>
      <c r="G29" s="55"/>
      <c r="H29" s="55"/>
      <c r="I29" s="55"/>
      <c r="J29" s="55"/>
    </row>
  </sheetData>
  <mergeCells count="6">
    <mergeCell ref="B29:J29"/>
    <mergeCell ref="B18:J18"/>
    <mergeCell ref="B1:J1"/>
    <mergeCell ref="B4:J4"/>
    <mergeCell ref="B16:J16"/>
    <mergeCell ref="B2:P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7"/>
  <sheetViews>
    <sheetView showGridLines="0" workbookViewId="0">
      <selection activeCell="J6" sqref="J6"/>
    </sheetView>
  </sheetViews>
  <sheetFormatPr defaultRowHeight="14.4"/>
  <cols>
    <col min="1" max="1" width="3" customWidth="1"/>
    <col min="2" max="2" width="24" customWidth="1"/>
    <col min="3" max="10" width="13" customWidth="1"/>
    <col min="11" max="11" width="14" customWidth="1"/>
    <col min="12" max="12" width="13" customWidth="1"/>
  </cols>
  <sheetData>
    <row r="1" spans="2:12" ht="33.75" customHeight="1">
      <c r="B1" s="56" t="s">
        <v>66</v>
      </c>
      <c r="C1" s="55"/>
      <c r="D1" s="55"/>
      <c r="E1" s="55"/>
      <c r="F1" s="55"/>
      <c r="G1" s="55"/>
      <c r="H1" s="55"/>
      <c r="I1" s="55"/>
      <c r="J1" s="55"/>
      <c r="K1" s="55"/>
      <c r="L1" s="55"/>
    </row>
    <row r="2" spans="2:12" ht="27.75" customHeight="1">
      <c r="B2" s="57" t="s">
        <v>67</v>
      </c>
      <c r="C2" s="55"/>
      <c r="D2" s="55"/>
      <c r="E2" s="55"/>
      <c r="F2" s="55"/>
      <c r="G2" s="55"/>
      <c r="H2" s="55"/>
      <c r="I2" s="55"/>
      <c r="J2" s="55"/>
      <c r="K2" s="55"/>
      <c r="L2" s="55"/>
    </row>
    <row r="4" spans="2:12" ht="19.5" customHeight="1">
      <c r="B4" s="56" t="s">
        <v>68</v>
      </c>
      <c r="C4" s="55"/>
      <c r="D4" s="55"/>
      <c r="E4" s="55"/>
      <c r="F4" s="55"/>
      <c r="G4" s="55"/>
      <c r="H4" s="55"/>
      <c r="I4" s="55"/>
      <c r="J4" s="55"/>
      <c r="K4" s="55"/>
      <c r="L4" s="55"/>
    </row>
    <row r="5" spans="2:12" ht="18" customHeight="1">
      <c r="B5" s="1" t="s">
        <v>69</v>
      </c>
      <c r="C5" s="1" t="s">
        <v>70</v>
      </c>
      <c r="D5" s="1" t="s">
        <v>71</v>
      </c>
      <c r="E5" s="1" t="s">
        <v>72</v>
      </c>
      <c r="F5" s="1" t="s">
        <v>73</v>
      </c>
      <c r="G5" s="1" t="s">
        <v>74</v>
      </c>
      <c r="H5" s="1" t="s">
        <v>75</v>
      </c>
      <c r="I5" s="1" t="s">
        <v>9</v>
      </c>
      <c r="J5" s="1" t="s">
        <v>10</v>
      </c>
      <c r="K5" s="1" t="s">
        <v>76</v>
      </c>
      <c r="L5" s="1" t="s">
        <v>77</v>
      </c>
    </row>
    <row r="6" spans="2:12" ht="15.75" customHeight="1">
      <c r="B6" s="3" t="s">
        <v>78</v>
      </c>
      <c r="C6" s="4">
        <v>2196.1</v>
      </c>
      <c r="D6" s="4">
        <v>2194.6</v>
      </c>
      <c r="E6" s="5">
        <f t="shared" ref="E6:E15" si="0">C6-D6</f>
        <v>1.5</v>
      </c>
      <c r="F6" s="6">
        <f t="shared" ref="F6:F15" si="1">IF(D6&lt;&gt;0,(C6-D6)/D6,"")</f>
        <v>6.8349585345848899E-4</v>
      </c>
      <c r="G6" s="4">
        <v>2705.09</v>
      </c>
      <c r="H6" s="4">
        <v>2022.5</v>
      </c>
      <c r="I6" s="7">
        <f t="shared" ref="I6:I15" si="2">IF(G6&lt;&gt;0,(C6-G6)/G6,"")</f>
        <v>-0.18816009818527302</v>
      </c>
      <c r="J6" s="8">
        <f t="shared" ref="J6:J15" si="3">IF(H6&lt;&gt;0,(C6-H6)/H6,"")</f>
        <v>8.5834363411619236E-2</v>
      </c>
      <c r="K6" s="20">
        <v>515641</v>
      </c>
      <c r="L6" s="21">
        <v>33.44</v>
      </c>
    </row>
    <row r="7" spans="2:12" ht="15.75" customHeight="1">
      <c r="B7" s="22" t="s">
        <v>79</v>
      </c>
      <c r="C7" s="4">
        <v>291.25</v>
      </c>
      <c r="D7" s="4">
        <v>292.5</v>
      </c>
      <c r="E7" s="23">
        <f t="shared" si="0"/>
        <v>-1.25</v>
      </c>
      <c r="F7" s="24">
        <f t="shared" si="1"/>
        <v>-4.2735042735042739E-3</v>
      </c>
      <c r="G7" s="4">
        <v>427</v>
      </c>
      <c r="H7" s="4">
        <v>275.05</v>
      </c>
      <c r="I7" s="7">
        <f t="shared" si="2"/>
        <v>-0.31791569086651056</v>
      </c>
      <c r="J7" s="8">
        <f t="shared" si="3"/>
        <v>5.8898382112343169E-2</v>
      </c>
      <c r="K7" s="20">
        <v>364858</v>
      </c>
      <c r="L7" s="21">
        <v>17.64</v>
      </c>
    </row>
    <row r="8" spans="2:12" ht="15.75" customHeight="1">
      <c r="B8" s="3" t="s">
        <v>80</v>
      </c>
      <c r="C8" s="4">
        <v>2510.5</v>
      </c>
      <c r="D8" s="4">
        <v>2520</v>
      </c>
      <c r="E8" s="5">
        <f t="shared" si="0"/>
        <v>-9.5</v>
      </c>
      <c r="F8" s="6">
        <f t="shared" si="1"/>
        <v>-3.7698412698412699E-3</v>
      </c>
      <c r="G8" s="4">
        <v>2770</v>
      </c>
      <c r="H8" s="4">
        <v>2350</v>
      </c>
      <c r="I8" s="7">
        <f t="shared" si="2"/>
        <v>-9.3682310469314078E-2</v>
      </c>
      <c r="J8" s="8">
        <f t="shared" si="3"/>
        <v>6.8297872340425531E-2</v>
      </c>
      <c r="K8" s="20">
        <v>242000</v>
      </c>
      <c r="L8" s="21">
        <v>78.5</v>
      </c>
    </row>
    <row r="9" spans="2:12" ht="15.75" customHeight="1">
      <c r="B9" s="22" t="s">
        <v>81</v>
      </c>
      <c r="C9" s="4">
        <v>5217.5</v>
      </c>
      <c r="D9" s="4">
        <v>5230</v>
      </c>
      <c r="E9" s="23">
        <f t="shared" si="0"/>
        <v>-12.5</v>
      </c>
      <c r="F9" s="24">
        <f t="shared" si="1"/>
        <v>-2.3900573613766731E-3</v>
      </c>
      <c r="G9" s="4">
        <v>5725</v>
      </c>
      <c r="H9" s="4">
        <v>4350</v>
      </c>
      <c r="I9" s="7">
        <f t="shared" si="2"/>
        <v>-8.8646288209606988E-2</v>
      </c>
      <c r="J9" s="8">
        <f t="shared" si="3"/>
        <v>0.19942528735632184</v>
      </c>
      <c r="K9" s="20">
        <v>125600</v>
      </c>
      <c r="L9" s="21">
        <v>58.2</v>
      </c>
    </row>
    <row r="10" spans="2:12" ht="15.75" customHeight="1">
      <c r="B10" s="3" t="s">
        <v>82</v>
      </c>
      <c r="C10" s="4">
        <v>1112.9000000000001</v>
      </c>
      <c r="D10" s="4">
        <v>1115</v>
      </c>
      <c r="E10" s="5">
        <f t="shared" si="0"/>
        <v>-2.0999999999999091</v>
      </c>
      <c r="F10" s="6">
        <f t="shared" si="1"/>
        <v>-1.8834080717487973E-3</v>
      </c>
      <c r="G10" s="4">
        <v>1282.7</v>
      </c>
      <c r="H10" s="4">
        <v>1007.2</v>
      </c>
      <c r="I10" s="7">
        <f t="shared" si="2"/>
        <v>-0.13237701722928194</v>
      </c>
      <c r="J10" s="8">
        <f t="shared" si="3"/>
        <v>0.10494440031771252</v>
      </c>
      <c r="K10" s="20">
        <v>105000</v>
      </c>
      <c r="L10" s="21">
        <v>45</v>
      </c>
    </row>
    <row r="11" spans="2:12" ht="15.75" customHeight="1">
      <c r="B11" s="22" t="s">
        <v>83</v>
      </c>
      <c r="C11" s="4">
        <v>1540</v>
      </c>
      <c r="D11" s="4">
        <v>1550</v>
      </c>
      <c r="E11" s="23">
        <f t="shared" si="0"/>
        <v>-10</v>
      </c>
      <c r="F11" s="24">
        <f t="shared" si="1"/>
        <v>-6.4516129032258064E-3</v>
      </c>
      <c r="G11" s="4">
        <v>1650</v>
      </c>
      <c r="H11" s="4">
        <v>1200</v>
      </c>
      <c r="I11" s="7">
        <f t="shared" si="2"/>
        <v>-6.6666666666666666E-2</v>
      </c>
      <c r="J11" s="8">
        <f t="shared" si="3"/>
        <v>0.28333333333333333</v>
      </c>
      <c r="K11" s="20">
        <v>199000</v>
      </c>
      <c r="L11" s="21">
        <v>65</v>
      </c>
    </row>
    <row r="12" spans="2:12" ht="15.75" customHeight="1">
      <c r="B12" s="3" t="s">
        <v>84</v>
      </c>
      <c r="C12" s="4">
        <v>620</v>
      </c>
      <c r="D12" s="4">
        <v>625</v>
      </c>
      <c r="E12" s="5">
        <f t="shared" si="0"/>
        <v>-5</v>
      </c>
      <c r="F12" s="6">
        <f t="shared" si="1"/>
        <v>-8.0000000000000002E-3</v>
      </c>
      <c r="G12" s="4">
        <v>680</v>
      </c>
      <c r="H12" s="4">
        <v>500</v>
      </c>
      <c r="I12" s="7">
        <f t="shared" si="2"/>
        <v>-8.8235294117647065E-2</v>
      </c>
      <c r="J12" s="8">
        <f t="shared" si="3"/>
        <v>0.24</v>
      </c>
      <c r="K12" s="20">
        <v>80000</v>
      </c>
      <c r="L12" s="21">
        <v>52</v>
      </c>
    </row>
    <row r="13" spans="2:12" ht="15.75" customHeight="1">
      <c r="B13" s="22" t="s">
        <v>85</v>
      </c>
      <c r="C13" s="4">
        <v>1350</v>
      </c>
      <c r="D13" s="4">
        <v>1360</v>
      </c>
      <c r="E13" s="23">
        <f t="shared" si="0"/>
        <v>-10</v>
      </c>
      <c r="F13" s="24">
        <f t="shared" si="1"/>
        <v>-7.3529411764705881E-3</v>
      </c>
      <c r="G13" s="4">
        <v>1450</v>
      </c>
      <c r="H13" s="4">
        <v>1100</v>
      </c>
      <c r="I13" s="7">
        <f t="shared" si="2"/>
        <v>-6.8965517241379309E-2</v>
      </c>
      <c r="J13" s="8">
        <f t="shared" si="3"/>
        <v>0.22727272727272727</v>
      </c>
      <c r="K13" s="20">
        <v>138000</v>
      </c>
      <c r="L13" s="21">
        <v>60</v>
      </c>
    </row>
    <row r="14" spans="2:12" ht="15.75" customHeight="1">
      <c r="B14" s="3" t="s">
        <v>86</v>
      </c>
      <c r="C14" s="4">
        <v>600</v>
      </c>
      <c r="D14" s="4">
        <v>605</v>
      </c>
      <c r="E14" s="5">
        <f t="shared" si="0"/>
        <v>-5</v>
      </c>
      <c r="F14" s="6">
        <f t="shared" si="1"/>
        <v>-8.2644628099173556E-3</v>
      </c>
      <c r="G14" s="4">
        <v>650</v>
      </c>
      <c r="H14" s="4">
        <v>510</v>
      </c>
      <c r="I14" s="7">
        <f t="shared" si="2"/>
        <v>-7.6923076923076927E-2</v>
      </c>
      <c r="J14" s="8">
        <f t="shared" si="3"/>
        <v>0.17647058823529413</v>
      </c>
      <c r="K14" s="20">
        <v>106000</v>
      </c>
      <c r="L14" s="21">
        <v>55</v>
      </c>
    </row>
    <row r="15" spans="2:12" ht="15.75" customHeight="1">
      <c r="B15" s="22" t="s">
        <v>87</v>
      </c>
      <c r="C15" s="4">
        <v>2850</v>
      </c>
      <c r="D15" s="4">
        <v>2860</v>
      </c>
      <c r="E15" s="23">
        <f t="shared" si="0"/>
        <v>-10</v>
      </c>
      <c r="F15" s="24">
        <f t="shared" si="1"/>
        <v>-3.4965034965034965E-3</v>
      </c>
      <c r="G15" s="4">
        <v>3100</v>
      </c>
      <c r="H15" s="4">
        <v>2400</v>
      </c>
      <c r="I15" s="7">
        <f t="shared" si="2"/>
        <v>-8.0645161290322578E-2</v>
      </c>
      <c r="J15" s="8">
        <f t="shared" si="3"/>
        <v>0.1875</v>
      </c>
      <c r="K15" s="20">
        <v>77000</v>
      </c>
      <c r="L15" s="21">
        <v>48</v>
      </c>
    </row>
    <row r="16" spans="2:12" ht="18" customHeight="1">
      <c r="B16" s="56" t="s">
        <v>88</v>
      </c>
      <c r="C16" s="55"/>
      <c r="D16" s="55"/>
      <c r="K16" s="25">
        <f>SUM(K6:K15)</f>
        <v>1953099</v>
      </c>
      <c r="L16" s="26">
        <f>AVERAGE(L6:L15)</f>
        <v>51.277999999999999</v>
      </c>
    </row>
    <row r="17" spans="2:12" ht="18" customHeight="1">
      <c r="B17" s="55" t="s">
        <v>89</v>
      </c>
      <c r="C17" s="55"/>
      <c r="D17" s="55"/>
      <c r="E17" s="55"/>
      <c r="F17" s="55"/>
      <c r="G17" s="55"/>
      <c r="H17" s="55"/>
      <c r="I17" s="55"/>
      <c r="J17" s="55"/>
      <c r="K17" s="55"/>
      <c r="L17" s="55"/>
    </row>
  </sheetData>
  <mergeCells count="5">
    <mergeCell ref="B4:L4"/>
    <mergeCell ref="B2:L2"/>
    <mergeCell ref="B17:L17"/>
    <mergeCell ref="B16:D16"/>
    <mergeCell ref="B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28"/>
  <sheetViews>
    <sheetView showGridLines="0" topLeftCell="A4" workbookViewId="0">
      <selection activeCell="K17" sqref="K17"/>
    </sheetView>
  </sheetViews>
  <sheetFormatPr defaultRowHeight="14.4"/>
  <cols>
    <col min="1" max="1" width="3" customWidth="1"/>
    <col min="2" max="2" width="24" customWidth="1"/>
    <col min="3" max="3" width="14" customWidth="1"/>
    <col min="4" max="9" width="13" customWidth="1"/>
    <col min="10" max="10" width="16" customWidth="1"/>
    <col min="11" max="11" width="13" customWidth="1"/>
  </cols>
  <sheetData>
    <row r="1" spans="2:11" ht="33.75" customHeight="1">
      <c r="B1" s="56" t="s">
        <v>90</v>
      </c>
      <c r="C1" s="55"/>
      <c r="D1" s="55"/>
      <c r="E1" s="55"/>
      <c r="F1" s="55"/>
      <c r="G1" s="55"/>
      <c r="H1" s="55"/>
      <c r="I1" s="55"/>
      <c r="J1" s="55"/>
    </row>
    <row r="3" spans="2:11" ht="19.5" customHeight="1">
      <c r="B3" s="56" t="s">
        <v>91</v>
      </c>
      <c r="C3" s="55"/>
      <c r="D3" s="55"/>
      <c r="E3" s="55"/>
      <c r="F3" s="55"/>
      <c r="G3" s="55"/>
      <c r="H3" s="55"/>
      <c r="I3" s="55"/>
      <c r="J3" s="55"/>
    </row>
    <row r="4" spans="2:11" ht="18" customHeight="1">
      <c r="B4" s="1" t="s">
        <v>92</v>
      </c>
      <c r="C4" s="1" t="s">
        <v>93</v>
      </c>
      <c r="D4" s="1" t="s">
        <v>94</v>
      </c>
      <c r="E4" s="1" t="s">
        <v>95</v>
      </c>
      <c r="F4" s="1" t="s">
        <v>96</v>
      </c>
      <c r="G4" s="1" t="s">
        <v>97</v>
      </c>
      <c r="H4" s="1" t="s">
        <v>98</v>
      </c>
      <c r="I4" s="1" t="s">
        <v>99</v>
      </c>
      <c r="J4" s="1" t="s">
        <v>100</v>
      </c>
    </row>
    <row r="5" spans="2:11" ht="15.75" customHeight="1">
      <c r="B5" s="1" t="s">
        <v>101</v>
      </c>
      <c r="C5" s="27">
        <v>48.5</v>
      </c>
      <c r="D5" s="27">
        <v>45</v>
      </c>
      <c r="E5" s="27">
        <v>42</v>
      </c>
      <c r="F5" s="27">
        <v>50</v>
      </c>
      <c r="G5" s="27">
        <v>38</v>
      </c>
      <c r="H5" s="15">
        <f t="shared" ref="H5:H12" si="0">IF(D5&lt;&gt;0,(C5-D5)/ABS(D5),"")</f>
        <v>7.7777777777777779E-2</v>
      </c>
      <c r="I5" s="15">
        <f t="shared" ref="I5:I12" si="1">IF(E5&lt;&gt;0,(C5-E5)/ABS(E5),"")</f>
        <v>0.15476190476190477</v>
      </c>
      <c r="J5" s="15">
        <f t="shared" ref="J5:J12" si="2">IF(F5&lt;&gt;0,(C5-F5)/ABS(F5),"")</f>
        <v>-0.03</v>
      </c>
      <c r="K5" s="22" t="s">
        <v>102</v>
      </c>
    </row>
    <row r="6" spans="2:11" ht="15.75" customHeight="1">
      <c r="B6" s="1" t="s">
        <v>103</v>
      </c>
      <c r="C6" s="27">
        <v>15.5</v>
      </c>
      <c r="D6" s="27">
        <v>42.5</v>
      </c>
      <c r="E6" s="27">
        <v>31</v>
      </c>
      <c r="F6" s="27">
        <v>55</v>
      </c>
      <c r="G6" s="27">
        <v>3.2</v>
      </c>
      <c r="H6" s="15">
        <f t="shared" si="0"/>
        <v>-0.63529411764705879</v>
      </c>
      <c r="I6" s="15">
        <f t="shared" si="1"/>
        <v>-0.5</v>
      </c>
      <c r="J6" s="15">
        <f t="shared" si="2"/>
        <v>-0.71818181818181814</v>
      </c>
      <c r="K6" s="3" t="s">
        <v>102</v>
      </c>
    </row>
    <row r="7" spans="2:11" ht="15.75" customHeight="1">
      <c r="B7" s="1" t="s">
        <v>104</v>
      </c>
      <c r="C7" s="27">
        <v>22.5</v>
      </c>
      <c r="D7" s="27">
        <v>28</v>
      </c>
      <c r="E7" s="27">
        <v>18.5</v>
      </c>
      <c r="F7" s="27">
        <v>35</v>
      </c>
      <c r="G7" s="27">
        <v>10.5</v>
      </c>
      <c r="H7" s="15">
        <f t="shared" si="0"/>
        <v>-0.19642857142857142</v>
      </c>
      <c r="I7" s="15">
        <f t="shared" si="1"/>
        <v>0.21621621621621623</v>
      </c>
      <c r="J7" s="15">
        <f t="shared" si="2"/>
        <v>-0.35714285714285715</v>
      </c>
      <c r="K7" s="22" t="s">
        <v>102</v>
      </c>
    </row>
    <row r="8" spans="2:11" ht="15.75" customHeight="1">
      <c r="B8" s="1" t="s">
        <v>105</v>
      </c>
      <c r="C8" s="27">
        <v>8.5</v>
      </c>
      <c r="D8" s="27">
        <v>10.199999999999999</v>
      </c>
      <c r="E8" s="27">
        <v>7.5</v>
      </c>
      <c r="F8" s="27">
        <v>12.5</v>
      </c>
      <c r="G8" s="27">
        <v>2.5</v>
      </c>
      <c r="H8" s="15">
        <f t="shared" si="0"/>
        <v>-0.1666666666666666</v>
      </c>
      <c r="I8" s="15">
        <f t="shared" si="1"/>
        <v>0.13333333333333333</v>
      </c>
      <c r="J8" s="15">
        <f t="shared" si="2"/>
        <v>-0.32</v>
      </c>
      <c r="K8" s="3" t="s">
        <v>102</v>
      </c>
    </row>
    <row r="9" spans="2:11" ht="15.75" customHeight="1">
      <c r="B9" s="1" t="s">
        <v>106</v>
      </c>
      <c r="C9" s="12">
        <v>9.4000000000000004E-3</v>
      </c>
      <c r="D9" s="12">
        <v>1.2E-2</v>
      </c>
      <c r="E9" s="12">
        <v>8.0000000000000002E-3</v>
      </c>
      <c r="F9" s="12">
        <v>1.7999999999999999E-2</v>
      </c>
      <c r="G9" s="12">
        <v>3.7999999999999999E-2</v>
      </c>
      <c r="H9" s="15">
        <f t="shared" si="0"/>
        <v>-0.21666666666666665</v>
      </c>
      <c r="I9" s="15">
        <f t="shared" si="1"/>
        <v>0.17500000000000002</v>
      </c>
      <c r="J9" s="15">
        <f t="shared" si="2"/>
        <v>-0.47777777777777769</v>
      </c>
      <c r="K9" s="22" t="s">
        <v>102</v>
      </c>
    </row>
    <row r="10" spans="2:11" ht="15.75" customHeight="1">
      <c r="B10" s="1" t="s">
        <v>107</v>
      </c>
      <c r="C10" s="27">
        <v>2.5</v>
      </c>
      <c r="D10" s="27">
        <v>2.8</v>
      </c>
      <c r="E10" s="27">
        <v>2</v>
      </c>
      <c r="F10" s="27">
        <v>3.5</v>
      </c>
      <c r="G10" s="27">
        <v>1.2</v>
      </c>
      <c r="H10" s="15">
        <f t="shared" si="0"/>
        <v>-0.10714285714285708</v>
      </c>
      <c r="I10" s="15">
        <f t="shared" si="1"/>
        <v>0.25</v>
      </c>
      <c r="J10" s="15">
        <f t="shared" si="2"/>
        <v>-0.2857142857142857</v>
      </c>
      <c r="K10" s="3" t="s">
        <v>102</v>
      </c>
    </row>
    <row r="11" spans="2:11" ht="15.75" customHeight="1">
      <c r="B11" s="1" t="s">
        <v>108</v>
      </c>
      <c r="C11" s="27">
        <v>7.8</v>
      </c>
      <c r="D11" s="27">
        <v>9.5</v>
      </c>
      <c r="E11" s="27">
        <v>6.8</v>
      </c>
      <c r="F11" s="27">
        <v>11.5</v>
      </c>
      <c r="G11" s="27">
        <v>2.2000000000000002</v>
      </c>
      <c r="H11" s="15">
        <f t="shared" si="0"/>
        <v>-0.17894736842105266</v>
      </c>
      <c r="I11" s="15">
        <f t="shared" si="1"/>
        <v>0.14705882352941177</v>
      </c>
      <c r="J11" s="15">
        <f t="shared" si="2"/>
        <v>-0.32173913043478264</v>
      </c>
      <c r="K11" s="22" t="s">
        <v>102</v>
      </c>
    </row>
    <row r="12" spans="2:11" ht="15.75" customHeight="1">
      <c r="B12" s="1" t="s">
        <v>109</v>
      </c>
      <c r="C12" s="12">
        <v>4.2000000000000003E-2</v>
      </c>
      <c r="D12" s="12">
        <v>2.8000000000000001E-2</v>
      </c>
      <c r="E12" s="12">
        <v>3.2000000000000001E-2</v>
      </c>
      <c r="F12" s="12">
        <v>1.7999999999999999E-2</v>
      </c>
      <c r="G12" s="12">
        <v>5.1999999999999998E-2</v>
      </c>
      <c r="H12" s="15">
        <f t="shared" si="0"/>
        <v>0.50000000000000011</v>
      </c>
      <c r="I12" s="15">
        <f t="shared" si="1"/>
        <v>0.31250000000000006</v>
      </c>
      <c r="J12" s="15">
        <f t="shared" si="2"/>
        <v>1.3333333333333337</v>
      </c>
      <c r="K12" s="3" t="s">
        <v>102</v>
      </c>
    </row>
    <row r="13" spans="2:11" ht="18" customHeight="1">
      <c r="B13" s="55" t="s">
        <v>110</v>
      </c>
      <c r="C13" s="55"/>
      <c r="D13" s="55"/>
      <c r="E13" s="55"/>
      <c r="F13" s="55"/>
      <c r="G13" s="55"/>
      <c r="H13" s="55"/>
      <c r="I13" s="55"/>
      <c r="J13" s="55"/>
    </row>
    <row r="15" spans="2:11" ht="19.5" customHeight="1">
      <c r="B15" s="56" t="s">
        <v>111</v>
      </c>
      <c r="C15" s="55"/>
      <c r="D15" s="55"/>
      <c r="E15" s="55"/>
      <c r="F15" s="55"/>
      <c r="G15" s="55"/>
      <c r="H15" s="55"/>
      <c r="I15" s="55"/>
      <c r="J15" s="55"/>
    </row>
    <row r="16" spans="2:11" ht="18" customHeight="1">
      <c r="B16" s="1" t="s">
        <v>112</v>
      </c>
      <c r="C16" s="1" t="s">
        <v>113</v>
      </c>
      <c r="D16" s="1" t="s">
        <v>114</v>
      </c>
      <c r="E16" s="1" t="s">
        <v>115</v>
      </c>
      <c r="F16" s="1" t="s">
        <v>116</v>
      </c>
      <c r="G16" s="1" t="s">
        <v>117</v>
      </c>
      <c r="H16" s="1" t="s">
        <v>118</v>
      </c>
      <c r="I16" s="1" t="s">
        <v>119</v>
      </c>
      <c r="J16" s="1" t="s">
        <v>120</v>
      </c>
    </row>
    <row r="17" spans="2:11" ht="15.75" customHeight="1">
      <c r="B17" s="1" t="s">
        <v>78</v>
      </c>
      <c r="C17" s="9">
        <v>2196.1</v>
      </c>
      <c r="D17" s="28">
        <v>44.5</v>
      </c>
      <c r="E17" s="27">
        <f t="shared" ref="E17:E26" si="3">IFERROR(C17/D17,"-")</f>
        <v>49.35056179775281</v>
      </c>
      <c r="F17" s="28">
        <v>105</v>
      </c>
      <c r="G17" s="27">
        <f t="shared" ref="G17:G26" si="4">IFERROR(C17/F17,"-")</f>
        <v>20.915238095238095</v>
      </c>
      <c r="H17" s="28">
        <v>42</v>
      </c>
      <c r="I17" s="12">
        <f t="shared" ref="I17:I26" si="5">IFERROR(H17/C17,"-")</f>
        <v>1.9124812167023362E-2</v>
      </c>
      <c r="J17" s="27">
        <v>28.5</v>
      </c>
      <c r="K17" s="29">
        <f t="shared" ref="K17:K26" si="6">IFERROR(ROUND(10-(E17/3.5),1),"-")</f>
        <v>-4.0999999999999996</v>
      </c>
    </row>
    <row r="18" spans="2:11" ht="15.75" customHeight="1">
      <c r="B18" s="1" t="s">
        <v>79</v>
      </c>
      <c r="C18" s="9">
        <v>291.25</v>
      </c>
      <c r="D18" s="28">
        <v>17.600000000000001</v>
      </c>
      <c r="E18" s="27">
        <f t="shared" si="3"/>
        <v>16.548295454545453</v>
      </c>
      <c r="F18" s="28">
        <v>16.5</v>
      </c>
      <c r="G18" s="27">
        <f t="shared" si="4"/>
        <v>17.651515151515152</v>
      </c>
      <c r="H18" s="28">
        <v>15.5</v>
      </c>
      <c r="I18" s="12">
        <f t="shared" si="5"/>
        <v>5.3218884120171672E-2</v>
      </c>
      <c r="J18" s="27">
        <v>12</v>
      </c>
      <c r="K18" s="29">
        <f t="shared" si="6"/>
        <v>5.3</v>
      </c>
    </row>
    <row r="19" spans="2:11" ht="15.75" customHeight="1">
      <c r="B19" s="1" t="s">
        <v>80</v>
      </c>
      <c r="C19" s="9">
        <v>2510.5</v>
      </c>
      <c r="D19" s="28">
        <v>78.5</v>
      </c>
      <c r="E19" s="27">
        <f t="shared" si="3"/>
        <v>31.980891719745223</v>
      </c>
      <c r="F19" s="28">
        <v>32</v>
      </c>
      <c r="G19" s="27">
        <f t="shared" si="4"/>
        <v>78.453125</v>
      </c>
      <c r="H19" s="28">
        <v>27</v>
      </c>
      <c r="I19" s="12">
        <f t="shared" si="5"/>
        <v>1.0754829715196175E-2</v>
      </c>
      <c r="J19" s="27">
        <v>45</v>
      </c>
      <c r="K19" s="29">
        <f t="shared" si="6"/>
        <v>0.9</v>
      </c>
    </row>
    <row r="20" spans="2:11" ht="15.75" customHeight="1">
      <c r="B20" s="1" t="s">
        <v>81</v>
      </c>
      <c r="C20" s="9">
        <v>5217.5</v>
      </c>
      <c r="D20" s="28">
        <v>58.2</v>
      </c>
      <c r="E20" s="27">
        <f t="shared" si="3"/>
        <v>89.647766323024044</v>
      </c>
      <c r="F20" s="28">
        <v>90</v>
      </c>
      <c r="G20" s="27">
        <f t="shared" si="4"/>
        <v>57.972222222222221</v>
      </c>
      <c r="H20" s="28">
        <v>72</v>
      </c>
      <c r="I20" s="12">
        <f t="shared" si="5"/>
        <v>1.3799712505989459E-2</v>
      </c>
      <c r="J20" s="27">
        <v>35</v>
      </c>
      <c r="K20" s="29">
        <f t="shared" si="6"/>
        <v>-15.6</v>
      </c>
    </row>
    <row r="21" spans="2:11" ht="15.75" customHeight="1">
      <c r="B21" s="1" t="s">
        <v>82</v>
      </c>
      <c r="C21" s="9">
        <v>1112.9000000000001</v>
      </c>
      <c r="D21" s="28">
        <v>45</v>
      </c>
      <c r="E21" s="27">
        <f t="shared" si="3"/>
        <v>24.731111111111112</v>
      </c>
      <c r="F21" s="28">
        <v>25</v>
      </c>
      <c r="G21" s="27">
        <f t="shared" si="4"/>
        <v>44.516000000000005</v>
      </c>
      <c r="H21" s="28">
        <v>24.5</v>
      </c>
      <c r="I21" s="12">
        <f t="shared" si="5"/>
        <v>2.2014556563932069E-2</v>
      </c>
      <c r="J21" s="27">
        <v>18</v>
      </c>
      <c r="K21" s="29">
        <f t="shared" si="6"/>
        <v>2.9</v>
      </c>
    </row>
    <row r="22" spans="2:11" ht="15.75" customHeight="1">
      <c r="B22" s="1" t="s">
        <v>83</v>
      </c>
      <c r="C22" s="9">
        <v>1540</v>
      </c>
      <c r="D22" s="28">
        <v>65</v>
      </c>
      <c r="E22" s="27">
        <f t="shared" si="3"/>
        <v>23.692307692307693</v>
      </c>
      <c r="F22" s="28">
        <v>23</v>
      </c>
      <c r="G22" s="27">
        <f t="shared" si="4"/>
        <v>66.956521739130437</v>
      </c>
      <c r="H22" s="28">
        <v>20</v>
      </c>
      <c r="I22" s="12">
        <f t="shared" si="5"/>
        <v>1.2987012987012988E-2</v>
      </c>
      <c r="J22" s="27">
        <v>40</v>
      </c>
      <c r="K22" s="29">
        <f t="shared" si="6"/>
        <v>3.2</v>
      </c>
    </row>
    <row r="23" spans="2:11" ht="15.75" customHeight="1">
      <c r="B23" s="1" t="s">
        <v>84</v>
      </c>
      <c r="C23" s="9">
        <v>620</v>
      </c>
      <c r="D23" s="28">
        <v>52</v>
      </c>
      <c r="E23" s="27">
        <f t="shared" si="3"/>
        <v>11.923076923076923</v>
      </c>
      <c r="F23" s="28">
        <v>12</v>
      </c>
      <c r="G23" s="27">
        <f t="shared" si="4"/>
        <v>51.666666666666664</v>
      </c>
      <c r="H23" s="28">
        <v>11.5</v>
      </c>
      <c r="I23" s="12">
        <f t="shared" si="5"/>
        <v>1.8548387096774192E-2</v>
      </c>
      <c r="J23" s="27">
        <v>25</v>
      </c>
      <c r="K23" s="29">
        <f t="shared" si="6"/>
        <v>6.6</v>
      </c>
    </row>
    <row r="24" spans="2:11" ht="15.75" customHeight="1">
      <c r="B24" s="1" t="s">
        <v>85</v>
      </c>
      <c r="C24" s="9">
        <v>1350</v>
      </c>
      <c r="D24" s="28">
        <v>60</v>
      </c>
      <c r="E24" s="27">
        <f t="shared" si="3"/>
        <v>22.5</v>
      </c>
      <c r="F24" s="28">
        <v>22.5</v>
      </c>
      <c r="G24" s="27">
        <f t="shared" si="4"/>
        <v>60</v>
      </c>
      <c r="H24" s="28">
        <v>21</v>
      </c>
      <c r="I24" s="12">
        <f t="shared" si="5"/>
        <v>1.5555555555555555E-2</v>
      </c>
      <c r="J24" s="27">
        <v>30</v>
      </c>
      <c r="K24" s="29">
        <f t="shared" si="6"/>
        <v>3.6</v>
      </c>
    </row>
    <row r="25" spans="2:11" ht="15.75" customHeight="1">
      <c r="B25" s="1" t="s">
        <v>86</v>
      </c>
      <c r="C25" s="9">
        <v>600</v>
      </c>
      <c r="D25" s="28">
        <v>55</v>
      </c>
      <c r="E25" s="27">
        <f t="shared" si="3"/>
        <v>10.909090909090908</v>
      </c>
      <c r="F25" s="28">
        <v>11</v>
      </c>
      <c r="G25" s="27">
        <f t="shared" si="4"/>
        <v>54.545454545454547</v>
      </c>
      <c r="H25" s="28">
        <v>10.5</v>
      </c>
      <c r="I25" s="12">
        <f t="shared" si="5"/>
        <v>1.7500000000000002E-2</v>
      </c>
      <c r="J25" s="27">
        <v>22</v>
      </c>
      <c r="K25" s="29">
        <f t="shared" si="6"/>
        <v>6.9</v>
      </c>
    </row>
    <row r="26" spans="2:11" ht="15.75" customHeight="1">
      <c r="B26" s="1" t="s">
        <v>87</v>
      </c>
      <c r="C26" s="9">
        <v>2850</v>
      </c>
      <c r="D26" s="28">
        <v>48</v>
      </c>
      <c r="E26" s="27">
        <f t="shared" si="3"/>
        <v>59.375</v>
      </c>
      <c r="F26" s="28">
        <v>59</v>
      </c>
      <c r="G26" s="27">
        <f t="shared" si="4"/>
        <v>48.305084745762713</v>
      </c>
      <c r="H26" s="28">
        <v>58</v>
      </c>
      <c r="I26" s="12">
        <f t="shared" si="5"/>
        <v>2.0350877192982456E-2</v>
      </c>
      <c r="J26" s="27">
        <v>32</v>
      </c>
      <c r="K26" s="29">
        <f t="shared" si="6"/>
        <v>-7</v>
      </c>
    </row>
    <row r="27" spans="2:11" ht="18" customHeight="1">
      <c r="B27" s="56" t="s">
        <v>121</v>
      </c>
      <c r="C27" s="55"/>
      <c r="D27" s="55"/>
      <c r="E27" s="27">
        <f>AVERAGE(E17:E26)</f>
        <v>34.065810193065424</v>
      </c>
      <c r="G27" s="27">
        <f>AVERAGE(G17:G26)</f>
        <v>50.098182816598992</v>
      </c>
      <c r="I27" s="12">
        <f>AVERAGE(I17:I26)</f>
        <v>2.0385462790463792E-2</v>
      </c>
      <c r="J27" s="27">
        <f>AVERAGE(J17:J26)</f>
        <v>28.75</v>
      </c>
    </row>
    <row r="28" spans="2:11" ht="18" customHeight="1">
      <c r="B28" s="55" t="s">
        <v>122</v>
      </c>
      <c r="C28" s="55"/>
      <c r="D28" s="55"/>
      <c r="E28" s="55"/>
      <c r="F28" s="55"/>
      <c r="G28" s="55"/>
      <c r="H28" s="55"/>
      <c r="I28" s="55"/>
      <c r="J28" s="55"/>
    </row>
  </sheetData>
  <mergeCells count="6">
    <mergeCell ref="B15:J15"/>
    <mergeCell ref="B3:J3"/>
    <mergeCell ref="B28:J28"/>
    <mergeCell ref="B27:D27"/>
    <mergeCell ref="B1:J1"/>
    <mergeCell ref="B13:J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9"/>
  <sheetViews>
    <sheetView showGridLines="0" topLeftCell="A11" workbookViewId="0">
      <selection activeCell="F19" sqref="F19"/>
    </sheetView>
  </sheetViews>
  <sheetFormatPr defaultRowHeight="14.4"/>
  <cols>
    <col min="1" max="1" width="3" customWidth="1"/>
    <col min="2" max="2" width="14" customWidth="1"/>
    <col min="3" max="3" width="22" customWidth="1"/>
    <col min="4" max="4" width="83.44140625" customWidth="1"/>
    <col min="5" max="5" width="20" customWidth="1"/>
    <col min="6" max="6" width="16" customWidth="1"/>
    <col min="7" max="7" width="18" customWidth="1"/>
  </cols>
  <sheetData>
    <row r="1" spans="2:7" ht="33.75" customHeight="1">
      <c r="B1" s="56" t="s">
        <v>123</v>
      </c>
      <c r="C1" s="55"/>
      <c r="D1" s="55"/>
      <c r="E1" s="55"/>
      <c r="F1" s="55"/>
      <c r="G1" s="55"/>
    </row>
    <row r="3" spans="2:7" ht="19.5" customHeight="1">
      <c r="B3" s="58" t="s">
        <v>124</v>
      </c>
      <c r="C3" s="55"/>
      <c r="D3" s="55"/>
      <c r="E3" s="55"/>
      <c r="F3" s="55"/>
      <c r="G3" s="55"/>
    </row>
    <row r="4" spans="2:7" ht="18" customHeight="1">
      <c r="B4" s="30" t="s">
        <v>125</v>
      </c>
      <c r="C4" s="30" t="s">
        <v>126</v>
      </c>
      <c r="D4" s="30" t="s">
        <v>127</v>
      </c>
      <c r="E4" s="30" t="s">
        <v>128</v>
      </c>
      <c r="F4" s="30" t="s">
        <v>129</v>
      </c>
      <c r="G4" s="30" t="s">
        <v>130</v>
      </c>
    </row>
    <row r="5" spans="2:7" ht="48" customHeight="1">
      <c r="B5" s="13" t="s">
        <v>131</v>
      </c>
      <c r="C5" s="3" t="s">
        <v>11</v>
      </c>
      <c r="D5" s="13" t="s">
        <v>132</v>
      </c>
      <c r="E5" s="3" t="s">
        <v>133</v>
      </c>
      <c r="F5" s="3" t="s">
        <v>134</v>
      </c>
      <c r="G5" s="13" t="s">
        <v>135</v>
      </c>
    </row>
    <row r="6" spans="2:7" ht="48" customHeight="1">
      <c r="B6" s="14" t="s">
        <v>131</v>
      </c>
      <c r="C6" s="22" t="s">
        <v>136</v>
      </c>
      <c r="D6" s="14" t="s">
        <v>137</v>
      </c>
      <c r="E6" s="22" t="s">
        <v>138</v>
      </c>
      <c r="F6" s="22" t="s">
        <v>139</v>
      </c>
      <c r="G6" s="14" t="s">
        <v>135</v>
      </c>
    </row>
    <row r="7" spans="2:7" ht="48" customHeight="1">
      <c r="B7" s="31" t="s">
        <v>140</v>
      </c>
      <c r="C7" s="32" t="s">
        <v>141</v>
      </c>
      <c r="D7" s="31" t="s">
        <v>142</v>
      </c>
      <c r="E7" s="32" t="s">
        <v>143</v>
      </c>
      <c r="F7" s="32" t="s">
        <v>144</v>
      </c>
      <c r="G7" s="31" t="s">
        <v>145</v>
      </c>
    </row>
    <row r="8" spans="2:7" ht="48" customHeight="1">
      <c r="B8" s="31" t="s">
        <v>140</v>
      </c>
      <c r="C8" s="32" t="s">
        <v>146</v>
      </c>
      <c r="D8" s="31" t="s">
        <v>147</v>
      </c>
      <c r="E8" s="32" t="s">
        <v>148</v>
      </c>
      <c r="F8" s="32" t="s">
        <v>149</v>
      </c>
      <c r="G8" s="31" t="s">
        <v>145</v>
      </c>
    </row>
    <row r="9" spans="2:7" ht="48" customHeight="1">
      <c r="B9" s="31" t="s">
        <v>140</v>
      </c>
      <c r="C9" s="32" t="s">
        <v>150</v>
      </c>
      <c r="D9" s="31" t="s">
        <v>151</v>
      </c>
      <c r="E9" s="32" t="s">
        <v>148</v>
      </c>
      <c r="F9" s="32" t="s">
        <v>152</v>
      </c>
      <c r="G9" s="31" t="s">
        <v>153</v>
      </c>
    </row>
    <row r="10" spans="2:7" ht="48" customHeight="1">
      <c r="B10" s="31" t="s">
        <v>140</v>
      </c>
      <c r="C10" s="32" t="s">
        <v>154</v>
      </c>
      <c r="D10" s="31" t="s">
        <v>155</v>
      </c>
      <c r="E10" s="32" t="s">
        <v>148</v>
      </c>
      <c r="F10" s="32" t="s">
        <v>156</v>
      </c>
      <c r="G10" s="31" t="s">
        <v>157</v>
      </c>
    </row>
    <row r="11" spans="2:7" ht="48" customHeight="1">
      <c r="B11" s="13" t="s">
        <v>140</v>
      </c>
      <c r="C11" s="3" t="s">
        <v>80</v>
      </c>
      <c r="D11" s="13" t="s">
        <v>158</v>
      </c>
      <c r="E11" s="3" t="s">
        <v>159</v>
      </c>
      <c r="F11" s="3" t="s">
        <v>160</v>
      </c>
      <c r="G11" s="13" t="s">
        <v>161</v>
      </c>
    </row>
    <row r="12" spans="2:7" ht="48" customHeight="1">
      <c r="B12" s="14" t="s">
        <v>162</v>
      </c>
      <c r="C12" s="22" t="s">
        <v>79</v>
      </c>
      <c r="D12" s="14" t="s">
        <v>163</v>
      </c>
      <c r="E12" s="22" t="s">
        <v>164</v>
      </c>
      <c r="F12" s="22" t="s">
        <v>165</v>
      </c>
      <c r="G12" s="14" t="s">
        <v>166</v>
      </c>
    </row>
    <row r="13" spans="2:7" ht="48" customHeight="1">
      <c r="B13" s="31" t="s">
        <v>162</v>
      </c>
      <c r="C13" s="32" t="s">
        <v>167</v>
      </c>
      <c r="D13" s="31" t="s">
        <v>154</v>
      </c>
      <c r="E13" s="32" t="s">
        <v>168</v>
      </c>
      <c r="F13" s="32" t="s">
        <v>169</v>
      </c>
      <c r="G13" s="31" t="s">
        <v>170</v>
      </c>
    </row>
    <row r="14" spans="2:7" ht="48" customHeight="1">
      <c r="B14" s="14" t="s">
        <v>171</v>
      </c>
      <c r="C14" s="22" t="s">
        <v>78</v>
      </c>
      <c r="D14" s="14" t="s">
        <v>172</v>
      </c>
      <c r="E14" s="22" t="s">
        <v>173</v>
      </c>
      <c r="F14" s="22" t="s">
        <v>174</v>
      </c>
      <c r="G14" s="14" t="s">
        <v>175</v>
      </c>
    </row>
    <row r="15" spans="2:7" ht="48" customHeight="1">
      <c r="B15" s="13" t="s">
        <v>176</v>
      </c>
      <c r="C15" s="3" t="s">
        <v>167</v>
      </c>
      <c r="D15" s="13" t="s">
        <v>154</v>
      </c>
      <c r="E15" s="3" t="s">
        <v>177</v>
      </c>
      <c r="F15" s="3" t="s">
        <v>178</v>
      </c>
      <c r="G15" s="13" t="s">
        <v>179</v>
      </c>
    </row>
    <row r="16" spans="2:7" ht="48" customHeight="1">
      <c r="B16" s="14" t="s">
        <v>180</v>
      </c>
      <c r="C16" s="22" t="s">
        <v>167</v>
      </c>
      <c r="D16" s="14" t="s">
        <v>154</v>
      </c>
      <c r="E16" s="22" t="s">
        <v>181</v>
      </c>
      <c r="F16" s="22" t="s">
        <v>182</v>
      </c>
      <c r="G16" s="14" t="s">
        <v>183</v>
      </c>
    </row>
    <row r="17" spans="2:7" ht="48" customHeight="1">
      <c r="B17" s="13" t="s">
        <v>184</v>
      </c>
      <c r="C17" s="3" t="s">
        <v>167</v>
      </c>
      <c r="D17" s="13" t="s">
        <v>154</v>
      </c>
      <c r="E17" s="3" t="s">
        <v>185</v>
      </c>
      <c r="F17" s="3" t="s">
        <v>186</v>
      </c>
      <c r="G17" s="13" t="s">
        <v>187</v>
      </c>
    </row>
    <row r="18" spans="2:7" ht="48" customHeight="1"/>
    <row r="19" spans="2:7" ht="48" customHeight="1"/>
  </sheetData>
  <mergeCells count="2">
    <mergeCell ref="B3:G3"/>
    <mergeCell ref="B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5"/>
  <sheetViews>
    <sheetView showGridLines="0" topLeftCell="A2" workbookViewId="0">
      <selection activeCell="J18" sqref="J18"/>
    </sheetView>
  </sheetViews>
  <sheetFormatPr defaultRowHeight="14.4"/>
  <cols>
    <col min="1" max="1" width="3" customWidth="1"/>
    <col min="2" max="2" width="22" customWidth="1"/>
    <col min="3" max="3" width="16" customWidth="1"/>
    <col min="4" max="8" width="13" customWidth="1"/>
    <col min="9" max="9" width="20" customWidth="1"/>
    <col min="10" max="10" width="39.5546875" customWidth="1"/>
  </cols>
  <sheetData>
    <row r="1" spans="2:10" ht="33.75" customHeight="1">
      <c r="B1" s="56" t="s">
        <v>188</v>
      </c>
      <c r="C1" s="55"/>
      <c r="D1" s="55"/>
      <c r="E1" s="55"/>
      <c r="F1" s="55"/>
      <c r="G1" s="55"/>
      <c r="H1" s="55"/>
      <c r="I1" s="55"/>
    </row>
    <row r="2" spans="2:10" ht="27.75" customHeight="1">
      <c r="B2" s="55" t="s">
        <v>189</v>
      </c>
      <c r="C2" s="55"/>
      <c r="D2" s="55"/>
      <c r="E2" s="55"/>
      <c r="F2" s="55"/>
      <c r="G2" s="55"/>
      <c r="H2" s="55"/>
      <c r="I2" s="55"/>
    </row>
    <row r="4" spans="2:10" ht="19.5" customHeight="1">
      <c r="B4" s="56" t="s">
        <v>190</v>
      </c>
      <c r="C4" s="55"/>
      <c r="D4" s="55"/>
      <c r="E4" s="55"/>
      <c r="F4" s="55"/>
      <c r="G4" s="55"/>
      <c r="H4" s="55"/>
      <c r="I4" s="55"/>
    </row>
    <row r="5" spans="2:10" ht="18" customHeight="1">
      <c r="B5" s="1" t="s">
        <v>125</v>
      </c>
      <c r="C5" s="1" t="s">
        <v>191</v>
      </c>
      <c r="D5" s="1" t="s">
        <v>192</v>
      </c>
      <c r="E5" s="1" t="s">
        <v>193</v>
      </c>
      <c r="F5" s="1" t="s">
        <v>194</v>
      </c>
      <c r="G5" s="1" t="s">
        <v>195</v>
      </c>
      <c r="H5" s="1" t="s">
        <v>196</v>
      </c>
      <c r="I5" s="1" t="s">
        <v>197</v>
      </c>
    </row>
    <row r="6" spans="2:10" ht="15.75" customHeight="1">
      <c r="B6" s="13" t="s">
        <v>198</v>
      </c>
      <c r="C6" s="20">
        <v>8850</v>
      </c>
      <c r="D6" s="20">
        <v>9599</v>
      </c>
      <c r="E6" s="33">
        <f t="shared" ref="E6:E14" si="0">C6-D6</f>
        <v>-749</v>
      </c>
      <c r="F6" s="20">
        <v>8200</v>
      </c>
      <c r="G6" s="20">
        <v>8194</v>
      </c>
      <c r="H6" s="34">
        <f t="shared" ref="H6:H14" si="1">F6-G6</f>
        <v>6</v>
      </c>
      <c r="I6" s="35">
        <f t="shared" ref="I6:I12" si="2">E6+H6</f>
        <v>-743</v>
      </c>
      <c r="J6" s="13" t="s">
        <v>199</v>
      </c>
    </row>
    <row r="7" spans="2:10" ht="15.75" customHeight="1">
      <c r="B7" s="14" t="s">
        <v>200</v>
      </c>
      <c r="C7" s="20">
        <v>9200</v>
      </c>
      <c r="D7" s="20">
        <v>10800</v>
      </c>
      <c r="E7" s="33">
        <f t="shared" si="0"/>
        <v>-1600</v>
      </c>
      <c r="F7" s="20">
        <v>9500</v>
      </c>
      <c r="G7" s="20">
        <v>7200</v>
      </c>
      <c r="H7" s="34">
        <f t="shared" si="1"/>
        <v>2300</v>
      </c>
      <c r="I7" s="36">
        <f t="shared" si="2"/>
        <v>700</v>
      </c>
      <c r="J7" s="14" t="s">
        <v>201</v>
      </c>
    </row>
    <row r="8" spans="2:10" ht="15.75" customHeight="1">
      <c r="B8" s="13" t="s">
        <v>202</v>
      </c>
      <c r="C8" s="20">
        <v>8100</v>
      </c>
      <c r="D8" s="20">
        <v>12200</v>
      </c>
      <c r="E8" s="33">
        <f t="shared" si="0"/>
        <v>-4100</v>
      </c>
      <c r="F8" s="20">
        <v>11200</v>
      </c>
      <c r="G8" s="20">
        <v>7800</v>
      </c>
      <c r="H8" s="34">
        <f t="shared" si="1"/>
        <v>3400</v>
      </c>
      <c r="I8" s="35">
        <f t="shared" si="2"/>
        <v>-700</v>
      </c>
      <c r="J8" s="13" t="s">
        <v>203</v>
      </c>
    </row>
    <row r="9" spans="2:10" ht="15.75" customHeight="1">
      <c r="B9" s="31" t="s">
        <v>204</v>
      </c>
      <c r="C9" s="20">
        <v>6500</v>
      </c>
      <c r="D9" s="20">
        <v>18500</v>
      </c>
      <c r="E9" s="33">
        <f t="shared" si="0"/>
        <v>-12000</v>
      </c>
      <c r="F9" s="20">
        <v>14500</v>
      </c>
      <c r="G9" s="20">
        <v>6800</v>
      </c>
      <c r="H9" s="34">
        <f t="shared" si="1"/>
        <v>7700</v>
      </c>
      <c r="I9" s="33">
        <f t="shared" si="2"/>
        <v>-4300</v>
      </c>
      <c r="J9" s="31" t="s">
        <v>205</v>
      </c>
    </row>
    <row r="10" spans="2:10" ht="15.75" customHeight="1">
      <c r="B10" s="13" t="s">
        <v>206</v>
      </c>
      <c r="C10" s="20">
        <v>9800</v>
      </c>
      <c r="D10" s="20">
        <v>11500</v>
      </c>
      <c r="E10" s="33">
        <f t="shared" si="0"/>
        <v>-1700</v>
      </c>
      <c r="F10" s="20">
        <v>10200</v>
      </c>
      <c r="G10" s="20">
        <v>8500</v>
      </c>
      <c r="H10" s="34">
        <f t="shared" si="1"/>
        <v>1700</v>
      </c>
      <c r="I10" s="35">
        <f t="shared" si="2"/>
        <v>0</v>
      </c>
      <c r="J10" s="13" t="s">
        <v>207</v>
      </c>
    </row>
    <row r="11" spans="2:10" ht="15.75" customHeight="1">
      <c r="B11" s="14" t="s">
        <v>208</v>
      </c>
      <c r="C11" s="20">
        <v>10500</v>
      </c>
      <c r="D11" s="20">
        <v>9800</v>
      </c>
      <c r="E11" s="34">
        <f t="shared" si="0"/>
        <v>700</v>
      </c>
      <c r="F11" s="20">
        <v>10800</v>
      </c>
      <c r="G11" s="20">
        <v>8200</v>
      </c>
      <c r="H11" s="34">
        <f t="shared" si="1"/>
        <v>2600</v>
      </c>
      <c r="I11" s="36">
        <f t="shared" si="2"/>
        <v>3300</v>
      </c>
      <c r="J11" s="14" t="s">
        <v>209</v>
      </c>
    </row>
    <row r="12" spans="2:10" ht="15.75" customHeight="1">
      <c r="B12" s="13" t="s">
        <v>210</v>
      </c>
      <c r="C12" s="20">
        <v>95000</v>
      </c>
      <c r="D12" s="20">
        <v>128000</v>
      </c>
      <c r="E12" s="33">
        <f t="shared" si="0"/>
        <v>-33000</v>
      </c>
      <c r="F12" s="20">
        <v>98000</v>
      </c>
      <c r="G12" s="20">
        <v>71000</v>
      </c>
      <c r="H12" s="34">
        <f t="shared" si="1"/>
        <v>27000</v>
      </c>
      <c r="I12" s="35">
        <f t="shared" si="2"/>
        <v>-6000</v>
      </c>
      <c r="J12" s="13" t="s">
        <v>211</v>
      </c>
    </row>
    <row r="13" spans="2:10" ht="15.75" customHeight="1">
      <c r="B13" s="64" t="s">
        <v>78</v>
      </c>
      <c r="C13" s="65">
        <v>2196.1</v>
      </c>
      <c r="D13" s="65">
        <v>-0.155</v>
      </c>
      <c r="E13" s="66">
        <f t="shared" si="0"/>
        <v>2196.2550000000001</v>
      </c>
      <c r="F13" s="65">
        <v>125000</v>
      </c>
      <c r="G13" s="65">
        <v>98000</v>
      </c>
      <c r="H13" s="66">
        <f t="shared" si="1"/>
        <v>27000</v>
      </c>
      <c r="I13" s="36" t="s">
        <v>212</v>
      </c>
      <c r="J13" s="14" t="s">
        <v>213</v>
      </c>
    </row>
    <row r="14" spans="2:10" ht="15.75" customHeight="1">
      <c r="B14" s="67" t="s">
        <v>79</v>
      </c>
      <c r="C14" s="65">
        <v>291.25</v>
      </c>
      <c r="D14" s="65">
        <v>-0.12</v>
      </c>
      <c r="E14" s="68">
        <f t="shared" si="0"/>
        <v>291.37</v>
      </c>
      <c r="F14" s="65">
        <v>138000</v>
      </c>
      <c r="G14" s="65">
        <v>88000</v>
      </c>
      <c r="H14" s="66">
        <f t="shared" si="1"/>
        <v>50000</v>
      </c>
      <c r="I14" s="35" t="s">
        <v>214</v>
      </c>
      <c r="J14" s="13" t="s">
        <v>215</v>
      </c>
    </row>
    <row r="15" spans="2:10" ht="18" customHeight="1">
      <c r="B15" s="69" t="s">
        <v>80</v>
      </c>
      <c r="C15" s="66">
        <v>2510.5</v>
      </c>
      <c r="D15" s="66">
        <v>-0.14000000000000001</v>
      </c>
      <c r="E15" s="66">
        <f>SUM(E6:E11)</f>
        <v>-19449</v>
      </c>
      <c r="F15" s="66">
        <f>SUM(F6:F11)</f>
        <v>64400</v>
      </c>
      <c r="G15" s="66">
        <f>SUM(G6:G11)</f>
        <v>46694</v>
      </c>
      <c r="H15" s="66">
        <f>SUM(H6:H11)</f>
        <v>17706</v>
      </c>
      <c r="I15" s="34" t="s">
        <v>216</v>
      </c>
    </row>
    <row r="16" spans="2:10" ht="18" customHeight="1">
      <c r="B16" s="57" t="s">
        <v>81</v>
      </c>
      <c r="C16" s="55"/>
      <c r="D16" s="55"/>
      <c r="E16" s="55"/>
      <c r="F16" s="55"/>
      <c r="G16" s="55"/>
      <c r="H16" s="55"/>
      <c r="I16" s="55"/>
    </row>
    <row r="17" spans="2:9">
      <c r="B17" t="s">
        <v>82</v>
      </c>
      <c r="C17">
        <v>1112.9000000000001</v>
      </c>
      <c r="D17">
        <v>-0.1</v>
      </c>
      <c r="I17" t="s">
        <v>217</v>
      </c>
    </row>
    <row r="18" spans="2:9" ht="19.5" customHeight="1">
      <c r="B18" s="56" t="s">
        <v>218</v>
      </c>
      <c r="C18" s="55"/>
      <c r="D18" s="55"/>
      <c r="E18" s="55"/>
      <c r="F18" s="55"/>
      <c r="G18" s="55"/>
      <c r="H18" s="55"/>
      <c r="I18" s="55"/>
    </row>
    <row r="19" spans="2:9" ht="18" customHeight="1">
      <c r="B19" s="1" t="s">
        <v>219</v>
      </c>
      <c r="C19" s="1" t="s">
        <v>220</v>
      </c>
      <c r="D19" s="1" t="s">
        <v>221</v>
      </c>
      <c r="E19" s="1" t="s">
        <v>222</v>
      </c>
      <c r="F19" s="1" t="s">
        <v>223</v>
      </c>
      <c r="G19" s="1" t="s">
        <v>224</v>
      </c>
      <c r="H19" s="1" t="s">
        <v>225</v>
      </c>
      <c r="I19" s="1" t="s">
        <v>128</v>
      </c>
    </row>
    <row r="20" spans="2:9" ht="15.75" customHeight="1">
      <c r="B20" s="3" t="s">
        <v>226</v>
      </c>
      <c r="C20" s="20">
        <v>4200</v>
      </c>
      <c r="D20" s="38">
        <v>0.98</v>
      </c>
      <c r="E20" s="13" t="s">
        <v>227</v>
      </c>
      <c r="F20" s="13" t="s">
        <v>227</v>
      </c>
      <c r="G20" s="13" t="s">
        <v>227</v>
      </c>
      <c r="H20" s="39">
        <v>-0.16800000000000001</v>
      </c>
      <c r="I20" s="13" t="s">
        <v>228</v>
      </c>
    </row>
    <row r="21" spans="2:9" ht="15.75" customHeight="1">
      <c r="B21" s="22" t="s">
        <v>226</v>
      </c>
      <c r="C21" s="20">
        <v>2100</v>
      </c>
      <c r="D21" s="38">
        <v>0.99</v>
      </c>
      <c r="E21" s="14" t="s">
        <v>227</v>
      </c>
      <c r="F21" s="14" t="s">
        <v>227</v>
      </c>
      <c r="G21" s="14" t="s">
        <v>227</v>
      </c>
      <c r="H21" s="39">
        <v>-0.17100000000000001</v>
      </c>
      <c r="I21" s="14" t="s">
        <v>228</v>
      </c>
    </row>
    <row r="22" spans="2:9" ht="15.75" customHeight="1">
      <c r="B22" s="3" t="s">
        <v>226</v>
      </c>
      <c r="C22" s="20">
        <v>11500</v>
      </c>
      <c r="D22" s="38">
        <v>0.85</v>
      </c>
      <c r="E22" s="13" t="s">
        <v>227</v>
      </c>
      <c r="F22" s="13" t="s">
        <v>227</v>
      </c>
      <c r="G22" s="13" t="s">
        <v>227</v>
      </c>
      <c r="H22" s="39">
        <v>-0.155</v>
      </c>
      <c r="I22" s="13" t="s">
        <v>229</v>
      </c>
    </row>
    <row r="23" spans="2:9" ht="15.75" customHeight="1">
      <c r="B23" s="22" t="s">
        <v>230</v>
      </c>
      <c r="C23" s="20">
        <v>3800</v>
      </c>
      <c r="D23" s="38">
        <v>0.88</v>
      </c>
      <c r="E23" s="14" t="s">
        <v>231</v>
      </c>
      <c r="F23" s="14" t="s">
        <v>232</v>
      </c>
      <c r="G23" s="14" t="s">
        <v>233</v>
      </c>
      <c r="H23" s="39">
        <v>-0.16200000000000001</v>
      </c>
      <c r="I23" s="14" t="s">
        <v>229</v>
      </c>
    </row>
    <row r="24" spans="2:9" ht="15.75" customHeight="1">
      <c r="B24" s="3" t="s">
        <v>226</v>
      </c>
      <c r="C24" s="20">
        <v>9200</v>
      </c>
      <c r="D24" s="38">
        <v>0.87</v>
      </c>
      <c r="E24" s="13" t="s">
        <v>234</v>
      </c>
      <c r="F24" s="13" t="s">
        <v>235</v>
      </c>
      <c r="G24" s="13" t="s">
        <v>86</v>
      </c>
      <c r="H24" s="39">
        <v>-0.158</v>
      </c>
      <c r="I24" s="13" t="s">
        <v>229</v>
      </c>
    </row>
    <row r="25" spans="2:9" ht="15.75" customHeight="1">
      <c r="B25" s="22" t="s">
        <v>236</v>
      </c>
      <c r="C25" s="20">
        <v>2400</v>
      </c>
      <c r="D25" s="38">
        <v>0.82</v>
      </c>
      <c r="E25" s="14" t="s">
        <v>232</v>
      </c>
      <c r="F25" s="14" t="s">
        <v>237</v>
      </c>
      <c r="G25" s="14" t="s">
        <v>84</v>
      </c>
      <c r="H25" s="39">
        <v>-0.14499999999999999</v>
      </c>
      <c r="I25" s="14" t="s">
        <v>229</v>
      </c>
    </row>
  </sheetData>
  <mergeCells count="5">
    <mergeCell ref="B18:I18"/>
    <mergeCell ref="B16:I16"/>
    <mergeCell ref="B2:I2"/>
    <mergeCell ref="B1:I1"/>
    <mergeCell ref="B4:I4"/>
  </mergeCells>
  <pageMargins left="0.75" right="0.75" top="1" bottom="1" header="0.5" footer="0.5"/>
  <ignoredErrors>
    <ignoredError sqref="F15:G1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30"/>
  <sheetViews>
    <sheetView showGridLines="0" workbookViewId="0">
      <selection activeCell="J19" sqref="J19"/>
    </sheetView>
  </sheetViews>
  <sheetFormatPr defaultRowHeight="14.4"/>
  <cols>
    <col min="1" max="1" width="3" customWidth="1"/>
    <col min="2" max="2" width="24" customWidth="1"/>
    <col min="3" max="3" width="14" customWidth="1"/>
    <col min="4" max="7" width="13" customWidth="1"/>
    <col min="8" max="8" width="23" customWidth="1"/>
    <col min="9" max="9" width="14" customWidth="1"/>
    <col min="10" max="11" width="13" customWidth="1"/>
  </cols>
  <sheetData>
    <row r="1" spans="2:11" ht="33.75" customHeight="1">
      <c r="B1" s="56" t="s">
        <v>238</v>
      </c>
      <c r="C1" s="55"/>
      <c r="D1" s="55"/>
      <c r="E1" s="55"/>
      <c r="F1" s="55"/>
      <c r="G1" s="55"/>
      <c r="H1" s="55"/>
      <c r="I1" s="55"/>
      <c r="J1" s="55"/>
    </row>
    <row r="3" spans="2:11" ht="19.5" customHeight="1">
      <c r="B3" s="56" t="s">
        <v>239</v>
      </c>
      <c r="C3" s="55"/>
      <c r="D3" s="55"/>
      <c r="E3" s="55"/>
      <c r="F3" s="55"/>
      <c r="G3" s="55"/>
      <c r="H3" s="55"/>
      <c r="I3" s="55"/>
      <c r="J3" s="55"/>
    </row>
    <row r="4" spans="2:11" ht="18" customHeight="1">
      <c r="B4" s="1" t="s">
        <v>126</v>
      </c>
      <c r="C4" s="1" t="s">
        <v>240</v>
      </c>
      <c r="D4" s="1" t="s">
        <v>241</v>
      </c>
      <c r="E4" s="1" t="s">
        <v>242</v>
      </c>
      <c r="F4" s="1" t="s">
        <v>243</v>
      </c>
      <c r="G4" s="1" t="s">
        <v>244</v>
      </c>
      <c r="H4" s="1" t="s">
        <v>245</v>
      </c>
      <c r="I4" s="1" t="s">
        <v>246</v>
      </c>
      <c r="J4" s="1" t="s">
        <v>247</v>
      </c>
    </row>
    <row r="5" spans="2:11" ht="15.75" customHeight="1">
      <c r="B5" s="40" t="s">
        <v>248</v>
      </c>
      <c r="C5" s="41">
        <v>7.4000000000000003E-3</v>
      </c>
      <c r="D5" s="41">
        <v>-5.5E-2</v>
      </c>
      <c r="E5" s="41">
        <v>-7.1999999999999995E-2</v>
      </c>
      <c r="F5" s="41">
        <v>-0.128</v>
      </c>
      <c r="G5" s="41">
        <v>-0.185</v>
      </c>
      <c r="H5" s="41">
        <v>-0.24</v>
      </c>
      <c r="I5" s="41">
        <v>-0.26</v>
      </c>
      <c r="J5" s="41">
        <v>2.5000000000000001E-2</v>
      </c>
      <c r="K5" s="2" t="s">
        <v>16</v>
      </c>
    </row>
    <row r="6" spans="2:11" ht="15.75" customHeight="1">
      <c r="B6" s="40" t="s">
        <v>12</v>
      </c>
      <c r="C6" s="41">
        <v>3.2000000000000002E-3</v>
      </c>
      <c r="D6" s="41">
        <v>-8.0000000000000002E-3</v>
      </c>
      <c r="E6" s="41">
        <v>5.0000000000000001E-3</v>
      </c>
      <c r="F6" s="41">
        <v>1.7999999999999999E-2</v>
      </c>
      <c r="G6" s="41">
        <v>2.8000000000000001E-2</v>
      </c>
      <c r="H6" s="41">
        <v>4.2000000000000003E-2</v>
      </c>
      <c r="I6" s="41">
        <v>7.4999999999999997E-2</v>
      </c>
      <c r="J6" s="41">
        <v>0.182</v>
      </c>
      <c r="K6" s="2" t="s">
        <v>16</v>
      </c>
    </row>
    <row r="7" spans="2:11" ht="15.75" customHeight="1">
      <c r="B7" s="14" t="s">
        <v>78</v>
      </c>
      <c r="C7" s="42">
        <v>2.53E-2</v>
      </c>
      <c r="D7" s="42">
        <v>-6.2E-2</v>
      </c>
      <c r="E7" s="42">
        <v>-7.8E-2</v>
      </c>
      <c r="F7" s="42">
        <v>-0.14499999999999999</v>
      </c>
      <c r="G7" s="42">
        <v>-0.21</v>
      </c>
      <c r="H7" s="42">
        <v>-0.33</v>
      </c>
      <c r="I7" s="42">
        <v>-0.38200000000000001</v>
      </c>
      <c r="J7" s="42">
        <v>-0.05</v>
      </c>
      <c r="K7" s="42">
        <f>J7-J5</f>
        <v>-7.5000000000000011E-2</v>
      </c>
    </row>
    <row r="8" spans="2:11" ht="15.75" customHeight="1">
      <c r="B8" s="13" t="s">
        <v>79</v>
      </c>
      <c r="C8" s="43">
        <v>1.9E-2</v>
      </c>
      <c r="D8" s="43">
        <v>-7.0000000000000007E-2</v>
      </c>
      <c r="E8" s="43">
        <v>-8.5000000000000006E-2</v>
      </c>
      <c r="F8" s="43">
        <v>-0.14199999999999999</v>
      </c>
      <c r="G8" s="43">
        <v>-0.19500000000000001</v>
      </c>
      <c r="H8" s="43">
        <v>-0.27</v>
      </c>
      <c r="I8" s="43">
        <v>-0.28499999999999998</v>
      </c>
      <c r="J8" s="43">
        <v>1.4999999999999999E-2</v>
      </c>
      <c r="K8" s="43">
        <f>J8-J5</f>
        <v>-1.0000000000000002E-2</v>
      </c>
    </row>
    <row r="9" spans="2:11" ht="15.75" customHeight="1">
      <c r="B9" s="14" t="s">
        <v>249</v>
      </c>
      <c r="C9" s="42">
        <v>1.5900000000000001E-2</v>
      </c>
      <c r="D9" s="42">
        <v>-4.8000000000000001E-2</v>
      </c>
      <c r="E9" s="42">
        <v>-6.5000000000000002E-2</v>
      </c>
      <c r="F9" s="42">
        <v>-0.11799999999999999</v>
      </c>
      <c r="G9" s="42">
        <v>-0.17499999999999999</v>
      </c>
      <c r="H9" s="42">
        <v>-0.3</v>
      </c>
      <c r="I9" s="42">
        <v>-0.31</v>
      </c>
      <c r="J9" s="42">
        <v>-2.5000000000000001E-2</v>
      </c>
      <c r="K9" s="42">
        <f>J9-J5</f>
        <v>-0.05</v>
      </c>
    </row>
    <row r="10" spans="2:11" ht="15.75" customHeight="1">
      <c r="B10" s="13" t="s">
        <v>80</v>
      </c>
      <c r="C10" s="43">
        <v>1.24E-2</v>
      </c>
      <c r="D10" s="43">
        <v>-3.7999999999999999E-2</v>
      </c>
      <c r="E10" s="43">
        <v>-5.8000000000000003E-2</v>
      </c>
      <c r="F10" s="43">
        <v>-0.112</v>
      </c>
      <c r="G10" s="43">
        <v>-0.17799999999999999</v>
      </c>
      <c r="H10" s="43">
        <v>-0.31</v>
      </c>
      <c r="I10" s="43">
        <v>-0.32500000000000001</v>
      </c>
      <c r="J10" s="43">
        <v>-0.08</v>
      </c>
      <c r="K10" s="43">
        <f>J10-J5</f>
        <v>-0.10500000000000001</v>
      </c>
    </row>
    <row r="11" spans="2:11" ht="15.75" customHeight="1">
      <c r="B11" s="14" t="s">
        <v>248</v>
      </c>
      <c r="C11" s="42">
        <v>49355.1</v>
      </c>
      <c r="D11" s="42">
        <v>-1.6500000000000001E-2</v>
      </c>
      <c r="E11" s="42">
        <v>-9.2499999999999999E-2</v>
      </c>
      <c r="F11" s="42">
        <v>-0.13</v>
      </c>
      <c r="G11" s="42">
        <v>-0.1101</v>
      </c>
      <c r="H11" s="42">
        <v>-7.0000000000000007E-2</v>
      </c>
      <c r="I11" s="42">
        <v>-8.5000000000000006E-2</v>
      </c>
      <c r="J11" s="42">
        <v>9.1999999999999998E-2</v>
      </c>
      <c r="K11" s="42">
        <f>J11-J5</f>
        <v>6.7000000000000004E-2</v>
      </c>
    </row>
    <row r="12" spans="2:11" ht="15.75" customHeight="1">
      <c r="B12" s="13" t="s">
        <v>86</v>
      </c>
      <c r="C12" s="43">
        <v>2.3699999999999999E-2</v>
      </c>
      <c r="D12" s="43">
        <v>-7.4999999999999997E-2</v>
      </c>
      <c r="E12" s="43">
        <v>-9.1999999999999998E-2</v>
      </c>
      <c r="F12" s="43">
        <v>-0.17799999999999999</v>
      </c>
      <c r="G12" s="43">
        <v>-0.23499999999999999</v>
      </c>
      <c r="H12" s="43">
        <v>-0.34</v>
      </c>
      <c r="I12" s="43">
        <v>-0.36499999999999999</v>
      </c>
      <c r="J12" s="43">
        <v>-5.1999999999999998E-2</v>
      </c>
      <c r="K12" s="43">
        <f>J12-J5</f>
        <v>-7.6999999999999999E-2</v>
      </c>
    </row>
    <row r="13" spans="2:11" ht="15.75" customHeight="1">
      <c r="B13" s="14" t="s">
        <v>78</v>
      </c>
      <c r="C13" s="42">
        <v>2.1100000000000001E-2</v>
      </c>
      <c r="D13" s="42">
        <v>-4.2000000000000003E-2</v>
      </c>
      <c r="E13" s="42">
        <v>-5.8000000000000003E-2</v>
      </c>
      <c r="F13" s="42">
        <v>-9.8000000000000004E-2</v>
      </c>
      <c r="G13" s="42">
        <v>-0.14499999999999999</v>
      </c>
      <c r="H13" s="42">
        <v>-0.2</v>
      </c>
      <c r="I13" s="42">
        <v>-0.215</v>
      </c>
      <c r="J13" s="42">
        <v>8.5000000000000006E-2</v>
      </c>
      <c r="K13" s="42">
        <f>J13-J5</f>
        <v>6.0000000000000005E-2</v>
      </c>
    </row>
    <row r="14" spans="2:11" ht="15.75" customHeight="1">
      <c r="B14" s="13" t="s">
        <v>79</v>
      </c>
      <c r="C14" s="43">
        <v>2.4400000000000002E-2</v>
      </c>
      <c r="D14" s="43">
        <v>-3.5000000000000003E-2</v>
      </c>
      <c r="E14" s="43">
        <v>-4.8000000000000001E-2</v>
      </c>
      <c r="F14" s="43">
        <v>-8.7999999999999995E-2</v>
      </c>
      <c r="G14" s="43">
        <v>-0.13200000000000001</v>
      </c>
      <c r="H14" s="43">
        <v>-0.17</v>
      </c>
      <c r="I14" s="43">
        <v>-0.182</v>
      </c>
      <c r="J14" s="43">
        <v>6.5000000000000002E-2</v>
      </c>
      <c r="K14" s="43">
        <f>J14-J5</f>
        <v>0.04</v>
      </c>
    </row>
    <row r="15" spans="2:11" ht="15.75" customHeight="1">
      <c r="B15" s="14" t="s">
        <v>80</v>
      </c>
      <c r="C15" s="42">
        <v>2.63E-2</v>
      </c>
      <c r="D15" s="42">
        <v>-4.2000000000000003E-2</v>
      </c>
      <c r="E15" s="42">
        <v>-5.5E-2</v>
      </c>
      <c r="F15" s="42">
        <v>-0.10199999999999999</v>
      </c>
      <c r="G15" s="42">
        <v>-0.155</v>
      </c>
      <c r="H15" s="42">
        <v>-0.22500000000000001</v>
      </c>
      <c r="I15" s="42">
        <v>-0.248</v>
      </c>
      <c r="J15" s="42">
        <v>1.7999999999999999E-2</v>
      </c>
      <c r="K15" s="42">
        <f>J15-J5</f>
        <v>-7.0000000000000027E-3</v>
      </c>
    </row>
    <row r="16" spans="2:11" ht="18" customHeight="1">
      <c r="B16" s="57" t="s">
        <v>81</v>
      </c>
      <c r="C16" s="55"/>
      <c r="D16" s="55"/>
      <c r="E16" s="55"/>
      <c r="F16" s="55"/>
      <c r="G16" s="55"/>
      <c r="H16" s="55"/>
      <c r="I16" s="55"/>
      <c r="J16" s="55"/>
    </row>
    <row r="17" spans="2:11">
      <c r="B17" t="s">
        <v>82</v>
      </c>
    </row>
    <row r="18" spans="2:11" ht="19.5" customHeight="1">
      <c r="B18" s="58" t="s">
        <v>84</v>
      </c>
      <c r="C18" s="55"/>
      <c r="D18" s="55"/>
      <c r="E18" s="55"/>
      <c r="F18" s="55"/>
      <c r="G18" s="55"/>
      <c r="H18" s="55"/>
      <c r="I18" s="55"/>
      <c r="J18" s="55"/>
    </row>
    <row r="19" spans="2:11" ht="18" customHeight="1">
      <c r="B19" s="37" t="s">
        <v>86</v>
      </c>
      <c r="C19" s="37" t="s">
        <v>74</v>
      </c>
      <c r="D19" s="37" t="s">
        <v>70</v>
      </c>
      <c r="E19" s="37" t="s">
        <v>250</v>
      </c>
      <c r="F19" s="37" t="s">
        <v>251</v>
      </c>
      <c r="G19" s="37" t="s">
        <v>252</v>
      </c>
      <c r="H19" s="37" t="s">
        <v>253</v>
      </c>
      <c r="I19" s="37" t="s">
        <v>254</v>
      </c>
      <c r="J19" s="37" t="s">
        <v>255</v>
      </c>
    </row>
    <row r="20" spans="2:11" ht="15.75" customHeight="1">
      <c r="B20" s="3" t="s">
        <v>85</v>
      </c>
      <c r="C20" s="4">
        <v>40301.4</v>
      </c>
      <c r="D20" s="4">
        <v>27628.55</v>
      </c>
      <c r="E20" s="44">
        <f t="shared" ref="E20:E29" si="0">D20-C20</f>
        <v>-12672.850000000002</v>
      </c>
      <c r="F20" s="7">
        <f t="shared" ref="F20:F29" si="1">IF(C20&lt;&gt;0,(D20-C20)/C20,"")</f>
        <v>-0.31445185527053654</v>
      </c>
      <c r="G20" s="45">
        <f t="shared" ref="G20:G29" si="2">IF(D20&lt;&gt;0,C20/D20-1,"")</f>
        <v>0.45868675699593364</v>
      </c>
      <c r="H20" s="46">
        <f t="shared" ref="H20:H29" si="3">IFERROR(LOG(C20/D20)/LOG(1.05),"")</f>
        <v>7.7379643184498077</v>
      </c>
      <c r="I20" s="46">
        <f t="shared" ref="I20:I29" si="4">IFERROR(LOG(C20/D20)/LOG(1.1),"")</f>
        <v>3.961135633249973</v>
      </c>
      <c r="J20" s="46">
        <f t="shared" ref="J20:J29" si="5">IFERROR(LOG(C20/D20)/LOG(1.15),"")</f>
        <v>2.7012829316650731</v>
      </c>
      <c r="K20" s="3" t="s">
        <v>256</v>
      </c>
    </row>
    <row r="21" spans="2:11" ht="15.75" customHeight="1">
      <c r="B21" s="22" t="s">
        <v>78</v>
      </c>
      <c r="C21" s="4">
        <v>3489.9</v>
      </c>
      <c r="D21" s="4">
        <v>2125</v>
      </c>
      <c r="E21" s="44">
        <f t="shared" si="0"/>
        <v>-1364.9</v>
      </c>
      <c r="F21" s="7">
        <f t="shared" si="1"/>
        <v>-0.39110003151952777</v>
      </c>
      <c r="G21" s="45">
        <f t="shared" si="2"/>
        <v>0.64230588235294128</v>
      </c>
      <c r="H21" s="46">
        <f t="shared" si="3"/>
        <v>10.16805925082601</v>
      </c>
      <c r="I21" s="46">
        <f t="shared" si="4"/>
        <v>5.2051237459715862</v>
      </c>
      <c r="J21" s="46">
        <f t="shared" si="5"/>
        <v>3.5496163812652521</v>
      </c>
      <c r="K21" s="22" t="s">
        <v>256</v>
      </c>
    </row>
    <row r="22" spans="2:11" ht="15.75" customHeight="1">
      <c r="B22" s="3" t="s">
        <v>79</v>
      </c>
      <c r="C22" s="4">
        <v>1727.85</v>
      </c>
      <c r="D22" s="4">
        <v>1065</v>
      </c>
      <c r="E22" s="44">
        <f t="shared" si="0"/>
        <v>-662.84999999999991</v>
      </c>
      <c r="F22" s="7">
        <f t="shared" si="1"/>
        <v>-0.38362705095928462</v>
      </c>
      <c r="G22" s="45">
        <f t="shared" si="2"/>
        <v>0.62239436619718291</v>
      </c>
      <c r="H22" s="46">
        <f t="shared" si="3"/>
        <v>9.9180453711257197</v>
      </c>
      <c r="I22" s="46">
        <f t="shared" si="4"/>
        <v>5.0771393243677538</v>
      </c>
      <c r="J22" s="46">
        <f t="shared" si="5"/>
        <v>3.4623378415718751</v>
      </c>
      <c r="K22" s="3" t="s">
        <v>256</v>
      </c>
    </row>
    <row r="23" spans="2:11" ht="15.75" customHeight="1">
      <c r="B23" s="22" t="s">
        <v>249</v>
      </c>
      <c r="C23" s="4">
        <v>1920</v>
      </c>
      <c r="D23" s="4">
        <v>1120</v>
      </c>
      <c r="E23" s="44">
        <f t="shared" si="0"/>
        <v>-800</v>
      </c>
      <c r="F23" s="7">
        <f t="shared" si="1"/>
        <v>-0.41666666666666669</v>
      </c>
      <c r="G23" s="45">
        <f t="shared" si="2"/>
        <v>0.71428571428571419</v>
      </c>
      <c r="H23" s="46">
        <f t="shared" si="3"/>
        <v>11.047236874648156</v>
      </c>
      <c r="I23" s="46">
        <f t="shared" si="4"/>
        <v>5.6551829179135442</v>
      </c>
      <c r="J23" s="46">
        <f t="shared" si="5"/>
        <v>3.8565326981924408</v>
      </c>
      <c r="K23" s="22" t="s">
        <v>257</v>
      </c>
    </row>
    <row r="24" spans="2:11" ht="15.75" customHeight="1">
      <c r="B24" s="3" t="s">
        <v>80</v>
      </c>
      <c r="C24" s="4">
        <v>320</v>
      </c>
      <c r="D24" s="4">
        <v>179</v>
      </c>
      <c r="E24" s="44">
        <f t="shared" si="0"/>
        <v>-141</v>
      </c>
      <c r="F24" s="7">
        <f t="shared" si="1"/>
        <v>-0.44062499999999999</v>
      </c>
      <c r="G24" s="45">
        <f t="shared" si="2"/>
        <v>0.7877094972067038</v>
      </c>
      <c r="H24" s="46">
        <f t="shared" si="3"/>
        <v>11.906809494135377</v>
      </c>
      <c r="I24" s="46">
        <f t="shared" si="4"/>
        <v>6.0952061064798846</v>
      </c>
      <c r="J24" s="46">
        <f t="shared" si="5"/>
        <v>4.156605010494423</v>
      </c>
      <c r="K24" s="3" t="s">
        <v>257</v>
      </c>
    </row>
    <row r="25" spans="2:11" ht="15.75" customHeight="1">
      <c r="B25" s="22" t="s">
        <v>82</v>
      </c>
      <c r="C25" s="4">
        <v>1740</v>
      </c>
      <c r="D25" s="4">
        <v>1430</v>
      </c>
      <c r="E25" s="44">
        <f t="shared" si="0"/>
        <v>-310</v>
      </c>
      <c r="F25" s="7">
        <f t="shared" si="1"/>
        <v>-0.17816091954022989</v>
      </c>
      <c r="G25" s="45">
        <f t="shared" si="2"/>
        <v>0.21678321678321688</v>
      </c>
      <c r="H25" s="46">
        <f t="shared" si="3"/>
        <v>4.0215209826564084</v>
      </c>
      <c r="I25" s="46">
        <f t="shared" si="4"/>
        <v>2.0586538537378596</v>
      </c>
      <c r="J25" s="46">
        <f t="shared" si="5"/>
        <v>1.4038919724508383</v>
      </c>
      <c r="K25" s="22" t="s">
        <v>258</v>
      </c>
    </row>
    <row r="26" spans="2:11" ht="15.75" customHeight="1">
      <c r="B26" s="3" t="s">
        <v>86</v>
      </c>
      <c r="C26" s="4">
        <v>6450</v>
      </c>
      <c r="D26" s="4">
        <v>3890</v>
      </c>
      <c r="E26" s="44">
        <f t="shared" si="0"/>
        <v>-2560</v>
      </c>
      <c r="F26" s="7">
        <f t="shared" si="1"/>
        <v>-0.39689922480620154</v>
      </c>
      <c r="G26" s="45">
        <f t="shared" si="2"/>
        <v>0.6580976863753214</v>
      </c>
      <c r="H26" s="46">
        <f t="shared" si="3"/>
        <v>10.364199050884492</v>
      </c>
      <c r="I26" s="46">
        <f t="shared" si="4"/>
        <v>5.3055295270188978</v>
      </c>
      <c r="J26" s="46">
        <f t="shared" si="5"/>
        <v>3.6180877611157509</v>
      </c>
      <c r="K26" s="3" t="s">
        <v>256</v>
      </c>
    </row>
    <row r="27" spans="2:11" ht="15.75" customHeight="1">
      <c r="B27" s="22" t="s">
        <v>259</v>
      </c>
      <c r="C27" s="4">
        <v>7500</v>
      </c>
      <c r="D27" s="4">
        <v>4850</v>
      </c>
      <c r="E27" s="44">
        <f t="shared" si="0"/>
        <v>-2650</v>
      </c>
      <c r="F27" s="7">
        <f t="shared" si="1"/>
        <v>-0.35333333333333333</v>
      </c>
      <c r="G27" s="45">
        <f t="shared" si="2"/>
        <v>0.54639175257731964</v>
      </c>
      <c r="H27" s="46">
        <f t="shared" si="3"/>
        <v>8.9346761383924118</v>
      </c>
      <c r="I27" s="46">
        <f t="shared" si="4"/>
        <v>4.5737435024027908</v>
      </c>
      <c r="J27" s="46">
        <f t="shared" si="5"/>
        <v>3.1190487781196894</v>
      </c>
      <c r="K27" s="22" t="s">
        <v>256</v>
      </c>
    </row>
    <row r="28" spans="2:11" ht="15.75" customHeight="1">
      <c r="B28" s="3" t="s">
        <v>87</v>
      </c>
      <c r="C28" s="4">
        <v>3200</v>
      </c>
      <c r="D28" s="4">
        <v>2100</v>
      </c>
      <c r="E28" s="44">
        <f t="shared" si="0"/>
        <v>-1100</v>
      </c>
      <c r="F28" s="7">
        <f t="shared" si="1"/>
        <v>-0.34375</v>
      </c>
      <c r="G28" s="45">
        <f t="shared" si="2"/>
        <v>0.52380952380952372</v>
      </c>
      <c r="H28" s="46">
        <f t="shared" si="3"/>
        <v>8.6331635124974966</v>
      </c>
      <c r="I28" s="46">
        <f t="shared" si="4"/>
        <v>4.4193963954434787</v>
      </c>
      <c r="J28" s="46">
        <f t="shared" si="5"/>
        <v>3.013792295084547</v>
      </c>
      <c r="K28" s="3" t="s">
        <v>256</v>
      </c>
    </row>
    <row r="29" spans="2:11" ht="15.75" customHeight="1">
      <c r="B29" s="22" t="s">
        <v>85</v>
      </c>
      <c r="C29" s="4">
        <v>2450</v>
      </c>
      <c r="D29" s="4">
        <v>1560</v>
      </c>
      <c r="E29" s="44">
        <f t="shared" si="0"/>
        <v>-890</v>
      </c>
      <c r="F29" s="7">
        <f t="shared" si="1"/>
        <v>-0.36326530612244901</v>
      </c>
      <c r="G29" s="45">
        <f t="shared" si="2"/>
        <v>0.57051282051282048</v>
      </c>
      <c r="H29" s="46">
        <f t="shared" si="3"/>
        <v>9.2519099080630234</v>
      </c>
      <c r="I29" s="46">
        <f t="shared" si="4"/>
        <v>4.7361384085302749</v>
      </c>
      <c r="J29" s="46">
        <f t="shared" si="5"/>
        <v>3.2297934303424678</v>
      </c>
      <c r="K29" s="22" t="s">
        <v>256</v>
      </c>
    </row>
    <row r="30" spans="2:11" ht="18" customHeight="1">
      <c r="B30" s="57" t="s">
        <v>260</v>
      </c>
      <c r="C30" s="55"/>
      <c r="D30" s="55"/>
      <c r="E30" s="55"/>
      <c r="F30" s="55"/>
      <c r="G30" s="55"/>
      <c r="H30" s="55"/>
      <c r="I30" s="55"/>
      <c r="J30" s="55"/>
    </row>
  </sheetData>
  <mergeCells count="5">
    <mergeCell ref="B3:J3"/>
    <mergeCell ref="B18:J18"/>
    <mergeCell ref="B1:J1"/>
    <mergeCell ref="B30:J30"/>
    <mergeCell ref="B16:J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25"/>
  <sheetViews>
    <sheetView showGridLines="0" workbookViewId="0">
      <selection activeCell="F12" sqref="F12"/>
    </sheetView>
  </sheetViews>
  <sheetFormatPr defaultRowHeight="14.4"/>
  <cols>
    <col min="1" max="1" width="3" customWidth="1"/>
    <col min="2" max="2" width="28" customWidth="1"/>
    <col min="3" max="3" width="20" customWidth="1"/>
    <col min="4" max="4" width="28" customWidth="1"/>
    <col min="5" max="5" width="22" customWidth="1"/>
    <col min="6" max="6" width="20" customWidth="1"/>
    <col min="7" max="7" width="13" customWidth="1"/>
  </cols>
  <sheetData>
    <row r="1" spans="2:7" ht="33.75" customHeight="1">
      <c r="B1" s="56" t="s">
        <v>261</v>
      </c>
      <c r="C1" s="55"/>
      <c r="D1" s="55"/>
      <c r="E1" s="55"/>
      <c r="F1" s="55"/>
    </row>
    <row r="3" spans="2:7" ht="30" customHeight="1">
      <c r="B3" s="56" t="s">
        <v>262</v>
      </c>
      <c r="C3" s="55"/>
      <c r="D3" s="55"/>
      <c r="E3" s="55"/>
      <c r="F3" s="55"/>
    </row>
    <row r="5" spans="2:7" ht="19.5" customHeight="1">
      <c r="B5" s="60" t="s">
        <v>263</v>
      </c>
      <c r="C5" s="55"/>
      <c r="D5" s="55"/>
      <c r="E5" s="55"/>
      <c r="F5" s="55"/>
    </row>
    <row r="6" spans="2:7" ht="18" customHeight="1">
      <c r="B6" s="37" t="s">
        <v>264</v>
      </c>
      <c r="C6" s="37" t="s">
        <v>265</v>
      </c>
      <c r="D6" s="37" t="s">
        <v>266</v>
      </c>
      <c r="E6" s="37" t="s">
        <v>267</v>
      </c>
      <c r="F6" s="37" t="s">
        <v>268</v>
      </c>
    </row>
    <row r="7" spans="2:7" ht="54.75" customHeight="1">
      <c r="B7" s="47" t="s">
        <v>269</v>
      </c>
      <c r="C7" s="47" t="s">
        <v>270</v>
      </c>
      <c r="D7" s="48" t="s">
        <v>271</v>
      </c>
      <c r="E7" s="48" t="s">
        <v>272</v>
      </c>
      <c r="F7" s="47" t="s">
        <v>273</v>
      </c>
    </row>
    <row r="8" spans="2:7" ht="54.75" customHeight="1">
      <c r="B8" s="3" t="s">
        <v>274</v>
      </c>
      <c r="C8" s="3" t="s">
        <v>275</v>
      </c>
      <c r="D8" s="13" t="s">
        <v>276</v>
      </c>
      <c r="E8" s="13" t="s">
        <v>277</v>
      </c>
      <c r="F8" s="3" t="s">
        <v>278</v>
      </c>
    </row>
    <row r="9" spans="2:7" ht="54.75" customHeight="1">
      <c r="B9" s="49" t="s">
        <v>279</v>
      </c>
      <c r="C9" s="49" t="s">
        <v>280</v>
      </c>
      <c r="D9" s="50" t="s">
        <v>281</v>
      </c>
      <c r="E9" s="50" t="s">
        <v>282</v>
      </c>
      <c r="F9" s="49" t="s">
        <v>283</v>
      </c>
    </row>
    <row r="11" spans="2:7" ht="19.5" customHeight="1">
      <c r="B11" s="59" t="s">
        <v>284</v>
      </c>
      <c r="C11" s="55"/>
      <c r="D11" s="55"/>
      <c r="E11" s="55"/>
      <c r="F11" s="55"/>
    </row>
    <row r="12" spans="2:7" ht="18" customHeight="1">
      <c r="B12" s="37" t="s">
        <v>285</v>
      </c>
      <c r="C12" s="37" t="s">
        <v>286</v>
      </c>
      <c r="D12" s="37" t="s">
        <v>287</v>
      </c>
      <c r="E12" s="37" t="s">
        <v>288</v>
      </c>
      <c r="F12" s="37" t="s">
        <v>289</v>
      </c>
    </row>
    <row r="13" spans="2:7" ht="18" customHeight="1">
      <c r="B13" s="32" t="s">
        <v>290</v>
      </c>
      <c r="C13" s="51">
        <v>4</v>
      </c>
      <c r="D13" s="51">
        <v>5</v>
      </c>
      <c r="E13" s="52">
        <f t="shared" ref="E13:E22" si="0">C13*D13</f>
        <v>20</v>
      </c>
      <c r="F13" s="32" t="s">
        <v>291</v>
      </c>
      <c r="G13" s="31" t="s">
        <v>292</v>
      </c>
    </row>
    <row r="14" spans="2:7" ht="18" customHeight="1">
      <c r="B14" s="32" t="s">
        <v>293</v>
      </c>
      <c r="C14" s="51">
        <v>4</v>
      </c>
      <c r="D14" s="51">
        <v>4</v>
      </c>
      <c r="E14" s="52">
        <f t="shared" si="0"/>
        <v>16</v>
      </c>
      <c r="F14" s="32" t="s">
        <v>294</v>
      </c>
      <c r="G14" s="31" t="s">
        <v>295</v>
      </c>
    </row>
    <row r="15" spans="2:7" ht="18" customHeight="1">
      <c r="B15" s="32" t="s">
        <v>296</v>
      </c>
      <c r="C15" s="51">
        <v>3</v>
      </c>
      <c r="D15" s="51">
        <v>5</v>
      </c>
      <c r="E15" s="52">
        <f t="shared" si="0"/>
        <v>15</v>
      </c>
      <c r="F15" s="32" t="s">
        <v>294</v>
      </c>
      <c r="G15" s="31" t="s">
        <v>297</v>
      </c>
    </row>
    <row r="16" spans="2:7" ht="18" customHeight="1">
      <c r="B16" s="47" t="s">
        <v>298</v>
      </c>
      <c r="C16" s="51">
        <v>3</v>
      </c>
      <c r="D16" s="51">
        <v>4</v>
      </c>
      <c r="E16" s="53">
        <f t="shared" si="0"/>
        <v>12</v>
      </c>
      <c r="F16" s="47" t="s">
        <v>299</v>
      </c>
      <c r="G16" s="48" t="s">
        <v>300</v>
      </c>
    </row>
    <row r="17" spans="2:7" ht="18" customHeight="1">
      <c r="B17" s="47" t="s">
        <v>301</v>
      </c>
      <c r="C17" s="51">
        <v>2</v>
      </c>
      <c r="D17" s="51">
        <v>4</v>
      </c>
      <c r="E17" s="53">
        <f t="shared" si="0"/>
        <v>8</v>
      </c>
      <c r="F17" s="47" t="s">
        <v>299</v>
      </c>
      <c r="G17" s="48" t="s">
        <v>302</v>
      </c>
    </row>
    <row r="18" spans="2:7" ht="18" customHeight="1">
      <c r="B18" s="47" t="s">
        <v>303</v>
      </c>
      <c r="C18" s="51">
        <v>3</v>
      </c>
      <c r="D18" s="51">
        <v>3</v>
      </c>
      <c r="E18" s="53">
        <f t="shared" si="0"/>
        <v>9</v>
      </c>
      <c r="F18" s="47" t="s">
        <v>299</v>
      </c>
      <c r="G18" s="48" t="s">
        <v>304</v>
      </c>
    </row>
    <row r="19" spans="2:7" ht="18" customHeight="1">
      <c r="B19" s="47" t="s">
        <v>305</v>
      </c>
      <c r="C19" s="51">
        <v>4</v>
      </c>
      <c r="D19" s="51">
        <v>3</v>
      </c>
      <c r="E19" s="53">
        <f t="shared" si="0"/>
        <v>12</v>
      </c>
      <c r="F19" s="47" t="s">
        <v>306</v>
      </c>
      <c r="G19" s="48" t="s">
        <v>307</v>
      </c>
    </row>
    <row r="20" spans="2:7" ht="18" customHeight="1">
      <c r="B20" s="47" t="s">
        <v>308</v>
      </c>
      <c r="C20" s="51">
        <v>4</v>
      </c>
      <c r="D20" s="51">
        <v>3</v>
      </c>
      <c r="E20" s="53">
        <f t="shared" si="0"/>
        <v>12</v>
      </c>
      <c r="F20" s="47" t="s">
        <v>306</v>
      </c>
      <c r="G20" s="48" t="s">
        <v>309</v>
      </c>
    </row>
    <row r="21" spans="2:7" ht="18" customHeight="1">
      <c r="B21" s="49" t="s">
        <v>310</v>
      </c>
      <c r="C21" s="51">
        <v>2</v>
      </c>
      <c r="D21" s="51">
        <v>3</v>
      </c>
      <c r="E21" s="54">
        <f t="shared" si="0"/>
        <v>6</v>
      </c>
      <c r="F21" s="49" t="s">
        <v>311</v>
      </c>
      <c r="G21" s="50" t="s">
        <v>312</v>
      </c>
    </row>
    <row r="22" spans="2:7" ht="18" customHeight="1">
      <c r="B22" s="49" t="s">
        <v>313</v>
      </c>
      <c r="C22" s="51">
        <v>1</v>
      </c>
      <c r="D22" s="51">
        <v>3</v>
      </c>
      <c r="E22" s="54">
        <f t="shared" si="0"/>
        <v>3</v>
      </c>
      <c r="F22" s="49" t="s">
        <v>311</v>
      </c>
      <c r="G22" s="50" t="s">
        <v>314</v>
      </c>
    </row>
    <row r="24" spans="2:7" ht="54.75" customHeight="1">
      <c r="B24" s="55"/>
      <c r="C24" s="55"/>
      <c r="D24" s="55"/>
      <c r="E24" s="55"/>
      <c r="F24" s="55"/>
    </row>
    <row r="25" spans="2:7">
      <c r="B25" s="55"/>
      <c r="C25" s="55"/>
      <c r="D25" s="55"/>
      <c r="E25" s="55"/>
      <c r="F25" s="55"/>
    </row>
  </sheetData>
  <mergeCells count="5">
    <mergeCell ref="B11:F11"/>
    <mergeCell ref="B3:F3"/>
    <mergeCell ref="B5:F5"/>
    <mergeCell ref="B1:F1"/>
    <mergeCell ref="B24:F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6"/>
  <sheetViews>
    <sheetView showGridLines="0" tabSelected="1" workbookViewId="0">
      <selection activeCell="B4" sqref="B4:G16"/>
    </sheetView>
  </sheetViews>
  <sheetFormatPr defaultRowHeight="14.4"/>
  <cols>
    <col min="1" max="1" width="13" customWidth="1"/>
  </cols>
  <sheetData>
    <row r="2" spans="2:7">
      <c r="B2" s="62" t="s">
        <v>315</v>
      </c>
      <c r="C2" s="62"/>
      <c r="D2" s="62"/>
      <c r="E2" s="62"/>
      <c r="F2" s="62"/>
    </row>
    <row r="4" spans="2:7">
      <c r="B4" s="63" t="s">
        <v>316</v>
      </c>
      <c r="C4" s="62"/>
      <c r="D4" s="62"/>
      <c r="E4" s="62"/>
      <c r="F4" s="62"/>
      <c r="G4" s="62"/>
    </row>
    <row r="5" spans="2:7">
      <c r="B5" s="62"/>
      <c r="C5" s="62"/>
      <c r="D5" s="62"/>
      <c r="E5" s="62"/>
      <c r="F5" s="62"/>
      <c r="G5" s="62"/>
    </row>
    <row r="6" spans="2:7">
      <c r="B6" s="62"/>
      <c r="C6" s="62"/>
      <c r="D6" s="62"/>
      <c r="E6" s="62"/>
      <c r="F6" s="62"/>
      <c r="G6" s="62"/>
    </row>
    <row r="7" spans="2:7">
      <c r="B7" s="62"/>
      <c r="C7" s="62"/>
      <c r="D7" s="62"/>
      <c r="E7" s="62"/>
      <c r="F7" s="62"/>
      <c r="G7" s="62"/>
    </row>
    <row r="8" spans="2:7">
      <c r="B8" s="62"/>
      <c r="C8" s="62"/>
      <c r="D8" s="62"/>
      <c r="E8" s="62"/>
      <c r="F8" s="62"/>
      <c r="G8" s="62"/>
    </row>
    <row r="9" spans="2:7">
      <c r="B9" s="62"/>
      <c r="C9" s="62"/>
      <c r="D9" s="62"/>
      <c r="E9" s="62"/>
      <c r="F9" s="62"/>
      <c r="G9" s="62"/>
    </row>
    <row r="10" spans="2:7">
      <c r="B10" s="62"/>
      <c r="C10" s="62"/>
      <c r="D10" s="62"/>
      <c r="E10" s="62"/>
      <c r="F10" s="62"/>
      <c r="G10" s="62"/>
    </row>
    <row r="11" spans="2:7">
      <c r="B11" s="62"/>
      <c r="C11" s="62"/>
      <c r="D11" s="62"/>
      <c r="E11" s="62"/>
      <c r="F11" s="62"/>
      <c r="G11" s="62"/>
    </row>
    <row r="12" spans="2:7">
      <c r="B12" s="62"/>
      <c r="C12" s="62"/>
      <c r="D12" s="62"/>
      <c r="E12" s="62"/>
      <c r="F12" s="62"/>
      <c r="G12" s="62"/>
    </row>
    <row r="13" spans="2:7">
      <c r="B13" s="62"/>
      <c r="C13" s="62"/>
      <c r="D13" s="62"/>
      <c r="E13" s="62"/>
      <c r="F13" s="62"/>
      <c r="G13" s="62"/>
    </row>
    <row r="14" spans="2:7">
      <c r="B14" s="62"/>
      <c r="C14" s="62"/>
      <c r="D14" s="62"/>
      <c r="E14" s="62"/>
      <c r="F14" s="62"/>
      <c r="G14" s="62"/>
    </row>
    <row r="15" spans="2:7">
      <c r="B15" s="62"/>
      <c r="C15" s="62"/>
      <c r="D15" s="62"/>
      <c r="E15" s="62"/>
      <c r="F15" s="62"/>
      <c r="G15" s="62"/>
    </row>
    <row r="16" spans="2:7">
      <c r="B16" s="62"/>
      <c r="C16" s="62"/>
      <c r="D16" s="62"/>
      <c r="E16" s="62"/>
      <c r="F16" s="62"/>
      <c r="G16" s="62"/>
    </row>
  </sheetData>
  <mergeCells count="2">
    <mergeCell ref="B2:F2"/>
    <mergeCell ref="B4:G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FMCG Sector Dashboard</vt:lpstr>
      <vt:lpstr>Stock Prices</vt:lpstr>
      <vt:lpstr>Valuation Scorecard</vt:lpstr>
      <vt:lpstr>News &amp; Events</vt:lpstr>
      <vt:lpstr>FII DII</vt:lpstr>
      <vt:lpstr>Return Analysis</vt:lpstr>
      <vt:lpstr>Sector Outlook</vt:lpstr>
      <vt:lpstr>Economical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 singh</cp:lastModifiedBy>
  <dcterms:created xsi:type="dcterms:W3CDTF">2026-06-23T17:21:50Z</dcterms:created>
  <dcterms:modified xsi:type="dcterms:W3CDTF">2026-06-24T10:54:40Z</dcterms:modified>
</cp:coreProperties>
</file>