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an\Desktop\cip hero\Full finalized\"/>
    </mc:Choice>
  </mc:AlternateContent>
  <xr:revisionPtr revIDLastSave="0" documentId="13_ncr:1_{9E5BBADD-9C3F-4B29-BDD9-B92A02E479F8}" xr6:coauthVersionLast="47" xr6:coauthVersionMax="47" xr10:uidLastSave="{00000000-0000-0000-0000-000000000000}"/>
  <bookViews>
    <workbookView xWindow="-108" yWindow="-108" windowWidth="23256" windowHeight="13896" tabRatio="500" firstSheet="12" activeTab="12" xr2:uid="{00000000-000D-0000-FFFF-FFFF00000000}"/>
  </bookViews>
  <sheets>
    <sheet name="About " sheetId="15" r:id="rId1"/>
    <sheet name="Shareholding " sheetId="17" r:id="rId2"/>
    <sheet name="Consolidated Statements  " sheetId="3" r:id="rId3"/>
    <sheet name="Quaterly Results " sheetId="16" r:id="rId4"/>
    <sheet name="Ratios " sheetId="1" r:id="rId5"/>
    <sheet name="Stock Analysis" sheetId="2" r:id="rId6"/>
    <sheet name="Assumptions " sheetId="4" r:id="rId7"/>
    <sheet name="BETA" sheetId="5" r:id="rId8"/>
    <sheet name="WACC" sheetId="6" r:id="rId9"/>
    <sheet name="Fixed Asset Schedule " sheetId="7" r:id="rId10"/>
    <sheet name="Change in WC" sheetId="8" r:id="rId11"/>
    <sheet name="FCFF" sheetId="9" r:id="rId12"/>
    <sheet name="Growth Scenario" sheetId="10" r:id="rId13"/>
    <sheet name="Valuation" sheetId="11" r:id="rId14"/>
    <sheet name="Relative Valuation Raw Data " sheetId="12" r:id="rId15"/>
    <sheet name="Relative Valuation " sheetId="1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3" l="1"/>
  <c r="M10" i="13"/>
  <c r="L11" i="13"/>
  <c r="M11" i="13"/>
  <c r="L12" i="13"/>
  <c r="M12" i="13"/>
  <c r="N12" i="13" s="1"/>
  <c r="R12" i="13" s="1"/>
  <c r="L13" i="13"/>
  <c r="M13" i="13"/>
  <c r="N13" i="13" s="1"/>
  <c r="M9" i="13"/>
  <c r="L9" i="13"/>
  <c r="K10" i="13"/>
  <c r="K11" i="13"/>
  <c r="K12" i="13"/>
  <c r="K13" i="13"/>
  <c r="H10" i="13"/>
  <c r="H11" i="13"/>
  <c r="H12" i="13"/>
  <c r="H13" i="13"/>
  <c r="G10" i="13"/>
  <c r="G11" i="13"/>
  <c r="G12" i="13"/>
  <c r="G13" i="13"/>
  <c r="E10" i="13"/>
  <c r="E11" i="13"/>
  <c r="E12" i="13"/>
  <c r="E13" i="13"/>
  <c r="D10" i="13"/>
  <c r="D11" i="13"/>
  <c r="D12" i="13"/>
  <c r="D13" i="13"/>
  <c r="F13" i="13" s="1"/>
  <c r="I13" i="13" s="1"/>
  <c r="K9" i="13"/>
  <c r="H9" i="13"/>
  <c r="G9" i="13"/>
  <c r="E9" i="13"/>
  <c r="D9" i="13"/>
  <c r="P26" i="13"/>
  <c r="Q26" i="13" s="1"/>
  <c r="R26" i="13" s="1"/>
  <c r="P24" i="13"/>
  <c r="Q24" i="13" s="1"/>
  <c r="R24" i="13" s="1"/>
  <c r="F12" i="13"/>
  <c r="N11" i="13"/>
  <c r="R11" i="13" s="1"/>
  <c r="F11" i="13"/>
  <c r="I11" i="13" s="1"/>
  <c r="N10" i="13"/>
  <c r="R10" i="13" s="1"/>
  <c r="F10" i="13"/>
  <c r="I10" i="13" s="1"/>
  <c r="I28" i="11"/>
  <c r="I29" i="11" s="1"/>
  <c r="I26" i="11"/>
  <c r="D26" i="11"/>
  <c r="I25" i="11"/>
  <c r="D25" i="11"/>
  <c r="O5" i="11"/>
  <c r="M22" i="10"/>
  <c r="M5" i="11" s="1"/>
  <c r="C21" i="10"/>
  <c r="C6" i="10"/>
  <c r="C11" i="10" s="1"/>
  <c r="C9" i="9"/>
  <c r="E7" i="8"/>
  <c r="G6" i="8"/>
  <c r="F6" i="8"/>
  <c r="F7" i="8" s="1"/>
  <c r="F8" i="8" s="1"/>
  <c r="E6" i="8"/>
  <c r="D6" i="8"/>
  <c r="C6" i="8"/>
  <c r="G5" i="8"/>
  <c r="F5" i="8"/>
  <c r="E5" i="8"/>
  <c r="D5" i="8"/>
  <c r="C5" i="8"/>
  <c r="G4" i="8"/>
  <c r="G7" i="8" s="1"/>
  <c r="F4" i="8"/>
  <c r="E4" i="8"/>
  <c r="D4" i="8"/>
  <c r="D7" i="8" s="1"/>
  <c r="C4" i="8"/>
  <c r="C7" i="8" s="1"/>
  <c r="G7" i="7"/>
  <c r="F7" i="7"/>
  <c r="E7" i="7"/>
  <c r="D7" i="7"/>
  <c r="C7" i="7"/>
  <c r="D3" i="7" s="1"/>
  <c r="G6" i="7"/>
  <c r="F6" i="7"/>
  <c r="E6" i="7"/>
  <c r="D6" i="7"/>
  <c r="D5" i="7" s="1"/>
  <c r="D4" i="7" s="1"/>
  <c r="D9" i="7" s="1"/>
  <c r="C6" i="7"/>
  <c r="C5" i="7" s="1"/>
  <c r="F5" i="7"/>
  <c r="F4" i="7" s="1"/>
  <c r="F9" i="7" s="1"/>
  <c r="E5" i="7"/>
  <c r="E4" i="7" s="1"/>
  <c r="E9" i="7" s="1"/>
  <c r="G3" i="7"/>
  <c r="F3" i="7"/>
  <c r="E3" i="7"/>
  <c r="F16" i="6"/>
  <c r="C10" i="6"/>
  <c r="C6" i="6"/>
  <c r="C5" i="6"/>
  <c r="H1237" i="5"/>
  <c r="D1237" i="5"/>
  <c r="H1236" i="5"/>
  <c r="D1236" i="5"/>
  <c r="H1235" i="5"/>
  <c r="D1235" i="5"/>
  <c r="H1234" i="5"/>
  <c r="D1234" i="5"/>
  <c r="H1233" i="5"/>
  <c r="D1233" i="5"/>
  <c r="H1232" i="5"/>
  <c r="D1232" i="5"/>
  <c r="H1231" i="5"/>
  <c r="D1231" i="5"/>
  <c r="H1230" i="5"/>
  <c r="D1230" i="5"/>
  <c r="H1229" i="5"/>
  <c r="D1229" i="5"/>
  <c r="H1228" i="5"/>
  <c r="D1228" i="5"/>
  <c r="H1227" i="5"/>
  <c r="D1227" i="5"/>
  <c r="H1226" i="5"/>
  <c r="D1226" i="5"/>
  <c r="H1225" i="5"/>
  <c r="D1225" i="5"/>
  <c r="H1224" i="5"/>
  <c r="D1224" i="5"/>
  <c r="H1223" i="5"/>
  <c r="D1223" i="5"/>
  <c r="H1222" i="5"/>
  <c r="D1222" i="5"/>
  <c r="H1221" i="5"/>
  <c r="D1221" i="5"/>
  <c r="H1220" i="5"/>
  <c r="D1220" i="5"/>
  <c r="H1219" i="5"/>
  <c r="D1219" i="5"/>
  <c r="H1218" i="5"/>
  <c r="D1218" i="5"/>
  <c r="H1217" i="5"/>
  <c r="D1217" i="5"/>
  <c r="H1216" i="5"/>
  <c r="D1216" i="5"/>
  <c r="H1215" i="5"/>
  <c r="D1215" i="5"/>
  <c r="H1214" i="5"/>
  <c r="D1214" i="5"/>
  <c r="H1213" i="5"/>
  <c r="D1213" i="5"/>
  <c r="H1212" i="5"/>
  <c r="D1212" i="5"/>
  <c r="H1211" i="5"/>
  <c r="D1211" i="5"/>
  <c r="H1210" i="5"/>
  <c r="D1210" i="5"/>
  <c r="H1209" i="5"/>
  <c r="D1209" i="5"/>
  <c r="H1208" i="5"/>
  <c r="D1208" i="5"/>
  <c r="H1207" i="5"/>
  <c r="D1207" i="5"/>
  <c r="H1206" i="5"/>
  <c r="D1206" i="5"/>
  <c r="H1205" i="5"/>
  <c r="D1205" i="5"/>
  <c r="H1204" i="5"/>
  <c r="D1204" i="5"/>
  <c r="H1203" i="5"/>
  <c r="D1203" i="5"/>
  <c r="H1202" i="5"/>
  <c r="D1202" i="5"/>
  <c r="H1201" i="5"/>
  <c r="D1201" i="5"/>
  <c r="H1200" i="5"/>
  <c r="D1200" i="5"/>
  <c r="H1199" i="5"/>
  <c r="D1199" i="5"/>
  <c r="H1198" i="5"/>
  <c r="D1198" i="5"/>
  <c r="H1197" i="5"/>
  <c r="D1197" i="5"/>
  <c r="H1196" i="5"/>
  <c r="D1196" i="5"/>
  <c r="H1195" i="5"/>
  <c r="D1195" i="5"/>
  <c r="H1194" i="5"/>
  <c r="D1194" i="5"/>
  <c r="H1193" i="5"/>
  <c r="D1193" i="5"/>
  <c r="H1192" i="5"/>
  <c r="D1192" i="5"/>
  <c r="H1191" i="5"/>
  <c r="D1191" i="5"/>
  <c r="H1190" i="5"/>
  <c r="D1190" i="5"/>
  <c r="H1189" i="5"/>
  <c r="D1189" i="5"/>
  <c r="H1188" i="5"/>
  <c r="D1188" i="5"/>
  <c r="H1187" i="5"/>
  <c r="D1187" i="5"/>
  <c r="H1186" i="5"/>
  <c r="D1186" i="5"/>
  <c r="H1185" i="5"/>
  <c r="D1185" i="5"/>
  <c r="H1184" i="5"/>
  <c r="D1184" i="5"/>
  <c r="H1183" i="5"/>
  <c r="D1183" i="5"/>
  <c r="H1182" i="5"/>
  <c r="D1182" i="5"/>
  <c r="H1181" i="5"/>
  <c r="D1181" i="5"/>
  <c r="H1180" i="5"/>
  <c r="D1180" i="5"/>
  <c r="H1179" i="5"/>
  <c r="D1179" i="5"/>
  <c r="H1178" i="5"/>
  <c r="D1178" i="5"/>
  <c r="H1177" i="5"/>
  <c r="D1177" i="5"/>
  <c r="H1176" i="5"/>
  <c r="D1176" i="5"/>
  <c r="H1175" i="5"/>
  <c r="D1175" i="5"/>
  <c r="H1174" i="5"/>
  <c r="D1174" i="5"/>
  <c r="H1173" i="5"/>
  <c r="D1173" i="5"/>
  <c r="H1172" i="5"/>
  <c r="D1172" i="5"/>
  <c r="H1171" i="5"/>
  <c r="D1171" i="5"/>
  <c r="H1170" i="5"/>
  <c r="D1170" i="5"/>
  <c r="H1169" i="5"/>
  <c r="D1169" i="5"/>
  <c r="H1168" i="5"/>
  <c r="D1168" i="5"/>
  <c r="H1167" i="5"/>
  <c r="D1167" i="5"/>
  <c r="H1166" i="5"/>
  <c r="D1166" i="5"/>
  <c r="H1165" i="5"/>
  <c r="D1165" i="5"/>
  <c r="H1164" i="5"/>
  <c r="D1164" i="5"/>
  <c r="H1163" i="5"/>
  <c r="D1163" i="5"/>
  <c r="H1162" i="5"/>
  <c r="D1162" i="5"/>
  <c r="H1161" i="5"/>
  <c r="D1161" i="5"/>
  <c r="H1160" i="5"/>
  <c r="D1160" i="5"/>
  <c r="H1159" i="5"/>
  <c r="D1159" i="5"/>
  <c r="H1158" i="5"/>
  <c r="D1158" i="5"/>
  <c r="H1157" i="5"/>
  <c r="D1157" i="5"/>
  <c r="H1156" i="5"/>
  <c r="D1156" i="5"/>
  <c r="H1155" i="5"/>
  <c r="D1155" i="5"/>
  <c r="H1154" i="5"/>
  <c r="D1154" i="5"/>
  <c r="H1153" i="5"/>
  <c r="D1153" i="5"/>
  <c r="H1152" i="5"/>
  <c r="D1152" i="5"/>
  <c r="H1151" i="5"/>
  <c r="D1151" i="5"/>
  <c r="H1150" i="5"/>
  <c r="D1150" i="5"/>
  <c r="H1149" i="5"/>
  <c r="D1149" i="5"/>
  <c r="H1148" i="5"/>
  <c r="D1148" i="5"/>
  <c r="H1147" i="5"/>
  <c r="D1147" i="5"/>
  <c r="H1146" i="5"/>
  <c r="D1146" i="5"/>
  <c r="H1145" i="5"/>
  <c r="D1145" i="5"/>
  <c r="H1144" i="5"/>
  <c r="D1144" i="5"/>
  <c r="H1143" i="5"/>
  <c r="D1143" i="5"/>
  <c r="H1142" i="5"/>
  <c r="D1142" i="5"/>
  <c r="H1141" i="5"/>
  <c r="D1141" i="5"/>
  <c r="H1140" i="5"/>
  <c r="D1140" i="5"/>
  <c r="H1139" i="5"/>
  <c r="D1139" i="5"/>
  <c r="H1138" i="5"/>
  <c r="D1138" i="5"/>
  <c r="H1137" i="5"/>
  <c r="D1137" i="5"/>
  <c r="H1136" i="5"/>
  <c r="D1136" i="5"/>
  <c r="H1135" i="5"/>
  <c r="D1135" i="5"/>
  <c r="H1134" i="5"/>
  <c r="D1134" i="5"/>
  <c r="H1133" i="5"/>
  <c r="D1133" i="5"/>
  <c r="H1132" i="5"/>
  <c r="D1132" i="5"/>
  <c r="H1131" i="5"/>
  <c r="D1131" i="5"/>
  <c r="H1130" i="5"/>
  <c r="D1130" i="5"/>
  <c r="H1129" i="5"/>
  <c r="D1129" i="5"/>
  <c r="H1128" i="5"/>
  <c r="D1128" i="5"/>
  <c r="H1127" i="5"/>
  <c r="D1127" i="5"/>
  <c r="H1126" i="5"/>
  <c r="D1126" i="5"/>
  <c r="H1125" i="5"/>
  <c r="D1125" i="5"/>
  <c r="H1124" i="5"/>
  <c r="D1124" i="5"/>
  <c r="H1123" i="5"/>
  <c r="D1123" i="5"/>
  <c r="H1122" i="5"/>
  <c r="D1122" i="5"/>
  <c r="H1121" i="5"/>
  <c r="D1121" i="5"/>
  <c r="H1120" i="5"/>
  <c r="D1120" i="5"/>
  <c r="H1119" i="5"/>
  <c r="D1119" i="5"/>
  <c r="H1118" i="5"/>
  <c r="D1118" i="5"/>
  <c r="H1117" i="5"/>
  <c r="D1117" i="5"/>
  <c r="H1116" i="5"/>
  <c r="D1116" i="5"/>
  <c r="H1115" i="5"/>
  <c r="D1115" i="5"/>
  <c r="H1114" i="5"/>
  <c r="D1114" i="5"/>
  <c r="H1113" i="5"/>
  <c r="D1113" i="5"/>
  <c r="H1112" i="5"/>
  <c r="D1112" i="5"/>
  <c r="H1111" i="5"/>
  <c r="D1111" i="5"/>
  <c r="H1110" i="5"/>
  <c r="D1110" i="5"/>
  <c r="H1109" i="5"/>
  <c r="D1109" i="5"/>
  <c r="H1108" i="5"/>
  <c r="D1108" i="5"/>
  <c r="H1107" i="5"/>
  <c r="D1107" i="5"/>
  <c r="H1106" i="5"/>
  <c r="D1106" i="5"/>
  <c r="H1105" i="5"/>
  <c r="D1105" i="5"/>
  <c r="H1104" i="5"/>
  <c r="D1104" i="5"/>
  <c r="H1103" i="5"/>
  <c r="D1103" i="5"/>
  <c r="H1102" i="5"/>
  <c r="D1102" i="5"/>
  <c r="H1101" i="5"/>
  <c r="D1101" i="5"/>
  <c r="H1100" i="5"/>
  <c r="D1100" i="5"/>
  <c r="H1099" i="5"/>
  <c r="D1099" i="5"/>
  <c r="H1098" i="5"/>
  <c r="D1098" i="5"/>
  <c r="H1097" i="5"/>
  <c r="D1097" i="5"/>
  <c r="H1096" i="5"/>
  <c r="D1096" i="5"/>
  <c r="H1095" i="5"/>
  <c r="D1095" i="5"/>
  <c r="H1094" i="5"/>
  <c r="D1094" i="5"/>
  <c r="H1093" i="5"/>
  <c r="D1093" i="5"/>
  <c r="H1092" i="5"/>
  <c r="D1092" i="5"/>
  <c r="H1091" i="5"/>
  <c r="D1091" i="5"/>
  <c r="H1090" i="5"/>
  <c r="D1090" i="5"/>
  <c r="H1089" i="5"/>
  <c r="D1089" i="5"/>
  <c r="H1088" i="5"/>
  <c r="D1088" i="5"/>
  <c r="H1087" i="5"/>
  <c r="D1087" i="5"/>
  <c r="H1086" i="5"/>
  <c r="D1086" i="5"/>
  <c r="H1085" i="5"/>
  <c r="D1085" i="5"/>
  <c r="H1084" i="5"/>
  <c r="D1084" i="5"/>
  <c r="H1083" i="5"/>
  <c r="D1083" i="5"/>
  <c r="H1082" i="5"/>
  <c r="D1082" i="5"/>
  <c r="H1081" i="5"/>
  <c r="D1081" i="5"/>
  <c r="H1080" i="5"/>
  <c r="D1080" i="5"/>
  <c r="H1079" i="5"/>
  <c r="D1079" i="5"/>
  <c r="H1078" i="5"/>
  <c r="D1078" i="5"/>
  <c r="H1077" i="5"/>
  <c r="D1077" i="5"/>
  <c r="H1076" i="5"/>
  <c r="D1076" i="5"/>
  <c r="H1075" i="5"/>
  <c r="D1075" i="5"/>
  <c r="H1074" i="5"/>
  <c r="D1074" i="5"/>
  <c r="H1073" i="5"/>
  <c r="D1073" i="5"/>
  <c r="H1072" i="5"/>
  <c r="D1072" i="5"/>
  <c r="H1071" i="5"/>
  <c r="D1071" i="5"/>
  <c r="H1070" i="5"/>
  <c r="D1070" i="5"/>
  <c r="H1069" i="5"/>
  <c r="D1069" i="5"/>
  <c r="H1068" i="5"/>
  <c r="D1068" i="5"/>
  <c r="H1067" i="5"/>
  <c r="D1067" i="5"/>
  <c r="H1066" i="5"/>
  <c r="D1066" i="5"/>
  <c r="H1065" i="5"/>
  <c r="D1065" i="5"/>
  <c r="H1064" i="5"/>
  <c r="D1064" i="5"/>
  <c r="H1063" i="5"/>
  <c r="D1063" i="5"/>
  <c r="H1062" i="5"/>
  <c r="D1062" i="5"/>
  <c r="H1061" i="5"/>
  <c r="D1061" i="5"/>
  <c r="H1060" i="5"/>
  <c r="D1060" i="5"/>
  <c r="H1059" i="5"/>
  <c r="D1059" i="5"/>
  <c r="H1058" i="5"/>
  <c r="D1058" i="5"/>
  <c r="H1057" i="5"/>
  <c r="D1057" i="5"/>
  <c r="H1056" i="5"/>
  <c r="D1056" i="5"/>
  <c r="H1055" i="5"/>
  <c r="D1055" i="5"/>
  <c r="H1054" i="5"/>
  <c r="D1054" i="5"/>
  <c r="H1053" i="5"/>
  <c r="D1053" i="5"/>
  <c r="H1052" i="5"/>
  <c r="D1052" i="5"/>
  <c r="H1051" i="5"/>
  <c r="D1051" i="5"/>
  <c r="H1050" i="5"/>
  <c r="D1050" i="5"/>
  <c r="H1049" i="5"/>
  <c r="D1049" i="5"/>
  <c r="H1048" i="5"/>
  <c r="D1048" i="5"/>
  <c r="H1047" i="5"/>
  <c r="D1047" i="5"/>
  <c r="H1046" i="5"/>
  <c r="D1046" i="5"/>
  <c r="H1045" i="5"/>
  <c r="D1045" i="5"/>
  <c r="H1044" i="5"/>
  <c r="D1044" i="5"/>
  <c r="H1043" i="5"/>
  <c r="D1043" i="5"/>
  <c r="H1042" i="5"/>
  <c r="D1042" i="5"/>
  <c r="H1041" i="5"/>
  <c r="D1041" i="5"/>
  <c r="H1040" i="5"/>
  <c r="D1040" i="5"/>
  <c r="H1039" i="5"/>
  <c r="D1039" i="5"/>
  <c r="H1038" i="5"/>
  <c r="D1038" i="5"/>
  <c r="H1037" i="5"/>
  <c r="D1037" i="5"/>
  <c r="H1036" i="5"/>
  <c r="D1036" i="5"/>
  <c r="H1035" i="5"/>
  <c r="D1035" i="5"/>
  <c r="H1034" i="5"/>
  <c r="D1034" i="5"/>
  <c r="H1033" i="5"/>
  <c r="D1033" i="5"/>
  <c r="H1032" i="5"/>
  <c r="D1032" i="5"/>
  <c r="H1031" i="5"/>
  <c r="D1031" i="5"/>
  <c r="H1030" i="5"/>
  <c r="D1030" i="5"/>
  <c r="H1029" i="5"/>
  <c r="D1029" i="5"/>
  <c r="H1028" i="5"/>
  <c r="D1028" i="5"/>
  <c r="H1027" i="5"/>
  <c r="D1027" i="5"/>
  <c r="H1026" i="5"/>
  <c r="D1026" i="5"/>
  <c r="H1025" i="5"/>
  <c r="D1025" i="5"/>
  <c r="H1024" i="5"/>
  <c r="D1024" i="5"/>
  <c r="H1023" i="5"/>
  <c r="D1023" i="5"/>
  <c r="H1022" i="5"/>
  <c r="D1022" i="5"/>
  <c r="H1021" i="5"/>
  <c r="D1021" i="5"/>
  <c r="H1020" i="5"/>
  <c r="D1020" i="5"/>
  <c r="H1019" i="5"/>
  <c r="D1019" i="5"/>
  <c r="H1018" i="5"/>
  <c r="D1018" i="5"/>
  <c r="H1017" i="5"/>
  <c r="D1017" i="5"/>
  <c r="H1016" i="5"/>
  <c r="D1016" i="5"/>
  <c r="H1015" i="5"/>
  <c r="D1015" i="5"/>
  <c r="H1014" i="5"/>
  <c r="D1014" i="5"/>
  <c r="H1013" i="5"/>
  <c r="D1013" i="5"/>
  <c r="H1012" i="5"/>
  <c r="D1012" i="5"/>
  <c r="H1011" i="5"/>
  <c r="D1011" i="5"/>
  <c r="H1010" i="5"/>
  <c r="D1010" i="5"/>
  <c r="H1009" i="5"/>
  <c r="D1009" i="5"/>
  <c r="H1008" i="5"/>
  <c r="D1008" i="5"/>
  <c r="H1007" i="5"/>
  <c r="D1007" i="5"/>
  <c r="H1006" i="5"/>
  <c r="D1006" i="5"/>
  <c r="H1005" i="5"/>
  <c r="D1005" i="5"/>
  <c r="H1004" i="5"/>
  <c r="D1004" i="5"/>
  <c r="H1003" i="5"/>
  <c r="D1003" i="5"/>
  <c r="H1002" i="5"/>
  <c r="D1002" i="5"/>
  <c r="H1001" i="5"/>
  <c r="D1001" i="5"/>
  <c r="H1000" i="5"/>
  <c r="D1000" i="5"/>
  <c r="H999" i="5"/>
  <c r="D999" i="5"/>
  <c r="H998" i="5"/>
  <c r="D998" i="5"/>
  <c r="H997" i="5"/>
  <c r="D997" i="5"/>
  <c r="H996" i="5"/>
  <c r="D996" i="5"/>
  <c r="H995" i="5"/>
  <c r="D995" i="5"/>
  <c r="H994" i="5"/>
  <c r="D994" i="5"/>
  <c r="H993" i="5"/>
  <c r="D993" i="5"/>
  <c r="H992" i="5"/>
  <c r="D992" i="5"/>
  <c r="H991" i="5"/>
  <c r="D991" i="5"/>
  <c r="H990" i="5"/>
  <c r="D990" i="5"/>
  <c r="H989" i="5"/>
  <c r="D989" i="5"/>
  <c r="H988" i="5"/>
  <c r="D988" i="5"/>
  <c r="H987" i="5"/>
  <c r="D987" i="5"/>
  <c r="H986" i="5"/>
  <c r="D986" i="5"/>
  <c r="H985" i="5"/>
  <c r="D985" i="5"/>
  <c r="H984" i="5"/>
  <c r="D984" i="5"/>
  <c r="H983" i="5"/>
  <c r="D983" i="5"/>
  <c r="H982" i="5"/>
  <c r="D982" i="5"/>
  <c r="H981" i="5"/>
  <c r="D981" i="5"/>
  <c r="H980" i="5"/>
  <c r="D980" i="5"/>
  <c r="H979" i="5"/>
  <c r="D979" i="5"/>
  <c r="H978" i="5"/>
  <c r="D978" i="5"/>
  <c r="H977" i="5"/>
  <c r="D977" i="5"/>
  <c r="H976" i="5"/>
  <c r="D976" i="5"/>
  <c r="H975" i="5"/>
  <c r="D975" i="5"/>
  <c r="H974" i="5"/>
  <c r="D974" i="5"/>
  <c r="H973" i="5"/>
  <c r="D973" i="5"/>
  <c r="H972" i="5"/>
  <c r="D972" i="5"/>
  <c r="H971" i="5"/>
  <c r="D971" i="5"/>
  <c r="H970" i="5"/>
  <c r="D970" i="5"/>
  <c r="H969" i="5"/>
  <c r="D969" i="5"/>
  <c r="H968" i="5"/>
  <c r="D968" i="5"/>
  <c r="H967" i="5"/>
  <c r="D967" i="5"/>
  <c r="H966" i="5"/>
  <c r="D966" i="5"/>
  <c r="H965" i="5"/>
  <c r="D965" i="5"/>
  <c r="H964" i="5"/>
  <c r="D964" i="5"/>
  <c r="H963" i="5"/>
  <c r="D963" i="5"/>
  <c r="H962" i="5"/>
  <c r="D962" i="5"/>
  <c r="H961" i="5"/>
  <c r="D961" i="5"/>
  <c r="H960" i="5"/>
  <c r="D960" i="5"/>
  <c r="H959" i="5"/>
  <c r="D959" i="5"/>
  <c r="H958" i="5"/>
  <c r="D958" i="5"/>
  <c r="H957" i="5"/>
  <c r="D957" i="5"/>
  <c r="H956" i="5"/>
  <c r="D956" i="5"/>
  <c r="H955" i="5"/>
  <c r="D955" i="5"/>
  <c r="H954" i="5"/>
  <c r="D954" i="5"/>
  <c r="H953" i="5"/>
  <c r="D953" i="5"/>
  <c r="H952" i="5"/>
  <c r="D952" i="5"/>
  <c r="H951" i="5"/>
  <c r="D951" i="5"/>
  <c r="H950" i="5"/>
  <c r="D950" i="5"/>
  <c r="H949" i="5"/>
  <c r="D949" i="5"/>
  <c r="H948" i="5"/>
  <c r="D948" i="5"/>
  <c r="H947" i="5"/>
  <c r="D947" i="5"/>
  <c r="H946" i="5"/>
  <c r="D946" i="5"/>
  <c r="H945" i="5"/>
  <c r="D945" i="5"/>
  <c r="H944" i="5"/>
  <c r="D944" i="5"/>
  <c r="H943" i="5"/>
  <c r="D943" i="5"/>
  <c r="H942" i="5"/>
  <c r="D942" i="5"/>
  <c r="H941" i="5"/>
  <c r="D941" i="5"/>
  <c r="H940" i="5"/>
  <c r="D940" i="5"/>
  <c r="H939" i="5"/>
  <c r="D939" i="5"/>
  <c r="H938" i="5"/>
  <c r="D938" i="5"/>
  <c r="H937" i="5"/>
  <c r="D937" i="5"/>
  <c r="H936" i="5"/>
  <c r="D936" i="5"/>
  <c r="H935" i="5"/>
  <c r="D935" i="5"/>
  <c r="H934" i="5"/>
  <c r="D934" i="5"/>
  <c r="H933" i="5"/>
  <c r="D933" i="5"/>
  <c r="H932" i="5"/>
  <c r="D932" i="5"/>
  <c r="H931" i="5"/>
  <c r="D931" i="5"/>
  <c r="H930" i="5"/>
  <c r="D930" i="5"/>
  <c r="H929" i="5"/>
  <c r="D929" i="5"/>
  <c r="H928" i="5"/>
  <c r="D928" i="5"/>
  <c r="H927" i="5"/>
  <c r="D927" i="5"/>
  <c r="H926" i="5"/>
  <c r="D926" i="5"/>
  <c r="H925" i="5"/>
  <c r="D925" i="5"/>
  <c r="H924" i="5"/>
  <c r="D924" i="5"/>
  <c r="H923" i="5"/>
  <c r="D923" i="5"/>
  <c r="H922" i="5"/>
  <c r="D922" i="5"/>
  <c r="H921" i="5"/>
  <c r="D921" i="5"/>
  <c r="H920" i="5"/>
  <c r="D920" i="5"/>
  <c r="H919" i="5"/>
  <c r="D919" i="5"/>
  <c r="H918" i="5"/>
  <c r="D918" i="5"/>
  <c r="H917" i="5"/>
  <c r="D917" i="5"/>
  <c r="H916" i="5"/>
  <c r="D916" i="5"/>
  <c r="H915" i="5"/>
  <c r="D915" i="5"/>
  <c r="H914" i="5"/>
  <c r="D914" i="5"/>
  <c r="H913" i="5"/>
  <c r="D913" i="5"/>
  <c r="H912" i="5"/>
  <c r="D912" i="5"/>
  <c r="H911" i="5"/>
  <c r="D911" i="5"/>
  <c r="H910" i="5"/>
  <c r="D910" i="5"/>
  <c r="H909" i="5"/>
  <c r="D909" i="5"/>
  <c r="H908" i="5"/>
  <c r="D908" i="5"/>
  <c r="H907" i="5"/>
  <c r="D907" i="5"/>
  <c r="H906" i="5"/>
  <c r="D906" i="5"/>
  <c r="H905" i="5"/>
  <c r="D905" i="5"/>
  <c r="H904" i="5"/>
  <c r="D904" i="5"/>
  <c r="H903" i="5"/>
  <c r="D903" i="5"/>
  <c r="H902" i="5"/>
  <c r="D902" i="5"/>
  <c r="H901" i="5"/>
  <c r="D901" i="5"/>
  <c r="H900" i="5"/>
  <c r="D900" i="5"/>
  <c r="H899" i="5"/>
  <c r="D899" i="5"/>
  <c r="H898" i="5"/>
  <c r="D898" i="5"/>
  <c r="H897" i="5"/>
  <c r="D897" i="5"/>
  <c r="H896" i="5"/>
  <c r="D896" i="5"/>
  <c r="H895" i="5"/>
  <c r="D895" i="5"/>
  <c r="H894" i="5"/>
  <c r="D894" i="5"/>
  <c r="H893" i="5"/>
  <c r="D893" i="5"/>
  <c r="H892" i="5"/>
  <c r="D892" i="5"/>
  <c r="H891" i="5"/>
  <c r="D891" i="5"/>
  <c r="H890" i="5"/>
  <c r="D890" i="5"/>
  <c r="H889" i="5"/>
  <c r="D889" i="5"/>
  <c r="H888" i="5"/>
  <c r="D888" i="5"/>
  <c r="H887" i="5"/>
  <c r="D887" i="5"/>
  <c r="H886" i="5"/>
  <c r="D886" i="5"/>
  <c r="H885" i="5"/>
  <c r="D885" i="5"/>
  <c r="H884" i="5"/>
  <c r="D884" i="5"/>
  <c r="H883" i="5"/>
  <c r="D883" i="5"/>
  <c r="H882" i="5"/>
  <c r="D882" i="5"/>
  <c r="H881" i="5"/>
  <c r="D881" i="5"/>
  <c r="H880" i="5"/>
  <c r="D880" i="5"/>
  <c r="H879" i="5"/>
  <c r="D879" i="5"/>
  <c r="H878" i="5"/>
  <c r="D878" i="5"/>
  <c r="H877" i="5"/>
  <c r="D877" i="5"/>
  <c r="H876" i="5"/>
  <c r="D876" i="5"/>
  <c r="H875" i="5"/>
  <c r="D875" i="5"/>
  <c r="H874" i="5"/>
  <c r="D874" i="5"/>
  <c r="H873" i="5"/>
  <c r="D873" i="5"/>
  <c r="H872" i="5"/>
  <c r="D872" i="5"/>
  <c r="H871" i="5"/>
  <c r="D871" i="5"/>
  <c r="H870" i="5"/>
  <c r="D870" i="5"/>
  <c r="H869" i="5"/>
  <c r="D869" i="5"/>
  <c r="H868" i="5"/>
  <c r="D868" i="5"/>
  <c r="H867" i="5"/>
  <c r="D867" i="5"/>
  <c r="H866" i="5"/>
  <c r="D866" i="5"/>
  <c r="H865" i="5"/>
  <c r="D865" i="5"/>
  <c r="H864" i="5"/>
  <c r="D864" i="5"/>
  <c r="H863" i="5"/>
  <c r="D863" i="5"/>
  <c r="H862" i="5"/>
  <c r="D862" i="5"/>
  <c r="H861" i="5"/>
  <c r="D861" i="5"/>
  <c r="H860" i="5"/>
  <c r="D860" i="5"/>
  <c r="H859" i="5"/>
  <c r="D859" i="5"/>
  <c r="H858" i="5"/>
  <c r="D858" i="5"/>
  <c r="H857" i="5"/>
  <c r="D857" i="5"/>
  <c r="H856" i="5"/>
  <c r="D856" i="5"/>
  <c r="H855" i="5"/>
  <c r="D855" i="5"/>
  <c r="H854" i="5"/>
  <c r="D854" i="5"/>
  <c r="H853" i="5"/>
  <c r="D853" i="5"/>
  <c r="H852" i="5"/>
  <c r="D852" i="5"/>
  <c r="H851" i="5"/>
  <c r="D851" i="5"/>
  <c r="H850" i="5"/>
  <c r="D850" i="5"/>
  <c r="H849" i="5"/>
  <c r="D849" i="5"/>
  <c r="H848" i="5"/>
  <c r="D848" i="5"/>
  <c r="H847" i="5"/>
  <c r="D847" i="5"/>
  <c r="H846" i="5"/>
  <c r="D846" i="5"/>
  <c r="H845" i="5"/>
  <c r="D845" i="5"/>
  <c r="H844" i="5"/>
  <c r="D844" i="5"/>
  <c r="H843" i="5"/>
  <c r="D843" i="5"/>
  <c r="H842" i="5"/>
  <c r="D842" i="5"/>
  <c r="H841" i="5"/>
  <c r="D841" i="5"/>
  <c r="H840" i="5"/>
  <c r="D840" i="5"/>
  <c r="H839" i="5"/>
  <c r="D839" i="5"/>
  <c r="H838" i="5"/>
  <c r="D838" i="5"/>
  <c r="H837" i="5"/>
  <c r="D837" i="5"/>
  <c r="H836" i="5"/>
  <c r="D836" i="5"/>
  <c r="H835" i="5"/>
  <c r="D835" i="5"/>
  <c r="H834" i="5"/>
  <c r="D834" i="5"/>
  <c r="H833" i="5"/>
  <c r="D833" i="5"/>
  <c r="H832" i="5"/>
  <c r="D832" i="5"/>
  <c r="H831" i="5"/>
  <c r="D831" i="5"/>
  <c r="H830" i="5"/>
  <c r="D830" i="5"/>
  <c r="H829" i="5"/>
  <c r="D829" i="5"/>
  <c r="H828" i="5"/>
  <c r="D828" i="5"/>
  <c r="H827" i="5"/>
  <c r="D827" i="5"/>
  <c r="H826" i="5"/>
  <c r="D826" i="5"/>
  <c r="H825" i="5"/>
  <c r="D825" i="5"/>
  <c r="H824" i="5"/>
  <c r="D824" i="5"/>
  <c r="H823" i="5"/>
  <c r="D823" i="5"/>
  <c r="H822" i="5"/>
  <c r="D822" i="5"/>
  <c r="H821" i="5"/>
  <c r="D821" i="5"/>
  <c r="H820" i="5"/>
  <c r="D820" i="5"/>
  <c r="H819" i="5"/>
  <c r="D819" i="5"/>
  <c r="H818" i="5"/>
  <c r="D818" i="5"/>
  <c r="H817" i="5"/>
  <c r="D817" i="5"/>
  <c r="H816" i="5"/>
  <c r="D816" i="5"/>
  <c r="H815" i="5"/>
  <c r="D815" i="5"/>
  <c r="H814" i="5"/>
  <c r="D814" i="5"/>
  <c r="H813" i="5"/>
  <c r="D813" i="5"/>
  <c r="H812" i="5"/>
  <c r="D812" i="5"/>
  <c r="H811" i="5"/>
  <c r="D811" i="5"/>
  <c r="H810" i="5"/>
  <c r="D810" i="5"/>
  <c r="H809" i="5"/>
  <c r="D809" i="5"/>
  <c r="H808" i="5"/>
  <c r="D808" i="5"/>
  <c r="H807" i="5"/>
  <c r="D807" i="5"/>
  <c r="H806" i="5"/>
  <c r="D806" i="5"/>
  <c r="H805" i="5"/>
  <c r="D805" i="5"/>
  <c r="H804" i="5"/>
  <c r="D804" i="5"/>
  <c r="H803" i="5"/>
  <c r="D803" i="5"/>
  <c r="H802" i="5"/>
  <c r="D802" i="5"/>
  <c r="H801" i="5"/>
  <c r="D801" i="5"/>
  <c r="H800" i="5"/>
  <c r="D800" i="5"/>
  <c r="H799" i="5"/>
  <c r="D799" i="5"/>
  <c r="H798" i="5"/>
  <c r="D798" i="5"/>
  <c r="H797" i="5"/>
  <c r="D797" i="5"/>
  <c r="H796" i="5"/>
  <c r="D796" i="5"/>
  <c r="H795" i="5"/>
  <c r="D795" i="5"/>
  <c r="H794" i="5"/>
  <c r="D794" i="5"/>
  <c r="H793" i="5"/>
  <c r="D793" i="5"/>
  <c r="H792" i="5"/>
  <c r="D792" i="5"/>
  <c r="H791" i="5"/>
  <c r="D791" i="5"/>
  <c r="H790" i="5"/>
  <c r="D790" i="5"/>
  <c r="H789" i="5"/>
  <c r="D789" i="5"/>
  <c r="H788" i="5"/>
  <c r="D788" i="5"/>
  <c r="H787" i="5"/>
  <c r="D787" i="5"/>
  <c r="H786" i="5"/>
  <c r="D786" i="5"/>
  <c r="H785" i="5"/>
  <c r="D785" i="5"/>
  <c r="H784" i="5"/>
  <c r="D784" i="5"/>
  <c r="H783" i="5"/>
  <c r="D783" i="5"/>
  <c r="H782" i="5"/>
  <c r="D782" i="5"/>
  <c r="H781" i="5"/>
  <c r="D781" i="5"/>
  <c r="H780" i="5"/>
  <c r="D780" i="5"/>
  <c r="H779" i="5"/>
  <c r="D779" i="5"/>
  <c r="H778" i="5"/>
  <c r="D778" i="5"/>
  <c r="H777" i="5"/>
  <c r="D777" i="5"/>
  <c r="H776" i="5"/>
  <c r="D776" i="5"/>
  <c r="H775" i="5"/>
  <c r="D775" i="5"/>
  <c r="H774" i="5"/>
  <c r="D774" i="5"/>
  <c r="H773" i="5"/>
  <c r="D773" i="5"/>
  <c r="H772" i="5"/>
  <c r="D772" i="5"/>
  <c r="H771" i="5"/>
  <c r="D771" i="5"/>
  <c r="H770" i="5"/>
  <c r="D770" i="5"/>
  <c r="H769" i="5"/>
  <c r="D769" i="5"/>
  <c r="H768" i="5"/>
  <c r="D768" i="5"/>
  <c r="H767" i="5"/>
  <c r="D767" i="5"/>
  <c r="H766" i="5"/>
  <c r="D766" i="5"/>
  <c r="H765" i="5"/>
  <c r="D765" i="5"/>
  <c r="H764" i="5"/>
  <c r="D764" i="5"/>
  <c r="H763" i="5"/>
  <c r="D763" i="5"/>
  <c r="H762" i="5"/>
  <c r="D762" i="5"/>
  <c r="H761" i="5"/>
  <c r="D761" i="5"/>
  <c r="H760" i="5"/>
  <c r="D760" i="5"/>
  <c r="H759" i="5"/>
  <c r="D759" i="5"/>
  <c r="H758" i="5"/>
  <c r="D758" i="5"/>
  <c r="H757" i="5"/>
  <c r="D757" i="5"/>
  <c r="H756" i="5"/>
  <c r="D756" i="5"/>
  <c r="H755" i="5"/>
  <c r="D755" i="5"/>
  <c r="H754" i="5"/>
  <c r="D754" i="5"/>
  <c r="H753" i="5"/>
  <c r="D753" i="5"/>
  <c r="H752" i="5"/>
  <c r="D752" i="5"/>
  <c r="H751" i="5"/>
  <c r="D751" i="5"/>
  <c r="H750" i="5"/>
  <c r="D750" i="5"/>
  <c r="H749" i="5"/>
  <c r="D749" i="5"/>
  <c r="H748" i="5"/>
  <c r="D748" i="5"/>
  <c r="H747" i="5"/>
  <c r="D747" i="5"/>
  <c r="H746" i="5"/>
  <c r="D746" i="5"/>
  <c r="H745" i="5"/>
  <c r="D745" i="5"/>
  <c r="H744" i="5"/>
  <c r="D744" i="5"/>
  <c r="H743" i="5"/>
  <c r="D743" i="5"/>
  <c r="H742" i="5"/>
  <c r="D742" i="5"/>
  <c r="H741" i="5"/>
  <c r="D741" i="5"/>
  <c r="H740" i="5"/>
  <c r="D740" i="5"/>
  <c r="H739" i="5"/>
  <c r="D739" i="5"/>
  <c r="H738" i="5"/>
  <c r="D738" i="5"/>
  <c r="H737" i="5"/>
  <c r="D737" i="5"/>
  <c r="H736" i="5"/>
  <c r="D736" i="5"/>
  <c r="H735" i="5"/>
  <c r="D735" i="5"/>
  <c r="H734" i="5"/>
  <c r="D734" i="5"/>
  <c r="H733" i="5"/>
  <c r="D733" i="5"/>
  <c r="H732" i="5"/>
  <c r="D732" i="5"/>
  <c r="H731" i="5"/>
  <c r="D731" i="5"/>
  <c r="H730" i="5"/>
  <c r="D730" i="5"/>
  <c r="H729" i="5"/>
  <c r="D729" i="5"/>
  <c r="H728" i="5"/>
  <c r="D728" i="5"/>
  <c r="H727" i="5"/>
  <c r="D727" i="5"/>
  <c r="H726" i="5"/>
  <c r="D726" i="5"/>
  <c r="H725" i="5"/>
  <c r="D725" i="5"/>
  <c r="H724" i="5"/>
  <c r="D724" i="5"/>
  <c r="H723" i="5"/>
  <c r="D723" i="5"/>
  <c r="H722" i="5"/>
  <c r="D722" i="5"/>
  <c r="H721" i="5"/>
  <c r="D721" i="5"/>
  <c r="H720" i="5"/>
  <c r="D720" i="5"/>
  <c r="H719" i="5"/>
  <c r="D719" i="5"/>
  <c r="H718" i="5"/>
  <c r="D718" i="5"/>
  <c r="H717" i="5"/>
  <c r="D717" i="5"/>
  <c r="H716" i="5"/>
  <c r="D716" i="5"/>
  <c r="H715" i="5"/>
  <c r="D715" i="5"/>
  <c r="H714" i="5"/>
  <c r="D714" i="5"/>
  <c r="H713" i="5"/>
  <c r="D713" i="5"/>
  <c r="H712" i="5"/>
  <c r="D712" i="5"/>
  <c r="H711" i="5"/>
  <c r="D711" i="5"/>
  <c r="H710" i="5"/>
  <c r="D710" i="5"/>
  <c r="H709" i="5"/>
  <c r="D709" i="5"/>
  <c r="H708" i="5"/>
  <c r="D708" i="5"/>
  <c r="H707" i="5"/>
  <c r="D707" i="5"/>
  <c r="H706" i="5"/>
  <c r="D706" i="5"/>
  <c r="H705" i="5"/>
  <c r="D705" i="5"/>
  <c r="H704" i="5"/>
  <c r="D704" i="5"/>
  <c r="H703" i="5"/>
  <c r="D703" i="5"/>
  <c r="H702" i="5"/>
  <c r="D702" i="5"/>
  <c r="H701" i="5"/>
  <c r="D701" i="5"/>
  <c r="H700" i="5"/>
  <c r="D700" i="5"/>
  <c r="H699" i="5"/>
  <c r="D699" i="5"/>
  <c r="H698" i="5"/>
  <c r="D698" i="5"/>
  <c r="H697" i="5"/>
  <c r="D697" i="5"/>
  <c r="H696" i="5"/>
  <c r="D696" i="5"/>
  <c r="H695" i="5"/>
  <c r="D695" i="5"/>
  <c r="H694" i="5"/>
  <c r="D694" i="5"/>
  <c r="H693" i="5"/>
  <c r="D693" i="5"/>
  <c r="H692" i="5"/>
  <c r="D692" i="5"/>
  <c r="H691" i="5"/>
  <c r="D691" i="5"/>
  <c r="H690" i="5"/>
  <c r="D690" i="5"/>
  <c r="H689" i="5"/>
  <c r="D689" i="5"/>
  <c r="H688" i="5"/>
  <c r="D688" i="5"/>
  <c r="H687" i="5"/>
  <c r="D687" i="5"/>
  <c r="H686" i="5"/>
  <c r="D686" i="5"/>
  <c r="H685" i="5"/>
  <c r="D685" i="5"/>
  <c r="H684" i="5"/>
  <c r="D684" i="5"/>
  <c r="H683" i="5"/>
  <c r="D683" i="5"/>
  <c r="H682" i="5"/>
  <c r="D682" i="5"/>
  <c r="H681" i="5"/>
  <c r="D681" i="5"/>
  <c r="H680" i="5"/>
  <c r="D680" i="5"/>
  <c r="H679" i="5"/>
  <c r="D679" i="5"/>
  <c r="H678" i="5"/>
  <c r="D678" i="5"/>
  <c r="H677" i="5"/>
  <c r="D677" i="5"/>
  <c r="H676" i="5"/>
  <c r="D676" i="5"/>
  <c r="H675" i="5"/>
  <c r="D675" i="5"/>
  <c r="H674" i="5"/>
  <c r="D674" i="5"/>
  <c r="H673" i="5"/>
  <c r="D673" i="5"/>
  <c r="H672" i="5"/>
  <c r="D672" i="5"/>
  <c r="H671" i="5"/>
  <c r="D671" i="5"/>
  <c r="H670" i="5"/>
  <c r="D670" i="5"/>
  <c r="H669" i="5"/>
  <c r="D669" i="5"/>
  <c r="H668" i="5"/>
  <c r="D668" i="5"/>
  <c r="H667" i="5"/>
  <c r="D667" i="5"/>
  <c r="H666" i="5"/>
  <c r="D666" i="5"/>
  <c r="H665" i="5"/>
  <c r="D665" i="5"/>
  <c r="H664" i="5"/>
  <c r="D664" i="5"/>
  <c r="H663" i="5"/>
  <c r="D663" i="5"/>
  <c r="H662" i="5"/>
  <c r="D662" i="5"/>
  <c r="H661" i="5"/>
  <c r="D661" i="5"/>
  <c r="H660" i="5"/>
  <c r="D660" i="5"/>
  <c r="H659" i="5"/>
  <c r="D659" i="5"/>
  <c r="H658" i="5"/>
  <c r="D658" i="5"/>
  <c r="H657" i="5"/>
  <c r="D657" i="5"/>
  <c r="H656" i="5"/>
  <c r="D656" i="5"/>
  <c r="H655" i="5"/>
  <c r="D655" i="5"/>
  <c r="H654" i="5"/>
  <c r="D654" i="5"/>
  <c r="H653" i="5"/>
  <c r="D653" i="5"/>
  <c r="H652" i="5"/>
  <c r="D652" i="5"/>
  <c r="H651" i="5"/>
  <c r="D651" i="5"/>
  <c r="H650" i="5"/>
  <c r="D650" i="5"/>
  <c r="H649" i="5"/>
  <c r="D649" i="5"/>
  <c r="H648" i="5"/>
  <c r="D648" i="5"/>
  <c r="H647" i="5"/>
  <c r="D647" i="5"/>
  <c r="H646" i="5"/>
  <c r="D646" i="5"/>
  <c r="H645" i="5"/>
  <c r="D645" i="5"/>
  <c r="H644" i="5"/>
  <c r="D644" i="5"/>
  <c r="H643" i="5"/>
  <c r="D643" i="5"/>
  <c r="H642" i="5"/>
  <c r="D642" i="5"/>
  <c r="H641" i="5"/>
  <c r="D641" i="5"/>
  <c r="H640" i="5"/>
  <c r="D640" i="5"/>
  <c r="H639" i="5"/>
  <c r="D639" i="5"/>
  <c r="H638" i="5"/>
  <c r="D638" i="5"/>
  <c r="H637" i="5"/>
  <c r="D637" i="5"/>
  <c r="H636" i="5"/>
  <c r="D636" i="5"/>
  <c r="H635" i="5"/>
  <c r="D635" i="5"/>
  <c r="H634" i="5"/>
  <c r="D634" i="5"/>
  <c r="H633" i="5"/>
  <c r="D633" i="5"/>
  <c r="H632" i="5"/>
  <c r="D632" i="5"/>
  <c r="H631" i="5"/>
  <c r="D631" i="5"/>
  <c r="H630" i="5"/>
  <c r="D630" i="5"/>
  <c r="H629" i="5"/>
  <c r="D629" i="5"/>
  <c r="H628" i="5"/>
  <c r="D628" i="5"/>
  <c r="H627" i="5"/>
  <c r="D627" i="5"/>
  <c r="H626" i="5"/>
  <c r="D626" i="5"/>
  <c r="H625" i="5"/>
  <c r="D625" i="5"/>
  <c r="H624" i="5"/>
  <c r="D624" i="5"/>
  <c r="H623" i="5"/>
  <c r="D623" i="5"/>
  <c r="H622" i="5"/>
  <c r="D622" i="5"/>
  <c r="H621" i="5"/>
  <c r="D621" i="5"/>
  <c r="H620" i="5"/>
  <c r="D620" i="5"/>
  <c r="H619" i="5"/>
  <c r="D619" i="5"/>
  <c r="H618" i="5"/>
  <c r="D618" i="5"/>
  <c r="H617" i="5"/>
  <c r="D617" i="5"/>
  <c r="H616" i="5"/>
  <c r="D616" i="5"/>
  <c r="H615" i="5"/>
  <c r="D615" i="5"/>
  <c r="H614" i="5"/>
  <c r="D614" i="5"/>
  <c r="H613" i="5"/>
  <c r="D613" i="5"/>
  <c r="H612" i="5"/>
  <c r="D612" i="5"/>
  <c r="H611" i="5"/>
  <c r="D611" i="5"/>
  <c r="H610" i="5"/>
  <c r="D610" i="5"/>
  <c r="H609" i="5"/>
  <c r="D609" i="5"/>
  <c r="H608" i="5"/>
  <c r="D608" i="5"/>
  <c r="H607" i="5"/>
  <c r="D607" i="5"/>
  <c r="H606" i="5"/>
  <c r="D606" i="5"/>
  <c r="H605" i="5"/>
  <c r="D605" i="5"/>
  <c r="H604" i="5"/>
  <c r="D604" i="5"/>
  <c r="H603" i="5"/>
  <c r="D603" i="5"/>
  <c r="H602" i="5"/>
  <c r="D602" i="5"/>
  <c r="H601" i="5"/>
  <c r="D601" i="5"/>
  <c r="H600" i="5"/>
  <c r="D600" i="5"/>
  <c r="H599" i="5"/>
  <c r="D599" i="5"/>
  <c r="H598" i="5"/>
  <c r="D598" i="5"/>
  <c r="H597" i="5"/>
  <c r="D597" i="5"/>
  <c r="H596" i="5"/>
  <c r="D596" i="5"/>
  <c r="H595" i="5"/>
  <c r="D595" i="5"/>
  <c r="H594" i="5"/>
  <c r="D594" i="5"/>
  <c r="H593" i="5"/>
  <c r="D593" i="5"/>
  <c r="H592" i="5"/>
  <c r="D592" i="5"/>
  <c r="H591" i="5"/>
  <c r="D591" i="5"/>
  <c r="H590" i="5"/>
  <c r="D590" i="5"/>
  <c r="H589" i="5"/>
  <c r="D589" i="5"/>
  <c r="H588" i="5"/>
  <c r="D588" i="5"/>
  <c r="H587" i="5"/>
  <c r="D587" i="5"/>
  <c r="H586" i="5"/>
  <c r="D586" i="5"/>
  <c r="H585" i="5"/>
  <c r="D585" i="5"/>
  <c r="H584" i="5"/>
  <c r="D584" i="5"/>
  <c r="H583" i="5"/>
  <c r="D583" i="5"/>
  <c r="H582" i="5"/>
  <c r="D582" i="5"/>
  <c r="H581" i="5"/>
  <c r="D581" i="5"/>
  <c r="H580" i="5"/>
  <c r="D580" i="5"/>
  <c r="H579" i="5"/>
  <c r="D579" i="5"/>
  <c r="H578" i="5"/>
  <c r="D578" i="5"/>
  <c r="H577" i="5"/>
  <c r="D577" i="5"/>
  <c r="H576" i="5"/>
  <c r="D576" i="5"/>
  <c r="H575" i="5"/>
  <c r="D575" i="5"/>
  <c r="H574" i="5"/>
  <c r="D574" i="5"/>
  <c r="H573" i="5"/>
  <c r="D573" i="5"/>
  <c r="H572" i="5"/>
  <c r="D572" i="5"/>
  <c r="H571" i="5"/>
  <c r="D571" i="5"/>
  <c r="H570" i="5"/>
  <c r="D570" i="5"/>
  <c r="H569" i="5"/>
  <c r="D569" i="5"/>
  <c r="H568" i="5"/>
  <c r="D568" i="5"/>
  <c r="H567" i="5"/>
  <c r="D567" i="5"/>
  <c r="H566" i="5"/>
  <c r="D566" i="5"/>
  <c r="H565" i="5"/>
  <c r="D565" i="5"/>
  <c r="H564" i="5"/>
  <c r="D564" i="5"/>
  <c r="H563" i="5"/>
  <c r="D563" i="5"/>
  <c r="H562" i="5"/>
  <c r="D562" i="5"/>
  <c r="H561" i="5"/>
  <c r="D561" i="5"/>
  <c r="H560" i="5"/>
  <c r="D560" i="5"/>
  <c r="H559" i="5"/>
  <c r="D559" i="5"/>
  <c r="H558" i="5"/>
  <c r="D558" i="5"/>
  <c r="H557" i="5"/>
  <c r="D557" i="5"/>
  <c r="H556" i="5"/>
  <c r="D556" i="5"/>
  <c r="H555" i="5"/>
  <c r="D555" i="5"/>
  <c r="H554" i="5"/>
  <c r="D554" i="5"/>
  <c r="H553" i="5"/>
  <c r="D553" i="5"/>
  <c r="H552" i="5"/>
  <c r="D552" i="5"/>
  <c r="H551" i="5"/>
  <c r="D551" i="5"/>
  <c r="H550" i="5"/>
  <c r="D550" i="5"/>
  <c r="H549" i="5"/>
  <c r="D549" i="5"/>
  <c r="H548" i="5"/>
  <c r="D548" i="5"/>
  <c r="H547" i="5"/>
  <c r="D547" i="5"/>
  <c r="H546" i="5"/>
  <c r="D546" i="5"/>
  <c r="H545" i="5"/>
  <c r="D545" i="5"/>
  <c r="H544" i="5"/>
  <c r="D544" i="5"/>
  <c r="H543" i="5"/>
  <c r="D543" i="5"/>
  <c r="H542" i="5"/>
  <c r="D542" i="5"/>
  <c r="H541" i="5"/>
  <c r="D541" i="5"/>
  <c r="H540" i="5"/>
  <c r="D540" i="5"/>
  <c r="H539" i="5"/>
  <c r="D539" i="5"/>
  <c r="H538" i="5"/>
  <c r="D538" i="5"/>
  <c r="H537" i="5"/>
  <c r="D537" i="5"/>
  <c r="H536" i="5"/>
  <c r="D536" i="5"/>
  <c r="H535" i="5"/>
  <c r="D535" i="5"/>
  <c r="H534" i="5"/>
  <c r="D534" i="5"/>
  <c r="H533" i="5"/>
  <c r="D533" i="5"/>
  <c r="H532" i="5"/>
  <c r="D532" i="5"/>
  <c r="H531" i="5"/>
  <c r="D531" i="5"/>
  <c r="H530" i="5"/>
  <c r="D530" i="5"/>
  <c r="H529" i="5"/>
  <c r="D529" i="5"/>
  <c r="H528" i="5"/>
  <c r="D528" i="5"/>
  <c r="H527" i="5"/>
  <c r="D527" i="5"/>
  <c r="H526" i="5"/>
  <c r="D526" i="5"/>
  <c r="H525" i="5"/>
  <c r="D525" i="5"/>
  <c r="H524" i="5"/>
  <c r="D524" i="5"/>
  <c r="H523" i="5"/>
  <c r="D523" i="5"/>
  <c r="H522" i="5"/>
  <c r="D522" i="5"/>
  <c r="H521" i="5"/>
  <c r="D521" i="5"/>
  <c r="H520" i="5"/>
  <c r="D520" i="5"/>
  <c r="H519" i="5"/>
  <c r="D519" i="5"/>
  <c r="H518" i="5"/>
  <c r="D518" i="5"/>
  <c r="H517" i="5"/>
  <c r="D517" i="5"/>
  <c r="H516" i="5"/>
  <c r="D516" i="5"/>
  <c r="H515" i="5"/>
  <c r="D515" i="5"/>
  <c r="H514" i="5"/>
  <c r="D514" i="5"/>
  <c r="H513" i="5"/>
  <c r="D513" i="5"/>
  <c r="H512" i="5"/>
  <c r="D512" i="5"/>
  <c r="H511" i="5"/>
  <c r="D511" i="5"/>
  <c r="H510" i="5"/>
  <c r="D510" i="5"/>
  <c r="H509" i="5"/>
  <c r="D509" i="5"/>
  <c r="H508" i="5"/>
  <c r="D508" i="5"/>
  <c r="H507" i="5"/>
  <c r="D507" i="5"/>
  <c r="H506" i="5"/>
  <c r="D506" i="5"/>
  <c r="H505" i="5"/>
  <c r="D505" i="5"/>
  <c r="H504" i="5"/>
  <c r="D504" i="5"/>
  <c r="H503" i="5"/>
  <c r="D503" i="5"/>
  <c r="H502" i="5"/>
  <c r="D502" i="5"/>
  <c r="H501" i="5"/>
  <c r="D501" i="5"/>
  <c r="H500" i="5"/>
  <c r="D500" i="5"/>
  <c r="H499" i="5"/>
  <c r="D499" i="5"/>
  <c r="H498" i="5"/>
  <c r="D498" i="5"/>
  <c r="H497" i="5"/>
  <c r="D497" i="5"/>
  <c r="H496" i="5"/>
  <c r="D496" i="5"/>
  <c r="H495" i="5"/>
  <c r="D495" i="5"/>
  <c r="H494" i="5"/>
  <c r="D494" i="5"/>
  <c r="H493" i="5"/>
  <c r="D493" i="5"/>
  <c r="H492" i="5"/>
  <c r="D492" i="5"/>
  <c r="H491" i="5"/>
  <c r="D491" i="5"/>
  <c r="H490" i="5"/>
  <c r="D490" i="5"/>
  <c r="H489" i="5"/>
  <c r="D489" i="5"/>
  <c r="H488" i="5"/>
  <c r="D488" i="5"/>
  <c r="H487" i="5"/>
  <c r="D487" i="5"/>
  <c r="H486" i="5"/>
  <c r="D486" i="5"/>
  <c r="H485" i="5"/>
  <c r="D485" i="5"/>
  <c r="H484" i="5"/>
  <c r="D484" i="5"/>
  <c r="H483" i="5"/>
  <c r="D483" i="5"/>
  <c r="H482" i="5"/>
  <c r="D482" i="5"/>
  <c r="H481" i="5"/>
  <c r="D481" i="5"/>
  <c r="H480" i="5"/>
  <c r="D480" i="5"/>
  <c r="H479" i="5"/>
  <c r="D479" i="5"/>
  <c r="H478" i="5"/>
  <c r="D478" i="5"/>
  <c r="H477" i="5"/>
  <c r="D477" i="5"/>
  <c r="H476" i="5"/>
  <c r="D476" i="5"/>
  <c r="H475" i="5"/>
  <c r="D475" i="5"/>
  <c r="H474" i="5"/>
  <c r="D474" i="5"/>
  <c r="H473" i="5"/>
  <c r="D473" i="5"/>
  <c r="H472" i="5"/>
  <c r="D472" i="5"/>
  <c r="H471" i="5"/>
  <c r="D471" i="5"/>
  <c r="H470" i="5"/>
  <c r="D470" i="5"/>
  <c r="H469" i="5"/>
  <c r="D469" i="5"/>
  <c r="H468" i="5"/>
  <c r="D468" i="5"/>
  <c r="H467" i="5"/>
  <c r="D467" i="5"/>
  <c r="H466" i="5"/>
  <c r="D466" i="5"/>
  <c r="H465" i="5"/>
  <c r="D465" i="5"/>
  <c r="H464" i="5"/>
  <c r="D464" i="5"/>
  <c r="H463" i="5"/>
  <c r="D463" i="5"/>
  <c r="H462" i="5"/>
  <c r="D462" i="5"/>
  <c r="H461" i="5"/>
  <c r="D461" i="5"/>
  <c r="H460" i="5"/>
  <c r="D460" i="5"/>
  <c r="H459" i="5"/>
  <c r="D459" i="5"/>
  <c r="H458" i="5"/>
  <c r="D458" i="5"/>
  <c r="H457" i="5"/>
  <c r="D457" i="5"/>
  <c r="H456" i="5"/>
  <c r="D456" i="5"/>
  <c r="H455" i="5"/>
  <c r="D455" i="5"/>
  <c r="H454" i="5"/>
  <c r="D454" i="5"/>
  <c r="H453" i="5"/>
  <c r="D453" i="5"/>
  <c r="H452" i="5"/>
  <c r="D452" i="5"/>
  <c r="H451" i="5"/>
  <c r="D451" i="5"/>
  <c r="H450" i="5"/>
  <c r="D450" i="5"/>
  <c r="H449" i="5"/>
  <c r="D449" i="5"/>
  <c r="H448" i="5"/>
  <c r="D448" i="5"/>
  <c r="H447" i="5"/>
  <c r="D447" i="5"/>
  <c r="H446" i="5"/>
  <c r="D446" i="5"/>
  <c r="H445" i="5"/>
  <c r="D445" i="5"/>
  <c r="H444" i="5"/>
  <c r="D444" i="5"/>
  <c r="H443" i="5"/>
  <c r="D443" i="5"/>
  <c r="H442" i="5"/>
  <c r="D442" i="5"/>
  <c r="H441" i="5"/>
  <c r="D441" i="5"/>
  <c r="H440" i="5"/>
  <c r="D440" i="5"/>
  <c r="H439" i="5"/>
  <c r="D439" i="5"/>
  <c r="H438" i="5"/>
  <c r="D438" i="5"/>
  <c r="H437" i="5"/>
  <c r="D437" i="5"/>
  <c r="H436" i="5"/>
  <c r="D436" i="5"/>
  <c r="H435" i="5"/>
  <c r="D435" i="5"/>
  <c r="H434" i="5"/>
  <c r="D434" i="5"/>
  <c r="H433" i="5"/>
  <c r="D433" i="5"/>
  <c r="H432" i="5"/>
  <c r="D432" i="5"/>
  <c r="H431" i="5"/>
  <c r="D431" i="5"/>
  <c r="H430" i="5"/>
  <c r="D430" i="5"/>
  <c r="H429" i="5"/>
  <c r="D429" i="5"/>
  <c r="H428" i="5"/>
  <c r="D428" i="5"/>
  <c r="H427" i="5"/>
  <c r="D427" i="5"/>
  <c r="H426" i="5"/>
  <c r="D426" i="5"/>
  <c r="H425" i="5"/>
  <c r="D425" i="5"/>
  <c r="H424" i="5"/>
  <c r="D424" i="5"/>
  <c r="H423" i="5"/>
  <c r="D423" i="5"/>
  <c r="H422" i="5"/>
  <c r="D422" i="5"/>
  <c r="H421" i="5"/>
  <c r="D421" i="5"/>
  <c r="H420" i="5"/>
  <c r="D420" i="5"/>
  <c r="H419" i="5"/>
  <c r="D419" i="5"/>
  <c r="H418" i="5"/>
  <c r="D418" i="5"/>
  <c r="H417" i="5"/>
  <c r="D417" i="5"/>
  <c r="H416" i="5"/>
  <c r="D416" i="5"/>
  <c r="H415" i="5"/>
  <c r="D415" i="5"/>
  <c r="H414" i="5"/>
  <c r="D414" i="5"/>
  <c r="H413" i="5"/>
  <c r="D413" i="5"/>
  <c r="H412" i="5"/>
  <c r="D412" i="5"/>
  <c r="H411" i="5"/>
  <c r="D411" i="5"/>
  <c r="H410" i="5"/>
  <c r="D410" i="5"/>
  <c r="H409" i="5"/>
  <c r="D409" i="5"/>
  <c r="H408" i="5"/>
  <c r="D408" i="5"/>
  <c r="H407" i="5"/>
  <c r="D407" i="5"/>
  <c r="H406" i="5"/>
  <c r="D406" i="5"/>
  <c r="H405" i="5"/>
  <c r="D405" i="5"/>
  <c r="H404" i="5"/>
  <c r="D404" i="5"/>
  <c r="H403" i="5"/>
  <c r="D403" i="5"/>
  <c r="H402" i="5"/>
  <c r="D402" i="5"/>
  <c r="H401" i="5"/>
  <c r="D401" i="5"/>
  <c r="H400" i="5"/>
  <c r="D400" i="5"/>
  <c r="H399" i="5"/>
  <c r="D399" i="5"/>
  <c r="H398" i="5"/>
  <c r="D398" i="5"/>
  <c r="H397" i="5"/>
  <c r="D397" i="5"/>
  <c r="H396" i="5"/>
  <c r="D396" i="5"/>
  <c r="H395" i="5"/>
  <c r="D395" i="5"/>
  <c r="H394" i="5"/>
  <c r="D394" i="5"/>
  <c r="H393" i="5"/>
  <c r="D393" i="5"/>
  <c r="H392" i="5"/>
  <c r="D392" i="5"/>
  <c r="H391" i="5"/>
  <c r="D391" i="5"/>
  <c r="H390" i="5"/>
  <c r="D390" i="5"/>
  <c r="H389" i="5"/>
  <c r="D389" i="5"/>
  <c r="H388" i="5"/>
  <c r="D388" i="5"/>
  <c r="H387" i="5"/>
  <c r="D387" i="5"/>
  <c r="H386" i="5"/>
  <c r="D386" i="5"/>
  <c r="H385" i="5"/>
  <c r="D385" i="5"/>
  <c r="H384" i="5"/>
  <c r="D384" i="5"/>
  <c r="H383" i="5"/>
  <c r="D383" i="5"/>
  <c r="H382" i="5"/>
  <c r="D382" i="5"/>
  <c r="H381" i="5"/>
  <c r="D381" i="5"/>
  <c r="H380" i="5"/>
  <c r="D380" i="5"/>
  <c r="H379" i="5"/>
  <c r="D379" i="5"/>
  <c r="H378" i="5"/>
  <c r="D378" i="5"/>
  <c r="H377" i="5"/>
  <c r="D377" i="5"/>
  <c r="H376" i="5"/>
  <c r="D376" i="5"/>
  <c r="H375" i="5"/>
  <c r="D375" i="5"/>
  <c r="H374" i="5"/>
  <c r="D374" i="5"/>
  <c r="H373" i="5"/>
  <c r="D373" i="5"/>
  <c r="H372" i="5"/>
  <c r="D372" i="5"/>
  <c r="H371" i="5"/>
  <c r="D371" i="5"/>
  <c r="H370" i="5"/>
  <c r="D370" i="5"/>
  <c r="H369" i="5"/>
  <c r="D369" i="5"/>
  <c r="H368" i="5"/>
  <c r="D368" i="5"/>
  <c r="H367" i="5"/>
  <c r="D367" i="5"/>
  <c r="H366" i="5"/>
  <c r="D366" i="5"/>
  <c r="H365" i="5"/>
  <c r="D365" i="5"/>
  <c r="H364" i="5"/>
  <c r="D364" i="5"/>
  <c r="H363" i="5"/>
  <c r="D363" i="5"/>
  <c r="H362" i="5"/>
  <c r="D362" i="5"/>
  <c r="H361" i="5"/>
  <c r="D361" i="5"/>
  <c r="H360" i="5"/>
  <c r="D360" i="5"/>
  <c r="H359" i="5"/>
  <c r="D359" i="5"/>
  <c r="H358" i="5"/>
  <c r="D358" i="5"/>
  <c r="H357" i="5"/>
  <c r="D357" i="5"/>
  <c r="H356" i="5"/>
  <c r="D356" i="5"/>
  <c r="H355" i="5"/>
  <c r="D355" i="5"/>
  <c r="H354" i="5"/>
  <c r="D354" i="5"/>
  <c r="H353" i="5"/>
  <c r="D353" i="5"/>
  <c r="H352" i="5"/>
  <c r="D352" i="5"/>
  <c r="H351" i="5"/>
  <c r="D351" i="5"/>
  <c r="H350" i="5"/>
  <c r="D350" i="5"/>
  <c r="H349" i="5"/>
  <c r="D349" i="5"/>
  <c r="H348" i="5"/>
  <c r="D348" i="5"/>
  <c r="H347" i="5"/>
  <c r="D347" i="5"/>
  <c r="H346" i="5"/>
  <c r="D346" i="5"/>
  <c r="H345" i="5"/>
  <c r="D345" i="5"/>
  <c r="H344" i="5"/>
  <c r="D344" i="5"/>
  <c r="H343" i="5"/>
  <c r="D343" i="5"/>
  <c r="H342" i="5"/>
  <c r="D342" i="5"/>
  <c r="H341" i="5"/>
  <c r="D341" i="5"/>
  <c r="H340" i="5"/>
  <c r="D340" i="5"/>
  <c r="H339" i="5"/>
  <c r="D339" i="5"/>
  <c r="H338" i="5"/>
  <c r="D338" i="5"/>
  <c r="H337" i="5"/>
  <c r="D337" i="5"/>
  <c r="H336" i="5"/>
  <c r="D336" i="5"/>
  <c r="H335" i="5"/>
  <c r="D335" i="5"/>
  <c r="H334" i="5"/>
  <c r="D334" i="5"/>
  <c r="H333" i="5"/>
  <c r="D333" i="5"/>
  <c r="H332" i="5"/>
  <c r="D332" i="5"/>
  <c r="H331" i="5"/>
  <c r="D331" i="5"/>
  <c r="H330" i="5"/>
  <c r="D330" i="5"/>
  <c r="H329" i="5"/>
  <c r="D329" i="5"/>
  <c r="H328" i="5"/>
  <c r="D328" i="5"/>
  <c r="H327" i="5"/>
  <c r="D327" i="5"/>
  <c r="H326" i="5"/>
  <c r="D326" i="5"/>
  <c r="H325" i="5"/>
  <c r="D325" i="5"/>
  <c r="H324" i="5"/>
  <c r="D324" i="5"/>
  <c r="H323" i="5"/>
  <c r="D323" i="5"/>
  <c r="H322" i="5"/>
  <c r="D322" i="5"/>
  <c r="H321" i="5"/>
  <c r="D321" i="5"/>
  <c r="H320" i="5"/>
  <c r="D320" i="5"/>
  <c r="H319" i="5"/>
  <c r="D319" i="5"/>
  <c r="H318" i="5"/>
  <c r="D318" i="5"/>
  <c r="H317" i="5"/>
  <c r="D317" i="5"/>
  <c r="H316" i="5"/>
  <c r="D316" i="5"/>
  <c r="H315" i="5"/>
  <c r="D315" i="5"/>
  <c r="H314" i="5"/>
  <c r="D314" i="5"/>
  <c r="H313" i="5"/>
  <c r="D313" i="5"/>
  <c r="H312" i="5"/>
  <c r="D312" i="5"/>
  <c r="H311" i="5"/>
  <c r="D311" i="5"/>
  <c r="H310" i="5"/>
  <c r="D310" i="5"/>
  <c r="H309" i="5"/>
  <c r="D309" i="5"/>
  <c r="H308" i="5"/>
  <c r="D308" i="5"/>
  <c r="H307" i="5"/>
  <c r="D307" i="5"/>
  <c r="H306" i="5"/>
  <c r="D306" i="5"/>
  <c r="H305" i="5"/>
  <c r="D305" i="5"/>
  <c r="H304" i="5"/>
  <c r="D304" i="5"/>
  <c r="H303" i="5"/>
  <c r="D303" i="5"/>
  <c r="H302" i="5"/>
  <c r="D302" i="5"/>
  <c r="H301" i="5"/>
  <c r="D301" i="5"/>
  <c r="H300" i="5"/>
  <c r="D300" i="5"/>
  <c r="H299" i="5"/>
  <c r="D299" i="5"/>
  <c r="H298" i="5"/>
  <c r="D298" i="5"/>
  <c r="H297" i="5"/>
  <c r="D297" i="5"/>
  <c r="H296" i="5"/>
  <c r="D296" i="5"/>
  <c r="H295" i="5"/>
  <c r="D295" i="5"/>
  <c r="H294" i="5"/>
  <c r="D294" i="5"/>
  <c r="H293" i="5"/>
  <c r="D293" i="5"/>
  <c r="H292" i="5"/>
  <c r="D292" i="5"/>
  <c r="H291" i="5"/>
  <c r="D291" i="5"/>
  <c r="H290" i="5"/>
  <c r="D290" i="5"/>
  <c r="H289" i="5"/>
  <c r="D289" i="5"/>
  <c r="H288" i="5"/>
  <c r="D288" i="5"/>
  <c r="H287" i="5"/>
  <c r="D287" i="5"/>
  <c r="H286" i="5"/>
  <c r="D286" i="5"/>
  <c r="H285" i="5"/>
  <c r="D285" i="5"/>
  <c r="H284" i="5"/>
  <c r="D284" i="5"/>
  <c r="H283" i="5"/>
  <c r="D283" i="5"/>
  <c r="H282" i="5"/>
  <c r="D282" i="5"/>
  <c r="H281" i="5"/>
  <c r="D281" i="5"/>
  <c r="H280" i="5"/>
  <c r="D280" i="5"/>
  <c r="H279" i="5"/>
  <c r="D279" i="5"/>
  <c r="H278" i="5"/>
  <c r="D278" i="5"/>
  <c r="H277" i="5"/>
  <c r="D277" i="5"/>
  <c r="H276" i="5"/>
  <c r="D276" i="5"/>
  <c r="H275" i="5"/>
  <c r="D275" i="5"/>
  <c r="H274" i="5"/>
  <c r="D274" i="5"/>
  <c r="H273" i="5"/>
  <c r="D273" i="5"/>
  <c r="H272" i="5"/>
  <c r="D272" i="5"/>
  <c r="H271" i="5"/>
  <c r="D271" i="5"/>
  <c r="H270" i="5"/>
  <c r="D270" i="5"/>
  <c r="H269" i="5"/>
  <c r="D269" i="5"/>
  <c r="H268" i="5"/>
  <c r="D268" i="5"/>
  <c r="H267" i="5"/>
  <c r="D267" i="5"/>
  <c r="H266" i="5"/>
  <c r="D266" i="5"/>
  <c r="H265" i="5"/>
  <c r="D265" i="5"/>
  <c r="H264" i="5"/>
  <c r="D264" i="5"/>
  <c r="H263" i="5"/>
  <c r="D263" i="5"/>
  <c r="H262" i="5"/>
  <c r="D262" i="5"/>
  <c r="H261" i="5"/>
  <c r="D261" i="5"/>
  <c r="H260" i="5"/>
  <c r="D260" i="5"/>
  <c r="H259" i="5"/>
  <c r="D259" i="5"/>
  <c r="H258" i="5"/>
  <c r="D258" i="5"/>
  <c r="H257" i="5"/>
  <c r="D257" i="5"/>
  <c r="H256" i="5"/>
  <c r="D256" i="5"/>
  <c r="H255" i="5"/>
  <c r="D255" i="5"/>
  <c r="H254" i="5"/>
  <c r="D254" i="5"/>
  <c r="H253" i="5"/>
  <c r="D253" i="5"/>
  <c r="H252" i="5"/>
  <c r="D252" i="5"/>
  <c r="H251" i="5"/>
  <c r="D251" i="5"/>
  <c r="H250" i="5"/>
  <c r="D250" i="5"/>
  <c r="H249" i="5"/>
  <c r="D249" i="5"/>
  <c r="H248" i="5"/>
  <c r="D248" i="5"/>
  <c r="H247" i="5"/>
  <c r="D247" i="5"/>
  <c r="H246" i="5"/>
  <c r="D246" i="5"/>
  <c r="H245" i="5"/>
  <c r="D245" i="5"/>
  <c r="H244" i="5"/>
  <c r="D244" i="5"/>
  <c r="H243" i="5"/>
  <c r="D243" i="5"/>
  <c r="H242" i="5"/>
  <c r="D242" i="5"/>
  <c r="H241" i="5"/>
  <c r="D241" i="5"/>
  <c r="H240" i="5"/>
  <c r="D240" i="5"/>
  <c r="H239" i="5"/>
  <c r="D239" i="5"/>
  <c r="H238" i="5"/>
  <c r="D238" i="5"/>
  <c r="H237" i="5"/>
  <c r="D237" i="5"/>
  <c r="H236" i="5"/>
  <c r="D236" i="5"/>
  <c r="H235" i="5"/>
  <c r="D235" i="5"/>
  <c r="H234" i="5"/>
  <c r="D234" i="5"/>
  <c r="H233" i="5"/>
  <c r="D233" i="5"/>
  <c r="H232" i="5"/>
  <c r="D232" i="5"/>
  <c r="H231" i="5"/>
  <c r="D231" i="5"/>
  <c r="H230" i="5"/>
  <c r="D230" i="5"/>
  <c r="H229" i="5"/>
  <c r="D229" i="5"/>
  <c r="H228" i="5"/>
  <c r="D228" i="5"/>
  <c r="H227" i="5"/>
  <c r="D227" i="5"/>
  <c r="H226" i="5"/>
  <c r="D226" i="5"/>
  <c r="H225" i="5"/>
  <c r="D225" i="5"/>
  <c r="H224" i="5"/>
  <c r="D224" i="5"/>
  <c r="H223" i="5"/>
  <c r="D223" i="5"/>
  <c r="H222" i="5"/>
  <c r="D222" i="5"/>
  <c r="H221" i="5"/>
  <c r="D221" i="5"/>
  <c r="H220" i="5"/>
  <c r="D220" i="5"/>
  <c r="H219" i="5"/>
  <c r="D219" i="5"/>
  <c r="H218" i="5"/>
  <c r="D218" i="5"/>
  <c r="H217" i="5"/>
  <c r="D217" i="5"/>
  <c r="H216" i="5"/>
  <c r="D216" i="5"/>
  <c r="H215" i="5"/>
  <c r="D215" i="5"/>
  <c r="H214" i="5"/>
  <c r="D214" i="5"/>
  <c r="H213" i="5"/>
  <c r="D213" i="5"/>
  <c r="H212" i="5"/>
  <c r="D212" i="5"/>
  <c r="H211" i="5"/>
  <c r="D211" i="5"/>
  <c r="H210" i="5"/>
  <c r="D210" i="5"/>
  <c r="H209" i="5"/>
  <c r="D209" i="5"/>
  <c r="H208" i="5"/>
  <c r="D208" i="5"/>
  <c r="H207" i="5"/>
  <c r="D207" i="5"/>
  <c r="H206" i="5"/>
  <c r="D206" i="5"/>
  <c r="H205" i="5"/>
  <c r="D205" i="5"/>
  <c r="H204" i="5"/>
  <c r="D204" i="5"/>
  <c r="H203" i="5"/>
  <c r="D203" i="5"/>
  <c r="H202" i="5"/>
  <c r="D202" i="5"/>
  <c r="H201" i="5"/>
  <c r="D201" i="5"/>
  <c r="H200" i="5"/>
  <c r="D200" i="5"/>
  <c r="H199" i="5"/>
  <c r="D199" i="5"/>
  <c r="H198" i="5"/>
  <c r="D198" i="5"/>
  <c r="H197" i="5"/>
  <c r="D197" i="5"/>
  <c r="H196" i="5"/>
  <c r="D196" i="5"/>
  <c r="H195" i="5"/>
  <c r="D195" i="5"/>
  <c r="H194" i="5"/>
  <c r="D194" i="5"/>
  <c r="H193" i="5"/>
  <c r="D193" i="5"/>
  <c r="H192" i="5"/>
  <c r="D192" i="5"/>
  <c r="H191" i="5"/>
  <c r="D191" i="5"/>
  <c r="H190" i="5"/>
  <c r="D190" i="5"/>
  <c r="H189" i="5"/>
  <c r="D189" i="5"/>
  <c r="H188" i="5"/>
  <c r="D188" i="5"/>
  <c r="H187" i="5"/>
  <c r="D187" i="5"/>
  <c r="H186" i="5"/>
  <c r="D186" i="5"/>
  <c r="H185" i="5"/>
  <c r="D185" i="5"/>
  <c r="H184" i="5"/>
  <c r="D184" i="5"/>
  <c r="H183" i="5"/>
  <c r="D183" i="5"/>
  <c r="H182" i="5"/>
  <c r="D182" i="5"/>
  <c r="H181" i="5"/>
  <c r="D181" i="5"/>
  <c r="H180" i="5"/>
  <c r="D180" i="5"/>
  <c r="H179" i="5"/>
  <c r="D179" i="5"/>
  <c r="H178" i="5"/>
  <c r="D178" i="5"/>
  <c r="H177" i="5"/>
  <c r="D177" i="5"/>
  <c r="H176" i="5"/>
  <c r="D176" i="5"/>
  <c r="H175" i="5"/>
  <c r="D175" i="5"/>
  <c r="H174" i="5"/>
  <c r="D174" i="5"/>
  <c r="H173" i="5"/>
  <c r="D173" i="5"/>
  <c r="H172" i="5"/>
  <c r="D172" i="5"/>
  <c r="H171" i="5"/>
  <c r="D171" i="5"/>
  <c r="H170" i="5"/>
  <c r="D170" i="5"/>
  <c r="H169" i="5"/>
  <c r="D169" i="5"/>
  <c r="H168" i="5"/>
  <c r="D168" i="5"/>
  <c r="H167" i="5"/>
  <c r="D167" i="5"/>
  <c r="H166" i="5"/>
  <c r="D166" i="5"/>
  <c r="H165" i="5"/>
  <c r="D165" i="5"/>
  <c r="H164" i="5"/>
  <c r="D164" i="5"/>
  <c r="H163" i="5"/>
  <c r="D163" i="5"/>
  <c r="H162" i="5"/>
  <c r="D162" i="5"/>
  <c r="H161" i="5"/>
  <c r="D161" i="5"/>
  <c r="H160" i="5"/>
  <c r="D160" i="5"/>
  <c r="H159" i="5"/>
  <c r="D159" i="5"/>
  <c r="H158" i="5"/>
  <c r="D158" i="5"/>
  <c r="H157" i="5"/>
  <c r="D157" i="5"/>
  <c r="H156" i="5"/>
  <c r="D156" i="5"/>
  <c r="H155" i="5"/>
  <c r="D155" i="5"/>
  <c r="H154" i="5"/>
  <c r="D154" i="5"/>
  <c r="H153" i="5"/>
  <c r="D153" i="5"/>
  <c r="H152" i="5"/>
  <c r="D152" i="5"/>
  <c r="H151" i="5"/>
  <c r="D151" i="5"/>
  <c r="H150" i="5"/>
  <c r="D150" i="5"/>
  <c r="H149" i="5"/>
  <c r="D149" i="5"/>
  <c r="H148" i="5"/>
  <c r="D148" i="5"/>
  <c r="H147" i="5"/>
  <c r="D147" i="5"/>
  <c r="H146" i="5"/>
  <c r="D146" i="5"/>
  <c r="H145" i="5"/>
  <c r="D145" i="5"/>
  <c r="H144" i="5"/>
  <c r="D144" i="5"/>
  <c r="H143" i="5"/>
  <c r="D143" i="5"/>
  <c r="H142" i="5"/>
  <c r="D142" i="5"/>
  <c r="H141" i="5"/>
  <c r="D141" i="5"/>
  <c r="H140" i="5"/>
  <c r="D140" i="5"/>
  <c r="H139" i="5"/>
  <c r="D139" i="5"/>
  <c r="H138" i="5"/>
  <c r="D138" i="5"/>
  <c r="H137" i="5"/>
  <c r="D137" i="5"/>
  <c r="H136" i="5"/>
  <c r="D136" i="5"/>
  <c r="H135" i="5"/>
  <c r="D135" i="5"/>
  <c r="H134" i="5"/>
  <c r="D134" i="5"/>
  <c r="H133" i="5"/>
  <c r="D133" i="5"/>
  <c r="H132" i="5"/>
  <c r="D132" i="5"/>
  <c r="H131" i="5"/>
  <c r="D131" i="5"/>
  <c r="H130" i="5"/>
  <c r="D130" i="5"/>
  <c r="H129" i="5"/>
  <c r="D129" i="5"/>
  <c r="H128" i="5"/>
  <c r="D128" i="5"/>
  <c r="H127" i="5"/>
  <c r="D127" i="5"/>
  <c r="H126" i="5"/>
  <c r="D126" i="5"/>
  <c r="H125" i="5"/>
  <c r="D125" i="5"/>
  <c r="H124" i="5"/>
  <c r="D124" i="5"/>
  <c r="H123" i="5"/>
  <c r="D123" i="5"/>
  <c r="H122" i="5"/>
  <c r="D122" i="5"/>
  <c r="H121" i="5"/>
  <c r="D121" i="5"/>
  <c r="H120" i="5"/>
  <c r="D120" i="5"/>
  <c r="H119" i="5"/>
  <c r="D119" i="5"/>
  <c r="H118" i="5"/>
  <c r="D118" i="5"/>
  <c r="H117" i="5"/>
  <c r="D117" i="5"/>
  <c r="H116" i="5"/>
  <c r="D116" i="5"/>
  <c r="H115" i="5"/>
  <c r="D115" i="5"/>
  <c r="H114" i="5"/>
  <c r="D114" i="5"/>
  <c r="H113" i="5"/>
  <c r="D113" i="5"/>
  <c r="H112" i="5"/>
  <c r="D112" i="5"/>
  <c r="H111" i="5"/>
  <c r="D111" i="5"/>
  <c r="H110" i="5"/>
  <c r="D110" i="5"/>
  <c r="H109" i="5"/>
  <c r="D109" i="5"/>
  <c r="H108" i="5"/>
  <c r="D108" i="5"/>
  <c r="H107" i="5"/>
  <c r="D107" i="5"/>
  <c r="H106" i="5"/>
  <c r="D106" i="5"/>
  <c r="H105" i="5"/>
  <c r="D105" i="5"/>
  <c r="H104" i="5"/>
  <c r="D104" i="5"/>
  <c r="H103" i="5"/>
  <c r="D103" i="5"/>
  <c r="H102" i="5"/>
  <c r="D102" i="5"/>
  <c r="H101" i="5"/>
  <c r="D101" i="5"/>
  <c r="H100" i="5"/>
  <c r="D100" i="5"/>
  <c r="H99" i="5"/>
  <c r="D99" i="5"/>
  <c r="H98" i="5"/>
  <c r="D98" i="5"/>
  <c r="H97" i="5"/>
  <c r="D97" i="5"/>
  <c r="H96" i="5"/>
  <c r="D96" i="5"/>
  <c r="H95" i="5"/>
  <c r="D95" i="5"/>
  <c r="H94" i="5"/>
  <c r="D94" i="5"/>
  <c r="H93" i="5"/>
  <c r="D93" i="5"/>
  <c r="H92" i="5"/>
  <c r="D92" i="5"/>
  <c r="H91" i="5"/>
  <c r="D91" i="5"/>
  <c r="H90" i="5"/>
  <c r="D90" i="5"/>
  <c r="H89" i="5"/>
  <c r="D89" i="5"/>
  <c r="H88" i="5"/>
  <c r="D88" i="5"/>
  <c r="H87" i="5"/>
  <c r="D87" i="5"/>
  <c r="H86" i="5"/>
  <c r="D86" i="5"/>
  <c r="H85" i="5"/>
  <c r="D85" i="5"/>
  <c r="H84" i="5"/>
  <c r="D84" i="5"/>
  <c r="H83" i="5"/>
  <c r="D83" i="5"/>
  <c r="H82" i="5"/>
  <c r="D82" i="5"/>
  <c r="H81" i="5"/>
  <c r="D81" i="5"/>
  <c r="H80" i="5"/>
  <c r="D80" i="5"/>
  <c r="H79" i="5"/>
  <c r="D79" i="5"/>
  <c r="H78" i="5"/>
  <c r="D78" i="5"/>
  <c r="H77" i="5"/>
  <c r="D77" i="5"/>
  <c r="H76" i="5"/>
  <c r="D76" i="5"/>
  <c r="H75" i="5"/>
  <c r="D75" i="5"/>
  <c r="H74" i="5"/>
  <c r="D74" i="5"/>
  <c r="H73" i="5"/>
  <c r="D73" i="5"/>
  <c r="H72" i="5"/>
  <c r="D72" i="5"/>
  <c r="H71" i="5"/>
  <c r="D71" i="5"/>
  <c r="H70" i="5"/>
  <c r="D70" i="5"/>
  <c r="H69" i="5"/>
  <c r="D69" i="5"/>
  <c r="H68" i="5"/>
  <c r="D68" i="5"/>
  <c r="H67" i="5"/>
  <c r="D67" i="5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25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H17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J4" i="5" s="1"/>
  <c r="C16" i="6" s="1"/>
  <c r="C18" i="6" s="1"/>
  <c r="D24" i="6" s="1"/>
  <c r="H9" i="5"/>
  <c r="D9" i="5"/>
  <c r="H8" i="5"/>
  <c r="D8" i="5"/>
  <c r="H7" i="5"/>
  <c r="D7" i="5"/>
  <c r="H6" i="5"/>
  <c r="D6" i="5"/>
  <c r="H5" i="5"/>
  <c r="D5" i="5"/>
  <c r="H49" i="4"/>
  <c r="G49" i="4"/>
  <c r="I48" i="4"/>
  <c r="H48" i="4"/>
  <c r="G48" i="4"/>
  <c r="F48" i="4"/>
  <c r="E48" i="4"/>
  <c r="I47" i="4"/>
  <c r="H47" i="4"/>
  <c r="G47" i="4"/>
  <c r="F47" i="4"/>
  <c r="F49" i="4" s="1"/>
  <c r="E47" i="4"/>
  <c r="E49" i="4" s="1"/>
  <c r="I46" i="4"/>
  <c r="I49" i="4" s="1"/>
  <c r="H46" i="4"/>
  <c r="G46" i="4"/>
  <c r="F46" i="4"/>
  <c r="E46" i="4"/>
  <c r="I26" i="4"/>
  <c r="H26" i="4"/>
  <c r="G26" i="4"/>
  <c r="F26" i="4"/>
  <c r="E26" i="4"/>
  <c r="I25" i="4"/>
  <c r="H25" i="4"/>
  <c r="G25" i="4"/>
  <c r="F25" i="4"/>
  <c r="E25" i="4"/>
  <c r="I21" i="4"/>
  <c r="H21" i="4"/>
  <c r="G21" i="4"/>
  <c r="F21" i="4"/>
  <c r="E21" i="4"/>
  <c r="I16" i="4"/>
  <c r="H16" i="4"/>
  <c r="G16" i="4"/>
  <c r="F16" i="4"/>
  <c r="E16" i="4"/>
  <c r="I12" i="4"/>
  <c r="I11" i="4"/>
  <c r="H11" i="4"/>
  <c r="G11" i="4"/>
  <c r="F11" i="4"/>
  <c r="E11" i="4"/>
  <c r="I10" i="4"/>
  <c r="H10" i="4"/>
  <c r="G10" i="4"/>
  <c r="F10" i="4"/>
  <c r="E10" i="4"/>
  <c r="I9" i="4"/>
  <c r="H9" i="4"/>
  <c r="H12" i="4" s="1"/>
  <c r="H14" i="4" s="1"/>
  <c r="G9" i="4"/>
  <c r="G12" i="4" s="1"/>
  <c r="G14" i="4" s="1"/>
  <c r="F9" i="4"/>
  <c r="F12" i="4" s="1"/>
  <c r="E9" i="4"/>
  <c r="E12" i="4" s="1"/>
  <c r="E14" i="4" s="1"/>
  <c r="H7" i="4"/>
  <c r="F7" i="4"/>
  <c r="I6" i="4"/>
  <c r="H6" i="4"/>
  <c r="G6" i="4"/>
  <c r="G7" i="4" s="1"/>
  <c r="F6" i="4"/>
  <c r="E6" i="4"/>
  <c r="F32" i="4" s="1"/>
  <c r="F35" i="1"/>
  <c r="C35" i="1"/>
  <c r="E34" i="1"/>
  <c r="G31" i="1"/>
  <c r="F31" i="1"/>
  <c r="E31" i="1"/>
  <c r="D31" i="1"/>
  <c r="C31" i="1"/>
  <c r="G30" i="1"/>
  <c r="F30" i="1"/>
  <c r="E30" i="1"/>
  <c r="D30" i="1"/>
  <c r="C30" i="1"/>
  <c r="G29" i="1"/>
  <c r="G35" i="1" s="1"/>
  <c r="F29" i="1"/>
  <c r="E29" i="1"/>
  <c r="E35" i="1" s="1"/>
  <c r="D29" i="1"/>
  <c r="D35" i="1" s="1"/>
  <c r="C29" i="1"/>
  <c r="G28" i="1"/>
  <c r="G34" i="1" s="1"/>
  <c r="F28" i="1"/>
  <c r="F34" i="1" s="1"/>
  <c r="E28" i="1"/>
  <c r="D28" i="1"/>
  <c r="D34" i="1" s="1"/>
  <c r="C28" i="1"/>
  <c r="C34" i="1" s="1"/>
  <c r="G27" i="1"/>
  <c r="G33" i="1" s="1"/>
  <c r="G36" i="1" s="1"/>
  <c r="F27" i="1"/>
  <c r="F33" i="1" s="1"/>
  <c r="F36" i="1" s="1"/>
  <c r="E27" i="1"/>
  <c r="E33" i="1" s="1"/>
  <c r="D27" i="1"/>
  <c r="D33" i="1" s="1"/>
  <c r="D36" i="1" s="1"/>
  <c r="C27" i="1"/>
  <c r="C33" i="1" s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18" i="1"/>
  <c r="F18" i="1"/>
  <c r="E18" i="1"/>
  <c r="D18" i="1"/>
  <c r="C18" i="1"/>
  <c r="G17" i="1"/>
  <c r="F17" i="1"/>
  <c r="E17" i="1"/>
  <c r="D17" i="1"/>
  <c r="C17" i="1"/>
  <c r="G15" i="1"/>
  <c r="F15" i="1"/>
  <c r="E15" i="1"/>
  <c r="D15" i="1"/>
  <c r="C15" i="1"/>
  <c r="G14" i="1"/>
  <c r="F14" i="1"/>
  <c r="E14" i="1"/>
  <c r="D14" i="1"/>
  <c r="C14" i="1"/>
  <c r="G12" i="1"/>
  <c r="F12" i="1"/>
  <c r="E12" i="1"/>
  <c r="D12" i="1"/>
  <c r="C12" i="1"/>
  <c r="G11" i="1"/>
  <c r="F11" i="1"/>
  <c r="E11" i="1"/>
  <c r="D11" i="1"/>
  <c r="C11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C36" i="1" l="1"/>
  <c r="I12" i="13"/>
  <c r="R13" i="13"/>
  <c r="Q10" i="13"/>
  <c r="P10" i="13"/>
  <c r="F9" i="13"/>
  <c r="I9" i="13" s="1"/>
  <c r="N9" i="13"/>
  <c r="R9" i="13" s="1"/>
  <c r="R17" i="13" s="1"/>
  <c r="R16" i="13"/>
  <c r="R19" i="13"/>
  <c r="R15" i="13"/>
  <c r="R18" i="13"/>
  <c r="R25" i="13" s="1"/>
  <c r="F8" i="9"/>
  <c r="F9" i="8"/>
  <c r="F14" i="4"/>
  <c r="C8" i="6"/>
  <c r="C23" i="6" s="1"/>
  <c r="D7" i="9"/>
  <c r="D10" i="7"/>
  <c r="E8" i="8"/>
  <c r="G35" i="4"/>
  <c r="G18" i="4"/>
  <c r="Q12" i="13"/>
  <c r="P12" i="13"/>
  <c r="H35" i="4"/>
  <c r="H18" i="4"/>
  <c r="E7" i="9"/>
  <c r="E10" i="7"/>
  <c r="F7" i="9"/>
  <c r="F9" i="9" s="1"/>
  <c r="F10" i="7"/>
  <c r="Q9" i="13"/>
  <c r="P9" i="13"/>
  <c r="G8" i="8"/>
  <c r="C11" i="11"/>
  <c r="D8" i="8"/>
  <c r="I7" i="4"/>
  <c r="E31" i="4" s="1"/>
  <c r="E32" i="4"/>
  <c r="I14" i="4"/>
  <c r="G5" i="7"/>
  <c r="G4" i="7" s="1"/>
  <c r="G9" i="7" s="1"/>
  <c r="Q13" i="13"/>
  <c r="P13" i="13"/>
  <c r="Q11" i="13"/>
  <c r="P11" i="13"/>
  <c r="E36" i="1"/>
  <c r="E18" i="4"/>
  <c r="E35" i="4"/>
  <c r="C16" i="10"/>
  <c r="C4" i="11"/>
  <c r="C7" i="6"/>
  <c r="C9" i="6" s="1"/>
  <c r="C24" i="6" s="1"/>
  <c r="E24" i="6" s="1"/>
  <c r="R20" i="13" l="1"/>
  <c r="I18" i="4"/>
  <c r="I35" i="4"/>
  <c r="R28" i="13"/>
  <c r="R23" i="13"/>
  <c r="E23" i="4"/>
  <c r="E51" i="4"/>
  <c r="E36" i="4"/>
  <c r="C13" i="1"/>
  <c r="C19" i="1"/>
  <c r="C4" i="9"/>
  <c r="F13" i="1"/>
  <c r="F19" i="1"/>
  <c r="H36" i="4"/>
  <c r="F4" i="9"/>
  <c r="H51" i="4"/>
  <c r="H23" i="4"/>
  <c r="N7" i="10"/>
  <c r="D12" i="10"/>
  <c r="P17" i="13"/>
  <c r="P20" i="13"/>
  <c r="P16" i="13"/>
  <c r="P19" i="13"/>
  <c r="P15" i="13"/>
  <c r="P18" i="13"/>
  <c r="P23" i="13" s="1"/>
  <c r="P25" i="13" s="1"/>
  <c r="P28" i="13" s="1"/>
  <c r="E8" i="9"/>
  <c r="E9" i="9" s="1"/>
  <c r="E9" i="8"/>
  <c r="F35" i="4"/>
  <c r="F18" i="4"/>
  <c r="Q17" i="13"/>
  <c r="Q16" i="13"/>
  <c r="Q20" i="13"/>
  <c r="Q15" i="13"/>
  <c r="Q19" i="13"/>
  <c r="Q18" i="13"/>
  <c r="Q23" i="13" s="1"/>
  <c r="Q25" i="13" s="1"/>
  <c r="Q28" i="13" s="1"/>
  <c r="D9" i="8"/>
  <c r="D8" i="9"/>
  <c r="D7" i="11"/>
  <c r="G8" i="9"/>
  <c r="G9" i="8"/>
  <c r="G23" i="4"/>
  <c r="G36" i="4"/>
  <c r="E19" i="1"/>
  <c r="E13" i="1"/>
  <c r="E4" i="9"/>
  <c r="G51" i="4"/>
  <c r="G7" i="9"/>
  <c r="G9" i="9" s="1"/>
  <c r="G10" i="7"/>
  <c r="C13" i="7" s="1"/>
  <c r="D9" i="9"/>
  <c r="E37" i="4" l="1"/>
  <c r="E41" i="4"/>
  <c r="E28" i="4"/>
  <c r="E38" i="4" s="1"/>
  <c r="N12" i="10"/>
  <c r="O12" i="10" s="1"/>
  <c r="E12" i="10" s="1"/>
  <c r="F12" i="10" s="1"/>
  <c r="G12" i="10" s="1"/>
  <c r="H12" i="10" s="1"/>
  <c r="I12" i="10" s="1"/>
  <c r="J12" i="10" s="1"/>
  <c r="K12" i="10" s="1"/>
  <c r="L12" i="10" s="1"/>
  <c r="D11" i="10"/>
  <c r="G37" i="4"/>
  <c r="G28" i="4"/>
  <c r="G38" i="4" s="1"/>
  <c r="G41" i="4"/>
  <c r="F23" i="4"/>
  <c r="F51" i="4"/>
  <c r="D19" i="1"/>
  <c r="D13" i="1"/>
  <c r="D4" i="9"/>
  <c r="F36" i="4"/>
  <c r="E7" i="11"/>
  <c r="O9" i="10"/>
  <c r="P9" i="10" s="1"/>
  <c r="D7" i="10"/>
  <c r="H37" i="4"/>
  <c r="H28" i="4"/>
  <c r="H38" i="4" s="1"/>
  <c r="H41" i="4"/>
  <c r="C12" i="7"/>
  <c r="C11" i="8"/>
  <c r="C12" i="8"/>
  <c r="G19" i="1"/>
  <c r="G4" i="9"/>
  <c r="I23" i="4"/>
  <c r="G13" i="1"/>
  <c r="I51" i="4"/>
  <c r="I36" i="4"/>
  <c r="F28" i="4" l="1"/>
  <c r="F38" i="4" s="1"/>
  <c r="F37" i="4"/>
  <c r="F41" i="4"/>
  <c r="I37" i="4"/>
  <c r="I28" i="4"/>
  <c r="I38" i="4" s="1"/>
  <c r="I41" i="4"/>
  <c r="E11" i="10"/>
  <c r="F11" i="10" s="1"/>
  <c r="G11" i="10" s="1"/>
  <c r="H11" i="10" s="1"/>
  <c r="I11" i="10" s="1"/>
  <c r="J11" i="10" s="1"/>
  <c r="K11" i="10" s="1"/>
  <c r="L11" i="10" s="1"/>
  <c r="M11" i="10" s="1"/>
  <c r="E42" i="4"/>
  <c r="F17" i="6"/>
  <c r="D6" i="10"/>
  <c r="E7" i="10"/>
  <c r="F7" i="10" s="1"/>
  <c r="G7" i="10" s="1"/>
  <c r="H7" i="10" s="1"/>
  <c r="I7" i="10" s="1"/>
  <c r="J7" i="10" s="1"/>
  <c r="K7" i="10" s="1"/>
  <c r="L7" i="10" s="1"/>
  <c r="M7" i="10" s="1"/>
  <c r="F7" i="11"/>
  <c r="G7" i="11" l="1"/>
  <c r="E6" i="10"/>
  <c r="F6" i="10" s="1"/>
  <c r="G6" i="10" s="1"/>
  <c r="H6" i="10" s="1"/>
  <c r="I6" i="10" s="1"/>
  <c r="J6" i="10" s="1"/>
  <c r="K6" i="10" s="1"/>
  <c r="L6" i="10" s="1"/>
  <c r="M6" i="10" s="1"/>
  <c r="C5" i="9"/>
  <c r="C6" i="9" s="1"/>
  <c r="C10" i="9" s="1"/>
  <c r="F42" i="4"/>
  <c r="E45" i="4"/>
  <c r="E52" i="4" s="1"/>
  <c r="F18" i="6"/>
  <c r="D23" i="6" s="1"/>
  <c r="E23" i="6" s="1"/>
  <c r="E25" i="6" s="1"/>
  <c r="R4" i="11" s="1"/>
  <c r="M19" i="11" l="1"/>
  <c r="L19" i="11"/>
  <c r="K19" i="11"/>
  <c r="E19" i="11"/>
  <c r="J19" i="11"/>
  <c r="I19" i="11"/>
  <c r="H19" i="11"/>
  <c r="K24" i="11"/>
  <c r="G19" i="11"/>
  <c r="F19" i="11"/>
  <c r="D19" i="11"/>
  <c r="R5" i="11"/>
  <c r="O15" i="11" s="1"/>
  <c r="D5" i="9"/>
  <c r="D6" i="9" s="1"/>
  <c r="G42" i="4"/>
  <c r="F45" i="4"/>
  <c r="F52" i="4" s="1"/>
  <c r="H7" i="11"/>
  <c r="L24" i="11" l="1"/>
  <c r="M24" i="11" s="1"/>
  <c r="J24" i="11"/>
  <c r="I7" i="11"/>
  <c r="E5" i="9"/>
  <c r="E6" i="9" s="1"/>
  <c r="H42" i="4"/>
  <c r="G45" i="4"/>
  <c r="G52" i="4" s="1"/>
  <c r="D10" i="9"/>
  <c r="D12" i="9"/>
  <c r="I42" i="4" l="1"/>
  <c r="F5" i="9"/>
  <c r="F6" i="9" s="1"/>
  <c r="H45" i="4"/>
  <c r="H52" i="4" s="1"/>
  <c r="E10" i="9"/>
  <c r="E12" i="9"/>
  <c r="J7" i="11"/>
  <c r="K7" i="11" l="1"/>
  <c r="F10" i="9"/>
  <c r="F12" i="9"/>
  <c r="G5" i="9"/>
  <c r="G6" i="9" s="1"/>
  <c r="I45" i="4"/>
  <c r="I52" i="4" s="1"/>
  <c r="G10" i="9" l="1"/>
  <c r="G12" i="9"/>
  <c r="C14" i="9" s="1"/>
  <c r="L7" i="11"/>
  <c r="D17" i="10" l="1"/>
  <c r="M7" i="11"/>
  <c r="C15" i="9"/>
  <c r="O7" i="11" l="1"/>
  <c r="D22" i="10"/>
  <c r="N17" i="10"/>
  <c r="O17" i="10" s="1"/>
  <c r="E17" i="10" s="1"/>
  <c r="D16" i="10"/>
  <c r="F17" i="10" l="1"/>
  <c r="E22" i="10"/>
  <c r="E5" i="11" s="1"/>
  <c r="E16" i="10"/>
  <c r="D5" i="11"/>
  <c r="D21" i="10"/>
  <c r="E21" i="10" l="1"/>
  <c r="D4" i="11"/>
  <c r="F16" i="10"/>
  <c r="G17" i="10"/>
  <c r="F22" i="10"/>
  <c r="F5" i="11" s="1"/>
  <c r="G16" i="10" l="1"/>
  <c r="H17" i="10"/>
  <c r="H16" i="10" s="1"/>
  <c r="G22" i="10"/>
  <c r="G5" i="11" s="1"/>
  <c r="D6" i="11"/>
  <c r="D11" i="11"/>
  <c r="D12" i="11" s="1"/>
  <c r="D10" i="11"/>
  <c r="D13" i="11" s="1"/>
  <c r="E4" i="11"/>
  <c r="F21" i="10"/>
  <c r="G21" i="10" l="1"/>
  <c r="F4" i="11"/>
  <c r="E11" i="11"/>
  <c r="E12" i="11" s="1"/>
  <c r="E6" i="11"/>
  <c r="E10" i="11"/>
  <c r="E13" i="11" s="1"/>
  <c r="D8" i="11"/>
  <c r="D9" i="11" s="1"/>
  <c r="I17" i="10"/>
  <c r="H22" i="10"/>
  <c r="H5" i="11" s="1"/>
  <c r="I16" i="10"/>
  <c r="D14" i="11" l="1"/>
  <c r="D15" i="11"/>
  <c r="J17" i="10"/>
  <c r="I22" i="10"/>
  <c r="I5" i="11" s="1"/>
  <c r="E8" i="11"/>
  <c r="E9" i="11" s="1"/>
  <c r="F11" i="11"/>
  <c r="F12" i="11" s="1"/>
  <c r="F6" i="11"/>
  <c r="F10" i="11"/>
  <c r="F13" i="11" s="1"/>
  <c r="H21" i="10"/>
  <c r="G4" i="11"/>
  <c r="E14" i="11" l="1"/>
  <c r="E15" i="11"/>
  <c r="G11" i="11"/>
  <c r="G12" i="11" s="1"/>
  <c r="G6" i="11"/>
  <c r="G10" i="11"/>
  <c r="I21" i="10"/>
  <c r="H4" i="11"/>
  <c r="F8" i="11"/>
  <c r="F9" i="11" s="1"/>
  <c r="F14" i="11" s="1"/>
  <c r="J22" i="10"/>
  <c r="J5" i="11" s="1"/>
  <c r="K17" i="10"/>
  <c r="J16" i="10"/>
  <c r="K16" i="10" s="1"/>
  <c r="G13" i="11" l="1"/>
  <c r="F15" i="11"/>
  <c r="G8" i="11"/>
  <c r="G9" i="11" s="1"/>
  <c r="H11" i="11"/>
  <c r="H12" i="11" s="1"/>
  <c r="H6" i="11"/>
  <c r="H10" i="11"/>
  <c r="J21" i="10"/>
  <c r="I4" i="11"/>
  <c r="K22" i="10"/>
  <c r="K5" i="11" s="1"/>
  <c r="L17" i="10"/>
  <c r="L22" i="10" s="1"/>
  <c r="L5" i="11" s="1"/>
  <c r="H13" i="11" l="1"/>
  <c r="L16" i="10"/>
  <c r="M16" i="10" s="1"/>
  <c r="G14" i="11"/>
  <c r="G15" i="11"/>
  <c r="J4" i="11"/>
  <c r="K21" i="10"/>
  <c r="I11" i="11"/>
  <c r="I12" i="11" s="1"/>
  <c r="I6" i="11"/>
  <c r="I10" i="11"/>
  <c r="H8" i="11"/>
  <c r="H9" i="11" s="1"/>
  <c r="H14" i="11" l="1"/>
  <c r="H15" i="11"/>
  <c r="K4" i="11"/>
  <c r="L21" i="10"/>
  <c r="I13" i="11"/>
  <c r="I8" i="11"/>
  <c r="I9" i="11" s="1"/>
  <c r="I14" i="11" s="1"/>
  <c r="J11" i="11"/>
  <c r="J12" i="11" s="1"/>
  <c r="J6" i="11"/>
  <c r="J10" i="11"/>
  <c r="J13" i="11" s="1"/>
  <c r="L4" i="11" l="1"/>
  <c r="M21" i="10"/>
  <c r="M4" i="11" s="1"/>
  <c r="J8" i="11"/>
  <c r="J9" i="11" s="1"/>
  <c r="I15" i="11"/>
  <c r="K11" i="11"/>
  <c r="K12" i="11" s="1"/>
  <c r="K6" i="11"/>
  <c r="K10" i="11"/>
  <c r="J14" i="11" l="1"/>
  <c r="J15" i="11"/>
  <c r="K8" i="11"/>
  <c r="K9" i="11" s="1"/>
  <c r="O4" i="11"/>
  <c r="O6" i="11" s="1"/>
  <c r="O9" i="11" s="1"/>
  <c r="M11" i="11"/>
  <c r="M10" i="11"/>
  <c r="M6" i="11"/>
  <c r="L11" i="11"/>
  <c r="L12" i="11" s="1"/>
  <c r="L6" i="11"/>
  <c r="L10" i="11"/>
  <c r="K13" i="11"/>
  <c r="L13" i="11" l="1"/>
  <c r="K14" i="11"/>
  <c r="K15" i="11"/>
  <c r="L8" i="11"/>
  <c r="L9" i="11" s="1"/>
  <c r="M12" i="11"/>
  <c r="M13" i="11" s="1"/>
  <c r="M8" i="11"/>
  <c r="M9" i="11" s="1"/>
  <c r="M14" i="11" s="1"/>
  <c r="O13" i="11"/>
  <c r="O14" i="11"/>
  <c r="M17" i="11" l="1"/>
  <c r="D22" i="11" s="1"/>
  <c r="M15" i="11"/>
  <c r="L14" i="11"/>
  <c r="D21" i="11" s="1"/>
  <c r="D24" i="11" s="1"/>
  <c r="D28" i="11" s="1"/>
  <c r="D31" i="11" s="1"/>
  <c r="I24" i="11" s="1"/>
  <c r="L15" i="11"/>
</calcChain>
</file>

<file path=xl/sharedStrings.xml><?xml version="1.0" encoding="utf-8"?>
<sst xmlns="http://schemas.openxmlformats.org/spreadsheetml/2006/main" count="1929" uniqueCount="1767">
  <si>
    <t>S.No.</t>
  </si>
  <si>
    <t>Name</t>
  </si>
  <si>
    <t>CMP Rs.</t>
  </si>
  <si>
    <t>Net Profit</t>
  </si>
  <si>
    <t>No. Eq. Shares Cr.</t>
  </si>
  <si>
    <t>Mar Cap Rs.Cr.</t>
  </si>
  <si>
    <t>Cash End Rs.Cr.</t>
  </si>
  <si>
    <t>Debt Rs.Cr.</t>
  </si>
  <si>
    <t>Sales Rs.Cr.</t>
  </si>
  <si>
    <t>EV / EBITDA</t>
  </si>
  <si>
    <t>EBIDT Ann Rs.Cr.</t>
  </si>
  <si>
    <t>Aurobindo Pharma</t>
  </si>
  <si>
    <t>Laurus Labs</t>
  </si>
  <si>
    <t>Glenmark Pharma.</t>
  </si>
  <si>
    <t>Biocon</t>
  </si>
  <si>
    <t>Anthem Bioscienc</t>
  </si>
  <si>
    <t>Ratio Analysis</t>
  </si>
  <si>
    <t>Years</t>
  </si>
  <si>
    <t>Trend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</si>
  <si>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</si>
  <si>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</si>
  <si>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</si>
  <si>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</si>
  <si>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</si>
  <si>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</si>
  <si>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</si>
  <si>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</si>
  <si>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</si>
  <si>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</si>
  <si>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</si>
  <si>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</si>
  <si>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</si>
  <si>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</si>
  <si>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</si>
  <si>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</si>
  <si>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</si>
  <si>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</si>
  <si>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</si>
  <si>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</si>
  <si>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</si>
  <si>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</si>
  <si>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</si>
  <si>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</si>
  <si>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</si>
  <si>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</si>
  <si>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</si>
  <si>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HOLD — Biocon trades at ₹352, valuing the company at ₹57,088 Cr. With FY25 consolidated revenue of ₹15,262 Cr (+3.4% YoY) and PAT of ₹1,429 Cr (+10.1% YoY), the stock offers a mixed risk-reward profile. Current P/E of 69.5x, ROCE of 6.3%, and dividend yield of 0.14% reflect a revaluation amid biosimilar market challenges. Suitable for long-term investors with patience for turnaround execution.</t>
  </si>
  <si>
    <t>Recommendation</t>
  </si>
  <si>
    <t>Financial Year</t>
  </si>
  <si>
    <t>Revenue (₹ Crore)</t>
  </si>
  <si>
    <t>Profit After Tax (PAT) (₹ Crore)</t>
  </si>
  <si>
    <t>Revenue Change (%)</t>
  </si>
  <si>
    <t>PAT Change (%)</t>
  </si>
  <si>
    <t>ROCE (%)</t>
  </si>
  <si>
    <t>FY 2024-25</t>
  </si>
  <si>
    <t>FY 2023-24</t>
  </si>
  <si>
    <t>FY 2022-23</t>
  </si>
  <si>
    <t>FY 2021-22</t>
  </si>
  <si>
    <t>Metric</t>
  </si>
  <si>
    <t>Value</t>
  </si>
  <si>
    <t>FY 2020-21</t>
  </si>
  <si>
    <t>-</t>
  </si>
  <si>
    <t>Market Cap</t>
  </si>
  <si>
    <t>₹ 57,088 Cr.</t>
  </si>
  <si>
    <t>Current Price</t>
  </si>
  <si>
    <t>High / Low</t>
  </si>
  <si>
    <t>₹ 425 / 295</t>
  </si>
  <si>
    <t>Stock P/E</t>
  </si>
  <si>
    <t>Book Value</t>
  </si>
  <si>
    <t>Dividend Yield</t>
  </si>
  <si>
    <t>ROCE</t>
  </si>
  <si>
    <t>ROE</t>
  </si>
  <si>
    <t>Face Value</t>
  </si>
  <si>
    <t>CONSOLIDATED STATEMENT OF PROFIT &amp; LOSS</t>
  </si>
  <si>
    <t xml:space="preserve">Balance Sheet </t>
  </si>
  <si>
    <t xml:space="preserve">CashFlow Statement </t>
  </si>
  <si>
    <t>2021</t>
  </si>
  <si>
    <t>2022</t>
  </si>
  <si>
    <t>2023</t>
  </si>
  <si>
    <t>2024</t>
  </si>
  <si>
    <t>2025</t>
  </si>
  <si>
    <t>(₹ Crores)</t>
  </si>
  <si>
    <t>REVENUE</t>
  </si>
  <si>
    <t>NON-CURRENT ASSETS</t>
  </si>
  <si>
    <t>Total Revenue/Income</t>
  </si>
  <si>
    <t>Tangible assets</t>
  </si>
  <si>
    <t>CASH FLOWS FROM OPERATING ACTIVITIES</t>
  </si>
  <si>
    <t>Goodwill and intangible assets</t>
  </si>
  <si>
    <t>Profit for the year (before NCI)</t>
  </si>
  <si>
    <t>EXPENSES</t>
  </si>
  <si>
    <t>Investment in associates and joint venture</t>
  </si>
  <si>
    <t>Adjustments:</t>
  </si>
  <si>
    <t>Cost of materials consumed</t>
  </si>
  <si>
    <t>Financial assets</t>
  </si>
  <si>
    <t>Depreciation and amortisation</t>
  </si>
  <si>
    <t>Employee benefit expense</t>
  </si>
  <si>
    <t>Deferred tax assets (net)</t>
  </si>
  <si>
    <t>Unrealised foreign exchange (gain)/loss</t>
  </si>
  <si>
    <t>Finance costs</t>
  </si>
  <si>
    <t>Tax assets (net)</t>
  </si>
  <si>
    <t>Share based compensation</t>
  </si>
  <si>
    <t>Other non-current assets</t>
  </si>
  <si>
    <t>Provision for doubtful debts</t>
  </si>
  <si>
    <t>Research &amp; Development (net)</t>
  </si>
  <si>
    <t>Current and Deferred tax</t>
  </si>
  <si>
    <t>Interest expense</t>
  </si>
  <si>
    <t>Other expenses</t>
  </si>
  <si>
    <t>Total Non-Current Assets</t>
  </si>
  <si>
    <t>Interest income</t>
  </si>
  <si>
    <t>Total Expenses</t>
  </si>
  <si>
    <t>Net loss/(gain) on financial assets</t>
  </si>
  <si>
    <t>CURRENT ASSETS</t>
  </si>
  <si>
    <t>Profit on property sold (net)</t>
  </si>
  <si>
    <t>Share of profit/(loss) - JV &amp; Associate</t>
  </si>
  <si>
    <t>Inventories</t>
  </si>
  <si>
    <t>Dividend income</t>
  </si>
  <si>
    <t>Financial assets (current)</t>
  </si>
  <si>
    <t>Gain on sale of investments</t>
  </si>
  <si>
    <t>PROFIT BEFORE TAX &amp; EXCEPTIONAL ITEMS</t>
  </si>
  <si>
    <t>Cash and bank balances</t>
  </si>
  <si>
    <t>Tax expense</t>
  </si>
  <si>
    <t>Exceptional items (net)</t>
  </si>
  <si>
    <t>Other current assets</t>
  </si>
  <si>
    <t>Operating profit before working capital changes</t>
  </si>
  <si>
    <t>PROFIT BEFORE TAX</t>
  </si>
  <si>
    <t>Assets held for sale</t>
  </si>
  <si>
    <t>Total Current Assets</t>
  </si>
  <si>
    <t>Changes in working capital:</t>
  </si>
  <si>
    <t>TAX EXPENSE</t>
  </si>
  <si>
    <t>Decrease/(Increase) in inventories</t>
  </si>
  <si>
    <t>Current tax expense</t>
  </si>
  <si>
    <t>TOTAL ASSETS</t>
  </si>
  <si>
    <t>Decrease/(Increase) in trade receivables</t>
  </si>
  <si>
    <t>Tax on exceptional items</t>
  </si>
  <si>
    <t>Decrease/(Increase) in other assets</t>
  </si>
  <si>
    <t>Tax on new regime (exceptional)</t>
  </si>
  <si>
    <t>Increase/(Decrease) in payables &amp; provisions</t>
  </si>
  <si>
    <t>PROFIT FOR THE YEAR</t>
  </si>
  <si>
    <t>EQUITY AND LIABILITIES</t>
  </si>
  <si>
    <t>CASH GENERATED FROM OPERATIONS</t>
  </si>
  <si>
    <t>Non-controlling interest</t>
  </si>
  <si>
    <t>EQUITY</t>
  </si>
  <si>
    <t>Taxes paid</t>
  </si>
  <si>
    <t>Non-controlling on exceptional</t>
  </si>
  <si>
    <t>Share capital</t>
  </si>
  <si>
    <t>NET CASH FROM OPERATING ACTIVITIES</t>
  </si>
  <si>
    <t>PROFIT ATTRIBUTABLE TO SHAREHOLDERS</t>
  </si>
  <si>
    <t>Other equity</t>
  </si>
  <si>
    <t>Non-controlling interests</t>
  </si>
  <si>
    <t>CASH FLOWS FROM INVESTING ACTIVITIES</t>
  </si>
  <si>
    <t>OTHER COMPREHENSIVE INCOME</t>
  </si>
  <si>
    <t>Total Equity</t>
  </si>
  <si>
    <t>Purchase of property, plant &amp; equipment</t>
  </si>
  <si>
    <t>OCI attributable to shareholders</t>
  </si>
  <si>
    <t>Proceeds from sale of assets</t>
  </si>
  <si>
    <t>NON-CURRENT LIABILITIES</t>
  </si>
  <si>
    <t>Investment in subsidiaries/associates</t>
  </si>
  <si>
    <t>TOTAL COMPREHENSIVE INCOME</t>
  </si>
  <si>
    <t>Borrowings (non-current)</t>
  </si>
  <si>
    <t>Dividend received</t>
  </si>
  <si>
    <t>Financial liabilities (non-current)</t>
  </si>
  <si>
    <t>Interest received</t>
  </si>
  <si>
    <t>Provisions and other liabilities</t>
  </si>
  <si>
    <t>NET CASH FROM INVESTING ACTIVITIES</t>
  </si>
  <si>
    <t>Total Non-Current Liabilities</t>
  </si>
  <si>
    <t>CASH FLOWS FROM FINANCING ACTIVITIES</t>
  </si>
  <si>
    <t>CURRENT LIABILITIES</t>
  </si>
  <si>
    <t>Proceeds from borrowings</t>
  </si>
  <si>
    <t>Borrowings (current)</t>
  </si>
  <si>
    <t>Repayment of borrowings</t>
  </si>
  <si>
    <t>Financial liabilities (current)</t>
  </si>
  <si>
    <t>Dividend paid</t>
  </si>
  <si>
    <t>Income tax liability (net)</t>
  </si>
  <si>
    <t>Interest paid</t>
  </si>
  <si>
    <t>Provisions and current liabilities</t>
  </si>
  <si>
    <t>NET CASH FROM FINANCING ACTIVITIES</t>
  </si>
  <si>
    <t>Liabilities held for sale</t>
  </si>
  <si>
    <t>Other current liabilities</t>
  </si>
  <si>
    <t>Net change in cash and equivalents</t>
  </si>
  <si>
    <t>Total Current Liabilities</t>
  </si>
  <si>
    <t>Cash at beginning of period</t>
  </si>
  <si>
    <t>Cash at end of period</t>
  </si>
  <si>
    <t>[</t>
  </si>
  <si>
    <t>Suzlon Energy</t>
  </si>
  <si>
    <t>Consolidated Profit &amp; Loss account</t>
  </si>
  <si>
    <t>Mar 25</t>
  </si>
  <si>
    <t>Particulars</t>
  </si>
  <si>
    <t>Revenue From Operations [Net]</t>
  </si>
  <si>
    <t xml:space="preserve">revenue growth </t>
  </si>
  <si>
    <t>less: Material Consumed</t>
  </si>
  <si>
    <t xml:space="preserve">less: Employee Cost </t>
  </si>
  <si>
    <t>less: Other Expenses</t>
  </si>
  <si>
    <t>EBITDA</t>
  </si>
  <si>
    <t xml:space="preserve">less: Depreciation &amp; Amortization </t>
  </si>
  <si>
    <t>EBIT</t>
  </si>
  <si>
    <t xml:space="preserve">add: Other income </t>
  </si>
  <si>
    <t>less: Interest Expense</t>
  </si>
  <si>
    <t xml:space="preserve">EBT </t>
  </si>
  <si>
    <t xml:space="preserve">less: Tax </t>
  </si>
  <si>
    <t xml:space="preserve">less: Non Controlling interest </t>
  </si>
  <si>
    <t>PAT</t>
  </si>
  <si>
    <t xml:space="preserve">Historical Growth </t>
  </si>
  <si>
    <t xml:space="preserve">Average Growth </t>
  </si>
  <si>
    <t>CAGR</t>
  </si>
  <si>
    <t>Margin Analysis</t>
  </si>
  <si>
    <t>PAT Margin</t>
  </si>
  <si>
    <t xml:space="preserve">Tax Rate </t>
  </si>
  <si>
    <t xml:space="preserve">Effective  Tax Rate </t>
  </si>
  <si>
    <t xml:space="preserve">Marginal Tax Rate </t>
  </si>
  <si>
    <t xml:space="preserve">Return on Capital </t>
  </si>
  <si>
    <t>EBIT(1-t)</t>
  </si>
  <si>
    <t xml:space="preserve">Book Equity </t>
  </si>
  <si>
    <t>Book Debt</t>
  </si>
  <si>
    <t xml:space="preserve">Cash and Cash Equivalent </t>
  </si>
  <si>
    <t>Capital Employed</t>
  </si>
  <si>
    <t>Pre Tax Return on Capital</t>
  </si>
  <si>
    <t>Post Tax Return on Capital</t>
  </si>
  <si>
    <t>NIFTY50</t>
  </si>
  <si>
    <t>Date</t>
  </si>
  <si>
    <t>Daily Closing Price</t>
  </si>
  <si>
    <t>Closing Price</t>
  </si>
  <si>
    <t>01-04-2021</t>
  </si>
  <si>
    <t>05-04-2021</t>
  </si>
  <si>
    <t>06-04-2021</t>
  </si>
  <si>
    <t>07-04-2021</t>
  </si>
  <si>
    <t>08-04-2021</t>
  </si>
  <si>
    <t>09-04-2021</t>
  </si>
  <si>
    <t>SUMMARY OUTPUT</t>
  </si>
  <si>
    <t>12-04-2021</t>
  </si>
  <si>
    <t>13-04-2021</t>
  </si>
  <si>
    <t>Regression Statistics</t>
  </si>
  <si>
    <t>15-04-2021</t>
  </si>
  <si>
    <t>Multiple R</t>
  </si>
  <si>
    <t>16-04-2021</t>
  </si>
  <si>
    <t>R Square</t>
  </si>
  <si>
    <t>19-04-2021</t>
  </si>
  <si>
    <t>Adjusted R Square</t>
  </si>
  <si>
    <t>20-04-2021</t>
  </si>
  <si>
    <t>Standard Error</t>
  </si>
  <si>
    <t>22-04-2021</t>
  </si>
  <si>
    <t>Observations</t>
  </si>
  <si>
    <t>23-04-2021</t>
  </si>
  <si>
    <t>26-04-2021</t>
  </si>
  <si>
    <t>ANOVA</t>
  </si>
  <si>
    <t>27-04-2021</t>
  </si>
  <si>
    <t>df</t>
  </si>
  <si>
    <t>SS</t>
  </si>
  <si>
    <t>MS</t>
  </si>
  <si>
    <t>F</t>
  </si>
  <si>
    <t>Significance F</t>
  </si>
  <si>
    <t>28-04-2021</t>
  </si>
  <si>
    <t>Regression</t>
  </si>
  <si>
    <t>29-04-2021</t>
  </si>
  <si>
    <t>Residual</t>
  </si>
  <si>
    <t>30-04-2021</t>
  </si>
  <si>
    <t>Total</t>
  </si>
  <si>
    <t>03-05-2021</t>
  </si>
  <si>
    <t>04-05-2021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</si>
  <si>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</si>
  <si>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</si>
  <si>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</si>
  <si>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</si>
  <si>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</si>
  <si>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</si>
  <si>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</si>
  <si>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05-05-2021</t>
  </si>
  <si>
    <t>Intercept</t>
  </si>
  <si>
    <t>06-05-2021</t>
  </si>
  <si>
    <t>X Variable 1</t>
  </si>
  <si>
    <t>07-05-2021</t>
  </si>
  <si>
    <t>10-05-2021</t>
  </si>
  <si>
    <t>11-05-2021</t>
  </si>
  <si>
    <t>12-05-2021</t>
  </si>
  <si>
    <t>14-05-2021</t>
  </si>
  <si>
    <t>17-05-2021</t>
  </si>
  <si>
    <t>18-05-2021</t>
  </si>
  <si>
    <t>19-05-2021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</si>
  <si>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</si>
  <si>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</si>
  <si>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</si>
  <si>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</si>
  <si>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</si>
  <si>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</si>
  <si>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</si>
  <si>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</si>
  <si>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</si>
  <si>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</si>
  <si>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</si>
  <si>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</si>
  <si>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</si>
  <si>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</si>
  <si>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</si>
  <si>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</si>
  <si>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</si>
  <si>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</si>
  <si>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</si>
  <si>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</si>
  <si>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</si>
  <si>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</si>
  <si>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</si>
  <si>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</si>
  <si>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</si>
  <si>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</si>
  <si>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</si>
  <si>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</si>
  <si>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</si>
  <si>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</si>
  <si>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</si>
  <si>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</si>
  <si>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</si>
  <si>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</si>
  <si>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</si>
  <si>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</si>
  <si>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</si>
  <si>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</si>
  <si>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</si>
  <si>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</si>
  <si>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15-07-2021</t>
  </si>
  <si>
    <t>16-07-2021</t>
  </si>
  <si>
    <t>19-07-2021</t>
  </si>
  <si>
    <t>20-07-2021</t>
  </si>
  <si>
    <t>22-07-2021</t>
  </si>
  <si>
    <t>23-07-2021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</si>
  <si>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</si>
  <si>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</si>
  <si>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</si>
  <si>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</si>
  <si>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</si>
  <si>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</si>
  <si>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</si>
  <si>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</si>
  <si>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</si>
  <si>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</si>
  <si>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</si>
  <si>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</si>
  <si>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</si>
  <si>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</si>
  <si>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</si>
  <si>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</si>
  <si>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</si>
  <si>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</si>
  <si>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20-08-2021</t>
  </si>
  <si>
    <t>23-08-2021</t>
  </si>
  <si>
    <t>24-08-2021</t>
  </si>
  <si>
    <t>25-08-2021</t>
  </si>
  <si>
    <t>26-08-2021</t>
  </si>
  <si>
    <t>27-08-2021</t>
  </si>
  <si>
    <t>30-08-2021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</si>
  <si>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</si>
  <si>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</si>
  <si>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</si>
  <si>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</si>
  <si>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</si>
  <si>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</si>
  <si>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</si>
  <si>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</si>
  <si>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</si>
  <si>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</si>
  <si>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</si>
  <si>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</si>
  <si>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</si>
  <si>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</si>
  <si>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</si>
  <si>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</si>
  <si>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</si>
  <si>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</si>
  <si>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</si>
  <si>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</si>
  <si>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</si>
  <si>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</si>
  <si>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</si>
  <si>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</si>
  <si>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</si>
  <si>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</si>
  <si>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</si>
  <si>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</si>
  <si>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</si>
  <si>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</si>
  <si>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</si>
  <si>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</si>
  <si>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</si>
  <si>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</si>
  <si>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</si>
  <si>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</si>
  <si>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</si>
  <si>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</si>
  <si>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</si>
  <si>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</si>
  <si>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</si>
  <si>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29-10-2021</t>
  </si>
  <si>
    <t>01-11-2021</t>
  </si>
  <si>
    <t>02-11-2021</t>
  </si>
  <si>
    <t>03-11-2021</t>
  </si>
  <si>
    <t>04-11-2021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</si>
  <si>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</si>
  <si>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</si>
  <si>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</si>
  <si>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</si>
  <si>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</si>
  <si>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</si>
  <si>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</si>
  <si>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</si>
  <si>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</si>
  <si>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</si>
  <si>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</si>
  <si>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</si>
  <si>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</si>
  <si>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</si>
  <si>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</si>
  <si>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</si>
  <si>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</si>
  <si>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</si>
  <si>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</si>
  <si>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</si>
  <si>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</si>
  <si>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</si>
  <si>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</si>
  <si>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</si>
  <si>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</si>
  <si>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</si>
  <si>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</si>
  <si>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</si>
  <si>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</si>
  <si>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</si>
  <si>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</si>
  <si>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</si>
  <si>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</si>
  <si>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</si>
  <si>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</si>
  <si>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</si>
  <si>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</si>
  <si>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</si>
  <si>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</si>
  <si>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</si>
  <si>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</si>
  <si>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</si>
  <si>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</si>
  <si>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</si>
  <si>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</si>
  <si>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</si>
  <si>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</si>
  <si>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</si>
  <si>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</si>
  <si>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</si>
  <si>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</si>
  <si>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</si>
  <si>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</si>
  <si>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</si>
  <si>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</si>
  <si>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</si>
  <si>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</si>
  <si>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</si>
  <si>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</si>
  <si>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</si>
  <si>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</si>
  <si>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</si>
  <si>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</si>
  <si>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</si>
  <si>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</si>
  <si>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</si>
  <si>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</si>
  <si>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</si>
  <si>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</si>
  <si>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</si>
  <si>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</si>
  <si>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</si>
  <si>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</si>
  <si>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</si>
  <si>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</si>
  <si>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</si>
  <si>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</si>
  <si>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</si>
  <si>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</si>
  <si>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</si>
  <si>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</si>
  <si>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</si>
  <si>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</si>
  <si>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</si>
  <si>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</si>
  <si>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</si>
  <si>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</si>
  <si>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</si>
  <si>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</si>
  <si>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</si>
  <si>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</si>
  <si>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</si>
  <si>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</si>
  <si>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</si>
  <si>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</si>
  <si>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</si>
  <si>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</si>
  <si>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</si>
  <si>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</si>
  <si>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</si>
  <si>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</si>
  <si>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</si>
  <si>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</si>
  <si>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</si>
  <si>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</si>
  <si>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</si>
  <si>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</si>
  <si>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</si>
  <si>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</si>
  <si>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</si>
  <si>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</si>
  <si>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</si>
  <si>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</si>
  <si>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</si>
  <si>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</si>
  <si>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</si>
  <si>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</si>
  <si>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</si>
  <si>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</si>
  <si>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02-05-2022</t>
  </si>
  <si>
    <t>04-05-2022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</si>
  <si>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</si>
  <si>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</si>
  <si>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</si>
  <si>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</si>
  <si>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</si>
  <si>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</si>
  <si>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</si>
  <si>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</si>
  <si>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</si>
  <si>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</si>
  <si>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</si>
  <si>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</si>
  <si>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</si>
  <si>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</si>
  <si>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</si>
  <si>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</si>
  <si>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</si>
  <si>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</si>
  <si>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</si>
  <si>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</si>
  <si>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</si>
  <si>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</si>
  <si>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</si>
  <si>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</si>
  <si>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</si>
  <si>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</si>
  <si>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</si>
  <si>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</si>
  <si>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</si>
  <si>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</si>
  <si>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</si>
  <si>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</si>
  <si>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</si>
  <si>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</si>
  <si>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</si>
  <si>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</si>
  <si>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</si>
  <si>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</si>
  <si>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</si>
  <si>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</si>
  <si>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</si>
  <si>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</si>
  <si>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</si>
  <si>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</si>
  <si>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</si>
  <si>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</si>
  <si>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</si>
  <si>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11-07-2022</t>
  </si>
  <si>
    <t>12-07-2022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</si>
  <si>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</si>
  <si>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</si>
  <si>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</si>
  <si>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</si>
  <si>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</si>
  <si>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</si>
  <si>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</si>
  <si>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</si>
  <si>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</si>
  <si>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</si>
  <si>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</si>
  <si>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</si>
  <si>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</si>
  <si>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</si>
  <si>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</si>
  <si>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</si>
  <si>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</si>
  <si>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</si>
  <si>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</si>
  <si>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10-08-2022</t>
  </si>
  <si>
    <t>11-08-2022</t>
  </si>
  <si>
    <t>12-08-2022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</si>
  <si>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</si>
  <si>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</si>
  <si>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</si>
  <si>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</si>
  <si>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</si>
  <si>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</si>
  <si>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</si>
  <si>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</si>
  <si>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</si>
  <si>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</si>
  <si>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</si>
  <si>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</si>
  <si>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</si>
  <si>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</si>
  <si>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</si>
  <si>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</si>
  <si>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</si>
  <si>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</si>
  <si>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</si>
  <si>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</si>
  <si>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</si>
  <si>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</si>
  <si>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</si>
  <si>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</si>
  <si>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</si>
  <si>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</si>
  <si>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</si>
  <si>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</si>
  <si>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</si>
  <si>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</si>
  <si>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</si>
  <si>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</si>
  <si>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</si>
  <si>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</si>
  <si>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</si>
  <si>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</si>
  <si>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</si>
  <si>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</si>
  <si>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</si>
  <si>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</si>
  <si>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</si>
  <si>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</si>
  <si>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</si>
  <si>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</si>
  <si>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</si>
  <si>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</si>
  <si>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</si>
  <si>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</si>
  <si>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</si>
  <si>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</si>
  <si>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</si>
  <si>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</si>
  <si>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</si>
  <si>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</si>
  <si>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</si>
  <si>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</si>
  <si>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</si>
  <si>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</si>
  <si>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</si>
  <si>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</si>
  <si>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</si>
  <si>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</si>
  <si>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</si>
  <si>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</si>
  <si>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</si>
  <si>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</si>
  <si>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</si>
  <si>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</si>
  <si>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</si>
  <si>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</si>
  <si>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</si>
  <si>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</si>
  <si>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</si>
  <si>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</si>
  <si>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</si>
  <si>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</si>
  <si>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</si>
  <si>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</si>
  <si>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</si>
  <si>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</si>
  <si>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</si>
  <si>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</si>
  <si>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</si>
  <si>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</si>
  <si>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</si>
  <si>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</si>
  <si>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</si>
  <si>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</si>
  <si>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</si>
  <si>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</si>
  <si>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</si>
  <si>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</si>
  <si>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</si>
  <si>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</si>
  <si>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</si>
  <si>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</si>
  <si>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</si>
  <si>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</si>
  <si>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</si>
  <si>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</si>
  <si>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</si>
  <si>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</si>
  <si>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</si>
  <si>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</si>
  <si>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</si>
  <si>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</si>
  <si>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</si>
  <si>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</si>
  <si>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</si>
  <si>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</si>
  <si>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</si>
  <si>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</si>
  <si>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</si>
  <si>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</si>
  <si>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</si>
  <si>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</si>
  <si>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</si>
  <si>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</si>
  <si>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</si>
  <si>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</si>
  <si>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</si>
  <si>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08-02-2023</t>
  </si>
  <si>
    <t>09-02-2023</t>
  </si>
  <si>
    <t>10-02-2023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</si>
  <si>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</si>
  <si>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</si>
  <si>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</si>
  <si>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</si>
  <si>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</si>
  <si>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</si>
  <si>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</si>
  <si>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</si>
  <si>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</si>
  <si>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</si>
  <si>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</si>
  <si>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</si>
  <si>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</si>
  <si>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</si>
  <si>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</si>
  <si>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</si>
  <si>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</si>
  <si>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</si>
  <si>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</si>
  <si>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</si>
  <si>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</si>
  <si>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</si>
  <si>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</si>
  <si>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</si>
  <si>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</si>
  <si>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</si>
  <si>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</si>
  <si>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</si>
  <si>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</si>
  <si>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</si>
  <si>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</si>
  <si>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</si>
  <si>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31-03-2023</t>
  </si>
  <si>
    <t>03-04-2023</t>
  </si>
  <si>
    <t>05-04-2023</t>
  </si>
  <si>
    <t>06-04-2023</t>
  </si>
  <si>
    <t>10-04-2023</t>
  </si>
  <si>
    <t>11-04-2023</t>
  </si>
  <si>
    <t>12-04-2023</t>
  </si>
  <si>
    <t>13-04-2023</t>
  </si>
  <si>
    <t>17-04-2023</t>
  </si>
  <si>
    <t>18-04-2023</t>
  </si>
  <si>
    <t>19-04-2023</t>
  </si>
  <si>
    <t>20-04-2023</t>
  </si>
  <si>
    <t>21-04-2023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</si>
  <si>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</si>
  <si>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</si>
  <si>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</si>
  <si>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</si>
  <si>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</si>
  <si>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</si>
  <si>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</si>
  <si>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</si>
  <si>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</si>
  <si>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</si>
  <si>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</si>
  <si>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</si>
  <si>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</si>
  <si>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</si>
  <si>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</si>
  <si>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</si>
  <si>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</si>
  <si>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</si>
  <si>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19-05-2023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</si>
  <si>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</si>
  <si>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</si>
  <si>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</si>
  <si>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</si>
  <si>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</si>
  <si>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</si>
  <si>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</si>
  <si>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</si>
  <si>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</si>
  <si>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</si>
  <si>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</si>
  <si>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</si>
  <si>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</si>
  <si>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</si>
  <si>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</si>
  <si>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</si>
  <si>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</si>
  <si>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</si>
  <si>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</si>
  <si>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</si>
  <si>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</si>
  <si>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</si>
  <si>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</si>
  <si>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</si>
  <si>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</si>
  <si>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</si>
  <si>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</si>
  <si>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28-06-2023</t>
  </si>
  <si>
    <t>30-06-2023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</si>
  <si>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</si>
  <si>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</si>
  <si>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</si>
  <si>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</si>
  <si>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</si>
  <si>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</si>
  <si>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</si>
  <si>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</si>
  <si>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</si>
  <si>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</si>
  <si>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</si>
  <si>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</si>
  <si>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</si>
  <si>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</si>
  <si>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</si>
  <si>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</si>
  <si>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</si>
  <si>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</si>
  <si>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</si>
  <si>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</si>
  <si>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</si>
  <si>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</si>
  <si>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</si>
  <si>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</si>
  <si>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</si>
  <si>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</si>
  <si>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</si>
  <si>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</si>
  <si>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</si>
  <si>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</si>
  <si>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</si>
  <si>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</si>
  <si>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</si>
  <si>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</si>
  <si>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</si>
  <si>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</si>
  <si>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</si>
  <si>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</si>
  <si>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</si>
  <si>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</si>
  <si>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</si>
  <si>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</si>
  <si>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</si>
  <si>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</si>
  <si>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</si>
  <si>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</si>
  <si>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</si>
  <si>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</si>
  <si>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</si>
  <si>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</si>
  <si>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</si>
  <si>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</si>
  <si>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</si>
  <si>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</si>
  <si>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</si>
  <si>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</si>
  <si>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</si>
  <si>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</si>
  <si>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</si>
  <si>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</si>
  <si>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</si>
  <si>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</si>
  <si>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</si>
  <si>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</si>
  <si>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</si>
  <si>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</si>
  <si>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</si>
  <si>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</si>
  <si>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</si>
  <si>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</si>
  <si>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</si>
  <si>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</si>
  <si>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</si>
  <si>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</si>
  <si>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</si>
  <si>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</si>
  <si>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</si>
  <si>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</si>
  <si>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</si>
  <si>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</si>
  <si>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</si>
  <si>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</si>
  <si>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</si>
  <si>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</si>
  <si>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</si>
  <si>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</si>
  <si>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</si>
  <si>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</si>
  <si>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</si>
  <si>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</si>
  <si>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</si>
  <si>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</si>
  <si>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</si>
  <si>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</si>
  <si>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</si>
  <si>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</si>
  <si>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</si>
  <si>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</si>
  <si>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</si>
  <si>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</si>
  <si>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</si>
  <si>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</si>
  <si>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</si>
  <si>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</si>
  <si>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</si>
  <si>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</si>
  <si>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</si>
  <si>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</si>
  <si>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</si>
  <si>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</si>
  <si>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</si>
  <si>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</si>
  <si>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</si>
  <si>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</si>
  <si>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</si>
  <si>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</si>
  <si>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</si>
  <si>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</si>
  <si>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</si>
  <si>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26-12-2023</t>
  </si>
  <si>
    <t>27-12-2023</t>
  </si>
  <si>
    <t>28-12-2023</t>
  </si>
  <si>
    <t>29-12-2023</t>
  </si>
  <si>
    <t>01-01-2024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</si>
  <si>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</si>
  <si>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</si>
  <si>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</si>
  <si>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</si>
  <si>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</si>
  <si>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</si>
  <si>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</si>
  <si>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</si>
  <si>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</si>
  <si>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</si>
  <si>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</si>
  <si>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</si>
  <si>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</si>
  <si>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</si>
  <si>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23-01-2024</t>
  </si>
  <si>
    <t>24-01-2024</t>
  </si>
  <si>
    <t>25-01-2024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</si>
  <si>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</si>
  <si>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</si>
  <si>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</si>
  <si>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</si>
  <si>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</si>
  <si>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</si>
  <si>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</si>
  <si>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</si>
  <si>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</si>
  <si>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</si>
  <si>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</si>
  <si>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</si>
  <si>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</si>
  <si>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</si>
  <si>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</si>
  <si>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</si>
  <si>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</si>
  <si>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</si>
  <si>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</si>
  <si>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</si>
  <si>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</si>
  <si>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</si>
  <si>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</si>
  <si>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</si>
  <si>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</si>
  <si>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</si>
  <si>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</si>
  <si>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</si>
  <si>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</si>
  <si>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</si>
  <si>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</si>
  <si>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</si>
  <si>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</si>
  <si>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</si>
  <si>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</si>
  <si>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</si>
  <si>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</si>
  <si>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</si>
  <si>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</si>
  <si>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26-03-2024</t>
  </si>
  <si>
    <t>27-03-2024</t>
  </si>
  <si>
    <t>28-03-2024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</si>
  <si>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</si>
  <si>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</si>
  <si>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</si>
  <si>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</si>
  <si>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</si>
  <si>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</si>
  <si>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</si>
  <si>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10-04-2024</t>
  </si>
  <si>
    <t>12-04-2024</t>
  </si>
  <si>
    <t>15-04-2024</t>
  </si>
  <si>
    <t>16-04-2024</t>
  </si>
  <si>
    <t>18-04-2024</t>
  </si>
  <si>
    <t>19-04-2024</t>
  </si>
  <si>
    <t>22-04-2024</t>
  </si>
  <si>
    <t>23-04-2024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</si>
  <si>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</si>
  <si>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</si>
  <si>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</si>
  <si>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</si>
  <si>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</si>
  <si>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</si>
  <si>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</si>
  <si>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</si>
  <si>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</si>
  <si>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</si>
  <si>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</si>
  <si>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</si>
  <si>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</si>
  <si>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</si>
  <si>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</si>
  <si>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</si>
  <si>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</si>
  <si>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</si>
  <si>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</si>
  <si>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</si>
  <si>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</si>
  <si>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</si>
  <si>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</si>
  <si>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</si>
  <si>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</si>
  <si>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</si>
  <si>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</si>
  <si>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</si>
  <si>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</si>
  <si>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</si>
  <si>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</si>
  <si>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</si>
  <si>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</si>
  <si>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</si>
  <si>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</si>
  <si>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</si>
  <si>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18-06-2024</t>
  </si>
  <si>
    <t>19-06-2024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</si>
  <si>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</si>
  <si>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</si>
  <si>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</si>
  <si>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</si>
  <si>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</si>
  <si>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</si>
  <si>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</si>
  <si>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</si>
  <si>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</si>
  <si>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</si>
  <si>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</si>
  <si>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</si>
  <si>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</si>
  <si>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</si>
  <si>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</si>
  <si>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</si>
  <si>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</si>
  <si>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15-07-2024</t>
  </si>
  <si>
    <t>16-07-2024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</si>
  <si>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</si>
  <si>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</si>
  <si>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</si>
  <si>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</si>
  <si>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</si>
  <si>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</si>
  <si>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</si>
  <si>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</si>
  <si>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</si>
  <si>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</si>
  <si>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</si>
  <si>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</si>
  <si>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</si>
  <si>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</si>
  <si>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</si>
  <si>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</si>
  <si>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</si>
  <si>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</si>
  <si>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</si>
  <si>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</si>
  <si>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</si>
  <si>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</si>
  <si>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</si>
  <si>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</si>
  <si>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</si>
  <si>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</si>
  <si>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</si>
  <si>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</si>
  <si>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</si>
  <si>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</si>
  <si>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30-08-2024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</si>
  <si>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</si>
  <si>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</si>
  <si>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</si>
  <si>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</si>
  <si>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</si>
  <si>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</si>
  <si>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</si>
  <si>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</si>
  <si>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</si>
  <si>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</si>
  <si>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</si>
  <si>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</si>
  <si>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</si>
  <si>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</si>
  <si>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</si>
  <si>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</si>
  <si>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</si>
  <si>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</si>
  <si>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</si>
  <si>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</si>
  <si>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</si>
  <si>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</si>
  <si>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</si>
  <si>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</si>
  <si>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</si>
  <si>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</si>
  <si>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</si>
  <si>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</si>
  <si>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</si>
  <si>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</si>
  <si>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</si>
  <si>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</si>
  <si>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</si>
  <si>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</si>
  <si>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</si>
  <si>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</si>
  <si>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</si>
  <si>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</si>
  <si>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</si>
  <si>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</si>
  <si>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29-10-2024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</si>
  <si>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</si>
  <si>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</si>
  <si>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</si>
  <si>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</si>
  <si>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</si>
  <si>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</si>
  <si>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</si>
  <si>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</si>
  <si>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</si>
  <si>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</si>
  <si>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</si>
  <si>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</si>
  <si>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18-11-2024</t>
  </si>
  <si>
    <t>19-11-2024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</si>
  <si>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</si>
  <si>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</si>
  <si>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</si>
  <si>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</si>
  <si>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</si>
  <si>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</si>
  <si>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</si>
  <si>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</si>
  <si>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</si>
  <si>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</si>
  <si>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</si>
  <si>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</si>
  <si>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</si>
  <si>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</si>
  <si>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</si>
  <si>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</si>
  <si>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</si>
  <si>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</si>
  <si>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</si>
  <si>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</si>
  <si>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</si>
  <si>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</si>
  <si>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</si>
  <si>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</si>
  <si>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26-12-2024</t>
  </si>
  <si>
    <t>27-12-2024</t>
  </si>
  <si>
    <t>30-12-2024</t>
  </si>
  <si>
    <t>31-12-2024</t>
  </si>
  <si>
    <t>01-01-2025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</si>
  <si>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</si>
  <si>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</si>
  <si>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</si>
  <si>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</si>
  <si>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</si>
  <si>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</si>
  <si>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</si>
  <si>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</si>
  <si>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</si>
  <si>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</si>
  <si>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</si>
  <si>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</si>
  <si>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</si>
  <si>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</si>
  <si>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</si>
  <si>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</si>
  <si>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</si>
  <si>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</si>
  <si>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</si>
  <si>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</si>
  <si>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</si>
  <si>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</si>
  <si>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01-02-2025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</si>
  <si>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</si>
  <si>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</si>
  <si>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</si>
  <si>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</si>
  <si>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</si>
  <si>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</si>
  <si>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</si>
  <si>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</si>
  <si>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</si>
  <si>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</si>
  <si>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</si>
  <si>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</si>
  <si>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</si>
  <si>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</si>
  <si>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</si>
  <si>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</si>
  <si>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</si>
  <si>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</si>
  <si>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</si>
  <si>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</si>
  <si>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</si>
  <si>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</si>
  <si>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</si>
  <si>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</si>
  <si>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</si>
  <si>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</si>
  <si>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</si>
  <si>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</si>
  <si>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</si>
  <si>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</si>
  <si>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</si>
  <si>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</si>
  <si>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</si>
  <si>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</si>
  <si>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</si>
  <si>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</si>
  <si>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</si>
  <si>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</si>
  <si>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01-04-2025</t>
  </si>
  <si>
    <t>02-04-2025</t>
  </si>
  <si>
    <t>03-04-2025</t>
  </si>
  <si>
    <t>04-04-2025</t>
  </si>
  <si>
    <t>07-04-2025</t>
  </si>
  <si>
    <t>08-04-2025</t>
  </si>
  <si>
    <t>09-04-2025</t>
  </si>
  <si>
    <t>11-04-2025</t>
  </si>
  <si>
    <t>15-04-2025</t>
  </si>
  <si>
    <t>16-04-2025</t>
  </si>
  <si>
    <t>17-04-2025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</si>
  <si>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</si>
  <si>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</si>
  <si>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</si>
  <si>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</si>
  <si>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</si>
  <si>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</si>
  <si>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</si>
  <si>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</si>
  <si>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</si>
  <si>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</si>
  <si>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</si>
  <si>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</si>
  <si>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</si>
  <si>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</si>
  <si>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</si>
  <si>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</si>
  <si>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</si>
  <si>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</si>
  <si>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</si>
  <si>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</si>
  <si>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</si>
  <si>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</si>
  <si>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</si>
  <si>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</si>
  <si>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</si>
  <si>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</si>
  <si>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</si>
  <si>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</si>
  <si>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</si>
  <si>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</si>
  <si>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</si>
  <si>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</si>
  <si>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</si>
  <si>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06-06-2025</t>
  </si>
  <si>
    <t>09-06-2025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</si>
  <si>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</si>
  <si>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</si>
  <si>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</si>
  <si>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</si>
  <si>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</si>
  <si>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</si>
  <si>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</si>
  <si>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</si>
  <si>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</si>
  <si>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</si>
  <si>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</si>
  <si>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</si>
  <si>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</si>
  <si>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</si>
  <si>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</si>
  <si>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</si>
  <si>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</si>
  <si>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</si>
  <si>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</si>
  <si>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</si>
  <si>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</si>
  <si>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</si>
  <si>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</si>
  <si>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</si>
  <si>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</si>
  <si>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</si>
  <si>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</si>
  <si>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</si>
  <si>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</si>
  <si>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</si>
  <si>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</si>
  <si>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</si>
  <si>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</si>
  <si>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</si>
  <si>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</si>
  <si>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</si>
  <si>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</si>
  <si>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</si>
  <si>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</si>
  <si>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</si>
  <si>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</si>
  <si>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</si>
  <si>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</si>
  <si>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</si>
  <si>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</si>
  <si>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</si>
  <si>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</si>
  <si>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</si>
  <si>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</si>
  <si>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</si>
  <si>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</si>
  <si>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</si>
  <si>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</si>
  <si>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</si>
  <si>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</si>
  <si>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</si>
  <si>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</si>
  <si>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</si>
  <si>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</si>
  <si>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</si>
  <si>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</si>
  <si>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</si>
  <si>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</si>
  <si>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</si>
  <si>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</si>
  <si>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</si>
  <si>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</si>
  <si>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</si>
  <si>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</si>
  <si>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</si>
  <si>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</si>
  <si>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</si>
  <si>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</si>
  <si>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</si>
  <si>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</si>
  <si>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</si>
  <si>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</si>
  <si>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</si>
  <si>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</si>
  <si>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</si>
  <si>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</si>
  <si>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</si>
  <si>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</si>
  <si>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</si>
  <si>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</si>
  <si>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</si>
  <si>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</si>
  <si>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</si>
  <si>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</si>
  <si>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</si>
  <si>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</si>
  <si>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</si>
  <si>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</si>
  <si>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23-10-2025</t>
  </si>
  <si>
    <t>24-10-2025</t>
  </si>
  <si>
    <t>27-10-2025</t>
  </si>
  <si>
    <t>28-10-2025</t>
  </si>
  <si>
    <t>29-10-2025</t>
  </si>
  <si>
    <t>30-10-2025</t>
  </si>
  <si>
    <t>31-10-2025</t>
  </si>
  <si>
    <t>03-11-2025</t>
  </si>
  <si>
    <t>04-11-2025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</si>
  <si>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</si>
  <si>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</si>
  <si>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</si>
  <si>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</si>
  <si>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</si>
  <si>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</si>
  <si>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</si>
  <si>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</si>
  <si>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</si>
  <si>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</si>
  <si>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</si>
  <si>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</si>
  <si>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</si>
  <si>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</si>
  <si>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</si>
  <si>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</si>
  <si>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</si>
  <si>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</si>
  <si>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</si>
  <si>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</si>
  <si>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</si>
  <si>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</si>
  <si>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</si>
  <si>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</si>
  <si>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</si>
  <si>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</si>
  <si>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</si>
  <si>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</si>
  <si>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</si>
  <si>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</si>
  <si>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</si>
  <si>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</si>
  <si>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</si>
  <si>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</si>
  <si>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</si>
  <si>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26-12-2025</t>
  </si>
  <si>
    <t>29-12-2025</t>
  </si>
  <si>
    <t>30-12-2025</t>
  </si>
  <si>
    <t>31-12-2025</t>
  </si>
  <si>
    <t>01-01-2026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</si>
  <si>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</si>
  <si>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</si>
  <si>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</si>
  <si>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</si>
  <si>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</si>
  <si>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</si>
  <si>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</si>
  <si>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</si>
  <si>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</si>
  <si>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16-01-2026</t>
  </si>
  <si>
    <t>19-01-2026</t>
  </si>
  <si>
    <t>20-01-2026</t>
  </si>
  <si>
    <t>21-01-2026</t>
  </si>
  <si>
    <t>22-01-2026</t>
  </si>
  <si>
    <t>23-01-2026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</si>
  <si>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</si>
  <si>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</si>
  <si>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</si>
  <si>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</si>
  <si>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</si>
  <si>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</si>
  <si>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</si>
  <si>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</si>
  <si>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</si>
  <si>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</si>
  <si>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</si>
  <si>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</si>
  <si>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</si>
  <si>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</si>
  <si>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</si>
  <si>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</si>
  <si>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</si>
  <si>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</si>
  <si>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</si>
  <si>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</si>
  <si>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</si>
  <si>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</si>
  <si>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</si>
  <si>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</si>
  <si>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</si>
  <si>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</si>
  <si>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</si>
  <si>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</si>
  <si>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</si>
  <si>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</si>
  <si>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</si>
  <si>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</si>
  <si>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</si>
  <si>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</si>
  <si>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</si>
  <si>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</si>
  <si>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</si>
  <si>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</si>
  <si>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</si>
  <si>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24-03-2026</t>
  </si>
  <si>
    <t>25-03-2026</t>
  </si>
  <si>
    <t>27-03-2026</t>
  </si>
  <si>
    <t>30-03-2026</t>
  </si>
  <si>
    <t>Weighted Average Cost of Capital</t>
  </si>
  <si>
    <t>Capital Structure</t>
  </si>
  <si>
    <t>Total Debt</t>
  </si>
  <si>
    <t>Total Mix</t>
  </si>
  <si>
    <t>% of Debt</t>
  </si>
  <si>
    <t>% of Equity</t>
  </si>
  <si>
    <t xml:space="preserve"> </t>
  </si>
  <si>
    <t>Debt to Equity</t>
  </si>
  <si>
    <t>Cost of Equity</t>
  </si>
  <si>
    <t>Cost of Debt</t>
  </si>
  <si>
    <t>Risk free rate(Rf)</t>
  </si>
  <si>
    <t>Source</t>
  </si>
  <si>
    <t>Cost</t>
  </si>
  <si>
    <t>Beta</t>
  </si>
  <si>
    <t>Cost of debt*</t>
  </si>
  <si>
    <t>Market risk premium</t>
  </si>
  <si>
    <t>Tax rate</t>
  </si>
  <si>
    <t>Cost of equity</t>
  </si>
  <si>
    <t>Cost of Debt after tax</t>
  </si>
  <si>
    <t>WACC</t>
  </si>
  <si>
    <t>Weight</t>
  </si>
  <si>
    <t>Weighted Cost</t>
  </si>
  <si>
    <t xml:space="preserve">Debt </t>
  </si>
  <si>
    <t>Equity</t>
  </si>
  <si>
    <t xml:space="preserve">BIOCON                         "Fixed Asset Schedule " </t>
  </si>
  <si>
    <t xml:space="preserve">Particular </t>
  </si>
  <si>
    <t xml:space="preserve">Beginning balance </t>
  </si>
  <si>
    <t xml:space="preserve">Add: Net Purchases </t>
  </si>
  <si>
    <t xml:space="preserve">Total Fixed Assets </t>
  </si>
  <si>
    <t xml:space="preserve">Less: Depreciation </t>
  </si>
  <si>
    <t xml:space="preserve">Closing Balance(Fixed Asests ) </t>
  </si>
  <si>
    <t xml:space="preserve">Net Capital expenditure </t>
  </si>
  <si>
    <t xml:space="preserve">Net Capital expenditure / Sales percentage </t>
  </si>
  <si>
    <t xml:space="preserve">Median Capital expenditure /Sales percentage </t>
  </si>
  <si>
    <t xml:space="preserve">Average  Capital expenditure /Sales percentage </t>
  </si>
  <si>
    <t xml:space="preserve">       "Change in Working Capital " </t>
  </si>
  <si>
    <t xml:space="preserve">Inventory </t>
  </si>
  <si>
    <t xml:space="preserve">Trade Receivables </t>
  </si>
  <si>
    <t>Trade Payable</t>
  </si>
  <si>
    <t xml:space="preserve">Non Cash working Capital </t>
  </si>
  <si>
    <t xml:space="preserve">Change in Working Capital </t>
  </si>
  <si>
    <t xml:space="preserve">changein working Capital /percentage of sales </t>
  </si>
  <si>
    <t xml:space="preserve">Median Non Cash working Capital  /Sales percentage </t>
  </si>
  <si>
    <t xml:space="preserve">Average  Non Cash working Capital  /Sales percentage </t>
  </si>
  <si>
    <t xml:space="preserve">BIOCON     "Free Cash Flow " </t>
  </si>
  <si>
    <t>Less: Tax on EBIT</t>
  </si>
  <si>
    <t>EBIT * (1- Tax)</t>
  </si>
  <si>
    <t xml:space="preserve">Less: Net Capital expenditure </t>
  </si>
  <si>
    <t xml:space="preserve">Less: Net Change in working Capital </t>
  </si>
  <si>
    <t>Reinvestment</t>
  </si>
  <si>
    <t>Free Cash Flow</t>
  </si>
  <si>
    <t xml:space="preserve">Reinvestment Rate </t>
  </si>
  <si>
    <t xml:space="preserve">Median Reinvestment rate   /Sales percentage </t>
  </si>
  <si>
    <t xml:space="preserve">Average Reinvestment rate   /Sales percentage </t>
  </si>
  <si>
    <t>BIOCON  "Growth Scenarios"</t>
  </si>
  <si>
    <t>Scenario 1: High Growth</t>
  </si>
  <si>
    <t>INR Cr.</t>
  </si>
  <si>
    <t>LTM</t>
  </si>
  <si>
    <t>Y1E</t>
  </si>
  <si>
    <t>Y2E</t>
  </si>
  <si>
    <t>Y3E</t>
  </si>
  <si>
    <t>Y4W</t>
  </si>
  <si>
    <t>Y5E</t>
  </si>
  <si>
    <t>Y6E</t>
  </si>
  <si>
    <t>Y7E</t>
  </si>
  <si>
    <t>Y8E</t>
  </si>
  <si>
    <t>Y9E</t>
  </si>
  <si>
    <t>Y10E</t>
  </si>
  <si>
    <t>Sales</t>
  </si>
  <si>
    <t>Risk Free Rate</t>
  </si>
  <si>
    <t>Sales Growth %</t>
  </si>
  <si>
    <t>Scenario 2: Average Growth</t>
  </si>
  <si>
    <t>Scenario 3: EBIT Growth</t>
  </si>
  <si>
    <t>Live Scenario</t>
  </si>
  <si>
    <t>INR Cr</t>
  </si>
  <si>
    <t>Terminal Year</t>
  </si>
  <si>
    <t>Terminal growth rate %</t>
  </si>
  <si>
    <t xml:space="preserve">Sales </t>
  </si>
  <si>
    <t>Cost of Capital %</t>
  </si>
  <si>
    <t>Sales Growth</t>
  </si>
  <si>
    <t>Terminal reinvestment rate %</t>
  </si>
  <si>
    <t>EBIT Margin %</t>
  </si>
  <si>
    <t>Enterprise value = Equity Value + Minority interest</t>
  </si>
  <si>
    <t>EBIT(1-T)</t>
  </si>
  <si>
    <t>Less: Net Capital Expenditure</t>
  </si>
  <si>
    <t>Non Cash Working Capital</t>
  </si>
  <si>
    <t>Less: Change in Working Capital</t>
  </si>
  <si>
    <t>Free Cash Flow To Firm (FCFF)</t>
  </si>
  <si>
    <t>Implied Reinvestment rate %</t>
  </si>
  <si>
    <t>Terminal Value</t>
  </si>
  <si>
    <t>Present Value Interest Factor(PVIF)</t>
  </si>
  <si>
    <t>Present value of FCFF</t>
  </si>
  <si>
    <t>Present value of Terminal value</t>
  </si>
  <si>
    <t>Calculation of Sensitivity Analysis</t>
  </si>
  <si>
    <t>Value of operating assets</t>
  </si>
  <si>
    <t>Add: Cash</t>
  </si>
  <si>
    <t>Less: Debt</t>
  </si>
  <si>
    <t>Less: Minority Interest</t>
  </si>
  <si>
    <t>Equity Value</t>
  </si>
  <si>
    <t>No. of Shares outstanding (Cr)</t>
  </si>
  <si>
    <t xml:space="preserve">intrinsic value per share </t>
  </si>
  <si>
    <t>Current</t>
  </si>
  <si>
    <t>Figures in Crore</t>
  </si>
  <si>
    <t>Comparable Company Valuation</t>
  </si>
  <si>
    <t>Company Name</t>
  </si>
  <si>
    <t>Ticker Name</t>
  </si>
  <si>
    <t>Market Data</t>
  </si>
  <si>
    <t>Financials</t>
  </si>
  <si>
    <t>Valuation</t>
  </si>
  <si>
    <t>No. of shares</t>
  </si>
  <si>
    <t>Share Price</t>
  </si>
  <si>
    <t>Equity value</t>
  </si>
  <si>
    <t>Debt</t>
  </si>
  <si>
    <t>cash</t>
  </si>
  <si>
    <t>Enterprises value</t>
  </si>
  <si>
    <t>Revenue</t>
  </si>
  <si>
    <t>EPS</t>
  </si>
  <si>
    <t>EV/Revenue</t>
  </si>
  <si>
    <t>EV/EBITDA</t>
  </si>
  <si>
    <t>P/E Ratio</t>
  </si>
  <si>
    <t>Max</t>
  </si>
  <si>
    <t>75th Percentile</t>
  </si>
  <si>
    <t>Average</t>
  </si>
  <si>
    <t>median</t>
  </si>
  <si>
    <t>25th Percentile</t>
  </si>
  <si>
    <t>Min.</t>
  </si>
  <si>
    <t>M&amp;M Industry Comparable comps</t>
  </si>
  <si>
    <t>Implied Enterprise Value</t>
  </si>
  <si>
    <t>Net Debt</t>
  </si>
  <si>
    <t>Implied Market Value</t>
  </si>
  <si>
    <t>Share Outstanding</t>
  </si>
  <si>
    <t>Implied Value per Share</t>
  </si>
  <si>
    <t>Biocon posts FY25 revenue of ₹15,262 Cr (+3.4% YoY), PAT of ₹1,429 Cr (+10.1% YoY); stock trades at ₹458</t>
  </si>
  <si>
    <t>Biocon Limited is one of India's largest biopharmaceutical companies, founded in 1978 by Kiran Mazumdar-Shaw and headquartered in Bengaluru. The company operates across biosimilars, generics, APIs, novel biologics and contract research services. Biocon serves patients in more than 120 countries and has a strong presence in diabetes, oncology and autoimmune therapies.</t>
  </si>
  <si>
    <t>Major Subsidiaries</t>
  </si>
  <si>
    <t>Subsidiary</t>
  </si>
  <si>
    <t>Business</t>
  </si>
  <si>
    <t>Location</t>
  </si>
  <si>
    <t>Biocon Biologics Limited</t>
  </si>
  <si>
    <t>Biosimilars and biologics</t>
  </si>
  <si>
    <t>Bengaluru, Karnataka</t>
  </si>
  <si>
    <t>Syngene International Limited</t>
  </si>
  <si>
    <t>CRDMO, research and manufacturing services</t>
  </si>
  <si>
    <t>Biocon Research Limited</t>
  </si>
  <si>
    <t>Novel biologics R&amp;D</t>
  </si>
  <si>
    <t>Biocon Pharma Limited</t>
  </si>
  <si>
    <t>Formulations and pharmaceuticals</t>
  </si>
  <si>
    <t>Biocon Pharma Inc.</t>
  </si>
  <si>
    <t>US commercial operations</t>
  </si>
  <si>
    <t>New Jersey, USA</t>
  </si>
  <si>
    <t>Biocon SDN. BHD.</t>
  </si>
  <si>
    <t>Insulin manufacturing and operations</t>
  </si>
  <si>
    <t>Johor, Malaysia</t>
  </si>
  <si>
    <t>Biocon Biologics Healthcare Malaysia Sdn. Bhd.</t>
  </si>
  <si>
    <t>Biosimilar manufacturing</t>
  </si>
  <si>
    <t>Biocon FZ LLC</t>
  </si>
  <si>
    <t>Regional commercial operations</t>
  </si>
  <si>
    <t>Dubai, UAE</t>
  </si>
  <si>
    <t>Syngene USA Inc.</t>
  </si>
  <si>
    <t>Research and manufacturing operations</t>
  </si>
  <si>
    <t>USA</t>
  </si>
  <si>
    <t>Key Manufacturing and Research Units</t>
  </si>
  <si>
    <t>PIN Code</t>
  </si>
  <si>
    <t>Biocon Campus, Electronic City</t>
  </si>
  <si>
    <t>Electronic City Phase II, Bengaluru, Karnataka</t>
  </si>
  <si>
    <t>Biocon Park SEZ</t>
  </si>
  <si>
    <t>Bommasandra Jigani Link Road, Bengaluru, Karnataka</t>
  </si>
  <si>
    <t>Biocon Biologics Manufacturing Campus</t>
  </si>
  <si>
    <t>Bommasandra Industrial Area, Bengaluru, Karnataka</t>
  </si>
  <si>
    <t>Syngene Biocon SEZ Campus</t>
  </si>
  <si>
    <t>Bommasandra Industrial Area Phase IV, Bengaluru, Karnataka</t>
  </si>
  <si>
    <t>Syngene Corporate Office "The Hub"</t>
  </si>
  <si>
    <t>Electronic City Phase I, Bengaluru, Karnataka</t>
  </si>
  <si>
    <t>API Manufacturing Facility</t>
  </si>
  <si>
    <t>Mangaluru, Karnataka</t>
  </si>
  <si>
    <t>Oral Solid Dosage Facility</t>
  </si>
  <si>
    <t>Cranbury, New Jersey, USA</t>
  </si>
  <si>
    <t>Integrated Insulin Manufacturing Facility</t>
  </si>
  <si>
    <t>Unit</t>
  </si>
  <si>
    <t xml:space="preserve">BETA </t>
  </si>
  <si>
    <t>Biocon- "VALUATION"</t>
  </si>
  <si>
    <t xml:space="preserve">Relative Valuation - Biocon Labs </t>
  </si>
  <si>
    <t>Material Cost %</t>
  </si>
  <si>
    <t>Manufacturing Cost %</t>
  </si>
  <si>
    <t>Employee Cost %</t>
  </si>
  <si>
    <t>Other Cost %</t>
  </si>
  <si>
    <t>Operating Profit</t>
  </si>
  <si>
    <t>OPM %</t>
  </si>
  <si>
    <t>Other Income</t>
  </si>
  <si>
    <t>Exceptional Items</t>
  </si>
  <si>
    <t>Other Income Normal</t>
  </si>
  <si>
    <t>Interest</t>
  </si>
  <si>
    <t>Depreciation</t>
  </si>
  <si>
    <t>Profit Before Tax</t>
  </si>
  <si>
    <t>Tax %</t>
  </si>
  <si>
    <t>No. of Shares</t>
  </si>
  <si>
    <t>% Held</t>
  </si>
  <si>
    <t>KIRAN MAZUMDAR SHAW</t>
  </si>
  <si>
    <t>48,45,81,970</t>
  </si>
  <si>
    <t>RAVI RASENDRA MAZUMDAR</t>
  </si>
  <si>
    <t>53,01,321</t>
  </si>
  <si>
    <t>DEV MAZUMDAR</t>
  </si>
  <si>
    <t>9,29,721</t>
  </si>
  <si>
    <t>GLENTEC INTERNATIONAL</t>
  </si>
  <si>
    <t>23,72,11,164</t>
  </si>
  <si>
    <t>72,80,24,176</t>
  </si>
  <si>
    <t xml:space="preserve">Promoter </t>
  </si>
  <si>
    <t>Category &amp; Name of the Shareholders</t>
  </si>
  <si>
    <t>No. of shareholder</t>
  </si>
  <si>
    <t>No. of fully paid up equity shares held</t>
  </si>
  <si>
    <t>Total no. shares held</t>
  </si>
  <si>
    <t>Shareholding % calculated as per SCRR, 1957 As a % of (A+B+C2)</t>
  </si>
  <si>
    <t>Institutions</t>
  </si>
  <si>
    <t>B2) Institutions (Domestic)</t>
  </si>
  <si>
    <t>Mutual Funds/</t>
  </si>
  <si>
    <t>26,79,52,467</t>
  </si>
  <si>
    <t>MIRAE ASSET NIFTY MIDCAP 150 ETF</t>
  </si>
  <si>
    <t>2,02,05,321</t>
  </si>
  <si>
    <t>SBI LARGE &amp; MIDCAP FUND</t>
  </si>
  <si>
    <t>13,29,91,385</t>
  </si>
  <si>
    <t>NIPPON LIFE INDIA TRUSTEE LTD- A/C NIPPON INDIA VI</t>
  </si>
  <si>
    <t>1,81,65,211</t>
  </si>
  <si>
    <t>KOTAK LARGE &amp; MIDCAP FUND</t>
  </si>
  <si>
    <t>1,66,10,890</t>
  </si>
  <si>
    <t>ICICI PRUDENTIAL INNOVATION FUND</t>
  </si>
  <si>
    <t>3,88,50,342</t>
  </si>
  <si>
    <t>Alternate Investment Funds</t>
  </si>
  <si>
    <t>2,01,56,253</t>
  </si>
  <si>
    <t>Banks</t>
  </si>
  <si>
    <t>12,30,914</t>
  </si>
  <si>
    <t>Insurance Companies</t>
  </si>
  <si>
    <t>9,98,87,754</t>
  </si>
  <si>
    <t>LICI NEW PENSION PLUS GROWTH FUND</t>
  </si>
  <si>
    <t>6,27,93,704</t>
  </si>
  <si>
    <t>Sovereign Wealth Funds</t>
  </si>
  <si>
    <t>8,82,765</t>
  </si>
  <si>
    <t>NBFCs registered with RBI</t>
  </si>
  <si>
    <t>Sub Total B1</t>
  </si>
  <si>
    <t>39,01,31,473</t>
  </si>
  <si>
    <t>B16) Institutions (Foreign)</t>
  </si>
  <si>
    <t>Foreign Portfolio Investors Category I</t>
  </si>
  <si>
    <t>11,65,32,695</t>
  </si>
  <si>
    <t>Foreign Portfolio Investors Category II</t>
  </si>
  <si>
    <t>53,99,677</t>
  </si>
  <si>
    <t>Sub Total B2</t>
  </si>
  <si>
    <t>12,19,32,372</t>
  </si>
  <si>
    <t>B20) Central Government/ State Government(s)/ President of India</t>
  </si>
  <si>
    <t>B21) Non-Institutions</t>
  </si>
  <si>
    <t>Directors and their relatives (excluding independent directors and nominee directors)</t>
  </si>
  <si>
    <t>75,89,527</t>
  </si>
  <si>
    <t>Key Managerial Personnel</t>
  </si>
  <si>
    <t>Investor Education and Protection Fund (IEPF)</t>
  </si>
  <si>
    <t>1,87,481</t>
  </si>
  <si>
    <t>Resident Individuals holding nominal share capital up to Rs. 2 lakhs</t>
  </si>
  <si>
    <t>3,68,665</t>
  </si>
  <si>
    <t>9,35,69,613</t>
  </si>
  <si>
    <t>Resident Individuals holding nominal share capital in excess of Rs. 2 lakhs</t>
  </si>
  <si>
    <t>6,86,26,557</t>
  </si>
  <si>
    <t>Non Resident Indians (NRIs)</t>
  </si>
  <si>
    <t>97,63,994</t>
  </si>
  <si>
    <t>Foreign Nationals</t>
  </si>
  <si>
    <t>25,94,624</t>
  </si>
  <si>
    <t>Foreign Companies</t>
  </si>
  <si>
    <t>9,19,67,019</t>
  </si>
  <si>
    <t>MYLAN INC.</t>
  </si>
  <si>
    <t>Bodies Corporate</t>
  </si>
  <si>
    <t>10,00,24,999</t>
  </si>
  <si>
    <t>SERUM INSTITUTE LIFE SCIENCES PRIVATE LIMITED</t>
  </si>
  <si>
    <t>5,54,48,765</t>
  </si>
  <si>
    <t>ACTIV PINE LLP</t>
  </si>
  <si>
    <t>1,76,58,180</t>
  </si>
  <si>
    <t>Any Other (specify)</t>
  </si>
  <si>
    <t>50,08,692</t>
  </si>
  <si>
    <t>HUF</t>
  </si>
  <si>
    <t>45,30,959</t>
  </si>
  <si>
    <t>Clearing Members</t>
  </si>
  <si>
    <t>BENEFICIAL HOLDINGS UNDER MGT-4</t>
  </si>
  <si>
    <t>Trusts</t>
  </si>
  <si>
    <t>4,54,388</t>
  </si>
  <si>
    <t>ESOP or ESOS or ESPS</t>
  </si>
  <si>
    <t>Sub Total B4</t>
  </si>
  <si>
    <t>3,86,243</t>
  </si>
  <si>
    <t>37,94,19,354</t>
  </si>
  <si>
    <t>B=B1+B2+B3+B4</t>
  </si>
  <si>
    <t>3,86,588</t>
  </si>
  <si>
    <t>89,14,83,199</t>
  </si>
  <si>
    <t xml:space="preserve">Public Holding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</si>
</sst>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\-mmm"/>
    <numFmt numFmtId="165" formatCode="#,##0.0"/>
    <numFmt numFmtId="166" formatCode="0.0%"/>
    <numFmt numFmtId="167" formatCode="m/d/yyyy"/>
    <numFmt numFmtId="168" formatCode="0.0"/>
    <numFmt numFmtId="169" formatCode="#,##0.0;\(#,##0.0\);\-"/>
    <numFmt numFmtId="170" formatCode="_ * #,##0.00_ ;_ * \-#,##0.00_ ;_ * \-??_ ;_ @_ "/>
    <numFmt numFmtId="171" formatCode="0.0%;\(0.0%\);\-"/>
    <numFmt numFmtId="172" formatCode="_ * #,##0.0_ ;_ * \-#,##0.0_ ;_ * \-??_ ;_ @_ "/>
    <numFmt numFmtId="173" formatCode="0.\X"/>
    <numFmt numFmtId="174" formatCode="0.000000"/>
    <numFmt numFmtId="175" formatCode="0.0000"/>
  </numFmts>
  <fonts count="59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1A2B3C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2"/>
      <color rgb="FF2E4D7B"/>
      <name val="Arial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i/>
      <sz val="12"/>
      <color rgb="FF7A8A9A"/>
      <name val="Arial"/>
      <family val="2"/>
      <charset val="1"/>
    </font>
    <font>
      <sz val="12"/>
      <color rgb="FF000000"/>
      <name val="Arial"/>
      <family val="2"/>
      <charset val="1"/>
    </font>
    <font>
      <i/>
      <sz val="12"/>
      <color theme="1"/>
      <name val="Arial"/>
      <family val="2"/>
      <charset val="1"/>
    </font>
    <font>
      <sz val="12"/>
      <color rgb="FF3A4F6A"/>
      <name val="Arial"/>
      <family val="2"/>
      <charset val="1"/>
    </font>
    <font>
      <b/>
      <sz val="12"/>
      <color rgb="FF1A2B3C"/>
      <name val="Arial"/>
      <family val="2"/>
      <charset val="1"/>
    </font>
    <font>
      <b/>
      <sz val="12"/>
      <color rgb="FFFFFF00"/>
      <name val="Arial"/>
      <family val="2"/>
      <charset val="1"/>
    </font>
    <font>
      <sz val="12"/>
      <color theme="0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C9A84C"/>
      <name val="Arial"/>
      <family val="2"/>
      <charset val="1"/>
    </font>
    <font>
      <sz val="12"/>
      <color rgb="FF0000FF"/>
      <name val="Arial"/>
      <family val="2"/>
      <charset val="1"/>
    </font>
    <font>
      <sz val="12"/>
      <color rgb="FF008000"/>
      <name val="Arial"/>
      <family val="2"/>
      <charset val="1"/>
    </font>
    <font>
      <sz val="12"/>
      <color theme="0"/>
      <name val="Calibri"/>
      <family val="2"/>
      <charset val="1"/>
    </font>
    <font>
      <b/>
      <sz val="11"/>
      <name val="Calibri"/>
      <family val="2"/>
      <charset val="1"/>
    </font>
    <font>
      <b/>
      <sz val="9"/>
      <color rgb="FF2E4D7B"/>
      <name val="Arial"/>
      <family val="2"/>
      <charset val="1"/>
    </font>
    <font>
      <sz val="8"/>
      <color rgb="FF3A4F6A"/>
      <name val="Arial"/>
      <family val="2"/>
      <charset val="1"/>
    </font>
    <font>
      <sz val="10"/>
      <color rgb="FF000000"/>
      <name val="Arial"/>
      <family val="2"/>
      <charset val="1"/>
    </font>
    <font>
      <i/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13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8000"/>
      <name val="Arial"/>
      <family val="2"/>
      <charset val="1"/>
    </font>
    <font>
      <sz val="9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b/>
      <sz val="9"/>
      <color rgb="FFFFFFFF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9"/>
      <color rgb="FF22222F"/>
      <name val="Arial"/>
      <family val="2"/>
      <charset val="1"/>
    </font>
    <font>
      <sz val="11"/>
      <color rgb="FF606F7B"/>
      <name val="Arial"/>
      <family val="2"/>
      <charset val="1"/>
    </font>
    <font>
      <sz val="11"/>
      <color rgb="FF22222F"/>
      <name val="Arial"/>
      <family val="2"/>
      <charset val="1"/>
    </font>
    <font>
      <b/>
      <u/>
      <sz val="11"/>
      <color theme="1" tint="4.9897762993255407E-2"/>
      <name val="Calibri"/>
      <family val="2"/>
      <charset val="1"/>
    </font>
    <font>
      <b/>
      <sz val="11"/>
      <color theme="1"/>
      <name val="Arial"/>
      <family val="2"/>
      <charset val="1"/>
    </font>
    <font>
      <u/>
      <sz val="11"/>
      <color theme="1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rgb="FF22222F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2"/>
      <color indexed="18"/>
      <name val="Calibri"/>
      <family val="2"/>
      <charset val="1"/>
    </font>
    <font>
      <b/>
      <sz val="12"/>
      <color indexed="18"/>
      <name val="Arial"/>
      <family val="2"/>
      <charset val="1"/>
    </font>
    <font>
      <b/>
      <sz val="24"/>
      <color theme="1"/>
      <name val="Calibri"/>
      <family val="2"/>
      <charset val="1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002060"/>
        <bgColor rgb="FF003366"/>
      </patternFill>
    </fill>
    <fill>
      <patternFill patternType="solid">
        <fgColor rgb="FFE8E8E8"/>
        <bgColor rgb="FFE7E6E6"/>
      </patternFill>
    </fill>
    <fill>
      <patternFill patternType="solid">
        <fgColor rgb="FF1F4E78"/>
        <bgColor rgb="FF1F497D"/>
      </patternFill>
    </fill>
    <fill>
      <patternFill patternType="solid">
        <fgColor rgb="FFD9E1F2"/>
        <bgColor rgb="FFDBE4F0"/>
      </patternFill>
    </fill>
    <fill>
      <patternFill patternType="solid">
        <fgColor rgb="FFE7E6E6"/>
        <bgColor rgb="FFE8E8E8"/>
      </patternFill>
    </fill>
    <fill>
      <patternFill patternType="solid">
        <fgColor rgb="FF14243A"/>
        <bgColor rgb="FF1A2B3C"/>
      </patternFill>
    </fill>
    <fill>
      <patternFill patternType="solid">
        <fgColor rgb="FFE8EEF6"/>
        <bgColor rgb="FFE9EFF7"/>
      </patternFill>
    </fill>
    <fill>
      <patternFill patternType="solid">
        <fgColor rgb="FF2E4D7B"/>
        <bgColor rgb="FF1F4E78"/>
      </patternFill>
    </fill>
    <fill>
      <patternFill patternType="solid">
        <fgColor rgb="FF3D6494"/>
        <bgColor rgb="FF4472C4"/>
      </patternFill>
    </fill>
    <fill>
      <patternFill patternType="solid">
        <fgColor theme="0"/>
        <bgColor rgb="FFF8F8FC"/>
      </patternFill>
    </fill>
    <fill>
      <patternFill patternType="solid">
        <fgColor rgb="FFF0F5FC"/>
        <bgColor rgb="FFF5F5F5"/>
      </patternFill>
    </fill>
    <fill>
      <patternFill patternType="solid">
        <fgColor rgb="FFEAF1FB"/>
        <bgColor rgb="FFE9EFF7"/>
      </patternFill>
    </fill>
    <fill>
      <patternFill patternType="solid">
        <fgColor rgb="FFDCE3EC"/>
        <bgColor rgb="FFDBE4F0"/>
      </patternFill>
    </fill>
    <fill>
      <patternFill patternType="solid">
        <fgColor theme="3"/>
        <bgColor rgb="FF1F4E78"/>
      </patternFill>
    </fill>
    <fill>
      <patternFill patternType="solid">
        <fgColor rgb="FF003366"/>
        <bgColor rgb="FF17375E"/>
      </patternFill>
    </fill>
    <fill>
      <patternFill patternType="solid">
        <fgColor rgb="FF17375E"/>
        <bgColor rgb="FF003366"/>
      </patternFill>
    </fill>
    <fill>
      <patternFill patternType="solid">
        <fgColor rgb="FFE0E0E0"/>
        <bgColor rgb="FFDCE3EC"/>
      </patternFill>
    </fill>
    <fill>
      <patternFill patternType="solid">
        <fgColor theme="0" tint="-0.249977111117893"/>
        <bgColor rgb="FFCCC1DA"/>
      </patternFill>
    </fill>
    <fill>
      <patternFill patternType="solid">
        <fgColor rgb="FFFFD700"/>
        <bgColor rgb="FFFFFF00"/>
      </patternFill>
    </fill>
    <fill>
      <patternFill patternType="solid">
        <fgColor rgb="FF4472C4"/>
        <bgColor rgb="FF4F81BD"/>
      </patternFill>
    </fill>
    <fill>
      <patternFill patternType="solid">
        <fgColor rgb="FFF5F5F5"/>
        <bgColor rgb="FFF0F5FC"/>
      </patternFill>
    </fill>
    <fill>
      <patternFill patternType="solid">
        <fgColor rgb="FFE9EFF7"/>
        <bgColor rgb="FFE8EEF6"/>
      </patternFill>
    </fill>
    <fill>
      <patternFill patternType="solid">
        <fgColor theme="8" tint="0.79989013336588644"/>
        <bgColor rgb="FFE8EEF6"/>
      </patternFill>
    </fill>
    <fill>
      <patternFill patternType="solid">
        <fgColor theme="7" tint="-0.499984740745262"/>
        <bgColor rgb="FF333333"/>
      </patternFill>
    </fill>
    <fill>
      <patternFill patternType="solid">
        <fgColor rgb="FFF8F8FC"/>
        <bgColor rgb="FFF5F5F5"/>
      </patternFill>
    </fill>
    <fill>
      <patternFill patternType="solid">
        <fgColor theme="3" tint="0.79989013336588644"/>
        <bgColor rgb="FFBDD7EE"/>
      </patternFill>
    </fill>
    <fill>
      <patternFill patternType="solid">
        <fgColor theme="7" tint="0.59987182226020086"/>
        <bgColor rgb="FFC0CDD8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3366"/>
      </patternFill>
    </fill>
    <fill>
      <patternFill patternType="solid">
        <fgColor theme="3"/>
        <bgColor rgb="FFF8F8FC"/>
      </patternFill>
    </fill>
    <fill>
      <patternFill patternType="solid">
        <fgColor theme="3"/>
        <bgColor rgb="FF333333"/>
      </patternFill>
    </fill>
    <fill>
      <patternFill patternType="solid">
        <fgColor theme="3"/>
        <bgColor rgb="FFE7E6E6"/>
      </patternFill>
    </fill>
    <fill>
      <patternFill patternType="solid">
        <fgColor theme="3"/>
        <bgColor rgb="FF4F81BD"/>
      </patternFill>
    </fill>
    <fill>
      <patternFill patternType="solid">
        <fgColor theme="3"/>
        <bgColor rgb="FF1A2B3C"/>
      </patternFill>
    </fill>
    <fill>
      <patternFill patternType="solid">
        <fgColor theme="3" tint="0.79998168889431442"/>
        <bgColor rgb="FFBDD7E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rgb="FFFFFFFF"/>
        <bgColor indexed="64"/>
      </patternFill>
    </fill>
    <fill>
      <patternFill patternType="solid">
        <fgColor rgb="FF243166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C9A84C"/>
      </top>
      <bottom style="thin">
        <color rgb="FFC9A84C"/>
      </bottom>
      <diagonal/>
    </border>
    <border>
      <left/>
      <right style="thin">
        <color rgb="FFC8D4E3"/>
      </right>
      <top style="thin">
        <color rgb="FFC9A84C"/>
      </top>
      <bottom style="thin">
        <color rgb="FFC9A84C"/>
      </bottom>
      <diagonal/>
    </border>
    <border>
      <left/>
      <right style="thin">
        <color rgb="FFC8D4E3"/>
      </right>
      <top/>
      <bottom/>
      <diagonal/>
    </border>
    <border>
      <left/>
      <right style="medium">
        <color rgb="FFEEEEEE"/>
      </right>
      <top/>
      <bottom/>
      <diagonal/>
    </border>
    <border>
      <left/>
      <right/>
      <top/>
      <bottom style="thin">
        <color rgb="FFC9A84C"/>
      </bottom>
      <diagonal/>
    </border>
    <border>
      <left/>
      <right style="thin">
        <color rgb="FFC8D4E3"/>
      </right>
      <top/>
      <bottom style="thin">
        <color rgb="FFC9A84C"/>
      </bottom>
      <diagonal/>
    </border>
    <border>
      <left/>
      <right style="medium">
        <color rgb="FFEEEEEE"/>
      </right>
      <top/>
      <bottom style="thin">
        <color rgb="FFC9A84C"/>
      </bottom>
      <diagonal/>
    </border>
    <border>
      <left style="medium">
        <color rgb="FFEEEEEE"/>
      </left>
      <right style="medium">
        <color rgb="FFEEEEEE"/>
      </right>
      <top/>
      <bottom style="thin">
        <color rgb="FFC9A84C"/>
      </bottom>
      <diagonal/>
    </border>
    <border>
      <left/>
      <right/>
      <top/>
      <bottom style="thin">
        <color rgb="FFC8D4E3"/>
      </bottom>
      <diagonal/>
    </border>
    <border>
      <left/>
      <right style="thin">
        <color rgb="FFC8D4E3"/>
      </right>
      <top/>
      <bottom style="thin">
        <color rgb="FFC8D4E3"/>
      </bottom>
      <diagonal/>
    </border>
    <border>
      <left/>
      <right style="thin">
        <color rgb="FFC8D4E3"/>
      </right>
      <top style="thin">
        <color rgb="FFC9A84C"/>
      </top>
      <bottom/>
      <diagonal/>
    </border>
    <border>
      <left/>
      <right/>
      <top style="thin">
        <color rgb="FFC9A84C"/>
      </top>
      <bottom/>
      <diagonal/>
    </border>
    <border>
      <left/>
      <right style="thin">
        <color rgb="FFC8D4E3"/>
      </right>
      <top style="thin">
        <color rgb="FFC0CDD8"/>
      </top>
      <bottom style="thin">
        <color rgb="FFC8D4E3"/>
      </bottom>
      <diagonal/>
    </border>
    <border>
      <left/>
      <right/>
      <top style="thin">
        <color rgb="FFC0CDD8"/>
      </top>
      <bottom style="thin">
        <color rgb="FFC8D4E3"/>
      </bottom>
      <diagonal/>
    </border>
    <border>
      <left/>
      <right style="thin">
        <color rgb="FFC8D4E3"/>
      </right>
      <top style="medium">
        <color rgb="FFC9A84C"/>
      </top>
      <bottom/>
      <diagonal/>
    </border>
    <border>
      <left/>
      <right/>
      <top style="medium">
        <color rgb="FFC9A84C"/>
      </top>
      <bottom/>
      <diagonal/>
    </border>
    <border>
      <left/>
      <right style="thin">
        <color rgb="FFC8D4E3"/>
      </right>
      <top style="thin">
        <color rgb="FFC0CDD8"/>
      </top>
      <bottom/>
      <diagonal/>
    </border>
    <border>
      <left/>
      <right/>
      <top style="thin">
        <color rgb="FFC0CDD8"/>
      </top>
      <bottom/>
      <diagonal/>
    </border>
    <border>
      <left/>
      <right style="thin">
        <color rgb="FFC8D4E3"/>
      </right>
      <top style="thin">
        <color rgb="FFC0CDD8"/>
      </top>
      <bottom style="medium">
        <color rgb="FFC9A84C"/>
      </bottom>
      <diagonal/>
    </border>
    <border>
      <left/>
      <right/>
      <top style="thin">
        <color rgb="FFC0CDD8"/>
      </top>
      <bottom style="medium">
        <color rgb="FFC9A84C"/>
      </bottom>
      <diagonal/>
    </border>
    <border>
      <left/>
      <right style="thin">
        <color rgb="FFC8D4E3"/>
      </right>
      <top style="thin">
        <color rgb="FFC8D4E3"/>
      </top>
      <bottom style="thin">
        <color rgb="FFC9A84C"/>
      </bottom>
      <diagonal/>
    </border>
    <border>
      <left/>
      <right/>
      <top style="thin">
        <color rgb="FFC8D4E3"/>
      </top>
      <bottom style="thin">
        <color rgb="FFC9A84C"/>
      </bottom>
      <diagonal/>
    </border>
    <border>
      <left/>
      <right/>
      <top style="thin">
        <color rgb="FFC9A84C"/>
      </top>
      <bottom style="thin">
        <color rgb="FFC8D4E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59595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 style="thin">
        <color rgb="FFBDD7EE"/>
      </top>
      <bottom style="thin">
        <color rgb="FF4472C4"/>
      </bottom>
      <diagonal/>
    </border>
    <border>
      <left/>
      <right/>
      <top style="thin">
        <color rgb="FFBDD7EE"/>
      </top>
      <bottom style="thin">
        <color rgb="FF4472C4"/>
      </bottom>
      <diagonal/>
    </border>
    <border>
      <left/>
      <right style="medium">
        <color rgb="FF4472C4"/>
      </right>
      <top style="thin">
        <color rgb="FFBDD7EE"/>
      </top>
      <bottom style="thin">
        <color rgb="FF4472C4"/>
      </bottom>
      <diagonal/>
    </border>
    <border>
      <left style="medium">
        <color rgb="FF4472C4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medium">
        <color rgb="FF4472C4"/>
      </right>
      <top/>
      <bottom style="thin">
        <color rgb="FFBDD7EE"/>
      </bottom>
      <diagonal/>
    </border>
    <border>
      <left style="medium">
        <color rgb="FF4472C4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medium">
        <color rgb="FF4472C4"/>
      </right>
      <top style="thin">
        <color rgb="FFBDD7EE"/>
      </top>
      <bottom style="thin">
        <color rgb="FFBDD7EE"/>
      </bottom>
      <diagonal/>
    </border>
    <border>
      <left style="medium">
        <color rgb="FF4472C4"/>
      </left>
      <right/>
      <top style="thin">
        <color rgb="FFBDD7EE"/>
      </top>
      <bottom/>
      <diagonal/>
    </border>
    <border>
      <left/>
      <right/>
      <top style="thin">
        <color rgb="FFBDD7EE"/>
      </top>
      <bottom/>
      <diagonal/>
    </border>
    <border>
      <left style="medium">
        <color rgb="FF4472C4"/>
      </left>
      <right/>
      <top style="thin">
        <color rgb="FFBDD7EE"/>
      </top>
      <bottom style="double">
        <color rgb="FF4472C4"/>
      </bottom>
      <diagonal/>
    </border>
    <border>
      <left/>
      <right/>
      <top style="thin">
        <color rgb="FFBDD7EE"/>
      </top>
      <bottom style="double">
        <color rgb="FF4472C4"/>
      </bottom>
      <diagonal/>
    </border>
    <border>
      <left style="medium">
        <color rgb="FF4472C4"/>
      </left>
      <right/>
      <top style="medium">
        <color rgb="FF4472C4"/>
      </top>
      <bottom style="thin">
        <color rgb="FFBDD7EE"/>
      </bottom>
      <diagonal/>
    </border>
    <border>
      <left/>
      <right/>
      <top style="medium">
        <color rgb="FF4472C4"/>
      </top>
      <bottom style="thin">
        <color rgb="FFBDD7EE"/>
      </bottom>
      <diagonal/>
    </border>
    <border>
      <left/>
      <right style="medium">
        <color rgb="FF4472C4"/>
      </right>
      <top style="medium">
        <color rgb="FF4472C4"/>
      </top>
      <bottom style="thin">
        <color rgb="FFBDD7EE"/>
      </bottom>
      <diagonal/>
    </border>
    <border>
      <left style="medium">
        <color rgb="FF4472C4"/>
      </left>
      <right/>
      <top style="thin">
        <color rgb="FFBDD7EE"/>
      </top>
      <bottom style="medium">
        <color rgb="FF4472C4"/>
      </bottom>
      <diagonal/>
    </border>
    <border>
      <left/>
      <right/>
      <top style="thin">
        <color rgb="FFBDD7EE"/>
      </top>
      <bottom style="medium">
        <color rgb="FF4472C4"/>
      </bottom>
      <diagonal/>
    </border>
    <border>
      <left/>
      <right style="medium">
        <color rgb="FF4472C4"/>
      </right>
      <top style="thin">
        <color rgb="FFBDD7EE"/>
      </top>
      <bottom style="medium">
        <color rgb="FF4472C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18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6" borderId="1" xfId="0" applyFont="1" applyFill="1" applyBorder="1"/>
    <xf numFmtId="4" fontId="0" fillId="0" borderId="1" xfId="0" applyNumberFormat="1" applyBorder="1" applyAlignment="1">
      <alignment horizontal="right"/>
    </xf>
    <xf numFmtId="0" fontId="6" fillId="6" borderId="0" xfId="0" applyFont="1" applyFill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9" fillId="7" borderId="4" xfId="0" applyFont="1" applyFill="1" applyBorder="1" applyAlignment="1">
      <alignment vertical="center"/>
    </xf>
    <xf numFmtId="0" fontId="12" fillId="8" borderId="0" xfId="0" applyFont="1" applyFill="1" applyAlignment="1">
      <alignment horizontal="center"/>
    </xf>
    <xf numFmtId="0" fontId="12" fillId="8" borderId="6" xfId="0" applyFont="1" applyFill="1" applyBorder="1" applyAlignment="1">
      <alignment horizontal="left"/>
    </xf>
    <xf numFmtId="0" fontId="10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2" fillId="8" borderId="7" xfId="0" applyFont="1" applyFill="1" applyBorder="1" applyAlignment="1">
      <alignment vertical="center"/>
    </xf>
    <xf numFmtId="0" fontId="9" fillId="9" borderId="8" xfId="0" applyFont="1" applyFill="1" applyBorder="1" applyAlignment="1">
      <alignment horizontal="right"/>
    </xf>
    <xf numFmtId="0" fontId="9" fillId="9" borderId="9" xfId="0" applyFont="1" applyFill="1" applyBorder="1" applyAlignment="1">
      <alignment horizontal="left"/>
    </xf>
    <xf numFmtId="0" fontId="9" fillId="9" borderId="10" xfId="0" applyFont="1" applyFill="1" applyBorder="1" applyAlignment="1">
      <alignment horizontal="right" vertical="center"/>
    </xf>
    <xf numFmtId="17" fontId="10" fillId="9" borderId="11" xfId="0" applyNumberFormat="1" applyFont="1" applyFill="1" applyBorder="1" applyAlignment="1">
      <alignment horizontal="right" vertical="center"/>
    </xf>
    <xf numFmtId="0" fontId="10" fillId="9" borderId="11" xfId="0" applyFont="1" applyFill="1" applyBorder="1" applyAlignment="1">
      <alignment horizontal="right" vertical="center"/>
    </xf>
    <xf numFmtId="0" fontId="12" fillId="8" borderId="0" xfId="0" applyFont="1" applyFill="1"/>
    <xf numFmtId="0" fontId="10" fillId="8" borderId="6" xfId="0" applyFont="1" applyFill="1" applyBorder="1" applyAlignment="1">
      <alignment horizontal="left"/>
    </xf>
    <xf numFmtId="0" fontId="12" fillId="8" borderId="0" xfId="0" applyFont="1" applyFill="1" applyAlignment="1">
      <alignment horizontal="right"/>
    </xf>
    <xf numFmtId="0" fontId="13" fillId="0" borderId="0" xfId="0" applyFont="1"/>
    <xf numFmtId="0" fontId="9" fillId="10" borderId="12" xfId="0" applyFont="1" applyFill="1" applyBorder="1"/>
    <xf numFmtId="0" fontId="10" fillId="10" borderId="13" xfId="0" applyFont="1" applyFill="1" applyBorder="1" applyAlignment="1">
      <alignment horizontal="left"/>
    </xf>
    <xf numFmtId="165" fontId="14" fillId="11" borderId="12" xfId="0" applyNumberFormat="1" applyFont="1" applyFill="1" applyBorder="1" applyAlignment="1">
      <alignment horizontal="right"/>
    </xf>
    <xf numFmtId="0" fontId="15" fillId="12" borderId="0" xfId="0" applyFont="1" applyFill="1"/>
    <xf numFmtId="0" fontId="16" fillId="12" borderId="6" xfId="0" applyFont="1" applyFill="1" applyBorder="1" applyAlignment="1">
      <alignment horizontal="left"/>
    </xf>
    <xf numFmtId="166" fontId="17" fillId="11" borderId="0" xfId="0" applyNumberFormat="1" applyFont="1" applyFill="1" applyAlignment="1">
      <alignment horizontal="right"/>
    </xf>
    <xf numFmtId="166" fontId="14" fillId="11" borderId="0" xfId="0" applyNumberFormat="1" applyFont="1" applyFill="1" applyAlignment="1">
      <alignment horizontal="right"/>
    </xf>
    <xf numFmtId="0" fontId="8" fillId="11" borderId="0" xfId="0" applyFont="1" applyFill="1"/>
    <xf numFmtId="0" fontId="8" fillId="11" borderId="6" xfId="0" applyFont="1" applyFill="1" applyBorder="1" applyAlignment="1">
      <alignment horizontal="left"/>
    </xf>
    <xf numFmtId="0" fontId="14" fillId="11" borderId="0" xfId="0" applyFont="1" applyFill="1" applyAlignment="1">
      <alignment horizontal="right"/>
    </xf>
    <xf numFmtId="0" fontId="18" fillId="11" borderId="0" xfId="0" applyFont="1" applyFill="1"/>
    <xf numFmtId="0" fontId="16" fillId="11" borderId="6" xfId="0" applyFont="1" applyFill="1" applyBorder="1" applyAlignment="1">
      <alignment horizontal="left"/>
    </xf>
    <xf numFmtId="165" fontId="14" fillId="11" borderId="0" xfId="0" applyNumberFormat="1" applyFont="1" applyFill="1" applyAlignment="1">
      <alignment horizontal="right"/>
    </xf>
    <xf numFmtId="0" fontId="18" fillId="13" borderId="0" xfId="0" applyFont="1" applyFill="1"/>
    <xf numFmtId="0" fontId="16" fillId="13" borderId="6" xfId="0" applyFont="1" applyFill="1" applyBorder="1" applyAlignment="1">
      <alignment horizontal="left"/>
    </xf>
    <xf numFmtId="0" fontId="19" fillId="14" borderId="12" xfId="0" applyFont="1" applyFill="1" applyBorder="1"/>
    <xf numFmtId="0" fontId="10" fillId="14" borderId="13" xfId="0" applyFont="1" applyFill="1" applyBorder="1" applyAlignment="1">
      <alignment horizontal="left"/>
    </xf>
    <xf numFmtId="165" fontId="13" fillId="0" borderId="0" xfId="0" applyNumberFormat="1" applyFont="1"/>
    <xf numFmtId="0" fontId="20" fillId="15" borderId="8" xfId="0" applyFont="1" applyFill="1" applyBorder="1"/>
    <xf numFmtId="0" fontId="11" fillId="15" borderId="9" xfId="0" applyFont="1" applyFill="1" applyBorder="1" applyAlignment="1">
      <alignment horizontal="left"/>
    </xf>
    <xf numFmtId="0" fontId="11" fillId="15" borderId="8" xfId="0" applyFont="1" applyFill="1" applyBorder="1"/>
    <xf numFmtId="165" fontId="11" fillId="15" borderId="8" xfId="0" applyNumberFormat="1" applyFont="1" applyFill="1" applyBorder="1" applyAlignment="1">
      <alignment horizontal="right"/>
    </xf>
    <xf numFmtId="165" fontId="7" fillId="0" borderId="0" xfId="0" applyNumberFormat="1" applyFont="1"/>
    <xf numFmtId="4" fontId="7" fillId="0" borderId="0" xfId="0" applyNumberFormat="1" applyFont="1"/>
    <xf numFmtId="165" fontId="21" fillId="15" borderId="8" xfId="0" applyNumberFormat="1" applyFont="1" applyFill="1" applyBorder="1" applyAlignment="1">
      <alignment horizontal="right"/>
    </xf>
    <xf numFmtId="0" fontId="9" fillId="9" borderId="0" xfId="0" applyFont="1" applyFill="1"/>
    <xf numFmtId="0" fontId="10" fillId="9" borderId="14" xfId="0" applyFont="1" applyFill="1" applyBorder="1" applyAlignment="1">
      <alignment horizontal="left"/>
    </xf>
    <xf numFmtId="0" fontId="9" fillId="9" borderId="15" xfId="0" applyFont="1" applyFill="1" applyBorder="1"/>
    <xf numFmtId="0" fontId="22" fillId="11" borderId="15" xfId="0" applyFont="1" applyFill="1" applyBorder="1" applyAlignment="1">
      <alignment horizontal="right"/>
    </xf>
    <xf numFmtId="0" fontId="16" fillId="13" borderId="16" xfId="0" applyFont="1" applyFill="1" applyBorder="1" applyAlignment="1">
      <alignment horizontal="left"/>
    </xf>
    <xf numFmtId="0" fontId="18" fillId="13" borderId="17" xfId="0" applyFont="1" applyFill="1" applyBorder="1"/>
    <xf numFmtId="166" fontId="14" fillId="11" borderId="17" xfId="0" applyNumberFormat="1" applyFont="1" applyFill="1" applyBorder="1" applyAlignment="1">
      <alignment horizontal="right"/>
    </xf>
    <xf numFmtId="0" fontId="14" fillId="11" borderId="17" xfId="0" applyFont="1" applyFill="1" applyBorder="1" applyAlignment="1">
      <alignment horizontal="right"/>
    </xf>
    <xf numFmtId="0" fontId="10" fillId="9" borderId="18" xfId="0" applyFont="1" applyFill="1" applyBorder="1" applyAlignment="1">
      <alignment horizontal="left"/>
    </xf>
    <xf numFmtId="0" fontId="9" fillId="9" borderId="19" xfId="0" applyFont="1" applyFill="1" applyBorder="1"/>
    <xf numFmtId="0" fontId="22" fillId="11" borderId="19" xfId="0" applyFont="1" applyFill="1" applyBorder="1" applyAlignment="1">
      <alignment horizontal="right"/>
    </xf>
    <xf numFmtId="0" fontId="16" fillId="13" borderId="20" xfId="0" applyFont="1" applyFill="1" applyBorder="1" applyAlignment="1">
      <alignment horizontal="left"/>
    </xf>
    <xf numFmtId="0" fontId="18" fillId="13" borderId="21" xfId="0" applyFont="1" applyFill="1" applyBorder="1"/>
    <xf numFmtId="166" fontId="14" fillId="11" borderId="21" xfId="0" applyNumberFormat="1" applyFont="1" applyFill="1" applyBorder="1" applyAlignment="1">
      <alignment horizontal="right"/>
    </xf>
    <xf numFmtId="0" fontId="16" fillId="11" borderId="20" xfId="0" applyFont="1" applyFill="1" applyBorder="1" applyAlignment="1">
      <alignment horizontal="left"/>
    </xf>
    <xf numFmtId="0" fontId="18" fillId="11" borderId="21" xfId="0" applyFont="1" applyFill="1" applyBorder="1"/>
    <xf numFmtId="0" fontId="23" fillId="7" borderId="0" xfId="0" applyFont="1" applyFill="1"/>
    <xf numFmtId="0" fontId="11" fillId="15" borderId="22" xfId="0" applyFont="1" applyFill="1" applyBorder="1" applyAlignment="1">
      <alignment horizontal="left"/>
    </xf>
    <xf numFmtId="0" fontId="11" fillId="15" borderId="23" xfId="0" applyFont="1" applyFill="1" applyBorder="1"/>
    <xf numFmtId="166" fontId="21" fillId="15" borderId="23" xfId="0" applyNumberFormat="1" applyFont="1" applyFill="1" applyBorder="1" applyAlignment="1">
      <alignment horizontal="right"/>
    </xf>
    <xf numFmtId="166" fontId="16" fillId="11" borderId="0" xfId="0" applyNumberFormat="1" applyFont="1" applyFill="1" applyAlignment="1">
      <alignment horizontal="right"/>
    </xf>
    <xf numFmtId="9" fontId="24" fillId="13" borderId="17" xfId="0" applyNumberFormat="1" applyFont="1" applyFill="1" applyBorder="1" applyAlignment="1">
      <alignment horizontal="right"/>
    </xf>
    <xf numFmtId="165" fontId="16" fillId="11" borderId="0" xfId="0" applyNumberFormat="1" applyFont="1" applyFill="1" applyAlignment="1">
      <alignment horizontal="right"/>
    </xf>
    <xf numFmtId="165" fontId="25" fillId="13" borderId="21" xfId="0" applyNumberFormat="1" applyFont="1" applyFill="1" applyBorder="1" applyAlignment="1">
      <alignment horizontal="right"/>
    </xf>
    <xf numFmtId="165" fontId="25" fillId="11" borderId="21" xfId="0" applyNumberFormat="1" applyFont="1" applyFill="1" applyBorder="1" applyAlignment="1">
      <alignment horizontal="right"/>
    </xf>
    <xf numFmtId="0" fontId="19" fillId="14" borderId="0" xfId="0" applyFont="1" applyFill="1"/>
    <xf numFmtId="0" fontId="10" fillId="14" borderId="16" xfId="0" applyFont="1" applyFill="1" applyBorder="1" applyAlignment="1">
      <alignment horizontal="left"/>
    </xf>
    <xf numFmtId="165" fontId="16" fillId="14" borderId="17" xfId="0" applyNumberFormat="1" applyFont="1" applyFill="1" applyBorder="1" applyAlignment="1">
      <alignment horizontal="right"/>
    </xf>
    <xf numFmtId="165" fontId="14" fillId="11" borderId="17" xfId="0" applyNumberFormat="1" applyFont="1" applyFill="1" applyBorder="1" applyAlignment="1">
      <alignment horizontal="right"/>
    </xf>
    <xf numFmtId="0" fontId="9" fillId="10" borderId="0" xfId="0" applyFont="1" applyFill="1"/>
    <xf numFmtId="0" fontId="10" fillId="10" borderId="14" xfId="0" applyFont="1" applyFill="1" applyBorder="1" applyAlignment="1">
      <alignment horizontal="left"/>
    </xf>
    <xf numFmtId="166" fontId="16" fillId="10" borderId="15" xfId="0" applyNumberFormat="1" applyFont="1" applyFill="1" applyBorder="1" applyAlignment="1">
      <alignment horizontal="right"/>
    </xf>
    <xf numFmtId="166" fontId="14" fillId="11" borderId="15" xfId="0" applyNumberFormat="1" applyFont="1" applyFill="1" applyBorder="1" applyAlignment="1">
      <alignment horizontal="right"/>
    </xf>
    <xf numFmtId="0" fontId="11" fillId="15" borderId="24" xfId="0" applyFont="1" applyFill="1" applyBorder="1" applyAlignment="1">
      <alignment horizontal="left"/>
    </xf>
    <xf numFmtId="0" fontId="26" fillId="15" borderId="0" xfId="0" applyFont="1" applyFill="1"/>
    <xf numFmtId="166" fontId="21" fillId="15" borderId="25" xfId="0" applyNumberFormat="1" applyFont="1" applyFill="1" applyBorder="1" applyAlignment="1">
      <alignment horizontal="right"/>
    </xf>
    <xf numFmtId="0" fontId="16" fillId="0" borderId="0" xfId="0" applyFont="1"/>
    <xf numFmtId="166" fontId="25" fillId="0" borderId="0" xfId="0" applyNumberFormat="1" applyFont="1"/>
    <xf numFmtId="0" fontId="5" fillId="4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top"/>
    </xf>
    <xf numFmtId="0" fontId="28" fillId="8" borderId="26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167" fontId="0" fillId="0" borderId="0" xfId="0" applyNumberFormat="1"/>
    <xf numFmtId="168" fontId="0" fillId="0" borderId="0" xfId="0" applyNumberFormat="1"/>
    <xf numFmtId="10" fontId="29" fillId="0" borderId="0" xfId="0" applyNumberFormat="1" applyFont="1" applyAlignment="1">
      <alignment horizontal="right"/>
    </xf>
    <xf numFmtId="10" fontId="30" fillId="13" borderId="0" xfId="0" applyNumberFormat="1" applyFont="1" applyFill="1" applyAlignment="1">
      <alignment horizontal="right"/>
    </xf>
    <xf numFmtId="10" fontId="30" fillId="0" borderId="0" xfId="0" applyNumberFormat="1" applyFont="1" applyAlignment="1">
      <alignment horizontal="right"/>
    </xf>
    <xf numFmtId="0" fontId="31" fillId="0" borderId="27" xfId="0" applyFont="1" applyBorder="1" applyAlignment="1">
      <alignment horizontal="center"/>
    </xf>
    <xf numFmtId="0" fontId="0" fillId="0" borderId="28" xfId="0" applyBorder="1"/>
    <xf numFmtId="0" fontId="32" fillId="16" borderId="0" xfId="0" applyFont="1" applyFill="1" applyAlignment="1">
      <alignment horizontal="left" vertical="center" indent="1"/>
    </xf>
    <xf numFmtId="0" fontId="33" fillId="16" borderId="0" xfId="0" applyFont="1" applyFill="1"/>
    <xf numFmtId="0" fontId="34" fillId="17" borderId="0" xfId="0" applyFont="1" applyFill="1"/>
    <xf numFmtId="0" fontId="30" fillId="18" borderId="30" xfId="0" applyFont="1" applyFill="1" applyBorder="1" applyAlignment="1">
      <alignment horizontal="left" vertical="center" indent="1"/>
    </xf>
    <xf numFmtId="169" fontId="35" fillId="11" borderId="31" xfId="0" applyNumberFormat="1" applyFont="1" applyFill="1" applyBorder="1" applyAlignment="1">
      <alignment horizontal="right" vertical="center"/>
    </xf>
    <xf numFmtId="170" fontId="32" fillId="5" borderId="32" xfId="0" applyNumberFormat="1" applyFont="1" applyFill="1" applyBorder="1" applyAlignment="1">
      <alignment horizontal="left" vertical="center" indent="1"/>
    </xf>
    <xf numFmtId="169" fontId="30" fillId="5" borderId="31" xfId="0" applyNumberFormat="1" applyFont="1" applyFill="1" applyBorder="1" applyAlignment="1">
      <alignment horizontal="right" vertical="center"/>
    </xf>
    <xf numFmtId="0" fontId="30" fillId="18" borderId="2" xfId="0" applyFont="1" applyFill="1" applyBorder="1" applyAlignment="1">
      <alignment horizontal="left" vertical="center" indent="1"/>
    </xf>
    <xf numFmtId="171" fontId="30" fillId="11" borderId="31" xfId="0" applyNumberFormat="1" applyFont="1" applyFill="1" applyBorder="1" applyAlignment="1">
      <alignment horizontal="right" vertical="center"/>
    </xf>
    <xf numFmtId="0" fontId="30" fillId="0" borderId="0" xfId="0" applyFont="1"/>
    <xf numFmtId="170" fontId="32" fillId="5" borderId="3" xfId="0" applyNumberFormat="1" applyFont="1" applyFill="1" applyBorder="1" applyAlignment="1">
      <alignment horizontal="left" vertical="center" indent="1"/>
    </xf>
    <xf numFmtId="171" fontId="30" fillId="5" borderId="31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left" vertical="center" indent="1"/>
    </xf>
    <xf numFmtId="171" fontId="0" fillId="0" borderId="31" xfId="0" applyNumberFormat="1" applyBorder="1" applyAlignment="1">
      <alignment horizontal="right" vertical="center"/>
    </xf>
    <xf numFmtId="171" fontId="37" fillId="11" borderId="31" xfId="0" applyNumberFormat="1" applyFont="1" applyFill="1" applyBorder="1" applyAlignment="1">
      <alignment horizontal="right" vertical="center"/>
    </xf>
    <xf numFmtId="10" fontId="30" fillId="18" borderId="2" xfId="0" applyNumberFormat="1" applyFont="1" applyFill="1" applyBorder="1" applyAlignment="1">
      <alignment horizontal="left" vertical="center" indent="1"/>
    </xf>
    <xf numFmtId="171" fontId="32" fillId="11" borderId="31" xfId="0" applyNumberFormat="1" applyFont="1" applyFill="1" applyBorder="1" applyAlignment="1">
      <alignment horizontal="right" vertical="center"/>
    </xf>
    <xf numFmtId="2" fontId="35" fillId="11" borderId="31" xfId="0" applyNumberFormat="1" applyFont="1" applyFill="1" applyBorder="1" applyAlignment="1">
      <alignment horizontal="right" vertical="center"/>
    </xf>
    <xf numFmtId="171" fontId="35" fillId="11" borderId="31" xfId="0" applyNumberFormat="1" applyFont="1" applyFill="1" applyBorder="1" applyAlignment="1">
      <alignment horizontal="right" vertical="center"/>
    </xf>
    <xf numFmtId="0" fontId="30" fillId="18" borderId="34" xfId="0" applyFont="1" applyFill="1" applyBorder="1" applyAlignment="1">
      <alignment horizontal="left" vertical="center" indent="1"/>
    </xf>
    <xf numFmtId="10" fontId="30" fillId="19" borderId="35" xfId="0" applyNumberFormat="1" applyFont="1" applyFill="1" applyBorder="1" applyAlignment="1">
      <alignment horizontal="left" vertical="center" indent="1"/>
    </xf>
    <xf numFmtId="171" fontId="30" fillId="19" borderId="31" xfId="0" applyNumberFormat="1" applyFont="1" applyFill="1" applyBorder="1" applyAlignment="1">
      <alignment horizontal="right" vertical="center"/>
    </xf>
    <xf numFmtId="170" fontId="30" fillId="19" borderId="35" xfId="0" applyNumberFormat="1" applyFont="1" applyFill="1" applyBorder="1" applyAlignment="1">
      <alignment horizontal="left" vertical="center" indent="1"/>
    </xf>
    <xf numFmtId="171" fontId="30" fillId="5" borderId="36" xfId="0" applyNumberFormat="1" applyFont="1" applyFill="1" applyBorder="1" applyAlignment="1">
      <alignment horizontal="right" vertical="center"/>
    </xf>
    <xf numFmtId="171" fontId="34" fillId="17" borderId="31" xfId="0" applyNumberFormat="1" applyFont="1" applyFill="1" applyBorder="1" applyAlignment="1">
      <alignment horizontal="center" vertical="center" wrapText="1"/>
    </xf>
    <xf numFmtId="10" fontId="32" fillId="17" borderId="37" xfId="0" applyNumberFormat="1" applyFont="1" applyFill="1" applyBorder="1" applyAlignment="1">
      <alignment horizontal="center" vertical="center" wrapText="1"/>
    </xf>
    <xf numFmtId="10" fontId="32" fillId="17" borderId="38" xfId="0" applyNumberFormat="1" applyFont="1" applyFill="1" applyBorder="1" applyAlignment="1">
      <alignment horizontal="center" vertical="center" wrapText="1"/>
    </xf>
    <xf numFmtId="10" fontId="32" fillId="17" borderId="39" xfId="0" applyNumberFormat="1" applyFont="1" applyFill="1" applyBorder="1" applyAlignment="1">
      <alignment horizontal="center" vertical="center" wrapText="1"/>
    </xf>
    <xf numFmtId="0" fontId="38" fillId="17" borderId="0" xfId="0" applyFont="1" applyFill="1" applyAlignment="1">
      <alignment horizontal="center" vertical="center" wrapText="1"/>
    </xf>
    <xf numFmtId="10" fontId="32" fillId="20" borderId="40" xfId="0" applyNumberFormat="1" applyFont="1" applyFill="1" applyBorder="1" applyAlignment="1">
      <alignment horizontal="left" vertical="center" indent="1"/>
    </xf>
    <xf numFmtId="10" fontId="39" fillId="20" borderId="40" xfId="0" applyNumberFormat="1" applyFont="1" applyFill="1" applyBorder="1"/>
    <xf numFmtId="170" fontId="39" fillId="20" borderId="40" xfId="0" applyNumberFormat="1" applyFont="1" applyFill="1" applyBorder="1"/>
    <xf numFmtId="171" fontId="30" fillId="20" borderId="40" xfId="0" applyNumberFormat="1" applyFont="1" applyFill="1" applyBorder="1" applyAlignment="1">
      <alignment horizontal="right" vertical="center"/>
    </xf>
    <xf numFmtId="0" fontId="39" fillId="20" borderId="40" xfId="0" applyFont="1" applyFill="1" applyBorder="1"/>
    <xf numFmtId="0" fontId="0" fillId="11" borderId="0" xfId="0" applyFill="1"/>
    <xf numFmtId="17" fontId="2" fillId="21" borderId="43" xfId="0" applyNumberFormat="1" applyFont="1" applyFill="1" applyBorder="1" applyAlignment="1">
      <alignment horizontal="center"/>
    </xf>
    <xf numFmtId="17" fontId="2" fillId="21" borderId="44" xfId="0" applyNumberFormat="1" applyFont="1" applyFill="1" applyBorder="1" applyAlignment="1">
      <alignment horizontal="center"/>
    </xf>
    <xf numFmtId="0" fontId="40" fillId="22" borderId="45" xfId="0" applyFont="1" applyFill="1" applyBorder="1" applyAlignment="1">
      <alignment horizontal="left" indent="1"/>
    </xf>
    <xf numFmtId="4" fontId="40" fillId="22" borderId="46" xfId="0" applyNumberFormat="1" applyFont="1" applyFill="1" applyBorder="1" applyAlignment="1">
      <alignment horizontal="center"/>
    </xf>
    <xf numFmtId="4" fontId="40" fillId="22" borderId="47" xfId="0" applyNumberFormat="1" applyFont="1" applyFill="1" applyBorder="1" applyAlignment="1">
      <alignment horizontal="center"/>
    </xf>
    <xf numFmtId="0" fontId="40" fillId="11" borderId="48" xfId="0" applyFont="1" applyFill="1" applyBorder="1" applyAlignment="1">
      <alignment horizontal="left" indent="2"/>
    </xf>
    <xf numFmtId="4" fontId="6" fillId="11" borderId="49" xfId="0" applyNumberFormat="1" applyFont="1" applyFill="1" applyBorder="1" applyAlignment="1">
      <alignment horizontal="center"/>
    </xf>
    <xf numFmtId="4" fontId="6" fillId="11" borderId="50" xfId="0" applyNumberFormat="1" applyFont="1" applyFill="1" applyBorder="1" applyAlignment="1">
      <alignment horizontal="center"/>
    </xf>
    <xf numFmtId="0" fontId="6" fillId="23" borderId="48" xfId="0" applyFont="1" applyFill="1" applyBorder="1" applyAlignment="1">
      <alignment horizontal="left" indent="1"/>
    </xf>
    <xf numFmtId="4" fontId="6" fillId="23" borderId="49" xfId="0" applyNumberFormat="1" applyFont="1" applyFill="1" applyBorder="1" applyAlignment="1">
      <alignment horizontal="center"/>
    </xf>
    <xf numFmtId="4" fontId="6" fillId="23" borderId="50" xfId="0" applyNumberFormat="1" applyFont="1" applyFill="1" applyBorder="1" applyAlignment="1">
      <alignment horizontal="center"/>
    </xf>
    <xf numFmtId="0" fontId="40" fillId="11" borderId="51" xfId="0" applyFont="1" applyFill="1" applyBorder="1" applyAlignment="1">
      <alignment horizontal="left" indent="2"/>
    </xf>
    <xf numFmtId="4" fontId="6" fillId="11" borderId="52" xfId="0" applyNumberFormat="1" applyFont="1" applyFill="1" applyBorder="1" applyAlignment="1">
      <alignment horizontal="center"/>
    </xf>
    <xf numFmtId="0" fontId="6" fillId="23" borderId="53" xfId="0" applyFont="1" applyFill="1" applyBorder="1" applyAlignment="1">
      <alignment horizontal="left" indent="1"/>
    </xf>
    <xf numFmtId="4" fontId="6" fillId="23" borderId="54" xfId="0" applyNumberFormat="1" applyFont="1" applyFill="1" applyBorder="1" applyAlignment="1">
      <alignment horizontal="center"/>
    </xf>
    <xf numFmtId="0" fontId="40" fillId="11" borderId="0" xfId="0" applyFont="1" applyFill="1" applyAlignment="1">
      <alignment horizontal="left" indent="1"/>
    </xf>
    <xf numFmtId="0" fontId="40" fillId="11" borderId="0" xfId="0" applyFont="1" applyFill="1" applyAlignment="1">
      <alignment horizontal="center"/>
    </xf>
    <xf numFmtId="0" fontId="6" fillId="22" borderId="55" xfId="0" applyFont="1" applyFill="1" applyBorder="1" applyAlignment="1">
      <alignment horizontal="left" indent="1"/>
    </xf>
    <xf numFmtId="4" fontId="6" fillId="22" borderId="56" xfId="0" applyNumberFormat="1" applyFont="1" applyFill="1" applyBorder="1" applyAlignment="1">
      <alignment horizontal="center"/>
    </xf>
    <xf numFmtId="4" fontId="6" fillId="22" borderId="57" xfId="0" applyNumberFormat="1" applyFont="1" applyFill="1" applyBorder="1" applyAlignment="1">
      <alignment horizontal="center"/>
    </xf>
    <xf numFmtId="0" fontId="40" fillId="11" borderId="58" xfId="0" applyFont="1" applyFill="1" applyBorder="1" applyAlignment="1">
      <alignment horizontal="left" indent="1"/>
    </xf>
    <xf numFmtId="10" fontId="40" fillId="11" borderId="59" xfId="0" applyNumberFormat="1" applyFont="1" applyFill="1" applyBorder="1" applyAlignment="1">
      <alignment horizontal="center"/>
    </xf>
    <xf numFmtId="10" fontId="40" fillId="11" borderId="60" xfId="0" applyNumberFormat="1" applyFont="1" applyFill="1" applyBorder="1" applyAlignment="1">
      <alignment horizontal="center"/>
    </xf>
    <xf numFmtId="0" fontId="40" fillId="22" borderId="55" xfId="0" applyFont="1" applyFill="1" applyBorder="1" applyAlignment="1">
      <alignment horizontal="left" indent="1"/>
    </xf>
    <xf numFmtId="10" fontId="40" fillId="22" borderId="57" xfId="0" applyNumberFormat="1" applyFont="1" applyFill="1" applyBorder="1" applyAlignment="1">
      <alignment horizontal="center"/>
    </xf>
    <xf numFmtId="0" fontId="41" fillId="24" borderId="1" xfId="0" applyFont="1" applyFill="1" applyBorder="1"/>
    <xf numFmtId="17" fontId="41" fillId="24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0" fontId="41" fillId="0" borderId="1" xfId="0" applyFont="1" applyBorder="1"/>
    <xf numFmtId="10" fontId="0" fillId="0" borderId="1" xfId="0" applyNumberFormat="1" applyBorder="1"/>
    <xf numFmtId="10" fontId="0" fillId="0" borderId="1" xfId="0" applyNumberFormat="1" applyBorder="1" applyAlignment="1">
      <alignment horizontal="right"/>
    </xf>
    <xf numFmtId="4" fontId="41" fillId="0" borderId="1" xfId="0" applyNumberFormat="1" applyFont="1" applyBorder="1"/>
    <xf numFmtId="2" fontId="41" fillId="11" borderId="0" xfId="0" applyNumberFormat="1" applyFont="1" applyFill="1"/>
    <xf numFmtId="2" fontId="41" fillId="0" borderId="0" xfId="0" applyNumberFormat="1" applyFont="1"/>
    <xf numFmtId="2" fontId="31" fillId="0" borderId="61" xfId="0" applyNumberFormat="1" applyFont="1" applyBorder="1"/>
    <xf numFmtId="2" fontId="41" fillId="0" borderId="6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2" fontId="41" fillId="0" borderId="0" xfId="0" applyNumberFormat="1" applyFont="1" applyAlignment="1">
      <alignment horizontal="right"/>
    </xf>
    <xf numFmtId="2" fontId="42" fillId="25" borderId="0" xfId="0" applyNumberFormat="1" applyFont="1" applyFill="1" applyAlignment="1">
      <alignment horizontal="right"/>
    </xf>
    <xf numFmtId="172" fontId="0" fillId="0" borderId="0" xfId="0" applyNumberFormat="1"/>
    <xf numFmtId="172" fontId="42" fillId="25" borderId="0" xfId="0" applyNumberFormat="1" applyFont="1" applyFill="1"/>
    <xf numFmtId="172" fontId="41" fillId="0" borderId="61" xfId="0" applyNumberFormat="1" applyFont="1" applyBorder="1"/>
    <xf numFmtId="172" fontId="41" fillId="0" borderId="61" xfId="0" applyNumberFormat="1" applyFont="1" applyBorder="1" applyAlignment="1">
      <alignment horizontal="right"/>
    </xf>
    <xf numFmtId="172" fontId="41" fillId="0" borderId="0" xfId="0" applyNumberFormat="1" applyFont="1"/>
    <xf numFmtId="172" fontId="0" fillId="0" borderId="0" xfId="0" applyNumberFormat="1" applyAlignment="1">
      <alignment horizontal="left"/>
    </xf>
    <xf numFmtId="172" fontId="31" fillId="0" borderId="0" xfId="0" applyNumberFormat="1" applyFont="1"/>
    <xf numFmtId="172" fontId="43" fillId="0" borderId="0" xfId="0" applyNumberFormat="1" applyFont="1"/>
    <xf numFmtId="172" fontId="42" fillId="2" borderId="0" xfId="0" applyNumberFormat="1" applyFont="1" applyFill="1"/>
    <xf numFmtId="172" fontId="41" fillId="0" borderId="0" xfId="0" applyNumberFormat="1" applyFont="1" applyAlignment="1">
      <alignment horizontal="left"/>
    </xf>
    <xf numFmtId="172" fontId="0" fillId="19" borderId="0" xfId="0" applyNumberFormat="1" applyFill="1"/>
    <xf numFmtId="172" fontId="41" fillId="0" borderId="62" xfId="0" applyNumberFormat="1" applyFont="1" applyBorder="1"/>
    <xf numFmtId="172" fontId="0" fillId="0" borderId="62" xfId="0" applyNumberFormat="1" applyBorder="1"/>
    <xf numFmtId="172" fontId="0" fillId="11" borderId="0" xfId="0" applyNumberFormat="1" applyFill="1"/>
    <xf numFmtId="0" fontId="44" fillId="0" borderId="0" xfId="0" applyFont="1"/>
    <xf numFmtId="0" fontId="45" fillId="11" borderId="63" xfId="0" applyFont="1" applyFill="1" applyBorder="1" applyAlignment="1">
      <alignment horizontal="right" vertical="center" wrapText="1"/>
    </xf>
    <xf numFmtId="0" fontId="46" fillId="26" borderId="0" xfId="0" applyFont="1" applyFill="1" applyAlignment="1">
      <alignment horizontal="left" vertical="center" indent="2"/>
    </xf>
    <xf numFmtId="0" fontId="47" fillId="11" borderId="64" xfId="0" applyFont="1" applyFill="1" applyBorder="1" applyAlignment="1">
      <alignment horizontal="left" vertical="center"/>
    </xf>
    <xf numFmtId="0" fontId="46" fillId="11" borderId="64" xfId="0" applyFont="1" applyFill="1" applyBorder="1" applyAlignment="1">
      <alignment horizontal="right" vertical="center" wrapText="1"/>
    </xf>
    <xf numFmtId="0" fontId="46" fillId="11" borderId="0" xfId="0" applyFont="1" applyFill="1" applyAlignment="1">
      <alignment horizontal="left" vertical="center" indent="2"/>
    </xf>
    <xf numFmtId="0" fontId="48" fillId="27" borderId="0" xfId="0" applyFont="1" applyFill="1" applyAlignment="1">
      <alignment horizontal="left" vertical="center" indent="2"/>
    </xf>
    <xf numFmtId="0" fontId="47" fillId="27" borderId="64" xfId="0" applyFont="1" applyFill="1" applyBorder="1" applyAlignment="1">
      <alignment horizontal="left" vertical="center"/>
    </xf>
    <xf numFmtId="0" fontId="46" fillId="27" borderId="64" xfId="0" applyFont="1" applyFill="1" applyBorder="1" applyAlignment="1">
      <alignment horizontal="right" vertical="center" wrapText="1"/>
    </xf>
    <xf numFmtId="0" fontId="46" fillId="26" borderId="64" xfId="0" applyFont="1" applyFill="1" applyBorder="1" applyAlignment="1">
      <alignment horizontal="left" vertical="center" indent="2"/>
    </xf>
    <xf numFmtId="0" fontId="47" fillId="26" borderId="64" xfId="0" applyFont="1" applyFill="1" applyBorder="1" applyAlignment="1">
      <alignment horizontal="left" vertical="center"/>
    </xf>
    <xf numFmtId="0" fontId="46" fillId="26" borderId="64" xfId="0" applyFont="1" applyFill="1" applyBorder="1" applyAlignment="1">
      <alignment horizontal="right" vertical="center" wrapText="1"/>
    </xf>
    <xf numFmtId="0" fontId="49" fillId="26" borderId="64" xfId="0" applyFont="1" applyFill="1" applyBorder="1" applyAlignment="1">
      <alignment horizontal="left" vertical="center"/>
    </xf>
    <xf numFmtId="0" fontId="42" fillId="2" borderId="0" xfId="0" applyFont="1" applyFill="1"/>
    <xf numFmtId="0" fontId="0" fillId="2" borderId="0" xfId="0" applyFill="1"/>
    <xf numFmtId="0" fontId="41" fillId="0" borderId="0" xfId="0" applyFont="1"/>
    <xf numFmtId="0" fontId="41" fillId="28" borderId="0" xfId="0" applyFont="1" applyFill="1"/>
    <xf numFmtId="0" fontId="41" fillId="28" borderId="0" xfId="0" applyFont="1" applyFill="1" applyAlignment="1">
      <alignment wrapText="1"/>
    </xf>
    <xf numFmtId="0" fontId="41" fillId="28" borderId="67" xfId="0" applyFont="1" applyFill="1" applyBorder="1"/>
    <xf numFmtId="0" fontId="41" fillId="28" borderId="68" xfId="0" applyFont="1" applyFill="1" applyBorder="1"/>
    <xf numFmtId="0" fontId="41" fillId="28" borderId="32" xfId="0" applyFont="1" applyFill="1" applyBorder="1"/>
    <xf numFmtId="0" fontId="50" fillId="11" borderId="64" xfId="0" applyFont="1" applyFill="1" applyBorder="1" applyAlignment="1">
      <alignment horizontal="left" vertical="center"/>
    </xf>
    <xf numFmtId="0" fontId="0" fillId="0" borderId="65" xfId="0" applyBorder="1"/>
    <xf numFmtId="168" fontId="51" fillId="0" borderId="2" xfId="0" applyNumberFormat="1" applyFont="1" applyBorder="1"/>
    <xf numFmtId="168" fontId="51" fillId="0" borderId="0" xfId="0" applyNumberFormat="1" applyFont="1"/>
    <xf numFmtId="168" fontId="0" fillId="0" borderId="32" xfId="0" applyNumberFormat="1" applyBorder="1"/>
    <xf numFmtId="168" fontId="51" fillId="0" borderId="32" xfId="0" applyNumberFormat="1" applyFont="1" applyBorder="1"/>
    <xf numFmtId="168" fontId="51" fillId="0" borderId="67" xfId="0" applyNumberFormat="1" applyFont="1" applyBorder="1"/>
    <xf numFmtId="173" fontId="0" fillId="0" borderId="0" xfId="0" applyNumberFormat="1"/>
    <xf numFmtId="173" fontId="51" fillId="0" borderId="69" xfId="0" applyNumberFormat="1" applyFont="1" applyBorder="1"/>
    <xf numFmtId="0" fontId="0" fillId="0" borderId="70" xfId="0" applyBorder="1"/>
    <xf numFmtId="168" fontId="0" fillId="0" borderId="2" xfId="0" applyNumberFormat="1" applyBorder="1"/>
    <xf numFmtId="174" fontId="0" fillId="0" borderId="0" xfId="0" applyNumberFormat="1"/>
    <xf numFmtId="0" fontId="50" fillId="26" borderId="64" xfId="0" applyFont="1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51" fillId="0" borderId="0" xfId="0" applyFont="1"/>
    <xf numFmtId="175" fontId="51" fillId="0" borderId="0" xfId="0" applyNumberFormat="1" applyFont="1"/>
    <xf numFmtId="173" fontId="51" fillId="0" borderId="0" xfId="0" applyNumberFormat="1" applyFont="1"/>
    <xf numFmtId="0" fontId="42" fillId="2" borderId="0" xfId="0" applyFont="1" applyFill="1" applyAlignment="1">
      <alignment horizontal="center"/>
    </xf>
    <xf numFmtId="0" fontId="41" fillId="0" borderId="62" xfId="0" applyFont="1" applyBorder="1"/>
    <xf numFmtId="0" fontId="0" fillId="0" borderId="62" xfId="0" applyBorder="1"/>
    <xf numFmtId="2" fontId="41" fillId="0" borderId="62" xfId="0" applyNumberFormat="1" applyFont="1" applyBorder="1"/>
    <xf numFmtId="0" fontId="41" fillId="11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53" fillId="29" borderId="0" xfId="0" applyFont="1" applyFill="1"/>
    <xf numFmtId="0" fontId="53" fillId="30" borderId="0" xfId="0" applyFont="1" applyFill="1"/>
    <xf numFmtId="0" fontId="54" fillId="31" borderId="63" xfId="0" applyFont="1" applyFill="1" applyBorder="1" applyAlignment="1">
      <alignment horizontal="left" vertical="center" indent="2"/>
    </xf>
    <xf numFmtId="0" fontId="54" fillId="31" borderId="63" xfId="0" applyFont="1" applyFill="1" applyBorder="1" applyAlignment="1">
      <alignment horizontal="left" vertical="center"/>
    </xf>
    <xf numFmtId="0" fontId="54" fillId="31" borderId="63" xfId="0" applyFont="1" applyFill="1" applyBorder="1" applyAlignment="1">
      <alignment horizontal="right" vertical="center" wrapText="1"/>
    </xf>
    <xf numFmtId="172" fontId="53" fillId="29" borderId="0" xfId="0" applyNumberFormat="1" applyFont="1" applyFill="1"/>
    <xf numFmtId="2" fontId="53" fillId="32" borderId="0" xfId="0" applyNumberFormat="1" applyFont="1" applyFill="1"/>
    <xf numFmtId="2" fontId="53" fillId="29" borderId="0" xfId="0" applyNumberFormat="1" applyFont="1" applyFill="1"/>
    <xf numFmtId="0" fontId="54" fillId="33" borderId="0" xfId="0" applyFont="1" applyFill="1" applyAlignment="1">
      <alignment vertical="center" wrapText="1"/>
    </xf>
    <xf numFmtId="0" fontId="53" fillId="34" borderId="42" xfId="0" applyFont="1" applyFill="1" applyBorder="1" applyAlignment="1">
      <alignment horizontal="left" indent="1"/>
    </xf>
    <xf numFmtId="17" fontId="53" fillId="34" borderId="43" xfId="0" applyNumberFormat="1" applyFont="1" applyFill="1" applyBorder="1" applyAlignment="1">
      <alignment horizontal="center"/>
    </xf>
    <xf numFmtId="0" fontId="54" fillId="35" borderId="4" xfId="0" applyFont="1" applyFill="1" applyBorder="1" applyAlignment="1">
      <alignment horizontal="center"/>
    </xf>
    <xf numFmtId="0" fontId="54" fillId="35" borderId="5" xfId="0" applyFont="1" applyFill="1" applyBorder="1" applyAlignment="1">
      <alignment horizontal="left"/>
    </xf>
    <xf numFmtId="0" fontId="54" fillId="35" borderId="4" xfId="0" applyFont="1" applyFill="1" applyBorder="1" applyAlignment="1">
      <alignment vertical="center"/>
    </xf>
    <xf numFmtId="0" fontId="53" fillId="30" borderId="0" xfId="0" applyFont="1" applyFill="1" applyAlignment="1">
      <alignment horizontal="center"/>
    </xf>
    <xf numFmtId="0" fontId="50" fillId="36" borderId="64" xfId="0" applyFont="1" applyFill="1" applyBorder="1" applyAlignment="1">
      <alignment horizontal="left" vertical="center"/>
    </xf>
    <xf numFmtId="0" fontId="41" fillId="36" borderId="70" xfId="0" applyFont="1" applyFill="1" applyBorder="1"/>
    <xf numFmtId="168" fontId="51" fillId="37" borderId="2" xfId="0" applyNumberFormat="1" applyFont="1" applyFill="1" applyBorder="1"/>
    <xf numFmtId="168" fontId="51" fillId="37" borderId="0" xfId="0" applyNumberFormat="1" applyFont="1" applyFill="1"/>
    <xf numFmtId="168" fontId="41" fillId="36" borderId="0" xfId="0" applyNumberFormat="1" applyFont="1" applyFill="1"/>
    <xf numFmtId="168" fontId="41" fillId="36" borderId="2" xfId="0" applyNumberFormat="1" applyFont="1" applyFill="1" applyBorder="1"/>
    <xf numFmtId="168" fontId="51" fillId="37" borderId="32" xfId="0" applyNumberFormat="1" applyFont="1" applyFill="1" applyBorder="1"/>
    <xf numFmtId="168" fontId="51" fillId="37" borderId="67" xfId="0" applyNumberFormat="1" applyFont="1" applyFill="1" applyBorder="1"/>
    <xf numFmtId="173" fontId="41" fillId="36" borderId="0" xfId="0" applyNumberFormat="1" applyFont="1" applyFill="1"/>
    <xf numFmtId="173" fontId="41" fillId="36" borderId="69" xfId="0" applyNumberFormat="1" applyFont="1" applyFill="1" applyBorder="1"/>
    <xf numFmtId="0" fontId="41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vertical="center"/>
    </xf>
    <xf numFmtId="0" fontId="0" fillId="38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2" fillId="39" borderId="0" xfId="0" applyFont="1" applyFill="1" applyAlignment="1">
      <alignment horizontal="center"/>
    </xf>
    <xf numFmtId="17" fontId="0" fillId="0" borderId="0" xfId="0" applyNumberFormat="1"/>
    <xf numFmtId="9" fontId="0" fillId="0" borderId="0" xfId="0" applyNumberFormat="1"/>
    <xf numFmtId="0" fontId="58" fillId="40" borderId="79" xfId="0" applyFont="1" applyFill="1" applyBorder="1" applyAlignment="1">
      <alignment horizontal="left" vertical="center" wrapText="1"/>
    </xf>
    <xf numFmtId="0" fontId="57" fillId="40" borderId="79" xfId="0" applyFont="1" applyFill="1" applyBorder="1" applyAlignment="1">
      <alignment horizontal="right" vertical="center" wrapText="1"/>
    </xf>
    <xf numFmtId="0" fontId="57" fillId="40" borderId="79" xfId="0" applyFont="1" applyFill="1" applyBorder="1" applyAlignment="1">
      <alignment horizontal="left" vertical="center" wrapText="1"/>
    </xf>
    <xf numFmtId="3" fontId="57" fillId="40" borderId="79" xfId="0" applyNumberFormat="1" applyFont="1" applyFill="1" applyBorder="1" applyAlignment="1">
      <alignment horizontal="right" vertical="center" wrapText="1"/>
    </xf>
    <xf numFmtId="0" fontId="42" fillId="2" borderId="0" xfId="0" applyFont="1" applyFill="1" applyAlignment="1">
      <alignment horizontal="left"/>
    </xf>
    <xf numFmtId="0" fontId="0" fillId="0" borderId="0" xfId="0"/>
    <xf numFmtId="0" fontId="41" fillId="28" borderId="1" xfId="0" applyFont="1" applyFill="1" applyBorder="1" applyAlignment="1">
      <alignment horizontal="center"/>
    </xf>
    <xf numFmtId="0" fontId="0" fillId="0" borderId="66" xfId="0" applyBorder="1"/>
    <xf numFmtId="0" fontId="0" fillId="0" borderId="77" xfId="0" applyBorder="1"/>
    <xf numFmtId="0" fontId="0" fillId="0" borderId="76" xfId="0" applyBorder="1"/>
    <xf numFmtId="0" fontId="41" fillId="28" borderId="32" xfId="0" applyFont="1" applyFill="1" applyBorder="1" applyAlignment="1">
      <alignment horizontal="center"/>
    </xf>
    <xf numFmtId="0" fontId="0" fillId="0" borderId="2" xfId="0" applyBorder="1"/>
    <xf numFmtId="0" fontId="41" fillId="28" borderId="35" xfId="0" applyFont="1" applyFill="1" applyBorder="1" applyAlignment="1">
      <alignment horizontal="center"/>
    </xf>
    <xf numFmtId="0" fontId="41" fillId="28" borderId="66" xfId="0" applyFont="1" applyFill="1" applyBorder="1" applyAlignment="1">
      <alignment horizontal="center"/>
    </xf>
    <xf numFmtId="0" fontId="41" fillId="28" borderId="65" xfId="0" applyFont="1" applyFill="1" applyBorder="1" applyAlignment="1">
      <alignment horizontal="center"/>
    </xf>
    <xf numFmtId="0" fontId="0" fillId="0" borderId="70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56" fillId="41" borderId="79" xfId="0" applyFont="1" applyFill="1" applyBorder="1" applyAlignment="1">
      <alignment horizontal="center" vertical="center" wrapText="1"/>
    </xf>
    <xf numFmtId="0" fontId="56" fillId="41" borderId="7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61" xfId="0" applyBorder="1"/>
    <xf numFmtId="0" fontId="5" fillId="4" borderId="2" xfId="0" applyFont="1" applyFill="1" applyBorder="1" applyAlignment="1">
      <alignment horizontal="center" vertical="center"/>
    </xf>
    <xf numFmtId="0" fontId="53" fillId="29" borderId="61" xfId="0" applyFont="1" applyFill="1" applyBorder="1"/>
    <xf numFmtId="0" fontId="52" fillId="29" borderId="0" xfId="0" applyFont="1" applyFill="1" applyAlignment="1">
      <alignment horizontal="center"/>
    </xf>
    <xf numFmtId="0" fontId="52" fillId="29" borderId="0" xfId="0" applyFont="1" applyFill="1"/>
    <xf numFmtId="0" fontId="31" fillId="0" borderId="27" xfId="0" applyFont="1" applyBorder="1" applyAlignment="1">
      <alignment horizontal="center"/>
    </xf>
    <xf numFmtId="0" fontId="0" fillId="0" borderId="27" xfId="0" applyBorder="1"/>
    <xf numFmtId="0" fontId="32" fillId="17" borderId="29" xfId="0" applyFont="1" applyFill="1" applyBorder="1" applyAlignment="1">
      <alignment horizontal="center"/>
    </xf>
    <xf numFmtId="0" fontId="0" fillId="0" borderId="71" xfId="0" applyBorder="1"/>
    <xf numFmtId="0" fontId="32" fillId="17" borderId="33" xfId="0" applyFont="1" applyFill="1" applyBorder="1" applyAlignment="1">
      <alignment horizontal="center"/>
    </xf>
    <xf numFmtId="0" fontId="0" fillId="0" borderId="72" xfId="0" applyBorder="1"/>
    <xf numFmtId="0" fontId="32" fillId="17" borderId="33" xfId="0" applyFont="1" applyFill="1" applyBorder="1" applyAlignment="1">
      <alignment horizontal="center" vertical="center" wrapText="1"/>
    </xf>
    <xf numFmtId="0" fontId="0" fillId="0" borderId="73" xfId="0" applyBorder="1"/>
    <xf numFmtId="0" fontId="1" fillId="21" borderId="41" xfId="0" applyFont="1" applyFill="1" applyBorder="1" applyAlignment="1">
      <alignment horizontal="center" vertical="center" wrapText="1"/>
    </xf>
    <xf numFmtId="0" fontId="0" fillId="0" borderId="74" xfId="0" applyBorder="1"/>
    <xf numFmtId="0" fontId="0" fillId="0" borderId="7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8F8FC"/>
      <rgbColor rgb="FF0000FF"/>
      <rgbColor rgb="FFFFFF00"/>
      <rgbColor rgb="FFFF00FF"/>
      <rgbColor rgb="FFDBE4F0"/>
      <rgbColor rgb="FF1A2B3C"/>
      <rgbColor rgb="FF008000"/>
      <rgbColor rgb="FF002060"/>
      <rgbColor rgb="FF3A4F6A"/>
      <rgbColor rgb="FF645DF9"/>
      <rgbColor rgb="FF3D6494"/>
      <rgbColor rgb="FFBFBFBF"/>
      <rgbColor rgb="FF7A8A9A"/>
      <rgbColor rgb="FFC0CDD8"/>
      <rgbColor rgb="FFC0504D"/>
      <rgbColor rgb="FFF5F5F5"/>
      <rgbColor rgb="FFDBEEF4"/>
      <rgbColor rgb="FF403152"/>
      <rgbColor rgb="FFE0E0E0"/>
      <rgbColor rgb="FF1F4E78"/>
      <rgbColor rgb="FFC8D4E3"/>
      <rgbColor rgb="FF0D0D0D"/>
      <rgbColor rgb="FFFF00FF"/>
      <rgbColor rgb="FFE7E6E6"/>
      <rgbColor rgb="FFE9EFF7"/>
      <rgbColor rgb="FF800080"/>
      <rgbColor rgb="FF800000"/>
      <rgbColor rgb="FF2E4D7B"/>
      <rgbColor rgb="FF17375E"/>
      <rgbColor rgb="FFD9E1F2"/>
      <rgbColor rgb="FFEAF1FB"/>
      <rgbColor rgb="FFE8EEF6"/>
      <rgbColor rgb="FFEEEEEE"/>
      <rgbColor rgb="FFBDD7EE"/>
      <rgbColor rgb="FFE6E0EC"/>
      <rgbColor rgb="FFCCC1DA"/>
      <rgbColor rgb="FFD9D9D9"/>
      <rgbColor rgb="FF4472C4"/>
      <rgbColor rgb="FFC6D9F1"/>
      <rgbColor rgb="FFDCE3EC"/>
      <rgbColor rgb="FFFFD700"/>
      <rgbColor rgb="FFE8E8E8"/>
      <rgbColor rgb="FFF0F5FC"/>
      <rgbColor rgb="FF606F7B"/>
      <rgbColor rgb="FFC9A84C"/>
      <rgbColor rgb="FF003366"/>
      <rgbColor rgb="FF4F81BD"/>
      <rgbColor rgb="FF14243A"/>
      <rgbColor rgb="FF22222F"/>
      <rgbColor rgb="FF993300"/>
      <rgbColor rgb="FF595959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F63E-41F7-90C2-4FAFD8827E2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F63E-41F7-90C2-4FAFD8827E2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63E-41F7-90C2-4FAFD8827E2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63E-41F7-90C2-4FAFD8827E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WACC!$B$8:$B$9</c:f>
              <c:strCache>
                <c:ptCount val="2"/>
                <c:pt idx="0">
                  <c:v>% of Debt</c:v>
                </c:pt>
                <c:pt idx="1">
                  <c:v>% of Equity</c:v>
                </c:pt>
              </c:strCache>
            </c:strRef>
          </c:cat>
          <c:val>
            <c:numRef>
              <c:f>WACC!$C$8:$C$9</c:f>
              <c:numCache>
                <c:formatCode>0.0%;\(0.0%\);\-</c:formatCode>
                <c:ptCount val="2"/>
                <c:pt idx="0">
                  <c:v>0.34452281392799278</c:v>
                </c:pt>
                <c:pt idx="1">
                  <c:v>0.65547718607200722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E-41F7-90C2-4FAFD8827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0</xdr:row>
      <xdr:rowOff>121920</xdr:rowOff>
    </xdr:from>
    <xdr:to>
      <xdr:col>4</xdr:col>
      <xdr:colOff>411480</xdr:colOff>
      <xdr:row>13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FC22918-A09B-5E2F-D14F-4B0B4CFCF1A7}"/>
            </a:ext>
          </a:extLst>
        </xdr:cNvPr>
        <xdr:cNvSpPr/>
      </xdr:nvSpPr>
      <xdr:spPr>
        <a:xfrm>
          <a:off x="822960" y="121920"/>
          <a:ext cx="6865620" cy="2377440"/>
        </a:xfrm>
        <a:prstGeom prst="ellipse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163285</xdr:rowOff>
    </xdr:from>
    <xdr:to>
      <xdr:col>12</xdr:col>
      <xdr:colOff>960310</xdr:colOff>
      <xdr:row>22</xdr:row>
      <xdr:rowOff>136071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0E90A-C16C-9A4E-99FF-5A706E54B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785"/>
          <a:ext cx="7804703" cy="49257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30600</xdr:colOff>
      <xdr:row>4</xdr:row>
      <xdr:rowOff>15120</xdr:rowOff>
    </xdr:from>
    <xdr:to>
      <xdr:col>9</xdr:col>
      <xdr:colOff>242940</xdr:colOff>
      <xdr:row>12</xdr:row>
      <xdr:rowOff>136080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GLENMARK/consolidated/" TargetMode="External"/><Relationship Id="rId2" Type="http://schemas.openxmlformats.org/officeDocument/2006/relationships/hyperlink" Target="https://www.screener.in/company/LAURUSLABS/consolidated/" TargetMode="External"/><Relationship Id="rId1" Type="http://schemas.openxmlformats.org/officeDocument/2006/relationships/hyperlink" Target="https://www.screener.in/company/AUROPHARMA/consolidated/" TargetMode="External"/><Relationship Id="rId5" Type="http://schemas.openxmlformats.org/officeDocument/2006/relationships/hyperlink" Target="https://www.screener.in/company/ANTHEM/consolidated/" TargetMode="External"/><Relationship Id="rId4" Type="http://schemas.openxmlformats.org/officeDocument/2006/relationships/hyperlink" Target="https://www.screener.in/company/BIOCON/consolidated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GLENMARK/consolidated/" TargetMode="External"/><Relationship Id="rId2" Type="http://schemas.openxmlformats.org/officeDocument/2006/relationships/hyperlink" Target="https://www.screener.in/company/LAURUSLABS/consolidated/" TargetMode="External"/><Relationship Id="rId1" Type="http://schemas.openxmlformats.org/officeDocument/2006/relationships/hyperlink" Target="https://www.screener.in/company/AUROPHARMA/consolidated/" TargetMode="External"/><Relationship Id="rId5" Type="http://schemas.openxmlformats.org/officeDocument/2006/relationships/hyperlink" Target="https://www.screener.in/company/ANTHEM/consolidated/" TargetMode="External"/><Relationship Id="rId4" Type="http://schemas.openxmlformats.org/officeDocument/2006/relationships/hyperlink" Target="https://www.screener.in/company/BIOCON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0EE7-B1D2-43FC-901D-5E8848993750}">
  <dimension ref="B3:K27"/>
  <sheetViews>
    <sheetView showGridLines="0" workbookViewId="0">
      <selection activeCell="F63" sqref="F63"/>
    </sheetView>
  </sheetViews>
  <sheetFormatPr defaultRowHeight="14.4" x14ac:dyDescent="0.3"/>
  <cols>
    <col min="2" max="2" width="40.109375" bestFit="1" customWidth="1"/>
    <col min="3" max="3" width="38.6640625" bestFit="1" customWidth="1"/>
    <col min="4" max="4" width="18.44140625" bestFit="1" customWidth="1"/>
    <col min="6" max="6" width="51.5546875" bestFit="1" customWidth="1"/>
    <col min="7" max="7" width="8.77734375" bestFit="1" customWidth="1"/>
  </cols>
  <sheetData>
    <row r="3" spans="2:11" x14ac:dyDescent="0.3">
      <c r="F3" s="296" t="s">
        <v>1613</v>
      </c>
      <c r="G3" s="296"/>
      <c r="H3" s="296"/>
      <c r="I3" s="296"/>
      <c r="J3" s="296"/>
      <c r="K3" s="296"/>
    </row>
    <row r="4" spans="2:11" x14ac:dyDescent="0.3">
      <c r="F4" s="296"/>
      <c r="G4" s="296"/>
      <c r="H4" s="296"/>
      <c r="I4" s="296"/>
      <c r="J4" s="296"/>
      <c r="K4" s="296"/>
    </row>
    <row r="5" spans="2:11" x14ac:dyDescent="0.3">
      <c r="F5" s="296"/>
      <c r="G5" s="296"/>
      <c r="H5" s="296"/>
      <c r="I5" s="296"/>
      <c r="J5" s="296"/>
      <c r="K5" s="296"/>
    </row>
    <row r="6" spans="2:11" x14ac:dyDescent="0.3">
      <c r="F6" s="296"/>
      <c r="G6" s="296"/>
      <c r="H6" s="296"/>
      <c r="I6" s="296"/>
      <c r="J6" s="296"/>
      <c r="K6" s="296"/>
    </row>
    <row r="7" spans="2:11" x14ac:dyDescent="0.3">
      <c r="F7" s="296"/>
      <c r="G7" s="296"/>
      <c r="H7" s="296"/>
      <c r="I7" s="296"/>
      <c r="J7" s="296"/>
      <c r="K7" s="296"/>
    </row>
    <row r="8" spans="2:11" x14ac:dyDescent="0.3">
      <c r="F8" s="296"/>
      <c r="G8" s="296"/>
      <c r="H8" s="296"/>
      <c r="I8" s="296"/>
      <c r="J8" s="296"/>
      <c r="K8" s="296"/>
    </row>
    <row r="9" spans="2:11" x14ac:dyDescent="0.3">
      <c r="F9" s="296"/>
      <c r="G9" s="296"/>
      <c r="H9" s="296"/>
      <c r="I9" s="296"/>
      <c r="J9" s="296"/>
      <c r="K9" s="296"/>
    </row>
    <row r="10" spans="2:11" x14ac:dyDescent="0.3">
      <c r="F10" s="296"/>
      <c r="G10" s="296"/>
      <c r="H10" s="296"/>
      <c r="I10" s="296"/>
      <c r="J10" s="296"/>
      <c r="K10" s="296"/>
    </row>
    <row r="11" spans="2:11" x14ac:dyDescent="0.3">
      <c r="F11" s="296"/>
      <c r="G11" s="296"/>
      <c r="H11" s="296"/>
      <c r="I11" s="296"/>
      <c r="J11" s="296"/>
      <c r="K11" s="296"/>
    </row>
    <row r="12" spans="2:11" x14ac:dyDescent="0.3">
      <c r="F12" s="296"/>
      <c r="G12" s="296"/>
      <c r="H12" s="296"/>
      <c r="I12" s="296"/>
      <c r="J12" s="296"/>
      <c r="K12" s="296"/>
    </row>
    <row r="13" spans="2:11" x14ac:dyDescent="0.3">
      <c r="F13" s="296"/>
      <c r="G13" s="296"/>
      <c r="H13" s="296"/>
      <c r="I13" s="296"/>
      <c r="J13" s="296"/>
      <c r="K13" s="296"/>
    </row>
    <row r="14" spans="2:11" x14ac:dyDescent="0.3">
      <c r="F14" s="296"/>
      <c r="G14" s="296"/>
      <c r="H14" s="296"/>
      <c r="I14" s="296"/>
      <c r="J14" s="296"/>
      <c r="K14" s="296"/>
    </row>
    <row r="15" spans="2:11" x14ac:dyDescent="0.3">
      <c r="F15" s="247"/>
      <c r="G15" s="247"/>
      <c r="H15" s="247"/>
      <c r="I15" s="247"/>
      <c r="J15" s="247"/>
      <c r="K15" s="247"/>
    </row>
    <row r="16" spans="2:11" ht="31.2" x14ac:dyDescent="0.3">
      <c r="B16" s="274" t="s">
        <v>1614</v>
      </c>
      <c r="C16" s="175"/>
      <c r="D16" s="175"/>
      <c r="F16" s="274" t="s">
        <v>1641</v>
      </c>
      <c r="G16" s="175"/>
      <c r="H16" s="175"/>
    </row>
    <row r="17" spans="2:8" x14ac:dyDescent="0.3">
      <c r="B17" s="175"/>
      <c r="C17" s="175"/>
      <c r="D17" s="175"/>
      <c r="F17" s="175"/>
      <c r="G17" s="175"/>
      <c r="H17" s="175"/>
    </row>
    <row r="18" spans="2:8" x14ac:dyDescent="0.3">
      <c r="B18" s="273" t="s">
        <v>1615</v>
      </c>
      <c r="C18" s="273" t="s">
        <v>1616</v>
      </c>
      <c r="D18" s="273" t="s">
        <v>1617</v>
      </c>
      <c r="F18" s="273" t="s">
        <v>1658</v>
      </c>
      <c r="G18" s="273" t="s">
        <v>1617</v>
      </c>
      <c r="H18" s="273" t="s">
        <v>1642</v>
      </c>
    </row>
    <row r="19" spans="2:8" x14ac:dyDescent="0.3">
      <c r="B19" s="275" t="s">
        <v>1618</v>
      </c>
      <c r="C19" s="275" t="s">
        <v>1619</v>
      </c>
      <c r="D19" s="275" t="s">
        <v>1620</v>
      </c>
      <c r="F19" s="275" t="s">
        <v>1643</v>
      </c>
      <c r="G19" s="275" t="s">
        <v>1644</v>
      </c>
      <c r="H19" s="275">
        <v>560100</v>
      </c>
    </row>
    <row r="20" spans="2:8" x14ac:dyDescent="0.3">
      <c r="B20" s="275" t="s">
        <v>1621</v>
      </c>
      <c r="C20" s="275" t="s">
        <v>1622</v>
      </c>
      <c r="D20" s="275" t="s">
        <v>1620</v>
      </c>
      <c r="F20" s="275" t="s">
        <v>1645</v>
      </c>
      <c r="G20" s="275" t="s">
        <v>1646</v>
      </c>
      <c r="H20" s="275">
        <v>560099</v>
      </c>
    </row>
    <row r="21" spans="2:8" x14ac:dyDescent="0.3">
      <c r="B21" s="275" t="s">
        <v>1623</v>
      </c>
      <c r="C21" s="275" t="s">
        <v>1624</v>
      </c>
      <c r="D21" s="275" t="s">
        <v>1620</v>
      </c>
      <c r="F21" s="275" t="s">
        <v>1647</v>
      </c>
      <c r="G21" s="275" t="s">
        <v>1648</v>
      </c>
      <c r="H21" s="275">
        <v>560099</v>
      </c>
    </row>
    <row r="22" spans="2:8" x14ac:dyDescent="0.3">
      <c r="B22" s="275" t="s">
        <v>1625</v>
      </c>
      <c r="C22" s="275" t="s">
        <v>1626</v>
      </c>
      <c r="D22" s="275" t="s">
        <v>1620</v>
      </c>
      <c r="F22" s="275" t="s">
        <v>1649</v>
      </c>
      <c r="G22" s="275" t="s">
        <v>1650</v>
      </c>
      <c r="H22" s="275">
        <v>560099</v>
      </c>
    </row>
    <row r="23" spans="2:8" x14ac:dyDescent="0.3">
      <c r="B23" s="275" t="s">
        <v>1627</v>
      </c>
      <c r="C23" s="275" t="s">
        <v>1628</v>
      </c>
      <c r="D23" s="275" t="s">
        <v>1629</v>
      </c>
      <c r="F23" s="275" t="s">
        <v>1651</v>
      </c>
      <c r="G23" s="275" t="s">
        <v>1652</v>
      </c>
      <c r="H23" s="275">
        <v>560100</v>
      </c>
    </row>
    <row r="24" spans="2:8" x14ac:dyDescent="0.3">
      <c r="B24" s="275" t="s">
        <v>1630</v>
      </c>
      <c r="C24" s="275" t="s">
        <v>1631</v>
      </c>
      <c r="D24" s="275" t="s">
        <v>1632</v>
      </c>
      <c r="F24" s="275" t="s">
        <v>1653</v>
      </c>
      <c r="G24" s="275" t="s">
        <v>1654</v>
      </c>
      <c r="H24" s="275">
        <v>575011</v>
      </c>
    </row>
    <row r="25" spans="2:8" x14ac:dyDescent="0.3">
      <c r="B25" s="275" t="s">
        <v>1633</v>
      </c>
      <c r="C25" s="275" t="s">
        <v>1634</v>
      </c>
      <c r="D25" s="275" t="s">
        <v>1632</v>
      </c>
      <c r="F25" s="275" t="s">
        <v>1655</v>
      </c>
      <c r="G25" s="275" t="s">
        <v>1656</v>
      </c>
      <c r="H25" s="275">
        <v>8512</v>
      </c>
    </row>
    <row r="26" spans="2:8" x14ac:dyDescent="0.3">
      <c r="B26" s="275" t="s">
        <v>1635</v>
      </c>
      <c r="C26" s="275" t="s">
        <v>1636</v>
      </c>
      <c r="D26" s="275" t="s">
        <v>1637</v>
      </c>
      <c r="F26" s="275" t="s">
        <v>1657</v>
      </c>
      <c r="G26" s="275" t="s">
        <v>1632</v>
      </c>
      <c r="H26" s="275">
        <v>81700</v>
      </c>
    </row>
    <row r="27" spans="2:8" x14ac:dyDescent="0.3">
      <c r="B27" s="275" t="s">
        <v>1638</v>
      </c>
      <c r="C27" s="275" t="s">
        <v>1639</v>
      </c>
      <c r="D27" s="275" t="s">
        <v>1640</v>
      </c>
    </row>
  </sheetData>
  <mergeCells count="1">
    <mergeCell ref="F3:K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48A2-8BA9-4D5E-8365-A08AA9194B5D}">
  <dimension ref="B2:F54"/>
  <sheetViews>
    <sheetView showGridLines="0" workbookViewId="0">
      <selection activeCell="F63" sqref="F63"/>
    </sheetView>
  </sheetViews>
  <sheetFormatPr defaultRowHeight="14.4" outlineLevelRow="1" x14ac:dyDescent="0.3"/>
  <sheetData>
    <row r="2" spans="2:6" x14ac:dyDescent="0.3">
      <c r="B2" s="297" t="s">
        <v>1686</v>
      </c>
      <c r="C2" s="297"/>
      <c r="D2" s="297"/>
    </row>
    <row r="3" spans="2:6" hidden="1" outlineLevel="1" x14ac:dyDescent="0.3">
      <c r="B3" t="s">
        <v>1</v>
      </c>
      <c r="C3" t="s">
        <v>1675</v>
      </c>
      <c r="D3" t="s">
        <v>1676</v>
      </c>
    </row>
    <row r="4" spans="2:6" hidden="1" outlineLevel="1" x14ac:dyDescent="0.3">
      <c r="B4" t="s">
        <v>1677</v>
      </c>
      <c r="C4" t="s">
        <v>1678</v>
      </c>
      <c r="D4" s="3">
        <v>0.29899999999999999</v>
      </c>
    </row>
    <row r="5" spans="2:6" hidden="1" outlineLevel="1" x14ac:dyDescent="0.3">
      <c r="B5" t="s">
        <v>1679</v>
      </c>
      <c r="C5" t="s">
        <v>1680</v>
      </c>
      <c r="D5" s="3">
        <v>3.3E-3</v>
      </c>
    </row>
    <row r="6" spans="2:6" hidden="1" outlineLevel="1" x14ac:dyDescent="0.3">
      <c r="B6" t="s">
        <v>1681</v>
      </c>
      <c r="C6" s="276" t="s">
        <v>1682</v>
      </c>
      <c r="D6" s="3">
        <v>5.9999999999999995E-4</v>
      </c>
    </row>
    <row r="7" spans="2:6" hidden="1" outlineLevel="1" x14ac:dyDescent="0.3">
      <c r="B7" t="s">
        <v>1683</v>
      </c>
      <c r="C7" t="s">
        <v>1684</v>
      </c>
      <c r="D7" s="3">
        <v>0.14630000000000001</v>
      </c>
    </row>
    <row r="8" spans="2:6" hidden="1" outlineLevel="1" x14ac:dyDescent="0.3">
      <c r="B8" t="s">
        <v>255</v>
      </c>
      <c r="C8" t="s">
        <v>1685</v>
      </c>
      <c r="D8" s="3">
        <v>0.44919999999999999</v>
      </c>
    </row>
    <row r="9" spans="2:6" collapsed="1" x14ac:dyDescent="0.3">
      <c r="B9" s="297" t="s">
        <v>1766</v>
      </c>
      <c r="C9" s="297"/>
      <c r="D9" s="297"/>
    </row>
    <row r="10" spans="2:6" ht="127.2" hidden="1" customHeight="1" outlineLevel="1" x14ac:dyDescent="0.3">
      <c r="B10" s="298" t="s">
        <v>1687</v>
      </c>
      <c r="C10" s="298" t="s">
        <v>1688</v>
      </c>
      <c r="D10" s="298" t="s">
        <v>1689</v>
      </c>
      <c r="E10" s="298" t="s">
        <v>1690</v>
      </c>
      <c r="F10" s="298" t="s">
        <v>1691</v>
      </c>
    </row>
    <row r="11" spans="2:6" ht="19.8" hidden="1" customHeight="1" outlineLevel="1" x14ac:dyDescent="0.3">
      <c r="B11" s="298"/>
      <c r="C11" s="298"/>
      <c r="D11" s="298"/>
      <c r="E11" s="298"/>
      <c r="F11" s="298"/>
    </row>
    <row r="12" spans="2:6" ht="15" hidden="1" outlineLevel="1" thickBot="1" x14ac:dyDescent="0.35">
      <c r="B12" s="299"/>
      <c r="C12" s="299"/>
      <c r="D12" s="299"/>
      <c r="E12" s="299"/>
      <c r="F12" s="299"/>
    </row>
    <row r="13" spans="2:6" hidden="1" outlineLevel="1" x14ac:dyDescent="0.3">
      <c r="B13" s="280" t="s">
        <v>1692</v>
      </c>
      <c r="C13" s="281">
        <v>0</v>
      </c>
      <c r="D13" s="281">
        <v>0</v>
      </c>
      <c r="E13" s="281" t="s">
        <v>61</v>
      </c>
      <c r="F13" s="281">
        <v>0</v>
      </c>
    </row>
    <row r="14" spans="2:6" ht="30.6" hidden="1" outlineLevel="1" x14ac:dyDescent="0.3">
      <c r="B14" s="280" t="s">
        <v>1693</v>
      </c>
      <c r="C14" s="281">
        <v>0</v>
      </c>
      <c r="D14" s="281">
        <v>0</v>
      </c>
      <c r="E14" s="281" t="s">
        <v>61</v>
      </c>
      <c r="F14" s="281">
        <v>0</v>
      </c>
    </row>
    <row r="15" spans="2:6" ht="20.399999999999999" hidden="1" outlineLevel="1" x14ac:dyDescent="0.3">
      <c r="B15" s="280" t="s">
        <v>1694</v>
      </c>
      <c r="C15" s="281">
        <v>38</v>
      </c>
      <c r="D15" s="281" t="s">
        <v>1695</v>
      </c>
      <c r="E15" s="281" t="s">
        <v>1695</v>
      </c>
      <c r="F15" s="281">
        <v>16.53</v>
      </c>
    </row>
    <row r="16" spans="2:6" ht="51" hidden="1" outlineLevel="1" x14ac:dyDescent="0.3">
      <c r="B16" s="282" t="s">
        <v>1696</v>
      </c>
      <c r="C16" s="281">
        <v>1</v>
      </c>
      <c r="D16" s="281" t="s">
        <v>1697</v>
      </c>
      <c r="E16" s="281" t="s">
        <v>1697</v>
      </c>
      <c r="F16" s="281">
        <v>1.25</v>
      </c>
    </row>
    <row r="17" spans="2:6" ht="30.6" hidden="1" outlineLevel="1" x14ac:dyDescent="0.3">
      <c r="B17" s="282" t="s">
        <v>1698</v>
      </c>
      <c r="C17" s="281">
        <v>1</v>
      </c>
      <c r="D17" s="281" t="s">
        <v>1699</v>
      </c>
      <c r="E17" s="281" t="s">
        <v>1699</v>
      </c>
      <c r="F17" s="281">
        <v>8.1999999999999993</v>
      </c>
    </row>
    <row r="18" spans="2:6" ht="61.2" hidden="1" outlineLevel="1" x14ac:dyDescent="0.3">
      <c r="B18" s="282" t="s">
        <v>1700</v>
      </c>
      <c r="C18" s="281">
        <v>1</v>
      </c>
      <c r="D18" s="281" t="s">
        <v>1701</v>
      </c>
      <c r="E18" s="281" t="s">
        <v>1701</v>
      </c>
      <c r="F18" s="281">
        <v>1.1200000000000001</v>
      </c>
    </row>
    <row r="19" spans="2:6" ht="40.799999999999997" hidden="1" outlineLevel="1" x14ac:dyDescent="0.3">
      <c r="B19" s="282" t="s">
        <v>1702</v>
      </c>
      <c r="C19" s="281">
        <v>1</v>
      </c>
      <c r="D19" s="281" t="s">
        <v>1703</v>
      </c>
      <c r="E19" s="281" t="s">
        <v>1703</v>
      </c>
      <c r="F19" s="281">
        <v>1.02</v>
      </c>
    </row>
    <row r="20" spans="2:6" ht="51" hidden="1" outlineLevel="1" x14ac:dyDescent="0.3">
      <c r="B20" s="282" t="s">
        <v>1704</v>
      </c>
      <c r="C20" s="281">
        <v>1</v>
      </c>
      <c r="D20" s="281" t="s">
        <v>1705</v>
      </c>
      <c r="E20" s="281" t="s">
        <v>1705</v>
      </c>
      <c r="F20" s="281">
        <v>2.4</v>
      </c>
    </row>
    <row r="21" spans="2:6" ht="30.6" hidden="1" outlineLevel="1" x14ac:dyDescent="0.3">
      <c r="B21" s="280" t="s">
        <v>1706</v>
      </c>
      <c r="C21" s="281">
        <v>23</v>
      </c>
      <c r="D21" s="281" t="s">
        <v>1707</v>
      </c>
      <c r="E21" s="281" t="s">
        <v>1707</v>
      </c>
      <c r="F21" s="281">
        <v>1.24</v>
      </c>
    </row>
    <row r="22" spans="2:6" hidden="1" outlineLevel="1" x14ac:dyDescent="0.3">
      <c r="B22" s="280" t="s">
        <v>1708</v>
      </c>
      <c r="C22" s="281">
        <v>3</v>
      </c>
      <c r="D22" s="281" t="s">
        <v>1709</v>
      </c>
      <c r="E22" s="281" t="s">
        <v>1709</v>
      </c>
      <c r="F22" s="281">
        <v>0.08</v>
      </c>
    </row>
    <row r="23" spans="2:6" ht="20.399999999999999" hidden="1" outlineLevel="1" x14ac:dyDescent="0.3">
      <c r="B23" s="280" t="s">
        <v>1710</v>
      </c>
      <c r="C23" s="281">
        <v>19</v>
      </c>
      <c r="D23" s="281" t="s">
        <v>1711</v>
      </c>
      <c r="E23" s="281" t="s">
        <v>1711</v>
      </c>
      <c r="F23" s="281">
        <v>6.16</v>
      </c>
    </row>
    <row r="24" spans="2:6" ht="51" hidden="1" outlineLevel="1" x14ac:dyDescent="0.3">
      <c r="B24" s="282" t="s">
        <v>1712</v>
      </c>
      <c r="C24" s="281">
        <v>1</v>
      </c>
      <c r="D24" s="281" t="s">
        <v>1713</v>
      </c>
      <c r="E24" s="281" t="s">
        <v>1713</v>
      </c>
      <c r="F24" s="281">
        <v>3.87</v>
      </c>
    </row>
    <row r="25" spans="2:6" ht="30.6" hidden="1" outlineLevel="1" x14ac:dyDescent="0.3">
      <c r="B25" s="280" t="s">
        <v>1714</v>
      </c>
      <c r="C25" s="281">
        <v>2</v>
      </c>
      <c r="D25" s="281" t="s">
        <v>1715</v>
      </c>
      <c r="E25" s="281" t="s">
        <v>1715</v>
      </c>
      <c r="F25" s="281">
        <v>0.05</v>
      </c>
    </row>
    <row r="26" spans="2:6" ht="30.6" hidden="1" outlineLevel="1" x14ac:dyDescent="0.3">
      <c r="B26" s="280" t="s">
        <v>1716</v>
      </c>
      <c r="C26" s="281">
        <v>4</v>
      </c>
      <c r="D26" s="283">
        <v>21320</v>
      </c>
      <c r="E26" s="283">
        <v>21320</v>
      </c>
      <c r="F26" s="281">
        <v>0</v>
      </c>
    </row>
    <row r="27" spans="2:6" ht="20.399999999999999" hidden="1" outlineLevel="1" x14ac:dyDescent="0.3">
      <c r="B27" s="280" t="s">
        <v>1717</v>
      </c>
      <c r="C27" s="281">
        <v>89</v>
      </c>
      <c r="D27" s="281" t="s">
        <v>1718</v>
      </c>
      <c r="E27" s="281" t="s">
        <v>1718</v>
      </c>
      <c r="F27" s="281">
        <v>24.07</v>
      </c>
    </row>
    <row r="28" spans="2:6" ht="30.6" hidden="1" outlineLevel="1" x14ac:dyDescent="0.3">
      <c r="B28" s="280" t="s">
        <v>1719</v>
      </c>
      <c r="C28" s="281">
        <v>0</v>
      </c>
      <c r="D28" s="281">
        <v>0</v>
      </c>
      <c r="E28" s="281" t="s">
        <v>61</v>
      </c>
      <c r="F28" s="281">
        <v>0</v>
      </c>
    </row>
    <row r="29" spans="2:6" ht="40.799999999999997" hidden="1" outlineLevel="1" x14ac:dyDescent="0.3">
      <c r="B29" s="280" t="s">
        <v>1720</v>
      </c>
      <c r="C29" s="281">
        <v>235</v>
      </c>
      <c r="D29" s="281" t="s">
        <v>1721</v>
      </c>
      <c r="E29" s="281" t="s">
        <v>1721</v>
      </c>
      <c r="F29" s="281">
        <v>7.19</v>
      </c>
    </row>
    <row r="30" spans="2:6" ht="40.799999999999997" hidden="1" outlineLevel="1" x14ac:dyDescent="0.3">
      <c r="B30" s="280" t="s">
        <v>1722</v>
      </c>
      <c r="C30" s="281">
        <v>21</v>
      </c>
      <c r="D30" s="281" t="s">
        <v>1723</v>
      </c>
      <c r="E30" s="281" t="s">
        <v>1723</v>
      </c>
      <c r="F30" s="281">
        <v>0.33</v>
      </c>
    </row>
    <row r="31" spans="2:6" ht="20.399999999999999" hidden="1" outlineLevel="1" x14ac:dyDescent="0.3">
      <c r="B31" s="280" t="s">
        <v>1724</v>
      </c>
      <c r="C31" s="281">
        <v>256</v>
      </c>
      <c r="D31" s="281" t="s">
        <v>1725</v>
      </c>
      <c r="E31" s="281" t="s">
        <v>1725</v>
      </c>
      <c r="F31" s="281">
        <v>7.52</v>
      </c>
    </row>
    <row r="32" spans="2:6" ht="71.400000000000006" hidden="1" outlineLevel="1" x14ac:dyDescent="0.3">
      <c r="B32" s="280" t="s">
        <v>1726</v>
      </c>
      <c r="C32" s="281">
        <v>0</v>
      </c>
      <c r="D32" s="281">
        <v>0</v>
      </c>
      <c r="E32" s="281" t="s">
        <v>61</v>
      </c>
      <c r="F32" s="281">
        <v>0</v>
      </c>
    </row>
    <row r="33" spans="2:6" ht="20.399999999999999" hidden="1" outlineLevel="1" x14ac:dyDescent="0.3">
      <c r="B33" s="280" t="s">
        <v>1727</v>
      </c>
      <c r="C33" s="281">
        <v>0</v>
      </c>
      <c r="D33" s="281">
        <v>0</v>
      </c>
      <c r="E33" s="281" t="s">
        <v>61</v>
      </c>
      <c r="F33" s="281">
        <v>0</v>
      </c>
    </row>
    <row r="34" spans="2:6" ht="91.8" hidden="1" outlineLevel="1" x14ac:dyDescent="0.3">
      <c r="B34" s="280" t="s">
        <v>1728</v>
      </c>
      <c r="C34" s="281">
        <v>3</v>
      </c>
      <c r="D34" s="281" t="s">
        <v>1729</v>
      </c>
      <c r="E34" s="281" t="s">
        <v>1729</v>
      </c>
      <c r="F34" s="281">
        <v>0.47</v>
      </c>
    </row>
    <row r="35" spans="2:6" ht="30.6" hidden="1" outlineLevel="1" x14ac:dyDescent="0.3">
      <c r="B35" s="280" t="s">
        <v>1730</v>
      </c>
      <c r="C35" s="281">
        <v>1</v>
      </c>
      <c r="D35" s="283">
        <v>86848</v>
      </c>
      <c r="E35" s="283">
        <v>86848</v>
      </c>
      <c r="F35" s="281">
        <v>0.01</v>
      </c>
    </row>
    <row r="36" spans="2:6" ht="51" hidden="1" outlineLevel="1" x14ac:dyDescent="0.3">
      <c r="B36" s="280" t="s">
        <v>1731</v>
      </c>
      <c r="C36" s="281">
        <v>1</v>
      </c>
      <c r="D36" s="281" t="s">
        <v>1732</v>
      </c>
      <c r="E36" s="281" t="s">
        <v>1732</v>
      </c>
      <c r="F36" s="281">
        <v>0.01</v>
      </c>
    </row>
    <row r="37" spans="2:6" ht="71.400000000000006" hidden="1" outlineLevel="1" x14ac:dyDescent="0.3">
      <c r="B37" s="280" t="s">
        <v>1733</v>
      </c>
      <c r="C37" s="281" t="s">
        <v>1734</v>
      </c>
      <c r="D37" s="281" t="s">
        <v>1735</v>
      </c>
      <c r="E37" s="281" t="s">
        <v>1735</v>
      </c>
      <c r="F37" s="281">
        <v>5.77</v>
      </c>
    </row>
    <row r="38" spans="2:6" ht="81.599999999999994" hidden="1" outlineLevel="1" x14ac:dyDescent="0.3">
      <c r="B38" s="280" t="s">
        <v>1736</v>
      </c>
      <c r="C38" s="281">
        <v>270</v>
      </c>
      <c r="D38" s="281" t="s">
        <v>1737</v>
      </c>
      <c r="E38" s="281" t="s">
        <v>1737</v>
      </c>
      <c r="F38" s="281">
        <v>4.2300000000000004</v>
      </c>
    </row>
    <row r="39" spans="2:6" ht="40.799999999999997" hidden="1" outlineLevel="1" x14ac:dyDescent="0.3">
      <c r="B39" s="280" t="s">
        <v>1738</v>
      </c>
      <c r="C39" s="283">
        <v>9459</v>
      </c>
      <c r="D39" s="281" t="s">
        <v>1739</v>
      </c>
      <c r="E39" s="281" t="s">
        <v>1739</v>
      </c>
      <c r="F39" s="281">
        <v>0.6</v>
      </c>
    </row>
    <row r="40" spans="2:6" ht="20.399999999999999" hidden="1" outlineLevel="1" x14ac:dyDescent="0.3">
      <c r="B40" s="280" t="s">
        <v>1740</v>
      </c>
      <c r="C40" s="281">
        <v>8</v>
      </c>
      <c r="D40" s="281" t="s">
        <v>1741</v>
      </c>
      <c r="E40" s="281" t="s">
        <v>1741</v>
      </c>
      <c r="F40" s="281">
        <v>0.16</v>
      </c>
    </row>
    <row r="41" spans="2:6" ht="20.399999999999999" hidden="1" outlineLevel="1" x14ac:dyDescent="0.3">
      <c r="B41" s="280" t="s">
        <v>1742</v>
      </c>
      <c r="C41" s="281">
        <v>1</v>
      </c>
      <c r="D41" s="281" t="s">
        <v>1743</v>
      </c>
      <c r="E41" s="281" t="s">
        <v>1743</v>
      </c>
      <c r="F41" s="281">
        <v>5.67</v>
      </c>
    </row>
    <row r="42" spans="2:6" ht="20.399999999999999" hidden="1" outlineLevel="1" x14ac:dyDescent="0.3">
      <c r="B42" s="282" t="s">
        <v>1744</v>
      </c>
      <c r="C42" s="281">
        <v>1</v>
      </c>
      <c r="D42" s="281" t="s">
        <v>1743</v>
      </c>
      <c r="E42" s="281" t="s">
        <v>1743</v>
      </c>
      <c r="F42" s="281">
        <v>5.67</v>
      </c>
    </row>
    <row r="43" spans="2:6" ht="20.399999999999999" hidden="1" outlineLevel="1" x14ac:dyDescent="0.3">
      <c r="B43" s="280" t="s">
        <v>1745</v>
      </c>
      <c r="C43" s="283">
        <v>1642</v>
      </c>
      <c r="D43" s="281" t="s">
        <v>1746</v>
      </c>
      <c r="E43" s="281" t="s">
        <v>1746</v>
      </c>
      <c r="F43" s="281">
        <v>6.17</v>
      </c>
    </row>
    <row r="44" spans="2:6" ht="61.2" hidden="1" outlineLevel="1" x14ac:dyDescent="0.3">
      <c r="B44" s="282" t="s">
        <v>1747</v>
      </c>
      <c r="C44" s="281">
        <v>1</v>
      </c>
      <c r="D44" s="281" t="s">
        <v>1748</v>
      </c>
      <c r="E44" s="281" t="s">
        <v>1748</v>
      </c>
      <c r="F44" s="281">
        <v>3.42</v>
      </c>
    </row>
    <row r="45" spans="2:6" ht="20.399999999999999" hidden="1" outlineLevel="1" x14ac:dyDescent="0.3">
      <c r="B45" s="282" t="s">
        <v>1749</v>
      </c>
      <c r="C45" s="281">
        <v>1</v>
      </c>
      <c r="D45" s="281" t="s">
        <v>1750</v>
      </c>
      <c r="E45" s="281" t="s">
        <v>1750</v>
      </c>
      <c r="F45" s="281">
        <v>1.0900000000000001</v>
      </c>
    </row>
    <row r="46" spans="2:6" ht="20.399999999999999" hidden="1" outlineLevel="1" x14ac:dyDescent="0.3">
      <c r="B46" s="280" t="s">
        <v>1751</v>
      </c>
      <c r="C46" s="283">
        <v>6193</v>
      </c>
      <c r="D46" s="281" t="s">
        <v>1752</v>
      </c>
      <c r="E46" s="281" t="s">
        <v>1752</v>
      </c>
      <c r="F46" s="281">
        <v>0.31</v>
      </c>
    </row>
    <row r="47" spans="2:6" hidden="1" outlineLevel="1" x14ac:dyDescent="0.3">
      <c r="B47" s="282" t="s">
        <v>1753</v>
      </c>
      <c r="C47" s="283">
        <v>6166</v>
      </c>
      <c r="D47" s="281" t="s">
        <v>1754</v>
      </c>
      <c r="E47" s="281" t="s">
        <v>1754</v>
      </c>
      <c r="F47" s="281">
        <v>0.28000000000000003</v>
      </c>
    </row>
    <row r="48" spans="2:6" ht="20.399999999999999" hidden="1" outlineLevel="1" x14ac:dyDescent="0.3">
      <c r="B48" s="282" t="s">
        <v>1755</v>
      </c>
      <c r="C48" s="281">
        <v>8</v>
      </c>
      <c r="D48" s="283">
        <v>19591</v>
      </c>
      <c r="E48" s="283">
        <v>19591</v>
      </c>
      <c r="F48" s="281">
        <v>0</v>
      </c>
    </row>
    <row r="49" spans="2:6" ht="51" hidden="1" outlineLevel="1" x14ac:dyDescent="0.3">
      <c r="B49" s="282" t="s">
        <v>1756</v>
      </c>
      <c r="C49" s="281">
        <v>2</v>
      </c>
      <c r="D49" s="283">
        <v>3754</v>
      </c>
      <c r="E49" s="283">
        <v>3754</v>
      </c>
      <c r="F49" s="281">
        <v>0</v>
      </c>
    </row>
    <row r="50" spans="2:6" hidden="1" outlineLevel="1" x14ac:dyDescent="0.3">
      <c r="B50" s="282" t="s">
        <v>1757</v>
      </c>
      <c r="C50" s="281">
        <v>17</v>
      </c>
      <c r="D50" s="281" t="s">
        <v>1758</v>
      </c>
      <c r="E50" s="281" t="s">
        <v>1758</v>
      </c>
      <c r="F50" s="281">
        <v>0.03</v>
      </c>
    </row>
    <row r="51" spans="2:6" ht="30.6" hidden="1" outlineLevel="1" x14ac:dyDescent="0.3">
      <c r="B51" s="282" t="s">
        <v>1759</v>
      </c>
      <c r="C51" s="281">
        <v>0</v>
      </c>
      <c r="D51" s="281">
        <v>0</v>
      </c>
      <c r="E51" s="281" t="s">
        <v>61</v>
      </c>
      <c r="F51" s="281">
        <v>0</v>
      </c>
    </row>
    <row r="52" spans="2:6" ht="20.399999999999999" hidden="1" outlineLevel="1" x14ac:dyDescent="0.3">
      <c r="B52" s="280" t="s">
        <v>1760</v>
      </c>
      <c r="C52" s="281" t="s">
        <v>1761</v>
      </c>
      <c r="D52" s="281" t="s">
        <v>1762</v>
      </c>
      <c r="E52" s="281" t="s">
        <v>1762</v>
      </c>
      <c r="F52" s="281">
        <v>23.41</v>
      </c>
    </row>
    <row r="53" spans="2:6" ht="20.399999999999999" hidden="1" outlineLevel="1" x14ac:dyDescent="0.3">
      <c r="B53" s="280" t="s">
        <v>1763</v>
      </c>
      <c r="C53" s="281" t="s">
        <v>1764</v>
      </c>
      <c r="D53" s="281" t="s">
        <v>1765</v>
      </c>
      <c r="E53" s="281" t="s">
        <v>1765</v>
      </c>
      <c r="F53" s="281">
        <v>55</v>
      </c>
    </row>
    <row r="54" spans="2:6" collapsed="1" x14ac:dyDescent="0.3"/>
  </sheetData>
  <mergeCells count="7">
    <mergeCell ref="E10:E12"/>
    <mergeCell ref="F10:F12"/>
    <mergeCell ref="B9:D9"/>
    <mergeCell ref="B2:D2"/>
    <mergeCell ref="B10:B12"/>
    <mergeCell ref="C10:C12"/>
    <mergeCell ref="D10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0"/>
  <sheetViews>
    <sheetView showGridLines="0" zoomScale="41" zoomScaleNormal="41" workbookViewId="0">
      <selection activeCell="F63" sqref="F63"/>
    </sheetView>
  </sheetViews>
  <sheetFormatPr defaultColWidth="8.88671875" defaultRowHeight="14.4" x14ac:dyDescent="0.3"/>
  <cols>
    <col min="1" max="1" width="36.6640625" bestFit="1" customWidth="1"/>
    <col min="2" max="2" width="5" customWidth="1"/>
    <col min="3" max="7" width="9" bestFit="1" customWidth="1"/>
    <col min="8" max="9" width="8.88671875" customWidth="1"/>
    <col min="10" max="10" width="40.44140625" bestFit="1" customWidth="1"/>
    <col min="11" max="11" width="8.88671875" customWidth="1"/>
    <col min="12" max="16" width="9" bestFit="1" customWidth="1"/>
    <col min="17" max="17" width="8.88671875" customWidth="1"/>
    <col min="18" max="18" width="45.6640625" bestFit="1" customWidth="1"/>
    <col min="19" max="19" width="8.88671875" customWidth="1"/>
    <col min="20" max="24" width="9" bestFit="1" customWidth="1"/>
    <col min="25" max="25" width="8.88671875" customWidth="1"/>
  </cols>
  <sheetData>
    <row r="1" spans="1:24" ht="30.75" customHeight="1" x14ac:dyDescent="0.3">
      <c r="A1" s="300" t="s">
        <v>73</v>
      </c>
      <c r="B1" s="285"/>
      <c r="C1" s="285"/>
      <c r="D1" s="285"/>
      <c r="E1" s="285"/>
      <c r="F1" s="285"/>
      <c r="G1" s="285"/>
      <c r="J1" s="300" t="s">
        <v>74</v>
      </c>
      <c r="K1" s="285"/>
      <c r="L1" s="285"/>
      <c r="M1" s="285"/>
      <c r="N1" s="285"/>
      <c r="O1" s="285"/>
      <c r="P1" s="285"/>
      <c r="R1" s="300" t="s">
        <v>75</v>
      </c>
      <c r="S1" s="285"/>
      <c r="T1" s="285"/>
      <c r="U1" s="285"/>
      <c r="V1" s="285"/>
      <c r="W1" s="285"/>
      <c r="X1" s="285"/>
    </row>
    <row r="2" spans="1:24" ht="14.25" customHeight="1" x14ac:dyDescent="0.3">
      <c r="A2" s="301"/>
      <c r="B2" s="304"/>
      <c r="C2" s="304"/>
      <c r="D2" s="304"/>
      <c r="E2" s="302"/>
      <c r="F2" s="302"/>
      <c r="G2" s="302"/>
      <c r="J2" s="301"/>
      <c r="K2" s="302"/>
      <c r="L2" s="302"/>
      <c r="M2" s="302"/>
      <c r="N2" s="302"/>
      <c r="O2" s="302"/>
      <c r="P2" s="302"/>
      <c r="R2" s="301"/>
      <c r="S2" s="302"/>
      <c r="T2" s="302"/>
      <c r="U2" s="302"/>
      <c r="V2" s="302"/>
      <c r="W2" s="302"/>
      <c r="X2" s="302"/>
    </row>
    <row r="3" spans="1:24" ht="15" customHeight="1" x14ac:dyDescent="0.3">
      <c r="A3" s="14"/>
      <c r="B3" s="14"/>
      <c r="C3" s="14" t="s">
        <v>76</v>
      </c>
      <c r="D3" s="14" t="s">
        <v>77</v>
      </c>
      <c r="E3" s="14" t="s">
        <v>78</v>
      </c>
      <c r="F3" s="14" t="s">
        <v>79</v>
      </c>
      <c r="G3" s="14" t="s">
        <v>80</v>
      </c>
      <c r="J3" s="303"/>
      <c r="K3" s="285"/>
      <c r="L3" s="285"/>
      <c r="M3" s="285"/>
      <c r="N3" s="285"/>
      <c r="O3" s="285"/>
      <c r="P3" s="285"/>
      <c r="R3" s="303"/>
      <c r="S3" s="285"/>
      <c r="T3" s="285"/>
      <c r="U3" s="285"/>
      <c r="V3" s="285"/>
      <c r="W3" s="285"/>
      <c r="X3" s="285"/>
    </row>
    <row r="4" spans="1:24" ht="15" customHeight="1" x14ac:dyDescent="0.3">
      <c r="A4" s="15"/>
      <c r="B4" s="15"/>
      <c r="C4" s="15" t="s">
        <v>81</v>
      </c>
      <c r="D4" s="15" t="s">
        <v>81</v>
      </c>
      <c r="E4" s="15" t="s">
        <v>81</v>
      </c>
      <c r="F4" s="15" t="s">
        <v>81</v>
      </c>
      <c r="G4" s="15" t="s">
        <v>81</v>
      </c>
      <c r="L4" s="14" t="s">
        <v>76</v>
      </c>
      <c r="M4" s="14" t="s">
        <v>77</v>
      </c>
      <c r="N4" s="14" t="s">
        <v>78</v>
      </c>
      <c r="O4" s="14" t="s">
        <v>79</v>
      </c>
      <c r="P4" s="14" t="s">
        <v>80</v>
      </c>
      <c r="T4" s="14" t="s">
        <v>76</v>
      </c>
      <c r="U4" s="14" t="s">
        <v>77</v>
      </c>
      <c r="V4" s="14" t="s">
        <v>78</v>
      </c>
      <c r="W4" s="14" t="s">
        <v>79</v>
      </c>
      <c r="X4" s="14" t="s">
        <v>80</v>
      </c>
    </row>
    <row r="5" spans="1:24" ht="14.25" customHeight="1" x14ac:dyDescent="0.3">
      <c r="A5" s="16"/>
      <c r="B5" s="16"/>
      <c r="C5" s="16"/>
      <c r="D5" s="16"/>
      <c r="E5" s="16"/>
      <c r="F5" s="16"/>
      <c r="G5" s="16"/>
      <c r="J5" s="15"/>
      <c r="K5" s="15"/>
      <c r="L5" s="15" t="s">
        <v>81</v>
      </c>
      <c r="M5" s="15" t="s">
        <v>81</v>
      </c>
      <c r="N5" s="15" t="s">
        <v>81</v>
      </c>
      <c r="O5" s="15" t="s">
        <v>81</v>
      </c>
      <c r="P5" s="15" t="s">
        <v>81</v>
      </c>
      <c r="R5" s="15"/>
      <c r="S5" s="15"/>
      <c r="T5" s="15" t="s">
        <v>81</v>
      </c>
      <c r="U5" s="15" t="s">
        <v>81</v>
      </c>
      <c r="V5" s="15" t="s">
        <v>81</v>
      </c>
      <c r="W5" s="15" t="s">
        <v>81</v>
      </c>
      <c r="X5" s="15" t="s">
        <v>81</v>
      </c>
    </row>
    <row r="6" spans="1:24" ht="14.25" customHeight="1" x14ac:dyDescent="0.3">
      <c r="A6" s="17" t="s">
        <v>82</v>
      </c>
      <c r="B6" s="16"/>
      <c r="C6" s="16"/>
      <c r="D6" s="16"/>
      <c r="E6" s="16"/>
      <c r="F6" s="16"/>
      <c r="G6" s="16"/>
      <c r="J6" s="17" t="s">
        <v>83</v>
      </c>
      <c r="K6" s="16"/>
      <c r="L6" s="16"/>
      <c r="M6" s="16"/>
      <c r="N6" s="16"/>
      <c r="O6" s="16"/>
      <c r="P6" s="16"/>
      <c r="R6" s="16"/>
      <c r="S6" s="16"/>
      <c r="T6" s="16"/>
      <c r="U6" s="16"/>
      <c r="V6" s="16"/>
      <c r="W6" s="16"/>
      <c r="X6" s="16"/>
    </row>
    <row r="7" spans="1:24" ht="14.25" customHeight="1" x14ac:dyDescent="0.3">
      <c r="A7" s="16" t="s">
        <v>84</v>
      </c>
      <c r="B7" s="16"/>
      <c r="C7" s="18">
        <v>736.03</v>
      </c>
      <c r="D7" s="18">
        <v>839.67</v>
      </c>
      <c r="E7" s="18">
        <v>1155.01</v>
      </c>
      <c r="F7" s="18">
        <v>1562.12</v>
      </c>
      <c r="G7" s="18">
        <v>1646.99</v>
      </c>
      <c r="J7" s="16" t="s">
        <v>85</v>
      </c>
      <c r="K7" s="16"/>
      <c r="L7" s="18">
        <v>916.41</v>
      </c>
      <c r="M7" s="18">
        <v>1067.94</v>
      </c>
      <c r="N7" s="18">
        <v>1012.26</v>
      </c>
      <c r="O7" s="18">
        <v>1197.78</v>
      </c>
      <c r="P7" s="18">
        <v>1341.41</v>
      </c>
      <c r="R7" s="17" t="s">
        <v>86</v>
      </c>
      <c r="S7" s="16"/>
      <c r="T7" s="16"/>
      <c r="U7" s="16"/>
      <c r="V7" s="16"/>
      <c r="W7" s="16"/>
      <c r="X7" s="16"/>
    </row>
    <row r="8" spans="1:24" ht="14.25" customHeight="1" x14ac:dyDescent="0.3">
      <c r="A8" s="16"/>
      <c r="B8" s="16"/>
      <c r="C8" s="16"/>
      <c r="D8" s="16"/>
      <c r="E8" s="16"/>
      <c r="F8" s="16"/>
      <c r="G8" s="16"/>
      <c r="J8" s="16" t="s">
        <v>87</v>
      </c>
      <c r="K8" s="16"/>
      <c r="L8" s="18">
        <v>0</v>
      </c>
      <c r="M8" s="18">
        <v>0</v>
      </c>
      <c r="N8" s="18">
        <v>2666.21</v>
      </c>
      <c r="O8" s="18">
        <v>2665.91</v>
      </c>
      <c r="P8" s="18">
        <v>2705.76</v>
      </c>
      <c r="R8" s="16" t="s">
        <v>88</v>
      </c>
      <c r="S8" s="16"/>
      <c r="T8" s="18">
        <v>84.62</v>
      </c>
      <c r="U8" s="18">
        <v>77.16</v>
      </c>
      <c r="V8" s="18">
        <v>64.3</v>
      </c>
      <c r="W8" s="18">
        <v>129.78</v>
      </c>
      <c r="X8" s="18">
        <v>142.94</v>
      </c>
    </row>
    <row r="9" spans="1:24" ht="14.25" customHeight="1" x14ac:dyDescent="0.3">
      <c r="A9" s="17" t="s">
        <v>89</v>
      </c>
      <c r="B9" s="16"/>
      <c r="C9" s="16"/>
      <c r="D9" s="16"/>
      <c r="E9" s="16"/>
      <c r="F9" s="16"/>
      <c r="G9" s="16"/>
      <c r="J9" s="16" t="s">
        <v>90</v>
      </c>
      <c r="K9" s="16"/>
      <c r="L9" s="18">
        <v>17.95</v>
      </c>
      <c r="M9" s="18">
        <v>0.8</v>
      </c>
      <c r="N9" s="18">
        <v>13.78</v>
      </c>
      <c r="O9" s="18">
        <v>0</v>
      </c>
      <c r="P9" s="18">
        <v>0</v>
      </c>
      <c r="R9" s="16" t="s">
        <v>91</v>
      </c>
      <c r="S9" s="16"/>
      <c r="T9" s="16"/>
      <c r="U9" s="16"/>
      <c r="V9" s="16"/>
      <c r="W9" s="16"/>
      <c r="X9" s="16"/>
    </row>
    <row r="10" spans="1:24" ht="14.25" customHeight="1" x14ac:dyDescent="0.3">
      <c r="A10" s="16" t="s">
        <v>92</v>
      </c>
      <c r="B10" s="16"/>
      <c r="C10" s="18">
        <v>220.85</v>
      </c>
      <c r="D10" s="18">
        <v>271.83999999999997</v>
      </c>
      <c r="E10" s="18">
        <v>366.31</v>
      </c>
      <c r="F10" s="18">
        <v>489.79</v>
      </c>
      <c r="G10" s="18">
        <v>519.75</v>
      </c>
      <c r="J10" s="16" t="s">
        <v>93</v>
      </c>
      <c r="K10" s="16"/>
      <c r="L10" s="18">
        <v>83.02</v>
      </c>
      <c r="M10" s="18">
        <v>57.15</v>
      </c>
      <c r="N10" s="18">
        <v>494.85</v>
      </c>
      <c r="O10" s="18">
        <v>751.5</v>
      </c>
      <c r="P10" s="18">
        <v>661.63</v>
      </c>
      <c r="R10" s="16" t="s">
        <v>94</v>
      </c>
      <c r="S10" s="16"/>
      <c r="T10" s="18">
        <v>71.510000000000005</v>
      </c>
      <c r="U10" s="18">
        <v>81.42</v>
      </c>
      <c r="V10" s="18">
        <v>111.31</v>
      </c>
      <c r="W10" s="18">
        <v>156.88</v>
      </c>
      <c r="X10" s="18">
        <v>168.7</v>
      </c>
    </row>
    <row r="11" spans="1:24" ht="14.25" customHeight="1" x14ac:dyDescent="0.3">
      <c r="A11" s="16" t="s">
        <v>95</v>
      </c>
      <c r="B11" s="16"/>
      <c r="C11" s="18">
        <v>156.57</v>
      </c>
      <c r="D11" s="18">
        <v>170.98</v>
      </c>
      <c r="E11" s="18">
        <v>200.41</v>
      </c>
      <c r="F11" s="18">
        <v>213.7</v>
      </c>
      <c r="G11" s="18">
        <v>294.42</v>
      </c>
      <c r="J11" s="16" t="s">
        <v>96</v>
      </c>
      <c r="K11" s="16"/>
      <c r="L11" s="18">
        <v>30.77</v>
      </c>
      <c r="M11" s="18">
        <v>29.33</v>
      </c>
      <c r="N11" s="18">
        <v>0</v>
      </c>
      <c r="O11" s="18">
        <v>0</v>
      </c>
      <c r="P11" s="18">
        <v>0</v>
      </c>
      <c r="R11" s="16" t="s">
        <v>97</v>
      </c>
      <c r="S11" s="16"/>
      <c r="T11" s="18">
        <v>2.88</v>
      </c>
      <c r="U11" s="18">
        <v>2.62</v>
      </c>
      <c r="V11" s="18">
        <v>0</v>
      </c>
      <c r="W11" s="18">
        <v>0</v>
      </c>
      <c r="X11" s="18">
        <v>0</v>
      </c>
    </row>
    <row r="12" spans="1:24" ht="14.25" customHeight="1" x14ac:dyDescent="0.3">
      <c r="A12" s="16" t="s">
        <v>98</v>
      </c>
      <c r="B12" s="16"/>
      <c r="C12" s="18">
        <v>5.77</v>
      </c>
      <c r="D12" s="18">
        <v>6.76</v>
      </c>
      <c r="E12" s="18">
        <v>41.9</v>
      </c>
      <c r="F12" s="18">
        <v>97.44</v>
      </c>
      <c r="G12" s="18">
        <v>89.74</v>
      </c>
      <c r="J12" s="16" t="s">
        <v>99</v>
      </c>
      <c r="K12" s="16"/>
      <c r="L12" s="18">
        <v>26.48</v>
      </c>
      <c r="M12" s="18">
        <v>31.35</v>
      </c>
      <c r="N12" s="18">
        <v>0</v>
      </c>
      <c r="O12" s="18">
        <v>0</v>
      </c>
      <c r="P12" s="18">
        <v>0</v>
      </c>
      <c r="R12" s="16" t="s">
        <v>100</v>
      </c>
      <c r="S12" s="16"/>
      <c r="T12" s="18">
        <v>32</v>
      </c>
      <c r="U12" s="18">
        <v>0</v>
      </c>
      <c r="V12" s="18">
        <v>0</v>
      </c>
      <c r="W12" s="18">
        <v>0</v>
      </c>
      <c r="X12" s="18">
        <v>0</v>
      </c>
    </row>
    <row r="13" spans="1:24" ht="14.25" customHeight="1" x14ac:dyDescent="0.3">
      <c r="A13" s="16" t="s">
        <v>94</v>
      </c>
      <c r="B13" s="16"/>
      <c r="C13" s="18">
        <v>71.510000000000005</v>
      </c>
      <c r="D13" s="18">
        <v>81.42</v>
      </c>
      <c r="E13" s="18">
        <v>111.31</v>
      </c>
      <c r="F13" s="18">
        <v>156.88</v>
      </c>
      <c r="G13" s="18">
        <v>168.7</v>
      </c>
      <c r="J13" s="16" t="s">
        <v>101</v>
      </c>
      <c r="K13" s="16"/>
      <c r="L13" s="18">
        <v>17.559999999999999</v>
      </c>
      <c r="M13" s="18">
        <v>16.309999999999999</v>
      </c>
      <c r="N13" s="18">
        <v>88.61</v>
      </c>
      <c r="O13" s="18">
        <v>114.31</v>
      </c>
      <c r="P13" s="18">
        <v>122.31</v>
      </c>
      <c r="R13" s="16" t="s">
        <v>102</v>
      </c>
      <c r="S13" s="16"/>
      <c r="T13" s="18">
        <v>-16</v>
      </c>
      <c r="U13" s="18">
        <v>0</v>
      </c>
      <c r="V13" s="18">
        <v>0</v>
      </c>
      <c r="W13" s="18">
        <v>0</v>
      </c>
      <c r="X13" s="18">
        <v>0</v>
      </c>
    </row>
    <row r="14" spans="1:24" ht="14.25" customHeight="1" x14ac:dyDescent="0.3">
      <c r="A14" s="16" t="s">
        <v>103</v>
      </c>
      <c r="B14" s="16"/>
      <c r="C14" s="18">
        <v>55.31</v>
      </c>
      <c r="D14" s="18">
        <v>59.5</v>
      </c>
      <c r="E14" s="18">
        <v>111.94</v>
      </c>
      <c r="F14" s="18">
        <v>115.4</v>
      </c>
      <c r="G14" s="18">
        <v>85.85</v>
      </c>
      <c r="J14" s="16" t="s">
        <v>104</v>
      </c>
      <c r="K14" s="16"/>
      <c r="L14" s="18">
        <v>0</v>
      </c>
      <c r="M14" s="18">
        <v>0</v>
      </c>
      <c r="N14" s="18">
        <v>65.53</v>
      </c>
      <c r="O14" s="18">
        <v>73.02</v>
      </c>
      <c r="P14" s="18">
        <v>62.83</v>
      </c>
      <c r="R14" s="16" t="s">
        <v>105</v>
      </c>
      <c r="S14" s="16"/>
      <c r="T14" s="18">
        <v>5.77</v>
      </c>
      <c r="U14" s="18">
        <v>6.76</v>
      </c>
      <c r="V14" s="18">
        <v>41.9</v>
      </c>
      <c r="W14" s="18">
        <v>97.44</v>
      </c>
      <c r="X14" s="18">
        <v>89.74</v>
      </c>
    </row>
    <row r="15" spans="1:24" ht="14.25" customHeight="1" x14ac:dyDescent="0.3">
      <c r="A15" s="16" t="s">
        <v>106</v>
      </c>
      <c r="B15" s="16"/>
      <c r="C15" s="18">
        <v>112.59</v>
      </c>
      <c r="D15" s="18">
        <v>119.06</v>
      </c>
      <c r="E15" s="18">
        <v>187.59</v>
      </c>
      <c r="F15" s="18">
        <v>326.81</v>
      </c>
      <c r="G15" s="18">
        <v>310.52</v>
      </c>
      <c r="J15" s="16" t="s">
        <v>107</v>
      </c>
      <c r="K15" s="16"/>
      <c r="L15" s="18">
        <v>1092.19</v>
      </c>
      <c r="M15" s="18">
        <v>1202.8800000000001</v>
      </c>
      <c r="N15" s="18">
        <v>5341.24</v>
      </c>
      <c r="O15" s="18">
        <v>4802.5200000000004</v>
      </c>
      <c r="P15" s="18">
        <v>4893.9399999999996</v>
      </c>
      <c r="R15" s="16" t="s">
        <v>108</v>
      </c>
      <c r="S15" s="16"/>
      <c r="T15" s="18">
        <v>-19</v>
      </c>
      <c r="U15" s="18">
        <v>0</v>
      </c>
      <c r="V15" s="18">
        <v>0</v>
      </c>
      <c r="W15" s="18">
        <v>0</v>
      </c>
      <c r="X15" s="18">
        <v>0</v>
      </c>
    </row>
    <row r="16" spans="1:24" ht="14.25" customHeight="1" x14ac:dyDescent="0.3">
      <c r="A16" s="16" t="s">
        <v>109</v>
      </c>
      <c r="B16" s="16"/>
      <c r="C16" s="18">
        <v>622.6</v>
      </c>
      <c r="D16" s="18">
        <v>709.56</v>
      </c>
      <c r="E16" s="18">
        <v>1019.46</v>
      </c>
      <c r="F16" s="18">
        <v>1400.02</v>
      </c>
      <c r="G16" s="18">
        <v>1468.98</v>
      </c>
      <c r="J16" s="16"/>
      <c r="K16" s="16"/>
      <c r="L16" s="16"/>
      <c r="M16" s="16"/>
      <c r="N16" s="16"/>
      <c r="O16" s="16"/>
      <c r="P16" s="16"/>
      <c r="R16" s="16" t="s">
        <v>110</v>
      </c>
      <c r="S16" s="16"/>
      <c r="T16" s="18">
        <v>0</v>
      </c>
      <c r="U16" s="18">
        <v>0</v>
      </c>
      <c r="V16" s="18">
        <v>0</v>
      </c>
      <c r="W16" s="18">
        <v>0</v>
      </c>
      <c r="X16" s="18">
        <v>0</v>
      </c>
    </row>
    <row r="17" spans="1:24" ht="14.25" customHeight="1" x14ac:dyDescent="0.3">
      <c r="A17" s="16"/>
      <c r="B17" s="16"/>
      <c r="C17" s="16"/>
      <c r="D17" s="16"/>
      <c r="E17" s="16"/>
      <c r="F17" s="16"/>
      <c r="G17" s="16"/>
      <c r="J17" s="17" t="s">
        <v>111</v>
      </c>
      <c r="K17" s="16"/>
      <c r="L17" s="16"/>
      <c r="M17" s="16"/>
      <c r="N17" s="16"/>
      <c r="O17" s="16"/>
      <c r="P17" s="16"/>
      <c r="R17" s="16" t="s">
        <v>112</v>
      </c>
      <c r="S17" s="16"/>
      <c r="T17" s="18">
        <v>-75.400000000000006</v>
      </c>
      <c r="U17" s="18">
        <v>0</v>
      </c>
      <c r="V17" s="18">
        <v>0</v>
      </c>
      <c r="W17" s="18">
        <v>0</v>
      </c>
      <c r="X17" s="18">
        <v>0</v>
      </c>
    </row>
    <row r="18" spans="1:24" ht="14.25" customHeight="1" x14ac:dyDescent="0.3">
      <c r="A18" s="16" t="s">
        <v>113</v>
      </c>
      <c r="B18" s="16"/>
      <c r="C18" s="18">
        <v>-6.95</v>
      </c>
      <c r="D18" s="18">
        <v>-20.69</v>
      </c>
      <c r="E18" s="18">
        <v>-16.7</v>
      </c>
      <c r="F18" s="18">
        <v>-8.42</v>
      </c>
      <c r="G18" s="18">
        <v>0</v>
      </c>
      <c r="J18" s="16" t="s">
        <v>114</v>
      </c>
      <c r="K18" s="16"/>
      <c r="L18" s="18">
        <v>186.66</v>
      </c>
      <c r="M18" s="18">
        <v>229.82</v>
      </c>
      <c r="N18" s="18">
        <v>424.37</v>
      </c>
      <c r="O18" s="18">
        <v>494.39</v>
      </c>
      <c r="P18" s="18">
        <v>493.11</v>
      </c>
      <c r="R18" s="16" t="s">
        <v>115</v>
      </c>
      <c r="S18" s="16"/>
      <c r="T18" s="18">
        <v>0</v>
      </c>
      <c r="U18" s="18">
        <v>0</v>
      </c>
      <c r="V18" s="18">
        <v>0</v>
      </c>
      <c r="W18" s="18">
        <v>0</v>
      </c>
      <c r="X18" s="18">
        <v>0</v>
      </c>
    </row>
    <row r="19" spans="1:24" ht="14.25" customHeight="1" x14ac:dyDescent="0.3">
      <c r="A19" s="16"/>
      <c r="B19" s="16"/>
      <c r="C19" s="16"/>
      <c r="D19" s="16"/>
      <c r="E19" s="16"/>
      <c r="F19" s="16"/>
      <c r="G19" s="16"/>
      <c r="J19" s="16" t="s">
        <v>116</v>
      </c>
      <c r="K19" s="16"/>
      <c r="L19" s="18">
        <v>531.78</v>
      </c>
      <c r="M19" s="18">
        <v>564.63</v>
      </c>
      <c r="N19" s="18">
        <v>494.85</v>
      </c>
      <c r="O19" s="18">
        <v>751.5</v>
      </c>
      <c r="P19" s="18">
        <v>661.63</v>
      </c>
      <c r="R19" s="16" t="s">
        <v>117</v>
      </c>
      <c r="S19" s="16"/>
      <c r="T19" s="18">
        <v>-1</v>
      </c>
      <c r="U19" s="18">
        <v>0</v>
      </c>
      <c r="V19" s="18">
        <v>0</v>
      </c>
      <c r="W19" s="18">
        <v>0</v>
      </c>
      <c r="X19" s="18">
        <v>0</v>
      </c>
    </row>
    <row r="20" spans="1:24" ht="14.25" customHeight="1" x14ac:dyDescent="0.3">
      <c r="A20" s="17" t="s">
        <v>118</v>
      </c>
      <c r="B20" s="16"/>
      <c r="C20" s="18">
        <v>106.48</v>
      </c>
      <c r="D20" s="18">
        <v>109.42</v>
      </c>
      <c r="E20" s="18">
        <v>118.85</v>
      </c>
      <c r="F20" s="18">
        <v>153.68</v>
      </c>
      <c r="G20" s="18">
        <v>179.01</v>
      </c>
      <c r="J20" s="16" t="s">
        <v>119</v>
      </c>
      <c r="K20" s="16"/>
      <c r="L20" s="18">
        <v>0</v>
      </c>
      <c r="M20" s="18">
        <v>0</v>
      </c>
      <c r="N20" s="18">
        <v>438.67</v>
      </c>
      <c r="O20" s="18">
        <v>310.16000000000003</v>
      </c>
      <c r="P20" s="18">
        <v>492.55</v>
      </c>
      <c r="R20" s="16" t="s">
        <v>120</v>
      </c>
      <c r="S20" s="16"/>
      <c r="T20" s="18">
        <v>21.2</v>
      </c>
      <c r="U20" s="18">
        <v>24.07</v>
      </c>
      <c r="V20" s="18">
        <v>17.63</v>
      </c>
      <c r="W20" s="18">
        <v>23.08</v>
      </c>
      <c r="X20" s="18">
        <v>41.56</v>
      </c>
    </row>
    <row r="21" spans="1:24" ht="14.25" customHeight="1" x14ac:dyDescent="0.3">
      <c r="A21" s="16" t="s">
        <v>121</v>
      </c>
      <c r="B21" s="16"/>
      <c r="C21" s="18">
        <v>1.26</v>
      </c>
      <c r="D21" s="18">
        <v>-11.11</v>
      </c>
      <c r="E21" s="18">
        <v>-29.14</v>
      </c>
      <c r="F21" s="18">
        <v>-1.1599999999999999</v>
      </c>
      <c r="G21" s="18">
        <v>9.65</v>
      </c>
      <c r="J21" s="16" t="s">
        <v>122</v>
      </c>
      <c r="K21" s="16"/>
      <c r="L21" s="18">
        <v>36.380000000000003</v>
      </c>
      <c r="M21" s="18">
        <v>42.07</v>
      </c>
      <c r="N21" s="18">
        <v>0</v>
      </c>
      <c r="O21" s="18">
        <v>0</v>
      </c>
      <c r="P21" s="18">
        <v>0</v>
      </c>
      <c r="R21" s="16" t="s">
        <v>123</v>
      </c>
      <c r="S21" s="16"/>
      <c r="T21" s="18">
        <v>127.53</v>
      </c>
      <c r="U21" s="18">
        <v>191.63</v>
      </c>
      <c r="V21" s="18">
        <v>235.14</v>
      </c>
      <c r="W21" s="18">
        <v>407.18</v>
      </c>
      <c r="X21" s="18">
        <v>443.14</v>
      </c>
    </row>
    <row r="22" spans="1:24" ht="14.25" customHeight="1" x14ac:dyDescent="0.3">
      <c r="A22" s="17" t="s">
        <v>124</v>
      </c>
      <c r="B22" s="16"/>
      <c r="C22" s="18">
        <v>107.74</v>
      </c>
      <c r="D22" s="18">
        <v>98.31</v>
      </c>
      <c r="E22" s="18">
        <v>89.71</v>
      </c>
      <c r="F22" s="18">
        <v>152.52000000000001</v>
      </c>
      <c r="G22" s="18">
        <v>188.66</v>
      </c>
      <c r="J22" s="16" t="s">
        <v>125</v>
      </c>
      <c r="K22" s="16"/>
      <c r="L22" s="18">
        <v>5.22</v>
      </c>
      <c r="M22" s="18">
        <v>0</v>
      </c>
      <c r="N22" s="18">
        <v>0</v>
      </c>
      <c r="O22" s="18">
        <v>0</v>
      </c>
      <c r="P22" s="18">
        <v>0</v>
      </c>
      <c r="R22" s="16"/>
      <c r="S22" s="16"/>
      <c r="T22" s="16"/>
      <c r="U22" s="16"/>
      <c r="V22" s="16"/>
      <c r="W22" s="16"/>
      <c r="X22" s="16"/>
    </row>
    <row r="23" spans="1:24" ht="14.25" customHeight="1" x14ac:dyDescent="0.3">
      <c r="A23" s="16"/>
      <c r="B23" s="16"/>
      <c r="C23" s="16"/>
      <c r="D23" s="16"/>
      <c r="E23" s="16"/>
      <c r="F23" s="16"/>
      <c r="G23" s="16"/>
      <c r="J23" s="16" t="s">
        <v>126</v>
      </c>
      <c r="K23" s="16"/>
      <c r="L23" s="18">
        <v>760.04</v>
      </c>
      <c r="M23" s="18">
        <v>836.52</v>
      </c>
      <c r="N23" s="18">
        <v>1358.89</v>
      </c>
      <c r="O23" s="18">
        <v>1556.05</v>
      </c>
      <c r="P23" s="18">
        <v>1647.29</v>
      </c>
      <c r="R23" s="16" t="s">
        <v>127</v>
      </c>
      <c r="S23" s="16"/>
      <c r="T23" s="16"/>
      <c r="U23" s="16"/>
      <c r="V23" s="16"/>
      <c r="W23" s="16"/>
      <c r="X23" s="16"/>
    </row>
    <row r="24" spans="1:24" ht="14.25" customHeight="1" x14ac:dyDescent="0.3">
      <c r="A24" s="17" t="s">
        <v>128</v>
      </c>
      <c r="B24" s="16"/>
      <c r="C24" s="16"/>
      <c r="D24" s="16"/>
      <c r="E24" s="16"/>
      <c r="F24" s="16"/>
      <c r="G24" s="16"/>
      <c r="J24" s="16"/>
      <c r="K24" s="16"/>
      <c r="L24" s="16"/>
      <c r="M24" s="16"/>
      <c r="N24" s="16"/>
      <c r="O24" s="16"/>
      <c r="P24" s="16"/>
      <c r="R24" s="16" t="s">
        <v>129</v>
      </c>
      <c r="S24" s="16"/>
      <c r="T24" s="18">
        <v>10.38</v>
      </c>
      <c r="U24" s="18">
        <v>-40.159999999999997</v>
      </c>
      <c r="V24" s="18">
        <v>-19.46</v>
      </c>
      <c r="W24" s="18">
        <v>-70</v>
      </c>
      <c r="X24" s="18">
        <v>1.28</v>
      </c>
    </row>
    <row r="25" spans="1:24" ht="14.25" customHeight="1" x14ac:dyDescent="0.3">
      <c r="A25" s="16" t="s">
        <v>130</v>
      </c>
      <c r="B25" s="16"/>
      <c r="C25" s="18">
        <v>21.2</v>
      </c>
      <c r="D25" s="18">
        <v>24.07</v>
      </c>
      <c r="E25" s="18">
        <v>17.63</v>
      </c>
      <c r="F25" s="18">
        <v>23.08</v>
      </c>
      <c r="G25" s="18">
        <v>41.56</v>
      </c>
      <c r="J25" s="17" t="s">
        <v>131</v>
      </c>
      <c r="K25" s="16"/>
      <c r="L25" s="18">
        <v>1852.23</v>
      </c>
      <c r="M25" s="18">
        <v>2039.4</v>
      </c>
      <c r="N25" s="18">
        <v>5204.28</v>
      </c>
      <c r="O25" s="18">
        <v>5607.07</v>
      </c>
      <c r="P25" s="18">
        <v>5879.6</v>
      </c>
      <c r="R25" s="16" t="s">
        <v>132</v>
      </c>
      <c r="S25" s="16"/>
      <c r="T25" s="18">
        <v>-2.56</v>
      </c>
      <c r="U25" s="18">
        <v>-57</v>
      </c>
      <c r="V25" s="18">
        <v>0</v>
      </c>
      <c r="W25" s="18">
        <v>0</v>
      </c>
      <c r="X25" s="18">
        <v>0</v>
      </c>
    </row>
    <row r="26" spans="1:24" ht="14.25" customHeight="1" x14ac:dyDescent="0.3">
      <c r="A26" s="16" t="s">
        <v>133</v>
      </c>
      <c r="B26" s="16"/>
      <c r="C26" s="18">
        <v>0.95</v>
      </c>
      <c r="D26" s="18">
        <v>-2.92</v>
      </c>
      <c r="E26" s="18">
        <v>-2.93</v>
      </c>
      <c r="F26" s="18">
        <v>-0.34</v>
      </c>
      <c r="G26" s="18">
        <v>2.17</v>
      </c>
      <c r="J26" s="16"/>
      <c r="K26" s="16"/>
      <c r="L26" s="16"/>
      <c r="M26" s="16"/>
      <c r="N26" s="16"/>
      <c r="O26" s="16"/>
      <c r="P26" s="16"/>
      <c r="R26" s="16" t="s">
        <v>134</v>
      </c>
      <c r="S26" s="16"/>
      <c r="T26" s="18">
        <v>17.07</v>
      </c>
      <c r="U26" s="18">
        <v>-18.2</v>
      </c>
      <c r="V26" s="18">
        <v>0</v>
      </c>
      <c r="W26" s="18">
        <v>0</v>
      </c>
      <c r="X26" s="18">
        <v>0</v>
      </c>
    </row>
    <row r="27" spans="1:24" ht="14.25" customHeight="1" x14ac:dyDescent="0.3">
      <c r="A27" s="16" t="s">
        <v>135</v>
      </c>
      <c r="B27" s="16"/>
      <c r="C27" s="18">
        <v>0</v>
      </c>
      <c r="D27" s="18">
        <v>0</v>
      </c>
      <c r="E27" s="18">
        <v>10.71</v>
      </c>
      <c r="F27" s="18">
        <v>0</v>
      </c>
      <c r="G27" s="18">
        <v>1.99</v>
      </c>
      <c r="J27" s="16"/>
      <c r="K27" s="16"/>
      <c r="L27" s="16"/>
      <c r="M27" s="16"/>
      <c r="N27" s="16"/>
      <c r="O27" s="16"/>
      <c r="P27" s="16"/>
      <c r="R27" s="16" t="s">
        <v>136</v>
      </c>
      <c r="S27" s="16"/>
      <c r="T27" s="18">
        <v>-9.2899999999999991</v>
      </c>
      <c r="U27" s="18">
        <v>25.58</v>
      </c>
      <c r="V27" s="18">
        <v>0</v>
      </c>
      <c r="W27" s="18">
        <v>0</v>
      </c>
      <c r="X27" s="18">
        <v>0</v>
      </c>
    </row>
    <row r="28" spans="1:24" ht="14.25" customHeight="1" x14ac:dyDescent="0.3">
      <c r="A28" s="17" t="s">
        <v>137</v>
      </c>
      <c r="B28" s="16"/>
      <c r="C28" s="18">
        <v>84.62</v>
      </c>
      <c r="D28" s="18">
        <v>77.16</v>
      </c>
      <c r="E28" s="18">
        <v>64.3</v>
      </c>
      <c r="F28" s="18">
        <v>129.78</v>
      </c>
      <c r="G28" s="18">
        <v>142.94</v>
      </c>
      <c r="J28" s="17" t="s">
        <v>138</v>
      </c>
      <c r="K28" s="16"/>
      <c r="L28" s="16"/>
      <c r="M28" s="16"/>
      <c r="N28" s="16"/>
      <c r="O28" s="16"/>
      <c r="P28" s="16"/>
      <c r="R28" s="16"/>
      <c r="S28" s="16"/>
      <c r="T28" s="16"/>
      <c r="U28" s="16"/>
      <c r="V28" s="16"/>
      <c r="W28" s="16"/>
      <c r="X28" s="16"/>
    </row>
    <row r="29" spans="1:24" ht="14.25" customHeight="1" x14ac:dyDescent="0.3">
      <c r="A29" s="16"/>
      <c r="B29" s="16"/>
      <c r="C29" s="16"/>
      <c r="D29" s="16"/>
      <c r="E29" s="16"/>
      <c r="F29" s="16"/>
      <c r="G29" s="16"/>
      <c r="J29" s="16"/>
      <c r="K29" s="16"/>
      <c r="L29" s="16"/>
      <c r="M29" s="16"/>
      <c r="N29" s="16"/>
      <c r="O29" s="16"/>
      <c r="P29" s="16"/>
      <c r="R29" s="17" t="s">
        <v>139</v>
      </c>
      <c r="S29" s="16"/>
      <c r="T29" s="18">
        <v>142.53</v>
      </c>
      <c r="U29" s="18">
        <v>101.85</v>
      </c>
      <c r="V29" s="18">
        <v>215.68</v>
      </c>
      <c r="W29" s="18">
        <v>337.18</v>
      </c>
      <c r="X29" s="18">
        <v>444.42</v>
      </c>
    </row>
    <row r="30" spans="1:24" ht="14.25" customHeight="1" x14ac:dyDescent="0.3">
      <c r="A30" s="16" t="s">
        <v>140</v>
      </c>
      <c r="B30" s="16"/>
      <c r="C30" s="18">
        <v>9.89</v>
      </c>
      <c r="D30" s="18">
        <v>13.16</v>
      </c>
      <c r="E30" s="18">
        <v>22.44</v>
      </c>
      <c r="F30" s="18">
        <v>27.61</v>
      </c>
      <c r="G30" s="18">
        <v>39.28</v>
      </c>
      <c r="J30" s="17" t="s">
        <v>141</v>
      </c>
      <c r="K30" s="16"/>
      <c r="L30" s="16"/>
      <c r="M30" s="16"/>
      <c r="N30" s="16"/>
      <c r="O30" s="16"/>
      <c r="P30" s="16"/>
      <c r="R30" s="16" t="s">
        <v>142</v>
      </c>
      <c r="S30" s="16"/>
      <c r="T30" s="18">
        <v>-25.47</v>
      </c>
      <c r="U30" s="18">
        <v>-32.1</v>
      </c>
      <c r="V30" s="18">
        <v>-17.63</v>
      </c>
      <c r="W30" s="18">
        <v>-38.950000000000003</v>
      </c>
      <c r="X30" s="18">
        <v>-55.95</v>
      </c>
    </row>
    <row r="31" spans="1:24" ht="14.25" customHeight="1" x14ac:dyDescent="0.3">
      <c r="A31" s="16" t="s">
        <v>143</v>
      </c>
      <c r="B31" s="16"/>
      <c r="C31" s="18">
        <v>0.68</v>
      </c>
      <c r="D31" s="18">
        <v>-0.84</v>
      </c>
      <c r="E31" s="18">
        <v>-4.41</v>
      </c>
      <c r="F31" s="18">
        <v>-0.08</v>
      </c>
      <c r="G31" s="18">
        <v>2.33</v>
      </c>
      <c r="J31" s="16" t="s">
        <v>144</v>
      </c>
      <c r="K31" s="16"/>
      <c r="L31" s="18">
        <v>60</v>
      </c>
      <c r="M31" s="18">
        <v>60.03</v>
      </c>
      <c r="N31" s="18">
        <v>462.19</v>
      </c>
      <c r="O31" s="18">
        <v>549.11</v>
      </c>
      <c r="P31" s="18">
        <v>606.85</v>
      </c>
      <c r="R31" s="17" t="s">
        <v>145</v>
      </c>
      <c r="S31" s="16"/>
      <c r="T31" s="18">
        <v>117.06</v>
      </c>
      <c r="U31" s="18">
        <v>69.75</v>
      </c>
      <c r="V31" s="18">
        <v>198.05</v>
      </c>
      <c r="W31" s="18">
        <v>298.23</v>
      </c>
      <c r="X31" s="18">
        <v>388.47</v>
      </c>
    </row>
    <row r="32" spans="1:24" ht="14.25" customHeight="1" x14ac:dyDescent="0.3">
      <c r="A32" s="17" t="s">
        <v>146</v>
      </c>
      <c r="B32" s="16"/>
      <c r="C32" s="18">
        <v>74.05</v>
      </c>
      <c r="D32" s="18">
        <v>64.84</v>
      </c>
      <c r="E32" s="18">
        <v>46.27</v>
      </c>
      <c r="F32" s="18">
        <v>102.25</v>
      </c>
      <c r="G32" s="18">
        <v>101.33</v>
      </c>
      <c r="J32" s="16" t="s">
        <v>147</v>
      </c>
      <c r="K32" s="16"/>
      <c r="L32" s="18">
        <v>702.69</v>
      </c>
      <c r="M32" s="18">
        <v>783.22</v>
      </c>
      <c r="N32" s="18">
        <v>1786.69</v>
      </c>
      <c r="O32" s="18">
        <v>1978.37</v>
      </c>
      <c r="P32" s="18">
        <v>2164.4</v>
      </c>
      <c r="R32" s="16"/>
      <c r="S32" s="16"/>
      <c r="T32" s="16"/>
      <c r="U32" s="16"/>
      <c r="V32" s="16"/>
      <c r="W32" s="16"/>
      <c r="X32" s="16"/>
    </row>
    <row r="33" spans="1:24" ht="14.25" customHeight="1" x14ac:dyDescent="0.3">
      <c r="A33" s="16"/>
      <c r="B33" s="16"/>
      <c r="C33" s="16"/>
      <c r="D33" s="16"/>
      <c r="E33" s="16"/>
      <c r="F33" s="16"/>
      <c r="G33" s="16"/>
      <c r="J33" s="16" t="s">
        <v>148</v>
      </c>
      <c r="K33" s="16"/>
      <c r="L33" s="18">
        <v>88.07</v>
      </c>
      <c r="M33" s="18">
        <v>103.75</v>
      </c>
      <c r="N33" s="18">
        <v>835.16</v>
      </c>
      <c r="O33" s="18">
        <v>549.11</v>
      </c>
      <c r="P33" s="18">
        <v>606.85</v>
      </c>
      <c r="R33" s="17" t="s">
        <v>149</v>
      </c>
      <c r="S33" s="16"/>
      <c r="T33" s="16"/>
      <c r="U33" s="16"/>
      <c r="V33" s="16"/>
      <c r="W33" s="16"/>
      <c r="X33" s="16"/>
    </row>
    <row r="34" spans="1:24" ht="14.25" customHeight="1" x14ac:dyDescent="0.3">
      <c r="A34" s="17" t="s">
        <v>150</v>
      </c>
      <c r="B34" s="16"/>
      <c r="C34" s="16"/>
      <c r="D34" s="16"/>
      <c r="E34" s="16"/>
      <c r="F34" s="16"/>
      <c r="G34" s="16"/>
      <c r="J34" s="16" t="s">
        <v>151</v>
      </c>
      <c r="K34" s="16"/>
      <c r="L34" s="18">
        <v>850.76</v>
      </c>
      <c r="M34" s="18">
        <v>947</v>
      </c>
      <c r="N34" s="18">
        <v>3084.04</v>
      </c>
      <c r="O34" s="18">
        <v>3076.59</v>
      </c>
      <c r="P34" s="18">
        <v>3378.1</v>
      </c>
      <c r="R34" s="16" t="s">
        <v>152</v>
      </c>
      <c r="S34" s="16"/>
      <c r="T34" s="18">
        <v>-85.1</v>
      </c>
      <c r="U34" s="18">
        <v>-96.5</v>
      </c>
      <c r="V34" s="18">
        <v>-120</v>
      </c>
      <c r="W34" s="18">
        <v>-145.6</v>
      </c>
      <c r="X34" s="18">
        <v>-152</v>
      </c>
    </row>
    <row r="35" spans="1:24" ht="14.25" customHeight="1" x14ac:dyDescent="0.3">
      <c r="A35" s="16" t="s">
        <v>153</v>
      </c>
      <c r="B35" s="16"/>
      <c r="C35" s="18">
        <v>15.82</v>
      </c>
      <c r="D35" s="18">
        <v>9.67</v>
      </c>
      <c r="E35" s="18">
        <v>11.38</v>
      </c>
      <c r="F35" s="18">
        <v>26.88</v>
      </c>
      <c r="G35" s="18">
        <v>35.630000000000003</v>
      </c>
      <c r="J35" s="16"/>
      <c r="K35" s="16"/>
      <c r="L35" s="16"/>
      <c r="M35" s="16"/>
      <c r="N35" s="16"/>
      <c r="O35" s="16"/>
      <c r="P35" s="16"/>
      <c r="R35" s="16" t="s">
        <v>154</v>
      </c>
      <c r="S35" s="16"/>
      <c r="T35" s="18">
        <v>3.2</v>
      </c>
      <c r="U35" s="18">
        <v>2.1</v>
      </c>
      <c r="V35" s="18">
        <v>0</v>
      </c>
      <c r="W35" s="18">
        <v>0</v>
      </c>
      <c r="X35" s="18">
        <v>0</v>
      </c>
    </row>
    <row r="36" spans="1:24" ht="14.25" customHeight="1" x14ac:dyDescent="0.3">
      <c r="A36" s="16"/>
      <c r="B36" s="16"/>
      <c r="C36" s="16"/>
      <c r="D36" s="16"/>
      <c r="E36" s="16"/>
      <c r="F36" s="16"/>
      <c r="G36" s="16"/>
      <c r="J36" s="17" t="s">
        <v>155</v>
      </c>
      <c r="K36" s="16"/>
      <c r="L36" s="16"/>
      <c r="M36" s="16"/>
      <c r="N36" s="16"/>
      <c r="O36" s="16"/>
      <c r="P36" s="16"/>
      <c r="R36" s="16" t="s">
        <v>156</v>
      </c>
      <c r="S36" s="16"/>
      <c r="T36" s="18">
        <v>-10.7</v>
      </c>
      <c r="U36" s="18">
        <v>-5.3</v>
      </c>
      <c r="V36" s="18">
        <v>-15</v>
      </c>
      <c r="W36" s="18">
        <v>-8.4</v>
      </c>
      <c r="X36" s="18">
        <v>-3.5</v>
      </c>
    </row>
    <row r="37" spans="1:24" ht="14.25" customHeight="1" x14ac:dyDescent="0.3">
      <c r="A37" s="17" t="s">
        <v>157</v>
      </c>
      <c r="B37" s="16"/>
      <c r="C37" s="18">
        <v>89.87</v>
      </c>
      <c r="D37" s="18">
        <v>74.510000000000005</v>
      </c>
      <c r="E37" s="18">
        <v>57.65</v>
      </c>
      <c r="F37" s="18">
        <v>129.13</v>
      </c>
      <c r="G37" s="18">
        <v>136.96</v>
      </c>
      <c r="J37" s="16" t="s">
        <v>158</v>
      </c>
      <c r="K37" s="16"/>
      <c r="L37" s="18">
        <v>296.16000000000003</v>
      </c>
      <c r="M37" s="18">
        <v>399.85</v>
      </c>
      <c r="N37" s="18">
        <v>1777.07</v>
      </c>
      <c r="O37" s="18">
        <v>1572.96</v>
      </c>
      <c r="P37" s="18">
        <v>1775.55</v>
      </c>
      <c r="R37" s="16" t="s">
        <v>159</v>
      </c>
      <c r="S37" s="16"/>
      <c r="T37" s="18">
        <v>0.5</v>
      </c>
      <c r="U37" s="18">
        <v>0.3</v>
      </c>
      <c r="V37" s="18">
        <v>0</v>
      </c>
      <c r="W37" s="18">
        <v>0</v>
      </c>
      <c r="X37" s="18">
        <v>0</v>
      </c>
    </row>
    <row r="38" spans="1:24" ht="14.25" customHeight="1" x14ac:dyDescent="0.3">
      <c r="A38" s="19"/>
      <c r="B38" s="20"/>
      <c r="C38" s="21"/>
      <c r="D38" s="21"/>
      <c r="E38" s="21"/>
      <c r="F38" s="21"/>
      <c r="G38" s="21"/>
      <c r="J38" s="16" t="s">
        <v>160</v>
      </c>
      <c r="K38" s="16"/>
      <c r="L38" s="18">
        <v>167.92</v>
      </c>
      <c r="M38" s="18">
        <v>173.84</v>
      </c>
      <c r="N38" s="18">
        <v>940.19</v>
      </c>
      <c r="O38" s="18">
        <v>1289.33</v>
      </c>
      <c r="P38" s="18">
        <v>1098.47</v>
      </c>
      <c r="R38" s="16" t="s">
        <v>161</v>
      </c>
      <c r="S38" s="16"/>
      <c r="T38" s="18">
        <v>1.9</v>
      </c>
      <c r="U38" s="18">
        <v>2.15</v>
      </c>
      <c r="V38" s="18">
        <v>0</v>
      </c>
      <c r="W38" s="18">
        <v>0</v>
      </c>
      <c r="X38" s="18">
        <v>0</v>
      </c>
    </row>
    <row r="39" spans="1:24" ht="14.25" customHeight="1" x14ac:dyDescent="0.3">
      <c r="A39" s="19"/>
      <c r="B39" s="20"/>
      <c r="C39" s="21"/>
      <c r="D39" s="21"/>
      <c r="E39" s="21"/>
      <c r="F39" s="21"/>
      <c r="G39" s="21"/>
      <c r="J39" s="16" t="s">
        <v>162</v>
      </c>
      <c r="K39" s="16"/>
      <c r="L39" s="18">
        <v>116.38</v>
      </c>
      <c r="M39" s="18">
        <v>135.91</v>
      </c>
      <c r="N39" s="18">
        <v>174.14</v>
      </c>
      <c r="O39" s="18">
        <v>170.3</v>
      </c>
      <c r="P39" s="18">
        <v>233.46</v>
      </c>
      <c r="R39" s="17" t="s">
        <v>163</v>
      </c>
      <c r="S39" s="16"/>
      <c r="T39" s="18">
        <v>-90.2</v>
      </c>
      <c r="U39" s="18">
        <v>-97.25</v>
      </c>
      <c r="V39" s="18">
        <v>-135</v>
      </c>
      <c r="W39" s="18">
        <v>-154</v>
      </c>
      <c r="X39" s="18">
        <v>-155.5</v>
      </c>
    </row>
    <row r="40" spans="1:24" ht="14.25" customHeight="1" x14ac:dyDescent="0.3">
      <c r="A40" s="19"/>
      <c r="B40" s="20"/>
      <c r="C40" s="21"/>
      <c r="D40" s="21"/>
      <c r="E40" s="21"/>
      <c r="F40" s="21"/>
      <c r="G40" s="21"/>
      <c r="J40" s="16" t="s">
        <v>164</v>
      </c>
      <c r="K40" s="16"/>
      <c r="L40" s="18">
        <v>580.46</v>
      </c>
      <c r="M40" s="18">
        <v>709.6</v>
      </c>
      <c r="N40" s="18">
        <v>2891.4</v>
      </c>
      <c r="O40" s="18">
        <v>3032.59</v>
      </c>
      <c r="P40" s="18">
        <v>3107.48</v>
      </c>
      <c r="R40" s="16"/>
      <c r="S40" s="16"/>
      <c r="T40" s="16"/>
      <c r="U40" s="16"/>
      <c r="V40" s="16"/>
      <c r="W40" s="16"/>
      <c r="X40" s="16"/>
    </row>
    <row r="41" spans="1:24" ht="14.25" customHeight="1" x14ac:dyDescent="0.3">
      <c r="J41" s="16"/>
      <c r="K41" s="16"/>
      <c r="L41" s="16"/>
      <c r="M41" s="16"/>
      <c r="N41" s="16"/>
      <c r="O41" s="16"/>
      <c r="P41" s="16"/>
      <c r="R41" s="17" t="s">
        <v>165</v>
      </c>
      <c r="S41" s="16"/>
      <c r="T41" s="16"/>
      <c r="U41" s="16"/>
      <c r="V41" s="16"/>
      <c r="W41" s="16"/>
      <c r="X41" s="16"/>
    </row>
    <row r="42" spans="1:24" ht="14.25" customHeight="1" x14ac:dyDescent="0.3">
      <c r="J42" s="17" t="s">
        <v>166</v>
      </c>
      <c r="K42" s="16"/>
      <c r="L42" s="16"/>
      <c r="M42" s="16"/>
      <c r="N42" s="16"/>
      <c r="O42" s="16"/>
      <c r="P42" s="16"/>
      <c r="R42" s="16" t="s">
        <v>167</v>
      </c>
      <c r="S42" s="16"/>
      <c r="T42" s="18">
        <v>45</v>
      </c>
      <c r="U42" s="18">
        <v>62.15</v>
      </c>
      <c r="V42" s="18">
        <v>180</v>
      </c>
      <c r="W42" s="18">
        <v>65</v>
      </c>
      <c r="X42" s="18">
        <v>35</v>
      </c>
    </row>
    <row r="43" spans="1:24" ht="14.25" customHeight="1" x14ac:dyDescent="0.3">
      <c r="J43" s="16" t="s">
        <v>168</v>
      </c>
      <c r="K43" s="16"/>
      <c r="L43" s="18">
        <v>139.69999999999999</v>
      </c>
      <c r="M43" s="18">
        <v>90.55</v>
      </c>
      <c r="N43" s="18">
        <v>0</v>
      </c>
      <c r="O43" s="18">
        <v>0</v>
      </c>
      <c r="P43" s="18">
        <v>0</v>
      </c>
      <c r="R43" s="16" t="s">
        <v>169</v>
      </c>
      <c r="S43" s="16"/>
      <c r="T43" s="18">
        <v>-50.45</v>
      </c>
      <c r="U43" s="18">
        <v>-90.75</v>
      </c>
      <c r="V43" s="18">
        <v>-110</v>
      </c>
      <c r="W43" s="18">
        <v>-135.19999999999999</v>
      </c>
      <c r="X43" s="18">
        <v>-102</v>
      </c>
    </row>
    <row r="44" spans="1:24" ht="14.25" customHeight="1" x14ac:dyDescent="0.3">
      <c r="J44" s="16" t="s">
        <v>170</v>
      </c>
      <c r="K44" s="16"/>
      <c r="L44" s="18">
        <v>192.99</v>
      </c>
      <c r="M44" s="18">
        <v>200.52</v>
      </c>
      <c r="N44" s="18">
        <v>0</v>
      </c>
      <c r="O44" s="18">
        <v>0</v>
      </c>
      <c r="P44" s="18">
        <v>0</v>
      </c>
      <c r="R44" s="16" t="s">
        <v>171</v>
      </c>
      <c r="S44" s="16"/>
      <c r="T44" s="18">
        <v>-10.5</v>
      </c>
      <c r="U44" s="18">
        <v>-15.25</v>
      </c>
      <c r="V44" s="18">
        <v>-20</v>
      </c>
      <c r="W44" s="18">
        <v>-22.5</v>
      </c>
      <c r="X44" s="18">
        <v>-25</v>
      </c>
    </row>
    <row r="45" spans="1:24" ht="14.25" customHeight="1" x14ac:dyDescent="0.3">
      <c r="J45" s="16" t="s">
        <v>172</v>
      </c>
      <c r="K45" s="16"/>
      <c r="L45" s="18">
        <v>15.24</v>
      </c>
      <c r="M45" s="18">
        <v>16.18</v>
      </c>
      <c r="N45" s="18">
        <v>0</v>
      </c>
      <c r="O45" s="18">
        <v>0</v>
      </c>
      <c r="P45" s="18">
        <v>0</v>
      </c>
      <c r="R45" s="16" t="s">
        <v>173</v>
      </c>
      <c r="S45" s="16"/>
      <c r="T45" s="18">
        <v>-5.77</v>
      </c>
      <c r="U45" s="18">
        <v>-6.76</v>
      </c>
      <c r="V45" s="18">
        <v>-41.9</v>
      </c>
      <c r="W45" s="18">
        <v>-97.44</v>
      </c>
      <c r="X45" s="18">
        <v>-89.74</v>
      </c>
    </row>
    <row r="46" spans="1:24" ht="14.25" customHeight="1" x14ac:dyDescent="0.3">
      <c r="J46" s="16" t="s">
        <v>174</v>
      </c>
      <c r="K46" s="16"/>
      <c r="L46" s="18">
        <v>69.040000000000006</v>
      </c>
      <c r="M46" s="18">
        <v>75.55</v>
      </c>
      <c r="N46" s="18">
        <v>0</v>
      </c>
      <c r="O46" s="18">
        <v>0</v>
      </c>
      <c r="P46" s="18">
        <v>0</v>
      </c>
      <c r="R46" s="17" t="s">
        <v>175</v>
      </c>
      <c r="S46" s="16"/>
      <c r="T46" s="18">
        <v>-21.72</v>
      </c>
      <c r="U46" s="18">
        <v>-50.61</v>
      </c>
      <c r="V46" s="18">
        <v>8.1</v>
      </c>
      <c r="W46" s="18">
        <v>-190.14</v>
      </c>
      <c r="X46" s="18">
        <v>-181.74</v>
      </c>
    </row>
    <row r="47" spans="1:24" ht="14.25" customHeight="1" x14ac:dyDescent="0.3">
      <c r="J47" s="16" t="s">
        <v>176</v>
      </c>
      <c r="K47" s="16"/>
      <c r="L47" s="18">
        <v>4.04</v>
      </c>
      <c r="M47" s="18">
        <v>0</v>
      </c>
      <c r="N47" s="18">
        <v>0</v>
      </c>
      <c r="O47" s="18">
        <v>0</v>
      </c>
      <c r="P47" s="18">
        <v>0</v>
      </c>
      <c r="R47" s="16"/>
      <c r="S47" s="16"/>
      <c r="T47" s="16"/>
      <c r="U47" s="16"/>
      <c r="V47" s="16"/>
      <c r="W47" s="16"/>
      <c r="X47" s="16"/>
    </row>
    <row r="48" spans="1:24" ht="14.25" customHeight="1" x14ac:dyDescent="0.3">
      <c r="J48" s="16" t="s">
        <v>177</v>
      </c>
      <c r="K48" s="16"/>
      <c r="L48" s="18">
        <v>0</v>
      </c>
      <c r="M48" s="18">
        <v>0</v>
      </c>
      <c r="N48" s="18">
        <v>833.65</v>
      </c>
      <c r="O48" s="18">
        <v>1249.2</v>
      </c>
      <c r="P48" s="18">
        <v>1054.6500000000001</v>
      </c>
      <c r="R48" s="16" t="s">
        <v>178</v>
      </c>
      <c r="S48" s="16"/>
      <c r="T48" s="18">
        <v>5.14</v>
      </c>
      <c r="U48" s="18">
        <v>-78.11</v>
      </c>
      <c r="V48" s="18">
        <v>71.150000000000006</v>
      </c>
      <c r="W48" s="18">
        <v>-45.91</v>
      </c>
      <c r="X48" s="18">
        <v>51.23</v>
      </c>
    </row>
    <row r="49" spans="10:24" ht="14.25" customHeight="1" x14ac:dyDescent="0.3">
      <c r="J49" s="16" t="s">
        <v>179</v>
      </c>
      <c r="K49" s="16"/>
      <c r="L49" s="18">
        <v>421.01</v>
      </c>
      <c r="M49" s="18">
        <v>382.8</v>
      </c>
      <c r="N49" s="18">
        <v>833.65</v>
      </c>
      <c r="O49" s="18">
        <v>1248.4000000000001</v>
      </c>
      <c r="P49" s="18">
        <v>1054.6500000000001</v>
      </c>
      <c r="R49" s="16" t="s">
        <v>180</v>
      </c>
      <c r="S49" s="16"/>
      <c r="T49" s="18">
        <v>0</v>
      </c>
      <c r="U49" s="18">
        <v>5.14</v>
      </c>
      <c r="V49" s="18">
        <v>-72.97</v>
      </c>
      <c r="W49" s="18">
        <v>-1.82</v>
      </c>
      <c r="X49" s="18">
        <v>-47.73</v>
      </c>
    </row>
    <row r="50" spans="10:24" ht="14.25" customHeight="1" x14ac:dyDescent="0.3">
      <c r="R50" s="16" t="s">
        <v>181</v>
      </c>
      <c r="S50" s="16"/>
      <c r="T50" s="18">
        <v>5.14</v>
      </c>
      <c r="U50" s="18">
        <v>-72.97</v>
      </c>
      <c r="V50" s="18">
        <v>-1.82</v>
      </c>
      <c r="W50" s="18">
        <v>-47.73</v>
      </c>
      <c r="X50" s="18">
        <v>3.5</v>
      </c>
    </row>
  </sheetData>
  <mergeCells count="5">
    <mergeCell ref="R1:X2"/>
    <mergeCell ref="J1:P2"/>
    <mergeCell ref="R3:X3"/>
    <mergeCell ref="A1:G2"/>
    <mergeCell ref="J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6366-5281-411F-8358-321633B3FFCA}">
  <dimension ref="B2:E18"/>
  <sheetViews>
    <sheetView showGridLines="0" workbookViewId="0">
      <selection activeCell="F63" sqref="F63"/>
    </sheetView>
  </sheetViews>
  <sheetFormatPr defaultRowHeight="14.4" x14ac:dyDescent="0.3"/>
  <cols>
    <col min="2" max="2" width="19.109375" bestFit="1" customWidth="1"/>
    <col min="3" max="5" width="7" bestFit="1" customWidth="1"/>
  </cols>
  <sheetData>
    <row r="2" spans="2:5" x14ac:dyDescent="0.3">
      <c r="B2" t="s">
        <v>186</v>
      </c>
      <c r="C2" s="278">
        <v>45352</v>
      </c>
      <c r="D2" s="278">
        <v>45717</v>
      </c>
      <c r="E2" s="278">
        <v>46082</v>
      </c>
    </row>
    <row r="3" spans="2:5" x14ac:dyDescent="0.3">
      <c r="B3" t="s">
        <v>1548</v>
      </c>
      <c r="C3">
        <v>3168</v>
      </c>
      <c r="D3">
        <v>4292</v>
      </c>
      <c r="E3">
        <v>6206</v>
      </c>
    </row>
    <row r="4" spans="2:5" x14ac:dyDescent="0.3">
      <c r="B4" t="s">
        <v>1550</v>
      </c>
      <c r="C4" s="3">
        <v>0.14230000000000001</v>
      </c>
      <c r="D4" s="3">
        <v>0.35489999999999999</v>
      </c>
      <c r="E4" s="3">
        <v>0.44590000000000002</v>
      </c>
    </row>
    <row r="5" spans="2:5" x14ac:dyDescent="0.3">
      <c r="B5" t="s">
        <v>1662</v>
      </c>
      <c r="C5" s="279">
        <v>0.66</v>
      </c>
      <c r="D5" s="279">
        <v>0.6</v>
      </c>
      <c r="E5" s="279">
        <v>0.55000000000000004</v>
      </c>
    </row>
    <row r="6" spans="2:5" x14ac:dyDescent="0.3">
      <c r="B6" t="s">
        <v>1663</v>
      </c>
      <c r="C6" s="279">
        <v>0.02</v>
      </c>
      <c r="D6" s="279">
        <v>0.02</v>
      </c>
      <c r="E6" s="279">
        <v>0</v>
      </c>
    </row>
    <row r="7" spans="2:5" x14ac:dyDescent="0.3">
      <c r="B7" t="s">
        <v>1664</v>
      </c>
      <c r="C7" s="279">
        <v>0.12</v>
      </c>
      <c r="D7" s="279">
        <v>0.09</v>
      </c>
      <c r="E7" s="279">
        <v>7.0000000000000007E-2</v>
      </c>
    </row>
    <row r="8" spans="2:5" x14ac:dyDescent="0.3">
      <c r="B8" t="s">
        <v>1665</v>
      </c>
      <c r="C8" s="279">
        <v>0.1</v>
      </c>
      <c r="D8" s="279">
        <v>0.1</v>
      </c>
      <c r="E8" s="279">
        <v>0.11</v>
      </c>
    </row>
    <row r="9" spans="2:5" x14ac:dyDescent="0.3">
      <c r="B9" t="s">
        <v>1666</v>
      </c>
      <c r="C9">
        <v>332</v>
      </c>
      <c r="D9">
        <v>831</v>
      </c>
      <c r="E9">
        <v>1684</v>
      </c>
    </row>
    <row r="10" spans="2:5" x14ac:dyDescent="0.3">
      <c r="B10" t="s">
        <v>1667</v>
      </c>
      <c r="C10" s="279">
        <v>0.1</v>
      </c>
      <c r="D10" s="279">
        <v>0.19</v>
      </c>
      <c r="E10" s="279">
        <v>0.27</v>
      </c>
    </row>
    <row r="11" spans="2:5" x14ac:dyDescent="0.3">
      <c r="B11" t="s">
        <v>1668</v>
      </c>
      <c r="C11">
        <v>22</v>
      </c>
      <c r="D11">
        <v>62</v>
      </c>
      <c r="E11">
        <v>27</v>
      </c>
    </row>
    <row r="12" spans="2:5" x14ac:dyDescent="0.3">
      <c r="B12" t="s">
        <v>1669</v>
      </c>
      <c r="C12">
        <v>0</v>
      </c>
      <c r="D12">
        <v>0</v>
      </c>
      <c r="E12">
        <v>-64</v>
      </c>
    </row>
    <row r="13" spans="2:5" x14ac:dyDescent="0.3">
      <c r="B13" t="s">
        <v>1670</v>
      </c>
      <c r="C13">
        <v>23</v>
      </c>
      <c r="D13">
        <v>63</v>
      </c>
      <c r="E13">
        <v>91</v>
      </c>
    </row>
    <row r="14" spans="2:5" x14ac:dyDescent="0.3">
      <c r="B14" t="s">
        <v>1671</v>
      </c>
      <c r="C14">
        <v>41</v>
      </c>
      <c r="D14">
        <v>27</v>
      </c>
      <c r="E14">
        <v>15</v>
      </c>
    </row>
    <row r="15" spans="2:5" x14ac:dyDescent="0.3">
      <c r="B15" t="s">
        <v>1672</v>
      </c>
      <c r="C15">
        <v>50</v>
      </c>
      <c r="D15">
        <v>47</v>
      </c>
      <c r="E15">
        <v>46</v>
      </c>
    </row>
    <row r="16" spans="2:5" x14ac:dyDescent="0.3">
      <c r="B16" t="s">
        <v>1673</v>
      </c>
      <c r="C16">
        <v>263</v>
      </c>
      <c r="D16">
        <v>820</v>
      </c>
      <c r="E16">
        <v>1650</v>
      </c>
    </row>
    <row r="17" spans="2:5" x14ac:dyDescent="0.3">
      <c r="B17" t="s">
        <v>1674</v>
      </c>
      <c r="C17" s="279">
        <v>0.31</v>
      </c>
      <c r="D17" s="279">
        <v>0.26</v>
      </c>
      <c r="E17" s="279">
        <v>0.25</v>
      </c>
    </row>
    <row r="18" spans="2:5" x14ac:dyDescent="0.3">
      <c r="B18" t="s">
        <v>3</v>
      </c>
      <c r="C18">
        <v>181</v>
      </c>
      <c r="D18">
        <v>608</v>
      </c>
      <c r="E18">
        <v>1233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8"/>
  <sheetViews>
    <sheetView showGridLines="0" topLeftCell="A16" zoomScaleNormal="100" workbookViewId="0">
      <selection activeCell="F63" sqref="F63"/>
    </sheetView>
  </sheetViews>
  <sheetFormatPr defaultColWidth="8.6640625" defaultRowHeight="14.4" x14ac:dyDescent="0.3"/>
  <cols>
    <col min="2" max="2" width="26.77734375" bestFit="1" customWidth="1"/>
    <col min="3" max="3" width="12" bestFit="1" customWidth="1"/>
    <col min="4" max="4" width="9.6640625" bestFit="1" customWidth="1"/>
    <col min="5" max="5" width="7.6640625" bestFit="1" customWidth="1"/>
    <col min="6" max="6" width="9" bestFit="1" customWidth="1"/>
    <col min="8" max="9" width="5.88671875" bestFit="1" customWidth="1"/>
    <col min="10" max="10" width="7.44140625" bestFit="1" customWidth="1"/>
  </cols>
  <sheetData>
    <row r="1" spans="2:10" ht="15" customHeight="1" x14ac:dyDescent="0.3"/>
    <row r="2" spans="2:10" ht="18" customHeight="1" x14ac:dyDescent="0.3">
      <c r="B2" s="262" t="s">
        <v>16</v>
      </c>
      <c r="C2" s="248"/>
      <c r="D2" s="248"/>
    </row>
    <row r="3" spans="2:10" ht="15" customHeight="1" x14ac:dyDescent="0.3">
      <c r="B3" s="1" t="s">
        <v>17</v>
      </c>
      <c r="C3" s="2">
        <v>46102</v>
      </c>
      <c r="D3" s="2">
        <v>46103</v>
      </c>
      <c r="E3" s="2">
        <v>46104</v>
      </c>
      <c r="F3" s="2">
        <v>46105</v>
      </c>
      <c r="G3" s="2">
        <v>46106</v>
      </c>
      <c r="H3" s="1" t="s">
        <v>18</v>
      </c>
      <c r="I3" s="277"/>
      <c r="J3" s="277"/>
    </row>
    <row r="4" spans="2:10" ht="15" customHeight="1" x14ac:dyDescent="0.3"/>
    <row r="5" spans="2:10" ht="15" customHeight="1" x14ac:dyDescent="0.3">
      <c r="B5" t="s">
        <v>19</v>
      </c>
      <c r="C5" s="3"/>
      <c r="D5" s="3">
        <f>('Consolidated Statements  '!D7-'Consolidated Statements  '!C7)/'Consolidated Statements  '!C7</f>
        <v>0.14080947787454315</v>
      </c>
      <c r="E5" s="3">
        <f>('Consolidated Statements  '!E7-'Consolidated Statements  '!D7)/'Consolidated Statements  '!D7</f>
        <v>0.37555230030845455</v>
      </c>
      <c r="F5" s="3">
        <f>('Consolidated Statements  '!F7-'Consolidated Statements  '!E7)/'Consolidated Statements  '!E7</f>
        <v>0.3524731387607033</v>
      </c>
      <c r="G5" s="3">
        <f>('Consolidated Statements  '!G7-'Consolidated Statements  '!F7)/'Consolidated Statements  '!F7</f>
        <v>5.433001305917607E-2</v>
      </c>
      <c r="H5" s="3"/>
      <c r="I5" s="3"/>
      <c r="J5" s="3"/>
    </row>
    <row r="6" spans="2:10" ht="15" customHeight="1" x14ac:dyDescent="0.3">
      <c r="B6" t="s">
        <v>20</v>
      </c>
      <c r="C6" s="3"/>
      <c r="D6" s="3">
        <f>(('Consolidated Statements  '!D7-'Consolidated Statements  '!D16+'Consolidated Statements  '!D13)-('Consolidated Statements  '!C7-'Consolidated Statements  '!C16+'Consolidated Statements  '!C13))/('Consolidated Statements  '!C7-'Consolidated Statements  '!C16+'Consolidated Statements  '!C13)</f>
        <v>0.1437763599005088</v>
      </c>
      <c r="E6" s="3">
        <f>(('Consolidated Statements  '!E7-'Consolidated Statements  '!E16+'Consolidated Statements  '!E13)-('Consolidated Statements  '!D7-'Consolidated Statements  '!D16+'Consolidated Statements  '!D13))/('Consolidated Statements  '!D7-'Consolidated Statements  '!D16+'Consolidated Statements  '!D13)</f>
        <v>0.16702122630359723</v>
      </c>
      <c r="F6" s="3">
        <f>(('Consolidated Statements  '!F7-'Consolidated Statements  '!F16+'Consolidated Statements  '!F13)-('Consolidated Statements  '!E7-'Consolidated Statements  '!E16+'Consolidated Statements  '!E13))/('Consolidated Statements  '!E7-'Consolidated Statements  '!E16+'Consolidated Statements  '!E13)</f>
        <v>0.29214939641902277</v>
      </c>
      <c r="G6" s="3">
        <f>(('Consolidated Statements  '!G7-'Consolidated Statements  '!G16+'Consolidated Statements  '!G13)-('Consolidated Statements  '!F7-'Consolidated Statements  '!F16+'Consolidated Statements  '!F13))/('Consolidated Statements  '!F7-'Consolidated Statements  '!F16+'Consolidated Statements  '!F13)</f>
        <v>8.6933350053295139E-2</v>
      </c>
      <c r="H6" s="3"/>
      <c r="I6" s="3"/>
      <c r="J6" s="3"/>
    </row>
    <row r="7" spans="2:10" ht="15" customHeight="1" x14ac:dyDescent="0.3">
      <c r="B7" t="s">
        <v>21</v>
      </c>
      <c r="C7" s="3"/>
      <c r="D7" s="3">
        <f>(('Consolidated Statements  '!D7-'Consolidated Statements  '!D16)-('Consolidated Statements  '!C7-'Consolidated Statements  '!C16))/('Consolidated Statements  '!C7-'Consolidated Statements  '!C16)</f>
        <v>0.14705104469717067</v>
      </c>
      <c r="E7" s="3">
        <f>(('Consolidated Statements  '!E7-'Consolidated Statements  '!E16)-('Consolidated Statements  '!D7-'Consolidated Statements  '!D16))/('Consolidated Statements  '!D7-'Consolidated Statements  '!D16)</f>
        <v>4.181077549765537E-2</v>
      </c>
      <c r="F7" s="3">
        <f>(('Consolidated Statements  '!F7-'Consolidated Statements  '!F16)-('Consolidated Statements  '!E7-'Consolidated Statements  '!E16))/('Consolidated Statements  '!E7-'Consolidated Statements  '!E16)</f>
        <v>0.19586868314275149</v>
      </c>
      <c r="G7" s="3">
        <f>(('Consolidated Statements  '!G7-'Consolidated Statements  '!G16)-('Consolidated Statements  '!F7-'Consolidated Statements  '!F16))/('Consolidated Statements  '!F7-'Consolidated Statements  '!F16)</f>
        <v>9.8149290561382427E-2</v>
      </c>
      <c r="H7" s="3"/>
      <c r="I7" s="3"/>
      <c r="J7" s="3"/>
    </row>
    <row r="8" spans="2:10" ht="15" customHeight="1" x14ac:dyDescent="0.3">
      <c r="B8" t="s">
        <v>22</v>
      </c>
      <c r="C8" s="3"/>
      <c r="D8" s="3">
        <f>('Consolidated Statements  '!D28-'Consolidated Statements  '!C28)/'Consolidated Statements  '!C28</f>
        <v>-8.8158827700307349E-2</v>
      </c>
      <c r="E8" s="3">
        <f>('Consolidated Statements  '!E28-'Consolidated Statements  '!D28)/'Consolidated Statements  '!D28</f>
        <v>-0.16666666666666666</v>
      </c>
      <c r="F8" s="3">
        <f>('Consolidated Statements  '!F28-'Consolidated Statements  '!E28)/'Consolidated Statements  '!E28</f>
        <v>1.0183514774494558</v>
      </c>
      <c r="G8" s="3">
        <f>('Consolidated Statements  '!G28-'Consolidated Statements  '!F28)/'Consolidated Statements  '!F28</f>
        <v>0.10140237324703341</v>
      </c>
      <c r="H8" s="3"/>
      <c r="I8" s="3"/>
      <c r="J8" s="3"/>
    </row>
    <row r="9" spans="2:10" ht="15" customHeight="1" x14ac:dyDescent="0.3">
      <c r="B9" t="s">
        <v>23</v>
      </c>
      <c r="C9" s="3"/>
      <c r="D9" s="3">
        <f>('Consolidated Statements  '!U50-'Consolidated Statements  '!T50)/'Consolidated Statements  '!T50</f>
        <v>-15.196498054474709</v>
      </c>
      <c r="E9" s="3">
        <f>('Consolidated Statements  '!V50-'Consolidated Statements  '!U50)/'Consolidated Statements  '!U50</f>
        <v>-0.97505824311360845</v>
      </c>
      <c r="F9" s="3">
        <f>('Consolidated Statements  '!W50-'Consolidated Statements  '!V50)/'Consolidated Statements  '!V50</f>
        <v>25.225274725274723</v>
      </c>
      <c r="G9" s="3">
        <f>('Consolidated Statements  '!X50-'Consolidated Statements  '!W50)/'Consolidated Statements  '!W50</f>
        <v>-1.073329143096585</v>
      </c>
      <c r="H9" s="3"/>
      <c r="I9" s="3"/>
      <c r="J9" s="3"/>
    </row>
    <row r="10" spans="2:10" ht="15" customHeight="1" x14ac:dyDescent="0.3"/>
    <row r="11" spans="2:10" ht="15" customHeight="1" x14ac:dyDescent="0.3">
      <c r="B11" t="s">
        <v>24</v>
      </c>
      <c r="C11" s="3">
        <f>('Consolidated Statements  '!C7-'Consolidated Statements  '!C10)/'Consolidated Statements  '!C7</f>
        <v>0.69994429574881456</v>
      </c>
      <c r="D11" s="3">
        <f>('Consolidated Statements  '!D7-'Consolidated Statements  '!D10)/'Consolidated Statements  '!D7</f>
        <v>0.67625376636059398</v>
      </c>
      <c r="E11" s="3">
        <f>('Consolidated Statements  '!E7-'Consolidated Statements  '!E10)/'Consolidated Statements  '!E7</f>
        <v>0.6828512307252752</v>
      </c>
      <c r="F11" s="3">
        <f>('Consolidated Statements  '!F7-'Consolidated Statements  '!F10)/'Consolidated Statements  '!F7</f>
        <v>0.68645814662125826</v>
      </c>
      <c r="G11" s="3">
        <f>('Consolidated Statements  '!G7-'Consolidated Statements  '!G10)/'Consolidated Statements  '!G7</f>
        <v>0.68442431344452603</v>
      </c>
      <c r="H11" s="3"/>
      <c r="I11" s="3"/>
      <c r="J11" s="3"/>
    </row>
    <row r="12" spans="2:10" ht="15" customHeight="1" x14ac:dyDescent="0.3">
      <c r="B12" t="s">
        <v>25</v>
      </c>
      <c r="C12" s="3">
        <f>('Consolidated Statements  '!C7-'Consolidated Statements  '!C16+'Consolidated Statements  '!C13)/'Consolidated Statements  '!C7</f>
        <v>0.25126693205439987</v>
      </c>
      <c r="D12" s="3">
        <f>('Consolidated Statements  '!D7-'Consolidated Statements  '!D16+'Consolidated Statements  '!D13)/'Consolidated Statements  '!D7</f>
        <v>0.25192039729893889</v>
      </c>
      <c r="E12" s="3">
        <f>('Consolidated Statements  '!E7-'Consolidated Statements  '!E16+'Consolidated Statements  '!E13)/'Consolidated Statements  '!E7</f>
        <v>0.21372975125756483</v>
      </c>
      <c r="F12" s="3">
        <f>('Consolidated Statements  '!F7-'Consolidated Statements  '!F16+'Consolidated Statements  '!F13)/'Consolidated Statements  '!F7</f>
        <v>0.20419686067651649</v>
      </c>
      <c r="G12" s="3">
        <f>('Consolidated Statements  '!G7-'Consolidated Statements  '!G16+'Consolidated Statements  '!G13)/'Consolidated Statements  '!G7</f>
        <v>0.2105112963648838</v>
      </c>
      <c r="H12" s="3"/>
      <c r="I12" s="3"/>
      <c r="J12" s="3"/>
    </row>
    <row r="13" spans="2:10" ht="15" customHeight="1" x14ac:dyDescent="0.3">
      <c r="B13" t="s">
        <v>26</v>
      </c>
      <c r="C13" s="3">
        <f>'Assumptions '!E18/'Assumptions '!E6</f>
        <v>0.1619499205195441</v>
      </c>
      <c r="D13" s="3">
        <f>'Assumptions '!F18/'Assumptions '!F6</f>
        <v>0.16300451367799262</v>
      </c>
      <c r="E13" s="3">
        <f>'Assumptions '!G18/'Assumptions '!G6</f>
        <v>0.15363503346291374</v>
      </c>
      <c r="F13" s="3">
        <f>'Assumptions '!H18/'Assumptions '!H6</f>
        <v>0.16614600670883151</v>
      </c>
      <c r="G13" s="3">
        <f>'Assumptions '!I18/'Assumptions '!I6</f>
        <v>0.16256929307403206</v>
      </c>
      <c r="H13" s="3"/>
      <c r="I13" s="3"/>
      <c r="J13" s="3"/>
    </row>
    <row r="14" spans="2:10" ht="15" customHeight="1" x14ac:dyDescent="0.3">
      <c r="B14" t="s">
        <v>27</v>
      </c>
      <c r="C14" s="3">
        <f>'Consolidated Statements  '!C22/'Consolidated Statements  '!C7</f>
        <v>0.14637990299308451</v>
      </c>
      <c r="D14" s="3">
        <f>'Consolidated Statements  '!D22/'Consolidated Statements  '!D7</f>
        <v>0.11708171067204974</v>
      </c>
      <c r="E14" s="3">
        <f>'Consolidated Statements  '!E22/'Consolidated Statements  '!E7</f>
        <v>7.7670323200664929E-2</v>
      </c>
      <c r="F14" s="3">
        <f>'Consolidated Statements  '!F22/'Consolidated Statements  '!F7</f>
        <v>9.7636545207794551E-2</v>
      </c>
      <c r="G14" s="3">
        <f>'Consolidated Statements  '!G22/'Consolidated Statements  '!G7</f>
        <v>0.1145483579135271</v>
      </c>
      <c r="H14" s="3"/>
      <c r="I14" s="3"/>
      <c r="J14" s="3"/>
    </row>
    <row r="15" spans="2:10" ht="15" customHeight="1" x14ac:dyDescent="0.3">
      <c r="B15" t="s">
        <v>28</v>
      </c>
      <c r="C15" s="3">
        <f>'Consolidated Statements  '!C28/'Consolidated Statements  '!C7</f>
        <v>0.1149681398856025</v>
      </c>
      <c r="D15" s="3">
        <f>'Consolidated Statements  '!D28/'Consolidated Statements  '!D7</f>
        <v>9.1893243774339925E-2</v>
      </c>
      <c r="E15" s="3">
        <f>'Consolidated Statements  '!E28/'Consolidated Statements  '!E7</f>
        <v>5.5670513675206271E-2</v>
      </c>
      <c r="F15" s="3">
        <f>'Consolidated Statements  '!F28/'Consolidated Statements  '!F7</f>
        <v>8.3079404911274427E-2</v>
      </c>
      <c r="G15" s="3">
        <f>'Consolidated Statements  '!G28/'Consolidated Statements  '!G7</f>
        <v>8.6788626524751208E-2</v>
      </c>
      <c r="H15" s="3"/>
      <c r="I15" s="3"/>
      <c r="J15" s="3"/>
    </row>
    <row r="16" spans="2:10" ht="15" customHeight="1" x14ac:dyDescent="0.3"/>
    <row r="17" spans="2:10" ht="15" customHeight="1" x14ac:dyDescent="0.3">
      <c r="B17" t="s">
        <v>29</v>
      </c>
      <c r="C17" s="3">
        <f>('Consolidated Statements  '!C13+'Consolidated Statements  '!C16)/'Consolidated Statements  '!C7</f>
        <v>0.94304579976359659</v>
      </c>
      <c r="D17" s="3">
        <f>('Consolidated Statements  '!D13+'Consolidated Statements  '!D16)/'Consolidated Statements  '!D7</f>
        <v>0.94201293365250627</v>
      </c>
      <c r="E17" s="3">
        <f>('Consolidated Statements  '!E13+'Consolidated Statements  '!E16)/'Consolidated Statements  '!E7</f>
        <v>0.97901316871715394</v>
      </c>
      <c r="F17" s="3">
        <f>('Consolidated Statements  '!F13+'Consolidated Statements  '!F16)/'Consolidated Statements  '!F7</f>
        <v>0.99665838731979628</v>
      </c>
      <c r="G17" s="3">
        <f>('Consolidated Statements  '!G13+'Consolidated Statements  '!G16)/'Consolidated Statements  '!G7</f>
        <v>0.99434726379638005</v>
      </c>
      <c r="H17" s="3"/>
      <c r="I17" s="3"/>
      <c r="J17" s="3"/>
    </row>
    <row r="18" spans="2:10" ht="15" customHeight="1" x14ac:dyDescent="0.3">
      <c r="B18" t="s">
        <v>30</v>
      </c>
      <c r="C18" s="3">
        <f>'Consolidated Statements  '!C15/'Consolidated Statements  '!C7</f>
        <v>0.15296930831623712</v>
      </c>
      <c r="D18" s="3">
        <f>'Consolidated Statements  '!D15/'Consolidated Statements  '!D7</f>
        <v>0.14179379994521657</v>
      </c>
      <c r="E18" s="3">
        <f>'Consolidated Statements  '!E15/'Consolidated Statements  '!E7</f>
        <v>0.16241417823222309</v>
      </c>
      <c r="F18" s="3">
        <f>'Consolidated Statements  '!F15/'Consolidated Statements  '!F7</f>
        <v>0.20920927969682229</v>
      </c>
      <c r="G18" s="3">
        <f>'Consolidated Statements  '!G15/'Consolidated Statements  '!G7</f>
        <v>0.18853787818991008</v>
      </c>
      <c r="H18" s="3"/>
      <c r="I18" s="3"/>
      <c r="J18" s="3"/>
    </row>
    <row r="19" spans="2:10" ht="15" customHeight="1" x14ac:dyDescent="0.3">
      <c r="B19" t="s">
        <v>31</v>
      </c>
      <c r="C19" s="3">
        <f>'Assumptions '!E18/'Assumptions '!E6</f>
        <v>0.1619499205195441</v>
      </c>
      <c r="D19" s="3">
        <f>'Assumptions '!F18/'Assumptions '!F6</f>
        <v>0.16300451367799262</v>
      </c>
      <c r="E19" s="3">
        <f>'Assumptions '!G18/'Assumptions '!G6</f>
        <v>0.15363503346291374</v>
      </c>
      <c r="F19" s="3">
        <f>'Assumptions '!H18/'Assumptions '!H6</f>
        <v>0.16614600670883151</v>
      </c>
      <c r="G19" s="3">
        <f>'Assumptions '!I18/'Assumptions '!I6</f>
        <v>0.16256929307403206</v>
      </c>
      <c r="H19" s="3"/>
      <c r="I19" s="3"/>
      <c r="J19" s="3"/>
    </row>
    <row r="20" spans="2:10" ht="15" customHeight="1" x14ac:dyDescent="0.3">
      <c r="H20" s="3"/>
    </row>
    <row r="21" spans="2:10" ht="15" customHeight="1" x14ac:dyDescent="0.3">
      <c r="B21" t="s">
        <v>32</v>
      </c>
      <c r="C21" s="4">
        <f>(('Consolidated Statements  '!C7-'Consolidated Statements  '!C16)*(1-'Consolidated Statements  '!C25/'Consolidated Statements  '!C22))/('Consolidated Statements  '!L34+'Consolidated Statements  '!L43+'Consolidated Statements  '!L37)</f>
        <v>7.081374352134856E-2</v>
      </c>
      <c r="D21" s="4">
        <f>(('Consolidated Statements  '!D7-'Consolidated Statements  '!D16)*(1-'Consolidated Statements  '!D25/'Consolidated Statements  '!D22))/('Consolidated Statements  '!M34+('Consolidated Statements  '!M43+'Consolidated Statements  '!M37))</f>
        <v>6.8355474670958261E-2</v>
      </c>
      <c r="E21" s="4">
        <f>(('Consolidated Statements  '!E7-'Consolidated Statements  '!E16)*(1-'Consolidated Statements  '!E25/'Consolidated Statements  '!E22))/('Consolidated Statements  '!N34+('Consolidated Statements  '!N43+'Consolidated Statements  '!N37))</f>
        <v>2.2404641266099631E-2</v>
      </c>
      <c r="F21" s="4">
        <f>(('Consolidated Statements  '!F7-'Consolidated Statements  '!F16)*(1-'Consolidated Statements  '!F25/'Consolidated Statements  '!F22))/('Consolidated Statements  '!O34+('Consolidated Statements  '!O43+'Consolidated Statements  '!O37))</f>
        <v>2.9587876695640992E-2</v>
      </c>
      <c r="G21" s="4">
        <f>(('Consolidated Statements  '!G7-'Consolidated Statements  '!G16)*(1-'Consolidated Statements  '!G25/'Consolidated Statements  '!G22))/('Consolidated Statements  '!P34+('Consolidated Statements  '!P43+'Consolidated Statements  '!P37))</f>
        <v>2.6931610315317722E-2</v>
      </c>
      <c r="H21" s="3"/>
      <c r="I21" s="4"/>
      <c r="J21" s="4"/>
    </row>
    <row r="22" spans="2:10" ht="15" customHeight="1" x14ac:dyDescent="0.3">
      <c r="B22" t="s">
        <v>33</v>
      </c>
      <c r="C22">
        <f>('Consolidated Statements  '!C28-ABS('Consolidated Statements  '!T50))/'Consolidated Statements  '!C28</f>
        <v>0.93925785866225475</v>
      </c>
      <c r="D22" s="3">
        <f>('Consolidated Statements  '!D28-ABS('Consolidated Statements  '!U50))/'Consolidated Statements  '!D28</f>
        <v>5.4302747537584212E-2</v>
      </c>
      <c r="E22" s="3">
        <f>('Consolidated Statements  '!E28-ABS('Consolidated Statements  '!V50))/'Consolidated Statements  '!E28</f>
        <v>0.97169517884914458</v>
      </c>
      <c r="F22" s="3">
        <f>('Consolidated Statements  '!F28-ABS('Consolidated Statements  '!W50))/'Consolidated Statements  '!F28</f>
        <v>0.63222376329172458</v>
      </c>
      <c r="G22" s="3">
        <f>('Consolidated Statements  '!G28-ABS('Consolidated Statements  '!X50))/'Consolidated Statements  '!G28</f>
        <v>0.97551420176297743</v>
      </c>
      <c r="H22" s="3"/>
      <c r="I22" s="3"/>
      <c r="J22" s="3"/>
    </row>
    <row r="23" spans="2:10" ht="15" customHeight="1" x14ac:dyDescent="0.3">
      <c r="B23" t="s">
        <v>34</v>
      </c>
      <c r="C23" s="3">
        <f>'Consolidated Statements  '!C28/'Consolidated Statements  '!L34</f>
        <v>9.946400865108844E-2</v>
      </c>
      <c r="D23" s="3">
        <f>'Consolidated Statements  '!D28/(('Consolidated Statements  '!L34+'Consolidated Statements  '!M34)/2)</f>
        <v>8.5840156639373444E-2</v>
      </c>
      <c r="E23" s="3">
        <f>'Consolidated Statements  '!E28/(('Consolidated Statements  '!M34+'Consolidated Statements  '!N34)/2)</f>
        <v>3.1902437088195602E-2</v>
      </c>
      <c r="F23" s="3">
        <f>'Consolidated Statements  '!F28/(('Consolidated Statements  '!N34+'Consolidated Statements  '!O34)/2)</f>
        <v>4.2132054676226292E-2</v>
      </c>
      <c r="G23" s="3">
        <f>'Consolidated Statements  '!G28/(('Consolidated Statements  '!O34+'Consolidated Statements  '!P34)/2)</f>
        <v>4.4290275752979613E-2</v>
      </c>
      <c r="H23" s="3"/>
      <c r="I23" s="3"/>
      <c r="J23" s="3"/>
    </row>
    <row r="24" spans="2:10" ht="15" customHeight="1" x14ac:dyDescent="0.3">
      <c r="B24" t="s">
        <v>35</v>
      </c>
      <c r="C24" s="4">
        <f>('Consolidated Statements  '!C28/'Consolidated Statements  '!L40)*('Consolidated Statements  '!C28-ABS('Consolidated Statements  '!T50))/'Consolidated Statements  '!C28</f>
        <v>0.1369258863659856</v>
      </c>
      <c r="D24" s="4">
        <f>('Consolidated Statements  '!D28/((('Consolidated Statements  '!L40+'Consolidated Statements  '!M40)/2)))*('Consolidated Statements  '!D28-ABS('Consolidated Statements  '!U50))/'Consolidated Statements  '!D28</f>
        <v>6.4958218997565971E-3</v>
      </c>
      <c r="E24" s="4">
        <f>('Consolidated Statements  '!E28/((('Consolidated Statements  '!M40+'Consolidated Statements  '!N40)/2)))*('Consolidated Statements  '!E28-ABS('Consolidated Statements  '!V50))/'Consolidated Statements  '!E28</f>
        <v>3.4701471813385169E-2</v>
      </c>
      <c r="F24" s="4">
        <f>('Consolidated Statements  '!F28/((('Consolidated Statements  '!N40+'Consolidated Statements  '!O40)/2)))*('Consolidated Statements  '!F28-ABS('Consolidated Statements  '!W50))/'Consolidated Statements  '!F28</f>
        <v>2.7700924545787559E-2</v>
      </c>
      <c r="G24" s="4">
        <f>('Consolidated Statements  '!G28/((('Consolidated Statements  '!O40+'Consolidated Statements  '!P40)/2)))*('Consolidated Statements  '!G28-ABS('Consolidated Statements  '!X50))/'Consolidated Statements  '!G28</f>
        <v>4.5419677625825113E-2</v>
      </c>
      <c r="H24" s="3"/>
      <c r="I24" s="4"/>
      <c r="J24" s="4"/>
    </row>
    <row r="25" spans="2:10" ht="15" customHeight="1" x14ac:dyDescent="0.3">
      <c r="B25" t="s">
        <v>36</v>
      </c>
      <c r="C25" s="4">
        <f>('Consolidated Statements  '!C7-'Consolidated Statements  '!C16)/'Consolidated Statements  '!C12</f>
        <v>19.658578856152506</v>
      </c>
      <c r="D25" s="4">
        <f>('Consolidated Statements  '!D7-'Consolidated Statements  '!D16)/'Consolidated Statements  '!D12</f>
        <v>19.247041420118347</v>
      </c>
      <c r="E25" s="4">
        <f>('Consolidated Statements  '!E7-'Consolidated Statements  '!E16)/'Consolidated Statements  '!E12</f>
        <v>3.2350835322195692</v>
      </c>
      <c r="F25" s="4">
        <f>('Consolidated Statements  '!F7-'Consolidated Statements  '!F16)/'Consolidated Statements  '!F12</f>
        <v>1.6635878489326756</v>
      </c>
      <c r="G25" s="4">
        <f>('Consolidated Statements  '!G7-'Consolidated Statements  '!G16)/'Consolidated Statements  '!G12</f>
        <v>1.9836193447737909</v>
      </c>
      <c r="H25" s="3"/>
      <c r="I25" s="4"/>
      <c r="J25" s="4"/>
    </row>
    <row r="26" spans="2:10" ht="15" customHeight="1" x14ac:dyDescent="0.3">
      <c r="H26" s="3"/>
    </row>
    <row r="27" spans="2:10" ht="15" customHeight="1" x14ac:dyDescent="0.3">
      <c r="B27" t="s">
        <v>37</v>
      </c>
      <c r="C27" s="4">
        <f>'Consolidated Statements  '!C7/'Consolidated Statements  '!L25</f>
        <v>0.39737505601356199</v>
      </c>
      <c r="D27" s="4">
        <f>'Consolidated Statements  '!D7/((('Consolidated Statements  '!L25+'Consolidated Statements  '!M25)/2))</f>
        <v>0.43152612144525554</v>
      </c>
      <c r="E27" s="4">
        <f>'Consolidated Statements  '!E7/((('Consolidated Statements  '!M25+'Consolidated Statements  '!N25)/2))</f>
        <v>0.31890144236078899</v>
      </c>
      <c r="F27" s="4">
        <f>'Consolidated Statements  '!F7/((('Consolidated Statements  '!N25+'Consolidated Statements  '!O25)/2))</f>
        <v>0.28897778723286177</v>
      </c>
      <c r="G27" s="4">
        <f>'Consolidated Statements  '!G7/((('Consolidated Statements  '!O25+'Consolidated Statements  '!P25)/2))</f>
        <v>0.28676544202976145</v>
      </c>
      <c r="H27" s="3"/>
      <c r="I27" s="4"/>
      <c r="J27" s="4"/>
    </row>
    <row r="28" spans="2:10" ht="15" customHeight="1" x14ac:dyDescent="0.3">
      <c r="B28" t="s">
        <v>38</v>
      </c>
      <c r="C28" s="4">
        <f>('Consolidated Statements  '!C10+'Consolidated Statements  '!C11+'Consolidated Statements  '!C12)/'Consolidated Statements  '!L49</f>
        <v>0.91016840455096071</v>
      </c>
      <c r="D28" s="4">
        <f>('Consolidated Statements  '!D10+'Consolidated Statements  '!D11+'Consolidated Statements  '!D12)/((('Consolidated Statements  '!L49+'Consolidated Statements  '!M49)/2))</f>
        <v>1.1186225600577249</v>
      </c>
      <c r="E28" s="4">
        <f>('Consolidated Statements  '!E10+'Consolidated Statements  '!E11+'Consolidated Statements  '!E12)/((('Consolidated Statements  '!M49+'Consolidated Statements  '!N49)/2))</f>
        <v>1.0006494307205391</v>
      </c>
      <c r="F28" s="4">
        <f>('Consolidated Statements  '!F10+'Consolidated Statements  '!F11+'Consolidated Statements  '!F12)/((('Consolidated Statements  '!N49+'Consolidated Statements  '!O49)/2))</f>
        <v>0.76936672990562183</v>
      </c>
      <c r="G28" s="4">
        <f>('Consolidated Statements  '!G10+'Consolidated Statements  '!G11+'Consolidated Statements  '!G12)/((('Consolidated Statements  '!O49+'Consolidated Statements  '!P49)/2))</f>
        <v>0.7849677601441567</v>
      </c>
      <c r="H28" s="3"/>
      <c r="I28" s="4"/>
      <c r="J28" s="4"/>
    </row>
    <row r="29" spans="2:10" ht="15" customHeight="1" x14ac:dyDescent="0.3">
      <c r="B29" t="s">
        <v>39</v>
      </c>
      <c r="C29" s="4">
        <f>('Consolidated Statements  '!C10+'Consolidated Statements  '!C11+'Consolidated Statements  '!C12)/'Consolidated Statements  '!L18</f>
        <v>2.0528768884603017</v>
      </c>
      <c r="D29" s="4">
        <f>('Consolidated Statements  '!D10+'Consolidated Statements  '!D11+'Consolidated Statements  '!D12)/((('Consolidated Statements  '!L18+'Consolidated Statements  '!M18)/2))</f>
        <v>2.1589512101421433</v>
      </c>
      <c r="E29" s="4">
        <f>('Consolidated Statements  '!E10+'Consolidated Statements  '!E11+'Consolidated Statements  '!E12)/((('Consolidated Statements  '!M18+'Consolidated Statements  '!N18)/2))</f>
        <v>1.8606826762867055</v>
      </c>
      <c r="F29" s="4">
        <f>('Consolidated Statements  '!F10+'Consolidated Statements  '!F11+'Consolidated Statements  '!F12)/((('Consolidated Statements  '!N18+'Consolidated Statements  '!O18)/2))</f>
        <v>1.7435021115416431</v>
      </c>
      <c r="G29" s="4">
        <f>('Consolidated Statements  '!G10+'Consolidated Statements  '!G11+'Consolidated Statements  '!G12)/((('Consolidated Statements  '!O18+'Consolidated Statements  '!P18)/2))</f>
        <v>1.8307037974683547</v>
      </c>
      <c r="H29" s="3"/>
      <c r="I29" s="4"/>
      <c r="J29" s="4"/>
    </row>
    <row r="30" spans="2:10" ht="15" customHeight="1" x14ac:dyDescent="0.3">
      <c r="B30" t="s">
        <v>40</v>
      </c>
      <c r="C30" s="4">
        <f>'Consolidated Statements  '!C7/'Consolidated Statements  '!L15</f>
        <v>0.67390289235389444</v>
      </c>
      <c r="D30" s="4">
        <f>'Consolidated Statements  '!D7/((('Consolidated Statements  '!L15+'Consolidated Statements  '!M15)/2))</f>
        <v>0.73171624394898627</v>
      </c>
      <c r="E30" s="4">
        <f>'Consolidated Statements  '!E7/((('Consolidated Statements  '!M15+'Consolidated Statements  '!N15)/2))</f>
        <v>0.35299169330635749</v>
      </c>
      <c r="F30" s="4">
        <f>'Consolidated Statements  '!F7/((('Consolidated Statements  '!N15+'Consolidated Statements  '!O15)/2))</f>
        <v>0.30799624596796449</v>
      </c>
      <c r="G30" s="4">
        <f>'Consolidated Statements  '!G7/((('Consolidated Statements  '!O15+'Consolidated Statements  '!P15)/2))</f>
        <v>0.33970954348287935</v>
      </c>
      <c r="H30" s="3"/>
      <c r="I30" s="4"/>
      <c r="J30" s="4"/>
    </row>
    <row r="31" spans="2:10" ht="15" customHeight="1" x14ac:dyDescent="0.3">
      <c r="B31" t="s">
        <v>41</v>
      </c>
      <c r="C31" s="4">
        <f>'Consolidated Statements  '!C7/('Consolidated Statements  '!L40+'Consolidated Statements  '!L28)</f>
        <v>1.2680115770251179</v>
      </c>
      <c r="D31" s="4">
        <f>'Consolidated Statements  '!D7/(((('Consolidated Statements  '!L40+'Consolidated Statements  '!L28)+('Consolidated Statements  '!M40+'Consolidated Statements  '!M28))/2))</f>
        <v>1.3017534068182874</v>
      </c>
      <c r="E31" s="4">
        <f>'Consolidated Statements  '!E7/(((('Consolidated Statements  '!M40+'Consolidated Statements  '!M28)+('Consolidated Statements  '!N40+'Consolidated Statements  '!N28))/2))</f>
        <v>0.64149402943626765</v>
      </c>
      <c r="F31" s="4">
        <f>'Consolidated Statements  '!F7/(((('Consolidated Statements  '!N40+'Consolidated Statements  '!N28)+('Consolidated Statements  '!O40+'Consolidated Statements  '!O28))/2))</f>
        <v>0.52738779099897193</v>
      </c>
      <c r="G31" s="4">
        <f>'Consolidated Statements  '!G7/(((('Consolidated Statements  '!O40+'Consolidated Statements  '!O28)+('Consolidated Statements  '!P40+'Consolidated Statements  '!P28))/2))</f>
        <v>0.53647271122316198</v>
      </c>
      <c r="H31" s="3"/>
      <c r="I31" s="4"/>
      <c r="J31" s="4"/>
    </row>
    <row r="32" spans="2:10" ht="15" customHeight="1" x14ac:dyDescent="0.3">
      <c r="H32" s="3"/>
    </row>
    <row r="33" spans="2:10" ht="15" customHeight="1" x14ac:dyDescent="0.3">
      <c r="B33" t="s">
        <v>42</v>
      </c>
      <c r="C33" s="4">
        <f t="shared" ref="C33:G35" si="0">365/C27</f>
        <v>918.52770946836415</v>
      </c>
      <c r="D33" s="4">
        <f t="shared" si="0"/>
        <v>845.83523884383158</v>
      </c>
      <c r="E33" s="4">
        <f t="shared" si="0"/>
        <v>1144.554246283582</v>
      </c>
      <c r="F33" s="4">
        <f t="shared" si="0"/>
        <v>1263.0728593193865</v>
      </c>
      <c r="G33" s="4">
        <f t="shared" si="0"/>
        <v>1272.8172453991829</v>
      </c>
      <c r="H33" s="3"/>
      <c r="I33" s="4"/>
      <c r="J33" s="4"/>
    </row>
    <row r="34" spans="2:10" ht="15" customHeight="1" x14ac:dyDescent="0.3">
      <c r="B34" t="s">
        <v>43</v>
      </c>
      <c r="C34" s="4">
        <f t="shared" si="0"/>
        <v>401.02468749184482</v>
      </c>
      <c r="D34" s="4">
        <f t="shared" si="0"/>
        <v>326.29415231994312</v>
      </c>
      <c r="E34" s="4">
        <f t="shared" si="0"/>
        <v>364.76311162958831</v>
      </c>
      <c r="F34" s="4">
        <f t="shared" si="0"/>
        <v>474.41614747855618</v>
      </c>
      <c r="G34" s="4">
        <f t="shared" si="0"/>
        <v>464.98724983682001</v>
      </c>
      <c r="H34" s="3"/>
      <c r="I34" s="4"/>
      <c r="J34" s="4"/>
    </row>
    <row r="35" spans="2:10" ht="15" customHeight="1" x14ac:dyDescent="0.3">
      <c r="B35" t="s">
        <v>44</v>
      </c>
      <c r="C35" s="4">
        <f t="shared" si="0"/>
        <v>177.7992640726533</v>
      </c>
      <c r="D35" s="4">
        <f t="shared" si="0"/>
        <v>169.06357044352509</v>
      </c>
      <c r="E35" s="4">
        <f t="shared" si="0"/>
        <v>196.16456080970065</v>
      </c>
      <c r="F35" s="4">
        <f t="shared" si="0"/>
        <v>209.34875706990621</v>
      </c>
      <c r="G35" s="4">
        <f t="shared" si="0"/>
        <v>199.37687380380788</v>
      </c>
      <c r="H35" s="3"/>
      <c r="I35" s="4"/>
      <c r="J35" s="4"/>
    </row>
    <row r="36" spans="2:10" ht="15" customHeight="1" x14ac:dyDescent="0.3">
      <c r="B36" t="s">
        <v>45</v>
      </c>
      <c r="C36" s="4">
        <f>C33+C35-C34</f>
        <v>695.30228604917261</v>
      </c>
      <c r="D36" s="4">
        <f>D33+D35-D34</f>
        <v>688.60465696741358</v>
      </c>
      <c r="E36" s="4">
        <f>E33+E35-E34</f>
        <v>975.95569546369416</v>
      </c>
      <c r="F36" s="4">
        <f>F33+F35-F34</f>
        <v>998.00546891073645</v>
      </c>
      <c r="G36" s="4">
        <f>G33+G35-G34</f>
        <v>1007.2068693661708</v>
      </c>
      <c r="H36" s="3"/>
      <c r="I36" s="4"/>
      <c r="J36" s="4"/>
    </row>
    <row r="37" spans="2:10" ht="15" customHeight="1" x14ac:dyDescent="0.3">
      <c r="H37" s="3"/>
    </row>
    <row r="38" spans="2:10" ht="15" customHeight="1" x14ac:dyDescent="0.3">
      <c r="C38" s="3"/>
      <c r="D38" s="3"/>
      <c r="E38" s="3"/>
      <c r="F38" s="3"/>
      <c r="G38" s="3"/>
      <c r="H38" s="3"/>
      <c r="I38" s="3"/>
      <c r="J38" s="3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7160570-2464-4165-8104-847C94BF7E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'Ratios '!D5:G5</xm:f>
              <xm:sqref>H5</xm:sqref>
            </x14:sparkline>
            <x14:sparkline>
              <xm:f>'Ratios '!D6:G6</xm:f>
              <xm:sqref>H6</xm:sqref>
            </x14:sparkline>
            <x14:sparkline>
              <xm:f>'Ratios '!D7:G7</xm:f>
              <xm:sqref>H7</xm:sqref>
            </x14:sparkline>
            <x14:sparkline>
              <xm:f>'Ratios '!D8:G8</xm:f>
              <xm:sqref>H8</xm:sqref>
            </x14:sparkline>
            <x14:sparkline>
              <xm:f>'Ratios '!D9:G9</xm:f>
              <xm:sqref>H9</xm:sqref>
            </x14:sparkline>
          </x14:sparklines>
        </x14:sparklineGroup>
        <x14:sparklineGroup displayEmptyCellsAs="gap" xr2:uid="{13BDD5E0-5245-4527-A31E-F894DE60E5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'Ratios '!C11:G11</xm:f>
              <xm:sqref>H11</xm:sqref>
            </x14:sparkline>
            <x14:sparkline>
              <xm:f>'Ratios '!C12:G12</xm:f>
              <xm:sqref>H12</xm:sqref>
            </x14:sparkline>
            <x14:sparkline>
              <xm:f>'Ratios '!C13:G13</xm:f>
              <xm:sqref>H13</xm:sqref>
            </x14:sparkline>
            <x14:sparkline>
              <xm:f>'Ratios '!C14:G14</xm:f>
              <xm:sqref>H14</xm:sqref>
            </x14:sparkline>
            <x14:sparkline>
              <xm:f>'Ratios '!C15:G15</xm:f>
              <xm:sqref>H15</xm:sqref>
            </x14:sparkline>
          </x14:sparklines>
        </x14:sparklineGroup>
        <x14:sparklineGroup displayEmptyCellsAs="gap" xr2:uid="{A6EE1C22-179A-4BB2-959E-744D13E0A0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'Ratios '!C17:G17</xm:f>
              <xm:sqref>H17</xm:sqref>
            </x14:sparkline>
            <x14:sparkline>
              <xm:f>'Ratios '!C18:G18</xm:f>
              <xm:sqref>H18</xm:sqref>
            </x14:sparkline>
            <x14:sparkline>
              <xm:f>'Ratios '!C19:G19</xm:f>
              <xm:sqref>H19</xm:sqref>
            </x14:sparkline>
            <x14:sparkline>
              <xm:f>'Ratios '!C20:G20</xm:f>
              <xm:sqref>H20</xm:sqref>
            </x14:sparkline>
            <x14:sparkline>
              <xm:f>'Ratios '!C21:G21</xm:f>
              <xm:sqref>H21</xm:sqref>
            </x14:sparkline>
            <x14:sparkline>
              <xm:f>'Ratios '!C22:G22</xm:f>
              <xm:sqref>H22</xm:sqref>
            </x14:sparkline>
            <x14:sparkline>
              <xm:f>'Ratios '!C23:G23</xm:f>
              <xm:sqref>H23</xm:sqref>
            </x14:sparkline>
            <x14:sparkline>
              <xm:f>'Ratios '!C24:G24</xm:f>
              <xm:sqref>H24</xm:sqref>
            </x14:sparkline>
            <x14:sparkline>
              <xm:f>'Ratios '!C25:G25</xm:f>
              <xm:sqref>H25</xm:sqref>
            </x14:sparkline>
            <x14:sparkline>
              <xm:f>'Ratios '!C26:G26</xm:f>
              <xm:sqref>H26</xm:sqref>
            </x14:sparkline>
            <x14:sparkline>
              <xm:f>'Ratios '!C27:G27</xm:f>
              <xm:sqref>H27</xm:sqref>
            </x14:sparkline>
            <x14:sparkline>
              <xm:f>'Ratios '!C28:G28</xm:f>
              <xm:sqref>H28</xm:sqref>
            </x14:sparkline>
            <x14:sparkline>
              <xm:f>'Ratios '!C29:G29</xm:f>
              <xm:sqref>H29</xm:sqref>
            </x14:sparkline>
            <x14:sparkline>
              <xm:f>'Ratios '!C30:G30</xm:f>
              <xm:sqref>H30</xm:sqref>
            </x14:sparkline>
            <x14:sparkline>
              <xm:f>'Ratios '!C31:G31</xm:f>
              <xm:sqref>H31</xm:sqref>
            </x14:sparkline>
            <x14:sparkline>
              <xm:f>'Ratios '!C32:G32</xm:f>
              <xm:sqref>H32</xm:sqref>
            </x14:sparkline>
            <x14:sparkline>
              <xm:f>'Ratios '!C33:G33</xm:f>
              <xm:sqref>H33</xm:sqref>
            </x14:sparkline>
            <x14:sparkline>
              <xm:f>'Ratios '!C34:G34</xm:f>
              <xm:sqref>H34</xm:sqref>
            </x14:sparkline>
            <x14:sparkline>
              <xm:f>'Ratios '!C35:G35</xm:f>
              <xm:sqref>H35</xm:sqref>
            </x14:sparkline>
            <x14:sparkline>
              <xm:f>'Ratios '!C36:G36</xm:f>
              <xm:sqref>H36</xm:sqref>
            </x14:sparkline>
            <x14:sparkline>
              <xm:f>'Ratios '!C37:G37</xm:f>
              <xm:sqref>H37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8"/>
  <sheetViews>
    <sheetView showGridLines="0" zoomScale="56" zoomScaleNormal="100" workbookViewId="0">
      <selection activeCell="F63" sqref="F63"/>
    </sheetView>
  </sheetViews>
  <sheetFormatPr defaultColWidth="8.6640625" defaultRowHeight="14.4" x14ac:dyDescent="0.3"/>
  <cols>
    <col min="2" max="2" width="10.88671875" bestFit="1" customWidth="1"/>
    <col min="3" max="3" width="9.6640625" bestFit="1" customWidth="1"/>
    <col min="8" max="8" width="10.21875" bestFit="1" customWidth="1"/>
    <col min="9" max="9" width="6.21875" bestFit="1" customWidth="1"/>
    <col min="10" max="10" width="5.21875" bestFit="1" customWidth="1"/>
    <col min="11" max="12" width="6.88671875" bestFit="1" customWidth="1"/>
    <col min="13" max="13" width="14.5546875" bestFit="1" customWidth="1"/>
    <col min="14" max="14" width="89.21875" bestFit="1" customWidth="1"/>
    <col min="15" max="15" width="25.33203125" bestFit="1" customWidth="1"/>
    <col min="16" max="16" width="17.77734375" bestFit="1" customWidth="1"/>
    <col min="17" max="17" width="13.6640625" bestFit="1" customWidth="1"/>
    <col min="18" max="18" width="8.6640625" bestFit="1" customWidth="1"/>
  </cols>
  <sheetData>
    <row r="1" spans="2:18" ht="15" customHeight="1" x14ac:dyDescent="0.3"/>
    <row r="2" spans="2:18" ht="15" customHeight="1" x14ac:dyDescent="0.3">
      <c r="B2" s="248"/>
      <c r="C2" s="248"/>
      <c r="D2" s="248"/>
    </row>
    <row r="3" spans="2:18" ht="15" customHeight="1" x14ac:dyDescent="0.3">
      <c r="M3" s="5" t="s">
        <v>47</v>
      </c>
    </row>
    <row r="4" spans="2:18" ht="90.75" customHeight="1" x14ac:dyDescent="0.3">
      <c r="M4" s="296" t="s">
        <v>46</v>
      </c>
      <c r="N4" s="296"/>
      <c r="O4" s="296"/>
    </row>
    <row r="5" spans="2:18" ht="15" customHeight="1" x14ac:dyDescent="0.3">
      <c r="M5" s="296"/>
      <c r="N5" s="296"/>
      <c r="O5" s="296"/>
    </row>
    <row r="6" spans="2:18" ht="15" customHeight="1" x14ac:dyDescent="0.3">
      <c r="M6" s="296"/>
      <c r="N6" s="296"/>
      <c r="O6" s="296"/>
    </row>
    <row r="7" spans="2:18" ht="15" customHeight="1" x14ac:dyDescent="0.3">
      <c r="M7" s="296"/>
      <c r="N7" s="296"/>
      <c r="O7" s="296"/>
    </row>
    <row r="8" spans="2:18" ht="15" customHeight="1" x14ac:dyDescent="0.3"/>
    <row r="9" spans="2:18" ht="15" customHeight="1" x14ac:dyDescent="0.3"/>
    <row r="10" spans="2:18" ht="15" customHeight="1" x14ac:dyDescent="0.3"/>
    <row r="11" spans="2:18" ht="15" customHeight="1" x14ac:dyDescent="0.3">
      <c r="M11" s="6" t="s">
        <v>48</v>
      </c>
      <c r="N11" s="6" t="s">
        <v>49</v>
      </c>
      <c r="O11" s="6" t="s">
        <v>50</v>
      </c>
      <c r="P11" s="7" t="s">
        <v>51</v>
      </c>
      <c r="Q11" s="7" t="s">
        <v>52</v>
      </c>
      <c r="R11" s="7" t="s">
        <v>53</v>
      </c>
    </row>
    <row r="12" spans="2:18" ht="15" customHeight="1" x14ac:dyDescent="0.3">
      <c r="M12" s="8" t="s">
        <v>54</v>
      </c>
      <c r="N12" s="9">
        <v>12965</v>
      </c>
      <c r="O12" s="9">
        <v>2215</v>
      </c>
      <c r="P12" s="10">
        <v>2.34449005367856E-2</v>
      </c>
      <c r="Q12" s="10">
        <v>0.22308117062396501</v>
      </c>
      <c r="R12" s="10">
        <v>0.20399999999999999</v>
      </c>
    </row>
    <row r="13" spans="2:18" ht="14.25" customHeight="1" x14ac:dyDescent="0.3">
      <c r="M13" s="8" t="s">
        <v>55</v>
      </c>
      <c r="N13" s="9">
        <v>12668</v>
      </c>
      <c r="O13" s="9">
        <v>1811</v>
      </c>
      <c r="P13" s="10">
        <v>9.2163117510130205E-2</v>
      </c>
      <c r="Q13" s="10">
        <v>0.798411122144985</v>
      </c>
      <c r="R13" s="10">
        <v>0.20399999999999999</v>
      </c>
    </row>
    <row r="14" spans="2:18" ht="15" customHeight="1" x14ac:dyDescent="0.3">
      <c r="M14" s="8" t="s">
        <v>56</v>
      </c>
      <c r="N14" s="9">
        <v>11599</v>
      </c>
      <c r="O14" s="9">
        <v>1007</v>
      </c>
      <c r="P14" s="10">
        <v>9.0746661651307098E-2</v>
      </c>
      <c r="Q14" s="10">
        <v>-0.400595238095238</v>
      </c>
      <c r="R14" s="10">
        <v>0.20399999999999999</v>
      </c>
    </row>
    <row r="15" spans="2:18" ht="15" customHeight="1" x14ac:dyDescent="0.3">
      <c r="M15" s="8" t="s">
        <v>57</v>
      </c>
      <c r="N15" s="9">
        <v>10634</v>
      </c>
      <c r="O15" s="9">
        <v>1680</v>
      </c>
      <c r="P15" s="10">
        <v>0.199548787366046</v>
      </c>
      <c r="Q15" s="10">
        <v>3.831891223733E-2</v>
      </c>
      <c r="R15" s="10">
        <v>0.20399999999999999</v>
      </c>
    </row>
    <row r="16" spans="2:18" ht="15" customHeight="1" x14ac:dyDescent="0.3">
      <c r="M16" s="8" t="s">
        <v>60</v>
      </c>
      <c r="N16" s="9">
        <v>8865</v>
      </c>
      <c r="O16" s="9">
        <v>1618</v>
      </c>
      <c r="P16" s="8" t="s">
        <v>61</v>
      </c>
      <c r="Q16" s="8" t="s">
        <v>61</v>
      </c>
      <c r="R16" s="10">
        <v>0.20399999999999999</v>
      </c>
    </row>
    <row r="17" spans="2:14" ht="15" customHeight="1" x14ac:dyDescent="0.3"/>
    <row r="18" spans="2:14" ht="15" customHeight="1" x14ac:dyDescent="0.3"/>
    <row r="19" spans="2:14" ht="15" customHeight="1" x14ac:dyDescent="0.3"/>
    <row r="20" spans="2:14" ht="15" customHeight="1" x14ac:dyDescent="0.3">
      <c r="N20" t="s">
        <v>1612</v>
      </c>
    </row>
    <row r="21" spans="2:14" ht="15" customHeight="1" x14ac:dyDescent="0.3"/>
    <row r="22" spans="2:14" ht="15" customHeight="1" x14ac:dyDescent="0.3"/>
    <row r="23" spans="2:14" ht="15" customHeight="1" x14ac:dyDescent="0.3"/>
    <row r="24" spans="2:14" ht="15" customHeight="1" x14ac:dyDescent="0.3"/>
    <row r="25" spans="2:14" ht="15" customHeight="1" x14ac:dyDescent="0.3"/>
    <row r="26" spans="2:14" ht="15" customHeight="1" x14ac:dyDescent="0.3">
      <c r="H26" t="s">
        <v>54</v>
      </c>
      <c r="I26">
        <v>15262</v>
      </c>
      <c r="J26">
        <v>1429</v>
      </c>
      <c r="K26">
        <v>3.4000000000000002E-2</v>
      </c>
      <c r="L26">
        <v>0.10100000000000001</v>
      </c>
      <c r="M26">
        <v>6.25E-2</v>
      </c>
    </row>
    <row r="27" spans="2:14" ht="15" customHeight="1" x14ac:dyDescent="0.3">
      <c r="B27" s="6" t="s">
        <v>58</v>
      </c>
      <c r="C27" s="6" t="s">
        <v>59</v>
      </c>
      <c r="H27" t="s">
        <v>55</v>
      </c>
      <c r="I27">
        <v>14756</v>
      </c>
      <c r="J27">
        <v>1298</v>
      </c>
      <c r="K27">
        <v>0.318</v>
      </c>
      <c r="L27">
        <v>-0.107</v>
      </c>
      <c r="M27">
        <v>6.25E-2</v>
      </c>
    </row>
    <row r="28" spans="2:14" ht="15" customHeight="1" x14ac:dyDescent="0.3">
      <c r="B28" s="8" t="s">
        <v>62</v>
      </c>
      <c r="C28" s="8" t="s">
        <v>63</v>
      </c>
      <c r="H28" t="s">
        <v>56</v>
      </c>
      <c r="I28">
        <v>11174</v>
      </c>
      <c r="J28">
        <v>643</v>
      </c>
      <c r="K28">
        <v>0.36599999999999999</v>
      </c>
      <c r="L28">
        <v>0.16600000000000001</v>
      </c>
      <c r="M28">
        <v>6.25E-2</v>
      </c>
    </row>
    <row r="29" spans="2:14" ht="15" customHeight="1" x14ac:dyDescent="0.3">
      <c r="B29" s="8" t="s">
        <v>64</v>
      </c>
      <c r="C29" s="11">
        <v>352</v>
      </c>
      <c r="H29" t="s">
        <v>57</v>
      </c>
      <c r="I29">
        <v>8184</v>
      </c>
      <c r="J29">
        <v>772</v>
      </c>
      <c r="K29">
        <v>0.14499999999999999</v>
      </c>
      <c r="L29">
        <v>-8.7999999999999995E-2</v>
      </c>
      <c r="M29">
        <v>6.25E-2</v>
      </c>
    </row>
    <row r="30" spans="2:14" ht="15" customHeight="1" x14ac:dyDescent="0.3">
      <c r="B30" s="8" t="s">
        <v>65</v>
      </c>
      <c r="C30" s="8" t="s">
        <v>66</v>
      </c>
      <c r="H30" t="s">
        <v>60</v>
      </c>
      <c r="I30">
        <v>7143</v>
      </c>
      <c r="J30">
        <v>846</v>
      </c>
      <c r="K30">
        <v>-0.17199999999999999</v>
      </c>
      <c r="L30">
        <v>7.8E-2</v>
      </c>
      <c r="M30">
        <v>6.25E-2</v>
      </c>
    </row>
    <row r="31" spans="2:14" ht="15" customHeight="1" x14ac:dyDescent="0.3">
      <c r="B31" s="8" t="s">
        <v>67</v>
      </c>
      <c r="C31" s="11">
        <v>69.5</v>
      </c>
    </row>
    <row r="32" spans="2:14" ht="14.25" customHeight="1" x14ac:dyDescent="0.3">
      <c r="B32" s="8" t="s">
        <v>68</v>
      </c>
      <c r="C32" s="11">
        <v>200</v>
      </c>
      <c r="M32" s="12"/>
    </row>
    <row r="33" spans="2:3" ht="15" customHeight="1" x14ac:dyDescent="0.3">
      <c r="B33" s="8" t="s">
        <v>69</v>
      </c>
      <c r="C33" s="10">
        <v>1.4E-3</v>
      </c>
    </row>
    <row r="34" spans="2:3" ht="15" customHeight="1" x14ac:dyDescent="0.3">
      <c r="B34" s="8" t="s">
        <v>70</v>
      </c>
      <c r="C34" s="10">
        <v>6.25E-2</v>
      </c>
    </row>
    <row r="35" spans="2:3" ht="15" customHeight="1" x14ac:dyDescent="0.3">
      <c r="B35" s="8" t="s">
        <v>71</v>
      </c>
      <c r="C35" s="10">
        <v>4.7600000000000003E-2</v>
      </c>
    </row>
    <row r="36" spans="2:3" ht="15" customHeight="1" x14ac:dyDescent="0.3">
      <c r="B36" s="8" t="s">
        <v>72</v>
      </c>
      <c r="C36" s="11">
        <v>5</v>
      </c>
    </row>
    <row r="37" spans="2:3" ht="15" customHeight="1" x14ac:dyDescent="0.3"/>
    <row r="38" spans="2:3" ht="15" customHeight="1" x14ac:dyDescent="0.3"/>
    <row r="39" spans="2:3" ht="15" customHeight="1" x14ac:dyDescent="0.3"/>
    <row r="40" spans="2:3" ht="15" customHeight="1" x14ac:dyDescent="0.3"/>
    <row r="41" spans="2:3" ht="15" customHeight="1" x14ac:dyDescent="0.3"/>
    <row r="42" spans="2:3" ht="15" customHeight="1" x14ac:dyDescent="0.3"/>
    <row r="43" spans="2:3" ht="15" customHeight="1" x14ac:dyDescent="0.3"/>
    <row r="44" spans="2:3" ht="15" customHeight="1" x14ac:dyDescent="0.3"/>
    <row r="45" spans="2:3" ht="15" customHeight="1" x14ac:dyDescent="0.3"/>
    <row r="46" spans="2:3" ht="15" customHeight="1" x14ac:dyDescent="0.3"/>
    <row r="47" spans="2:3" ht="15" customHeight="1" x14ac:dyDescent="0.3"/>
    <row r="48" spans="2:3" ht="15" customHeight="1" x14ac:dyDescent="0.3">
      <c r="B48" s="13"/>
    </row>
  </sheetData>
  <mergeCells count="1">
    <mergeCell ref="M4:O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4"/>
  <sheetViews>
    <sheetView showGridLines="0" topLeftCell="A18" zoomScale="68" zoomScaleNormal="100" workbookViewId="0">
      <selection activeCell="F63" sqref="F63"/>
    </sheetView>
  </sheetViews>
  <sheetFormatPr defaultColWidth="8.88671875" defaultRowHeight="15.6" x14ac:dyDescent="0.3"/>
  <cols>
    <col min="1" max="1" width="1.88671875" style="22" customWidth="1"/>
    <col min="2" max="2" width="8.88671875" style="22" customWidth="1"/>
    <col min="3" max="3" width="35" style="22" bestFit="1" customWidth="1"/>
    <col min="4" max="4" width="39.109375" style="22" bestFit="1" customWidth="1"/>
    <col min="5" max="9" width="8.44140625" style="22" bestFit="1" customWidth="1"/>
    <col min="10" max="11" width="8.88671875" style="22" customWidth="1"/>
    <col min="12" max="12" width="11.33203125" style="22" customWidth="1"/>
    <col min="13" max="13" width="8.88671875" style="22" customWidth="1"/>
    <col min="14" max="16384" width="8.88671875" style="22"/>
  </cols>
  <sheetData>
    <row r="1" spans="2:14" ht="15" customHeight="1" x14ac:dyDescent="0.3">
      <c r="B1" s="23"/>
      <c r="C1" s="23"/>
      <c r="D1" s="23"/>
      <c r="E1" s="23"/>
      <c r="F1" s="23"/>
      <c r="G1" s="23"/>
      <c r="H1" s="23"/>
      <c r="I1" s="23"/>
    </row>
    <row r="2" spans="2:14" ht="15" customHeight="1" x14ac:dyDescent="0.3">
      <c r="B2" s="259"/>
      <c r="C2" s="260" t="s">
        <v>182</v>
      </c>
      <c r="D2" s="261" t="s">
        <v>183</v>
      </c>
      <c r="E2" s="24"/>
      <c r="F2" s="24"/>
      <c r="G2" s="24"/>
      <c r="H2" s="24"/>
      <c r="I2" s="24"/>
    </row>
    <row r="3" spans="2:14" ht="15" customHeight="1" x14ac:dyDescent="0.3">
      <c r="B3" s="25"/>
      <c r="C3" s="26"/>
      <c r="D3" s="27" t="s">
        <v>184</v>
      </c>
      <c r="E3" s="28"/>
      <c r="F3" s="28"/>
      <c r="G3" s="28"/>
      <c r="H3" s="28"/>
      <c r="I3" s="29"/>
    </row>
    <row r="4" spans="2:14" ht="15" customHeight="1" x14ac:dyDescent="0.3">
      <c r="B4" s="30"/>
      <c r="C4" s="31"/>
      <c r="D4" s="32"/>
      <c r="E4" s="33">
        <v>44256</v>
      </c>
      <c r="F4" s="33">
        <v>44621</v>
      </c>
      <c r="G4" s="33">
        <v>44986</v>
      </c>
      <c r="H4" s="33">
        <v>45352</v>
      </c>
      <c r="I4" s="34" t="s">
        <v>185</v>
      </c>
    </row>
    <row r="5" spans="2:14" ht="15" customHeight="1" x14ac:dyDescent="0.3">
      <c r="B5" s="35"/>
      <c r="C5" s="36" t="s">
        <v>186</v>
      </c>
      <c r="D5" s="35"/>
      <c r="E5" s="37"/>
      <c r="F5" s="37"/>
      <c r="G5" s="37"/>
      <c r="H5" s="37"/>
      <c r="I5" s="37"/>
    </row>
    <row r="6" spans="2:14" s="38" customFormat="1" ht="15" customHeight="1" x14ac:dyDescent="0.3">
      <c r="B6" s="39"/>
      <c r="C6" s="40" t="s">
        <v>187</v>
      </c>
      <c r="D6" s="39"/>
      <c r="E6" s="41">
        <f>'Consolidated Statements  '!C7</f>
        <v>736.03</v>
      </c>
      <c r="F6" s="41">
        <f>'Consolidated Statements  '!D7</f>
        <v>839.67</v>
      </c>
      <c r="G6" s="41">
        <f>'Consolidated Statements  '!E7</f>
        <v>1155.01</v>
      </c>
      <c r="H6" s="41">
        <f>'Consolidated Statements  '!F7</f>
        <v>1562.12</v>
      </c>
      <c r="I6" s="41">
        <f>'Consolidated Statements  '!G7</f>
        <v>1646.99</v>
      </c>
    </row>
    <row r="7" spans="2:14" ht="15" customHeight="1" x14ac:dyDescent="0.3">
      <c r="B7" s="42"/>
      <c r="C7" s="43" t="s">
        <v>188</v>
      </c>
      <c r="D7" s="42"/>
      <c r="E7" s="44"/>
      <c r="F7" s="45">
        <f>(F6-E6)/E6</f>
        <v>0.14080947787454315</v>
      </c>
      <c r="G7" s="45">
        <f>(G6-F6)/F6</f>
        <v>0.37555230030845455</v>
      </c>
      <c r="H7" s="45">
        <f>(H6-G6)/G6</f>
        <v>0.3524731387607033</v>
      </c>
      <c r="I7" s="45">
        <f>(I6-H6)/H6</f>
        <v>5.433001305917607E-2</v>
      </c>
    </row>
    <row r="8" spans="2:14" ht="15" customHeight="1" x14ac:dyDescent="0.3">
      <c r="B8" s="46"/>
      <c r="C8" s="47"/>
      <c r="D8" s="46"/>
      <c r="E8" s="48"/>
      <c r="F8" s="48"/>
      <c r="G8" s="48"/>
      <c r="H8" s="48"/>
      <c r="I8" s="48"/>
    </row>
    <row r="9" spans="2:14" ht="15" customHeight="1" x14ac:dyDescent="0.3">
      <c r="B9" s="49"/>
      <c r="C9" s="50" t="s">
        <v>189</v>
      </c>
      <c r="D9" s="49"/>
      <c r="E9" s="51">
        <f>'Consolidated Statements  '!C10</f>
        <v>220.85</v>
      </c>
      <c r="F9" s="51">
        <f>'Consolidated Statements  '!D10</f>
        <v>271.83999999999997</v>
      </c>
      <c r="G9" s="51">
        <f>'Consolidated Statements  '!E10</f>
        <v>366.31</v>
      </c>
      <c r="H9" s="51">
        <f>'Consolidated Statements  '!F10</f>
        <v>489.79</v>
      </c>
      <c r="I9" s="51">
        <f>'Consolidated Statements  '!G10</f>
        <v>519.75</v>
      </c>
    </row>
    <row r="10" spans="2:14" ht="15" customHeight="1" x14ac:dyDescent="0.3">
      <c r="B10" s="52"/>
      <c r="C10" s="53" t="s">
        <v>190</v>
      </c>
      <c r="D10" s="52"/>
      <c r="E10" s="51">
        <f>'Consolidated Statements  '!C11</f>
        <v>156.57</v>
      </c>
      <c r="F10" s="51">
        <f>'Consolidated Statements  '!D11</f>
        <v>170.98</v>
      </c>
      <c r="G10" s="51">
        <f>'Consolidated Statements  '!E11</f>
        <v>200.41</v>
      </c>
      <c r="H10" s="51">
        <f>'Consolidated Statements  '!F11</f>
        <v>213.7</v>
      </c>
      <c r="I10" s="51">
        <f>'Consolidated Statements  '!G11</f>
        <v>294.42</v>
      </c>
    </row>
    <row r="11" spans="2:14" ht="15" customHeight="1" x14ac:dyDescent="0.3">
      <c r="B11" s="49"/>
      <c r="C11" s="50" t="s">
        <v>191</v>
      </c>
      <c r="D11" s="49"/>
      <c r="E11" s="51">
        <f>'Consolidated Statements  '!C15+'Consolidated Statements  '!C14</f>
        <v>167.9</v>
      </c>
      <c r="F11" s="51">
        <f>'Consolidated Statements  '!D15+'Consolidated Statements  '!D14</f>
        <v>178.56</v>
      </c>
      <c r="G11" s="51">
        <f>'Consolidated Statements  '!E15+'Consolidated Statements  '!E14</f>
        <v>299.52999999999997</v>
      </c>
      <c r="H11" s="51">
        <f>'Consolidated Statements  '!F15+'Consolidated Statements  '!F14</f>
        <v>442.21000000000004</v>
      </c>
      <c r="I11" s="51">
        <f>'Consolidated Statements  '!G15+'Consolidated Statements  '!G14</f>
        <v>396.37</v>
      </c>
    </row>
    <row r="12" spans="2:14" s="38" customFormat="1" ht="15" customHeight="1" x14ac:dyDescent="0.3">
      <c r="B12" s="54"/>
      <c r="C12" s="55" t="s">
        <v>109</v>
      </c>
      <c r="D12" s="54"/>
      <c r="E12" s="41">
        <f>SUM(E9:E11)</f>
        <v>545.31999999999994</v>
      </c>
      <c r="F12" s="41">
        <f>SUM(F9:F11)</f>
        <v>621.37999999999988</v>
      </c>
      <c r="G12" s="41">
        <f>SUM(G9:G11)</f>
        <v>866.25</v>
      </c>
      <c r="H12" s="41">
        <f>SUM(H9:H11)</f>
        <v>1145.7</v>
      </c>
      <c r="I12" s="41">
        <f>SUM(I9:I11)</f>
        <v>1210.54</v>
      </c>
      <c r="N12" s="56"/>
    </row>
    <row r="13" spans="2:14" ht="15" customHeight="1" x14ac:dyDescent="0.3">
      <c r="B13" s="46"/>
      <c r="C13" s="47"/>
      <c r="D13" s="46"/>
      <c r="E13" s="48"/>
      <c r="F13" s="48"/>
      <c r="G13" s="48"/>
      <c r="H13" s="48"/>
      <c r="I13" s="48"/>
    </row>
    <row r="14" spans="2:14" s="38" customFormat="1" ht="15" customHeight="1" x14ac:dyDescent="0.3">
      <c r="B14" s="57"/>
      <c r="C14" s="58" t="s">
        <v>192</v>
      </c>
      <c r="D14" s="59"/>
      <c r="E14" s="60">
        <f>E6-E12</f>
        <v>190.71000000000004</v>
      </c>
      <c r="F14" s="60">
        <f>F6-F12</f>
        <v>218.29000000000008</v>
      </c>
      <c r="G14" s="60">
        <f>G6-G12</f>
        <v>288.76</v>
      </c>
      <c r="H14" s="60">
        <f>H6-H12</f>
        <v>416.41999999999985</v>
      </c>
      <c r="I14" s="59">
        <f>I6-I12</f>
        <v>436.45000000000005</v>
      </c>
    </row>
    <row r="15" spans="2:14" ht="15" customHeight="1" x14ac:dyDescent="0.3">
      <c r="B15" s="46"/>
      <c r="C15" s="47"/>
      <c r="D15" s="46"/>
      <c r="E15" s="48"/>
      <c r="F15" s="48"/>
      <c r="G15" s="48"/>
      <c r="H15" s="48"/>
      <c r="I15" s="48"/>
      <c r="L15" s="61"/>
    </row>
    <row r="16" spans="2:14" ht="15" customHeight="1" x14ac:dyDescent="0.3">
      <c r="B16" s="52"/>
      <c r="C16" s="53" t="s">
        <v>193</v>
      </c>
      <c r="D16" s="52"/>
      <c r="E16" s="51">
        <f>'Consolidated Statements  '!C13</f>
        <v>71.510000000000005</v>
      </c>
      <c r="F16" s="51">
        <f>'Consolidated Statements  '!D13</f>
        <v>81.42</v>
      </c>
      <c r="G16" s="51">
        <f>'Consolidated Statements  '!E13</f>
        <v>111.31</v>
      </c>
      <c r="H16" s="51">
        <f>'Consolidated Statements  '!F13</f>
        <v>156.88</v>
      </c>
      <c r="I16" s="51">
        <f>'Consolidated Statements  '!G13</f>
        <v>168.7</v>
      </c>
      <c r="L16" s="62"/>
    </row>
    <row r="17" spans="2:9" ht="15" customHeight="1" x14ac:dyDescent="0.3">
      <c r="B17" s="46"/>
      <c r="C17" s="47"/>
      <c r="D17" s="46"/>
      <c r="E17" s="48"/>
      <c r="F17" s="48"/>
      <c r="G17" s="48"/>
      <c r="H17" s="48"/>
      <c r="I17" s="48"/>
    </row>
    <row r="18" spans="2:9" s="38" customFormat="1" ht="15" customHeight="1" x14ac:dyDescent="0.3">
      <c r="B18" s="57"/>
      <c r="C18" s="58" t="s">
        <v>194</v>
      </c>
      <c r="D18" s="59"/>
      <c r="E18" s="60">
        <f>E14-E16</f>
        <v>119.20000000000003</v>
      </c>
      <c r="F18" s="60">
        <f>F14-F16</f>
        <v>136.87000000000006</v>
      </c>
      <c r="G18" s="60">
        <f>G14-G16</f>
        <v>177.45</v>
      </c>
      <c r="H18" s="60">
        <f>H14-H16</f>
        <v>259.53999999999985</v>
      </c>
      <c r="I18" s="59">
        <f>I14-I16</f>
        <v>267.75000000000006</v>
      </c>
    </row>
    <row r="19" spans="2:9" ht="15" customHeight="1" x14ac:dyDescent="0.3">
      <c r="B19" s="46"/>
      <c r="C19" s="47"/>
      <c r="D19" s="46"/>
      <c r="E19" s="48"/>
      <c r="F19" s="48"/>
      <c r="G19" s="48"/>
      <c r="H19" s="48"/>
      <c r="I19" s="48"/>
    </row>
    <row r="20" spans="2:9" ht="15" customHeight="1" x14ac:dyDescent="0.3">
      <c r="B20" s="49"/>
      <c r="C20" s="50" t="s">
        <v>195</v>
      </c>
      <c r="D20" s="49"/>
      <c r="E20" s="51">
        <v>0</v>
      </c>
      <c r="F20" s="51">
        <v>0</v>
      </c>
      <c r="G20" s="51">
        <v>0</v>
      </c>
      <c r="H20" s="51">
        <v>0</v>
      </c>
      <c r="I20" s="51">
        <v>0</v>
      </c>
    </row>
    <row r="21" spans="2:9" ht="15" customHeight="1" x14ac:dyDescent="0.3">
      <c r="B21" s="52"/>
      <c r="C21" s="53" t="s">
        <v>196</v>
      </c>
      <c r="D21" s="52"/>
      <c r="E21" s="51">
        <f>'Consolidated Statements  '!C12</f>
        <v>5.77</v>
      </c>
      <c r="F21" s="51">
        <f>'Consolidated Statements  '!D12</f>
        <v>6.76</v>
      </c>
      <c r="G21" s="51">
        <f>'Consolidated Statements  '!E12</f>
        <v>41.9</v>
      </c>
      <c r="H21" s="51">
        <f>'Consolidated Statements  '!F12</f>
        <v>97.44</v>
      </c>
      <c r="I21" s="51">
        <f>'Consolidated Statements  '!G12</f>
        <v>89.74</v>
      </c>
    </row>
    <row r="22" spans="2:9" ht="15" customHeight="1" x14ac:dyDescent="0.3">
      <c r="B22" s="46"/>
      <c r="C22" s="47"/>
      <c r="D22" s="46"/>
      <c r="E22" s="48"/>
      <c r="F22" s="48"/>
      <c r="G22" s="48"/>
      <c r="H22" s="48"/>
      <c r="I22" s="48"/>
    </row>
    <row r="23" spans="2:9" s="38" customFormat="1" ht="15" customHeight="1" x14ac:dyDescent="0.3">
      <c r="B23" s="58"/>
      <c r="C23" s="59" t="s">
        <v>197</v>
      </c>
      <c r="D23" s="63"/>
      <c r="E23" s="60">
        <f>E18+E20-E21</f>
        <v>113.43000000000004</v>
      </c>
      <c r="F23" s="60">
        <f>F18+F20-F21</f>
        <v>130.11000000000007</v>
      </c>
      <c r="G23" s="60">
        <f>G18+G20-G21</f>
        <v>135.54999999999998</v>
      </c>
      <c r="H23" s="59">
        <f>H18+H20-H21</f>
        <v>162.09999999999985</v>
      </c>
      <c r="I23" s="58">
        <f>I18+I20-I21</f>
        <v>178.01000000000005</v>
      </c>
    </row>
    <row r="24" spans="2:9" ht="15" customHeight="1" x14ac:dyDescent="0.3">
      <c r="B24" s="46"/>
      <c r="C24" s="47"/>
      <c r="D24" s="46"/>
      <c r="E24" s="48"/>
      <c r="F24" s="48"/>
      <c r="G24" s="48"/>
      <c r="H24" s="48"/>
      <c r="I24" s="48"/>
    </row>
    <row r="25" spans="2:9" ht="15" customHeight="1" x14ac:dyDescent="0.3">
      <c r="B25" s="49"/>
      <c r="C25" s="50" t="s">
        <v>198</v>
      </c>
      <c r="D25" s="49"/>
      <c r="E25" s="51">
        <f>'Consolidated Statements  '!C25</f>
        <v>21.2</v>
      </c>
      <c r="F25" s="51">
        <f>'Consolidated Statements  '!D25</f>
        <v>24.07</v>
      </c>
      <c r="G25" s="51">
        <f>'Consolidated Statements  '!E25</f>
        <v>17.63</v>
      </c>
      <c r="H25" s="51">
        <f>'Consolidated Statements  '!F25</f>
        <v>23.08</v>
      </c>
      <c r="I25" s="51">
        <f>'Consolidated Statements  '!G25</f>
        <v>41.56</v>
      </c>
    </row>
    <row r="26" spans="2:9" ht="15" customHeight="1" x14ac:dyDescent="0.3">
      <c r="B26" s="52"/>
      <c r="C26" s="53" t="s">
        <v>199</v>
      </c>
      <c r="D26" s="52"/>
      <c r="E26" s="51">
        <f>'Consolidated Statements  '!C30+'Consolidated Statements  '!C31</f>
        <v>10.57</v>
      </c>
      <c r="F26" s="51">
        <f>'Consolidated Statements  '!D30+'Consolidated Statements  '!D31</f>
        <v>12.32</v>
      </c>
      <c r="G26" s="51">
        <f>'Consolidated Statements  '!E30+'Consolidated Statements  '!E31</f>
        <v>18.03</v>
      </c>
      <c r="H26" s="51">
        <f>'Consolidated Statements  '!F30+'Consolidated Statements  '!F31</f>
        <v>27.53</v>
      </c>
      <c r="I26" s="51">
        <f>'Consolidated Statements  '!G30+'Consolidated Statements  '!G31</f>
        <v>41.61</v>
      </c>
    </row>
    <row r="27" spans="2:9" ht="15" customHeight="1" x14ac:dyDescent="0.3">
      <c r="B27" s="46"/>
      <c r="C27" s="47"/>
      <c r="D27" s="46"/>
      <c r="E27" s="48"/>
      <c r="F27" s="48"/>
      <c r="G27" s="48"/>
      <c r="H27" s="48"/>
      <c r="I27" s="48"/>
    </row>
    <row r="28" spans="2:9" s="38" customFormat="1" ht="15" customHeight="1" x14ac:dyDescent="0.3">
      <c r="B28" s="57"/>
      <c r="C28" s="58" t="s">
        <v>200</v>
      </c>
      <c r="D28" s="59"/>
      <c r="E28" s="60">
        <f>E23-E25-E26</f>
        <v>81.660000000000025</v>
      </c>
      <c r="F28" s="60">
        <f>F23-F25-F26</f>
        <v>93.720000000000084</v>
      </c>
      <c r="G28" s="60">
        <f>G23-G25-G26</f>
        <v>99.889999999999986</v>
      </c>
      <c r="H28" s="60">
        <f>H23-H25-H26</f>
        <v>111.48999999999987</v>
      </c>
      <c r="I28" s="59">
        <f>I23-I25-I26</f>
        <v>94.840000000000046</v>
      </c>
    </row>
    <row r="29" spans="2:9" ht="15" customHeight="1" x14ac:dyDescent="0.3">
      <c r="B29" s="46"/>
      <c r="C29" s="47"/>
      <c r="D29" s="46"/>
      <c r="E29" s="48"/>
      <c r="F29" s="48"/>
      <c r="G29" s="48"/>
      <c r="H29" s="48"/>
      <c r="I29" s="48"/>
    </row>
    <row r="30" spans="2:9" ht="15" customHeight="1" x14ac:dyDescent="0.3">
      <c r="B30" s="64"/>
      <c r="C30" s="65" t="s">
        <v>201</v>
      </c>
      <c r="D30" s="66"/>
      <c r="E30" s="67"/>
      <c r="F30" s="67"/>
      <c r="G30" s="67"/>
      <c r="H30" s="67"/>
      <c r="I30" s="67"/>
    </row>
    <row r="31" spans="2:9" ht="15" customHeight="1" x14ac:dyDescent="0.3">
      <c r="B31" s="49"/>
      <c r="C31" s="50" t="s">
        <v>202</v>
      </c>
      <c r="D31" s="49"/>
      <c r="E31" s="45">
        <f>AVERAGE(F7:I7)</f>
        <v>0.23079123250071926</v>
      </c>
      <c r="F31" s="45"/>
      <c r="G31" s="48"/>
      <c r="H31" s="48"/>
      <c r="I31" s="48"/>
    </row>
    <row r="32" spans="2:9" ht="15" customHeight="1" x14ac:dyDescent="0.3">
      <c r="B32" s="52"/>
      <c r="C32" s="68" t="s">
        <v>203</v>
      </c>
      <c r="D32" s="69"/>
      <c r="E32" s="70">
        <f>(I6/E6)^(1/4)-1</f>
        <v>0.22306309403453817</v>
      </c>
      <c r="F32" s="70">
        <f>_xlfn.RRI(4,E6,I6)</f>
        <v>0.22306309403453817</v>
      </c>
      <c r="G32" s="71"/>
      <c r="H32" s="71"/>
      <c r="I32" s="71"/>
    </row>
    <row r="33" spans="2:11" ht="15.75" customHeight="1" x14ac:dyDescent="0.3">
      <c r="B33" s="46"/>
      <c r="C33" s="47"/>
      <c r="D33" s="46"/>
      <c r="E33" s="48"/>
      <c r="F33" s="48"/>
      <c r="G33" s="48"/>
      <c r="H33" s="48"/>
      <c r="I33" s="48"/>
    </row>
    <row r="34" spans="2:11" ht="15" customHeight="1" x14ac:dyDescent="0.3">
      <c r="B34" s="23"/>
      <c r="C34" s="72" t="s">
        <v>204</v>
      </c>
      <c r="D34" s="73"/>
      <c r="E34" s="74"/>
      <c r="F34" s="74"/>
      <c r="G34" s="74"/>
      <c r="H34" s="74"/>
      <c r="I34" s="74"/>
    </row>
    <row r="35" spans="2:11" ht="15" customHeight="1" x14ac:dyDescent="0.3">
      <c r="B35" s="49"/>
      <c r="C35" s="50" t="s">
        <v>25</v>
      </c>
      <c r="D35" s="49"/>
      <c r="E35" s="45">
        <f>E14/E6</f>
        <v>0.25910628642854239</v>
      </c>
      <c r="F35" s="45">
        <f>F14/F6</f>
        <v>0.25997117915371526</v>
      </c>
      <c r="G35" s="45">
        <f>G14/G6</f>
        <v>0.25000649345027315</v>
      </c>
      <c r="H35" s="45">
        <f>H14/H6</f>
        <v>0.26657363070698786</v>
      </c>
      <c r="I35" s="45">
        <f>I14/I6</f>
        <v>0.26499857315466396</v>
      </c>
    </row>
    <row r="36" spans="2:11" ht="15" customHeight="1" x14ac:dyDescent="0.3">
      <c r="B36" s="52"/>
      <c r="C36" s="75" t="s">
        <v>26</v>
      </c>
      <c r="D36" s="76"/>
      <c r="E36" s="77">
        <f>E18/E6</f>
        <v>0.1619499205195441</v>
      </c>
      <c r="F36" s="77">
        <f>F18/F6</f>
        <v>0.16300451367799262</v>
      </c>
      <c r="G36" s="77">
        <f>G18/G6</f>
        <v>0.15363503346291374</v>
      </c>
      <c r="H36" s="77">
        <f>H18/H6</f>
        <v>0.16614600670883151</v>
      </c>
      <c r="I36" s="77">
        <f>I18/I6</f>
        <v>0.16256929307403206</v>
      </c>
    </row>
    <row r="37" spans="2:11" ht="15" customHeight="1" x14ac:dyDescent="0.3">
      <c r="B37" s="49"/>
      <c r="C37" s="78" t="s">
        <v>27</v>
      </c>
      <c r="D37" s="79"/>
      <c r="E37" s="77">
        <f>E23/E6</f>
        <v>0.15411056614540172</v>
      </c>
      <c r="F37" s="77">
        <f>F23/F6</f>
        <v>0.15495373182321637</v>
      </c>
      <c r="G37" s="77">
        <f>G23/G6</f>
        <v>0.11735829127020544</v>
      </c>
      <c r="H37" s="77">
        <f>H23/H6</f>
        <v>0.10376923667836009</v>
      </c>
      <c r="I37" s="77">
        <f>I23/I6</f>
        <v>0.1080820162842519</v>
      </c>
    </row>
    <row r="38" spans="2:11" ht="15.75" customHeight="1" x14ac:dyDescent="0.3">
      <c r="B38" s="80"/>
      <c r="C38" s="81" t="s">
        <v>205</v>
      </c>
      <c r="D38" s="82"/>
      <c r="E38" s="83">
        <f>E28/E6</f>
        <v>0.11094656467807022</v>
      </c>
      <c r="F38" s="83">
        <f>F28/F6</f>
        <v>0.1116152774304192</v>
      </c>
      <c r="G38" s="83">
        <f>G28/G6</f>
        <v>8.648409970476445E-2</v>
      </c>
      <c r="H38" s="83">
        <f>H28/H6</f>
        <v>7.1370957416843697E-2</v>
      </c>
      <c r="I38" s="83">
        <f>I28/I6</f>
        <v>5.7583834753095066E-2</v>
      </c>
    </row>
    <row r="39" spans="2:11" ht="15" customHeight="1" x14ac:dyDescent="0.3">
      <c r="B39" s="46"/>
      <c r="C39" s="47"/>
      <c r="D39" s="46"/>
      <c r="E39" s="48"/>
      <c r="F39" s="48"/>
      <c r="G39" s="48"/>
      <c r="H39" s="48"/>
      <c r="I39" s="48"/>
    </row>
    <row r="40" spans="2:11" ht="15" customHeight="1" x14ac:dyDescent="0.3">
      <c r="B40" s="64"/>
      <c r="C40" s="65" t="s">
        <v>206</v>
      </c>
      <c r="D40" s="66"/>
      <c r="E40" s="67"/>
      <c r="F40" s="67"/>
      <c r="G40" s="67"/>
      <c r="H40" s="67"/>
      <c r="I40" s="67"/>
    </row>
    <row r="41" spans="2:11" ht="15" customHeight="1" x14ac:dyDescent="0.3">
      <c r="B41" s="49"/>
      <c r="C41" s="50" t="s">
        <v>207</v>
      </c>
      <c r="E41" s="84">
        <f>E25/E23</f>
        <v>0.18689940932733839</v>
      </c>
      <c r="F41" s="45">
        <f>F25/F23</f>
        <v>0.18499730996848809</v>
      </c>
      <c r="G41" s="45">
        <f>G25/G23</f>
        <v>0.13006270748801183</v>
      </c>
      <c r="H41" s="45">
        <f>H25/H23</f>
        <v>0.14238124614435546</v>
      </c>
      <c r="I41" s="45">
        <f>I25/I23</f>
        <v>0.23347002977360817</v>
      </c>
    </row>
    <row r="42" spans="2:11" ht="15" customHeight="1" x14ac:dyDescent="0.3">
      <c r="B42" s="52"/>
      <c r="C42" s="68" t="s">
        <v>208</v>
      </c>
      <c r="E42" s="85">
        <f>AVERAGE(E41:I41)</f>
        <v>0.1755621405403604</v>
      </c>
      <c r="F42" s="85">
        <f>E42</f>
        <v>0.1755621405403604</v>
      </c>
      <c r="G42" s="85">
        <f>F42</f>
        <v>0.1755621405403604</v>
      </c>
      <c r="H42" s="85">
        <f>G42</f>
        <v>0.1755621405403604</v>
      </c>
      <c r="I42" s="85">
        <f>H42</f>
        <v>0.1755621405403604</v>
      </c>
      <c r="J42" s="85"/>
      <c r="K42" s="85"/>
    </row>
    <row r="43" spans="2:11" ht="15" customHeight="1" x14ac:dyDescent="0.3">
      <c r="B43" s="46"/>
      <c r="C43" s="47"/>
      <c r="E43" s="46"/>
      <c r="F43" s="48"/>
      <c r="G43" s="48"/>
      <c r="H43" s="48"/>
      <c r="I43" s="48"/>
    </row>
    <row r="44" spans="2:11" ht="15" customHeight="1" x14ac:dyDescent="0.3">
      <c r="B44" s="64"/>
      <c r="C44" s="65" t="s">
        <v>209</v>
      </c>
      <c r="E44" s="66"/>
      <c r="F44" s="67"/>
      <c r="G44" s="67"/>
      <c r="H44" s="67"/>
      <c r="I44" s="67"/>
    </row>
    <row r="45" spans="2:11" ht="15" customHeight="1" x14ac:dyDescent="0.3">
      <c r="B45" s="49"/>
      <c r="C45" s="50" t="s">
        <v>210</v>
      </c>
      <c r="E45" s="86">
        <f>E18*(1-E42)</f>
        <v>98.272992847589066</v>
      </c>
      <c r="F45" s="51">
        <f>F18*(1-F42)</f>
        <v>112.84080982424092</v>
      </c>
      <c r="G45" s="51">
        <f>G18*(1-G42)</f>
        <v>146.29649816111302</v>
      </c>
      <c r="H45" s="51">
        <f>H18*(1-H42)</f>
        <v>213.97460204415472</v>
      </c>
      <c r="I45" s="51">
        <f>I18*(1-I42)</f>
        <v>220.74323687031853</v>
      </c>
    </row>
    <row r="46" spans="2:11" ht="15" customHeight="1" x14ac:dyDescent="0.3">
      <c r="B46" s="52"/>
      <c r="C46" s="75" t="s">
        <v>211</v>
      </c>
      <c r="E46" s="87">
        <f>'Consolidated Statements  '!L34</f>
        <v>850.76</v>
      </c>
      <c r="F46" s="87">
        <f>'Consolidated Statements  '!M34</f>
        <v>947</v>
      </c>
      <c r="G46" s="87">
        <f>'Consolidated Statements  '!N34</f>
        <v>3084.04</v>
      </c>
      <c r="H46" s="87">
        <f>'Consolidated Statements  '!O34</f>
        <v>3076.59</v>
      </c>
      <c r="I46" s="87">
        <f>'Consolidated Statements  '!P34</f>
        <v>3378.1</v>
      </c>
    </row>
    <row r="47" spans="2:11" ht="15" customHeight="1" x14ac:dyDescent="0.3">
      <c r="B47" s="49"/>
      <c r="C47" s="78" t="s">
        <v>212</v>
      </c>
      <c r="E47" s="88">
        <f>'Consolidated Statements  '!L37+'Consolidated Statements  '!L38+'Consolidated Statements  '!L43+'Consolidated Statements  '!L44</f>
        <v>796.77</v>
      </c>
      <c r="F47" s="88">
        <f>'Consolidated Statements  '!M37+'Consolidated Statements  '!M38+'Consolidated Statements  '!M43+'Consolidated Statements  '!M44</f>
        <v>864.76</v>
      </c>
      <c r="G47" s="88">
        <f>'Consolidated Statements  '!N37+'Consolidated Statements  '!N38+'Consolidated Statements  '!N43+'Consolidated Statements  '!N44</f>
        <v>2717.26</v>
      </c>
      <c r="H47" s="88">
        <f>'Consolidated Statements  '!O37+'Consolidated Statements  '!O38+'Consolidated Statements  '!O43+'Consolidated Statements  '!O44</f>
        <v>2862.29</v>
      </c>
      <c r="I47" s="88">
        <f>'Consolidated Statements  '!P37+'Consolidated Statements  '!P38+'Consolidated Statements  '!P43+'Consolidated Statements  '!P44</f>
        <v>2874.02</v>
      </c>
    </row>
    <row r="48" spans="2:11" ht="15" customHeight="1" x14ac:dyDescent="0.3">
      <c r="B48" s="52"/>
      <c r="C48" s="75" t="s">
        <v>213</v>
      </c>
      <c r="E48" s="87">
        <f>'Consolidated Statements  '!L20</f>
        <v>0</v>
      </c>
      <c r="F48" s="87">
        <f>'Consolidated Statements  '!M20</f>
        <v>0</v>
      </c>
      <c r="G48" s="87">
        <f>'Consolidated Statements  '!N20</f>
        <v>438.67</v>
      </c>
      <c r="H48" s="87">
        <f>'Consolidated Statements  '!O20</f>
        <v>310.16000000000003</v>
      </c>
      <c r="I48" s="87">
        <f>'Consolidated Statements  '!P20</f>
        <v>492.55</v>
      </c>
    </row>
    <row r="49" spans="2:9" ht="15" customHeight="1" x14ac:dyDescent="0.3">
      <c r="B49" s="89"/>
      <c r="C49" s="90" t="s">
        <v>214</v>
      </c>
      <c r="E49" s="91">
        <f>E46+E47-E48</f>
        <v>1647.53</v>
      </c>
      <c r="F49" s="92">
        <f>F46+F47-F48</f>
        <v>1811.76</v>
      </c>
      <c r="G49" s="92">
        <f>G46+G47-G48</f>
        <v>5362.63</v>
      </c>
      <c r="H49" s="92">
        <f>H46+H47-H48</f>
        <v>5628.72</v>
      </c>
      <c r="I49" s="92">
        <f>I46+I47-I48</f>
        <v>5759.57</v>
      </c>
    </row>
    <row r="50" spans="2:9" ht="15" customHeight="1" x14ac:dyDescent="0.3">
      <c r="B50" s="46"/>
      <c r="C50" s="47"/>
      <c r="E50" s="46"/>
      <c r="F50" s="48"/>
      <c r="G50" s="48"/>
      <c r="H50" s="48"/>
      <c r="I50" s="48"/>
    </row>
    <row r="51" spans="2:9" ht="15" customHeight="1" x14ac:dyDescent="0.3">
      <c r="B51" s="93"/>
      <c r="C51" s="94" t="s">
        <v>215</v>
      </c>
      <c r="E51" s="95">
        <f>E18/E49</f>
        <v>7.2350731094426218E-2</v>
      </c>
      <c r="F51" s="96">
        <f>F18/F49</f>
        <v>7.5545326091756113E-2</v>
      </c>
      <c r="G51" s="96">
        <f>G18/G49</f>
        <v>3.3090106906499231E-2</v>
      </c>
      <c r="H51" s="96">
        <f>H18/H49</f>
        <v>4.610995039724837E-2</v>
      </c>
      <c r="I51" s="96">
        <f>I18/I49</f>
        <v>4.6487845446795517E-2</v>
      </c>
    </row>
    <row r="52" spans="2:9" ht="15" customHeight="1" x14ac:dyDescent="0.3">
      <c r="B52" s="80"/>
      <c r="C52" s="97" t="s">
        <v>216</v>
      </c>
      <c r="D52" s="98"/>
      <c r="E52" s="99">
        <f>E45/E49</f>
        <v>5.9648681873828741E-2</v>
      </c>
      <c r="F52" s="99">
        <f>F45/F49</f>
        <v>6.2282426935267872E-2</v>
      </c>
      <c r="G52" s="99">
        <f>G45/G49</f>
        <v>2.7280736907284862E-2</v>
      </c>
      <c r="H52" s="99">
        <f>H45/H49</f>
        <v>3.80147888052976E-2</v>
      </c>
      <c r="I52" s="99">
        <f>I45/I49</f>
        <v>3.8326339791046646E-2</v>
      </c>
    </row>
    <row r="54" spans="2:9" ht="15" customHeight="1" x14ac:dyDescent="0.3">
      <c r="C54" s="100"/>
      <c r="D54" s="10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237"/>
  <sheetViews>
    <sheetView showGridLines="0" zoomScaleNormal="100" workbookViewId="0">
      <selection activeCell="F63" sqref="F63"/>
    </sheetView>
  </sheetViews>
  <sheetFormatPr defaultColWidth="8.6640625" defaultRowHeight="14.4" x14ac:dyDescent="0.3"/>
  <cols>
    <col min="2" max="2" width="10.33203125" bestFit="1" customWidth="1"/>
    <col min="3" max="3" width="18.21875" bestFit="1" customWidth="1"/>
    <col min="4" max="4" width="7.6640625" bestFit="1" customWidth="1"/>
    <col min="6" max="6" width="10.5546875" bestFit="1" customWidth="1"/>
    <col min="7" max="7" width="11.5546875" bestFit="1" customWidth="1"/>
    <col min="8" max="8" width="6.88671875" bestFit="1" customWidth="1"/>
    <col min="10" max="10" width="17.44140625" bestFit="1" customWidth="1"/>
    <col min="11" max="11" width="12.6640625" bestFit="1" customWidth="1"/>
    <col min="12" max="12" width="13.44140625" bestFit="1" customWidth="1"/>
    <col min="13" max="13" width="12.6640625" bestFit="1" customWidth="1"/>
    <col min="14" max="14" width="12" bestFit="1" customWidth="1"/>
    <col min="15" max="15" width="12.6640625" bestFit="1" customWidth="1"/>
    <col min="16" max="16" width="12" bestFit="1" customWidth="1"/>
    <col min="17" max="17" width="12.6640625" bestFit="1" customWidth="1"/>
    <col min="18" max="18" width="12.109375" bestFit="1" customWidth="1"/>
  </cols>
  <sheetData>
    <row r="2" spans="2:11" ht="14.25" customHeight="1" x14ac:dyDescent="0.3">
      <c r="B2" s="305" t="s">
        <v>14</v>
      </c>
      <c r="C2" s="306"/>
      <c r="D2" s="306"/>
      <c r="F2" s="297" t="s">
        <v>217</v>
      </c>
      <c r="G2" s="297"/>
      <c r="H2" s="297"/>
    </row>
    <row r="3" spans="2:11" ht="15" customHeight="1" x14ac:dyDescent="0.3">
      <c r="B3" s="102" t="s">
        <v>218</v>
      </c>
      <c r="C3" s="102" t="s">
        <v>219</v>
      </c>
      <c r="F3" s="103" t="s">
        <v>218</v>
      </c>
      <c r="G3" s="103" t="s">
        <v>220</v>
      </c>
      <c r="H3" s="104"/>
      <c r="J3" t="s">
        <v>1659</v>
      </c>
    </row>
    <row r="4" spans="2:11" ht="14.25" customHeight="1" x14ac:dyDescent="0.3">
      <c r="B4" s="105" t="s">
        <v>221</v>
      </c>
      <c r="C4" s="105">
        <v>410.55</v>
      </c>
      <c r="F4" s="106">
        <v>44287</v>
      </c>
      <c r="G4" s="107">
        <v>14867.349609375</v>
      </c>
      <c r="H4" s="108"/>
      <c r="J4">
        <f>SLOPE(D5:D1237,H5:H1237)</f>
        <v>0.8953896595996117</v>
      </c>
    </row>
    <row r="5" spans="2:11" ht="14.25" customHeight="1" x14ac:dyDescent="0.3">
      <c r="B5" s="105" t="s">
        <v>222</v>
      </c>
      <c r="C5" s="105">
        <v>406.45</v>
      </c>
      <c r="D5" s="3">
        <f t="shared" ref="D5:D68" si="0">(C5-C4)/C4</f>
        <v>-9.9866033369870235E-3</v>
      </c>
      <c r="F5" s="106">
        <v>44291</v>
      </c>
      <c r="G5" s="107">
        <v>14637.7998046875</v>
      </c>
      <c r="H5" s="109">
        <f t="shared" ref="H5:H68" si="1">(G5-G4)/G4</f>
        <v>-1.5439860548026079E-2</v>
      </c>
    </row>
    <row r="6" spans="2:11" ht="14.25" customHeight="1" x14ac:dyDescent="0.3">
      <c r="B6" s="105" t="s">
        <v>223</v>
      </c>
      <c r="C6" s="105">
        <v>414.25</v>
      </c>
      <c r="D6" s="3">
        <f t="shared" si="0"/>
        <v>1.919055234346171E-2</v>
      </c>
      <c r="F6" s="106">
        <v>44292</v>
      </c>
      <c r="G6" s="107">
        <v>14683.5</v>
      </c>
      <c r="H6" s="110">
        <f t="shared" si="1"/>
        <v>3.1220672452334885E-3</v>
      </c>
    </row>
    <row r="7" spans="2:11" ht="14.25" customHeight="1" x14ac:dyDescent="0.3">
      <c r="B7" s="105" t="s">
        <v>224</v>
      </c>
      <c r="C7" s="105">
        <v>414.2</v>
      </c>
      <c r="D7" s="3">
        <f t="shared" si="0"/>
        <v>-1.2070006035005761E-4</v>
      </c>
      <c r="F7" s="106">
        <v>44293</v>
      </c>
      <c r="G7" s="107">
        <v>14819.0498046875</v>
      </c>
      <c r="H7" s="109">
        <f t="shared" si="1"/>
        <v>9.231436965811966E-3</v>
      </c>
    </row>
    <row r="8" spans="2:11" ht="14.25" customHeight="1" x14ac:dyDescent="0.3">
      <c r="B8" s="105" t="s">
        <v>225</v>
      </c>
      <c r="C8" s="105">
        <v>413.25</v>
      </c>
      <c r="D8" s="3">
        <f t="shared" si="0"/>
        <v>-2.293577981651349E-3</v>
      </c>
      <c r="F8" s="106">
        <v>44294</v>
      </c>
      <c r="G8" s="107">
        <v>14873.7998046875</v>
      </c>
      <c r="H8" s="110">
        <f t="shared" si="1"/>
        <v>3.6945688638337464E-3</v>
      </c>
    </row>
    <row r="9" spans="2:11" ht="14.25" customHeight="1" x14ac:dyDescent="0.3">
      <c r="B9" s="105" t="s">
        <v>226</v>
      </c>
      <c r="C9" s="105">
        <v>420.3</v>
      </c>
      <c r="D9" s="3">
        <f t="shared" si="0"/>
        <v>1.7059891107078066E-2</v>
      </c>
      <c r="F9" s="106">
        <v>44295</v>
      </c>
      <c r="G9" s="107">
        <v>14834.849609375</v>
      </c>
      <c r="H9" s="109">
        <f t="shared" si="1"/>
        <v>-2.6187118170183242E-3</v>
      </c>
      <c r="J9" t="s">
        <v>227</v>
      </c>
    </row>
    <row r="10" spans="2:11" ht="15" customHeight="1" x14ac:dyDescent="0.3">
      <c r="B10" s="105" t="s">
        <v>228</v>
      </c>
      <c r="C10" s="105">
        <v>404.3</v>
      </c>
      <c r="D10" s="3">
        <f t="shared" si="0"/>
        <v>-3.8068046633357125E-2</v>
      </c>
      <c r="F10" s="106">
        <v>44298</v>
      </c>
      <c r="G10" s="107">
        <v>14310.7998046875</v>
      </c>
      <c r="H10" s="110">
        <f t="shared" si="1"/>
        <v>-3.5325589304007678E-2</v>
      </c>
    </row>
    <row r="11" spans="2:11" ht="14.25" customHeight="1" x14ac:dyDescent="0.3">
      <c r="B11" s="105" t="s">
        <v>229</v>
      </c>
      <c r="C11" s="105">
        <v>406.95</v>
      </c>
      <c r="D11" s="3">
        <f t="shared" si="0"/>
        <v>6.5545387088794885E-3</v>
      </c>
      <c r="F11" s="106">
        <v>44299</v>
      </c>
      <c r="G11" s="107">
        <v>14504.7998046875</v>
      </c>
      <c r="H11" s="109">
        <f t="shared" si="1"/>
        <v>1.3556195506030022E-2</v>
      </c>
      <c r="J11" s="307" t="s">
        <v>230</v>
      </c>
      <c r="K11" s="308"/>
    </row>
    <row r="12" spans="2:11" ht="14.25" customHeight="1" x14ac:dyDescent="0.3">
      <c r="B12" s="105" t="s">
        <v>231</v>
      </c>
      <c r="C12" s="105">
        <v>404.6</v>
      </c>
      <c r="D12" s="3">
        <f t="shared" si="0"/>
        <v>-5.7746651922839804E-3</v>
      </c>
      <c r="F12" s="106">
        <v>44301</v>
      </c>
      <c r="G12" s="107">
        <v>14581.4501953125</v>
      </c>
      <c r="H12" s="110">
        <f t="shared" si="1"/>
        <v>5.2844845607747703E-3</v>
      </c>
      <c r="J12" t="s">
        <v>232</v>
      </c>
      <c r="K12">
        <v>0.392245429744559</v>
      </c>
    </row>
    <row r="13" spans="2:11" ht="14.25" customHeight="1" x14ac:dyDescent="0.3">
      <c r="B13" s="105" t="s">
        <v>233</v>
      </c>
      <c r="C13" s="105">
        <v>412.85</v>
      </c>
      <c r="D13" s="3">
        <f t="shared" si="0"/>
        <v>2.0390509144834403E-2</v>
      </c>
      <c r="F13" s="106">
        <v>44302</v>
      </c>
      <c r="G13" s="107">
        <v>14617.849609375</v>
      </c>
      <c r="H13" s="109">
        <f t="shared" si="1"/>
        <v>2.4962821650072447E-3</v>
      </c>
      <c r="J13" t="s">
        <v>234</v>
      </c>
      <c r="K13">
        <v>0.153856477155494</v>
      </c>
    </row>
    <row r="14" spans="2:11" ht="14.25" customHeight="1" x14ac:dyDescent="0.3">
      <c r="B14" s="105" t="s">
        <v>235</v>
      </c>
      <c r="C14" s="105">
        <v>406.35</v>
      </c>
      <c r="D14" s="3">
        <f t="shared" si="0"/>
        <v>-1.5744217027976262E-2</v>
      </c>
      <c r="F14" s="106">
        <v>44305</v>
      </c>
      <c r="G14" s="107">
        <v>14359.4501953125</v>
      </c>
      <c r="H14" s="110">
        <f t="shared" si="1"/>
        <v>-1.7676978554819603E-2</v>
      </c>
      <c r="J14" t="s">
        <v>236</v>
      </c>
      <c r="K14">
        <v>0.15316911442369499</v>
      </c>
    </row>
    <row r="15" spans="2:11" ht="14.25" customHeight="1" x14ac:dyDescent="0.3">
      <c r="B15" s="105" t="s">
        <v>237</v>
      </c>
      <c r="C15" s="105">
        <v>401.15</v>
      </c>
      <c r="D15" s="3">
        <f t="shared" si="0"/>
        <v>-1.2796850006152443E-2</v>
      </c>
      <c r="F15" s="106">
        <v>44306</v>
      </c>
      <c r="G15" s="107">
        <v>14296.400390625</v>
      </c>
      <c r="H15" s="109">
        <f t="shared" si="1"/>
        <v>-4.390823034999069E-3</v>
      </c>
      <c r="J15" t="s">
        <v>238</v>
      </c>
      <c r="K15">
        <v>1.8217193681470501E-2</v>
      </c>
    </row>
    <row r="16" spans="2:11" ht="15" customHeight="1" x14ac:dyDescent="0.3">
      <c r="B16" s="105" t="s">
        <v>239</v>
      </c>
      <c r="C16" s="105">
        <v>399.35</v>
      </c>
      <c r="D16" s="3">
        <f t="shared" si="0"/>
        <v>-4.4870995886824245E-3</v>
      </c>
      <c r="F16" s="106">
        <v>44308</v>
      </c>
      <c r="G16" s="107">
        <v>14406.150390625</v>
      </c>
      <c r="H16" s="110">
        <f t="shared" si="1"/>
        <v>7.6767575754222439E-3</v>
      </c>
      <c r="J16" s="112" t="s">
        <v>240</v>
      </c>
      <c r="K16" s="112">
        <v>1233</v>
      </c>
    </row>
    <row r="17" spans="2:18" ht="14.25" customHeight="1" x14ac:dyDescent="0.3">
      <c r="B17" s="105" t="s">
        <v>241</v>
      </c>
      <c r="C17" s="105">
        <v>397.6</v>
      </c>
      <c r="D17" s="3">
        <f t="shared" si="0"/>
        <v>-4.3821209465381246E-3</v>
      </c>
      <c r="F17" s="106">
        <v>44309</v>
      </c>
      <c r="G17" s="107">
        <v>14341.349609375</v>
      </c>
      <c r="H17" s="109">
        <f t="shared" si="1"/>
        <v>-4.4981330537941623E-3</v>
      </c>
    </row>
    <row r="18" spans="2:18" ht="15" customHeight="1" x14ac:dyDescent="0.3">
      <c r="B18" s="105" t="s">
        <v>242</v>
      </c>
      <c r="C18" s="105">
        <v>395.5</v>
      </c>
      <c r="D18" s="3">
        <f t="shared" si="0"/>
        <v>-5.2816901408451276E-3</v>
      </c>
      <c r="F18" s="106">
        <v>44312</v>
      </c>
      <c r="G18" s="107">
        <v>14485</v>
      </c>
      <c r="H18" s="110">
        <f t="shared" si="1"/>
        <v>1.001651828716979E-2</v>
      </c>
      <c r="J18" t="s">
        <v>243</v>
      </c>
    </row>
    <row r="19" spans="2:18" ht="14.25" customHeight="1" x14ac:dyDescent="0.3">
      <c r="B19" s="105" t="s">
        <v>244</v>
      </c>
      <c r="C19" s="105">
        <v>398.1</v>
      </c>
      <c r="D19" s="3">
        <f t="shared" si="0"/>
        <v>6.5739570164349498E-3</v>
      </c>
      <c r="F19" s="106">
        <v>44313</v>
      </c>
      <c r="G19" s="107">
        <v>14653.0498046875</v>
      </c>
      <c r="H19" s="109">
        <f t="shared" si="1"/>
        <v>1.1601643402657923E-2</v>
      </c>
      <c r="J19" s="111"/>
      <c r="K19" s="111" t="s">
        <v>245</v>
      </c>
      <c r="L19" s="111" t="s">
        <v>246</v>
      </c>
      <c r="M19" s="111" t="s">
        <v>247</v>
      </c>
      <c r="N19" s="111" t="s">
        <v>248</v>
      </c>
      <c r="O19" s="111" t="s">
        <v>249</v>
      </c>
    </row>
    <row r="20" spans="2:18" ht="14.25" customHeight="1" x14ac:dyDescent="0.3">
      <c r="B20" s="105" t="s">
        <v>250</v>
      </c>
      <c r="C20" s="105">
        <v>390.85</v>
      </c>
      <c r="D20" s="3">
        <f t="shared" si="0"/>
        <v>-1.8211504647073599E-2</v>
      </c>
      <c r="F20" s="106">
        <v>44314</v>
      </c>
      <c r="G20" s="107">
        <v>14864.5498046875</v>
      </c>
      <c r="H20" s="110">
        <f t="shared" si="1"/>
        <v>1.4433855260107101E-2</v>
      </c>
      <c r="J20" t="s">
        <v>251</v>
      </c>
      <c r="K20">
        <v>1</v>
      </c>
      <c r="L20">
        <v>7.4283567745804399E-2</v>
      </c>
      <c r="M20">
        <v>7.4283567745804399E-2</v>
      </c>
      <c r="N20">
        <v>223.83593121614899</v>
      </c>
      <c r="O20">
        <v>1.2678038627212301E-46</v>
      </c>
    </row>
    <row r="21" spans="2:18" ht="14.25" customHeight="1" x14ac:dyDescent="0.3">
      <c r="B21" s="105" t="s">
        <v>252</v>
      </c>
      <c r="C21" s="105">
        <v>393.9</v>
      </c>
      <c r="D21" s="3">
        <f t="shared" si="0"/>
        <v>7.8035051810156179E-3</v>
      </c>
      <c r="F21" s="106">
        <v>44315</v>
      </c>
      <c r="G21" s="107">
        <v>14894.900390625</v>
      </c>
      <c r="H21" s="109">
        <f t="shared" si="1"/>
        <v>2.0418099664161384E-3</v>
      </c>
      <c r="J21" t="s">
        <v>253</v>
      </c>
      <c r="K21">
        <v>1231</v>
      </c>
      <c r="L21">
        <v>0.40852722526832502</v>
      </c>
      <c r="M21">
        <v>3.3186614562820898E-4</v>
      </c>
    </row>
    <row r="22" spans="2:18" ht="15" customHeight="1" x14ac:dyDescent="0.3">
      <c r="B22" s="105" t="s">
        <v>254</v>
      </c>
      <c r="C22" s="105">
        <v>379.65</v>
      </c>
      <c r="D22" s="3">
        <f t="shared" si="0"/>
        <v>-3.6176694592536182E-2</v>
      </c>
      <c r="F22" s="106">
        <v>44316</v>
      </c>
      <c r="G22" s="107">
        <v>14631.099609375</v>
      </c>
      <c r="H22" s="110">
        <f t="shared" si="1"/>
        <v>-1.7710812045177479E-2</v>
      </c>
      <c r="J22" s="112" t="s">
        <v>255</v>
      </c>
      <c r="K22" s="112">
        <v>1232</v>
      </c>
      <c r="L22" s="112">
        <v>0.48281079301412999</v>
      </c>
      <c r="M22" s="112"/>
      <c r="N22" s="112"/>
      <c r="O22" s="112"/>
    </row>
    <row r="23" spans="2:18" ht="15" customHeight="1" x14ac:dyDescent="0.3">
      <c r="B23" s="105" t="s">
        <v>256</v>
      </c>
      <c r="C23" s="105">
        <v>378.5</v>
      </c>
      <c r="D23" s="3">
        <f t="shared" si="0"/>
        <v>-3.0291057553008755E-3</v>
      </c>
      <c r="F23" s="106">
        <v>44319</v>
      </c>
      <c r="G23" s="107">
        <v>14634.150390625</v>
      </c>
      <c r="H23" s="109">
        <f t="shared" si="1"/>
        <v>2.0851346320171222E-4</v>
      </c>
    </row>
    <row r="24" spans="2:18" ht="14.25" customHeight="1" x14ac:dyDescent="0.3">
      <c r="B24" s="105" t="s">
        <v>257</v>
      </c>
      <c r="C24" s="105">
        <v>373.2</v>
      </c>
      <c r="D24" s="3">
        <f t="shared" si="0"/>
        <v>-1.4002642007926053E-2</v>
      </c>
      <c r="F24" s="106">
        <v>44320</v>
      </c>
      <c r="G24" s="107">
        <v>14496.5</v>
      </c>
      <c r="H24" s="110">
        <f t="shared" si="1"/>
        <v>-9.4061074234403283E-3</v>
      </c>
      <c r="J24" s="111"/>
      <c r="K24" s="111" t="s">
        <v>258</v>
      </c>
      <c r="L24" s="111" t="s">
        <v>238</v>
      </c>
      <c r="M24" s="111" t="s">
        <v>259</v>
      </c>
      <c r="N24" s="111" t="s">
        <v>260</v>
      </c>
      <c r="O24" s="111" t="s">
        <v>261</v>
      </c>
      <c r="P24" s="111" t="s">
        <v>262</v>
      </c>
      <c r="Q24" s="111" t="s">
        <v>263</v>
      </c>
      <c r="R24" s="111" t="s">
        <v>264</v>
      </c>
    </row>
    <row r="25" spans="2:18" ht="14.25" customHeight="1" x14ac:dyDescent="0.3">
      <c r="B25" s="105" t="s">
        <v>265</v>
      </c>
      <c r="C25" s="105">
        <v>381.3</v>
      </c>
      <c r="D25" s="3">
        <f t="shared" si="0"/>
        <v>2.1704180064308742E-2</v>
      </c>
      <c r="F25" s="106">
        <v>44321</v>
      </c>
      <c r="G25" s="107">
        <v>14617.849609375</v>
      </c>
      <c r="H25" s="109">
        <f t="shared" si="1"/>
        <v>8.3709591539337085E-3</v>
      </c>
      <c r="J25" t="s">
        <v>266</v>
      </c>
      <c r="K25">
        <v>-2.3775342991515301E-4</v>
      </c>
      <c r="L25">
        <v>5.1926642139796296E-4</v>
      </c>
      <c r="M25">
        <v>-0.45786405613341202</v>
      </c>
      <c r="N25">
        <v>0.64713091698233705</v>
      </c>
      <c r="O25">
        <v>-1.2564985651449599E-3</v>
      </c>
      <c r="P25">
        <v>7.8099170531465204E-4</v>
      </c>
      <c r="Q25">
        <v>-1.2564985651449599E-3</v>
      </c>
      <c r="R25">
        <v>7.8099170531465204E-4</v>
      </c>
    </row>
    <row r="26" spans="2:18" ht="15" customHeight="1" x14ac:dyDescent="0.3">
      <c r="B26" s="105" t="s">
        <v>267</v>
      </c>
      <c r="C26" s="105">
        <v>379.7</v>
      </c>
      <c r="D26" s="3">
        <f t="shared" si="0"/>
        <v>-4.196170993968064E-3</v>
      </c>
      <c r="F26" s="106">
        <v>44322</v>
      </c>
      <c r="G26" s="107">
        <v>14724.7998046875</v>
      </c>
      <c r="H26" s="110">
        <f t="shared" si="1"/>
        <v>7.3164109749705355E-3</v>
      </c>
      <c r="J26" s="112" t="s">
        <v>268</v>
      </c>
      <c r="K26" s="112">
        <v>0.89538965959961003</v>
      </c>
      <c r="L26" s="112">
        <v>5.9847659826972502E-2</v>
      </c>
      <c r="M26" s="112">
        <v>14.9611473896941</v>
      </c>
      <c r="N26" s="112">
        <v>1.26780386272055E-46</v>
      </c>
      <c r="O26" s="112">
        <v>0.77797495725957599</v>
      </c>
      <c r="P26" s="112">
        <v>1.0128043619396401</v>
      </c>
      <c r="Q26" s="112">
        <v>0.77797495725957599</v>
      </c>
      <c r="R26" s="112">
        <v>1.0128043619396401</v>
      </c>
    </row>
    <row r="27" spans="2:18" ht="14.25" customHeight="1" x14ac:dyDescent="0.3">
      <c r="B27" s="105" t="s">
        <v>269</v>
      </c>
      <c r="C27" s="105">
        <v>381.15</v>
      </c>
      <c r="D27" s="3">
        <f t="shared" si="0"/>
        <v>3.8188043191993383E-3</v>
      </c>
      <c r="F27" s="106">
        <v>44323</v>
      </c>
      <c r="G27" s="107">
        <v>14823.150390625</v>
      </c>
      <c r="H27" s="109">
        <f t="shared" si="1"/>
        <v>6.6792477481555316E-3</v>
      </c>
    </row>
    <row r="28" spans="2:18" ht="14.25" customHeight="1" x14ac:dyDescent="0.3">
      <c r="B28" s="105" t="s">
        <v>270</v>
      </c>
      <c r="C28" s="105">
        <v>384.5</v>
      </c>
      <c r="D28" s="3">
        <f t="shared" si="0"/>
        <v>8.7891906073724862E-3</v>
      </c>
      <c r="F28" s="106">
        <v>44326</v>
      </c>
      <c r="G28" s="107">
        <v>14942.349609375</v>
      </c>
      <c r="H28" s="110">
        <f t="shared" si="1"/>
        <v>8.041422748121637E-3</v>
      </c>
    </row>
    <row r="29" spans="2:18" ht="14.25" customHeight="1" x14ac:dyDescent="0.3">
      <c r="B29" s="105" t="s">
        <v>271</v>
      </c>
      <c r="C29" s="105">
        <v>387.65</v>
      </c>
      <c r="D29" s="3">
        <f t="shared" si="0"/>
        <v>8.1924577373211366E-3</v>
      </c>
      <c r="F29" s="106">
        <v>44327</v>
      </c>
      <c r="G29" s="107">
        <v>14850.75</v>
      </c>
      <c r="H29" s="109">
        <f t="shared" si="1"/>
        <v>-6.1302011912189071E-3</v>
      </c>
    </row>
    <row r="30" spans="2:18" ht="14.25" customHeight="1" x14ac:dyDescent="0.3">
      <c r="B30" s="105" t="s">
        <v>272</v>
      </c>
      <c r="C30" s="105">
        <v>385.45</v>
      </c>
      <c r="D30" s="3">
        <f t="shared" si="0"/>
        <v>-5.6752224945182221E-3</v>
      </c>
      <c r="F30" s="106">
        <v>44328</v>
      </c>
      <c r="G30" s="107">
        <v>14696.5</v>
      </c>
      <c r="H30" s="110">
        <f t="shared" si="1"/>
        <v>-1.0386680807366631E-2</v>
      </c>
    </row>
    <row r="31" spans="2:18" ht="14.25" customHeight="1" x14ac:dyDescent="0.3">
      <c r="B31" s="105" t="s">
        <v>273</v>
      </c>
      <c r="C31" s="105">
        <v>388.8</v>
      </c>
      <c r="D31" s="3">
        <f t="shared" si="0"/>
        <v>8.6911402257102682E-3</v>
      </c>
      <c r="F31" s="106">
        <v>44330</v>
      </c>
      <c r="G31" s="107">
        <v>14677.7998046875</v>
      </c>
      <c r="H31" s="109">
        <f t="shared" si="1"/>
        <v>-1.2724250884564353E-3</v>
      </c>
    </row>
    <row r="32" spans="2:18" ht="14.25" customHeight="1" x14ac:dyDescent="0.3">
      <c r="B32" s="105" t="s">
        <v>274</v>
      </c>
      <c r="C32" s="105">
        <v>385.8</v>
      </c>
      <c r="D32" s="3">
        <f t="shared" si="0"/>
        <v>-7.716049382716049E-3</v>
      </c>
      <c r="F32" s="106">
        <v>44333</v>
      </c>
      <c r="G32" s="107">
        <v>14923.150390625</v>
      </c>
      <c r="H32" s="110">
        <f t="shared" si="1"/>
        <v>1.6715760481972569E-2</v>
      </c>
    </row>
    <row r="33" spans="2:8" ht="14.25" customHeight="1" x14ac:dyDescent="0.3">
      <c r="B33" s="105" t="s">
        <v>275</v>
      </c>
      <c r="C33" s="105">
        <v>385</v>
      </c>
      <c r="D33" s="3">
        <f t="shared" si="0"/>
        <v>-2.0736132711249647E-3</v>
      </c>
      <c r="F33" s="106">
        <v>44334</v>
      </c>
      <c r="G33" s="107">
        <v>15108.099609375</v>
      </c>
      <c r="H33" s="109">
        <f t="shared" si="1"/>
        <v>1.239344333527514E-2</v>
      </c>
    </row>
    <row r="34" spans="2:8" ht="14.25" customHeight="1" x14ac:dyDescent="0.3">
      <c r="B34" s="105" t="s">
        <v>276</v>
      </c>
      <c r="C34" s="105">
        <v>386.65</v>
      </c>
      <c r="D34" s="3">
        <f t="shared" si="0"/>
        <v>4.2857142857142269E-3</v>
      </c>
      <c r="F34" s="106">
        <v>44335</v>
      </c>
      <c r="G34" s="107">
        <v>15030.150390625</v>
      </c>
      <c r="H34" s="110">
        <f t="shared" si="1"/>
        <v>-5.1594324081388979E-3</v>
      </c>
    </row>
    <row r="35" spans="2:8" ht="14.25" customHeight="1" x14ac:dyDescent="0.3">
      <c r="B35" s="105" t="s">
        <v>277</v>
      </c>
      <c r="C35" s="105">
        <v>383.55</v>
      </c>
      <c r="D35" s="3">
        <f t="shared" si="0"/>
        <v>-8.0175869649552981E-3</v>
      </c>
      <c r="F35" s="106">
        <v>44336</v>
      </c>
      <c r="G35" s="107">
        <v>14906.0498046875</v>
      </c>
      <c r="H35" s="109">
        <f t="shared" si="1"/>
        <v>-8.2567760609306533E-3</v>
      </c>
    </row>
    <row r="36" spans="2:8" ht="14.25" customHeight="1" x14ac:dyDescent="0.3">
      <c r="B36" s="105" t="s">
        <v>278</v>
      </c>
      <c r="C36" s="105">
        <v>382.5</v>
      </c>
      <c r="D36" s="3">
        <f t="shared" si="0"/>
        <v>-2.7375831052014374E-3</v>
      </c>
      <c r="F36" s="106">
        <v>44337</v>
      </c>
      <c r="G36" s="107">
        <v>15175.2998046875</v>
      </c>
      <c r="H36" s="110">
        <f t="shared" si="1"/>
        <v>1.8063135674974671E-2</v>
      </c>
    </row>
    <row r="37" spans="2:8" ht="14.25" customHeight="1" x14ac:dyDescent="0.3">
      <c r="B37" s="105" t="s">
        <v>279</v>
      </c>
      <c r="C37" s="105">
        <v>383.45</v>
      </c>
      <c r="D37" s="3">
        <f t="shared" si="0"/>
        <v>2.4836601307189243E-3</v>
      </c>
      <c r="F37" s="106">
        <v>44340</v>
      </c>
      <c r="G37" s="107">
        <v>15197.7001953125</v>
      </c>
      <c r="H37" s="109">
        <f t="shared" si="1"/>
        <v>1.4761086049898495E-3</v>
      </c>
    </row>
    <row r="38" spans="2:8" ht="14.25" customHeight="1" x14ac:dyDescent="0.3">
      <c r="B38" s="105" t="s">
        <v>280</v>
      </c>
      <c r="C38" s="105">
        <v>381.55</v>
      </c>
      <c r="D38" s="3">
        <f t="shared" si="0"/>
        <v>-4.9550136914851411E-3</v>
      </c>
      <c r="F38" s="106">
        <v>44341</v>
      </c>
      <c r="G38" s="107">
        <v>15208.4501953125</v>
      </c>
      <c r="H38" s="110">
        <f t="shared" si="1"/>
        <v>7.0734386531165255E-4</v>
      </c>
    </row>
    <row r="39" spans="2:8" ht="14.25" customHeight="1" x14ac:dyDescent="0.3">
      <c r="B39" s="105" t="s">
        <v>281</v>
      </c>
      <c r="C39" s="105">
        <v>383.05</v>
      </c>
      <c r="D39" s="3">
        <f t="shared" si="0"/>
        <v>3.9313327217926873E-3</v>
      </c>
      <c r="F39" s="106">
        <v>44342</v>
      </c>
      <c r="G39" s="107">
        <v>15301.4501953125</v>
      </c>
      <c r="H39" s="109">
        <f t="shared" si="1"/>
        <v>6.1150215048647203E-3</v>
      </c>
    </row>
    <row r="40" spans="2:8" ht="14.25" customHeight="1" x14ac:dyDescent="0.3">
      <c r="B40" s="105" t="s">
        <v>282</v>
      </c>
      <c r="C40" s="105">
        <v>381.9</v>
      </c>
      <c r="D40" s="3">
        <f t="shared" si="0"/>
        <v>-3.002219031458123E-3</v>
      </c>
      <c r="F40" s="106">
        <v>44343</v>
      </c>
      <c r="G40" s="107">
        <v>15337.849609375</v>
      </c>
      <c r="H40" s="110">
        <f t="shared" si="1"/>
        <v>2.3788211965458492E-3</v>
      </c>
    </row>
    <row r="41" spans="2:8" ht="14.25" customHeight="1" x14ac:dyDescent="0.3">
      <c r="B41" s="105" t="s">
        <v>283</v>
      </c>
      <c r="C41" s="105">
        <v>382.15</v>
      </c>
      <c r="D41" s="3">
        <f t="shared" si="0"/>
        <v>6.5462162869861225E-4</v>
      </c>
      <c r="F41" s="106">
        <v>44344</v>
      </c>
      <c r="G41" s="107">
        <v>15435.650390625</v>
      </c>
      <c r="H41" s="109">
        <f t="shared" si="1"/>
        <v>6.3764337075140533E-3</v>
      </c>
    </row>
    <row r="42" spans="2:8" ht="14.25" customHeight="1" x14ac:dyDescent="0.3">
      <c r="B42" s="105" t="s">
        <v>284</v>
      </c>
      <c r="C42" s="105">
        <v>388.2</v>
      </c>
      <c r="D42" s="3">
        <f t="shared" si="0"/>
        <v>1.5831479785424603E-2</v>
      </c>
      <c r="F42" s="106">
        <v>44347</v>
      </c>
      <c r="G42" s="107">
        <v>15582.7998046875</v>
      </c>
      <c r="H42" s="110">
        <f t="shared" si="1"/>
        <v>9.5330880357249285E-3</v>
      </c>
    </row>
    <row r="43" spans="2:8" ht="14.25" customHeight="1" x14ac:dyDescent="0.3">
      <c r="B43" s="105" t="s">
        <v>285</v>
      </c>
      <c r="C43" s="105">
        <v>385.85</v>
      </c>
      <c r="D43" s="3">
        <f t="shared" si="0"/>
        <v>-6.0535806285419011E-3</v>
      </c>
      <c r="F43" s="106">
        <v>44348</v>
      </c>
      <c r="G43" s="107">
        <v>15574.849609375</v>
      </c>
      <c r="H43" s="109">
        <f t="shared" si="1"/>
        <v>-5.1019042868717874E-4</v>
      </c>
    </row>
    <row r="44" spans="2:8" ht="14.25" customHeight="1" x14ac:dyDescent="0.3">
      <c r="B44" s="105" t="s">
        <v>286</v>
      </c>
      <c r="C44" s="105">
        <v>388.1</v>
      </c>
      <c r="D44" s="3">
        <f t="shared" si="0"/>
        <v>5.8312815861085911E-3</v>
      </c>
      <c r="F44" s="106">
        <v>44349</v>
      </c>
      <c r="G44" s="107">
        <v>15576.2001953125</v>
      </c>
      <c r="H44" s="110">
        <f t="shared" si="1"/>
        <v>8.6715825280716621E-5</v>
      </c>
    </row>
    <row r="45" spans="2:8" ht="14.25" customHeight="1" x14ac:dyDescent="0.3">
      <c r="B45" s="105" t="s">
        <v>287</v>
      </c>
      <c r="C45" s="105">
        <v>385.1</v>
      </c>
      <c r="D45" s="3">
        <f t="shared" si="0"/>
        <v>-7.7299665034784842E-3</v>
      </c>
      <c r="F45" s="106">
        <v>44350</v>
      </c>
      <c r="G45" s="107">
        <v>15690.349609375</v>
      </c>
      <c r="H45" s="109">
        <f t="shared" si="1"/>
        <v>7.3284506253875779E-3</v>
      </c>
    </row>
    <row r="46" spans="2:8" ht="14.25" customHeight="1" x14ac:dyDescent="0.3">
      <c r="B46" s="105" t="s">
        <v>288</v>
      </c>
      <c r="C46" s="105">
        <v>384.9</v>
      </c>
      <c r="D46" s="3">
        <f t="shared" si="0"/>
        <v>-5.1934562451323154E-4</v>
      </c>
      <c r="F46" s="106">
        <v>44351</v>
      </c>
      <c r="G46" s="107">
        <v>15670.25</v>
      </c>
      <c r="H46" s="110">
        <f t="shared" si="1"/>
        <v>-1.2810173052479636E-3</v>
      </c>
    </row>
    <row r="47" spans="2:8" ht="14.25" customHeight="1" x14ac:dyDescent="0.3">
      <c r="B47" s="105" t="s">
        <v>289</v>
      </c>
      <c r="C47" s="105">
        <v>389.05</v>
      </c>
      <c r="D47" s="3">
        <f t="shared" si="0"/>
        <v>1.0782021304234956E-2</v>
      </c>
      <c r="F47" s="106">
        <v>44354</v>
      </c>
      <c r="G47" s="107">
        <v>15751.650390625</v>
      </c>
      <c r="H47" s="109">
        <f t="shared" si="1"/>
        <v>5.1945814919991708E-3</v>
      </c>
    </row>
    <row r="48" spans="2:8" ht="14.25" customHeight="1" x14ac:dyDescent="0.3">
      <c r="B48" s="105" t="s">
        <v>290</v>
      </c>
      <c r="C48" s="105">
        <v>402.45</v>
      </c>
      <c r="D48" s="3">
        <f t="shared" si="0"/>
        <v>3.4442873666623769E-2</v>
      </c>
      <c r="F48" s="106">
        <v>44355</v>
      </c>
      <c r="G48" s="107">
        <v>15740.099609375</v>
      </c>
      <c r="H48" s="110">
        <f t="shared" si="1"/>
        <v>-7.3330609577741419E-4</v>
      </c>
    </row>
    <row r="49" spans="2:8" ht="14.25" customHeight="1" x14ac:dyDescent="0.3">
      <c r="B49" s="105" t="s">
        <v>291</v>
      </c>
      <c r="C49" s="105">
        <v>404.5</v>
      </c>
      <c r="D49" s="3">
        <f t="shared" si="0"/>
        <v>5.0938004721083644E-3</v>
      </c>
      <c r="F49" s="106">
        <v>44356</v>
      </c>
      <c r="G49" s="107">
        <v>15635.349609375</v>
      </c>
      <c r="H49" s="109">
        <f t="shared" si="1"/>
        <v>-6.6549769442125761E-3</v>
      </c>
    </row>
    <row r="50" spans="2:8" ht="14.25" customHeight="1" x14ac:dyDescent="0.3">
      <c r="B50" s="105" t="s">
        <v>292</v>
      </c>
      <c r="C50" s="105">
        <v>414.75</v>
      </c>
      <c r="D50" s="3">
        <f t="shared" si="0"/>
        <v>2.5339925834363411E-2</v>
      </c>
      <c r="F50" s="106">
        <v>44357</v>
      </c>
      <c r="G50" s="107">
        <v>15737.75</v>
      </c>
      <c r="H50" s="110">
        <f t="shared" si="1"/>
        <v>6.5492869160789623E-3</v>
      </c>
    </row>
    <row r="51" spans="2:8" ht="14.25" customHeight="1" x14ac:dyDescent="0.3">
      <c r="B51" s="105" t="s">
        <v>293</v>
      </c>
      <c r="C51" s="105">
        <v>415</v>
      </c>
      <c r="D51" s="3">
        <f t="shared" si="0"/>
        <v>6.0277275467148883E-4</v>
      </c>
      <c r="F51" s="106">
        <v>44358</v>
      </c>
      <c r="G51" s="107">
        <v>15799.349609375</v>
      </c>
      <c r="H51" s="109">
        <f t="shared" si="1"/>
        <v>3.9141306333497486E-3</v>
      </c>
    </row>
    <row r="52" spans="2:8" ht="14.25" customHeight="1" x14ac:dyDescent="0.3">
      <c r="B52" s="105" t="s">
        <v>294</v>
      </c>
      <c r="C52" s="105">
        <v>412.05</v>
      </c>
      <c r="D52" s="3">
        <f t="shared" si="0"/>
        <v>-7.1084337349397314E-3</v>
      </c>
      <c r="F52" s="106">
        <v>44361</v>
      </c>
      <c r="G52" s="107">
        <v>15811.849609375</v>
      </c>
      <c r="H52" s="110">
        <f t="shared" si="1"/>
        <v>7.9117180827385227E-4</v>
      </c>
    </row>
    <row r="53" spans="2:8" ht="14.25" customHeight="1" x14ac:dyDescent="0.3">
      <c r="B53" s="105" t="s">
        <v>295</v>
      </c>
      <c r="C53" s="105">
        <v>410.5</v>
      </c>
      <c r="D53" s="3">
        <f t="shared" si="0"/>
        <v>-3.761679407838882E-3</v>
      </c>
      <c r="F53" s="106">
        <v>44362</v>
      </c>
      <c r="G53" s="107">
        <v>15869.25</v>
      </c>
      <c r="H53" s="109">
        <f t="shared" si="1"/>
        <v>3.630213545097643E-3</v>
      </c>
    </row>
    <row r="54" spans="2:8" ht="14.25" customHeight="1" x14ac:dyDescent="0.3">
      <c r="B54" s="105" t="s">
        <v>296</v>
      </c>
      <c r="C54" s="105">
        <v>403.25</v>
      </c>
      <c r="D54" s="3">
        <f t="shared" si="0"/>
        <v>-1.7661388550548111E-2</v>
      </c>
      <c r="F54" s="106">
        <v>44363</v>
      </c>
      <c r="G54" s="107">
        <v>15767.5498046875</v>
      </c>
      <c r="H54" s="110">
        <f t="shared" si="1"/>
        <v>-6.4086327528081041E-3</v>
      </c>
    </row>
    <row r="55" spans="2:8" ht="14.25" customHeight="1" x14ac:dyDescent="0.3">
      <c r="B55" s="105" t="s">
        <v>297</v>
      </c>
      <c r="C55" s="105">
        <v>398.65</v>
      </c>
      <c r="D55" s="3">
        <f t="shared" si="0"/>
        <v>-1.1407315561066392E-2</v>
      </c>
      <c r="F55" s="106">
        <v>44364</v>
      </c>
      <c r="G55" s="107">
        <v>15691.400390625</v>
      </c>
      <c r="H55" s="109">
        <f t="shared" si="1"/>
        <v>-4.829502047290931E-3</v>
      </c>
    </row>
    <row r="56" spans="2:8" ht="14.25" customHeight="1" x14ac:dyDescent="0.3">
      <c r="B56" s="105" t="s">
        <v>298</v>
      </c>
      <c r="C56" s="105">
        <v>398.95</v>
      </c>
      <c r="D56" s="3">
        <f t="shared" si="0"/>
        <v>7.5253982189893735E-4</v>
      </c>
      <c r="F56" s="106">
        <v>44365</v>
      </c>
      <c r="G56" s="107">
        <v>15683.349609375</v>
      </c>
      <c r="H56" s="110">
        <f t="shared" si="1"/>
        <v>-5.1306964640390079E-4</v>
      </c>
    </row>
    <row r="57" spans="2:8" ht="14.25" customHeight="1" x14ac:dyDescent="0.3">
      <c r="B57" s="105" t="s">
        <v>299</v>
      </c>
      <c r="C57" s="105">
        <v>405.75</v>
      </c>
      <c r="D57" s="3">
        <f t="shared" si="0"/>
        <v>1.7044742448928465E-2</v>
      </c>
      <c r="F57" s="106">
        <v>44368</v>
      </c>
      <c r="G57" s="107">
        <v>15746.5</v>
      </c>
      <c r="H57" s="109">
        <f t="shared" si="1"/>
        <v>4.0265882096545708E-3</v>
      </c>
    </row>
    <row r="58" spans="2:8" ht="14.25" customHeight="1" x14ac:dyDescent="0.3">
      <c r="B58" s="105" t="s">
        <v>300</v>
      </c>
      <c r="C58" s="105">
        <v>401.35</v>
      </c>
      <c r="D58" s="3">
        <f t="shared" si="0"/>
        <v>-1.0844115834873635E-2</v>
      </c>
      <c r="F58" s="106">
        <v>44369</v>
      </c>
      <c r="G58" s="107">
        <v>15772.75</v>
      </c>
      <c r="H58" s="110">
        <f t="shared" si="1"/>
        <v>1.6670371193598578E-3</v>
      </c>
    </row>
    <row r="59" spans="2:8" ht="14.25" customHeight="1" x14ac:dyDescent="0.3">
      <c r="B59" s="105" t="s">
        <v>301</v>
      </c>
      <c r="C59" s="105">
        <v>397.55</v>
      </c>
      <c r="D59" s="3">
        <f t="shared" si="0"/>
        <v>-9.4680453469540571E-3</v>
      </c>
      <c r="F59" s="106">
        <v>44370</v>
      </c>
      <c r="G59" s="107">
        <v>15686.9501953125</v>
      </c>
      <c r="H59" s="109">
        <f t="shared" si="1"/>
        <v>-5.4397492312691191E-3</v>
      </c>
    </row>
    <row r="60" spans="2:8" ht="14.25" customHeight="1" x14ac:dyDescent="0.3">
      <c r="B60" s="105" t="s">
        <v>302</v>
      </c>
      <c r="C60" s="105">
        <v>395.2</v>
      </c>
      <c r="D60" s="3">
        <f t="shared" si="0"/>
        <v>-5.9112061375928126E-3</v>
      </c>
      <c r="F60" s="106">
        <v>44371</v>
      </c>
      <c r="G60" s="107">
        <v>15790.4501953125</v>
      </c>
      <c r="H60" s="110">
        <f t="shared" si="1"/>
        <v>6.5978407983297719E-3</v>
      </c>
    </row>
    <row r="61" spans="2:8" ht="14.25" customHeight="1" x14ac:dyDescent="0.3">
      <c r="B61" s="105" t="s">
        <v>303</v>
      </c>
      <c r="C61" s="105">
        <v>396.95</v>
      </c>
      <c r="D61" s="3">
        <f t="shared" si="0"/>
        <v>4.4281376518218625E-3</v>
      </c>
      <c r="F61" s="106">
        <v>44372</v>
      </c>
      <c r="G61" s="107">
        <v>15860.349609375</v>
      </c>
      <c r="H61" s="109">
        <f t="shared" si="1"/>
        <v>4.4266891189239247E-3</v>
      </c>
    </row>
    <row r="62" spans="2:8" ht="14.25" customHeight="1" x14ac:dyDescent="0.3">
      <c r="B62" s="105" t="s">
        <v>304</v>
      </c>
      <c r="C62" s="105">
        <v>404.15</v>
      </c>
      <c r="D62" s="3">
        <f t="shared" si="0"/>
        <v>1.8138304572364251E-2</v>
      </c>
      <c r="F62" s="106">
        <v>44375</v>
      </c>
      <c r="G62" s="107">
        <v>15814.7001953125</v>
      </c>
      <c r="H62" s="110">
        <f t="shared" si="1"/>
        <v>-2.8782098242977434E-3</v>
      </c>
    </row>
    <row r="63" spans="2:8" ht="14.25" customHeight="1" x14ac:dyDescent="0.3">
      <c r="B63" s="105" t="s">
        <v>305</v>
      </c>
      <c r="C63" s="105">
        <v>407.55</v>
      </c>
      <c r="D63" s="3">
        <f t="shared" si="0"/>
        <v>8.4127180502289595E-3</v>
      </c>
      <c r="F63" s="106">
        <v>44376</v>
      </c>
      <c r="G63" s="107">
        <v>15748.4501953125</v>
      </c>
      <c r="H63" s="109">
        <f t="shared" si="1"/>
        <v>-4.1891404314851697E-3</v>
      </c>
    </row>
    <row r="64" spans="2:8" ht="14.25" customHeight="1" x14ac:dyDescent="0.3">
      <c r="B64" s="105" t="s">
        <v>306</v>
      </c>
      <c r="C64" s="105">
        <v>404.45</v>
      </c>
      <c r="D64" s="3">
        <f t="shared" si="0"/>
        <v>-7.6064286590602935E-3</v>
      </c>
      <c r="F64" s="106">
        <v>44377</v>
      </c>
      <c r="G64" s="107">
        <v>15721.5</v>
      </c>
      <c r="H64" s="110">
        <f t="shared" si="1"/>
        <v>-1.7112919035373831E-3</v>
      </c>
    </row>
    <row r="65" spans="2:8" ht="14.25" customHeight="1" x14ac:dyDescent="0.3">
      <c r="B65" s="105" t="s">
        <v>307</v>
      </c>
      <c r="C65" s="105">
        <v>406.15</v>
      </c>
      <c r="D65" s="3">
        <f t="shared" si="0"/>
        <v>4.2032389664976846E-3</v>
      </c>
      <c r="F65" s="106">
        <v>44378</v>
      </c>
      <c r="G65" s="107">
        <v>15680</v>
      </c>
      <c r="H65" s="109">
        <f t="shared" si="1"/>
        <v>-2.6396972299080877E-3</v>
      </c>
    </row>
    <row r="66" spans="2:8" ht="14.25" customHeight="1" x14ac:dyDescent="0.3">
      <c r="B66" s="105" t="s">
        <v>308</v>
      </c>
      <c r="C66" s="105">
        <v>408.05</v>
      </c>
      <c r="D66" s="3">
        <f t="shared" si="0"/>
        <v>4.6780746029792793E-3</v>
      </c>
      <c r="F66" s="106">
        <v>44379</v>
      </c>
      <c r="G66" s="107">
        <v>15722.2001953125</v>
      </c>
      <c r="H66" s="110">
        <f t="shared" si="1"/>
        <v>2.6913389867665818E-3</v>
      </c>
    </row>
    <row r="67" spans="2:8" ht="14.25" customHeight="1" x14ac:dyDescent="0.3">
      <c r="B67" s="105" t="s">
        <v>309</v>
      </c>
      <c r="C67" s="105">
        <v>403.4</v>
      </c>
      <c r="D67" s="3">
        <f t="shared" si="0"/>
        <v>-1.1395662296287303E-2</v>
      </c>
      <c r="F67" s="106">
        <v>44382</v>
      </c>
      <c r="G67" s="107">
        <v>15834.349609375</v>
      </c>
      <c r="H67" s="109">
        <f t="shared" si="1"/>
        <v>7.1331882732250679E-3</v>
      </c>
    </row>
    <row r="68" spans="2:8" ht="14.25" customHeight="1" x14ac:dyDescent="0.3">
      <c r="B68" s="105" t="s">
        <v>310</v>
      </c>
      <c r="C68" s="105">
        <v>388.85</v>
      </c>
      <c r="D68" s="3">
        <f t="shared" si="0"/>
        <v>-3.6068418443232414E-2</v>
      </c>
      <c r="F68" s="106">
        <v>44383</v>
      </c>
      <c r="G68" s="107">
        <v>15818.25</v>
      </c>
      <c r="H68" s="110">
        <f t="shared" si="1"/>
        <v>-1.016752173102705E-3</v>
      </c>
    </row>
    <row r="69" spans="2:8" ht="14.25" customHeight="1" x14ac:dyDescent="0.3">
      <c r="B69" s="105" t="s">
        <v>311</v>
      </c>
      <c r="C69" s="105">
        <v>392.1</v>
      </c>
      <c r="D69" s="3">
        <f t="shared" ref="D69:D132" si="2">(C69-C68)/C68</f>
        <v>8.3579786550083569E-3</v>
      </c>
      <c r="F69" s="106">
        <v>44384</v>
      </c>
      <c r="G69" s="107">
        <v>15879.650390625</v>
      </c>
      <c r="H69" s="109">
        <f t="shared" ref="H69:H132" si="3">(G69-G68)/G68</f>
        <v>3.8816171589777632E-3</v>
      </c>
    </row>
    <row r="70" spans="2:8" ht="14.25" customHeight="1" x14ac:dyDescent="0.3">
      <c r="B70" s="105" t="s">
        <v>312</v>
      </c>
      <c r="C70" s="105">
        <v>389.35</v>
      </c>
      <c r="D70" s="3">
        <f t="shared" si="2"/>
        <v>-7.0135169599591938E-3</v>
      </c>
      <c r="F70" s="106">
        <v>44385</v>
      </c>
      <c r="G70" s="107">
        <v>15727.900390625</v>
      </c>
      <c r="H70" s="110">
        <f t="shared" si="3"/>
        <v>-9.5562557277451086E-3</v>
      </c>
    </row>
    <row r="71" spans="2:8" ht="14.25" customHeight="1" x14ac:dyDescent="0.3">
      <c r="B71" s="105" t="s">
        <v>313</v>
      </c>
      <c r="C71" s="105">
        <v>388.55</v>
      </c>
      <c r="D71" s="3">
        <f t="shared" si="2"/>
        <v>-2.0547065622191123E-3</v>
      </c>
      <c r="F71" s="106">
        <v>44386</v>
      </c>
      <c r="G71" s="107">
        <v>15689.7998046875</v>
      </c>
      <c r="H71" s="109">
        <f t="shared" si="3"/>
        <v>-2.4224839292732799E-3</v>
      </c>
    </row>
    <row r="72" spans="2:8" ht="14.25" customHeight="1" x14ac:dyDescent="0.3">
      <c r="B72" s="105" t="s">
        <v>314</v>
      </c>
      <c r="C72" s="105">
        <v>387.35</v>
      </c>
      <c r="D72" s="3">
        <f t="shared" si="2"/>
        <v>-3.0884056106034964E-3</v>
      </c>
      <c r="F72" s="106">
        <v>44389</v>
      </c>
      <c r="G72" s="107">
        <v>15692.599609375</v>
      </c>
      <c r="H72" s="110">
        <f t="shared" si="3"/>
        <v>1.7844744498674405E-4</v>
      </c>
    </row>
    <row r="73" spans="2:8" ht="14.25" customHeight="1" x14ac:dyDescent="0.3">
      <c r="B73" s="105" t="s">
        <v>315</v>
      </c>
      <c r="C73" s="105">
        <v>387.8</v>
      </c>
      <c r="D73" s="3">
        <f t="shared" si="2"/>
        <v>1.1617400283980602E-3</v>
      </c>
      <c r="F73" s="106">
        <v>44390</v>
      </c>
      <c r="G73" s="107">
        <v>15812.349609375</v>
      </c>
      <c r="H73" s="109">
        <f t="shared" si="3"/>
        <v>7.6309854951285136E-3</v>
      </c>
    </row>
    <row r="74" spans="2:8" ht="14.25" customHeight="1" x14ac:dyDescent="0.3">
      <c r="B74" s="105" t="s">
        <v>316</v>
      </c>
      <c r="C74" s="105">
        <v>399.35</v>
      </c>
      <c r="D74" s="3">
        <f t="shared" si="2"/>
        <v>2.9783393501805082E-2</v>
      </c>
      <c r="F74" s="106">
        <v>44391</v>
      </c>
      <c r="G74" s="107">
        <v>15853.9501953125</v>
      </c>
      <c r="H74" s="110">
        <f t="shared" si="3"/>
        <v>2.6308921169334244E-3</v>
      </c>
    </row>
    <row r="75" spans="2:8" ht="14.25" customHeight="1" x14ac:dyDescent="0.3">
      <c r="B75" s="105" t="s">
        <v>317</v>
      </c>
      <c r="C75" s="105">
        <v>403.25</v>
      </c>
      <c r="D75" s="3">
        <f t="shared" si="2"/>
        <v>9.765869537999192E-3</v>
      </c>
      <c r="F75" s="106">
        <v>44392</v>
      </c>
      <c r="G75" s="107">
        <v>15924.2001953125</v>
      </c>
      <c r="H75" s="109">
        <f t="shared" si="3"/>
        <v>4.4310723280038215E-3</v>
      </c>
    </row>
    <row r="76" spans="2:8" ht="14.25" customHeight="1" x14ac:dyDescent="0.3">
      <c r="B76" s="105" t="s">
        <v>318</v>
      </c>
      <c r="C76" s="105">
        <v>409.3</v>
      </c>
      <c r="D76" s="3">
        <f t="shared" si="2"/>
        <v>1.5003099814011187E-2</v>
      </c>
      <c r="F76" s="106">
        <v>44393</v>
      </c>
      <c r="G76" s="107">
        <v>15923.400390625</v>
      </c>
      <c r="H76" s="110">
        <f t="shared" si="3"/>
        <v>-5.0225736783655429E-5</v>
      </c>
    </row>
    <row r="77" spans="2:8" ht="14.25" customHeight="1" x14ac:dyDescent="0.3">
      <c r="B77" s="105" t="s">
        <v>319</v>
      </c>
      <c r="C77" s="105">
        <v>411.4</v>
      </c>
      <c r="D77" s="3">
        <f t="shared" si="2"/>
        <v>5.1307109699486094E-3</v>
      </c>
      <c r="F77" s="106">
        <v>44396</v>
      </c>
      <c r="G77" s="107">
        <v>15752.400390625</v>
      </c>
      <c r="H77" s="109">
        <f t="shared" si="3"/>
        <v>-1.0738912280361756E-2</v>
      </c>
    </row>
    <row r="78" spans="2:8" ht="14.25" customHeight="1" x14ac:dyDescent="0.3">
      <c r="B78" s="105" t="s">
        <v>320</v>
      </c>
      <c r="C78" s="105">
        <v>404.25</v>
      </c>
      <c r="D78" s="3">
        <f t="shared" si="2"/>
        <v>-1.7379679144384971E-2</v>
      </c>
      <c r="F78" s="106">
        <v>44397</v>
      </c>
      <c r="G78" s="107">
        <v>15632.099609375</v>
      </c>
      <c r="H78" s="110">
        <f t="shared" si="3"/>
        <v>-7.6369809214344685E-3</v>
      </c>
    </row>
    <row r="79" spans="2:8" ht="14.25" customHeight="1" x14ac:dyDescent="0.3">
      <c r="B79" s="105" t="s">
        <v>321</v>
      </c>
      <c r="C79" s="105">
        <v>403</v>
      </c>
      <c r="D79" s="3">
        <f t="shared" si="2"/>
        <v>-3.0921459492888066E-3</v>
      </c>
      <c r="F79" s="106">
        <v>44399</v>
      </c>
      <c r="G79" s="107">
        <v>15824.0498046875</v>
      </c>
      <c r="H79" s="109">
        <f t="shared" si="3"/>
        <v>1.2279233123449532E-2</v>
      </c>
    </row>
    <row r="80" spans="2:8" ht="14.25" customHeight="1" x14ac:dyDescent="0.3">
      <c r="B80" s="105" t="s">
        <v>322</v>
      </c>
      <c r="C80" s="105">
        <v>398.15</v>
      </c>
      <c r="D80" s="3">
        <f t="shared" si="2"/>
        <v>-1.203473945409435E-2</v>
      </c>
      <c r="F80" s="106">
        <v>44400</v>
      </c>
      <c r="G80" s="107">
        <v>15856.0498046875</v>
      </c>
      <c r="H80" s="110">
        <f t="shared" si="3"/>
        <v>2.0222383267853947E-3</v>
      </c>
    </row>
    <row r="81" spans="2:8" ht="14.25" customHeight="1" x14ac:dyDescent="0.3">
      <c r="B81" s="105" t="s">
        <v>323</v>
      </c>
      <c r="C81" s="105">
        <v>389.5</v>
      </c>
      <c r="D81" s="3">
        <f t="shared" si="2"/>
        <v>-2.1725480346602984E-2</v>
      </c>
      <c r="F81" s="106">
        <v>44403</v>
      </c>
      <c r="G81" s="107">
        <v>15824.4501953125</v>
      </c>
      <c r="H81" s="109">
        <f t="shared" si="3"/>
        <v>-1.9929055322251985E-3</v>
      </c>
    </row>
    <row r="82" spans="2:8" ht="14.25" customHeight="1" x14ac:dyDescent="0.3">
      <c r="B82" s="105" t="s">
        <v>324</v>
      </c>
      <c r="C82" s="105">
        <v>379.55</v>
      </c>
      <c r="D82" s="3">
        <f t="shared" si="2"/>
        <v>-2.5545571245186107E-2</v>
      </c>
      <c r="F82" s="106">
        <v>44404</v>
      </c>
      <c r="G82" s="107">
        <v>15746.4501953125</v>
      </c>
      <c r="H82" s="110">
        <f t="shared" si="3"/>
        <v>-4.9290812026508866E-3</v>
      </c>
    </row>
    <row r="83" spans="2:8" ht="14.25" customHeight="1" x14ac:dyDescent="0.3">
      <c r="B83" s="105" t="s">
        <v>325</v>
      </c>
      <c r="C83" s="105">
        <v>381.7</v>
      </c>
      <c r="D83" s="3">
        <f t="shared" si="2"/>
        <v>5.6646028191278544E-3</v>
      </c>
      <c r="F83" s="106">
        <v>44405</v>
      </c>
      <c r="G83" s="107">
        <v>15709.400390625</v>
      </c>
      <c r="H83" s="109">
        <f t="shared" si="3"/>
        <v>-2.3528988583426387E-3</v>
      </c>
    </row>
    <row r="84" spans="2:8" ht="14.25" customHeight="1" x14ac:dyDescent="0.3">
      <c r="B84" s="105" t="s">
        <v>326</v>
      </c>
      <c r="C84" s="105">
        <v>382.55</v>
      </c>
      <c r="D84" s="3">
        <f t="shared" si="2"/>
        <v>2.226879748493641E-3</v>
      </c>
      <c r="F84" s="106">
        <v>44406</v>
      </c>
      <c r="G84" s="107">
        <v>15778.4501953125</v>
      </c>
      <c r="H84" s="110">
        <f t="shared" si="3"/>
        <v>4.3954449546468556E-3</v>
      </c>
    </row>
    <row r="85" spans="2:8" ht="14.25" customHeight="1" x14ac:dyDescent="0.3">
      <c r="B85" s="105" t="s">
        <v>327</v>
      </c>
      <c r="C85" s="105">
        <v>386.35</v>
      </c>
      <c r="D85" s="3">
        <f t="shared" si="2"/>
        <v>9.9333420467912978E-3</v>
      </c>
      <c r="F85" s="106">
        <v>44407</v>
      </c>
      <c r="G85" s="107">
        <v>15763.0498046875</v>
      </c>
      <c r="H85" s="109">
        <f t="shared" si="3"/>
        <v>-9.7603949908687388E-4</v>
      </c>
    </row>
    <row r="86" spans="2:8" ht="14.25" customHeight="1" x14ac:dyDescent="0.3">
      <c r="B86" s="105" t="s">
        <v>328</v>
      </c>
      <c r="C86" s="105">
        <v>390</v>
      </c>
      <c r="D86" s="3">
        <f t="shared" si="2"/>
        <v>9.4473922609032666E-3</v>
      </c>
      <c r="F86" s="106">
        <v>44410</v>
      </c>
      <c r="G86" s="107">
        <v>15885.150390625</v>
      </c>
      <c r="H86" s="110">
        <f t="shared" si="3"/>
        <v>7.7460001364197065E-3</v>
      </c>
    </row>
    <row r="87" spans="2:8" ht="14.25" customHeight="1" x14ac:dyDescent="0.3">
      <c r="B87" s="105" t="s">
        <v>329</v>
      </c>
      <c r="C87" s="105">
        <v>389.3</v>
      </c>
      <c r="D87" s="3">
        <f t="shared" si="2"/>
        <v>-1.7948717948717658E-3</v>
      </c>
      <c r="F87" s="106">
        <v>44411</v>
      </c>
      <c r="G87" s="107">
        <v>16130.75</v>
      </c>
      <c r="H87" s="109">
        <f t="shared" si="3"/>
        <v>1.5460955882416225E-2</v>
      </c>
    </row>
    <row r="88" spans="2:8" ht="14.25" customHeight="1" x14ac:dyDescent="0.3">
      <c r="B88" s="105" t="s">
        <v>330</v>
      </c>
      <c r="C88" s="105">
        <v>385.6</v>
      </c>
      <c r="D88" s="3">
        <f t="shared" si="2"/>
        <v>-9.5042383765733072E-3</v>
      </c>
      <c r="F88" s="106">
        <v>44412</v>
      </c>
      <c r="G88" s="107">
        <v>16258.7998046875</v>
      </c>
      <c r="H88" s="110">
        <f t="shared" si="3"/>
        <v>7.9382424678021788E-3</v>
      </c>
    </row>
    <row r="89" spans="2:8" ht="14.25" customHeight="1" x14ac:dyDescent="0.3">
      <c r="B89" s="105" t="s">
        <v>331</v>
      </c>
      <c r="C89" s="105">
        <v>384.15</v>
      </c>
      <c r="D89" s="3">
        <f t="shared" si="2"/>
        <v>-3.7603734439835201E-3</v>
      </c>
      <c r="F89" s="106">
        <v>44413</v>
      </c>
      <c r="G89" s="107">
        <v>16294.599609375</v>
      </c>
      <c r="H89" s="109">
        <f t="shared" si="3"/>
        <v>2.2018725316476757E-3</v>
      </c>
    </row>
    <row r="90" spans="2:8" ht="14.25" customHeight="1" x14ac:dyDescent="0.3">
      <c r="B90" s="105" t="s">
        <v>332</v>
      </c>
      <c r="C90" s="105">
        <v>383.6</v>
      </c>
      <c r="D90" s="3">
        <f t="shared" si="2"/>
        <v>-1.431732396199283E-3</v>
      </c>
      <c r="F90" s="106">
        <v>44414</v>
      </c>
      <c r="G90" s="107">
        <v>16238.2001953125</v>
      </c>
      <c r="H90" s="110">
        <f t="shared" si="3"/>
        <v>-3.4612335015615195E-3</v>
      </c>
    </row>
    <row r="91" spans="2:8" ht="14.25" customHeight="1" x14ac:dyDescent="0.3">
      <c r="B91" s="105" t="s">
        <v>333</v>
      </c>
      <c r="C91" s="105">
        <v>382.25</v>
      </c>
      <c r="D91" s="3">
        <f t="shared" si="2"/>
        <v>-3.5192909280501112E-3</v>
      </c>
      <c r="F91" s="106">
        <v>44417</v>
      </c>
      <c r="G91" s="107">
        <v>16258.25</v>
      </c>
      <c r="H91" s="109">
        <f t="shared" si="3"/>
        <v>1.2347307242392418E-3</v>
      </c>
    </row>
    <row r="92" spans="2:8" ht="14.25" customHeight="1" x14ac:dyDescent="0.3">
      <c r="B92" s="105" t="s">
        <v>334</v>
      </c>
      <c r="C92" s="105">
        <v>379</v>
      </c>
      <c r="D92" s="3">
        <f t="shared" si="2"/>
        <v>-8.502289077828646E-3</v>
      </c>
      <c r="F92" s="106">
        <v>44418</v>
      </c>
      <c r="G92" s="107">
        <v>16280.099609375</v>
      </c>
      <c r="H92" s="110">
        <f t="shared" si="3"/>
        <v>1.3439090538649608E-3</v>
      </c>
    </row>
    <row r="93" spans="2:8" ht="14.25" customHeight="1" x14ac:dyDescent="0.3">
      <c r="B93" s="105" t="s">
        <v>335</v>
      </c>
      <c r="C93" s="105">
        <v>372.65</v>
      </c>
      <c r="D93" s="3">
        <f t="shared" si="2"/>
        <v>-1.675461741424808E-2</v>
      </c>
      <c r="F93" s="106">
        <v>44419</v>
      </c>
      <c r="G93" s="107">
        <v>16282.25</v>
      </c>
      <c r="H93" s="109">
        <f t="shared" si="3"/>
        <v>1.3208706805219322E-4</v>
      </c>
    </row>
    <row r="94" spans="2:8" ht="14.25" customHeight="1" x14ac:dyDescent="0.3">
      <c r="B94" s="105" t="s">
        <v>336</v>
      </c>
      <c r="C94" s="105">
        <v>374.4</v>
      </c>
      <c r="D94" s="3">
        <f t="shared" si="2"/>
        <v>4.6960955320005373E-3</v>
      </c>
      <c r="F94" s="106">
        <v>44420</v>
      </c>
      <c r="G94" s="107">
        <v>16364.400390625</v>
      </c>
      <c r="H94" s="110">
        <f t="shared" si="3"/>
        <v>5.0453954843464512E-3</v>
      </c>
    </row>
    <row r="95" spans="2:8" ht="14.25" customHeight="1" x14ac:dyDescent="0.3">
      <c r="B95" s="105" t="s">
        <v>337</v>
      </c>
      <c r="C95" s="105">
        <v>371.4</v>
      </c>
      <c r="D95" s="3">
        <f t="shared" si="2"/>
        <v>-8.0128205128205138E-3</v>
      </c>
      <c r="F95" s="106">
        <v>44421</v>
      </c>
      <c r="G95" s="107">
        <v>16529.099609375</v>
      </c>
      <c r="H95" s="109">
        <f t="shared" si="3"/>
        <v>1.0064482340847301E-2</v>
      </c>
    </row>
    <row r="96" spans="2:8" ht="14.25" customHeight="1" x14ac:dyDescent="0.3">
      <c r="B96" s="105" t="s">
        <v>338</v>
      </c>
      <c r="C96" s="105">
        <v>366.95</v>
      </c>
      <c r="D96" s="3">
        <f t="shared" si="2"/>
        <v>-1.1981690899299915E-2</v>
      </c>
      <c r="F96" s="106">
        <v>44424</v>
      </c>
      <c r="G96" s="107">
        <v>16563.05078125</v>
      </c>
      <c r="H96" s="110">
        <f t="shared" si="3"/>
        <v>2.0540242770237479E-3</v>
      </c>
    </row>
    <row r="97" spans="2:8" ht="14.25" customHeight="1" x14ac:dyDescent="0.3">
      <c r="B97" s="105" t="s">
        <v>339</v>
      </c>
      <c r="C97" s="105">
        <v>366.6</v>
      </c>
      <c r="D97" s="3">
        <f t="shared" si="2"/>
        <v>-9.5380842076567903E-4</v>
      </c>
      <c r="F97" s="106">
        <v>44425</v>
      </c>
      <c r="G97" s="107">
        <v>16614.599609375</v>
      </c>
      <c r="H97" s="109">
        <f t="shared" si="3"/>
        <v>3.1122785775284361E-3</v>
      </c>
    </row>
    <row r="98" spans="2:8" ht="14.25" customHeight="1" x14ac:dyDescent="0.3">
      <c r="B98" s="105" t="s">
        <v>340</v>
      </c>
      <c r="C98" s="105">
        <v>370</v>
      </c>
      <c r="D98" s="3">
        <f t="shared" si="2"/>
        <v>9.2744135297326159E-3</v>
      </c>
      <c r="F98" s="106">
        <v>44426</v>
      </c>
      <c r="G98" s="107">
        <v>16568.849609375</v>
      </c>
      <c r="H98" s="110">
        <f t="shared" si="3"/>
        <v>-2.7536023181795473E-3</v>
      </c>
    </row>
    <row r="99" spans="2:8" ht="14.25" customHeight="1" x14ac:dyDescent="0.3">
      <c r="B99" s="105" t="s">
        <v>341</v>
      </c>
      <c r="C99" s="105">
        <v>357.35</v>
      </c>
      <c r="D99" s="3">
        <f t="shared" si="2"/>
        <v>-3.4189189189189124E-2</v>
      </c>
      <c r="F99" s="106">
        <v>44428</v>
      </c>
      <c r="G99" s="107">
        <v>16450.5</v>
      </c>
      <c r="H99" s="109">
        <f t="shared" si="3"/>
        <v>-7.142898400624949E-3</v>
      </c>
    </row>
    <row r="100" spans="2:8" ht="14.25" customHeight="1" x14ac:dyDescent="0.3">
      <c r="B100" s="105" t="s">
        <v>342</v>
      </c>
      <c r="C100" s="105">
        <v>333.2</v>
      </c>
      <c r="D100" s="3">
        <f t="shared" si="2"/>
        <v>-6.7580803134182271E-2</v>
      </c>
      <c r="F100" s="106">
        <v>44431</v>
      </c>
      <c r="G100" s="107">
        <v>16496.44921875</v>
      </c>
      <c r="H100" s="110">
        <f t="shared" si="3"/>
        <v>2.7931806783988329E-3</v>
      </c>
    </row>
    <row r="101" spans="2:8" ht="14.25" customHeight="1" x14ac:dyDescent="0.3">
      <c r="B101" s="105" t="s">
        <v>343</v>
      </c>
      <c r="C101" s="105">
        <v>349.5</v>
      </c>
      <c r="D101" s="3">
        <f t="shared" si="2"/>
        <v>4.8919567827130889E-2</v>
      </c>
      <c r="F101" s="106">
        <v>44432</v>
      </c>
      <c r="G101" s="107">
        <v>16624.599609375</v>
      </c>
      <c r="H101" s="109">
        <f t="shared" si="3"/>
        <v>7.7683620836017982E-3</v>
      </c>
    </row>
    <row r="102" spans="2:8" ht="14.25" customHeight="1" x14ac:dyDescent="0.3">
      <c r="B102" s="105" t="s">
        <v>344</v>
      </c>
      <c r="C102" s="105">
        <v>347.15</v>
      </c>
      <c r="D102" s="3">
        <f t="shared" si="2"/>
        <v>-6.7238912732475618E-3</v>
      </c>
      <c r="F102" s="106">
        <v>44433</v>
      </c>
      <c r="G102" s="107">
        <v>16634.650390625</v>
      </c>
      <c r="H102" s="110">
        <f t="shared" si="3"/>
        <v>6.0457283099510741E-4</v>
      </c>
    </row>
    <row r="103" spans="2:8" ht="14.25" customHeight="1" x14ac:dyDescent="0.3">
      <c r="B103" s="105" t="s">
        <v>345</v>
      </c>
      <c r="C103" s="105">
        <v>341</v>
      </c>
      <c r="D103" s="3">
        <f t="shared" si="2"/>
        <v>-1.7715684862451325E-2</v>
      </c>
      <c r="F103" s="106">
        <v>44434</v>
      </c>
      <c r="G103" s="107">
        <v>16636.900390625</v>
      </c>
      <c r="H103" s="109">
        <f t="shared" si="3"/>
        <v>1.3525983096513173E-4</v>
      </c>
    </row>
    <row r="104" spans="2:8" ht="14.25" customHeight="1" x14ac:dyDescent="0.3">
      <c r="B104" s="105" t="s">
        <v>346</v>
      </c>
      <c r="C104" s="105">
        <v>346.7</v>
      </c>
      <c r="D104" s="3">
        <f t="shared" si="2"/>
        <v>1.6715542521994101E-2</v>
      </c>
      <c r="F104" s="106">
        <v>44435</v>
      </c>
      <c r="G104" s="107">
        <v>16705.19921875</v>
      </c>
      <c r="H104" s="110">
        <f t="shared" si="3"/>
        <v>4.1052615884799564E-3</v>
      </c>
    </row>
    <row r="105" spans="2:8" ht="14.25" customHeight="1" x14ac:dyDescent="0.3">
      <c r="B105" s="105" t="s">
        <v>347</v>
      </c>
      <c r="C105" s="105">
        <v>356.6</v>
      </c>
      <c r="D105" s="3">
        <f t="shared" si="2"/>
        <v>2.8554946639746278E-2</v>
      </c>
      <c r="F105" s="106">
        <v>44438</v>
      </c>
      <c r="G105" s="107">
        <v>16931.05078125</v>
      </c>
      <c r="H105" s="109">
        <f t="shared" si="3"/>
        <v>1.3519836521704158E-2</v>
      </c>
    </row>
    <row r="106" spans="2:8" ht="14.25" customHeight="1" x14ac:dyDescent="0.3">
      <c r="B106" s="105" t="s">
        <v>348</v>
      </c>
      <c r="C106" s="105">
        <v>358.85</v>
      </c>
      <c r="D106" s="3">
        <f t="shared" si="2"/>
        <v>6.3095905776780706E-3</v>
      </c>
      <c r="F106" s="106">
        <v>44439</v>
      </c>
      <c r="G106" s="107">
        <v>17132.19921875</v>
      </c>
      <c r="H106" s="110">
        <f t="shared" si="3"/>
        <v>1.1880446175423345E-2</v>
      </c>
    </row>
    <row r="107" spans="2:8" ht="14.25" customHeight="1" x14ac:dyDescent="0.3">
      <c r="B107" s="105" t="s">
        <v>349</v>
      </c>
      <c r="C107" s="105">
        <v>354.7</v>
      </c>
      <c r="D107" s="3">
        <f t="shared" si="2"/>
        <v>-1.156472063536306E-2</v>
      </c>
      <c r="F107" s="106">
        <v>44440</v>
      </c>
      <c r="G107" s="107">
        <v>17076.25</v>
      </c>
      <c r="H107" s="109">
        <f t="shared" si="3"/>
        <v>-3.2657347743637881E-3</v>
      </c>
    </row>
    <row r="108" spans="2:8" ht="14.25" customHeight="1" x14ac:dyDescent="0.3">
      <c r="B108" s="105" t="s">
        <v>350</v>
      </c>
      <c r="C108" s="105">
        <v>358.65</v>
      </c>
      <c r="D108" s="3">
        <f t="shared" si="2"/>
        <v>1.1136171412461203E-2</v>
      </c>
      <c r="F108" s="106">
        <v>44441</v>
      </c>
      <c r="G108" s="107">
        <v>17234.150390625</v>
      </c>
      <c r="H108" s="110">
        <f t="shared" si="3"/>
        <v>9.2467837273991649E-3</v>
      </c>
    </row>
    <row r="109" spans="2:8" ht="14.25" customHeight="1" x14ac:dyDescent="0.3">
      <c r="B109" s="105" t="s">
        <v>351</v>
      </c>
      <c r="C109" s="105">
        <v>363.5</v>
      </c>
      <c r="D109" s="3">
        <f t="shared" si="2"/>
        <v>1.3522933221804052E-2</v>
      </c>
      <c r="F109" s="106">
        <v>44442</v>
      </c>
      <c r="G109" s="107">
        <v>17323.599609375</v>
      </c>
      <c r="H109" s="109">
        <f t="shared" si="3"/>
        <v>5.1902308336974016E-3</v>
      </c>
    </row>
    <row r="110" spans="2:8" ht="14.25" customHeight="1" x14ac:dyDescent="0.3">
      <c r="B110" s="105" t="s">
        <v>352</v>
      </c>
      <c r="C110" s="105">
        <v>361.5</v>
      </c>
      <c r="D110" s="3">
        <f t="shared" si="2"/>
        <v>-5.5020632737276479E-3</v>
      </c>
      <c r="F110" s="106">
        <v>44445</v>
      </c>
      <c r="G110" s="107">
        <v>17377.80078125</v>
      </c>
      <c r="H110" s="110">
        <f t="shared" si="3"/>
        <v>3.1287476677576867E-3</v>
      </c>
    </row>
    <row r="111" spans="2:8" ht="14.25" customHeight="1" x14ac:dyDescent="0.3">
      <c r="B111" s="105" t="s">
        <v>353</v>
      </c>
      <c r="C111" s="105">
        <v>356.75</v>
      </c>
      <c r="D111" s="3">
        <f t="shared" si="2"/>
        <v>-1.313969571230982E-2</v>
      </c>
      <c r="F111" s="106">
        <v>44446</v>
      </c>
      <c r="G111" s="107">
        <v>17362.099609375</v>
      </c>
      <c r="H111" s="109">
        <f t="shared" si="3"/>
        <v>-9.0351892466974189E-4</v>
      </c>
    </row>
    <row r="112" spans="2:8" ht="14.25" customHeight="1" x14ac:dyDescent="0.3">
      <c r="B112" s="105" t="s">
        <v>354</v>
      </c>
      <c r="C112" s="105">
        <v>355.45</v>
      </c>
      <c r="D112" s="3">
        <f t="shared" si="2"/>
        <v>-3.6440084092502069E-3</v>
      </c>
      <c r="F112" s="106">
        <v>44447</v>
      </c>
      <c r="G112" s="107">
        <v>17353.5</v>
      </c>
      <c r="H112" s="110">
        <f t="shared" si="3"/>
        <v>-4.9530929832682655E-4</v>
      </c>
    </row>
    <row r="113" spans="2:8" ht="14.25" customHeight="1" x14ac:dyDescent="0.3">
      <c r="B113" s="105" t="s">
        <v>355</v>
      </c>
      <c r="C113" s="105">
        <v>352.75</v>
      </c>
      <c r="D113" s="3">
        <f t="shared" si="2"/>
        <v>-7.5960050640033446E-3</v>
      </c>
      <c r="F113" s="106">
        <v>44448</v>
      </c>
      <c r="G113" s="107">
        <v>17369.25</v>
      </c>
      <c r="H113" s="109">
        <f t="shared" si="3"/>
        <v>9.0759789091537728E-4</v>
      </c>
    </row>
    <row r="114" spans="2:8" ht="14.25" customHeight="1" x14ac:dyDescent="0.3">
      <c r="B114" s="105" t="s">
        <v>356</v>
      </c>
      <c r="C114" s="105">
        <v>353.6</v>
      </c>
      <c r="D114" s="3">
        <f t="shared" si="2"/>
        <v>2.4096385542169319E-3</v>
      </c>
      <c r="F114" s="106">
        <v>44452</v>
      </c>
      <c r="G114" s="107">
        <v>17355.30078125</v>
      </c>
      <c r="H114" s="110">
        <f t="shared" si="3"/>
        <v>-8.0309850741972161E-4</v>
      </c>
    </row>
    <row r="115" spans="2:8" ht="14.25" customHeight="1" x14ac:dyDescent="0.3">
      <c r="B115" s="105" t="s">
        <v>357</v>
      </c>
      <c r="C115" s="105">
        <v>355.7</v>
      </c>
      <c r="D115" s="3">
        <f t="shared" si="2"/>
        <v>5.9389140271492247E-3</v>
      </c>
      <c r="F115" s="106">
        <v>44453</v>
      </c>
      <c r="G115" s="107">
        <v>17380</v>
      </c>
      <c r="H115" s="109">
        <f t="shared" si="3"/>
        <v>1.4231512931590379E-3</v>
      </c>
    </row>
    <row r="116" spans="2:8" ht="14.25" customHeight="1" x14ac:dyDescent="0.3">
      <c r="B116" s="105" t="s">
        <v>358</v>
      </c>
      <c r="C116" s="105">
        <v>357.5</v>
      </c>
      <c r="D116" s="3">
        <f t="shared" si="2"/>
        <v>5.0604441945459981E-3</v>
      </c>
      <c r="F116" s="106">
        <v>44454</v>
      </c>
      <c r="G116" s="107">
        <v>17519.44921875</v>
      </c>
      <c r="H116" s="110">
        <f t="shared" si="3"/>
        <v>8.0235453826237053E-3</v>
      </c>
    </row>
    <row r="117" spans="2:8" ht="14.25" customHeight="1" x14ac:dyDescent="0.3">
      <c r="B117" s="105" t="s">
        <v>359</v>
      </c>
      <c r="C117" s="105">
        <v>376.75</v>
      </c>
      <c r="D117" s="3">
        <f t="shared" si="2"/>
        <v>5.3846153846153849E-2</v>
      </c>
      <c r="F117" s="106">
        <v>44455</v>
      </c>
      <c r="G117" s="107">
        <v>17629.5</v>
      </c>
      <c r="H117" s="109">
        <f t="shared" si="3"/>
        <v>6.2816347635072543E-3</v>
      </c>
    </row>
    <row r="118" spans="2:8" ht="14.25" customHeight="1" x14ac:dyDescent="0.3">
      <c r="B118" s="105" t="s">
        <v>360</v>
      </c>
      <c r="C118" s="105">
        <v>377.4</v>
      </c>
      <c r="D118" s="3">
        <f t="shared" si="2"/>
        <v>1.7252820172527598E-3</v>
      </c>
      <c r="F118" s="106">
        <v>44456</v>
      </c>
      <c r="G118" s="107">
        <v>17585.150390625</v>
      </c>
      <c r="H118" s="110">
        <f t="shared" si="3"/>
        <v>-2.5156476006126098E-3</v>
      </c>
    </row>
    <row r="119" spans="2:8" ht="14.25" customHeight="1" x14ac:dyDescent="0.3">
      <c r="B119" s="105" t="s">
        <v>361</v>
      </c>
      <c r="C119" s="105">
        <v>360.4</v>
      </c>
      <c r="D119" s="3">
        <f t="shared" si="2"/>
        <v>-4.504504504504505E-2</v>
      </c>
      <c r="F119" s="106">
        <v>44459</v>
      </c>
      <c r="G119" s="107">
        <v>17396.900390625</v>
      </c>
      <c r="H119" s="109">
        <f t="shared" si="3"/>
        <v>-1.0705054879733066E-2</v>
      </c>
    </row>
    <row r="120" spans="2:8" ht="14.25" customHeight="1" x14ac:dyDescent="0.3">
      <c r="B120" s="105" t="s">
        <v>362</v>
      </c>
      <c r="C120" s="105">
        <v>367.25</v>
      </c>
      <c r="D120" s="3">
        <f t="shared" si="2"/>
        <v>1.900665926748064E-2</v>
      </c>
      <c r="F120" s="106">
        <v>44460</v>
      </c>
      <c r="G120" s="107">
        <v>17562</v>
      </c>
      <c r="H120" s="110">
        <f t="shared" si="3"/>
        <v>9.4901738624640509E-3</v>
      </c>
    </row>
    <row r="121" spans="2:8" ht="14.25" customHeight="1" x14ac:dyDescent="0.3">
      <c r="B121" s="105" t="s">
        <v>363</v>
      </c>
      <c r="C121" s="105">
        <v>367.55</v>
      </c>
      <c r="D121" s="3">
        <f t="shared" si="2"/>
        <v>8.1688223281146726E-4</v>
      </c>
      <c r="F121" s="106">
        <v>44461</v>
      </c>
      <c r="G121" s="107">
        <v>17546.650390625</v>
      </c>
      <c r="H121" s="109">
        <f t="shared" si="3"/>
        <v>-8.7402399356565307E-4</v>
      </c>
    </row>
    <row r="122" spans="2:8" ht="14.25" customHeight="1" x14ac:dyDescent="0.3">
      <c r="B122" s="105" t="s">
        <v>364</v>
      </c>
      <c r="C122" s="105">
        <v>368.2</v>
      </c>
      <c r="D122" s="3">
        <f t="shared" si="2"/>
        <v>1.7684668752550054E-3</v>
      </c>
      <c r="F122" s="106">
        <v>44462</v>
      </c>
      <c r="G122" s="107">
        <v>17822.94921875</v>
      </c>
      <c r="H122" s="110">
        <f t="shared" si="3"/>
        <v>1.5746528367181906E-2</v>
      </c>
    </row>
    <row r="123" spans="2:8" ht="14.25" customHeight="1" x14ac:dyDescent="0.3">
      <c r="B123" s="105" t="s">
        <v>365</v>
      </c>
      <c r="C123" s="105">
        <v>360.15</v>
      </c>
      <c r="D123" s="3">
        <f t="shared" si="2"/>
        <v>-2.1863117870722464E-2</v>
      </c>
      <c r="F123" s="106">
        <v>44463</v>
      </c>
      <c r="G123" s="107">
        <v>17853.19921875</v>
      </c>
      <c r="H123" s="109">
        <f t="shared" si="3"/>
        <v>1.6972499684943592E-3</v>
      </c>
    </row>
    <row r="124" spans="2:8" ht="14.25" customHeight="1" x14ac:dyDescent="0.3">
      <c r="B124" s="105" t="s">
        <v>366</v>
      </c>
      <c r="C124" s="105">
        <v>358.15</v>
      </c>
      <c r="D124" s="3">
        <f t="shared" si="2"/>
        <v>-5.5532417048452035E-3</v>
      </c>
      <c r="F124" s="106">
        <v>44466</v>
      </c>
      <c r="G124" s="107">
        <v>17855.099609375</v>
      </c>
      <c r="H124" s="110">
        <f t="shared" si="3"/>
        <v>1.0644538279750718E-4</v>
      </c>
    </row>
    <row r="125" spans="2:8" ht="14.25" customHeight="1" x14ac:dyDescent="0.3">
      <c r="B125" s="105" t="s">
        <v>367</v>
      </c>
      <c r="C125" s="105">
        <v>361.95</v>
      </c>
      <c r="D125" s="3">
        <f t="shared" si="2"/>
        <v>1.0610079575596849E-2</v>
      </c>
      <c r="F125" s="106">
        <v>44467</v>
      </c>
      <c r="G125" s="107">
        <v>17748.599609375</v>
      </c>
      <c r="H125" s="109">
        <f t="shared" si="3"/>
        <v>-5.9646824901543032E-3</v>
      </c>
    </row>
    <row r="126" spans="2:8" ht="14.25" customHeight="1" x14ac:dyDescent="0.3">
      <c r="B126" s="105" t="s">
        <v>368</v>
      </c>
      <c r="C126" s="105">
        <v>362.6</v>
      </c>
      <c r="D126" s="3">
        <f t="shared" si="2"/>
        <v>1.7958281530599091E-3</v>
      </c>
      <c r="F126" s="106">
        <v>44468</v>
      </c>
      <c r="G126" s="107">
        <v>17711.30078125</v>
      </c>
      <c r="H126" s="110">
        <f t="shared" si="3"/>
        <v>-2.1015082285871364E-3</v>
      </c>
    </row>
    <row r="127" spans="2:8" ht="14.25" customHeight="1" x14ac:dyDescent="0.3">
      <c r="B127" s="105" t="s">
        <v>369</v>
      </c>
      <c r="C127" s="105">
        <v>362.7</v>
      </c>
      <c r="D127" s="3">
        <f t="shared" si="2"/>
        <v>2.7578599007161027E-4</v>
      </c>
      <c r="F127" s="106">
        <v>44469</v>
      </c>
      <c r="G127" s="107">
        <v>17618.150390625</v>
      </c>
      <c r="H127" s="109">
        <f t="shared" si="3"/>
        <v>-5.2593760207388773E-3</v>
      </c>
    </row>
    <row r="128" spans="2:8" ht="14.25" customHeight="1" x14ac:dyDescent="0.3">
      <c r="B128" s="105" t="s">
        <v>370</v>
      </c>
      <c r="C128" s="105">
        <v>365.3</v>
      </c>
      <c r="D128" s="3">
        <f t="shared" si="2"/>
        <v>7.1684587813620705E-3</v>
      </c>
      <c r="F128" s="106">
        <v>44470</v>
      </c>
      <c r="G128" s="107">
        <v>17532.05078125</v>
      </c>
      <c r="H128" s="110">
        <f t="shared" si="3"/>
        <v>-4.8869834497959255E-3</v>
      </c>
    </row>
    <row r="129" spans="2:8" ht="14.25" customHeight="1" x14ac:dyDescent="0.3">
      <c r="B129" s="105" t="s">
        <v>371</v>
      </c>
      <c r="C129" s="105">
        <v>364.9</v>
      </c>
      <c r="D129" s="3">
        <f t="shared" si="2"/>
        <v>-1.0949904188339286E-3</v>
      </c>
      <c r="F129" s="106">
        <v>44473</v>
      </c>
      <c r="G129" s="107">
        <v>17691.25</v>
      </c>
      <c r="H129" s="109">
        <f t="shared" si="3"/>
        <v>9.080467581137671E-3</v>
      </c>
    </row>
    <row r="130" spans="2:8" ht="14.25" customHeight="1" x14ac:dyDescent="0.3">
      <c r="B130" s="105" t="s">
        <v>372</v>
      </c>
      <c r="C130" s="105">
        <v>362</v>
      </c>
      <c r="D130" s="3">
        <f t="shared" si="2"/>
        <v>-7.9473828446149017E-3</v>
      </c>
      <c r="F130" s="106">
        <v>44474</v>
      </c>
      <c r="G130" s="107">
        <v>17822.30078125</v>
      </c>
      <c r="H130" s="110">
        <f t="shared" si="3"/>
        <v>7.4076609199463014E-3</v>
      </c>
    </row>
    <row r="131" spans="2:8" ht="14.25" customHeight="1" x14ac:dyDescent="0.3">
      <c r="B131" s="105" t="s">
        <v>373</v>
      </c>
      <c r="C131" s="105">
        <v>356.4</v>
      </c>
      <c r="D131" s="3">
        <f t="shared" si="2"/>
        <v>-1.5469613259668571E-2</v>
      </c>
      <c r="F131" s="106">
        <v>44475</v>
      </c>
      <c r="G131" s="107">
        <v>17646</v>
      </c>
      <c r="H131" s="109">
        <f t="shared" si="3"/>
        <v>-9.8921448702895716E-3</v>
      </c>
    </row>
    <row r="132" spans="2:8" ht="14.25" customHeight="1" x14ac:dyDescent="0.3">
      <c r="B132" s="105" t="s">
        <v>374</v>
      </c>
      <c r="C132" s="105">
        <v>359.75</v>
      </c>
      <c r="D132" s="3">
        <f t="shared" si="2"/>
        <v>9.3995510662177977E-3</v>
      </c>
      <c r="F132" s="106">
        <v>44476</v>
      </c>
      <c r="G132" s="107">
        <v>17790.349609375</v>
      </c>
      <c r="H132" s="110">
        <f t="shared" si="3"/>
        <v>8.1803020160376282E-3</v>
      </c>
    </row>
    <row r="133" spans="2:8" ht="14.25" customHeight="1" x14ac:dyDescent="0.3">
      <c r="B133" s="105" t="s">
        <v>375</v>
      </c>
      <c r="C133" s="105">
        <v>358.75</v>
      </c>
      <c r="D133" s="3">
        <f t="shared" ref="D133:D196" si="4">(C133-C132)/C132</f>
        <v>-2.7797081306462821E-3</v>
      </c>
      <c r="F133" s="106">
        <v>44477</v>
      </c>
      <c r="G133" s="107">
        <v>17895.19921875</v>
      </c>
      <c r="H133" s="109">
        <f t="shared" ref="H133:H196" si="5">(G133-G132)/G132</f>
        <v>5.8936227604963589E-3</v>
      </c>
    </row>
    <row r="134" spans="2:8" ht="14.25" customHeight="1" x14ac:dyDescent="0.3">
      <c r="B134" s="105" t="s">
        <v>376</v>
      </c>
      <c r="C134" s="105">
        <v>360.1</v>
      </c>
      <c r="D134" s="3">
        <f t="shared" si="4"/>
        <v>3.7630662020906556E-3</v>
      </c>
      <c r="F134" s="106">
        <v>44480</v>
      </c>
      <c r="G134" s="107">
        <v>17945.94921875</v>
      </c>
      <c r="H134" s="110">
        <f t="shared" si="5"/>
        <v>2.8359561343595336E-3</v>
      </c>
    </row>
    <row r="135" spans="2:8" ht="14.25" customHeight="1" x14ac:dyDescent="0.3">
      <c r="B135" s="105" t="s">
        <v>377</v>
      </c>
      <c r="C135" s="105">
        <v>358.3</v>
      </c>
      <c r="D135" s="3">
        <f t="shared" si="4"/>
        <v>-4.9986114968064736E-3</v>
      </c>
      <c r="F135" s="106">
        <v>44481</v>
      </c>
      <c r="G135" s="107">
        <v>17991.94921875</v>
      </c>
      <c r="H135" s="109">
        <f t="shared" si="5"/>
        <v>2.5632525445875558E-3</v>
      </c>
    </row>
    <row r="136" spans="2:8" ht="14.25" customHeight="1" x14ac:dyDescent="0.3">
      <c r="B136" s="105" t="s">
        <v>378</v>
      </c>
      <c r="C136" s="105">
        <v>352.25</v>
      </c>
      <c r="D136" s="3">
        <f t="shared" si="4"/>
        <v>-1.6885291655037708E-2</v>
      </c>
      <c r="F136" s="106">
        <v>44482</v>
      </c>
      <c r="G136" s="107">
        <v>18161.75</v>
      </c>
      <c r="H136" s="110">
        <f t="shared" si="5"/>
        <v>9.4375978492116375E-3</v>
      </c>
    </row>
    <row r="137" spans="2:8" ht="14.25" customHeight="1" x14ac:dyDescent="0.3">
      <c r="B137" s="105" t="s">
        <v>379</v>
      </c>
      <c r="C137" s="105">
        <v>347.65</v>
      </c>
      <c r="D137" s="3">
        <f t="shared" si="4"/>
        <v>-1.3058907026259824E-2</v>
      </c>
      <c r="F137" s="106">
        <v>44483</v>
      </c>
      <c r="G137" s="107">
        <v>18338.55078125</v>
      </c>
      <c r="H137" s="109">
        <f t="shared" si="5"/>
        <v>9.7347877407188178E-3</v>
      </c>
    </row>
    <row r="138" spans="2:8" ht="14.25" customHeight="1" x14ac:dyDescent="0.3">
      <c r="B138" s="105" t="s">
        <v>380</v>
      </c>
      <c r="C138" s="105">
        <v>342.5</v>
      </c>
      <c r="D138" s="3">
        <f t="shared" si="4"/>
        <v>-1.4813749460664397E-2</v>
      </c>
      <c r="F138" s="106">
        <v>44487</v>
      </c>
      <c r="G138" s="107">
        <v>18477.05078125</v>
      </c>
      <c r="H138" s="110">
        <f t="shared" si="5"/>
        <v>7.5523961327198996E-3</v>
      </c>
    </row>
    <row r="139" spans="2:8" ht="14.25" customHeight="1" x14ac:dyDescent="0.3">
      <c r="B139" s="105" t="s">
        <v>381</v>
      </c>
      <c r="C139" s="105">
        <v>344.4</v>
      </c>
      <c r="D139" s="3">
        <f t="shared" si="4"/>
        <v>5.5474452554743862E-3</v>
      </c>
      <c r="F139" s="106">
        <v>44488</v>
      </c>
      <c r="G139" s="107">
        <v>18418.75</v>
      </c>
      <c r="H139" s="109">
        <f t="shared" si="5"/>
        <v>-3.1553077349964326E-3</v>
      </c>
    </row>
    <row r="140" spans="2:8" ht="14.25" customHeight="1" x14ac:dyDescent="0.3">
      <c r="B140" s="105" t="s">
        <v>382</v>
      </c>
      <c r="C140" s="105">
        <v>341.75</v>
      </c>
      <c r="D140" s="3">
        <f t="shared" si="4"/>
        <v>-7.6945412311265312E-3</v>
      </c>
      <c r="F140" s="106">
        <v>44489</v>
      </c>
      <c r="G140" s="107">
        <v>18266.599609375</v>
      </c>
      <c r="H140" s="110">
        <f t="shared" si="5"/>
        <v>-8.2606252120800815E-3</v>
      </c>
    </row>
    <row r="141" spans="2:8" ht="14.25" customHeight="1" x14ac:dyDescent="0.3">
      <c r="B141" s="105" t="s">
        <v>383</v>
      </c>
      <c r="C141" s="105">
        <v>344.95</v>
      </c>
      <c r="D141" s="3">
        <f t="shared" si="4"/>
        <v>9.3635698610094759E-3</v>
      </c>
      <c r="F141" s="106">
        <v>44490</v>
      </c>
      <c r="G141" s="107">
        <v>18178.099609375</v>
      </c>
      <c r="H141" s="109">
        <f t="shared" si="5"/>
        <v>-4.8449082967023036E-3</v>
      </c>
    </row>
    <row r="142" spans="2:8" ht="14.25" customHeight="1" x14ac:dyDescent="0.3">
      <c r="B142" s="105" t="s">
        <v>384</v>
      </c>
      <c r="C142" s="105">
        <v>323.8</v>
      </c>
      <c r="D142" s="3">
        <f t="shared" si="4"/>
        <v>-6.1313233802000225E-2</v>
      </c>
      <c r="F142" s="106">
        <v>44491</v>
      </c>
      <c r="G142" s="107">
        <v>18114.900390625</v>
      </c>
      <c r="H142" s="110">
        <f t="shared" si="5"/>
        <v>-3.4766680845673349E-3</v>
      </c>
    </row>
    <row r="143" spans="2:8" ht="14.25" customHeight="1" x14ac:dyDescent="0.3">
      <c r="B143" s="105" t="s">
        <v>385</v>
      </c>
      <c r="C143" s="105">
        <v>321.3</v>
      </c>
      <c r="D143" s="3">
        <f t="shared" si="4"/>
        <v>-7.7208153180975906E-3</v>
      </c>
      <c r="F143" s="106">
        <v>44494</v>
      </c>
      <c r="G143" s="107">
        <v>18125.400390625</v>
      </c>
      <c r="H143" s="109">
        <f t="shared" si="5"/>
        <v>5.7963332801068358E-4</v>
      </c>
    </row>
    <row r="144" spans="2:8" ht="14.25" customHeight="1" x14ac:dyDescent="0.3">
      <c r="B144" s="105" t="s">
        <v>386</v>
      </c>
      <c r="C144" s="105">
        <v>333.55</v>
      </c>
      <c r="D144" s="3">
        <f t="shared" si="4"/>
        <v>3.8126361655773419E-2</v>
      </c>
      <c r="F144" s="106">
        <v>44495</v>
      </c>
      <c r="G144" s="107">
        <v>18268.400390625</v>
      </c>
      <c r="H144" s="110">
        <f t="shared" si="5"/>
        <v>7.8894808897001737E-3</v>
      </c>
    </row>
    <row r="145" spans="2:8" ht="14.25" customHeight="1" x14ac:dyDescent="0.3">
      <c r="B145" s="105" t="s">
        <v>387</v>
      </c>
      <c r="C145" s="105">
        <v>337.7</v>
      </c>
      <c r="D145" s="3">
        <f t="shared" si="4"/>
        <v>1.2441912756708071E-2</v>
      </c>
      <c r="F145" s="106">
        <v>44496</v>
      </c>
      <c r="G145" s="107">
        <v>18210.94921875</v>
      </c>
      <c r="H145" s="109">
        <f t="shared" si="5"/>
        <v>-3.144838663842887E-3</v>
      </c>
    </row>
    <row r="146" spans="2:8" ht="14.25" customHeight="1" x14ac:dyDescent="0.3">
      <c r="B146" s="105" t="s">
        <v>388</v>
      </c>
      <c r="C146" s="105">
        <v>337.85</v>
      </c>
      <c r="D146" s="3">
        <f t="shared" si="4"/>
        <v>4.4418122594028458E-4</v>
      </c>
      <c r="F146" s="106">
        <v>44497</v>
      </c>
      <c r="G146" s="107">
        <v>17857.25</v>
      </c>
      <c r="H146" s="110">
        <f t="shared" si="5"/>
        <v>-1.942233842406365E-2</v>
      </c>
    </row>
    <row r="147" spans="2:8" ht="14.25" customHeight="1" x14ac:dyDescent="0.3">
      <c r="B147" s="105" t="s">
        <v>389</v>
      </c>
      <c r="C147" s="105">
        <v>351.1</v>
      </c>
      <c r="D147" s="3">
        <f t="shared" si="4"/>
        <v>3.9218588130827285E-2</v>
      </c>
      <c r="F147" s="106">
        <v>44498</v>
      </c>
      <c r="G147" s="107">
        <v>17671.650390625</v>
      </c>
      <c r="H147" s="109">
        <f t="shared" si="5"/>
        <v>-1.0393515763905417E-2</v>
      </c>
    </row>
    <row r="148" spans="2:8" ht="14.25" customHeight="1" x14ac:dyDescent="0.3">
      <c r="B148" s="105" t="s">
        <v>390</v>
      </c>
      <c r="C148" s="105">
        <v>348.3</v>
      </c>
      <c r="D148" s="3">
        <f t="shared" si="4"/>
        <v>-7.9749359156935668E-3</v>
      </c>
      <c r="F148" s="106">
        <v>44501</v>
      </c>
      <c r="G148" s="107">
        <v>17929.650390625</v>
      </c>
      <c r="H148" s="110">
        <f t="shared" si="5"/>
        <v>1.4599655057507915E-2</v>
      </c>
    </row>
    <row r="149" spans="2:8" ht="14.25" customHeight="1" x14ac:dyDescent="0.3">
      <c r="B149" s="105" t="s">
        <v>391</v>
      </c>
      <c r="C149" s="105">
        <v>345.55</v>
      </c>
      <c r="D149" s="3">
        <f t="shared" si="4"/>
        <v>-7.8954923916164221E-3</v>
      </c>
      <c r="F149" s="106">
        <v>44502</v>
      </c>
      <c r="G149" s="107">
        <v>17888.94921875</v>
      </c>
      <c r="H149" s="109">
        <f t="shared" si="5"/>
        <v>-2.2700482713417379E-3</v>
      </c>
    </row>
    <row r="150" spans="2:8" ht="14.25" customHeight="1" x14ac:dyDescent="0.3">
      <c r="B150" s="105" t="s">
        <v>392</v>
      </c>
      <c r="C150" s="105">
        <v>348.45</v>
      </c>
      <c r="D150" s="3">
        <f t="shared" si="4"/>
        <v>8.3924178845318394E-3</v>
      </c>
      <c r="F150" s="106">
        <v>44503</v>
      </c>
      <c r="G150" s="107">
        <v>17829.19921875</v>
      </c>
      <c r="H150" s="110">
        <f t="shared" si="5"/>
        <v>-3.3400508475575552E-3</v>
      </c>
    </row>
    <row r="151" spans="2:8" ht="14.25" customHeight="1" x14ac:dyDescent="0.3">
      <c r="B151" s="105" t="s">
        <v>393</v>
      </c>
      <c r="C151" s="105">
        <v>348.65</v>
      </c>
      <c r="D151" s="3">
        <f t="shared" si="4"/>
        <v>5.7397044052228047E-4</v>
      </c>
      <c r="F151" s="106">
        <v>44504</v>
      </c>
      <c r="G151" s="107">
        <v>17916.80078125</v>
      </c>
      <c r="H151" s="109">
        <f t="shared" si="5"/>
        <v>4.9133761659847404E-3</v>
      </c>
    </row>
    <row r="152" spans="2:8" ht="14.25" customHeight="1" x14ac:dyDescent="0.3">
      <c r="B152" s="105" t="s">
        <v>394</v>
      </c>
      <c r="C152" s="105">
        <v>348.75</v>
      </c>
      <c r="D152" s="3">
        <f t="shared" si="4"/>
        <v>2.8682059371869424E-4</v>
      </c>
      <c r="F152" s="106">
        <v>44508</v>
      </c>
      <c r="G152" s="107">
        <v>18068.55078125</v>
      </c>
      <c r="H152" s="110">
        <f t="shared" si="5"/>
        <v>8.4697040421863115E-3</v>
      </c>
    </row>
    <row r="153" spans="2:8" ht="14.25" customHeight="1" x14ac:dyDescent="0.3">
      <c r="B153" s="105" t="s">
        <v>395</v>
      </c>
      <c r="C153" s="105">
        <v>347</v>
      </c>
      <c r="D153" s="3">
        <f t="shared" si="4"/>
        <v>-5.017921146953405E-3</v>
      </c>
      <c r="F153" s="106">
        <v>44509</v>
      </c>
      <c r="G153" s="107">
        <v>18044.25</v>
      </c>
      <c r="H153" s="109">
        <f t="shared" si="5"/>
        <v>-1.3449214352717915E-3</v>
      </c>
    </row>
    <row r="154" spans="2:8" ht="14.25" customHeight="1" x14ac:dyDescent="0.3">
      <c r="B154" s="105" t="s">
        <v>396</v>
      </c>
      <c r="C154" s="105">
        <v>347.9</v>
      </c>
      <c r="D154" s="3">
        <f t="shared" si="4"/>
        <v>2.5936599423630469E-3</v>
      </c>
      <c r="F154" s="106">
        <v>44510</v>
      </c>
      <c r="G154" s="107">
        <v>18017.19921875</v>
      </c>
      <c r="H154" s="110">
        <f t="shared" si="5"/>
        <v>-1.499135805034845E-3</v>
      </c>
    </row>
    <row r="155" spans="2:8" ht="14.25" customHeight="1" x14ac:dyDescent="0.3">
      <c r="B155" s="105" t="s">
        <v>397</v>
      </c>
      <c r="C155" s="105">
        <v>346.6</v>
      </c>
      <c r="D155" s="3">
        <f t="shared" si="4"/>
        <v>-3.7367059499854977E-3</v>
      </c>
      <c r="F155" s="106">
        <v>44511</v>
      </c>
      <c r="G155" s="107">
        <v>17873.599609375</v>
      </c>
      <c r="H155" s="109">
        <f t="shared" si="5"/>
        <v>-7.970140510271978E-3</v>
      </c>
    </row>
    <row r="156" spans="2:8" ht="14.25" customHeight="1" x14ac:dyDescent="0.3">
      <c r="B156" s="105" t="s">
        <v>398</v>
      </c>
      <c r="C156" s="105">
        <v>346.45</v>
      </c>
      <c r="D156" s="3">
        <f t="shared" si="4"/>
        <v>-4.3277553375659002E-4</v>
      </c>
      <c r="F156" s="106">
        <v>44512</v>
      </c>
      <c r="G156" s="107">
        <v>18102.75</v>
      </c>
      <c r="H156" s="110">
        <f t="shared" si="5"/>
        <v>1.2820606684330492E-2</v>
      </c>
    </row>
    <row r="157" spans="2:8" ht="14.25" customHeight="1" x14ac:dyDescent="0.3">
      <c r="B157" s="105" t="s">
        <v>399</v>
      </c>
      <c r="C157" s="105">
        <v>361.75</v>
      </c>
      <c r="D157" s="3">
        <f t="shared" si="4"/>
        <v>4.4162216770096727E-2</v>
      </c>
      <c r="F157" s="106">
        <v>44515</v>
      </c>
      <c r="G157" s="107">
        <v>18109.44921875</v>
      </c>
      <c r="H157" s="109">
        <f t="shared" si="5"/>
        <v>3.7006635732140142E-4</v>
      </c>
    </row>
    <row r="158" spans="2:8" ht="14.25" customHeight="1" x14ac:dyDescent="0.3">
      <c r="B158" s="105" t="s">
        <v>400</v>
      </c>
      <c r="C158" s="105">
        <v>369.35</v>
      </c>
      <c r="D158" s="3">
        <f t="shared" si="4"/>
        <v>2.1008984105044985E-2</v>
      </c>
      <c r="F158" s="106">
        <v>44516</v>
      </c>
      <c r="G158" s="107">
        <v>17999.19921875</v>
      </c>
      <c r="H158" s="110">
        <f t="shared" si="5"/>
        <v>-6.0879819517564533E-3</v>
      </c>
    </row>
    <row r="159" spans="2:8" ht="14.25" customHeight="1" x14ac:dyDescent="0.3">
      <c r="B159" s="105" t="s">
        <v>401</v>
      </c>
      <c r="C159" s="105">
        <v>376.4</v>
      </c>
      <c r="D159" s="3">
        <f t="shared" si="4"/>
        <v>1.9087586300257083E-2</v>
      </c>
      <c r="F159" s="106">
        <v>44517</v>
      </c>
      <c r="G159" s="107">
        <v>17898.650390625</v>
      </c>
      <c r="H159" s="109">
        <f t="shared" si="5"/>
        <v>-5.5862945291619958E-3</v>
      </c>
    </row>
    <row r="160" spans="2:8" ht="14.25" customHeight="1" x14ac:dyDescent="0.3">
      <c r="B160" s="105" t="s">
        <v>402</v>
      </c>
      <c r="C160" s="105">
        <v>366.95</v>
      </c>
      <c r="D160" s="3">
        <f t="shared" si="4"/>
        <v>-2.5106269925611022E-2</v>
      </c>
      <c r="F160" s="106">
        <v>44518</v>
      </c>
      <c r="G160" s="107">
        <v>17764.80078125</v>
      </c>
      <c r="H160" s="110">
        <f t="shared" si="5"/>
        <v>-7.4781956434608098E-3</v>
      </c>
    </row>
    <row r="161" spans="2:8" ht="14.25" customHeight="1" x14ac:dyDescent="0.3">
      <c r="B161" s="105" t="s">
        <v>403</v>
      </c>
      <c r="C161" s="105">
        <v>357.85</v>
      </c>
      <c r="D161" s="3">
        <f t="shared" si="4"/>
        <v>-2.4799018939909979E-2</v>
      </c>
      <c r="F161" s="106">
        <v>44522</v>
      </c>
      <c r="G161" s="107">
        <v>17416.55078125</v>
      </c>
      <c r="H161" s="109">
        <f t="shared" si="5"/>
        <v>-1.96033721001568E-2</v>
      </c>
    </row>
    <row r="162" spans="2:8" ht="14.25" customHeight="1" x14ac:dyDescent="0.3">
      <c r="B162" s="105" t="s">
        <v>404</v>
      </c>
      <c r="C162" s="105">
        <v>365.8</v>
      </c>
      <c r="D162" s="3">
        <f t="shared" si="4"/>
        <v>2.2216012295654571E-2</v>
      </c>
      <c r="F162" s="106">
        <v>44523</v>
      </c>
      <c r="G162" s="107">
        <v>17503.349609375</v>
      </c>
      <c r="H162" s="110">
        <f t="shared" si="5"/>
        <v>4.9836979327987458E-3</v>
      </c>
    </row>
    <row r="163" spans="2:8" ht="14.25" customHeight="1" x14ac:dyDescent="0.3">
      <c r="B163" s="105" t="s">
        <v>405</v>
      </c>
      <c r="C163" s="105">
        <v>359.8</v>
      </c>
      <c r="D163" s="3">
        <f t="shared" si="4"/>
        <v>-1.6402405686167305E-2</v>
      </c>
      <c r="F163" s="106">
        <v>44524</v>
      </c>
      <c r="G163" s="107">
        <v>17415.05078125</v>
      </c>
      <c r="H163" s="109">
        <f t="shared" si="5"/>
        <v>-5.0446817378146927E-3</v>
      </c>
    </row>
    <row r="164" spans="2:8" ht="14.25" customHeight="1" x14ac:dyDescent="0.3">
      <c r="B164" s="105" t="s">
        <v>406</v>
      </c>
      <c r="C164" s="105">
        <v>362.5</v>
      </c>
      <c r="D164" s="3">
        <f t="shared" si="4"/>
        <v>7.5041689827681727E-3</v>
      </c>
      <c r="F164" s="106">
        <v>44525</v>
      </c>
      <c r="G164" s="107">
        <v>17536.25</v>
      </c>
      <c r="H164" s="110">
        <f t="shared" si="5"/>
        <v>6.9594525030320176E-3</v>
      </c>
    </row>
    <row r="165" spans="2:8" ht="14.25" customHeight="1" x14ac:dyDescent="0.3">
      <c r="B165" s="105" t="s">
        <v>407</v>
      </c>
      <c r="C165" s="105">
        <v>362.8</v>
      </c>
      <c r="D165" s="3">
        <f t="shared" si="4"/>
        <v>8.2758620689658304E-4</v>
      </c>
      <c r="F165" s="106">
        <v>44526</v>
      </c>
      <c r="G165" s="107">
        <v>17026.44921875</v>
      </c>
      <c r="H165" s="109">
        <f t="shared" si="5"/>
        <v>-2.9071254187753939E-2</v>
      </c>
    </row>
    <row r="166" spans="2:8" ht="14.25" customHeight="1" x14ac:dyDescent="0.3">
      <c r="B166" s="105" t="s">
        <v>408</v>
      </c>
      <c r="C166" s="105">
        <v>364.4</v>
      </c>
      <c r="D166" s="3">
        <f t="shared" si="4"/>
        <v>4.4101433296581194E-3</v>
      </c>
      <c r="F166" s="106">
        <v>44529</v>
      </c>
      <c r="G166" s="107">
        <v>17053.94921875</v>
      </c>
      <c r="H166" s="110">
        <f t="shared" si="5"/>
        <v>1.615134174289037E-3</v>
      </c>
    </row>
    <row r="167" spans="2:8" ht="14.25" customHeight="1" x14ac:dyDescent="0.3">
      <c r="B167" s="105" t="s">
        <v>409</v>
      </c>
      <c r="C167" s="105">
        <v>360.4</v>
      </c>
      <c r="D167" s="3">
        <f t="shared" si="4"/>
        <v>-1.0976948408342482E-2</v>
      </c>
      <c r="F167" s="106">
        <v>44530</v>
      </c>
      <c r="G167" s="107">
        <v>16983.19921875</v>
      </c>
      <c r="H167" s="109">
        <f t="shared" si="5"/>
        <v>-4.1485991949720222E-3</v>
      </c>
    </row>
    <row r="168" spans="2:8" ht="14.25" customHeight="1" x14ac:dyDescent="0.3">
      <c r="B168" s="105" t="s">
        <v>410</v>
      </c>
      <c r="C168" s="105">
        <v>370.7</v>
      </c>
      <c r="D168" s="3">
        <f t="shared" si="4"/>
        <v>2.8579356270810242E-2</v>
      </c>
      <c r="F168" s="106">
        <v>44531</v>
      </c>
      <c r="G168" s="107">
        <v>17166.900390625</v>
      </c>
      <c r="H168" s="110">
        <f t="shared" si="5"/>
        <v>1.0816641170421411E-2</v>
      </c>
    </row>
    <row r="169" spans="2:8" ht="14.25" customHeight="1" x14ac:dyDescent="0.3">
      <c r="B169" s="105" t="s">
        <v>411</v>
      </c>
      <c r="C169" s="105">
        <v>367.5</v>
      </c>
      <c r="D169" s="3">
        <f t="shared" si="4"/>
        <v>-8.6323172376584541E-3</v>
      </c>
      <c r="F169" s="106">
        <v>44532</v>
      </c>
      <c r="G169" s="107">
        <v>17401.650390625</v>
      </c>
      <c r="H169" s="109">
        <f t="shared" si="5"/>
        <v>1.3674571102433792E-2</v>
      </c>
    </row>
    <row r="170" spans="2:8" ht="14.25" customHeight="1" x14ac:dyDescent="0.3">
      <c r="B170" s="105" t="s">
        <v>412</v>
      </c>
      <c r="C170" s="105">
        <v>366.85</v>
      </c>
      <c r="D170" s="3">
        <f t="shared" si="4"/>
        <v>-1.7687074829931355E-3</v>
      </c>
      <c r="F170" s="106">
        <v>44533</v>
      </c>
      <c r="G170" s="107">
        <v>17196.69921875</v>
      </c>
      <c r="H170" s="110">
        <f t="shared" si="5"/>
        <v>-1.1777685867394267E-2</v>
      </c>
    </row>
    <row r="171" spans="2:8" ht="14.25" customHeight="1" x14ac:dyDescent="0.3">
      <c r="B171" s="105" t="s">
        <v>413</v>
      </c>
      <c r="C171" s="105">
        <v>359.75</v>
      </c>
      <c r="D171" s="3">
        <f t="shared" si="4"/>
        <v>-1.9353959383944453E-2</v>
      </c>
      <c r="F171" s="106">
        <v>44536</v>
      </c>
      <c r="G171" s="107">
        <v>16912.25</v>
      </c>
      <c r="H171" s="109">
        <f t="shared" si="5"/>
        <v>-1.6540919575999662E-2</v>
      </c>
    </row>
    <row r="172" spans="2:8" ht="14.25" customHeight="1" x14ac:dyDescent="0.3">
      <c r="B172" s="105" t="s">
        <v>414</v>
      </c>
      <c r="C172" s="105">
        <v>360.2</v>
      </c>
      <c r="D172" s="3">
        <f t="shared" si="4"/>
        <v>1.2508686587907954E-3</v>
      </c>
      <c r="F172" s="106">
        <v>44537</v>
      </c>
      <c r="G172" s="107">
        <v>17176.69921875</v>
      </c>
      <c r="H172" s="110">
        <f t="shared" si="5"/>
        <v>1.5636548581649395E-2</v>
      </c>
    </row>
    <row r="173" spans="2:8" ht="14.25" customHeight="1" x14ac:dyDescent="0.3">
      <c r="B173" s="105" t="s">
        <v>415</v>
      </c>
      <c r="C173" s="105">
        <v>382.8</v>
      </c>
      <c r="D173" s="3">
        <f t="shared" si="4"/>
        <v>6.2742920599666921E-2</v>
      </c>
      <c r="F173" s="106">
        <v>44538</v>
      </c>
      <c r="G173" s="107">
        <v>17469.75</v>
      </c>
      <c r="H173" s="109">
        <f t="shared" si="5"/>
        <v>1.7060948527881727E-2</v>
      </c>
    </row>
    <row r="174" spans="2:8" ht="14.25" customHeight="1" x14ac:dyDescent="0.3">
      <c r="B174" s="105" t="s">
        <v>416</v>
      </c>
      <c r="C174" s="105">
        <v>372.95</v>
      </c>
      <c r="D174" s="3">
        <f t="shared" si="4"/>
        <v>-2.5731452455590446E-2</v>
      </c>
      <c r="F174" s="106">
        <v>44539</v>
      </c>
      <c r="G174" s="107">
        <v>17516.849609375</v>
      </c>
      <c r="H174" s="110">
        <f t="shared" si="5"/>
        <v>2.6960665936833668E-3</v>
      </c>
    </row>
    <row r="175" spans="2:8" ht="14.25" customHeight="1" x14ac:dyDescent="0.3">
      <c r="B175" s="105" t="s">
        <v>417</v>
      </c>
      <c r="C175" s="105">
        <v>372.2</v>
      </c>
      <c r="D175" s="3">
        <f t="shared" si="4"/>
        <v>-2.0109934307547929E-3</v>
      </c>
      <c r="F175" s="106">
        <v>44540</v>
      </c>
      <c r="G175" s="107">
        <v>17511.30078125</v>
      </c>
      <c r="H175" s="109">
        <f t="shared" si="5"/>
        <v>-3.1677089480920548E-4</v>
      </c>
    </row>
    <row r="176" spans="2:8" ht="14.25" customHeight="1" x14ac:dyDescent="0.3">
      <c r="B176" s="105" t="s">
        <v>418</v>
      </c>
      <c r="C176" s="105">
        <v>378.5</v>
      </c>
      <c r="D176" s="3">
        <f t="shared" si="4"/>
        <v>1.692638366469643E-2</v>
      </c>
      <c r="F176" s="106">
        <v>44543</v>
      </c>
      <c r="G176" s="107">
        <v>17368.25</v>
      </c>
      <c r="H176" s="110">
        <f t="shared" si="5"/>
        <v>-8.1690551168631508E-3</v>
      </c>
    </row>
    <row r="177" spans="2:8" ht="14.25" customHeight="1" x14ac:dyDescent="0.3">
      <c r="B177" s="105" t="s">
        <v>419</v>
      </c>
      <c r="C177" s="105">
        <v>378.15</v>
      </c>
      <c r="D177" s="3">
        <f t="shared" si="4"/>
        <v>-9.2470277410838244E-4</v>
      </c>
      <c r="F177" s="106">
        <v>44544</v>
      </c>
      <c r="G177" s="107">
        <v>17324.900390625</v>
      </c>
      <c r="H177" s="109">
        <f t="shared" si="5"/>
        <v>-2.4959111813222402E-3</v>
      </c>
    </row>
    <row r="178" spans="2:8" ht="14.25" customHeight="1" x14ac:dyDescent="0.3">
      <c r="B178" s="105" t="s">
        <v>420</v>
      </c>
      <c r="C178" s="105">
        <v>375.4</v>
      </c>
      <c r="D178" s="3">
        <f t="shared" si="4"/>
        <v>-7.2722464630437661E-3</v>
      </c>
      <c r="F178" s="106">
        <v>44545</v>
      </c>
      <c r="G178" s="107">
        <v>17221.400390625</v>
      </c>
      <c r="H178" s="110">
        <f t="shared" si="5"/>
        <v>-5.9740603216401067E-3</v>
      </c>
    </row>
    <row r="179" spans="2:8" ht="14.25" customHeight="1" x14ac:dyDescent="0.3">
      <c r="B179" s="105" t="s">
        <v>421</v>
      </c>
      <c r="C179" s="105">
        <v>363.15</v>
      </c>
      <c r="D179" s="3">
        <f t="shared" si="4"/>
        <v>-3.2631859350026639E-2</v>
      </c>
      <c r="F179" s="106">
        <v>44546</v>
      </c>
      <c r="G179" s="107">
        <v>17248.400390625</v>
      </c>
      <c r="H179" s="109">
        <f t="shared" si="5"/>
        <v>1.5678167505296654E-3</v>
      </c>
    </row>
    <row r="180" spans="2:8" ht="14.25" customHeight="1" x14ac:dyDescent="0.3">
      <c r="B180" s="105" t="s">
        <v>422</v>
      </c>
      <c r="C180" s="105">
        <v>353.25</v>
      </c>
      <c r="D180" s="3">
        <f t="shared" si="4"/>
        <v>-2.7261462205700061E-2</v>
      </c>
      <c r="F180" s="106">
        <v>44547</v>
      </c>
      <c r="G180" s="107">
        <v>16985.19921875</v>
      </c>
      <c r="H180" s="110">
        <f t="shared" si="5"/>
        <v>-1.525945397337004E-2</v>
      </c>
    </row>
    <row r="181" spans="2:8" ht="14.25" customHeight="1" x14ac:dyDescent="0.3">
      <c r="B181" s="105" t="s">
        <v>423</v>
      </c>
      <c r="C181" s="105">
        <v>350.8</v>
      </c>
      <c r="D181" s="3">
        <f t="shared" si="4"/>
        <v>-6.935598018400534E-3</v>
      </c>
      <c r="F181" s="106">
        <v>44550</v>
      </c>
      <c r="G181" s="107">
        <v>16614.19921875</v>
      </c>
      <c r="H181" s="109">
        <f t="shared" si="5"/>
        <v>-2.1842546279377886E-2</v>
      </c>
    </row>
    <row r="182" spans="2:8" ht="14.25" customHeight="1" x14ac:dyDescent="0.3">
      <c r="B182" s="105" t="s">
        <v>424</v>
      </c>
      <c r="C182" s="105">
        <v>350.75</v>
      </c>
      <c r="D182" s="3">
        <f t="shared" si="4"/>
        <v>-1.4253135689855007E-4</v>
      </c>
      <c r="F182" s="106">
        <v>44551</v>
      </c>
      <c r="G182" s="107">
        <v>16770.849609375</v>
      </c>
      <c r="H182" s="110">
        <f t="shared" si="5"/>
        <v>9.4287054442089378E-3</v>
      </c>
    </row>
    <row r="183" spans="2:8" ht="14.25" customHeight="1" x14ac:dyDescent="0.3">
      <c r="B183" s="105" t="s">
        <v>425</v>
      </c>
      <c r="C183" s="105">
        <v>360.1</v>
      </c>
      <c r="D183" s="3">
        <f t="shared" si="4"/>
        <v>2.6657163221667918E-2</v>
      </c>
      <c r="F183" s="106">
        <v>44552</v>
      </c>
      <c r="G183" s="107">
        <v>16955.44921875</v>
      </c>
      <c r="H183" s="109">
        <f t="shared" si="5"/>
        <v>1.1007170994593368E-2</v>
      </c>
    </row>
    <row r="184" spans="2:8" ht="14.25" customHeight="1" x14ac:dyDescent="0.3">
      <c r="B184" s="105" t="s">
        <v>426</v>
      </c>
      <c r="C184" s="105">
        <v>374.35</v>
      </c>
      <c r="D184" s="3">
        <f t="shared" si="4"/>
        <v>3.9572341016384335E-2</v>
      </c>
      <c r="F184" s="106">
        <v>44553</v>
      </c>
      <c r="G184" s="107">
        <v>17072.599609375</v>
      </c>
      <c r="H184" s="110">
        <f t="shared" si="5"/>
        <v>6.9093062126275315E-3</v>
      </c>
    </row>
    <row r="185" spans="2:8" ht="14.25" customHeight="1" x14ac:dyDescent="0.3">
      <c r="B185" s="105" t="s">
        <v>427</v>
      </c>
      <c r="C185" s="105">
        <v>354.45</v>
      </c>
      <c r="D185" s="3">
        <f t="shared" si="4"/>
        <v>-5.3158808601576152E-2</v>
      </c>
      <c r="F185" s="106">
        <v>44554</v>
      </c>
      <c r="G185" s="107">
        <v>17003.75</v>
      </c>
      <c r="H185" s="109">
        <f t="shared" si="5"/>
        <v>-4.0327548791803756E-3</v>
      </c>
    </row>
    <row r="186" spans="2:8" ht="14.25" customHeight="1" x14ac:dyDescent="0.3">
      <c r="B186" s="105" t="s">
        <v>428</v>
      </c>
      <c r="C186" s="105">
        <v>356.45</v>
      </c>
      <c r="D186" s="3">
        <f t="shared" si="4"/>
        <v>5.6425447876992524E-3</v>
      </c>
      <c r="F186" s="106">
        <v>44557</v>
      </c>
      <c r="G186" s="107">
        <v>17086.25</v>
      </c>
      <c r="H186" s="110">
        <f t="shared" si="5"/>
        <v>4.8518709108284937E-3</v>
      </c>
    </row>
    <row r="187" spans="2:8" ht="14.25" customHeight="1" x14ac:dyDescent="0.3">
      <c r="B187" s="105" t="s">
        <v>429</v>
      </c>
      <c r="C187" s="105">
        <v>355.95</v>
      </c>
      <c r="D187" s="3">
        <f t="shared" si="4"/>
        <v>-1.4027212792818067E-3</v>
      </c>
      <c r="F187" s="106">
        <v>44558</v>
      </c>
      <c r="G187" s="107">
        <v>17233.25</v>
      </c>
      <c r="H187" s="109">
        <f t="shared" si="5"/>
        <v>8.6034091740434561E-3</v>
      </c>
    </row>
    <row r="188" spans="2:8" ht="14.25" customHeight="1" x14ac:dyDescent="0.3">
      <c r="B188" s="105" t="s">
        <v>430</v>
      </c>
      <c r="C188" s="105">
        <v>361.65</v>
      </c>
      <c r="D188" s="3">
        <f t="shared" si="4"/>
        <v>1.6013485040033682E-2</v>
      </c>
      <c r="F188" s="106">
        <v>44559</v>
      </c>
      <c r="G188" s="107">
        <v>17213.599609375</v>
      </c>
      <c r="H188" s="110">
        <f t="shared" si="5"/>
        <v>-1.1402602889762524E-3</v>
      </c>
    </row>
    <row r="189" spans="2:8" ht="14.25" customHeight="1" x14ac:dyDescent="0.3">
      <c r="B189" s="105" t="s">
        <v>431</v>
      </c>
      <c r="C189" s="105">
        <v>361.4</v>
      </c>
      <c r="D189" s="3">
        <f t="shared" si="4"/>
        <v>-6.9127609567261165E-4</v>
      </c>
      <c r="F189" s="106">
        <v>44560</v>
      </c>
      <c r="G189" s="107">
        <v>17203.94921875</v>
      </c>
      <c r="H189" s="109">
        <f t="shared" si="5"/>
        <v>-5.606259494814862E-4</v>
      </c>
    </row>
    <row r="190" spans="2:8" ht="14.25" customHeight="1" x14ac:dyDescent="0.3">
      <c r="B190" s="105" t="s">
        <v>432</v>
      </c>
      <c r="C190" s="105">
        <v>364.65</v>
      </c>
      <c r="D190" s="3">
        <f t="shared" si="4"/>
        <v>8.9928057553956848E-3</v>
      </c>
      <c r="F190" s="106">
        <v>44561</v>
      </c>
      <c r="G190" s="107">
        <v>17354.05078125</v>
      </c>
      <c r="H190" s="110">
        <f t="shared" si="5"/>
        <v>8.7248317576065267E-3</v>
      </c>
    </row>
    <row r="191" spans="2:8" ht="14.25" customHeight="1" x14ac:dyDescent="0.3">
      <c r="B191" s="105" t="s">
        <v>433</v>
      </c>
      <c r="C191" s="105">
        <v>362.75</v>
      </c>
      <c r="D191" s="3">
        <f t="shared" si="4"/>
        <v>-5.2104757987110305E-3</v>
      </c>
      <c r="F191" s="106">
        <v>44564</v>
      </c>
      <c r="G191" s="107">
        <v>17625.69921875</v>
      </c>
      <c r="H191" s="109">
        <f t="shared" si="5"/>
        <v>1.565331581220793E-2</v>
      </c>
    </row>
    <row r="192" spans="2:8" ht="14.25" customHeight="1" x14ac:dyDescent="0.3">
      <c r="B192" s="105" t="s">
        <v>434</v>
      </c>
      <c r="C192" s="105">
        <v>364.4</v>
      </c>
      <c r="D192" s="3">
        <f t="shared" si="4"/>
        <v>4.5485871812542449E-3</v>
      </c>
      <c r="F192" s="106">
        <v>44565</v>
      </c>
      <c r="G192" s="107">
        <v>17805.25</v>
      </c>
      <c r="H192" s="110">
        <f t="shared" si="5"/>
        <v>1.0186874235264159E-2</v>
      </c>
    </row>
    <row r="193" spans="2:8" ht="14.25" customHeight="1" x14ac:dyDescent="0.3">
      <c r="B193" s="105" t="s">
        <v>435</v>
      </c>
      <c r="C193" s="105">
        <v>363.35</v>
      </c>
      <c r="D193" s="3">
        <f t="shared" si="4"/>
        <v>-2.8814489571897767E-3</v>
      </c>
      <c r="F193" s="106">
        <v>44566</v>
      </c>
      <c r="G193" s="107">
        <v>17925.25</v>
      </c>
      <c r="H193" s="109">
        <f t="shared" si="5"/>
        <v>6.7395852346920151E-3</v>
      </c>
    </row>
    <row r="194" spans="2:8" ht="14.25" customHeight="1" x14ac:dyDescent="0.3">
      <c r="B194" s="105" t="s">
        <v>436</v>
      </c>
      <c r="C194" s="105">
        <v>360.35</v>
      </c>
      <c r="D194" s="3">
        <f t="shared" si="4"/>
        <v>-8.2565019953213144E-3</v>
      </c>
      <c r="F194" s="106">
        <v>44567</v>
      </c>
      <c r="G194" s="107">
        <v>17745.900390625</v>
      </c>
      <c r="H194" s="110">
        <f t="shared" si="5"/>
        <v>-1.0005417462796892E-2</v>
      </c>
    </row>
    <row r="195" spans="2:8" ht="14.25" customHeight="1" x14ac:dyDescent="0.3">
      <c r="B195" s="105" t="s">
        <v>437</v>
      </c>
      <c r="C195" s="105">
        <v>358.5</v>
      </c>
      <c r="D195" s="3">
        <f t="shared" si="4"/>
        <v>-5.1338975995560499E-3</v>
      </c>
      <c r="F195" s="106">
        <v>44568</v>
      </c>
      <c r="G195" s="107">
        <v>17812.69921875</v>
      </c>
      <c r="H195" s="109">
        <f t="shared" si="5"/>
        <v>3.7641836511315718E-3</v>
      </c>
    </row>
    <row r="196" spans="2:8" ht="14.25" customHeight="1" x14ac:dyDescent="0.3">
      <c r="B196" s="105" t="s">
        <v>438</v>
      </c>
      <c r="C196" s="105">
        <v>358.15</v>
      </c>
      <c r="D196" s="3">
        <f t="shared" si="4"/>
        <v>-9.7629009762907322E-4</v>
      </c>
      <c r="F196" s="106">
        <v>44571</v>
      </c>
      <c r="G196" s="107">
        <v>18003.30078125</v>
      </c>
      <c r="H196" s="110">
        <f t="shared" si="5"/>
        <v>1.0700318921871708E-2</v>
      </c>
    </row>
    <row r="197" spans="2:8" ht="14.25" customHeight="1" x14ac:dyDescent="0.3">
      <c r="B197" s="105" t="s">
        <v>439</v>
      </c>
      <c r="C197" s="105">
        <v>358.65</v>
      </c>
      <c r="D197" s="3">
        <f t="shared" ref="D197:D260" si="6">(C197-C196)/C196</f>
        <v>1.3960631020522129E-3</v>
      </c>
      <c r="F197" s="106">
        <v>44572</v>
      </c>
      <c r="G197" s="107">
        <v>18055.75</v>
      </c>
      <c r="H197" s="109">
        <f t="shared" ref="H197:H260" si="7">(G197-G196)/G196</f>
        <v>2.9133112526023332E-3</v>
      </c>
    </row>
    <row r="198" spans="2:8" ht="14.25" customHeight="1" x14ac:dyDescent="0.3">
      <c r="B198" s="105" t="s">
        <v>440</v>
      </c>
      <c r="C198" s="105">
        <v>364.85</v>
      </c>
      <c r="D198" s="3">
        <f t="shared" si="6"/>
        <v>1.7287048654677391E-2</v>
      </c>
      <c r="F198" s="106">
        <v>44573</v>
      </c>
      <c r="G198" s="107">
        <v>18212.349609375</v>
      </c>
      <c r="H198" s="110">
        <f t="shared" si="7"/>
        <v>8.6731157318305808E-3</v>
      </c>
    </row>
    <row r="199" spans="2:8" ht="14.25" customHeight="1" x14ac:dyDescent="0.3">
      <c r="B199" s="105" t="s">
        <v>441</v>
      </c>
      <c r="C199" s="105">
        <v>370.25</v>
      </c>
      <c r="D199" s="3">
        <f t="shared" si="6"/>
        <v>1.4800602987529058E-2</v>
      </c>
      <c r="F199" s="106">
        <v>44574</v>
      </c>
      <c r="G199" s="107">
        <v>18257.80078125</v>
      </c>
      <c r="H199" s="109">
        <f t="shared" si="7"/>
        <v>2.495623730592319E-3</v>
      </c>
    </row>
    <row r="200" spans="2:8" ht="14.25" customHeight="1" x14ac:dyDescent="0.3">
      <c r="B200" s="105" t="s">
        <v>442</v>
      </c>
      <c r="C200" s="105">
        <v>357.7</v>
      </c>
      <c r="D200" s="3">
        <f t="shared" si="6"/>
        <v>-3.3896016205266742E-2</v>
      </c>
      <c r="F200" s="106">
        <v>44575</v>
      </c>
      <c r="G200" s="107">
        <v>18255.75</v>
      </c>
      <c r="H200" s="110">
        <f t="shared" si="7"/>
        <v>-1.1232356375068276E-4</v>
      </c>
    </row>
    <row r="201" spans="2:8" ht="14.25" customHeight="1" x14ac:dyDescent="0.3">
      <c r="B201" s="105" t="s">
        <v>443</v>
      </c>
      <c r="C201" s="105">
        <v>357.1</v>
      </c>
      <c r="D201" s="3">
        <f t="shared" si="6"/>
        <v>-1.6773832820798601E-3</v>
      </c>
      <c r="F201" s="106">
        <v>44578</v>
      </c>
      <c r="G201" s="107">
        <v>18308.099609375</v>
      </c>
      <c r="H201" s="109">
        <f t="shared" si="7"/>
        <v>2.867568266162716E-3</v>
      </c>
    </row>
    <row r="202" spans="2:8" ht="14.25" customHeight="1" x14ac:dyDescent="0.3">
      <c r="B202" s="105" t="s">
        <v>444</v>
      </c>
      <c r="C202" s="105">
        <v>348.7</v>
      </c>
      <c r="D202" s="3">
        <f t="shared" si="6"/>
        <v>-2.352282273872874E-2</v>
      </c>
      <c r="F202" s="106">
        <v>44579</v>
      </c>
      <c r="G202" s="107">
        <v>18113.05078125</v>
      </c>
      <c r="H202" s="110">
        <f t="shared" si="7"/>
        <v>-1.0653690567923372E-2</v>
      </c>
    </row>
    <row r="203" spans="2:8" ht="14.25" customHeight="1" x14ac:dyDescent="0.3">
      <c r="B203" s="105" t="s">
        <v>445</v>
      </c>
      <c r="C203" s="105">
        <v>367.35</v>
      </c>
      <c r="D203" s="3">
        <f t="shared" si="6"/>
        <v>5.3484370519070935E-2</v>
      </c>
      <c r="F203" s="106">
        <v>44580</v>
      </c>
      <c r="G203" s="107">
        <v>17938.400390625</v>
      </c>
      <c r="H203" s="109">
        <f t="shared" si="7"/>
        <v>-9.642240433941256E-3</v>
      </c>
    </row>
    <row r="204" spans="2:8" ht="14.25" customHeight="1" x14ac:dyDescent="0.3">
      <c r="B204" s="105" t="s">
        <v>446</v>
      </c>
      <c r="C204" s="105">
        <v>364.2</v>
      </c>
      <c r="D204" s="3">
        <f t="shared" si="6"/>
        <v>-8.5749285422622393E-3</v>
      </c>
      <c r="F204" s="106">
        <v>44581</v>
      </c>
      <c r="G204" s="107">
        <v>17757</v>
      </c>
      <c r="H204" s="110">
        <f t="shared" si="7"/>
        <v>-1.0112406160797024E-2</v>
      </c>
    </row>
    <row r="205" spans="2:8" ht="14.25" customHeight="1" x14ac:dyDescent="0.3">
      <c r="B205" s="105" t="s">
        <v>447</v>
      </c>
      <c r="C205" s="105">
        <v>377.1</v>
      </c>
      <c r="D205" s="3">
        <f t="shared" si="6"/>
        <v>3.5420098846787575E-2</v>
      </c>
      <c r="F205" s="106">
        <v>44582</v>
      </c>
      <c r="G205" s="107">
        <v>17617.150390625</v>
      </c>
      <c r="H205" s="109">
        <f t="shared" si="7"/>
        <v>-7.875745304668582E-3</v>
      </c>
    </row>
    <row r="206" spans="2:8" ht="14.25" customHeight="1" x14ac:dyDescent="0.3">
      <c r="B206" s="105" t="s">
        <v>448</v>
      </c>
      <c r="C206" s="105">
        <v>372.8</v>
      </c>
      <c r="D206" s="3">
        <f t="shared" si="6"/>
        <v>-1.1402810925483986E-2</v>
      </c>
      <c r="F206" s="106">
        <v>44585</v>
      </c>
      <c r="G206" s="107">
        <v>17149.099609375</v>
      </c>
      <c r="H206" s="110">
        <f t="shared" si="7"/>
        <v>-2.6567905187383431E-2</v>
      </c>
    </row>
    <row r="207" spans="2:8" ht="14.25" customHeight="1" x14ac:dyDescent="0.3">
      <c r="B207" s="105" t="s">
        <v>449</v>
      </c>
      <c r="C207" s="105">
        <v>374.3</v>
      </c>
      <c r="D207" s="3">
        <f t="shared" si="6"/>
        <v>4.023605150214592E-3</v>
      </c>
      <c r="F207" s="106">
        <v>44586</v>
      </c>
      <c r="G207" s="107">
        <v>17277.94921875</v>
      </c>
      <c r="H207" s="109">
        <f t="shared" si="7"/>
        <v>7.5134912216942877E-3</v>
      </c>
    </row>
    <row r="208" spans="2:8" ht="14.25" customHeight="1" x14ac:dyDescent="0.3">
      <c r="B208" s="105" t="s">
        <v>450</v>
      </c>
      <c r="C208" s="105">
        <v>359.4</v>
      </c>
      <c r="D208" s="3">
        <f t="shared" si="6"/>
        <v>-3.9807640929735599E-2</v>
      </c>
      <c r="F208" s="106">
        <v>44588</v>
      </c>
      <c r="G208" s="107">
        <v>17110.150390625</v>
      </c>
      <c r="H208" s="110">
        <f t="shared" si="7"/>
        <v>-9.7117329146276816E-3</v>
      </c>
    </row>
    <row r="209" spans="2:8" ht="14.25" customHeight="1" x14ac:dyDescent="0.3">
      <c r="B209" s="105" t="s">
        <v>451</v>
      </c>
      <c r="C209" s="105">
        <v>364.1</v>
      </c>
      <c r="D209" s="3">
        <f t="shared" si="6"/>
        <v>1.3077351140790333E-2</v>
      </c>
      <c r="F209" s="106">
        <v>44589</v>
      </c>
      <c r="G209" s="107">
        <v>17101.94921875</v>
      </c>
      <c r="H209" s="109">
        <f t="shared" si="7"/>
        <v>-4.7931617710932507E-4</v>
      </c>
    </row>
    <row r="210" spans="2:8" ht="14.25" customHeight="1" x14ac:dyDescent="0.3">
      <c r="B210" s="105" t="s">
        <v>452</v>
      </c>
      <c r="C210" s="105">
        <v>367.1</v>
      </c>
      <c r="D210" s="3">
        <f t="shared" si="6"/>
        <v>8.2394946443284812E-3</v>
      </c>
      <c r="F210" s="106">
        <v>44592</v>
      </c>
      <c r="G210" s="107">
        <v>17339.849609375</v>
      </c>
      <c r="H210" s="110">
        <f t="shared" si="7"/>
        <v>1.3910717870929826E-2</v>
      </c>
    </row>
    <row r="211" spans="2:8" ht="14.25" customHeight="1" x14ac:dyDescent="0.3">
      <c r="B211" s="105" t="s">
        <v>453</v>
      </c>
      <c r="C211" s="105">
        <v>376.15</v>
      </c>
      <c r="D211" s="3">
        <f t="shared" si="6"/>
        <v>2.4652683192590449E-2</v>
      </c>
      <c r="F211" s="106">
        <v>44593</v>
      </c>
      <c r="G211" s="107">
        <v>17576.849609375</v>
      </c>
      <c r="H211" s="109">
        <f t="shared" si="7"/>
        <v>1.366793861187026E-2</v>
      </c>
    </row>
    <row r="212" spans="2:8" ht="14.25" customHeight="1" x14ac:dyDescent="0.3">
      <c r="B212" s="105" t="s">
        <v>454</v>
      </c>
      <c r="C212" s="105">
        <v>387.25</v>
      </c>
      <c r="D212" s="3">
        <f t="shared" si="6"/>
        <v>2.950950418715944E-2</v>
      </c>
      <c r="F212" s="106">
        <v>44594</v>
      </c>
      <c r="G212" s="107">
        <v>17780</v>
      </c>
      <c r="H212" s="110">
        <f t="shared" si="7"/>
        <v>1.1557838585399586E-2</v>
      </c>
    </row>
    <row r="213" spans="2:8" ht="14.25" customHeight="1" x14ac:dyDescent="0.3">
      <c r="B213" s="105" t="s">
        <v>455</v>
      </c>
      <c r="C213" s="105">
        <v>392.7</v>
      </c>
      <c r="D213" s="3">
        <f t="shared" si="6"/>
        <v>1.4073595868302102E-2</v>
      </c>
      <c r="F213" s="106">
        <v>44595</v>
      </c>
      <c r="G213" s="107">
        <v>17560.19921875</v>
      </c>
      <c r="H213" s="109">
        <f t="shared" si="7"/>
        <v>-1.2362248664229471E-2</v>
      </c>
    </row>
    <row r="214" spans="2:8" ht="14.25" customHeight="1" x14ac:dyDescent="0.3">
      <c r="B214" s="105" t="s">
        <v>456</v>
      </c>
      <c r="C214" s="105">
        <v>391.65</v>
      </c>
      <c r="D214" s="3">
        <f t="shared" si="6"/>
        <v>-2.6737967914438792E-3</v>
      </c>
      <c r="F214" s="106">
        <v>44596</v>
      </c>
      <c r="G214" s="107">
        <v>17516.30078125</v>
      </c>
      <c r="H214" s="110">
        <f t="shared" si="7"/>
        <v>-2.4998826581151311E-3</v>
      </c>
    </row>
    <row r="215" spans="2:8" ht="14.25" customHeight="1" x14ac:dyDescent="0.3">
      <c r="B215" s="105" t="s">
        <v>457</v>
      </c>
      <c r="C215" s="105">
        <v>399.3</v>
      </c>
      <c r="D215" s="3">
        <f t="shared" si="6"/>
        <v>1.9532746074301121E-2</v>
      </c>
      <c r="F215" s="106">
        <v>44599</v>
      </c>
      <c r="G215" s="107">
        <v>17213.599609375</v>
      </c>
      <c r="H215" s="109">
        <f t="shared" si="7"/>
        <v>-1.7281112927623445E-2</v>
      </c>
    </row>
    <row r="216" spans="2:8" ht="14.25" customHeight="1" x14ac:dyDescent="0.3">
      <c r="B216" s="105" t="s">
        <v>458</v>
      </c>
      <c r="C216" s="105">
        <v>404.6</v>
      </c>
      <c r="D216" s="3">
        <f t="shared" si="6"/>
        <v>1.3273228149261235E-2</v>
      </c>
      <c r="F216" s="106">
        <v>44600</v>
      </c>
      <c r="G216" s="107">
        <v>17266.75</v>
      </c>
      <c r="H216" s="110">
        <f t="shared" si="7"/>
        <v>3.0876976246184346E-3</v>
      </c>
    </row>
    <row r="217" spans="2:8" ht="14.25" customHeight="1" x14ac:dyDescent="0.3">
      <c r="B217" s="105" t="s">
        <v>459</v>
      </c>
      <c r="C217" s="105">
        <v>407.25</v>
      </c>
      <c r="D217" s="3">
        <f t="shared" si="6"/>
        <v>6.5496786950073578E-3</v>
      </c>
      <c r="F217" s="106">
        <v>44601</v>
      </c>
      <c r="G217" s="107">
        <v>17463.80078125</v>
      </c>
      <c r="H217" s="109">
        <f t="shared" si="7"/>
        <v>1.1412152330345897E-2</v>
      </c>
    </row>
    <row r="218" spans="2:8" ht="14.25" customHeight="1" x14ac:dyDescent="0.3">
      <c r="B218" s="105" t="s">
        <v>460</v>
      </c>
      <c r="C218" s="105">
        <v>403.7</v>
      </c>
      <c r="D218" s="3">
        <f t="shared" si="6"/>
        <v>-8.7170042971148227E-3</v>
      </c>
      <c r="F218" s="106">
        <v>44602</v>
      </c>
      <c r="G218" s="107">
        <v>17605.849609375</v>
      </c>
      <c r="H218" s="110">
        <f t="shared" si="7"/>
        <v>8.1339010851240717E-3</v>
      </c>
    </row>
    <row r="219" spans="2:8" ht="14.25" customHeight="1" x14ac:dyDescent="0.3">
      <c r="B219" s="105" t="s">
        <v>461</v>
      </c>
      <c r="C219" s="105">
        <v>402.9</v>
      </c>
      <c r="D219" s="3">
        <f t="shared" si="6"/>
        <v>-1.9816695566014651E-3</v>
      </c>
      <c r="F219" s="106">
        <v>44603</v>
      </c>
      <c r="G219" s="107">
        <v>17374.75</v>
      </c>
      <c r="H219" s="109">
        <f t="shared" si="7"/>
        <v>-1.3126296912813624E-2</v>
      </c>
    </row>
    <row r="220" spans="2:8" ht="14.25" customHeight="1" x14ac:dyDescent="0.3">
      <c r="B220" s="105" t="s">
        <v>462</v>
      </c>
      <c r="C220" s="105">
        <v>393.55</v>
      </c>
      <c r="D220" s="3">
        <f t="shared" si="6"/>
        <v>-2.3206751054852238E-2</v>
      </c>
      <c r="F220" s="106">
        <v>44606</v>
      </c>
      <c r="G220" s="107">
        <v>16842.80078125</v>
      </c>
      <c r="H220" s="110">
        <f t="shared" si="7"/>
        <v>-3.0616222895293456E-2</v>
      </c>
    </row>
    <row r="221" spans="2:8" ht="14.25" customHeight="1" x14ac:dyDescent="0.3">
      <c r="B221" s="105" t="s">
        <v>463</v>
      </c>
      <c r="C221" s="105">
        <v>403.9</v>
      </c>
      <c r="D221" s="3">
        <f t="shared" si="6"/>
        <v>2.6299072544784564E-2</v>
      </c>
      <c r="F221" s="106">
        <v>44607</v>
      </c>
      <c r="G221" s="107">
        <v>17352.44921875</v>
      </c>
      <c r="H221" s="109">
        <f t="shared" si="7"/>
        <v>3.0259126383977576E-2</v>
      </c>
    </row>
    <row r="222" spans="2:8" ht="14.25" customHeight="1" x14ac:dyDescent="0.3">
      <c r="B222" s="105" t="s">
        <v>464</v>
      </c>
      <c r="C222" s="105">
        <v>401.85</v>
      </c>
      <c r="D222" s="3">
        <f t="shared" si="6"/>
        <v>-5.0755137410248936E-3</v>
      </c>
      <c r="F222" s="106">
        <v>44608</v>
      </c>
      <c r="G222" s="107">
        <v>17322.19921875</v>
      </c>
      <c r="H222" s="110">
        <f t="shared" si="7"/>
        <v>-1.7432697608654399E-3</v>
      </c>
    </row>
    <row r="223" spans="2:8" ht="14.25" customHeight="1" x14ac:dyDescent="0.3">
      <c r="B223" s="105" t="s">
        <v>465</v>
      </c>
      <c r="C223" s="105">
        <v>395.7</v>
      </c>
      <c r="D223" s="3">
        <f t="shared" si="6"/>
        <v>-1.5304217991788065E-2</v>
      </c>
      <c r="F223" s="106">
        <v>44609</v>
      </c>
      <c r="G223" s="107">
        <v>17304.599609375</v>
      </c>
      <c r="H223" s="109">
        <f t="shared" si="7"/>
        <v>-1.0160147191904897E-3</v>
      </c>
    </row>
    <row r="224" spans="2:8" ht="14.25" customHeight="1" x14ac:dyDescent="0.3">
      <c r="B224" s="105" t="s">
        <v>466</v>
      </c>
      <c r="C224" s="105">
        <v>392.7</v>
      </c>
      <c r="D224" s="3">
        <f t="shared" si="6"/>
        <v>-7.5815011372251705E-3</v>
      </c>
      <c r="F224" s="106">
        <v>44610</v>
      </c>
      <c r="G224" s="107">
        <v>17276.30078125</v>
      </c>
      <c r="H224" s="110">
        <f t="shared" si="7"/>
        <v>-1.6353356196504385E-3</v>
      </c>
    </row>
    <row r="225" spans="2:8" ht="14.25" customHeight="1" x14ac:dyDescent="0.3">
      <c r="B225" s="105" t="s">
        <v>467</v>
      </c>
      <c r="C225" s="105">
        <v>387.5</v>
      </c>
      <c r="D225" s="3">
        <f t="shared" si="6"/>
        <v>-1.3241660300483802E-2</v>
      </c>
      <c r="F225" s="106">
        <v>44613</v>
      </c>
      <c r="G225" s="107">
        <v>17206.650390625</v>
      </c>
      <c r="H225" s="109">
        <f t="shared" si="7"/>
        <v>-4.0315569581071253E-3</v>
      </c>
    </row>
    <row r="226" spans="2:8" ht="14.25" customHeight="1" x14ac:dyDescent="0.3">
      <c r="B226" s="105" t="s">
        <v>468</v>
      </c>
      <c r="C226" s="105">
        <v>384.3</v>
      </c>
      <c r="D226" s="3">
        <f t="shared" si="6"/>
        <v>-8.2580645161290031E-3</v>
      </c>
      <c r="F226" s="106">
        <v>44614</v>
      </c>
      <c r="G226" s="107">
        <v>17092.19921875</v>
      </c>
      <c r="H226" s="110">
        <f t="shared" si="7"/>
        <v>-6.6515660675803834E-3</v>
      </c>
    </row>
    <row r="227" spans="2:8" ht="14.25" customHeight="1" x14ac:dyDescent="0.3">
      <c r="B227" s="105" t="s">
        <v>469</v>
      </c>
      <c r="C227" s="105">
        <v>395.45</v>
      </c>
      <c r="D227" s="3">
        <f t="shared" si="6"/>
        <v>2.9013791308873216E-2</v>
      </c>
      <c r="F227" s="106">
        <v>44615</v>
      </c>
      <c r="G227" s="107">
        <v>17063.25</v>
      </c>
      <c r="H227" s="109">
        <f t="shared" si="7"/>
        <v>-1.6937094155936908E-3</v>
      </c>
    </row>
    <row r="228" spans="2:8" ht="14.25" customHeight="1" x14ac:dyDescent="0.3">
      <c r="B228" s="105" t="s">
        <v>470</v>
      </c>
      <c r="C228" s="105">
        <v>374.15</v>
      </c>
      <c r="D228" s="3">
        <f t="shared" si="6"/>
        <v>-5.3862688076874478E-2</v>
      </c>
      <c r="F228" s="106">
        <v>44616</v>
      </c>
      <c r="G228" s="107">
        <v>16247.9501953125</v>
      </c>
      <c r="H228" s="110">
        <f t="shared" si="7"/>
        <v>-4.7781038470836444E-2</v>
      </c>
    </row>
    <row r="229" spans="2:8" ht="14.25" customHeight="1" x14ac:dyDescent="0.3">
      <c r="B229" s="105" t="s">
        <v>471</v>
      </c>
      <c r="C229" s="105">
        <v>394.55</v>
      </c>
      <c r="D229" s="3">
        <f t="shared" si="6"/>
        <v>5.4523586796739368E-2</v>
      </c>
      <c r="F229" s="106">
        <v>44617</v>
      </c>
      <c r="G229" s="107">
        <v>16658.400390625</v>
      </c>
      <c r="H229" s="109">
        <f t="shared" si="7"/>
        <v>2.5261660109649649E-2</v>
      </c>
    </row>
    <row r="230" spans="2:8" ht="14.25" customHeight="1" x14ac:dyDescent="0.3">
      <c r="B230" s="105" t="s">
        <v>472</v>
      </c>
      <c r="C230" s="105">
        <v>348.85</v>
      </c>
      <c r="D230" s="3">
        <f t="shared" si="6"/>
        <v>-0.11582815866176653</v>
      </c>
      <c r="F230" s="106">
        <v>44620</v>
      </c>
      <c r="G230" s="107">
        <v>16793.900390625</v>
      </c>
      <c r="H230" s="110">
        <f t="shared" si="7"/>
        <v>8.1340342903665937E-3</v>
      </c>
    </row>
    <row r="231" spans="2:8" ht="14.25" customHeight="1" x14ac:dyDescent="0.3">
      <c r="B231" s="105" t="s">
        <v>473</v>
      </c>
      <c r="C231" s="105">
        <v>344.85</v>
      </c>
      <c r="D231" s="3">
        <f t="shared" si="6"/>
        <v>-1.1466246237637952E-2</v>
      </c>
      <c r="F231" s="106">
        <v>44622</v>
      </c>
      <c r="G231" s="107">
        <v>16605.94921875</v>
      </c>
      <c r="H231" s="109">
        <f t="shared" si="7"/>
        <v>-1.1191633122935609E-2</v>
      </c>
    </row>
    <row r="232" spans="2:8" ht="14.25" customHeight="1" x14ac:dyDescent="0.3">
      <c r="B232" s="105" t="s">
        <v>474</v>
      </c>
      <c r="C232" s="105">
        <v>340.05</v>
      </c>
      <c r="D232" s="3">
        <f t="shared" si="6"/>
        <v>-1.391909525880821E-2</v>
      </c>
      <c r="F232" s="106">
        <v>44623</v>
      </c>
      <c r="G232" s="107">
        <v>16498.05078125</v>
      </c>
      <c r="H232" s="110">
        <f t="shared" si="7"/>
        <v>-6.4975772284170561E-3</v>
      </c>
    </row>
    <row r="233" spans="2:8" ht="14.25" customHeight="1" x14ac:dyDescent="0.3">
      <c r="B233" s="105" t="s">
        <v>475</v>
      </c>
      <c r="C233" s="105">
        <v>328.2</v>
      </c>
      <c r="D233" s="3">
        <f t="shared" si="6"/>
        <v>-3.4847816497573951E-2</v>
      </c>
      <c r="F233" s="106">
        <v>44624</v>
      </c>
      <c r="G233" s="107">
        <v>16245.349609375</v>
      </c>
      <c r="H233" s="109">
        <f t="shared" si="7"/>
        <v>-1.5317032007332306E-2</v>
      </c>
    </row>
    <row r="234" spans="2:8" ht="14.25" customHeight="1" x14ac:dyDescent="0.3">
      <c r="B234" s="105" t="s">
        <v>476</v>
      </c>
      <c r="C234" s="105">
        <v>330</v>
      </c>
      <c r="D234" s="3">
        <f t="shared" si="6"/>
        <v>5.4844606946983891E-3</v>
      </c>
      <c r="F234" s="106">
        <v>44627</v>
      </c>
      <c r="G234" s="107">
        <v>15863.150390625</v>
      </c>
      <c r="H234" s="110">
        <f t="shared" si="7"/>
        <v>-2.3526684739947814E-2</v>
      </c>
    </row>
    <row r="235" spans="2:8" ht="14.25" customHeight="1" x14ac:dyDescent="0.3">
      <c r="B235" s="105" t="s">
        <v>477</v>
      </c>
      <c r="C235" s="105">
        <v>334.45</v>
      </c>
      <c r="D235" s="3">
        <f t="shared" si="6"/>
        <v>1.348484848484845E-2</v>
      </c>
      <c r="F235" s="106">
        <v>44628</v>
      </c>
      <c r="G235" s="107">
        <v>16013.4501953125</v>
      </c>
      <c r="H235" s="109">
        <f t="shared" si="7"/>
        <v>9.4747765094836418E-3</v>
      </c>
    </row>
    <row r="236" spans="2:8" ht="14.25" customHeight="1" x14ac:dyDescent="0.3">
      <c r="B236" s="105" t="s">
        <v>478</v>
      </c>
      <c r="C236" s="105">
        <v>337.8</v>
      </c>
      <c r="D236" s="3">
        <f t="shared" si="6"/>
        <v>1.0016444909553066E-2</v>
      </c>
      <c r="F236" s="106">
        <v>44629</v>
      </c>
      <c r="G236" s="107">
        <v>16345.349609375</v>
      </c>
      <c r="H236" s="110">
        <f t="shared" si="7"/>
        <v>2.0726290088294307E-2</v>
      </c>
    </row>
    <row r="237" spans="2:8" ht="14.25" customHeight="1" x14ac:dyDescent="0.3">
      <c r="B237" s="105" t="s">
        <v>479</v>
      </c>
      <c r="C237" s="105">
        <v>333.2</v>
      </c>
      <c r="D237" s="3">
        <f t="shared" si="6"/>
        <v>-1.3617525162818302E-2</v>
      </c>
      <c r="F237" s="106">
        <v>44630</v>
      </c>
      <c r="G237" s="107">
        <v>16594.900390625</v>
      </c>
      <c r="H237" s="109">
        <f t="shared" si="7"/>
        <v>1.5267387190474546E-2</v>
      </c>
    </row>
    <row r="238" spans="2:8" ht="14.25" customHeight="1" x14ac:dyDescent="0.3">
      <c r="B238" s="105" t="s">
        <v>480</v>
      </c>
      <c r="C238" s="105">
        <v>331.95</v>
      </c>
      <c r="D238" s="3">
        <f t="shared" si="6"/>
        <v>-3.751500600240096E-3</v>
      </c>
      <c r="F238" s="106">
        <v>44631</v>
      </c>
      <c r="G238" s="107">
        <v>16630.44921875</v>
      </c>
      <c r="H238" s="110">
        <f t="shared" si="7"/>
        <v>2.14215375134657E-3</v>
      </c>
    </row>
    <row r="239" spans="2:8" ht="14.25" customHeight="1" x14ac:dyDescent="0.3">
      <c r="B239" s="105" t="s">
        <v>481</v>
      </c>
      <c r="C239" s="105">
        <v>328.7</v>
      </c>
      <c r="D239" s="3">
        <f t="shared" si="6"/>
        <v>-9.7906311191444505E-3</v>
      </c>
      <c r="F239" s="106">
        <v>44634</v>
      </c>
      <c r="G239" s="107">
        <v>16871.30078125</v>
      </c>
      <c r="H239" s="109">
        <f t="shared" si="7"/>
        <v>1.4482565042708041E-2</v>
      </c>
    </row>
    <row r="240" spans="2:8" ht="14.25" customHeight="1" x14ac:dyDescent="0.3">
      <c r="B240" s="105" t="s">
        <v>482</v>
      </c>
      <c r="C240" s="105">
        <v>327.45</v>
      </c>
      <c r="D240" s="3">
        <f t="shared" si="6"/>
        <v>-3.8028597505324006E-3</v>
      </c>
      <c r="F240" s="106">
        <v>44635</v>
      </c>
      <c r="G240" s="107">
        <v>16663</v>
      </c>
      <c r="H240" s="110">
        <f t="shared" si="7"/>
        <v>-1.2346456503312184E-2</v>
      </c>
    </row>
    <row r="241" spans="2:8" ht="14.25" customHeight="1" x14ac:dyDescent="0.3">
      <c r="B241" s="105" t="s">
        <v>483</v>
      </c>
      <c r="C241" s="105">
        <v>329.2</v>
      </c>
      <c r="D241" s="3">
        <f t="shared" si="6"/>
        <v>5.3443273782256837E-3</v>
      </c>
      <c r="F241" s="106">
        <v>44636</v>
      </c>
      <c r="G241" s="107">
        <v>16975.349609375</v>
      </c>
      <c r="H241" s="109">
        <f t="shared" si="7"/>
        <v>1.8745100484606612E-2</v>
      </c>
    </row>
    <row r="242" spans="2:8" ht="14.25" customHeight="1" x14ac:dyDescent="0.3">
      <c r="B242" s="105" t="s">
        <v>484</v>
      </c>
      <c r="C242" s="105">
        <v>331.45</v>
      </c>
      <c r="D242" s="3">
        <f t="shared" si="6"/>
        <v>6.8347509113001218E-3</v>
      </c>
      <c r="F242" s="106">
        <v>44637</v>
      </c>
      <c r="G242" s="107">
        <v>17287.05078125</v>
      </c>
      <c r="H242" s="110">
        <f t="shared" si="7"/>
        <v>1.8361988356508215E-2</v>
      </c>
    </row>
    <row r="243" spans="2:8" ht="14.25" customHeight="1" x14ac:dyDescent="0.3">
      <c r="B243" s="105" t="s">
        <v>485</v>
      </c>
      <c r="C243" s="105">
        <v>329.8</v>
      </c>
      <c r="D243" s="3">
        <f t="shared" si="6"/>
        <v>-4.9781264142403905E-3</v>
      </c>
      <c r="F243" s="106">
        <v>44641</v>
      </c>
      <c r="G243" s="107">
        <v>17117.599609375</v>
      </c>
      <c r="H243" s="109">
        <f t="shared" si="7"/>
        <v>-9.80220247046369E-3</v>
      </c>
    </row>
    <row r="244" spans="2:8" ht="14.25" customHeight="1" x14ac:dyDescent="0.3">
      <c r="B244" s="105" t="s">
        <v>486</v>
      </c>
      <c r="C244" s="105">
        <v>334.7</v>
      </c>
      <c r="D244" s="3">
        <f t="shared" si="6"/>
        <v>1.485748938750751E-2</v>
      </c>
      <c r="F244" s="106">
        <v>44642</v>
      </c>
      <c r="G244" s="107">
        <v>17315.5</v>
      </c>
      <c r="H244" s="110">
        <f t="shared" si="7"/>
        <v>1.1561223252155842E-2</v>
      </c>
    </row>
    <row r="245" spans="2:8" ht="14.25" customHeight="1" x14ac:dyDescent="0.3">
      <c r="B245" s="105" t="s">
        <v>487</v>
      </c>
      <c r="C245" s="105">
        <v>337.2</v>
      </c>
      <c r="D245" s="3">
        <f t="shared" si="6"/>
        <v>7.4693755602031672E-3</v>
      </c>
      <c r="F245" s="106">
        <v>44643</v>
      </c>
      <c r="G245" s="107">
        <v>17245.650390625</v>
      </c>
      <c r="H245" s="109">
        <f t="shared" si="7"/>
        <v>-4.0339354552279749E-3</v>
      </c>
    </row>
    <row r="246" spans="2:8" ht="14.25" customHeight="1" x14ac:dyDescent="0.3">
      <c r="B246" s="105" t="s">
        <v>488</v>
      </c>
      <c r="C246" s="105">
        <v>342.3</v>
      </c>
      <c r="D246" s="3">
        <f t="shared" si="6"/>
        <v>1.5124555160142416E-2</v>
      </c>
      <c r="F246" s="106">
        <v>44644</v>
      </c>
      <c r="G246" s="107">
        <v>17222.75</v>
      </c>
      <c r="H246" s="110">
        <f t="shared" si="7"/>
        <v>-1.3278937068937106E-3</v>
      </c>
    </row>
    <row r="247" spans="2:8" ht="14.25" customHeight="1" x14ac:dyDescent="0.3">
      <c r="B247" s="105" t="s">
        <v>489</v>
      </c>
      <c r="C247" s="105">
        <v>348.9</v>
      </c>
      <c r="D247" s="3">
        <f t="shared" si="6"/>
        <v>1.9281332164767646E-2</v>
      </c>
      <c r="F247" s="106">
        <v>44645</v>
      </c>
      <c r="G247" s="107">
        <v>17153</v>
      </c>
      <c r="H247" s="109">
        <f t="shared" si="7"/>
        <v>-4.0498758909001172E-3</v>
      </c>
    </row>
    <row r="248" spans="2:8" ht="14.25" customHeight="1" x14ac:dyDescent="0.3">
      <c r="B248" s="105" t="s">
        <v>490</v>
      </c>
      <c r="C248" s="105">
        <v>345.7</v>
      </c>
      <c r="D248" s="3">
        <f t="shared" si="6"/>
        <v>-9.1716824304958113E-3</v>
      </c>
      <c r="F248" s="106">
        <v>44648</v>
      </c>
      <c r="G248" s="107">
        <v>17222</v>
      </c>
      <c r="H248" s="110">
        <f t="shared" si="7"/>
        <v>4.022619949862998E-3</v>
      </c>
    </row>
    <row r="249" spans="2:8" ht="14.25" customHeight="1" x14ac:dyDescent="0.3">
      <c r="B249" s="105" t="s">
        <v>491</v>
      </c>
      <c r="C249" s="105">
        <v>343.45</v>
      </c>
      <c r="D249" s="3">
        <f t="shared" si="6"/>
        <v>-6.508533410471507E-3</v>
      </c>
      <c r="F249" s="106">
        <v>44649</v>
      </c>
      <c r="G249" s="107">
        <v>17325.30078125</v>
      </c>
      <c r="H249" s="109">
        <f t="shared" si="7"/>
        <v>5.9981872749970966E-3</v>
      </c>
    </row>
    <row r="250" spans="2:8" ht="14.25" customHeight="1" x14ac:dyDescent="0.3">
      <c r="B250" s="105" t="s">
        <v>492</v>
      </c>
      <c r="C250" s="105">
        <v>341.55</v>
      </c>
      <c r="D250" s="3">
        <f t="shared" si="6"/>
        <v>-5.5321007424660859E-3</v>
      </c>
      <c r="F250" s="106">
        <v>44650</v>
      </c>
      <c r="G250" s="107">
        <v>17498.25</v>
      </c>
      <c r="H250" s="110">
        <f t="shared" si="7"/>
        <v>9.9824655821947536E-3</v>
      </c>
    </row>
    <row r="251" spans="2:8" ht="14.25" customHeight="1" x14ac:dyDescent="0.3">
      <c r="B251" s="105" t="s">
        <v>493</v>
      </c>
      <c r="C251" s="105">
        <v>335.6</v>
      </c>
      <c r="D251" s="3">
        <f t="shared" si="6"/>
        <v>-1.7420582637973907E-2</v>
      </c>
      <c r="F251" s="106">
        <v>44651</v>
      </c>
      <c r="G251" s="107">
        <v>17464.75</v>
      </c>
      <c r="H251" s="109">
        <f t="shared" si="7"/>
        <v>-1.9144771620019144E-3</v>
      </c>
    </row>
    <row r="252" spans="2:8" ht="14.25" customHeight="1" x14ac:dyDescent="0.3">
      <c r="B252" s="105" t="s">
        <v>494</v>
      </c>
      <c r="C252" s="105">
        <v>341.9</v>
      </c>
      <c r="D252" s="3">
        <f t="shared" si="6"/>
        <v>1.8772348033372927E-2</v>
      </c>
      <c r="F252" s="106">
        <v>44652</v>
      </c>
      <c r="G252" s="107">
        <v>17670.44921875</v>
      </c>
      <c r="H252" s="110">
        <f t="shared" si="7"/>
        <v>1.1777965258592307E-2</v>
      </c>
    </row>
    <row r="253" spans="2:8" ht="14.25" customHeight="1" x14ac:dyDescent="0.3">
      <c r="B253" s="105" t="s">
        <v>495</v>
      </c>
      <c r="C253" s="105">
        <v>346.45</v>
      </c>
      <c r="D253" s="3">
        <f t="shared" si="6"/>
        <v>1.3307984790874559E-2</v>
      </c>
      <c r="F253" s="106">
        <v>44655</v>
      </c>
      <c r="G253" s="107">
        <v>18053.400390625</v>
      </c>
      <c r="H253" s="109">
        <f t="shared" si="7"/>
        <v>2.1671841339984326E-2</v>
      </c>
    </row>
    <row r="254" spans="2:8" ht="14.25" customHeight="1" x14ac:dyDescent="0.3">
      <c r="B254" s="105" t="s">
        <v>496</v>
      </c>
      <c r="C254" s="105">
        <v>347.3</v>
      </c>
      <c r="D254" s="3">
        <f t="shared" si="6"/>
        <v>2.4534564872276598E-3</v>
      </c>
      <c r="F254" s="106">
        <v>44656</v>
      </c>
      <c r="G254" s="107">
        <v>17957.400390625</v>
      </c>
      <c r="H254" s="110">
        <f t="shared" si="7"/>
        <v>-5.3175577964720763E-3</v>
      </c>
    </row>
    <row r="255" spans="2:8" ht="14.25" customHeight="1" x14ac:dyDescent="0.3">
      <c r="B255" s="105" t="s">
        <v>497</v>
      </c>
      <c r="C255" s="105">
        <v>350.3</v>
      </c>
      <c r="D255" s="3">
        <f t="shared" si="6"/>
        <v>8.6380650734235523E-3</v>
      </c>
      <c r="F255" s="106">
        <v>44657</v>
      </c>
      <c r="G255" s="107">
        <v>17807.650390625</v>
      </c>
      <c r="H255" s="109">
        <f t="shared" si="7"/>
        <v>-8.3391803235717699E-3</v>
      </c>
    </row>
    <row r="256" spans="2:8" ht="14.25" customHeight="1" x14ac:dyDescent="0.3">
      <c r="B256" s="105" t="s">
        <v>498</v>
      </c>
      <c r="C256" s="105">
        <v>353.35</v>
      </c>
      <c r="D256" s="3">
        <f t="shared" si="6"/>
        <v>8.7068227233799925E-3</v>
      </c>
      <c r="F256" s="106">
        <v>44658</v>
      </c>
      <c r="G256" s="107">
        <v>17639.55078125</v>
      </c>
      <c r="H256" s="110">
        <f t="shared" si="7"/>
        <v>-9.4397411049521492E-3</v>
      </c>
    </row>
    <row r="257" spans="2:8" ht="14.25" customHeight="1" x14ac:dyDescent="0.3">
      <c r="B257" s="105" t="s">
        <v>499</v>
      </c>
      <c r="C257" s="105">
        <v>355</v>
      </c>
      <c r="D257" s="3">
        <f t="shared" si="6"/>
        <v>4.6695910570255473E-3</v>
      </c>
      <c r="F257" s="106">
        <v>44659</v>
      </c>
      <c r="G257" s="107">
        <v>17784.349609375</v>
      </c>
      <c r="H257" s="109">
        <f t="shared" si="7"/>
        <v>8.2087593907954979E-3</v>
      </c>
    </row>
    <row r="258" spans="2:8" ht="14.25" customHeight="1" x14ac:dyDescent="0.3">
      <c r="B258" s="105" t="s">
        <v>500</v>
      </c>
      <c r="C258" s="105">
        <v>351.35</v>
      </c>
      <c r="D258" s="3">
        <f t="shared" si="6"/>
        <v>-1.0281690140845007E-2</v>
      </c>
      <c r="F258" s="106">
        <v>44662</v>
      </c>
      <c r="G258" s="107">
        <v>17674.94921875</v>
      </c>
      <c r="H258" s="110">
        <f t="shared" si="7"/>
        <v>-6.1514979759130298E-3</v>
      </c>
    </row>
    <row r="259" spans="2:8" ht="14.25" customHeight="1" x14ac:dyDescent="0.3">
      <c r="B259" s="105" t="s">
        <v>501</v>
      </c>
      <c r="C259" s="105">
        <v>349.15</v>
      </c>
      <c r="D259" s="3">
        <f t="shared" si="6"/>
        <v>-6.2615625444714541E-3</v>
      </c>
      <c r="F259" s="106">
        <v>44663</v>
      </c>
      <c r="G259" s="107">
        <v>17530.30078125</v>
      </c>
      <c r="H259" s="109">
        <f t="shared" si="7"/>
        <v>-8.1838106412522836E-3</v>
      </c>
    </row>
    <row r="260" spans="2:8" ht="14.25" customHeight="1" x14ac:dyDescent="0.3">
      <c r="B260" s="105" t="s">
        <v>502</v>
      </c>
      <c r="C260" s="105">
        <v>350.7</v>
      </c>
      <c r="D260" s="3">
        <f t="shared" si="6"/>
        <v>4.4393527137333855E-3</v>
      </c>
      <c r="F260" s="106">
        <v>44664</v>
      </c>
      <c r="G260" s="107">
        <v>17475.650390625</v>
      </c>
      <c r="H260" s="110">
        <f t="shared" si="7"/>
        <v>-3.1174816283501979E-3</v>
      </c>
    </row>
    <row r="261" spans="2:8" ht="14.25" customHeight="1" x14ac:dyDescent="0.3">
      <c r="B261" s="105" t="s">
        <v>503</v>
      </c>
      <c r="C261" s="105">
        <v>343.2</v>
      </c>
      <c r="D261" s="3">
        <f t="shared" ref="D261:D324" si="8">(C261-C260)/C260</f>
        <v>-2.1385799828913601E-2</v>
      </c>
      <c r="F261" s="106">
        <v>44669</v>
      </c>
      <c r="G261" s="107">
        <v>17173.650390625</v>
      </c>
      <c r="H261" s="109">
        <f t="shared" ref="H261:H324" si="9">(G261-G260)/G260</f>
        <v>-1.7281188010147601E-2</v>
      </c>
    </row>
    <row r="262" spans="2:8" ht="14.25" customHeight="1" x14ac:dyDescent="0.3">
      <c r="B262" s="105" t="s">
        <v>504</v>
      </c>
      <c r="C262" s="105">
        <v>337.95</v>
      </c>
      <c r="D262" s="3">
        <f t="shared" si="8"/>
        <v>-1.5297202797202798E-2</v>
      </c>
      <c r="F262" s="106">
        <v>44670</v>
      </c>
      <c r="G262" s="107">
        <v>16958.650390625</v>
      </c>
      <c r="H262" s="110">
        <f t="shared" si="9"/>
        <v>-1.2519178806467803E-2</v>
      </c>
    </row>
    <row r="263" spans="2:8" ht="14.25" customHeight="1" x14ac:dyDescent="0.3">
      <c r="B263" s="105" t="s">
        <v>505</v>
      </c>
      <c r="C263" s="105">
        <v>352.55</v>
      </c>
      <c r="D263" s="3">
        <f t="shared" si="8"/>
        <v>4.3201657049859517E-2</v>
      </c>
      <c r="F263" s="106">
        <v>44671</v>
      </c>
      <c r="G263" s="107">
        <v>17136.55078125</v>
      </c>
      <c r="H263" s="109">
        <f t="shared" si="9"/>
        <v>1.0490244596547968E-2</v>
      </c>
    </row>
    <row r="264" spans="2:8" ht="14.25" customHeight="1" x14ac:dyDescent="0.3">
      <c r="B264" s="105" t="s">
        <v>506</v>
      </c>
      <c r="C264" s="105">
        <v>373.95</v>
      </c>
      <c r="D264" s="3">
        <f t="shared" si="8"/>
        <v>6.0700609842575456E-2</v>
      </c>
      <c r="F264" s="106">
        <v>44672</v>
      </c>
      <c r="G264" s="107">
        <v>17392.599609375</v>
      </c>
      <c r="H264" s="110">
        <f t="shared" si="9"/>
        <v>1.4941678252146078E-2</v>
      </c>
    </row>
    <row r="265" spans="2:8" ht="14.25" customHeight="1" x14ac:dyDescent="0.3">
      <c r="B265" s="105" t="s">
        <v>507</v>
      </c>
      <c r="C265" s="105">
        <v>375.55</v>
      </c>
      <c r="D265" s="3">
        <f t="shared" si="8"/>
        <v>4.2786468779249173E-3</v>
      </c>
      <c r="F265" s="106">
        <v>44673</v>
      </c>
      <c r="G265" s="107">
        <v>17171.94921875</v>
      </c>
      <c r="H265" s="109">
        <f t="shared" si="9"/>
        <v>-1.2686452605168035E-2</v>
      </c>
    </row>
    <row r="266" spans="2:8" ht="14.25" customHeight="1" x14ac:dyDescent="0.3">
      <c r="B266" s="105" t="s">
        <v>508</v>
      </c>
      <c r="C266" s="105">
        <v>380.85</v>
      </c>
      <c r="D266" s="3">
        <f t="shared" si="8"/>
        <v>1.4112634802290004E-2</v>
      </c>
      <c r="F266" s="106">
        <v>44676</v>
      </c>
      <c r="G266" s="107">
        <v>16953.94921875</v>
      </c>
      <c r="H266" s="110">
        <f t="shared" si="9"/>
        <v>-1.2695122564301929E-2</v>
      </c>
    </row>
    <row r="267" spans="2:8" ht="14.25" customHeight="1" x14ac:dyDescent="0.3">
      <c r="B267" s="105" t="s">
        <v>509</v>
      </c>
      <c r="C267" s="105">
        <v>380.05</v>
      </c>
      <c r="D267" s="3">
        <f t="shared" si="8"/>
        <v>-2.1005645267165849E-3</v>
      </c>
      <c r="F267" s="106">
        <v>44677</v>
      </c>
      <c r="G267" s="107">
        <v>17200.80078125</v>
      </c>
      <c r="H267" s="109">
        <f t="shared" si="9"/>
        <v>1.4560121616207138E-2</v>
      </c>
    </row>
    <row r="268" spans="2:8" ht="14.25" customHeight="1" x14ac:dyDescent="0.3">
      <c r="B268" s="105" t="s">
        <v>510</v>
      </c>
      <c r="C268" s="105">
        <v>381.95</v>
      </c>
      <c r="D268" s="3">
        <f t="shared" si="8"/>
        <v>4.9993421918168059E-3</v>
      </c>
      <c r="F268" s="106">
        <v>44678</v>
      </c>
      <c r="G268" s="107">
        <v>17038.400390625</v>
      </c>
      <c r="H268" s="110">
        <f t="shared" si="9"/>
        <v>-9.4414436101153531E-3</v>
      </c>
    </row>
    <row r="269" spans="2:8" ht="14.25" customHeight="1" x14ac:dyDescent="0.3">
      <c r="B269" s="105" t="s">
        <v>511</v>
      </c>
      <c r="C269" s="105">
        <v>376.75</v>
      </c>
      <c r="D269" s="3">
        <f t="shared" si="8"/>
        <v>-1.3614347427673749E-2</v>
      </c>
      <c r="F269" s="106">
        <v>44679</v>
      </c>
      <c r="G269" s="107">
        <v>17245.05078125</v>
      </c>
      <c r="H269" s="109">
        <f t="shared" si="9"/>
        <v>1.2128508890934666E-2</v>
      </c>
    </row>
    <row r="270" spans="2:8" ht="14.25" customHeight="1" x14ac:dyDescent="0.3">
      <c r="B270" s="105" t="s">
        <v>512</v>
      </c>
      <c r="C270" s="105">
        <v>368.45</v>
      </c>
      <c r="D270" s="3">
        <f t="shared" si="8"/>
        <v>-2.2030524220305273E-2</v>
      </c>
      <c r="F270" s="106">
        <v>44680</v>
      </c>
      <c r="G270" s="107">
        <v>17102.55078125</v>
      </c>
      <c r="H270" s="110">
        <f t="shared" si="9"/>
        <v>-8.2632403816946566E-3</v>
      </c>
    </row>
    <row r="271" spans="2:8" ht="14.25" customHeight="1" x14ac:dyDescent="0.3">
      <c r="B271" s="105" t="s">
        <v>513</v>
      </c>
      <c r="C271" s="105">
        <v>372.8</v>
      </c>
      <c r="D271" s="3">
        <f t="shared" si="8"/>
        <v>1.1806215225946595E-2</v>
      </c>
      <c r="F271" s="106">
        <v>44683</v>
      </c>
      <c r="G271" s="107">
        <v>17069.099609375</v>
      </c>
      <c r="H271" s="109">
        <f t="shared" si="9"/>
        <v>-1.9559171203674158E-3</v>
      </c>
    </row>
    <row r="272" spans="2:8" ht="14.25" customHeight="1" x14ac:dyDescent="0.3">
      <c r="B272" s="105" t="s">
        <v>514</v>
      </c>
      <c r="C272" s="105">
        <v>367.05</v>
      </c>
      <c r="D272" s="3">
        <f t="shared" si="8"/>
        <v>-1.542381974248927E-2</v>
      </c>
      <c r="F272" s="106">
        <v>44685</v>
      </c>
      <c r="G272" s="107">
        <v>16677.599609375</v>
      </c>
      <c r="H272" s="110">
        <f t="shared" si="9"/>
        <v>-2.2936183451936345E-2</v>
      </c>
    </row>
    <row r="273" spans="2:8" ht="14.25" customHeight="1" x14ac:dyDescent="0.3">
      <c r="B273" s="105" t="s">
        <v>515</v>
      </c>
      <c r="C273" s="105">
        <v>362.1</v>
      </c>
      <c r="D273" s="3">
        <f t="shared" si="8"/>
        <v>-1.3485901103391876E-2</v>
      </c>
      <c r="F273" s="106">
        <v>44686</v>
      </c>
      <c r="G273" s="107">
        <v>16682.650390625</v>
      </c>
      <c r="H273" s="109">
        <f t="shared" si="9"/>
        <v>3.0284821366983761E-4</v>
      </c>
    </row>
    <row r="274" spans="2:8" ht="14.25" customHeight="1" x14ac:dyDescent="0.3">
      <c r="B274" s="105" t="s">
        <v>516</v>
      </c>
      <c r="C274" s="105">
        <v>348</v>
      </c>
      <c r="D274" s="3">
        <f t="shared" si="8"/>
        <v>-3.8939519469759792E-2</v>
      </c>
      <c r="F274" s="106">
        <v>44687</v>
      </c>
      <c r="G274" s="107">
        <v>16411.25</v>
      </c>
      <c r="H274" s="110">
        <f t="shared" si="9"/>
        <v>-1.6268421639856246E-2</v>
      </c>
    </row>
    <row r="275" spans="2:8" ht="14.25" customHeight="1" x14ac:dyDescent="0.3">
      <c r="B275" s="105" t="s">
        <v>517</v>
      </c>
      <c r="C275" s="105">
        <v>338.55</v>
      </c>
      <c r="D275" s="3">
        <f t="shared" si="8"/>
        <v>-2.7155172413793071E-2</v>
      </c>
      <c r="F275" s="106">
        <v>44690</v>
      </c>
      <c r="G275" s="107">
        <v>16301.849609375</v>
      </c>
      <c r="H275" s="109">
        <f t="shared" si="9"/>
        <v>-6.6661826871810496E-3</v>
      </c>
    </row>
    <row r="276" spans="2:8" ht="14.25" customHeight="1" x14ac:dyDescent="0.3">
      <c r="B276" s="105" t="s">
        <v>518</v>
      </c>
      <c r="C276" s="105">
        <v>330.8</v>
      </c>
      <c r="D276" s="3">
        <f t="shared" si="8"/>
        <v>-2.2891744203219613E-2</v>
      </c>
      <c r="F276" s="106">
        <v>44691</v>
      </c>
      <c r="G276" s="107">
        <v>16240.0498046875</v>
      </c>
      <c r="H276" s="110">
        <f t="shared" si="9"/>
        <v>-3.7909688880922855E-3</v>
      </c>
    </row>
    <row r="277" spans="2:8" ht="14.25" customHeight="1" x14ac:dyDescent="0.3">
      <c r="B277" s="105" t="s">
        <v>519</v>
      </c>
      <c r="C277" s="105">
        <v>334.25</v>
      </c>
      <c r="D277" s="3">
        <f t="shared" si="8"/>
        <v>1.0429262394195855E-2</v>
      </c>
      <c r="F277" s="106">
        <v>44692</v>
      </c>
      <c r="G277" s="107">
        <v>16167.099609375</v>
      </c>
      <c r="H277" s="109">
        <f t="shared" si="9"/>
        <v>-4.4919933245182401E-3</v>
      </c>
    </row>
    <row r="278" spans="2:8" ht="14.25" customHeight="1" x14ac:dyDescent="0.3">
      <c r="B278" s="105" t="s">
        <v>520</v>
      </c>
      <c r="C278" s="105">
        <v>327.95</v>
      </c>
      <c r="D278" s="3">
        <f t="shared" si="8"/>
        <v>-1.884816753926705E-2</v>
      </c>
      <c r="F278" s="106">
        <v>44693</v>
      </c>
      <c r="G278" s="107">
        <v>15808</v>
      </c>
      <c r="H278" s="110">
        <f t="shared" si="9"/>
        <v>-2.2211752141785831E-2</v>
      </c>
    </row>
    <row r="279" spans="2:8" ht="14.25" customHeight="1" x14ac:dyDescent="0.3">
      <c r="B279" s="105" t="s">
        <v>521</v>
      </c>
      <c r="C279" s="105">
        <v>326.14999999999998</v>
      </c>
      <c r="D279" s="3">
        <f t="shared" si="8"/>
        <v>-5.4886415612136344E-3</v>
      </c>
      <c r="F279" s="106">
        <v>44694</v>
      </c>
      <c r="G279" s="107">
        <v>15782.150390625</v>
      </c>
      <c r="H279" s="109">
        <f t="shared" si="9"/>
        <v>-1.6352232651189271E-3</v>
      </c>
    </row>
    <row r="280" spans="2:8" ht="14.25" customHeight="1" x14ac:dyDescent="0.3">
      <c r="B280" s="105" t="s">
        <v>522</v>
      </c>
      <c r="C280" s="105">
        <v>319.89999999999998</v>
      </c>
      <c r="D280" s="3">
        <f t="shared" si="8"/>
        <v>-1.9162961827380042E-2</v>
      </c>
      <c r="F280" s="106">
        <v>44697</v>
      </c>
      <c r="G280" s="107">
        <v>15842.2998046875</v>
      </c>
      <c r="H280" s="110">
        <f t="shared" si="9"/>
        <v>3.8112305721171107E-3</v>
      </c>
    </row>
    <row r="281" spans="2:8" ht="14.25" customHeight="1" x14ac:dyDescent="0.3">
      <c r="B281" s="105" t="s">
        <v>523</v>
      </c>
      <c r="C281" s="105">
        <v>330.45</v>
      </c>
      <c r="D281" s="3">
        <f t="shared" si="8"/>
        <v>3.2979055954985972E-2</v>
      </c>
      <c r="F281" s="106">
        <v>44698</v>
      </c>
      <c r="G281" s="107">
        <v>16259.2998046875</v>
      </c>
      <c r="H281" s="109">
        <f t="shared" si="9"/>
        <v>2.6321935902047247E-2</v>
      </c>
    </row>
    <row r="282" spans="2:8" ht="14.25" customHeight="1" x14ac:dyDescent="0.3">
      <c r="B282" s="105" t="s">
        <v>524</v>
      </c>
      <c r="C282" s="105">
        <v>337.85</v>
      </c>
      <c r="D282" s="3">
        <f t="shared" si="8"/>
        <v>2.2393705553033844E-2</v>
      </c>
      <c r="F282" s="106">
        <v>44699</v>
      </c>
      <c r="G282" s="107">
        <v>16240.2998046875</v>
      </c>
      <c r="H282" s="110">
        <f t="shared" si="9"/>
        <v>-1.1685620062508698E-3</v>
      </c>
    </row>
    <row r="283" spans="2:8" ht="14.25" customHeight="1" x14ac:dyDescent="0.3">
      <c r="B283" s="105" t="s">
        <v>525</v>
      </c>
      <c r="C283" s="105">
        <v>322.5</v>
      </c>
      <c r="D283" s="3">
        <f t="shared" si="8"/>
        <v>-4.5434364362882999E-2</v>
      </c>
      <c r="F283" s="106">
        <v>44700</v>
      </c>
      <c r="G283" s="107">
        <v>15809.400390625</v>
      </c>
      <c r="H283" s="109">
        <f t="shared" si="9"/>
        <v>-2.6532725334179351E-2</v>
      </c>
    </row>
    <row r="284" spans="2:8" ht="14.25" customHeight="1" x14ac:dyDescent="0.3">
      <c r="B284" s="105" t="s">
        <v>526</v>
      </c>
      <c r="C284" s="105">
        <v>340</v>
      </c>
      <c r="D284" s="3">
        <f t="shared" si="8"/>
        <v>5.4263565891472867E-2</v>
      </c>
      <c r="F284" s="106">
        <v>44701</v>
      </c>
      <c r="G284" s="107">
        <v>16266.150390625</v>
      </c>
      <c r="H284" s="110">
        <f t="shared" si="9"/>
        <v>2.8891038794289343E-2</v>
      </c>
    </row>
    <row r="285" spans="2:8" ht="14.25" customHeight="1" x14ac:dyDescent="0.3">
      <c r="B285" s="105" t="s">
        <v>527</v>
      </c>
      <c r="C285" s="105">
        <v>338.05</v>
      </c>
      <c r="D285" s="3">
        <f t="shared" si="8"/>
        <v>-5.7352941176470251E-3</v>
      </c>
      <c r="F285" s="106">
        <v>44704</v>
      </c>
      <c r="G285" s="107">
        <v>16214.7001953125</v>
      </c>
      <c r="H285" s="109">
        <f t="shared" si="9"/>
        <v>-3.1630222318707523E-3</v>
      </c>
    </row>
    <row r="286" spans="2:8" ht="14.25" customHeight="1" x14ac:dyDescent="0.3">
      <c r="B286" s="105" t="s">
        <v>528</v>
      </c>
      <c r="C286" s="105">
        <v>329.4</v>
      </c>
      <c r="D286" s="3">
        <f t="shared" si="8"/>
        <v>-2.5587930779470594E-2</v>
      </c>
      <c r="F286" s="106">
        <v>44705</v>
      </c>
      <c r="G286" s="107">
        <v>16125.150390625</v>
      </c>
      <c r="H286" s="110">
        <f t="shared" si="9"/>
        <v>-5.5227542667355585E-3</v>
      </c>
    </row>
    <row r="287" spans="2:8" ht="14.25" customHeight="1" x14ac:dyDescent="0.3">
      <c r="B287" s="105" t="s">
        <v>529</v>
      </c>
      <c r="C287" s="105">
        <v>324.2</v>
      </c>
      <c r="D287" s="3">
        <f t="shared" si="8"/>
        <v>-1.5786278081360017E-2</v>
      </c>
      <c r="F287" s="106">
        <v>44706</v>
      </c>
      <c r="G287" s="107">
        <v>16025.7998046875</v>
      </c>
      <c r="H287" s="109">
        <f t="shared" si="9"/>
        <v>-6.1612191843656494E-3</v>
      </c>
    </row>
    <row r="288" spans="2:8" ht="14.25" customHeight="1" x14ac:dyDescent="0.3">
      <c r="B288" s="105" t="s">
        <v>530</v>
      </c>
      <c r="C288" s="105">
        <v>325.39999999999998</v>
      </c>
      <c r="D288" s="3">
        <f t="shared" si="8"/>
        <v>3.7014188772362391E-3</v>
      </c>
      <c r="F288" s="106">
        <v>44707</v>
      </c>
      <c r="G288" s="107">
        <v>16170.150390625</v>
      </c>
      <c r="H288" s="110">
        <f t="shared" si="9"/>
        <v>9.0073873189953288E-3</v>
      </c>
    </row>
    <row r="289" spans="2:8" ht="14.25" customHeight="1" x14ac:dyDescent="0.3">
      <c r="B289" s="105" t="s">
        <v>531</v>
      </c>
      <c r="C289" s="105">
        <v>333</v>
      </c>
      <c r="D289" s="3">
        <f t="shared" si="8"/>
        <v>2.3355869698832278E-2</v>
      </c>
      <c r="F289" s="106">
        <v>44708</v>
      </c>
      <c r="G289" s="107">
        <v>16352.4501953125</v>
      </c>
      <c r="H289" s="109">
        <f t="shared" si="9"/>
        <v>1.1273847198922301E-2</v>
      </c>
    </row>
    <row r="290" spans="2:8" ht="14.25" customHeight="1" x14ac:dyDescent="0.3">
      <c r="B290" s="105" t="s">
        <v>532</v>
      </c>
      <c r="C290" s="105">
        <v>334.05</v>
      </c>
      <c r="D290" s="3">
        <f t="shared" si="8"/>
        <v>3.1531531531531873E-3</v>
      </c>
      <c r="F290" s="106">
        <v>44711</v>
      </c>
      <c r="G290" s="107">
        <v>16661.400390625</v>
      </c>
      <c r="H290" s="110">
        <f t="shared" si="9"/>
        <v>1.8893205092962884E-2</v>
      </c>
    </row>
    <row r="291" spans="2:8" ht="14.25" customHeight="1" x14ac:dyDescent="0.3">
      <c r="B291" s="105" t="s">
        <v>533</v>
      </c>
      <c r="C291" s="105">
        <v>334.1</v>
      </c>
      <c r="D291" s="3">
        <f t="shared" si="8"/>
        <v>1.4967819188747603E-4</v>
      </c>
      <c r="F291" s="106">
        <v>44712</v>
      </c>
      <c r="G291" s="107">
        <v>16584.55078125</v>
      </c>
      <c r="H291" s="109">
        <f t="shared" si="9"/>
        <v>-4.6124339835348759E-3</v>
      </c>
    </row>
    <row r="292" spans="2:8" ht="14.25" customHeight="1" x14ac:dyDescent="0.3">
      <c r="B292" s="105" t="s">
        <v>534</v>
      </c>
      <c r="C292" s="105">
        <v>327.7</v>
      </c>
      <c r="D292" s="3">
        <f t="shared" si="8"/>
        <v>-1.9155941334929764E-2</v>
      </c>
      <c r="F292" s="106">
        <v>44713</v>
      </c>
      <c r="G292" s="107">
        <v>16522.75</v>
      </c>
      <c r="H292" s="110">
        <f t="shared" si="9"/>
        <v>-3.7264067061659654E-3</v>
      </c>
    </row>
    <row r="293" spans="2:8" ht="14.25" customHeight="1" x14ac:dyDescent="0.3">
      <c r="B293" s="105" t="s">
        <v>535</v>
      </c>
      <c r="C293" s="105">
        <v>322.89999999999998</v>
      </c>
      <c r="D293" s="3">
        <f t="shared" si="8"/>
        <v>-1.4647543484894755E-2</v>
      </c>
      <c r="F293" s="106">
        <v>44714</v>
      </c>
      <c r="G293" s="107">
        <v>16628</v>
      </c>
      <c r="H293" s="109">
        <f t="shared" si="9"/>
        <v>6.3700049931155528E-3</v>
      </c>
    </row>
    <row r="294" spans="2:8" ht="14.25" customHeight="1" x14ac:dyDescent="0.3">
      <c r="B294" s="105" t="s">
        <v>536</v>
      </c>
      <c r="C294" s="105">
        <v>320.3</v>
      </c>
      <c r="D294" s="3">
        <f t="shared" si="8"/>
        <v>-8.0520284917930205E-3</v>
      </c>
      <c r="F294" s="106">
        <v>44715</v>
      </c>
      <c r="G294" s="107">
        <v>16584.30078125</v>
      </c>
      <c r="H294" s="110">
        <f t="shared" si="9"/>
        <v>-2.6280502014674042E-3</v>
      </c>
    </row>
    <row r="295" spans="2:8" ht="14.25" customHeight="1" x14ac:dyDescent="0.3">
      <c r="B295" s="105" t="s">
        <v>537</v>
      </c>
      <c r="C295" s="105">
        <v>318.7</v>
      </c>
      <c r="D295" s="3">
        <f t="shared" si="8"/>
        <v>-4.9953168904153062E-3</v>
      </c>
      <c r="F295" s="106">
        <v>44718</v>
      </c>
      <c r="G295" s="107">
        <v>16569.55078125</v>
      </c>
      <c r="H295" s="109">
        <f t="shared" si="9"/>
        <v>-8.893953501299351E-4</v>
      </c>
    </row>
    <row r="296" spans="2:8" ht="14.25" customHeight="1" x14ac:dyDescent="0.3">
      <c r="B296" s="105" t="s">
        <v>538</v>
      </c>
      <c r="C296" s="105">
        <v>316.75</v>
      </c>
      <c r="D296" s="3">
        <f t="shared" si="8"/>
        <v>-6.1186068402886377E-3</v>
      </c>
      <c r="F296" s="106">
        <v>44719</v>
      </c>
      <c r="G296" s="107">
        <v>16416.349609375</v>
      </c>
      <c r="H296" s="110">
        <f t="shared" si="9"/>
        <v>-9.2459460064760173E-3</v>
      </c>
    </row>
    <row r="297" spans="2:8" ht="14.25" customHeight="1" x14ac:dyDescent="0.3">
      <c r="B297" s="105" t="s">
        <v>539</v>
      </c>
      <c r="C297" s="105">
        <v>320.55</v>
      </c>
      <c r="D297" s="3">
        <f t="shared" si="8"/>
        <v>1.1996842936069492E-2</v>
      </c>
      <c r="F297" s="106">
        <v>44720</v>
      </c>
      <c r="G297" s="107">
        <v>16356.25</v>
      </c>
      <c r="H297" s="109">
        <f t="shared" si="9"/>
        <v>-3.6609606157923498E-3</v>
      </c>
    </row>
    <row r="298" spans="2:8" ht="14.25" customHeight="1" x14ac:dyDescent="0.3">
      <c r="B298" s="105" t="s">
        <v>540</v>
      </c>
      <c r="C298" s="105">
        <v>337.15</v>
      </c>
      <c r="D298" s="3">
        <f t="shared" si="8"/>
        <v>5.1785992824832212E-2</v>
      </c>
      <c r="F298" s="106">
        <v>44721</v>
      </c>
      <c r="G298" s="107">
        <v>16478.099609375</v>
      </c>
      <c r="H298" s="110">
        <f t="shared" si="9"/>
        <v>7.4497277416889565E-3</v>
      </c>
    </row>
    <row r="299" spans="2:8" ht="14.25" customHeight="1" x14ac:dyDescent="0.3">
      <c r="B299" s="105" t="s">
        <v>541</v>
      </c>
      <c r="C299" s="105">
        <v>339</v>
      </c>
      <c r="D299" s="3">
        <f t="shared" si="8"/>
        <v>5.4871718819517216E-3</v>
      </c>
      <c r="F299" s="106">
        <v>44722</v>
      </c>
      <c r="G299" s="107">
        <v>16201.7998046875</v>
      </c>
      <c r="H299" s="109">
        <f t="shared" si="9"/>
        <v>-1.6767698414100061E-2</v>
      </c>
    </row>
    <row r="300" spans="2:8" ht="14.25" customHeight="1" x14ac:dyDescent="0.3">
      <c r="B300" s="105" t="s">
        <v>542</v>
      </c>
      <c r="C300" s="105">
        <v>331.05</v>
      </c>
      <c r="D300" s="3">
        <f t="shared" si="8"/>
        <v>-2.3451327433628284E-2</v>
      </c>
      <c r="F300" s="106">
        <v>44725</v>
      </c>
      <c r="G300" s="107">
        <v>15774.400390625</v>
      </c>
      <c r="H300" s="110">
        <f t="shared" si="9"/>
        <v>-2.6379749115209097E-2</v>
      </c>
    </row>
    <row r="301" spans="2:8" ht="14.25" customHeight="1" x14ac:dyDescent="0.3">
      <c r="B301" s="105" t="s">
        <v>543</v>
      </c>
      <c r="C301" s="105">
        <v>326.45</v>
      </c>
      <c r="D301" s="3">
        <f t="shared" si="8"/>
        <v>-1.3895181996677308E-2</v>
      </c>
      <c r="F301" s="106">
        <v>44726</v>
      </c>
      <c r="G301" s="107">
        <v>15732.099609375</v>
      </c>
      <c r="H301" s="109">
        <f t="shared" si="9"/>
        <v>-2.6816094559854137E-3</v>
      </c>
    </row>
    <row r="302" spans="2:8" ht="14.25" customHeight="1" x14ac:dyDescent="0.3">
      <c r="B302" s="105" t="s">
        <v>544</v>
      </c>
      <c r="C302" s="105">
        <v>325.5</v>
      </c>
      <c r="D302" s="3">
        <f t="shared" si="8"/>
        <v>-2.9100934293153275E-3</v>
      </c>
      <c r="F302" s="106">
        <v>44727</v>
      </c>
      <c r="G302" s="107">
        <v>15692.150390625</v>
      </c>
      <c r="H302" s="110">
        <f t="shared" si="9"/>
        <v>-2.5393443813560425E-3</v>
      </c>
    </row>
    <row r="303" spans="2:8" ht="14.25" customHeight="1" x14ac:dyDescent="0.3">
      <c r="B303" s="105" t="s">
        <v>545</v>
      </c>
      <c r="C303" s="105">
        <v>321.75</v>
      </c>
      <c r="D303" s="3">
        <f t="shared" si="8"/>
        <v>-1.1520737327188941E-2</v>
      </c>
      <c r="F303" s="106">
        <v>44728</v>
      </c>
      <c r="G303" s="107">
        <v>15360.599609375</v>
      </c>
      <c r="H303" s="109">
        <f t="shared" si="9"/>
        <v>-2.1128447854290206E-2</v>
      </c>
    </row>
    <row r="304" spans="2:8" ht="14.25" customHeight="1" x14ac:dyDescent="0.3">
      <c r="B304" s="105" t="s">
        <v>546</v>
      </c>
      <c r="C304" s="105">
        <v>314.10000000000002</v>
      </c>
      <c r="D304" s="3">
        <f t="shared" si="8"/>
        <v>-2.3776223776223706E-2</v>
      </c>
      <c r="F304" s="106">
        <v>44729</v>
      </c>
      <c r="G304" s="107">
        <v>15293.5</v>
      </c>
      <c r="H304" s="110">
        <f t="shared" si="9"/>
        <v>-4.3682936266398898E-3</v>
      </c>
    </row>
    <row r="305" spans="2:8" ht="14.25" customHeight="1" x14ac:dyDescent="0.3">
      <c r="B305" s="105" t="s">
        <v>547</v>
      </c>
      <c r="C305" s="105">
        <v>316.10000000000002</v>
      </c>
      <c r="D305" s="3">
        <f t="shared" si="8"/>
        <v>6.3673989175421835E-3</v>
      </c>
      <c r="F305" s="106">
        <v>44732</v>
      </c>
      <c r="G305" s="107">
        <v>15350.150390625</v>
      </c>
      <c r="H305" s="109">
        <f t="shared" si="9"/>
        <v>3.7042135956452085E-3</v>
      </c>
    </row>
    <row r="306" spans="2:8" ht="14.25" customHeight="1" x14ac:dyDescent="0.3">
      <c r="B306" s="105" t="s">
        <v>548</v>
      </c>
      <c r="C306" s="105">
        <v>325</v>
      </c>
      <c r="D306" s="3">
        <f t="shared" si="8"/>
        <v>2.8155646947168544E-2</v>
      </c>
      <c r="F306" s="106">
        <v>44733</v>
      </c>
      <c r="G306" s="107">
        <v>15638.7998046875</v>
      </c>
      <c r="H306" s="110">
        <f t="shared" si="9"/>
        <v>1.8804337854487124E-2</v>
      </c>
    </row>
    <row r="307" spans="2:8" ht="14.25" customHeight="1" x14ac:dyDescent="0.3">
      <c r="B307" s="105" t="s">
        <v>549</v>
      </c>
      <c r="C307" s="105">
        <v>314</v>
      </c>
      <c r="D307" s="3">
        <f t="shared" si="8"/>
        <v>-3.3846153846153845E-2</v>
      </c>
      <c r="F307" s="106">
        <v>44734</v>
      </c>
      <c r="G307" s="107">
        <v>15413.2998046875</v>
      </c>
      <c r="H307" s="109">
        <f t="shared" si="9"/>
        <v>-1.4419265085317462E-2</v>
      </c>
    </row>
    <row r="308" spans="2:8" ht="14.25" customHeight="1" x14ac:dyDescent="0.3">
      <c r="B308" s="105" t="s">
        <v>550</v>
      </c>
      <c r="C308" s="105">
        <v>326.64999999999998</v>
      </c>
      <c r="D308" s="3">
        <f t="shared" si="8"/>
        <v>4.0286624203821585E-2</v>
      </c>
      <c r="F308" s="106">
        <v>44735</v>
      </c>
      <c r="G308" s="107">
        <v>15556.650390625</v>
      </c>
      <c r="H308" s="110">
        <f t="shared" si="9"/>
        <v>9.3004475196092756E-3</v>
      </c>
    </row>
    <row r="309" spans="2:8" ht="14.25" customHeight="1" x14ac:dyDescent="0.3">
      <c r="B309" s="105" t="s">
        <v>551</v>
      </c>
      <c r="C309" s="105">
        <v>326.95</v>
      </c>
      <c r="D309" s="3">
        <f t="shared" si="8"/>
        <v>9.1841420480640252E-4</v>
      </c>
      <c r="F309" s="106">
        <v>44736</v>
      </c>
      <c r="G309" s="107">
        <v>15699.25</v>
      </c>
      <c r="H309" s="109">
        <f t="shared" si="9"/>
        <v>9.1664725885294493E-3</v>
      </c>
    </row>
    <row r="310" spans="2:8" ht="14.25" customHeight="1" x14ac:dyDescent="0.3">
      <c r="B310" s="105" t="s">
        <v>552</v>
      </c>
      <c r="C310" s="105">
        <v>319.95</v>
      </c>
      <c r="D310" s="3">
        <f t="shared" si="8"/>
        <v>-2.1410001529285825E-2</v>
      </c>
      <c r="F310" s="106">
        <v>44739</v>
      </c>
      <c r="G310" s="107">
        <v>15832.0498046875</v>
      </c>
      <c r="H310" s="110">
        <f t="shared" si="9"/>
        <v>8.4589903777250505E-3</v>
      </c>
    </row>
    <row r="311" spans="2:8" ht="14.25" customHeight="1" x14ac:dyDescent="0.3">
      <c r="B311" s="105" t="s">
        <v>553</v>
      </c>
      <c r="C311" s="105">
        <v>315.95</v>
      </c>
      <c r="D311" s="3">
        <f t="shared" si="8"/>
        <v>-1.2501953430223473E-2</v>
      </c>
      <c r="F311" s="106">
        <v>44740</v>
      </c>
      <c r="G311" s="107">
        <v>15850.2001953125</v>
      </c>
      <c r="H311" s="109">
        <f t="shared" si="9"/>
        <v>1.14643339611186E-3</v>
      </c>
    </row>
    <row r="312" spans="2:8" ht="14.25" customHeight="1" x14ac:dyDescent="0.3">
      <c r="B312" s="105" t="s">
        <v>554</v>
      </c>
      <c r="C312" s="105">
        <v>310.2</v>
      </c>
      <c r="D312" s="3">
        <f t="shared" si="8"/>
        <v>-1.8199082133248931E-2</v>
      </c>
      <c r="F312" s="106">
        <v>44741</v>
      </c>
      <c r="G312" s="107">
        <v>15799.099609375</v>
      </c>
      <c r="H312" s="110">
        <f t="shared" si="9"/>
        <v>-3.2239710103227821E-3</v>
      </c>
    </row>
    <row r="313" spans="2:8" ht="14.25" customHeight="1" x14ac:dyDescent="0.3">
      <c r="B313" s="105" t="s">
        <v>555</v>
      </c>
      <c r="C313" s="105">
        <v>308.39999999999998</v>
      </c>
      <c r="D313" s="3">
        <f t="shared" si="8"/>
        <v>-5.8027079303675415E-3</v>
      </c>
      <c r="F313" s="106">
        <v>44742</v>
      </c>
      <c r="G313" s="107">
        <v>15780.25</v>
      </c>
      <c r="H313" s="109">
        <f t="shared" si="9"/>
        <v>-1.1930812414028243E-3</v>
      </c>
    </row>
    <row r="314" spans="2:8" ht="14.25" customHeight="1" x14ac:dyDescent="0.3">
      <c r="B314" s="105" t="s">
        <v>556</v>
      </c>
      <c r="C314" s="105">
        <v>311.55</v>
      </c>
      <c r="D314" s="3">
        <f t="shared" si="8"/>
        <v>1.0214007782101278E-2</v>
      </c>
      <c r="F314" s="106">
        <v>44743</v>
      </c>
      <c r="G314" s="107">
        <v>15752.0498046875</v>
      </c>
      <c r="H314" s="110">
        <f t="shared" si="9"/>
        <v>-1.7870563085185596E-3</v>
      </c>
    </row>
    <row r="315" spans="2:8" ht="14.25" customHeight="1" x14ac:dyDescent="0.3">
      <c r="B315" s="105" t="s">
        <v>557</v>
      </c>
      <c r="C315" s="105">
        <v>311.3</v>
      </c>
      <c r="D315" s="3">
        <f t="shared" si="8"/>
        <v>-8.0243941582410524E-4</v>
      </c>
      <c r="F315" s="106">
        <v>44746</v>
      </c>
      <c r="G315" s="107">
        <v>15835.349609375</v>
      </c>
      <c r="H315" s="109">
        <f t="shared" si="9"/>
        <v>5.288188249805534E-3</v>
      </c>
    </row>
    <row r="316" spans="2:8" ht="14.25" customHeight="1" x14ac:dyDescent="0.3">
      <c r="B316" s="105" t="s">
        <v>558</v>
      </c>
      <c r="C316" s="105">
        <v>313.55</v>
      </c>
      <c r="D316" s="3">
        <f t="shared" si="8"/>
        <v>7.227754577577899E-3</v>
      </c>
      <c r="F316" s="106">
        <v>44747</v>
      </c>
      <c r="G316" s="107">
        <v>15810.849609375</v>
      </c>
      <c r="H316" s="110">
        <f t="shared" si="9"/>
        <v>-1.5471713984448608E-3</v>
      </c>
    </row>
    <row r="317" spans="2:8" ht="14.25" customHeight="1" x14ac:dyDescent="0.3">
      <c r="B317" s="105" t="s">
        <v>559</v>
      </c>
      <c r="C317" s="105">
        <v>321</v>
      </c>
      <c r="D317" s="3">
        <f t="shared" si="8"/>
        <v>2.3760165842768261E-2</v>
      </c>
      <c r="F317" s="106">
        <v>44748</v>
      </c>
      <c r="G317" s="107">
        <v>15989.7998046875</v>
      </c>
      <c r="H317" s="109">
        <f t="shared" si="9"/>
        <v>1.1318189707300232E-2</v>
      </c>
    </row>
    <row r="318" spans="2:8" ht="14.25" customHeight="1" x14ac:dyDescent="0.3">
      <c r="B318" s="105" t="s">
        <v>560</v>
      </c>
      <c r="C318" s="105">
        <v>321.39999999999998</v>
      </c>
      <c r="D318" s="3">
        <f t="shared" si="8"/>
        <v>1.2461059190030444E-3</v>
      </c>
      <c r="F318" s="106">
        <v>44749</v>
      </c>
      <c r="G318" s="107">
        <v>16132.900390625</v>
      </c>
      <c r="H318" s="110">
        <f t="shared" si="9"/>
        <v>8.9494920315105666E-3</v>
      </c>
    </row>
    <row r="319" spans="2:8" ht="14.25" customHeight="1" x14ac:dyDescent="0.3">
      <c r="B319" s="105" t="s">
        <v>561</v>
      </c>
      <c r="C319" s="105">
        <v>322.8</v>
      </c>
      <c r="D319" s="3">
        <f t="shared" si="8"/>
        <v>4.3559427504668144E-3</v>
      </c>
      <c r="F319" s="106">
        <v>44750</v>
      </c>
      <c r="G319" s="107">
        <v>16220.599609375</v>
      </c>
      <c r="H319" s="109">
        <f t="shared" si="9"/>
        <v>5.436047866567313E-3</v>
      </c>
    </row>
    <row r="320" spans="2:8" ht="14.25" customHeight="1" x14ac:dyDescent="0.3">
      <c r="B320" s="105" t="s">
        <v>562</v>
      </c>
      <c r="C320" s="105">
        <v>328.9</v>
      </c>
      <c r="D320" s="3">
        <f t="shared" si="8"/>
        <v>1.8897149938042025E-2</v>
      </c>
      <c r="F320" s="106">
        <v>44753</v>
      </c>
      <c r="G320" s="107">
        <v>16216</v>
      </c>
      <c r="H320" s="110">
        <f t="shared" si="9"/>
        <v>-2.8356592763325282E-4</v>
      </c>
    </row>
    <row r="321" spans="2:8" ht="14.25" customHeight="1" x14ac:dyDescent="0.3">
      <c r="B321" s="105" t="s">
        <v>563</v>
      </c>
      <c r="C321" s="105">
        <v>324.45</v>
      </c>
      <c r="D321" s="3">
        <f t="shared" si="8"/>
        <v>-1.3529948312556975E-2</v>
      </c>
      <c r="F321" s="106">
        <v>44754</v>
      </c>
      <c r="G321" s="107">
        <v>16058.2998046875</v>
      </c>
      <c r="H321" s="109">
        <f t="shared" si="9"/>
        <v>-9.7249750439380861E-3</v>
      </c>
    </row>
    <row r="322" spans="2:8" ht="14.25" customHeight="1" x14ac:dyDescent="0.3">
      <c r="B322" s="105" t="s">
        <v>564</v>
      </c>
      <c r="C322" s="105">
        <v>329.1</v>
      </c>
      <c r="D322" s="3">
        <f t="shared" si="8"/>
        <v>1.4331946370781428E-2</v>
      </c>
      <c r="F322" s="106">
        <v>44755</v>
      </c>
      <c r="G322" s="107">
        <v>15966.650390625</v>
      </c>
      <c r="H322" s="110">
        <f t="shared" si="9"/>
        <v>-5.707292501522924E-3</v>
      </c>
    </row>
    <row r="323" spans="2:8" ht="14.25" customHeight="1" x14ac:dyDescent="0.3">
      <c r="B323" s="105" t="s">
        <v>565</v>
      </c>
      <c r="C323" s="105">
        <v>331.9</v>
      </c>
      <c r="D323" s="3">
        <f t="shared" si="8"/>
        <v>8.5080522637494809E-3</v>
      </c>
      <c r="F323" s="106">
        <v>44756</v>
      </c>
      <c r="G323" s="107">
        <v>15938.650390625</v>
      </c>
      <c r="H323" s="109">
        <f t="shared" si="9"/>
        <v>-1.7536552323109999E-3</v>
      </c>
    </row>
    <row r="324" spans="2:8" ht="14.25" customHeight="1" x14ac:dyDescent="0.3">
      <c r="B324" s="105" t="s">
        <v>566</v>
      </c>
      <c r="C324" s="105">
        <v>332.4</v>
      </c>
      <c r="D324" s="3">
        <f t="shared" si="8"/>
        <v>1.5064778547755348E-3</v>
      </c>
      <c r="F324" s="106">
        <v>44757</v>
      </c>
      <c r="G324" s="107">
        <v>16049.2001953125</v>
      </c>
      <c r="H324" s="110">
        <f t="shared" si="9"/>
        <v>6.9359576863875878E-3</v>
      </c>
    </row>
    <row r="325" spans="2:8" ht="14.25" customHeight="1" x14ac:dyDescent="0.3">
      <c r="B325" s="105" t="s">
        <v>567</v>
      </c>
      <c r="C325" s="105">
        <v>332.45</v>
      </c>
      <c r="D325" s="3">
        <f t="shared" ref="D325:D388" si="10">(C325-C324)/C324</f>
        <v>1.5042117930207994E-4</v>
      </c>
      <c r="F325" s="106">
        <v>44760</v>
      </c>
      <c r="G325" s="107">
        <v>16278.5</v>
      </c>
      <c r="H325" s="109">
        <f t="shared" ref="H325:H388" si="11">(G325-G324)/G324</f>
        <v>1.4287304158276481E-2</v>
      </c>
    </row>
    <row r="326" spans="2:8" ht="14.25" customHeight="1" x14ac:dyDescent="0.3">
      <c r="B326" s="105" t="s">
        <v>568</v>
      </c>
      <c r="C326" s="105">
        <v>329.05</v>
      </c>
      <c r="D326" s="3">
        <f t="shared" si="10"/>
        <v>-1.0227101819822462E-2</v>
      </c>
      <c r="F326" s="106">
        <v>44761</v>
      </c>
      <c r="G326" s="107">
        <v>16340.5498046875</v>
      </c>
      <c r="H326" s="110">
        <f t="shared" si="11"/>
        <v>3.8117642711244892E-3</v>
      </c>
    </row>
    <row r="327" spans="2:8" ht="14.25" customHeight="1" x14ac:dyDescent="0.3">
      <c r="B327" s="105" t="s">
        <v>569</v>
      </c>
      <c r="C327" s="105">
        <v>326.05</v>
      </c>
      <c r="D327" s="3">
        <f t="shared" si="10"/>
        <v>-9.1171554475003788E-3</v>
      </c>
      <c r="F327" s="106">
        <v>44762</v>
      </c>
      <c r="G327" s="107">
        <v>16520.849609375</v>
      </c>
      <c r="H327" s="109">
        <f t="shared" si="11"/>
        <v>1.1033888506969248E-2</v>
      </c>
    </row>
    <row r="328" spans="2:8" ht="14.25" customHeight="1" x14ac:dyDescent="0.3">
      <c r="B328" s="105" t="s">
        <v>570</v>
      </c>
      <c r="C328" s="105">
        <v>331.2</v>
      </c>
      <c r="D328" s="3">
        <f t="shared" si="10"/>
        <v>1.579512344732396E-2</v>
      </c>
      <c r="F328" s="106">
        <v>44763</v>
      </c>
      <c r="G328" s="107">
        <v>16605.25</v>
      </c>
      <c r="H328" s="110">
        <f t="shared" si="11"/>
        <v>5.1087197462959628E-3</v>
      </c>
    </row>
    <row r="329" spans="2:8" ht="14.25" customHeight="1" x14ac:dyDescent="0.3">
      <c r="B329" s="105" t="s">
        <v>571</v>
      </c>
      <c r="C329" s="105">
        <v>327.55</v>
      </c>
      <c r="D329" s="3">
        <f t="shared" si="10"/>
        <v>-1.1020531400966115E-2</v>
      </c>
      <c r="F329" s="106">
        <v>44764</v>
      </c>
      <c r="G329" s="107">
        <v>16719.44921875</v>
      </c>
      <c r="H329" s="109">
        <f t="shared" si="11"/>
        <v>6.8772959606148657E-3</v>
      </c>
    </row>
    <row r="330" spans="2:8" ht="14.25" customHeight="1" x14ac:dyDescent="0.3">
      <c r="B330" s="105" t="s">
        <v>572</v>
      </c>
      <c r="C330" s="105">
        <v>322.75</v>
      </c>
      <c r="D330" s="3">
        <f t="shared" si="10"/>
        <v>-1.4654251259349752E-2</v>
      </c>
      <c r="F330" s="106">
        <v>44767</v>
      </c>
      <c r="G330" s="107">
        <v>16631</v>
      </c>
      <c r="H330" s="110">
        <f t="shared" si="11"/>
        <v>-5.2901993117577557E-3</v>
      </c>
    </row>
    <row r="331" spans="2:8" ht="14.25" customHeight="1" x14ac:dyDescent="0.3">
      <c r="B331" s="105" t="s">
        <v>573</v>
      </c>
      <c r="C331" s="105">
        <v>318.25</v>
      </c>
      <c r="D331" s="3">
        <f t="shared" si="10"/>
        <v>-1.3942680092951201E-2</v>
      </c>
      <c r="F331" s="106">
        <v>44768</v>
      </c>
      <c r="G331" s="107">
        <v>16483.849609375</v>
      </c>
      <c r="H331" s="109">
        <f t="shared" si="11"/>
        <v>-8.8479580677650171E-3</v>
      </c>
    </row>
    <row r="332" spans="2:8" ht="14.25" customHeight="1" x14ac:dyDescent="0.3">
      <c r="B332" s="105" t="s">
        <v>574</v>
      </c>
      <c r="C332" s="105">
        <v>323.3</v>
      </c>
      <c r="D332" s="3">
        <f t="shared" si="10"/>
        <v>1.5868028279654396E-2</v>
      </c>
      <c r="F332" s="106">
        <v>44769</v>
      </c>
      <c r="G332" s="107">
        <v>16641.80078125</v>
      </c>
      <c r="H332" s="110">
        <f t="shared" si="11"/>
        <v>9.5821774414374099E-3</v>
      </c>
    </row>
    <row r="333" spans="2:8" ht="14.25" customHeight="1" x14ac:dyDescent="0.3">
      <c r="B333" s="105" t="s">
        <v>575</v>
      </c>
      <c r="C333" s="105">
        <v>306.75</v>
      </c>
      <c r="D333" s="3">
        <f t="shared" si="10"/>
        <v>-5.1190844416950237E-2</v>
      </c>
      <c r="F333" s="106">
        <v>44770</v>
      </c>
      <c r="G333" s="107">
        <v>16929.599609375</v>
      </c>
      <c r="H333" s="109">
        <f t="shared" si="11"/>
        <v>1.7293731123692903E-2</v>
      </c>
    </row>
    <row r="334" spans="2:8" ht="14.25" customHeight="1" x14ac:dyDescent="0.3">
      <c r="B334" s="105" t="s">
        <v>576</v>
      </c>
      <c r="C334" s="105">
        <v>307.2</v>
      </c>
      <c r="D334" s="3">
        <f t="shared" si="10"/>
        <v>1.4669926650366378E-3</v>
      </c>
      <c r="F334" s="106">
        <v>44771</v>
      </c>
      <c r="G334" s="107">
        <v>17158.25</v>
      </c>
      <c r="H334" s="110">
        <f t="shared" si="11"/>
        <v>1.3505953826479256E-2</v>
      </c>
    </row>
    <row r="335" spans="2:8" ht="14.25" customHeight="1" x14ac:dyDescent="0.3">
      <c r="B335" s="105" t="s">
        <v>577</v>
      </c>
      <c r="C335" s="105">
        <v>309.2</v>
      </c>
      <c r="D335" s="3">
        <f t="shared" si="10"/>
        <v>6.510416666666667E-3</v>
      </c>
      <c r="F335" s="106">
        <v>44774</v>
      </c>
      <c r="G335" s="107">
        <v>17340.05078125</v>
      </c>
      <c r="H335" s="109">
        <f t="shared" si="11"/>
        <v>1.059553166843938E-2</v>
      </c>
    </row>
    <row r="336" spans="2:8" ht="14.25" customHeight="1" x14ac:dyDescent="0.3">
      <c r="B336" s="105" t="s">
        <v>578</v>
      </c>
      <c r="C336" s="105">
        <v>311.10000000000002</v>
      </c>
      <c r="D336" s="3">
        <f t="shared" si="10"/>
        <v>6.1448900388099423E-3</v>
      </c>
      <c r="F336" s="106">
        <v>44775</v>
      </c>
      <c r="G336" s="107">
        <v>17345.44921875</v>
      </c>
      <c r="H336" s="110">
        <f t="shared" si="11"/>
        <v>3.1132766380577117E-4</v>
      </c>
    </row>
    <row r="337" spans="2:8" ht="14.25" customHeight="1" x14ac:dyDescent="0.3">
      <c r="B337" s="105" t="s">
        <v>579</v>
      </c>
      <c r="C337" s="105">
        <v>308.39999999999998</v>
      </c>
      <c r="D337" s="3">
        <f t="shared" si="10"/>
        <v>-8.6788813886211676E-3</v>
      </c>
      <c r="F337" s="106">
        <v>44776</v>
      </c>
      <c r="G337" s="107">
        <v>17388.150390625</v>
      </c>
      <c r="H337" s="109">
        <f t="shared" si="11"/>
        <v>2.4618083588657416E-3</v>
      </c>
    </row>
    <row r="338" spans="2:8" ht="14.25" customHeight="1" x14ac:dyDescent="0.3">
      <c r="B338" s="105" t="s">
        <v>580</v>
      </c>
      <c r="C338" s="105">
        <v>314</v>
      </c>
      <c r="D338" s="3">
        <f t="shared" si="10"/>
        <v>1.8158236057068816E-2</v>
      </c>
      <c r="F338" s="106">
        <v>44777</v>
      </c>
      <c r="G338" s="107">
        <v>17382</v>
      </c>
      <c r="H338" s="110">
        <f t="shared" si="11"/>
        <v>-3.537116074356043E-4</v>
      </c>
    </row>
    <row r="339" spans="2:8" ht="14.25" customHeight="1" x14ac:dyDescent="0.3">
      <c r="B339" s="105" t="s">
        <v>581</v>
      </c>
      <c r="C339" s="105">
        <v>313.3</v>
      </c>
      <c r="D339" s="3">
        <f t="shared" si="10"/>
        <v>-2.2292993630572888E-3</v>
      </c>
      <c r="F339" s="106">
        <v>44778</v>
      </c>
      <c r="G339" s="107">
        <v>17397.5</v>
      </c>
      <c r="H339" s="109">
        <f t="shared" si="11"/>
        <v>8.9172707398458174E-4</v>
      </c>
    </row>
    <row r="340" spans="2:8" ht="14.25" customHeight="1" x14ac:dyDescent="0.3">
      <c r="B340" s="105" t="s">
        <v>582</v>
      </c>
      <c r="C340" s="105">
        <v>313.7</v>
      </c>
      <c r="D340" s="3">
        <f t="shared" si="10"/>
        <v>1.2767315671879261E-3</v>
      </c>
      <c r="F340" s="106">
        <v>44781</v>
      </c>
      <c r="G340" s="107">
        <v>17525.099609375</v>
      </c>
      <c r="H340" s="110">
        <f t="shared" si="11"/>
        <v>7.3343646716482252E-3</v>
      </c>
    </row>
    <row r="341" spans="2:8" ht="14.25" customHeight="1" x14ac:dyDescent="0.3">
      <c r="B341" s="105" t="s">
        <v>583</v>
      </c>
      <c r="C341" s="105">
        <v>313.45</v>
      </c>
      <c r="D341" s="3">
        <f t="shared" si="10"/>
        <v>-7.9693975135479759E-4</v>
      </c>
      <c r="F341" s="106">
        <v>44783</v>
      </c>
      <c r="G341" s="107">
        <v>17534.75</v>
      </c>
      <c r="H341" s="109">
        <f t="shared" si="11"/>
        <v>5.5066109979982946E-4</v>
      </c>
    </row>
    <row r="342" spans="2:8" ht="14.25" customHeight="1" x14ac:dyDescent="0.3">
      <c r="B342" s="105" t="s">
        <v>584</v>
      </c>
      <c r="C342" s="105">
        <v>315.75</v>
      </c>
      <c r="D342" s="3">
        <f t="shared" si="10"/>
        <v>7.3376934120274731E-3</v>
      </c>
      <c r="F342" s="106">
        <v>44784</v>
      </c>
      <c r="G342" s="107">
        <v>17659</v>
      </c>
      <c r="H342" s="110">
        <f t="shared" si="11"/>
        <v>7.0859293688247619E-3</v>
      </c>
    </row>
    <row r="343" spans="2:8" ht="14.25" customHeight="1" x14ac:dyDescent="0.3">
      <c r="B343" s="105" t="s">
        <v>585</v>
      </c>
      <c r="C343" s="105">
        <v>311.14999999999998</v>
      </c>
      <c r="D343" s="3">
        <f t="shared" si="10"/>
        <v>-1.4568487727632693E-2</v>
      </c>
      <c r="F343" s="106">
        <v>44785</v>
      </c>
      <c r="G343" s="107">
        <v>17698.150390625</v>
      </c>
      <c r="H343" s="109">
        <f t="shared" si="11"/>
        <v>2.2170219505634522E-3</v>
      </c>
    </row>
    <row r="344" spans="2:8" ht="14.25" customHeight="1" x14ac:dyDescent="0.3">
      <c r="B344" s="105" t="s">
        <v>586</v>
      </c>
      <c r="C344" s="105">
        <v>317.35000000000002</v>
      </c>
      <c r="D344" s="3">
        <f t="shared" si="10"/>
        <v>1.9926080668488014E-2</v>
      </c>
      <c r="F344" s="106">
        <v>44789</v>
      </c>
      <c r="G344" s="107">
        <v>17825.25</v>
      </c>
      <c r="H344" s="110">
        <f t="shared" si="11"/>
        <v>7.18151934353133E-3</v>
      </c>
    </row>
    <row r="345" spans="2:8" ht="14.25" customHeight="1" x14ac:dyDescent="0.3">
      <c r="B345" s="105" t="s">
        <v>587</v>
      </c>
      <c r="C345" s="105">
        <v>317.5</v>
      </c>
      <c r="D345" s="3">
        <f t="shared" si="10"/>
        <v>4.7266425082709073E-4</v>
      </c>
      <c r="F345" s="106">
        <v>44790</v>
      </c>
      <c r="G345" s="107">
        <v>17944.25</v>
      </c>
      <c r="H345" s="109">
        <f t="shared" si="11"/>
        <v>6.675923198833116E-3</v>
      </c>
    </row>
    <row r="346" spans="2:8" ht="14.25" customHeight="1" x14ac:dyDescent="0.3">
      <c r="B346" s="105" t="s">
        <v>588</v>
      </c>
      <c r="C346" s="105">
        <v>315</v>
      </c>
      <c r="D346" s="3">
        <f t="shared" si="10"/>
        <v>-7.874015748031496E-3</v>
      </c>
      <c r="F346" s="106">
        <v>44791</v>
      </c>
      <c r="G346" s="107">
        <v>17956.5</v>
      </c>
      <c r="H346" s="110">
        <f t="shared" si="11"/>
        <v>6.8266993605193866E-4</v>
      </c>
    </row>
    <row r="347" spans="2:8" ht="14.25" customHeight="1" x14ac:dyDescent="0.3">
      <c r="B347" s="105" t="s">
        <v>589</v>
      </c>
      <c r="C347" s="105">
        <v>308.14999999999998</v>
      </c>
      <c r="D347" s="3">
        <f t="shared" si="10"/>
        <v>-2.1746031746031819E-2</v>
      </c>
      <c r="F347" s="106">
        <v>44792</v>
      </c>
      <c r="G347" s="107">
        <v>17758.44921875</v>
      </c>
      <c r="H347" s="109">
        <f t="shared" si="11"/>
        <v>-1.1029475746944004E-2</v>
      </c>
    </row>
    <row r="348" spans="2:8" ht="14.25" customHeight="1" x14ac:dyDescent="0.3">
      <c r="B348" s="105" t="s">
        <v>590</v>
      </c>
      <c r="C348" s="105">
        <v>305.5</v>
      </c>
      <c r="D348" s="3">
        <f t="shared" si="10"/>
        <v>-8.5997079344474359E-3</v>
      </c>
      <c r="F348" s="106">
        <v>44795</v>
      </c>
      <c r="G348" s="107">
        <v>17490.69921875</v>
      </c>
      <c r="H348" s="110">
        <f t="shared" si="11"/>
        <v>-1.5077330047338822E-2</v>
      </c>
    </row>
    <row r="349" spans="2:8" ht="14.25" customHeight="1" x14ac:dyDescent="0.3">
      <c r="B349" s="105" t="s">
        <v>591</v>
      </c>
      <c r="C349" s="105">
        <v>306.95</v>
      </c>
      <c r="D349" s="3">
        <f t="shared" si="10"/>
        <v>4.746317512274922E-3</v>
      </c>
      <c r="F349" s="106">
        <v>44796</v>
      </c>
      <c r="G349" s="107">
        <v>17577.5</v>
      </c>
      <c r="H349" s="109">
        <f t="shared" si="11"/>
        <v>4.9626821755044369E-3</v>
      </c>
    </row>
    <row r="350" spans="2:8" ht="14.25" customHeight="1" x14ac:dyDescent="0.3">
      <c r="B350" s="105" t="s">
        <v>592</v>
      </c>
      <c r="C350" s="105">
        <v>306.8</v>
      </c>
      <c r="D350" s="3">
        <f t="shared" si="10"/>
        <v>-4.886789379377008E-4</v>
      </c>
      <c r="F350" s="106">
        <v>44797</v>
      </c>
      <c r="G350" s="107">
        <v>17604.94921875</v>
      </c>
      <c r="H350" s="110">
        <f t="shared" si="11"/>
        <v>1.5616110795050491E-3</v>
      </c>
    </row>
    <row r="351" spans="2:8" ht="14.25" customHeight="1" x14ac:dyDescent="0.3">
      <c r="B351" s="105" t="s">
        <v>593</v>
      </c>
      <c r="C351" s="105">
        <v>306.5</v>
      </c>
      <c r="D351" s="3">
        <f t="shared" si="10"/>
        <v>-9.7783572359847241E-4</v>
      </c>
      <c r="F351" s="106">
        <v>44798</v>
      </c>
      <c r="G351" s="107">
        <v>17522.44921875</v>
      </c>
      <c r="H351" s="109">
        <f t="shared" si="11"/>
        <v>-4.686182219266732E-3</v>
      </c>
    </row>
    <row r="352" spans="2:8" ht="14.25" customHeight="1" x14ac:dyDescent="0.3">
      <c r="B352" s="105" t="s">
        <v>594</v>
      </c>
      <c r="C352" s="105">
        <v>306.75</v>
      </c>
      <c r="D352" s="3">
        <f t="shared" si="10"/>
        <v>8.1566068515497557E-4</v>
      </c>
      <c r="F352" s="106">
        <v>44799</v>
      </c>
      <c r="G352" s="107">
        <v>17558.900390625</v>
      </c>
      <c r="H352" s="110">
        <f t="shared" si="11"/>
        <v>2.0802555293466174E-3</v>
      </c>
    </row>
    <row r="353" spans="2:8" ht="14.25" customHeight="1" x14ac:dyDescent="0.3">
      <c r="B353" s="105" t="s">
        <v>595</v>
      </c>
      <c r="C353" s="105">
        <v>303.5</v>
      </c>
      <c r="D353" s="3">
        <f t="shared" si="10"/>
        <v>-1.0594947025264874E-2</v>
      </c>
      <c r="F353" s="106">
        <v>44802</v>
      </c>
      <c r="G353" s="107">
        <v>17312.900390625</v>
      </c>
      <c r="H353" s="109">
        <f t="shared" si="11"/>
        <v>-1.400998892455382E-2</v>
      </c>
    </row>
    <row r="354" spans="2:8" ht="14.25" customHeight="1" x14ac:dyDescent="0.3">
      <c r="B354" s="105" t="s">
        <v>596</v>
      </c>
      <c r="C354" s="105">
        <v>309.89999999999998</v>
      </c>
      <c r="D354" s="3">
        <f t="shared" si="10"/>
        <v>2.1087314662273402E-2</v>
      </c>
      <c r="F354" s="106">
        <v>44803</v>
      </c>
      <c r="G354" s="107">
        <v>17759.30078125</v>
      </c>
      <c r="H354" s="110">
        <f t="shared" si="11"/>
        <v>2.5784263789025638E-2</v>
      </c>
    </row>
    <row r="355" spans="2:8" ht="14.25" customHeight="1" x14ac:dyDescent="0.3">
      <c r="B355" s="105" t="s">
        <v>597</v>
      </c>
      <c r="C355" s="105">
        <v>301.60000000000002</v>
      </c>
      <c r="D355" s="3">
        <f t="shared" si="10"/>
        <v>-2.678283317199082E-2</v>
      </c>
      <c r="F355" s="106">
        <v>44805</v>
      </c>
      <c r="G355" s="107">
        <v>17542.80078125</v>
      </c>
      <c r="H355" s="109">
        <f t="shared" si="11"/>
        <v>-1.2190795272107639E-2</v>
      </c>
    </row>
    <row r="356" spans="2:8" ht="14.25" customHeight="1" x14ac:dyDescent="0.3">
      <c r="B356" s="105" t="s">
        <v>598</v>
      </c>
      <c r="C356" s="105">
        <v>295.60000000000002</v>
      </c>
      <c r="D356" s="3">
        <f t="shared" si="10"/>
        <v>-1.9893899204244031E-2</v>
      </c>
      <c r="F356" s="106">
        <v>44806</v>
      </c>
      <c r="G356" s="107">
        <v>17539.44921875</v>
      </c>
      <c r="H356" s="110">
        <f t="shared" si="11"/>
        <v>-1.9105059344812252E-4</v>
      </c>
    </row>
    <row r="357" spans="2:8" ht="14.25" customHeight="1" x14ac:dyDescent="0.3">
      <c r="B357" s="105" t="s">
        <v>599</v>
      </c>
      <c r="C357" s="105">
        <v>292.8</v>
      </c>
      <c r="D357" s="3">
        <f t="shared" si="10"/>
        <v>-9.4722598105548422E-3</v>
      </c>
      <c r="F357" s="106">
        <v>44809</v>
      </c>
      <c r="G357" s="107">
        <v>17665.80078125</v>
      </c>
      <c r="H357" s="109">
        <f t="shared" si="11"/>
        <v>7.2038500710117975E-3</v>
      </c>
    </row>
    <row r="358" spans="2:8" ht="14.25" customHeight="1" x14ac:dyDescent="0.3">
      <c r="B358" s="105" t="s">
        <v>600</v>
      </c>
      <c r="C358" s="105">
        <v>292.39999999999998</v>
      </c>
      <c r="D358" s="3">
        <f t="shared" si="10"/>
        <v>-1.3661202185793514E-3</v>
      </c>
      <c r="F358" s="106">
        <v>44810</v>
      </c>
      <c r="G358" s="107">
        <v>17655.599609375</v>
      </c>
      <c r="H358" s="110">
        <f t="shared" si="11"/>
        <v>-5.7745312546642362E-4</v>
      </c>
    </row>
    <row r="359" spans="2:8" ht="14.25" customHeight="1" x14ac:dyDescent="0.3">
      <c r="B359" s="105" t="s">
        <v>601</v>
      </c>
      <c r="C359" s="105">
        <v>302.2</v>
      </c>
      <c r="D359" s="3">
        <f t="shared" si="10"/>
        <v>3.3515731874145048E-2</v>
      </c>
      <c r="F359" s="106">
        <v>44811</v>
      </c>
      <c r="G359" s="107">
        <v>17624.400390625</v>
      </c>
      <c r="H359" s="109">
        <f t="shared" si="11"/>
        <v>-1.7671004916442166E-3</v>
      </c>
    </row>
    <row r="360" spans="2:8" ht="14.25" customHeight="1" x14ac:dyDescent="0.3">
      <c r="B360" s="105" t="s">
        <v>602</v>
      </c>
      <c r="C360" s="105">
        <v>300.2</v>
      </c>
      <c r="D360" s="3">
        <f t="shared" si="10"/>
        <v>-6.6181336863004635E-3</v>
      </c>
      <c r="F360" s="106">
        <v>44812</v>
      </c>
      <c r="G360" s="107">
        <v>17798.75</v>
      </c>
      <c r="H360" s="110">
        <f t="shared" si="11"/>
        <v>9.8925129655895866E-3</v>
      </c>
    </row>
    <row r="361" spans="2:8" ht="14.25" customHeight="1" x14ac:dyDescent="0.3">
      <c r="B361" s="105" t="s">
        <v>603</v>
      </c>
      <c r="C361" s="105">
        <v>302.14999999999998</v>
      </c>
      <c r="D361" s="3">
        <f t="shared" si="10"/>
        <v>6.4956695536308754E-3</v>
      </c>
      <c r="F361" s="106">
        <v>44813</v>
      </c>
      <c r="G361" s="107">
        <v>17833.349609375</v>
      </c>
      <c r="H361" s="109">
        <f t="shared" si="11"/>
        <v>1.943934791769085E-3</v>
      </c>
    </row>
    <row r="362" spans="2:8" ht="14.25" customHeight="1" x14ac:dyDescent="0.3">
      <c r="B362" s="105" t="s">
        <v>604</v>
      </c>
      <c r="C362" s="105">
        <v>303.55</v>
      </c>
      <c r="D362" s="3">
        <f t="shared" si="10"/>
        <v>4.6334602018865932E-3</v>
      </c>
      <c r="F362" s="106">
        <v>44816</v>
      </c>
      <c r="G362" s="107">
        <v>17936.349609375</v>
      </c>
      <c r="H362" s="110">
        <f t="shared" si="11"/>
        <v>5.77569566324505E-3</v>
      </c>
    </row>
    <row r="363" spans="2:8" ht="14.25" customHeight="1" x14ac:dyDescent="0.3">
      <c r="B363" s="105" t="s">
        <v>605</v>
      </c>
      <c r="C363" s="105">
        <v>303.39999999999998</v>
      </c>
      <c r="D363" s="3">
        <f t="shared" si="10"/>
        <v>-4.9415252841388273E-4</v>
      </c>
      <c r="F363" s="106">
        <v>44817</v>
      </c>
      <c r="G363" s="107">
        <v>18070.05078125</v>
      </c>
      <c r="H363" s="109">
        <f t="shared" si="11"/>
        <v>7.4542019299800475E-3</v>
      </c>
    </row>
    <row r="364" spans="2:8" ht="14.25" customHeight="1" x14ac:dyDescent="0.3">
      <c r="B364" s="105" t="s">
        <v>606</v>
      </c>
      <c r="C364" s="105">
        <v>305.25</v>
      </c>
      <c r="D364" s="3">
        <f t="shared" si="10"/>
        <v>6.0975609756098318E-3</v>
      </c>
      <c r="F364" s="106">
        <v>44818</v>
      </c>
      <c r="G364" s="107">
        <v>18003.75</v>
      </c>
      <c r="H364" s="110">
        <f t="shared" si="11"/>
        <v>-3.6690976717561625E-3</v>
      </c>
    </row>
    <row r="365" spans="2:8" ht="14.25" customHeight="1" x14ac:dyDescent="0.3">
      <c r="B365" s="105" t="s">
        <v>607</v>
      </c>
      <c r="C365" s="105">
        <v>299.45</v>
      </c>
      <c r="D365" s="3">
        <f t="shared" si="10"/>
        <v>-1.9000819000819038E-2</v>
      </c>
      <c r="F365" s="106">
        <v>44819</v>
      </c>
      <c r="G365" s="107">
        <v>17877.400390625</v>
      </c>
      <c r="H365" s="109">
        <f t="shared" si="11"/>
        <v>-7.0179606679164064E-3</v>
      </c>
    </row>
    <row r="366" spans="2:8" ht="14.25" customHeight="1" x14ac:dyDescent="0.3">
      <c r="B366" s="105" t="s">
        <v>608</v>
      </c>
      <c r="C366" s="105">
        <v>291.25</v>
      </c>
      <c r="D366" s="3">
        <f t="shared" si="10"/>
        <v>-2.7383536483553145E-2</v>
      </c>
      <c r="F366" s="106">
        <v>44820</v>
      </c>
      <c r="G366" s="107">
        <v>17530.849609375</v>
      </c>
      <c r="H366" s="110">
        <f t="shared" si="11"/>
        <v>-1.9384853148544628E-2</v>
      </c>
    </row>
    <row r="367" spans="2:8" ht="14.25" customHeight="1" x14ac:dyDescent="0.3">
      <c r="B367" s="105" t="s">
        <v>609</v>
      </c>
      <c r="C367" s="105">
        <v>290</v>
      </c>
      <c r="D367" s="3">
        <f t="shared" si="10"/>
        <v>-4.2918454935622317E-3</v>
      </c>
      <c r="F367" s="106">
        <v>44823</v>
      </c>
      <c r="G367" s="107">
        <v>17622.25</v>
      </c>
      <c r="H367" s="109">
        <f t="shared" si="11"/>
        <v>5.2136885924867933E-3</v>
      </c>
    </row>
    <row r="368" spans="2:8" ht="14.25" customHeight="1" x14ac:dyDescent="0.3">
      <c r="B368" s="105" t="s">
        <v>610</v>
      </c>
      <c r="C368" s="105">
        <v>298.55</v>
      </c>
      <c r="D368" s="3">
        <f t="shared" si="10"/>
        <v>2.9482758620689695E-2</v>
      </c>
      <c r="F368" s="106">
        <v>44824</v>
      </c>
      <c r="G368" s="107">
        <v>17816.25</v>
      </c>
      <c r="H368" s="110">
        <f t="shared" si="11"/>
        <v>1.1008809885230319E-2</v>
      </c>
    </row>
    <row r="369" spans="2:8" ht="14.25" customHeight="1" x14ac:dyDescent="0.3">
      <c r="B369" s="105" t="s">
        <v>611</v>
      </c>
      <c r="C369" s="105">
        <v>289.35000000000002</v>
      </c>
      <c r="D369" s="3">
        <f t="shared" si="10"/>
        <v>-3.0815608775749417E-2</v>
      </c>
      <c r="F369" s="106">
        <v>44825</v>
      </c>
      <c r="G369" s="107">
        <v>17718.349609375</v>
      </c>
      <c r="H369" s="109">
        <f t="shared" si="11"/>
        <v>-5.4950054374517648E-3</v>
      </c>
    </row>
    <row r="370" spans="2:8" ht="14.25" customHeight="1" x14ac:dyDescent="0.3">
      <c r="B370" s="105" t="s">
        <v>612</v>
      </c>
      <c r="C370" s="105">
        <v>289.5</v>
      </c>
      <c r="D370" s="3">
        <f t="shared" si="10"/>
        <v>5.1840331778115519E-4</v>
      </c>
      <c r="F370" s="106">
        <v>44826</v>
      </c>
      <c r="G370" s="107">
        <v>17629.80078125</v>
      </c>
      <c r="H370" s="110">
        <f t="shared" si="11"/>
        <v>-4.9975776569025207E-3</v>
      </c>
    </row>
    <row r="371" spans="2:8" ht="14.25" customHeight="1" x14ac:dyDescent="0.3">
      <c r="B371" s="105" t="s">
        <v>613</v>
      </c>
      <c r="C371" s="105">
        <v>283.8</v>
      </c>
      <c r="D371" s="3">
        <f t="shared" si="10"/>
        <v>-1.9689119170984416E-2</v>
      </c>
      <c r="F371" s="106">
        <v>44827</v>
      </c>
      <c r="G371" s="107">
        <v>17327.349609375</v>
      </c>
      <c r="H371" s="109">
        <f t="shared" si="11"/>
        <v>-1.7155677232420515E-2</v>
      </c>
    </row>
    <row r="372" spans="2:8" ht="14.25" customHeight="1" x14ac:dyDescent="0.3">
      <c r="B372" s="105" t="s">
        <v>614</v>
      </c>
      <c r="C372" s="105">
        <v>276.05</v>
      </c>
      <c r="D372" s="3">
        <f t="shared" si="10"/>
        <v>-2.7307963354474982E-2</v>
      </c>
      <c r="F372" s="106">
        <v>44830</v>
      </c>
      <c r="G372" s="107">
        <v>17016.30078125</v>
      </c>
      <c r="H372" s="110">
        <f t="shared" si="11"/>
        <v>-1.7951321762256493E-2</v>
      </c>
    </row>
    <row r="373" spans="2:8" ht="14.25" customHeight="1" x14ac:dyDescent="0.3">
      <c r="B373" s="105" t="s">
        <v>615</v>
      </c>
      <c r="C373" s="105">
        <v>280.14999999999998</v>
      </c>
      <c r="D373" s="3">
        <f t="shared" si="10"/>
        <v>1.4852381814888483E-2</v>
      </c>
      <c r="F373" s="106">
        <v>44831</v>
      </c>
      <c r="G373" s="107">
        <v>17007.400390625</v>
      </c>
      <c r="H373" s="109">
        <f t="shared" si="11"/>
        <v>-5.2305085220444639E-4</v>
      </c>
    </row>
    <row r="374" spans="2:8" ht="14.25" customHeight="1" x14ac:dyDescent="0.3">
      <c r="B374" s="105" t="s">
        <v>616</v>
      </c>
      <c r="C374" s="105">
        <v>284.05</v>
      </c>
      <c r="D374" s="3">
        <f t="shared" si="10"/>
        <v>1.392111368909525E-2</v>
      </c>
      <c r="F374" s="106">
        <v>44832</v>
      </c>
      <c r="G374" s="107">
        <v>16858.599609375</v>
      </c>
      <c r="H374" s="110">
        <f t="shared" si="11"/>
        <v>-8.7491784653946029E-3</v>
      </c>
    </row>
    <row r="375" spans="2:8" ht="14.25" customHeight="1" x14ac:dyDescent="0.3">
      <c r="B375" s="105" t="s">
        <v>617</v>
      </c>
      <c r="C375" s="105">
        <v>286.85000000000002</v>
      </c>
      <c r="D375" s="3">
        <f t="shared" si="10"/>
        <v>9.8574194684034906E-3</v>
      </c>
      <c r="F375" s="106">
        <v>44833</v>
      </c>
      <c r="G375" s="107">
        <v>16818.099609375</v>
      </c>
      <c r="H375" s="109">
        <f t="shared" si="11"/>
        <v>-2.4023347691037229E-3</v>
      </c>
    </row>
    <row r="376" spans="2:8" ht="14.25" customHeight="1" x14ac:dyDescent="0.3">
      <c r="B376" s="105" t="s">
        <v>618</v>
      </c>
      <c r="C376" s="105">
        <v>290.95</v>
      </c>
      <c r="D376" s="3">
        <f t="shared" si="10"/>
        <v>1.4293184591249663E-2</v>
      </c>
      <c r="F376" s="106">
        <v>44834</v>
      </c>
      <c r="G376" s="107">
        <v>17094.349609375</v>
      </c>
      <c r="H376" s="110">
        <f t="shared" si="11"/>
        <v>1.6425755966269134E-2</v>
      </c>
    </row>
    <row r="377" spans="2:8" ht="14.25" customHeight="1" x14ac:dyDescent="0.3">
      <c r="B377" s="105" t="s">
        <v>619</v>
      </c>
      <c r="C377" s="105">
        <v>291.75</v>
      </c>
      <c r="D377" s="3">
        <f t="shared" si="10"/>
        <v>2.749613335624717E-3</v>
      </c>
      <c r="F377" s="106">
        <v>44837</v>
      </c>
      <c r="G377" s="107">
        <v>16887.349609375</v>
      </c>
      <c r="H377" s="109">
        <f t="shared" si="11"/>
        <v>-1.2109264448790473E-2</v>
      </c>
    </row>
    <row r="378" spans="2:8" ht="14.25" customHeight="1" x14ac:dyDescent="0.3">
      <c r="B378" s="105" t="s">
        <v>620</v>
      </c>
      <c r="C378" s="105">
        <v>298.55</v>
      </c>
      <c r="D378" s="3">
        <f t="shared" si="10"/>
        <v>2.3307626392459337E-2</v>
      </c>
      <c r="F378" s="106">
        <v>44838</v>
      </c>
      <c r="G378" s="107">
        <v>17274.30078125</v>
      </c>
      <c r="H378" s="110">
        <f t="shared" si="11"/>
        <v>2.2913670932719031E-2</v>
      </c>
    </row>
    <row r="379" spans="2:8" ht="14.25" customHeight="1" x14ac:dyDescent="0.3">
      <c r="B379" s="105" t="s">
        <v>621</v>
      </c>
      <c r="C379" s="105">
        <v>291.2</v>
      </c>
      <c r="D379" s="3">
        <f t="shared" si="10"/>
        <v>-2.4618991793669477E-2</v>
      </c>
      <c r="F379" s="106">
        <v>44840</v>
      </c>
      <c r="G379" s="107">
        <v>17331.80078125</v>
      </c>
      <c r="H379" s="109">
        <f t="shared" si="11"/>
        <v>3.3286441360574244E-3</v>
      </c>
    </row>
    <row r="380" spans="2:8" ht="14.25" customHeight="1" x14ac:dyDescent="0.3">
      <c r="B380" s="105" t="s">
        <v>622</v>
      </c>
      <c r="C380" s="105">
        <v>282.85000000000002</v>
      </c>
      <c r="D380" s="3">
        <f t="shared" si="10"/>
        <v>-2.8674450549450434E-2</v>
      </c>
      <c r="F380" s="106">
        <v>44841</v>
      </c>
      <c r="G380" s="107">
        <v>17314.650390625</v>
      </c>
      <c r="H380" s="110">
        <f t="shared" si="11"/>
        <v>-9.8953310400115763E-4</v>
      </c>
    </row>
    <row r="381" spans="2:8" ht="14.25" customHeight="1" x14ac:dyDescent="0.3">
      <c r="B381" s="105" t="s">
        <v>623</v>
      </c>
      <c r="C381" s="105">
        <v>277.39999999999998</v>
      </c>
      <c r="D381" s="3">
        <f t="shared" si="10"/>
        <v>-1.9268163337458177E-2</v>
      </c>
      <c r="F381" s="106">
        <v>44844</v>
      </c>
      <c r="G381" s="107">
        <v>17241</v>
      </c>
      <c r="H381" s="109">
        <f t="shared" si="11"/>
        <v>-4.253645841147213E-3</v>
      </c>
    </row>
    <row r="382" spans="2:8" ht="14.25" customHeight="1" x14ac:dyDescent="0.3">
      <c r="B382" s="105" t="s">
        <v>624</v>
      </c>
      <c r="C382" s="105">
        <v>268.75</v>
      </c>
      <c r="D382" s="3">
        <f t="shared" si="10"/>
        <v>-3.1182408074981897E-2</v>
      </c>
      <c r="F382" s="106">
        <v>44845</v>
      </c>
      <c r="G382" s="107">
        <v>16983.55078125</v>
      </c>
      <c r="H382" s="110">
        <f t="shared" si="11"/>
        <v>-1.4932383199930399E-2</v>
      </c>
    </row>
    <row r="383" spans="2:8" ht="14.25" customHeight="1" x14ac:dyDescent="0.3">
      <c r="B383" s="105" t="s">
        <v>625</v>
      </c>
      <c r="C383" s="105">
        <v>267.45</v>
      </c>
      <c r="D383" s="3">
        <f t="shared" si="10"/>
        <v>-4.837209302325624E-3</v>
      </c>
      <c r="F383" s="106">
        <v>44846</v>
      </c>
      <c r="G383" s="107">
        <v>17123.599609375</v>
      </c>
      <c r="H383" s="109">
        <f t="shared" si="11"/>
        <v>8.2461453396197471E-3</v>
      </c>
    </row>
    <row r="384" spans="2:8" ht="14.25" customHeight="1" x14ac:dyDescent="0.3">
      <c r="B384" s="105" t="s">
        <v>626</v>
      </c>
      <c r="C384" s="105">
        <v>262.39999999999998</v>
      </c>
      <c r="D384" s="3">
        <f t="shared" si="10"/>
        <v>-1.8882034025051456E-2</v>
      </c>
      <c r="F384" s="106">
        <v>44847</v>
      </c>
      <c r="G384" s="107">
        <v>17014.349609375</v>
      </c>
      <c r="H384" s="110">
        <f t="shared" si="11"/>
        <v>-6.3800837728176449E-3</v>
      </c>
    </row>
    <row r="385" spans="2:8" ht="14.25" customHeight="1" x14ac:dyDescent="0.3">
      <c r="B385" s="105" t="s">
        <v>627</v>
      </c>
      <c r="C385" s="105">
        <v>261.3</v>
      </c>
      <c r="D385" s="3">
        <f t="shared" si="10"/>
        <v>-4.1920731707315775E-3</v>
      </c>
      <c r="F385" s="106">
        <v>44848</v>
      </c>
      <c r="G385" s="107">
        <v>17185.69921875</v>
      </c>
      <c r="H385" s="109">
        <f t="shared" si="11"/>
        <v>1.0070888003887344E-2</v>
      </c>
    </row>
    <row r="386" spans="2:8" ht="14.25" customHeight="1" x14ac:dyDescent="0.3">
      <c r="B386" s="105" t="s">
        <v>628</v>
      </c>
      <c r="C386" s="105">
        <v>263.7</v>
      </c>
      <c r="D386" s="3">
        <f t="shared" si="10"/>
        <v>9.1848450057404399E-3</v>
      </c>
      <c r="F386" s="106">
        <v>44851</v>
      </c>
      <c r="G386" s="107">
        <v>17311.80078125</v>
      </c>
      <c r="H386" s="110">
        <f t="shared" si="11"/>
        <v>7.3375869608156676E-3</v>
      </c>
    </row>
    <row r="387" spans="2:8" ht="14.25" customHeight="1" x14ac:dyDescent="0.3">
      <c r="B387" s="105" t="s">
        <v>629</v>
      </c>
      <c r="C387" s="105">
        <v>266.8</v>
      </c>
      <c r="D387" s="3">
        <f t="shared" si="10"/>
        <v>1.1755783086841195E-2</v>
      </c>
      <c r="F387" s="106">
        <v>44852</v>
      </c>
      <c r="G387" s="107">
        <v>17486.94921875</v>
      </c>
      <c r="H387" s="109">
        <f t="shared" si="11"/>
        <v>1.0117285874136163E-2</v>
      </c>
    </row>
    <row r="388" spans="2:8" ht="14.25" customHeight="1" x14ac:dyDescent="0.3">
      <c r="B388" s="105" t="s">
        <v>630</v>
      </c>
      <c r="C388" s="105">
        <v>269.7</v>
      </c>
      <c r="D388" s="3">
        <f t="shared" si="10"/>
        <v>1.0869565217391219E-2</v>
      </c>
      <c r="F388" s="106">
        <v>44853</v>
      </c>
      <c r="G388" s="107">
        <v>17512.25</v>
      </c>
      <c r="H388" s="110">
        <f t="shared" si="11"/>
        <v>1.4468379208691124E-3</v>
      </c>
    </row>
    <row r="389" spans="2:8" ht="14.25" customHeight="1" x14ac:dyDescent="0.3">
      <c r="B389" s="105" t="s">
        <v>631</v>
      </c>
      <c r="C389" s="105">
        <v>270.55</v>
      </c>
      <c r="D389" s="3">
        <f t="shared" ref="D389:D452" si="12">(C389-C388)/C388</f>
        <v>3.151649981460967E-3</v>
      </c>
      <c r="F389" s="106">
        <v>44854</v>
      </c>
      <c r="G389" s="107">
        <v>17563.94921875</v>
      </c>
      <c r="H389" s="109">
        <f t="shared" ref="H389:H452" si="13">(G389-G388)/G388</f>
        <v>2.9521745492441004E-3</v>
      </c>
    </row>
    <row r="390" spans="2:8" ht="14.25" customHeight="1" x14ac:dyDescent="0.3">
      <c r="B390" s="105" t="s">
        <v>632</v>
      </c>
      <c r="C390" s="105">
        <v>268.8</v>
      </c>
      <c r="D390" s="3">
        <f t="shared" si="12"/>
        <v>-6.4683053040103487E-3</v>
      </c>
      <c r="F390" s="106">
        <v>44855</v>
      </c>
      <c r="G390" s="107">
        <v>17576.30078125</v>
      </c>
      <c r="H390" s="110">
        <f t="shared" si="13"/>
        <v>7.0323378564624668E-4</v>
      </c>
    </row>
    <row r="391" spans="2:8" ht="14.25" customHeight="1" x14ac:dyDescent="0.3">
      <c r="B391" s="105" t="s">
        <v>633</v>
      </c>
      <c r="C391" s="105">
        <v>270.10000000000002</v>
      </c>
      <c r="D391" s="3">
        <f t="shared" si="12"/>
        <v>4.8363095238095656E-3</v>
      </c>
      <c r="F391" s="106">
        <v>44858</v>
      </c>
      <c r="G391" s="107">
        <v>17730.75</v>
      </c>
      <c r="H391" s="109">
        <f t="shared" si="13"/>
        <v>8.7873563767617655E-3</v>
      </c>
    </row>
    <row r="392" spans="2:8" ht="14.25" customHeight="1" x14ac:dyDescent="0.3">
      <c r="B392" s="105" t="s">
        <v>634</v>
      </c>
      <c r="C392" s="105">
        <v>272</v>
      </c>
      <c r="D392" s="3">
        <f t="shared" si="12"/>
        <v>7.0344316919658534E-3</v>
      </c>
      <c r="F392" s="106">
        <v>44859</v>
      </c>
      <c r="G392" s="107">
        <v>17656.349609375</v>
      </c>
      <c r="H392" s="110">
        <f t="shared" si="13"/>
        <v>-4.1961220267050185E-3</v>
      </c>
    </row>
    <row r="393" spans="2:8" ht="14.25" customHeight="1" x14ac:dyDescent="0.3">
      <c r="B393" s="105" t="s">
        <v>635</v>
      </c>
      <c r="C393" s="105">
        <v>276.25</v>
      </c>
      <c r="D393" s="3">
        <f t="shared" si="12"/>
        <v>1.5625E-2</v>
      </c>
      <c r="F393" s="106">
        <v>44861</v>
      </c>
      <c r="G393" s="107">
        <v>17736.94921875</v>
      </c>
      <c r="H393" s="109">
        <f t="shared" si="13"/>
        <v>4.5649078749666347E-3</v>
      </c>
    </row>
    <row r="394" spans="2:8" ht="14.25" customHeight="1" x14ac:dyDescent="0.3">
      <c r="B394" s="105" t="s">
        <v>636</v>
      </c>
      <c r="C394" s="105">
        <v>272.60000000000002</v>
      </c>
      <c r="D394" s="3">
        <f t="shared" si="12"/>
        <v>-1.3212669683257836E-2</v>
      </c>
      <c r="F394" s="106">
        <v>44862</v>
      </c>
      <c r="G394" s="107">
        <v>17786.80078125</v>
      </c>
      <c r="H394" s="110">
        <f t="shared" si="13"/>
        <v>2.8106052447453111E-3</v>
      </c>
    </row>
    <row r="395" spans="2:8" ht="14.25" customHeight="1" x14ac:dyDescent="0.3">
      <c r="B395" s="105" t="s">
        <v>637</v>
      </c>
      <c r="C395" s="105">
        <v>269.85000000000002</v>
      </c>
      <c r="D395" s="3">
        <f t="shared" si="12"/>
        <v>-1.0088041085840058E-2</v>
      </c>
      <c r="F395" s="106">
        <v>44865</v>
      </c>
      <c r="G395" s="107">
        <v>18012.19921875</v>
      </c>
      <c r="H395" s="109">
        <f t="shared" si="13"/>
        <v>1.2672230395564126E-2</v>
      </c>
    </row>
    <row r="396" spans="2:8" ht="14.25" customHeight="1" x14ac:dyDescent="0.3">
      <c r="B396" s="105" t="s">
        <v>638</v>
      </c>
      <c r="C396" s="105">
        <v>270.3</v>
      </c>
      <c r="D396" s="3">
        <f t="shared" si="12"/>
        <v>1.6675931072817809E-3</v>
      </c>
      <c r="F396" s="106">
        <v>44866</v>
      </c>
      <c r="G396" s="107">
        <v>18145.400390625</v>
      </c>
      <c r="H396" s="110">
        <f t="shared" si="13"/>
        <v>7.3950532223928962E-3</v>
      </c>
    </row>
    <row r="397" spans="2:8" ht="14.25" customHeight="1" x14ac:dyDescent="0.3">
      <c r="B397" s="105" t="s">
        <v>639</v>
      </c>
      <c r="C397" s="105">
        <v>268.45</v>
      </c>
      <c r="D397" s="3">
        <f t="shared" si="12"/>
        <v>-6.8442471328154742E-3</v>
      </c>
      <c r="F397" s="106">
        <v>44867</v>
      </c>
      <c r="G397" s="107">
        <v>18082.849609375</v>
      </c>
      <c r="H397" s="109">
        <f t="shared" si="13"/>
        <v>-3.4471976315450983E-3</v>
      </c>
    </row>
    <row r="398" spans="2:8" ht="14.25" customHeight="1" x14ac:dyDescent="0.3">
      <c r="B398" s="105" t="s">
        <v>640</v>
      </c>
      <c r="C398" s="105">
        <v>279.75</v>
      </c>
      <c r="D398" s="3">
        <f t="shared" si="12"/>
        <v>4.2093499720618412E-2</v>
      </c>
      <c r="F398" s="106">
        <v>44868</v>
      </c>
      <c r="G398" s="107">
        <v>18052.69921875</v>
      </c>
      <c r="H398" s="110">
        <f t="shared" si="13"/>
        <v>-1.6673473084335456E-3</v>
      </c>
    </row>
    <row r="399" spans="2:8" ht="14.25" customHeight="1" x14ac:dyDescent="0.3">
      <c r="B399" s="105" t="s">
        <v>641</v>
      </c>
      <c r="C399" s="105">
        <v>274</v>
      </c>
      <c r="D399" s="3">
        <f t="shared" si="12"/>
        <v>-2.0554066130473638E-2</v>
      </c>
      <c r="F399" s="106">
        <v>44869</v>
      </c>
      <c r="G399" s="107">
        <v>18117.150390625</v>
      </c>
      <c r="H399" s="109">
        <f t="shared" si="13"/>
        <v>3.5701681556882833E-3</v>
      </c>
    </row>
    <row r="400" spans="2:8" ht="14.25" customHeight="1" x14ac:dyDescent="0.3">
      <c r="B400" s="105" t="s">
        <v>642</v>
      </c>
      <c r="C400" s="105">
        <v>278.39999999999998</v>
      </c>
      <c r="D400" s="3">
        <f t="shared" si="12"/>
        <v>1.6058394160583859E-2</v>
      </c>
      <c r="F400" s="106">
        <v>44872</v>
      </c>
      <c r="G400" s="107">
        <v>18202.80078125</v>
      </c>
      <c r="H400" s="110">
        <f t="shared" si="13"/>
        <v>4.7275862251119315E-3</v>
      </c>
    </row>
    <row r="401" spans="2:8" ht="14.25" customHeight="1" x14ac:dyDescent="0.3">
      <c r="B401" s="105" t="s">
        <v>643</v>
      </c>
      <c r="C401" s="105">
        <v>279.2</v>
      </c>
      <c r="D401" s="3">
        <f t="shared" si="12"/>
        <v>2.8735632183908458E-3</v>
      </c>
      <c r="F401" s="106">
        <v>44874</v>
      </c>
      <c r="G401" s="107">
        <v>18157</v>
      </c>
      <c r="H401" s="109">
        <f t="shared" si="13"/>
        <v>-2.5161392359563488E-3</v>
      </c>
    </row>
    <row r="402" spans="2:8" ht="14.25" customHeight="1" x14ac:dyDescent="0.3">
      <c r="B402" s="105" t="s">
        <v>644</v>
      </c>
      <c r="C402" s="105">
        <v>275.89999999999998</v>
      </c>
      <c r="D402" s="3">
        <f t="shared" si="12"/>
        <v>-1.181948424068772E-2</v>
      </c>
      <c r="F402" s="106">
        <v>44875</v>
      </c>
      <c r="G402" s="107">
        <v>18028.19921875</v>
      </c>
      <c r="H402" s="110">
        <f t="shared" si="13"/>
        <v>-7.093725904609792E-3</v>
      </c>
    </row>
    <row r="403" spans="2:8" ht="14.25" customHeight="1" x14ac:dyDescent="0.3">
      <c r="B403" s="105" t="s">
        <v>645</v>
      </c>
      <c r="C403" s="105">
        <v>281.05</v>
      </c>
      <c r="D403" s="3">
        <f t="shared" si="12"/>
        <v>1.8666183399782654E-2</v>
      </c>
      <c r="F403" s="106">
        <v>44876</v>
      </c>
      <c r="G403" s="107">
        <v>18349.69921875</v>
      </c>
      <c r="H403" s="109">
        <f t="shared" si="13"/>
        <v>1.7833173247033349E-2</v>
      </c>
    </row>
    <row r="404" spans="2:8" ht="14.25" customHeight="1" x14ac:dyDescent="0.3">
      <c r="B404" s="105" t="s">
        <v>646</v>
      </c>
      <c r="C404" s="105">
        <v>286</v>
      </c>
      <c r="D404" s="3">
        <f t="shared" si="12"/>
        <v>1.7612524461839488E-2</v>
      </c>
      <c r="F404" s="106">
        <v>44879</v>
      </c>
      <c r="G404" s="107">
        <v>18329.150390625</v>
      </c>
      <c r="H404" s="110">
        <f t="shared" si="13"/>
        <v>-1.1198455015547556E-3</v>
      </c>
    </row>
    <row r="405" spans="2:8" ht="14.25" customHeight="1" x14ac:dyDescent="0.3">
      <c r="B405" s="105" t="s">
        <v>647</v>
      </c>
      <c r="C405" s="105">
        <v>283.85000000000002</v>
      </c>
      <c r="D405" s="3">
        <f t="shared" si="12"/>
        <v>-7.5174825174824378E-3</v>
      </c>
      <c r="F405" s="106">
        <v>44880</v>
      </c>
      <c r="G405" s="107">
        <v>18403.400390625</v>
      </c>
      <c r="H405" s="109">
        <f t="shared" si="13"/>
        <v>4.0509242609508738E-3</v>
      </c>
    </row>
    <row r="406" spans="2:8" ht="14.25" customHeight="1" x14ac:dyDescent="0.3">
      <c r="B406" s="105" t="s">
        <v>648</v>
      </c>
      <c r="C406" s="105">
        <v>284.39999999999998</v>
      </c>
      <c r="D406" s="3">
        <f t="shared" si="12"/>
        <v>1.9376431213667588E-3</v>
      </c>
      <c r="F406" s="106">
        <v>44881</v>
      </c>
      <c r="G406" s="107">
        <v>18409.650390625</v>
      </c>
      <c r="H406" s="110">
        <f t="shared" si="13"/>
        <v>3.3961115159912808E-4</v>
      </c>
    </row>
    <row r="407" spans="2:8" ht="14.25" customHeight="1" x14ac:dyDescent="0.3">
      <c r="B407" s="105" t="s">
        <v>649</v>
      </c>
      <c r="C407" s="105">
        <v>285.85000000000002</v>
      </c>
      <c r="D407" s="3">
        <f t="shared" si="12"/>
        <v>5.0984528832631699E-3</v>
      </c>
      <c r="F407" s="106">
        <v>44882</v>
      </c>
      <c r="G407" s="107">
        <v>18343.900390625</v>
      </c>
      <c r="H407" s="109">
        <f t="shared" si="13"/>
        <v>-3.5714963948192506E-3</v>
      </c>
    </row>
    <row r="408" spans="2:8" ht="14.25" customHeight="1" x14ac:dyDescent="0.3">
      <c r="B408" s="105" t="s">
        <v>650</v>
      </c>
      <c r="C408" s="105">
        <v>287.35000000000002</v>
      </c>
      <c r="D408" s="3">
        <f t="shared" si="12"/>
        <v>5.2475074339688645E-3</v>
      </c>
      <c r="F408" s="106">
        <v>44883</v>
      </c>
      <c r="G408" s="107">
        <v>18307.650390625</v>
      </c>
      <c r="H408" s="110">
        <f t="shared" si="13"/>
        <v>-1.9761337135545203E-3</v>
      </c>
    </row>
    <row r="409" spans="2:8" ht="14.25" customHeight="1" x14ac:dyDescent="0.3">
      <c r="B409" s="105" t="s">
        <v>651</v>
      </c>
      <c r="C409" s="105">
        <v>285.45</v>
      </c>
      <c r="D409" s="3">
        <f t="shared" si="12"/>
        <v>-6.6121454672003963E-3</v>
      </c>
      <c r="F409" s="106">
        <v>44886</v>
      </c>
      <c r="G409" s="107">
        <v>18159.94921875</v>
      </c>
      <c r="H409" s="109">
        <f t="shared" si="13"/>
        <v>-8.0677295405769262E-3</v>
      </c>
    </row>
    <row r="410" spans="2:8" ht="14.25" customHeight="1" x14ac:dyDescent="0.3">
      <c r="B410" s="105" t="s">
        <v>652</v>
      </c>
      <c r="C410" s="105">
        <v>282.2</v>
      </c>
      <c r="D410" s="3">
        <f t="shared" si="12"/>
        <v>-1.1385531616745491E-2</v>
      </c>
      <c r="F410" s="106">
        <v>44887</v>
      </c>
      <c r="G410" s="107">
        <v>18244.19921875</v>
      </c>
      <c r="H410" s="110">
        <f t="shared" si="13"/>
        <v>4.6393301536885668E-3</v>
      </c>
    </row>
    <row r="411" spans="2:8" ht="14.25" customHeight="1" x14ac:dyDescent="0.3">
      <c r="B411" s="105" t="s">
        <v>653</v>
      </c>
      <c r="C411" s="105">
        <v>280.14999999999998</v>
      </c>
      <c r="D411" s="3">
        <f t="shared" si="12"/>
        <v>-7.2643515237420676E-3</v>
      </c>
      <c r="F411" s="106">
        <v>44888</v>
      </c>
      <c r="G411" s="107">
        <v>18267.25</v>
      </c>
      <c r="H411" s="109">
        <f t="shared" si="13"/>
        <v>1.2634580983039343E-3</v>
      </c>
    </row>
    <row r="412" spans="2:8" ht="14.25" customHeight="1" x14ac:dyDescent="0.3">
      <c r="B412" s="105" t="s">
        <v>654</v>
      </c>
      <c r="C412" s="105">
        <v>274.45</v>
      </c>
      <c r="D412" s="3">
        <f t="shared" si="12"/>
        <v>-2.034624308406207E-2</v>
      </c>
      <c r="F412" s="106">
        <v>44889</v>
      </c>
      <c r="G412" s="107">
        <v>18484.099609375</v>
      </c>
      <c r="H412" s="110">
        <f t="shared" si="13"/>
        <v>1.1870949889830161E-2</v>
      </c>
    </row>
    <row r="413" spans="2:8" ht="14.25" customHeight="1" x14ac:dyDescent="0.3">
      <c r="B413" s="105" t="s">
        <v>655</v>
      </c>
      <c r="C413" s="105">
        <v>282.14999999999998</v>
      </c>
      <c r="D413" s="3">
        <f t="shared" si="12"/>
        <v>2.8056112224448856E-2</v>
      </c>
      <c r="F413" s="106">
        <v>44890</v>
      </c>
      <c r="G413" s="107">
        <v>18512.75</v>
      </c>
      <c r="H413" s="109">
        <f t="shared" si="13"/>
        <v>1.5500019600883741E-3</v>
      </c>
    </row>
    <row r="414" spans="2:8" ht="14.25" customHeight="1" x14ac:dyDescent="0.3">
      <c r="B414" s="105" t="s">
        <v>656</v>
      </c>
      <c r="C414" s="105">
        <v>281.2</v>
      </c>
      <c r="D414" s="3">
        <f t="shared" si="12"/>
        <v>-3.367003367003327E-3</v>
      </c>
      <c r="F414" s="106">
        <v>44893</v>
      </c>
      <c r="G414" s="107">
        <v>18562.75</v>
      </c>
      <c r="H414" s="110">
        <f t="shared" si="13"/>
        <v>2.7008413120687092E-3</v>
      </c>
    </row>
    <row r="415" spans="2:8" ht="14.25" customHeight="1" x14ac:dyDescent="0.3">
      <c r="B415" s="105" t="s">
        <v>657</v>
      </c>
      <c r="C415" s="105">
        <v>282.10000000000002</v>
      </c>
      <c r="D415" s="3">
        <f t="shared" si="12"/>
        <v>3.2005689900427956E-3</v>
      </c>
      <c r="F415" s="106">
        <v>44894</v>
      </c>
      <c r="G415" s="107">
        <v>18618.05078125</v>
      </c>
      <c r="H415" s="109">
        <f t="shared" si="13"/>
        <v>2.9791265437502526E-3</v>
      </c>
    </row>
    <row r="416" spans="2:8" ht="14.25" customHeight="1" x14ac:dyDescent="0.3">
      <c r="B416" s="105" t="s">
        <v>658</v>
      </c>
      <c r="C416" s="105">
        <v>282.85000000000002</v>
      </c>
      <c r="D416" s="3">
        <f t="shared" si="12"/>
        <v>2.6586316908897554E-3</v>
      </c>
      <c r="F416" s="106">
        <v>44895</v>
      </c>
      <c r="G416" s="107">
        <v>18758.349609375</v>
      </c>
      <c r="H416" s="110">
        <f t="shared" si="13"/>
        <v>7.5356346254191742E-3</v>
      </c>
    </row>
    <row r="417" spans="2:8" ht="14.25" customHeight="1" x14ac:dyDescent="0.3">
      <c r="B417" s="105" t="s">
        <v>659</v>
      </c>
      <c r="C417" s="105">
        <v>285.55</v>
      </c>
      <c r="D417" s="3">
        <f t="shared" si="12"/>
        <v>9.5456955983736561E-3</v>
      </c>
      <c r="F417" s="106">
        <v>44896</v>
      </c>
      <c r="G417" s="107">
        <v>18812.5</v>
      </c>
      <c r="H417" s="109">
        <f t="shared" si="13"/>
        <v>2.8867353340049093E-3</v>
      </c>
    </row>
    <row r="418" spans="2:8" ht="14.25" customHeight="1" x14ac:dyDescent="0.3">
      <c r="B418" s="105" t="s">
        <v>660</v>
      </c>
      <c r="C418" s="105">
        <v>283.55</v>
      </c>
      <c r="D418" s="3">
        <f t="shared" si="12"/>
        <v>-7.0040273157065307E-3</v>
      </c>
      <c r="F418" s="106">
        <v>44897</v>
      </c>
      <c r="G418" s="107">
        <v>18696.099609375</v>
      </c>
      <c r="H418" s="110">
        <f t="shared" si="13"/>
        <v>-6.1873961794019936E-3</v>
      </c>
    </row>
    <row r="419" spans="2:8" ht="14.25" customHeight="1" x14ac:dyDescent="0.3">
      <c r="B419" s="105" t="s">
        <v>661</v>
      </c>
      <c r="C419" s="105">
        <v>279.45</v>
      </c>
      <c r="D419" s="3">
        <f t="shared" si="12"/>
        <v>-1.4459530946923021E-2</v>
      </c>
      <c r="F419" s="106">
        <v>44900</v>
      </c>
      <c r="G419" s="107">
        <v>18701.05078125</v>
      </c>
      <c r="H419" s="109">
        <f t="shared" si="13"/>
        <v>2.6482378562624241E-4</v>
      </c>
    </row>
    <row r="420" spans="2:8" ht="14.25" customHeight="1" x14ac:dyDescent="0.3">
      <c r="B420" s="105" t="s">
        <v>662</v>
      </c>
      <c r="C420" s="105">
        <v>273.7</v>
      </c>
      <c r="D420" s="3">
        <f t="shared" si="12"/>
        <v>-2.0576131687242798E-2</v>
      </c>
      <c r="F420" s="106">
        <v>44901</v>
      </c>
      <c r="G420" s="107">
        <v>18642.75</v>
      </c>
      <c r="H420" s="110">
        <f t="shared" si="13"/>
        <v>-3.1175136590962781E-3</v>
      </c>
    </row>
    <row r="421" spans="2:8" ht="14.25" customHeight="1" x14ac:dyDescent="0.3">
      <c r="B421" s="105" t="s">
        <v>663</v>
      </c>
      <c r="C421" s="105">
        <v>275.75</v>
      </c>
      <c r="D421" s="3">
        <f t="shared" si="12"/>
        <v>7.4899525027402681E-3</v>
      </c>
      <c r="F421" s="106">
        <v>44902</v>
      </c>
      <c r="G421" s="107">
        <v>18560.5</v>
      </c>
      <c r="H421" s="109">
        <f t="shared" si="13"/>
        <v>-4.4119027503989484E-3</v>
      </c>
    </row>
    <row r="422" spans="2:8" ht="14.25" customHeight="1" x14ac:dyDescent="0.3">
      <c r="B422" s="105" t="s">
        <v>664</v>
      </c>
      <c r="C422" s="105">
        <v>275.55</v>
      </c>
      <c r="D422" s="3">
        <f t="shared" si="12"/>
        <v>-7.2529465095190796E-4</v>
      </c>
      <c r="F422" s="106">
        <v>44903</v>
      </c>
      <c r="G422" s="107">
        <v>18609.349609375</v>
      </c>
      <c r="H422" s="110">
        <f t="shared" si="13"/>
        <v>2.6319123609277765E-3</v>
      </c>
    </row>
    <row r="423" spans="2:8" ht="14.25" customHeight="1" x14ac:dyDescent="0.3">
      <c r="B423" s="105" t="s">
        <v>665</v>
      </c>
      <c r="C423" s="105">
        <v>272.25</v>
      </c>
      <c r="D423" s="3">
        <f t="shared" si="12"/>
        <v>-1.1976047904191657E-2</v>
      </c>
      <c r="F423" s="106">
        <v>44904</v>
      </c>
      <c r="G423" s="107">
        <v>18496.599609375</v>
      </c>
      <c r="H423" s="109">
        <f t="shared" si="13"/>
        <v>-6.058782405979353E-3</v>
      </c>
    </row>
    <row r="424" spans="2:8" ht="14.25" customHeight="1" x14ac:dyDescent="0.3">
      <c r="B424" s="105" t="s">
        <v>666</v>
      </c>
      <c r="C424" s="105">
        <v>270.7</v>
      </c>
      <c r="D424" s="3">
        <f t="shared" si="12"/>
        <v>-5.6932966023875535E-3</v>
      </c>
      <c r="F424" s="106">
        <v>44907</v>
      </c>
      <c r="G424" s="107">
        <v>18497.150390625</v>
      </c>
      <c r="H424" s="110">
        <f t="shared" si="13"/>
        <v>2.9777432697458433E-5</v>
      </c>
    </row>
    <row r="425" spans="2:8" ht="14.25" customHeight="1" x14ac:dyDescent="0.3">
      <c r="B425" s="105" t="s">
        <v>667</v>
      </c>
      <c r="C425" s="105">
        <v>266.10000000000002</v>
      </c>
      <c r="D425" s="3">
        <f t="shared" si="12"/>
        <v>-1.6992981159955546E-2</v>
      </c>
      <c r="F425" s="106">
        <v>44908</v>
      </c>
      <c r="G425" s="107">
        <v>18608</v>
      </c>
      <c r="H425" s="109">
        <f t="shared" si="13"/>
        <v>5.9927938646799584E-3</v>
      </c>
    </row>
    <row r="426" spans="2:8" ht="14.25" customHeight="1" x14ac:dyDescent="0.3">
      <c r="B426" s="105" t="s">
        <v>668</v>
      </c>
      <c r="C426" s="105">
        <v>271.45</v>
      </c>
      <c r="D426" s="3">
        <f t="shared" si="12"/>
        <v>2.0105223600150188E-2</v>
      </c>
      <c r="F426" s="106">
        <v>44909</v>
      </c>
      <c r="G426" s="107">
        <v>18660.30078125</v>
      </c>
      <c r="H426" s="110">
        <f t="shared" si="13"/>
        <v>2.8106610731943251E-3</v>
      </c>
    </row>
    <row r="427" spans="2:8" ht="14.25" customHeight="1" x14ac:dyDescent="0.3">
      <c r="B427" s="105" t="s">
        <v>669</v>
      </c>
      <c r="C427" s="105">
        <v>270.3</v>
      </c>
      <c r="D427" s="3">
        <f t="shared" si="12"/>
        <v>-4.2365076441332741E-3</v>
      </c>
      <c r="F427" s="106">
        <v>44910</v>
      </c>
      <c r="G427" s="107">
        <v>18414.900390625</v>
      </c>
      <c r="H427" s="109">
        <f t="shared" si="13"/>
        <v>-1.3150934355333651E-2</v>
      </c>
    </row>
    <row r="428" spans="2:8" ht="14.25" customHeight="1" x14ac:dyDescent="0.3">
      <c r="B428" s="105" t="s">
        <v>670</v>
      </c>
      <c r="C428" s="105">
        <v>266.10000000000002</v>
      </c>
      <c r="D428" s="3">
        <f t="shared" si="12"/>
        <v>-1.5538290788013276E-2</v>
      </c>
      <c r="F428" s="106">
        <v>44911</v>
      </c>
      <c r="G428" s="107">
        <v>18269</v>
      </c>
      <c r="H428" s="110">
        <f t="shared" si="13"/>
        <v>-7.9229530179418008E-3</v>
      </c>
    </row>
    <row r="429" spans="2:8" ht="14.25" customHeight="1" x14ac:dyDescent="0.3">
      <c r="B429" s="105" t="s">
        <v>671</v>
      </c>
      <c r="C429" s="105">
        <v>263.05</v>
      </c>
      <c r="D429" s="3">
        <f t="shared" si="12"/>
        <v>-1.146185644494555E-2</v>
      </c>
      <c r="F429" s="106">
        <v>44914</v>
      </c>
      <c r="G429" s="107">
        <v>18420.44921875</v>
      </c>
      <c r="H429" s="109">
        <f t="shared" si="13"/>
        <v>8.2899566889265974E-3</v>
      </c>
    </row>
    <row r="430" spans="2:8" ht="14.25" customHeight="1" x14ac:dyDescent="0.3">
      <c r="B430" s="105" t="s">
        <v>672</v>
      </c>
      <c r="C430" s="105">
        <v>262.05</v>
      </c>
      <c r="D430" s="3">
        <f t="shared" si="12"/>
        <v>-3.8015586390420073E-3</v>
      </c>
      <c r="F430" s="106">
        <v>44915</v>
      </c>
      <c r="G430" s="107">
        <v>18385.30078125</v>
      </c>
      <c r="H430" s="110">
        <f t="shared" si="13"/>
        <v>-1.9081205394395452E-3</v>
      </c>
    </row>
    <row r="431" spans="2:8" ht="14.25" customHeight="1" x14ac:dyDescent="0.3">
      <c r="B431" s="105" t="s">
        <v>673</v>
      </c>
      <c r="C431" s="105">
        <v>271.2</v>
      </c>
      <c r="D431" s="3">
        <f t="shared" si="12"/>
        <v>3.4917000572409755E-2</v>
      </c>
      <c r="F431" s="106">
        <v>44916</v>
      </c>
      <c r="G431" s="107">
        <v>18199.099609375</v>
      </c>
      <c r="H431" s="109">
        <f t="shared" si="13"/>
        <v>-1.012771964355866E-2</v>
      </c>
    </row>
    <row r="432" spans="2:8" ht="14.25" customHeight="1" x14ac:dyDescent="0.3">
      <c r="B432" s="105" t="s">
        <v>674</v>
      </c>
      <c r="C432" s="105">
        <v>269.64999999999998</v>
      </c>
      <c r="D432" s="3">
        <f t="shared" si="12"/>
        <v>-5.7153392330383905E-3</v>
      </c>
      <c r="F432" s="106">
        <v>44917</v>
      </c>
      <c r="G432" s="107">
        <v>18127.349609375</v>
      </c>
      <c r="H432" s="110">
        <f t="shared" si="13"/>
        <v>-3.9425027358517802E-3</v>
      </c>
    </row>
    <row r="433" spans="2:8" ht="14.25" customHeight="1" x14ac:dyDescent="0.3">
      <c r="B433" s="105" t="s">
        <v>675</v>
      </c>
      <c r="C433" s="105">
        <v>267.05</v>
      </c>
      <c r="D433" s="3">
        <f t="shared" si="12"/>
        <v>-9.642128685332714E-3</v>
      </c>
      <c r="F433" s="106">
        <v>44918</v>
      </c>
      <c r="G433" s="107">
        <v>17806.80078125</v>
      </c>
      <c r="H433" s="109">
        <f t="shared" si="13"/>
        <v>-1.7683160254117921E-2</v>
      </c>
    </row>
    <row r="434" spans="2:8" ht="14.25" customHeight="1" x14ac:dyDescent="0.3">
      <c r="B434" s="105" t="s">
        <v>676</v>
      </c>
      <c r="C434" s="105">
        <v>265.2</v>
      </c>
      <c r="D434" s="3">
        <f t="shared" si="12"/>
        <v>-6.9275416588654663E-3</v>
      </c>
      <c r="F434" s="106">
        <v>44921</v>
      </c>
      <c r="G434" s="107">
        <v>18014.599609375</v>
      </c>
      <c r="H434" s="110">
        <f t="shared" si="13"/>
        <v>1.1669632893506936E-2</v>
      </c>
    </row>
    <row r="435" spans="2:8" ht="14.25" customHeight="1" x14ac:dyDescent="0.3">
      <c r="B435" s="105" t="s">
        <v>677</v>
      </c>
      <c r="C435" s="105">
        <v>265.39999999999998</v>
      </c>
      <c r="D435" s="3">
        <f t="shared" si="12"/>
        <v>7.5414781297129959E-4</v>
      </c>
      <c r="F435" s="106">
        <v>44922</v>
      </c>
      <c r="G435" s="107">
        <v>18132.30078125</v>
      </c>
      <c r="H435" s="109">
        <f t="shared" si="13"/>
        <v>6.533654614990554E-3</v>
      </c>
    </row>
    <row r="436" spans="2:8" ht="14.25" customHeight="1" x14ac:dyDescent="0.3">
      <c r="B436" s="105" t="s">
        <v>678</v>
      </c>
      <c r="C436" s="105">
        <v>263.8</v>
      </c>
      <c r="D436" s="3">
        <f t="shared" si="12"/>
        <v>-6.0286360211000978E-3</v>
      </c>
      <c r="F436" s="106">
        <v>44923</v>
      </c>
      <c r="G436" s="107">
        <v>18122.5</v>
      </c>
      <c r="H436" s="110">
        <f t="shared" si="13"/>
        <v>-5.405150382313676E-4</v>
      </c>
    </row>
    <row r="437" spans="2:8" ht="14.25" customHeight="1" x14ac:dyDescent="0.3">
      <c r="B437" s="105" t="s">
        <v>679</v>
      </c>
      <c r="C437" s="105">
        <v>260.8</v>
      </c>
      <c r="D437" s="3">
        <f t="shared" si="12"/>
        <v>-1.1372251705837756E-2</v>
      </c>
      <c r="F437" s="106">
        <v>44924</v>
      </c>
      <c r="G437" s="107">
        <v>18191</v>
      </c>
      <c r="H437" s="109">
        <f t="shared" si="13"/>
        <v>3.7798317009242652E-3</v>
      </c>
    </row>
    <row r="438" spans="2:8" ht="14.25" customHeight="1" x14ac:dyDescent="0.3">
      <c r="B438" s="105" t="s">
        <v>680</v>
      </c>
      <c r="C438" s="105">
        <v>261.85000000000002</v>
      </c>
      <c r="D438" s="3">
        <f t="shared" si="12"/>
        <v>4.0260736196319454E-3</v>
      </c>
      <c r="F438" s="106">
        <v>44925</v>
      </c>
      <c r="G438" s="107">
        <v>18105.30078125</v>
      </c>
      <c r="H438" s="110">
        <f t="shared" si="13"/>
        <v>-4.7110779368918698E-3</v>
      </c>
    </row>
    <row r="439" spans="2:8" ht="14.25" customHeight="1" x14ac:dyDescent="0.3">
      <c r="B439" s="105" t="s">
        <v>681</v>
      </c>
      <c r="C439" s="105">
        <v>263.39999999999998</v>
      </c>
      <c r="D439" s="3">
        <f t="shared" si="12"/>
        <v>5.9194195149893233E-3</v>
      </c>
      <c r="F439" s="106">
        <v>44928</v>
      </c>
      <c r="G439" s="107">
        <v>18197.44921875</v>
      </c>
      <c r="H439" s="109">
        <f t="shared" si="13"/>
        <v>5.0895833553579895E-3</v>
      </c>
    </row>
    <row r="440" spans="2:8" ht="14.25" customHeight="1" x14ac:dyDescent="0.3">
      <c r="B440" s="105" t="s">
        <v>682</v>
      </c>
      <c r="C440" s="105">
        <v>263.39999999999998</v>
      </c>
      <c r="D440" s="3">
        <f t="shared" si="12"/>
        <v>0</v>
      </c>
      <c r="F440" s="106">
        <v>44929</v>
      </c>
      <c r="G440" s="107">
        <v>18232.55078125</v>
      </c>
      <c r="H440" s="110">
        <f t="shared" si="13"/>
        <v>1.928927624858137E-3</v>
      </c>
    </row>
    <row r="441" spans="2:8" ht="14.25" customHeight="1" x14ac:dyDescent="0.3">
      <c r="B441" s="105" t="s">
        <v>683</v>
      </c>
      <c r="C441" s="105">
        <v>260.85000000000002</v>
      </c>
      <c r="D441" s="3">
        <f t="shared" si="12"/>
        <v>-9.6810933940772777E-3</v>
      </c>
      <c r="F441" s="106">
        <v>44930</v>
      </c>
      <c r="G441" s="107">
        <v>18042.94921875</v>
      </c>
      <c r="H441" s="109">
        <f t="shared" si="13"/>
        <v>-1.0399069487028801E-2</v>
      </c>
    </row>
    <row r="442" spans="2:8" ht="14.25" customHeight="1" x14ac:dyDescent="0.3">
      <c r="B442" s="105" t="s">
        <v>684</v>
      </c>
      <c r="C442" s="105">
        <v>260.2</v>
      </c>
      <c r="D442" s="3">
        <f t="shared" si="12"/>
        <v>-2.4918535556834737E-3</v>
      </c>
      <c r="F442" s="106">
        <v>44931</v>
      </c>
      <c r="G442" s="107">
        <v>17992.150390625</v>
      </c>
      <c r="H442" s="110">
        <f t="shared" si="13"/>
        <v>-2.8154392892826255E-3</v>
      </c>
    </row>
    <row r="443" spans="2:8" ht="14.25" customHeight="1" x14ac:dyDescent="0.3">
      <c r="B443" s="105" t="s">
        <v>685</v>
      </c>
      <c r="C443" s="105">
        <v>256.35000000000002</v>
      </c>
      <c r="D443" s="3">
        <f t="shared" si="12"/>
        <v>-1.479631053036113E-2</v>
      </c>
      <c r="F443" s="106">
        <v>44932</v>
      </c>
      <c r="G443" s="107">
        <v>17859.44921875</v>
      </c>
      <c r="H443" s="109">
        <f t="shared" si="13"/>
        <v>-7.3755037054462009E-3</v>
      </c>
    </row>
    <row r="444" spans="2:8" ht="14.25" customHeight="1" x14ac:dyDescent="0.3">
      <c r="B444" s="105" t="s">
        <v>686</v>
      </c>
      <c r="C444" s="105">
        <v>256.8</v>
      </c>
      <c r="D444" s="3">
        <f t="shared" si="12"/>
        <v>1.755412521942612E-3</v>
      </c>
      <c r="F444" s="106">
        <v>44935</v>
      </c>
      <c r="G444" s="107">
        <v>18101.19921875</v>
      </c>
      <c r="H444" s="110">
        <f t="shared" si="13"/>
        <v>1.3536251708490276E-2</v>
      </c>
    </row>
    <row r="445" spans="2:8" ht="14.25" customHeight="1" x14ac:dyDescent="0.3">
      <c r="B445" s="105" t="s">
        <v>687</v>
      </c>
      <c r="C445" s="105">
        <v>257.89999999999998</v>
      </c>
      <c r="D445" s="3">
        <f t="shared" si="12"/>
        <v>4.2834890965730756E-3</v>
      </c>
      <c r="F445" s="106">
        <v>44936</v>
      </c>
      <c r="G445" s="107">
        <v>17914.150390625</v>
      </c>
      <c r="H445" s="109">
        <f t="shared" si="13"/>
        <v>-1.0333504750958532E-2</v>
      </c>
    </row>
    <row r="446" spans="2:8" ht="14.25" customHeight="1" x14ac:dyDescent="0.3">
      <c r="B446" s="105" t="s">
        <v>688</v>
      </c>
      <c r="C446" s="105">
        <v>251.55</v>
      </c>
      <c r="D446" s="3">
        <f t="shared" si="12"/>
        <v>-2.4621946490887812E-2</v>
      </c>
      <c r="F446" s="106">
        <v>44937</v>
      </c>
      <c r="G446" s="107">
        <v>17895.69921875</v>
      </c>
      <c r="H446" s="110">
        <f t="shared" si="13"/>
        <v>-1.0299775022909285E-3</v>
      </c>
    </row>
    <row r="447" spans="2:8" ht="14.25" customHeight="1" x14ac:dyDescent="0.3">
      <c r="B447" s="105" t="s">
        <v>689</v>
      </c>
      <c r="C447" s="105">
        <v>250.3</v>
      </c>
      <c r="D447" s="3">
        <f t="shared" si="12"/>
        <v>-4.9691910157026436E-3</v>
      </c>
      <c r="F447" s="106">
        <v>44938</v>
      </c>
      <c r="G447" s="107">
        <v>17858.19921875</v>
      </c>
      <c r="H447" s="109">
        <f t="shared" si="13"/>
        <v>-2.0954755408891671E-3</v>
      </c>
    </row>
    <row r="448" spans="2:8" ht="14.25" customHeight="1" x14ac:dyDescent="0.3">
      <c r="B448" s="105" t="s">
        <v>690</v>
      </c>
      <c r="C448" s="105">
        <v>252.05</v>
      </c>
      <c r="D448" s="3">
        <f t="shared" si="12"/>
        <v>6.9916100679184977E-3</v>
      </c>
      <c r="F448" s="106">
        <v>44939</v>
      </c>
      <c r="G448" s="107">
        <v>17956.599609375</v>
      </c>
      <c r="H448" s="110">
        <f t="shared" si="13"/>
        <v>5.5100959183883276E-3</v>
      </c>
    </row>
    <row r="449" spans="2:8" ht="14.25" customHeight="1" x14ac:dyDescent="0.3">
      <c r="B449" s="105" t="s">
        <v>691</v>
      </c>
      <c r="C449" s="105">
        <v>250.45</v>
      </c>
      <c r="D449" s="3">
        <f t="shared" si="12"/>
        <v>-6.3479468359453391E-3</v>
      </c>
      <c r="F449" s="106">
        <v>44942</v>
      </c>
      <c r="G449" s="107">
        <v>17894.849609375</v>
      </c>
      <c r="H449" s="109">
        <f t="shared" si="13"/>
        <v>-3.4388470725693972E-3</v>
      </c>
    </row>
    <row r="450" spans="2:8" ht="14.25" customHeight="1" x14ac:dyDescent="0.3">
      <c r="B450" s="105" t="s">
        <v>692</v>
      </c>
      <c r="C450" s="105">
        <v>249.35</v>
      </c>
      <c r="D450" s="3">
        <f t="shared" si="12"/>
        <v>-4.3920942303852838E-3</v>
      </c>
      <c r="F450" s="106">
        <v>44943</v>
      </c>
      <c r="G450" s="107">
        <v>18053.30078125</v>
      </c>
      <c r="H450" s="110">
        <f t="shared" si="13"/>
        <v>8.854568511824118E-3</v>
      </c>
    </row>
    <row r="451" spans="2:8" ht="14.25" customHeight="1" x14ac:dyDescent="0.3">
      <c r="B451" s="105" t="s">
        <v>693</v>
      </c>
      <c r="C451" s="105">
        <v>249.65</v>
      </c>
      <c r="D451" s="3">
        <f t="shared" si="12"/>
        <v>1.2031281331462257E-3</v>
      </c>
      <c r="F451" s="106">
        <v>44944</v>
      </c>
      <c r="G451" s="107">
        <v>18165.349609375</v>
      </c>
      <c r="H451" s="109">
        <f t="shared" si="13"/>
        <v>6.2065563235601173E-3</v>
      </c>
    </row>
    <row r="452" spans="2:8" ht="14.25" customHeight="1" x14ac:dyDescent="0.3">
      <c r="B452" s="105" t="s">
        <v>694</v>
      </c>
      <c r="C452" s="105">
        <v>249.2</v>
      </c>
      <c r="D452" s="3">
        <f t="shared" si="12"/>
        <v>-1.8025235329461929E-3</v>
      </c>
      <c r="F452" s="106">
        <v>44945</v>
      </c>
      <c r="G452" s="107">
        <v>18107.849609375</v>
      </c>
      <c r="H452" s="110">
        <f t="shared" si="13"/>
        <v>-3.1653670992560848E-3</v>
      </c>
    </row>
    <row r="453" spans="2:8" ht="14.25" customHeight="1" x14ac:dyDescent="0.3">
      <c r="B453" s="105" t="s">
        <v>695</v>
      </c>
      <c r="C453" s="105">
        <v>244.95</v>
      </c>
      <c r="D453" s="3">
        <f t="shared" ref="D453:D516" si="14">(C453-C452)/C452</f>
        <v>-1.7054574638844303E-2</v>
      </c>
      <c r="F453" s="106">
        <v>44946</v>
      </c>
      <c r="G453" s="107">
        <v>18027.650390625</v>
      </c>
      <c r="H453" s="109">
        <f t="shared" ref="H453:H516" si="15">(G453-G452)/G452</f>
        <v>-4.4289753051891022E-3</v>
      </c>
    </row>
    <row r="454" spans="2:8" ht="14.25" customHeight="1" x14ac:dyDescent="0.3">
      <c r="B454" s="105" t="s">
        <v>696</v>
      </c>
      <c r="C454" s="105">
        <v>248.35</v>
      </c>
      <c r="D454" s="3">
        <f t="shared" si="14"/>
        <v>1.3880383751786103E-2</v>
      </c>
      <c r="F454" s="106">
        <v>44949</v>
      </c>
      <c r="G454" s="107">
        <v>18118.55078125</v>
      </c>
      <c r="H454" s="110">
        <f t="shared" si="15"/>
        <v>5.042276095628709E-3</v>
      </c>
    </row>
    <row r="455" spans="2:8" ht="14.25" customHeight="1" x14ac:dyDescent="0.3">
      <c r="B455" s="105" t="s">
        <v>697</v>
      </c>
      <c r="C455" s="105">
        <v>246.15</v>
      </c>
      <c r="D455" s="3">
        <f t="shared" si="14"/>
        <v>-8.8584658747734597E-3</v>
      </c>
      <c r="F455" s="106">
        <v>44950</v>
      </c>
      <c r="G455" s="107">
        <v>18118.30078125</v>
      </c>
      <c r="H455" s="109">
        <f t="shared" si="15"/>
        <v>-1.3798013043003017E-5</v>
      </c>
    </row>
    <row r="456" spans="2:8" ht="14.25" customHeight="1" x14ac:dyDescent="0.3">
      <c r="B456" s="105" t="s">
        <v>698</v>
      </c>
      <c r="C456" s="105">
        <v>235.2</v>
      </c>
      <c r="D456" s="3">
        <f t="shared" si="14"/>
        <v>-4.4485070079220056E-2</v>
      </c>
      <c r="F456" s="106">
        <v>44951</v>
      </c>
      <c r="G456" s="107">
        <v>17891.94921875</v>
      </c>
      <c r="H456" s="110">
        <f t="shared" si="15"/>
        <v>-1.2492979625012262E-2</v>
      </c>
    </row>
    <row r="457" spans="2:8" ht="14.25" customHeight="1" x14ac:dyDescent="0.3">
      <c r="B457" s="105" t="s">
        <v>699</v>
      </c>
      <c r="C457" s="105">
        <v>235.5</v>
      </c>
      <c r="D457" s="3">
        <f t="shared" si="14"/>
        <v>1.2755102040816811E-3</v>
      </c>
      <c r="F457" s="106">
        <v>44953</v>
      </c>
      <c r="G457" s="107">
        <v>17604.349609375</v>
      </c>
      <c r="H457" s="109">
        <f t="shared" si="15"/>
        <v>-1.6074246906178778E-2</v>
      </c>
    </row>
    <row r="458" spans="2:8" ht="14.25" customHeight="1" x14ac:dyDescent="0.3">
      <c r="B458" s="105" t="s">
        <v>700</v>
      </c>
      <c r="C458" s="105">
        <v>233.45</v>
      </c>
      <c r="D458" s="3">
        <f t="shared" si="14"/>
        <v>-8.7048832271762692E-3</v>
      </c>
      <c r="F458" s="106">
        <v>44956</v>
      </c>
      <c r="G458" s="107">
        <v>17648.94921875</v>
      </c>
      <c r="H458" s="110">
        <f t="shared" si="15"/>
        <v>2.5334426073456854E-3</v>
      </c>
    </row>
    <row r="459" spans="2:8" ht="14.25" customHeight="1" x14ac:dyDescent="0.3">
      <c r="B459" s="105" t="s">
        <v>701</v>
      </c>
      <c r="C459" s="105">
        <v>235.05</v>
      </c>
      <c r="D459" s="3">
        <f t="shared" si="14"/>
        <v>6.8537159991433833E-3</v>
      </c>
      <c r="F459" s="106">
        <v>44957</v>
      </c>
      <c r="G459" s="107">
        <v>17662.150390625</v>
      </c>
      <c r="H459" s="109">
        <f t="shared" si="15"/>
        <v>7.4798628016761802E-4</v>
      </c>
    </row>
    <row r="460" spans="2:8" ht="14.25" customHeight="1" x14ac:dyDescent="0.3">
      <c r="B460" s="105" t="s">
        <v>702</v>
      </c>
      <c r="C460" s="105">
        <v>239.7</v>
      </c>
      <c r="D460" s="3">
        <f t="shared" si="14"/>
        <v>1.9783024888321538E-2</v>
      </c>
      <c r="F460" s="106">
        <v>44958</v>
      </c>
      <c r="G460" s="107">
        <v>17616.30078125</v>
      </c>
      <c r="H460" s="110">
        <f t="shared" si="15"/>
        <v>-2.5959245256645981E-3</v>
      </c>
    </row>
    <row r="461" spans="2:8" ht="14.25" customHeight="1" x14ac:dyDescent="0.3">
      <c r="B461" s="105" t="s">
        <v>703</v>
      </c>
      <c r="C461" s="105">
        <v>239.25</v>
      </c>
      <c r="D461" s="3">
        <f t="shared" si="14"/>
        <v>-1.8773466833541454E-3</v>
      </c>
      <c r="F461" s="106">
        <v>44959</v>
      </c>
      <c r="G461" s="107">
        <v>17610.400390625</v>
      </c>
      <c r="H461" s="109">
        <f t="shared" si="15"/>
        <v>-3.3493925304000889E-4</v>
      </c>
    </row>
    <row r="462" spans="2:8" ht="14.25" customHeight="1" x14ac:dyDescent="0.3">
      <c r="B462" s="105" t="s">
        <v>704</v>
      </c>
      <c r="C462" s="105">
        <v>233.25</v>
      </c>
      <c r="D462" s="3">
        <f t="shared" si="14"/>
        <v>-2.5078369905956112E-2</v>
      </c>
      <c r="F462" s="106">
        <v>44960</v>
      </c>
      <c r="G462" s="107">
        <v>17854.05078125</v>
      </c>
      <c r="H462" s="110">
        <f t="shared" si="15"/>
        <v>1.3835596307890234E-2</v>
      </c>
    </row>
    <row r="463" spans="2:8" ht="14.25" customHeight="1" x14ac:dyDescent="0.3">
      <c r="B463" s="105" t="s">
        <v>705</v>
      </c>
      <c r="C463" s="105">
        <v>241.05</v>
      </c>
      <c r="D463" s="3">
        <f t="shared" si="14"/>
        <v>3.3440514469453425E-2</v>
      </c>
      <c r="F463" s="106">
        <v>44963</v>
      </c>
      <c r="G463" s="107">
        <v>17764.599609375</v>
      </c>
      <c r="H463" s="109">
        <f t="shared" si="15"/>
        <v>-5.0101331608701366E-3</v>
      </c>
    </row>
    <row r="464" spans="2:8" ht="14.25" customHeight="1" x14ac:dyDescent="0.3">
      <c r="B464" s="105" t="s">
        <v>706</v>
      </c>
      <c r="C464" s="105">
        <v>237.75</v>
      </c>
      <c r="D464" s="3">
        <f t="shared" si="14"/>
        <v>-1.3690105787181129E-2</v>
      </c>
      <c r="F464" s="106">
        <v>44964</v>
      </c>
      <c r="G464" s="107">
        <v>17721.5</v>
      </c>
      <c r="H464" s="110">
        <f t="shared" si="15"/>
        <v>-2.4261514654264895E-3</v>
      </c>
    </row>
    <row r="465" spans="2:8" ht="14.25" customHeight="1" x14ac:dyDescent="0.3">
      <c r="B465" s="105" t="s">
        <v>707</v>
      </c>
      <c r="C465" s="105">
        <v>244.1</v>
      </c>
      <c r="D465" s="3">
        <f t="shared" si="14"/>
        <v>2.6708727655099872E-2</v>
      </c>
      <c r="F465" s="106">
        <v>44965</v>
      </c>
      <c r="G465" s="107">
        <v>17871.69921875</v>
      </c>
      <c r="H465" s="109">
        <f t="shared" si="15"/>
        <v>8.4755364246818839E-3</v>
      </c>
    </row>
    <row r="466" spans="2:8" ht="14.25" customHeight="1" x14ac:dyDescent="0.3">
      <c r="B466" s="105" t="s">
        <v>708</v>
      </c>
      <c r="C466" s="105">
        <v>243.15</v>
      </c>
      <c r="D466" s="3">
        <f t="shared" si="14"/>
        <v>-3.8918476034411663E-3</v>
      </c>
      <c r="F466" s="106">
        <v>44966</v>
      </c>
      <c r="G466" s="107">
        <v>17893.44921875</v>
      </c>
      <c r="H466" s="110">
        <f t="shared" si="15"/>
        <v>1.2170079483645908E-3</v>
      </c>
    </row>
    <row r="467" spans="2:8" ht="14.25" customHeight="1" x14ac:dyDescent="0.3">
      <c r="B467" s="105" t="s">
        <v>709</v>
      </c>
      <c r="C467" s="105">
        <v>242.35</v>
      </c>
      <c r="D467" s="3">
        <f t="shared" si="14"/>
        <v>-3.2901501130989568E-3</v>
      </c>
      <c r="F467" s="106">
        <v>44967</v>
      </c>
      <c r="G467" s="107">
        <v>17856.5</v>
      </c>
      <c r="H467" s="109">
        <f t="shared" si="15"/>
        <v>-2.0649578680046795E-3</v>
      </c>
    </row>
    <row r="468" spans="2:8" ht="14.25" customHeight="1" x14ac:dyDescent="0.3">
      <c r="B468" s="105" t="s">
        <v>710</v>
      </c>
      <c r="C468" s="105">
        <v>237.7</v>
      </c>
      <c r="D468" s="3">
        <f t="shared" si="14"/>
        <v>-1.9187126057355088E-2</v>
      </c>
      <c r="F468" s="106">
        <v>44970</v>
      </c>
      <c r="G468" s="107">
        <v>17770.900390625</v>
      </c>
      <c r="H468" s="110">
        <f t="shared" si="15"/>
        <v>-4.7937507000252013E-3</v>
      </c>
    </row>
    <row r="469" spans="2:8" ht="14.25" customHeight="1" x14ac:dyDescent="0.3">
      <c r="B469" s="105" t="s">
        <v>711</v>
      </c>
      <c r="C469" s="105">
        <v>234.95</v>
      </c>
      <c r="D469" s="3">
        <f t="shared" si="14"/>
        <v>-1.1569204880100967E-2</v>
      </c>
      <c r="F469" s="106">
        <v>44971</v>
      </c>
      <c r="G469" s="107">
        <v>17929.849609375</v>
      </c>
      <c r="H469" s="109">
        <f t="shared" si="15"/>
        <v>8.944353704995911E-3</v>
      </c>
    </row>
    <row r="470" spans="2:8" ht="14.25" customHeight="1" x14ac:dyDescent="0.3">
      <c r="B470" s="105" t="s">
        <v>712</v>
      </c>
      <c r="C470" s="105">
        <v>238.1</v>
      </c>
      <c r="D470" s="3">
        <f t="shared" si="14"/>
        <v>1.3407107895296897E-2</v>
      </c>
      <c r="F470" s="106">
        <v>44972</v>
      </c>
      <c r="G470" s="107">
        <v>18015.849609375</v>
      </c>
      <c r="H470" s="110">
        <f t="shared" si="15"/>
        <v>4.796470794436172E-3</v>
      </c>
    </row>
    <row r="471" spans="2:8" ht="14.25" customHeight="1" x14ac:dyDescent="0.3">
      <c r="B471" s="105" t="s">
        <v>713</v>
      </c>
      <c r="C471" s="105">
        <v>242.85</v>
      </c>
      <c r="D471" s="3">
        <f t="shared" si="14"/>
        <v>1.994960100797984E-2</v>
      </c>
      <c r="F471" s="106">
        <v>44973</v>
      </c>
      <c r="G471" s="107">
        <v>18035.849609375</v>
      </c>
      <c r="H471" s="109">
        <f t="shared" si="15"/>
        <v>1.110133600892877E-3</v>
      </c>
    </row>
    <row r="472" spans="2:8" ht="14.25" customHeight="1" x14ac:dyDescent="0.3">
      <c r="B472" s="105" t="s">
        <v>714</v>
      </c>
      <c r="C472" s="105">
        <v>232.5</v>
      </c>
      <c r="D472" s="3">
        <f t="shared" si="14"/>
        <v>-4.2618900555898682E-2</v>
      </c>
      <c r="F472" s="106">
        <v>44974</v>
      </c>
      <c r="G472" s="107">
        <v>17944.19921875</v>
      </c>
      <c r="H472" s="110">
        <f t="shared" si="15"/>
        <v>-5.0815676893513411E-3</v>
      </c>
    </row>
    <row r="473" spans="2:8" ht="14.25" customHeight="1" x14ac:dyDescent="0.3">
      <c r="B473" s="105" t="s">
        <v>715</v>
      </c>
      <c r="C473" s="105">
        <v>227.7</v>
      </c>
      <c r="D473" s="3">
        <f t="shared" si="14"/>
        <v>-2.0645161290322629E-2</v>
      </c>
      <c r="F473" s="106">
        <v>44977</v>
      </c>
      <c r="G473" s="107">
        <v>17844.599609375</v>
      </c>
      <c r="H473" s="109">
        <f t="shared" si="15"/>
        <v>-5.5505184801408012E-3</v>
      </c>
    </row>
    <row r="474" spans="2:8" ht="14.25" customHeight="1" x14ac:dyDescent="0.3">
      <c r="B474" s="105" t="s">
        <v>716</v>
      </c>
      <c r="C474" s="105">
        <v>227.15</v>
      </c>
      <c r="D474" s="3">
        <f t="shared" si="14"/>
        <v>-2.4154589371979929E-3</v>
      </c>
      <c r="F474" s="106">
        <v>44978</v>
      </c>
      <c r="G474" s="107">
        <v>17826.69921875</v>
      </c>
      <c r="H474" s="110">
        <f t="shared" si="15"/>
        <v>-1.0031264929920697E-3</v>
      </c>
    </row>
    <row r="475" spans="2:8" ht="14.25" customHeight="1" x14ac:dyDescent="0.3">
      <c r="B475" s="105" t="s">
        <v>717</v>
      </c>
      <c r="C475" s="105">
        <v>222.25</v>
      </c>
      <c r="D475" s="3">
        <f t="shared" si="14"/>
        <v>-2.1571648690292784E-2</v>
      </c>
      <c r="F475" s="106">
        <v>44979</v>
      </c>
      <c r="G475" s="107">
        <v>17554.30078125</v>
      </c>
      <c r="H475" s="109">
        <f t="shared" si="15"/>
        <v>-1.5280363131582609E-2</v>
      </c>
    </row>
    <row r="476" spans="2:8" ht="14.25" customHeight="1" x14ac:dyDescent="0.3">
      <c r="B476" s="105" t="s">
        <v>718</v>
      </c>
      <c r="C476" s="105">
        <v>220</v>
      </c>
      <c r="D476" s="3">
        <f t="shared" si="14"/>
        <v>-1.0123734533183352E-2</v>
      </c>
      <c r="F476" s="106">
        <v>44980</v>
      </c>
      <c r="G476" s="107">
        <v>17511.25</v>
      </c>
      <c r="H476" s="110">
        <f t="shared" si="15"/>
        <v>-2.4524349779846064E-3</v>
      </c>
    </row>
    <row r="477" spans="2:8" ht="14.25" customHeight="1" x14ac:dyDescent="0.3">
      <c r="B477" s="105" t="s">
        <v>719</v>
      </c>
      <c r="C477" s="105">
        <v>226.3</v>
      </c>
      <c r="D477" s="3">
        <f t="shared" si="14"/>
        <v>2.8636363636363689E-2</v>
      </c>
      <c r="F477" s="106">
        <v>44981</v>
      </c>
      <c r="G477" s="107">
        <v>17465.80078125</v>
      </c>
      <c r="H477" s="109">
        <f t="shared" si="15"/>
        <v>-2.5954297237490184E-3</v>
      </c>
    </row>
    <row r="478" spans="2:8" ht="14.25" customHeight="1" x14ac:dyDescent="0.3">
      <c r="B478" s="105" t="s">
        <v>720</v>
      </c>
      <c r="C478" s="105">
        <v>229.6</v>
      </c>
      <c r="D478" s="3">
        <f t="shared" si="14"/>
        <v>1.4582412726469212E-2</v>
      </c>
      <c r="F478" s="106">
        <v>44984</v>
      </c>
      <c r="G478" s="107">
        <v>17392.69921875</v>
      </c>
      <c r="H478" s="110">
        <f t="shared" si="15"/>
        <v>-4.1854114458053631E-3</v>
      </c>
    </row>
    <row r="479" spans="2:8" ht="14.25" customHeight="1" x14ac:dyDescent="0.3">
      <c r="B479" s="105" t="s">
        <v>721</v>
      </c>
      <c r="C479" s="105">
        <v>229.15</v>
      </c>
      <c r="D479" s="3">
        <f t="shared" si="14"/>
        <v>-1.9599303135888007E-3</v>
      </c>
      <c r="F479" s="106">
        <v>44985</v>
      </c>
      <c r="G479" s="107">
        <v>17303.94921875</v>
      </c>
      <c r="H479" s="109">
        <f t="shared" si="15"/>
        <v>-5.1027157362857215E-3</v>
      </c>
    </row>
    <row r="480" spans="2:8" ht="14.25" customHeight="1" x14ac:dyDescent="0.3">
      <c r="B480" s="105" t="s">
        <v>722</v>
      </c>
      <c r="C480" s="105">
        <v>227.15</v>
      </c>
      <c r="D480" s="3">
        <f t="shared" si="14"/>
        <v>-8.7279074841806678E-3</v>
      </c>
      <c r="F480" s="106">
        <v>44986</v>
      </c>
      <c r="G480" s="107">
        <v>17450.900390625</v>
      </c>
      <c r="H480" s="110">
        <f t="shared" si="15"/>
        <v>8.4923487706360379E-3</v>
      </c>
    </row>
    <row r="481" spans="2:8" ht="14.25" customHeight="1" x14ac:dyDescent="0.3">
      <c r="B481" s="105" t="s">
        <v>723</v>
      </c>
      <c r="C481" s="105">
        <v>223.5</v>
      </c>
      <c r="D481" s="3">
        <f t="shared" si="14"/>
        <v>-1.6068677085626263E-2</v>
      </c>
      <c r="F481" s="106">
        <v>44987</v>
      </c>
      <c r="G481" s="107">
        <v>17321.900390625</v>
      </c>
      <c r="H481" s="109">
        <f t="shared" si="15"/>
        <v>-7.3921687198043708E-3</v>
      </c>
    </row>
    <row r="482" spans="2:8" ht="14.25" customHeight="1" x14ac:dyDescent="0.3">
      <c r="B482" s="105" t="s">
        <v>724</v>
      </c>
      <c r="C482" s="105">
        <v>225.55</v>
      </c>
      <c r="D482" s="3">
        <f t="shared" si="14"/>
        <v>9.1722595078300283E-3</v>
      </c>
      <c r="F482" s="106">
        <v>44988</v>
      </c>
      <c r="G482" s="107">
        <v>17594.349609375</v>
      </c>
      <c r="H482" s="110">
        <f t="shared" si="15"/>
        <v>1.5728598629827915E-2</v>
      </c>
    </row>
    <row r="483" spans="2:8" ht="14.25" customHeight="1" x14ac:dyDescent="0.3">
      <c r="B483" s="105" t="s">
        <v>725</v>
      </c>
      <c r="C483" s="105">
        <v>226.4</v>
      </c>
      <c r="D483" s="3">
        <f t="shared" si="14"/>
        <v>3.7685657282198813E-3</v>
      </c>
      <c r="F483" s="106">
        <v>44991</v>
      </c>
      <c r="G483" s="107">
        <v>17711.44921875</v>
      </c>
      <c r="H483" s="109">
        <f t="shared" si="15"/>
        <v>6.6555236183669141E-3</v>
      </c>
    </row>
    <row r="484" spans="2:8" ht="14.25" customHeight="1" x14ac:dyDescent="0.3">
      <c r="B484" s="105" t="s">
        <v>726</v>
      </c>
      <c r="C484" s="105">
        <v>223.6</v>
      </c>
      <c r="D484" s="3">
        <f t="shared" si="14"/>
        <v>-1.2367491166077788E-2</v>
      </c>
      <c r="F484" s="106">
        <v>44993</v>
      </c>
      <c r="G484" s="107">
        <v>17754.400390625</v>
      </c>
      <c r="H484" s="110">
        <f t="shared" si="15"/>
        <v>2.4250512391459354E-3</v>
      </c>
    </row>
    <row r="485" spans="2:8" ht="14.25" customHeight="1" x14ac:dyDescent="0.3">
      <c r="B485" s="105" t="s">
        <v>727</v>
      </c>
      <c r="C485" s="105">
        <v>223.85</v>
      </c>
      <c r="D485" s="3">
        <f t="shared" si="14"/>
        <v>1.1180679785330948E-3</v>
      </c>
      <c r="F485" s="106">
        <v>44994</v>
      </c>
      <c r="G485" s="107">
        <v>17589.599609375</v>
      </c>
      <c r="H485" s="109">
        <f t="shared" si="15"/>
        <v>-9.2822498999752812E-3</v>
      </c>
    </row>
    <row r="486" spans="2:8" ht="14.25" customHeight="1" x14ac:dyDescent="0.3">
      <c r="B486" s="105" t="s">
        <v>728</v>
      </c>
      <c r="C486" s="105">
        <v>223.75</v>
      </c>
      <c r="D486" s="3">
        <f t="shared" si="14"/>
        <v>-4.467277194549668E-4</v>
      </c>
      <c r="F486" s="106">
        <v>44995</v>
      </c>
      <c r="G486" s="107">
        <v>17412.900390625</v>
      </c>
      <c r="H486" s="110">
        <f t="shared" si="15"/>
        <v>-1.0045664635585105E-2</v>
      </c>
    </row>
    <row r="487" spans="2:8" ht="14.25" customHeight="1" x14ac:dyDescent="0.3">
      <c r="B487" s="105" t="s">
        <v>729</v>
      </c>
      <c r="C487" s="105">
        <v>218.15</v>
      </c>
      <c r="D487" s="3">
        <f t="shared" si="14"/>
        <v>-2.5027932960893829E-2</v>
      </c>
      <c r="F487" s="106">
        <v>44998</v>
      </c>
      <c r="G487" s="107">
        <v>17154.30078125</v>
      </c>
      <c r="H487" s="109">
        <f t="shared" si="15"/>
        <v>-1.4851035931626214E-2</v>
      </c>
    </row>
    <row r="488" spans="2:8" ht="14.25" customHeight="1" x14ac:dyDescent="0.3">
      <c r="B488" s="105" t="s">
        <v>730</v>
      </c>
      <c r="C488" s="105">
        <v>217.8</v>
      </c>
      <c r="D488" s="3">
        <f t="shared" si="14"/>
        <v>-1.6044006417602306E-3</v>
      </c>
      <c r="F488" s="106">
        <v>44999</v>
      </c>
      <c r="G488" s="107">
        <v>17043.30078125</v>
      </c>
      <c r="H488" s="110">
        <f t="shared" si="15"/>
        <v>-6.470680525861203E-3</v>
      </c>
    </row>
    <row r="489" spans="2:8" ht="14.25" customHeight="1" x14ac:dyDescent="0.3">
      <c r="B489" s="105" t="s">
        <v>731</v>
      </c>
      <c r="C489" s="105">
        <v>221.25</v>
      </c>
      <c r="D489" s="3">
        <f t="shared" si="14"/>
        <v>1.584022038567488E-2</v>
      </c>
      <c r="F489" s="106">
        <v>45000</v>
      </c>
      <c r="G489" s="107">
        <v>16972.150390625</v>
      </c>
      <c r="H489" s="109">
        <f t="shared" si="15"/>
        <v>-4.1746837386848982E-3</v>
      </c>
    </row>
    <row r="490" spans="2:8" ht="14.25" customHeight="1" x14ac:dyDescent="0.3">
      <c r="B490" s="105" t="s">
        <v>732</v>
      </c>
      <c r="C490" s="105">
        <v>221.85</v>
      </c>
      <c r="D490" s="3">
        <f t="shared" si="14"/>
        <v>2.7118644067796352E-3</v>
      </c>
      <c r="F490" s="106">
        <v>45001</v>
      </c>
      <c r="G490" s="107">
        <v>16985.599609375</v>
      </c>
      <c r="H490" s="110">
        <f t="shared" si="15"/>
        <v>7.9242868113100259E-4</v>
      </c>
    </row>
    <row r="491" spans="2:8" ht="14.25" customHeight="1" x14ac:dyDescent="0.3">
      <c r="B491" s="105" t="s">
        <v>733</v>
      </c>
      <c r="C491" s="105">
        <v>202.3</v>
      </c>
      <c r="D491" s="3">
        <f t="shared" si="14"/>
        <v>-8.8122605363984599E-2</v>
      </c>
      <c r="F491" s="106">
        <v>45002</v>
      </c>
      <c r="G491" s="107">
        <v>17100.05078125</v>
      </c>
      <c r="H491" s="109">
        <f t="shared" si="15"/>
        <v>6.7381296219787279E-3</v>
      </c>
    </row>
    <row r="492" spans="2:8" ht="14.25" customHeight="1" x14ac:dyDescent="0.3">
      <c r="B492" s="105" t="s">
        <v>734</v>
      </c>
      <c r="C492" s="105">
        <v>201.75</v>
      </c>
      <c r="D492" s="3">
        <f t="shared" si="14"/>
        <v>-2.7187345526446432E-3</v>
      </c>
      <c r="F492" s="106">
        <v>45005</v>
      </c>
      <c r="G492" s="107">
        <v>16988.400390625</v>
      </c>
      <c r="H492" s="110">
        <f t="shared" si="15"/>
        <v>-6.5292432199922654E-3</v>
      </c>
    </row>
    <row r="493" spans="2:8" ht="14.25" customHeight="1" x14ac:dyDescent="0.3">
      <c r="B493" s="105" t="s">
        <v>735</v>
      </c>
      <c r="C493" s="105">
        <v>201.1</v>
      </c>
      <c r="D493" s="3">
        <f t="shared" si="14"/>
        <v>-3.2218091697645882E-3</v>
      </c>
      <c r="F493" s="106">
        <v>45006</v>
      </c>
      <c r="G493" s="107">
        <v>17107.5</v>
      </c>
      <c r="H493" s="109">
        <f t="shared" si="15"/>
        <v>7.0106429467441077E-3</v>
      </c>
    </row>
    <row r="494" spans="2:8" ht="14.25" customHeight="1" x14ac:dyDescent="0.3">
      <c r="B494" s="105" t="s">
        <v>736</v>
      </c>
      <c r="C494" s="105">
        <v>203.7</v>
      </c>
      <c r="D494" s="3">
        <f t="shared" si="14"/>
        <v>1.2928891098955715E-2</v>
      </c>
      <c r="F494" s="106">
        <v>45007</v>
      </c>
      <c r="G494" s="107">
        <v>17151.900390625</v>
      </c>
      <c r="H494" s="110">
        <f t="shared" si="15"/>
        <v>2.5953757489405233E-3</v>
      </c>
    </row>
    <row r="495" spans="2:8" ht="14.25" customHeight="1" x14ac:dyDescent="0.3">
      <c r="B495" s="105" t="s">
        <v>737</v>
      </c>
      <c r="C495" s="105">
        <v>207</v>
      </c>
      <c r="D495" s="3">
        <f t="shared" si="14"/>
        <v>1.6200294550810072E-2</v>
      </c>
      <c r="F495" s="106">
        <v>45008</v>
      </c>
      <c r="G495" s="107">
        <v>17076.900390625</v>
      </c>
      <c r="H495" s="109">
        <f t="shared" si="15"/>
        <v>-4.3726933046436068E-3</v>
      </c>
    </row>
    <row r="496" spans="2:8" ht="14.25" customHeight="1" x14ac:dyDescent="0.3">
      <c r="B496" s="105" t="s">
        <v>738</v>
      </c>
      <c r="C496" s="105">
        <v>198.7</v>
      </c>
      <c r="D496" s="3">
        <f t="shared" si="14"/>
        <v>-4.0096618357487977E-2</v>
      </c>
      <c r="F496" s="106">
        <v>45009</v>
      </c>
      <c r="G496" s="107">
        <v>16945.05078125</v>
      </c>
      <c r="H496" s="110">
        <f t="shared" si="15"/>
        <v>-7.7209333285906939E-3</v>
      </c>
    </row>
    <row r="497" spans="2:8" ht="14.25" customHeight="1" x14ac:dyDescent="0.3">
      <c r="B497" s="105" t="s">
        <v>739</v>
      </c>
      <c r="C497" s="105">
        <v>206.65</v>
      </c>
      <c r="D497" s="3">
        <f t="shared" si="14"/>
        <v>4.0010065425264307E-2</v>
      </c>
      <c r="F497" s="106">
        <v>45012</v>
      </c>
      <c r="G497" s="107">
        <v>16985.69921875</v>
      </c>
      <c r="H497" s="109">
        <f t="shared" si="15"/>
        <v>2.3988383407489234E-3</v>
      </c>
    </row>
    <row r="498" spans="2:8" ht="14.25" customHeight="1" x14ac:dyDescent="0.3">
      <c r="B498" s="105" t="s">
        <v>740</v>
      </c>
      <c r="C498" s="105">
        <v>202.5</v>
      </c>
      <c r="D498" s="3">
        <f t="shared" si="14"/>
        <v>-2.0082264698766058E-2</v>
      </c>
      <c r="F498" s="106">
        <v>45013</v>
      </c>
      <c r="G498" s="107">
        <v>16951.69921875</v>
      </c>
      <c r="H498" s="110">
        <f t="shared" si="15"/>
        <v>-2.0016838613548761E-3</v>
      </c>
    </row>
    <row r="499" spans="2:8" ht="14.25" customHeight="1" x14ac:dyDescent="0.3">
      <c r="B499" s="105" t="s">
        <v>741</v>
      </c>
      <c r="C499" s="105">
        <v>201.6</v>
      </c>
      <c r="D499" s="3">
        <f t="shared" si="14"/>
        <v>-4.4444444444444722E-3</v>
      </c>
      <c r="F499" s="106">
        <v>45014</v>
      </c>
      <c r="G499" s="107">
        <v>17080.69921875</v>
      </c>
      <c r="H499" s="109">
        <f t="shared" si="15"/>
        <v>7.6098565893214518E-3</v>
      </c>
    </row>
    <row r="500" spans="2:8" ht="14.25" customHeight="1" x14ac:dyDescent="0.3">
      <c r="B500" s="105" t="s">
        <v>742</v>
      </c>
      <c r="C500" s="105">
        <v>206.35</v>
      </c>
      <c r="D500" s="3">
        <f t="shared" si="14"/>
        <v>2.3561507936507936E-2</v>
      </c>
      <c r="F500" s="106">
        <v>45016</v>
      </c>
      <c r="G500" s="107">
        <v>17359.75</v>
      </c>
      <c r="H500" s="110">
        <f t="shared" si="15"/>
        <v>1.6337198944623856E-2</v>
      </c>
    </row>
    <row r="501" spans="2:8" ht="14.25" customHeight="1" x14ac:dyDescent="0.3">
      <c r="B501" s="105" t="s">
        <v>743</v>
      </c>
      <c r="C501" s="105">
        <v>209.35</v>
      </c>
      <c r="D501" s="3">
        <f t="shared" si="14"/>
        <v>1.4538405621516841E-2</v>
      </c>
      <c r="F501" s="106">
        <v>45019</v>
      </c>
      <c r="G501" s="107">
        <v>17398.05078125</v>
      </c>
      <c r="H501" s="109">
        <f t="shared" si="15"/>
        <v>2.2062979737611428E-3</v>
      </c>
    </row>
    <row r="502" spans="2:8" ht="14.25" customHeight="1" x14ac:dyDescent="0.3">
      <c r="B502" s="105" t="s">
        <v>744</v>
      </c>
      <c r="C502" s="105">
        <v>212.5</v>
      </c>
      <c r="D502" s="3">
        <f t="shared" si="14"/>
        <v>1.5046572725101532E-2</v>
      </c>
      <c r="F502" s="106">
        <v>45021</v>
      </c>
      <c r="G502" s="107">
        <v>17557.05078125</v>
      </c>
      <c r="H502" s="110">
        <f t="shared" si="15"/>
        <v>9.1389548173612303E-3</v>
      </c>
    </row>
    <row r="503" spans="2:8" ht="14.25" customHeight="1" x14ac:dyDescent="0.3">
      <c r="B503" s="105" t="s">
        <v>745</v>
      </c>
      <c r="C503" s="105">
        <v>215.8</v>
      </c>
      <c r="D503" s="3">
        <f t="shared" si="14"/>
        <v>1.5529411764705936E-2</v>
      </c>
      <c r="F503" s="106">
        <v>45022</v>
      </c>
      <c r="G503" s="107">
        <v>17599.150390625</v>
      </c>
      <c r="H503" s="109">
        <f t="shared" si="15"/>
        <v>2.3978747854372074E-3</v>
      </c>
    </row>
    <row r="504" spans="2:8" ht="14.25" customHeight="1" x14ac:dyDescent="0.3">
      <c r="B504" s="105" t="s">
        <v>746</v>
      </c>
      <c r="C504" s="105">
        <v>215.5</v>
      </c>
      <c r="D504" s="3">
        <f t="shared" si="14"/>
        <v>-1.3901760889713224E-3</v>
      </c>
      <c r="F504" s="106">
        <v>45026</v>
      </c>
      <c r="G504" s="107">
        <v>17624.05078125</v>
      </c>
      <c r="H504" s="110">
        <f t="shared" si="15"/>
        <v>1.4148632219350965E-3</v>
      </c>
    </row>
    <row r="505" spans="2:8" ht="14.25" customHeight="1" x14ac:dyDescent="0.3">
      <c r="B505" s="105" t="s">
        <v>747</v>
      </c>
      <c r="C505" s="105">
        <v>216</v>
      </c>
      <c r="D505" s="3">
        <f t="shared" si="14"/>
        <v>2.3201856148491878E-3</v>
      </c>
      <c r="F505" s="106">
        <v>45027</v>
      </c>
      <c r="G505" s="107">
        <v>17722.30078125</v>
      </c>
      <c r="H505" s="109">
        <f t="shared" si="15"/>
        <v>5.574768321964148E-3</v>
      </c>
    </row>
    <row r="506" spans="2:8" ht="14.25" customHeight="1" x14ac:dyDescent="0.3">
      <c r="B506" s="105" t="s">
        <v>748</v>
      </c>
      <c r="C506" s="105">
        <v>223.65</v>
      </c>
      <c r="D506" s="3">
        <f t="shared" si="14"/>
        <v>3.5416666666666693E-2</v>
      </c>
      <c r="F506" s="106">
        <v>45028</v>
      </c>
      <c r="G506" s="107">
        <v>17812.400390625</v>
      </c>
      <c r="H506" s="110">
        <f t="shared" si="15"/>
        <v>5.0839679614468796E-3</v>
      </c>
    </row>
    <row r="507" spans="2:8" ht="14.25" customHeight="1" x14ac:dyDescent="0.3">
      <c r="B507" s="105" t="s">
        <v>749</v>
      </c>
      <c r="C507" s="105">
        <v>224.1</v>
      </c>
      <c r="D507" s="3">
        <f t="shared" si="14"/>
        <v>2.0120724346075949E-3</v>
      </c>
      <c r="F507" s="106">
        <v>45029</v>
      </c>
      <c r="G507" s="107">
        <v>17828</v>
      </c>
      <c r="H507" s="109">
        <f t="shared" si="15"/>
        <v>8.7577244127132723E-4</v>
      </c>
    </row>
    <row r="508" spans="2:8" ht="14.25" customHeight="1" x14ac:dyDescent="0.3">
      <c r="B508" s="105" t="s">
        <v>750</v>
      </c>
      <c r="C508" s="105">
        <v>223.95</v>
      </c>
      <c r="D508" s="3">
        <f t="shared" si="14"/>
        <v>-6.6934404283804409E-4</v>
      </c>
      <c r="F508" s="106">
        <v>45033</v>
      </c>
      <c r="G508" s="107">
        <v>17706.849609375</v>
      </c>
      <c r="H508" s="110">
        <f t="shared" si="15"/>
        <v>-6.7955121508301549E-3</v>
      </c>
    </row>
    <row r="509" spans="2:8" ht="14.25" customHeight="1" x14ac:dyDescent="0.3">
      <c r="B509" s="105" t="s">
        <v>751</v>
      </c>
      <c r="C509" s="105">
        <v>232.1</v>
      </c>
      <c r="D509" s="3">
        <f t="shared" si="14"/>
        <v>3.6392051797276205E-2</v>
      </c>
      <c r="F509" s="106">
        <v>45034</v>
      </c>
      <c r="G509" s="107">
        <v>17660.150390625</v>
      </c>
      <c r="H509" s="109">
        <f t="shared" si="15"/>
        <v>-2.6373533282439362E-3</v>
      </c>
    </row>
    <row r="510" spans="2:8" ht="14.25" customHeight="1" x14ac:dyDescent="0.3">
      <c r="B510" s="105" t="s">
        <v>752</v>
      </c>
      <c r="C510" s="105">
        <v>229.4</v>
      </c>
      <c r="D510" s="3">
        <f t="shared" si="14"/>
        <v>-1.163291684618694E-2</v>
      </c>
      <c r="F510" s="106">
        <v>45035</v>
      </c>
      <c r="G510" s="107">
        <v>17618.75</v>
      </c>
      <c r="H510" s="110">
        <f t="shared" si="15"/>
        <v>-2.3442830162407708E-3</v>
      </c>
    </row>
    <row r="511" spans="2:8" ht="14.25" customHeight="1" x14ac:dyDescent="0.3">
      <c r="B511" s="105" t="s">
        <v>753</v>
      </c>
      <c r="C511" s="105">
        <v>229.5</v>
      </c>
      <c r="D511" s="3">
        <f t="shared" si="14"/>
        <v>4.3591979075847562E-4</v>
      </c>
      <c r="F511" s="106">
        <v>45036</v>
      </c>
      <c r="G511" s="107">
        <v>17624.44921875</v>
      </c>
      <c r="H511" s="109">
        <f t="shared" si="15"/>
        <v>3.2347463639588507E-4</v>
      </c>
    </row>
    <row r="512" spans="2:8" ht="14.25" customHeight="1" x14ac:dyDescent="0.3">
      <c r="B512" s="105" t="s">
        <v>754</v>
      </c>
      <c r="C512" s="105">
        <v>228.85</v>
      </c>
      <c r="D512" s="3">
        <f t="shared" si="14"/>
        <v>-2.8322440087146217E-3</v>
      </c>
      <c r="F512" s="106">
        <v>45037</v>
      </c>
      <c r="G512" s="107">
        <v>17624.05078125</v>
      </c>
      <c r="H512" s="110">
        <f t="shared" si="15"/>
        <v>-2.2607089450268724E-5</v>
      </c>
    </row>
    <row r="513" spans="2:8" ht="14.25" customHeight="1" x14ac:dyDescent="0.3">
      <c r="B513" s="105" t="s">
        <v>755</v>
      </c>
      <c r="C513" s="105">
        <v>225.65</v>
      </c>
      <c r="D513" s="3">
        <f t="shared" si="14"/>
        <v>-1.3982958269608865E-2</v>
      </c>
      <c r="F513" s="106">
        <v>45040</v>
      </c>
      <c r="G513" s="107">
        <v>17743.400390625</v>
      </c>
      <c r="H513" s="109">
        <f t="shared" si="15"/>
        <v>6.7719737565653465E-3</v>
      </c>
    </row>
    <row r="514" spans="2:8" ht="14.25" customHeight="1" x14ac:dyDescent="0.3">
      <c r="B514" s="105" t="s">
        <v>756</v>
      </c>
      <c r="C514" s="105">
        <v>230.9</v>
      </c>
      <c r="D514" s="3">
        <f t="shared" si="14"/>
        <v>2.326612009749612E-2</v>
      </c>
      <c r="F514" s="106">
        <v>45041</v>
      </c>
      <c r="G514" s="107">
        <v>17769.25</v>
      </c>
      <c r="H514" s="110">
        <f t="shared" si="15"/>
        <v>1.4568576938982925E-3</v>
      </c>
    </row>
    <row r="515" spans="2:8" ht="14.25" customHeight="1" x14ac:dyDescent="0.3">
      <c r="B515" s="105" t="s">
        <v>757</v>
      </c>
      <c r="C515" s="105">
        <v>230.8</v>
      </c>
      <c r="D515" s="3">
        <f t="shared" si="14"/>
        <v>-4.3308791684709534E-4</v>
      </c>
      <c r="F515" s="106">
        <v>45042</v>
      </c>
      <c r="G515" s="107">
        <v>17813.599609375</v>
      </c>
      <c r="H515" s="109">
        <f t="shared" si="15"/>
        <v>2.495862761512163E-3</v>
      </c>
    </row>
    <row r="516" spans="2:8" ht="14.25" customHeight="1" x14ac:dyDescent="0.3">
      <c r="B516" s="105" t="s">
        <v>758</v>
      </c>
      <c r="C516" s="105">
        <v>232.95</v>
      </c>
      <c r="D516" s="3">
        <f t="shared" si="14"/>
        <v>9.3154246100518937E-3</v>
      </c>
      <c r="F516" s="106">
        <v>45043</v>
      </c>
      <c r="G516" s="107">
        <v>17915.05078125</v>
      </c>
      <c r="H516" s="110">
        <f t="shared" si="15"/>
        <v>5.6951528101938445E-3</v>
      </c>
    </row>
    <row r="517" spans="2:8" ht="14.25" customHeight="1" x14ac:dyDescent="0.3">
      <c r="B517" s="105" t="s">
        <v>759</v>
      </c>
      <c r="C517" s="105">
        <v>232.55</v>
      </c>
      <c r="D517" s="3">
        <f t="shared" ref="D517:D580" si="16">(C517-C516)/C516</f>
        <v>-1.7171066752521024E-3</v>
      </c>
      <c r="F517" s="106">
        <v>45044</v>
      </c>
      <c r="G517" s="107">
        <v>18065</v>
      </c>
      <c r="H517" s="109">
        <f t="shared" ref="H517:H580" si="17">(G517-G516)/G516</f>
        <v>8.3700136036978338E-3</v>
      </c>
    </row>
    <row r="518" spans="2:8" ht="14.25" customHeight="1" x14ac:dyDescent="0.3">
      <c r="B518" s="105" t="s">
        <v>760</v>
      </c>
      <c r="C518" s="105">
        <v>238.9</v>
      </c>
      <c r="D518" s="3">
        <f t="shared" si="16"/>
        <v>2.7305955708449771E-2</v>
      </c>
      <c r="F518" s="106">
        <v>45048</v>
      </c>
      <c r="G518" s="107">
        <v>18147.650390625</v>
      </c>
      <c r="H518" s="110">
        <f t="shared" si="17"/>
        <v>4.5751669319125379E-3</v>
      </c>
    </row>
    <row r="519" spans="2:8" ht="14.25" customHeight="1" x14ac:dyDescent="0.3">
      <c r="B519" s="105" t="s">
        <v>761</v>
      </c>
      <c r="C519" s="105">
        <v>238.25</v>
      </c>
      <c r="D519" s="3">
        <f t="shared" si="16"/>
        <v>-2.7208036835496261E-3</v>
      </c>
      <c r="F519" s="106">
        <v>45049</v>
      </c>
      <c r="G519" s="107">
        <v>18089.849609375</v>
      </c>
      <c r="H519" s="109">
        <f t="shared" si="17"/>
        <v>-3.18502836487635E-3</v>
      </c>
    </row>
    <row r="520" spans="2:8" ht="14.25" customHeight="1" x14ac:dyDescent="0.3">
      <c r="B520" s="105" t="s">
        <v>762</v>
      </c>
      <c r="C520" s="105">
        <v>241.5</v>
      </c>
      <c r="D520" s="3">
        <f t="shared" si="16"/>
        <v>1.3641133263378805E-2</v>
      </c>
      <c r="F520" s="106">
        <v>45050</v>
      </c>
      <c r="G520" s="107">
        <v>18255.80078125</v>
      </c>
      <c r="H520" s="110">
        <f t="shared" si="17"/>
        <v>9.173717607303733E-3</v>
      </c>
    </row>
    <row r="521" spans="2:8" ht="14.25" customHeight="1" x14ac:dyDescent="0.3">
      <c r="B521" s="105" t="s">
        <v>763</v>
      </c>
      <c r="C521" s="105">
        <v>242.85</v>
      </c>
      <c r="D521" s="3">
        <f t="shared" si="16"/>
        <v>5.5900621118012183E-3</v>
      </c>
      <c r="F521" s="106">
        <v>45051</v>
      </c>
      <c r="G521" s="107">
        <v>18069</v>
      </c>
      <c r="H521" s="109">
        <f t="shared" si="17"/>
        <v>-1.0232406865540384E-2</v>
      </c>
    </row>
    <row r="522" spans="2:8" ht="14.25" customHeight="1" x14ac:dyDescent="0.3">
      <c r="B522" s="105" t="s">
        <v>764</v>
      </c>
      <c r="C522" s="105">
        <v>244.3</v>
      </c>
      <c r="D522" s="3">
        <f t="shared" si="16"/>
        <v>5.9707638459955406E-3</v>
      </c>
      <c r="F522" s="106">
        <v>45054</v>
      </c>
      <c r="G522" s="107">
        <v>18264.400390625</v>
      </c>
      <c r="H522" s="110">
        <f t="shared" si="17"/>
        <v>1.0814123118324201E-2</v>
      </c>
    </row>
    <row r="523" spans="2:8" ht="14.25" customHeight="1" x14ac:dyDescent="0.3">
      <c r="B523" s="105" t="s">
        <v>765</v>
      </c>
      <c r="C523" s="105">
        <v>246.25</v>
      </c>
      <c r="D523" s="3">
        <f t="shared" si="16"/>
        <v>7.9819893573474764E-3</v>
      </c>
      <c r="F523" s="106">
        <v>45055</v>
      </c>
      <c r="G523" s="107">
        <v>18265.94921875</v>
      </c>
      <c r="H523" s="109">
        <f t="shared" si="17"/>
        <v>8.4800381719347525E-5</v>
      </c>
    </row>
    <row r="524" spans="2:8" ht="14.25" customHeight="1" x14ac:dyDescent="0.3">
      <c r="B524" s="105" t="s">
        <v>766</v>
      </c>
      <c r="C524" s="105">
        <v>246.55</v>
      </c>
      <c r="D524" s="3">
        <f t="shared" si="16"/>
        <v>1.2182741116751731E-3</v>
      </c>
      <c r="F524" s="106">
        <v>45056</v>
      </c>
      <c r="G524" s="107">
        <v>18315.099609375</v>
      </c>
      <c r="H524" s="110">
        <f t="shared" si="17"/>
        <v>2.6908205008337105E-3</v>
      </c>
    </row>
    <row r="525" spans="2:8" ht="14.25" customHeight="1" x14ac:dyDescent="0.3">
      <c r="B525" s="105" t="s">
        <v>767</v>
      </c>
      <c r="C525" s="105">
        <v>246.1</v>
      </c>
      <c r="D525" s="3">
        <f t="shared" si="16"/>
        <v>-1.8251875887244657E-3</v>
      </c>
      <c r="F525" s="106">
        <v>45057</v>
      </c>
      <c r="G525" s="107">
        <v>18297</v>
      </c>
      <c r="H525" s="109">
        <f t="shared" si="17"/>
        <v>-9.8823428542727139E-4</v>
      </c>
    </row>
    <row r="526" spans="2:8" ht="14.25" customHeight="1" x14ac:dyDescent="0.3">
      <c r="B526" s="105" t="s">
        <v>768</v>
      </c>
      <c r="C526" s="105">
        <v>245.1</v>
      </c>
      <c r="D526" s="3">
        <f t="shared" si="16"/>
        <v>-4.0633888663145065E-3</v>
      </c>
      <c r="F526" s="106">
        <v>45058</v>
      </c>
      <c r="G526" s="107">
        <v>18314.80078125</v>
      </c>
      <c r="H526" s="110">
        <f t="shared" si="17"/>
        <v>9.7287977537301195E-4</v>
      </c>
    </row>
    <row r="527" spans="2:8" ht="14.25" customHeight="1" x14ac:dyDescent="0.3">
      <c r="B527" s="105" t="s">
        <v>769</v>
      </c>
      <c r="C527" s="105">
        <v>247.95</v>
      </c>
      <c r="D527" s="3">
        <f t="shared" si="16"/>
        <v>1.1627906976744163E-2</v>
      </c>
      <c r="F527" s="106">
        <v>45061</v>
      </c>
      <c r="G527" s="107">
        <v>18398.849609375</v>
      </c>
      <c r="H527" s="109">
        <f t="shared" si="17"/>
        <v>4.589120522186952E-3</v>
      </c>
    </row>
    <row r="528" spans="2:8" ht="14.25" customHeight="1" x14ac:dyDescent="0.3">
      <c r="B528" s="105" t="s">
        <v>770</v>
      </c>
      <c r="C528" s="105">
        <v>246.25</v>
      </c>
      <c r="D528" s="3">
        <f t="shared" si="16"/>
        <v>-6.8562210123008218E-3</v>
      </c>
      <c r="F528" s="106">
        <v>45062</v>
      </c>
      <c r="G528" s="107">
        <v>18286.5</v>
      </c>
      <c r="H528" s="110">
        <f t="shared" si="17"/>
        <v>-6.1063388070606911E-3</v>
      </c>
    </row>
    <row r="529" spans="2:8" ht="14.25" customHeight="1" x14ac:dyDescent="0.3">
      <c r="B529" s="105" t="s">
        <v>771</v>
      </c>
      <c r="C529" s="105">
        <v>245.45</v>
      </c>
      <c r="D529" s="3">
        <f t="shared" si="16"/>
        <v>-3.2487309644670514E-3</v>
      </c>
      <c r="F529" s="106">
        <v>45063</v>
      </c>
      <c r="G529" s="107">
        <v>18181.75</v>
      </c>
      <c r="H529" s="109">
        <f t="shared" si="17"/>
        <v>-5.7282694884204198E-3</v>
      </c>
    </row>
    <row r="530" spans="2:8" ht="14.25" customHeight="1" x14ac:dyDescent="0.3">
      <c r="B530" s="105" t="s">
        <v>772</v>
      </c>
      <c r="C530" s="105">
        <v>245.05</v>
      </c>
      <c r="D530" s="3">
        <f t="shared" si="16"/>
        <v>-1.6296598085148799E-3</v>
      </c>
      <c r="F530" s="106">
        <v>45064</v>
      </c>
      <c r="G530" s="107">
        <v>18129.94921875</v>
      </c>
      <c r="H530" s="110">
        <f t="shared" si="17"/>
        <v>-2.8490536527011976E-3</v>
      </c>
    </row>
    <row r="531" spans="2:8" ht="14.25" customHeight="1" x14ac:dyDescent="0.3">
      <c r="B531" s="105" t="s">
        <v>773</v>
      </c>
      <c r="C531" s="105">
        <v>241.75</v>
      </c>
      <c r="D531" s="3">
        <f t="shared" si="16"/>
        <v>-1.3466639461334468E-2</v>
      </c>
      <c r="F531" s="106">
        <v>45065</v>
      </c>
      <c r="G531" s="107">
        <v>18203.400390625</v>
      </c>
      <c r="H531" s="109">
        <f t="shared" si="17"/>
        <v>4.051372179191587E-3</v>
      </c>
    </row>
    <row r="532" spans="2:8" ht="14.25" customHeight="1" x14ac:dyDescent="0.3">
      <c r="B532" s="105" t="s">
        <v>774</v>
      </c>
      <c r="C532" s="105">
        <v>240.45</v>
      </c>
      <c r="D532" s="3">
        <f t="shared" si="16"/>
        <v>-5.3774560496381027E-3</v>
      </c>
      <c r="F532" s="106">
        <v>45068</v>
      </c>
      <c r="G532" s="107">
        <v>18314.400390625</v>
      </c>
      <c r="H532" s="110">
        <f t="shared" si="17"/>
        <v>6.0977618257062847E-3</v>
      </c>
    </row>
    <row r="533" spans="2:8" ht="14.25" customHeight="1" x14ac:dyDescent="0.3">
      <c r="B533" s="105" t="s">
        <v>775</v>
      </c>
      <c r="C533" s="105">
        <v>242.15</v>
      </c>
      <c r="D533" s="3">
        <f t="shared" si="16"/>
        <v>7.0700769390726432E-3</v>
      </c>
      <c r="F533" s="106">
        <v>45069</v>
      </c>
      <c r="G533" s="107">
        <v>18348</v>
      </c>
      <c r="H533" s="109">
        <f t="shared" si="17"/>
        <v>1.8346005688616145E-3</v>
      </c>
    </row>
    <row r="534" spans="2:8" ht="14.25" customHeight="1" x14ac:dyDescent="0.3">
      <c r="B534" s="105" t="s">
        <v>776</v>
      </c>
      <c r="C534" s="105">
        <v>243</v>
      </c>
      <c r="D534" s="3">
        <f t="shared" si="16"/>
        <v>3.5102209374354505E-3</v>
      </c>
      <c r="F534" s="106">
        <v>45070</v>
      </c>
      <c r="G534" s="107">
        <v>18285.400390625</v>
      </c>
      <c r="H534" s="110">
        <f t="shared" si="17"/>
        <v>-3.4117947119577064E-3</v>
      </c>
    </row>
    <row r="535" spans="2:8" ht="14.25" customHeight="1" x14ac:dyDescent="0.3">
      <c r="B535" s="105" t="s">
        <v>777</v>
      </c>
      <c r="C535" s="105">
        <v>239.85</v>
      </c>
      <c r="D535" s="3">
        <f t="shared" si="16"/>
        <v>-1.2962962962962987E-2</v>
      </c>
      <c r="F535" s="106">
        <v>45071</v>
      </c>
      <c r="G535" s="107">
        <v>18321.150390625</v>
      </c>
      <c r="H535" s="109">
        <f t="shared" si="17"/>
        <v>1.955111686716424E-3</v>
      </c>
    </row>
    <row r="536" spans="2:8" ht="14.25" customHeight="1" x14ac:dyDescent="0.3">
      <c r="B536" s="105" t="s">
        <v>778</v>
      </c>
      <c r="C536" s="105">
        <v>239.45</v>
      </c>
      <c r="D536" s="3">
        <f t="shared" si="16"/>
        <v>-1.6677089847821791E-3</v>
      </c>
      <c r="F536" s="106">
        <v>45072</v>
      </c>
      <c r="G536" s="107">
        <v>18499.349609375</v>
      </c>
      <c r="H536" s="110">
        <f t="shared" si="17"/>
        <v>9.7264208278747162E-3</v>
      </c>
    </row>
    <row r="537" spans="2:8" ht="14.25" customHeight="1" x14ac:dyDescent="0.3">
      <c r="B537" s="105" t="s">
        <v>779</v>
      </c>
      <c r="C537" s="105">
        <v>242.05</v>
      </c>
      <c r="D537" s="3">
        <f t="shared" si="16"/>
        <v>1.0858216746711309E-2</v>
      </c>
      <c r="F537" s="106">
        <v>45075</v>
      </c>
      <c r="G537" s="107">
        <v>18598.650390625</v>
      </c>
      <c r="H537" s="109">
        <f t="shared" si="17"/>
        <v>5.3677985089636282E-3</v>
      </c>
    </row>
    <row r="538" spans="2:8" ht="14.25" customHeight="1" x14ac:dyDescent="0.3">
      <c r="B538" s="105" t="s">
        <v>780</v>
      </c>
      <c r="C538" s="105">
        <v>241.65</v>
      </c>
      <c r="D538" s="3">
        <f t="shared" si="16"/>
        <v>-1.6525511258004778E-3</v>
      </c>
      <c r="F538" s="106">
        <v>45076</v>
      </c>
      <c r="G538" s="107">
        <v>18633.849609375</v>
      </c>
      <c r="H538" s="110">
        <f t="shared" si="17"/>
        <v>1.892568439683281E-3</v>
      </c>
    </row>
    <row r="539" spans="2:8" ht="14.25" customHeight="1" x14ac:dyDescent="0.3">
      <c r="B539" s="105" t="s">
        <v>781</v>
      </c>
      <c r="C539" s="105">
        <v>245.2</v>
      </c>
      <c r="D539" s="3">
        <f t="shared" si="16"/>
        <v>1.4690668321953168E-2</v>
      </c>
      <c r="F539" s="106">
        <v>45077</v>
      </c>
      <c r="G539" s="107">
        <v>18534.400390625</v>
      </c>
      <c r="H539" s="109">
        <f t="shared" si="17"/>
        <v>-5.33701950132545E-3</v>
      </c>
    </row>
    <row r="540" spans="2:8" ht="14.25" customHeight="1" x14ac:dyDescent="0.3">
      <c r="B540" s="105" t="s">
        <v>782</v>
      </c>
      <c r="C540" s="105">
        <v>245.3</v>
      </c>
      <c r="D540" s="3">
        <f t="shared" si="16"/>
        <v>4.0783034257758054E-4</v>
      </c>
      <c r="F540" s="106">
        <v>45078</v>
      </c>
      <c r="G540" s="107">
        <v>18487.75</v>
      </c>
      <c r="H540" s="110">
        <f t="shared" si="17"/>
        <v>-2.5169624936232909E-3</v>
      </c>
    </row>
    <row r="541" spans="2:8" ht="14.25" customHeight="1" x14ac:dyDescent="0.3">
      <c r="B541" s="105" t="s">
        <v>783</v>
      </c>
      <c r="C541" s="105">
        <v>240.25</v>
      </c>
      <c r="D541" s="3">
        <f t="shared" si="16"/>
        <v>-2.0587036282103593E-2</v>
      </c>
      <c r="F541" s="106">
        <v>45079</v>
      </c>
      <c r="G541" s="107">
        <v>18534.099609375</v>
      </c>
      <c r="H541" s="109">
        <f t="shared" si="17"/>
        <v>2.5070443604548959E-3</v>
      </c>
    </row>
    <row r="542" spans="2:8" ht="14.25" customHeight="1" x14ac:dyDescent="0.3">
      <c r="B542" s="105" t="s">
        <v>784</v>
      </c>
      <c r="C542" s="105">
        <v>241.4</v>
      </c>
      <c r="D542" s="3">
        <f t="shared" si="16"/>
        <v>4.7866805411030415E-3</v>
      </c>
      <c r="F542" s="106">
        <v>45082</v>
      </c>
      <c r="G542" s="107">
        <v>18593.849609375</v>
      </c>
      <c r="H542" s="110">
        <f t="shared" si="17"/>
        <v>3.2237875731377309E-3</v>
      </c>
    </row>
    <row r="543" spans="2:8" ht="14.25" customHeight="1" x14ac:dyDescent="0.3">
      <c r="B543" s="105" t="s">
        <v>785</v>
      </c>
      <c r="C543" s="105">
        <v>243.35</v>
      </c>
      <c r="D543" s="3">
        <f t="shared" si="16"/>
        <v>8.0778790389394728E-3</v>
      </c>
      <c r="F543" s="106">
        <v>45083</v>
      </c>
      <c r="G543" s="107">
        <v>18599</v>
      </c>
      <c r="H543" s="109">
        <f t="shared" si="17"/>
        <v>2.7699431442121478E-4</v>
      </c>
    </row>
    <row r="544" spans="2:8" ht="14.25" customHeight="1" x14ac:dyDescent="0.3">
      <c r="B544" s="105" t="s">
        <v>786</v>
      </c>
      <c r="C544" s="105">
        <v>243.7</v>
      </c>
      <c r="D544" s="3">
        <f t="shared" si="16"/>
        <v>1.4382576535853476E-3</v>
      </c>
      <c r="F544" s="106">
        <v>45084</v>
      </c>
      <c r="G544" s="107">
        <v>18726.400390625</v>
      </c>
      <c r="H544" s="110">
        <f t="shared" si="17"/>
        <v>6.8498516385289534E-3</v>
      </c>
    </row>
    <row r="545" spans="2:8" ht="14.25" customHeight="1" x14ac:dyDescent="0.3">
      <c r="B545" s="105" t="s">
        <v>787</v>
      </c>
      <c r="C545" s="105">
        <v>241.55</v>
      </c>
      <c r="D545" s="3">
        <f t="shared" si="16"/>
        <v>-8.8223225276978963E-3</v>
      </c>
      <c r="F545" s="106">
        <v>45085</v>
      </c>
      <c r="G545" s="107">
        <v>18634.55078125</v>
      </c>
      <c r="H545" s="109">
        <f t="shared" si="17"/>
        <v>-4.904819263662796E-3</v>
      </c>
    </row>
    <row r="546" spans="2:8" ht="14.25" customHeight="1" x14ac:dyDescent="0.3">
      <c r="B546" s="105" t="s">
        <v>788</v>
      </c>
      <c r="C546" s="105">
        <v>241.1</v>
      </c>
      <c r="D546" s="3">
        <f t="shared" si="16"/>
        <v>-1.8629683295384683E-3</v>
      </c>
      <c r="F546" s="106">
        <v>45086</v>
      </c>
      <c r="G546" s="107">
        <v>18563.400390625</v>
      </c>
      <c r="H546" s="110">
        <f t="shared" si="17"/>
        <v>-3.8181972541345725E-3</v>
      </c>
    </row>
    <row r="547" spans="2:8" ht="14.25" customHeight="1" x14ac:dyDescent="0.3">
      <c r="B547" s="105" t="s">
        <v>789</v>
      </c>
      <c r="C547" s="105">
        <v>239.1</v>
      </c>
      <c r="D547" s="3">
        <f t="shared" si="16"/>
        <v>-8.2953131480713403E-3</v>
      </c>
      <c r="F547" s="106">
        <v>45089</v>
      </c>
      <c r="G547" s="107">
        <v>18601.5</v>
      </c>
      <c r="H547" s="109">
        <f t="shared" si="17"/>
        <v>2.0524046550351462E-3</v>
      </c>
    </row>
    <row r="548" spans="2:8" ht="14.25" customHeight="1" x14ac:dyDescent="0.3">
      <c r="B548" s="105" t="s">
        <v>790</v>
      </c>
      <c r="C548" s="105">
        <v>239.15</v>
      </c>
      <c r="D548" s="3">
        <f t="shared" si="16"/>
        <v>2.0911752404856283E-4</v>
      </c>
      <c r="F548" s="106">
        <v>45090</v>
      </c>
      <c r="G548" s="107">
        <v>18716.150390625</v>
      </c>
      <c r="H548" s="110">
        <f t="shared" si="17"/>
        <v>6.1635024393194094E-3</v>
      </c>
    </row>
    <row r="549" spans="2:8" ht="14.25" customHeight="1" x14ac:dyDescent="0.3">
      <c r="B549" s="105" t="s">
        <v>791</v>
      </c>
      <c r="C549" s="105">
        <v>239.35</v>
      </c>
      <c r="D549" s="3">
        <f t="shared" si="16"/>
        <v>8.3629521220986256E-4</v>
      </c>
      <c r="F549" s="106">
        <v>45091</v>
      </c>
      <c r="G549" s="107">
        <v>18755.900390625</v>
      </c>
      <c r="H549" s="109">
        <f t="shared" si="17"/>
        <v>2.1238341844010264E-3</v>
      </c>
    </row>
    <row r="550" spans="2:8" ht="14.25" customHeight="1" x14ac:dyDescent="0.3">
      <c r="B550" s="105" t="s">
        <v>792</v>
      </c>
      <c r="C550" s="105">
        <v>243.5</v>
      </c>
      <c r="D550" s="3">
        <f t="shared" si="16"/>
        <v>1.7338625443910616E-2</v>
      </c>
      <c r="F550" s="106">
        <v>45092</v>
      </c>
      <c r="G550" s="107">
        <v>18688.099609375</v>
      </c>
      <c r="H550" s="110">
        <f t="shared" si="17"/>
        <v>-3.6149041015322157E-3</v>
      </c>
    </row>
    <row r="551" spans="2:8" ht="14.25" customHeight="1" x14ac:dyDescent="0.3">
      <c r="B551" s="105" t="s">
        <v>793</v>
      </c>
      <c r="C551" s="105">
        <v>244.9</v>
      </c>
      <c r="D551" s="3">
        <f t="shared" si="16"/>
        <v>5.7494866529774358E-3</v>
      </c>
      <c r="F551" s="106">
        <v>45093</v>
      </c>
      <c r="G551" s="107">
        <v>18826</v>
      </c>
      <c r="H551" s="109">
        <f t="shared" si="17"/>
        <v>7.3790483520229863E-3</v>
      </c>
    </row>
    <row r="552" spans="2:8" ht="14.25" customHeight="1" x14ac:dyDescent="0.3">
      <c r="B552" s="105" t="s">
        <v>794</v>
      </c>
      <c r="C552" s="105">
        <v>244.85</v>
      </c>
      <c r="D552" s="3">
        <f t="shared" si="16"/>
        <v>-2.0416496529200232E-4</v>
      </c>
      <c r="F552" s="106">
        <v>45096</v>
      </c>
      <c r="G552" s="107">
        <v>18755.44921875</v>
      </c>
      <c r="H552" s="110">
        <f t="shared" si="17"/>
        <v>-3.7475183921172844E-3</v>
      </c>
    </row>
    <row r="553" spans="2:8" ht="14.25" customHeight="1" x14ac:dyDescent="0.3">
      <c r="B553" s="105" t="s">
        <v>795</v>
      </c>
      <c r="C553" s="105">
        <v>245</v>
      </c>
      <c r="D553" s="3">
        <f t="shared" si="16"/>
        <v>6.1261997141109123E-4</v>
      </c>
      <c r="F553" s="106">
        <v>45097</v>
      </c>
      <c r="G553" s="107">
        <v>18816.69921875</v>
      </c>
      <c r="H553" s="109">
        <f t="shared" si="17"/>
        <v>3.2657175674986124E-3</v>
      </c>
    </row>
    <row r="554" spans="2:8" ht="14.25" customHeight="1" x14ac:dyDescent="0.3">
      <c r="B554" s="105" t="s">
        <v>796</v>
      </c>
      <c r="C554" s="105">
        <v>245.1</v>
      </c>
      <c r="D554" s="3">
        <f t="shared" si="16"/>
        <v>4.0816326530609926E-4</v>
      </c>
      <c r="F554" s="106">
        <v>45098</v>
      </c>
      <c r="G554" s="107">
        <v>18856.849609375</v>
      </c>
      <c r="H554" s="110">
        <f t="shared" si="17"/>
        <v>2.133763746671995E-3</v>
      </c>
    </row>
    <row r="555" spans="2:8" ht="14.25" customHeight="1" x14ac:dyDescent="0.3">
      <c r="B555" s="105" t="s">
        <v>797</v>
      </c>
      <c r="C555" s="105">
        <v>238.95</v>
      </c>
      <c r="D555" s="3">
        <f t="shared" si="16"/>
        <v>-2.50917992656059E-2</v>
      </c>
      <c r="F555" s="106">
        <v>45099</v>
      </c>
      <c r="G555" s="107">
        <v>18771.25</v>
      </c>
      <c r="H555" s="109">
        <f t="shared" si="17"/>
        <v>-4.5394438174042985E-3</v>
      </c>
    </row>
    <row r="556" spans="2:8" ht="14.25" customHeight="1" x14ac:dyDescent="0.3">
      <c r="B556" s="105" t="s">
        <v>798</v>
      </c>
      <c r="C556" s="105">
        <v>236.9</v>
      </c>
      <c r="D556" s="3">
        <f t="shared" si="16"/>
        <v>-8.5792006695960786E-3</v>
      </c>
      <c r="F556" s="106">
        <v>45100</v>
      </c>
      <c r="G556" s="107">
        <v>18665.5</v>
      </c>
      <c r="H556" s="110">
        <f t="shared" si="17"/>
        <v>-5.6336152360657917E-3</v>
      </c>
    </row>
    <row r="557" spans="2:8" ht="14.25" customHeight="1" x14ac:dyDescent="0.3">
      <c r="B557" s="105" t="s">
        <v>799</v>
      </c>
      <c r="C557" s="105">
        <v>239.95</v>
      </c>
      <c r="D557" s="3">
        <f t="shared" si="16"/>
        <v>1.2874630645842055E-2</v>
      </c>
      <c r="F557" s="106">
        <v>45103</v>
      </c>
      <c r="G557" s="107">
        <v>18691.19921875</v>
      </c>
      <c r="H557" s="109">
        <f t="shared" si="17"/>
        <v>1.3768299134767352E-3</v>
      </c>
    </row>
    <row r="558" spans="2:8" ht="14.25" customHeight="1" x14ac:dyDescent="0.3">
      <c r="B558" s="105" t="s">
        <v>800</v>
      </c>
      <c r="C558" s="105">
        <v>243.65</v>
      </c>
      <c r="D558" s="3">
        <f t="shared" si="16"/>
        <v>1.5419879141487881E-2</v>
      </c>
      <c r="F558" s="106">
        <v>45104</v>
      </c>
      <c r="G558" s="107">
        <v>18817.400390625</v>
      </c>
      <c r="H558" s="110">
        <f t="shared" si="17"/>
        <v>6.7519034171120394E-3</v>
      </c>
    </row>
    <row r="559" spans="2:8" ht="14.25" customHeight="1" x14ac:dyDescent="0.3">
      <c r="B559" s="105" t="s">
        <v>801</v>
      </c>
      <c r="C559" s="105">
        <v>245</v>
      </c>
      <c r="D559" s="3">
        <f t="shared" si="16"/>
        <v>5.5407346603734628E-3</v>
      </c>
      <c r="F559" s="106">
        <v>45105</v>
      </c>
      <c r="G559" s="107">
        <v>18972.099609375</v>
      </c>
      <c r="H559" s="109">
        <f t="shared" si="17"/>
        <v>8.2210728123249463E-3</v>
      </c>
    </row>
    <row r="560" spans="2:8" ht="14.25" customHeight="1" x14ac:dyDescent="0.3">
      <c r="B560" s="105" t="s">
        <v>802</v>
      </c>
      <c r="C560" s="105">
        <v>265.5</v>
      </c>
      <c r="D560" s="3">
        <f t="shared" si="16"/>
        <v>8.3673469387755106E-2</v>
      </c>
      <c r="F560" s="106">
        <v>45107</v>
      </c>
      <c r="G560" s="107">
        <v>19189.05078125</v>
      </c>
      <c r="H560" s="110">
        <f t="shared" si="17"/>
        <v>1.143527476356883E-2</v>
      </c>
    </row>
    <row r="561" spans="2:8" ht="14.25" customHeight="1" x14ac:dyDescent="0.3">
      <c r="B561" s="105" t="s">
        <v>803</v>
      </c>
      <c r="C561" s="105">
        <v>263.5</v>
      </c>
      <c r="D561" s="3">
        <f t="shared" si="16"/>
        <v>-7.5329566854990581E-3</v>
      </c>
      <c r="F561" s="106">
        <v>45110</v>
      </c>
      <c r="G561" s="107">
        <v>19322.55078125</v>
      </c>
      <c r="H561" s="109">
        <f t="shared" si="17"/>
        <v>6.9570924336937751E-3</v>
      </c>
    </row>
    <row r="562" spans="2:8" ht="14.25" customHeight="1" x14ac:dyDescent="0.3">
      <c r="B562" s="105" t="s">
        <v>804</v>
      </c>
      <c r="C562" s="105">
        <v>262.55</v>
      </c>
      <c r="D562" s="3">
        <f t="shared" si="16"/>
        <v>-3.6053130929790838E-3</v>
      </c>
      <c r="F562" s="106">
        <v>45111</v>
      </c>
      <c r="G562" s="107">
        <v>19389</v>
      </c>
      <c r="H562" s="110">
        <f t="shared" si="17"/>
        <v>3.4389465191355714E-3</v>
      </c>
    </row>
    <row r="563" spans="2:8" ht="14.25" customHeight="1" x14ac:dyDescent="0.3">
      <c r="B563" s="105" t="s">
        <v>805</v>
      </c>
      <c r="C563" s="105">
        <v>257.64999999999998</v>
      </c>
      <c r="D563" s="3">
        <f t="shared" si="16"/>
        <v>-1.8663111788230942E-2</v>
      </c>
      <c r="F563" s="106">
        <v>45112</v>
      </c>
      <c r="G563" s="107">
        <v>19398.5</v>
      </c>
      <c r="H563" s="109">
        <f t="shared" si="17"/>
        <v>4.8996853886224153E-4</v>
      </c>
    </row>
    <row r="564" spans="2:8" ht="14.25" customHeight="1" x14ac:dyDescent="0.3">
      <c r="B564" s="105" t="s">
        <v>806</v>
      </c>
      <c r="C564" s="105">
        <v>259.5</v>
      </c>
      <c r="D564" s="3">
        <f t="shared" si="16"/>
        <v>7.18028333009906E-3</v>
      </c>
      <c r="F564" s="106">
        <v>45113</v>
      </c>
      <c r="G564" s="107">
        <v>19497.30078125</v>
      </c>
      <c r="H564" s="110">
        <f t="shared" si="17"/>
        <v>5.0932175812562824E-3</v>
      </c>
    </row>
    <row r="565" spans="2:8" ht="14.25" customHeight="1" x14ac:dyDescent="0.3">
      <c r="B565" s="105" t="s">
        <v>807</v>
      </c>
      <c r="C565" s="105">
        <v>253.95</v>
      </c>
      <c r="D565" s="3">
        <f t="shared" si="16"/>
        <v>-2.1387283236994264E-2</v>
      </c>
      <c r="F565" s="106">
        <v>45114</v>
      </c>
      <c r="G565" s="107">
        <v>19331.80078125</v>
      </c>
      <c r="H565" s="109">
        <f t="shared" si="17"/>
        <v>-8.4883544577184066E-3</v>
      </c>
    </row>
    <row r="566" spans="2:8" ht="14.25" customHeight="1" x14ac:dyDescent="0.3">
      <c r="B566" s="105" t="s">
        <v>808</v>
      </c>
      <c r="C566" s="105">
        <v>254.7</v>
      </c>
      <c r="D566" s="3">
        <f t="shared" si="16"/>
        <v>2.9533372711163615E-3</v>
      </c>
      <c r="F566" s="106">
        <v>45117</v>
      </c>
      <c r="G566" s="107">
        <v>19355.900390625</v>
      </c>
      <c r="H566" s="110">
        <f t="shared" si="17"/>
        <v>1.2466303397029789E-3</v>
      </c>
    </row>
    <row r="567" spans="2:8" ht="14.25" customHeight="1" x14ac:dyDescent="0.3">
      <c r="B567" s="105" t="s">
        <v>809</v>
      </c>
      <c r="C567" s="105">
        <v>254.2</v>
      </c>
      <c r="D567" s="3">
        <f t="shared" si="16"/>
        <v>-1.9630938358853552E-3</v>
      </c>
      <c r="F567" s="106">
        <v>45118</v>
      </c>
      <c r="G567" s="107">
        <v>19439.400390625</v>
      </c>
      <c r="H567" s="109">
        <f t="shared" si="17"/>
        <v>4.3139300324382271E-3</v>
      </c>
    </row>
    <row r="568" spans="2:8" ht="14.25" customHeight="1" x14ac:dyDescent="0.3">
      <c r="B568" s="105" t="s">
        <v>810</v>
      </c>
      <c r="C568" s="105">
        <v>259.14999999999998</v>
      </c>
      <c r="D568" s="3">
        <f t="shared" si="16"/>
        <v>1.9472856018882725E-2</v>
      </c>
      <c r="F568" s="106">
        <v>45119</v>
      </c>
      <c r="G568" s="107">
        <v>19384.30078125</v>
      </c>
      <c r="H568" s="110">
        <f t="shared" si="17"/>
        <v>-2.8344294714755078E-3</v>
      </c>
    </row>
    <row r="569" spans="2:8" ht="14.25" customHeight="1" x14ac:dyDescent="0.3">
      <c r="B569" s="105" t="s">
        <v>811</v>
      </c>
      <c r="C569" s="105">
        <v>257.14999999999998</v>
      </c>
      <c r="D569" s="3">
        <f t="shared" si="16"/>
        <v>-7.7175381053443959E-3</v>
      </c>
      <c r="F569" s="106">
        <v>45120</v>
      </c>
      <c r="G569" s="107">
        <v>19413.75</v>
      </c>
      <c r="H569" s="109">
        <f t="shared" si="17"/>
        <v>1.5192303855749891E-3</v>
      </c>
    </row>
    <row r="570" spans="2:8" ht="14.25" customHeight="1" x14ac:dyDescent="0.3">
      <c r="B570" s="105" t="s">
        <v>812</v>
      </c>
      <c r="C570" s="105">
        <v>262.2</v>
      </c>
      <c r="D570" s="3">
        <f t="shared" si="16"/>
        <v>1.9638343379350619E-2</v>
      </c>
      <c r="F570" s="106">
        <v>45121</v>
      </c>
      <c r="G570" s="107">
        <v>19564.5</v>
      </c>
      <c r="H570" s="110">
        <f t="shared" si="17"/>
        <v>7.7651149314274673E-3</v>
      </c>
    </row>
    <row r="571" spans="2:8" ht="14.25" customHeight="1" x14ac:dyDescent="0.3">
      <c r="B571" s="105" t="s">
        <v>813</v>
      </c>
      <c r="C571" s="105">
        <v>264.60000000000002</v>
      </c>
      <c r="D571" s="3">
        <f t="shared" si="16"/>
        <v>9.1533180778033338E-3</v>
      </c>
      <c r="F571" s="106">
        <v>45124</v>
      </c>
      <c r="G571" s="107">
        <v>19711.44921875</v>
      </c>
      <c r="H571" s="109">
        <f t="shared" si="17"/>
        <v>7.5110132510414268E-3</v>
      </c>
    </row>
    <row r="572" spans="2:8" ht="14.25" customHeight="1" x14ac:dyDescent="0.3">
      <c r="B572" s="105" t="s">
        <v>814</v>
      </c>
      <c r="C572" s="105">
        <v>266.10000000000002</v>
      </c>
      <c r="D572" s="3">
        <f t="shared" si="16"/>
        <v>5.6689342403628117E-3</v>
      </c>
      <c r="F572" s="106">
        <v>45125</v>
      </c>
      <c r="G572" s="107">
        <v>19749.25</v>
      </c>
      <c r="H572" s="110">
        <f t="shared" si="17"/>
        <v>1.917706853032551E-3</v>
      </c>
    </row>
    <row r="573" spans="2:8" ht="14.25" customHeight="1" x14ac:dyDescent="0.3">
      <c r="B573" s="105" t="s">
        <v>815</v>
      </c>
      <c r="C573" s="105">
        <v>266.8</v>
      </c>
      <c r="D573" s="3">
        <f t="shared" si="16"/>
        <v>2.6305900037579427E-3</v>
      </c>
      <c r="F573" s="106">
        <v>45126</v>
      </c>
      <c r="G573" s="107">
        <v>19833.150390625</v>
      </c>
      <c r="H573" s="109">
        <f t="shared" si="17"/>
        <v>4.248282371482461E-3</v>
      </c>
    </row>
    <row r="574" spans="2:8" ht="14.25" customHeight="1" x14ac:dyDescent="0.3">
      <c r="B574" s="105" t="s">
        <v>816</v>
      </c>
      <c r="C574" s="105">
        <v>266.25</v>
      </c>
      <c r="D574" s="3">
        <f t="shared" si="16"/>
        <v>-2.061469265367359E-3</v>
      </c>
      <c r="F574" s="106">
        <v>45127</v>
      </c>
      <c r="G574" s="107">
        <v>19979.150390625</v>
      </c>
      <c r="H574" s="110">
        <f t="shared" si="17"/>
        <v>7.3614124394989332E-3</v>
      </c>
    </row>
    <row r="575" spans="2:8" ht="14.25" customHeight="1" x14ac:dyDescent="0.3">
      <c r="B575" s="105" t="s">
        <v>817</v>
      </c>
      <c r="C575" s="105">
        <v>263.95</v>
      </c>
      <c r="D575" s="3">
        <f t="shared" si="16"/>
        <v>-8.638497652582202E-3</v>
      </c>
      <c r="F575" s="106">
        <v>45128</v>
      </c>
      <c r="G575" s="107">
        <v>19745</v>
      </c>
      <c r="H575" s="109">
        <f t="shared" si="17"/>
        <v>-1.1719737128305142E-2</v>
      </c>
    </row>
    <row r="576" spans="2:8" ht="14.25" customHeight="1" x14ac:dyDescent="0.3">
      <c r="B576" s="105" t="s">
        <v>818</v>
      </c>
      <c r="C576" s="105">
        <v>249.5</v>
      </c>
      <c r="D576" s="3">
        <f t="shared" si="16"/>
        <v>-5.474521689713957E-2</v>
      </c>
      <c r="F576" s="106">
        <v>45131</v>
      </c>
      <c r="G576" s="107">
        <v>19672.349609375</v>
      </c>
      <c r="H576" s="110">
        <f t="shared" si="17"/>
        <v>-3.6794322929855658E-3</v>
      </c>
    </row>
    <row r="577" spans="2:8" ht="14.25" customHeight="1" x14ac:dyDescent="0.3">
      <c r="B577" s="105" t="s">
        <v>819</v>
      </c>
      <c r="C577" s="105">
        <v>245.7</v>
      </c>
      <c r="D577" s="3">
        <f t="shared" si="16"/>
        <v>-1.5230460921843733E-2</v>
      </c>
      <c r="F577" s="106">
        <v>45132</v>
      </c>
      <c r="G577" s="107">
        <v>19680.599609375</v>
      </c>
      <c r="H577" s="109">
        <f t="shared" si="17"/>
        <v>4.193703428322768E-4</v>
      </c>
    </row>
    <row r="578" spans="2:8" ht="14.25" customHeight="1" x14ac:dyDescent="0.3">
      <c r="B578" s="105" t="s">
        <v>820</v>
      </c>
      <c r="C578" s="105">
        <v>249.45</v>
      </c>
      <c r="D578" s="3">
        <f t="shared" si="16"/>
        <v>1.5262515262515264E-2</v>
      </c>
      <c r="F578" s="106">
        <v>45133</v>
      </c>
      <c r="G578" s="107">
        <v>19778.30078125</v>
      </c>
      <c r="H578" s="110">
        <f t="shared" si="17"/>
        <v>4.9643391875346787E-3</v>
      </c>
    </row>
    <row r="579" spans="2:8" ht="14.25" customHeight="1" x14ac:dyDescent="0.3">
      <c r="B579" s="105" t="s">
        <v>821</v>
      </c>
      <c r="C579" s="105">
        <v>256.10000000000002</v>
      </c>
      <c r="D579" s="3">
        <f t="shared" si="16"/>
        <v>2.6658649027861431E-2</v>
      </c>
      <c r="F579" s="106">
        <v>45134</v>
      </c>
      <c r="G579" s="107">
        <v>19659.900390625</v>
      </c>
      <c r="H579" s="109">
        <f t="shared" si="17"/>
        <v>-5.9863783008722669E-3</v>
      </c>
    </row>
    <row r="580" spans="2:8" ht="14.25" customHeight="1" x14ac:dyDescent="0.3">
      <c r="B580" s="105" t="s">
        <v>822</v>
      </c>
      <c r="C580" s="105">
        <v>256.75</v>
      </c>
      <c r="D580" s="3">
        <f t="shared" si="16"/>
        <v>2.5380710659897586E-3</v>
      </c>
      <c r="F580" s="106">
        <v>45135</v>
      </c>
      <c r="G580" s="107">
        <v>19646.05078125</v>
      </c>
      <c r="H580" s="110">
        <f t="shared" si="17"/>
        <v>-7.0445979378432207E-4</v>
      </c>
    </row>
    <row r="581" spans="2:8" ht="14.25" customHeight="1" x14ac:dyDescent="0.3">
      <c r="B581" s="105" t="s">
        <v>823</v>
      </c>
      <c r="C581" s="105">
        <v>257.10000000000002</v>
      </c>
      <c r="D581" s="3">
        <f t="shared" ref="D581:D644" si="18">(C581-C580)/C580</f>
        <v>1.363193768257148E-3</v>
      </c>
      <c r="F581" s="106">
        <v>45138</v>
      </c>
      <c r="G581" s="107">
        <v>19753.80078125</v>
      </c>
      <c r="H581" s="109">
        <f t="shared" ref="H581:H644" si="19">(G581-G580)/G580</f>
        <v>5.4845628365592716E-3</v>
      </c>
    </row>
    <row r="582" spans="2:8" ht="14.25" customHeight="1" x14ac:dyDescent="0.3">
      <c r="B582" s="105" t="s">
        <v>824</v>
      </c>
      <c r="C582" s="105">
        <v>255.8</v>
      </c>
      <c r="D582" s="3">
        <f t="shared" si="18"/>
        <v>-5.0563982886037001E-3</v>
      </c>
      <c r="F582" s="106">
        <v>45139</v>
      </c>
      <c r="G582" s="107">
        <v>19733.55078125</v>
      </c>
      <c r="H582" s="110">
        <f t="shared" si="19"/>
        <v>-1.0251191770254656E-3</v>
      </c>
    </row>
    <row r="583" spans="2:8" ht="14.25" customHeight="1" x14ac:dyDescent="0.3">
      <c r="B583" s="105" t="s">
        <v>825</v>
      </c>
      <c r="C583" s="105">
        <v>252.95</v>
      </c>
      <c r="D583" s="3">
        <f t="shared" si="18"/>
        <v>-1.1141516810007907E-2</v>
      </c>
      <c r="F583" s="106">
        <v>45140</v>
      </c>
      <c r="G583" s="107">
        <v>19526.55078125</v>
      </c>
      <c r="H583" s="109">
        <f t="shared" si="19"/>
        <v>-1.0489749274959822E-2</v>
      </c>
    </row>
    <row r="584" spans="2:8" ht="14.25" customHeight="1" x14ac:dyDescent="0.3">
      <c r="B584" s="105" t="s">
        <v>826</v>
      </c>
      <c r="C584" s="105">
        <v>254.55</v>
      </c>
      <c r="D584" s="3">
        <f t="shared" si="18"/>
        <v>6.3253607432299779E-3</v>
      </c>
      <c r="F584" s="106">
        <v>45141</v>
      </c>
      <c r="G584" s="107">
        <v>19381.650390625</v>
      </c>
      <c r="H584" s="110">
        <f t="shared" si="19"/>
        <v>-7.4206854169113091E-3</v>
      </c>
    </row>
    <row r="585" spans="2:8" ht="14.25" customHeight="1" x14ac:dyDescent="0.3">
      <c r="B585" s="105" t="s">
        <v>827</v>
      </c>
      <c r="C585" s="105">
        <v>253.55</v>
      </c>
      <c r="D585" s="3">
        <f t="shared" si="18"/>
        <v>-3.9285012767629147E-3</v>
      </c>
      <c r="F585" s="106">
        <v>45142</v>
      </c>
      <c r="G585" s="107">
        <v>19517</v>
      </c>
      <c r="H585" s="109">
        <f t="shared" si="19"/>
        <v>6.9833892701144417E-3</v>
      </c>
    </row>
    <row r="586" spans="2:8" ht="14.25" customHeight="1" x14ac:dyDescent="0.3">
      <c r="B586" s="105" t="s">
        <v>828</v>
      </c>
      <c r="C586" s="105">
        <v>261.39999999999998</v>
      </c>
      <c r="D586" s="3">
        <f t="shared" si="18"/>
        <v>3.0960362847564447E-2</v>
      </c>
      <c r="F586" s="106">
        <v>45145</v>
      </c>
      <c r="G586" s="107">
        <v>19597.30078125</v>
      </c>
      <c r="H586" s="110">
        <f t="shared" si="19"/>
        <v>4.1144018676026028E-3</v>
      </c>
    </row>
    <row r="587" spans="2:8" ht="14.25" customHeight="1" x14ac:dyDescent="0.3">
      <c r="B587" s="105" t="s">
        <v>829</v>
      </c>
      <c r="C587" s="105">
        <v>273.14999999999998</v>
      </c>
      <c r="D587" s="3">
        <f t="shared" si="18"/>
        <v>4.4950267788829386E-2</v>
      </c>
      <c r="F587" s="106">
        <v>45146</v>
      </c>
      <c r="G587" s="107">
        <v>19570.849609375</v>
      </c>
      <c r="H587" s="109">
        <f t="shared" si="19"/>
        <v>-1.349735464605796E-3</v>
      </c>
    </row>
    <row r="588" spans="2:8" ht="14.25" customHeight="1" x14ac:dyDescent="0.3">
      <c r="B588" s="105" t="s">
        <v>830</v>
      </c>
      <c r="C588" s="105">
        <v>270.05</v>
      </c>
      <c r="D588" s="3">
        <f t="shared" si="18"/>
        <v>-1.1349075599487337E-2</v>
      </c>
      <c r="F588" s="106">
        <v>45147</v>
      </c>
      <c r="G588" s="107">
        <v>19632.55078125</v>
      </c>
      <c r="H588" s="110">
        <f t="shared" si="19"/>
        <v>3.1527078847636415E-3</v>
      </c>
    </row>
    <row r="589" spans="2:8" ht="14.25" customHeight="1" x14ac:dyDescent="0.3">
      <c r="B589" s="105" t="s">
        <v>831</v>
      </c>
      <c r="C589" s="105">
        <v>261.39999999999998</v>
      </c>
      <c r="D589" s="3">
        <f t="shared" si="18"/>
        <v>-3.2031105350861074E-2</v>
      </c>
      <c r="F589" s="106">
        <v>45148</v>
      </c>
      <c r="G589" s="107">
        <v>19543.099609375</v>
      </c>
      <c r="H589" s="109">
        <f t="shared" si="19"/>
        <v>-4.5562684580156563E-3</v>
      </c>
    </row>
    <row r="590" spans="2:8" ht="14.25" customHeight="1" x14ac:dyDescent="0.3">
      <c r="B590" s="105" t="s">
        <v>832</v>
      </c>
      <c r="C590" s="105">
        <v>256.2</v>
      </c>
      <c r="D590" s="3">
        <f t="shared" si="18"/>
        <v>-1.9892884468247853E-2</v>
      </c>
      <c r="F590" s="106">
        <v>45149</v>
      </c>
      <c r="G590" s="107">
        <v>19428.30078125</v>
      </c>
      <c r="H590" s="110">
        <f t="shared" si="19"/>
        <v>-5.8741361615907628E-3</v>
      </c>
    </row>
    <row r="591" spans="2:8" ht="14.25" customHeight="1" x14ac:dyDescent="0.3">
      <c r="B591" s="105" t="s">
        <v>833</v>
      </c>
      <c r="C591" s="105">
        <v>254.6</v>
      </c>
      <c r="D591" s="3">
        <f t="shared" si="18"/>
        <v>-6.2451209992193382E-3</v>
      </c>
      <c r="F591" s="106">
        <v>45152</v>
      </c>
      <c r="G591" s="107">
        <v>19434.55078125</v>
      </c>
      <c r="H591" s="109">
        <f t="shared" si="19"/>
        <v>3.2169565781232879E-4</v>
      </c>
    </row>
    <row r="592" spans="2:8" ht="14.25" customHeight="1" x14ac:dyDescent="0.3">
      <c r="B592" s="105" t="s">
        <v>834</v>
      </c>
      <c r="C592" s="105">
        <v>257.14999999999998</v>
      </c>
      <c r="D592" s="3">
        <f t="shared" si="18"/>
        <v>1.00157109190887E-2</v>
      </c>
      <c r="F592" s="106">
        <v>45154</v>
      </c>
      <c r="G592" s="107">
        <v>19465</v>
      </c>
      <c r="H592" s="110">
        <f t="shared" si="19"/>
        <v>1.5667570139761961E-3</v>
      </c>
    </row>
    <row r="593" spans="2:8" ht="14.25" customHeight="1" x14ac:dyDescent="0.3">
      <c r="B593" s="105" t="s">
        <v>835</v>
      </c>
      <c r="C593" s="105">
        <v>255.85</v>
      </c>
      <c r="D593" s="3">
        <f t="shared" si="18"/>
        <v>-5.055415127357508E-3</v>
      </c>
      <c r="F593" s="106">
        <v>45155</v>
      </c>
      <c r="G593" s="107">
        <v>19365.25</v>
      </c>
      <c r="H593" s="109">
        <f t="shared" si="19"/>
        <v>-5.124582584125353E-3</v>
      </c>
    </row>
    <row r="594" spans="2:8" ht="14.25" customHeight="1" x14ac:dyDescent="0.3">
      <c r="B594" s="105" t="s">
        <v>836</v>
      </c>
      <c r="C594" s="105">
        <v>258.2</v>
      </c>
      <c r="D594" s="3">
        <f t="shared" si="18"/>
        <v>9.1850693765878223E-3</v>
      </c>
      <c r="F594" s="106">
        <v>45156</v>
      </c>
      <c r="G594" s="107">
        <v>19310.150390625</v>
      </c>
      <c r="H594" s="110">
        <f t="shared" si="19"/>
        <v>-2.8452826260957128E-3</v>
      </c>
    </row>
    <row r="595" spans="2:8" ht="14.25" customHeight="1" x14ac:dyDescent="0.3">
      <c r="B595" s="105" t="s">
        <v>837</v>
      </c>
      <c r="C595" s="105">
        <v>259.45</v>
      </c>
      <c r="D595" s="3">
        <f t="shared" si="18"/>
        <v>4.8412083656080556E-3</v>
      </c>
      <c r="F595" s="106">
        <v>45159</v>
      </c>
      <c r="G595" s="107">
        <v>19393.599609375</v>
      </c>
      <c r="H595" s="109">
        <f t="shared" si="19"/>
        <v>4.3215209131936255E-3</v>
      </c>
    </row>
    <row r="596" spans="2:8" ht="14.25" customHeight="1" x14ac:dyDescent="0.3">
      <c r="B596" s="105" t="s">
        <v>838</v>
      </c>
      <c r="C596" s="105">
        <v>260</v>
      </c>
      <c r="D596" s="3">
        <f t="shared" si="18"/>
        <v>2.1198689535556424E-3</v>
      </c>
      <c r="F596" s="106">
        <v>45160</v>
      </c>
      <c r="G596" s="107">
        <v>19396.44921875</v>
      </c>
      <c r="H596" s="110">
        <f t="shared" si="19"/>
        <v>1.4693555773021523E-4</v>
      </c>
    </row>
    <row r="597" spans="2:8" ht="14.25" customHeight="1" x14ac:dyDescent="0.3">
      <c r="B597" s="105" t="s">
        <v>839</v>
      </c>
      <c r="C597" s="105">
        <v>260.35000000000002</v>
      </c>
      <c r="D597" s="3">
        <f t="shared" si="18"/>
        <v>1.3461538461539337E-3</v>
      </c>
      <c r="F597" s="106">
        <v>45161</v>
      </c>
      <c r="G597" s="107">
        <v>19444</v>
      </c>
      <c r="H597" s="109">
        <f t="shared" si="19"/>
        <v>2.4515199000461384E-3</v>
      </c>
    </row>
    <row r="598" spans="2:8" ht="14.25" customHeight="1" x14ac:dyDescent="0.3">
      <c r="B598" s="105" t="s">
        <v>840</v>
      </c>
      <c r="C598" s="105">
        <v>260.5</v>
      </c>
      <c r="D598" s="3">
        <f t="shared" si="18"/>
        <v>5.7614749375831478E-4</v>
      </c>
      <c r="F598" s="106">
        <v>45162</v>
      </c>
      <c r="G598" s="107">
        <v>19386.69921875</v>
      </c>
      <c r="H598" s="110">
        <f t="shared" si="19"/>
        <v>-2.9469646806212714E-3</v>
      </c>
    </row>
    <row r="599" spans="2:8" ht="14.25" customHeight="1" x14ac:dyDescent="0.3">
      <c r="B599" s="105" t="s">
        <v>841</v>
      </c>
      <c r="C599" s="105">
        <v>255.4</v>
      </c>
      <c r="D599" s="3">
        <f t="shared" si="18"/>
        <v>-1.9577735124760055E-2</v>
      </c>
      <c r="F599" s="106">
        <v>45163</v>
      </c>
      <c r="G599" s="107">
        <v>19265.80078125</v>
      </c>
      <c r="H599" s="109">
        <f t="shared" si="19"/>
        <v>-6.2361537740819812E-3</v>
      </c>
    </row>
    <row r="600" spans="2:8" ht="14.25" customHeight="1" x14ac:dyDescent="0.3">
      <c r="B600" s="105" t="s">
        <v>842</v>
      </c>
      <c r="C600" s="105">
        <v>259.89999999999998</v>
      </c>
      <c r="D600" s="3">
        <f t="shared" si="18"/>
        <v>1.7619420516836223E-2</v>
      </c>
      <c r="F600" s="106">
        <v>45166</v>
      </c>
      <c r="G600" s="107">
        <v>19306.05078125</v>
      </c>
      <c r="H600" s="110">
        <f t="shared" si="19"/>
        <v>2.089194238900902E-3</v>
      </c>
    </row>
    <row r="601" spans="2:8" ht="14.25" customHeight="1" x14ac:dyDescent="0.3">
      <c r="B601" s="105" t="s">
        <v>843</v>
      </c>
      <c r="C601" s="105">
        <v>259.14999999999998</v>
      </c>
      <c r="D601" s="3">
        <f t="shared" si="18"/>
        <v>-2.8857252789534437E-3</v>
      </c>
      <c r="F601" s="106">
        <v>45167</v>
      </c>
      <c r="G601" s="107">
        <v>19342.650390625</v>
      </c>
      <c r="H601" s="109">
        <f t="shared" si="19"/>
        <v>1.8957584743610782E-3</v>
      </c>
    </row>
    <row r="602" spans="2:8" ht="14.25" customHeight="1" x14ac:dyDescent="0.3">
      <c r="B602" s="105" t="s">
        <v>844</v>
      </c>
      <c r="C602" s="105">
        <v>260</v>
      </c>
      <c r="D602" s="3">
        <f t="shared" si="18"/>
        <v>3.279953694771456E-3</v>
      </c>
      <c r="F602" s="106">
        <v>45168</v>
      </c>
      <c r="G602" s="107">
        <v>19347.44921875</v>
      </c>
      <c r="H602" s="110">
        <f t="shared" si="19"/>
        <v>2.4809568637635602E-4</v>
      </c>
    </row>
    <row r="603" spans="2:8" ht="14.25" customHeight="1" x14ac:dyDescent="0.3">
      <c r="B603" s="105" t="s">
        <v>845</v>
      </c>
      <c r="C603" s="105">
        <v>259.35000000000002</v>
      </c>
      <c r="D603" s="3">
        <f t="shared" si="18"/>
        <v>-2.4999999999999124E-3</v>
      </c>
      <c r="F603" s="106">
        <v>45169</v>
      </c>
      <c r="G603" s="107">
        <v>19253.80078125</v>
      </c>
      <c r="H603" s="109">
        <f t="shared" si="19"/>
        <v>-4.8403506033882458E-3</v>
      </c>
    </row>
    <row r="604" spans="2:8" ht="14.25" customHeight="1" x14ac:dyDescent="0.3">
      <c r="B604" s="105" t="s">
        <v>846</v>
      </c>
      <c r="C604" s="105">
        <v>260.8</v>
      </c>
      <c r="D604" s="3">
        <f t="shared" si="18"/>
        <v>5.590900327742389E-3</v>
      </c>
      <c r="F604" s="106">
        <v>45170</v>
      </c>
      <c r="G604" s="107">
        <v>19435.30078125</v>
      </c>
      <c r="H604" s="110">
        <f t="shared" si="19"/>
        <v>9.4267101889176502E-3</v>
      </c>
    </row>
    <row r="605" spans="2:8" ht="14.25" customHeight="1" x14ac:dyDescent="0.3">
      <c r="B605" s="105" t="s">
        <v>847</v>
      </c>
      <c r="C605" s="105">
        <v>261.35000000000002</v>
      </c>
      <c r="D605" s="3">
        <f t="shared" si="18"/>
        <v>2.1088957055215157E-3</v>
      </c>
      <c r="F605" s="106">
        <v>45173</v>
      </c>
      <c r="G605" s="107">
        <v>19528.80078125</v>
      </c>
      <c r="H605" s="109">
        <f t="shared" si="19"/>
        <v>4.8108337016426897E-3</v>
      </c>
    </row>
    <row r="606" spans="2:8" ht="14.25" customHeight="1" x14ac:dyDescent="0.3">
      <c r="B606" s="105" t="s">
        <v>848</v>
      </c>
      <c r="C606" s="105">
        <v>267.10000000000002</v>
      </c>
      <c r="D606" s="3">
        <f t="shared" si="18"/>
        <v>2.2001147885976659E-2</v>
      </c>
      <c r="F606" s="106">
        <v>45174</v>
      </c>
      <c r="G606" s="107">
        <v>19574.900390625</v>
      </c>
      <c r="H606" s="110">
        <f t="shared" si="19"/>
        <v>2.3605960187407502E-3</v>
      </c>
    </row>
    <row r="607" spans="2:8" ht="14.25" customHeight="1" x14ac:dyDescent="0.3">
      <c r="B607" s="105" t="s">
        <v>849</v>
      </c>
      <c r="C607" s="105">
        <v>269.39999999999998</v>
      </c>
      <c r="D607" s="3">
        <f t="shared" si="18"/>
        <v>8.6110071134404883E-3</v>
      </c>
      <c r="F607" s="106">
        <v>45175</v>
      </c>
      <c r="G607" s="107">
        <v>19611.05078125</v>
      </c>
      <c r="H607" s="109">
        <f t="shared" si="19"/>
        <v>1.8467726478094107E-3</v>
      </c>
    </row>
    <row r="608" spans="2:8" ht="14.25" customHeight="1" x14ac:dyDescent="0.3">
      <c r="B608" s="105" t="s">
        <v>850</v>
      </c>
      <c r="C608" s="105">
        <v>267.60000000000002</v>
      </c>
      <c r="D608" s="3">
        <f t="shared" si="18"/>
        <v>-6.6815144766145312E-3</v>
      </c>
      <c r="F608" s="106">
        <v>45176</v>
      </c>
      <c r="G608" s="107">
        <v>19727.05078125</v>
      </c>
      <c r="H608" s="110">
        <f t="shared" si="19"/>
        <v>5.9150323607803238E-3</v>
      </c>
    </row>
    <row r="609" spans="2:8" ht="14.25" customHeight="1" x14ac:dyDescent="0.3">
      <c r="B609" s="105" t="s">
        <v>851</v>
      </c>
      <c r="C609" s="105">
        <v>266.39999999999998</v>
      </c>
      <c r="D609" s="3">
        <f t="shared" si="18"/>
        <v>-4.4843049327355959E-3</v>
      </c>
      <c r="F609" s="106">
        <v>45177</v>
      </c>
      <c r="G609" s="107">
        <v>19819.94921875</v>
      </c>
      <c r="H609" s="109">
        <f t="shared" si="19"/>
        <v>4.7091903665750848E-3</v>
      </c>
    </row>
    <row r="610" spans="2:8" ht="14.25" customHeight="1" x14ac:dyDescent="0.3">
      <c r="B610" s="105" t="s">
        <v>852</v>
      </c>
      <c r="C610" s="105">
        <v>276.39999999999998</v>
      </c>
      <c r="D610" s="3">
        <f t="shared" si="18"/>
        <v>3.7537537537537538E-2</v>
      </c>
      <c r="F610" s="106">
        <v>45180</v>
      </c>
      <c r="G610" s="107">
        <v>19996.349609375</v>
      </c>
      <c r="H610" s="110">
        <f t="shared" si="19"/>
        <v>8.9001434200508597E-3</v>
      </c>
    </row>
    <row r="611" spans="2:8" ht="14.25" customHeight="1" x14ac:dyDescent="0.3">
      <c r="B611" s="105" t="s">
        <v>853</v>
      </c>
      <c r="C611" s="105">
        <v>267.3</v>
      </c>
      <c r="D611" s="3">
        <f t="shared" si="18"/>
        <v>-3.2923299565846477E-2</v>
      </c>
      <c r="F611" s="106">
        <v>45181</v>
      </c>
      <c r="G611" s="107">
        <v>19993.19921875</v>
      </c>
      <c r="H611" s="109">
        <f t="shared" si="19"/>
        <v>-1.5754828688947231E-4</v>
      </c>
    </row>
    <row r="612" spans="2:8" ht="14.25" customHeight="1" x14ac:dyDescent="0.3">
      <c r="B612" s="105" t="s">
        <v>854</v>
      </c>
      <c r="C612" s="105">
        <v>270.85000000000002</v>
      </c>
      <c r="D612" s="3">
        <f t="shared" si="18"/>
        <v>1.3280957725402212E-2</v>
      </c>
      <c r="F612" s="106">
        <v>45182</v>
      </c>
      <c r="G612" s="107">
        <v>20070</v>
      </c>
      <c r="H612" s="110">
        <f t="shared" si="19"/>
        <v>3.8413452699443307E-3</v>
      </c>
    </row>
    <row r="613" spans="2:8" ht="14.25" customHeight="1" x14ac:dyDescent="0.3">
      <c r="B613" s="105" t="s">
        <v>855</v>
      </c>
      <c r="C613" s="105">
        <v>274.95</v>
      </c>
      <c r="D613" s="3">
        <f t="shared" si="18"/>
        <v>1.5137529998153832E-2</v>
      </c>
      <c r="F613" s="106">
        <v>45183</v>
      </c>
      <c r="G613" s="107">
        <v>20103.099609375</v>
      </c>
      <c r="H613" s="109">
        <f t="shared" si="19"/>
        <v>1.6492082399103139E-3</v>
      </c>
    </row>
    <row r="614" spans="2:8" ht="14.25" customHeight="1" x14ac:dyDescent="0.3">
      <c r="B614" s="105" t="s">
        <v>856</v>
      </c>
      <c r="C614" s="105">
        <v>276.75</v>
      </c>
      <c r="D614" s="3">
        <f t="shared" si="18"/>
        <v>6.5466448445172269E-3</v>
      </c>
      <c r="F614" s="106">
        <v>45184</v>
      </c>
      <c r="G614" s="107">
        <v>20192.349609375</v>
      </c>
      <c r="H614" s="110">
        <f t="shared" si="19"/>
        <v>4.439613877174375E-3</v>
      </c>
    </row>
    <row r="615" spans="2:8" ht="14.25" customHeight="1" x14ac:dyDescent="0.3">
      <c r="B615" s="105" t="s">
        <v>857</v>
      </c>
      <c r="C615" s="105">
        <v>273.2</v>
      </c>
      <c r="D615" s="3">
        <f t="shared" si="18"/>
        <v>-1.2827461607949455E-2</v>
      </c>
      <c r="F615" s="106">
        <v>45187</v>
      </c>
      <c r="G615" s="107">
        <v>20133.30078125</v>
      </c>
      <c r="H615" s="109">
        <f t="shared" si="19"/>
        <v>-2.9243168460982138E-3</v>
      </c>
    </row>
    <row r="616" spans="2:8" ht="14.25" customHeight="1" x14ac:dyDescent="0.3">
      <c r="B616" s="105" t="s">
        <v>858</v>
      </c>
      <c r="C616" s="105">
        <v>273.2</v>
      </c>
      <c r="D616" s="3">
        <f t="shared" si="18"/>
        <v>0</v>
      </c>
      <c r="F616" s="106">
        <v>45189</v>
      </c>
      <c r="G616" s="107">
        <v>19901.400390625</v>
      </c>
      <c r="H616" s="110">
        <f t="shared" si="19"/>
        <v>-1.1518249945432057E-2</v>
      </c>
    </row>
    <row r="617" spans="2:8" ht="14.25" customHeight="1" x14ac:dyDescent="0.3">
      <c r="B617" s="105" t="s">
        <v>859</v>
      </c>
      <c r="C617" s="105">
        <v>267</v>
      </c>
      <c r="D617" s="3">
        <f t="shared" si="18"/>
        <v>-2.2693997071742272E-2</v>
      </c>
      <c r="F617" s="106">
        <v>45190</v>
      </c>
      <c r="G617" s="107">
        <v>19742.349609375</v>
      </c>
      <c r="H617" s="109">
        <f t="shared" si="19"/>
        <v>-7.9919391664982752E-3</v>
      </c>
    </row>
    <row r="618" spans="2:8" ht="14.25" customHeight="1" x14ac:dyDescent="0.3">
      <c r="B618" s="105" t="s">
        <v>860</v>
      </c>
      <c r="C618" s="105">
        <v>264.35000000000002</v>
      </c>
      <c r="D618" s="3">
        <f t="shared" si="18"/>
        <v>-9.9250936329587161E-3</v>
      </c>
      <c r="F618" s="106">
        <v>45191</v>
      </c>
      <c r="G618" s="107">
        <v>19674.25</v>
      </c>
      <c r="H618" s="110">
        <f t="shared" si="19"/>
        <v>-3.4494176591149876E-3</v>
      </c>
    </row>
    <row r="619" spans="2:8" ht="14.25" customHeight="1" x14ac:dyDescent="0.3">
      <c r="B619" s="105" t="s">
        <v>861</v>
      </c>
      <c r="C619" s="105">
        <v>264.10000000000002</v>
      </c>
      <c r="D619" s="3">
        <f t="shared" si="18"/>
        <v>-9.457159069415547E-4</v>
      </c>
      <c r="F619" s="106">
        <v>45194</v>
      </c>
      <c r="G619" s="107">
        <v>19674.55078125</v>
      </c>
      <c r="H619" s="109">
        <f t="shared" si="19"/>
        <v>1.5288066889462116E-5</v>
      </c>
    </row>
    <row r="620" spans="2:8" ht="14.25" customHeight="1" x14ac:dyDescent="0.3">
      <c r="B620" s="105" t="s">
        <v>862</v>
      </c>
      <c r="C620" s="105">
        <v>261.64999999999998</v>
      </c>
      <c r="D620" s="3">
        <f t="shared" si="18"/>
        <v>-9.2767890950399296E-3</v>
      </c>
      <c r="F620" s="106">
        <v>45195</v>
      </c>
      <c r="G620" s="107">
        <v>19664.69921875</v>
      </c>
      <c r="H620" s="110">
        <f t="shared" si="19"/>
        <v>-5.0072617207548218E-4</v>
      </c>
    </row>
    <row r="621" spans="2:8" ht="14.25" customHeight="1" x14ac:dyDescent="0.3">
      <c r="B621" s="105" t="s">
        <v>863</v>
      </c>
      <c r="C621" s="105">
        <v>264.64999999999998</v>
      </c>
      <c r="D621" s="3">
        <f t="shared" si="18"/>
        <v>1.1465698452130709E-2</v>
      </c>
      <c r="F621" s="106">
        <v>45196</v>
      </c>
      <c r="G621" s="107">
        <v>19716.44921875</v>
      </c>
      <c r="H621" s="109">
        <f t="shared" si="19"/>
        <v>2.6316191986632139E-3</v>
      </c>
    </row>
    <row r="622" spans="2:8" ht="14.25" customHeight="1" x14ac:dyDescent="0.3">
      <c r="B622" s="105" t="s">
        <v>864</v>
      </c>
      <c r="C622" s="105">
        <v>266.89999999999998</v>
      </c>
      <c r="D622" s="3">
        <f t="shared" si="18"/>
        <v>8.501794823351597E-3</v>
      </c>
      <c r="F622" s="106">
        <v>45197</v>
      </c>
      <c r="G622" s="107">
        <v>19523.55078125</v>
      </c>
      <c r="H622" s="110">
        <f t="shared" si="19"/>
        <v>-9.7836296667737181E-3</v>
      </c>
    </row>
    <row r="623" spans="2:8" ht="14.25" customHeight="1" x14ac:dyDescent="0.3">
      <c r="B623" s="105" t="s">
        <v>865</v>
      </c>
      <c r="C623" s="105">
        <v>272.2</v>
      </c>
      <c r="D623" s="3">
        <f t="shared" si="18"/>
        <v>1.9857624578493861E-2</v>
      </c>
      <c r="F623" s="106">
        <v>45198</v>
      </c>
      <c r="G623" s="107">
        <v>19638.30078125</v>
      </c>
      <c r="H623" s="109">
        <f t="shared" si="19"/>
        <v>5.8775169171687482E-3</v>
      </c>
    </row>
    <row r="624" spans="2:8" ht="14.25" customHeight="1" x14ac:dyDescent="0.3">
      <c r="B624" s="105" t="s">
        <v>866</v>
      </c>
      <c r="C624" s="105">
        <v>272.7</v>
      </c>
      <c r="D624" s="3">
        <f t="shared" si="18"/>
        <v>1.8368846436443791E-3</v>
      </c>
      <c r="F624" s="106">
        <v>45202</v>
      </c>
      <c r="G624" s="107">
        <v>19528.75</v>
      </c>
      <c r="H624" s="110">
        <f t="shared" si="19"/>
        <v>-5.5784246544688561E-3</v>
      </c>
    </row>
    <row r="625" spans="2:8" ht="14.25" customHeight="1" x14ac:dyDescent="0.3">
      <c r="B625" s="105" t="s">
        <v>867</v>
      </c>
      <c r="C625" s="105">
        <v>264.85000000000002</v>
      </c>
      <c r="D625" s="3">
        <f t="shared" si="18"/>
        <v>-2.8786211954528663E-2</v>
      </c>
      <c r="F625" s="106">
        <v>45203</v>
      </c>
      <c r="G625" s="107">
        <v>19436.099609375</v>
      </c>
      <c r="H625" s="109">
        <f t="shared" si="19"/>
        <v>-4.7443072713307301E-3</v>
      </c>
    </row>
    <row r="626" spans="2:8" ht="14.25" customHeight="1" x14ac:dyDescent="0.3">
      <c r="B626" s="105" t="s">
        <v>868</v>
      </c>
      <c r="C626" s="105">
        <v>263.60000000000002</v>
      </c>
      <c r="D626" s="3">
        <f t="shared" si="18"/>
        <v>-4.7196526335661695E-3</v>
      </c>
      <c r="F626" s="106">
        <v>45204</v>
      </c>
      <c r="G626" s="107">
        <v>19545.75</v>
      </c>
      <c r="H626" s="110">
        <f t="shared" si="19"/>
        <v>5.6415841052857201E-3</v>
      </c>
    </row>
    <row r="627" spans="2:8" ht="14.25" customHeight="1" x14ac:dyDescent="0.3">
      <c r="B627" s="105" t="s">
        <v>869</v>
      </c>
      <c r="C627" s="105">
        <v>264.55</v>
      </c>
      <c r="D627" s="3">
        <f t="shared" si="18"/>
        <v>3.6039453717753738E-3</v>
      </c>
      <c r="F627" s="106">
        <v>45205</v>
      </c>
      <c r="G627" s="107">
        <v>19653.5</v>
      </c>
      <c r="H627" s="109">
        <f t="shared" si="19"/>
        <v>5.512707366051443E-3</v>
      </c>
    </row>
    <row r="628" spans="2:8" ht="14.25" customHeight="1" x14ac:dyDescent="0.3">
      <c r="B628" s="105" t="s">
        <v>870</v>
      </c>
      <c r="C628" s="105">
        <v>260.45</v>
      </c>
      <c r="D628" s="3">
        <f t="shared" si="18"/>
        <v>-1.5498015498015584E-2</v>
      </c>
      <c r="F628" s="106">
        <v>45208</v>
      </c>
      <c r="G628" s="107">
        <v>19512.349609375</v>
      </c>
      <c r="H628" s="110">
        <f t="shared" si="19"/>
        <v>-7.181946758847025E-3</v>
      </c>
    </row>
    <row r="629" spans="2:8" ht="14.25" customHeight="1" x14ac:dyDescent="0.3">
      <c r="B629" s="105" t="s">
        <v>871</v>
      </c>
      <c r="C629" s="105">
        <v>257.89999999999998</v>
      </c>
      <c r="D629" s="3">
        <f t="shared" si="18"/>
        <v>-9.7907467844116393E-3</v>
      </c>
      <c r="F629" s="106">
        <v>45209</v>
      </c>
      <c r="G629" s="107">
        <v>19689.849609375</v>
      </c>
      <c r="H629" s="109">
        <f t="shared" si="19"/>
        <v>9.0968029762401072E-3</v>
      </c>
    </row>
    <row r="630" spans="2:8" ht="14.25" customHeight="1" x14ac:dyDescent="0.3">
      <c r="B630" s="105" t="s">
        <v>872</v>
      </c>
      <c r="C630" s="105">
        <v>257.39999999999998</v>
      </c>
      <c r="D630" s="3">
        <f t="shared" si="18"/>
        <v>-1.9387359441644049E-3</v>
      </c>
      <c r="F630" s="106">
        <v>45210</v>
      </c>
      <c r="G630" s="107">
        <v>19811.349609375</v>
      </c>
      <c r="H630" s="110">
        <f t="shared" si="19"/>
        <v>6.1706921287072586E-3</v>
      </c>
    </row>
    <row r="631" spans="2:8" ht="14.25" customHeight="1" x14ac:dyDescent="0.3">
      <c r="B631" s="105" t="s">
        <v>873</v>
      </c>
      <c r="C631" s="105">
        <v>260.10000000000002</v>
      </c>
      <c r="D631" s="3">
        <f t="shared" si="18"/>
        <v>1.0489510489510667E-2</v>
      </c>
      <c r="F631" s="106">
        <v>45211</v>
      </c>
      <c r="G631" s="107">
        <v>19794</v>
      </c>
      <c r="H631" s="109">
        <f t="shared" si="19"/>
        <v>-8.7574091200681898E-4</v>
      </c>
    </row>
    <row r="632" spans="2:8" ht="14.25" customHeight="1" x14ac:dyDescent="0.3">
      <c r="B632" s="105" t="s">
        <v>874</v>
      </c>
      <c r="C632" s="105">
        <v>254.55</v>
      </c>
      <c r="D632" s="3">
        <f t="shared" si="18"/>
        <v>-2.1337946943483316E-2</v>
      </c>
      <c r="F632" s="106">
        <v>45212</v>
      </c>
      <c r="G632" s="107">
        <v>19751.05078125</v>
      </c>
      <c r="H632" s="110">
        <f t="shared" si="19"/>
        <v>-2.1698099802970596E-3</v>
      </c>
    </row>
    <row r="633" spans="2:8" ht="14.25" customHeight="1" x14ac:dyDescent="0.3">
      <c r="B633" s="105" t="s">
        <v>875</v>
      </c>
      <c r="C633" s="105">
        <v>254.2</v>
      </c>
      <c r="D633" s="3">
        <f t="shared" si="18"/>
        <v>-1.3749754468671096E-3</v>
      </c>
      <c r="F633" s="106">
        <v>45215</v>
      </c>
      <c r="G633" s="107">
        <v>19731.75</v>
      </c>
      <c r="H633" s="109">
        <f t="shared" si="19"/>
        <v>-9.7720275562870559E-4</v>
      </c>
    </row>
    <row r="634" spans="2:8" ht="14.25" customHeight="1" x14ac:dyDescent="0.3">
      <c r="B634" s="105" t="s">
        <v>876</v>
      </c>
      <c r="C634" s="105">
        <v>254.9</v>
      </c>
      <c r="D634" s="3">
        <f t="shared" si="18"/>
        <v>2.75373721479157E-3</v>
      </c>
      <c r="F634" s="106">
        <v>45216</v>
      </c>
      <c r="G634" s="107">
        <v>19811.5</v>
      </c>
      <c r="H634" s="110">
        <f t="shared" si="19"/>
        <v>4.0417094276990126E-3</v>
      </c>
    </row>
    <row r="635" spans="2:8" ht="14.25" customHeight="1" x14ac:dyDescent="0.3">
      <c r="B635" s="105" t="s">
        <v>877</v>
      </c>
      <c r="C635" s="105">
        <v>238.65</v>
      </c>
      <c r="D635" s="3">
        <f t="shared" si="18"/>
        <v>-6.3750490388387607E-2</v>
      </c>
      <c r="F635" s="106">
        <v>45217</v>
      </c>
      <c r="G635" s="107">
        <v>19671.099609375</v>
      </c>
      <c r="H635" s="109">
        <f t="shared" si="19"/>
        <v>-7.0868127413371024E-3</v>
      </c>
    </row>
    <row r="636" spans="2:8" ht="14.25" customHeight="1" x14ac:dyDescent="0.3">
      <c r="B636" s="105" t="s">
        <v>878</v>
      </c>
      <c r="C636" s="105">
        <v>235.4</v>
      </c>
      <c r="D636" s="3">
        <f t="shared" si="18"/>
        <v>-1.3618269432222919E-2</v>
      </c>
      <c r="F636" s="106">
        <v>45218</v>
      </c>
      <c r="G636" s="107">
        <v>19624.69921875</v>
      </c>
      <c r="H636" s="110">
        <f t="shared" si="19"/>
        <v>-2.3588102112444267E-3</v>
      </c>
    </row>
    <row r="637" spans="2:8" ht="14.25" customHeight="1" x14ac:dyDescent="0.3">
      <c r="B637" s="105" t="s">
        <v>879</v>
      </c>
      <c r="C637" s="105">
        <v>230.95</v>
      </c>
      <c r="D637" s="3">
        <f t="shared" si="18"/>
        <v>-1.8903993203058696E-2</v>
      </c>
      <c r="F637" s="106">
        <v>45219</v>
      </c>
      <c r="G637" s="107">
        <v>19542.650390625</v>
      </c>
      <c r="H637" s="109">
        <f t="shared" si="19"/>
        <v>-4.1808960845936532E-3</v>
      </c>
    </row>
    <row r="638" spans="2:8" ht="14.25" customHeight="1" x14ac:dyDescent="0.3">
      <c r="B638" s="105" t="s">
        <v>880</v>
      </c>
      <c r="C638" s="105">
        <v>226.25</v>
      </c>
      <c r="D638" s="3">
        <f t="shared" si="18"/>
        <v>-2.0350725265208872E-2</v>
      </c>
      <c r="F638" s="106">
        <v>45222</v>
      </c>
      <c r="G638" s="107">
        <v>19281.75</v>
      </c>
      <c r="H638" s="110">
        <f t="shared" si="19"/>
        <v>-1.3350307425555702E-2</v>
      </c>
    </row>
    <row r="639" spans="2:8" ht="14.25" customHeight="1" x14ac:dyDescent="0.3">
      <c r="B639" s="105" t="s">
        <v>881</v>
      </c>
      <c r="C639" s="105">
        <v>224.4</v>
      </c>
      <c r="D639" s="3">
        <f t="shared" si="18"/>
        <v>-8.1767955801104724E-3</v>
      </c>
      <c r="F639" s="106">
        <v>45224</v>
      </c>
      <c r="G639" s="107">
        <v>19122.150390625</v>
      </c>
      <c r="H639" s="109">
        <f t="shared" si="19"/>
        <v>-8.2772367329210263E-3</v>
      </c>
    </row>
    <row r="640" spans="2:8" ht="14.25" customHeight="1" x14ac:dyDescent="0.3">
      <c r="B640" s="105" t="s">
        <v>882</v>
      </c>
      <c r="C640" s="105">
        <v>222.1</v>
      </c>
      <c r="D640" s="3">
        <f t="shared" si="18"/>
        <v>-1.0249554367201477E-2</v>
      </c>
      <c r="F640" s="106">
        <v>45225</v>
      </c>
      <c r="G640" s="107">
        <v>18857.25</v>
      </c>
      <c r="H640" s="110">
        <f t="shared" si="19"/>
        <v>-1.385306491234754E-2</v>
      </c>
    </row>
    <row r="641" spans="2:8" ht="14.25" customHeight="1" x14ac:dyDescent="0.3">
      <c r="B641" s="105" t="s">
        <v>883</v>
      </c>
      <c r="C641" s="105">
        <v>222.7</v>
      </c>
      <c r="D641" s="3">
        <f t="shared" si="18"/>
        <v>2.701485817199434E-3</v>
      </c>
      <c r="F641" s="106">
        <v>45226</v>
      </c>
      <c r="G641" s="107">
        <v>19047.25</v>
      </c>
      <c r="H641" s="109">
        <f t="shared" si="19"/>
        <v>1.007570032746026E-2</v>
      </c>
    </row>
    <row r="642" spans="2:8" ht="14.25" customHeight="1" x14ac:dyDescent="0.3">
      <c r="B642" s="105" t="s">
        <v>884</v>
      </c>
      <c r="C642" s="105">
        <v>221.9</v>
      </c>
      <c r="D642" s="3">
        <f t="shared" si="18"/>
        <v>-3.5922766052985315E-3</v>
      </c>
      <c r="F642" s="106">
        <v>45229</v>
      </c>
      <c r="G642" s="107">
        <v>19140.900390625</v>
      </c>
      <c r="H642" s="110">
        <f t="shared" si="19"/>
        <v>4.9167407696649118E-3</v>
      </c>
    </row>
    <row r="643" spans="2:8" ht="14.25" customHeight="1" x14ac:dyDescent="0.3">
      <c r="B643" s="105" t="s">
        <v>885</v>
      </c>
      <c r="C643" s="105">
        <v>219.65</v>
      </c>
      <c r="D643" s="3">
        <f t="shared" si="18"/>
        <v>-1.0139702568724651E-2</v>
      </c>
      <c r="F643" s="106">
        <v>45230</v>
      </c>
      <c r="G643" s="107">
        <v>19079.599609375</v>
      </c>
      <c r="H643" s="109">
        <f t="shared" si="19"/>
        <v>-3.2026069828995319E-3</v>
      </c>
    </row>
    <row r="644" spans="2:8" ht="14.25" customHeight="1" x14ac:dyDescent="0.3">
      <c r="B644" s="105" t="s">
        <v>886</v>
      </c>
      <c r="C644" s="105">
        <v>218.7</v>
      </c>
      <c r="D644" s="3">
        <f t="shared" si="18"/>
        <v>-4.325062599590335E-3</v>
      </c>
      <c r="F644" s="106">
        <v>45231</v>
      </c>
      <c r="G644" s="107">
        <v>18989.150390625</v>
      </c>
      <c r="H644" s="110">
        <f t="shared" si="19"/>
        <v>-4.7406245729368791E-3</v>
      </c>
    </row>
    <row r="645" spans="2:8" ht="14.25" customHeight="1" x14ac:dyDescent="0.3">
      <c r="B645" s="105" t="s">
        <v>887</v>
      </c>
      <c r="C645" s="105">
        <v>221.75</v>
      </c>
      <c r="D645" s="3">
        <f t="shared" ref="D645:D708" si="20">(C645-C644)/C644</f>
        <v>1.3946044810242393E-2</v>
      </c>
      <c r="F645" s="106">
        <v>45232</v>
      </c>
      <c r="G645" s="107">
        <v>19133.25</v>
      </c>
      <c r="H645" s="109">
        <f t="shared" ref="H645:H708" si="21">(G645-G644)/G644</f>
        <v>7.5885232572670764E-3</v>
      </c>
    </row>
    <row r="646" spans="2:8" ht="14.25" customHeight="1" x14ac:dyDescent="0.3">
      <c r="B646" s="105" t="s">
        <v>888</v>
      </c>
      <c r="C646" s="105">
        <v>224.5</v>
      </c>
      <c r="D646" s="3">
        <f t="shared" si="20"/>
        <v>1.2401352874859075E-2</v>
      </c>
      <c r="F646" s="106">
        <v>45233</v>
      </c>
      <c r="G646" s="107">
        <v>19230.599609375</v>
      </c>
      <c r="H646" s="110">
        <f t="shared" si="21"/>
        <v>5.0879808383311777E-3</v>
      </c>
    </row>
    <row r="647" spans="2:8" ht="14.25" customHeight="1" x14ac:dyDescent="0.3">
      <c r="B647" s="105" t="s">
        <v>889</v>
      </c>
      <c r="C647" s="105">
        <v>224.85</v>
      </c>
      <c r="D647" s="3">
        <f t="shared" si="20"/>
        <v>1.5590200445434045E-3</v>
      </c>
      <c r="F647" s="106">
        <v>45236</v>
      </c>
      <c r="G647" s="107">
        <v>19411.75</v>
      </c>
      <c r="H647" s="109">
        <f t="shared" si="21"/>
        <v>9.4199033989916994E-3</v>
      </c>
    </row>
    <row r="648" spans="2:8" ht="14.25" customHeight="1" x14ac:dyDescent="0.3">
      <c r="B648" s="105" t="s">
        <v>890</v>
      </c>
      <c r="C648" s="105">
        <v>225.35</v>
      </c>
      <c r="D648" s="3">
        <f t="shared" si="20"/>
        <v>2.2237046920169003E-3</v>
      </c>
      <c r="F648" s="106">
        <v>45237</v>
      </c>
      <c r="G648" s="107">
        <v>19406.69921875</v>
      </c>
      <c r="H648" s="110">
        <f t="shared" si="21"/>
        <v>-2.6019195847875644E-4</v>
      </c>
    </row>
    <row r="649" spans="2:8" ht="14.25" customHeight="1" x14ac:dyDescent="0.3">
      <c r="B649" s="105" t="s">
        <v>891</v>
      </c>
      <c r="C649" s="105">
        <v>226.85</v>
      </c>
      <c r="D649" s="3">
        <f t="shared" si="20"/>
        <v>6.6563124029287773E-3</v>
      </c>
      <c r="F649" s="106">
        <v>45238</v>
      </c>
      <c r="G649" s="107">
        <v>19443.5</v>
      </c>
      <c r="H649" s="109">
        <f t="shared" si="21"/>
        <v>1.8962926582818634E-3</v>
      </c>
    </row>
    <row r="650" spans="2:8" ht="14.25" customHeight="1" x14ac:dyDescent="0.3">
      <c r="B650" s="105" t="s">
        <v>892</v>
      </c>
      <c r="C650" s="105">
        <v>227.05</v>
      </c>
      <c r="D650" s="3">
        <f t="shared" si="20"/>
        <v>8.8163985012130065E-4</v>
      </c>
      <c r="F650" s="106">
        <v>45239</v>
      </c>
      <c r="G650" s="107">
        <v>19395.30078125</v>
      </c>
      <c r="H650" s="110">
        <f t="shared" si="21"/>
        <v>-2.4789373698151053E-3</v>
      </c>
    </row>
    <row r="651" spans="2:8" ht="14.25" customHeight="1" x14ac:dyDescent="0.3">
      <c r="B651" s="105" t="s">
        <v>893</v>
      </c>
      <c r="C651" s="105">
        <v>227.4</v>
      </c>
      <c r="D651" s="3">
        <f t="shared" si="20"/>
        <v>1.5415106804668325E-3</v>
      </c>
      <c r="F651" s="106">
        <v>45240</v>
      </c>
      <c r="G651" s="107">
        <v>19425.349609375</v>
      </c>
      <c r="H651" s="109">
        <f t="shared" si="21"/>
        <v>1.5492839458333678E-3</v>
      </c>
    </row>
    <row r="652" spans="2:8" ht="14.25" customHeight="1" x14ac:dyDescent="0.3">
      <c r="B652" s="105" t="s">
        <v>894</v>
      </c>
      <c r="C652" s="105">
        <v>227.35</v>
      </c>
      <c r="D652" s="3">
        <f t="shared" si="20"/>
        <v>-2.198768689534361E-4</v>
      </c>
      <c r="F652" s="106">
        <v>45243</v>
      </c>
      <c r="G652" s="107">
        <v>19443.55078125</v>
      </c>
      <c r="H652" s="110">
        <f t="shared" si="21"/>
        <v>9.3698040143461864E-4</v>
      </c>
    </row>
    <row r="653" spans="2:8" ht="14.25" customHeight="1" x14ac:dyDescent="0.3">
      <c r="B653" s="105" t="s">
        <v>895</v>
      </c>
      <c r="C653" s="105">
        <v>229.1</v>
      </c>
      <c r="D653" s="3">
        <f t="shared" si="20"/>
        <v>7.6973828898174619E-3</v>
      </c>
      <c r="F653" s="106">
        <v>45245</v>
      </c>
      <c r="G653" s="107">
        <v>19675.44921875</v>
      </c>
      <c r="H653" s="109">
        <f t="shared" si="21"/>
        <v>1.1926753508604336E-2</v>
      </c>
    </row>
    <row r="654" spans="2:8" ht="14.25" customHeight="1" x14ac:dyDescent="0.3">
      <c r="B654" s="105" t="s">
        <v>896</v>
      </c>
      <c r="C654" s="105">
        <v>231.9</v>
      </c>
      <c r="D654" s="3">
        <f t="shared" si="20"/>
        <v>1.2221737232649549E-2</v>
      </c>
      <c r="F654" s="106">
        <v>45246</v>
      </c>
      <c r="G654" s="107">
        <v>19765.19921875</v>
      </c>
      <c r="H654" s="110">
        <f t="shared" si="21"/>
        <v>4.5615222809993819E-3</v>
      </c>
    </row>
    <row r="655" spans="2:8" ht="14.25" customHeight="1" x14ac:dyDescent="0.3">
      <c r="B655" s="105" t="s">
        <v>897</v>
      </c>
      <c r="C655" s="105">
        <v>232.75</v>
      </c>
      <c r="D655" s="3">
        <f t="shared" si="20"/>
        <v>3.66537300560584E-3</v>
      </c>
      <c r="F655" s="106">
        <v>45247</v>
      </c>
      <c r="G655" s="107">
        <v>19731.80078125</v>
      </c>
      <c r="H655" s="109">
        <f t="shared" si="21"/>
        <v>-1.6897597201204532E-3</v>
      </c>
    </row>
    <row r="656" spans="2:8" ht="14.25" customHeight="1" x14ac:dyDescent="0.3">
      <c r="B656" s="105" t="s">
        <v>898</v>
      </c>
      <c r="C656" s="105">
        <v>235</v>
      </c>
      <c r="D656" s="3">
        <f t="shared" si="20"/>
        <v>9.6670247046186895E-3</v>
      </c>
      <c r="F656" s="106">
        <v>45250</v>
      </c>
      <c r="G656" s="107">
        <v>19694</v>
      </c>
      <c r="H656" s="110">
        <f t="shared" si="21"/>
        <v>-1.9157289123818803E-3</v>
      </c>
    </row>
    <row r="657" spans="2:8" ht="14.25" customHeight="1" x14ac:dyDescent="0.3">
      <c r="B657" s="105" t="s">
        <v>899</v>
      </c>
      <c r="C657" s="105">
        <v>233.7</v>
      </c>
      <c r="D657" s="3">
        <f t="shared" si="20"/>
        <v>-5.5319148936170699E-3</v>
      </c>
      <c r="F657" s="106">
        <v>45251</v>
      </c>
      <c r="G657" s="107">
        <v>19783.400390625</v>
      </c>
      <c r="H657" s="109">
        <f t="shared" si="21"/>
        <v>4.5394734754239871E-3</v>
      </c>
    </row>
    <row r="658" spans="2:8" ht="14.25" customHeight="1" x14ac:dyDescent="0.3">
      <c r="B658" s="105" t="s">
        <v>900</v>
      </c>
      <c r="C658" s="105">
        <v>236</v>
      </c>
      <c r="D658" s="3">
        <f t="shared" si="20"/>
        <v>9.8416773641421124E-3</v>
      </c>
      <c r="F658" s="106">
        <v>45252</v>
      </c>
      <c r="G658" s="107">
        <v>19811.849609375</v>
      </c>
      <c r="H658" s="110">
        <f t="shared" si="21"/>
        <v>1.438034826585301E-3</v>
      </c>
    </row>
    <row r="659" spans="2:8" ht="14.25" customHeight="1" x14ac:dyDescent="0.3">
      <c r="B659" s="105" t="s">
        <v>901</v>
      </c>
      <c r="C659" s="105">
        <v>234.65</v>
      </c>
      <c r="D659" s="3">
        <f t="shared" si="20"/>
        <v>-5.7203389830508232E-3</v>
      </c>
      <c r="F659" s="106">
        <v>45253</v>
      </c>
      <c r="G659" s="107">
        <v>19802</v>
      </c>
      <c r="H659" s="109">
        <f t="shared" si="21"/>
        <v>-4.9715748752398909E-4</v>
      </c>
    </row>
    <row r="660" spans="2:8" ht="14.25" customHeight="1" x14ac:dyDescent="0.3">
      <c r="B660" s="105" t="s">
        <v>902</v>
      </c>
      <c r="C660" s="105">
        <v>235.35</v>
      </c>
      <c r="D660" s="3">
        <f t="shared" si="20"/>
        <v>2.9831664180694165E-3</v>
      </c>
      <c r="F660" s="106">
        <v>45254</v>
      </c>
      <c r="G660" s="107">
        <v>19794.69921875</v>
      </c>
      <c r="H660" s="110">
        <f t="shared" si="21"/>
        <v>-3.6868908443591557E-4</v>
      </c>
    </row>
    <row r="661" spans="2:8" ht="14.25" customHeight="1" x14ac:dyDescent="0.3">
      <c r="B661" s="105" t="s">
        <v>903</v>
      </c>
      <c r="C661" s="105">
        <v>233.1</v>
      </c>
      <c r="D661" s="3">
        <f t="shared" si="20"/>
        <v>-9.5602294455066923E-3</v>
      </c>
      <c r="F661" s="106">
        <v>45258</v>
      </c>
      <c r="G661" s="107">
        <v>19889.69921875</v>
      </c>
      <c r="H661" s="109">
        <f t="shared" si="21"/>
        <v>4.7992646389905125E-3</v>
      </c>
    </row>
    <row r="662" spans="2:8" ht="14.25" customHeight="1" x14ac:dyDescent="0.3">
      <c r="B662" s="105" t="s">
        <v>904</v>
      </c>
      <c r="C662" s="105">
        <v>236.75</v>
      </c>
      <c r="D662" s="3">
        <f t="shared" si="20"/>
        <v>1.5658515658515684E-2</v>
      </c>
      <c r="F662" s="106">
        <v>45259</v>
      </c>
      <c r="G662" s="107">
        <v>20096.599609375</v>
      </c>
      <c r="H662" s="110">
        <f t="shared" si="21"/>
        <v>1.0402389113554579E-2</v>
      </c>
    </row>
    <row r="663" spans="2:8" ht="14.25" customHeight="1" x14ac:dyDescent="0.3">
      <c r="B663" s="105" t="s">
        <v>905</v>
      </c>
      <c r="C663" s="105">
        <v>238.3</v>
      </c>
      <c r="D663" s="3">
        <f t="shared" si="20"/>
        <v>6.5469904963041661E-3</v>
      </c>
      <c r="F663" s="106">
        <v>45260</v>
      </c>
      <c r="G663" s="107">
        <v>20133.150390625</v>
      </c>
      <c r="H663" s="109">
        <f t="shared" si="21"/>
        <v>1.8187545137212753E-3</v>
      </c>
    </row>
    <row r="664" spans="2:8" ht="14.25" customHeight="1" x14ac:dyDescent="0.3">
      <c r="B664" s="105" t="s">
        <v>906</v>
      </c>
      <c r="C664" s="105">
        <v>240.65</v>
      </c>
      <c r="D664" s="3">
        <f t="shared" si="20"/>
        <v>9.8615190935794975E-3</v>
      </c>
      <c r="F664" s="106">
        <v>45261</v>
      </c>
      <c r="G664" s="107">
        <v>20267.900390625</v>
      </c>
      <c r="H664" s="110">
        <f t="shared" si="21"/>
        <v>6.6929416105065368E-3</v>
      </c>
    </row>
    <row r="665" spans="2:8" ht="14.25" customHeight="1" x14ac:dyDescent="0.3">
      <c r="B665" s="105" t="s">
        <v>907</v>
      </c>
      <c r="C665" s="105">
        <v>240.65</v>
      </c>
      <c r="D665" s="3">
        <f t="shared" si="20"/>
        <v>0</v>
      </c>
      <c r="F665" s="106">
        <v>45264</v>
      </c>
      <c r="G665" s="107">
        <v>20686.80078125</v>
      </c>
      <c r="H665" s="109">
        <f t="shared" si="21"/>
        <v>2.0668169003769332E-2</v>
      </c>
    </row>
    <row r="666" spans="2:8" ht="14.25" customHeight="1" x14ac:dyDescent="0.3">
      <c r="B666" s="105" t="s">
        <v>908</v>
      </c>
      <c r="C666" s="105">
        <v>243.1</v>
      </c>
      <c r="D666" s="3">
        <f t="shared" si="20"/>
        <v>1.018076044047367E-2</v>
      </c>
      <c r="F666" s="106">
        <v>45265</v>
      </c>
      <c r="G666" s="107">
        <v>20855.099609375</v>
      </c>
      <c r="H666" s="110">
        <f t="shared" si="21"/>
        <v>8.1355657602475619E-3</v>
      </c>
    </row>
    <row r="667" spans="2:8" ht="14.25" customHeight="1" x14ac:dyDescent="0.3">
      <c r="B667" s="105" t="s">
        <v>909</v>
      </c>
      <c r="C667" s="105">
        <v>240.4</v>
      </c>
      <c r="D667" s="3">
        <f t="shared" si="20"/>
        <v>-1.1106540518305178E-2</v>
      </c>
      <c r="F667" s="106">
        <v>45266</v>
      </c>
      <c r="G667" s="107">
        <v>20937.69921875</v>
      </c>
      <c r="H667" s="109">
        <f t="shared" si="21"/>
        <v>3.9606432442005199E-3</v>
      </c>
    </row>
    <row r="668" spans="2:8" ht="14.25" customHeight="1" x14ac:dyDescent="0.3">
      <c r="B668" s="105" t="s">
        <v>910</v>
      </c>
      <c r="C668" s="105">
        <v>242.25</v>
      </c>
      <c r="D668" s="3">
        <f t="shared" si="20"/>
        <v>7.6955074875207745E-3</v>
      </c>
      <c r="F668" s="106">
        <v>45267</v>
      </c>
      <c r="G668" s="107">
        <v>20901.150390625</v>
      </c>
      <c r="H668" s="110">
        <f t="shared" si="21"/>
        <v>-1.7455990623969808E-3</v>
      </c>
    </row>
    <row r="669" spans="2:8" ht="14.25" customHeight="1" x14ac:dyDescent="0.3">
      <c r="B669" s="105" t="s">
        <v>911</v>
      </c>
      <c r="C669" s="105">
        <v>239</v>
      </c>
      <c r="D669" s="3">
        <f t="shared" si="20"/>
        <v>-1.3415892672858616E-2</v>
      </c>
      <c r="F669" s="106">
        <v>45268</v>
      </c>
      <c r="G669" s="107">
        <v>20969.400390625</v>
      </c>
      <c r="H669" s="109">
        <f t="shared" si="21"/>
        <v>3.2653705047073797E-3</v>
      </c>
    </row>
    <row r="670" spans="2:8" ht="14.25" customHeight="1" x14ac:dyDescent="0.3">
      <c r="B670" s="105" t="s">
        <v>912</v>
      </c>
      <c r="C670" s="105">
        <v>240.05</v>
      </c>
      <c r="D670" s="3">
        <f t="shared" si="20"/>
        <v>4.3933054393305911E-3</v>
      </c>
      <c r="F670" s="106">
        <v>45271</v>
      </c>
      <c r="G670" s="107">
        <v>20997.099609375</v>
      </c>
      <c r="H670" s="110">
        <f t="shared" si="21"/>
        <v>1.3209351833628857E-3</v>
      </c>
    </row>
    <row r="671" spans="2:8" ht="14.25" customHeight="1" x14ac:dyDescent="0.3">
      <c r="B671" s="105" t="s">
        <v>913</v>
      </c>
      <c r="C671" s="105">
        <v>238.65</v>
      </c>
      <c r="D671" s="3">
        <f t="shared" si="20"/>
        <v>-5.832118308685714E-3</v>
      </c>
      <c r="F671" s="106">
        <v>45272</v>
      </c>
      <c r="G671" s="107">
        <v>20906.400390625</v>
      </c>
      <c r="H671" s="109">
        <f t="shared" si="21"/>
        <v>-4.3196070141755995E-3</v>
      </c>
    </row>
    <row r="672" spans="2:8" ht="14.25" customHeight="1" x14ac:dyDescent="0.3">
      <c r="B672" s="105" t="s">
        <v>914</v>
      </c>
      <c r="C672" s="105">
        <v>249.3</v>
      </c>
      <c r="D672" s="3">
        <f t="shared" si="20"/>
        <v>4.4626021370207443E-2</v>
      </c>
      <c r="F672" s="106">
        <v>45273</v>
      </c>
      <c r="G672" s="107">
        <v>20926.349609375</v>
      </c>
      <c r="H672" s="110">
        <f t="shared" si="21"/>
        <v>9.5421585625738684E-4</v>
      </c>
    </row>
    <row r="673" spans="2:8" ht="14.25" customHeight="1" x14ac:dyDescent="0.3">
      <c r="B673" s="105" t="s">
        <v>915</v>
      </c>
      <c r="C673" s="105">
        <v>248.05</v>
      </c>
      <c r="D673" s="3">
        <f t="shared" si="20"/>
        <v>-5.0140393100681904E-3</v>
      </c>
      <c r="F673" s="106">
        <v>45274</v>
      </c>
      <c r="G673" s="107">
        <v>21182.69921875</v>
      </c>
      <c r="H673" s="109">
        <f t="shared" si="21"/>
        <v>1.2250087289956937E-2</v>
      </c>
    </row>
    <row r="674" spans="2:8" ht="14.25" customHeight="1" x14ac:dyDescent="0.3">
      <c r="B674" s="105" t="s">
        <v>916</v>
      </c>
      <c r="C674" s="105">
        <v>251.7</v>
      </c>
      <c r="D674" s="3">
        <f t="shared" si="20"/>
        <v>1.471477524692593E-2</v>
      </c>
      <c r="F674" s="106">
        <v>45275</v>
      </c>
      <c r="G674" s="107">
        <v>21456.650390625</v>
      </c>
      <c r="H674" s="110">
        <f t="shared" si="21"/>
        <v>1.2932779200891942E-2</v>
      </c>
    </row>
    <row r="675" spans="2:8" ht="14.25" customHeight="1" x14ac:dyDescent="0.3">
      <c r="B675" s="105" t="s">
        <v>917</v>
      </c>
      <c r="C675" s="105">
        <v>254.1</v>
      </c>
      <c r="D675" s="3">
        <f t="shared" si="20"/>
        <v>9.5351609058403099E-3</v>
      </c>
      <c r="F675" s="106">
        <v>45278</v>
      </c>
      <c r="G675" s="107">
        <v>21418.650390625</v>
      </c>
      <c r="H675" s="109">
        <f t="shared" si="21"/>
        <v>-1.7710126840955215E-3</v>
      </c>
    </row>
    <row r="676" spans="2:8" ht="14.25" customHeight="1" x14ac:dyDescent="0.3">
      <c r="B676" s="105" t="s">
        <v>918</v>
      </c>
      <c r="C676" s="105">
        <v>252.35</v>
      </c>
      <c r="D676" s="3">
        <f t="shared" si="20"/>
        <v>-6.8870523415977963E-3</v>
      </c>
      <c r="F676" s="106">
        <v>45279</v>
      </c>
      <c r="G676" s="107">
        <v>21453.099609375</v>
      </c>
      <c r="H676" s="110">
        <f t="shared" si="21"/>
        <v>1.6083748565725931E-3</v>
      </c>
    </row>
    <row r="677" spans="2:8" ht="14.25" customHeight="1" x14ac:dyDescent="0.3">
      <c r="B677" s="105" t="s">
        <v>919</v>
      </c>
      <c r="C677" s="105">
        <v>242.6</v>
      </c>
      <c r="D677" s="3">
        <f t="shared" si="20"/>
        <v>-3.8636813948880522E-2</v>
      </c>
      <c r="F677" s="106">
        <v>45280</v>
      </c>
      <c r="G677" s="107">
        <v>21150.150390625</v>
      </c>
      <c r="H677" s="109">
        <f t="shared" si="21"/>
        <v>-1.412146609423336E-2</v>
      </c>
    </row>
    <row r="678" spans="2:8" ht="14.25" customHeight="1" x14ac:dyDescent="0.3">
      <c r="B678" s="105" t="s">
        <v>920</v>
      </c>
      <c r="C678" s="105">
        <v>245.7</v>
      </c>
      <c r="D678" s="3">
        <f t="shared" si="20"/>
        <v>1.2778235779060159E-2</v>
      </c>
      <c r="F678" s="106">
        <v>45281</v>
      </c>
      <c r="G678" s="107">
        <v>21255.05078125</v>
      </c>
      <c r="H678" s="110">
        <f t="shared" si="21"/>
        <v>4.9597940765233554E-3</v>
      </c>
    </row>
    <row r="679" spans="2:8" ht="14.25" customHeight="1" x14ac:dyDescent="0.3">
      <c r="B679" s="105" t="s">
        <v>921</v>
      </c>
      <c r="C679" s="105">
        <v>246.3</v>
      </c>
      <c r="D679" s="3">
        <f t="shared" si="20"/>
        <v>2.4420024420025348E-3</v>
      </c>
      <c r="F679" s="106">
        <v>45282</v>
      </c>
      <c r="G679" s="107">
        <v>21349.400390625</v>
      </c>
      <c r="H679" s="109">
        <f t="shared" si="21"/>
        <v>4.4389265566107177E-3</v>
      </c>
    </row>
    <row r="680" spans="2:8" ht="14.25" customHeight="1" x14ac:dyDescent="0.3">
      <c r="B680" s="105" t="s">
        <v>922</v>
      </c>
      <c r="C680" s="105">
        <v>250.65</v>
      </c>
      <c r="D680" s="3">
        <f t="shared" si="20"/>
        <v>1.766138855054809E-2</v>
      </c>
      <c r="F680" s="106">
        <v>45286</v>
      </c>
      <c r="G680" s="107">
        <v>21441.349609375</v>
      </c>
      <c r="H680" s="110">
        <f t="shared" si="21"/>
        <v>4.3068759341071223E-3</v>
      </c>
    </row>
    <row r="681" spans="2:8" ht="14.25" customHeight="1" x14ac:dyDescent="0.3">
      <c r="B681" s="105" t="s">
        <v>923</v>
      </c>
      <c r="C681" s="105">
        <v>252.75</v>
      </c>
      <c r="D681" s="3">
        <f t="shared" si="20"/>
        <v>8.378216636744441E-3</v>
      </c>
      <c r="F681" s="106">
        <v>45287</v>
      </c>
      <c r="G681" s="107">
        <v>21654.75</v>
      </c>
      <c r="H681" s="109">
        <f t="shared" si="21"/>
        <v>9.9527499207276091E-3</v>
      </c>
    </row>
    <row r="682" spans="2:8" ht="14.25" customHeight="1" x14ac:dyDescent="0.3">
      <c r="B682" s="105" t="s">
        <v>924</v>
      </c>
      <c r="C682" s="105">
        <v>247.35</v>
      </c>
      <c r="D682" s="3">
        <f t="shared" si="20"/>
        <v>-2.1364985163204769E-2</v>
      </c>
      <c r="F682" s="106">
        <v>45288</v>
      </c>
      <c r="G682" s="107">
        <v>21778.69921875</v>
      </c>
      <c r="H682" s="110">
        <f t="shared" si="21"/>
        <v>5.7238813077962114E-3</v>
      </c>
    </row>
    <row r="683" spans="2:8" ht="14.25" customHeight="1" x14ac:dyDescent="0.3">
      <c r="B683" s="105" t="s">
        <v>925</v>
      </c>
      <c r="C683" s="105">
        <v>249.65</v>
      </c>
      <c r="D683" s="3">
        <f t="shared" si="20"/>
        <v>9.2985647867394848E-3</v>
      </c>
      <c r="F683" s="106">
        <v>45289</v>
      </c>
      <c r="G683" s="107">
        <v>21731.400390625</v>
      </c>
      <c r="H683" s="109">
        <f t="shared" si="21"/>
        <v>-2.171793074045436E-3</v>
      </c>
    </row>
    <row r="684" spans="2:8" ht="14.25" customHeight="1" x14ac:dyDescent="0.3">
      <c r="B684" s="105" t="s">
        <v>926</v>
      </c>
      <c r="C684" s="105">
        <v>255.55</v>
      </c>
      <c r="D684" s="3">
        <f t="shared" si="20"/>
        <v>2.3633086320849209E-2</v>
      </c>
      <c r="F684" s="106">
        <v>45292</v>
      </c>
      <c r="G684" s="107">
        <v>21741.900390625</v>
      </c>
      <c r="H684" s="110">
        <f t="shared" si="21"/>
        <v>4.8317180721265139E-4</v>
      </c>
    </row>
    <row r="685" spans="2:8" ht="14.25" customHeight="1" x14ac:dyDescent="0.3">
      <c r="B685" s="105" t="s">
        <v>927</v>
      </c>
      <c r="C685" s="105">
        <v>266.2</v>
      </c>
      <c r="D685" s="3">
        <f t="shared" si="20"/>
        <v>4.1674819017804642E-2</v>
      </c>
      <c r="F685" s="106">
        <v>45293</v>
      </c>
      <c r="G685" s="107">
        <v>21665.80078125</v>
      </c>
      <c r="H685" s="109">
        <f t="shared" si="21"/>
        <v>-3.5001360510240297E-3</v>
      </c>
    </row>
    <row r="686" spans="2:8" ht="14.25" customHeight="1" x14ac:dyDescent="0.3">
      <c r="B686" s="105" t="s">
        <v>928</v>
      </c>
      <c r="C686" s="105">
        <v>282.35000000000002</v>
      </c>
      <c r="D686" s="3">
        <f t="shared" si="20"/>
        <v>6.0668670172802537E-2</v>
      </c>
      <c r="F686" s="106">
        <v>45294</v>
      </c>
      <c r="G686" s="107">
        <v>21517.349609375</v>
      </c>
      <c r="H686" s="110">
        <f t="shared" si="21"/>
        <v>-6.8518663756694607E-3</v>
      </c>
    </row>
    <row r="687" spans="2:8" ht="14.25" customHeight="1" x14ac:dyDescent="0.3">
      <c r="B687" s="105" t="s">
        <v>929</v>
      </c>
      <c r="C687" s="105">
        <v>283.60000000000002</v>
      </c>
      <c r="D687" s="3">
        <f t="shared" si="20"/>
        <v>4.4271294492650957E-3</v>
      </c>
      <c r="F687" s="106">
        <v>45295</v>
      </c>
      <c r="G687" s="107">
        <v>21658.599609375</v>
      </c>
      <c r="H687" s="109">
        <f t="shared" si="21"/>
        <v>6.5644701863494422E-3</v>
      </c>
    </row>
    <row r="688" spans="2:8" ht="14.25" customHeight="1" x14ac:dyDescent="0.3">
      <c r="B688" s="105" t="s">
        <v>930</v>
      </c>
      <c r="C688" s="105">
        <v>291.3</v>
      </c>
      <c r="D688" s="3">
        <f t="shared" si="20"/>
        <v>2.7150916784203061E-2</v>
      </c>
      <c r="F688" s="106">
        <v>45296</v>
      </c>
      <c r="G688" s="107">
        <v>21710.80078125</v>
      </c>
      <c r="H688" s="110">
        <f t="shared" si="21"/>
        <v>2.4101822286056087E-3</v>
      </c>
    </row>
    <row r="689" spans="2:8" ht="14.25" customHeight="1" x14ac:dyDescent="0.3">
      <c r="B689" s="105" t="s">
        <v>931</v>
      </c>
      <c r="C689" s="105">
        <v>280.55</v>
      </c>
      <c r="D689" s="3">
        <f t="shared" si="20"/>
        <v>-3.6903535873669756E-2</v>
      </c>
      <c r="F689" s="106">
        <v>45299</v>
      </c>
      <c r="G689" s="107">
        <v>21513</v>
      </c>
      <c r="H689" s="109">
        <f t="shared" si="21"/>
        <v>-9.1107086856430358E-3</v>
      </c>
    </row>
    <row r="690" spans="2:8" ht="14.25" customHeight="1" x14ac:dyDescent="0.3">
      <c r="B690" s="105" t="s">
        <v>932</v>
      </c>
      <c r="C690" s="105">
        <v>281.2</v>
      </c>
      <c r="D690" s="3">
        <f t="shared" si="20"/>
        <v>2.3168775619318385E-3</v>
      </c>
      <c r="F690" s="106">
        <v>45300</v>
      </c>
      <c r="G690" s="107">
        <v>21544.849609375</v>
      </c>
      <c r="H690" s="110">
        <f t="shared" si="21"/>
        <v>1.4804820050667038E-3</v>
      </c>
    </row>
    <row r="691" spans="2:8" ht="14.25" customHeight="1" x14ac:dyDescent="0.3">
      <c r="B691" s="105" t="s">
        <v>933</v>
      </c>
      <c r="C691" s="105">
        <v>281.45</v>
      </c>
      <c r="D691" s="3">
        <f t="shared" si="20"/>
        <v>8.8904694167852064E-4</v>
      </c>
      <c r="F691" s="106">
        <v>45301</v>
      </c>
      <c r="G691" s="107">
        <v>21618.69921875</v>
      </c>
      <c r="H691" s="109">
        <f t="shared" si="21"/>
        <v>3.4277152411806657E-3</v>
      </c>
    </row>
    <row r="692" spans="2:8" ht="14.25" customHeight="1" x14ac:dyDescent="0.3">
      <c r="B692" s="105" t="s">
        <v>934</v>
      </c>
      <c r="C692" s="105">
        <v>282.10000000000002</v>
      </c>
      <c r="D692" s="3">
        <f t="shared" si="20"/>
        <v>2.3094688221710221E-3</v>
      </c>
      <c r="F692" s="106">
        <v>45302</v>
      </c>
      <c r="G692" s="107">
        <v>21647.19921875</v>
      </c>
      <c r="H692" s="110">
        <f t="shared" si="21"/>
        <v>1.3183031833516521E-3</v>
      </c>
    </row>
    <row r="693" spans="2:8" ht="14.25" customHeight="1" x14ac:dyDescent="0.3">
      <c r="B693" s="105" t="s">
        <v>935</v>
      </c>
      <c r="C693" s="105">
        <v>274.2</v>
      </c>
      <c r="D693" s="3">
        <f t="shared" si="20"/>
        <v>-2.8004253810705541E-2</v>
      </c>
      <c r="F693" s="106">
        <v>45303</v>
      </c>
      <c r="G693" s="107">
        <v>21894.55078125</v>
      </c>
      <c r="H693" s="109">
        <f t="shared" si="21"/>
        <v>1.1426492637705911E-2</v>
      </c>
    </row>
    <row r="694" spans="2:8" ht="14.25" customHeight="1" x14ac:dyDescent="0.3">
      <c r="B694" s="105" t="s">
        <v>936</v>
      </c>
      <c r="C694" s="105">
        <v>281.10000000000002</v>
      </c>
      <c r="D694" s="3">
        <f t="shared" si="20"/>
        <v>2.5164113785558113E-2</v>
      </c>
      <c r="F694" s="106">
        <v>45306</v>
      </c>
      <c r="G694" s="107">
        <v>22097.44921875</v>
      </c>
      <c r="H694" s="110">
        <f t="shared" si="21"/>
        <v>9.2670746948486215E-3</v>
      </c>
    </row>
    <row r="695" spans="2:8" ht="14.25" customHeight="1" x14ac:dyDescent="0.3">
      <c r="B695" s="105" t="s">
        <v>937</v>
      </c>
      <c r="C695" s="105">
        <v>287.60000000000002</v>
      </c>
      <c r="D695" s="3">
        <f t="shared" si="20"/>
        <v>2.3123443614372109E-2</v>
      </c>
      <c r="F695" s="106">
        <v>45307</v>
      </c>
      <c r="G695" s="107">
        <v>22032.30078125</v>
      </c>
      <c r="H695" s="109">
        <f t="shared" si="21"/>
        <v>-2.9482333845447023E-3</v>
      </c>
    </row>
    <row r="696" spans="2:8" ht="14.25" customHeight="1" x14ac:dyDescent="0.3">
      <c r="B696" s="105" t="s">
        <v>938</v>
      </c>
      <c r="C696" s="105">
        <v>279.7</v>
      </c>
      <c r="D696" s="3">
        <f t="shared" si="20"/>
        <v>-2.7468706536856864E-2</v>
      </c>
      <c r="F696" s="106">
        <v>45308</v>
      </c>
      <c r="G696" s="107">
        <v>21571.94921875</v>
      </c>
      <c r="H696" s="110">
        <f t="shared" si="21"/>
        <v>-2.0894393512082492E-2</v>
      </c>
    </row>
    <row r="697" spans="2:8" ht="14.25" customHeight="1" x14ac:dyDescent="0.3">
      <c r="B697" s="105" t="s">
        <v>939</v>
      </c>
      <c r="C697" s="105">
        <v>280.3</v>
      </c>
      <c r="D697" s="3">
        <f t="shared" si="20"/>
        <v>2.1451555237755552E-3</v>
      </c>
      <c r="F697" s="106">
        <v>45309</v>
      </c>
      <c r="G697" s="107">
        <v>21462.25</v>
      </c>
      <c r="H697" s="109">
        <f t="shared" si="21"/>
        <v>-5.0852715087355742E-3</v>
      </c>
    </row>
    <row r="698" spans="2:8" ht="14.25" customHeight="1" x14ac:dyDescent="0.3">
      <c r="B698" s="105" t="s">
        <v>940</v>
      </c>
      <c r="C698" s="105">
        <v>276.10000000000002</v>
      </c>
      <c r="D698" s="3">
        <f t="shared" si="20"/>
        <v>-1.4983945772386688E-2</v>
      </c>
      <c r="F698" s="106">
        <v>45310</v>
      </c>
      <c r="G698" s="107">
        <v>21622.400390625</v>
      </c>
      <c r="H698" s="110">
        <f t="shared" si="21"/>
        <v>7.4619571864552878E-3</v>
      </c>
    </row>
    <row r="699" spans="2:8" ht="14.25" customHeight="1" x14ac:dyDescent="0.3">
      <c r="B699" s="105" t="s">
        <v>941</v>
      </c>
      <c r="C699" s="105">
        <v>262.5</v>
      </c>
      <c r="D699" s="3">
        <f t="shared" si="20"/>
        <v>-4.9257515392973641E-2</v>
      </c>
      <c r="F699" s="106">
        <v>45314</v>
      </c>
      <c r="G699" s="107">
        <v>21238.80078125</v>
      </c>
      <c r="H699" s="109">
        <f t="shared" si="21"/>
        <v>-1.7740842942734536E-2</v>
      </c>
    </row>
    <row r="700" spans="2:8" ht="14.25" customHeight="1" x14ac:dyDescent="0.3">
      <c r="B700" s="105" t="s">
        <v>942</v>
      </c>
      <c r="C700" s="105">
        <v>264.5</v>
      </c>
      <c r="D700" s="3">
        <f t="shared" si="20"/>
        <v>7.619047619047619E-3</v>
      </c>
      <c r="F700" s="106">
        <v>45315</v>
      </c>
      <c r="G700" s="107">
        <v>21453.94921875</v>
      </c>
      <c r="H700" s="110">
        <f t="shared" si="21"/>
        <v>1.0129971071150917E-2</v>
      </c>
    </row>
    <row r="701" spans="2:8" ht="14.25" customHeight="1" x14ac:dyDescent="0.3">
      <c r="B701" s="105" t="s">
        <v>943</v>
      </c>
      <c r="C701" s="105">
        <v>258.7</v>
      </c>
      <c r="D701" s="3">
        <f t="shared" si="20"/>
        <v>-2.1928166351606847E-2</v>
      </c>
      <c r="F701" s="106">
        <v>45316</v>
      </c>
      <c r="G701" s="107">
        <v>21352.599609375</v>
      </c>
      <c r="H701" s="109">
        <f t="shared" si="21"/>
        <v>-4.7240537554001476E-3</v>
      </c>
    </row>
    <row r="702" spans="2:8" ht="14.25" customHeight="1" x14ac:dyDescent="0.3">
      <c r="B702" s="105" t="s">
        <v>944</v>
      </c>
      <c r="C702" s="105">
        <v>260.10000000000002</v>
      </c>
      <c r="D702" s="3">
        <f t="shared" si="20"/>
        <v>5.4116737533824281E-3</v>
      </c>
      <c r="F702" s="106">
        <v>45320</v>
      </c>
      <c r="G702" s="107">
        <v>21737.599609375</v>
      </c>
      <c r="H702" s="110">
        <f t="shared" si="21"/>
        <v>1.8030591452244681E-2</v>
      </c>
    </row>
    <row r="703" spans="2:8" ht="14.25" customHeight="1" x14ac:dyDescent="0.3">
      <c r="B703" s="105" t="s">
        <v>945</v>
      </c>
      <c r="C703" s="105">
        <v>260</v>
      </c>
      <c r="D703" s="3">
        <f t="shared" si="20"/>
        <v>-3.8446751249528155E-4</v>
      </c>
      <c r="F703" s="106">
        <v>45321</v>
      </c>
      <c r="G703" s="107">
        <v>21522.099609375</v>
      </c>
      <c r="H703" s="109">
        <f t="shared" si="21"/>
        <v>-9.9136981024831768E-3</v>
      </c>
    </row>
    <row r="704" spans="2:8" ht="14.25" customHeight="1" x14ac:dyDescent="0.3">
      <c r="B704" s="105" t="s">
        <v>946</v>
      </c>
      <c r="C704" s="105">
        <v>268.39999999999998</v>
      </c>
      <c r="D704" s="3">
        <f t="shared" si="20"/>
        <v>3.2307692307692218E-2</v>
      </c>
      <c r="F704" s="106">
        <v>45322</v>
      </c>
      <c r="G704" s="107">
        <v>21725.69921875</v>
      </c>
      <c r="H704" s="110">
        <f t="shared" si="21"/>
        <v>9.4600254190029057E-3</v>
      </c>
    </row>
    <row r="705" spans="2:8" ht="14.25" customHeight="1" x14ac:dyDescent="0.3">
      <c r="B705" s="105" t="s">
        <v>947</v>
      </c>
      <c r="C705" s="105">
        <v>269.95</v>
      </c>
      <c r="D705" s="3">
        <f t="shared" si="20"/>
        <v>5.7749627421758995E-3</v>
      </c>
      <c r="F705" s="106">
        <v>45323</v>
      </c>
      <c r="G705" s="107">
        <v>21697.44921875</v>
      </c>
      <c r="H705" s="109">
        <f t="shared" si="21"/>
        <v>-1.3003033741542051E-3</v>
      </c>
    </row>
    <row r="706" spans="2:8" ht="14.25" customHeight="1" x14ac:dyDescent="0.3">
      <c r="B706" s="105" t="s">
        <v>948</v>
      </c>
      <c r="C706" s="105">
        <v>274.7</v>
      </c>
      <c r="D706" s="3">
        <f t="shared" si="20"/>
        <v>1.7595851083533988E-2</v>
      </c>
      <c r="F706" s="106">
        <v>45324</v>
      </c>
      <c r="G706" s="107">
        <v>21853.80078125</v>
      </c>
      <c r="H706" s="110">
        <f t="shared" si="21"/>
        <v>7.2059881750933062E-3</v>
      </c>
    </row>
    <row r="707" spans="2:8" ht="14.25" customHeight="1" x14ac:dyDescent="0.3">
      <c r="B707" s="105" t="s">
        <v>949</v>
      </c>
      <c r="C707" s="105">
        <v>284.64999999999998</v>
      </c>
      <c r="D707" s="3">
        <f t="shared" si="20"/>
        <v>3.6221332362577317E-2</v>
      </c>
      <c r="F707" s="106">
        <v>45327</v>
      </c>
      <c r="G707" s="107">
        <v>21771.69921875</v>
      </c>
      <c r="H707" s="109">
        <f t="shared" si="21"/>
        <v>-3.7568550808077758E-3</v>
      </c>
    </row>
    <row r="708" spans="2:8" ht="14.25" customHeight="1" x14ac:dyDescent="0.3">
      <c r="B708" s="105" t="s">
        <v>950</v>
      </c>
      <c r="C708" s="105">
        <v>298.55</v>
      </c>
      <c r="D708" s="3">
        <f t="shared" si="20"/>
        <v>4.8831898823116233E-2</v>
      </c>
      <c r="F708" s="106">
        <v>45328</v>
      </c>
      <c r="G708" s="107">
        <v>21929.400390625</v>
      </c>
      <c r="H708" s="110">
        <f t="shared" si="21"/>
        <v>7.243402101531249E-3</v>
      </c>
    </row>
    <row r="709" spans="2:8" ht="14.25" customHeight="1" x14ac:dyDescent="0.3">
      <c r="B709" s="105" t="s">
        <v>951</v>
      </c>
      <c r="C709" s="105">
        <v>290.25</v>
      </c>
      <c r="D709" s="3">
        <f t="shared" ref="D709:D772" si="22">(C709-C708)/C708</f>
        <v>-2.7801038352034874E-2</v>
      </c>
      <c r="F709" s="106">
        <v>45329</v>
      </c>
      <c r="G709" s="107">
        <v>21930.5</v>
      </c>
      <c r="H709" s="109">
        <f t="shared" ref="H709:H772" si="23">(G709-G708)/G708</f>
        <v>5.0143157378351857E-5</v>
      </c>
    </row>
    <row r="710" spans="2:8" ht="14.25" customHeight="1" x14ac:dyDescent="0.3">
      <c r="B710" s="105" t="s">
        <v>952</v>
      </c>
      <c r="C710" s="105">
        <v>284.7</v>
      </c>
      <c r="D710" s="3">
        <f t="shared" si="22"/>
        <v>-1.9121447028423812E-2</v>
      </c>
      <c r="F710" s="106">
        <v>45330</v>
      </c>
      <c r="G710" s="107">
        <v>21717.94921875</v>
      </c>
      <c r="H710" s="110">
        <f t="shared" si="23"/>
        <v>-9.6920171108729851E-3</v>
      </c>
    </row>
    <row r="711" spans="2:8" ht="14.25" customHeight="1" x14ac:dyDescent="0.3">
      <c r="B711" s="105" t="s">
        <v>953</v>
      </c>
      <c r="C711" s="105">
        <v>273.39999999999998</v>
      </c>
      <c r="D711" s="3">
        <f t="shared" si="22"/>
        <v>-3.9690902704601377E-2</v>
      </c>
      <c r="F711" s="106">
        <v>45331</v>
      </c>
      <c r="G711" s="107">
        <v>21782.5</v>
      </c>
      <c r="H711" s="109">
        <f t="shared" si="23"/>
        <v>2.9722318898448593E-3</v>
      </c>
    </row>
    <row r="712" spans="2:8" ht="14.25" customHeight="1" x14ac:dyDescent="0.3">
      <c r="B712" s="105" t="s">
        <v>954</v>
      </c>
      <c r="C712" s="105">
        <v>266.7</v>
      </c>
      <c r="D712" s="3">
        <f t="shared" si="22"/>
        <v>-2.4506217995610789E-2</v>
      </c>
      <c r="F712" s="106">
        <v>45334</v>
      </c>
      <c r="G712" s="107">
        <v>21616.05078125</v>
      </c>
      <c r="H712" s="110">
        <f t="shared" si="23"/>
        <v>-7.6414194307356824E-3</v>
      </c>
    </row>
    <row r="713" spans="2:8" ht="14.25" customHeight="1" x14ac:dyDescent="0.3">
      <c r="B713" s="105" t="s">
        <v>955</v>
      </c>
      <c r="C713" s="105">
        <v>267.2</v>
      </c>
      <c r="D713" s="3">
        <f t="shared" si="22"/>
        <v>1.8747656542932134E-3</v>
      </c>
      <c r="F713" s="106">
        <v>45335</v>
      </c>
      <c r="G713" s="107">
        <v>21743.25</v>
      </c>
      <c r="H713" s="109">
        <f t="shared" si="23"/>
        <v>5.8844800115076526E-3</v>
      </c>
    </row>
    <row r="714" spans="2:8" ht="14.25" customHeight="1" x14ac:dyDescent="0.3">
      <c r="B714" s="105" t="s">
        <v>956</v>
      </c>
      <c r="C714" s="105">
        <v>271.7</v>
      </c>
      <c r="D714" s="3">
        <f t="shared" si="22"/>
        <v>1.6841317365269462E-2</v>
      </c>
      <c r="F714" s="106">
        <v>45336</v>
      </c>
      <c r="G714" s="107">
        <v>21840.05078125</v>
      </c>
      <c r="H714" s="110">
        <f t="shared" si="23"/>
        <v>4.4519922849619994E-3</v>
      </c>
    </row>
    <row r="715" spans="2:8" ht="14.25" customHeight="1" x14ac:dyDescent="0.3">
      <c r="B715" s="105" t="s">
        <v>957</v>
      </c>
      <c r="C715" s="105">
        <v>274.3</v>
      </c>
      <c r="D715" s="3">
        <f t="shared" si="22"/>
        <v>9.5693779904307066E-3</v>
      </c>
      <c r="F715" s="106">
        <v>45337</v>
      </c>
      <c r="G715" s="107">
        <v>21910.75</v>
      </c>
      <c r="H715" s="109">
        <f t="shared" si="23"/>
        <v>3.2371361888359849E-3</v>
      </c>
    </row>
    <row r="716" spans="2:8" ht="14.25" customHeight="1" x14ac:dyDescent="0.3">
      <c r="B716" s="105" t="s">
        <v>958</v>
      </c>
      <c r="C716" s="105">
        <v>286.85000000000002</v>
      </c>
      <c r="D716" s="3">
        <f t="shared" si="22"/>
        <v>4.5752825373678495E-2</v>
      </c>
      <c r="F716" s="106">
        <v>45338</v>
      </c>
      <c r="G716" s="107">
        <v>22040.69921875</v>
      </c>
      <c r="H716" s="110">
        <f t="shared" si="23"/>
        <v>5.9308430222607626E-3</v>
      </c>
    </row>
    <row r="717" spans="2:8" ht="14.25" customHeight="1" x14ac:dyDescent="0.3">
      <c r="B717" s="105" t="s">
        <v>959</v>
      </c>
      <c r="C717" s="105">
        <v>291.05</v>
      </c>
      <c r="D717" s="3">
        <f t="shared" si="22"/>
        <v>1.4641798849572906E-2</v>
      </c>
      <c r="F717" s="106">
        <v>45341</v>
      </c>
      <c r="G717" s="107">
        <v>22122.25</v>
      </c>
      <c r="H717" s="109">
        <f t="shared" si="23"/>
        <v>3.7000088082788604E-3</v>
      </c>
    </row>
    <row r="718" spans="2:8" ht="14.25" customHeight="1" x14ac:dyDescent="0.3">
      <c r="B718" s="105" t="s">
        <v>960</v>
      </c>
      <c r="C718" s="105">
        <v>281.2</v>
      </c>
      <c r="D718" s="3">
        <f t="shared" si="22"/>
        <v>-3.3842982305445878E-2</v>
      </c>
      <c r="F718" s="106">
        <v>45342</v>
      </c>
      <c r="G718" s="107">
        <v>22196.94921875</v>
      </c>
      <c r="H718" s="110">
        <f t="shared" si="23"/>
        <v>3.3766555730090748E-3</v>
      </c>
    </row>
    <row r="719" spans="2:8" ht="14.25" customHeight="1" x14ac:dyDescent="0.3">
      <c r="B719" s="105" t="s">
        <v>961</v>
      </c>
      <c r="C719" s="105">
        <v>274</v>
      </c>
      <c r="D719" s="3">
        <f t="shared" si="22"/>
        <v>-2.5604551920341355E-2</v>
      </c>
      <c r="F719" s="106">
        <v>45343</v>
      </c>
      <c r="G719" s="107">
        <v>22055.05078125</v>
      </c>
      <c r="H719" s="109">
        <f t="shared" si="23"/>
        <v>-6.3927000103301077E-3</v>
      </c>
    </row>
    <row r="720" spans="2:8" ht="14.25" customHeight="1" x14ac:dyDescent="0.3">
      <c r="B720" s="105" t="s">
        <v>962</v>
      </c>
      <c r="C720" s="105">
        <v>270.8</v>
      </c>
      <c r="D720" s="3">
        <f t="shared" si="22"/>
        <v>-1.1678832116788281E-2</v>
      </c>
      <c r="F720" s="106">
        <v>45344</v>
      </c>
      <c r="G720" s="107">
        <v>22217.44921875</v>
      </c>
      <c r="H720" s="110">
        <f t="shared" si="23"/>
        <v>7.3633218581415499E-3</v>
      </c>
    </row>
    <row r="721" spans="2:8" ht="14.25" customHeight="1" x14ac:dyDescent="0.3">
      <c r="B721" s="105" t="s">
        <v>963</v>
      </c>
      <c r="C721" s="105">
        <v>273.05</v>
      </c>
      <c r="D721" s="3">
        <f t="shared" si="22"/>
        <v>8.3087149187592319E-3</v>
      </c>
      <c r="F721" s="106">
        <v>45345</v>
      </c>
      <c r="G721" s="107">
        <v>22212.69921875</v>
      </c>
      <c r="H721" s="109">
        <f t="shared" si="23"/>
        <v>-2.1379592019012364E-4</v>
      </c>
    </row>
    <row r="722" spans="2:8" ht="14.25" customHeight="1" x14ac:dyDescent="0.3">
      <c r="B722" s="105" t="s">
        <v>964</v>
      </c>
      <c r="C722" s="105">
        <v>272.95</v>
      </c>
      <c r="D722" s="3">
        <f t="shared" si="22"/>
        <v>-3.6623329060619936E-4</v>
      </c>
      <c r="F722" s="106">
        <v>45348</v>
      </c>
      <c r="G722" s="107">
        <v>22122.05078125</v>
      </c>
      <c r="H722" s="110">
        <f t="shared" si="23"/>
        <v>-4.0809285088361791E-3</v>
      </c>
    </row>
    <row r="723" spans="2:8" ht="14.25" customHeight="1" x14ac:dyDescent="0.3">
      <c r="B723" s="105" t="s">
        <v>965</v>
      </c>
      <c r="C723" s="105">
        <v>275.7</v>
      </c>
      <c r="D723" s="3">
        <f t="shared" si="22"/>
        <v>1.0075105330646639E-2</v>
      </c>
      <c r="F723" s="106">
        <v>45349</v>
      </c>
      <c r="G723" s="107">
        <v>22198.349609375</v>
      </c>
      <c r="H723" s="109">
        <f t="shared" si="23"/>
        <v>3.4489943486464033E-3</v>
      </c>
    </row>
    <row r="724" spans="2:8" ht="14.25" customHeight="1" x14ac:dyDescent="0.3">
      <c r="B724" s="105" t="s">
        <v>966</v>
      </c>
      <c r="C724" s="105">
        <v>271.05</v>
      </c>
      <c r="D724" s="3">
        <f t="shared" si="22"/>
        <v>-1.6866158868335066E-2</v>
      </c>
      <c r="F724" s="106">
        <v>45350</v>
      </c>
      <c r="G724" s="107">
        <v>21951.150390625</v>
      </c>
      <c r="H724" s="110">
        <f t="shared" si="23"/>
        <v>-1.1135927809948569E-2</v>
      </c>
    </row>
    <row r="725" spans="2:8" ht="14.25" customHeight="1" x14ac:dyDescent="0.3">
      <c r="B725" s="105" t="s">
        <v>967</v>
      </c>
      <c r="C725" s="105">
        <v>276.5</v>
      </c>
      <c r="D725" s="3">
        <f t="shared" si="22"/>
        <v>2.0106991330012869E-2</v>
      </c>
      <c r="F725" s="106">
        <v>45351</v>
      </c>
      <c r="G725" s="107">
        <v>21982.80078125</v>
      </c>
      <c r="H725" s="109">
        <f t="shared" si="23"/>
        <v>1.4418556686904846E-3</v>
      </c>
    </row>
    <row r="726" spans="2:8" ht="14.25" customHeight="1" x14ac:dyDescent="0.3">
      <c r="B726" s="105" t="s">
        <v>968</v>
      </c>
      <c r="C726" s="105">
        <v>273.89999999999998</v>
      </c>
      <c r="D726" s="3">
        <f t="shared" si="22"/>
        <v>-9.4032549728753079E-3</v>
      </c>
      <c r="F726" s="106">
        <v>45352</v>
      </c>
      <c r="G726" s="107">
        <v>22338.75</v>
      </c>
      <c r="H726" s="110">
        <f t="shared" si="23"/>
        <v>1.6192168700068607E-2</v>
      </c>
    </row>
    <row r="727" spans="2:8" ht="14.25" customHeight="1" x14ac:dyDescent="0.3">
      <c r="B727" s="105" t="s">
        <v>969</v>
      </c>
      <c r="C727" s="105">
        <v>278.89999999999998</v>
      </c>
      <c r="D727" s="3">
        <f t="shared" si="22"/>
        <v>1.8254837531945966E-2</v>
      </c>
      <c r="F727" s="106">
        <v>45355</v>
      </c>
      <c r="G727" s="107">
        <v>22405.599609375</v>
      </c>
      <c r="H727" s="109">
        <f t="shared" si="23"/>
        <v>2.9925402887359411E-3</v>
      </c>
    </row>
    <row r="728" spans="2:8" ht="14.25" customHeight="1" x14ac:dyDescent="0.3">
      <c r="B728" s="105" t="s">
        <v>970</v>
      </c>
      <c r="C728" s="105">
        <v>279.95</v>
      </c>
      <c r="D728" s="3">
        <f t="shared" si="22"/>
        <v>3.7647902474005433E-3</v>
      </c>
      <c r="F728" s="106">
        <v>45356</v>
      </c>
      <c r="G728" s="107">
        <v>22356.30078125</v>
      </c>
      <c r="H728" s="110">
        <f t="shared" si="23"/>
        <v>-2.2002905070379049E-3</v>
      </c>
    </row>
    <row r="729" spans="2:8" ht="14.25" customHeight="1" x14ac:dyDescent="0.3">
      <c r="B729" s="105" t="s">
        <v>971</v>
      </c>
      <c r="C729" s="105">
        <v>274.5</v>
      </c>
      <c r="D729" s="3">
        <f t="shared" si="22"/>
        <v>-1.9467762100375027E-2</v>
      </c>
      <c r="F729" s="106">
        <v>45357</v>
      </c>
      <c r="G729" s="107">
        <v>22474.05078125</v>
      </c>
      <c r="H729" s="109">
        <f t="shared" si="23"/>
        <v>5.2669715420341689E-3</v>
      </c>
    </row>
    <row r="730" spans="2:8" ht="14.25" customHeight="1" x14ac:dyDescent="0.3">
      <c r="B730" s="105" t="s">
        <v>972</v>
      </c>
      <c r="C730" s="105">
        <v>281.89999999999998</v>
      </c>
      <c r="D730" s="3">
        <f t="shared" si="22"/>
        <v>2.6958105646630155E-2</v>
      </c>
      <c r="F730" s="106">
        <v>45358</v>
      </c>
      <c r="G730" s="107">
        <v>22493.55078125</v>
      </c>
      <c r="H730" s="110">
        <f t="shared" si="23"/>
        <v>8.6766734621195941E-4</v>
      </c>
    </row>
    <row r="731" spans="2:8" ht="14.25" customHeight="1" x14ac:dyDescent="0.3">
      <c r="B731" s="105" t="s">
        <v>973</v>
      </c>
      <c r="C731" s="105">
        <v>279.2</v>
      </c>
      <c r="D731" s="3">
        <f t="shared" si="22"/>
        <v>-9.5778644909541993E-3</v>
      </c>
      <c r="F731" s="106">
        <v>45362</v>
      </c>
      <c r="G731" s="107">
        <v>22332.650390625</v>
      </c>
      <c r="H731" s="109">
        <f t="shared" si="23"/>
        <v>-7.1531788017711326E-3</v>
      </c>
    </row>
    <row r="732" spans="2:8" ht="14.25" customHeight="1" x14ac:dyDescent="0.3">
      <c r="B732" s="105" t="s">
        <v>974</v>
      </c>
      <c r="C732" s="105">
        <v>270.35000000000002</v>
      </c>
      <c r="D732" s="3">
        <f t="shared" si="22"/>
        <v>-3.1697707736389566E-2</v>
      </c>
      <c r="F732" s="106">
        <v>45363</v>
      </c>
      <c r="G732" s="107">
        <v>22335.69921875</v>
      </c>
      <c r="H732" s="110">
        <f t="shared" si="23"/>
        <v>1.3651886684617893E-4</v>
      </c>
    </row>
    <row r="733" spans="2:8" ht="14.25" customHeight="1" x14ac:dyDescent="0.3">
      <c r="B733" s="105" t="s">
        <v>975</v>
      </c>
      <c r="C733" s="105">
        <v>252.85</v>
      </c>
      <c r="D733" s="3">
        <f t="shared" si="22"/>
        <v>-6.4730904383207055E-2</v>
      </c>
      <c r="F733" s="106">
        <v>45364</v>
      </c>
      <c r="G733" s="107">
        <v>21997.69921875</v>
      </c>
      <c r="H733" s="109">
        <f t="shared" si="23"/>
        <v>-1.5132725270416491E-2</v>
      </c>
    </row>
    <row r="734" spans="2:8" ht="14.25" customHeight="1" x14ac:dyDescent="0.3">
      <c r="B734" s="105" t="s">
        <v>976</v>
      </c>
      <c r="C734" s="105">
        <v>267.39999999999998</v>
      </c>
      <c r="D734" s="3">
        <f t="shared" si="22"/>
        <v>5.7543998418034342E-2</v>
      </c>
      <c r="F734" s="106">
        <v>45365</v>
      </c>
      <c r="G734" s="107">
        <v>22146.650390625</v>
      </c>
      <c r="H734" s="110">
        <f t="shared" si="23"/>
        <v>6.7712159528047237E-3</v>
      </c>
    </row>
    <row r="735" spans="2:8" ht="14.25" customHeight="1" x14ac:dyDescent="0.3">
      <c r="B735" s="105" t="s">
        <v>977</v>
      </c>
      <c r="C735" s="105">
        <v>251.65</v>
      </c>
      <c r="D735" s="3">
        <f t="shared" si="22"/>
        <v>-5.890052356020932E-2</v>
      </c>
      <c r="F735" s="106">
        <v>45366</v>
      </c>
      <c r="G735" s="107">
        <v>22023.349609375</v>
      </c>
      <c r="H735" s="109">
        <f t="shared" si="23"/>
        <v>-5.5674686273186943E-3</v>
      </c>
    </row>
    <row r="736" spans="2:8" ht="14.25" customHeight="1" x14ac:dyDescent="0.3">
      <c r="B736" s="105" t="s">
        <v>978</v>
      </c>
      <c r="C736" s="105">
        <v>250.65</v>
      </c>
      <c r="D736" s="3">
        <f t="shared" si="22"/>
        <v>-3.9737730975561297E-3</v>
      </c>
      <c r="F736" s="106">
        <v>45369</v>
      </c>
      <c r="G736" s="107">
        <v>22055.69921875</v>
      </c>
      <c r="H736" s="110">
        <f t="shared" si="23"/>
        <v>1.4688778023679591E-3</v>
      </c>
    </row>
    <row r="737" spans="2:8" ht="14.25" customHeight="1" x14ac:dyDescent="0.3">
      <c r="B737" s="105" t="s">
        <v>979</v>
      </c>
      <c r="C737" s="105">
        <v>245.75</v>
      </c>
      <c r="D737" s="3">
        <f t="shared" si="22"/>
        <v>-1.9549172152403774E-2</v>
      </c>
      <c r="F737" s="106">
        <v>45370</v>
      </c>
      <c r="G737" s="107">
        <v>21817.44921875</v>
      </c>
      <c r="H737" s="109">
        <f t="shared" si="23"/>
        <v>-1.080219664028873E-2</v>
      </c>
    </row>
    <row r="738" spans="2:8" ht="14.25" customHeight="1" x14ac:dyDescent="0.3">
      <c r="B738" s="105" t="s">
        <v>980</v>
      </c>
      <c r="C738" s="105">
        <v>246.85</v>
      </c>
      <c r="D738" s="3">
        <f t="shared" si="22"/>
        <v>4.4760935910477893E-3</v>
      </c>
      <c r="F738" s="106">
        <v>45371</v>
      </c>
      <c r="G738" s="107">
        <v>21839.099609375</v>
      </c>
      <c r="H738" s="110">
        <f t="shared" si="23"/>
        <v>9.9234289068006964E-4</v>
      </c>
    </row>
    <row r="739" spans="2:8" ht="14.25" customHeight="1" x14ac:dyDescent="0.3">
      <c r="B739" s="105" t="s">
        <v>981</v>
      </c>
      <c r="C739" s="105">
        <v>248.7</v>
      </c>
      <c r="D739" s="3">
        <f t="shared" si="22"/>
        <v>7.4944298156775137E-3</v>
      </c>
      <c r="F739" s="106">
        <v>45372</v>
      </c>
      <c r="G739" s="107">
        <v>22011.94921875</v>
      </c>
      <c r="H739" s="109">
        <f t="shared" si="23"/>
        <v>7.9146856998078725E-3</v>
      </c>
    </row>
    <row r="740" spans="2:8" ht="14.25" customHeight="1" x14ac:dyDescent="0.3">
      <c r="B740" s="105" t="s">
        <v>982</v>
      </c>
      <c r="C740" s="105">
        <v>252.2</v>
      </c>
      <c r="D740" s="3">
        <f t="shared" si="22"/>
        <v>1.407318053880177E-2</v>
      </c>
      <c r="F740" s="106">
        <v>45373</v>
      </c>
      <c r="G740" s="107">
        <v>22096.75</v>
      </c>
      <c r="H740" s="110">
        <f t="shared" si="23"/>
        <v>3.8524885010077091E-3</v>
      </c>
    </row>
    <row r="741" spans="2:8" ht="14.25" customHeight="1" x14ac:dyDescent="0.3">
      <c r="B741" s="105" t="s">
        <v>983</v>
      </c>
      <c r="C741" s="105">
        <v>257.7</v>
      </c>
      <c r="D741" s="3">
        <f t="shared" si="22"/>
        <v>2.1808088818398099E-2</v>
      </c>
      <c r="F741" s="106">
        <v>45377</v>
      </c>
      <c r="G741" s="107">
        <v>22004.69921875</v>
      </c>
      <c r="H741" s="109">
        <f t="shared" si="23"/>
        <v>-4.1658063402989125E-3</v>
      </c>
    </row>
    <row r="742" spans="2:8" ht="14.25" customHeight="1" x14ac:dyDescent="0.3">
      <c r="B742" s="105" t="s">
        <v>984</v>
      </c>
      <c r="C742" s="105">
        <v>256.60000000000002</v>
      </c>
      <c r="D742" s="3">
        <f t="shared" si="22"/>
        <v>-4.2685292976327744E-3</v>
      </c>
      <c r="F742" s="106">
        <v>45378</v>
      </c>
      <c r="G742" s="107">
        <v>22123.650390625</v>
      </c>
      <c r="H742" s="110">
        <f t="shared" si="23"/>
        <v>5.40571678315161E-3</v>
      </c>
    </row>
    <row r="743" spans="2:8" ht="14.25" customHeight="1" x14ac:dyDescent="0.3">
      <c r="B743" s="105" t="s">
        <v>985</v>
      </c>
      <c r="C743" s="105">
        <v>264.14999999999998</v>
      </c>
      <c r="D743" s="3">
        <f t="shared" si="22"/>
        <v>2.9423226812158823E-2</v>
      </c>
      <c r="F743" s="106">
        <v>45379</v>
      </c>
      <c r="G743" s="107">
        <v>22326.900390625</v>
      </c>
      <c r="H743" s="109">
        <f t="shared" si="23"/>
        <v>9.1870010785438973E-3</v>
      </c>
    </row>
    <row r="744" spans="2:8" ht="14.25" customHeight="1" x14ac:dyDescent="0.3">
      <c r="B744" s="105" t="s">
        <v>986</v>
      </c>
      <c r="C744" s="105">
        <v>269.7</v>
      </c>
      <c r="D744" s="3">
        <f t="shared" si="22"/>
        <v>2.1010789324247631E-2</v>
      </c>
      <c r="F744" s="106">
        <v>45383</v>
      </c>
      <c r="G744" s="107">
        <v>22462</v>
      </c>
      <c r="H744" s="110">
        <f t="shared" si="23"/>
        <v>6.0509791780917303E-3</v>
      </c>
    </row>
    <row r="745" spans="2:8" ht="14.25" customHeight="1" x14ac:dyDescent="0.3">
      <c r="B745" s="105" t="s">
        <v>987</v>
      </c>
      <c r="C745" s="105">
        <v>270.05</v>
      </c>
      <c r="D745" s="3">
        <f t="shared" si="22"/>
        <v>1.2977382276604477E-3</v>
      </c>
      <c r="F745" s="106">
        <v>45384</v>
      </c>
      <c r="G745" s="107">
        <v>22453.30078125</v>
      </c>
      <c r="H745" s="109">
        <f t="shared" si="23"/>
        <v>-3.872860275131333E-4</v>
      </c>
    </row>
    <row r="746" spans="2:8" ht="14.25" customHeight="1" x14ac:dyDescent="0.3">
      <c r="B746" s="105" t="s">
        <v>988</v>
      </c>
      <c r="C746" s="105">
        <v>272.60000000000002</v>
      </c>
      <c r="D746" s="3">
        <f t="shared" si="22"/>
        <v>9.4426957970746572E-3</v>
      </c>
      <c r="F746" s="106">
        <v>45385</v>
      </c>
      <c r="G746" s="107">
        <v>22434.650390625</v>
      </c>
      <c r="H746" s="110">
        <f t="shared" si="23"/>
        <v>-8.3063024036868183E-4</v>
      </c>
    </row>
    <row r="747" spans="2:8" ht="14.25" customHeight="1" x14ac:dyDescent="0.3">
      <c r="B747" s="105" t="s">
        <v>989</v>
      </c>
      <c r="C747" s="105">
        <v>270.25</v>
      </c>
      <c r="D747" s="3">
        <f t="shared" si="22"/>
        <v>-8.6206896551724969E-3</v>
      </c>
      <c r="F747" s="106">
        <v>45386</v>
      </c>
      <c r="G747" s="107">
        <v>22514.650390625</v>
      </c>
      <c r="H747" s="109">
        <f t="shared" si="23"/>
        <v>3.5659124883635554E-3</v>
      </c>
    </row>
    <row r="748" spans="2:8" ht="14.25" customHeight="1" x14ac:dyDescent="0.3">
      <c r="B748" s="105" t="s">
        <v>990</v>
      </c>
      <c r="C748" s="105">
        <v>270.95</v>
      </c>
      <c r="D748" s="3">
        <f t="shared" si="22"/>
        <v>2.5901942645698006E-3</v>
      </c>
      <c r="F748" s="106">
        <v>45387</v>
      </c>
      <c r="G748" s="107">
        <v>22513.69921875</v>
      </c>
      <c r="H748" s="110">
        <f t="shared" si="23"/>
        <v>-4.2246797462867275E-5</v>
      </c>
    </row>
    <row r="749" spans="2:8" ht="14.25" customHeight="1" x14ac:dyDescent="0.3">
      <c r="B749" s="105" t="s">
        <v>991</v>
      </c>
      <c r="C749" s="105">
        <v>273.8</v>
      </c>
      <c r="D749" s="3">
        <f t="shared" si="22"/>
        <v>1.0518545857169303E-2</v>
      </c>
      <c r="F749" s="106">
        <v>45390</v>
      </c>
      <c r="G749" s="107">
        <v>22666.30078125</v>
      </c>
      <c r="H749" s="109">
        <f t="shared" si="23"/>
        <v>6.7781647528145621E-3</v>
      </c>
    </row>
    <row r="750" spans="2:8" ht="14.25" customHeight="1" x14ac:dyDescent="0.3">
      <c r="B750" s="105" t="s">
        <v>992</v>
      </c>
      <c r="C750" s="105">
        <v>271.3</v>
      </c>
      <c r="D750" s="3">
        <f t="shared" si="22"/>
        <v>-9.1307523739956164E-3</v>
      </c>
      <c r="F750" s="106">
        <v>45391</v>
      </c>
      <c r="G750" s="107">
        <v>22642.75</v>
      </c>
      <c r="H750" s="110">
        <f t="shared" si="23"/>
        <v>-1.0390218270412109E-3</v>
      </c>
    </row>
    <row r="751" spans="2:8" ht="14.25" customHeight="1" x14ac:dyDescent="0.3">
      <c r="B751" s="105" t="s">
        <v>993</v>
      </c>
      <c r="C751" s="105">
        <v>278.3</v>
      </c>
      <c r="D751" s="3">
        <f t="shared" si="22"/>
        <v>2.5801695539992626E-2</v>
      </c>
      <c r="F751" s="106">
        <v>45392</v>
      </c>
      <c r="G751" s="107">
        <v>22753.80078125</v>
      </c>
      <c r="H751" s="109">
        <f t="shared" si="23"/>
        <v>4.9044741142308243E-3</v>
      </c>
    </row>
    <row r="752" spans="2:8" ht="14.25" customHeight="1" x14ac:dyDescent="0.3">
      <c r="B752" s="105" t="s">
        <v>994</v>
      </c>
      <c r="C752" s="105">
        <v>274</v>
      </c>
      <c r="D752" s="3">
        <f t="shared" si="22"/>
        <v>-1.545095220984553E-2</v>
      </c>
      <c r="F752" s="106">
        <v>45394</v>
      </c>
      <c r="G752" s="107">
        <v>22519.400390625</v>
      </c>
      <c r="H752" s="110">
        <f t="shared" si="23"/>
        <v>-1.0301592814249954E-2</v>
      </c>
    </row>
    <row r="753" spans="2:8" ht="14.25" customHeight="1" x14ac:dyDescent="0.3">
      <c r="B753" s="105" t="s">
        <v>995</v>
      </c>
      <c r="C753" s="105">
        <v>265.25</v>
      </c>
      <c r="D753" s="3">
        <f t="shared" si="22"/>
        <v>-3.1934306569343068E-2</v>
      </c>
      <c r="F753" s="106">
        <v>45397</v>
      </c>
      <c r="G753" s="107">
        <v>22272.5</v>
      </c>
      <c r="H753" s="109">
        <f t="shared" si="23"/>
        <v>-1.0963897188301094E-2</v>
      </c>
    </row>
    <row r="754" spans="2:8" ht="14.25" customHeight="1" x14ac:dyDescent="0.3">
      <c r="B754" s="105" t="s">
        <v>996</v>
      </c>
      <c r="C754" s="105">
        <v>263.75</v>
      </c>
      <c r="D754" s="3">
        <f t="shared" si="22"/>
        <v>-5.6550424128180964E-3</v>
      </c>
      <c r="F754" s="106">
        <v>45398</v>
      </c>
      <c r="G754" s="107">
        <v>22147.900390625</v>
      </c>
      <c r="H754" s="110">
        <f t="shared" si="23"/>
        <v>-5.5943252609720511E-3</v>
      </c>
    </row>
    <row r="755" spans="2:8" ht="14.25" customHeight="1" x14ac:dyDescent="0.3">
      <c r="B755" s="105" t="s">
        <v>997</v>
      </c>
      <c r="C755" s="105">
        <v>267.2</v>
      </c>
      <c r="D755" s="3">
        <f t="shared" si="22"/>
        <v>1.3080568720379104E-2</v>
      </c>
      <c r="F755" s="106">
        <v>45400</v>
      </c>
      <c r="G755" s="107">
        <v>21995.849609375</v>
      </c>
      <c r="H755" s="109">
        <f t="shared" si="23"/>
        <v>-6.8652458503182393E-3</v>
      </c>
    </row>
    <row r="756" spans="2:8" ht="14.25" customHeight="1" x14ac:dyDescent="0.3">
      <c r="B756" s="105" t="s">
        <v>998</v>
      </c>
      <c r="C756" s="105">
        <v>261.64999999999998</v>
      </c>
      <c r="D756" s="3">
        <f t="shared" si="22"/>
        <v>-2.0770958083832378E-2</v>
      </c>
      <c r="F756" s="106">
        <v>45401</v>
      </c>
      <c r="G756" s="107">
        <v>22147</v>
      </c>
      <c r="H756" s="110">
        <f t="shared" si="23"/>
        <v>6.8717686886064708E-3</v>
      </c>
    </row>
    <row r="757" spans="2:8" ht="14.25" customHeight="1" x14ac:dyDescent="0.3">
      <c r="B757" s="105" t="s">
        <v>999</v>
      </c>
      <c r="C757" s="105">
        <v>271.14999999999998</v>
      </c>
      <c r="D757" s="3">
        <f t="shared" si="22"/>
        <v>3.6308045098413913E-2</v>
      </c>
      <c r="F757" s="106">
        <v>45404</v>
      </c>
      <c r="G757" s="107">
        <v>22336.400390625</v>
      </c>
      <c r="H757" s="109">
        <f t="shared" si="23"/>
        <v>8.5519659829773782E-3</v>
      </c>
    </row>
    <row r="758" spans="2:8" ht="14.25" customHeight="1" x14ac:dyDescent="0.3">
      <c r="B758" s="105" t="s">
        <v>1000</v>
      </c>
      <c r="C758" s="105">
        <v>280.14999999999998</v>
      </c>
      <c r="D758" s="3">
        <f t="shared" si="22"/>
        <v>3.3191960169647802E-2</v>
      </c>
      <c r="F758" s="106">
        <v>45405</v>
      </c>
      <c r="G758" s="107">
        <v>22368</v>
      </c>
      <c r="H758" s="110">
        <f t="shared" si="23"/>
        <v>1.4147135985377009E-3</v>
      </c>
    </row>
    <row r="759" spans="2:8" ht="14.25" customHeight="1" x14ac:dyDescent="0.3">
      <c r="B759" s="105" t="s">
        <v>1001</v>
      </c>
      <c r="C759" s="105">
        <v>289.60000000000002</v>
      </c>
      <c r="D759" s="3">
        <f t="shared" si="22"/>
        <v>3.3731929323576819E-2</v>
      </c>
      <c r="F759" s="106">
        <v>45406</v>
      </c>
      <c r="G759" s="107">
        <v>22402.400390625</v>
      </c>
      <c r="H759" s="109">
        <f t="shared" si="23"/>
        <v>1.5379287654238199E-3</v>
      </c>
    </row>
    <row r="760" spans="2:8" ht="14.25" customHeight="1" x14ac:dyDescent="0.3">
      <c r="B760" s="105" t="s">
        <v>1002</v>
      </c>
      <c r="C760" s="105">
        <v>291.64999999999998</v>
      </c>
      <c r="D760" s="3">
        <f t="shared" si="22"/>
        <v>7.0787292817677981E-3</v>
      </c>
      <c r="F760" s="106">
        <v>45407</v>
      </c>
      <c r="G760" s="107">
        <v>22570.349609375</v>
      </c>
      <c r="H760" s="110">
        <f t="shared" si="23"/>
        <v>7.4969296067167743E-3</v>
      </c>
    </row>
    <row r="761" spans="2:8" ht="14.25" customHeight="1" x14ac:dyDescent="0.3">
      <c r="B761" s="105" t="s">
        <v>1003</v>
      </c>
      <c r="C761" s="105">
        <v>306.39999999999998</v>
      </c>
      <c r="D761" s="3">
        <f t="shared" si="22"/>
        <v>5.0574318532487575E-2</v>
      </c>
      <c r="F761" s="106">
        <v>45408</v>
      </c>
      <c r="G761" s="107">
        <v>22419.94921875</v>
      </c>
      <c r="H761" s="109">
        <f t="shared" si="23"/>
        <v>-6.6636269808832953E-3</v>
      </c>
    </row>
    <row r="762" spans="2:8" ht="14.25" customHeight="1" x14ac:dyDescent="0.3">
      <c r="B762" s="105" t="s">
        <v>1004</v>
      </c>
      <c r="C762" s="105">
        <v>306.14999999999998</v>
      </c>
      <c r="D762" s="3">
        <f t="shared" si="22"/>
        <v>-8.1592689295039171E-4</v>
      </c>
      <c r="F762" s="106">
        <v>45411</v>
      </c>
      <c r="G762" s="107">
        <v>22643.400390625</v>
      </c>
      <c r="H762" s="110">
        <f t="shared" si="23"/>
        <v>9.9666225688025117E-3</v>
      </c>
    </row>
    <row r="763" spans="2:8" ht="14.25" customHeight="1" x14ac:dyDescent="0.3">
      <c r="B763" s="105" t="s">
        <v>1005</v>
      </c>
      <c r="C763" s="105">
        <v>298.55</v>
      </c>
      <c r="D763" s="3">
        <f t="shared" si="22"/>
        <v>-2.4824432467744462E-2</v>
      </c>
      <c r="F763" s="106">
        <v>45412</v>
      </c>
      <c r="G763" s="107">
        <v>22604.849609375</v>
      </c>
      <c r="H763" s="109">
        <f t="shared" si="23"/>
        <v>-1.7025173156396201E-3</v>
      </c>
    </row>
    <row r="764" spans="2:8" ht="14.25" customHeight="1" x14ac:dyDescent="0.3">
      <c r="B764" s="105" t="s">
        <v>1006</v>
      </c>
      <c r="C764" s="105">
        <v>310.89999999999998</v>
      </c>
      <c r="D764" s="3">
        <f t="shared" si="22"/>
        <v>4.1366605258750515E-2</v>
      </c>
      <c r="F764" s="106">
        <v>45414</v>
      </c>
      <c r="G764" s="107">
        <v>22648.19921875</v>
      </c>
      <c r="H764" s="110">
        <f t="shared" si="23"/>
        <v>1.9177127972141625E-3</v>
      </c>
    </row>
    <row r="765" spans="2:8" ht="14.25" customHeight="1" x14ac:dyDescent="0.3">
      <c r="B765" s="105" t="s">
        <v>1007</v>
      </c>
      <c r="C765" s="105">
        <v>305.2</v>
      </c>
      <c r="D765" s="3">
        <f t="shared" si="22"/>
        <v>-1.8333869411386261E-2</v>
      </c>
      <c r="F765" s="106">
        <v>45415</v>
      </c>
      <c r="G765" s="107">
        <v>22475.849609375</v>
      </c>
      <c r="H765" s="109">
        <f t="shared" si="23"/>
        <v>-7.6098592965534824E-3</v>
      </c>
    </row>
    <row r="766" spans="2:8" ht="14.25" customHeight="1" x14ac:dyDescent="0.3">
      <c r="B766" s="105" t="s">
        <v>1008</v>
      </c>
      <c r="C766" s="105">
        <v>300.60000000000002</v>
      </c>
      <c r="D766" s="3">
        <f t="shared" si="22"/>
        <v>-1.5072083879423218E-2</v>
      </c>
      <c r="F766" s="106">
        <v>45418</v>
      </c>
      <c r="G766" s="107">
        <v>22442.69921875</v>
      </c>
      <c r="H766" s="110">
        <f t="shared" si="23"/>
        <v>-1.4749338156797639E-3</v>
      </c>
    </row>
    <row r="767" spans="2:8" ht="14.25" customHeight="1" x14ac:dyDescent="0.3">
      <c r="B767" s="105" t="s">
        <v>1009</v>
      </c>
      <c r="C767" s="105">
        <v>295.05</v>
      </c>
      <c r="D767" s="3">
        <f t="shared" si="22"/>
        <v>-1.8463073852295446E-2</v>
      </c>
      <c r="F767" s="106">
        <v>45419</v>
      </c>
      <c r="G767" s="107">
        <v>22302.5</v>
      </c>
      <c r="H767" s="109">
        <f t="shared" si="23"/>
        <v>-6.2469855957820357E-3</v>
      </c>
    </row>
    <row r="768" spans="2:8" ht="14.25" customHeight="1" x14ac:dyDescent="0.3">
      <c r="B768" s="105" t="s">
        <v>1010</v>
      </c>
      <c r="C768" s="105">
        <v>307</v>
      </c>
      <c r="D768" s="3">
        <f t="shared" si="22"/>
        <v>4.0501609896627648E-2</v>
      </c>
      <c r="F768" s="106">
        <v>45420</v>
      </c>
      <c r="G768" s="107">
        <v>22302.5</v>
      </c>
      <c r="H768" s="110">
        <f t="shared" si="23"/>
        <v>0</v>
      </c>
    </row>
    <row r="769" spans="2:8" ht="14.25" customHeight="1" x14ac:dyDescent="0.3">
      <c r="B769" s="105" t="s">
        <v>1011</v>
      </c>
      <c r="C769" s="105">
        <v>298.64999999999998</v>
      </c>
      <c r="D769" s="3">
        <f t="shared" si="22"/>
        <v>-2.7198697068403981E-2</v>
      </c>
      <c r="F769" s="106">
        <v>45421</v>
      </c>
      <c r="G769" s="107">
        <v>21957.5</v>
      </c>
      <c r="H769" s="109">
        <f t="shared" si="23"/>
        <v>-1.5469117811904494E-2</v>
      </c>
    </row>
    <row r="770" spans="2:8" ht="14.25" customHeight="1" x14ac:dyDescent="0.3">
      <c r="B770" s="105" t="s">
        <v>1012</v>
      </c>
      <c r="C770" s="105">
        <v>304</v>
      </c>
      <c r="D770" s="3">
        <f t="shared" si="22"/>
        <v>1.7913946090741747E-2</v>
      </c>
      <c r="F770" s="106">
        <v>45422</v>
      </c>
      <c r="G770" s="107">
        <v>22055.19921875</v>
      </c>
      <c r="H770" s="110">
        <f t="shared" si="23"/>
        <v>4.4494691449390869E-3</v>
      </c>
    </row>
    <row r="771" spans="2:8" ht="14.25" customHeight="1" x14ac:dyDescent="0.3">
      <c r="B771" s="105" t="s">
        <v>1013</v>
      </c>
      <c r="C771" s="105">
        <v>301.64999999999998</v>
      </c>
      <c r="D771" s="3">
        <f t="shared" si="22"/>
        <v>-7.730263157894812E-3</v>
      </c>
      <c r="F771" s="106">
        <v>45425</v>
      </c>
      <c r="G771" s="107">
        <v>22104.05078125</v>
      </c>
      <c r="H771" s="109">
        <f t="shared" si="23"/>
        <v>2.214968090538459E-3</v>
      </c>
    </row>
    <row r="772" spans="2:8" ht="14.25" customHeight="1" x14ac:dyDescent="0.3">
      <c r="B772" s="105" t="s">
        <v>1014</v>
      </c>
      <c r="C772" s="105">
        <v>310.89999999999998</v>
      </c>
      <c r="D772" s="3">
        <f t="shared" si="22"/>
        <v>3.06646776064976E-2</v>
      </c>
      <c r="F772" s="106">
        <v>45426</v>
      </c>
      <c r="G772" s="107">
        <v>22217.849609375</v>
      </c>
      <c r="H772" s="110">
        <f t="shared" si="23"/>
        <v>5.1483245877054842E-3</v>
      </c>
    </row>
    <row r="773" spans="2:8" ht="14.25" customHeight="1" x14ac:dyDescent="0.3">
      <c r="B773" s="105" t="s">
        <v>1015</v>
      </c>
      <c r="C773" s="105">
        <v>311.89999999999998</v>
      </c>
      <c r="D773" s="3">
        <f t="shared" ref="D773:D836" si="24">(C773-C772)/C772</f>
        <v>3.2164683177870702E-3</v>
      </c>
      <c r="F773" s="106">
        <v>45427</v>
      </c>
      <c r="G773" s="107">
        <v>22200.55078125</v>
      </c>
      <c r="H773" s="109">
        <f t="shared" ref="H773:H836" si="25">(G773-G772)/G772</f>
        <v>-7.7860046895360301E-4</v>
      </c>
    </row>
    <row r="774" spans="2:8" ht="14.25" customHeight="1" x14ac:dyDescent="0.3">
      <c r="B774" s="105" t="s">
        <v>1016</v>
      </c>
      <c r="C774" s="105">
        <v>305.75</v>
      </c>
      <c r="D774" s="3">
        <f t="shared" si="24"/>
        <v>-1.9717858287912723E-2</v>
      </c>
      <c r="F774" s="106">
        <v>45428</v>
      </c>
      <c r="G774" s="107">
        <v>22403.849609375</v>
      </c>
      <c r="H774" s="110">
        <f t="shared" si="25"/>
        <v>9.1573776762647191E-3</v>
      </c>
    </row>
    <row r="775" spans="2:8" ht="14.25" customHeight="1" x14ac:dyDescent="0.3">
      <c r="B775" s="105" t="s">
        <v>1017</v>
      </c>
      <c r="C775" s="105">
        <v>305.85000000000002</v>
      </c>
      <c r="D775" s="3">
        <f t="shared" si="24"/>
        <v>3.2706459525763773E-4</v>
      </c>
      <c r="F775" s="106">
        <v>45429</v>
      </c>
      <c r="G775" s="107">
        <v>22466.099609375</v>
      </c>
      <c r="H775" s="109">
        <f t="shared" si="25"/>
        <v>2.7785403439751347E-3</v>
      </c>
    </row>
    <row r="776" spans="2:8" ht="14.25" customHeight="1" x14ac:dyDescent="0.3">
      <c r="B776" s="105" t="s">
        <v>1018</v>
      </c>
      <c r="C776" s="105">
        <v>307.60000000000002</v>
      </c>
      <c r="D776" s="3">
        <f t="shared" si="24"/>
        <v>5.7217590322053286E-3</v>
      </c>
      <c r="F776" s="106">
        <v>45433</v>
      </c>
      <c r="G776" s="107">
        <v>22529.05078125</v>
      </c>
      <c r="H776" s="110">
        <f t="shared" si="25"/>
        <v>2.8020516676036979E-3</v>
      </c>
    </row>
    <row r="777" spans="2:8" ht="14.25" customHeight="1" x14ac:dyDescent="0.3">
      <c r="B777" s="105" t="s">
        <v>1019</v>
      </c>
      <c r="C777" s="105">
        <v>307.95</v>
      </c>
      <c r="D777" s="3">
        <f t="shared" si="24"/>
        <v>1.1378413524056107E-3</v>
      </c>
      <c r="F777" s="106">
        <v>45434</v>
      </c>
      <c r="G777" s="107">
        <v>22597.80078125</v>
      </c>
      <c r="H777" s="109">
        <f t="shared" si="25"/>
        <v>3.051615474950138E-3</v>
      </c>
    </row>
    <row r="778" spans="2:8" ht="14.25" customHeight="1" x14ac:dyDescent="0.3">
      <c r="B778" s="105" t="s">
        <v>1020</v>
      </c>
      <c r="C778" s="105">
        <v>315.5</v>
      </c>
      <c r="D778" s="3">
        <f t="shared" si="24"/>
        <v>2.4516967040103952E-2</v>
      </c>
      <c r="F778" s="106">
        <v>45435</v>
      </c>
      <c r="G778" s="107">
        <v>22967.650390625</v>
      </c>
      <c r="H778" s="110">
        <f t="shared" si="25"/>
        <v>1.6366619608483058E-2</v>
      </c>
    </row>
    <row r="779" spans="2:8" ht="14.25" customHeight="1" x14ac:dyDescent="0.3">
      <c r="B779" s="105" t="s">
        <v>1021</v>
      </c>
      <c r="C779" s="105">
        <v>319.45</v>
      </c>
      <c r="D779" s="3">
        <f t="shared" si="24"/>
        <v>1.2519809825673498E-2</v>
      </c>
      <c r="F779" s="106">
        <v>45436</v>
      </c>
      <c r="G779" s="107">
        <v>22957.099609375</v>
      </c>
      <c r="H779" s="109">
        <f t="shared" si="25"/>
        <v>-4.5937573371922485E-4</v>
      </c>
    </row>
    <row r="780" spans="2:8" ht="14.25" customHeight="1" x14ac:dyDescent="0.3">
      <c r="B780" s="105" t="s">
        <v>1022</v>
      </c>
      <c r="C780" s="105">
        <v>314.95</v>
      </c>
      <c r="D780" s="3">
        <f t="shared" si="24"/>
        <v>-1.4086711535451558E-2</v>
      </c>
      <c r="F780" s="106">
        <v>45439</v>
      </c>
      <c r="G780" s="107">
        <v>22932.44921875</v>
      </c>
      <c r="H780" s="110">
        <f t="shared" si="25"/>
        <v>-1.0737589261900274E-3</v>
      </c>
    </row>
    <row r="781" spans="2:8" ht="14.25" customHeight="1" x14ac:dyDescent="0.3">
      <c r="B781" s="105" t="s">
        <v>1023</v>
      </c>
      <c r="C781" s="105">
        <v>317.75</v>
      </c>
      <c r="D781" s="3">
        <f t="shared" si="24"/>
        <v>8.8903000476266442E-3</v>
      </c>
      <c r="F781" s="106">
        <v>45440</v>
      </c>
      <c r="G781" s="107">
        <v>22888.150390625</v>
      </c>
      <c r="H781" s="109">
        <f t="shared" si="25"/>
        <v>-1.9317094176221025E-3</v>
      </c>
    </row>
    <row r="782" spans="2:8" ht="14.25" customHeight="1" x14ac:dyDescent="0.3">
      <c r="B782" s="105" t="s">
        <v>1024</v>
      </c>
      <c r="C782" s="105">
        <v>323.60000000000002</v>
      </c>
      <c r="D782" s="3">
        <f t="shared" si="24"/>
        <v>1.841070023603469E-2</v>
      </c>
      <c r="F782" s="106">
        <v>45441</v>
      </c>
      <c r="G782" s="107">
        <v>22704.69921875</v>
      </c>
      <c r="H782" s="110">
        <f t="shared" si="25"/>
        <v>-8.0151156272610692E-3</v>
      </c>
    </row>
    <row r="783" spans="2:8" ht="14.25" customHeight="1" x14ac:dyDescent="0.3">
      <c r="B783" s="105" t="s">
        <v>1025</v>
      </c>
      <c r="C783" s="105">
        <v>310.85000000000002</v>
      </c>
      <c r="D783" s="3">
        <f t="shared" si="24"/>
        <v>-3.9400494437577253E-2</v>
      </c>
      <c r="F783" s="106">
        <v>45442</v>
      </c>
      <c r="G783" s="107">
        <v>22488.650390625</v>
      </c>
      <c r="H783" s="109">
        <f t="shared" si="25"/>
        <v>-9.5155996581792416E-3</v>
      </c>
    </row>
    <row r="784" spans="2:8" ht="14.25" customHeight="1" x14ac:dyDescent="0.3">
      <c r="B784" s="105" t="s">
        <v>1026</v>
      </c>
      <c r="C784" s="105">
        <v>309.25</v>
      </c>
      <c r="D784" s="3">
        <f t="shared" si="24"/>
        <v>-5.1471770950620001E-3</v>
      </c>
      <c r="F784" s="106">
        <v>45443</v>
      </c>
      <c r="G784" s="107">
        <v>22530.69921875</v>
      </c>
      <c r="H784" s="110">
        <f t="shared" si="25"/>
        <v>1.869779973213919E-3</v>
      </c>
    </row>
    <row r="785" spans="2:8" ht="14.25" customHeight="1" x14ac:dyDescent="0.3">
      <c r="B785" s="105" t="s">
        <v>1027</v>
      </c>
      <c r="C785" s="105">
        <v>309.64999999999998</v>
      </c>
      <c r="D785" s="3">
        <f t="shared" si="24"/>
        <v>1.2934518997574041E-3</v>
      </c>
      <c r="F785" s="106">
        <v>45446</v>
      </c>
      <c r="G785" s="107">
        <v>23263.900390625</v>
      </c>
      <c r="H785" s="109">
        <f t="shared" si="25"/>
        <v>3.2542317695352818E-2</v>
      </c>
    </row>
    <row r="786" spans="2:8" ht="14.25" customHeight="1" x14ac:dyDescent="0.3">
      <c r="B786" s="105" t="s">
        <v>1028</v>
      </c>
      <c r="C786" s="105">
        <v>290.89999999999998</v>
      </c>
      <c r="D786" s="3">
        <f t="shared" si="24"/>
        <v>-6.0552236395930895E-2</v>
      </c>
      <c r="F786" s="106">
        <v>45447</v>
      </c>
      <c r="G786" s="107">
        <v>21884.5</v>
      </c>
      <c r="H786" s="110">
        <f t="shared" si="25"/>
        <v>-5.9293599416410735E-2</v>
      </c>
    </row>
    <row r="787" spans="2:8" ht="14.25" customHeight="1" x14ac:dyDescent="0.3">
      <c r="B787" s="105" t="s">
        <v>1029</v>
      </c>
      <c r="C787" s="105">
        <v>305.25</v>
      </c>
      <c r="D787" s="3">
        <f t="shared" si="24"/>
        <v>4.9329666552079834E-2</v>
      </c>
      <c r="F787" s="106">
        <v>45448</v>
      </c>
      <c r="G787" s="107">
        <v>22620.349609375</v>
      </c>
      <c r="H787" s="109">
        <f t="shared" si="25"/>
        <v>3.362423676003564E-2</v>
      </c>
    </row>
    <row r="788" spans="2:8" ht="14.25" customHeight="1" x14ac:dyDescent="0.3">
      <c r="B788" s="105" t="s">
        <v>1030</v>
      </c>
      <c r="C788" s="105">
        <v>332.75</v>
      </c>
      <c r="D788" s="3">
        <f t="shared" si="24"/>
        <v>9.0090090090090086E-2</v>
      </c>
      <c r="F788" s="106">
        <v>45449</v>
      </c>
      <c r="G788" s="107">
        <v>22821.400390625</v>
      </c>
      <c r="H788" s="110">
        <f t="shared" si="25"/>
        <v>8.8880492442377883E-3</v>
      </c>
    </row>
    <row r="789" spans="2:8" ht="14.25" customHeight="1" x14ac:dyDescent="0.3">
      <c r="B789" s="105" t="s">
        <v>1031</v>
      </c>
      <c r="C789" s="105">
        <v>336</v>
      </c>
      <c r="D789" s="3">
        <f t="shared" si="24"/>
        <v>9.7670924117205116E-3</v>
      </c>
      <c r="F789" s="106">
        <v>45450</v>
      </c>
      <c r="G789" s="107">
        <v>23290.150390625</v>
      </c>
      <c r="H789" s="109">
        <f t="shared" si="25"/>
        <v>2.0539931466807E-2</v>
      </c>
    </row>
    <row r="790" spans="2:8" ht="14.25" customHeight="1" x14ac:dyDescent="0.3">
      <c r="B790" s="105" t="s">
        <v>1032</v>
      </c>
      <c r="C790" s="105">
        <v>339.9</v>
      </c>
      <c r="D790" s="3">
        <f t="shared" si="24"/>
        <v>1.160714285714279E-2</v>
      </c>
      <c r="F790" s="106">
        <v>45453</v>
      </c>
      <c r="G790" s="107">
        <v>23259.19921875</v>
      </c>
      <c r="H790" s="110">
        <f t="shared" si="25"/>
        <v>-1.328938257412833E-3</v>
      </c>
    </row>
    <row r="791" spans="2:8" ht="14.25" customHeight="1" x14ac:dyDescent="0.3">
      <c r="B791" s="105" t="s">
        <v>1033</v>
      </c>
      <c r="C791" s="105">
        <v>344.45</v>
      </c>
      <c r="D791" s="3">
        <f t="shared" si="24"/>
        <v>1.3386290085319245E-2</v>
      </c>
      <c r="F791" s="106">
        <v>45454</v>
      </c>
      <c r="G791" s="107">
        <v>23264.849609375</v>
      </c>
      <c r="H791" s="109">
        <f t="shared" si="25"/>
        <v>2.4293143421915555E-4</v>
      </c>
    </row>
    <row r="792" spans="2:8" ht="14.25" customHeight="1" x14ac:dyDescent="0.3">
      <c r="B792" s="105" t="s">
        <v>1034</v>
      </c>
      <c r="C792" s="105">
        <v>338.9</v>
      </c>
      <c r="D792" s="3">
        <f t="shared" si="24"/>
        <v>-1.6112643344462219E-2</v>
      </c>
      <c r="F792" s="106">
        <v>45455</v>
      </c>
      <c r="G792" s="107">
        <v>23322.94921875</v>
      </c>
      <c r="H792" s="110">
        <f t="shared" si="25"/>
        <v>2.4973129141392641E-3</v>
      </c>
    </row>
    <row r="793" spans="2:8" ht="14.25" customHeight="1" x14ac:dyDescent="0.3">
      <c r="B793" s="105" t="s">
        <v>1035</v>
      </c>
      <c r="C793" s="105">
        <v>338.15</v>
      </c>
      <c r="D793" s="3">
        <f t="shared" si="24"/>
        <v>-2.213042195337858E-3</v>
      </c>
      <c r="F793" s="106">
        <v>45456</v>
      </c>
      <c r="G793" s="107">
        <v>23398.900390625</v>
      </c>
      <c r="H793" s="109">
        <f t="shared" si="25"/>
        <v>3.2564994745150257E-3</v>
      </c>
    </row>
    <row r="794" spans="2:8" ht="14.25" customHeight="1" x14ac:dyDescent="0.3">
      <c r="B794" s="105" t="s">
        <v>1036</v>
      </c>
      <c r="C794" s="105">
        <v>334.8</v>
      </c>
      <c r="D794" s="3">
        <f t="shared" si="24"/>
        <v>-9.9068460742273139E-3</v>
      </c>
      <c r="F794" s="106">
        <v>45457</v>
      </c>
      <c r="G794" s="107">
        <v>23465.599609375</v>
      </c>
      <c r="H794" s="110">
        <f t="shared" si="25"/>
        <v>2.8505279152657831E-3</v>
      </c>
    </row>
    <row r="795" spans="2:8" ht="14.25" customHeight="1" x14ac:dyDescent="0.3">
      <c r="B795" s="105" t="s">
        <v>1037</v>
      </c>
      <c r="C795" s="105">
        <v>328.35</v>
      </c>
      <c r="D795" s="3">
        <f t="shared" si="24"/>
        <v>-1.9265232974910361E-2</v>
      </c>
      <c r="F795" s="106">
        <v>45461</v>
      </c>
      <c r="G795" s="107">
        <v>23557.900390625</v>
      </c>
      <c r="H795" s="109">
        <f t="shared" si="25"/>
        <v>3.9334507869606666E-3</v>
      </c>
    </row>
    <row r="796" spans="2:8" ht="14.25" customHeight="1" x14ac:dyDescent="0.3">
      <c r="B796" s="105" t="s">
        <v>1038</v>
      </c>
      <c r="C796" s="105">
        <v>332.25</v>
      </c>
      <c r="D796" s="3">
        <f t="shared" si="24"/>
        <v>1.187756966651432E-2</v>
      </c>
      <c r="F796" s="106">
        <v>45462</v>
      </c>
      <c r="G796" s="107">
        <v>23516</v>
      </c>
      <c r="H796" s="110">
        <f t="shared" si="25"/>
        <v>-1.7786131162042989E-3</v>
      </c>
    </row>
    <row r="797" spans="2:8" ht="14.25" customHeight="1" x14ac:dyDescent="0.3">
      <c r="B797" s="105" t="s">
        <v>1039</v>
      </c>
      <c r="C797" s="105">
        <v>342.8</v>
      </c>
      <c r="D797" s="3">
        <f t="shared" si="24"/>
        <v>3.1753197893152778E-2</v>
      </c>
      <c r="F797" s="106">
        <v>45463</v>
      </c>
      <c r="G797" s="107">
        <v>23567</v>
      </c>
      <c r="H797" s="109">
        <f t="shared" si="25"/>
        <v>2.1687361796223848E-3</v>
      </c>
    </row>
    <row r="798" spans="2:8" ht="14.25" customHeight="1" x14ac:dyDescent="0.3">
      <c r="B798" s="105" t="s">
        <v>1040</v>
      </c>
      <c r="C798" s="105">
        <v>345.7</v>
      </c>
      <c r="D798" s="3">
        <f t="shared" si="24"/>
        <v>8.4597432905483584E-3</v>
      </c>
      <c r="F798" s="106">
        <v>45464</v>
      </c>
      <c r="G798" s="107">
        <v>23501.099609375</v>
      </c>
      <c r="H798" s="110">
        <f t="shared" si="25"/>
        <v>-2.7962995130903384E-3</v>
      </c>
    </row>
    <row r="799" spans="2:8" ht="14.25" customHeight="1" x14ac:dyDescent="0.3">
      <c r="B799" s="105" t="s">
        <v>1041</v>
      </c>
      <c r="C799" s="105">
        <v>342.2</v>
      </c>
      <c r="D799" s="3">
        <f t="shared" si="24"/>
        <v>-1.01243853051779E-2</v>
      </c>
      <c r="F799" s="106">
        <v>45467</v>
      </c>
      <c r="G799" s="107">
        <v>23537.849609375</v>
      </c>
      <c r="H799" s="109">
        <f t="shared" si="25"/>
        <v>1.5637566161091365E-3</v>
      </c>
    </row>
    <row r="800" spans="2:8" ht="14.25" customHeight="1" x14ac:dyDescent="0.3">
      <c r="B800" s="105" t="s">
        <v>1042</v>
      </c>
      <c r="C800" s="105">
        <v>339.25</v>
      </c>
      <c r="D800" s="3">
        <f t="shared" si="24"/>
        <v>-8.6206896551723807E-3</v>
      </c>
      <c r="F800" s="106">
        <v>45468</v>
      </c>
      <c r="G800" s="107">
        <v>23721.30078125</v>
      </c>
      <c r="H800" s="110">
        <f t="shared" si="25"/>
        <v>7.7938798539154731E-3</v>
      </c>
    </row>
    <row r="801" spans="2:8" ht="14.25" customHeight="1" x14ac:dyDescent="0.3">
      <c r="B801" s="105" t="s">
        <v>1043</v>
      </c>
      <c r="C801" s="105">
        <v>352.15</v>
      </c>
      <c r="D801" s="3">
        <f t="shared" si="24"/>
        <v>3.8025055268975615E-2</v>
      </c>
      <c r="F801" s="106">
        <v>45469</v>
      </c>
      <c r="G801" s="107">
        <v>23868.80078125</v>
      </c>
      <c r="H801" s="109">
        <f t="shared" si="25"/>
        <v>6.2180401218380173E-3</v>
      </c>
    </row>
    <row r="802" spans="2:8" ht="14.25" customHeight="1" x14ac:dyDescent="0.3">
      <c r="B802" s="105" t="s">
        <v>1044</v>
      </c>
      <c r="C802" s="105">
        <v>346.15</v>
      </c>
      <c r="D802" s="3">
        <f t="shared" si="24"/>
        <v>-1.7038193951441148E-2</v>
      </c>
      <c r="F802" s="106">
        <v>45470</v>
      </c>
      <c r="G802" s="107">
        <v>24044.5</v>
      </c>
      <c r="H802" s="110">
        <f t="shared" si="25"/>
        <v>7.3610408985448281E-3</v>
      </c>
    </row>
    <row r="803" spans="2:8" ht="14.25" customHeight="1" x14ac:dyDescent="0.3">
      <c r="B803" s="105" t="s">
        <v>1045</v>
      </c>
      <c r="C803" s="105">
        <v>351.1</v>
      </c>
      <c r="D803" s="3">
        <f t="shared" si="24"/>
        <v>1.4300158890654472E-2</v>
      </c>
      <c r="F803" s="106">
        <v>45471</v>
      </c>
      <c r="G803" s="107">
        <v>24010.599609375</v>
      </c>
      <c r="H803" s="109">
        <f t="shared" si="25"/>
        <v>-1.4099020825968517E-3</v>
      </c>
    </row>
    <row r="804" spans="2:8" ht="14.25" customHeight="1" x14ac:dyDescent="0.3">
      <c r="B804" s="105" t="s">
        <v>1046</v>
      </c>
      <c r="C804" s="105">
        <v>357.65</v>
      </c>
      <c r="D804" s="3">
        <f t="shared" si="24"/>
        <v>1.8655653659925817E-2</v>
      </c>
      <c r="F804" s="106">
        <v>45474</v>
      </c>
      <c r="G804" s="107">
        <v>24141.94921875</v>
      </c>
      <c r="H804" s="110">
        <f t="shared" si="25"/>
        <v>5.4704843490753228E-3</v>
      </c>
    </row>
    <row r="805" spans="2:8" ht="14.25" customHeight="1" x14ac:dyDescent="0.3">
      <c r="B805" s="105" t="s">
        <v>1047</v>
      </c>
      <c r="C805" s="105">
        <v>356.7</v>
      </c>
      <c r="D805" s="3">
        <f t="shared" si="24"/>
        <v>-2.6562281560184222E-3</v>
      </c>
      <c r="F805" s="106">
        <v>45475</v>
      </c>
      <c r="G805" s="107">
        <v>24123.849609375</v>
      </c>
      <c r="H805" s="109">
        <f t="shared" si="25"/>
        <v>-7.4971615634676354E-4</v>
      </c>
    </row>
    <row r="806" spans="2:8" ht="14.25" customHeight="1" x14ac:dyDescent="0.3">
      <c r="B806" s="105" t="s">
        <v>1048</v>
      </c>
      <c r="C806" s="105">
        <v>361.45</v>
      </c>
      <c r="D806" s="3">
        <f t="shared" si="24"/>
        <v>1.3316512475469583E-2</v>
      </c>
      <c r="F806" s="106">
        <v>45476</v>
      </c>
      <c r="G806" s="107">
        <v>24286.5</v>
      </c>
      <c r="H806" s="110">
        <f t="shared" si="25"/>
        <v>6.742306607722794E-3</v>
      </c>
    </row>
    <row r="807" spans="2:8" ht="14.25" customHeight="1" x14ac:dyDescent="0.3">
      <c r="B807" s="105" t="s">
        <v>1049</v>
      </c>
      <c r="C807" s="105">
        <v>361.3</v>
      </c>
      <c r="D807" s="3">
        <f t="shared" si="24"/>
        <v>-4.1499515838975588E-4</v>
      </c>
      <c r="F807" s="106">
        <v>45477</v>
      </c>
      <c r="G807" s="107">
        <v>24302.150390625</v>
      </c>
      <c r="H807" s="109">
        <f t="shared" si="25"/>
        <v>6.4440700080291519E-4</v>
      </c>
    </row>
    <row r="808" spans="2:8" ht="14.25" customHeight="1" x14ac:dyDescent="0.3">
      <c r="B808" s="105" t="s">
        <v>1050</v>
      </c>
      <c r="C808" s="105">
        <v>370.2</v>
      </c>
      <c r="D808" s="3">
        <f t="shared" si="24"/>
        <v>2.46332687517298E-2</v>
      </c>
      <c r="F808" s="106">
        <v>45478</v>
      </c>
      <c r="G808" s="107">
        <v>24323.849609375</v>
      </c>
      <c r="H808" s="110">
        <f t="shared" si="25"/>
        <v>8.928929498506795E-4</v>
      </c>
    </row>
    <row r="809" spans="2:8" ht="14.25" customHeight="1" x14ac:dyDescent="0.3">
      <c r="B809" s="105" t="s">
        <v>1051</v>
      </c>
      <c r="C809" s="105">
        <v>366.65</v>
      </c>
      <c r="D809" s="3">
        <f t="shared" si="24"/>
        <v>-9.589411129119426E-3</v>
      </c>
      <c r="F809" s="106">
        <v>45481</v>
      </c>
      <c r="G809" s="107">
        <v>24320.55078125</v>
      </c>
      <c r="H809" s="109">
        <f t="shared" si="25"/>
        <v>-1.3562113637343622E-4</v>
      </c>
    </row>
    <row r="810" spans="2:8" ht="14.25" customHeight="1" x14ac:dyDescent="0.3">
      <c r="B810" s="105" t="s">
        <v>1052</v>
      </c>
      <c r="C810" s="105">
        <v>363</v>
      </c>
      <c r="D810" s="3">
        <f t="shared" si="24"/>
        <v>-9.9549979544524131E-3</v>
      </c>
      <c r="F810" s="106">
        <v>45482</v>
      </c>
      <c r="G810" s="107">
        <v>24433.19921875</v>
      </c>
      <c r="H810" s="110">
        <f t="shared" si="25"/>
        <v>4.631820986013468E-3</v>
      </c>
    </row>
    <row r="811" spans="2:8" ht="14.25" customHeight="1" x14ac:dyDescent="0.3">
      <c r="B811" s="105" t="s">
        <v>1053</v>
      </c>
      <c r="C811" s="105">
        <v>357.75</v>
      </c>
      <c r="D811" s="3">
        <f t="shared" si="24"/>
        <v>-1.4462809917355372E-2</v>
      </c>
      <c r="F811" s="106">
        <v>45483</v>
      </c>
      <c r="G811" s="107">
        <v>24324.44921875</v>
      </c>
      <c r="H811" s="109">
        <f t="shared" si="25"/>
        <v>-4.4509111977667423E-3</v>
      </c>
    </row>
    <row r="812" spans="2:8" ht="14.25" customHeight="1" x14ac:dyDescent="0.3">
      <c r="B812" s="105" t="s">
        <v>1054</v>
      </c>
      <c r="C812" s="105">
        <v>354.55</v>
      </c>
      <c r="D812" s="3">
        <f t="shared" si="24"/>
        <v>-8.9447938504541961E-3</v>
      </c>
      <c r="F812" s="106">
        <v>45484</v>
      </c>
      <c r="G812" s="107">
        <v>24315.94921875</v>
      </c>
      <c r="H812" s="110">
        <f t="shared" si="25"/>
        <v>-3.4944265021417015E-4</v>
      </c>
    </row>
    <row r="813" spans="2:8" ht="14.25" customHeight="1" x14ac:dyDescent="0.3">
      <c r="B813" s="105" t="s">
        <v>1055</v>
      </c>
      <c r="C813" s="105">
        <v>350.75</v>
      </c>
      <c r="D813" s="3">
        <f t="shared" si="24"/>
        <v>-1.0717811310111441E-2</v>
      </c>
      <c r="F813" s="106">
        <v>45485</v>
      </c>
      <c r="G813" s="107">
        <v>24502.150390625</v>
      </c>
      <c r="H813" s="109">
        <f t="shared" si="25"/>
        <v>7.6575736443560468E-3</v>
      </c>
    </row>
    <row r="814" spans="2:8" ht="14.25" customHeight="1" x14ac:dyDescent="0.3">
      <c r="B814" s="105" t="s">
        <v>1056</v>
      </c>
      <c r="C814" s="105">
        <v>359.15</v>
      </c>
      <c r="D814" s="3">
        <f t="shared" si="24"/>
        <v>2.3948681397006351E-2</v>
      </c>
      <c r="F814" s="106">
        <v>45488</v>
      </c>
      <c r="G814" s="107">
        <v>24586.69921875</v>
      </c>
      <c r="H814" s="110">
        <f t="shared" si="25"/>
        <v>3.4506697076412537E-3</v>
      </c>
    </row>
    <row r="815" spans="2:8" ht="14.25" customHeight="1" x14ac:dyDescent="0.3">
      <c r="B815" s="105" t="s">
        <v>1057</v>
      </c>
      <c r="C815" s="105">
        <v>353.4</v>
      </c>
      <c r="D815" s="3">
        <f t="shared" si="24"/>
        <v>-1.6010023666991509E-2</v>
      </c>
      <c r="F815" s="106">
        <v>45489</v>
      </c>
      <c r="G815" s="107">
        <v>24613</v>
      </c>
      <c r="H815" s="109">
        <f t="shared" si="25"/>
        <v>1.0697158254550424E-3</v>
      </c>
    </row>
    <row r="816" spans="2:8" ht="14.25" customHeight="1" x14ac:dyDescent="0.3">
      <c r="B816" s="105" t="s">
        <v>1058</v>
      </c>
      <c r="C816" s="105">
        <v>343.2</v>
      </c>
      <c r="D816" s="3">
        <f t="shared" si="24"/>
        <v>-2.8862478777589105E-2</v>
      </c>
      <c r="F816" s="106">
        <v>45491</v>
      </c>
      <c r="G816" s="107">
        <v>24800.849609375</v>
      </c>
      <c r="H816" s="110">
        <f t="shared" si="25"/>
        <v>7.63212974342827E-3</v>
      </c>
    </row>
    <row r="817" spans="2:8" ht="14.25" customHeight="1" x14ac:dyDescent="0.3">
      <c r="B817" s="105" t="s">
        <v>1059</v>
      </c>
      <c r="C817" s="105">
        <v>335.2</v>
      </c>
      <c r="D817" s="3">
        <f t="shared" si="24"/>
        <v>-2.3310023310023312E-2</v>
      </c>
      <c r="F817" s="106">
        <v>45492</v>
      </c>
      <c r="G817" s="107">
        <v>24530.900390625</v>
      </c>
      <c r="H817" s="109">
        <f t="shared" si="25"/>
        <v>-1.0884676251089243E-2</v>
      </c>
    </row>
    <row r="818" spans="2:8" ht="14.25" customHeight="1" x14ac:dyDescent="0.3">
      <c r="B818" s="105" t="s">
        <v>1060</v>
      </c>
      <c r="C818" s="105">
        <v>335.35</v>
      </c>
      <c r="D818" s="3">
        <f t="shared" si="24"/>
        <v>4.474940334129896E-4</v>
      </c>
      <c r="F818" s="106">
        <v>45495</v>
      </c>
      <c r="G818" s="107">
        <v>24509.25</v>
      </c>
      <c r="H818" s="110">
        <f t="shared" si="25"/>
        <v>-8.8257627238477363E-4</v>
      </c>
    </row>
    <row r="819" spans="2:8" ht="14.25" customHeight="1" x14ac:dyDescent="0.3">
      <c r="B819" s="105" t="s">
        <v>1061</v>
      </c>
      <c r="C819" s="105">
        <v>337.05</v>
      </c>
      <c r="D819" s="3">
        <f t="shared" si="24"/>
        <v>5.0693305501714287E-3</v>
      </c>
      <c r="F819" s="106">
        <v>45496</v>
      </c>
      <c r="G819" s="107">
        <v>24479.05078125</v>
      </c>
      <c r="H819" s="109">
        <f t="shared" si="25"/>
        <v>-1.2321559717249609E-3</v>
      </c>
    </row>
    <row r="820" spans="2:8" ht="14.25" customHeight="1" x14ac:dyDescent="0.3">
      <c r="B820" s="105" t="s">
        <v>1062</v>
      </c>
      <c r="C820" s="105">
        <v>348</v>
      </c>
      <c r="D820" s="3">
        <f t="shared" si="24"/>
        <v>3.2487761459724041E-2</v>
      </c>
      <c r="F820" s="106">
        <v>45497</v>
      </c>
      <c r="G820" s="107">
        <v>24413.5</v>
      </c>
      <c r="H820" s="110">
        <f t="shared" si="25"/>
        <v>-2.6778318259059845E-3</v>
      </c>
    </row>
    <row r="821" spans="2:8" ht="14.25" customHeight="1" x14ac:dyDescent="0.3">
      <c r="B821" s="105" t="s">
        <v>1063</v>
      </c>
      <c r="C821" s="105">
        <v>361.85</v>
      </c>
      <c r="D821" s="3">
        <f t="shared" si="24"/>
        <v>3.9798850574712712E-2</v>
      </c>
      <c r="F821" s="106">
        <v>45498</v>
      </c>
      <c r="G821" s="107">
        <v>24406.099609375</v>
      </c>
      <c r="H821" s="109">
        <f t="shared" si="25"/>
        <v>-3.031269840457124E-4</v>
      </c>
    </row>
    <row r="822" spans="2:8" ht="14.25" customHeight="1" x14ac:dyDescent="0.3">
      <c r="B822" s="105" t="s">
        <v>1064</v>
      </c>
      <c r="C822" s="105">
        <v>368.5</v>
      </c>
      <c r="D822" s="3">
        <f t="shared" si="24"/>
        <v>1.8377780848417787E-2</v>
      </c>
      <c r="F822" s="106">
        <v>45499</v>
      </c>
      <c r="G822" s="107">
        <v>24834.849609375</v>
      </c>
      <c r="H822" s="110">
        <f t="shared" si="25"/>
        <v>1.756732976027461E-2</v>
      </c>
    </row>
    <row r="823" spans="2:8" ht="14.25" customHeight="1" x14ac:dyDescent="0.3">
      <c r="B823" s="105" t="s">
        <v>1065</v>
      </c>
      <c r="C823" s="105">
        <v>361.85</v>
      </c>
      <c r="D823" s="3">
        <f t="shared" si="24"/>
        <v>-1.8046132971506045E-2</v>
      </c>
      <c r="F823" s="106">
        <v>45502</v>
      </c>
      <c r="G823" s="107">
        <v>24836.099609375</v>
      </c>
      <c r="H823" s="109">
        <f t="shared" si="25"/>
        <v>5.0332497263367071E-5</v>
      </c>
    </row>
    <row r="824" spans="2:8" ht="14.25" customHeight="1" x14ac:dyDescent="0.3">
      <c r="B824" s="105" t="s">
        <v>1066</v>
      </c>
      <c r="C824" s="105">
        <v>359.45</v>
      </c>
      <c r="D824" s="3">
        <f t="shared" si="24"/>
        <v>-6.6325825618351085E-3</v>
      </c>
      <c r="F824" s="106">
        <v>45503</v>
      </c>
      <c r="G824" s="107">
        <v>24857.30078125</v>
      </c>
      <c r="H824" s="110">
        <f t="shared" si="25"/>
        <v>8.5364337430008915E-4</v>
      </c>
    </row>
    <row r="825" spans="2:8" ht="14.25" customHeight="1" x14ac:dyDescent="0.3">
      <c r="B825" s="105" t="s">
        <v>1067</v>
      </c>
      <c r="C825" s="105">
        <v>362.35</v>
      </c>
      <c r="D825" s="3">
        <f t="shared" si="24"/>
        <v>8.0678814856031001E-3</v>
      </c>
      <c r="F825" s="106">
        <v>45504</v>
      </c>
      <c r="G825" s="107">
        <v>24951.150390625</v>
      </c>
      <c r="H825" s="109">
        <f t="shared" si="25"/>
        <v>3.7755350108564997E-3</v>
      </c>
    </row>
    <row r="826" spans="2:8" ht="14.25" customHeight="1" x14ac:dyDescent="0.3">
      <c r="B826" s="105" t="s">
        <v>1068</v>
      </c>
      <c r="C826" s="105">
        <v>354.75</v>
      </c>
      <c r="D826" s="3">
        <f t="shared" si="24"/>
        <v>-2.0974196219125215E-2</v>
      </c>
      <c r="F826" s="106">
        <v>45505</v>
      </c>
      <c r="G826" s="107">
        <v>25010.900390625</v>
      </c>
      <c r="H826" s="110">
        <f t="shared" si="25"/>
        <v>2.3946791656728628E-3</v>
      </c>
    </row>
    <row r="827" spans="2:8" ht="14.25" customHeight="1" x14ac:dyDescent="0.3">
      <c r="B827" s="105" t="s">
        <v>1069</v>
      </c>
      <c r="C827" s="105">
        <v>356.1</v>
      </c>
      <c r="D827" s="3">
        <f t="shared" si="24"/>
        <v>3.8054968287527069E-3</v>
      </c>
      <c r="F827" s="106">
        <v>45506</v>
      </c>
      <c r="G827" s="107">
        <v>24717.69921875</v>
      </c>
      <c r="H827" s="109">
        <f t="shared" si="25"/>
        <v>-1.1722935491954641E-2</v>
      </c>
    </row>
    <row r="828" spans="2:8" ht="14.25" customHeight="1" x14ac:dyDescent="0.3">
      <c r="B828" s="105" t="s">
        <v>1070</v>
      </c>
      <c r="C828" s="105">
        <v>340.4</v>
      </c>
      <c r="D828" s="3">
        <f t="shared" si="24"/>
        <v>-4.4088739118225341E-2</v>
      </c>
      <c r="F828" s="106">
        <v>45509</v>
      </c>
      <c r="G828" s="107">
        <v>24055.599609375</v>
      </c>
      <c r="H828" s="110">
        <f t="shared" si="25"/>
        <v>-2.6786457894622889E-2</v>
      </c>
    </row>
    <row r="829" spans="2:8" ht="14.25" customHeight="1" x14ac:dyDescent="0.3">
      <c r="B829" s="105" t="s">
        <v>1071</v>
      </c>
      <c r="C829" s="105">
        <v>334.5</v>
      </c>
      <c r="D829" s="3">
        <f t="shared" si="24"/>
        <v>-1.7332549941245529E-2</v>
      </c>
      <c r="F829" s="106">
        <v>45510</v>
      </c>
      <c r="G829" s="107">
        <v>23992.55078125</v>
      </c>
      <c r="H829" s="109">
        <f t="shared" si="25"/>
        <v>-2.6209626510589443E-3</v>
      </c>
    </row>
    <row r="830" spans="2:8" ht="14.25" customHeight="1" x14ac:dyDescent="0.3">
      <c r="B830" s="105" t="s">
        <v>1072</v>
      </c>
      <c r="C830" s="105">
        <v>346.85</v>
      </c>
      <c r="D830" s="3">
        <f t="shared" si="24"/>
        <v>3.6920777279521741E-2</v>
      </c>
      <c r="F830" s="106">
        <v>45511</v>
      </c>
      <c r="G830" s="107">
        <v>24297.5</v>
      </c>
      <c r="H830" s="110">
        <f t="shared" si="25"/>
        <v>1.2710162480444369E-2</v>
      </c>
    </row>
    <row r="831" spans="2:8" ht="14.25" customHeight="1" x14ac:dyDescent="0.3">
      <c r="B831" s="105" t="s">
        <v>1073</v>
      </c>
      <c r="C831" s="105">
        <v>339.15</v>
      </c>
      <c r="D831" s="3">
        <f t="shared" si="24"/>
        <v>-2.2199798183653006E-2</v>
      </c>
      <c r="F831" s="106">
        <v>45512</v>
      </c>
      <c r="G831" s="107">
        <v>24117</v>
      </c>
      <c r="H831" s="109">
        <f t="shared" si="25"/>
        <v>-7.428747813561066E-3</v>
      </c>
    </row>
    <row r="832" spans="2:8" ht="14.25" customHeight="1" x14ac:dyDescent="0.3">
      <c r="B832" s="105" t="s">
        <v>1074</v>
      </c>
      <c r="C832" s="105">
        <v>336.95</v>
      </c>
      <c r="D832" s="3">
        <f t="shared" si="24"/>
        <v>-6.4868052484151227E-3</v>
      </c>
      <c r="F832" s="106">
        <v>45513</v>
      </c>
      <c r="G832" s="107">
        <v>24367.5</v>
      </c>
      <c r="H832" s="110">
        <f t="shared" si="25"/>
        <v>1.0386864037815649E-2</v>
      </c>
    </row>
    <row r="833" spans="2:8" ht="14.25" customHeight="1" x14ac:dyDescent="0.3">
      <c r="B833" s="105" t="s">
        <v>1075</v>
      </c>
      <c r="C833" s="105">
        <v>337.85</v>
      </c>
      <c r="D833" s="3">
        <f t="shared" si="24"/>
        <v>2.671019439086019E-3</v>
      </c>
      <c r="F833" s="106">
        <v>45516</v>
      </c>
      <c r="G833" s="107">
        <v>24347</v>
      </c>
      <c r="H833" s="109">
        <f t="shared" si="25"/>
        <v>-8.412844977941931E-4</v>
      </c>
    </row>
    <row r="834" spans="2:8" ht="14.25" customHeight="1" x14ac:dyDescent="0.3">
      <c r="B834" s="105" t="s">
        <v>1076</v>
      </c>
      <c r="C834" s="105">
        <v>337.1</v>
      </c>
      <c r="D834" s="3">
        <f t="shared" si="24"/>
        <v>-2.2199200828770162E-3</v>
      </c>
      <c r="F834" s="106">
        <v>45517</v>
      </c>
      <c r="G834" s="107">
        <v>24139</v>
      </c>
      <c r="H834" s="110">
        <f t="shared" si="25"/>
        <v>-8.5431469996303452E-3</v>
      </c>
    </row>
    <row r="835" spans="2:8" ht="14.25" customHeight="1" x14ac:dyDescent="0.3">
      <c r="B835" s="105" t="s">
        <v>1077</v>
      </c>
      <c r="C835" s="105">
        <v>327.64999999999998</v>
      </c>
      <c r="D835" s="3">
        <f t="shared" si="24"/>
        <v>-2.803322456244451E-2</v>
      </c>
      <c r="F835" s="106">
        <v>45518</v>
      </c>
      <c r="G835" s="107">
        <v>24143.75</v>
      </c>
      <c r="H835" s="109">
        <f t="shared" si="25"/>
        <v>1.9677699987571978E-4</v>
      </c>
    </row>
    <row r="836" spans="2:8" ht="14.25" customHeight="1" x14ac:dyDescent="0.3">
      <c r="B836" s="105" t="s">
        <v>1078</v>
      </c>
      <c r="C836" s="105">
        <v>340.95</v>
      </c>
      <c r="D836" s="3">
        <f t="shared" si="24"/>
        <v>4.0592095223561768E-2</v>
      </c>
      <c r="F836" s="106">
        <v>45520</v>
      </c>
      <c r="G836" s="107">
        <v>24541.150390625</v>
      </c>
      <c r="H836" s="110">
        <f t="shared" si="25"/>
        <v>1.6459762490292518E-2</v>
      </c>
    </row>
    <row r="837" spans="2:8" ht="14.25" customHeight="1" x14ac:dyDescent="0.3">
      <c r="B837" s="105" t="s">
        <v>1079</v>
      </c>
      <c r="C837" s="105">
        <v>344.8</v>
      </c>
      <c r="D837" s="3">
        <f t="shared" ref="D837:D900" si="26">(C837-C836)/C836</f>
        <v>1.1291978295937888E-2</v>
      </c>
      <c r="F837" s="106">
        <v>45523</v>
      </c>
      <c r="G837" s="107">
        <v>24572.650390625</v>
      </c>
      <c r="H837" s="109">
        <f t="shared" ref="H837:H900" si="27">(G837-G836)/G836</f>
        <v>1.2835584110202657E-3</v>
      </c>
    </row>
    <row r="838" spans="2:8" ht="14.25" customHeight="1" x14ac:dyDescent="0.3">
      <c r="B838" s="105" t="s">
        <v>1080</v>
      </c>
      <c r="C838" s="105">
        <v>346.75</v>
      </c>
      <c r="D838" s="3">
        <f t="shared" si="26"/>
        <v>5.6554524361948624E-3</v>
      </c>
      <c r="F838" s="106">
        <v>45524</v>
      </c>
      <c r="G838" s="107">
        <v>24698.849609375</v>
      </c>
      <c r="H838" s="110">
        <f t="shared" si="27"/>
        <v>5.1357593399101852E-3</v>
      </c>
    </row>
    <row r="839" spans="2:8" ht="14.25" customHeight="1" x14ac:dyDescent="0.3">
      <c r="B839" s="105" t="s">
        <v>1081</v>
      </c>
      <c r="C839" s="105">
        <v>355</v>
      </c>
      <c r="D839" s="3">
        <f t="shared" si="26"/>
        <v>2.3792357606344627E-2</v>
      </c>
      <c r="F839" s="106">
        <v>45525</v>
      </c>
      <c r="G839" s="107">
        <v>24770.19921875</v>
      </c>
      <c r="H839" s="109">
        <f t="shared" si="27"/>
        <v>2.8887826964992596E-3</v>
      </c>
    </row>
    <row r="840" spans="2:8" ht="14.25" customHeight="1" x14ac:dyDescent="0.3">
      <c r="B840" s="105" t="s">
        <v>1082</v>
      </c>
      <c r="C840" s="105">
        <v>356.5</v>
      </c>
      <c r="D840" s="3">
        <f t="shared" si="26"/>
        <v>4.2253521126760559E-3</v>
      </c>
      <c r="F840" s="106">
        <v>45526</v>
      </c>
      <c r="G840" s="107">
        <v>24811.5</v>
      </c>
      <c r="H840" s="110">
        <f t="shared" si="27"/>
        <v>1.667357653657345E-3</v>
      </c>
    </row>
    <row r="841" spans="2:8" ht="14.25" customHeight="1" x14ac:dyDescent="0.3">
      <c r="B841" s="105" t="s">
        <v>1083</v>
      </c>
      <c r="C841" s="105">
        <v>351.6</v>
      </c>
      <c r="D841" s="3">
        <f t="shared" si="26"/>
        <v>-1.3744740532959264E-2</v>
      </c>
      <c r="F841" s="106">
        <v>45527</v>
      </c>
      <c r="G841" s="107">
        <v>24823.150390625</v>
      </c>
      <c r="H841" s="109">
        <f t="shared" si="27"/>
        <v>4.6955607782681415E-4</v>
      </c>
    </row>
    <row r="842" spans="2:8" ht="14.25" customHeight="1" x14ac:dyDescent="0.3">
      <c r="B842" s="105" t="s">
        <v>1084</v>
      </c>
      <c r="C842" s="105">
        <v>353.25</v>
      </c>
      <c r="D842" s="3">
        <f t="shared" si="26"/>
        <v>4.6928327645050548E-3</v>
      </c>
      <c r="F842" s="106">
        <v>45530</v>
      </c>
      <c r="G842" s="107">
        <v>25010.599609375</v>
      </c>
      <c r="H842" s="110">
        <f t="shared" si="27"/>
        <v>7.551387144670978E-3</v>
      </c>
    </row>
    <row r="843" spans="2:8" ht="14.25" customHeight="1" x14ac:dyDescent="0.3">
      <c r="B843" s="105" t="s">
        <v>1085</v>
      </c>
      <c r="C843" s="105">
        <v>352.75</v>
      </c>
      <c r="D843" s="3">
        <f t="shared" si="26"/>
        <v>-1.4154281670205238E-3</v>
      </c>
      <c r="F843" s="106">
        <v>45531</v>
      </c>
      <c r="G843" s="107">
        <v>25017.75</v>
      </c>
      <c r="H843" s="109">
        <f t="shared" si="27"/>
        <v>2.8589441023715959E-4</v>
      </c>
    </row>
    <row r="844" spans="2:8" ht="14.25" customHeight="1" x14ac:dyDescent="0.3">
      <c r="B844" s="105" t="s">
        <v>1086</v>
      </c>
      <c r="C844" s="105">
        <v>356.7</v>
      </c>
      <c r="D844" s="3">
        <f t="shared" si="26"/>
        <v>1.1197732104890116E-2</v>
      </c>
      <c r="F844" s="106">
        <v>45532</v>
      </c>
      <c r="G844" s="107">
        <v>25052.349609375</v>
      </c>
      <c r="H844" s="110">
        <f t="shared" si="27"/>
        <v>1.3830024432652816E-3</v>
      </c>
    </row>
    <row r="845" spans="2:8" ht="14.25" customHeight="1" x14ac:dyDescent="0.3">
      <c r="B845" s="105" t="s">
        <v>1087</v>
      </c>
      <c r="C845" s="105">
        <v>355.45</v>
      </c>
      <c r="D845" s="3">
        <f t="shared" si="26"/>
        <v>-3.5043453882814693E-3</v>
      </c>
      <c r="F845" s="106">
        <v>45533</v>
      </c>
      <c r="G845" s="107">
        <v>25151.94921875</v>
      </c>
      <c r="H845" s="109">
        <f t="shared" si="27"/>
        <v>3.9756594063228385E-3</v>
      </c>
    </row>
    <row r="846" spans="2:8" ht="14.25" customHeight="1" x14ac:dyDescent="0.3">
      <c r="B846" s="105" t="s">
        <v>1088</v>
      </c>
      <c r="C846" s="105">
        <v>359.1</v>
      </c>
      <c r="D846" s="3">
        <f t="shared" si="26"/>
        <v>1.0268673512449105E-2</v>
      </c>
      <c r="F846" s="106">
        <v>45534</v>
      </c>
      <c r="G846" s="107">
        <v>25235.900390625</v>
      </c>
      <c r="H846" s="110">
        <f t="shared" si="27"/>
        <v>3.3377600735777966E-3</v>
      </c>
    </row>
    <row r="847" spans="2:8" ht="14.25" customHeight="1" x14ac:dyDescent="0.3">
      <c r="B847" s="105" t="s">
        <v>1089</v>
      </c>
      <c r="C847" s="105">
        <v>363.4</v>
      </c>
      <c r="D847" s="3">
        <f t="shared" si="26"/>
        <v>1.19743803954329E-2</v>
      </c>
      <c r="F847" s="106">
        <v>45537</v>
      </c>
      <c r="G847" s="107">
        <v>25278.69921875</v>
      </c>
      <c r="H847" s="109">
        <f t="shared" si="27"/>
        <v>1.6959501132323192E-3</v>
      </c>
    </row>
    <row r="848" spans="2:8" ht="14.25" customHeight="1" x14ac:dyDescent="0.3">
      <c r="B848" s="105" t="s">
        <v>1090</v>
      </c>
      <c r="C848" s="105">
        <v>361.9</v>
      </c>
      <c r="D848" s="3">
        <f t="shared" si="26"/>
        <v>-4.1276829939460649E-3</v>
      </c>
      <c r="F848" s="106">
        <v>45538</v>
      </c>
      <c r="G848" s="107">
        <v>25279.849609375</v>
      </c>
      <c r="H848" s="110">
        <f t="shared" si="27"/>
        <v>4.5508299894905958E-5</v>
      </c>
    </row>
    <row r="849" spans="2:8" ht="14.25" customHeight="1" x14ac:dyDescent="0.3">
      <c r="B849" s="105" t="s">
        <v>1091</v>
      </c>
      <c r="C849" s="105">
        <v>379.4</v>
      </c>
      <c r="D849" s="3">
        <f t="shared" si="26"/>
        <v>4.8355899419729211E-2</v>
      </c>
      <c r="F849" s="106">
        <v>45539</v>
      </c>
      <c r="G849" s="107">
        <v>25198.69921875</v>
      </c>
      <c r="H849" s="109">
        <f t="shared" si="27"/>
        <v>-3.2100820170585776E-3</v>
      </c>
    </row>
    <row r="850" spans="2:8" ht="14.25" customHeight="1" x14ac:dyDescent="0.3">
      <c r="B850" s="105" t="s">
        <v>1092</v>
      </c>
      <c r="C850" s="105">
        <v>382.85</v>
      </c>
      <c r="D850" s="3">
        <f t="shared" si="26"/>
        <v>9.0933052187665946E-3</v>
      </c>
      <c r="F850" s="106">
        <v>45540</v>
      </c>
      <c r="G850" s="107">
        <v>25145.099609375</v>
      </c>
      <c r="H850" s="110">
        <f t="shared" si="27"/>
        <v>-2.1270784221717794E-3</v>
      </c>
    </row>
    <row r="851" spans="2:8" ht="14.25" customHeight="1" x14ac:dyDescent="0.3">
      <c r="B851" s="105" t="s">
        <v>1093</v>
      </c>
      <c r="C851" s="105">
        <v>373.7</v>
      </c>
      <c r="D851" s="3">
        <f t="shared" si="26"/>
        <v>-2.3899699621261677E-2</v>
      </c>
      <c r="F851" s="106">
        <v>45541</v>
      </c>
      <c r="G851" s="107">
        <v>24852.150390625</v>
      </c>
      <c r="H851" s="109">
        <f t="shared" si="27"/>
        <v>-1.1650350298901897E-2</v>
      </c>
    </row>
    <row r="852" spans="2:8" ht="14.25" customHeight="1" x14ac:dyDescent="0.3">
      <c r="B852" s="105" t="s">
        <v>1094</v>
      </c>
      <c r="C852" s="105">
        <v>377.6</v>
      </c>
      <c r="D852" s="3">
        <f t="shared" si="26"/>
        <v>1.0436178753010528E-2</v>
      </c>
      <c r="F852" s="106">
        <v>45544</v>
      </c>
      <c r="G852" s="107">
        <v>24936.400390625</v>
      </c>
      <c r="H852" s="110">
        <f t="shared" si="27"/>
        <v>3.3900486950127948E-3</v>
      </c>
    </row>
    <row r="853" spans="2:8" ht="14.25" customHeight="1" x14ac:dyDescent="0.3">
      <c r="B853" s="105" t="s">
        <v>1095</v>
      </c>
      <c r="C853" s="105">
        <v>386.6</v>
      </c>
      <c r="D853" s="3">
        <f t="shared" si="26"/>
        <v>2.3834745762711863E-2</v>
      </c>
      <c r="F853" s="106">
        <v>45545</v>
      </c>
      <c r="G853" s="107">
        <v>25041.099609375</v>
      </c>
      <c r="H853" s="109">
        <f t="shared" si="27"/>
        <v>4.1986500501236075E-3</v>
      </c>
    </row>
    <row r="854" spans="2:8" ht="14.25" customHeight="1" x14ac:dyDescent="0.3">
      <c r="B854" s="105" t="s">
        <v>1096</v>
      </c>
      <c r="C854" s="105">
        <v>385.3</v>
      </c>
      <c r="D854" s="3">
        <f t="shared" si="26"/>
        <v>-3.3626487325401225E-3</v>
      </c>
      <c r="F854" s="106">
        <v>45546</v>
      </c>
      <c r="G854" s="107">
        <v>24918.44921875</v>
      </c>
      <c r="H854" s="110">
        <f t="shared" si="27"/>
        <v>-4.8979634496195048E-3</v>
      </c>
    </row>
    <row r="855" spans="2:8" ht="14.25" customHeight="1" x14ac:dyDescent="0.3">
      <c r="B855" s="105" t="s">
        <v>1097</v>
      </c>
      <c r="C855" s="105">
        <v>376.6</v>
      </c>
      <c r="D855" s="3">
        <f t="shared" si="26"/>
        <v>-2.2579807941863452E-2</v>
      </c>
      <c r="F855" s="106">
        <v>45547</v>
      </c>
      <c r="G855" s="107">
        <v>25388.900390625</v>
      </c>
      <c r="H855" s="109">
        <f t="shared" si="27"/>
        <v>1.8879632827271085E-2</v>
      </c>
    </row>
    <row r="856" spans="2:8" ht="14.25" customHeight="1" x14ac:dyDescent="0.3">
      <c r="B856" s="105" t="s">
        <v>1098</v>
      </c>
      <c r="C856" s="105">
        <v>378.95</v>
      </c>
      <c r="D856" s="3">
        <f t="shared" si="26"/>
        <v>6.2400424853955539E-3</v>
      </c>
      <c r="F856" s="106">
        <v>45548</v>
      </c>
      <c r="G856" s="107">
        <v>25356.5</v>
      </c>
      <c r="H856" s="110">
        <f t="shared" si="27"/>
        <v>-1.2761636040355664E-3</v>
      </c>
    </row>
    <row r="857" spans="2:8" ht="14.25" customHeight="1" x14ac:dyDescent="0.3">
      <c r="B857" s="105" t="s">
        <v>1099</v>
      </c>
      <c r="C857" s="105">
        <v>391.2</v>
      </c>
      <c r="D857" s="3">
        <f t="shared" si="26"/>
        <v>3.2326164401636104E-2</v>
      </c>
      <c r="F857" s="106">
        <v>45551</v>
      </c>
      <c r="G857" s="107">
        <v>25383.75</v>
      </c>
      <c r="H857" s="109">
        <f t="shared" si="27"/>
        <v>1.0746751326089958E-3</v>
      </c>
    </row>
    <row r="858" spans="2:8" ht="14.25" customHeight="1" x14ac:dyDescent="0.3">
      <c r="B858" s="105" t="s">
        <v>1100</v>
      </c>
      <c r="C858" s="105">
        <v>375.85</v>
      </c>
      <c r="D858" s="3">
        <f t="shared" si="26"/>
        <v>-3.9238241308793373E-2</v>
      </c>
      <c r="F858" s="106">
        <v>45552</v>
      </c>
      <c r="G858" s="107">
        <v>25418.55078125</v>
      </c>
      <c r="H858" s="110">
        <f t="shared" si="27"/>
        <v>1.3709866056039789E-3</v>
      </c>
    </row>
    <row r="859" spans="2:8" ht="14.25" customHeight="1" x14ac:dyDescent="0.3">
      <c r="B859" s="105" t="s">
        <v>1101</v>
      </c>
      <c r="C859" s="105">
        <v>363.65</v>
      </c>
      <c r="D859" s="3">
        <f t="shared" si="26"/>
        <v>-3.2459757882133948E-2</v>
      </c>
      <c r="F859" s="106">
        <v>45553</v>
      </c>
      <c r="G859" s="107">
        <v>25377.55078125</v>
      </c>
      <c r="H859" s="109">
        <f t="shared" si="27"/>
        <v>-1.6129951842196943E-3</v>
      </c>
    </row>
    <row r="860" spans="2:8" ht="14.25" customHeight="1" x14ac:dyDescent="0.3">
      <c r="B860" s="105" t="s">
        <v>1102</v>
      </c>
      <c r="C860" s="105">
        <v>361.5</v>
      </c>
      <c r="D860" s="3">
        <f t="shared" si="26"/>
        <v>-5.9122782895640793E-3</v>
      </c>
      <c r="F860" s="106">
        <v>45554</v>
      </c>
      <c r="G860" s="107">
        <v>25415.80078125</v>
      </c>
      <c r="H860" s="110">
        <f t="shared" si="27"/>
        <v>1.5072376499098844E-3</v>
      </c>
    </row>
    <row r="861" spans="2:8" ht="14.25" customHeight="1" x14ac:dyDescent="0.3">
      <c r="B861" s="105" t="s">
        <v>1103</v>
      </c>
      <c r="C861" s="105">
        <v>365.35</v>
      </c>
      <c r="D861" s="3">
        <f t="shared" si="26"/>
        <v>1.0650069156293285E-2</v>
      </c>
      <c r="F861" s="106">
        <v>45555</v>
      </c>
      <c r="G861" s="107">
        <v>25790.94921875</v>
      </c>
      <c r="H861" s="109">
        <f t="shared" si="27"/>
        <v>1.4760441377741608E-2</v>
      </c>
    </row>
    <row r="862" spans="2:8" ht="14.25" customHeight="1" x14ac:dyDescent="0.3">
      <c r="B862" s="105" t="s">
        <v>1104</v>
      </c>
      <c r="C862" s="105">
        <v>370.35</v>
      </c>
      <c r="D862" s="3">
        <f t="shared" si="26"/>
        <v>1.3685507048036128E-2</v>
      </c>
      <c r="F862" s="106">
        <v>45558</v>
      </c>
      <c r="G862" s="107">
        <v>25939.05078125</v>
      </c>
      <c r="H862" s="110">
        <f t="shared" si="27"/>
        <v>5.7423850996662926E-3</v>
      </c>
    </row>
    <row r="863" spans="2:8" ht="14.25" customHeight="1" x14ac:dyDescent="0.3">
      <c r="B863" s="105" t="s">
        <v>1105</v>
      </c>
      <c r="C863" s="105">
        <v>375.85</v>
      </c>
      <c r="D863" s="3">
        <f t="shared" si="26"/>
        <v>1.485081679492372E-2</v>
      </c>
      <c r="F863" s="106">
        <v>45559</v>
      </c>
      <c r="G863" s="107">
        <v>25940.400390625</v>
      </c>
      <c r="H863" s="109">
        <f t="shared" si="27"/>
        <v>5.2030021699003842E-5</v>
      </c>
    </row>
    <row r="864" spans="2:8" ht="14.25" customHeight="1" x14ac:dyDescent="0.3">
      <c r="B864" s="105" t="s">
        <v>1106</v>
      </c>
      <c r="C864" s="105">
        <v>371.45</v>
      </c>
      <c r="D864" s="3">
        <f t="shared" si="26"/>
        <v>-1.1706797924704094E-2</v>
      </c>
      <c r="F864" s="106">
        <v>45560</v>
      </c>
      <c r="G864" s="107">
        <v>26004.150390625</v>
      </c>
      <c r="H864" s="110">
        <f t="shared" si="27"/>
        <v>2.4575565157058869E-3</v>
      </c>
    </row>
    <row r="865" spans="2:8" ht="14.25" customHeight="1" x14ac:dyDescent="0.3">
      <c r="B865" s="105" t="s">
        <v>1107</v>
      </c>
      <c r="C865" s="105">
        <v>372.85</v>
      </c>
      <c r="D865" s="3">
        <f t="shared" si="26"/>
        <v>3.7690133261543521E-3</v>
      </c>
      <c r="F865" s="106">
        <v>45561</v>
      </c>
      <c r="G865" s="107">
        <v>26216.05078125</v>
      </c>
      <c r="H865" s="109">
        <f t="shared" si="27"/>
        <v>8.1487142414540942E-3</v>
      </c>
    </row>
    <row r="866" spans="2:8" ht="14.25" customHeight="1" x14ac:dyDescent="0.3">
      <c r="B866" s="105" t="s">
        <v>1108</v>
      </c>
      <c r="C866" s="105">
        <v>368.85</v>
      </c>
      <c r="D866" s="3">
        <f t="shared" si="26"/>
        <v>-1.0728174869250368E-2</v>
      </c>
      <c r="F866" s="106">
        <v>45562</v>
      </c>
      <c r="G866" s="107">
        <v>26178.94921875</v>
      </c>
      <c r="H866" s="110">
        <f t="shared" si="27"/>
        <v>-1.4152231703234049E-3</v>
      </c>
    </row>
    <row r="867" spans="2:8" ht="14.25" customHeight="1" x14ac:dyDescent="0.3">
      <c r="B867" s="105" t="s">
        <v>1109</v>
      </c>
      <c r="C867" s="105">
        <v>363.1</v>
      </c>
      <c r="D867" s="3">
        <f t="shared" si="26"/>
        <v>-1.5588992815507657E-2</v>
      </c>
      <c r="F867" s="106">
        <v>45565</v>
      </c>
      <c r="G867" s="107">
        <v>25810.849609375</v>
      </c>
      <c r="H867" s="109">
        <f t="shared" si="27"/>
        <v>-1.406090085202343E-2</v>
      </c>
    </row>
    <row r="868" spans="2:8" ht="14.25" customHeight="1" x14ac:dyDescent="0.3">
      <c r="B868" s="105" t="s">
        <v>1110</v>
      </c>
      <c r="C868" s="105">
        <v>370.65</v>
      </c>
      <c r="D868" s="3">
        <f t="shared" si="26"/>
        <v>2.0793169925640193E-2</v>
      </c>
      <c r="F868" s="106">
        <v>45566</v>
      </c>
      <c r="G868" s="107">
        <v>25796.900390625</v>
      </c>
      <c r="H868" s="110">
        <f t="shared" si="27"/>
        <v>-5.4044012347944466E-4</v>
      </c>
    </row>
    <row r="869" spans="2:8" ht="14.25" customHeight="1" x14ac:dyDescent="0.3">
      <c r="B869" s="105" t="s">
        <v>1111</v>
      </c>
      <c r="C869" s="105">
        <v>356.55</v>
      </c>
      <c r="D869" s="3">
        <f t="shared" si="26"/>
        <v>-3.8041278834479879E-2</v>
      </c>
      <c r="F869" s="106">
        <v>45568</v>
      </c>
      <c r="G869" s="107">
        <v>25250.099609375</v>
      </c>
      <c r="H869" s="109">
        <f t="shared" si="27"/>
        <v>-2.1196375260987402E-2</v>
      </c>
    </row>
    <row r="870" spans="2:8" ht="14.25" customHeight="1" x14ac:dyDescent="0.3">
      <c r="B870" s="105" t="s">
        <v>1112</v>
      </c>
      <c r="C870" s="105">
        <v>346.35</v>
      </c>
      <c r="D870" s="3">
        <f t="shared" si="26"/>
        <v>-2.8607488430795087E-2</v>
      </c>
      <c r="F870" s="106">
        <v>45569</v>
      </c>
      <c r="G870" s="107">
        <v>25014.599609375</v>
      </c>
      <c r="H870" s="110">
        <f t="shared" si="27"/>
        <v>-9.3266958801446562E-3</v>
      </c>
    </row>
    <row r="871" spans="2:8" ht="14.25" customHeight="1" x14ac:dyDescent="0.3">
      <c r="B871" s="105" t="s">
        <v>1113</v>
      </c>
      <c r="C871" s="105">
        <v>340</v>
      </c>
      <c r="D871" s="3">
        <f t="shared" si="26"/>
        <v>-1.8334055146528142E-2</v>
      </c>
      <c r="F871" s="106">
        <v>45572</v>
      </c>
      <c r="G871" s="107">
        <v>24795.75</v>
      </c>
      <c r="H871" s="109">
        <f t="shared" si="27"/>
        <v>-8.7488751686027114E-3</v>
      </c>
    </row>
    <row r="872" spans="2:8" ht="14.25" customHeight="1" x14ac:dyDescent="0.3">
      <c r="B872" s="105" t="s">
        <v>1114</v>
      </c>
      <c r="C872" s="105">
        <v>342.7</v>
      </c>
      <c r="D872" s="3">
        <f t="shared" si="26"/>
        <v>7.9411764705882015E-3</v>
      </c>
      <c r="F872" s="106">
        <v>45573</v>
      </c>
      <c r="G872" s="107">
        <v>25013.150390625</v>
      </c>
      <c r="H872" s="110">
        <f t="shared" si="27"/>
        <v>8.7676473034693451E-3</v>
      </c>
    </row>
    <row r="873" spans="2:8" ht="14.25" customHeight="1" x14ac:dyDescent="0.3">
      <c r="B873" s="105" t="s">
        <v>1115</v>
      </c>
      <c r="C873" s="105">
        <v>347.05</v>
      </c>
      <c r="D873" s="3">
        <f t="shared" si="26"/>
        <v>1.2693317770644946E-2</v>
      </c>
      <c r="F873" s="106">
        <v>45574</v>
      </c>
      <c r="G873" s="107">
        <v>24981.94921875</v>
      </c>
      <c r="H873" s="109">
        <f t="shared" si="27"/>
        <v>-1.2473907279865989E-3</v>
      </c>
    </row>
    <row r="874" spans="2:8" ht="14.25" customHeight="1" x14ac:dyDescent="0.3">
      <c r="B874" s="105" t="s">
        <v>1116</v>
      </c>
      <c r="C874" s="105">
        <v>345.8</v>
      </c>
      <c r="D874" s="3">
        <f t="shared" si="26"/>
        <v>-3.601786486097104E-3</v>
      </c>
      <c r="F874" s="106">
        <v>45575</v>
      </c>
      <c r="G874" s="107">
        <v>24998.44921875</v>
      </c>
      <c r="H874" s="110">
        <f t="shared" si="27"/>
        <v>6.6047688495083712E-4</v>
      </c>
    </row>
    <row r="875" spans="2:8" ht="14.25" customHeight="1" x14ac:dyDescent="0.3">
      <c r="B875" s="105" t="s">
        <v>1117</v>
      </c>
      <c r="C875" s="105">
        <v>346.15</v>
      </c>
      <c r="D875" s="3">
        <f t="shared" si="26"/>
        <v>1.0121457489877556E-3</v>
      </c>
      <c r="F875" s="106">
        <v>45576</v>
      </c>
      <c r="G875" s="107">
        <v>24964.25</v>
      </c>
      <c r="H875" s="109">
        <f t="shared" si="27"/>
        <v>-1.3680536120756241E-3</v>
      </c>
    </row>
    <row r="876" spans="2:8" ht="14.25" customHeight="1" x14ac:dyDescent="0.3">
      <c r="B876" s="105" t="s">
        <v>1118</v>
      </c>
      <c r="C876" s="105">
        <v>346.5</v>
      </c>
      <c r="D876" s="3">
        <f t="shared" si="26"/>
        <v>1.011122345803908E-3</v>
      </c>
      <c r="F876" s="106">
        <v>45579</v>
      </c>
      <c r="G876" s="107">
        <v>25127.94921875</v>
      </c>
      <c r="H876" s="110">
        <f t="shared" si="27"/>
        <v>6.5573457544288337E-3</v>
      </c>
    </row>
    <row r="877" spans="2:8" ht="14.25" customHeight="1" x14ac:dyDescent="0.3">
      <c r="B877" s="105" t="s">
        <v>1119</v>
      </c>
      <c r="C877" s="105">
        <v>352.2</v>
      </c>
      <c r="D877" s="3">
        <f t="shared" si="26"/>
        <v>1.6450216450216416E-2</v>
      </c>
      <c r="F877" s="106">
        <v>45580</v>
      </c>
      <c r="G877" s="107">
        <v>25057.349609375</v>
      </c>
      <c r="H877" s="109">
        <f t="shared" si="27"/>
        <v>-2.8096049048968912E-3</v>
      </c>
    </row>
    <row r="878" spans="2:8" ht="14.25" customHeight="1" x14ac:dyDescent="0.3">
      <c r="B878" s="105" t="s">
        <v>1120</v>
      </c>
      <c r="C878" s="105">
        <v>346.65</v>
      </c>
      <c r="D878" s="3">
        <f t="shared" si="26"/>
        <v>-1.5758091993185723E-2</v>
      </c>
      <c r="F878" s="106">
        <v>45581</v>
      </c>
      <c r="G878" s="107">
        <v>24971.30078125</v>
      </c>
      <c r="H878" s="110">
        <f t="shared" si="27"/>
        <v>-3.4340754096676505E-3</v>
      </c>
    </row>
    <row r="879" spans="2:8" ht="14.25" customHeight="1" x14ac:dyDescent="0.3">
      <c r="B879" s="105" t="s">
        <v>1121</v>
      </c>
      <c r="C879" s="105">
        <v>339.05</v>
      </c>
      <c r="D879" s="3">
        <f t="shared" si="26"/>
        <v>-2.1924130967834896E-2</v>
      </c>
      <c r="F879" s="106">
        <v>45582</v>
      </c>
      <c r="G879" s="107">
        <v>24749.849609375</v>
      </c>
      <c r="H879" s="109">
        <f t="shared" si="27"/>
        <v>-8.8682273228345102E-3</v>
      </c>
    </row>
    <row r="880" spans="2:8" ht="14.25" customHeight="1" x14ac:dyDescent="0.3">
      <c r="B880" s="105" t="s">
        <v>1122</v>
      </c>
      <c r="C880" s="105">
        <v>339.95</v>
      </c>
      <c r="D880" s="3">
        <f t="shared" si="26"/>
        <v>2.6544757410410773E-3</v>
      </c>
      <c r="F880" s="106">
        <v>45583</v>
      </c>
      <c r="G880" s="107">
        <v>24854.05078125</v>
      </c>
      <c r="H880" s="110">
        <f t="shared" si="27"/>
        <v>4.2101739412400158E-3</v>
      </c>
    </row>
    <row r="881" spans="2:8" ht="14.25" customHeight="1" x14ac:dyDescent="0.3">
      <c r="B881" s="105" t="s">
        <v>1123</v>
      </c>
      <c r="C881" s="105">
        <v>337.4</v>
      </c>
      <c r="D881" s="3">
        <f t="shared" si="26"/>
        <v>-7.501103103397592E-3</v>
      </c>
      <c r="F881" s="106">
        <v>45586</v>
      </c>
      <c r="G881" s="107">
        <v>24781.099609375</v>
      </c>
      <c r="H881" s="109">
        <f t="shared" si="27"/>
        <v>-2.9351823779983047E-3</v>
      </c>
    </row>
    <row r="882" spans="2:8" ht="14.25" customHeight="1" x14ac:dyDescent="0.3">
      <c r="B882" s="105" t="s">
        <v>1124</v>
      </c>
      <c r="C882" s="105">
        <v>325.8</v>
      </c>
      <c r="D882" s="3">
        <f t="shared" si="26"/>
        <v>-3.4380557202133864E-2</v>
      </c>
      <c r="F882" s="106">
        <v>45587</v>
      </c>
      <c r="G882" s="107">
        <v>24472.099609375</v>
      </c>
      <c r="H882" s="110">
        <f t="shared" si="27"/>
        <v>-1.2469180337869326E-2</v>
      </c>
    </row>
    <row r="883" spans="2:8" ht="14.25" customHeight="1" x14ac:dyDescent="0.3">
      <c r="B883" s="105" t="s">
        <v>1125</v>
      </c>
      <c r="C883" s="105">
        <v>325.2</v>
      </c>
      <c r="D883" s="3">
        <f t="shared" si="26"/>
        <v>-1.8416206261510826E-3</v>
      </c>
      <c r="F883" s="106">
        <v>45588</v>
      </c>
      <c r="G883" s="107">
        <v>24435.5</v>
      </c>
      <c r="H883" s="109">
        <f t="shared" si="27"/>
        <v>-1.4955647434917714E-3</v>
      </c>
    </row>
    <row r="884" spans="2:8" ht="14.25" customHeight="1" x14ac:dyDescent="0.3">
      <c r="B884" s="105" t="s">
        <v>1126</v>
      </c>
      <c r="C884" s="105">
        <v>322.64999999999998</v>
      </c>
      <c r="D884" s="3">
        <f t="shared" si="26"/>
        <v>-7.8413284132841689E-3</v>
      </c>
      <c r="F884" s="106">
        <v>45589</v>
      </c>
      <c r="G884" s="107">
        <v>24399.400390625</v>
      </c>
      <c r="H884" s="110">
        <f t="shared" si="27"/>
        <v>-1.4773427748562542E-3</v>
      </c>
    </row>
    <row r="885" spans="2:8" ht="14.25" customHeight="1" x14ac:dyDescent="0.3">
      <c r="B885" s="105" t="s">
        <v>1127</v>
      </c>
      <c r="C885" s="105">
        <v>312</v>
      </c>
      <c r="D885" s="3">
        <f t="shared" si="26"/>
        <v>-3.3007903300790259E-2</v>
      </c>
      <c r="F885" s="106">
        <v>45590</v>
      </c>
      <c r="G885" s="107">
        <v>24180.80078125</v>
      </c>
      <c r="H885" s="109">
        <f t="shared" si="27"/>
        <v>-8.9592205494932031E-3</v>
      </c>
    </row>
    <row r="886" spans="2:8" ht="14.25" customHeight="1" x14ac:dyDescent="0.3">
      <c r="B886" s="105" t="s">
        <v>1128</v>
      </c>
      <c r="C886" s="105">
        <v>323.75</v>
      </c>
      <c r="D886" s="3">
        <f t="shared" si="26"/>
        <v>3.7660256410256408E-2</v>
      </c>
      <c r="F886" s="106">
        <v>45593</v>
      </c>
      <c r="G886" s="107">
        <v>24339.150390625</v>
      </c>
      <c r="H886" s="110">
        <f t="shared" si="27"/>
        <v>6.5485676346080995E-3</v>
      </c>
    </row>
    <row r="887" spans="2:8" ht="14.25" customHeight="1" x14ac:dyDescent="0.3">
      <c r="B887" s="105" t="s">
        <v>1129</v>
      </c>
      <c r="C887" s="105">
        <v>327</v>
      </c>
      <c r="D887" s="3">
        <f t="shared" si="26"/>
        <v>1.0038610038610039E-2</v>
      </c>
      <c r="F887" s="106">
        <v>45594</v>
      </c>
      <c r="G887" s="107">
        <v>24466.849609375</v>
      </c>
      <c r="H887" s="109">
        <f t="shared" si="27"/>
        <v>5.2466588480092318E-3</v>
      </c>
    </row>
    <row r="888" spans="2:8" ht="14.25" customHeight="1" x14ac:dyDescent="0.3">
      <c r="B888" s="105" t="s">
        <v>1130</v>
      </c>
      <c r="C888" s="105">
        <v>320.7</v>
      </c>
      <c r="D888" s="3">
        <f t="shared" si="26"/>
        <v>-1.9266055045871595E-2</v>
      </c>
      <c r="F888" s="106">
        <v>45595</v>
      </c>
      <c r="G888" s="107">
        <v>24340.849609375</v>
      </c>
      <c r="H888" s="110">
        <f t="shared" si="27"/>
        <v>-5.149825253829181E-3</v>
      </c>
    </row>
    <row r="889" spans="2:8" ht="14.25" customHeight="1" x14ac:dyDescent="0.3">
      <c r="B889" s="105" t="s">
        <v>1131</v>
      </c>
      <c r="C889" s="105">
        <v>316.10000000000002</v>
      </c>
      <c r="D889" s="3">
        <f t="shared" si="26"/>
        <v>-1.4343623323978691E-2</v>
      </c>
      <c r="F889" s="106">
        <v>45596</v>
      </c>
      <c r="G889" s="107">
        <v>24205.349609375</v>
      </c>
      <c r="H889" s="109">
        <f t="shared" si="27"/>
        <v>-5.566773640794013E-3</v>
      </c>
    </row>
    <row r="890" spans="2:8" ht="14.25" customHeight="1" x14ac:dyDescent="0.3">
      <c r="B890" s="105" t="s">
        <v>1132</v>
      </c>
      <c r="C890" s="105">
        <v>317.8</v>
      </c>
      <c r="D890" s="3">
        <f t="shared" si="26"/>
        <v>5.3780449224928454E-3</v>
      </c>
      <c r="F890" s="106">
        <v>45597</v>
      </c>
      <c r="G890" s="107">
        <v>24304.349609375</v>
      </c>
      <c r="H890" s="110">
        <f t="shared" si="27"/>
        <v>4.0900049616162618E-3</v>
      </c>
    </row>
    <row r="891" spans="2:8" ht="14.25" customHeight="1" x14ac:dyDescent="0.3">
      <c r="B891" s="105" t="s">
        <v>1133</v>
      </c>
      <c r="C891" s="105">
        <v>310.89999999999998</v>
      </c>
      <c r="D891" s="3">
        <f t="shared" si="26"/>
        <v>-2.1711768407803755E-2</v>
      </c>
      <c r="F891" s="106">
        <v>45600</v>
      </c>
      <c r="G891" s="107">
        <v>23995.349609375</v>
      </c>
      <c r="H891" s="109">
        <f t="shared" si="27"/>
        <v>-1.2713773664645128E-2</v>
      </c>
    </row>
    <row r="892" spans="2:8" ht="14.25" customHeight="1" x14ac:dyDescent="0.3">
      <c r="B892" s="105" t="s">
        <v>1134</v>
      </c>
      <c r="C892" s="105">
        <v>315.7</v>
      </c>
      <c r="D892" s="3">
        <f t="shared" si="26"/>
        <v>1.5439047925377973E-2</v>
      </c>
      <c r="F892" s="106">
        <v>45601</v>
      </c>
      <c r="G892" s="107">
        <v>24213.30078125</v>
      </c>
      <c r="H892" s="110">
        <f t="shared" si="27"/>
        <v>9.0830588186073483E-3</v>
      </c>
    </row>
    <row r="893" spans="2:8" ht="14.25" customHeight="1" x14ac:dyDescent="0.3">
      <c r="B893" s="105" t="s">
        <v>1135</v>
      </c>
      <c r="C893" s="105">
        <v>322.85000000000002</v>
      </c>
      <c r="D893" s="3">
        <f t="shared" si="26"/>
        <v>2.2648083623693489E-2</v>
      </c>
      <c r="F893" s="106">
        <v>45602</v>
      </c>
      <c r="G893" s="107">
        <v>24484.05078125</v>
      </c>
      <c r="H893" s="109">
        <f t="shared" si="27"/>
        <v>1.1181870759630595E-2</v>
      </c>
    </row>
    <row r="894" spans="2:8" ht="14.25" customHeight="1" x14ac:dyDescent="0.3">
      <c r="B894" s="105" t="s">
        <v>1136</v>
      </c>
      <c r="C894" s="105">
        <v>328</v>
      </c>
      <c r="D894" s="3">
        <f t="shared" si="26"/>
        <v>1.5951680346910257E-2</v>
      </c>
      <c r="F894" s="106">
        <v>45603</v>
      </c>
      <c r="G894" s="107">
        <v>24199.349609375</v>
      </c>
      <c r="H894" s="110">
        <f t="shared" si="27"/>
        <v>-1.1628025706147672E-2</v>
      </c>
    </row>
    <row r="895" spans="2:8" ht="14.25" customHeight="1" x14ac:dyDescent="0.3">
      <c r="B895" s="105" t="s">
        <v>1137</v>
      </c>
      <c r="C895" s="105">
        <v>321.3</v>
      </c>
      <c r="D895" s="3">
        <f t="shared" si="26"/>
        <v>-2.0426829268292649E-2</v>
      </c>
      <c r="F895" s="106">
        <v>45604</v>
      </c>
      <c r="G895" s="107">
        <v>24148.19921875</v>
      </c>
      <c r="H895" s="109">
        <f t="shared" si="27"/>
        <v>-2.1137093124678017E-3</v>
      </c>
    </row>
    <row r="896" spans="2:8" ht="14.25" customHeight="1" x14ac:dyDescent="0.3">
      <c r="B896" s="105" t="s">
        <v>1138</v>
      </c>
      <c r="C896" s="105">
        <v>348.7</v>
      </c>
      <c r="D896" s="3">
        <f t="shared" si="26"/>
        <v>8.5278555866791089E-2</v>
      </c>
      <c r="F896" s="106">
        <v>45607</v>
      </c>
      <c r="G896" s="107">
        <v>24141.30078125</v>
      </c>
      <c r="H896" s="110">
        <f t="shared" si="27"/>
        <v>-2.8567088740280355E-4</v>
      </c>
    </row>
    <row r="897" spans="2:8" ht="14.25" customHeight="1" x14ac:dyDescent="0.3">
      <c r="B897" s="105" t="s">
        <v>1139</v>
      </c>
      <c r="C897" s="105">
        <v>347.5</v>
      </c>
      <c r="D897" s="3">
        <f t="shared" si="26"/>
        <v>-3.4413535990822732E-3</v>
      </c>
      <c r="F897" s="106">
        <v>45608</v>
      </c>
      <c r="G897" s="107">
        <v>23883.44921875</v>
      </c>
      <c r="H897" s="109">
        <f t="shared" si="27"/>
        <v>-1.0680930776533279E-2</v>
      </c>
    </row>
    <row r="898" spans="2:8" ht="14.25" customHeight="1" x14ac:dyDescent="0.3">
      <c r="B898" s="105" t="s">
        <v>1140</v>
      </c>
      <c r="C898" s="105">
        <v>331.55</v>
      </c>
      <c r="D898" s="3">
        <f t="shared" si="26"/>
        <v>-4.5899280575539533E-2</v>
      </c>
      <c r="F898" s="106">
        <v>45609</v>
      </c>
      <c r="G898" s="107">
        <v>23559.05078125</v>
      </c>
      <c r="H898" s="110">
        <f t="shared" si="27"/>
        <v>-1.3582562322921387E-2</v>
      </c>
    </row>
    <row r="899" spans="2:8" ht="14.25" customHeight="1" x14ac:dyDescent="0.3">
      <c r="B899" s="105" t="s">
        <v>1141</v>
      </c>
      <c r="C899" s="105">
        <v>335.8</v>
      </c>
      <c r="D899" s="3">
        <f t="shared" si="26"/>
        <v>1.281857939978887E-2</v>
      </c>
      <c r="F899" s="106">
        <v>45610</v>
      </c>
      <c r="G899" s="107">
        <v>23532.69921875</v>
      </c>
      <c r="H899" s="109">
        <f t="shared" si="27"/>
        <v>-1.1185324376894032E-3</v>
      </c>
    </row>
    <row r="900" spans="2:8" ht="14.25" customHeight="1" x14ac:dyDescent="0.3">
      <c r="B900" s="105" t="s">
        <v>1142</v>
      </c>
      <c r="C900" s="105">
        <v>325.35000000000002</v>
      </c>
      <c r="D900" s="3">
        <f t="shared" si="26"/>
        <v>-3.1119714115544931E-2</v>
      </c>
      <c r="F900" s="106">
        <v>45614</v>
      </c>
      <c r="G900" s="107">
        <v>23453.80078125</v>
      </c>
      <c r="H900" s="110">
        <f t="shared" si="27"/>
        <v>-3.3527151631265739E-3</v>
      </c>
    </row>
    <row r="901" spans="2:8" ht="14.25" customHeight="1" x14ac:dyDescent="0.3">
      <c r="B901" s="105" t="s">
        <v>1143</v>
      </c>
      <c r="C901" s="105">
        <v>327.05</v>
      </c>
      <c r="D901" s="3">
        <f t="shared" ref="D901:D964" si="28">(C901-C900)/C900</f>
        <v>5.2251421546026999E-3</v>
      </c>
      <c r="F901" s="106">
        <v>45615</v>
      </c>
      <c r="G901" s="107">
        <v>23518.5</v>
      </c>
      <c r="H901" s="109">
        <f t="shared" ref="H901:H964" si="29">(G901-G900)/G900</f>
        <v>2.7585814066316875E-3</v>
      </c>
    </row>
    <row r="902" spans="2:8" ht="14.25" customHeight="1" x14ac:dyDescent="0.3">
      <c r="B902" s="105" t="s">
        <v>1144</v>
      </c>
      <c r="C902" s="105">
        <v>323.10000000000002</v>
      </c>
      <c r="D902" s="3">
        <f t="shared" si="28"/>
        <v>-1.2077663965754437E-2</v>
      </c>
      <c r="F902" s="106">
        <v>45617</v>
      </c>
      <c r="G902" s="107">
        <v>23349.900390625</v>
      </c>
      <c r="H902" s="110">
        <f t="shared" si="29"/>
        <v>-7.1688079331164827E-3</v>
      </c>
    </row>
    <row r="903" spans="2:8" ht="14.25" customHeight="1" x14ac:dyDescent="0.3">
      <c r="B903" s="105" t="s">
        <v>1145</v>
      </c>
      <c r="C903" s="105">
        <v>331.5</v>
      </c>
      <c r="D903" s="3">
        <f t="shared" si="28"/>
        <v>2.5998142989786373E-2</v>
      </c>
      <c r="F903" s="106">
        <v>45618</v>
      </c>
      <c r="G903" s="107">
        <v>23907.25</v>
      </c>
      <c r="H903" s="109">
        <f t="shared" si="29"/>
        <v>2.3869464111237762E-2</v>
      </c>
    </row>
    <row r="904" spans="2:8" ht="14.25" customHeight="1" x14ac:dyDescent="0.3">
      <c r="B904" s="105" t="s">
        <v>1146</v>
      </c>
      <c r="C904" s="105">
        <v>336.35</v>
      </c>
      <c r="D904" s="3">
        <f t="shared" si="28"/>
        <v>1.4630467571644112E-2</v>
      </c>
      <c r="F904" s="106">
        <v>45621</v>
      </c>
      <c r="G904" s="107">
        <v>24221.900390625</v>
      </c>
      <c r="H904" s="110">
        <f t="shared" si="29"/>
        <v>1.3161295867362411E-2</v>
      </c>
    </row>
    <row r="905" spans="2:8" ht="14.25" customHeight="1" x14ac:dyDescent="0.3">
      <c r="B905" s="105" t="s">
        <v>1147</v>
      </c>
      <c r="C905" s="105">
        <v>352.65</v>
      </c>
      <c r="D905" s="3">
        <f t="shared" si="28"/>
        <v>4.8461424111788179E-2</v>
      </c>
      <c r="F905" s="106">
        <v>45622</v>
      </c>
      <c r="G905" s="107">
        <v>24194.5</v>
      </c>
      <c r="H905" s="109">
        <f t="shared" si="29"/>
        <v>-1.1312238174179439E-3</v>
      </c>
    </row>
    <row r="906" spans="2:8" ht="14.25" customHeight="1" x14ac:dyDescent="0.3">
      <c r="B906" s="105" t="s">
        <v>1148</v>
      </c>
      <c r="C906" s="105">
        <v>358.65</v>
      </c>
      <c r="D906" s="3">
        <f t="shared" si="28"/>
        <v>1.7014036580178648E-2</v>
      </c>
      <c r="F906" s="106">
        <v>45623</v>
      </c>
      <c r="G906" s="107">
        <v>24274.900390625</v>
      </c>
      <c r="H906" s="110">
        <f t="shared" si="29"/>
        <v>3.3230854378061129E-3</v>
      </c>
    </row>
    <row r="907" spans="2:8" ht="14.25" customHeight="1" x14ac:dyDescent="0.3">
      <c r="B907" s="105" t="s">
        <v>1149</v>
      </c>
      <c r="C907" s="105">
        <v>363.95</v>
      </c>
      <c r="D907" s="3">
        <f t="shared" si="28"/>
        <v>1.4777638366095112E-2</v>
      </c>
      <c r="F907" s="106">
        <v>45624</v>
      </c>
      <c r="G907" s="107">
        <v>23914.150390625</v>
      </c>
      <c r="H907" s="109">
        <f t="shared" si="29"/>
        <v>-1.4861029054492934E-2</v>
      </c>
    </row>
    <row r="908" spans="2:8" ht="14.25" customHeight="1" x14ac:dyDescent="0.3">
      <c r="B908" s="105" t="s">
        <v>1150</v>
      </c>
      <c r="C908" s="105">
        <v>365.15</v>
      </c>
      <c r="D908" s="3">
        <f t="shared" si="28"/>
        <v>3.2971562027750752E-3</v>
      </c>
      <c r="F908" s="106">
        <v>45625</v>
      </c>
      <c r="G908" s="107">
        <v>24131.099609375</v>
      </c>
      <c r="H908" s="110">
        <f t="shared" si="29"/>
        <v>9.0720019405351737E-3</v>
      </c>
    </row>
    <row r="909" spans="2:8" ht="14.25" customHeight="1" x14ac:dyDescent="0.3">
      <c r="B909" s="105" t="s">
        <v>1151</v>
      </c>
      <c r="C909" s="105">
        <v>375.35</v>
      </c>
      <c r="D909" s="3">
        <f t="shared" si="28"/>
        <v>2.7933725866082559E-2</v>
      </c>
      <c r="F909" s="106">
        <v>45628</v>
      </c>
      <c r="G909" s="107">
        <v>24276.05078125</v>
      </c>
      <c r="H909" s="109">
        <f t="shared" si="29"/>
        <v>6.0068200049485541E-3</v>
      </c>
    </row>
    <row r="910" spans="2:8" ht="14.25" customHeight="1" x14ac:dyDescent="0.3">
      <c r="B910" s="105" t="s">
        <v>1152</v>
      </c>
      <c r="C910" s="105">
        <v>373.85</v>
      </c>
      <c r="D910" s="3">
        <f t="shared" si="28"/>
        <v>-3.9962701478619949E-3</v>
      </c>
      <c r="F910" s="106">
        <v>45629</v>
      </c>
      <c r="G910" s="107">
        <v>24457.150390625</v>
      </c>
      <c r="H910" s="110">
        <f t="shared" si="29"/>
        <v>7.4600111445999777E-3</v>
      </c>
    </row>
    <row r="911" spans="2:8" ht="14.25" customHeight="1" x14ac:dyDescent="0.3">
      <c r="B911" s="105" t="s">
        <v>1153</v>
      </c>
      <c r="C911" s="105">
        <v>379.7</v>
      </c>
      <c r="D911" s="3">
        <f t="shared" si="28"/>
        <v>1.5647987160625827E-2</v>
      </c>
      <c r="F911" s="106">
        <v>45630</v>
      </c>
      <c r="G911" s="107">
        <v>24467.44921875</v>
      </c>
      <c r="H911" s="109">
        <f t="shared" si="29"/>
        <v>4.2109681465375389E-4</v>
      </c>
    </row>
    <row r="912" spans="2:8" ht="14.25" customHeight="1" x14ac:dyDescent="0.3">
      <c r="B912" s="105" t="s">
        <v>1154</v>
      </c>
      <c r="C912" s="105">
        <v>375.25</v>
      </c>
      <c r="D912" s="3">
        <f t="shared" si="28"/>
        <v>-1.1719778772715272E-2</v>
      </c>
      <c r="F912" s="106">
        <v>45631</v>
      </c>
      <c r="G912" s="107">
        <v>24708.400390625</v>
      </c>
      <c r="H912" s="110">
        <f t="shared" si="29"/>
        <v>9.8478255628851284E-3</v>
      </c>
    </row>
    <row r="913" spans="2:8" ht="14.25" customHeight="1" x14ac:dyDescent="0.3">
      <c r="B913" s="105" t="s">
        <v>1155</v>
      </c>
      <c r="C913" s="105">
        <v>380.05</v>
      </c>
      <c r="D913" s="3">
        <f t="shared" si="28"/>
        <v>1.2791472351765519E-2</v>
      </c>
      <c r="F913" s="106">
        <v>45632</v>
      </c>
      <c r="G913" s="107">
        <v>24677.80078125</v>
      </c>
      <c r="H913" s="109">
        <f t="shared" si="29"/>
        <v>-1.2384293961259537E-3</v>
      </c>
    </row>
    <row r="914" spans="2:8" ht="14.25" customHeight="1" x14ac:dyDescent="0.3">
      <c r="B914" s="105" t="s">
        <v>1156</v>
      </c>
      <c r="C914" s="105">
        <v>369.6</v>
      </c>
      <c r="D914" s="3">
        <f t="shared" si="28"/>
        <v>-2.7496382054992732E-2</v>
      </c>
      <c r="F914" s="106">
        <v>45635</v>
      </c>
      <c r="G914" s="107">
        <v>24619</v>
      </c>
      <c r="H914" s="110">
        <f t="shared" si="29"/>
        <v>-2.3827399277279349E-3</v>
      </c>
    </row>
    <row r="915" spans="2:8" ht="14.25" customHeight="1" x14ac:dyDescent="0.3">
      <c r="B915" s="105" t="s">
        <v>1157</v>
      </c>
      <c r="C915" s="105">
        <v>369.2</v>
      </c>
      <c r="D915" s="3">
        <f t="shared" si="28"/>
        <v>-1.0822510822511744E-3</v>
      </c>
      <c r="F915" s="106">
        <v>45636</v>
      </c>
      <c r="G915" s="107">
        <v>24610.05078125</v>
      </c>
      <c r="H915" s="109">
        <f t="shared" si="29"/>
        <v>-3.6350862138998332E-4</v>
      </c>
    </row>
    <row r="916" spans="2:8" ht="14.25" customHeight="1" x14ac:dyDescent="0.3">
      <c r="B916" s="105" t="s">
        <v>1158</v>
      </c>
      <c r="C916" s="105">
        <v>367.85</v>
      </c>
      <c r="D916" s="3">
        <f t="shared" si="28"/>
        <v>-3.6565547128926488E-3</v>
      </c>
      <c r="F916" s="106">
        <v>45637</v>
      </c>
      <c r="G916" s="107">
        <v>24641.80078125</v>
      </c>
      <c r="H916" s="110">
        <f t="shared" si="29"/>
        <v>1.2901233029632678E-3</v>
      </c>
    </row>
    <row r="917" spans="2:8" ht="14.25" customHeight="1" x14ac:dyDescent="0.3">
      <c r="B917" s="105" t="s">
        <v>1159</v>
      </c>
      <c r="C917" s="105">
        <v>356.7</v>
      </c>
      <c r="D917" s="3">
        <f t="shared" si="28"/>
        <v>-3.031126817996475E-2</v>
      </c>
      <c r="F917" s="106">
        <v>45638</v>
      </c>
      <c r="G917" s="107">
        <v>24548.69921875</v>
      </c>
      <c r="H917" s="109">
        <f t="shared" si="29"/>
        <v>-3.778196379659119E-3</v>
      </c>
    </row>
    <row r="918" spans="2:8" ht="14.25" customHeight="1" x14ac:dyDescent="0.3">
      <c r="B918" s="105" t="s">
        <v>1160</v>
      </c>
      <c r="C918" s="105">
        <v>352.8</v>
      </c>
      <c r="D918" s="3">
        <f t="shared" si="28"/>
        <v>-1.0933557611438121E-2</v>
      </c>
      <c r="F918" s="106">
        <v>45639</v>
      </c>
      <c r="G918" s="107">
        <v>24768.30078125</v>
      </c>
      <c r="H918" s="110">
        <f t="shared" si="29"/>
        <v>8.9455478085890185E-3</v>
      </c>
    </row>
    <row r="919" spans="2:8" ht="14.25" customHeight="1" x14ac:dyDescent="0.3">
      <c r="B919" s="105" t="s">
        <v>1161</v>
      </c>
      <c r="C919" s="105">
        <v>353.7</v>
      </c>
      <c r="D919" s="3">
        <f t="shared" si="28"/>
        <v>2.5510204081632009E-3</v>
      </c>
      <c r="F919" s="106">
        <v>45642</v>
      </c>
      <c r="G919" s="107">
        <v>24668.25</v>
      </c>
      <c r="H919" s="109">
        <f t="shared" si="29"/>
        <v>-4.0394689217332193E-3</v>
      </c>
    </row>
    <row r="920" spans="2:8" ht="14.25" customHeight="1" x14ac:dyDescent="0.3">
      <c r="B920" s="105" t="s">
        <v>1162</v>
      </c>
      <c r="C920" s="105">
        <v>350.95</v>
      </c>
      <c r="D920" s="3">
        <f t="shared" si="28"/>
        <v>-7.7749505230421262E-3</v>
      </c>
      <c r="F920" s="106">
        <v>45643</v>
      </c>
      <c r="G920" s="107">
        <v>24336</v>
      </c>
      <c r="H920" s="110">
        <f t="shared" si="29"/>
        <v>-1.3468730047733423E-2</v>
      </c>
    </row>
    <row r="921" spans="2:8" ht="14.25" customHeight="1" x14ac:dyDescent="0.3">
      <c r="B921" s="105" t="s">
        <v>1163</v>
      </c>
      <c r="C921" s="105">
        <v>348.05</v>
      </c>
      <c r="D921" s="3">
        <f t="shared" si="28"/>
        <v>-8.2632853682860167E-3</v>
      </c>
      <c r="F921" s="106">
        <v>45644</v>
      </c>
      <c r="G921" s="107">
        <v>24198.849609375</v>
      </c>
      <c r="H921" s="109">
        <f t="shared" si="29"/>
        <v>-5.6356998120069036E-3</v>
      </c>
    </row>
    <row r="922" spans="2:8" ht="14.25" customHeight="1" x14ac:dyDescent="0.3">
      <c r="B922" s="105" t="s">
        <v>1164</v>
      </c>
      <c r="C922" s="105">
        <v>350.35</v>
      </c>
      <c r="D922" s="3">
        <f t="shared" si="28"/>
        <v>6.6082459416750795E-3</v>
      </c>
      <c r="F922" s="106">
        <v>45645</v>
      </c>
      <c r="G922" s="107">
        <v>23951.69921875</v>
      </c>
      <c r="H922" s="110">
        <f t="shared" si="29"/>
        <v>-1.0213311567061031E-2</v>
      </c>
    </row>
    <row r="923" spans="2:8" ht="14.25" customHeight="1" x14ac:dyDescent="0.3">
      <c r="B923" s="105" t="s">
        <v>1165</v>
      </c>
      <c r="C923" s="105">
        <v>335.95</v>
      </c>
      <c r="D923" s="3">
        <f t="shared" si="28"/>
        <v>-4.1101755387469768E-2</v>
      </c>
      <c r="F923" s="106">
        <v>45646</v>
      </c>
      <c r="G923" s="107">
        <v>23587.5</v>
      </c>
      <c r="H923" s="109">
        <f t="shared" si="29"/>
        <v>-1.5205569150805617E-2</v>
      </c>
    </row>
    <row r="924" spans="2:8" ht="14.25" customHeight="1" x14ac:dyDescent="0.3">
      <c r="B924" s="105" t="s">
        <v>1166</v>
      </c>
      <c r="C924" s="105">
        <v>329.55</v>
      </c>
      <c r="D924" s="3">
        <f t="shared" si="28"/>
        <v>-1.9050453936597642E-2</v>
      </c>
      <c r="F924" s="106">
        <v>45649</v>
      </c>
      <c r="G924" s="107">
        <v>23753.44921875</v>
      </c>
      <c r="H924" s="110">
        <f t="shared" si="29"/>
        <v>7.0354729729729731E-3</v>
      </c>
    </row>
    <row r="925" spans="2:8" ht="14.25" customHeight="1" x14ac:dyDescent="0.3">
      <c r="B925" s="105" t="s">
        <v>1167</v>
      </c>
      <c r="C925" s="105">
        <v>344.5</v>
      </c>
      <c r="D925" s="3">
        <f t="shared" si="28"/>
        <v>4.5364891518737634E-2</v>
      </c>
      <c r="F925" s="106">
        <v>45650</v>
      </c>
      <c r="G925" s="107">
        <v>23727.650390625</v>
      </c>
      <c r="H925" s="109">
        <f t="shared" si="29"/>
        <v>-1.0861087115144297E-3</v>
      </c>
    </row>
    <row r="926" spans="2:8" ht="14.25" customHeight="1" x14ac:dyDescent="0.3">
      <c r="B926" s="105" t="s">
        <v>1168</v>
      </c>
      <c r="C926" s="105">
        <v>346.45</v>
      </c>
      <c r="D926" s="3">
        <f t="shared" si="28"/>
        <v>5.6603773584905327E-3</v>
      </c>
      <c r="F926" s="106">
        <v>45652</v>
      </c>
      <c r="G926" s="107">
        <v>23750.19921875</v>
      </c>
      <c r="H926" s="110">
        <f t="shared" si="29"/>
        <v>9.5031862631915877E-4</v>
      </c>
    </row>
    <row r="927" spans="2:8" ht="14.25" customHeight="1" x14ac:dyDescent="0.3">
      <c r="B927" s="105" t="s">
        <v>1169</v>
      </c>
      <c r="C927" s="105">
        <v>352.55</v>
      </c>
      <c r="D927" s="3">
        <f t="shared" si="28"/>
        <v>1.7607158320103976E-2</v>
      </c>
      <c r="F927" s="106">
        <v>45653</v>
      </c>
      <c r="G927" s="107">
        <v>23813.400390625</v>
      </c>
      <c r="H927" s="109">
        <f t="shared" si="29"/>
        <v>2.6610796521279179E-3</v>
      </c>
    </row>
    <row r="928" spans="2:8" ht="14.25" customHeight="1" x14ac:dyDescent="0.3">
      <c r="B928" s="105" t="s">
        <v>1170</v>
      </c>
      <c r="C928" s="105">
        <v>367.7</v>
      </c>
      <c r="D928" s="3">
        <f t="shared" si="28"/>
        <v>4.2972627996028863E-2</v>
      </c>
      <c r="F928" s="106">
        <v>45656</v>
      </c>
      <c r="G928" s="107">
        <v>23644.900390625</v>
      </c>
      <c r="H928" s="110">
        <f t="shared" si="29"/>
        <v>-7.0758479358679106E-3</v>
      </c>
    </row>
    <row r="929" spans="2:8" ht="14.25" customHeight="1" x14ac:dyDescent="0.3">
      <c r="B929" s="105" t="s">
        <v>1171</v>
      </c>
      <c r="C929" s="105">
        <v>365.35</v>
      </c>
      <c r="D929" s="3">
        <f t="shared" si="28"/>
        <v>-6.3910796845253358E-3</v>
      </c>
      <c r="F929" s="106">
        <v>45657</v>
      </c>
      <c r="G929" s="107">
        <v>23644.80078125</v>
      </c>
      <c r="H929" s="109">
        <f t="shared" si="29"/>
        <v>-4.2127212783477941E-6</v>
      </c>
    </row>
    <row r="930" spans="2:8" ht="14.25" customHeight="1" x14ac:dyDescent="0.3">
      <c r="B930" s="105" t="s">
        <v>1172</v>
      </c>
      <c r="C930" s="105">
        <v>368.8</v>
      </c>
      <c r="D930" s="3">
        <f t="shared" si="28"/>
        <v>9.4429998631448981E-3</v>
      </c>
      <c r="F930" s="106">
        <v>45658</v>
      </c>
      <c r="G930" s="107">
        <v>23742.900390625</v>
      </c>
      <c r="H930" s="110">
        <f t="shared" si="29"/>
        <v>4.1488871182535671E-3</v>
      </c>
    </row>
    <row r="931" spans="2:8" ht="14.25" customHeight="1" x14ac:dyDescent="0.3">
      <c r="B931" s="105" t="s">
        <v>1173</v>
      </c>
      <c r="C931" s="105">
        <v>373.25</v>
      </c>
      <c r="D931" s="3">
        <f t="shared" si="28"/>
        <v>1.2066160520607345E-2</v>
      </c>
      <c r="F931" s="106">
        <v>45659</v>
      </c>
      <c r="G931" s="107">
        <v>24188.650390625</v>
      </c>
      <c r="H931" s="109">
        <f t="shared" si="29"/>
        <v>1.8774033191665436E-2</v>
      </c>
    </row>
    <row r="932" spans="2:8" ht="14.25" customHeight="1" x14ac:dyDescent="0.3">
      <c r="B932" s="105" t="s">
        <v>1174</v>
      </c>
      <c r="C932" s="105">
        <v>369.25</v>
      </c>
      <c r="D932" s="3">
        <f t="shared" si="28"/>
        <v>-1.0716677829872739E-2</v>
      </c>
      <c r="F932" s="106">
        <v>45660</v>
      </c>
      <c r="G932" s="107">
        <v>24004.75</v>
      </c>
      <c r="H932" s="110">
        <f t="shared" si="29"/>
        <v>-7.602755327609176E-3</v>
      </c>
    </row>
    <row r="933" spans="2:8" ht="14.25" customHeight="1" x14ac:dyDescent="0.3">
      <c r="B933" s="105" t="s">
        <v>1175</v>
      </c>
      <c r="C933" s="105">
        <v>358.1</v>
      </c>
      <c r="D933" s="3">
        <f t="shared" si="28"/>
        <v>-3.0196343940419708E-2</v>
      </c>
      <c r="F933" s="106">
        <v>45663</v>
      </c>
      <c r="G933" s="107">
        <v>23616.05078125</v>
      </c>
      <c r="H933" s="109">
        <f t="shared" si="29"/>
        <v>-1.6192595996625668E-2</v>
      </c>
    </row>
    <row r="934" spans="2:8" ht="14.25" customHeight="1" x14ac:dyDescent="0.3">
      <c r="B934" s="105" t="s">
        <v>1176</v>
      </c>
      <c r="C934" s="105">
        <v>382.35</v>
      </c>
      <c r="D934" s="3">
        <f t="shared" si="28"/>
        <v>6.7718514381457692E-2</v>
      </c>
      <c r="F934" s="106">
        <v>45664</v>
      </c>
      <c r="G934" s="107">
        <v>23707.900390625</v>
      </c>
      <c r="H934" s="110">
        <f t="shared" si="29"/>
        <v>3.8892874268344705E-3</v>
      </c>
    </row>
    <row r="935" spans="2:8" ht="14.25" customHeight="1" x14ac:dyDescent="0.3">
      <c r="B935" s="105" t="s">
        <v>1177</v>
      </c>
      <c r="C935" s="105">
        <v>371.2</v>
      </c>
      <c r="D935" s="3">
        <f t="shared" si="28"/>
        <v>-2.9161762782790725E-2</v>
      </c>
      <c r="F935" s="106">
        <v>45665</v>
      </c>
      <c r="G935" s="107">
        <v>23688.94921875</v>
      </c>
      <c r="H935" s="109">
        <f t="shared" si="29"/>
        <v>-7.9936103841966573E-4</v>
      </c>
    </row>
    <row r="936" spans="2:8" ht="14.25" customHeight="1" x14ac:dyDescent="0.3">
      <c r="B936" s="105" t="s">
        <v>1178</v>
      </c>
      <c r="C936" s="105">
        <v>370.7</v>
      </c>
      <c r="D936" s="3">
        <f t="shared" si="28"/>
        <v>-1.3469827586206897E-3</v>
      </c>
      <c r="F936" s="106">
        <v>45666</v>
      </c>
      <c r="G936" s="107">
        <v>23526.5</v>
      </c>
      <c r="H936" s="110">
        <f t="shared" si="29"/>
        <v>-6.8575949591474531E-3</v>
      </c>
    </row>
    <row r="937" spans="2:8" ht="14.25" customHeight="1" x14ac:dyDescent="0.3">
      <c r="B937" s="105" t="s">
        <v>1179</v>
      </c>
      <c r="C937" s="105">
        <v>360.95</v>
      </c>
      <c r="D937" s="3">
        <f t="shared" si="28"/>
        <v>-2.6301591583490692E-2</v>
      </c>
      <c r="F937" s="106">
        <v>45667</v>
      </c>
      <c r="G937" s="107">
        <v>23431.5</v>
      </c>
      <c r="H937" s="109">
        <f t="shared" si="29"/>
        <v>-4.0379997024631801E-3</v>
      </c>
    </row>
    <row r="938" spans="2:8" ht="14.25" customHeight="1" x14ac:dyDescent="0.3">
      <c r="B938" s="105" t="s">
        <v>1180</v>
      </c>
      <c r="C938" s="105">
        <v>365.2</v>
      </c>
      <c r="D938" s="3">
        <f t="shared" si="28"/>
        <v>1.1774484000554093E-2</v>
      </c>
      <c r="F938" s="106">
        <v>45670</v>
      </c>
      <c r="G938" s="107">
        <v>23085.94921875</v>
      </c>
      <c r="H938" s="110">
        <f t="shared" si="29"/>
        <v>-1.4747275302477434E-2</v>
      </c>
    </row>
    <row r="939" spans="2:8" ht="14.25" customHeight="1" x14ac:dyDescent="0.3">
      <c r="B939" s="105" t="s">
        <v>1181</v>
      </c>
      <c r="C939" s="105">
        <v>387.65</v>
      </c>
      <c r="D939" s="3">
        <f t="shared" si="28"/>
        <v>6.1473165388828008E-2</v>
      </c>
      <c r="F939" s="106">
        <v>45671</v>
      </c>
      <c r="G939" s="107">
        <v>23176.05078125</v>
      </c>
      <c r="H939" s="109">
        <f t="shared" si="29"/>
        <v>3.9028744993868871E-3</v>
      </c>
    </row>
    <row r="940" spans="2:8" ht="14.25" customHeight="1" x14ac:dyDescent="0.3">
      <c r="B940" s="105" t="s">
        <v>1182</v>
      </c>
      <c r="C940" s="105">
        <v>382.05</v>
      </c>
      <c r="D940" s="3">
        <f t="shared" si="28"/>
        <v>-1.4446020895137279E-2</v>
      </c>
      <c r="F940" s="106">
        <v>45672</v>
      </c>
      <c r="G940" s="107">
        <v>23213.19921875</v>
      </c>
      <c r="H940" s="110">
        <f t="shared" si="29"/>
        <v>1.6028803979862699E-3</v>
      </c>
    </row>
    <row r="941" spans="2:8" ht="14.25" customHeight="1" x14ac:dyDescent="0.3">
      <c r="B941" s="105" t="s">
        <v>1183</v>
      </c>
      <c r="C941" s="105">
        <v>393.15</v>
      </c>
      <c r="D941" s="3">
        <f t="shared" si="28"/>
        <v>2.9053788771103168E-2</v>
      </c>
      <c r="F941" s="106">
        <v>45673</v>
      </c>
      <c r="G941" s="107">
        <v>23311.80078125</v>
      </c>
      <c r="H941" s="109">
        <f t="shared" si="29"/>
        <v>4.2476507253837101E-3</v>
      </c>
    </row>
    <row r="942" spans="2:8" ht="14.25" customHeight="1" x14ac:dyDescent="0.3">
      <c r="B942" s="105" t="s">
        <v>1184</v>
      </c>
      <c r="C942" s="105">
        <v>393.7</v>
      </c>
      <c r="D942" s="3">
        <f t="shared" si="28"/>
        <v>1.3989571410403445E-3</v>
      </c>
      <c r="F942" s="106">
        <v>45674</v>
      </c>
      <c r="G942" s="107">
        <v>23203.19921875</v>
      </c>
      <c r="H942" s="110">
        <f t="shared" si="29"/>
        <v>-4.6586517926727362E-3</v>
      </c>
    </row>
    <row r="943" spans="2:8" ht="14.25" customHeight="1" x14ac:dyDescent="0.3">
      <c r="B943" s="105" t="s">
        <v>1185</v>
      </c>
      <c r="C943" s="105">
        <v>401.55</v>
      </c>
      <c r="D943" s="3">
        <f t="shared" si="28"/>
        <v>1.9939039878079816E-2</v>
      </c>
      <c r="F943" s="106">
        <v>45677</v>
      </c>
      <c r="G943" s="107">
        <v>23344.75</v>
      </c>
      <c r="H943" s="109">
        <f t="shared" si="29"/>
        <v>6.1004855371674738E-3</v>
      </c>
    </row>
    <row r="944" spans="2:8" ht="14.25" customHeight="1" x14ac:dyDescent="0.3">
      <c r="B944" s="105" t="s">
        <v>1186</v>
      </c>
      <c r="C944" s="105">
        <v>390.55</v>
      </c>
      <c r="D944" s="3">
        <f t="shared" si="28"/>
        <v>-2.7393848835761424E-2</v>
      </c>
      <c r="F944" s="106">
        <v>45678</v>
      </c>
      <c r="G944" s="107">
        <v>23024.650390625</v>
      </c>
      <c r="H944" s="110">
        <f t="shared" si="29"/>
        <v>-1.371184567729361E-2</v>
      </c>
    </row>
    <row r="945" spans="2:8" ht="14.25" customHeight="1" x14ac:dyDescent="0.3">
      <c r="B945" s="105" t="s">
        <v>1187</v>
      </c>
      <c r="C945" s="105">
        <v>388.05</v>
      </c>
      <c r="D945" s="3">
        <f t="shared" si="28"/>
        <v>-6.4012290359749067E-3</v>
      </c>
      <c r="F945" s="106">
        <v>45679</v>
      </c>
      <c r="G945" s="107">
        <v>23155.349609375</v>
      </c>
      <c r="H945" s="109">
        <f t="shared" si="29"/>
        <v>5.6764909144165375E-3</v>
      </c>
    </row>
    <row r="946" spans="2:8" ht="14.25" customHeight="1" x14ac:dyDescent="0.3">
      <c r="B946" s="105" t="s">
        <v>1188</v>
      </c>
      <c r="C946" s="105">
        <v>397.3</v>
      </c>
      <c r="D946" s="3">
        <f t="shared" si="28"/>
        <v>2.3837134389898207E-2</v>
      </c>
      <c r="F946" s="106">
        <v>45680</v>
      </c>
      <c r="G946" s="107">
        <v>23205.349609375</v>
      </c>
      <c r="H946" s="110">
        <f t="shared" si="29"/>
        <v>2.1593282262409156E-3</v>
      </c>
    </row>
    <row r="947" spans="2:8" ht="14.25" customHeight="1" x14ac:dyDescent="0.3">
      <c r="B947" s="105" t="s">
        <v>1189</v>
      </c>
      <c r="C947" s="105">
        <v>388.25</v>
      </c>
      <c r="D947" s="3">
        <f t="shared" si="28"/>
        <v>-2.2778756607097939E-2</v>
      </c>
      <c r="F947" s="106">
        <v>45681</v>
      </c>
      <c r="G947" s="107">
        <v>23092.19921875</v>
      </c>
      <c r="H947" s="109">
        <f t="shared" si="29"/>
        <v>-4.8760476583936943E-3</v>
      </c>
    </row>
    <row r="948" spans="2:8" ht="14.25" customHeight="1" x14ac:dyDescent="0.3">
      <c r="B948" s="105" t="s">
        <v>1190</v>
      </c>
      <c r="C948" s="105">
        <v>370.25</v>
      </c>
      <c r="D948" s="3">
        <f t="shared" si="28"/>
        <v>-4.6361880231809399E-2</v>
      </c>
      <c r="F948" s="106">
        <v>45684</v>
      </c>
      <c r="G948" s="107">
        <v>22829.150390625</v>
      </c>
      <c r="H948" s="110">
        <f t="shared" si="29"/>
        <v>-1.1391241935562993E-2</v>
      </c>
    </row>
    <row r="949" spans="2:8" ht="14.25" customHeight="1" x14ac:dyDescent="0.3">
      <c r="B949" s="105" t="s">
        <v>1191</v>
      </c>
      <c r="C949" s="105">
        <v>359.9</v>
      </c>
      <c r="D949" s="3">
        <f t="shared" si="28"/>
        <v>-2.7954085077650299E-2</v>
      </c>
      <c r="F949" s="106">
        <v>45685</v>
      </c>
      <c r="G949" s="107">
        <v>22957.25</v>
      </c>
      <c r="H949" s="109">
        <f t="shared" si="29"/>
        <v>5.6112298172780566E-3</v>
      </c>
    </row>
    <row r="950" spans="2:8" ht="14.25" customHeight="1" x14ac:dyDescent="0.3">
      <c r="B950" s="105" t="s">
        <v>1192</v>
      </c>
      <c r="C950" s="105">
        <v>355.7</v>
      </c>
      <c r="D950" s="3">
        <f t="shared" si="28"/>
        <v>-1.1669908307863264E-2</v>
      </c>
      <c r="F950" s="106">
        <v>45686</v>
      </c>
      <c r="G950" s="107">
        <v>23163.099609375</v>
      </c>
      <c r="H950" s="110">
        <f t="shared" si="29"/>
        <v>8.9666492883511747E-3</v>
      </c>
    </row>
    <row r="951" spans="2:8" ht="14.25" customHeight="1" x14ac:dyDescent="0.3">
      <c r="B951" s="105" t="s">
        <v>1193</v>
      </c>
      <c r="C951" s="105">
        <v>357</v>
      </c>
      <c r="D951" s="3">
        <f t="shared" si="28"/>
        <v>3.654765251616563E-3</v>
      </c>
      <c r="F951" s="106">
        <v>45687</v>
      </c>
      <c r="G951" s="107">
        <v>23249.5</v>
      </c>
      <c r="H951" s="109">
        <f t="shared" si="29"/>
        <v>3.7300875997627893E-3</v>
      </c>
    </row>
    <row r="952" spans="2:8" ht="14.25" customHeight="1" x14ac:dyDescent="0.3">
      <c r="B952" s="105" t="s">
        <v>1194</v>
      </c>
      <c r="C952" s="105">
        <v>362.55</v>
      </c>
      <c r="D952" s="3">
        <f t="shared" si="28"/>
        <v>1.5546218487394989E-2</v>
      </c>
      <c r="F952" s="106">
        <v>45688</v>
      </c>
      <c r="G952" s="107">
        <v>23508.400390625</v>
      </c>
      <c r="H952" s="110">
        <f t="shared" si="29"/>
        <v>1.1135740150325814E-2</v>
      </c>
    </row>
    <row r="953" spans="2:8" ht="14.25" customHeight="1" x14ac:dyDescent="0.3">
      <c r="B953" s="105" t="s">
        <v>1195</v>
      </c>
      <c r="C953" s="105">
        <v>370.45</v>
      </c>
      <c r="D953" s="3">
        <f t="shared" si="28"/>
        <v>2.1790097917528554E-2</v>
      </c>
      <c r="F953" s="106">
        <v>45689</v>
      </c>
      <c r="G953" s="107">
        <v>23482.150390625</v>
      </c>
      <c r="H953" s="109">
        <f t="shared" si="29"/>
        <v>-1.1166221250199708E-3</v>
      </c>
    </row>
    <row r="954" spans="2:8" ht="14.25" customHeight="1" x14ac:dyDescent="0.3">
      <c r="B954" s="105" t="s">
        <v>1196</v>
      </c>
      <c r="C954" s="105">
        <v>364.45</v>
      </c>
      <c r="D954" s="3">
        <f t="shared" si="28"/>
        <v>-1.6196517748684032E-2</v>
      </c>
      <c r="F954" s="106">
        <v>45691</v>
      </c>
      <c r="G954" s="107">
        <v>23361.05078125</v>
      </c>
      <c r="H954" s="110">
        <f t="shared" si="29"/>
        <v>-5.1570919766934014E-3</v>
      </c>
    </row>
    <row r="955" spans="2:8" ht="14.25" customHeight="1" x14ac:dyDescent="0.3">
      <c r="B955" s="105" t="s">
        <v>1197</v>
      </c>
      <c r="C955" s="105">
        <v>371.05</v>
      </c>
      <c r="D955" s="3">
        <f t="shared" si="28"/>
        <v>1.8109480038414113E-2</v>
      </c>
      <c r="F955" s="106">
        <v>45692</v>
      </c>
      <c r="G955" s="107">
        <v>23739.25</v>
      </c>
      <c r="H955" s="109">
        <f t="shared" si="29"/>
        <v>1.6189306820631095E-2</v>
      </c>
    </row>
    <row r="956" spans="2:8" ht="14.25" customHeight="1" x14ac:dyDescent="0.3">
      <c r="B956" s="105" t="s">
        <v>1198</v>
      </c>
      <c r="C956" s="105">
        <v>390.25</v>
      </c>
      <c r="D956" s="3">
        <f t="shared" si="28"/>
        <v>5.1745047837218672E-2</v>
      </c>
      <c r="F956" s="106">
        <v>45693</v>
      </c>
      <c r="G956" s="107">
        <v>23696.30078125</v>
      </c>
      <c r="H956" s="110">
        <f t="shared" si="29"/>
        <v>-1.8092070621439178E-3</v>
      </c>
    </row>
    <row r="957" spans="2:8" ht="14.25" customHeight="1" x14ac:dyDescent="0.3">
      <c r="B957" s="105" t="s">
        <v>1199</v>
      </c>
      <c r="C957" s="105">
        <v>396.95</v>
      </c>
      <c r="D957" s="3">
        <f t="shared" si="28"/>
        <v>1.7168481742472746E-2</v>
      </c>
      <c r="F957" s="106">
        <v>45694</v>
      </c>
      <c r="G957" s="107">
        <v>23603.349609375</v>
      </c>
      <c r="H957" s="109">
        <f t="shared" si="29"/>
        <v>-3.9226026346082174E-3</v>
      </c>
    </row>
    <row r="958" spans="2:8" ht="14.25" customHeight="1" x14ac:dyDescent="0.3">
      <c r="B958" s="105" t="s">
        <v>1200</v>
      </c>
      <c r="C958" s="105">
        <v>386.8</v>
      </c>
      <c r="D958" s="3">
        <f t="shared" si="28"/>
        <v>-2.5569971029096809E-2</v>
      </c>
      <c r="F958" s="106">
        <v>45695</v>
      </c>
      <c r="G958" s="107">
        <v>23559.94921875</v>
      </c>
      <c r="H958" s="110">
        <f t="shared" si="29"/>
        <v>-1.8387386257991884E-3</v>
      </c>
    </row>
    <row r="959" spans="2:8" ht="14.25" customHeight="1" x14ac:dyDescent="0.3">
      <c r="B959" s="105" t="s">
        <v>1201</v>
      </c>
      <c r="C959" s="105">
        <v>377.15</v>
      </c>
      <c r="D959" s="3">
        <f t="shared" si="28"/>
        <v>-2.4948293691830492E-2</v>
      </c>
      <c r="F959" s="106">
        <v>45698</v>
      </c>
      <c r="G959" s="107">
        <v>23381.599609375</v>
      </c>
      <c r="H959" s="109">
        <f t="shared" si="29"/>
        <v>-7.5700336923078711E-3</v>
      </c>
    </row>
    <row r="960" spans="2:8" ht="14.25" customHeight="1" x14ac:dyDescent="0.3">
      <c r="B960" s="105" t="s">
        <v>1202</v>
      </c>
      <c r="C960" s="105">
        <v>362</v>
      </c>
      <c r="D960" s="3">
        <f t="shared" si="28"/>
        <v>-4.0169693755800019E-2</v>
      </c>
      <c r="F960" s="106">
        <v>45699</v>
      </c>
      <c r="G960" s="107">
        <v>23071.80078125</v>
      </c>
      <c r="H960" s="110">
        <f t="shared" si="29"/>
        <v>-1.3249684936046216E-2</v>
      </c>
    </row>
    <row r="961" spans="2:8" ht="14.25" customHeight="1" x14ac:dyDescent="0.3">
      <c r="B961" s="105" t="s">
        <v>1203</v>
      </c>
      <c r="C961" s="105">
        <v>355.95</v>
      </c>
      <c r="D961" s="3">
        <f t="shared" si="28"/>
        <v>-1.6712707182320475E-2</v>
      </c>
      <c r="F961" s="106">
        <v>45700</v>
      </c>
      <c r="G961" s="107">
        <v>23045.25</v>
      </c>
      <c r="H961" s="109">
        <f t="shared" si="29"/>
        <v>-1.1507892904301298E-3</v>
      </c>
    </row>
    <row r="962" spans="2:8" ht="14.25" customHeight="1" x14ac:dyDescent="0.3">
      <c r="B962" s="105" t="s">
        <v>1204</v>
      </c>
      <c r="C962" s="105">
        <v>359.3</v>
      </c>
      <c r="D962" s="3">
        <f t="shared" si="28"/>
        <v>9.4114341901953159E-3</v>
      </c>
      <c r="F962" s="106">
        <v>45701</v>
      </c>
      <c r="G962" s="107">
        <v>23031.400390625</v>
      </c>
      <c r="H962" s="110">
        <f t="shared" si="29"/>
        <v>-6.0097457719052736E-4</v>
      </c>
    </row>
    <row r="963" spans="2:8" ht="14.25" customHeight="1" x14ac:dyDescent="0.3">
      <c r="B963" s="105" t="s">
        <v>1205</v>
      </c>
      <c r="C963" s="105">
        <v>349.35</v>
      </c>
      <c r="D963" s="3">
        <f t="shared" si="28"/>
        <v>-2.7692735875313075E-2</v>
      </c>
      <c r="F963" s="106">
        <v>45702</v>
      </c>
      <c r="G963" s="107">
        <v>22929.25</v>
      </c>
      <c r="H963" s="109">
        <f t="shared" si="29"/>
        <v>-4.4352661537064254E-3</v>
      </c>
    </row>
    <row r="964" spans="2:8" ht="14.25" customHeight="1" x14ac:dyDescent="0.3">
      <c r="B964" s="105" t="s">
        <v>1206</v>
      </c>
      <c r="C964" s="105">
        <v>347.55</v>
      </c>
      <c r="D964" s="3">
        <f t="shared" si="28"/>
        <v>-5.1524259338772329E-3</v>
      </c>
      <c r="F964" s="106">
        <v>45705</v>
      </c>
      <c r="G964" s="107">
        <v>22959.5</v>
      </c>
      <c r="H964" s="110">
        <f t="shared" si="29"/>
        <v>1.3192755977626831E-3</v>
      </c>
    </row>
    <row r="965" spans="2:8" ht="14.25" customHeight="1" x14ac:dyDescent="0.3">
      <c r="B965" s="105" t="s">
        <v>1207</v>
      </c>
      <c r="C965" s="105">
        <v>338.2</v>
      </c>
      <c r="D965" s="3">
        <f t="shared" ref="D965:D1028" si="30">(C965-C964)/C964</f>
        <v>-2.690260394187893E-2</v>
      </c>
      <c r="F965" s="106">
        <v>45706</v>
      </c>
      <c r="G965" s="107">
        <v>22945.30078125</v>
      </c>
      <c r="H965" s="109">
        <f t="shared" ref="H965:H1028" si="31">(G965-G964)/G964</f>
        <v>-6.1844634029486708E-4</v>
      </c>
    </row>
    <row r="966" spans="2:8" ht="14.25" customHeight="1" x14ac:dyDescent="0.3">
      <c r="B966" s="105" t="s">
        <v>1208</v>
      </c>
      <c r="C966" s="105">
        <v>336.8</v>
      </c>
      <c r="D966" s="3">
        <f t="shared" si="30"/>
        <v>-4.1395623891187974E-3</v>
      </c>
      <c r="F966" s="106">
        <v>45707</v>
      </c>
      <c r="G966" s="107">
        <v>22932.900390625</v>
      </c>
      <c r="H966" s="110">
        <f t="shared" si="31"/>
        <v>-5.4043269004052947E-4</v>
      </c>
    </row>
    <row r="967" spans="2:8" ht="14.25" customHeight="1" x14ac:dyDescent="0.3">
      <c r="B967" s="105" t="s">
        <v>1209</v>
      </c>
      <c r="C967" s="105">
        <v>336</v>
      </c>
      <c r="D967" s="3">
        <f t="shared" si="30"/>
        <v>-2.3752969121140478E-3</v>
      </c>
      <c r="F967" s="106">
        <v>45708</v>
      </c>
      <c r="G967" s="107">
        <v>22913.150390625</v>
      </c>
      <c r="H967" s="109">
        <f t="shared" si="31"/>
        <v>-8.6120811862392364E-4</v>
      </c>
    </row>
    <row r="968" spans="2:8" ht="14.25" customHeight="1" x14ac:dyDescent="0.3">
      <c r="B968" s="105" t="s">
        <v>1210</v>
      </c>
      <c r="C968" s="105">
        <v>322.5</v>
      </c>
      <c r="D968" s="3">
        <f t="shared" si="30"/>
        <v>-4.0178571428571432E-2</v>
      </c>
      <c r="F968" s="106">
        <v>45709</v>
      </c>
      <c r="G968" s="107">
        <v>22795.900390625</v>
      </c>
      <c r="H968" s="110">
        <f t="shared" si="31"/>
        <v>-5.1171487988824647E-3</v>
      </c>
    </row>
    <row r="969" spans="2:8" ht="14.25" customHeight="1" x14ac:dyDescent="0.3">
      <c r="B969" s="105" t="s">
        <v>1211</v>
      </c>
      <c r="C969" s="105">
        <v>320.85000000000002</v>
      </c>
      <c r="D969" s="3">
        <f t="shared" si="30"/>
        <v>-5.1162790697673712E-3</v>
      </c>
      <c r="F969" s="106">
        <v>45712</v>
      </c>
      <c r="G969" s="107">
        <v>22553.349609375</v>
      </c>
      <c r="H969" s="109">
        <f t="shared" si="31"/>
        <v>-1.0640105330068515E-2</v>
      </c>
    </row>
    <row r="970" spans="2:8" ht="14.25" customHeight="1" x14ac:dyDescent="0.3">
      <c r="B970" s="105" t="s">
        <v>1212</v>
      </c>
      <c r="C970" s="105">
        <v>321.2</v>
      </c>
      <c r="D970" s="3">
        <f t="shared" si="30"/>
        <v>1.0908524232506338E-3</v>
      </c>
      <c r="F970" s="106">
        <v>45713</v>
      </c>
      <c r="G970" s="107">
        <v>22547.55078125</v>
      </c>
      <c r="H970" s="110">
        <f t="shared" si="31"/>
        <v>-2.5711604818955748E-4</v>
      </c>
    </row>
    <row r="971" spans="2:8" ht="14.25" customHeight="1" x14ac:dyDescent="0.3">
      <c r="B971" s="105" t="s">
        <v>1213</v>
      </c>
      <c r="C971" s="105">
        <v>311.85000000000002</v>
      </c>
      <c r="D971" s="3">
        <f t="shared" si="30"/>
        <v>-2.9109589041095785E-2</v>
      </c>
      <c r="F971" s="106">
        <v>45715</v>
      </c>
      <c r="G971" s="107">
        <v>22545.05078125</v>
      </c>
      <c r="H971" s="109">
        <f t="shared" si="31"/>
        <v>-1.1087678764998901E-4</v>
      </c>
    </row>
    <row r="972" spans="2:8" ht="14.25" customHeight="1" x14ac:dyDescent="0.3">
      <c r="B972" s="105" t="s">
        <v>1214</v>
      </c>
      <c r="C972" s="105">
        <v>302.45</v>
      </c>
      <c r="D972" s="3">
        <f t="shared" si="30"/>
        <v>-3.0142696809363583E-2</v>
      </c>
      <c r="F972" s="106">
        <v>45716</v>
      </c>
      <c r="G972" s="107">
        <v>22124.69921875</v>
      </c>
      <c r="H972" s="110">
        <f t="shared" si="31"/>
        <v>-1.8644959666695139E-2</v>
      </c>
    </row>
    <row r="973" spans="2:8" ht="14.25" customHeight="1" x14ac:dyDescent="0.3">
      <c r="B973" s="105" t="s">
        <v>1215</v>
      </c>
      <c r="C973" s="105">
        <v>305.05</v>
      </c>
      <c r="D973" s="3">
        <f t="shared" si="30"/>
        <v>8.5964622251612586E-3</v>
      </c>
      <c r="F973" s="106">
        <v>45719</v>
      </c>
      <c r="G973" s="107">
        <v>22119.30078125</v>
      </c>
      <c r="H973" s="109">
        <f t="shared" si="31"/>
        <v>-2.4400049223833022E-4</v>
      </c>
    </row>
    <row r="974" spans="2:8" ht="14.25" customHeight="1" x14ac:dyDescent="0.3">
      <c r="B974" s="105" t="s">
        <v>1216</v>
      </c>
      <c r="C974" s="105">
        <v>314.8</v>
      </c>
      <c r="D974" s="3">
        <f t="shared" si="30"/>
        <v>3.1961973446975905E-2</v>
      </c>
      <c r="F974" s="106">
        <v>45720</v>
      </c>
      <c r="G974" s="107">
        <v>22082.650390625</v>
      </c>
      <c r="H974" s="110">
        <f t="shared" si="31"/>
        <v>-1.6569416451024373E-3</v>
      </c>
    </row>
    <row r="975" spans="2:8" ht="14.25" customHeight="1" x14ac:dyDescent="0.3">
      <c r="B975" s="105" t="s">
        <v>1217</v>
      </c>
      <c r="C975" s="105">
        <v>324.85000000000002</v>
      </c>
      <c r="D975" s="3">
        <f t="shared" si="30"/>
        <v>3.1925031766200797E-2</v>
      </c>
      <c r="F975" s="106">
        <v>45721</v>
      </c>
      <c r="G975" s="107">
        <v>22337.30078125</v>
      </c>
      <c r="H975" s="109">
        <f t="shared" si="31"/>
        <v>1.153169506922546E-2</v>
      </c>
    </row>
    <row r="976" spans="2:8" ht="14.25" customHeight="1" x14ac:dyDescent="0.3">
      <c r="B976" s="105" t="s">
        <v>1218</v>
      </c>
      <c r="C976" s="105">
        <v>333</v>
      </c>
      <c r="D976" s="3">
        <f t="shared" si="30"/>
        <v>2.5088502385716412E-2</v>
      </c>
      <c r="F976" s="106">
        <v>45722</v>
      </c>
      <c r="G976" s="107">
        <v>22544.69921875</v>
      </c>
      <c r="H976" s="110">
        <f t="shared" si="31"/>
        <v>9.2848477768670643E-3</v>
      </c>
    </row>
    <row r="977" spans="2:8" ht="14.25" customHeight="1" x14ac:dyDescent="0.3">
      <c r="B977" s="105" t="s">
        <v>1219</v>
      </c>
      <c r="C977" s="105">
        <v>333.7</v>
      </c>
      <c r="D977" s="3">
        <f t="shared" si="30"/>
        <v>2.1021021021020679E-3</v>
      </c>
      <c r="F977" s="106">
        <v>45723</v>
      </c>
      <c r="G977" s="107">
        <v>22552.5</v>
      </c>
      <c r="H977" s="109">
        <f t="shared" si="31"/>
        <v>3.4601398645018238E-4</v>
      </c>
    </row>
    <row r="978" spans="2:8" ht="14.25" customHeight="1" x14ac:dyDescent="0.3">
      <c r="B978" s="105" t="s">
        <v>1220</v>
      </c>
      <c r="C978" s="105">
        <v>328.15</v>
      </c>
      <c r="D978" s="3">
        <f t="shared" si="30"/>
        <v>-1.6631705124363235E-2</v>
      </c>
      <c r="F978" s="106">
        <v>45726</v>
      </c>
      <c r="G978" s="107">
        <v>22460.30078125</v>
      </c>
      <c r="H978" s="110">
        <f t="shared" si="31"/>
        <v>-4.0882039130916746E-3</v>
      </c>
    </row>
    <row r="979" spans="2:8" ht="14.25" customHeight="1" x14ac:dyDescent="0.3">
      <c r="B979" s="105" t="s">
        <v>1221</v>
      </c>
      <c r="C979" s="105">
        <v>328.9</v>
      </c>
      <c r="D979" s="3">
        <f t="shared" si="30"/>
        <v>2.2855401493219567E-3</v>
      </c>
      <c r="F979" s="106">
        <v>45727</v>
      </c>
      <c r="G979" s="107">
        <v>22497.900390625</v>
      </c>
      <c r="H979" s="109">
        <f t="shared" si="31"/>
        <v>1.6740474556061328E-3</v>
      </c>
    </row>
    <row r="980" spans="2:8" ht="14.25" customHeight="1" x14ac:dyDescent="0.3">
      <c r="B980" s="105" t="s">
        <v>1222</v>
      </c>
      <c r="C980" s="105">
        <v>325.10000000000002</v>
      </c>
      <c r="D980" s="3">
        <f t="shared" si="30"/>
        <v>-1.1553663727576633E-2</v>
      </c>
      <c r="F980" s="106">
        <v>45728</v>
      </c>
      <c r="G980" s="107">
        <v>22470.5</v>
      </c>
      <c r="H980" s="110">
        <f t="shared" si="31"/>
        <v>-1.217908789231634E-3</v>
      </c>
    </row>
    <row r="981" spans="2:8" ht="14.25" customHeight="1" x14ac:dyDescent="0.3">
      <c r="B981" s="105" t="s">
        <v>1223</v>
      </c>
      <c r="C981" s="105">
        <v>323.05</v>
      </c>
      <c r="D981" s="3">
        <f t="shared" si="30"/>
        <v>-6.3057520762842545E-3</v>
      </c>
      <c r="F981" s="106">
        <v>45729</v>
      </c>
      <c r="G981" s="107">
        <v>22397.19921875</v>
      </c>
      <c r="H981" s="109">
        <f t="shared" si="31"/>
        <v>-3.2620894617387242E-3</v>
      </c>
    </row>
    <row r="982" spans="2:8" ht="14.25" customHeight="1" x14ac:dyDescent="0.3">
      <c r="B982" s="105" t="s">
        <v>1224</v>
      </c>
      <c r="C982" s="105">
        <v>333.25</v>
      </c>
      <c r="D982" s="3">
        <f t="shared" si="30"/>
        <v>3.1574059743073792E-2</v>
      </c>
      <c r="F982" s="106">
        <v>45733</v>
      </c>
      <c r="G982" s="107">
        <v>22508.75</v>
      </c>
      <c r="H982" s="110">
        <f t="shared" si="31"/>
        <v>4.9805683362683286E-3</v>
      </c>
    </row>
    <row r="983" spans="2:8" ht="14.25" customHeight="1" x14ac:dyDescent="0.3">
      <c r="B983" s="105" t="s">
        <v>1225</v>
      </c>
      <c r="C983" s="105">
        <v>333.25</v>
      </c>
      <c r="D983" s="3">
        <f t="shared" si="30"/>
        <v>0</v>
      </c>
      <c r="F983" s="106">
        <v>45734</v>
      </c>
      <c r="G983" s="107">
        <v>22834.30078125</v>
      </c>
      <c r="H983" s="109">
        <f t="shared" si="31"/>
        <v>1.4463298994835342E-2</v>
      </c>
    </row>
    <row r="984" spans="2:8" ht="14.25" customHeight="1" x14ac:dyDescent="0.3">
      <c r="B984" s="105" t="s">
        <v>1226</v>
      </c>
      <c r="C984" s="105">
        <v>341.9</v>
      </c>
      <c r="D984" s="3">
        <f t="shared" si="30"/>
        <v>2.5956489122280501E-2</v>
      </c>
      <c r="F984" s="106">
        <v>45735</v>
      </c>
      <c r="G984" s="107">
        <v>22907.599609375</v>
      </c>
      <c r="H984" s="110">
        <f t="shared" si="31"/>
        <v>3.2100316461272198E-3</v>
      </c>
    </row>
    <row r="985" spans="2:8" ht="14.25" customHeight="1" x14ac:dyDescent="0.3">
      <c r="B985" s="105" t="s">
        <v>1227</v>
      </c>
      <c r="C985" s="105">
        <v>341.1</v>
      </c>
      <c r="D985" s="3">
        <f t="shared" si="30"/>
        <v>-2.3398654577360474E-3</v>
      </c>
      <c r="F985" s="106">
        <v>45736</v>
      </c>
      <c r="G985" s="107">
        <v>23190.650390625</v>
      </c>
      <c r="H985" s="109">
        <f t="shared" si="31"/>
        <v>1.2356195589090036E-2</v>
      </c>
    </row>
    <row r="986" spans="2:8" ht="14.25" customHeight="1" x14ac:dyDescent="0.3">
      <c r="B986" s="105" t="s">
        <v>1228</v>
      </c>
      <c r="C986" s="105">
        <v>344.1</v>
      </c>
      <c r="D986" s="3">
        <f t="shared" si="30"/>
        <v>8.7950747581354433E-3</v>
      </c>
      <c r="F986" s="106">
        <v>45737</v>
      </c>
      <c r="G986" s="107">
        <v>23350.400390625</v>
      </c>
      <c r="H986" s="110">
        <f t="shared" si="31"/>
        <v>6.8885519512889631E-3</v>
      </c>
    </row>
    <row r="987" spans="2:8" ht="14.25" customHeight="1" x14ac:dyDescent="0.3">
      <c r="B987" s="105" t="s">
        <v>1229</v>
      </c>
      <c r="C987" s="105">
        <v>349.3</v>
      </c>
      <c r="D987" s="3">
        <f t="shared" si="30"/>
        <v>1.5111886079627981E-2</v>
      </c>
      <c r="F987" s="106">
        <v>45740</v>
      </c>
      <c r="G987" s="107">
        <v>23658.349609375</v>
      </c>
      <c r="H987" s="109">
        <f t="shared" si="31"/>
        <v>1.3188177230298765E-2</v>
      </c>
    </row>
    <row r="988" spans="2:8" ht="14.25" customHeight="1" x14ac:dyDescent="0.3">
      <c r="B988" s="105" t="s">
        <v>1230</v>
      </c>
      <c r="C988" s="105">
        <v>348.15</v>
      </c>
      <c r="D988" s="3">
        <f t="shared" si="30"/>
        <v>-3.2922988834813457E-3</v>
      </c>
      <c r="F988" s="106">
        <v>45741</v>
      </c>
      <c r="G988" s="107">
        <v>23668.650390625</v>
      </c>
      <c r="H988" s="110">
        <f t="shared" si="31"/>
        <v>4.3539728764165997E-4</v>
      </c>
    </row>
    <row r="989" spans="2:8" ht="14.25" customHeight="1" x14ac:dyDescent="0.3">
      <c r="B989" s="105" t="s">
        <v>1231</v>
      </c>
      <c r="C989" s="105">
        <v>348.3</v>
      </c>
      <c r="D989" s="3">
        <f t="shared" si="30"/>
        <v>4.3084877208109757E-4</v>
      </c>
      <c r="F989" s="106">
        <v>45742</v>
      </c>
      <c r="G989" s="107">
        <v>23486.849609375</v>
      </c>
      <c r="H989" s="109">
        <f t="shared" si="31"/>
        <v>-7.6810793285454976E-3</v>
      </c>
    </row>
    <row r="990" spans="2:8" ht="14.25" customHeight="1" x14ac:dyDescent="0.3">
      <c r="B990" s="105" t="s">
        <v>1232</v>
      </c>
      <c r="C990" s="105">
        <v>345.55</v>
      </c>
      <c r="D990" s="3">
        <f t="shared" si="30"/>
        <v>-7.8954923916164221E-3</v>
      </c>
      <c r="F990" s="106">
        <v>45743</v>
      </c>
      <c r="G990" s="107">
        <v>23591.94921875</v>
      </c>
      <c r="H990" s="110">
        <f t="shared" si="31"/>
        <v>4.4748278770026483E-3</v>
      </c>
    </row>
    <row r="991" spans="2:8" ht="14.25" customHeight="1" x14ac:dyDescent="0.3">
      <c r="B991" s="105" t="s">
        <v>1233</v>
      </c>
      <c r="C991" s="105">
        <v>341.7</v>
      </c>
      <c r="D991" s="3">
        <f t="shared" si="30"/>
        <v>-1.114165822601656E-2</v>
      </c>
      <c r="F991" s="106">
        <v>45744</v>
      </c>
      <c r="G991" s="107">
        <v>23519.349609375</v>
      </c>
      <c r="H991" s="109">
        <f t="shared" si="31"/>
        <v>-3.0773044101544836E-3</v>
      </c>
    </row>
    <row r="992" spans="2:8" ht="14.25" customHeight="1" x14ac:dyDescent="0.3">
      <c r="B992" s="105" t="s">
        <v>1234</v>
      </c>
      <c r="C992" s="105">
        <v>339.1</v>
      </c>
      <c r="D992" s="3">
        <f t="shared" si="30"/>
        <v>-7.6090137547555337E-3</v>
      </c>
      <c r="F992" s="106">
        <v>45748</v>
      </c>
      <c r="G992" s="107">
        <v>23165.69921875</v>
      </c>
      <c r="H992" s="110">
        <f t="shared" si="31"/>
        <v>-1.5036571865236959E-2</v>
      </c>
    </row>
    <row r="993" spans="2:8" ht="14.25" customHeight="1" x14ac:dyDescent="0.3">
      <c r="B993" s="105" t="s">
        <v>1235</v>
      </c>
      <c r="C993" s="105">
        <v>342.05</v>
      </c>
      <c r="D993" s="3">
        <f t="shared" si="30"/>
        <v>8.6994986729577953E-3</v>
      </c>
      <c r="F993" s="106">
        <v>45749</v>
      </c>
      <c r="G993" s="107">
        <v>23332.349609375</v>
      </c>
      <c r="H993" s="109">
        <f t="shared" si="31"/>
        <v>7.1938424586863083E-3</v>
      </c>
    </row>
    <row r="994" spans="2:8" ht="14.25" customHeight="1" x14ac:dyDescent="0.3">
      <c r="B994" s="105" t="s">
        <v>1236</v>
      </c>
      <c r="C994" s="105">
        <v>345.75</v>
      </c>
      <c r="D994" s="3">
        <f t="shared" si="30"/>
        <v>1.0817131998245837E-2</v>
      </c>
      <c r="F994" s="106">
        <v>45750</v>
      </c>
      <c r="G994" s="107">
        <v>23250.099609375</v>
      </c>
      <c r="H994" s="110">
        <f t="shared" si="31"/>
        <v>-3.5251486188494162E-3</v>
      </c>
    </row>
    <row r="995" spans="2:8" ht="14.25" customHeight="1" x14ac:dyDescent="0.3">
      <c r="B995" s="105" t="s">
        <v>1237</v>
      </c>
      <c r="C995" s="105">
        <v>327.8</v>
      </c>
      <c r="D995" s="3">
        <f t="shared" si="30"/>
        <v>-5.1916124367317393E-2</v>
      </c>
      <c r="F995" s="106">
        <v>45751</v>
      </c>
      <c r="G995" s="107">
        <v>22904.44921875</v>
      </c>
      <c r="H995" s="109">
        <f t="shared" si="31"/>
        <v>-1.4866619775066488E-2</v>
      </c>
    </row>
    <row r="996" spans="2:8" ht="14.25" customHeight="1" x14ac:dyDescent="0.3">
      <c r="B996" s="105" t="s">
        <v>1238</v>
      </c>
      <c r="C996" s="105">
        <v>307.5</v>
      </c>
      <c r="D996" s="3">
        <f t="shared" si="30"/>
        <v>-6.1928004881025046E-2</v>
      </c>
      <c r="F996" s="106">
        <v>45754</v>
      </c>
      <c r="G996" s="107">
        <v>22161.599609375</v>
      </c>
      <c r="H996" s="110">
        <f t="shared" si="31"/>
        <v>-3.2432546283055336E-2</v>
      </c>
    </row>
    <row r="997" spans="2:8" ht="14.25" customHeight="1" x14ac:dyDescent="0.3">
      <c r="B997" s="105" t="s">
        <v>1239</v>
      </c>
      <c r="C997" s="105">
        <v>322.3</v>
      </c>
      <c r="D997" s="3">
        <f t="shared" si="30"/>
        <v>4.8130081300813046E-2</v>
      </c>
      <c r="F997" s="106">
        <v>45755</v>
      </c>
      <c r="G997" s="107">
        <v>22535.849609375</v>
      </c>
      <c r="H997" s="109">
        <f t="shared" si="31"/>
        <v>1.688731890281428E-2</v>
      </c>
    </row>
    <row r="998" spans="2:8" ht="14.25" customHeight="1" x14ac:dyDescent="0.3">
      <c r="B998" s="105" t="s">
        <v>1240</v>
      </c>
      <c r="C998" s="105">
        <v>306.3</v>
      </c>
      <c r="D998" s="3">
        <f t="shared" si="30"/>
        <v>-4.9643189574930184E-2</v>
      </c>
      <c r="F998" s="106">
        <v>45756</v>
      </c>
      <c r="G998" s="107">
        <v>22399.150390625</v>
      </c>
      <c r="H998" s="110">
        <f t="shared" si="31"/>
        <v>-6.0658560080704745E-3</v>
      </c>
    </row>
    <row r="999" spans="2:8" ht="14.25" customHeight="1" x14ac:dyDescent="0.3">
      <c r="B999" s="105" t="s">
        <v>1241</v>
      </c>
      <c r="C999" s="105">
        <v>316.55</v>
      </c>
      <c r="D999" s="3">
        <f t="shared" si="30"/>
        <v>3.3463924257264119E-2</v>
      </c>
      <c r="F999" s="106">
        <v>45758</v>
      </c>
      <c r="G999" s="107">
        <v>22828.55078125</v>
      </c>
      <c r="H999" s="109">
        <f t="shared" si="31"/>
        <v>1.9170387409190411E-2</v>
      </c>
    </row>
    <row r="1000" spans="2:8" ht="14.25" customHeight="1" x14ac:dyDescent="0.3">
      <c r="B1000" s="105" t="s">
        <v>1242</v>
      </c>
      <c r="C1000" s="105">
        <v>328.85</v>
      </c>
      <c r="D1000" s="3">
        <f t="shared" si="30"/>
        <v>3.8856420786605624E-2</v>
      </c>
      <c r="F1000" s="106">
        <v>45762</v>
      </c>
      <c r="G1000" s="107">
        <v>23328.55078125</v>
      </c>
      <c r="H1000" s="110">
        <f t="shared" si="31"/>
        <v>2.1902397782108445E-2</v>
      </c>
    </row>
    <row r="1001" spans="2:8" ht="14.25" customHeight="1" x14ac:dyDescent="0.3">
      <c r="B1001" s="105" t="s">
        <v>1243</v>
      </c>
      <c r="C1001" s="105">
        <v>329.15</v>
      </c>
      <c r="D1001" s="3">
        <f t="shared" si="30"/>
        <v>9.1227003192931278E-4</v>
      </c>
      <c r="F1001" s="106">
        <v>45763</v>
      </c>
      <c r="G1001" s="107">
        <v>23437.19921875</v>
      </c>
      <c r="H1001" s="109">
        <f t="shared" si="31"/>
        <v>4.657316201027141E-3</v>
      </c>
    </row>
    <row r="1002" spans="2:8" ht="14.25" customHeight="1" x14ac:dyDescent="0.3">
      <c r="B1002" s="105" t="s">
        <v>1244</v>
      </c>
      <c r="C1002" s="105">
        <v>331.3</v>
      </c>
      <c r="D1002" s="3">
        <f t="shared" si="30"/>
        <v>6.5319763025977039E-3</v>
      </c>
      <c r="F1002" s="106">
        <v>45764</v>
      </c>
      <c r="G1002" s="107">
        <v>23851.650390625</v>
      </c>
      <c r="H1002" s="110">
        <f t="shared" si="31"/>
        <v>1.7683476937954037E-2</v>
      </c>
    </row>
    <row r="1003" spans="2:8" ht="14.25" customHeight="1" x14ac:dyDescent="0.3">
      <c r="B1003" s="105" t="s">
        <v>1245</v>
      </c>
      <c r="C1003" s="105">
        <v>331.9</v>
      </c>
      <c r="D1003" s="3">
        <f t="shared" si="30"/>
        <v>1.8110473890732444E-3</v>
      </c>
      <c r="F1003" s="106">
        <v>45768</v>
      </c>
      <c r="G1003" s="107">
        <v>24125.55078125</v>
      </c>
      <c r="H1003" s="109">
        <f t="shared" si="31"/>
        <v>1.1483498464016469E-2</v>
      </c>
    </row>
    <row r="1004" spans="2:8" ht="14.25" customHeight="1" x14ac:dyDescent="0.3">
      <c r="B1004" s="105" t="s">
        <v>1246</v>
      </c>
      <c r="C1004" s="105">
        <v>333.8</v>
      </c>
      <c r="D1004" s="3">
        <f t="shared" si="30"/>
        <v>5.7246158481471356E-3</v>
      </c>
      <c r="F1004" s="106">
        <v>45769</v>
      </c>
      <c r="G1004" s="107">
        <v>24167.25</v>
      </c>
      <c r="H1004" s="110">
        <f t="shared" si="31"/>
        <v>1.728425565413743E-3</v>
      </c>
    </row>
    <row r="1005" spans="2:8" ht="14.25" customHeight="1" x14ac:dyDescent="0.3">
      <c r="B1005" s="105" t="s">
        <v>1247</v>
      </c>
      <c r="C1005" s="105">
        <v>335.7</v>
      </c>
      <c r="D1005" s="3">
        <f t="shared" si="30"/>
        <v>5.6920311563809986E-3</v>
      </c>
      <c r="F1005" s="106">
        <v>45770</v>
      </c>
      <c r="G1005" s="107">
        <v>24328.94921875</v>
      </c>
      <c r="H1005" s="109">
        <f t="shared" si="31"/>
        <v>6.6908406521221904E-3</v>
      </c>
    </row>
    <row r="1006" spans="2:8" ht="14.25" customHeight="1" x14ac:dyDescent="0.3">
      <c r="B1006" s="105" t="s">
        <v>1248</v>
      </c>
      <c r="C1006" s="105">
        <v>326.75</v>
      </c>
      <c r="D1006" s="3">
        <f t="shared" si="30"/>
        <v>-2.6660708966338958E-2</v>
      </c>
      <c r="F1006" s="106">
        <v>45771</v>
      </c>
      <c r="G1006" s="107">
        <v>24246.69921875</v>
      </c>
      <c r="H1006" s="110">
        <f t="shared" si="31"/>
        <v>-3.3807460922566689E-3</v>
      </c>
    </row>
    <row r="1007" spans="2:8" ht="14.25" customHeight="1" x14ac:dyDescent="0.3">
      <c r="B1007" s="105" t="s">
        <v>1249</v>
      </c>
      <c r="C1007" s="105">
        <v>311.85000000000002</v>
      </c>
      <c r="D1007" s="3">
        <f t="shared" si="30"/>
        <v>-4.5600612088752802E-2</v>
      </c>
      <c r="F1007" s="106">
        <v>45772</v>
      </c>
      <c r="G1007" s="107">
        <v>24039.349609375</v>
      </c>
      <c r="H1007" s="109">
        <f t="shared" si="31"/>
        <v>-8.5516633626838701E-3</v>
      </c>
    </row>
    <row r="1008" spans="2:8" ht="14.25" customHeight="1" x14ac:dyDescent="0.3">
      <c r="B1008" s="105" t="s">
        <v>1250</v>
      </c>
      <c r="C1008" s="105">
        <v>320.85000000000002</v>
      </c>
      <c r="D1008" s="3">
        <f t="shared" si="30"/>
        <v>2.8860028860028857E-2</v>
      </c>
      <c r="F1008" s="106">
        <v>45775</v>
      </c>
      <c r="G1008" s="107">
        <v>24328.5</v>
      </c>
      <c r="H1008" s="110">
        <f t="shared" si="31"/>
        <v>1.2028211882747256E-2</v>
      </c>
    </row>
    <row r="1009" spans="2:8" ht="14.25" customHeight="1" x14ac:dyDescent="0.3">
      <c r="B1009" s="105" t="s">
        <v>1251</v>
      </c>
      <c r="C1009" s="105">
        <v>318.85000000000002</v>
      </c>
      <c r="D1009" s="3">
        <f t="shared" si="30"/>
        <v>-6.2334424185756581E-3</v>
      </c>
      <c r="F1009" s="106">
        <v>45776</v>
      </c>
      <c r="G1009" s="107">
        <v>24335.94921875</v>
      </c>
      <c r="H1009" s="109">
        <f t="shared" si="31"/>
        <v>3.0619309657397702E-4</v>
      </c>
    </row>
    <row r="1010" spans="2:8" ht="14.25" customHeight="1" x14ac:dyDescent="0.3">
      <c r="B1010" s="105" t="s">
        <v>1252</v>
      </c>
      <c r="C1010" s="105">
        <v>321.8</v>
      </c>
      <c r="D1010" s="3">
        <f t="shared" si="30"/>
        <v>9.2519993727457686E-3</v>
      </c>
      <c r="F1010" s="106">
        <v>45777</v>
      </c>
      <c r="G1010" s="107">
        <v>24334.19921875</v>
      </c>
      <c r="H1010" s="110">
        <f t="shared" si="31"/>
        <v>-7.1910077731904783E-5</v>
      </c>
    </row>
    <row r="1011" spans="2:8" ht="14.25" customHeight="1" x14ac:dyDescent="0.3">
      <c r="B1011" s="105" t="s">
        <v>1253</v>
      </c>
      <c r="C1011" s="105">
        <v>318.14999999999998</v>
      </c>
      <c r="D1011" s="3">
        <f t="shared" si="30"/>
        <v>-1.1342448725916825E-2</v>
      </c>
      <c r="F1011" s="106">
        <v>45779</v>
      </c>
      <c r="G1011" s="107">
        <v>24346.69921875</v>
      </c>
      <c r="H1011" s="109">
        <f t="shared" si="31"/>
        <v>5.1368035116473008E-4</v>
      </c>
    </row>
    <row r="1012" spans="2:8" ht="14.25" customHeight="1" x14ac:dyDescent="0.3">
      <c r="B1012" s="105" t="s">
        <v>1254</v>
      </c>
      <c r="C1012" s="105">
        <v>335.9</v>
      </c>
      <c r="D1012" s="3">
        <f t="shared" si="30"/>
        <v>5.5791293415055794E-2</v>
      </c>
      <c r="F1012" s="106">
        <v>45782</v>
      </c>
      <c r="G1012" s="107">
        <v>24461.150390625</v>
      </c>
      <c r="H1012" s="110">
        <f t="shared" si="31"/>
        <v>4.700890697612853E-3</v>
      </c>
    </row>
    <row r="1013" spans="2:8" ht="14.25" customHeight="1" x14ac:dyDescent="0.3">
      <c r="B1013" s="105" t="s">
        <v>1255</v>
      </c>
      <c r="C1013" s="105">
        <v>341.45</v>
      </c>
      <c r="D1013" s="3">
        <f t="shared" si="30"/>
        <v>1.6522774635308161E-2</v>
      </c>
      <c r="F1013" s="106">
        <v>45783</v>
      </c>
      <c r="G1013" s="107">
        <v>24379.599609375</v>
      </c>
      <c r="H1013" s="109">
        <f t="shared" si="31"/>
        <v>-3.3338898599493184E-3</v>
      </c>
    </row>
    <row r="1014" spans="2:8" ht="14.25" customHeight="1" x14ac:dyDescent="0.3">
      <c r="B1014" s="105" t="s">
        <v>1256</v>
      </c>
      <c r="C1014" s="105">
        <v>346.5</v>
      </c>
      <c r="D1014" s="3">
        <f t="shared" si="30"/>
        <v>1.4789866744765007E-2</v>
      </c>
      <c r="F1014" s="106">
        <v>45784</v>
      </c>
      <c r="G1014" s="107">
        <v>24414.400390625</v>
      </c>
      <c r="H1014" s="110">
        <f t="shared" si="31"/>
        <v>1.4274549954716078E-3</v>
      </c>
    </row>
    <row r="1015" spans="2:8" ht="14.25" customHeight="1" x14ac:dyDescent="0.3">
      <c r="B1015" s="105" t="s">
        <v>1257</v>
      </c>
      <c r="C1015" s="105">
        <v>334.6</v>
      </c>
      <c r="D1015" s="3">
        <f t="shared" si="30"/>
        <v>-3.434343434343428E-2</v>
      </c>
      <c r="F1015" s="106">
        <v>45785</v>
      </c>
      <c r="G1015" s="107">
        <v>24273.80078125</v>
      </c>
      <c r="H1015" s="109">
        <f t="shared" si="31"/>
        <v>-5.7588802970966885E-3</v>
      </c>
    </row>
    <row r="1016" spans="2:8" ht="14.25" customHeight="1" x14ac:dyDescent="0.3">
      <c r="B1016" s="105" t="s">
        <v>1258</v>
      </c>
      <c r="C1016" s="105">
        <v>329.9</v>
      </c>
      <c r="D1016" s="3">
        <f t="shared" si="30"/>
        <v>-1.4046622833233846E-2</v>
      </c>
      <c r="F1016" s="106">
        <v>45786</v>
      </c>
      <c r="G1016" s="107">
        <v>24008</v>
      </c>
      <c r="H1016" s="110">
        <f t="shared" si="31"/>
        <v>-1.0950109694206379E-2</v>
      </c>
    </row>
    <row r="1017" spans="2:8" ht="14.25" customHeight="1" x14ac:dyDescent="0.3">
      <c r="B1017" s="105" t="s">
        <v>1259</v>
      </c>
      <c r="C1017" s="105">
        <v>328.15</v>
      </c>
      <c r="D1017" s="3">
        <f t="shared" si="30"/>
        <v>-5.3046377690209156E-3</v>
      </c>
      <c r="F1017" s="106">
        <v>45789</v>
      </c>
      <c r="G1017" s="107">
        <v>24924.69921875</v>
      </c>
      <c r="H1017" s="109">
        <f t="shared" si="31"/>
        <v>3.8183073090219927E-2</v>
      </c>
    </row>
    <row r="1018" spans="2:8" ht="14.25" customHeight="1" x14ac:dyDescent="0.3">
      <c r="B1018" s="105" t="s">
        <v>1260</v>
      </c>
      <c r="C1018" s="105">
        <v>329.85</v>
      </c>
      <c r="D1018" s="3">
        <f t="shared" si="30"/>
        <v>5.1805576717965738E-3</v>
      </c>
      <c r="F1018" s="106">
        <v>45790</v>
      </c>
      <c r="G1018" s="107">
        <v>24578.349609375</v>
      </c>
      <c r="H1018" s="110">
        <f t="shared" si="31"/>
        <v>-1.389583907654352E-2</v>
      </c>
    </row>
    <row r="1019" spans="2:8" ht="14.25" customHeight="1" x14ac:dyDescent="0.3">
      <c r="B1019" s="105" t="s">
        <v>1261</v>
      </c>
      <c r="C1019" s="105">
        <v>338.2</v>
      </c>
      <c r="D1019" s="3">
        <f t="shared" si="30"/>
        <v>2.5314536910716886E-2</v>
      </c>
      <c r="F1019" s="106">
        <v>45791</v>
      </c>
      <c r="G1019" s="107">
        <v>24666.900390625</v>
      </c>
      <c r="H1019" s="109">
        <f t="shared" si="31"/>
        <v>3.6027960647212775E-3</v>
      </c>
    </row>
    <row r="1020" spans="2:8" ht="14.25" customHeight="1" x14ac:dyDescent="0.3">
      <c r="B1020" s="105" t="s">
        <v>1262</v>
      </c>
      <c r="C1020" s="105">
        <v>338.6</v>
      </c>
      <c r="D1020" s="3">
        <f t="shared" si="30"/>
        <v>1.1827321111769194E-3</v>
      </c>
      <c r="F1020" s="106">
        <v>45792</v>
      </c>
      <c r="G1020" s="107">
        <v>25062.099609375</v>
      </c>
      <c r="H1020" s="110">
        <f t="shared" si="31"/>
        <v>1.6021438141461865E-2</v>
      </c>
    </row>
    <row r="1021" spans="2:8" ht="14.25" customHeight="1" x14ac:dyDescent="0.3">
      <c r="B1021" s="105" t="s">
        <v>1263</v>
      </c>
      <c r="C1021" s="105">
        <v>339.4</v>
      </c>
      <c r="D1021" s="3">
        <f t="shared" si="30"/>
        <v>2.3626698168929547E-3</v>
      </c>
      <c r="F1021" s="106">
        <v>45793</v>
      </c>
      <c r="G1021" s="107">
        <v>25019.80078125</v>
      </c>
      <c r="H1021" s="109">
        <f t="shared" si="31"/>
        <v>-1.6877607536591724E-3</v>
      </c>
    </row>
    <row r="1022" spans="2:8" ht="14.25" customHeight="1" x14ac:dyDescent="0.3">
      <c r="B1022" s="105" t="s">
        <v>1264</v>
      </c>
      <c r="C1022" s="105">
        <v>341.6</v>
      </c>
      <c r="D1022" s="3">
        <f t="shared" si="30"/>
        <v>6.4820271066589443E-3</v>
      </c>
      <c r="F1022" s="106">
        <v>45796</v>
      </c>
      <c r="G1022" s="107">
        <v>24945.44921875</v>
      </c>
      <c r="H1022" s="110">
        <f t="shared" si="31"/>
        <v>-2.9717088137536066E-3</v>
      </c>
    </row>
    <row r="1023" spans="2:8" ht="14.25" customHeight="1" x14ac:dyDescent="0.3">
      <c r="B1023" s="105" t="s">
        <v>1265</v>
      </c>
      <c r="C1023" s="105">
        <v>332.5</v>
      </c>
      <c r="D1023" s="3">
        <f t="shared" si="30"/>
        <v>-2.6639344262295146E-2</v>
      </c>
      <c r="F1023" s="106">
        <v>45797</v>
      </c>
      <c r="G1023" s="107">
        <v>24683.900390625</v>
      </c>
      <c r="H1023" s="109">
        <f t="shared" si="31"/>
        <v>-1.0484831354666864E-2</v>
      </c>
    </row>
    <row r="1024" spans="2:8" ht="14.25" customHeight="1" x14ac:dyDescent="0.3">
      <c r="B1024" s="105" t="s">
        <v>1266</v>
      </c>
      <c r="C1024" s="105">
        <v>340.65</v>
      </c>
      <c r="D1024" s="3">
        <f t="shared" si="30"/>
        <v>2.4511278195488654E-2</v>
      </c>
      <c r="F1024" s="106">
        <v>45798</v>
      </c>
      <c r="G1024" s="107">
        <v>24813.44921875</v>
      </c>
      <c r="H1024" s="110">
        <f t="shared" si="31"/>
        <v>5.2483127088862724E-3</v>
      </c>
    </row>
    <row r="1025" spans="2:8" ht="14.25" customHeight="1" x14ac:dyDescent="0.3">
      <c r="B1025" s="105" t="s">
        <v>1267</v>
      </c>
      <c r="C1025" s="105">
        <v>333.1</v>
      </c>
      <c r="D1025" s="3">
        <f t="shared" si="30"/>
        <v>-2.2163510934977117E-2</v>
      </c>
      <c r="F1025" s="106">
        <v>45799</v>
      </c>
      <c r="G1025" s="107">
        <v>24609.69921875</v>
      </c>
      <c r="H1025" s="109">
        <f t="shared" si="31"/>
        <v>-8.2112727740421762E-3</v>
      </c>
    </row>
    <row r="1026" spans="2:8" ht="14.25" customHeight="1" x14ac:dyDescent="0.3">
      <c r="B1026" s="105" t="s">
        <v>1268</v>
      </c>
      <c r="C1026" s="105">
        <v>330.75</v>
      </c>
      <c r="D1026" s="3">
        <f t="shared" si="30"/>
        <v>-7.0549384569199118E-3</v>
      </c>
      <c r="F1026" s="106">
        <v>45800</v>
      </c>
      <c r="G1026" s="107">
        <v>24853.150390625</v>
      </c>
      <c r="H1026" s="110">
        <f t="shared" si="31"/>
        <v>9.8924887180057795E-3</v>
      </c>
    </row>
    <row r="1027" spans="2:8" ht="14.25" customHeight="1" x14ac:dyDescent="0.3">
      <c r="B1027" s="105" t="s">
        <v>1269</v>
      </c>
      <c r="C1027" s="105">
        <v>332.35</v>
      </c>
      <c r="D1027" s="3">
        <f t="shared" si="30"/>
        <v>4.8374905517763345E-3</v>
      </c>
      <c r="F1027" s="106">
        <v>45803</v>
      </c>
      <c r="G1027" s="107">
        <v>25001.150390625</v>
      </c>
      <c r="H1027" s="109">
        <f t="shared" si="31"/>
        <v>5.9549794562796321E-3</v>
      </c>
    </row>
    <row r="1028" spans="2:8" ht="14.25" customHeight="1" x14ac:dyDescent="0.3">
      <c r="B1028" s="105" t="s">
        <v>1270</v>
      </c>
      <c r="C1028" s="105">
        <v>335.05</v>
      </c>
      <c r="D1028" s="3">
        <f t="shared" si="30"/>
        <v>8.1239656988114587E-3</v>
      </c>
      <c r="F1028" s="106">
        <v>45804</v>
      </c>
      <c r="G1028" s="107">
        <v>24826.19921875</v>
      </c>
      <c r="H1028" s="110">
        <f t="shared" si="31"/>
        <v>-6.9977248703165145E-3</v>
      </c>
    </row>
    <row r="1029" spans="2:8" ht="14.25" customHeight="1" x14ac:dyDescent="0.3">
      <c r="B1029" s="105" t="s">
        <v>1271</v>
      </c>
      <c r="C1029" s="105">
        <v>334.35</v>
      </c>
      <c r="D1029" s="3">
        <f t="shared" ref="D1029:D1092" si="32">(C1029-C1028)/C1028</f>
        <v>-2.0892404118787902E-3</v>
      </c>
      <c r="F1029" s="106">
        <v>45805</v>
      </c>
      <c r="G1029" s="107">
        <v>24752.44921875</v>
      </c>
      <c r="H1029" s="109">
        <f t="shared" ref="H1029:H1092" si="33">(G1029-G1028)/G1028</f>
        <v>-2.9706520659956788E-3</v>
      </c>
    </row>
    <row r="1030" spans="2:8" ht="14.25" customHeight="1" x14ac:dyDescent="0.3">
      <c r="B1030" s="105" t="s">
        <v>1272</v>
      </c>
      <c r="C1030" s="105">
        <v>335.6</v>
      </c>
      <c r="D1030" s="3">
        <f t="shared" si="32"/>
        <v>3.7385972783011813E-3</v>
      </c>
      <c r="F1030" s="106">
        <v>45806</v>
      </c>
      <c r="G1030" s="107">
        <v>24833.599609375</v>
      </c>
      <c r="H1030" s="110">
        <f t="shared" si="33"/>
        <v>3.2784792287758142E-3</v>
      </c>
    </row>
    <row r="1031" spans="2:8" ht="14.25" customHeight="1" x14ac:dyDescent="0.3">
      <c r="B1031" s="105" t="s">
        <v>1273</v>
      </c>
      <c r="C1031" s="105">
        <v>335.85</v>
      </c>
      <c r="D1031" s="3">
        <f t="shared" si="32"/>
        <v>7.4493444576877231E-4</v>
      </c>
      <c r="F1031" s="106">
        <v>45807</v>
      </c>
      <c r="G1031" s="107">
        <v>24750.69921875</v>
      </c>
      <c r="H1031" s="109">
        <f t="shared" si="33"/>
        <v>-3.3382349691143463E-3</v>
      </c>
    </row>
    <row r="1032" spans="2:8" ht="14.25" customHeight="1" x14ac:dyDescent="0.3">
      <c r="B1032" s="105" t="s">
        <v>1274</v>
      </c>
      <c r="C1032" s="105">
        <v>334</v>
      </c>
      <c r="D1032" s="3">
        <f t="shared" si="32"/>
        <v>-5.5084114932262103E-3</v>
      </c>
      <c r="F1032" s="106">
        <v>45810</v>
      </c>
      <c r="G1032" s="107">
        <v>24716.599609375</v>
      </c>
      <c r="H1032" s="110">
        <f t="shared" si="33"/>
        <v>-1.3777230725331466E-3</v>
      </c>
    </row>
    <row r="1033" spans="2:8" ht="14.25" customHeight="1" x14ac:dyDescent="0.3">
      <c r="B1033" s="105" t="s">
        <v>1275</v>
      </c>
      <c r="C1033" s="105">
        <v>337.2</v>
      </c>
      <c r="D1033" s="3">
        <f t="shared" si="32"/>
        <v>9.5808383233532586E-3</v>
      </c>
      <c r="F1033" s="106">
        <v>45811</v>
      </c>
      <c r="G1033" s="107">
        <v>24542.5</v>
      </c>
      <c r="H1033" s="109">
        <f t="shared" si="33"/>
        <v>-7.0438333802585072E-3</v>
      </c>
    </row>
    <row r="1034" spans="2:8" ht="14.25" customHeight="1" x14ac:dyDescent="0.3">
      <c r="B1034" s="105" t="s">
        <v>1276</v>
      </c>
      <c r="C1034" s="105">
        <v>336.4</v>
      </c>
      <c r="D1034" s="3">
        <f t="shared" si="32"/>
        <v>-2.3724792408066769E-3</v>
      </c>
      <c r="F1034" s="106">
        <v>45812</v>
      </c>
      <c r="G1034" s="107">
        <v>24620.19921875</v>
      </c>
      <c r="H1034" s="110">
        <f t="shared" si="33"/>
        <v>3.1659048079861465E-3</v>
      </c>
    </row>
    <row r="1035" spans="2:8" ht="14.25" customHeight="1" x14ac:dyDescent="0.3">
      <c r="B1035" s="105" t="s">
        <v>1277</v>
      </c>
      <c r="C1035" s="105">
        <v>330.6</v>
      </c>
      <c r="D1035" s="3">
        <f t="shared" si="32"/>
        <v>-1.7241379310344692E-2</v>
      </c>
      <c r="F1035" s="106">
        <v>45813</v>
      </c>
      <c r="G1035" s="107">
        <v>24750.900390625</v>
      </c>
      <c r="H1035" s="109">
        <f t="shared" si="33"/>
        <v>5.3086967621066988E-3</v>
      </c>
    </row>
    <row r="1036" spans="2:8" ht="14.25" customHeight="1" x14ac:dyDescent="0.3">
      <c r="B1036" s="105" t="s">
        <v>1278</v>
      </c>
      <c r="C1036" s="105">
        <v>330.05</v>
      </c>
      <c r="D1036" s="3">
        <f t="shared" si="32"/>
        <v>-1.6636418632789212E-3</v>
      </c>
      <c r="F1036" s="106">
        <v>45814</v>
      </c>
      <c r="G1036" s="107">
        <v>25003.05078125</v>
      </c>
      <c r="H1036" s="110">
        <f t="shared" si="33"/>
        <v>1.0187523954502602E-2</v>
      </c>
    </row>
    <row r="1037" spans="2:8" ht="14.25" customHeight="1" x14ac:dyDescent="0.3">
      <c r="B1037" s="105" t="s">
        <v>1279</v>
      </c>
      <c r="C1037" s="105">
        <v>338.15</v>
      </c>
      <c r="D1037" s="3">
        <f t="shared" si="32"/>
        <v>2.4541736100590714E-2</v>
      </c>
      <c r="F1037" s="106">
        <v>45817</v>
      </c>
      <c r="G1037" s="107">
        <v>25103.19921875</v>
      </c>
      <c r="H1037" s="109">
        <f t="shared" si="33"/>
        <v>4.0054487100870968E-3</v>
      </c>
    </row>
    <row r="1038" spans="2:8" ht="14.25" customHeight="1" x14ac:dyDescent="0.3">
      <c r="B1038" s="105" t="s">
        <v>1280</v>
      </c>
      <c r="C1038" s="105">
        <v>341.2</v>
      </c>
      <c r="D1038" s="3">
        <f t="shared" si="32"/>
        <v>9.0196658287742468E-3</v>
      </c>
      <c r="F1038" s="106">
        <v>45818</v>
      </c>
      <c r="G1038" s="107">
        <v>25104.25</v>
      </c>
      <c r="H1038" s="110">
        <f t="shared" si="33"/>
        <v>4.185845958690213E-5</v>
      </c>
    </row>
    <row r="1039" spans="2:8" ht="14.25" customHeight="1" x14ac:dyDescent="0.3">
      <c r="B1039" s="105" t="s">
        <v>1281</v>
      </c>
      <c r="C1039" s="105">
        <v>354.45</v>
      </c>
      <c r="D1039" s="3">
        <f t="shared" si="32"/>
        <v>3.8833528722157097E-2</v>
      </c>
      <c r="F1039" s="106">
        <v>45819</v>
      </c>
      <c r="G1039" s="107">
        <v>25141.400390625</v>
      </c>
      <c r="H1039" s="109">
        <f t="shared" si="33"/>
        <v>1.4798446727147794E-3</v>
      </c>
    </row>
    <row r="1040" spans="2:8" ht="14.25" customHeight="1" x14ac:dyDescent="0.3">
      <c r="B1040" s="105" t="s">
        <v>1282</v>
      </c>
      <c r="C1040" s="105">
        <v>352.25</v>
      </c>
      <c r="D1040" s="3">
        <f t="shared" si="32"/>
        <v>-6.2067992664691461E-3</v>
      </c>
      <c r="F1040" s="106">
        <v>45820</v>
      </c>
      <c r="G1040" s="107">
        <v>24888.19921875</v>
      </c>
      <c r="H1040" s="110">
        <f t="shared" si="33"/>
        <v>-1.0071084662786582E-2</v>
      </c>
    </row>
    <row r="1041" spans="2:8" ht="14.25" customHeight="1" x14ac:dyDescent="0.3">
      <c r="B1041" s="105" t="s">
        <v>1283</v>
      </c>
      <c r="C1041" s="105">
        <v>355.4</v>
      </c>
      <c r="D1041" s="3">
        <f t="shared" si="32"/>
        <v>8.9425124201560745E-3</v>
      </c>
      <c r="F1041" s="106">
        <v>45821</v>
      </c>
      <c r="G1041" s="107">
        <v>24718.599609375</v>
      </c>
      <c r="H1041" s="109">
        <f t="shared" si="33"/>
        <v>-6.814458847919736E-3</v>
      </c>
    </row>
    <row r="1042" spans="2:8" ht="14.25" customHeight="1" x14ac:dyDescent="0.3">
      <c r="B1042" s="105" t="s">
        <v>1284</v>
      </c>
      <c r="C1042" s="105">
        <v>357.25</v>
      </c>
      <c r="D1042" s="3">
        <f t="shared" si="32"/>
        <v>5.2054023635341104E-3</v>
      </c>
      <c r="F1042" s="106">
        <v>45824</v>
      </c>
      <c r="G1042" s="107">
        <v>24946.5</v>
      </c>
      <c r="H1042" s="110">
        <f t="shared" si="33"/>
        <v>9.2197937677086055E-3</v>
      </c>
    </row>
    <row r="1043" spans="2:8" ht="14.25" customHeight="1" x14ac:dyDescent="0.3">
      <c r="B1043" s="105" t="s">
        <v>1285</v>
      </c>
      <c r="C1043" s="105">
        <v>352.65</v>
      </c>
      <c r="D1043" s="3">
        <f t="shared" si="32"/>
        <v>-1.2876137158852408E-2</v>
      </c>
      <c r="F1043" s="106">
        <v>45825</v>
      </c>
      <c r="G1043" s="107">
        <v>24853.400390625</v>
      </c>
      <c r="H1043" s="109">
        <f t="shared" si="33"/>
        <v>-3.7319707924959415E-3</v>
      </c>
    </row>
    <row r="1044" spans="2:8" ht="14.25" customHeight="1" x14ac:dyDescent="0.3">
      <c r="B1044" s="105" t="s">
        <v>1286</v>
      </c>
      <c r="C1044" s="105">
        <v>342</v>
      </c>
      <c r="D1044" s="3">
        <f t="shared" si="32"/>
        <v>-3.0199914929817037E-2</v>
      </c>
      <c r="F1044" s="106">
        <v>45826</v>
      </c>
      <c r="G1044" s="107">
        <v>24812.05078125</v>
      </c>
      <c r="H1044" s="110">
        <f t="shared" si="33"/>
        <v>-1.6637405234334682E-3</v>
      </c>
    </row>
    <row r="1045" spans="2:8" ht="14.25" customHeight="1" x14ac:dyDescent="0.3">
      <c r="B1045" s="105" t="s">
        <v>1287</v>
      </c>
      <c r="C1045" s="105">
        <v>348.6</v>
      </c>
      <c r="D1045" s="3">
        <f t="shared" si="32"/>
        <v>1.9298245614035155E-2</v>
      </c>
      <c r="F1045" s="106">
        <v>45827</v>
      </c>
      <c r="G1045" s="107">
        <v>24793.25</v>
      </c>
      <c r="H1045" s="109">
        <f t="shared" si="33"/>
        <v>-7.5772782410260889E-4</v>
      </c>
    </row>
    <row r="1046" spans="2:8" ht="14.25" customHeight="1" x14ac:dyDescent="0.3">
      <c r="B1046" s="105" t="s">
        <v>1288</v>
      </c>
      <c r="C1046" s="105">
        <v>351.35</v>
      </c>
      <c r="D1046" s="3">
        <f t="shared" si="32"/>
        <v>7.888697647733792E-3</v>
      </c>
      <c r="F1046" s="106">
        <v>45828</v>
      </c>
      <c r="G1046" s="107">
        <v>25112.400390625</v>
      </c>
      <c r="H1046" s="110">
        <f t="shared" si="33"/>
        <v>1.2872470959837859E-2</v>
      </c>
    </row>
    <row r="1047" spans="2:8" ht="14.25" customHeight="1" x14ac:dyDescent="0.3">
      <c r="B1047" s="105" t="s">
        <v>1289</v>
      </c>
      <c r="C1047" s="105">
        <v>352.2</v>
      </c>
      <c r="D1047" s="3">
        <f t="shared" si="32"/>
        <v>2.4192400740001875E-3</v>
      </c>
      <c r="F1047" s="106">
        <v>45831</v>
      </c>
      <c r="G1047" s="107">
        <v>24971.900390625</v>
      </c>
      <c r="H1047" s="109">
        <f t="shared" si="33"/>
        <v>-5.5948454872697742E-3</v>
      </c>
    </row>
    <row r="1048" spans="2:8" ht="14.25" customHeight="1" x14ac:dyDescent="0.3">
      <c r="B1048" s="105" t="s">
        <v>1290</v>
      </c>
      <c r="C1048" s="105">
        <v>349.2</v>
      </c>
      <c r="D1048" s="3">
        <f t="shared" si="32"/>
        <v>-8.5178875638841564E-3</v>
      </c>
      <c r="F1048" s="106">
        <v>45832</v>
      </c>
      <c r="G1048" s="107">
        <v>25044.349609375</v>
      </c>
      <c r="H1048" s="110">
        <f t="shared" si="33"/>
        <v>2.9012296868362901E-3</v>
      </c>
    </row>
    <row r="1049" spans="2:8" ht="14.25" customHeight="1" x14ac:dyDescent="0.3">
      <c r="B1049" s="105" t="s">
        <v>1291</v>
      </c>
      <c r="C1049" s="105">
        <v>351.4</v>
      </c>
      <c r="D1049" s="3">
        <f t="shared" si="32"/>
        <v>6.300114547537196E-3</v>
      </c>
      <c r="F1049" s="106">
        <v>45833</v>
      </c>
      <c r="G1049" s="107">
        <v>25244.75</v>
      </c>
      <c r="H1049" s="109">
        <f t="shared" si="33"/>
        <v>8.0018205204252114E-3</v>
      </c>
    </row>
    <row r="1050" spans="2:8" ht="14.25" customHeight="1" x14ac:dyDescent="0.3">
      <c r="B1050" s="105" t="s">
        <v>1292</v>
      </c>
      <c r="C1050" s="105">
        <v>350.5</v>
      </c>
      <c r="D1050" s="3">
        <f t="shared" si="32"/>
        <v>-2.5611838360841701E-3</v>
      </c>
      <c r="F1050" s="106">
        <v>45834</v>
      </c>
      <c r="G1050" s="107">
        <v>25549</v>
      </c>
      <c r="H1050" s="110">
        <f t="shared" si="33"/>
        <v>1.205201081412967E-2</v>
      </c>
    </row>
    <row r="1051" spans="2:8" ht="14.25" customHeight="1" x14ac:dyDescent="0.3">
      <c r="B1051" s="105" t="s">
        <v>1293</v>
      </c>
      <c r="C1051" s="105">
        <v>354.4</v>
      </c>
      <c r="D1051" s="3">
        <f t="shared" si="32"/>
        <v>1.1126961483594799E-2</v>
      </c>
      <c r="F1051" s="106">
        <v>45835</v>
      </c>
      <c r="G1051" s="107">
        <v>25637.80078125</v>
      </c>
      <c r="H1051" s="109">
        <f t="shared" si="33"/>
        <v>3.4757047731809464E-3</v>
      </c>
    </row>
    <row r="1052" spans="2:8" ht="14.25" customHeight="1" x14ac:dyDescent="0.3">
      <c r="B1052" s="105" t="s">
        <v>1294</v>
      </c>
      <c r="C1052" s="105">
        <v>355.7</v>
      </c>
      <c r="D1052" s="3">
        <f t="shared" si="32"/>
        <v>3.6681715575621089E-3</v>
      </c>
      <c r="F1052" s="106">
        <v>45838</v>
      </c>
      <c r="G1052" s="107">
        <v>25517.05078125</v>
      </c>
      <c r="H1052" s="110">
        <f t="shared" si="33"/>
        <v>-4.7098423546652075E-3</v>
      </c>
    </row>
    <row r="1053" spans="2:8" ht="14.25" customHeight="1" x14ac:dyDescent="0.3">
      <c r="B1053" s="105" t="s">
        <v>1295</v>
      </c>
      <c r="C1053" s="105">
        <v>362.5</v>
      </c>
      <c r="D1053" s="3">
        <f t="shared" si="32"/>
        <v>1.9117233623840348E-2</v>
      </c>
      <c r="F1053" s="106">
        <v>45839</v>
      </c>
      <c r="G1053" s="107">
        <v>25541.80078125</v>
      </c>
      <c r="H1053" s="109">
        <f t="shared" si="33"/>
        <v>9.6993967728380148E-4</v>
      </c>
    </row>
    <row r="1054" spans="2:8" ht="14.25" customHeight="1" x14ac:dyDescent="0.3">
      <c r="B1054" s="105" t="s">
        <v>1296</v>
      </c>
      <c r="C1054" s="105">
        <v>368.55</v>
      </c>
      <c r="D1054" s="3">
        <f t="shared" si="32"/>
        <v>1.6689655172413824E-2</v>
      </c>
      <c r="F1054" s="106">
        <v>45840</v>
      </c>
      <c r="G1054" s="107">
        <v>25453.400390625</v>
      </c>
      <c r="H1054" s="110">
        <f t="shared" si="33"/>
        <v>-3.4610085397695964E-3</v>
      </c>
    </row>
    <row r="1055" spans="2:8" ht="14.25" customHeight="1" x14ac:dyDescent="0.3">
      <c r="B1055" s="105" t="s">
        <v>1297</v>
      </c>
      <c r="C1055" s="105">
        <v>374.45</v>
      </c>
      <c r="D1055" s="3">
        <f t="shared" si="32"/>
        <v>1.600868267534928E-2</v>
      </c>
      <c r="F1055" s="106">
        <v>45841</v>
      </c>
      <c r="G1055" s="107">
        <v>25405.30078125</v>
      </c>
      <c r="H1055" s="109">
        <f t="shared" si="33"/>
        <v>-1.8897125192245848E-3</v>
      </c>
    </row>
    <row r="1056" spans="2:8" ht="14.25" customHeight="1" x14ac:dyDescent="0.3">
      <c r="B1056" s="105" t="s">
        <v>1298</v>
      </c>
      <c r="C1056" s="105">
        <v>380.05</v>
      </c>
      <c r="D1056" s="3">
        <f t="shared" si="32"/>
        <v>1.4955267725998192E-2</v>
      </c>
      <c r="F1056" s="106">
        <v>45842</v>
      </c>
      <c r="G1056" s="107">
        <v>25461</v>
      </c>
      <c r="H1056" s="110">
        <f t="shared" si="33"/>
        <v>2.1924250859926041E-3</v>
      </c>
    </row>
    <row r="1057" spans="2:8" ht="14.25" customHeight="1" x14ac:dyDescent="0.3">
      <c r="B1057" s="105" t="s">
        <v>1299</v>
      </c>
      <c r="C1057" s="105">
        <v>372.1</v>
      </c>
      <c r="D1057" s="3">
        <f t="shared" si="32"/>
        <v>-2.0918300223654752E-2</v>
      </c>
      <c r="F1057" s="106">
        <v>45845</v>
      </c>
      <c r="G1057" s="107">
        <v>25461.30078125</v>
      </c>
      <c r="H1057" s="109">
        <f t="shared" si="33"/>
        <v>1.1813410706570834E-5</v>
      </c>
    </row>
    <row r="1058" spans="2:8" ht="14.25" customHeight="1" x14ac:dyDescent="0.3">
      <c r="B1058" s="105" t="s">
        <v>1300</v>
      </c>
      <c r="C1058" s="105">
        <v>369.35</v>
      </c>
      <c r="D1058" s="3">
        <f t="shared" si="32"/>
        <v>-7.3904864283794672E-3</v>
      </c>
      <c r="F1058" s="106">
        <v>45846</v>
      </c>
      <c r="G1058" s="107">
        <v>25522.5</v>
      </c>
      <c r="H1058" s="110">
        <f t="shared" si="33"/>
        <v>2.4036171315751404E-3</v>
      </c>
    </row>
    <row r="1059" spans="2:8" ht="14.25" customHeight="1" x14ac:dyDescent="0.3">
      <c r="B1059" s="105" t="s">
        <v>1301</v>
      </c>
      <c r="C1059" s="105">
        <v>373.55</v>
      </c>
      <c r="D1059" s="3">
        <f t="shared" si="32"/>
        <v>1.1371328008663837E-2</v>
      </c>
      <c r="F1059" s="106">
        <v>45847</v>
      </c>
      <c r="G1059" s="107">
        <v>25476.099609375</v>
      </c>
      <c r="H1059" s="109">
        <f t="shared" si="33"/>
        <v>-1.8180190273288275E-3</v>
      </c>
    </row>
    <row r="1060" spans="2:8" ht="14.25" customHeight="1" x14ac:dyDescent="0.3">
      <c r="B1060" s="105" t="s">
        <v>1302</v>
      </c>
      <c r="C1060" s="105">
        <v>372.4</v>
      </c>
      <c r="D1060" s="3">
        <f t="shared" si="32"/>
        <v>-3.0785704724937335E-3</v>
      </c>
      <c r="F1060" s="106">
        <v>45848</v>
      </c>
      <c r="G1060" s="107">
        <v>25355.25</v>
      </c>
      <c r="H1060" s="110">
        <f t="shared" si="33"/>
        <v>-4.7436464461980792E-3</v>
      </c>
    </row>
    <row r="1061" spans="2:8" ht="14.25" customHeight="1" x14ac:dyDescent="0.3">
      <c r="B1061" s="105" t="s">
        <v>1303</v>
      </c>
      <c r="C1061" s="105">
        <v>374.2</v>
      </c>
      <c r="D1061" s="3">
        <f t="shared" si="32"/>
        <v>4.833512352309376E-3</v>
      </c>
      <c r="F1061" s="106">
        <v>45849</v>
      </c>
      <c r="G1061" s="107">
        <v>25149.849609375</v>
      </c>
      <c r="H1061" s="109">
        <f t="shared" si="33"/>
        <v>-8.1009018102759789E-3</v>
      </c>
    </row>
    <row r="1062" spans="2:8" ht="14.25" customHeight="1" x14ac:dyDescent="0.3">
      <c r="B1062" s="105" t="s">
        <v>1304</v>
      </c>
      <c r="C1062" s="105">
        <v>379.1</v>
      </c>
      <c r="D1062" s="3">
        <f t="shared" si="32"/>
        <v>1.3094601817210139E-2</v>
      </c>
      <c r="F1062" s="106">
        <v>45852</v>
      </c>
      <c r="G1062" s="107">
        <v>25082.30078125</v>
      </c>
      <c r="H1062" s="110">
        <f t="shared" si="33"/>
        <v>-2.685854157148523E-3</v>
      </c>
    </row>
    <row r="1063" spans="2:8" ht="14.25" customHeight="1" x14ac:dyDescent="0.3">
      <c r="B1063" s="105" t="s">
        <v>1305</v>
      </c>
      <c r="C1063" s="105">
        <v>390.45</v>
      </c>
      <c r="D1063" s="3">
        <f t="shared" si="32"/>
        <v>2.9939329992086428E-2</v>
      </c>
      <c r="F1063" s="106">
        <v>45853</v>
      </c>
      <c r="G1063" s="107">
        <v>25195.80078125</v>
      </c>
      <c r="H1063" s="109">
        <f t="shared" si="33"/>
        <v>4.5251032187942535E-3</v>
      </c>
    </row>
    <row r="1064" spans="2:8" ht="14.25" customHeight="1" x14ac:dyDescent="0.3">
      <c r="B1064" s="105" t="s">
        <v>1306</v>
      </c>
      <c r="C1064" s="105">
        <v>394.65</v>
      </c>
      <c r="D1064" s="3">
        <f t="shared" si="32"/>
        <v>1.0756819054936582E-2</v>
      </c>
      <c r="F1064" s="106">
        <v>45854</v>
      </c>
      <c r="G1064" s="107">
        <v>25212.05078125</v>
      </c>
      <c r="H1064" s="110">
        <f t="shared" si="33"/>
        <v>6.4494874130346306E-4</v>
      </c>
    </row>
    <row r="1065" spans="2:8" ht="14.25" customHeight="1" x14ac:dyDescent="0.3">
      <c r="B1065" s="105" t="s">
        <v>1307</v>
      </c>
      <c r="C1065" s="105">
        <v>397</v>
      </c>
      <c r="D1065" s="3">
        <f t="shared" si="32"/>
        <v>5.9546433548714629E-3</v>
      </c>
      <c r="F1065" s="106">
        <v>45855</v>
      </c>
      <c r="G1065" s="107">
        <v>25111.44921875</v>
      </c>
      <c r="H1065" s="109">
        <f t="shared" si="33"/>
        <v>-3.9902173517283477E-3</v>
      </c>
    </row>
    <row r="1066" spans="2:8" ht="14.25" customHeight="1" x14ac:dyDescent="0.3">
      <c r="B1066" s="105" t="s">
        <v>1308</v>
      </c>
      <c r="C1066" s="105">
        <v>398.75</v>
      </c>
      <c r="D1066" s="3">
        <f t="shared" si="32"/>
        <v>4.4080604534005039E-3</v>
      </c>
      <c r="F1066" s="106">
        <v>45856</v>
      </c>
      <c r="G1066" s="107">
        <v>24968.400390625</v>
      </c>
      <c r="H1066" s="110">
        <f t="shared" si="33"/>
        <v>-5.6965580472428303E-3</v>
      </c>
    </row>
    <row r="1067" spans="2:8" ht="14.25" customHeight="1" x14ac:dyDescent="0.3">
      <c r="B1067" s="105" t="s">
        <v>1309</v>
      </c>
      <c r="C1067" s="105">
        <v>394.65</v>
      </c>
      <c r="D1067" s="3">
        <f t="shared" si="32"/>
        <v>-1.0282131661442062E-2</v>
      </c>
      <c r="F1067" s="106">
        <v>45859</v>
      </c>
      <c r="G1067" s="107">
        <v>25090.69921875</v>
      </c>
      <c r="H1067" s="109">
        <f t="shared" si="33"/>
        <v>4.8981443028653171E-3</v>
      </c>
    </row>
    <row r="1068" spans="2:8" ht="14.25" customHeight="1" x14ac:dyDescent="0.3">
      <c r="B1068" s="105" t="s">
        <v>1310</v>
      </c>
      <c r="C1068" s="105">
        <v>387.2</v>
      </c>
      <c r="D1068" s="3">
        <f t="shared" si="32"/>
        <v>-1.887748638033698E-2</v>
      </c>
      <c r="F1068" s="106">
        <v>45860</v>
      </c>
      <c r="G1068" s="107">
        <v>25060.900390625</v>
      </c>
      <c r="H1068" s="110">
        <f t="shared" si="33"/>
        <v>-1.1876443882732318E-3</v>
      </c>
    </row>
    <row r="1069" spans="2:8" ht="14.25" customHeight="1" x14ac:dyDescent="0.3">
      <c r="B1069" s="105" t="s">
        <v>1311</v>
      </c>
      <c r="C1069" s="105">
        <v>396.95</v>
      </c>
      <c r="D1069" s="3">
        <f t="shared" si="32"/>
        <v>2.5180785123966942E-2</v>
      </c>
      <c r="F1069" s="106">
        <v>45861</v>
      </c>
      <c r="G1069" s="107">
        <v>25219.900390625</v>
      </c>
      <c r="H1069" s="109">
        <f t="shared" si="33"/>
        <v>6.3445445902446549E-3</v>
      </c>
    </row>
    <row r="1070" spans="2:8" ht="14.25" customHeight="1" x14ac:dyDescent="0.3">
      <c r="B1070" s="105" t="s">
        <v>1312</v>
      </c>
      <c r="C1070" s="105">
        <v>397.6</v>
      </c>
      <c r="D1070" s="3">
        <f t="shared" si="32"/>
        <v>1.6374858294496389E-3</v>
      </c>
      <c r="F1070" s="106">
        <v>45862</v>
      </c>
      <c r="G1070" s="107">
        <v>25062.099609375</v>
      </c>
      <c r="H1070" s="110">
        <f t="shared" si="33"/>
        <v>-6.2569946274910479E-3</v>
      </c>
    </row>
    <row r="1071" spans="2:8" ht="14.25" customHeight="1" x14ac:dyDescent="0.3">
      <c r="B1071" s="105" t="s">
        <v>1313</v>
      </c>
      <c r="C1071" s="105">
        <v>394.15</v>
      </c>
      <c r="D1071" s="3">
        <f t="shared" si="32"/>
        <v>-8.6770623742455869E-3</v>
      </c>
      <c r="F1071" s="106">
        <v>45863</v>
      </c>
      <c r="G1071" s="107">
        <v>24837</v>
      </c>
      <c r="H1071" s="109">
        <f t="shared" si="33"/>
        <v>-8.9816740370306722E-3</v>
      </c>
    </row>
    <row r="1072" spans="2:8" ht="14.25" customHeight="1" x14ac:dyDescent="0.3">
      <c r="B1072" s="105" t="s">
        <v>1314</v>
      </c>
      <c r="C1072" s="105">
        <v>387.45</v>
      </c>
      <c r="D1072" s="3">
        <f t="shared" si="32"/>
        <v>-1.6998604592160318E-2</v>
      </c>
      <c r="F1072" s="106">
        <v>45866</v>
      </c>
      <c r="G1072" s="107">
        <v>24680.900390625</v>
      </c>
      <c r="H1072" s="110">
        <f t="shared" si="33"/>
        <v>-6.2849623293876073E-3</v>
      </c>
    </row>
    <row r="1073" spans="2:8" ht="14.25" customHeight="1" x14ac:dyDescent="0.3">
      <c r="B1073" s="105" t="s">
        <v>1315</v>
      </c>
      <c r="C1073" s="105">
        <v>398.15</v>
      </c>
      <c r="D1073" s="3">
        <f t="shared" si="32"/>
        <v>2.7616466640856856E-2</v>
      </c>
      <c r="F1073" s="106">
        <v>45867</v>
      </c>
      <c r="G1073" s="107">
        <v>24821.099609375</v>
      </c>
      <c r="H1073" s="109">
        <f t="shared" si="33"/>
        <v>5.6804742343700898E-3</v>
      </c>
    </row>
    <row r="1074" spans="2:8" ht="14.25" customHeight="1" x14ac:dyDescent="0.3">
      <c r="B1074" s="105" t="s">
        <v>1316</v>
      </c>
      <c r="C1074" s="105">
        <v>397.3</v>
      </c>
      <c r="D1074" s="3">
        <f t="shared" si="32"/>
        <v>-2.1348737912846062E-3</v>
      </c>
      <c r="F1074" s="106">
        <v>45868</v>
      </c>
      <c r="G1074" s="107">
        <v>24855.05078125</v>
      </c>
      <c r="H1074" s="110">
        <f t="shared" si="33"/>
        <v>1.3678351245235141E-3</v>
      </c>
    </row>
    <row r="1075" spans="2:8" ht="14.25" customHeight="1" x14ac:dyDescent="0.3">
      <c r="B1075" s="105" t="s">
        <v>1317</v>
      </c>
      <c r="C1075" s="105">
        <v>391.4</v>
      </c>
      <c r="D1075" s="3">
        <f t="shared" si="32"/>
        <v>-1.4850239114019718E-2</v>
      </c>
      <c r="F1075" s="106">
        <v>45869</v>
      </c>
      <c r="G1075" s="107">
        <v>24768.349609375</v>
      </c>
      <c r="H1075" s="109">
        <f t="shared" si="33"/>
        <v>-3.4882717656889721E-3</v>
      </c>
    </row>
    <row r="1076" spans="2:8" ht="14.25" customHeight="1" x14ac:dyDescent="0.3">
      <c r="B1076" s="105" t="s">
        <v>1318</v>
      </c>
      <c r="C1076" s="105">
        <v>383.1</v>
      </c>
      <c r="D1076" s="3">
        <f t="shared" si="32"/>
        <v>-2.1205927439959006E-2</v>
      </c>
      <c r="F1076" s="106">
        <v>45870</v>
      </c>
      <c r="G1076" s="107">
        <v>24565.349609375</v>
      </c>
      <c r="H1076" s="110">
        <f t="shared" si="33"/>
        <v>-8.1959437427822409E-3</v>
      </c>
    </row>
    <row r="1077" spans="2:8" ht="14.25" customHeight="1" x14ac:dyDescent="0.3">
      <c r="B1077" s="105" t="s">
        <v>1319</v>
      </c>
      <c r="C1077" s="105">
        <v>382.4</v>
      </c>
      <c r="D1077" s="3">
        <f t="shared" si="32"/>
        <v>-1.827199164709072E-3</v>
      </c>
      <c r="F1077" s="106">
        <v>45873</v>
      </c>
      <c r="G1077" s="107">
        <v>24722.75</v>
      </c>
      <c r="H1077" s="109">
        <f t="shared" si="33"/>
        <v>6.4074150430544043E-3</v>
      </c>
    </row>
    <row r="1078" spans="2:8" ht="14.25" customHeight="1" x14ac:dyDescent="0.3">
      <c r="B1078" s="105" t="s">
        <v>1320</v>
      </c>
      <c r="C1078" s="105">
        <v>372.35</v>
      </c>
      <c r="D1078" s="3">
        <f t="shared" si="32"/>
        <v>-2.6281380753137958E-2</v>
      </c>
      <c r="F1078" s="106">
        <v>45874</v>
      </c>
      <c r="G1078" s="107">
        <v>24649.55078125</v>
      </c>
      <c r="H1078" s="110">
        <f t="shared" si="33"/>
        <v>-2.9608040671041855E-3</v>
      </c>
    </row>
    <row r="1079" spans="2:8" ht="14.25" customHeight="1" x14ac:dyDescent="0.3">
      <c r="B1079" s="105" t="s">
        <v>1321</v>
      </c>
      <c r="C1079" s="105">
        <v>360.4</v>
      </c>
      <c r="D1079" s="3">
        <f t="shared" si="32"/>
        <v>-3.2093460453874165E-2</v>
      </c>
      <c r="F1079" s="106">
        <v>45875</v>
      </c>
      <c r="G1079" s="107">
        <v>24574.19921875</v>
      </c>
      <c r="H1079" s="109">
        <f t="shared" si="33"/>
        <v>-3.0569142281212337E-3</v>
      </c>
    </row>
    <row r="1080" spans="2:8" ht="14.25" customHeight="1" x14ac:dyDescent="0.3">
      <c r="B1080" s="105" t="s">
        <v>1322</v>
      </c>
      <c r="C1080" s="105">
        <v>364.2</v>
      </c>
      <c r="D1080" s="3">
        <f t="shared" si="32"/>
        <v>1.0543840177580498E-2</v>
      </c>
      <c r="F1080" s="106">
        <v>45876</v>
      </c>
      <c r="G1080" s="107">
        <v>24596.150390625</v>
      </c>
      <c r="H1080" s="110">
        <f t="shared" si="33"/>
        <v>8.9326092295415906E-4</v>
      </c>
    </row>
    <row r="1081" spans="2:8" ht="14.25" customHeight="1" x14ac:dyDescent="0.3">
      <c r="B1081" s="105" t="s">
        <v>1323</v>
      </c>
      <c r="C1081" s="105">
        <v>343.35</v>
      </c>
      <c r="D1081" s="3">
        <f t="shared" si="32"/>
        <v>-5.7248764415156417E-2</v>
      </c>
      <c r="F1081" s="106">
        <v>45877</v>
      </c>
      <c r="G1081" s="107">
        <v>24363.30078125</v>
      </c>
      <c r="H1081" s="109">
        <f t="shared" si="33"/>
        <v>-9.4669127354072569E-3</v>
      </c>
    </row>
    <row r="1082" spans="2:8" ht="14.25" customHeight="1" x14ac:dyDescent="0.3">
      <c r="B1082" s="105" t="s">
        <v>1324</v>
      </c>
      <c r="C1082" s="105">
        <v>342.1</v>
      </c>
      <c r="D1082" s="3">
        <f t="shared" si="32"/>
        <v>-3.6405999708752001E-3</v>
      </c>
      <c r="F1082" s="106">
        <v>45880</v>
      </c>
      <c r="G1082" s="107">
        <v>24585.05078125</v>
      </c>
      <c r="H1082" s="110">
        <f t="shared" si="33"/>
        <v>9.1018044718578876E-3</v>
      </c>
    </row>
    <row r="1083" spans="2:8" ht="14.25" customHeight="1" x14ac:dyDescent="0.3">
      <c r="B1083" s="105" t="s">
        <v>1325</v>
      </c>
      <c r="C1083" s="105">
        <v>354.9</v>
      </c>
      <c r="D1083" s="3">
        <f t="shared" si="32"/>
        <v>3.7415960245542106E-2</v>
      </c>
      <c r="F1083" s="106">
        <v>45881</v>
      </c>
      <c r="G1083" s="107">
        <v>24487.400390625</v>
      </c>
      <c r="H1083" s="109">
        <f t="shared" si="33"/>
        <v>-3.9719417907191756E-3</v>
      </c>
    </row>
    <row r="1084" spans="2:8" ht="14.25" customHeight="1" x14ac:dyDescent="0.3">
      <c r="B1084" s="105" t="s">
        <v>1326</v>
      </c>
      <c r="C1084" s="105">
        <v>360.25</v>
      </c>
      <c r="D1084" s="3">
        <f t="shared" si="32"/>
        <v>1.5074668920822832E-2</v>
      </c>
      <c r="F1084" s="106">
        <v>45882</v>
      </c>
      <c r="G1084" s="107">
        <v>24619.349609375</v>
      </c>
      <c r="H1084" s="110">
        <f t="shared" si="33"/>
        <v>5.3884535167120782E-3</v>
      </c>
    </row>
    <row r="1085" spans="2:8" ht="14.25" customHeight="1" x14ac:dyDescent="0.3">
      <c r="B1085" s="105" t="s">
        <v>1327</v>
      </c>
      <c r="C1085" s="105">
        <v>359.25</v>
      </c>
      <c r="D1085" s="3">
        <f t="shared" si="32"/>
        <v>-2.7758501040943788E-3</v>
      </c>
      <c r="F1085" s="106">
        <v>45883</v>
      </c>
      <c r="G1085" s="107">
        <v>24631.30078125</v>
      </c>
      <c r="H1085" s="109">
        <f t="shared" si="33"/>
        <v>4.8543816407111817E-4</v>
      </c>
    </row>
    <row r="1086" spans="2:8" ht="14.25" customHeight="1" x14ac:dyDescent="0.3">
      <c r="B1086" s="105" t="s">
        <v>1328</v>
      </c>
      <c r="C1086" s="105">
        <v>364.3</v>
      </c>
      <c r="D1086" s="3">
        <f t="shared" si="32"/>
        <v>1.4057063326374422E-2</v>
      </c>
      <c r="F1086" s="106">
        <v>45887</v>
      </c>
      <c r="G1086" s="107">
        <v>24876.94921875</v>
      </c>
      <c r="H1086" s="110">
        <f t="shared" si="33"/>
        <v>9.9730192766349594E-3</v>
      </c>
    </row>
    <row r="1087" spans="2:8" ht="14.25" customHeight="1" x14ac:dyDescent="0.3">
      <c r="B1087" s="105" t="s">
        <v>1329</v>
      </c>
      <c r="C1087" s="105">
        <v>363.85</v>
      </c>
      <c r="D1087" s="3">
        <f t="shared" si="32"/>
        <v>-1.2352456766401006E-3</v>
      </c>
      <c r="F1087" s="106">
        <v>45888</v>
      </c>
      <c r="G1087" s="107">
        <v>24980.650390625</v>
      </c>
      <c r="H1087" s="109">
        <f t="shared" si="33"/>
        <v>4.1685646806256856E-3</v>
      </c>
    </row>
    <row r="1088" spans="2:8" ht="14.25" customHeight="1" x14ac:dyDescent="0.3">
      <c r="B1088" s="105" t="s">
        <v>1330</v>
      </c>
      <c r="C1088" s="105">
        <v>359.45</v>
      </c>
      <c r="D1088" s="3">
        <f t="shared" si="32"/>
        <v>-1.2092895423938529E-2</v>
      </c>
      <c r="F1088" s="106">
        <v>45889</v>
      </c>
      <c r="G1088" s="107">
        <v>25050.55078125</v>
      </c>
      <c r="H1088" s="110">
        <f t="shared" si="33"/>
        <v>2.7981813736616301E-3</v>
      </c>
    </row>
    <row r="1089" spans="2:8" ht="14.25" customHeight="1" x14ac:dyDescent="0.3">
      <c r="B1089" s="105" t="s">
        <v>1331</v>
      </c>
      <c r="C1089" s="105">
        <v>357.75</v>
      </c>
      <c r="D1089" s="3">
        <f t="shared" si="32"/>
        <v>-4.7294477674224194E-3</v>
      </c>
      <c r="F1089" s="106">
        <v>45890</v>
      </c>
      <c r="G1089" s="107">
        <v>25083.75</v>
      </c>
      <c r="H1089" s="109">
        <f t="shared" si="33"/>
        <v>1.325288974278728E-3</v>
      </c>
    </row>
    <row r="1090" spans="2:8" ht="14.25" customHeight="1" x14ac:dyDescent="0.3">
      <c r="B1090" s="105" t="s">
        <v>1332</v>
      </c>
      <c r="C1090" s="105">
        <v>359.5</v>
      </c>
      <c r="D1090" s="3">
        <f t="shared" si="32"/>
        <v>4.8916841369671558E-3</v>
      </c>
      <c r="F1090" s="106">
        <v>45891</v>
      </c>
      <c r="G1090" s="107">
        <v>24870.099609375</v>
      </c>
      <c r="H1090" s="110">
        <f t="shared" si="33"/>
        <v>-8.5174820600986689E-3</v>
      </c>
    </row>
    <row r="1091" spans="2:8" ht="14.25" customHeight="1" x14ac:dyDescent="0.3">
      <c r="B1091" s="105" t="s">
        <v>1333</v>
      </c>
      <c r="C1091" s="105">
        <v>359.95</v>
      </c>
      <c r="D1091" s="3">
        <f t="shared" si="32"/>
        <v>1.2517385257301492E-3</v>
      </c>
      <c r="F1091" s="106">
        <v>45894</v>
      </c>
      <c r="G1091" s="107">
        <v>24967.75</v>
      </c>
      <c r="H1091" s="109">
        <f t="shared" si="33"/>
        <v>3.9264173509055761E-3</v>
      </c>
    </row>
    <row r="1092" spans="2:8" ht="14.25" customHeight="1" x14ac:dyDescent="0.3">
      <c r="B1092" s="105" t="s">
        <v>1334</v>
      </c>
      <c r="C1092" s="105">
        <v>358.3</v>
      </c>
      <c r="D1092" s="3">
        <f t="shared" si="32"/>
        <v>-4.5839699958326917E-3</v>
      </c>
      <c r="F1092" s="106">
        <v>45895</v>
      </c>
      <c r="G1092" s="107">
        <v>24712.05078125</v>
      </c>
      <c r="H1092" s="110">
        <f t="shared" si="33"/>
        <v>-1.0241179872034925E-2</v>
      </c>
    </row>
    <row r="1093" spans="2:8" ht="14.25" customHeight="1" x14ac:dyDescent="0.3">
      <c r="B1093" s="105" t="s">
        <v>1335</v>
      </c>
      <c r="C1093" s="105">
        <v>353.25</v>
      </c>
      <c r="D1093" s="3">
        <f t="shared" ref="D1093:D1156" si="34">(C1093-C1092)/C1092</f>
        <v>-1.4094334356684375E-2</v>
      </c>
      <c r="F1093" s="106">
        <v>45897</v>
      </c>
      <c r="G1093" s="107">
        <v>24500.900390625</v>
      </c>
      <c r="H1093" s="109">
        <f t="shared" ref="H1093:H1156" si="35">(G1093-G1092)/G1092</f>
        <v>-8.5444301039235507E-3</v>
      </c>
    </row>
    <row r="1094" spans="2:8" ht="14.25" customHeight="1" x14ac:dyDescent="0.3">
      <c r="B1094" s="105" t="s">
        <v>1336</v>
      </c>
      <c r="C1094" s="105">
        <v>348.35</v>
      </c>
      <c r="D1094" s="3">
        <f t="shared" si="34"/>
        <v>-1.3871196036801068E-2</v>
      </c>
      <c r="F1094" s="106">
        <v>45898</v>
      </c>
      <c r="G1094" s="107">
        <v>24426.849609375</v>
      </c>
      <c r="H1094" s="110">
        <f t="shared" si="35"/>
        <v>-3.0223697933295024E-3</v>
      </c>
    </row>
    <row r="1095" spans="2:8" ht="14.25" customHeight="1" x14ac:dyDescent="0.3">
      <c r="B1095" s="105" t="s">
        <v>1337</v>
      </c>
      <c r="C1095" s="105">
        <v>352.55</v>
      </c>
      <c r="D1095" s="3">
        <f t="shared" si="34"/>
        <v>1.2056839385675294E-2</v>
      </c>
      <c r="F1095" s="106">
        <v>45901</v>
      </c>
      <c r="G1095" s="107">
        <v>24625.05078125</v>
      </c>
      <c r="H1095" s="109">
        <f t="shared" si="35"/>
        <v>8.1140701746053485E-3</v>
      </c>
    </row>
    <row r="1096" spans="2:8" ht="14.25" customHeight="1" x14ac:dyDescent="0.3">
      <c r="B1096" s="105" t="s">
        <v>1338</v>
      </c>
      <c r="C1096" s="105">
        <v>356.1</v>
      </c>
      <c r="D1096" s="3">
        <f t="shared" si="34"/>
        <v>1.0069493688838494E-2</v>
      </c>
      <c r="F1096" s="106">
        <v>45902</v>
      </c>
      <c r="G1096" s="107">
        <v>24579.599609375</v>
      </c>
      <c r="H1096" s="110">
        <f t="shared" si="35"/>
        <v>-1.8457290617896885E-3</v>
      </c>
    </row>
    <row r="1097" spans="2:8" ht="14.25" customHeight="1" x14ac:dyDescent="0.3">
      <c r="B1097" s="105" t="s">
        <v>1339</v>
      </c>
      <c r="C1097" s="105">
        <v>361.55</v>
      </c>
      <c r="D1097" s="3">
        <f t="shared" si="34"/>
        <v>1.5304689693906174E-2</v>
      </c>
      <c r="F1097" s="106">
        <v>45903</v>
      </c>
      <c r="G1097" s="107">
        <v>24715.05078125</v>
      </c>
      <c r="H1097" s="109">
        <f t="shared" si="35"/>
        <v>5.5107151470171652E-3</v>
      </c>
    </row>
    <row r="1098" spans="2:8" ht="14.25" customHeight="1" x14ac:dyDescent="0.3">
      <c r="B1098" s="105" t="s">
        <v>1340</v>
      </c>
      <c r="C1098" s="105">
        <v>356.85</v>
      </c>
      <c r="D1098" s="3">
        <f t="shared" si="34"/>
        <v>-1.299958511962381E-2</v>
      </c>
      <c r="F1098" s="106">
        <v>45904</v>
      </c>
      <c r="G1098" s="107">
        <v>24734.30078125</v>
      </c>
      <c r="H1098" s="110">
        <f t="shared" si="35"/>
        <v>7.7887762280480347E-4</v>
      </c>
    </row>
    <row r="1099" spans="2:8" ht="14.25" customHeight="1" x14ac:dyDescent="0.3">
      <c r="B1099" s="105" t="s">
        <v>1341</v>
      </c>
      <c r="C1099" s="105">
        <v>363.7</v>
      </c>
      <c r="D1099" s="3">
        <f t="shared" si="34"/>
        <v>1.9195740507215821E-2</v>
      </c>
      <c r="F1099" s="106">
        <v>45905</v>
      </c>
      <c r="G1099" s="107">
        <v>24741</v>
      </c>
      <c r="H1099" s="109">
        <f t="shared" si="35"/>
        <v>2.708473067117542E-4</v>
      </c>
    </row>
    <row r="1100" spans="2:8" ht="14.25" customHeight="1" x14ac:dyDescent="0.3">
      <c r="B1100" s="105" t="s">
        <v>1342</v>
      </c>
      <c r="C1100" s="105">
        <v>364.15</v>
      </c>
      <c r="D1100" s="3">
        <f t="shared" si="34"/>
        <v>1.2372834753917753E-3</v>
      </c>
      <c r="F1100" s="106">
        <v>45908</v>
      </c>
      <c r="G1100" s="107">
        <v>24773.150390625</v>
      </c>
      <c r="H1100" s="110">
        <f t="shared" si="35"/>
        <v>1.2994782193524919E-3</v>
      </c>
    </row>
    <row r="1101" spans="2:8" ht="14.25" customHeight="1" x14ac:dyDescent="0.3">
      <c r="B1101" s="105" t="s">
        <v>1343</v>
      </c>
      <c r="C1101" s="105">
        <v>364.5</v>
      </c>
      <c r="D1101" s="3">
        <f t="shared" si="34"/>
        <v>9.6114238637930182E-4</v>
      </c>
      <c r="F1101" s="106">
        <v>45909</v>
      </c>
      <c r="G1101" s="107">
        <v>24868.599609375</v>
      </c>
      <c r="H1101" s="109">
        <f t="shared" si="35"/>
        <v>3.852930178235273E-3</v>
      </c>
    </row>
    <row r="1102" spans="2:8" ht="14.25" customHeight="1" x14ac:dyDescent="0.3">
      <c r="B1102" s="105" t="s">
        <v>1344</v>
      </c>
      <c r="C1102" s="105">
        <v>364.2</v>
      </c>
      <c r="D1102" s="3">
        <f t="shared" si="34"/>
        <v>-8.2304526748974314E-4</v>
      </c>
      <c r="F1102" s="106">
        <v>45910</v>
      </c>
      <c r="G1102" s="107">
        <v>24973.099609375</v>
      </c>
      <c r="H1102" s="110">
        <f t="shared" si="35"/>
        <v>4.20208623088714E-3</v>
      </c>
    </row>
    <row r="1103" spans="2:8" ht="14.25" customHeight="1" x14ac:dyDescent="0.3">
      <c r="B1103" s="105" t="s">
        <v>1345</v>
      </c>
      <c r="C1103" s="105">
        <v>364.05</v>
      </c>
      <c r="D1103" s="3">
        <f t="shared" si="34"/>
        <v>-4.1186161449746639E-4</v>
      </c>
      <c r="F1103" s="106">
        <v>45911</v>
      </c>
      <c r="G1103" s="107">
        <v>25005.5</v>
      </c>
      <c r="H1103" s="109">
        <f t="shared" si="35"/>
        <v>1.2974116602184522E-3</v>
      </c>
    </row>
    <row r="1104" spans="2:8" ht="14.25" customHeight="1" x14ac:dyDescent="0.3">
      <c r="B1104" s="105" t="s">
        <v>1346</v>
      </c>
      <c r="C1104" s="105">
        <v>365.2</v>
      </c>
      <c r="D1104" s="3">
        <f t="shared" si="34"/>
        <v>3.1589067435791162E-3</v>
      </c>
      <c r="F1104" s="106">
        <v>45912</v>
      </c>
      <c r="G1104" s="107">
        <v>25114</v>
      </c>
      <c r="H1104" s="110">
        <f t="shared" si="35"/>
        <v>4.3390454100097975E-3</v>
      </c>
    </row>
    <row r="1105" spans="2:8" ht="14.25" customHeight="1" x14ac:dyDescent="0.3">
      <c r="B1105" s="105" t="s">
        <v>1347</v>
      </c>
      <c r="C1105" s="105">
        <v>358.25</v>
      </c>
      <c r="D1105" s="3">
        <f t="shared" si="34"/>
        <v>-1.9030668127053639E-2</v>
      </c>
      <c r="F1105" s="106">
        <v>45915</v>
      </c>
      <c r="G1105" s="107">
        <v>25069.19921875</v>
      </c>
      <c r="H1105" s="109">
        <f t="shared" si="35"/>
        <v>-1.7838966811340288E-3</v>
      </c>
    </row>
    <row r="1106" spans="2:8" ht="14.25" customHeight="1" x14ac:dyDescent="0.3">
      <c r="B1106" s="105" t="s">
        <v>1348</v>
      </c>
      <c r="C1106" s="105">
        <v>360.2</v>
      </c>
      <c r="D1106" s="3">
        <f t="shared" si="34"/>
        <v>5.4431263084437926E-3</v>
      </c>
      <c r="F1106" s="106">
        <v>45916</v>
      </c>
      <c r="G1106" s="107">
        <v>25239.099609375</v>
      </c>
      <c r="H1106" s="110">
        <f t="shared" si="35"/>
        <v>6.7772563910987009E-3</v>
      </c>
    </row>
    <row r="1107" spans="2:8" ht="14.25" customHeight="1" x14ac:dyDescent="0.3">
      <c r="B1107" s="105" t="s">
        <v>1349</v>
      </c>
      <c r="C1107" s="105">
        <v>354.35</v>
      </c>
      <c r="D1107" s="3">
        <f t="shared" si="34"/>
        <v>-1.6240977234869423E-2</v>
      </c>
      <c r="F1107" s="106">
        <v>45917</v>
      </c>
      <c r="G1107" s="107">
        <v>25330.25</v>
      </c>
      <c r="H1107" s="109">
        <f t="shared" si="35"/>
        <v>3.6114755294654973E-3</v>
      </c>
    </row>
    <row r="1108" spans="2:8" ht="14.25" customHeight="1" x14ac:dyDescent="0.3">
      <c r="B1108" s="105" t="s">
        <v>1350</v>
      </c>
      <c r="C1108" s="105">
        <v>368.4</v>
      </c>
      <c r="D1108" s="3">
        <f t="shared" si="34"/>
        <v>3.9650063496542834E-2</v>
      </c>
      <c r="F1108" s="106">
        <v>45918</v>
      </c>
      <c r="G1108" s="107">
        <v>25423.599609375</v>
      </c>
      <c r="H1108" s="110">
        <f t="shared" si="35"/>
        <v>3.6853015416350018E-3</v>
      </c>
    </row>
    <row r="1109" spans="2:8" ht="14.25" customHeight="1" x14ac:dyDescent="0.3">
      <c r="B1109" s="105" t="s">
        <v>1351</v>
      </c>
      <c r="C1109" s="105">
        <v>369.2</v>
      </c>
      <c r="D1109" s="3">
        <f t="shared" si="34"/>
        <v>2.1715526601520396E-3</v>
      </c>
      <c r="F1109" s="106">
        <v>45919</v>
      </c>
      <c r="G1109" s="107">
        <v>25327.05078125</v>
      </c>
      <c r="H1109" s="109">
        <f t="shared" si="35"/>
        <v>-3.7976065391384403E-3</v>
      </c>
    </row>
    <row r="1110" spans="2:8" ht="14.25" customHeight="1" x14ac:dyDescent="0.3">
      <c r="B1110" s="105" t="s">
        <v>1352</v>
      </c>
      <c r="C1110" s="105">
        <v>362.15</v>
      </c>
      <c r="D1110" s="3">
        <f t="shared" si="34"/>
        <v>-1.9095341278439901E-2</v>
      </c>
      <c r="F1110" s="106">
        <v>45922</v>
      </c>
      <c r="G1110" s="107">
        <v>25202.349609375</v>
      </c>
      <c r="H1110" s="110">
        <f t="shared" si="35"/>
        <v>-4.9236357186648108E-3</v>
      </c>
    </row>
    <row r="1111" spans="2:8" ht="14.25" customHeight="1" x14ac:dyDescent="0.3">
      <c r="B1111" s="105" t="s">
        <v>1353</v>
      </c>
      <c r="C1111" s="105">
        <v>359.5</v>
      </c>
      <c r="D1111" s="3">
        <f t="shared" si="34"/>
        <v>-7.3174099130194044E-3</v>
      </c>
      <c r="F1111" s="106">
        <v>45923</v>
      </c>
      <c r="G1111" s="107">
        <v>25169.5</v>
      </c>
      <c r="H1111" s="109">
        <f t="shared" si="35"/>
        <v>-1.3034343973539794E-3</v>
      </c>
    </row>
    <row r="1112" spans="2:8" ht="14.25" customHeight="1" x14ac:dyDescent="0.3">
      <c r="B1112" s="105" t="s">
        <v>1354</v>
      </c>
      <c r="C1112" s="105">
        <v>358.95</v>
      </c>
      <c r="D1112" s="3">
        <f t="shared" si="34"/>
        <v>-1.5299026425591414E-3</v>
      </c>
      <c r="F1112" s="106">
        <v>45924</v>
      </c>
      <c r="G1112" s="107">
        <v>25056.900390625</v>
      </c>
      <c r="H1112" s="110">
        <f t="shared" si="35"/>
        <v>-4.4736530076084149E-3</v>
      </c>
    </row>
    <row r="1113" spans="2:8" ht="14.25" customHeight="1" x14ac:dyDescent="0.3">
      <c r="B1113" s="105" t="s">
        <v>1355</v>
      </c>
      <c r="C1113" s="105">
        <v>355.95</v>
      </c>
      <c r="D1113" s="3">
        <f t="shared" si="34"/>
        <v>-8.3577099874634353E-3</v>
      </c>
      <c r="F1113" s="106">
        <v>45925</v>
      </c>
      <c r="G1113" s="107">
        <v>24890.849609375</v>
      </c>
      <c r="H1113" s="109">
        <f t="shared" si="35"/>
        <v>-6.6269482123226878E-3</v>
      </c>
    </row>
    <row r="1114" spans="2:8" ht="14.25" customHeight="1" x14ac:dyDescent="0.3">
      <c r="B1114" s="105" t="s">
        <v>1356</v>
      </c>
      <c r="C1114" s="105">
        <v>338.9</v>
      </c>
      <c r="D1114" s="3">
        <f t="shared" si="34"/>
        <v>-4.7899985953083334E-2</v>
      </c>
      <c r="F1114" s="106">
        <v>45926</v>
      </c>
      <c r="G1114" s="107">
        <v>24654.69921875</v>
      </c>
      <c r="H1114" s="110">
        <f t="shared" si="35"/>
        <v>-9.4874379272315099E-3</v>
      </c>
    </row>
    <row r="1115" spans="2:8" ht="14.25" customHeight="1" x14ac:dyDescent="0.3">
      <c r="B1115" s="105" t="s">
        <v>1357</v>
      </c>
      <c r="C1115" s="105">
        <v>340.15</v>
      </c>
      <c r="D1115" s="3">
        <f t="shared" si="34"/>
        <v>3.6884036588964299E-3</v>
      </c>
      <c r="F1115" s="106">
        <v>45929</v>
      </c>
      <c r="G1115" s="107">
        <v>24634.900390625</v>
      </c>
      <c r="H1115" s="109">
        <f t="shared" si="35"/>
        <v>-8.030448049409952E-4</v>
      </c>
    </row>
    <row r="1116" spans="2:8" ht="14.25" customHeight="1" x14ac:dyDescent="0.3">
      <c r="B1116" s="105" t="s">
        <v>1358</v>
      </c>
      <c r="C1116" s="105">
        <v>341</v>
      </c>
      <c r="D1116" s="3">
        <f t="shared" si="34"/>
        <v>2.4988975452007139E-3</v>
      </c>
      <c r="F1116" s="106">
        <v>45930</v>
      </c>
      <c r="G1116" s="107">
        <v>24611.099609375</v>
      </c>
      <c r="H1116" s="110">
        <f t="shared" si="35"/>
        <v>-9.6614075448251335E-4</v>
      </c>
    </row>
    <row r="1117" spans="2:8" ht="14.25" customHeight="1" x14ac:dyDescent="0.3">
      <c r="B1117" s="105" t="s">
        <v>1359</v>
      </c>
      <c r="C1117" s="105">
        <v>346.45</v>
      </c>
      <c r="D1117" s="3">
        <f t="shared" si="34"/>
        <v>1.5982404692082078E-2</v>
      </c>
      <c r="F1117" s="106">
        <v>45931</v>
      </c>
      <c r="G1117" s="107">
        <v>24836.30078125</v>
      </c>
      <c r="H1117" s="109">
        <f t="shared" si="35"/>
        <v>9.1503904924758045E-3</v>
      </c>
    </row>
    <row r="1118" spans="2:8" ht="14.25" customHeight="1" x14ac:dyDescent="0.3">
      <c r="B1118" s="105" t="s">
        <v>1360</v>
      </c>
      <c r="C1118" s="105">
        <v>352.25</v>
      </c>
      <c r="D1118" s="3">
        <f t="shared" si="34"/>
        <v>1.6741232501082441E-2</v>
      </c>
      <c r="F1118" s="106">
        <v>45933</v>
      </c>
      <c r="G1118" s="107">
        <v>24894.25</v>
      </c>
      <c r="H1118" s="110">
        <f t="shared" si="35"/>
        <v>2.3332467769817144E-3</v>
      </c>
    </row>
    <row r="1119" spans="2:8" ht="14.25" customHeight="1" x14ac:dyDescent="0.3">
      <c r="B1119" s="105" t="s">
        <v>1361</v>
      </c>
      <c r="C1119" s="105">
        <v>347.75</v>
      </c>
      <c r="D1119" s="3">
        <f t="shared" si="34"/>
        <v>-1.2775017743080199E-2</v>
      </c>
      <c r="F1119" s="106">
        <v>45936</v>
      </c>
      <c r="G1119" s="107">
        <v>25077.650390625</v>
      </c>
      <c r="H1119" s="109">
        <f t="shared" si="35"/>
        <v>7.3671787912871446E-3</v>
      </c>
    </row>
    <row r="1120" spans="2:8" ht="14.25" customHeight="1" x14ac:dyDescent="0.3">
      <c r="B1120" s="105" t="s">
        <v>1362</v>
      </c>
      <c r="C1120" s="105">
        <v>347.8</v>
      </c>
      <c r="D1120" s="3">
        <f t="shared" si="34"/>
        <v>1.4378145219269984E-4</v>
      </c>
      <c r="F1120" s="106">
        <v>45937</v>
      </c>
      <c r="G1120" s="107">
        <v>25108.30078125</v>
      </c>
      <c r="H1120" s="110">
        <f t="shared" si="35"/>
        <v>1.2222193924698109E-3</v>
      </c>
    </row>
    <row r="1121" spans="2:8" ht="14.25" customHeight="1" x14ac:dyDescent="0.3">
      <c r="B1121" s="105" t="s">
        <v>1363</v>
      </c>
      <c r="C1121" s="105">
        <v>349</v>
      </c>
      <c r="D1121" s="3">
        <f t="shared" si="34"/>
        <v>3.4502587694076729E-3</v>
      </c>
      <c r="F1121" s="106">
        <v>45938</v>
      </c>
      <c r="G1121" s="107">
        <v>25046.150390625</v>
      </c>
      <c r="H1121" s="109">
        <f t="shared" si="35"/>
        <v>-2.4752925801897249E-3</v>
      </c>
    </row>
    <row r="1122" spans="2:8" ht="14.25" customHeight="1" x14ac:dyDescent="0.3">
      <c r="B1122" s="105" t="s">
        <v>1364</v>
      </c>
      <c r="C1122" s="105">
        <v>352.5</v>
      </c>
      <c r="D1122" s="3">
        <f t="shared" si="34"/>
        <v>1.0028653295128941E-2</v>
      </c>
      <c r="F1122" s="106">
        <v>45939</v>
      </c>
      <c r="G1122" s="107">
        <v>25181.80078125</v>
      </c>
      <c r="H1122" s="110">
        <f t="shared" si="35"/>
        <v>5.4160175719369296E-3</v>
      </c>
    </row>
    <row r="1123" spans="2:8" ht="14.25" customHeight="1" x14ac:dyDescent="0.3">
      <c r="B1123" s="105" t="s">
        <v>1365</v>
      </c>
      <c r="C1123" s="105">
        <v>353.45</v>
      </c>
      <c r="D1123" s="3">
        <f t="shared" si="34"/>
        <v>2.6950354609928755E-3</v>
      </c>
      <c r="F1123" s="106">
        <v>45940</v>
      </c>
      <c r="G1123" s="107">
        <v>25285.349609375</v>
      </c>
      <c r="H1123" s="109">
        <f t="shared" si="35"/>
        <v>4.1120501676790702E-3</v>
      </c>
    </row>
    <row r="1124" spans="2:8" ht="14.25" customHeight="1" x14ac:dyDescent="0.3">
      <c r="B1124" s="105" t="s">
        <v>1366</v>
      </c>
      <c r="C1124" s="105">
        <v>349.4</v>
      </c>
      <c r="D1124" s="3">
        <f t="shared" si="34"/>
        <v>-1.1458480690338129E-2</v>
      </c>
      <c r="F1124" s="106">
        <v>45943</v>
      </c>
      <c r="G1124" s="107">
        <v>25227.349609375</v>
      </c>
      <c r="H1124" s="110">
        <f t="shared" si="35"/>
        <v>-2.2938183927065595E-3</v>
      </c>
    </row>
    <row r="1125" spans="2:8" ht="14.25" customHeight="1" x14ac:dyDescent="0.3">
      <c r="B1125" s="105" t="s">
        <v>1367</v>
      </c>
      <c r="C1125" s="105">
        <v>351.85</v>
      </c>
      <c r="D1125" s="3">
        <f t="shared" si="34"/>
        <v>7.0120206067545666E-3</v>
      </c>
      <c r="F1125" s="106">
        <v>45944</v>
      </c>
      <c r="G1125" s="107">
        <v>25145.5</v>
      </c>
      <c r="H1125" s="109">
        <f t="shared" si="35"/>
        <v>-3.2444791324643557E-3</v>
      </c>
    </row>
    <row r="1126" spans="2:8" ht="14.25" customHeight="1" x14ac:dyDescent="0.3">
      <c r="B1126" s="105" t="s">
        <v>1368</v>
      </c>
      <c r="C1126" s="105">
        <v>356.4</v>
      </c>
      <c r="D1126" s="3">
        <f t="shared" si="34"/>
        <v>1.2931647008668336E-2</v>
      </c>
      <c r="F1126" s="106">
        <v>45945</v>
      </c>
      <c r="G1126" s="107">
        <v>25323.55078125</v>
      </c>
      <c r="H1126" s="110">
        <f t="shared" si="35"/>
        <v>7.0808208725219226E-3</v>
      </c>
    </row>
    <row r="1127" spans="2:8" ht="14.25" customHeight="1" x14ac:dyDescent="0.3">
      <c r="B1127" s="105" t="s">
        <v>1369</v>
      </c>
      <c r="C1127" s="105">
        <v>358.2</v>
      </c>
      <c r="D1127" s="3">
        <f t="shared" si="34"/>
        <v>5.050505050505083E-3</v>
      </c>
      <c r="F1127" s="106">
        <v>45946</v>
      </c>
      <c r="G1127" s="107">
        <v>25585.30078125</v>
      </c>
      <c r="H1127" s="109">
        <f t="shared" si="35"/>
        <v>1.0336228211479895E-2</v>
      </c>
    </row>
    <row r="1128" spans="2:8" ht="14.25" customHeight="1" x14ac:dyDescent="0.3">
      <c r="B1128" s="105" t="s">
        <v>1370</v>
      </c>
      <c r="C1128" s="105">
        <v>356.15</v>
      </c>
      <c r="D1128" s="3">
        <f t="shared" si="34"/>
        <v>-5.7230597431602772E-3</v>
      </c>
      <c r="F1128" s="106">
        <v>45947</v>
      </c>
      <c r="G1128" s="107">
        <v>25709.849609375</v>
      </c>
      <c r="H1128" s="110">
        <f t="shared" si="35"/>
        <v>4.8679837376105692E-3</v>
      </c>
    </row>
    <row r="1129" spans="2:8" ht="14.25" customHeight="1" x14ac:dyDescent="0.3">
      <c r="B1129" s="105" t="s">
        <v>1371</v>
      </c>
      <c r="C1129" s="105">
        <v>364.3</v>
      </c>
      <c r="D1129" s="3">
        <f t="shared" si="34"/>
        <v>2.2883616453741498E-2</v>
      </c>
      <c r="F1129" s="106">
        <v>45950</v>
      </c>
      <c r="G1129" s="107">
        <v>25843.150390625</v>
      </c>
      <c r="H1129" s="109">
        <f t="shared" si="35"/>
        <v>5.1848137299641134E-3</v>
      </c>
    </row>
    <row r="1130" spans="2:8" ht="14.25" customHeight="1" x14ac:dyDescent="0.3">
      <c r="B1130" s="105" t="s">
        <v>1372</v>
      </c>
      <c r="C1130" s="105">
        <v>366.1</v>
      </c>
      <c r="D1130" s="3">
        <f t="shared" si="34"/>
        <v>4.9409827065605583E-3</v>
      </c>
      <c r="F1130" s="106">
        <v>45951</v>
      </c>
      <c r="G1130" s="107">
        <v>25868.599609375</v>
      </c>
      <c r="H1130" s="110">
        <f t="shared" si="35"/>
        <v>9.8475682590277742E-4</v>
      </c>
    </row>
    <row r="1131" spans="2:8" ht="14.25" customHeight="1" x14ac:dyDescent="0.3">
      <c r="B1131" s="105" t="s">
        <v>1373</v>
      </c>
      <c r="C1131" s="105">
        <v>362.3</v>
      </c>
      <c r="D1131" s="3">
        <f t="shared" si="34"/>
        <v>-1.0379677683693011E-2</v>
      </c>
      <c r="F1131" s="106">
        <v>45953</v>
      </c>
      <c r="G1131" s="107">
        <v>25891.400390625</v>
      </c>
      <c r="H1131" s="109">
        <f t="shared" si="35"/>
        <v>8.8140763683770514E-4</v>
      </c>
    </row>
    <row r="1132" spans="2:8" ht="14.25" customHeight="1" x14ac:dyDescent="0.3">
      <c r="B1132" s="105" t="s">
        <v>1374</v>
      </c>
      <c r="C1132" s="105">
        <v>359.5</v>
      </c>
      <c r="D1132" s="3">
        <f t="shared" si="34"/>
        <v>-7.7284018768976302E-3</v>
      </c>
      <c r="F1132" s="106">
        <v>45954</v>
      </c>
      <c r="G1132" s="107">
        <v>25795.150390625</v>
      </c>
      <c r="H1132" s="110">
        <f t="shared" si="35"/>
        <v>-3.7174505259611641E-3</v>
      </c>
    </row>
    <row r="1133" spans="2:8" ht="14.25" customHeight="1" x14ac:dyDescent="0.3">
      <c r="B1133" s="105" t="s">
        <v>1375</v>
      </c>
      <c r="C1133" s="105">
        <v>360.45</v>
      </c>
      <c r="D1133" s="3">
        <f t="shared" si="34"/>
        <v>2.6425591098747946E-3</v>
      </c>
      <c r="F1133" s="106">
        <v>45957</v>
      </c>
      <c r="G1133" s="107">
        <v>25966.05078125</v>
      </c>
      <c r="H1133" s="109">
        <f t="shared" si="35"/>
        <v>6.6252915000298701E-3</v>
      </c>
    </row>
    <row r="1134" spans="2:8" ht="14.25" customHeight="1" x14ac:dyDescent="0.3">
      <c r="B1134" s="105" t="s">
        <v>1376</v>
      </c>
      <c r="C1134" s="105">
        <v>365.75</v>
      </c>
      <c r="D1134" s="3">
        <f t="shared" si="34"/>
        <v>1.4703842419198256E-2</v>
      </c>
      <c r="F1134" s="106">
        <v>45958</v>
      </c>
      <c r="G1134" s="107">
        <v>25936.19921875</v>
      </c>
      <c r="H1134" s="110">
        <f t="shared" si="35"/>
        <v>-1.1496381468049702E-3</v>
      </c>
    </row>
    <row r="1135" spans="2:8" ht="14.25" customHeight="1" x14ac:dyDescent="0.3">
      <c r="B1135" s="105" t="s">
        <v>1377</v>
      </c>
      <c r="C1135" s="105">
        <v>373.7</v>
      </c>
      <c r="D1135" s="3">
        <f t="shared" si="34"/>
        <v>2.173615857826381E-2</v>
      </c>
      <c r="F1135" s="106">
        <v>45959</v>
      </c>
      <c r="G1135" s="107">
        <v>26053.900390625</v>
      </c>
      <c r="H1135" s="109">
        <f t="shared" si="35"/>
        <v>4.5381040946782421E-3</v>
      </c>
    </row>
    <row r="1136" spans="2:8" ht="14.25" customHeight="1" x14ac:dyDescent="0.3">
      <c r="B1136" s="105" t="s">
        <v>1378</v>
      </c>
      <c r="C1136" s="105">
        <v>376.6</v>
      </c>
      <c r="D1136" s="3">
        <f t="shared" si="34"/>
        <v>7.7602354830078515E-3</v>
      </c>
      <c r="F1136" s="106">
        <v>45960</v>
      </c>
      <c r="G1136" s="107">
        <v>25877.849609375</v>
      </c>
      <c r="H1136" s="110">
        <f t="shared" si="35"/>
        <v>-6.7571756478100502E-3</v>
      </c>
    </row>
    <row r="1137" spans="2:8" ht="14.25" customHeight="1" x14ac:dyDescent="0.3">
      <c r="B1137" s="105" t="s">
        <v>1379</v>
      </c>
      <c r="C1137" s="105">
        <v>372.1</v>
      </c>
      <c r="D1137" s="3">
        <f t="shared" si="34"/>
        <v>-1.1949017525225702E-2</v>
      </c>
      <c r="F1137" s="106">
        <v>45961</v>
      </c>
      <c r="G1137" s="107">
        <v>25722.099609375</v>
      </c>
      <c r="H1137" s="109">
        <f t="shared" si="35"/>
        <v>-6.0186608373972101E-3</v>
      </c>
    </row>
    <row r="1138" spans="2:8" ht="14.25" customHeight="1" x14ac:dyDescent="0.3">
      <c r="B1138" s="105" t="s">
        <v>1380</v>
      </c>
      <c r="C1138" s="105">
        <v>377.15</v>
      </c>
      <c r="D1138" s="3">
        <f t="shared" si="34"/>
        <v>1.35716205321149E-2</v>
      </c>
      <c r="F1138" s="106">
        <v>45964</v>
      </c>
      <c r="G1138" s="107">
        <v>25763.349609375</v>
      </c>
      <c r="H1138" s="110">
        <f t="shared" si="35"/>
        <v>1.6036793506920993E-3</v>
      </c>
    </row>
    <row r="1139" spans="2:8" ht="14.25" customHeight="1" x14ac:dyDescent="0.3">
      <c r="B1139" s="105" t="s">
        <v>1381</v>
      </c>
      <c r="C1139" s="105">
        <v>380.5</v>
      </c>
      <c r="D1139" s="3">
        <f t="shared" si="34"/>
        <v>8.8824075301604747E-3</v>
      </c>
      <c r="F1139" s="106">
        <v>45965</v>
      </c>
      <c r="G1139" s="107">
        <v>25597.650390625</v>
      </c>
      <c r="H1139" s="109">
        <f t="shared" si="35"/>
        <v>-6.4315867797603409E-3</v>
      </c>
    </row>
    <row r="1140" spans="2:8" ht="14.25" customHeight="1" x14ac:dyDescent="0.3">
      <c r="B1140" s="105" t="s">
        <v>1382</v>
      </c>
      <c r="C1140" s="105">
        <v>385.2</v>
      </c>
      <c r="D1140" s="3">
        <f t="shared" si="34"/>
        <v>1.2352168199737158E-2</v>
      </c>
      <c r="F1140" s="106">
        <v>45967</v>
      </c>
      <c r="G1140" s="107">
        <v>25509.69921875</v>
      </c>
      <c r="H1140" s="110">
        <f t="shared" si="35"/>
        <v>-3.4359080045569977E-3</v>
      </c>
    </row>
    <row r="1141" spans="2:8" ht="14.25" customHeight="1" x14ac:dyDescent="0.3">
      <c r="B1141" s="105" t="s">
        <v>1383</v>
      </c>
      <c r="C1141" s="105">
        <v>380.4</v>
      </c>
      <c r="D1141" s="3">
        <f t="shared" si="34"/>
        <v>-1.2461059190031182E-2</v>
      </c>
      <c r="F1141" s="106">
        <v>45968</v>
      </c>
      <c r="G1141" s="107">
        <v>25492.30078125</v>
      </c>
      <c r="H1141" s="109">
        <f t="shared" si="35"/>
        <v>-6.8203224784445498E-4</v>
      </c>
    </row>
    <row r="1142" spans="2:8" ht="14.25" customHeight="1" x14ac:dyDescent="0.3">
      <c r="B1142" s="105" t="s">
        <v>1384</v>
      </c>
      <c r="C1142" s="105">
        <v>382.15</v>
      </c>
      <c r="D1142" s="3">
        <f t="shared" si="34"/>
        <v>4.6004206098843323E-3</v>
      </c>
      <c r="F1142" s="106">
        <v>45971</v>
      </c>
      <c r="G1142" s="107">
        <v>25574.349609375</v>
      </c>
      <c r="H1142" s="110">
        <f t="shared" si="35"/>
        <v>3.2185728871263058E-3</v>
      </c>
    </row>
    <row r="1143" spans="2:8" ht="14.25" customHeight="1" x14ac:dyDescent="0.3">
      <c r="B1143" s="105" t="s">
        <v>1385</v>
      </c>
      <c r="C1143" s="105">
        <v>385.1</v>
      </c>
      <c r="D1143" s="3">
        <f t="shared" si="34"/>
        <v>7.7194818788435052E-3</v>
      </c>
      <c r="F1143" s="106">
        <v>45972</v>
      </c>
      <c r="G1143" s="107">
        <v>25694.94921875</v>
      </c>
      <c r="H1143" s="109">
        <f t="shared" si="35"/>
        <v>4.7156471705849679E-3</v>
      </c>
    </row>
    <row r="1144" spans="2:8" ht="14.25" customHeight="1" x14ac:dyDescent="0.3">
      <c r="B1144" s="105" t="s">
        <v>1386</v>
      </c>
      <c r="C1144" s="105">
        <v>405.9</v>
      </c>
      <c r="D1144" s="3">
        <f t="shared" si="34"/>
        <v>5.4011944949363677E-2</v>
      </c>
      <c r="F1144" s="106">
        <v>45973</v>
      </c>
      <c r="G1144" s="107">
        <v>25875.80078125</v>
      </c>
      <c r="H1144" s="110">
        <f t="shared" si="35"/>
        <v>7.0384090258497119E-3</v>
      </c>
    </row>
    <row r="1145" spans="2:8" ht="14.25" customHeight="1" x14ac:dyDescent="0.3">
      <c r="B1145" s="105" t="s">
        <v>1387</v>
      </c>
      <c r="C1145" s="105">
        <v>417</v>
      </c>
      <c r="D1145" s="3">
        <f t="shared" si="34"/>
        <v>2.734663710273472E-2</v>
      </c>
      <c r="F1145" s="106">
        <v>45974</v>
      </c>
      <c r="G1145" s="107">
        <v>25879.150390625</v>
      </c>
      <c r="H1145" s="109">
        <f t="shared" si="35"/>
        <v>1.2944949620369539E-4</v>
      </c>
    </row>
    <row r="1146" spans="2:8" ht="14.25" customHeight="1" x14ac:dyDescent="0.3">
      <c r="B1146" s="105" t="s">
        <v>1388</v>
      </c>
      <c r="C1146" s="105">
        <v>411.15</v>
      </c>
      <c r="D1146" s="3">
        <f t="shared" si="34"/>
        <v>-1.4028776978417321E-2</v>
      </c>
      <c r="F1146" s="106">
        <v>45975</v>
      </c>
      <c r="G1146" s="107">
        <v>25910.05078125</v>
      </c>
      <c r="H1146" s="110">
        <f t="shared" si="35"/>
        <v>1.1940264714483827E-3</v>
      </c>
    </row>
    <row r="1147" spans="2:8" ht="14.25" customHeight="1" x14ac:dyDescent="0.3">
      <c r="B1147" s="105" t="s">
        <v>1389</v>
      </c>
      <c r="C1147" s="105">
        <v>420.95</v>
      </c>
      <c r="D1147" s="3">
        <f t="shared" si="34"/>
        <v>2.3835583120515657E-2</v>
      </c>
      <c r="F1147" s="106">
        <v>45978</v>
      </c>
      <c r="G1147" s="107">
        <v>26013.44921875</v>
      </c>
      <c r="H1147" s="109">
        <f t="shared" si="35"/>
        <v>3.9906690408659891E-3</v>
      </c>
    </row>
    <row r="1148" spans="2:8" ht="14.25" customHeight="1" x14ac:dyDescent="0.3">
      <c r="B1148" s="105" t="s">
        <v>1390</v>
      </c>
      <c r="C1148" s="105">
        <v>421.6</v>
      </c>
      <c r="D1148" s="3">
        <f t="shared" si="34"/>
        <v>1.5441263808054025E-3</v>
      </c>
      <c r="F1148" s="106">
        <v>45979</v>
      </c>
      <c r="G1148" s="107">
        <v>25910.05078125</v>
      </c>
      <c r="H1148" s="110">
        <f t="shared" si="35"/>
        <v>-3.974806902018682E-3</v>
      </c>
    </row>
    <row r="1149" spans="2:8" ht="14.25" customHeight="1" x14ac:dyDescent="0.3">
      <c r="B1149" s="105" t="s">
        <v>1391</v>
      </c>
      <c r="C1149" s="105">
        <v>410.1</v>
      </c>
      <c r="D1149" s="3">
        <f t="shared" si="34"/>
        <v>-2.7277039848197342E-2</v>
      </c>
      <c r="F1149" s="106">
        <v>45980</v>
      </c>
      <c r="G1149" s="107">
        <v>26052.650390625</v>
      </c>
      <c r="H1149" s="109">
        <f t="shared" si="35"/>
        <v>5.503640675154263E-3</v>
      </c>
    </row>
    <row r="1150" spans="2:8" ht="14.25" customHeight="1" x14ac:dyDescent="0.3">
      <c r="B1150" s="105" t="s">
        <v>1392</v>
      </c>
      <c r="C1150" s="105">
        <v>395.15</v>
      </c>
      <c r="D1150" s="3">
        <f t="shared" si="34"/>
        <v>-3.6454523287003278E-2</v>
      </c>
      <c r="F1150" s="106">
        <v>45981</v>
      </c>
      <c r="G1150" s="107">
        <v>26192.150390625</v>
      </c>
      <c r="H1150" s="110">
        <f t="shared" si="35"/>
        <v>5.3545415882216276E-3</v>
      </c>
    </row>
    <row r="1151" spans="2:8" ht="14.25" customHeight="1" x14ac:dyDescent="0.3">
      <c r="B1151" s="105" t="s">
        <v>1393</v>
      </c>
      <c r="C1151" s="105">
        <v>396.85</v>
      </c>
      <c r="D1151" s="3">
        <f t="shared" si="34"/>
        <v>4.3021637352905111E-3</v>
      </c>
      <c r="F1151" s="106">
        <v>45982</v>
      </c>
      <c r="G1151" s="107">
        <v>26068.150390625</v>
      </c>
      <c r="H1151" s="109">
        <f t="shared" si="35"/>
        <v>-4.7342428227803521E-3</v>
      </c>
    </row>
    <row r="1152" spans="2:8" ht="14.25" customHeight="1" x14ac:dyDescent="0.3">
      <c r="B1152" s="105" t="s">
        <v>1394</v>
      </c>
      <c r="C1152" s="105">
        <v>395.25</v>
      </c>
      <c r="D1152" s="3">
        <f t="shared" si="34"/>
        <v>-4.0317500314981042E-3</v>
      </c>
      <c r="F1152" s="106">
        <v>45985</v>
      </c>
      <c r="G1152" s="107">
        <v>25959.5</v>
      </c>
      <c r="H1152" s="110">
        <f t="shared" si="35"/>
        <v>-4.167936312968119E-3</v>
      </c>
    </row>
    <row r="1153" spans="2:8" ht="14.25" customHeight="1" x14ac:dyDescent="0.3">
      <c r="B1153" s="105" t="s">
        <v>1395</v>
      </c>
      <c r="C1153" s="105">
        <v>393.25</v>
      </c>
      <c r="D1153" s="3">
        <f t="shared" si="34"/>
        <v>-5.0600885515496522E-3</v>
      </c>
      <c r="F1153" s="106">
        <v>45986</v>
      </c>
      <c r="G1153" s="107">
        <v>25884.80078125</v>
      </c>
      <c r="H1153" s="109">
        <f t="shared" si="35"/>
        <v>-2.8775291800689534E-3</v>
      </c>
    </row>
    <row r="1154" spans="2:8" ht="14.25" customHeight="1" x14ac:dyDescent="0.3">
      <c r="B1154" s="105" t="s">
        <v>1396</v>
      </c>
      <c r="C1154" s="105">
        <v>398.45</v>
      </c>
      <c r="D1154" s="3">
        <f t="shared" si="34"/>
        <v>1.3223140495867741E-2</v>
      </c>
      <c r="F1154" s="106">
        <v>45987</v>
      </c>
      <c r="G1154" s="107">
        <v>26205.30078125</v>
      </c>
      <c r="H1154" s="110">
        <f t="shared" si="35"/>
        <v>1.2381783530362669E-2</v>
      </c>
    </row>
    <row r="1155" spans="2:8" ht="14.25" customHeight="1" x14ac:dyDescent="0.3">
      <c r="B1155" s="105" t="s">
        <v>1397</v>
      </c>
      <c r="C1155" s="105">
        <v>399.65</v>
      </c>
      <c r="D1155" s="3">
        <f t="shared" si="34"/>
        <v>3.0116702221106503E-3</v>
      </c>
      <c r="F1155" s="106">
        <v>45988</v>
      </c>
      <c r="G1155" s="107">
        <v>26215.55078125</v>
      </c>
      <c r="H1155" s="109">
        <f t="shared" si="35"/>
        <v>3.9114223818922608E-4</v>
      </c>
    </row>
    <row r="1156" spans="2:8" ht="14.25" customHeight="1" x14ac:dyDescent="0.3">
      <c r="B1156" s="105" t="s">
        <v>1398</v>
      </c>
      <c r="C1156" s="105">
        <v>398.35</v>
      </c>
      <c r="D1156" s="3">
        <f t="shared" si="34"/>
        <v>-3.252846240460289E-3</v>
      </c>
      <c r="F1156" s="106">
        <v>45989</v>
      </c>
      <c r="G1156" s="107">
        <v>26202.94921875</v>
      </c>
      <c r="H1156" s="110">
        <f t="shared" si="35"/>
        <v>-4.8069035837358583E-4</v>
      </c>
    </row>
    <row r="1157" spans="2:8" ht="14.25" customHeight="1" x14ac:dyDescent="0.3">
      <c r="B1157" s="105" t="s">
        <v>1399</v>
      </c>
      <c r="C1157" s="105">
        <v>394.5</v>
      </c>
      <c r="D1157" s="3">
        <f t="shared" ref="D1157:D1220" si="36">(C1157-C1156)/C1156</f>
        <v>-9.6648675787624518E-3</v>
      </c>
      <c r="F1157" s="106">
        <v>45992</v>
      </c>
      <c r="G1157" s="107">
        <v>26175.75</v>
      </c>
      <c r="H1157" s="109">
        <f t="shared" ref="H1157:H1220" si="37">(G1157-G1156)/G1156</f>
        <v>-1.0380212747402153E-3</v>
      </c>
    </row>
    <row r="1158" spans="2:8" ht="14.25" customHeight="1" x14ac:dyDescent="0.3">
      <c r="B1158" s="105" t="s">
        <v>1400</v>
      </c>
      <c r="C1158" s="105">
        <v>399</v>
      </c>
      <c r="D1158" s="3">
        <f t="shared" si="36"/>
        <v>1.1406844106463879E-2</v>
      </c>
      <c r="F1158" s="106">
        <v>45993</v>
      </c>
      <c r="G1158" s="107">
        <v>26032.19921875</v>
      </c>
      <c r="H1158" s="110">
        <f t="shared" si="37"/>
        <v>-5.4841133969418263E-3</v>
      </c>
    </row>
    <row r="1159" spans="2:8" ht="14.25" customHeight="1" x14ac:dyDescent="0.3">
      <c r="B1159" s="105" t="s">
        <v>1401</v>
      </c>
      <c r="C1159" s="105">
        <v>410</v>
      </c>
      <c r="D1159" s="3">
        <f t="shared" si="36"/>
        <v>2.7568922305764409E-2</v>
      </c>
      <c r="F1159" s="106">
        <v>45994</v>
      </c>
      <c r="G1159" s="107">
        <v>25986</v>
      </c>
      <c r="H1159" s="109">
        <f t="shared" si="37"/>
        <v>-1.7746951904364832E-3</v>
      </c>
    </row>
    <row r="1160" spans="2:8" ht="14.25" customHeight="1" x14ac:dyDescent="0.3">
      <c r="B1160" s="105" t="s">
        <v>1402</v>
      </c>
      <c r="C1160" s="105">
        <v>388.35</v>
      </c>
      <c r="D1160" s="3">
        <f t="shared" si="36"/>
        <v>-5.2804878048780431E-2</v>
      </c>
      <c r="F1160" s="106">
        <v>45995</v>
      </c>
      <c r="G1160" s="107">
        <v>26033.75</v>
      </c>
      <c r="H1160" s="110">
        <f t="shared" si="37"/>
        <v>1.8375278996382667E-3</v>
      </c>
    </row>
    <row r="1161" spans="2:8" ht="14.25" customHeight="1" x14ac:dyDescent="0.3">
      <c r="B1161" s="105" t="s">
        <v>1403</v>
      </c>
      <c r="C1161" s="105">
        <v>392.65</v>
      </c>
      <c r="D1161" s="3">
        <f t="shared" si="36"/>
        <v>1.1072486159392183E-2</v>
      </c>
      <c r="F1161" s="106">
        <v>45996</v>
      </c>
      <c r="G1161" s="107">
        <v>26186.44921875</v>
      </c>
      <c r="H1161" s="109">
        <f t="shared" si="37"/>
        <v>5.8654330916598644E-3</v>
      </c>
    </row>
    <row r="1162" spans="2:8" ht="14.25" customHeight="1" x14ac:dyDescent="0.3">
      <c r="B1162" s="105" t="s">
        <v>1404</v>
      </c>
      <c r="C1162" s="105">
        <v>383.8</v>
      </c>
      <c r="D1162" s="3">
        <f t="shared" si="36"/>
        <v>-2.2539157010059763E-2</v>
      </c>
      <c r="F1162" s="106">
        <v>45999</v>
      </c>
      <c r="G1162" s="107">
        <v>25960.55078125</v>
      </c>
      <c r="H1162" s="110">
        <f t="shared" si="37"/>
        <v>-8.6265394598918129E-3</v>
      </c>
    </row>
    <row r="1163" spans="2:8" ht="14.25" customHeight="1" x14ac:dyDescent="0.3">
      <c r="B1163" s="105" t="s">
        <v>1405</v>
      </c>
      <c r="C1163" s="105">
        <v>383.65</v>
      </c>
      <c r="D1163" s="3">
        <f t="shared" si="36"/>
        <v>-3.9082855653995336E-4</v>
      </c>
      <c r="F1163" s="106">
        <v>46000</v>
      </c>
      <c r="G1163" s="107">
        <v>25839.650390625</v>
      </c>
      <c r="H1163" s="109">
        <f t="shared" si="37"/>
        <v>-4.6570811090926572E-3</v>
      </c>
    </row>
    <row r="1164" spans="2:8" ht="14.25" customHeight="1" x14ac:dyDescent="0.3">
      <c r="B1164" s="105" t="s">
        <v>1406</v>
      </c>
      <c r="C1164" s="105">
        <v>379.15</v>
      </c>
      <c r="D1164" s="3">
        <f t="shared" si="36"/>
        <v>-1.1729440896650593E-2</v>
      </c>
      <c r="F1164" s="106">
        <v>46001</v>
      </c>
      <c r="G1164" s="107">
        <v>25758</v>
      </c>
      <c r="H1164" s="110">
        <f t="shared" si="37"/>
        <v>-3.159887590995579E-3</v>
      </c>
    </row>
    <row r="1165" spans="2:8" ht="14.25" customHeight="1" x14ac:dyDescent="0.3">
      <c r="B1165" s="105" t="s">
        <v>1407</v>
      </c>
      <c r="C1165" s="105">
        <v>381.75</v>
      </c>
      <c r="D1165" s="3">
        <f t="shared" si="36"/>
        <v>6.8574442832652592E-3</v>
      </c>
      <c r="F1165" s="106">
        <v>46002</v>
      </c>
      <c r="G1165" s="107">
        <v>25898.55078125</v>
      </c>
      <c r="H1165" s="109">
        <f t="shared" si="37"/>
        <v>5.4565875164997281E-3</v>
      </c>
    </row>
    <row r="1166" spans="2:8" ht="14.25" customHeight="1" x14ac:dyDescent="0.3">
      <c r="B1166" s="105" t="s">
        <v>1408</v>
      </c>
      <c r="C1166" s="105">
        <v>386.35</v>
      </c>
      <c r="D1166" s="3">
        <f t="shared" si="36"/>
        <v>1.2049770792403465E-2</v>
      </c>
      <c r="F1166" s="106">
        <v>46003</v>
      </c>
      <c r="G1166" s="107">
        <v>26046.94921875</v>
      </c>
      <c r="H1166" s="110">
        <f t="shared" si="37"/>
        <v>5.7299900196514974E-3</v>
      </c>
    </row>
    <row r="1167" spans="2:8" ht="14.25" customHeight="1" x14ac:dyDescent="0.3">
      <c r="B1167" s="105" t="s">
        <v>1409</v>
      </c>
      <c r="C1167" s="105">
        <v>390.65</v>
      </c>
      <c r="D1167" s="3">
        <f t="shared" si="36"/>
        <v>1.1129804581338047E-2</v>
      </c>
      <c r="F1167" s="106">
        <v>46006</v>
      </c>
      <c r="G1167" s="107">
        <v>26027.30078125</v>
      </c>
      <c r="H1167" s="109">
        <f t="shared" si="37"/>
        <v>-7.5434698071496196E-4</v>
      </c>
    </row>
    <row r="1168" spans="2:8" ht="14.25" customHeight="1" x14ac:dyDescent="0.3">
      <c r="B1168" s="105" t="s">
        <v>1410</v>
      </c>
      <c r="C1168" s="105">
        <v>384.9</v>
      </c>
      <c r="D1168" s="3">
        <f t="shared" si="36"/>
        <v>-1.4719057980289262E-2</v>
      </c>
      <c r="F1168" s="106">
        <v>46007</v>
      </c>
      <c r="G1168" s="107">
        <v>25860.099609375</v>
      </c>
      <c r="H1168" s="110">
        <f t="shared" si="37"/>
        <v>-6.4240688375742476E-3</v>
      </c>
    </row>
    <row r="1169" spans="2:8" ht="14.25" customHeight="1" x14ac:dyDescent="0.3">
      <c r="B1169" s="105" t="s">
        <v>1411</v>
      </c>
      <c r="C1169" s="105">
        <v>386.1</v>
      </c>
      <c r="D1169" s="3">
        <f t="shared" si="36"/>
        <v>3.1176929072487545E-3</v>
      </c>
      <c r="F1169" s="106">
        <v>46008</v>
      </c>
      <c r="G1169" s="107">
        <v>25818.55078125</v>
      </c>
      <c r="H1169" s="109">
        <f t="shared" si="37"/>
        <v>-1.6066770334456639E-3</v>
      </c>
    </row>
    <row r="1170" spans="2:8" ht="14.25" customHeight="1" x14ac:dyDescent="0.3">
      <c r="B1170" s="105" t="s">
        <v>1412</v>
      </c>
      <c r="C1170" s="105">
        <v>392.25</v>
      </c>
      <c r="D1170" s="3">
        <f t="shared" si="36"/>
        <v>1.5928515928515869E-2</v>
      </c>
      <c r="F1170" s="106">
        <v>46009</v>
      </c>
      <c r="G1170" s="107">
        <v>25815.55078125</v>
      </c>
      <c r="H1170" s="110">
        <f t="shared" si="37"/>
        <v>-1.1619552256893776E-4</v>
      </c>
    </row>
    <row r="1171" spans="2:8" ht="14.25" customHeight="1" x14ac:dyDescent="0.3">
      <c r="B1171" s="105" t="s">
        <v>1413</v>
      </c>
      <c r="C1171" s="105">
        <v>398.55</v>
      </c>
      <c r="D1171" s="3">
        <f t="shared" si="36"/>
        <v>1.6061185468451273E-2</v>
      </c>
      <c r="F1171" s="106">
        <v>46010</v>
      </c>
      <c r="G1171" s="107">
        <v>25966.400390625</v>
      </c>
      <c r="H1171" s="109">
        <f t="shared" si="37"/>
        <v>5.8433620360547577E-3</v>
      </c>
    </row>
    <row r="1172" spans="2:8" ht="14.25" customHeight="1" x14ac:dyDescent="0.3">
      <c r="B1172" s="105" t="s">
        <v>1414</v>
      </c>
      <c r="C1172" s="105">
        <v>399.3</v>
      </c>
      <c r="D1172" s="3">
        <f t="shared" si="36"/>
        <v>1.8818216033120059E-3</v>
      </c>
      <c r="F1172" s="106">
        <v>46013</v>
      </c>
      <c r="G1172" s="107">
        <v>26172.400390625</v>
      </c>
      <c r="H1172" s="110">
        <f t="shared" si="37"/>
        <v>7.9333291061157232E-3</v>
      </c>
    </row>
    <row r="1173" spans="2:8" ht="14.25" customHeight="1" x14ac:dyDescent="0.3">
      <c r="B1173" s="105" t="s">
        <v>1415</v>
      </c>
      <c r="C1173" s="105">
        <v>401.55</v>
      </c>
      <c r="D1173" s="3">
        <f t="shared" si="36"/>
        <v>5.634861006761833E-3</v>
      </c>
      <c r="F1173" s="106">
        <v>46014</v>
      </c>
      <c r="G1173" s="107">
        <v>26177.150390625</v>
      </c>
      <c r="H1173" s="109">
        <f t="shared" si="37"/>
        <v>1.814888939916057E-4</v>
      </c>
    </row>
    <row r="1174" spans="2:8" ht="14.25" customHeight="1" x14ac:dyDescent="0.3">
      <c r="B1174" s="105" t="s">
        <v>1416</v>
      </c>
      <c r="C1174" s="105">
        <v>398.35</v>
      </c>
      <c r="D1174" s="3">
        <f t="shared" si="36"/>
        <v>-7.9691196613123853E-3</v>
      </c>
      <c r="F1174" s="106">
        <v>46015</v>
      </c>
      <c r="G1174" s="107">
        <v>26142.099609375</v>
      </c>
      <c r="H1174" s="110">
        <f t="shared" si="37"/>
        <v>-1.3389838361685454E-3</v>
      </c>
    </row>
    <row r="1175" spans="2:8" ht="14.25" customHeight="1" x14ac:dyDescent="0.3">
      <c r="B1175" s="105" t="s">
        <v>1417</v>
      </c>
      <c r="C1175" s="105">
        <v>395.45</v>
      </c>
      <c r="D1175" s="3">
        <f t="shared" si="36"/>
        <v>-7.2800301242626686E-3</v>
      </c>
      <c r="F1175" s="106">
        <v>46017</v>
      </c>
      <c r="G1175" s="107">
        <v>26042.30078125</v>
      </c>
      <c r="H1175" s="109">
        <f t="shared" si="37"/>
        <v>-3.8175521330050493E-3</v>
      </c>
    </row>
    <row r="1176" spans="2:8" ht="14.25" customHeight="1" x14ac:dyDescent="0.3">
      <c r="B1176" s="105" t="s">
        <v>1418</v>
      </c>
      <c r="C1176" s="105">
        <v>390.4</v>
      </c>
      <c r="D1176" s="3">
        <f t="shared" si="36"/>
        <v>-1.2770261727146319E-2</v>
      </c>
      <c r="F1176" s="106">
        <v>46020</v>
      </c>
      <c r="G1176" s="107">
        <v>25942.099609375</v>
      </c>
      <c r="H1176" s="110">
        <f t="shared" si="37"/>
        <v>-3.8476313101775974E-3</v>
      </c>
    </row>
    <row r="1177" spans="2:8" ht="14.25" customHeight="1" x14ac:dyDescent="0.3">
      <c r="B1177" s="105" t="s">
        <v>1419</v>
      </c>
      <c r="C1177" s="105">
        <v>390.4</v>
      </c>
      <c r="D1177" s="3">
        <f t="shared" si="36"/>
        <v>0</v>
      </c>
      <c r="F1177" s="106">
        <v>46021</v>
      </c>
      <c r="G1177" s="107">
        <v>25938.849609375</v>
      </c>
      <c r="H1177" s="109">
        <f t="shared" si="37"/>
        <v>-1.2527898855285829E-4</v>
      </c>
    </row>
    <row r="1178" spans="2:8" ht="14.25" customHeight="1" x14ac:dyDescent="0.3">
      <c r="B1178" s="105" t="s">
        <v>1420</v>
      </c>
      <c r="C1178" s="105">
        <v>393.9</v>
      </c>
      <c r="D1178" s="3">
        <f t="shared" si="36"/>
        <v>8.9651639344262308E-3</v>
      </c>
      <c r="F1178" s="106">
        <v>46022</v>
      </c>
      <c r="G1178" s="107">
        <v>26129.599609375</v>
      </c>
      <c r="H1178" s="110">
        <f t="shared" si="37"/>
        <v>7.353834224439075E-3</v>
      </c>
    </row>
    <row r="1179" spans="2:8" ht="14.25" customHeight="1" x14ac:dyDescent="0.3">
      <c r="B1179" s="105" t="s">
        <v>1421</v>
      </c>
      <c r="C1179" s="105">
        <v>387.75</v>
      </c>
      <c r="D1179" s="3">
        <f t="shared" si="36"/>
        <v>-1.5613099771515556E-2</v>
      </c>
      <c r="F1179" s="106">
        <v>46023</v>
      </c>
      <c r="G1179" s="107">
        <v>26146.55078125</v>
      </c>
      <c r="H1179" s="109">
        <f t="shared" si="37"/>
        <v>6.4873446698043217E-4</v>
      </c>
    </row>
    <row r="1180" spans="2:8" ht="14.25" customHeight="1" x14ac:dyDescent="0.3">
      <c r="B1180" s="105" t="s">
        <v>1422</v>
      </c>
      <c r="C1180" s="105">
        <v>392.95</v>
      </c>
      <c r="D1180" s="3">
        <f t="shared" si="36"/>
        <v>1.3410702772404871E-2</v>
      </c>
      <c r="F1180" s="106">
        <v>46024</v>
      </c>
      <c r="G1180" s="107">
        <v>26328.55078125</v>
      </c>
      <c r="H1180" s="110">
        <f t="shared" si="37"/>
        <v>6.9607651702386052E-3</v>
      </c>
    </row>
    <row r="1181" spans="2:8" ht="14.25" customHeight="1" x14ac:dyDescent="0.3">
      <c r="B1181" s="105" t="s">
        <v>1423</v>
      </c>
      <c r="C1181" s="105">
        <v>391.35</v>
      </c>
      <c r="D1181" s="3">
        <f t="shared" si="36"/>
        <v>-4.0717648555795034E-3</v>
      </c>
      <c r="F1181" s="106">
        <v>46027</v>
      </c>
      <c r="G1181" s="107">
        <v>26250.30078125</v>
      </c>
      <c r="H1181" s="109">
        <f t="shared" si="37"/>
        <v>-2.9720587604740519E-3</v>
      </c>
    </row>
    <row r="1182" spans="2:8" ht="14.25" customHeight="1" x14ac:dyDescent="0.3">
      <c r="B1182" s="105" t="s">
        <v>1424</v>
      </c>
      <c r="C1182" s="105">
        <v>385.15</v>
      </c>
      <c r="D1182" s="3">
        <f t="shared" si="36"/>
        <v>-1.5842596141561378E-2</v>
      </c>
      <c r="F1182" s="106">
        <v>46028</v>
      </c>
      <c r="G1182" s="107">
        <v>26178.69921875</v>
      </c>
      <c r="H1182" s="110">
        <f t="shared" si="37"/>
        <v>-2.7276473171363958E-3</v>
      </c>
    </row>
    <row r="1183" spans="2:8" ht="14.25" customHeight="1" x14ac:dyDescent="0.3">
      <c r="B1183" s="105" t="s">
        <v>1425</v>
      </c>
      <c r="C1183" s="105">
        <v>387.05</v>
      </c>
      <c r="D1183" s="3">
        <f t="shared" si="36"/>
        <v>4.9331429313255468E-3</v>
      </c>
      <c r="F1183" s="106">
        <v>46029</v>
      </c>
      <c r="G1183" s="107">
        <v>26140.75</v>
      </c>
      <c r="H1183" s="109">
        <f t="shared" si="37"/>
        <v>-1.4496220164682432E-3</v>
      </c>
    </row>
    <row r="1184" spans="2:8" ht="14.25" customHeight="1" x14ac:dyDescent="0.3">
      <c r="B1184" s="105" t="s">
        <v>1426</v>
      </c>
      <c r="C1184" s="105">
        <v>377.95</v>
      </c>
      <c r="D1184" s="3">
        <f t="shared" si="36"/>
        <v>-2.3511174266890641E-2</v>
      </c>
      <c r="F1184" s="106">
        <v>46030</v>
      </c>
      <c r="G1184" s="107">
        <v>25876.849609375</v>
      </c>
      <c r="H1184" s="110">
        <f t="shared" si="37"/>
        <v>-1.0095364158449929E-2</v>
      </c>
    </row>
    <row r="1185" spans="2:8" ht="14.25" customHeight="1" x14ac:dyDescent="0.3">
      <c r="B1185" s="105" t="s">
        <v>1427</v>
      </c>
      <c r="C1185" s="105">
        <v>379.6</v>
      </c>
      <c r="D1185" s="3">
        <f t="shared" si="36"/>
        <v>4.3656568329144968E-3</v>
      </c>
      <c r="F1185" s="106">
        <v>46031</v>
      </c>
      <c r="G1185" s="107">
        <v>25683.30078125</v>
      </c>
      <c r="H1185" s="109">
        <f t="shared" si="37"/>
        <v>-7.4796132854935563E-3</v>
      </c>
    </row>
    <row r="1186" spans="2:8" ht="14.25" customHeight="1" x14ac:dyDescent="0.3">
      <c r="B1186" s="105" t="s">
        <v>1428</v>
      </c>
      <c r="C1186" s="105">
        <v>371.8</v>
      </c>
      <c r="D1186" s="3">
        <f t="shared" si="36"/>
        <v>-2.0547945205479482E-2</v>
      </c>
      <c r="F1186" s="106">
        <v>46034</v>
      </c>
      <c r="G1186" s="107">
        <v>25790.25</v>
      </c>
      <c r="H1186" s="110">
        <f t="shared" si="37"/>
        <v>4.1641539637334267E-3</v>
      </c>
    </row>
    <row r="1187" spans="2:8" ht="14.25" customHeight="1" x14ac:dyDescent="0.3">
      <c r="B1187" s="105" t="s">
        <v>1429</v>
      </c>
      <c r="C1187" s="105">
        <v>377.3</v>
      </c>
      <c r="D1187" s="3">
        <f t="shared" si="36"/>
        <v>1.4792899408284023E-2</v>
      </c>
      <c r="F1187" s="106">
        <v>46035</v>
      </c>
      <c r="G1187" s="107">
        <v>25732.30078125</v>
      </c>
      <c r="H1187" s="109">
        <f t="shared" si="37"/>
        <v>-2.2469428853927357E-3</v>
      </c>
    </row>
    <row r="1188" spans="2:8" ht="14.25" customHeight="1" x14ac:dyDescent="0.3">
      <c r="B1188" s="105" t="s">
        <v>1430</v>
      </c>
      <c r="C1188" s="105">
        <v>379</v>
      </c>
      <c r="D1188" s="3">
        <f t="shared" si="36"/>
        <v>4.505698383249373E-3</v>
      </c>
      <c r="F1188" s="106">
        <v>46036</v>
      </c>
      <c r="G1188" s="107">
        <v>25665.599609375</v>
      </c>
      <c r="H1188" s="110">
        <f t="shared" si="37"/>
        <v>-2.5921184600641006E-3</v>
      </c>
    </row>
    <row r="1189" spans="2:8" ht="14.25" customHeight="1" x14ac:dyDescent="0.3">
      <c r="B1189" s="105" t="s">
        <v>1431</v>
      </c>
      <c r="C1189" s="105">
        <v>377.65</v>
      </c>
      <c r="D1189" s="3">
        <f t="shared" si="36"/>
        <v>-3.5620052770449148E-3</v>
      </c>
      <c r="F1189" s="106">
        <v>46038</v>
      </c>
      <c r="G1189" s="107">
        <v>25694.349609375</v>
      </c>
      <c r="H1189" s="109">
        <f t="shared" si="37"/>
        <v>1.1201764399651254E-3</v>
      </c>
    </row>
    <row r="1190" spans="2:8" ht="14.25" customHeight="1" x14ac:dyDescent="0.3">
      <c r="B1190" s="105" t="s">
        <v>1432</v>
      </c>
      <c r="C1190" s="105">
        <v>376.05</v>
      </c>
      <c r="D1190" s="3">
        <f t="shared" si="36"/>
        <v>-4.2367271282933031E-3</v>
      </c>
      <c r="F1190" s="106">
        <v>46041</v>
      </c>
      <c r="G1190" s="107">
        <v>25585.5</v>
      </c>
      <c r="H1190" s="110">
        <f t="shared" si="37"/>
        <v>-4.2363247573810724E-3</v>
      </c>
    </row>
    <row r="1191" spans="2:8" ht="14.25" customHeight="1" x14ac:dyDescent="0.3">
      <c r="B1191" s="105" t="s">
        <v>1433</v>
      </c>
      <c r="C1191" s="105">
        <v>366.85</v>
      </c>
      <c r="D1191" s="3">
        <f t="shared" si="36"/>
        <v>-2.4464831804281315E-2</v>
      </c>
      <c r="F1191" s="106">
        <v>46042</v>
      </c>
      <c r="G1191" s="107">
        <v>25232.5</v>
      </c>
      <c r="H1191" s="109">
        <f t="shared" si="37"/>
        <v>-1.3796877137441129E-2</v>
      </c>
    </row>
    <row r="1192" spans="2:8" ht="14.25" customHeight="1" x14ac:dyDescent="0.3">
      <c r="B1192" s="105" t="s">
        <v>1434</v>
      </c>
      <c r="C1192" s="105">
        <v>364.85</v>
      </c>
      <c r="D1192" s="3">
        <f t="shared" si="36"/>
        <v>-5.4518195447730679E-3</v>
      </c>
      <c r="F1192" s="106">
        <v>46043</v>
      </c>
      <c r="G1192" s="107">
        <v>25157.5</v>
      </c>
      <c r="H1192" s="110">
        <f t="shared" si="37"/>
        <v>-2.9723570791637768E-3</v>
      </c>
    </row>
    <row r="1193" spans="2:8" ht="14.25" customHeight="1" x14ac:dyDescent="0.3">
      <c r="B1193" s="105" t="s">
        <v>1435</v>
      </c>
      <c r="C1193" s="105">
        <v>373</v>
      </c>
      <c r="D1193" s="3">
        <f t="shared" si="36"/>
        <v>2.2337947101548516E-2</v>
      </c>
      <c r="F1193" s="106">
        <v>46044</v>
      </c>
      <c r="G1193" s="107">
        <v>25289.900390625</v>
      </c>
      <c r="H1193" s="109">
        <f t="shared" si="37"/>
        <v>5.2628596094603996E-3</v>
      </c>
    </row>
    <row r="1194" spans="2:8" ht="14.25" customHeight="1" x14ac:dyDescent="0.3">
      <c r="B1194" s="105" t="s">
        <v>1436</v>
      </c>
      <c r="C1194" s="105">
        <v>366.2</v>
      </c>
      <c r="D1194" s="3">
        <f t="shared" si="36"/>
        <v>-1.8230563002680996E-2</v>
      </c>
      <c r="F1194" s="106">
        <v>46045</v>
      </c>
      <c r="G1194" s="107">
        <v>25048.650390625</v>
      </c>
      <c r="H1194" s="110">
        <f t="shared" si="37"/>
        <v>-9.5393811867061241E-3</v>
      </c>
    </row>
    <row r="1195" spans="2:8" ht="14.25" customHeight="1" x14ac:dyDescent="0.3">
      <c r="B1195" s="105" t="s">
        <v>1437</v>
      </c>
      <c r="C1195" s="105">
        <v>365.25</v>
      </c>
      <c r="D1195" s="3">
        <f t="shared" si="36"/>
        <v>-2.5942108137629403E-3</v>
      </c>
      <c r="F1195" s="106">
        <v>46049</v>
      </c>
      <c r="G1195" s="107">
        <v>25175.400390625</v>
      </c>
      <c r="H1195" s="109">
        <f t="shared" si="37"/>
        <v>5.0601528634628126E-3</v>
      </c>
    </row>
    <row r="1196" spans="2:8" ht="14.25" customHeight="1" x14ac:dyDescent="0.3">
      <c r="B1196" s="105" t="s">
        <v>1438</v>
      </c>
      <c r="C1196" s="105">
        <v>370.5</v>
      </c>
      <c r="D1196" s="3">
        <f t="shared" si="36"/>
        <v>1.4373716632443531E-2</v>
      </c>
      <c r="F1196" s="106">
        <v>46050</v>
      </c>
      <c r="G1196" s="107">
        <v>25342.75</v>
      </c>
      <c r="H1196" s="110">
        <f t="shared" si="37"/>
        <v>6.6473464881741809E-3</v>
      </c>
    </row>
    <row r="1197" spans="2:8" ht="14.25" customHeight="1" x14ac:dyDescent="0.3">
      <c r="B1197" s="105" t="s">
        <v>1439</v>
      </c>
      <c r="C1197" s="105">
        <v>365.3</v>
      </c>
      <c r="D1197" s="3">
        <f t="shared" si="36"/>
        <v>-1.4035087719298215E-2</v>
      </c>
      <c r="F1197" s="106">
        <v>46051</v>
      </c>
      <c r="G1197" s="107">
        <v>25418.900390625</v>
      </c>
      <c r="H1197" s="109">
        <f t="shared" si="37"/>
        <v>3.004819548983437E-3</v>
      </c>
    </row>
    <row r="1198" spans="2:8" ht="14.25" customHeight="1" x14ac:dyDescent="0.3">
      <c r="B1198" s="105" t="s">
        <v>1440</v>
      </c>
      <c r="C1198" s="105">
        <v>366.8</v>
      </c>
      <c r="D1198" s="3">
        <f t="shared" si="36"/>
        <v>4.1062140706268815E-3</v>
      </c>
      <c r="F1198" s="106">
        <v>46052</v>
      </c>
      <c r="G1198" s="107">
        <v>25320.650390625</v>
      </c>
      <c r="H1198" s="110">
        <f t="shared" si="37"/>
        <v>-3.8652340774047241E-3</v>
      </c>
    </row>
    <row r="1199" spans="2:8" ht="14.25" customHeight="1" x14ac:dyDescent="0.3">
      <c r="B1199" s="105" t="s">
        <v>1441</v>
      </c>
      <c r="C1199" s="105">
        <v>370.15</v>
      </c>
      <c r="D1199" s="3">
        <f t="shared" si="36"/>
        <v>9.1330425299890015E-3</v>
      </c>
      <c r="F1199" s="106">
        <v>46055</v>
      </c>
      <c r="G1199" s="107">
        <v>25088.400390625</v>
      </c>
      <c r="H1199" s="109">
        <f t="shared" si="37"/>
        <v>-9.1723552285209401E-3</v>
      </c>
    </row>
    <row r="1200" spans="2:8" ht="14.25" customHeight="1" x14ac:dyDescent="0.3">
      <c r="B1200" s="105" t="s">
        <v>1442</v>
      </c>
      <c r="C1200" s="105">
        <v>372.3</v>
      </c>
      <c r="D1200" s="3">
        <f t="shared" si="36"/>
        <v>5.8084560313387389E-3</v>
      </c>
      <c r="F1200" s="106">
        <v>46056</v>
      </c>
      <c r="G1200" s="107">
        <v>25727.55078125</v>
      </c>
      <c r="H1200" s="110">
        <f t="shared" si="37"/>
        <v>2.5475932330218904E-2</v>
      </c>
    </row>
    <row r="1201" spans="2:8" ht="14.25" customHeight="1" x14ac:dyDescent="0.3">
      <c r="B1201" s="105" t="s">
        <v>1443</v>
      </c>
      <c r="C1201" s="105">
        <v>368.55</v>
      </c>
      <c r="D1201" s="3">
        <f t="shared" si="36"/>
        <v>-1.0072522159548751E-2</v>
      </c>
      <c r="F1201" s="106">
        <v>46057</v>
      </c>
      <c r="G1201" s="107">
        <v>25776</v>
      </c>
      <c r="H1201" s="109">
        <f t="shared" si="37"/>
        <v>1.8831648283174059E-3</v>
      </c>
    </row>
    <row r="1202" spans="2:8" ht="14.25" customHeight="1" x14ac:dyDescent="0.3">
      <c r="B1202" s="105" t="s">
        <v>1444</v>
      </c>
      <c r="C1202" s="105">
        <v>367.8</v>
      </c>
      <c r="D1202" s="3">
        <f t="shared" si="36"/>
        <v>-2.0350020350020349E-3</v>
      </c>
      <c r="F1202" s="106">
        <v>46058</v>
      </c>
      <c r="G1202" s="107">
        <v>25642.80078125</v>
      </c>
      <c r="H1202" s="110">
        <f t="shared" si="37"/>
        <v>-5.1675674561607694E-3</v>
      </c>
    </row>
    <row r="1203" spans="2:8" ht="14.25" customHeight="1" x14ac:dyDescent="0.3">
      <c r="B1203" s="105" t="s">
        <v>1445</v>
      </c>
      <c r="C1203" s="105">
        <v>365.4</v>
      </c>
      <c r="D1203" s="3">
        <f t="shared" si="36"/>
        <v>-6.5252854812398965E-3</v>
      </c>
      <c r="F1203" s="106">
        <v>46059</v>
      </c>
      <c r="G1203" s="107">
        <v>25693.69921875</v>
      </c>
      <c r="H1203" s="109">
        <f t="shared" si="37"/>
        <v>1.9849016468285676E-3</v>
      </c>
    </row>
    <row r="1204" spans="2:8" ht="14.25" customHeight="1" x14ac:dyDescent="0.3">
      <c r="B1204" s="105" t="s">
        <v>1446</v>
      </c>
      <c r="C1204" s="105">
        <v>373.95</v>
      </c>
      <c r="D1204" s="3">
        <f t="shared" si="36"/>
        <v>2.3399014778325157E-2</v>
      </c>
      <c r="F1204" s="106">
        <v>46062</v>
      </c>
      <c r="G1204" s="107">
        <v>25867.30078125</v>
      </c>
      <c r="H1204" s="110">
        <f t="shared" si="37"/>
        <v>6.7565810988132885E-3</v>
      </c>
    </row>
    <row r="1205" spans="2:8" ht="14.25" customHeight="1" x14ac:dyDescent="0.3">
      <c r="B1205" s="105" t="s">
        <v>1447</v>
      </c>
      <c r="C1205" s="105">
        <v>371.05</v>
      </c>
      <c r="D1205" s="3">
        <f t="shared" si="36"/>
        <v>-7.7550474662387413E-3</v>
      </c>
      <c r="F1205" s="106">
        <v>46063</v>
      </c>
      <c r="G1205" s="107">
        <v>25935.150390625</v>
      </c>
      <c r="H1205" s="109">
        <f t="shared" si="37"/>
        <v>2.6229876069706129E-3</v>
      </c>
    </row>
    <row r="1206" spans="2:8" ht="14.25" customHeight="1" x14ac:dyDescent="0.3">
      <c r="B1206" s="105" t="s">
        <v>1448</v>
      </c>
      <c r="C1206" s="105">
        <v>375.2</v>
      </c>
      <c r="D1206" s="3">
        <f t="shared" si="36"/>
        <v>1.1184476485648773E-2</v>
      </c>
      <c r="F1206" s="106">
        <v>46064</v>
      </c>
      <c r="G1206" s="107">
        <v>25953.849609375</v>
      </c>
      <c r="H1206" s="110">
        <f t="shared" si="37"/>
        <v>7.2099904833246569E-4</v>
      </c>
    </row>
    <row r="1207" spans="2:8" ht="14.25" customHeight="1" x14ac:dyDescent="0.3">
      <c r="B1207" s="105" t="s">
        <v>1449</v>
      </c>
      <c r="C1207" s="105">
        <v>375.05</v>
      </c>
      <c r="D1207" s="3">
        <f t="shared" si="36"/>
        <v>-3.9978678038373469E-4</v>
      </c>
      <c r="F1207" s="106">
        <v>46065</v>
      </c>
      <c r="G1207" s="107">
        <v>25807.19921875</v>
      </c>
      <c r="H1207" s="109">
        <f t="shared" si="37"/>
        <v>-5.6504292362096155E-3</v>
      </c>
    </row>
    <row r="1208" spans="2:8" ht="14.25" customHeight="1" x14ac:dyDescent="0.3">
      <c r="B1208" s="105" t="s">
        <v>1450</v>
      </c>
      <c r="C1208" s="105">
        <v>377.95</v>
      </c>
      <c r="D1208" s="3">
        <f t="shared" si="36"/>
        <v>7.7323023596853144E-3</v>
      </c>
      <c r="F1208" s="106">
        <v>46066</v>
      </c>
      <c r="G1208" s="107">
        <v>25471.099609375</v>
      </c>
      <c r="H1208" s="110">
        <f t="shared" si="37"/>
        <v>-1.3023482576552116E-2</v>
      </c>
    </row>
    <row r="1209" spans="2:8" ht="14.25" customHeight="1" x14ac:dyDescent="0.3">
      <c r="B1209" s="105" t="s">
        <v>1451</v>
      </c>
      <c r="C1209" s="105">
        <v>380.35</v>
      </c>
      <c r="D1209" s="3">
        <f t="shared" si="36"/>
        <v>6.3500463024210455E-3</v>
      </c>
      <c r="F1209" s="106">
        <v>46069</v>
      </c>
      <c r="G1209" s="107">
        <v>25682.75</v>
      </c>
      <c r="H1209" s="109">
        <f t="shared" si="37"/>
        <v>8.3094328030933959E-3</v>
      </c>
    </row>
    <row r="1210" spans="2:8" ht="14.25" customHeight="1" x14ac:dyDescent="0.3">
      <c r="B1210" s="105" t="s">
        <v>1452</v>
      </c>
      <c r="C1210" s="105">
        <v>379.35</v>
      </c>
      <c r="D1210" s="3">
        <f t="shared" si="36"/>
        <v>-2.6291573550677005E-3</v>
      </c>
      <c r="F1210" s="106">
        <v>46070</v>
      </c>
      <c r="G1210" s="107">
        <v>25725.400390625</v>
      </c>
      <c r="H1210" s="110">
        <f t="shared" si="37"/>
        <v>1.6606629206373927E-3</v>
      </c>
    </row>
    <row r="1211" spans="2:8" ht="14.25" customHeight="1" x14ac:dyDescent="0.3">
      <c r="B1211" s="105" t="s">
        <v>1453</v>
      </c>
      <c r="C1211" s="105">
        <v>378.95</v>
      </c>
      <c r="D1211" s="3">
        <f t="shared" si="36"/>
        <v>-1.0544352181363756E-3</v>
      </c>
      <c r="F1211" s="106">
        <v>46071</v>
      </c>
      <c r="G1211" s="107">
        <v>25819.349609375</v>
      </c>
      <c r="H1211" s="109">
        <f t="shared" si="37"/>
        <v>3.6520021971839754E-3</v>
      </c>
    </row>
    <row r="1212" spans="2:8" ht="14.25" customHeight="1" x14ac:dyDescent="0.3">
      <c r="B1212" s="105" t="s">
        <v>1454</v>
      </c>
      <c r="C1212" s="105">
        <v>382.65</v>
      </c>
      <c r="D1212" s="3">
        <f t="shared" si="36"/>
        <v>9.7638210845757724E-3</v>
      </c>
      <c r="F1212" s="106">
        <v>46072</v>
      </c>
      <c r="G1212" s="107">
        <v>25454.349609375</v>
      </c>
      <c r="H1212" s="110">
        <f t="shared" si="37"/>
        <v>-1.4136684522350191E-2</v>
      </c>
    </row>
    <row r="1213" spans="2:8" ht="14.25" customHeight="1" x14ac:dyDescent="0.3">
      <c r="B1213" s="105" t="s">
        <v>1455</v>
      </c>
      <c r="C1213" s="105">
        <v>383.95</v>
      </c>
      <c r="D1213" s="3">
        <f t="shared" si="36"/>
        <v>3.397360512217461E-3</v>
      </c>
      <c r="F1213" s="106">
        <v>46073</v>
      </c>
      <c r="G1213" s="107">
        <v>25571.25</v>
      </c>
      <c r="H1213" s="109">
        <f t="shared" si="37"/>
        <v>4.5925506806877847E-3</v>
      </c>
    </row>
    <row r="1214" spans="2:8" ht="14.25" customHeight="1" x14ac:dyDescent="0.3">
      <c r="B1214" s="105" t="s">
        <v>1456</v>
      </c>
      <c r="C1214" s="105">
        <v>387.7</v>
      </c>
      <c r="D1214" s="3">
        <f t="shared" si="36"/>
        <v>9.766896731345228E-3</v>
      </c>
      <c r="F1214" s="106">
        <v>46076</v>
      </c>
      <c r="G1214" s="107">
        <v>25713</v>
      </c>
      <c r="H1214" s="110">
        <f t="shared" si="37"/>
        <v>5.5433347998240208E-3</v>
      </c>
    </row>
    <row r="1215" spans="2:8" ht="14.25" customHeight="1" x14ac:dyDescent="0.3">
      <c r="B1215" s="105" t="s">
        <v>1457</v>
      </c>
      <c r="C1215" s="105">
        <v>390.75</v>
      </c>
      <c r="D1215" s="3">
        <f t="shared" si="36"/>
        <v>7.8669074026309297E-3</v>
      </c>
      <c r="F1215" s="106">
        <v>46077</v>
      </c>
      <c r="G1215" s="107">
        <v>25424.650390625</v>
      </c>
      <c r="H1215" s="109">
        <f t="shared" si="37"/>
        <v>-1.1214156627970288E-2</v>
      </c>
    </row>
    <row r="1216" spans="2:8" ht="14.25" customHeight="1" x14ac:dyDescent="0.3">
      <c r="B1216" s="105" t="s">
        <v>1458</v>
      </c>
      <c r="C1216" s="105">
        <v>395.85</v>
      </c>
      <c r="D1216" s="3">
        <f t="shared" si="36"/>
        <v>1.3051823416506776E-2</v>
      </c>
      <c r="F1216" s="106">
        <v>46078</v>
      </c>
      <c r="G1216" s="107">
        <v>25482.5</v>
      </c>
      <c r="H1216" s="110">
        <f t="shared" si="37"/>
        <v>2.2753354908011348E-3</v>
      </c>
    </row>
    <row r="1217" spans="2:8" ht="14.25" customHeight="1" x14ac:dyDescent="0.3">
      <c r="B1217" s="105" t="s">
        <v>1459</v>
      </c>
      <c r="C1217" s="105">
        <v>394.85</v>
      </c>
      <c r="D1217" s="3">
        <f t="shared" si="36"/>
        <v>-2.5262094227611466E-3</v>
      </c>
      <c r="F1217" s="106">
        <v>46079</v>
      </c>
      <c r="G1217" s="107">
        <v>25496.55078125</v>
      </c>
      <c r="H1217" s="109">
        <f t="shared" si="37"/>
        <v>5.5138943392524285E-4</v>
      </c>
    </row>
    <row r="1218" spans="2:8" ht="14.25" customHeight="1" x14ac:dyDescent="0.3">
      <c r="B1218" s="105" t="s">
        <v>1460</v>
      </c>
      <c r="C1218" s="105">
        <v>389.8</v>
      </c>
      <c r="D1218" s="3">
        <f t="shared" si="36"/>
        <v>-1.2789666962137548E-2</v>
      </c>
      <c r="F1218" s="106">
        <v>46080</v>
      </c>
      <c r="G1218" s="107">
        <v>25178.650390625</v>
      </c>
      <c r="H1218" s="110">
        <f t="shared" si="37"/>
        <v>-1.2468368500212268E-2</v>
      </c>
    </row>
    <row r="1219" spans="2:8" ht="14.25" customHeight="1" x14ac:dyDescent="0.3">
      <c r="B1219" s="105" t="s">
        <v>1461</v>
      </c>
      <c r="C1219" s="105">
        <v>387.95</v>
      </c>
      <c r="D1219" s="3">
        <f t="shared" si="36"/>
        <v>-4.7460236018471592E-3</v>
      </c>
      <c r="F1219" s="106">
        <v>46083</v>
      </c>
      <c r="G1219" s="107">
        <v>24865.69921875</v>
      </c>
      <c r="H1219" s="109">
        <f t="shared" si="37"/>
        <v>-1.2429227421638295E-2</v>
      </c>
    </row>
    <row r="1220" spans="2:8" ht="14.25" customHeight="1" x14ac:dyDescent="0.3">
      <c r="B1220" s="105" t="s">
        <v>1462</v>
      </c>
      <c r="C1220" s="105">
        <v>378.35</v>
      </c>
      <c r="D1220" s="3">
        <f t="shared" si="36"/>
        <v>-2.4745456888774241E-2</v>
      </c>
      <c r="F1220" s="106">
        <v>46085</v>
      </c>
      <c r="G1220" s="107">
        <v>24480.5</v>
      </c>
      <c r="H1220" s="110">
        <f t="shared" si="37"/>
        <v>-1.5491187895474108E-2</v>
      </c>
    </row>
    <row r="1221" spans="2:8" ht="14.25" customHeight="1" x14ac:dyDescent="0.3">
      <c r="B1221" s="105" t="s">
        <v>1463</v>
      </c>
      <c r="C1221" s="105">
        <v>386.8</v>
      </c>
      <c r="D1221" s="3">
        <f t="shared" ref="D1221:D1237" si="38">(C1221-C1220)/C1220</f>
        <v>2.2333817893484837E-2</v>
      </c>
      <c r="F1221" s="106">
        <v>46086</v>
      </c>
      <c r="G1221" s="107">
        <v>24765.900390625</v>
      </c>
      <c r="H1221" s="109">
        <f t="shared" ref="H1221:H1237" si="39">(G1221-G1220)/G1220</f>
        <v>1.165827457057658E-2</v>
      </c>
    </row>
    <row r="1222" spans="2:8" ht="14.25" customHeight="1" x14ac:dyDescent="0.3">
      <c r="B1222" s="105" t="s">
        <v>1464</v>
      </c>
      <c r="C1222" s="105">
        <v>390.7</v>
      </c>
      <c r="D1222" s="3">
        <f t="shared" si="38"/>
        <v>1.0082730093071295E-2</v>
      </c>
      <c r="F1222" s="106">
        <v>46087</v>
      </c>
      <c r="G1222" s="107">
        <v>24450.44921875</v>
      </c>
      <c r="H1222" s="110">
        <f t="shared" si="39"/>
        <v>-1.273731893044407E-2</v>
      </c>
    </row>
    <row r="1223" spans="2:8" ht="14.25" customHeight="1" x14ac:dyDescent="0.3">
      <c r="B1223" s="105" t="s">
        <v>1465</v>
      </c>
      <c r="C1223" s="105">
        <v>389.7</v>
      </c>
      <c r="D1223" s="3">
        <f t="shared" si="38"/>
        <v>-2.5595085743537241E-3</v>
      </c>
      <c r="F1223" s="106">
        <v>46090</v>
      </c>
      <c r="G1223" s="107">
        <v>24028.05078125</v>
      </c>
      <c r="H1223" s="109">
        <f t="shared" si="39"/>
        <v>-1.7275692308183883E-2</v>
      </c>
    </row>
    <row r="1224" spans="2:8" ht="14.25" customHeight="1" x14ac:dyDescent="0.3">
      <c r="B1224" s="105" t="s">
        <v>1466</v>
      </c>
      <c r="C1224" s="105">
        <v>395.8</v>
      </c>
      <c r="D1224" s="3">
        <f t="shared" si="38"/>
        <v>1.5653066461380608E-2</v>
      </c>
      <c r="F1224" s="106">
        <v>46091</v>
      </c>
      <c r="G1224" s="107">
        <v>24261.599609375</v>
      </c>
      <c r="H1224" s="110">
        <f t="shared" si="39"/>
        <v>9.7198407915488096E-3</v>
      </c>
    </row>
    <row r="1225" spans="2:8" ht="14.25" customHeight="1" x14ac:dyDescent="0.3">
      <c r="B1225" s="105" t="s">
        <v>1467</v>
      </c>
      <c r="C1225" s="105">
        <v>395.35</v>
      </c>
      <c r="D1225" s="3">
        <f t="shared" si="38"/>
        <v>-1.1369378473976468E-3</v>
      </c>
      <c r="F1225" s="106">
        <v>46092</v>
      </c>
      <c r="G1225" s="107">
        <v>23866.849609375</v>
      </c>
      <c r="H1225" s="109">
        <f t="shared" si="39"/>
        <v>-1.6270567743087452E-2</v>
      </c>
    </row>
    <row r="1226" spans="2:8" ht="14.25" customHeight="1" x14ac:dyDescent="0.3">
      <c r="B1226" s="105" t="s">
        <v>1468</v>
      </c>
      <c r="C1226" s="105">
        <v>392.2</v>
      </c>
      <c r="D1226" s="3">
        <f t="shared" si="38"/>
        <v>-7.9676236246364832E-3</v>
      </c>
      <c r="F1226" s="106">
        <v>46093</v>
      </c>
      <c r="G1226" s="107">
        <v>23639.150390625</v>
      </c>
      <c r="H1226" s="110">
        <f t="shared" si="39"/>
        <v>-9.5403969303329752E-3</v>
      </c>
    </row>
    <row r="1227" spans="2:8" ht="14.25" customHeight="1" x14ac:dyDescent="0.3">
      <c r="B1227" s="105" t="s">
        <v>1469</v>
      </c>
      <c r="C1227" s="105">
        <v>383.55</v>
      </c>
      <c r="D1227" s="3">
        <f t="shared" si="38"/>
        <v>-2.2055073941866336E-2</v>
      </c>
      <c r="F1227" s="106">
        <v>46094</v>
      </c>
      <c r="G1227" s="107">
        <v>23151.099609375</v>
      </c>
      <c r="H1227" s="109">
        <f t="shared" si="39"/>
        <v>-2.0645868112229408E-2</v>
      </c>
    </row>
    <row r="1228" spans="2:8" ht="14.25" customHeight="1" x14ac:dyDescent="0.3">
      <c r="B1228" s="105" t="s">
        <v>1470</v>
      </c>
      <c r="C1228" s="105">
        <v>377.05</v>
      </c>
      <c r="D1228" s="3">
        <f t="shared" si="38"/>
        <v>-1.694694303219919E-2</v>
      </c>
      <c r="F1228" s="106">
        <v>46097</v>
      </c>
      <c r="G1228" s="107">
        <v>23408.80078125</v>
      </c>
      <c r="H1228" s="110">
        <f t="shared" si="39"/>
        <v>1.1131271353117254E-2</v>
      </c>
    </row>
    <row r="1229" spans="2:8" ht="14.25" customHeight="1" x14ac:dyDescent="0.3">
      <c r="B1229" s="105" t="s">
        <v>1471</v>
      </c>
      <c r="C1229" s="105">
        <v>377.55</v>
      </c>
      <c r="D1229" s="3">
        <f t="shared" si="38"/>
        <v>1.3260840737302744E-3</v>
      </c>
      <c r="F1229" s="106">
        <v>46098</v>
      </c>
      <c r="G1229" s="107">
        <v>23581.150390625</v>
      </c>
      <c r="H1229" s="109">
        <f t="shared" si="39"/>
        <v>7.3625988356075351E-3</v>
      </c>
    </row>
    <row r="1230" spans="2:8" ht="14.25" customHeight="1" x14ac:dyDescent="0.3">
      <c r="B1230" s="105" t="s">
        <v>1472</v>
      </c>
      <c r="C1230" s="105">
        <v>382.6</v>
      </c>
      <c r="D1230" s="3">
        <f t="shared" si="38"/>
        <v>1.3375711826248209E-2</v>
      </c>
      <c r="F1230" s="106">
        <v>46099</v>
      </c>
      <c r="G1230" s="107">
        <v>23777.80078125</v>
      </c>
      <c r="H1230" s="110">
        <f t="shared" si="39"/>
        <v>8.339304375208979E-3</v>
      </c>
    </row>
    <row r="1231" spans="2:8" ht="14.25" customHeight="1" x14ac:dyDescent="0.3">
      <c r="B1231" s="105" t="s">
        <v>1473</v>
      </c>
      <c r="C1231" s="105">
        <v>368.55</v>
      </c>
      <c r="D1231" s="3">
        <f t="shared" si="38"/>
        <v>-3.6722425509670704E-2</v>
      </c>
      <c r="F1231" s="106">
        <v>46100</v>
      </c>
      <c r="G1231" s="107">
        <v>23002.150390625</v>
      </c>
      <c r="H1231" s="109">
        <f t="shared" si="39"/>
        <v>-3.2620779262169594E-2</v>
      </c>
    </row>
    <row r="1232" spans="2:8" ht="14.25" customHeight="1" x14ac:dyDescent="0.3">
      <c r="B1232" s="105" t="s">
        <v>1474</v>
      </c>
      <c r="C1232" s="105">
        <v>380.95</v>
      </c>
      <c r="D1232" s="3">
        <f t="shared" si="38"/>
        <v>3.3645366978700249E-2</v>
      </c>
      <c r="F1232" s="106">
        <v>46101</v>
      </c>
      <c r="G1232" s="107">
        <v>23114.5</v>
      </c>
      <c r="H1232" s="110">
        <f t="shared" si="39"/>
        <v>4.8843089653387538E-3</v>
      </c>
    </row>
    <row r="1233" spans="2:8" ht="14.25" customHeight="1" x14ac:dyDescent="0.3">
      <c r="B1233" s="105" t="s">
        <v>1475</v>
      </c>
      <c r="C1233" s="105">
        <v>367.15</v>
      </c>
      <c r="D1233" s="3">
        <f t="shared" si="38"/>
        <v>-3.6225226407665082E-2</v>
      </c>
      <c r="F1233" s="106">
        <v>46104</v>
      </c>
      <c r="G1233" s="107">
        <v>22512.650390625</v>
      </c>
      <c r="H1233" s="109">
        <f t="shared" si="39"/>
        <v>-2.6037751600726817E-2</v>
      </c>
    </row>
    <row r="1234" spans="2:8" ht="14.25" customHeight="1" x14ac:dyDescent="0.3">
      <c r="B1234" s="105" t="s">
        <v>1476</v>
      </c>
      <c r="C1234" s="105">
        <v>369.05</v>
      </c>
      <c r="D1234" s="3">
        <f t="shared" si="38"/>
        <v>5.1749965953970696E-3</v>
      </c>
      <c r="F1234" s="106">
        <v>46105</v>
      </c>
      <c r="G1234" s="107">
        <v>22912.400390625</v>
      </c>
      <c r="H1234" s="110">
        <f t="shared" si="39"/>
        <v>1.7756683156527359E-2</v>
      </c>
    </row>
    <row r="1235" spans="2:8" ht="14.25" customHeight="1" x14ac:dyDescent="0.3">
      <c r="B1235" s="105" t="s">
        <v>1477</v>
      </c>
      <c r="C1235" s="105">
        <v>379.65</v>
      </c>
      <c r="D1235" s="3">
        <f t="shared" si="38"/>
        <v>2.8722395339384813E-2</v>
      </c>
      <c r="F1235" s="106">
        <v>46106</v>
      </c>
      <c r="G1235" s="107">
        <v>23306.44921875</v>
      </c>
      <c r="H1235" s="109">
        <f t="shared" si="39"/>
        <v>1.719805962740734E-2</v>
      </c>
    </row>
    <row r="1236" spans="2:8" ht="14.25" customHeight="1" x14ac:dyDescent="0.3">
      <c r="B1236" s="105" t="s">
        <v>1478</v>
      </c>
      <c r="C1236" s="105">
        <v>370.1</v>
      </c>
      <c r="D1236" s="3">
        <f t="shared" si="38"/>
        <v>-2.5154747794020691E-2</v>
      </c>
      <c r="F1236" s="106">
        <v>46108</v>
      </c>
      <c r="G1236" s="107">
        <v>22819.599609375</v>
      </c>
      <c r="H1236" s="110">
        <f t="shared" si="39"/>
        <v>-2.0889051129389984E-2</v>
      </c>
    </row>
    <row r="1237" spans="2:8" ht="14.25" customHeight="1" x14ac:dyDescent="0.3">
      <c r="B1237" s="105" t="s">
        <v>1479</v>
      </c>
      <c r="C1237" s="105">
        <v>360.9</v>
      </c>
      <c r="D1237" s="3">
        <f t="shared" si="38"/>
        <v>-2.4858146446906364E-2</v>
      </c>
      <c r="F1237" s="106">
        <v>46111</v>
      </c>
      <c r="G1237" s="107">
        <v>22331.400390625</v>
      </c>
      <c r="H1237" s="109">
        <f t="shared" si="39"/>
        <v>-2.1393855593742871E-2</v>
      </c>
    </row>
  </sheetData>
  <mergeCells count="3">
    <mergeCell ref="B2:D2"/>
    <mergeCell ref="F2:H2"/>
    <mergeCell ref="J11:K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25"/>
  <sheetViews>
    <sheetView showGridLines="0" zoomScaleNormal="100" workbookViewId="0">
      <selection activeCell="F63" sqref="F63"/>
    </sheetView>
  </sheetViews>
  <sheetFormatPr defaultColWidth="8.6640625" defaultRowHeight="14.4" x14ac:dyDescent="0.3"/>
  <cols>
    <col min="1" max="1" width="1.88671875" customWidth="1"/>
    <col min="2" max="2" width="32.33203125" bestFit="1" customWidth="1"/>
    <col min="3" max="3" width="7.21875" bestFit="1" customWidth="1"/>
    <col min="4" max="4" width="6.21875" bestFit="1" customWidth="1"/>
    <col min="5" max="5" width="20.77734375" bestFit="1" customWidth="1"/>
    <col min="6" max="6" width="6.21875" bestFit="1" customWidth="1"/>
    <col min="9" max="9" width="1.5546875" bestFit="1" customWidth="1"/>
  </cols>
  <sheetData>
    <row r="1" spans="2:13" ht="17.25" customHeight="1" x14ac:dyDescent="0.35">
      <c r="B1" s="113" t="s">
        <v>1480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2:13" ht="15.6" x14ac:dyDescent="0.3">
      <c r="B2" s="248"/>
      <c r="C2" s="248"/>
      <c r="D2" s="248"/>
    </row>
    <row r="4" spans="2:13" ht="19.5" customHeight="1" x14ac:dyDescent="0.3">
      <c r="B4" s="309" t="s">
        <v>1481</v>
      </c>
      <c r="C4" s="310"/>
      <c r="D4" s="115"/>
      <c r="E4" s="115"/>
      <c r="F4" s="115"/>
    </row>
    <row r="5" spans="2:13" ht="15.75" customHeight="1" x14ac:dyDescent="0.3">
      <c r="B5" s="116" t="s">
        <v>1482</v>
      </c>
      <c r="C5" s="117">
        <f>'Consolidated Statements  '!P37+'Consolidated Statements  '!P43</f>
        <v>1775.55</v>
      </c>
    </row>
    <row r="6" spans="2:13" ht="15.75" customHeight="1" x14ac:dyDescent="0.3">
      <c r="B6" s="116" t="s">
        <v>151</v>
      </c>
      <c r="C6" s="117">
        <f>'Consolidated Statements  '!P34</f>
        <v>3378.1</v>
      </c>
    </row>
    <row r="7" spans="2:13" ht="15.75" customHeight="1" x14ac:dyDescent="0.3">
      <c r="B7" s="118" t="s">
        <v>1483</v>
      </c>
      <c r="C7" s="119">
        <f>SUM(C5:C6)</f>
        <v>5153.6499999999996</v>
      </c>
    </row>
    <row r="8" spans="2:13" ht="15.75" customHeight="1" x14ac:dyDescent="0.3">
      <c r="B8" s="120" t="s">
        <v>1484</v>
      </c>
      <c r="C8" s="121">
        <f>C5/C7</f>
        <v>0.34452281392799278</v>
      </c>
    </row>
    <row r="9" spans="2:13" ht="15.75" customHeight="1" x14ac:dyDescent="0.3">
      <c r="B9" s="120" t="s">
        <v>1485</v>
      </c>
      <c r="C9" s="121">
        <f>C6/C7</f>
        <v>0.65547718607200722</v>
      </c>
      <c r="I9" s="122" t="s">
        <v>1486</v>
      </c>
    </row>
    <row r="10" spans="2:13" ht="15.75" customHeight="1" x14ac:dyDescent="0.3">
      <c r="B10" s="123" t="s">
        <v>1487</v>
      </c>
      <c r="C10" s="124">
        <f>C5/C6</f>
        <v>0.52560610994345935</v>
      </c>
    </row>
    <row r="11" spans="2:13" ht="15.75" customHeight="1" x14ac:dyDescent="0.3">
      <c r="B11" s="125"/>
      <c r="C11" s="126"/>
    </row>
    <row r="12" spans="2:13" ht="15.75" customHeight="1" x14ac:dyDescent="0.3">
      <c r="B12" s="125"/>
      <c r="C12" s="126"/>
    </row>
    <row r="14" spans="2:13" ht="19.5" customHeight="1" x14ac:dyDescent="0.3">
      <c r="B14" s="309" t="s">
        <v>1488</v>
      </c>
      <c r="C14" s="310"/>
      <c r="E14" s="311" t="s">
        <v>1489</v>
      </c>
      <c r="F14" s="312"/>
    </row>
    <row r="15" spans="2:13" ht="15.75" customHeight="1" x14ac:dyDescent="0.3">
      <c r="B15" s="120" t="s">
        <v>1490</v>
      </c>
      <c r="C15" s="127">
        <v>6.6000000000000003E-2</v>
      </c>
      <c r="E15" s="128" t="s">
        <v>1491</v>
      </c>
      <c r="F15" s="129" t="s">
        <v>1492</v>
      </c>
    </row>
    <row r="16" spans="2:13" ht="15.75" customHeight="1" x14ac:dyDescent="0.3">
      <c r="B16" s="120" t="s">
        <v>1493</v>
      </c>
      <c r="C16" s="130">
        <f>BETA!J4</f>
        <v>0.8953896595996117</v>
      </c>
      <c r="E16" s="120" t="s">
        <v>1494</v>
      </c>
      <c r="F16" s="131">
        <f>'Consolidated Statements  '!G12/('Consolidated Statements  '!P37+'Consolidated Statements  '!P43)</f>
        <v>5.0542085550956038E-2</v>
      </c>
    </row>
    <row r="17" spans="2:6" ht="15.75" customHeight="1" x14ac:dyDescent="0.3">
      <c r="B17" s="132" t="s">
        <v>1495</v>
      </c>
      <c r="C17" s="127">
        <v>7.0000000000000007E-2</v>
      </c>
      <c r="E17" s="132" t="s">
        <v>1496</v>
      </c>
      <c r="F17" s="127">
        <f>AVERAGE('Assumptions '!E41:I41)</f>
        <v>0.1755621405403604</v>
      </c>
    </row>
    <row r="18" spans="2:6" ht="15.75" customHeight="1" x14ac:dyDescent="0.3">
      <c r="B18" s="133" t="s">
        <v>1497</v>
      </c>
      <c r="C18" s="134">
        <f>C15+C16*C17</f>
        <v>0.12867727617197283</v>
      </c>
      <c r="E18" s="135" t="s">
        <v>1498</v>
      </c>
      <c r="F18" s="136">
        <f>F16*(1-F17)</f>
        <v>4.1668808824256172E-2</v>
      </c>
    </row>
    <row r="19" spans="2:6" ht="15.75" customHeight="1" x14ac:dyDescent="0.3">
      <c r="B19" s="125"/>
      <c r="C19" s="126"/>
      <c r="E19" s="125"/>
      <c r="F19" s="126"/>
    </row>
    <row r="20" spans="2:6" ht="15.75" customHeight="1" x14ac:dyDescent="0.3">
      <c r="B20" s="125"/>
      <c r="C20" s="126"/>
      <c r="E20" s="125"/>
      <c r="F20" s="126"/>
    </row>
    <row r="21" spans="2:6" ht="19.5" customHeight="1" x14ac:dyDescent="0.3">
      <c r="B21" s="313" t="s">
        <v>1499</v>
      </c>
      <c r="C21" s="314"/>
      <c r="D21" s="314"/>
      <c r="E21" s="312"/>
      <c r="F21" s="137"/>
    </row>
    <row r="22" spans="2:6" ht="14.25" customHeight="1" x14ac:dyDescent="0.3">
      <c r="B22" s="138" t="s">
        <v>1491</v>
      </c>
      <c r="C22" s="139" t="s">
        <v>1500</v>
      </c>
      <c r="D22" s="139" t="s">
        <v>1492</v>
      </c>
      <c r="E22" s="140" t="s">
        <v>1501</v>
      </c>
      <c r="F22" s="141"/>
    </row>
    <row r="23" spans="2:6" ht="15.75" customHeight="1" x14ac:dyDescent="0.3">
      <c r="B23" s="128" t="s">
        <v>1502</v>
      </c>
      <c r="C23" s="121">
        <f>C8</f>
        <v>0.34452281392799278</v>
      </c>
      <c r="D23" s="121">
        <f>F18</f>
        <v>4.1668808824256172E-2</v>
      </c>
      <c r="E23" s="121">
        <f>C23*D23</f>
        <v>1.4355855269160313E-2</v>
      </c>
      <c r="F23" s="126"/>
    </row>
    <row r="24" spans="2:6" ht="15" customHeight="1" x14ac:dyDescent="0.3">
      <c r="B24" s="128" t="s">
        <v>1503</v>
      </c>
      <c r="C24" s="121">
        <f>C9</f>
        <v>0.65547718607200722</v>
      </c>
      <c r="D24" s="121">
        <f>C18</f>
        <v>0.12867727617197283</v>
      </c>
      <c r="E24" s="121">
        <f>C24*D24</f>
        <v>8.4345018896615304E-2</v>
      </c>
      <c r="F24" s="126"/>
    </row>
    <row r="25" spans="2:6" ht="15" customHeight="1" x14ac:dyDescent="0.3">
      <c r="B25" s="142" t="s">
        <v>1499</v>
      </c>
      <c r="C25" s="143"/>
      <c r="D25" s="144"/>
      <c r="E25" s="145">
        <f>SUM(E23:E24)</f>
        <v>9.8700874165775609E-2</v>
      </c>
      <c r="F25" s="146"/>
    </row>
  </sheetData>
  <mergeCells count="4">
    <mergeCell ref="B14:C14"/>
    <mergeCell ref="B4:C4"/>
    <mergeCell ref="E14:F14"/>
    <mergeCell ref="B21:E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zoomScaleNormal="100" workbookViewId="0">
      <selection activeCell="F63" sqref="F63"/>
    </sheetView>
  </sheetViews>
  <sheetFormatPr defaultColWidth="8.77734375" defaultRowHeight="14.4" x14ac:dyDescent="0.3"/>
  <cols>
    <col min="1" max="1" width="0.88671875" customWidth="1"/>
    <col min="2" max="2" width="39.77734375" bestFit="1" customWidth="1"/>
    <col min="3" max="3" width="7.6640625" bestFit="1" customWidth="1"/>
    <col min="4" max="4" width="8.109375" bestFit="1" customWidth="1"/>
    <col min="5" max="7" width="8" bestFit="1" customWidth="1"/>
    <col min="8" max="8" width="10.77734375" customWidth="1"/>
    <col min="9" max="9" width="11" customWidth="1"/>
    <col min="10" max="10" width="9.6640625" customWidth="1"/>
  </cols>
  <sheetData>
    <row r="1" spans="1:7" ht="18" customHeight="1" x14ac:dyDescent="0.3">
      <c r="A1" s="147"/>
      <c r="B1" s="315" t="s">
        <v>1504</v>
      </c>
      <c r="C1" s="316"/>
      <c r="D1" s="316"/>
      <c r="E1" s="316"/>
      <c r="F1" s="316"/>
      <c r="G1" s="317"/>
    </row>
    <row r="2" spans="1:7" ht="21.75" customHeight="1" x14ac:dyDescent="0.3">
      <c r="A2" s="147"/>
      <c r="B2" s="257" t="s">
        <v>1505</v>
      </c>
      <c r="C2" s="258">
        <v>44256</v>
      </c>
      <c r="D2" s="258">
        <v>44621</v>
      </c>
      <c r="E2" s="148">
        <v>44986</v>
      </c>
      <c r="F2" s="148">
        <v>45352</v>
      </c>
      <c r="G2" s="149">
        <v>45717</v>
      </c>
    </row>
    <row r="3" spans="1:7" ht="14.25" customHeight="1" x14ac:dyDescent="0.3">
      <c r="A3" s="147"/>
      <c r="B3" s="150" t="s">
        <v>1506</v>
      </c>
      <c r="C3" s="151"/>
      <c r="D3" s="151">
        <f>C7</f>
        <v>916.41</v>
      </c>
      <c r="E3" s="151">
        <f>D7</f>
        <v>1067.94</v>
      </c>
      <c r="F3" s="151">
        <f>E7</f>
        <v>1012.26</v>
      </c>
      <c r="G3" s="152">
        <f>F7</f>
        <v>1197.78</v>
      </c>
    </row>
    <row r="4" spans="1:7" ht="14.25" customHeight="1" x14ac:dyDescent="0.3">
      <c r="A4" s="147"/>
      <c r="B4" s="153" t="s">
        <v>1507</v>
      </c>
      <c r="C4" s="154"/>
      <c r="D4" s="154">
        <f>D5-D3</f>
        <v>232.95000000000016</v>
      </c>
      <c r="E4" s="154">
        <f>E5-E3</f>
        <v>55.629999999999882</v>
      </c>
      <c r="F4" s="154">
        <f>F5-F3</f>
        <v>342.39999999999986</v>
      </c>
      <c r="G4" s="155">
        <f>G5-G3</f>
        <v>312.33000000000015</v>
      </c>
    </row>
    <row r="5" spans="1:7" ht="14.25" customHeight="1" x14ac:dyDescent="0.3">
      <c r="A5" s="147"/>
      <c r="B5" s="156" t="s">
        <v>1508</v>
      </c>
      <c r="C5" s="157">
        <f>C6+C7</f>
        <v>987.92</v>
      </c>
      <c r="D5" s="157">
        <f>D6+D7</f>
        <v>1149.3600000000001</v>
      </c>
      <c r="E5" s="157">
        <f>E6+E7</f>
        <v>1123.57</v>
      </c>
      <c r="F5" s="157">
        <f>F6+F7</f>
        <v>1354.6599999999999</v>
      </c>
      <c r="G5" s="158">
        <f>G6+G7</f>
        <v>1510.1100000000001</v>
      </c>
    </row>
    <row r="6" spans="1:7" ht="14.25" customHeight="1" x14ac:dyDescent="0.3">
      <c r="A6" s="147"/>
      <c r="B6" s="159" t="s">
        <v>1509</v>
      </c>
      <c r="C6" s="160">
        <f>'Consolidated Statements  '!C13</f>
        <v>71.510000000000005</v>
      </c>
      <c r="D6" s="160">
        <f>'Consolidated Statements  '!D13</f>
        <v>81.42</v>
      </c>
      <c r="E6" s="160">
        <f>'Consolidated Statements  '!E13</f>
        <v>111.31</v>
      </c>
      <c r="F6" s="160">
        <f>'Consolidated Statements  '!F13</f>
        <v>156.88</v>
      </c>
      <c r="G6" s="160">
        <f>'Consolidated Statements  '!G13</f>
        <v>168.7</v>
      </c>
    </row>
    <row r="7" spans="1:7" ht="15" customHeight="1" x14ac:dyDescent="0.3">
      <c r="A7" s="147"/>
      <c r="B7" s="161" t="s">
        <v>1510</v>
      </c>
      <c r="C7" s="162">
        <f>'Consolidated Statements  '!L7</f>
        <v>916.41</v>
      </c>
      <c r="D7" s="162">
        <f>'Consolidated Statements  '!M7</f>
        <v>1067.94</v>
      </c>
      <c r="E7" s="162">
        <f>'Consolidated Statements  '!N7</f>
        <v>1012.26</v>
      </c>
      <c r="F7" s="162">
        <f>'Consolidated Statements  '!O7</f>
        <v>1197.78</v>
      </c>
      <c r="G7" s="162">
        <f>'Consolidated Statements  '!P7</f>
        <v>1341.41</v>
      </c>
    </row>
    <row r="8" spans="1:7" ht="15" customHeight="1" x14ac:dyDescent="0.3">
      <c r="A8" s="147"/>
      <c r="B8" s="163"/>
      <c r="C8" s="164"/>
      <c r="D8" s="164"/>
      <c r="E8" s="164"/>
      <c r="F8" s="164"/>
      <c r="G8" s="164"/>
    </row>
    <row r="9" spans="1:7" ht="14.25" customHeight="1" x14ac:dyDescent="0.3">
      <c r="A9" s="147"/>
      <c r="B9" s="165" t="s">
        <v>1511</v>
      </c>
      <c r="C9" s="166"/>
      <c r="D9" s="166">
        <f>D4-D6</f>
        <v>151.53000000000014</v>
      </c>
      <c r="E9" s="166">
        <f>E4-E6</f>
        <v>-55.680000000000121</v>
      </c>
      <c r="F9" s="166">
        <f>F4-F6</f>
        <v>185.51999999999987</v>
      </c>
      <c r="G9" s="167">
        <f>G4-G6</f>
        <v>143.63000000000017</v>
      </c>
    </row>
    <row r="10" spans="1:7" ht="15" customHeight="1" x14ac:dyDescent="0.3">
      <c r="A10" s="147"/>
      <c r="B10" s="168" t="s">
        <v>1512</v>
      </c>
      <c r="C10" s="169"/>
      <c r="D10" s="169">
        <f>IFERROR(D9/D3,0)</f>
        <v>0.16535175303630487</v>
      </c>
      <c r="E10" s="169">
        <f>IFERROR(E9/E3,0)</f>
        <v>-5.213776054834552E-2</v>
      </c>
      <c r="F10" s="169">
        <f>IFERROR(F9/F3,0)</f>
        <v>0.18327307213561719</v>
      </c>
      <c r="G10" s="170">
        <f>IFERROR(G9/G3,0)</f>
        <v>0.11991350665397667</v>
      </c>
    </row>
    <row r="11" spans="1:7" ht="15" customHeight="1" x14ac:dyDescent="0.3">
      <c r="A11" s="147"/>
      <c r="B11" s="163"/>
      <c r="C11" s="164"/>
      <c r="D11" s="164"/>
      <c r="E11" s="164"/>
      <c r="F11" s="164"/>
      <c r="G11" s="164"/>
    </row>
    <row r="12" spans="1:7" ht="14.25" customHeight="1" x14ac:dyDescent="0.3">
      <c r="A12" s="147"/>
      <c r="B12" s="171" t="s">
        <v>1513</v>
      </c>
      <c r="C12" s="172">
        <f>MEDIAN(D10:G10)</f>
        <v>0.14263262984514077</v>
      </c>
      <c r="D12" s="164"/>
      <c r="E12" s="164"/>
      <c r="F12" s="164"/>
      <c r="G12" s="164"/>
    </row>
    <row r="13" spans="1:7" ht="15" customHeight="1" x14ac:dyDescent="0.3">
      <c r="A13" s="147"/>
      <c r="B13" s="168" t="s">
        <v>1514</v>
      </c>
      <c r="C13" s="170">
        <f>AVERAGE(D10:G10)</f>
        <v>0.1041001428193883</v>
      </c>
      <c r="D13" s="164"/>
      <c r="E13" s="164"/>
      <c r="F13" s="164"/>
      <c r="G13" s="164"/>
    </row>
  </sheetData>
  <mergeCells count="1">
    <mergeCell ref="B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2"/>
  <sheetViews>
    <sheetView showGridLines="0" zoomScaleNormal="100" workbookViewId="0">
      <selection activeCell="F63" sqref="F63"/>
    </sheetView>
  </sheetViews>
  <sheetFormatPr defaultColWidth="8.77734375" defaultRowHeight="14.4" x14ac:dyDescent="0.3"/>
  <cols>
    <col min="2" max="2" width="47.88671875" bestFit="1" customWidth="1"/>
    <col min="3" max="3" width="7.6640625" bestFit="1" customWidth="1"/>
    <col min="4" max="4" width="7.109375" bestFit="1" customWidth="1"/>
    <col min="5" max="5" width="7.6640625" bestFit="1" customWidth="1"/>
    <col min="6" max="7" width="8" bestFit="1" customWidth="1"/>
    <col min="8" max="8" width="11.33203125" customWidth="1"/>
  </cols>
  <sheetData>
    <row r="2" spans="2:7" ht="40.5" customHeight="1" x14ac:dyDescent="0.3">
      <c r="B2" s="256" t="s">
        <v>1515</v>
      </c>
      <c r="C2" s="248"/>
      <c r="D2" s="248"/>
    </row>
    <row r="3" spans="2:7" ht="14.25" customHeight="1" x14ac:dyDescent="0.3">
      <c r="B3" s="173" t="s">
        <v>1505</v>
      </c>
      <c r="C3" s="174">
        <v>44256</v>
      </c>
      <c r="D3" s="174">
        <v>44621</v>
      </c>
      <c r="E3" s="174">
        <v>44986</v>
      </c>
      <c r="F3" s="174">
        <v>45352</v>
      </c>
      <c r="G3" s="174">
        <v>45717</v>
      </c>
    </row>
    <row r="4" spans="2:7" ht="14.25" customHeight="1" x14ac:dyDescent="0.3">
      <c r="B4" s="175" t="s">
        <v>1516</v>
      </c>
      <c r="C4" s="176">
        <f>'Consolidated Statements  '!L18</f>
        <v>186.66</v>
      </c>
      <c r="D4" s="176">
        <f>'Consolidated Statements  '!M18</f>
        <v>229.82</v>
      </c>
      <c r="E4" s="176">
        <f>'Consolidated Statements  '!N18</f>
        <v>424.37</v>
      </c>
      <c r="F4" s="176">
        <f>'Consolidated Statements  '!O18</f>
        <v>494.39</v>
      </c>
      <c r="G4" s="176">
        <f>'Consolidated Statements  '!P18</f>
        <v>493.11</v>
      </c>
    </row>
    <row r="5" spans="2:7" ht="14.25" customHeight="1" x14ac:dyDescent="0.3">
      <c r="B5" s="175" t="s">
        <v>1517</v>
      </c>
      <c r="C5" s="176">
        <f>'Consolidated Statements  '!L19</f>
        <v>531.78</v>
      </c>
      <c r="D5" s="176">
        <f>'Consolidated Statements  '!M19</f>
        <v>564.63</v>
      </c>
      <c r="E5" s="176">
        <f>'Consolidated Statements  '!N19</f>
        <v>494.85</v>
      </c>
      <c r="F5" s="176">
        <f>'Consolidated Statements  '!O19</f>
        <v>751.5</v>
      </c>
      <c r="G5" s="176">
        <f>'Consolidated Statements  '!P19</f>
        <v>661.63</v>
      </c>
    </row>
    <row r="6" spans="2:7" ht="14.25" customHeight="1" x14ac:dyDescent="0.3">
      <c r="B6" s="175" t="s">
        <v>1518</v>
      </c>
      <c r="C6" s="176">
        <f>'Consolidated Statements  '!L38</f>
        <v>167.92</v>
      </c>
      <c r="D6" s="176">
        <f>'Consolidated Statements  '!M38</f>
        <v>173.84</v>
      </c>
      <c r="E6" s="176">
        <f>'Consolidated Statements  '!N38</f>
        <v>940.19</v>
      </c>
      <c r="F6" s="176">
        <f>'Consolidated Statements  '!O38</f>
        <v>1289.33</v>
      </c>
      <c r="G6" s="176">
        <f>'Consolidated Statements  '!P38</f>
        <v>1098.47</v>
      </c>
    </row>
    <row r="7" spans="2:7" ht="14.25" customHeight="1" x14ac:dyDescent="0.3">
      <c r="B7" s="175" t="s">
        <v>1519</v>
      </c>
      <c r="C7" s="176">
        <f>C4+C5-C6</f>
        <v>550.52</v>
      </c>
      <c r="D7" s="176">
        <f>D4+D5-D6</f>
        <v>620.61</v>
      </c>
      <c r="E7" s="176">
        <f>E4+E5-E6</f>
        <v>-20.970000000000027</v>
      </c>
      <c r="F7" s="176">
        <f>F4+F5-F6</f>
        <v>-43.440000000000055</v>
      </c>
      <c r="G7" s="176">
        <f>G4+G5-G6</f>
        <v>56.269999999999982</v>
      </c>
    </row>
    <row r="8" spans="2:7" ht="14.25" customHeight="1" x14ac:dyDescent="0.3">
      <c r="B8" s="177" t="s">
        <v>1520</v>
      </c>
      <c r="C8" s="176"/>
      <c r="D8" s="176">
        <f>D7-C7</f>
        <v>70.090000000000032</v>
      </c>
      <c r="E8" s="176">
        <f>E7-D7</f>
        <v>-641.58000000000004</v>
      </c>
      <c r="F8" s="176">
        <f>F7-E7</f>
        <v>-22.470000000000027</v>
      </c>
      <c r="G8" s="176">
        <f>G7-F7</f>
        <v>99.710000000000036</v>
      </c>
    </row>
    <row r="9" spans="2:7" ht="14.25" customHeight="1" x14ac:dyDescent="0.3">
      <c r="B9" s="175" t="s">
        <v>1521</v>
      </c>
      <c r="C9" s="178"/>
      <c r="D9" s="178">
        <f>D8/'Consolidated Statements  '!C7</f>
        <v>9.5227096721601068E-2</v>
      </c>
      <c r="E9" s="178">
        <f>E8/'Consolidated Statements  '!D7</f>
        <v>-0.76408589088570522</v>
      </c>
      <c r="F9" s="178">
        <f>F8/'Consolidated Statements  '!E7</f>
        <v>-1.9454377018380816E-2</v>
      </c>
      <c r="G9" s="178">
        <f>G8/'Consolidated Statements  '!F7</f>
        <v>6.3829923437380004E-2</v>
      </c>
    </row>
    <row r="11" spans="2:7" ht="14.25" customHeight="1" x14ac:dyDescent="0.3">
      <c r="B11" s="175" t="s">
        <v>1522</v>
      </c>
      <c r="C11" s="178">
        <f>MEDIAN(D9:G9)</f>
        <v>2.2187773209499596E-2</v>
      </c>
      <c r="D11" s="3"/>
    </row>
    <row r="12" spans="2:7" ht="14.25" customHeight="1" x14ac:dyDescent="0.3">
      <c r="B12" s="175" t="s">
        <v>1523</v>
      </c>
      <c r="C12" s="179">
        <f>AVERAGE(D9:G9)</f>
        <v>-0.15612081193627625</v>
      </c>
      <c r="D12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20"/>
  <sheetViews>
    <sheetView showGridLines="0" zoomScaleNormal="100" workbookViewId="0">
      <selection activeCell="F63" sqref="F63"/>
    </sheetView>
  </sheetViews>
  <sheetFormatPr defaultColWidth="8.77734375" defaultRowHeight="14.4" x14ac:dyDescent="0.3"/>
  <cols>
    <col min="2" max="2" width="43" bestFit="1" customWidth="1"/>
    <col min="3" max="3" width="7.6640625" bestFit="1" customWidth="1"/>
    <col min="4" max="4" width="8" bestFit="1" customWidth="1"/>
    <col min="5" max="5" width="8.6640625" bestFit="1" customWidth="1"/>
    <col min="6" max="6" width="7.109375" bestFit="1" customWidth="1"/>
    <col min="7" max="7" width="8" bestFit="1" customWidth="1"/>
    <col min="8" max="8" width="12.109375" customWidth="1"/>
  </cols>
  <sheetData>
    <row r="2" spans="2:7" ht="20.25" customHeight="1" x14ac:dyDescent="0.3">
      <c r="B2" s="256" t="s">
        <v>1524</v>
      </c>
      <c r="C2" s="248"/>
      <c r="D2" s="248"/>
    </row>
    <row r="3" spans="2:7" ht="14.25" customHeight="1" x14ac:dyDescent="0.3">
      <c r="B3" s="173" t="s">
        <v>1505</v>
      </c>
      <c r="C3" s="174">
        <v>44256</v>
      </c>
      <c r="D3" s="174">
        <v>44621</v>
      </c>
      <c r="E3" s="174">
        <v>44986</v>
      </c>
      <c r="F3" s="174">
        <v>45352</v>
      </c>
      <c r="G3" s="174">
        <v>45717</v>
      </c>
    </row>
    <row r="4" spans="2:7" ht="14.25" customHeight="1" x14ac:dyDescent="0.3">
      <c r="B4" s="177" t="s">
        <v>194</v>
      </c>
      <c r="C4" s="180">
        <f>'Assumptions '!E18</f>
        <v>119.20000000000003</v>
      </c>
      <c r="D4" s="180">
        <f>'Assumptions '!F18</f>
        <v>136.87000000000006</v>
      </c>
      <c r="E4" s="180">
        <f>'Assumptions '!G18</f>
        <v>177.45</v>
      </c>
      <c r="F4" s="180">
        <f>'Assumptions '!H18</f>
        <v>259.53999999999985</v>
      </c>
      <c r="G4" s="180">
        <f>'Assumptions '!I18</f>
        <v>267.75000000000006</v>
      </c>
    </row>
    <row r="5" spans="2:7" ht="14.25" customHeight="1" x14ac:dyDescent="0.3">
      <c r="B5" s="175" t="s">
        <v>1525</v>
      </c>
      <c r="C5" s="178">
        <f>'Assumptions '!E42</f>
        <v>0.1755621405403604</v>
      </c>
      <c r="D5" s="178">
        <f>'Assumptions '!F42</f>
        <v>0.1755621405403604</v>
      </c>
      <c r="E5" s="178">
        <f>'Assumptions '!G42</f>
        <v>0.1755621405403604</v>
      </c>
      <c r="F5" s="178">
        <f>'Assumptions '!H42</f>
        <v>0.1755621405403604</v>
      </c>
      <c r="G5" s="178">
        <f>'Assumptions '!I42</f>
        <v>0.1755621405403604</v>
      </c>
    </row>
    <row r="6" spans="2:7" ht="14.25" customHeight="1" x14ac:dyDescent="0.3">
      <c r="B6" s="177" t="s">
        <v>1526</v>
      </c>
      <c r="C6" s="180">
        <f>C4*(1-C5)</f>
        <v>98.272992847589066</v>
      </c>
      <c r="D6" s="180">
        <f>D4*(1-D5)</f>
        <v>112.84080982424092</v>
      </c>
      <c r="E6" s="180">
        <f>E4*(1-E5)</f>
        <v>146.29649816111302</v>
      </c>
      <c r="F6" s="180">
        <f>F4*(1-F5)</f>
        <v>213.97460204415472</v>
      </c>
      <c r="G6" s="180">
        <f>G4*(1-G5)</f>
        <v>220.74323687031853</v>
      </c>
    </row>
    <row r="7" spans="2:7" ht="14.25" customHeight="1" x14ac:dyDescent="0.3">
      <c r="B7" s="175" t="s">
        <v>1527</v>
      </c>
      <c r="C7" s="176">
        <v>0</v>
      </c>
      <c r="D7" s="176">
        <f>'Fixed Asset Schedule '!D9</f>
        <v>151.53000000000014</v>
      </c>
      <c r="E7" s="176">
        <f>'Fixed Asset Schedule '!E9</f>
        <v>-55.680000000000121</v>
      </c>
      <c r="F7" s="176">
        <f>'Fixed Asset Schedule '!F9</f>
        <v>185.51999999999987</v>
      </c>
      <c r="G7" s="176">
        <f>'Fixed Asset Schedule '!G9</f>
        <v>143.63000000000017</v>
      </c>
    </row>
    <row r="8" spans="2:7" ht="14.25" customHeight="1" x14ac:dyDescent="0.3">
      <c r="B8" s="175" t="s">
        <v>1528</v>
      </c>
      <c r="C8" s="176">
        <v>0</v>
      </c>
      <c r="D8" s="176">
        <f>'Change in WC'!D8</f>
        <v>70.090000000000032</v>
      </c>
      <c r="E8" s="176">
        <f>'Change in WC'!E8</f>
        <v>-641.58000000000004</v>
      </c>
      <c r="F8" s="176">
        <f>'Change in WC'!F8</f>
        <v>-22.470000000000027</v>
      </c>
      <c r="G8" s="176">
        <f>'Change in WC'!G8</f>
        <v>99.710000000000036</v>
      </c>
    </row>
    <row r="9" spans="2:7" ht="14.25" customHeight="1" x14ac:dyDescent="0.3">
      <c r="B9" s="175" t="s">
        <v>1529</v>
      </c>
      <c r="C9" s="176">
        <f>SUM(C7:C8)</f>
        <v>0</v>
      </c>
      <c r="D9" s="176">
        <f>SUM(D7:D8)</f>
        <v>221.62000000000018</v>
      </c>
      <c r="E9" s="176">
        <f>SUM(E7:E8)</f>
        <v>-697.26000000000022</v>
      </c>
      <c r="F9" s="176">
        <f>SUM(F7:F8)</f>
        <v>163.04999999999984</v>
      </c>
      <c r="G9" s="176">
        <f>SUM(G7:G8)</f>
        <v>243.3400000000002</v>
      </c>
    </row>
    <row r="10" spans="2:7" ht="14.25" customHeight="1" x14ac:dyDescent="0.3">
      <c r="B10" s="177" t="s">
        <v>1530</v>
      </c>
      <c r="C10" s="180">
        <f>C6-C9</f>
        <v>98.272992847589066</v>
      </c>
      <c r="D10" s="180">
        <f>D6-D9</f>
        <v>-108.77919017575925</v>
      </c>
      <c r="E10" s="180">
        <f>E6-E9</f>
        <v>843.55649816111327</v>
      </c>
      <c r="F10" s="180">
        <f>F6-F9</f>
        <v>50.924602044154881</v>
      </c>
      <c r="G10" s="180">
        <f>G6-G9</f>
        <v>-22.596763129681676</v>
      </c>
    </row>
    <row r="12" spans="2:7" ht="14.25" customHeight="1" x14ac:dyDescent="0.3">
      <c r="B12" s="175" t="s">
        <v>1531</v>
      </c>
      <c r="C12" s="178"/>
      <c r="D12" s="178">
        <f>D9/D6</f>
        <v>1.964005755942305</v>
      </c>
      <c r="E12" s="178">
        <f>E9/E6</f>
        <v>-4.7660744362597356</v>
      </c>
      <c r="F12" s="178">
        <f>F9/F6</f>
        <v>0.76200632431298398</v>
      </c>
      <c r="G12" s="178">
        <f>G9/G6</f>
        <v>1.1023667291014525</v>
      </c>
    </row>
    <row r="14" spans="2:7" ht="14.25" customHeight="1" x14ac:dyDescent="0.3">
      <c r="B14" s="175" t="s">
        <v>1532</v>
      </c>
      <c r="C14" s="178">
        <f>MEDIAN(D12:G12)</f>
        <v>0.93218652670721824</v>
      </c>
    </row>
    <row r="15" spans="2:7" ht="14.25" customHeight="1" x14ac:dyDescent="0.3">
      <c r="B15" s="175" t="s">
        <v>1533</v>
      </c>
      <c r="C15" s="178">
        <f>AVERAGE(D12:G12)</f>
        <v>-0.23442390672574853</v>
      </c>
    </row>
    <row r="20" spans="6:6" ht="14.25" customHeight="1" x14ac:dyDescent="0.3">
      <c r="F20" t="s">
        <v>1486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Q22"/>
  <sheetViews>
    <sheetView showGridLines="0" tabSelected="1" zoomScaleNormal="100" workbookViewId="0">
      <selection activeCell="D22" sqref="D22"/>
    </sheetView>
  </sheetViews>
  <sheetFormatPr defaultColWidth="8.88671875" defaultRowHeight="14.4" x14ac:dyDescent="0.3"/>
  <cols>
    <col min="1" max="1" width="1.88671875" style="4" customWidth="1"/>
    <col min="2" max="2" width="25.5546875" style="4" bestFit="1" customWidth="1"/>
    <col min="3" max="13" width="7.5546875" style="4" bestFit="1" customWidth="1"/>
    <col min="14" max="14" width="7" style="4" bestFit="1" customWidth="1"/>
    <col min="15" max="15" width="12.44140625" style="4" bestFit="1" customWidth="1"/>
    <col min="16" max="16" width="6" style="4" bestFit="1" customWidth="1"/>
    <col min="17" max="17" width="8.88671875" style="4" customWidth="1"/>
    <col min="18" max="16384" width="8.88671875" style="4"/>
  </cols>
  <sheetData>
    <row r="2" spans="2:17" ht="14.25" customHeight="1" x14ac:dyDescent="0.3">
      <c r="B2" s="254" t="s">
        <v>1534</v>
      </c>
      <c r="C2" s="255"/>
      <c r="D2" s="255"/>
    </row>
    <row r="3" spans="2:17" ht="14.25" customHeight="1" x14ac:dyDescent="0.3">
      <c r="Q3" s="181"/>
    </row>
    <row r="4" spans="2:17" ht="14.25" customHeight="1" x14ac:dyDescent="0.3">
      <c r="B4" s="182" t="s">
        <v>1535</v>
      </c>
    </row>
    <row r="5" spans="2:17" ht="14.25" customHeight="1" x14ac:dyDescent="0.3">
      <c r="B5" s="183" t="s">
        <v>1536</v>
      </c>
      <c r="C5" s="184" t="s">
        <v>1537</v>
      </c>
      <c r="D5" s="184" t="s">
        <v>1538</v>
      </c>
      <c r="E5" s="184" t="s">
        <v>1539</v>
      </c>
      <c r="F5" s="184" t="s">
        <v>1540</v>
      </c>
      <c r="G5" s="184" t="s">
        <v>1541</v>
      </c>
      <c r="H5" s="184" t="s">
        <v>1542</v>
      </c>
      <c r="I5" s="184" t="s">
        <v>1543</v>
      </c>
      <c r="J5" s="184" t="s">
        <v>1544</v>
      </c>
      <c r="K5" s="184" t="s">
        <v>1545</v>
      </c>
      <c r="L5" s="184" t="s">
        <v>1546</v>
      </c>
      <c r="M5" s="184" t="s">
        <v>1547</v>
      </c>
    </row>
    <row r="6" spans="2:17" ht="14.25" customHeight="1" x14ac:dyDescent="0.3">
      <c r="B6" s="4" t="s">
        <v>1548</v>
      </c>
      <c r="C6" s="185">
        <f>'Consolidated Statements  '!G7</f>
        <v>1646.99</v>
      </c>
      <c r="D6" s="185">
        <f t="shared" ref="D6:M6" si="0">C6*(1+D7)</f>
        <v>2053.2057683860426</v>
      </c>
      <c r="E6" s="185">
        <f t="shared" si="0"/>
        <v>2518.4007057631175</v>
      </c>
      <c r="F6" s="185">
        <f t="shared" si="0"/>
        <v>3038.4474177323195</v>
      </c>
      <c r="G6" s="185">
        <f t="shared" si="0"/>
        <v>3604.897691831633</v>
      </c>
      <c r="H6" s="185">
        <f t="shared" si="0"/>
        <v>4204.5950702723239</v>
      </c>
      <c r="I6" s="185">
        <f t="shared" si="0"/>
        <v>4819.6643691057734</v>
      </c>
      <c r="J6" s="185">
        <f t="shared" si="0"/>
        <v>5427.9723765624549</v>
      </c>
      <c r="K6" s="185">
        <f t="shared" si="0"/>
        <v>6004.1110048853907</v>
      </c>
      <c r="L6" s="185">
        <f t="shared" si="0"/>
        <v>6520.8923831196862</v>
      </c>
      <c r="M6" s="185">
        <f t="shared" si="0"/>
        <v>6951.2712804055855</v>
      </c>
      <c r="O6" s="4" t="s">
        <v>1549</v>
      </c>
      <c r="P6" s="3">
        <v>6.6000000000000003E-2</v>
      </c>
    </row>
    <row r="7" spans="2:17" ht="14.25" customHeight="1" x14ac:dyDescent="0.3">
      <c r="B7" s="4" t="s">
        <v>1550</v>
      </c>
      <c r="C7" s="185"/>
      <c r="D7" s="186">
        <f>N7</f>
        <v>0.24664130831762321</v>
      </c>
      <c r="E7" s="186">
        <f t="shared" ref="E7:M7" si="1">D7-$P$9</f>
        <v>0.22657005183788731</v>
      </c>
      <c r="F7" s="186">
        <f t="shared" si="1"/>
        <v>0.20649879535815141</v>
      </c>
      <c r="G7" s="186">
        <f t="shared" si="1"/>
        <v>0.18642753887841551</v>
      </c>
      <c r="H7" s="186">
        <f t="shared" si="1"/>
        <v>0.16635628239867961</v>
      </c>
      <c r="I7" s="186">
        <f t="shared" si="1"/>
        <v>0.14628502591894371</v>
      </c>
      <c r="J7" s="186">
        <f t="shared" si="1"/>
        <v>0.12621376943920781</v>
      </c>
      <c r="K7" s="186">
        <f t="shared" si="1"/>
        <v>0.1061425129594719</v>
      </c>
      <c r="L7" s="186">
        <f t="shared" si="1"/>
        <v>8.6071256479735986E-2</v>
      </c>
      <c r="M7" s="186">
        <f t="shared" si="1"/>
        <v>6.6000000000000072E-2</v>
      </c>
      <c r="N7" s="3">
        <f>MEDIAN('Assumptions '!F7:I7)</f>
        <v>0.24664130831762321</v>
      </c>
    </row>
    <row r="8" spans="2:17" ht="14.25" customHeight="1" x14ac:dyDescent="0.3"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</row>
    <row r="9" spans="2:17" ht="14.25" customHeight="1" x14ac:dyDescent="0.3">
      <c r="B9" s="182" t="s">
        <v>1551</v>
      </c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O9" s="3">
        <f>N7-P6</f>
        <v>0.18064130831762321</v>
      </c>
      <c r="P9" s="4">
        <f>O9/9</f>
        <v>2.0071256479735913E-2</v>
      </c>
    </row>
    <row r="10" spans="2:17" ht="14.25" customHeight="1" x14ac:dyDescent="0.3">
      <c r="B10" s="183" t="s">
        <v>1536</v>
      </c>
      <c r="C10" s="184" t="s">
        <v>1537</v>
      </c>
      <c r="D10" s="184" t="s">
        <v>1538</v>
      </c>
      <c r="E10" s="184" t="s">
        <v>1539</v>
      </c>
      <c r="F10" s="184" t="s">
        <v>1540</v>
      </c>
      <c r="G10" s="184" t="s">
        <v>1541</v>
      </c>
      <c r="H10" s="184" t="s">
        <v>1542</v>
      </c>
      <c r="I10" s="184" t="s">
        <v>1543</v>
      </c>
      <c r="J10" s="184" t="s">
        <v>1544</v>
      </c>
      <c r="K10" s="184" t="s">
        <v>1545</v>
      </c>
      <c r="L10" s="184" t="s">
        <v>1546</v>
      </c>
      <c r="M10" s="184" t="s">
        <v>1547</v>
      </c>
    </row>
    <row r="11" spans="2:17" ht="14.25" customHeight="1" x14ac:dyDescent="0.3">
      <c r="B11" s="4" t="s">
        <v>1548</v>
      </c>
      <c r="C11" s="185">
        <f>C6</f>
        <v>1646.99</v>
      </c>
      <c r="D11" s="185">
        <f t="shared" ref="D11:M11" si="2">C11*(1+D12)</f>
        <v>2027.1008520163598</v>
      </c>
      <c r="E11" s="185">
        <f t="shared" si="2"/>
        <v>2458.1593119976947</v>
      </c>
      <c r="F11" s="185">
        <f t="shared" si="2"/>
        <v>2936.2818484658242</v>
      </c>
      <c r="G11" s="185">
        <f t="shared" si="2"/>
        <v>3454.1269279075836</v>
      </c>
      <c r="H11" s="185">
        <f t="shared" si="2"/>
        <v>4000.629741803541</v>
      </c>
      <c r="I11" s="185">
        <f t="shared" si="2"/>
        <v>4561.0134766277843</v>
      </c>
      <c r="J11" s="185">
        <f t="shared" si="2"/>
        <v>5117.1397236504736</v>
      </c>
      <c r="K11" s="185">
        <f t="shared" si="2"/>
        <v>5648.2319999642759</v>
      </c>
      <c r="L11" s="185">
        <f t="shared" si="2"/>
        <v>6131.9661893756611</v>
      </c>
      <c r="M11" s="185">
        <f t="shared" si="2"/>
        <v>6545.8739071585178</v>
      </c>
    </row>
    <row r="12" spans="2:17" ht="14.25" customHeight="1" x14ac:dyDescent="0.3">
      <c r="B12" s="4" t="s">
        <v>1550</v>
      </c>
      <c r="C12" s="185"/>
      <c r="D12" s="186">
        <f>AVERAGE('Assumptions '!F7:I7)</f>
        <v>0.23079123250071926</v>
      </c>
      <c r="E12" s="186">
        <f>D12-O12</f>
        <v>0.21264776222286155</v>
      </c>
      <c r="F12" s="186">
        <f>E12-O12</f>
        <v>0.19450429194500385</v>
      </c>
      <c r="G12" s="186">
        <f>F12-O12</f>
        <v>0.17636082166714614</v>
      </c>
      <c r="H12" s="186">
        <f>G12-O12</f>
        <v>0.15821735138928844</v>
      </c>
      <c r="I12" s="186">
        <f>H12-O12</f>
        <v>0.14007388111143074</v>
      </c>
      <c r="J12" s="186">
        <f>I12-O12</f>
        <v>0.12193041083357305</v>
      </c>
      <c r="K12" s="186">
        <f>J12-O12</f>
        <v>0.10378694055571536</v>
      </c>
      <c r="L12" s="186">
        <f>K12-O12</f>
        <v>8.5643470277857667E-2</v>
      </c>
      <c r="M12" s="186">
        <v>6.7500000000000004E-2</v>
      </c>
      <c r="N12" s="3">
        <f>D12-M12</f>
        <v>0.16329123250071925</v>
      </c>
      <c r="O12" s="3">
        <f>N12/9</f>
        <v>1.8143470277857694E-2</v>
      </c>
    </row>
    <row r="13" spans="2:17" ht="14.25" customHeight="1" x14ac:dyDescent="0.3"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</row>
    <row r="14" spans="2:17" ht="14.25" customHeight="1" x14ac:dyDescent="0.3">
      <c r="B14" s="182" t="s">
        <v>1552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</row>
    <row r="15" spans="2:17" ht="14.25" customHeight="1" x14ac:dyDescent="0.3">
      <c r="B15" s="183" t="s">
        <v>1536</v>
      </c>
      <c r="C15" s="184" t="s">
        <v>1537</v>
      </c>
      <c r="D15" s="184" t="s">
        <v>1538</v>
      </c>
      <c r="E15" s="184" t="s">
        <v>1539</v>
      </c>
      <c r="F15" s="184" t="s">
        <v>1540</v>
      </c>
      <c r="G15" s="184" t="s">
        <v>1541</v>
      </c>
      <c r="H15" s="184" t="s">
        <v>1542</v>
      </c>
      <c r="I15" s="184" t="s">
        <v>1543</v>
      </c>
      <c r="J15" s="184" t="s">
        <v>1544</v>
      </c>
      <c r="K15" s="184" t="s">
        <v>1545</v>
      </c>
      <c r="L15" s="184" t="s">
        <v>1546</v>
      </c>
      <c r="M15" s="184" t="s">
        <v>1547</v>
      </c>
    </row>
    <row r="16" spans="2:17" ht="14.25" customHeight="1" x14ac:dyDescent="0.3">
      <c r="B16" s="4" t="s">
        <v>1548</v>
      </c>
      <c r="C16" s="185">
        <f>C11</f>
        <v>1646.99</v>
      </c>
      <c r="D16" s="185">
        <f t="shared" ref="D16:M16" si="3">C16*(1+D17)</f>
        <v>1705.8325018268176</v>
      </c>
      <c r="E16" s="185">
        <f t="shared" si="3"/>
        <v>1772.7993881677803</v>
      </c>
      <c r="F16" s="185">
        <f t="shared" si="3"/>
        <v>1848.6537477598511</v>
      </c>
      <c r="G16" s="185">
        <f t="shared" si="3"/>
        <v>1934.2800587860215</v>
      </c>
      <c r="H16" s="185">
        <f t="shared" si="3"/>
        <v>2030.7010156864455</v>
      </c>
      <c r="I16" s="185">
        <f t="shared" si="3"/>
        <v>2139.0973968705098</v>
      </c>
      <c r="J16" s="185">
        <f t="shared" si="3"/>
        <v>2260.8315028069519</v>
      </c>
      <c r="K16" s="185">
        <f t="shared" si="3"/>
        <v>2397.4748011174647</v>
      </c>
      <c r="L16" s="185">
        <f t="shared" si="3"/>
        <v>2550.8405442555145</v>
      </c>
      <c r="M16" s="185">
        <f t="shared" si="3"/>
        <v>2723.0222809927614</v>
      </c>
    </row>
    <row r="17" spans="2:15" ht="14.25" customHeight="1" x14ac:dyDescent="0.3">
      <c r="B17" s="4" t="s">
        <v>1550</v>
      </c>
      <c r="C17" s="185"/>
      <c r="D17" s="186">
        <f>FCFF!C14*'Assumptions '!I52</f>
        <v>3.5727297571216426E-2</v>
      </c>
      <c r="E17" s="186">
        <f t="shared" ref="E17:L17" si="4">D17-$O$17</f>
        <v>3.9257597841081265E-2</v>
      </c>
      <c r="F17" s="186">
        <f t="shared" si="4"/>
        <v>4.2787898110946104E-2</v>
      </c>
      <c r="G17" s="186">
        <f t="shared" si="4"/>
        <v>4.6318198380810943E-2</v>
      </c>
      <c r="H17" s="186">
        <f t="shared" si="4"/>
        <v>4.9848498650675782E-2</v>
      </c>
      <c r="I17" s="186">
        <f t="shared" si="4"/>
        <v>5.3378798920540621E-2</v>
      </c>
      <c r="J17" s="186">
        <f t="shared" si="4"/>
        <v>5.690909919040546E-2</v>
      </c>
      <c r="K17" s="186">
        <f t="shared" si="4"/>
        <v>6.0439399460270299E-2</v>
      </c>
      <c r="L17" s="186">
        <f t="shared" si="4"/>
        <v>6.3969699730135138E-2</v>
      </c>
      <c r="M17" s="186">
        <v>6.7500000000000004E-2</v>
      </c>
      <c r="N17" s="3">
        <f>D17-M17</f>
        <v>-3.1772702428783578E-2</v>
      </c>
      <c r="O17" s="3">
        <f>N17/9</f>
        <v>-3.5303002698648419E-3</v>
      </c>
    </row>
    <row r="18" spans="2:15" ht="14.25" customHeight="1" x14ac:dyDescent="0.3"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5" ht="14.25" customHeight="1" x14ac:dyDescent="0.3">
      <c r="B19" s="182" t="s">
        <v>1553</v>
      </c>
      <c r="C19" s="188">
        <v>3</v>
      </c>
      <c r="D19" s="185"/>
      <c r="E19" s="185"/>
      <c r="F19" s="185"/>
      <c r="G19" s="185"/>
      <c r="H19" s="185"/>
      <c r="I19" s="185"/>
      <c r="J19" s="185"/>
      <c r="K19" s="185"/>
      <c r="L19" s="185"/>
      <c r="M19" s="185"/>
    </row>
    <row r="20" spans="2:15" ht="14.25" customHeight="1" x14ac:dyDescent="0.3">
      <c r="B20" s="183" t="s">
        <v>1536</v>
      </c>
      <c r="C20" s="184" t="s">
        <v>1537</v>
      </c>
      <c r="D20" s="184" t="s">
        <v>1538</v>
      </c>
      <c r="E20" s="184" t="s">
        <v>1539</v>
      </c>
      <c r="F20" s="184" t="s">
        <v>1540</v>
      </c>
      <c r="G20" s="184" t="s">
        <v>1541</v>
      </c>
      <c r="H20" s="184" t="s">
        <v>1542</v>
      </c>
      <c r="I20" s="184" t="s">
        <v>1543</v>
      </c>
      <c r="J20" s="184" t="s">
        <v>1544</v>
      </c>
      <c r="K20" s="184" t="s">
        <v>1545</v>
      </c>
      <c r="L20" s="184" t="s">
        <v>1546</v>
      </c>
      <c r="M20" s="184" t="s">
        <v>1547</v>
      </c>
    </row>
    <row r="21" spans="2:15" ht="14.25" customHeight="1" x14ac:dyDescent="0.3">
      <c r="B21" s="4" t="s">
        <v>1548</v>
      </c>
      <c r="C21" s="185">
        <f>C6</f>
        <v>1646.99</v>
      </c>
      <c r="D21" s="185">
        <f t="shared" ref="D21:M21" si="5">C21*(1+D22)</f>
        <v>1705.8325018268176</v>
      </c>
      <c r="E21" s="185">
        <f t="shared" si="5"/>
        <v>1772.7993881677803</v>
      </c>
      <c r="F21" s="185">
        <f t="shared" si="5"/>
        <v>1848.6537477598511</v>
      </c>
      <c r="G21" s="185">
        <f t="shared" si="5"/>
        <v>1934.2800587860215</v>
      </c>
      <c r="H21" s="185">
        <f t="shared" si="5"/>
        <v>2030.7010156864455</v>
      </c>
      <c r="I21" s="185">
        <f t="shared" si="5"/>
        <v>2139.0973968705098</v>
      </c>
      <c r="J21" s="185">
        <f t="shared" si="5"/>
        <v>2260.8315028069519</v>
      </c>
      <c r="K21" s="185">
        <f t="shared" si="5"/>
        <v>2397.4748011174647</v>
      </c>
      <c r="L21" s="185">
        <f t="shared" si="5"/>
        <v>2550.8405442555145</v>
      </c>
      <c r="M21" s="185">
        <f t="shared" si="5"/>
        <v>2723.0222809927614</v>
      </c>
    </row>
    <row r="22" spans="2:15" ht="14.25" customHeight="1" x14ac:dyDescent="0.3">
      <c r="B22" s="4" t="s">
        <v>1550</v>
      </c>
      <c r="C22" s="185"/>
      <c r="D22" s="185">
        <f t="shared" ref="D22:M22" si="6">CHOOSE($C$19,D7,D12,D17)</f>
        <v>3.5727297571216426E-2</v>
      </c>
      <c r="E22" s="185">
        <f t="shared" si="6"/>
        <v>3.9257597841081265E-2</v>
      </c>
      <c r="F22" s="185">
        <f t="shared" si="6"/>
        <v>4.2787898110946104E-2</v>
      </c>
      <c r="G22" s="185">
        <f t="shared" si="6"/>
        <v>4.6318198380810943E-2</v>
      </c>
      <c r="H22" s="185">
        <f t="shared" si="6"/>
        <v>4.9848498650675782E-2</v>
      </c>
      <c r="I22" s="185">
        <f t="shared" si="6"/>
        <v>5.3378798920540621E-2</v>
      </c>
      <c r="J22" s="185">
        <f t="shared" si="6"/>
        <v>5.690909919040546E-2</v>
      </c>
      <c r="K22" s="185">
        <f t="shared" si="6"/>
        <v>6.0439399460270299E-2</v>
      </c>
      <c r="L22" s="185">
        <f t="shared" si="6"/>
        <v>6.3969699730135138E-2</v>
      </c>
      <c r="M22" s="185">
        <f t="shared" si="6"/>
        <v>6.7500000000000004E-2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32"/>
  <sheetViews>
    <sheetView showGridLines="0" zoomScale="87" zoomScaleNormal="87" workbookViewId="0">
      <selection activeCell="F63" sqref="F63"/>
    </sheetView>
  </sheetViews>
  <sheetFormatPr defaultColWidth="8.88671875" defaultRowHeight="14.4" x14ac:dyDescent="0.3"/>
  <cols>
    <col min="1" max="1" width="1.88671875" style="189" customWidth="1"/>
    <col min="2" max="2" width="31.44140625" style="189" bestFit="1" customWidth="1"/>
    <col min="3" max="3" width="8" style="189" bestFit="1" customWidth="1"/>
    <col min="4" max="4" width="9" style="189" bestFit="1" customWidth="1"/>
    <col min="5" max="5" width="8" style="189" bestFit="1" customWidth="1"/>
    <col min="6" max="6" width="8.5546875" style="189" bestFit="1" customWidth="1"/>
    <col min="7" max="8" width="8" style="189" bestFit="1" customWidth="1"/>
    <col min="9" max="9" width="31.6640625" style="189" bestFit="1" customWidth="1"/>
    <col min="10" max="12" width="8" style="189" bestFit="1" customWidth="1"/>
    <col min="13" max="13" width="9" style="189" bestFit="1" customWidth="1"/>
    <col min="14" max="14" width="2.44140625" style="189" customWidth="1"/>
    <col min="15" max="15" width="14" style="189" bestFit="1" customWidth="1"/>
    <col min="16" max="16" width="2.44140625" style="189" customWidth="1"/>
    <col min="17" max="17" width="44.5546875" style="189" bestFit="1" customWidth="1"/>
    <col min="18" max="18" width="6" style="189" bestFit="1" customWidth="1"/>
    <col min="19" max="19" width="8.88671875" style="189" customWidth="1"/>
    <col min="20" max="16384" width="8.88671875" style="189"/>
  </cols>
  <sheetData>
    <row r="1" spans="2:18" ht="14.25" customHeight="1" x14ac:dyDescent="0.3">
      <c r="B1" s="190" t="s">
        <v>1660</v>
      </c>
    </row>
    <row r="2" spans="2:18" ht="14.25" customHeight="1" x14ac:dyDescent="0.3">
      <c r="B2" s="253"/>
      <c r="C2" s="253"/>
      <c r="D2" s="253">
        <v>1</v>
      </c>
      <c r="E2" s="189">
        <v>2</v>
      </c>
      <c r="F2" s="189">
        <v>3</v>
      </c>
      <c r="G2" s="189">
        <v>4</v>
      </c>
      <c r="H2" s="189">
        <v>5</v>
      </c>
      <c r="I2" s="189">
        <v>6</v>
      </c>
      <c r="J2" s="189">
        <v>7</v>
      </c>
      <c r="K2" s="189">
        <v>8</v>
      </c>
      <c r="L2" s="189">
        <v>9</v>
      </c>
      <c r="M2" s="189">
        <v>10</v>
      </c>
    </row>
    <row r="3" spans="2:18" ht="14.25" customHeight="1" x14ac:dyDescent="0.3">
      <c r="B3" s="191" t="s">
        <v>1554</v>
      </c>
      <c r="C3" s="192" t="s">
        <v>1537</v>
      </c>
      <c r="D3" s="192" t="s">
        <v>1538</v>
      </c>
      <c r="E3" s="192" t="s">
        <v>1539</v>
      </c>
      <c r="F3" s="192" t="s">
        <v>1540</v>
      </c>
      <c r="G3" s="192" t="s">
        <v>1541</v>
      </c>
      <c r="H3" s="192" t="s">
        <v>1542</v>
      </c>
      <c r="I3" s="192" t="s">
        <v>1543</v>
      </c>
      <c r="J3" s="192" t="s">
        <v>1544</v>
      </c>
      <c r="K3" s="192" t="s">
        <v>1545</v>
      </c>
      <c r="L3" s="192" t="s">
        <v>1546</v>
      </c>
      <c r="M3" s="192" t="s">
        <v>1547</v>
      </c>
      <c r="N3" s="193"/>
      <c r="O3" s="191" t="s">
        <v>1555</v>
      </c>
      <c r="Q3" s="194" t="s">
        <v>1556</v>
      </c>
      <c r="R3" s="3">
        <v>0.03</v>
      </c>
    </row>
    <row r="4" spans="2:18" ht="14.25" customHeight="1" x14ac:dyDescent="0.3">
      <c r="B4" s="195" t="s">
        <v>1557</v>
      </c>
      <c r="C4" s="189">
        <f>'Growth Scenario'!C21</f>
        <v>1646.99</v>
      </c>
      <c r="D4" s="189">
        <f>'Growth Scenario'!D21</f>
        <v>1705.8325018268176</v>
      </c>
      <c r="E4" s="189">
        <f>'Growth Scenario'!E21</f>
        <v>1772.7993881677803</v>
      </c>
      <c r="F4" s="189">
        <f>'Growth Scenario'!F21</f>
        <v>1848.6537477598511</v>
      </c>
      <c r="G4" s="189">
        <f>'Growth Scenario'!G21</f>
        <v>1934.2800587860215</v>
      </c>
      <c r="H4" s="189">
        <f>'Growth Scenario'!H21</f>
        <v>2030.7010156864455</v>
      </c>
      <c r="I4" s="189">
        <f>'Growth Scenario'!I21</f>
        <v>2139.0973968705098</v>
      </c>
      <c r="J4" s="189">
        <f>'Growth Scenario'!J21</f>
        <v>2260.8315028069519</v>
      </c>
      <c r="K4" s="189">
        <f>'Growth Scenario'!K21</f>
        <v>2397.4748011174647</v>
      </c>
      <c r="L4" s="189">
        <f>'Growth Scenario'!L21</f>
        <v>2550.8405442555145</v>
      </c>
      <c r="M4" s="189">
        <f>'Growth Scenario'!M21</f>
        <v>2723.0222809927614</v>
      </c>
      <c r="O4" s="189">
        <f>M4*(1+R3)</f>
        <v>2804.7129494225442</v>
      </c>
      <c r="Q4" s="194" t="s">
        <v>1558</v>
      </c>
      <c r="R4" s="3">
        <f>WACC!E25</f>
        <v>9.8700874165775609E-2</v>
      </c>
    </row>
    <row r="5" spans="2:18" ht="14.25" customHeight="1" x14ac:dyDescent="0.3">
      <c r="B5" s="195" t="s">
        <v>1559</v>
      </c>
      <c r="D5" s="3">
        <f>'Growth Scenario'!D22</f>
        <v>3.5727297571216426E-2</v>
      </c>
      <c r="E5" s="3">
        <f>'Growth Scenario'!E22</f>
        <v>3.9257597841081265E-2</v>
      </c>
      <c r="F5" s="3">
        <f>'Growth Scenario'!F22</f>
        <v>4.2787898110946104E-2</v>
      </c>
      <c r="G5" s="3">
        <f>'Growth Scenario'!G22</f>
        <v>4.6318198380810943E-2</v>
      </c>
      <c r="H5" s="3">
        <f>'Growth Scenario'!H22</f>
        <v>4.9848498650675782E-2</v>
      </c>
      <c r="I5" s="3">
        <f>'Growth Scenario'!I22</f>
        <v>5.3378798920540621E-2</v>
      </c>
      <c r="J5" s="3">
        <f>'Growth Scenario'!J22</f>
        <v>5.690909919040546E-2</v>
      </c>
      <c r="K5" s="3">
        <f>'Growth Scenario'!K22</f>
        <v>6.0439399460270299E-2</v>
      </c>
      <c r="L5" s="3">
        <f>'Growth Scenario'!L22</f>
        <v>6.3969699730135138E-2</v>
      </c>
      <c r="M5" s="3">
        <f>'Growth Scenario'!M22</f>
        <v>6.7500000000000004E-2</v>
      </c>
      <c r="O5" s="189">
        <f>R3</f>
        <v>0.03</v>
      </c>
      <c r="Q5" s="194" t="s">
        <v>1560</v>
      </c>
      <c r="R5" s="3">
        <f>R4*R3</f>
        <v>2.9610262249732682E-3</v>
      </c>
    </row>
    <row r="6" spans="2:18" ht="14.25" customHeight="1" x14ac:dyDescent="0.3">
      <c r="B6" s="195" t="s">
        <v>194</v>
      </c>
      <c r="D6" s="189">
        <f t="shared" ref="D6:M6" si="0">D7*D4</f>
        <v>393.69118553639669</v>
      </c>
      <c r="E6" s="189">
        <f t="shared" si="0"/>
        <v>409.14655577176302</v>
      </c>
      <c r="F6" s="189">
        <f t="shared" si="0"/>
        <v>426.65307691256982</v>
      </c>
      <c r="G6" s="189">
        <f t="shared" si="0"/>
        <v>446.41487876878961</v>
      </c>
      <c r="H6" s="189">
        <f t="shared" si="0"/>
        <v>468.6679902507372</v>
      </c>
      <c r="I6" s="189">
        <f t="shared" si="0"/>
        <v>493.68492466282515</v>
      </c>
      <c r="J6" s="189">
        <f t="shared" si="0"/>
        <v>521.78008900926977</v>
      </c>
      <c r="K6" s="189">
        <f t="shared" si="0"/>
        <v>553.31616423931644</v>
      </c>
      <c r="L6" s="189">
        <f t="shared" si="0"/>
        <v>588.71163312153567</v>
      </c>
      <c r="M6" s="189">
        <f t="shared" si="0"/>
        <v>628.44966835723926</v>
      </c>
      <c r="O6" s="189">
        <f>O7*O4</f>
        <v>647.3031584079564</v>
      </c>
      <c r="Q6" s="194"/>
    </row>
    <row r="7" spans="2:18" ht="14.25" customHeight="1" x14ac:dyDescent="0.3">
      <c r="B7" s="195" t="s">
        <v>1561</v>
      </c>
      <c r="D7" s="3">
        <f>AVERAGE('Assumptions '!F7:I7)</f>
        <v>0.23079123250071926</v>
      </c>
      <c r="E7" s="3">
        <f t="shared" ref="E7:M7" si="1">D7</f>
        <v>0.23079123250071926</v>
      </c>
      <c r="F7" s="3">
        <f t="shared" si="1"/>
        <v>0.23079123250071926</v>
      </c>
      <c r="G7" s="3">
        <f t="shared" si="1"/>
        <v>0.23079123250071926</v>
      </c>
      <c r="H7" s="3">
        <f t="shared" si="1"/>
        <v>0.23079123250071926</v>
      </c>
      <c r="I7" s="3">
        <f t="shared" si="1"/>
        <v>0.23079123250071926</v>
      </c>
      <c r="J7" s="3">
        <f t="shared" si="1"/>
        <v>0.23079123250071926</v>
      </c>
      <c r="K7" s="3">
        <f t="shared" si="1"/>
        <v>0.23079123250071926</v>
      </c>
      <c r="L7" s="3">
        <f t="shared" si="1"/>
        <v>0.23079123250071926</v>
      </c>
      <c r="M7" s="3">
        <f t="shared" si="1"/>
        <v>0.23079123250071926</v>
      </c>
      <c r="O7" s="189">
        <f>M7</f>
        <v>0.23079123250071926</v>
      </c>
      <c r="Q7" s="194" t="s">
        <v>1562</v>
      </c>
    </row>
    <row r="8" spans="2:18" ht="14.25" customHeight="1" x14ac:dyDescent="0.3">
      <c r="B8" s="195" t="s">
        <v>1525</v>
      </c>
      <c r="D8" s="189">
        <f>WACC!$F$17*Valuation!D6</f>
        <v>69.11726724464198</v>
      </c>
      <c r="E8" s="189">
        <f>WACC!$F$17*Valuation!E6</f>
        <v>71.830645126006658</v>
      </c>
      <c r="F8" s="189">
        <f>WACC!$F$17*Valuation!F6</f>
        <v>74.904127450901782</v>
      </c>
      <c r="G8" s="189">
        <f>WACC!$F$17*Valuation!G6</f>
        <v>78.37355168571419</v>
      </c>
      <c r="H8" s="189">
        <f>WACC!$F$17*Valuation!H6</f>
        <v>82.280355571168187</v>
      </c>
      <c r="I8" s="189">
        <f>WACC!$F$17*Valuation!I6</f>
        <v>86.672382126312144</v>
      </c>
      <c r="J8" s="189">
        <f>WACC!$F$17*Valuation!J6</f>
        <v>91.604829317807173</v>
      </c>
      <c r="K8" s="189">
        <f>WACC!$F$17*Valuation!K6</f>
        <v>97.141370189436003</v>
      </c>
      <c r="L8" s="189">
        <f>WACC!$F$17*Valuation!L6</f>
        <v>103.35547447182813</v>
      </c>
      <c r="M8" s="189">
        <f>WACC!$F$17*Valuation!M6</f>
        <v>110.33196899867653</v>
      </c>
    </row>
    <row r="9" spans="2:18" s="193" customFormat="1" ht="14.25" customHeight="1" x14ac:dyDescent="0.3">
      <c r="B9" s="196" t="s">
        <v>1563</v>
      </c>
      <c r="D9" s="193">
        <f t="shared" ref="D9:M9" si="2">D6-D8</f>
        <v>324.57391829175469</v>
      </c>
      <c r="E9" s="193">
        <f t="shared" si="2"/>
        <v>337.31591064575639</v>
      </c>
      <c r="F9" s="193">
        <f t="shared" si="2"/>
        <v>351.74894946166802</v>
      </c>
      <c r="G9" s="193">
        <f t="shared" si="2"/>
        <v>368.04132708307543</v>
      </c>
      <c r="H9" s="193">
        <f t="shared" si="2"/>
        <v>386.38763467956903</v>
      </c>
      <c r="I9" s="193">
        <f t="shared" si="2"/>
        <v>407.01254253651302</v>
      </c>
      <c r="J9" s="193">
        <f t="shared" si="2"/>
        <v>430.1752596914626</v>
      </c>
      <c r="K9" s="193">
        <f t="shared" si="2"/>
        <v>456.17479404988046</v>
      </c>
      <c r="L9" s="193">
        <f t="shared" si="2"/>
        <v>485.35615864970754</v>
      </c>
      <c r="M9" s="193">
        <f t="shared" si="2"/>
        <v>518.11769935856273</v>
      </c>
      <c r="O9" s="193">
        <f>O6-O8</f>
        <v>647.3031584079564</v>
      </c>
    </row>
    <row r="10" spans="2:18" ht="14.25" customHeight="1" x14ac:dyDescent="0.3">
      <c r="B10" s="195" t="s">
        <v>1564</v>
      </c>
      <c r="D10" s="189">
        <f>FCFF!$C$14*Valuation!D4</f>
        <v>1590.1540750222257</v>
      </c>
      <c r="E10" s="189">
        <f>FCFF!$C$15*Valuation!E4</f>
        <v>-415.58655841530782</v>
      </c>
      <c r="F10" s="189">
        <f>FCFF!$C$15*Valuation!F4</f>
        <v>-433.36863373306079</v>
      </c>
      <c r="G10" s="189">
        <f>FCFF!$C$15*Valuation!G4</f>
        <v>-453.44148808232967</v>
      </c>
      <c r="H10" s="189">
        <f>FCFF!$C$15*Valuation!H4</f>
        <v>-476.04486548916213</v>
      </c>
      <c r="I10" s="189">
        <f>FCFF!$C$15*Valuation!I4</f>
        <v>-501.45556864126388</v>
      </c>
      <c r="J10" s="189">
        <f>FCFF!$C$15*Valuation!J4</f>
        <v>-529.99295333665077</v>
      </c>
      <c r="K10" s="189">
        <f>FCFF!$C$15*Valuation!K4</f>
        <v>-562.0254091544931</v>
      </c>
      <c r="L10" s="189">
        <f>FCFF!$C$15*Valuation!L4</f>
        <v>-597.97800581881233</v>
      </c>
      <c r="M10" s="189">
        <f>FCFF!$C$15*Valuation!M4</f>
        <v>-638.34152121158206</v>
      </c>
    </row>
    <row r="11" spans="2:18" ht="14.25" customHeight="1" x14ac:dyDescent="0.3">
      <c r="B11" s="195" t="s">
        <v>1565</v>
      </c>
      <c r="C11" s="189">
        <f>'Change in WC'!G7</f>
        <v>56.269999999999982</v>
      </c>
      <c r="D11" s="189">
        <f>'Change in WC'!$C$11*Valuation!D4</f>
        <v>37.848624683926737</v>
      </c>
      <c r="E11" s="189">
        <f>'Change in WC'!$C$11*Valuation!E4</f>
        <v>39.334470770606352</v>
      </c>
      <c r="F11" s="189">
        <f>'Change in WC'!$C$11*Valuation!F4</f>
        <v>41.017510098187046</v>
      </c>
      <c r="G11" s="189">
        <f>'Change in WC'!$C$11*Valuation!G4</f>
        <v>42.91736726800179</v>
      </c>
      <c r="H11" s="189">
        <f>'Change in WC'!$C$11*Valuation!H4</f>
        <v>45.056733592351335</v>
      </c>
      <c r="I11" s="189">
        <f>'Change in WC'!$C$11*Valuation!I4</f>
        <v>47.461807914793823</v>
      </c>
      <c r="J11" s="189">
        <f>'Change in WC'!$C$11*Valuation!J4</f>
        <v>50.162816649172797</v>
      </c>
      <c r="K11" s="189">
        <f>'Change in WC'!$C$11*Valuation!K4</f>
        <v>53.194627162684455</v>
      </c>
      <c r="L11" s="189">
        <f>'Change in WC'!$C$11*Valuation!L4</f>
        <v>56.597471489537874</v>
      </c>
      <c r="M11" s="189">
        <f>'Change in WC'!$C$11*Valuation!M4</f>
        <v>60.417800815081669</v>
      </c>
    </row>
    <row r="12" spans="2:18" ht="14.25" customHeight="1" x14ac:dyDescent="0.3">
      <c r="B12" s="195" t="s">
        <v>1566</v>
      </c>
      <c r="D12" s="189">
        <f t="shared" ref="D12:M12" si="3">D11-C11</f>
        <v>-18.421375316073245</v>
      </c>
      <c r="E12" s="189">
        <f t="shared" si="3"/>
        <v>1.485846086679615</v>
      </c>
      <c r="F12" s="189">
        <f t="shared" si="3"/>
        <v>1.6830393275806941</v>
      </c>
      <c r="G12" s="189">
        <f t="shared" si="3"/>
        <v>1.8998571698147444</v>
      </c>
      <c r="H12" s="189">
        <f t="shared" si="3"/>
        <v>2.1393663243495453</v>
      </c>
      <c r="I12" s="189">
        <f t="shared" si="3"/>
        <v>2.4050743224424878</v>
      </c>
      <c r="J12" s="189">
        <f t="shared" si="3"/>
        <v>2.7010087343789735</v>
      </c>
      <c r="K12" s="189">
        <f t="shared" si="3"/>
        <v>3.0318105135116582</v>
      </c>
      <c r="L12" s="189">
        <f t="shared" si="3"/>
        <v>3.402844326853419</v>
      </c>
      <c r="M12" s="189">
        <f t="shared" si="3"/>
        <v>3.8203293255437956</v>
      </c>
    </row>
    <row r="13" spans="2:18" ht="14.25" customHeight="1" x14ac:dyDescent="0.3">
      <c r="B13" s="195" t="s">
        <v>1529</v>
      </c>
      <c r="D13" s="189">
        <f t="shared" ref="D13:M13" si="4">D10+D12</f>
        <v>1571.7326997061525</v>
      </c>
      <c r="E13" s="189">
        <f t="shared" si="4"/>
        <v>-414.10071232862822</v>
      </c>
      <c r="F13" s="189">
        <f t="shared" si="4"/>
        <v>-431.68559440548012</v>
      </c>
      <c r="G13" s="189">
        <f t="shared" si="4"/>
        <v>-451.5416309125149</v>
      </c>
      <c r="H13" s="189">
        <f t="shared" si="4"/>
        <v>-473.90549916481257</v>
      </c>
      <c r="I13" s="189">
        <f t="shared" si="4"/>
        <v>-499.05049431882139</v>
      </c>
      <c r="J13" s="189">
        <f t="shared" si="4"/>
        <v>-527.29194460227177</v>
      </c>
      <c r="K13" s="189">
        <f t="shared" si="4"/>
        <v>-558.99359864098142</v>
      </c>
      <c r="L13" s="189">
        <f t="shared" si="4"/>
        <v>-594.57516149195897</v>
      </c>
      <c r="M13" s="189">
        <f t="shared" si="4"/>
        <v>-634.52119188603831</v>
      </c>
      <c r="O13" s="189">
        <f>O9*O15</f>
        <v>1.9166816275539846</v>
      </c>
    </row>
    <row r="14" spans="2:18" ht="14.25" customHeight="1" x14ac:dyDescent="0.3">
      <c r="B14" s="196" t="s">
        <v>1567</v>
      </c>
      <c r="D14" s="193">
        <f t="shared" ref="D14:M14" si="5">D9-D13</f>
        <v>-1247.1587814143977</v>
      </c>
      <c r="E14" s="193">
        <f t="shared" si="5"/>
        <v>751.41662297438461</v>
      </c>
      <c r="F14" s="193">
        <f t="shared" si="5"/>
        <v>783.43454386714814</v>
      </c>
      <c r="G14" s="193">
        <f t="shared" si="5"/>
        <v>819.58295799559028</v>
      </c>
      <c r="H14" s="193">
        <f t="shared" si="5"/>
        <v>860.2931338443816</v>
      </c>
      <c r="I14" s="193">
        <f t="shared" si="5"/>
        <v>906.06303685533442</v>
      </c>
      <c r="J14" s="193">
        <f t="shared" si="5"/>
        <v>957.46720429373431</v>
      </c>
      <c r="K14" s="193">
        <f t="shared" si="5"/>
        <v>1015.1683926908619</v>
      </c>
      <c r="L14" s="193">
        <f t="shared" si="5"/>
        <v>1079.9313201416664</v>
      </c>
      <c r="M14" s="193">
        <f t="shared" si="5"/>
        <v>1152.6388912446009</v>
      </c>
      <c r="O14" s="189">
        <f>O9-O13</f>
        <v>645.3864767804024</v>
      </c>
    </row>
    <row r="15" spans="2:18" ht="14.25" customHeight="1" x14ac:dyDescent="0.3">
      <c r="B15" s="189" t="s">
        <v>1568</v>
      </c>
      <c r="D15" s="189">
        <f t="shared" ref="D15:M15" si="6">D13/D9</f>
        <v>4.8424491652879675</v>
      </c>
      <c r="E15" s="189">
        <f t="shared" si="6"/>
        <v>-1.2276346868307377</v>
      </c>
      <c r="F15" s="189">
        <f t="shared" si="6"/>
        <v>-1.2272548221285398</v>
      </c>
      <c r="G15" s="189">
        <f t="shared" si="6"/>
        <v>-1.2268775207698117</v>
      </c>
      <c r="H15" s="189">
        <f t="shared" si="6"/>
        <v>-1.2265027568954736</v>
      </c>
      <c r="I15" s="189">
        <f t="shared" si="6"/>
        <v>-1.2261305049931026</v>
      </c>
      <c r="J15" s="189">
        <f t="shared" si="6"/>
        <v>-1.225760739891143</v>
      </c>
      <c r="K15" s="189">
        <f t="shared" si="6"/>
        <v>-1.2253934367532333</v>
      </c>
      <c r="L15" s="189">
        <f t="shared" si="6"/>
        <v>-1.2250285710726445</v>
      </c>
      <c r="M15" s="189">
        <f t="shared" si="6"/>
        <v>-1.2246661186668295</v>
      </c>
      <c r="O15" s="189">
        <f>R5</f>
        <v>2.9610262249732682E-3</v>
      </c>
    </row>
    <row r="17" spans="2:13" ht="14.25" customHeight="1" x14ac:dyDescent="0.3">
      <c r="B17" s="189" t="s">
        <v>1569</v>
      </c>
      <c r="M17" s="189">
        <f>M14*(1+R3)/(R4-R3)</f>
        <v>17280.974549423852</v>
      </c>
    </row>
    <row r="19" spans="2:13" ht="14.25" customHeight="1" x14ac:dyDescent="0.3">
      <c r="B19" s="189" t="s">
        <v>1570</v>
      </c>
      <c r="D19" s="189">
        <f t="shared" ref="D19:M19" si="7">1/(1+$R$4)^D2</f>
        <v>0.91016583631944648</v>
      </c>
      <c r="E19" s="189">
        <f t="shared" si="7"/>
        <v>0.82840184960307728</v>
      </c>
      <c r="F19" s="189">
        <f t="shared" si="7"/>
        <v>0.75398306225256118</v>
      </c>
      <c r="G19" s="189">
        <f t="shared" si="7"/>
        <v>0.68624962442579951</v>
      </c>
      <c r="H19" s="189">
        <f t="shared" si="7"/>
        <v>0.62460096333941384</v>
      </c>
      <c r="I19" s="189">
        <f t="shared" si="7"/>
        <v>0.56849045816374955</v>
      </c>
      <c r="J19" s="189">
        <f t="shared" si="7"/>
        <v>0.51742059329423429</v>
      </c>
      <c r="K19" s="189">
        <f t="shared" si="7"/>
        <v>0.47093854702455085</v>
      </c>
      <c r="L19" s="189">
        <f t="shared" si="7"/>
        <v>0.42863217650766533</v>
      </c>
      <c r="M19" s="189">
        <f t="shared" si="7"/>
        <v>0.39012636340452378</v>
      </c>
    </row>
    <row r="21" spans="2:13" ht="14.25" customHeight="1" x14ac:dyDescent="0.3">
      <c r="B21" s="189" t="s">
        <v>1571</v>
      </c>
      <c r="D21" s="189">
        <f>SUMPRODUCT(D14:M14,D19:M19)</f>
        <v>3578.9798975910794</v>
      </c>
    </row>
    <row r="22" spans="2:13" ht="14.25" customHeight="1" x14ac:dyDescent="0.3">
      <c r="B22" s="189" t="s">
        <v>1572</v>
      </c>
      <c r="D22" s="189">
        <f>M17*M19</f>
        <v>6741.7637570528568</v>
      </c>
    </row>
    <row r="23" spans="2:13" ht="14.25" customHeight="1" x14ac:dyDescent="0.3">
      <c r="I23" s="197" t="s">
        <v>1573</v>
      </c>
      <c r="J23" s="197"/>
      <c r="K23" s="197"/>
      <c r="L23" s="197"/>
      <c r="M23" s="197"/>
    </row>
    <row r="24" spans="2:13" ht="14.25" customHeight="1" x14ac:dyDescent="0.3">
      <c r="B24" s="193" t="s">
        <v>1574</v>
      </c>
      <c r="D24" s="193">
        <f>D21+D22</f>
        <v>10320.743654643937</v>
      </c>
      <c r="I24" s="194">
        <f>D31</f>
        <v>753.14530455366139</v>
      </c>
      <c r="J24" s="193">
        <f>K24-1%</f>
        <v>8.8700874165775614E-2</v>
      </c>
      <c r="K24" s="193">
        <f>R4</f>
        <v>9.8700874165775609E-2</v>
      </c>
      <c r="L24" s="193">
        <f>K24+1%</f>
        <v>0.1087008741657756</v>
      </c>
      <c r="M24" s="193">
        <f>L24+1%</f>
        <v>0.1187008741657756</v>
      </c>
    </row>
    <row r="25" spans="2:13" ht="14.25" customHeight="1" x14ac:dyDescent="0.3">
      <c r="B25" s="195" t="s">
        <v>1575</v>
      </c>
      <c r="D25" s="189">
        <f>'Consolidated Statements  '!P20</f>
        <v>492.55</v>
      </c>
      <c r="I25" s="198">
        <f>I26-1%</f>
        <v>4.7E-2</v>
      </c>
      <c r="J25" s="189">
        <v>647.64580620614595</v>
      </c>
      <c r="K25" s="189">
        <v>647.64580620614595</v>
      </c>
      <c r="L25" s="189">
        <v>525.46010599211502</v>
      </c>
      <c r="M25" s="189">
        <v>380.79479708645698</v>
      </c>
    </row>
    <row r="26" spans="2:13" ht="14.25" customHeight="1" x14ac:dyDescent="0.3">
      <c r="B26" s="195" t="s">
        <v>1576</v>
      </c>
      <c r="D26" s="189">
        <f>'Consolidated Statements  '!P37+'Consolidated Statements  '!P43</f>
        <v>1775.55</v>
      </c>
      <c r="I26" s="198">
        <f>I27-1%</f>
        <v>5.7000000000000002E-2</v>
      </c>
      <c r="J26" s="189">
        <v>488.12562856699702</v>
      </c>
      <c r="K26" s="189">
        <v>488.12562856699702</v>
      </c>
      <c r="L26" s="189">
        <v>411.636913568811</v>
      </c>
      <c r="M26" s="189">
        <v>313.33095938802302</v>
      </c>
    </row>
    <row r="27" spans="2:13" ht="14.25" customHeight="1" x14ac:dyDescent="0.3">
      <c r="B27" s="195" t="s">
        <v>1577</v>
      </c>
      <c r="I27" s="198">
        <v>6.7000000000000004E-2</v>
      </c>
      <c r="J27" s="189">
        <v>384.07289250976402</v>
      </c>
      <c r="K27" s="199">
        <v>384.07289250976402</v>
      </c>
      <c r="L27" s="189">
        <v>332.973848335573</v>
      </c>
      <c r="M27" s="189">
        <v>263.15812672608303</v>
      </c>
    </row>
    <row r="28" spans="2:13" ht="15" customHeight="1" x14ac:dyDescent="0.3">
      <c r="B28" s="200" t="s">
        <v>1578</v>
      </c>
      <c r="C28" s="201"/>
      <c r="D28" s="200">
        <f>D24+D25-D26-D27</f>
        <v>9037.7436546439367</v>
      </c>
      <c r="I28" s="198">
        <f>I27+1%</f>
        <v>7.6999999999999999E-2</v>
      </c>
      <c r="J28" s="189">
        <v>311.96099915341898</v>
      </c>
      <c r="K28" s="202">
        <v>311.96099915341898</v>
      </c>
      <c r="L28" s="189">
        <v>276.13090880691499</v>
      </c>
      <c r="M28" s="189">
        <v>224.78524187873401</v>
      </c>
    </row>
    <row r="29" spans="2:13" ht="15" customHeight="1" x14ac:dyDescent="0.3">
      <c r="I29" s="198">
        <f>I28+1%</f>
        <v>8.6999999999999994E-2</v>
      </c>
      <c r="J29" s="189">
        <v>259.700083446272</v>
      </c>
      <c r="K29" s="189">
        <v>259.700083446272</v>
      </c>
      <c r="L29" s="189">
        <v>233.60487919839599</v>
      </c>
      <c r="M29" s="189">
        <v>194.742479081602</v>
      </c>
    </row>
    <row r="30" spans="2:13" ht="14.25" customHeight="1" x14ac:dyDescent="0.3">
      <c r="B30" s="195" t="s">
        <v>1579</v>
      </c>
      <c r="D30" s="203">
        <v>12</v>
      </c>
    </row>
    <row r="31" spans="2:13" ht="15" customHeight="1" x14ac:dyDescent="0.3">
      <c r="B31" s="200" t="s">
        <v>1580</v>
      </c>
      <c r="C31" s="201"/>
      <c r="D31" s="200">
        <f>D28/D30</f>
        <v>753.14530455366139</v>
      </c>
      <c r="F31" s="200" t="s">
        <v>1581</v>
      </c>
      <c r="G31" s="200">
        <v>732</v>
      </c>
    </row>
    <row r="32" spans="2:13" ht="1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W10"/>
  <sheetViews>
    <sheetView showGridLines="0" topLeftCell="B1" zoomScaleNormal="100" workbookViewId="0">
      <selection activeCell="F63" sqref="F63"/>
    </sheetView>
  </sheetViews>
  <sheetFormatPr defaultColWidth="8.6640625" defaultRowHeight="14.4" x14ac:dyDescent="0.3"/>
  <cols>
    <col min="2" max="2" width="8.6640625" customWidth="1"/>
    <col min="3" max="3" width="17.21875" bestFit="1" customWidth="1"/>
    <col min="4" max="4" width="8.44140625" customWidth="1"/>
    <col min="5" max="5" width="8.21875" customWidth="1"/>
    <col min="6" max="6" width="7.88671875" customWidth="1"/>
    <col min="7" max="7" width="9.33203125" customWidth="1"/>
    <col min="8" max="8" width="8.21875" customWidth="1"/>
    <col min="9" max="9" width="8.77734375" customWidth="1"/>
    <col min="10" max="10" width="9.33203125" customWidth="1"/>
    <col min="11" max="11" width="8.109375" customWidth="1"/>
    <col min="12" max="12" width="8.21875" customWidth="1"/>
  </cols>
  <sheetData>
    <row r="2" spans="2:23" ht="42" customHeight="1" thickBot="1" x14ac:dyDescent="0.35">
      <c r="B2" s="250" t="s">
        <v>0</v>
      </c>
      <c r="C2" s="251" t="s">
        <v>1</v>
      </c>
      <c r="D2" s="252" t="s">
        <v>2</v>
      </c>
      <c r="E2" s="204" t="s">
        <v>3</v>
      </c>
      <c r="F2" s="204" t="s">
        <v>4</v>
      </c>
      <c r="G2" s="204" t="s">
        <v>5</v>
      </c>
      <c r="H2" s="204" t="s">
        <v>6</v>
      </c>
      <c r="I2" s="204" t="s">
        <v>7</v>
      </c>
      <c r="J2" s="204" t="s">
        <v>8</v>
      </c>
      <c r="K2" s="204" t="s">
        <v>9</v>
      </c>
      <c r="L2" s="204" t="s">
        <v>10</v>
      </c>
    </row>
    <row r="3" spans="2:23" ht="15" customHeight="1" thickBot="1" x14ac:dyDescent="0.35">
      <c r="B3" s="205">
        <v>1</v>
      </c>
      <c r="C3" s="206" t="s">
        <v>11</v>
      </c>
      <c r="D3" s="207">
        <v>1452.7</v>
      </c>
      <c r="E3" s="207">
        <v>3502.97</v>
      </c>
      <c r="F3" s="207">
        <v>58.08</v>
      </c>
      <c r="G3" s="207">
        <v>84373.1</v>
      </c>
      <c r="H3" s="207">
        <v>9870.2900000000009</v>
      </c>
      <c r="I3" s="207">
        <v>8072.84</v>
      </c>
      <c r="J3" s="207">
        <v>33653.08</v>
      </c>
      <c r="K3" s="207">
        <v>11.25</v>
      </c>
      <c r="L3" s="207">
        <v>7339.34</v>
      </c>
    </row>
    <row r="4" spans="2:23" ht="15" customHeight="1" thickBot="1" x14ac:dyDescent="0.35">
      <c r="B4" s="208">
        <v>2</v>
      </c>
      <c r="C4" s="206" t="s">
        <v>12</v>
      </c>
      <c r="D4" s="207">
        <v>1363</v>
      </c>
      <c r="E4" s="207">
        <v>890.14</v>
      </c>
      <c r="F4" s="207">
        <v>53.99</v>
      </c>
      <c r="G4" s="207">
        <v>73582.460000000006</v>
      </c>
      <c r="H4" s="207">
        <v>113.7</v>
      </c>
      <c r="I4" s="207">
        <v>2518.48</v>
      </c>
      <c r="J4" s="207">
        <v>6812.9</v>
      </c>
      <c r="K4" s="207">
        <v>41.46</v>
      </c>
      <c r="L4" s="207">
        <v>1832.66</v>
      </c>
    </row>
    <row r="5" spans="2:23" ht="15" customHeight="1" x14ac:dyDescent="0.3">
      <c r="B5" s="205">
        <v>3</v>
      </c>
      <c r="C5" s="206" t="s">
        <v>13</v>
      </c>
      <c r="D5" s="207">
        <v>2315</v>
      </c>
      <c r="E5" s="207">
        <v>1065.01</v>
      </c>
      <c r="F5" s="207">
        <v>28.22</v>
      </c>
      <c r="G5" s="207">
        <v>65329.45</v>
      </c>
      <c r="H5" s="207">
        <v>1705.23</v>
      </c>
      <c r="I5" s="207">
        <v>1224.17</v>
      </c>
      <c r="J5" s="207">
        <v>16468.13</v>
      </c>
      <c r="K5" s="207">
        <v>13.72</v>
      </c>
      <c r="L5" s="207">
        <v>2465.11</v>
      </c>
    </row>
    <row r="6" spans="2:23" ht="15" customHeight="1" x14ac:dyDescent="0.3">
      <c r="B6" s="209">
        <v>4</v>
      </c>
      <c r="C6" s="210" t="s">
        <v>14</v>
      </c>
      <c r="D6" s="211">
        <v>433.1</v>
      </c>
      <c r="E6" s="211">
        <v>368.8</v>
      </c>
      <c r="F6" s="211">
        <v>162.09</v>
      </c>
      <c r="G6" s="211">
        <v>70201.45</v>
      </c>
      <c r="H6" s="211">
        <v>3193.6</v>
      </c>
      <c r="I6" s="211">
        <v>15434.1</v>
      </c>
      <c r="J6" s="211">
        <v>16927</v>
      </c>
      <c r="K6" s="211">
        <v>21.71</v>
      </c>
      <c r="L6" s="211">
        <v>3797.8</v>
      </c>
    </row>
    <row r="7" spans="2:23" ht="15" customHeight="1" x14ac:dyDescent="0.3">
      <c r="B7" s="212">
        <v>5</v>
      </c>
      <c r="C7" s="213" t="s">
        <v>15</v>
      </c>
      <c r="D7" s="214">
        <v>761.5</v>
      </c>
      <c r="E7" s="214">
        <v>591.79</v>
      </c>
      <c r="F7" s="214">
        <v>56.32</v>
      </c>
      <c r="G7" s="214">
        <v>42887.27</v>
      </c>
      <c r="H7" s="214">
        <v>274.88</v>
      </c>
      <c r="I7" s="214">
        <v>53.04</v>
      </c>
      <c r="J7" s="214">
        <v>2124.33</v>
      </c>
      <c r="K7" s="214">
        <v>43.11</v>
      </c>
      <c r="L7" s="214">
        <v>989.59</v>
      </c>
    </row>
    <row r="9" spans="2:23" ht="15" customHeight="1" x14ac:dyDescent="0.3"/>
    <row r="10" spans="2:23" ht="15" customHeight="1" x14ac:dyDescent="0.3">
      <c r="N10" s="215"/>
      <c r="O10" s="214"/>
      <c r="P10" s="214"/>
      <c r="Q10" s="214"/>
      <c r="R10" s="214"/>
      <c r="S10" s="214"/>
      <c r="T10" s="214"/>
      <c r="U10" s="214"/>
      <c r="V10" s="214"/>
      <c r="W10" s="214"/>
    </row>
  </sheetData>
  <hyperlinks>
    <hyperlink ref="C3" r:id="rId1" xr:uid="{00000000-0004-0000-0B00-000000000000}"/>
    <hyperlink ref="C4" r:id="rId2" xr:uid="{00000000-0004-0000-0B00-000001000000}"/>
    <hyperlink ref="C5" r:id="rId3" xr:uid="{00000000-0004-0000-0B00-000002000000}"/>
    <hyperlink ref="C6" r:id="rId4" xr:uid="{00000000-0004-0000-0B00-000003000000}"/>
    <hyperlink ref="C7" r:id="rId5" xr:uid="{00000000-0004-0000-0B00-000004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T30"/>
  <sheetViews>
    <sheetView showGridLines="0" zoomScaleNormal="100" workbookViewId="0">
      <selection activeCell="F63" sqref="F63"/>
    </sheetView>
  </sheetViews>
  <sheetFormatPr defaultColWidth="8.6640625" defaultRowHeight="14.4" x14ac:dyDescent="0.3"/>
  <cols>
    <col min="1" max="1" width="1.88671875" customWidth="1"/>
    <col min="2" max="2" width="30.6640625" bestFit="1" customWidth="1"/>
    <col min="3" max="3" width="11.44140625" bestFit="1" customWidth="1"/>
    <col min="4" max="4" width="12" customWidth="1"/>
    <col min="5" max="5" width="10.33203125" customWidth="1"/>
    <col min="6" max="6" width="11.33203125" customWidth="1"/>
    <col min="7" max="7" width="7.5546875" bestFit="1" customWidth="1"/>
    <col min="8" max="8" width="6.5546875" bestFit="1" customWidth="1"/>
    <col min="9" max="9" width="10.21875" bestFit="1" customWidth="1"/>
    <col min="11" max="11" width="8.33203125" bestFit="1" customWidth="1"/>
    <col min="12" max="12" width="7.109375" bestFit="1" customWidth="1"/>
    <col min="13" max="13" width="9.109375" bestFit="1" customWidth="1"/>
    <col min="14" max="14" width="4.5546875" bestFit="1" customWidth="1"/>
    <col min="16" max="16" width="12.6640625" bestFit="1" customWidth="1"/>
    <col min="17" max="17" width="10.21875" bestFit="1" customWidth="1"/>
    <col min="18" max="18" width="8.77734375" bestFit="1" customWidth="1"/>
  </cols>
  <sheetData>
    <row r="2" spans="2:20" ht="14.25" customHeight="1" x14ac:dyDescent="0.3">
      <c r="B2" s="249" t="s">
        <v>1661</v>
      </c>
      <c r="C2" s="249"/>
      <c r="D2" s="249"/>
      <c r="E2" s="216"/>
      <c r="F2" s="216"/>
      <c r="G2" s="216"/>
      <c r="H2" s="216"/>
      <c r="I2" s="216"/>
      <c r="J2" s="217"/>
      <c r="K2" s="217"/>
      <c r="L2" s="217"/>
      <c r="M2" s="217"/>
      <c r="N2" s="217"/>
      <c r="O2" s="217"/>
      <c r="P2" s="217"/>
      <c r="Q2" s="217"/>
      <c r="R2" s="217"/>
    </row>
    <row r="4" spans="2:20" ht="14.25" customHeight="1" x14ac:dyDescent="0.3">
      <c r="B4" s="218" t="s">
        <v>1582</v>
      </c>
    </row>
    <row r="5" spans="2:20" ht="14.25" customHeight="1" x14ac:dyDescent="0.3">
      <c r="B5" s="284" t="s">
        <v>1583</v>
      </c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</row>
    <row r="7" spans="2:20" ht="14.25" customHeight="1" x14ac:dyDescent="0.3">
      <c r="B7" s="290" t="s">
        <v>1584</v>
      </c>
      <c r="C7" s="286" t="s">
        <v>1585</v>
      </c>
      <c r="D7" s="292" t="s">
        <v>1586</v>
      </c>
      <c r="E7" s="287"/>
      <c r="F7" s="287"/>
      <c r="G7" s="287"/>
      <c r="H7" s="287"/>
      <c r="I7" s="287"/>
      <c r="J7" s="294"/>
      <c r="K7" s="293" t="s">
        <v>1587</v>
      </c>
      <c r="L7" s="287"/>
      <c r="M7" s="287"/>
      <c r="N7" s="287"/>
      <c r="O7" s="286"/>
      <c r="P7" s="286" t="s">
        <v>1588</v>
      </c>
      <c r="Q7" s="287"/>
      <c r="R7" s="288"/>
    </row>
    <row r="8" spans="2:20" ht="29.25" customHeight="1" x14ac:dyDescent="0.3">
      <c r="B8" s="291"/>
      <c r="C8" s="289"/>
      <c r="D8" s="219" t="s">
        <v>1589</v>
      </c>
      <c r="E8" s="219" t="s">
        <v>1590</v>
      </c>
      <c r="F8" s="219" t="s">
        <v>1591</v>
      </c>
      <c r="G8" s="219" t="s">
        <v>1592</v>
      </c>
      <c r="H8" s="219" t="s">
        <v>1593</v>
      </c>
      <c r="I8" s="220" t="s">
        <v>1594</v>
      </c>
      <c r="J8" s="295"/>
      <c r="K8" s="221" t="s">
        <v>1595</v>
      </c>
      <c r="L8" s="221" t="s">
        <v>192</v>
      </c>
      <c r="M8" s="221" t="s">
        <v>3</v>
      </c>
      <c r="N8" s="222" t="s">
        <v>1596</v>
      </c>
      <c r="O8" s="289"/>
      <c r="P8" s="223" t="s">
        <v>1597</v>
      </c>
      <c r="Q8" s="221" t="s">
        <v>1598</v>
      </c>
      <c r="R8" s="222" t="s">
        <v>1599</v>
      </c>
    </row>
    <row r="9" spans="2:20" ht="15" customHeight="1" x14ac:dyDescent="0.3">
      <c r="B9" s="224" t="s">
        <v>11</v>
      </c>
      <c r="C9" s="225"/>
      <c r="D9" s="226">
        <f>'Relative Valuation Raw Data '!F3</f>
        <v>58.08</v>
      </c>
      <c r="E9" s="227">
        <f>'Relative Valuation Raw Data '!D3</f>
        <v>1452.7</v>
      </c>
      <c r="F9" s="227">
        <f>IFERROR(D9*E9,0)</f>
        <v>84372.816000000006</v>
      </c>
      <c r="G9" s="227">
        <f>'Relative Valuation Raw Data '!I3</f>
        <v>8072.84</v>
      </c>
      <c r="H9" s="227">
        <f>'Relative Valuation Raw Data '!H3</f>
        <v>9870.2900000000009</v>
      </c>
      <c r="I9" s="227">
        <f>IFERROR(F9+G9-H9,0)</f>
        <v>82575.366000000009</v>
      </c>
      <c r="J9" s="228"/>
      <c r="K9" s="229">
        <f>'Relative Valuation Raw Data '!J3</f>
        <v>33653.08</v>
      </c>
      <c r="L9" s="230">
        <f>'Relative Valuation Raw Data '!L3</f>
        <v>7339.34</v>
      </c>
      <c r="M9" s="230">
        <f>'Relative Valuation Raw Data '!E3</f>
        <v>3502.97</v>
      </c>
      <c r="N9" s="230">
        <f>IFERROR(M9/D9,0)</f>
        <v>60.312844352617077</v>
      </c>
      <c r="O9" s="225"/>
      <c r="P9" s="231">
        <f>IFERROR(I9/K9,0)</f>
        <v>2.4537238790624811</v>
      </c>
      <c r="Q9" s="231">
        <f>IFERROR(I9/L9,0)</f>
        <v>11.251061539593479</v>
      </c>
      <c r="R9" s="232">
        <f>IFERROR(E9/N9,0)</f>
        <v>24.086080097745629</v>
      </c>
    </row>
    <row r="10" spans="2:20" ht="15" customHeight="1" x14ac:dyDescent="0.3">
      <c r="B10" s="224" t="s">
        <v>12</v>
      </c>
      <c r="C10" s="233"/>
      <c r="D10" s="226">
        <f>'Relative Valuation Raw Data '!F4</f>
        <v>53.99</v>
      </c>
      <c r="E10" s="227">
        <f>'Relative Valuation Raw Data '!D4</f>
        <v>1363</v>
      </c>
      <c r="F10" s="227">
        <f>IFERROR(D10*E10,0)</f>
        <v>73588.37000000001</v>
      </c>
      <c r="G10" s="227">
        <f>'Relative Valuation Raw Data '!I4</f>
        <v>2518.48</v>
      </c>
      <c r="H10" s="227">
        <f>'Relative Valuation Raw Data '!H4</f>
        <v>113.7</v>
      </c>
      <c r="I10" s="227">
        <f>IFERROR(F10+G10-H10,0)</f>
        <v>75993.150000000009</v>
      </c>
      <c r="J10" s="234"/>
      <c r="K10" s="229">
        <f>'Relative Valuation Raw Data '!J4</f>
        <v>6812.9</v>
      </c>
      <c r="L10" s="230">
        <f>'Relative Valuation Raw Data '!L4</f>
        <v>1832.66</v>
      </c>
      <c r="M10" s="230">
        <f>'Relative Valuation Raw Data '!E4</f>
        <v>890.14</v>
      </c>
      <c r="N10" s="227">
        <f>IFERROR(M10/D10,0)</f>
        <v>16.487127245786255</v>
      </c>
      <c r="O10" s="233"/>
      <c r="P10" s="231">
        <f>IFERROR(I10/K10,0)</f>
        <v>11.154302866620677</v>
      </c>
      <c r="Q10" s="231">
        <f>IFERROR(I10/L10,0)</f>
        <v>41.466038435934657</v>
      </c>
      <c r="R10" s="232">
        <f>IFERROR(E10/N10,0)</f>
        <v>82.670557440402646</v>
      </c>
      <c r="T10" s="235"/>
    </row>
    <row r="11" spans="2:20" ht="15" customHeight="1" x14ac:dyDescent="0.3">
      <c r="B11" s="224" t="s">
        <v>13</v>
      </c>
      <c r="C11" s="233"/>
      <c r="D11" s="226">
        <f>'Relative Valuation Raw Data '!F5</f>
        <v>28.22</v>
      </c>
      <c r="E11" s="227">
        <f>'Relative Valuation Raw Data '!D5</f>
        <v>2315</v>
      </c>
      <c r="F11" s="227">
        <f>IFERROR(D11*E11,0)</f>
        <v>65329.299999999996</v>
      </c>
      <c r="G11" s="227">
        <f>'Relative Valuation Raw Data '!I5</f>
        <v>1224.17</v>
      </c>
      <c r="H11" s="227">
        <f>'Relative Valuation Raw Data '!H5</f>
        <v>1705.23</v>
      </c>
      <c r="I11" s="227">
        <f>IFERROR(F11+G11-H11,0)</f>
        <v>64848.24</v>
      </c>
      <c r="J11" s="234"/>
      <c r="K11" s="229">
        <f>'Relative Valuation Raw Data '!J5</f>
        <v>16468.13</v>
      </c>
      <c r="L11" s="230">
        <f>'Relative Valuation Raw Data '!L5</f>
        <v>2465.11</v>
      </c>
      <c r="M11" s="230">
        <f>'Relative Valuation Raw Data '!E5</f>
        <v>1065.01</v>
      </c>
      <c r="N11" s="227">
        <f>IFERROR(M11/D11,0)</f>
        <v>37.73954642097803</v>
      </c>
      <c r="O11" s="233"/>
      <c r="P11" s="231">
        <f>IFERROR(I11/K11,0)</f>
        <v>3.9378022884201176</v>
      </c>
      <c r="Q11" s="231">
        <f>IFERROR(I11/L11,0)</f>
        <v>26.30642851637452</v>
      </c>
      <c r="R11" s="232">
        <f>IFERROR(E11/N11,0)</f>
        <v>61.34148975126994</v>
      </c>
    </row>
    <row r="12" spans="2:20" ht="15" customHeight="1" x14ac:dyDescent="0.3">
      <c r="B12" s="263" t="s">
        <v>14</v>
      </c>
      <c r="C12" s="264"/>
      <c r="D12" s="265">
        <f>'Relative Valuation Raw Data '!F6</f>
        <v>162.09</v>
      </c>
      <c r="E12" s="266">
        <f>'Relative Valuation Raw Data '!D6</f>
        <v>433.1</v>
      </c>
      <c r="F12" s="267">
        <f>IFERROR(D12*E12,0)</f>
        <v>70201.179000000004</v>
      </c>
      <c r="G12" s="266">
        <f>'Relative Valuation Raw Data '!I6</f>
        <v>15434.1</v>
      </c>
      <c r="H12" s="266">
        <f>'Relative Valuation Raw Data '!H6</f>
        <v>3193.6</v>
      </c>
      <c r="I12" s="267">
        <f>IFERROR(F12+G12-H12,0)</f>
        <v>82441.679000000004</v>
      </c>
      <c r="J12" s="268"/>
      <c r="K12" s="269">
        <f>'Relative Valuation Raw Data '!J6</f>
        <v>16927</v>
      </c>
      <c r="L12" s="270">
        <f>'Relative Valuation Raw Data '!L6</f>
        <v>3797.8</v>
      </c>
      <c r="M12" s="270">
        <f>'Relative Valuation Raw Data '!E6</f>
        <v>368.8</v>
      </c>
      <c r="N12" s="267">
        <f>IFERROR(M12/D12,0)</f>
        <v>2.2752791658954901</v>
      </c>
      <c r="O12" s="264"/>
      <c r="P12" s="271">
        <f>IFERROR(I12/K12,0)</f>
        <v>4.8704247060908612</v>
      </c>
      <c r="Q12" s="271">
        <f>IFERROR(I12/L12,0)</f>
        <v>21.707746326820789</v>
      </c>
      <c r="R12" s="272">
        <f>IFERROR(E12/N12,0)</f>
        <v>190.35026843817789</v>
      </c>
    </row>
    <row r="13" spans="2:20" ht="15" customHeight="1" x14ac:dyDescent="0.3">
      <c r="B13" s="236" t="s">
        <v>15</v>
      </c>
      <c r="C13" s="233"/>
      <c r="D13" s="226">
        <f>'Relative Valuation Raw Data '!F7</f>
        <v>56.32</v>
      </c>
      <c r="E13" s="227">
        <f>'Relative Valuation Raw Data '!D7</f>
        <v>761.5</v>
      </c>
      <c r="F13" s="227">
        <f>IFERROR(D13*E13,0)</f>
        <v>42887.68</v>
      </c>
      <c r="G13" s="227">
        <f>'Relative Valuation Raw Data '!I7</f>
        <v>53.04</v>
      </c>
      <c r="H13" s="227">
        <f>'Relative Valuation Raw Data '!H7</f>
        <v>274.88</v>
      </c>
      <c r="I13" s="227">
        <f>IFERROR(F13+G13-H13,0)</f>
        <v>42665.840000000004</v>
      </c>
      <c r="J13" s="234"/>
      <c r="K13" s="229">
        <f>'Relative Valuation Raw Data '!J7</f>
        <v>2124.33</v>
      </c>
      <c r="L13" s="230">
        <f>'Relative Valuation Raw Data '!L7</f>
        <v>989.59</v>
      </c>
      <c r="M13" s="230">
        <f>'Relative Valuation Raw Data '!E7</f>
        <v>591.79</v>
      </c>
      <c r="N13" s="227">
        <f>IFERROR(M13/D13,0)</f>
        <v>10.507634943181818</v>
      </c>
      <c r="O13" s="233"/>
      <c r="P13" s="231">
        <f>IFERROR(I13/K13,0)</f>
        <v>20.084374838184278</v>
      </c>
      <c r="Q13" s="231">
        <f>IFERROR(I13/L13,0)</f>
        <v>43.11466364858174</v>
      </c>
      <c r="R13" s="232">
        <f>IFERROR(E13/N13,0)</f>
        <v>72.471113063755723</v>
      </c>
    </row>
    <row r="14" spans="2:20" ht="14.25" customHeight="1" x14ac:dyDescent="0.3">
      <c r="B14" s="237"/>
      <c r="D14" s="227"/>
      <c r="E14" s="238"/>
      <c r="F14" s="238"/>
      <c r="G14" s="238"/>
      <c r="H14" s="238"/>
      <c r="I14" s="238"/>
      <c r="K14" s="238"/>
      <c r="L14" s="238"/>
      <c r="M14" s="238"/>
      <c r="N14" s="239"/>
      <c r="P14" s="231"/>
      <c r="Q14" s="231"/>
      <c r="R14" s="240"/>
    </row>
    <row r="15" spans="2:20" ht="14.25" customHeight="1" x14ac:dyDescent="0.3">
      <c r="B15" t="s">
        <v>1600</v>
      </c>
      <c r="P15" s="231">
        <f>IFERROR(MAX(P9:P13),0)</f>
        <v>20.084374838184278</v>
      </c>
      <c r="Q15" s="231">
        <f>IFERROR(MAX(Q9:Q13),0)</f>
        <v>43.11466364858174</v>
      </c>
      <c r="R15" s="231">
        <f>IFERROR(MAX(R9:R13),0)</f>
        <v>190.35026843817789</v>
      </c>
    </row>
    <row r="16" spans="2:20" ht="14.25" customHeight="1" x14ac:dyDescent="0.3">
      <c r="B16" t="s">
        <v>1601</v>
      </c>
      <c r="P16" s="4">
        <f>IFERROR(QUARTILE(P9:P13,3),0)</f>
        <v>11.154302866620677</v>
      </c>
      <c r="Q16" s="4">
        <f>IFERROR(QUARTILE(Q9:Q13,3),0)</f>
        <v>41.466038435934657</v>
      </c>
      <c r="R16" s="4">
        <f>IFERROR(QUARTILE(R9:R13,3),0)</f>
        <v>82.670557440402646</v>
      </c>
      <c r="S16" s="4"/>
    </row>
    <row r="17" spans="2:18" ht="14.25" customHeight="1" x14ac:dyDescent="0.3">
      <c r="B17" s="218" t="s">
        <v>1602</v>
      </c>
      <c r="P17" s="231">
        <f>IFERROR(AVERAGE(P9:P13),0)</f>
        <v>8.5001257156756829</v>
      </c>
      <c r="Q17" s="231">
        <f>IFERROR(AVERAGE(Q9:Q13),0)</f>
        <v>28.769187693461038</v>
      </c>
      <c r="R17" s="231">
        <f>IFERROR(AVERAGE(R9:R13),0)</f>
        <v>86.183901758270366</v>
      </c>
    </row>
    <row r="18" spans="2:18" ht="14.25" customHeight="1" x14ac:dyDescent="0.3">
      <c r="B18" s="218" t="s">
        <v>1603</v>
      </c>
      <c r="M18" s="231"/>
      <c r="P18" s="231">
        <f>IFERROR(MEDIAN(P9:P13),0)</f>
        <v>4.8704247060908612</v>
      </c>
      <c r="Q18" s="231">
        <f>IFERROR(MEDIAN(Q9:Q13),0)</f>
        <v>26.30642851637452</v>
      </c>
      <c r="R18" s="231">
        <f>IFERROR(MEDIAN(R9:R13),0)</f>
        <v>72.471113063755723</v>
      </c>
    </row>
    <row r="19" spans="2:18" ht="14.25" customHeight="1" x14ac:dyDescent="0.3">
      <c r="B19" t="s">
        <v>1604</v>
      </c>
      <c r="P19" s="231">
        <f>IFERROR(QUARTILE(P9:P13,1),0)</f>
        <v>3.9378022884201176</v>
      </c>
      <c r="Q19" s="231">
        <f>IFERROR(QUARTILE(Q9:Q13,1),0)</f>
        <v>21.707746326820789</v>
      </c>
      <c r="R19" s="231">
        <f>IFERROR(QUARTILE(R9:R13,1),0)</f>
        <v>61.34148975126994</v>
      </c>
    </row>
    <row r="20" spans="2:18" ht="14.25" customHeight="1" x14ac:dyDescent="0.3">
      <c r="B20" t="s">
        <v>1605</v>
      </c>
      <c r="P20" s="231">
        <f>IFERROR(MIN(P9:P13),0)</f>
        <v>2.4537238790624811</v>
      </c>
      <c r="Q20" s="231">
        <f>IFERROR(MIN(Q9:Q13),0)</f>
        <v>11.251061539593479</v>
      </c>
      <c r="R20" s="231">
        <f>IFERROR(MIN(R9:R13),0)</f>
        <v>24.086080097745629</v>
      </c>
    </row>
    <row r="22" spans="2:18" ht="14.25" customHeight="1" x14ac:dyDescent="0.3">
      <c r="B22" s="216" t="s">
        <v>1606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41" t="s">
        <v>1597</v>
      </c>
      <c r="Q22" s="241" t="s">
        <v>1598</v>
      </c>
      <c r="R22" s="241" t="s">
        <v>1599</v>
      </c>
    </row>
    <row r="23" spans="2:18" ht="14.25" customHeight="1" x14ac:dyDescent="0.3">
      <c r="B23" t="s">
        <v>1607</v>
      </c>
      <c r="P23" s="4">
        <f>P18*K12</f>
        <v>82441.679000000004</v>
      </c>
      <c r="Q23" s="4">
        <f>Q18*L12</f>
        <v>99906.554219487152</v>
      </c>
      <c r="R23" s="4">
        <f>SUM(R25+R24)</f>
        <v>38967.846497913109</v>
      </c>
    </row>
    <row r="24" spans="2:18" ht="14.25" customHeight="1" x14ac:dyDescent="0.3">
      <c r="B24" t="s">
        <v>1608</v>
      </c>
      <c r="P24" s="4">
        <f>G12-H12</f>
        <v>12240.5</v>
      </c>
      <c r="Q24" s="4">
        <f>P24</f>
        <v>12240.5</v>
      </c>
      <c r="R24" s="4">
        <f>Q24</f>
        <v>12240.5</v>
      </c>
    </row>
    <row r="25" spans="2:18" ht="14.25" customHeight="1" x14ac:dyDescent="0.3">
      <c r="B25" t="s">
        <v>1609</v>
      </c>
      <c r="P25" s="4">
        <f>P23-P24</f>
        <v>70201.179000000004</v>
      </c>
      <c r="Q25" s="4">
        <f>Q23-Q24</f>
        <v>87666.054219487152</v>
      </c>
      <c r="R25" s="4">
        <f>R18*M12</f>
        <v>26727.346497913113</v>
      </c>
    </row>
    <row r="26" spans="2:18" ht="14.25" customHeight="1" x14ac:dyDescent="0.3">
      <c r="B26" t="s">
        <v>1610</v>
      </c>
      <c r="P26" s="4">
        <f>D12</f>
        <v>162.09</v>
      </c>
      <c r="Q26" s="4">
        <f>P26</f>
        <v>162.09</v>
      </c>
      <c r="R26" s="4">
        <f>Q26</f>
        <v>162.09</v>
      </c>
    </row>
    <row r="28" spans="2:18" ht="15" customHeight="1" x14ac:dyDescent="0.3">
      <c r="B28" s="242" t="s">
        <v>1611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2">
        <f>P25/P26</f>
        <v>433.1</v>
      </c>
      <c r="Q28" s="244">
        <f>Q25/Q26</f>
        <v>540.84801171871891</v>
      </c>
      <c r="R28" s="244">
        <f>R25/R26</f>
        <v>164.89201368321989</v>
      </c>
    </row>
    <row r="29" spans="2:18" ht="15" customHeight="1" x14ac:dyDescent="0.3">
      <c r="P29" s="245"/>
      <c r="Q29" s="245"/>
      <c r="R29" s="245"/>
    </row>
    <row r="30" spans="2:18" ht="14.25" customHeight="1" x14ac:dyDescent="0.3">
      <c r="P30" s="246"/>
      <c r="Q30" s="246"/>
      <c r="R30" s="246"/>
    </row>
  </sheetData>
  <mergeCells count="8">
    <mergeCell ref="B5:R5"/>
    <mergeCell ref="P7:R7"/>
    <mergeCell ref="C7:C8"/>
    <mergeCell ref="B7:B8"/>
    <mergeCell ref="D7:I7"/>
    <mergeCell ref="K7:N7"/>
    <mergeCell ref="J7:J8"/>
    <mergeCell ref="O7:O8"/>
  </mergeCells>
  <hyperlinks>
    <hyperlink ref="B9" r:id="rId1" xr:uid="{00000000-0004-0000-0C00-000000000000}"/>
    <hyperlink ref="B10" r:id="rId2" xr:uid="{00000000-0004-0000-0C00-000001000000}"/>
    <hyperlink ref="B11" r:id="rId3" xr:uid="{00000000-0004-0000-0C00-000002000000}"/>
    <hyperlink ref="B12" r:id="rId4" xr:uid="{00000000-0004-0000-0C00-000003000000}"/>
    <hyperlink ref="B13" r:id="rId5" xr:uid="{00000000-0004-0000-0C00-000004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 </vt:lpstr>
      <vt:lpstr>Shareholding </vt:lpstr>
      <vt:lpstr>Consolidated Statements  </vt:lpstr>
      <vt:lpstr>Quaterly Results </vt:lpstr>
      <vt:lpstr>Ratios </vt:lpstr>
      <vt:lpstr>Stock Analysis</vt:lpstr>
      <vt:lpstr>Assumptions </vt:lpstr>
      <vt:lpstr>BETA</vt:lpstr>
      <vt:lpstr>WACC</vt:lpstr>
      <vt:lpstr>Fixed Asset Schedule </vt:lpstr>
      <vt:lpstr>Change in WC</vt:lpstr>
      <vt:lpstr>FCFF</vt:lpstr>
      <vt:lpstr>Growth Scenario</vt:lpstr>
      <vt:lpstr>Valuation</vt:lpstr>
      <vt:lpstr>Relative Valuation Raw Data </vt:lpstr>
      <vt:lpstr>Relative Valuation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singh</cp:lastModifiedBy>
  <cp:revision>3</cp:revision>
  <dcterms:created xsi:type="dcterms:W3CDTF">2026-05-26T07:01:57Z</dcterms:created>
  <dcterms:modified xsi:type="dcterms:W3CDTF">2026-07-28T19:14:02Z</dcterms:modified>
  <dc:language>en-US</dc:language>
</cp:coreProperties>
</file>