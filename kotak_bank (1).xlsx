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Manan\Desktop\cip hero\Full finalized\"/>
    </mc:Choice>
  </mc:AlternateContent>
  <xr:revisionPtr revIDLastSave="0" documentId="13_ncr:1_{556D51B9-469A-4FB9-9E43-80FCC1B0F77C}" xr6:coauthVersionLast="47" xr6:coauthVersionMax="47" xr10:uidLastSave="{00000000-0000-0000-0000-000000000000}"/>
  <bookViews>
    <workbookView xWindow="-108" yWindow="-108" windowWidth="23256" windowHeight="13896" firstSheet="1" activeTab="5" xr2:uid="{00000000-000D-0000-FFFF-FFFF00000000}"/>
  </bookViews>
  <sheets>
    <sheet name="About " sheetId="11" r:id="rId1"/>
    <sheet name="Shareholding " sheetId="12" r:id="rId2"/>
    <sheet name="Consolidated FS" sheetId="1" r:id="rId3"/>
    <sheet name="Assumptions " sheetId="2" r:id="rId4"/>
    <sheet name="Equity Schedule " sheetId="5" r:id="rId5"/>
    <sheet name="Residual Income Schedule " sheetId="6" r:id="rId6"/>
    <sheet name="BETA " sheetId="3" r:id="rId7"/>
    <sheet name="WACC" sheetId="4" r:id="rId8"/>
    <sheet name="Relative Valuation " sheetId="8" r:id="rId9"/>
  </sheets>
  <definedNames>
    <definedName name="ExternalData_1" localSheetId="5" hidden="1">'Residual Income Schedule '!$J$2:$K$29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8" l="1"/>
  <c r="F18" i="6"/>
  <c r="M10" i="8"/>
  <c r="E9" i="8"/>
  <c r="H9" i="8" s="1"/>
  <c r="M13" i="8" l="1"/>
  <c r="Q13" i="8" s="1"/>
  <c r="O24" i="8"/>
  <c r="P24" i="8" s="1"/>
  <c r="Q24" i="8" s="1"/>
  <c r="E13" i="8"/>
  <c r="H13" i="8" s="1"/>
  <c r="O13" i="8" s="1"/>
  <c r="M11" i="8"/>
  <c r="Q11" i="8" s="1"/>
  <c r="Q9" i="8"/>
  <c r="E12" i="8"/>
  <c r="H12" i="8" s="1"/>
  <c r="P12" i="8" s="1"/>
  <c r="M12" i="8"/>
  <c r="Q12" i="8" s="1"/>
  <c r="Q10" i="8"/>
  <c r="P9" i="8"/>
  <c r="O9" i="8"/>
  <c r="E11" i="8"/>
  <c r="H11" i="8" s="1"/>
  <c r="O26" i="8"/>
  <c r="P26" i="8" s="1"/>
  <c r="Q26" i="8" s="1"/>
  <c r="E10" i="8"/>
  <c r="H10" i="8" s="1"/>
  <c r="O12" i="8" l="1"/>
  <c r="P13" i="8"/>
  <c r="Q17" i="8"/>
  <c r="Q20" i="8"/>
  <c r="Q15" i="8"/>
  <c r="Q19" i="8"/>
  <c r="Q18" i="8"/>
  <c r="Q25" i="8" s="1"/>
  <c r="Q28" i="8" s="1"/>
  <c r="Q16" i="8"/>
  <c r="O10" i="8"/>
  <c r="P10" i="8"/>
  <c r="P11" i="8"/>
  <c r="O11" i="8"/>
  <c r="O18" i="8" l="1"/>
  <c r="O23" i="8" s="1"/>
  <c r="O25" i="8" s="1"/>
  <c r="O28" i="8" s="1"/>
  <c r="P20" i="8"/>
  <c r="Q23" i="8"/>
  <c r="P18" i="8"/>
  <c r="P23" i="8" s="1"/>
  <c r="P25" i="8" s="1"/>
  <c r="P28" i="8" s="1"/>
  <c r="O17" i="8"/>
  <c r="O20" i="8"/>
  <c r="P15" i="8"/>
  <c r="P16" i="8"/>
  <c r="P19" i="8"/>
  <c r="O16" i="8"/>
  <c r="O15" i="8"/>
  <c r="O19" i="8"/>
  <c r="P17" i="8"/>
  <c r="C15" i="6" l="1"/>
  <c r="C11" i="6"/>
  <c r="G11" i="2"/>
  <c r="C3" i="5"/>
  <c r="D2" i="5"/>
  <c r="E2" i="5" s="1"/>
  <c r="F2" i="5" s="1"/>
  <c r="G2" i="5" s="1"/>
  <c r="H2" i="5" s="1"/>
  <c r="I2" i="5" s="1"/>
  <c r="J2" i="5" s="1"/>
  <c r="K2" i="5" s="1"/>
  <c r="L2" i="5" s="1"/>
  <c r="D29" i="2"/>
  <c r="D4" i="5" s="1"/>
  <c r="E29" i="2"/>
  <c r="E4" i="5" s="1"/>
  <c r="F29" i="2"/>
  <c r="F4" i="5" s="1"/>
  <c r="G29" i="2"/>
  <c r="G4" i="5" s="1"/>
  <c r="C29" i="2"/>
  <c r="C4" i="5" s="1"/>
  <c r="D11" i="2"/>
  <c r="E11" i="2"/>
  <c r="F11" i="2"/>
  <c r="C11" i="2"/>
  <c r="D8" i="2"/>
  <c r="E8" i="2"/>
  <c r="F8" i="2"/>
  <c r="G8" i="2"/>
  <c r="C8" i="2"/>
  <c r="E7" i="2"/>
  <c r="F7" i="2"/>
  <c r="G7" i="2"/>
  <c r="R7" i="2" s="1"/>
  <c r="D7" i="2"/>
  <c r="E12" i="2"/>
  <c r="F12" i="2"/>
  <c r="G12" i="2"/>
  <c r="D12" i="2"/>
  <c r="D24" i="2"/>
  <c r="E24" i="2"/>
  <c r="F24" i="2"/>
  <c r="G24" i="2"/>
  <c r="D25" i="2"/>
  <c r="E25" i="2"/>
  <c r="F25" i="2"/>
  <c r="G25" i="2"/>
  <c r="D27" i="2"/>
  <c r="E27" i="2"/>
  <c r="F27" i="2"/>
  <c r="G27" i="2"/>
  <c r="C27" i="2"/>
  <c r="C25" i="2"/>
  <c r="C24" i="2"/>
  <c r="D21" i="2"/>
  <c r="E21" i="2"/>
  <c r="F21" i="2"/>
  <c r="G21" i="2"/>
  <c r="D22" i="2"/>
  <c r="E22" i="2"/>
  <c r="F22" i="2"/>
  <c r="G22" i="2"/>
  <c r="D18" i="2"/>
  <c r="E18" i="2"/>
  <c r="F18" i="2"/>
  <c r="G18" i="2"/>
  <c r="D19" i="2"/>
  <c r="E19" i="2"/>
  <c r="F19" i="2"/>
  <c r="G19" i="2"/>
  <c r="C22" i="2"/>
  <c r="C21" i="2"/>
  <c r="C19" i="2"/>
  <c r="C18" i="2"/>
  <c r="C20" i="2" s="1"/>
  <c r="D14" i="2"/>
  <c r="E14" i="2"/>
  <c r="F14" i="2"/>
  <c r="G14" i="2"/>
  <c r="D15" i="2"/>
  <c r="E15" i="2"/>
  <c r="F15" i="2"/>
  <c r="G15" i="2"/>
  <c r="D16" i="2"/>
  <c r="E16" i="2"/>
  <c r="F16" i="2"/>
  <c r="G16" i="2"/>
  <c r="C16" i="2"/>
  <c r="C15" i="2"/>
  <c r="C14" i="2"/>
  <c r="E9" i="2"/>
  <c r="F9" i="2"/>
  <c r="G9" i="2"/>
  <c r="D9" i="2"/>
  <c r="F16" i="4"/>
  <c r="F18" i="4" s="1"/>
  <c r="D23" i="4" s="1"/>
  <c r="C6" i="4"/>
  <c r="C5" i="4"/>
  <c r="I1237" i="3"/>
  <c r="E1237" i="3"/>
  <c r="I1236" i="3"/>
  <c r="E1236" i="3"/>
  <c r="I1235" i="3"/>
  <c r="E1235" i="3"/>
  <c r="I1234" i="3"/>
  <c r="E1234" i="3"/>
  <c r="I1233" i="3"/>
  <c r="E1233" i="3"/>
  <c r="I1232" i="3"/>
  <c r="E1232" i="3"/>
  <c r="I1231" i="3"/>
  <c r="E1231" i="3"/>
  <c r="I1230" i="3"/>
  <c r="E1230" i="3"/>
  <c r="I1229" i="3"/>
  <c r="E1229" i="3"/>
  <c r="I1228" i="3"/>
  <c r="E1228" i="3"/>
  <c r="I1227" i="3"/>
  <c r="E1227" i="3"/>
  <c r="I1226" i="3"/>
  <c r="E1226" i="3"/>
  <c r="I1225" i="3"/>
  <c r="E1225" i="3"/>
  <c r="I1224" i="3"/>
  <c r="E1224" i="3"/>
  <c r="I1223" i="3"/>
  <c r="E1223" i="3"/>
  <c r="I1222" i="3"/>
  <c r="E1222" i="3"/>
  <c r="I1221" i="3"/>
  <c r="E1221" i="3"/>
  <c r="I1220" i="3"/>
  <c r="E1220" i="3"/>
  <c r="I1219" i="3"/>
  <c r="E1219" i="3"/>
  <c r="I1218" i="3"/>
  <c r="E1218" i="3"/>
  <c r="I1217" i="3"/>
  <c r="E1217" i="3"/>
  <c r="I1216" i="3"/>
  <c r="E1216" i="3"/>
  <c r="I1215" i="3"/>
  <c r="E1215" i="3"/>
  <c r="I1214" i="3"/>
  <c r="E1214" i="3"/>
  <c r="I1213" i="3"/>
  <c r="E1213" i="3"/>
  <c r="I1212" i="3"/>
  <c r="E1212" i="3"/>
  <c r="I1211" i="3"/>
  <c r="E1211" i="3"/>
  <c r="I1210" i="3"/>
  <c r="E1210" i="3"/>
  <c r="I1209" i="3"/>
  <c r="E1209" i="3"/>
  <c r="I1208" i="3"/>
  <c r="E1208" i="3"/>
  <c r="I1207" i="3"/>
  <c r="E1207" i="3"/>
  <c r="I1206" i="3"/>
  <c r="E1206" i="3"/>
  <c r="I1205" i="3"/>
  <c r="E1205" i="3"/>
  <c r="I1204" i="3"/>
  <c r="E1204" i="3"/>
  <c r="I1203" i="3"/>
  <c r="E1203" i="3"/>
  <c r="I1202" i="3"/>
  <c r="E1202" i="3"/>
  <c r="I1201" i="3"/>
  <c r="E1201" i="3"/>
  <c r="I1200" i="3"/>
  <c r="E1200" i="3"/>
  <c r="I1199" i="3"/>
  <c r="E1199" i="3"/>
  <c r="I1198" i="3"/>
  <c r="E1198" i="3"/>
  <c r="I1197" i="3"/>
  <c r="E1197" i="3"/>
  <c r="I1196" i="3"/>
  <c r="E1196" i="3"/>
  <c r="I1195" i="3"/>
  <c r="E1195" i="3"/>
  <c r="I1194" i="3"/>
  <c r="E1194" i="3"/>
  <c r="I1193" i="3"/>
  <c r="E1193" i="3"/>
  <c r="I1192" i="3"/>
  <c r="E1192" i="3"/>
  <c r="I1191" i="3"/>
  <c r="E1191" i="3"/>
  <c r="I1190" i="3"/>
  <c r="E1190" i="3"/>
  <c r="I1189" i="3"/>
  <c r="E1189" i="3"/>
  <c r="I1188" i="3"/>
  <c r="E1188" i="3"/>
  <c r="I1187" i="3"/>
  <c r="E1187" i="3"/>
  <c r="I1186" i="3"/>
  <c r="E1186" i="3"/>
  <c r="I1185" i="3"/>
  <c r="E1185" i="3"/>
  <c r="I1184" i="3"/>
  <c r="E1184" i="3"/>
  <c r="I1183" i="3"/>
  <c r="E1183" i="3"/>
  <c r="I1182" i="3"/>
  <c r="E1182" i="3"/>
  <c r="I1181" i="3"/>
  <c r="E1181" i="3"/>
  <c r="I1180" i="3"/>
  <c r="E1180" i="3"/>
  <c r="I1179" i="3"/>
  <c r="E1179" i="3"/>
  <c r="I1178" i="3"/>
  <c r="E1178" i="3"/>
  <c r="I1177" i="3"/>
  <c r="E1177" i="3"/>
  <c r="I1176" i="3"/>
  <c r="E1176" i="3"/>
  <c r="I1175" i="3"/>
  <c r="E1175" i="3"/>
  <c r="I1174" i="3"/>
  <c r="E1174" i="3"/>
  <c r="I1173" i="3"/>
  <c r="E1173" i="3"/>
  <c r="I1172" i="3"/>
  <c r="E1172" i="3"/>
  <c r="I1171" i="3"/>
  <c r="E1171" i="3"/>
  <c r="I1170" i="3"/>
  <c r="E1170" i="3"/>
  <c r="I1169" i="3"/>
  <c r="E1169" i="3"/>
  <c r="I1168" i="3"/>
  <c r="E1168" i="3"/>
  <c r="I1167" i="3"/>
  <c r="E1167" i="3"/>
  <c r="I1166" i="3"/>
  <c r="E1166" i="3"/>
  <c r="I1165" i="3"/>
  <c r="E1165" i="3"/>
  <c r="I1164" i="3"/>
  <c r="E1164" i="3"/>
  <c r="I1163" i="3"/>
  <c r="E1163" i="3"/>
  <c r="I1162" i="3"/>
  <c r="E1162" i="3"/>
  <c r="I1161" i="3"/>
  <c r="E1161" i="3"/>
  <c r="I1160" i="3"/>
  <c r="E1160" i="3"/>
  <c r="I1159" i="3"/>
  <c r="E1159" i="3"/>
  <c r="I1158" i="3"/>
  <c r="E1158" i="3"/>
  <c r="I1157" i="3"/>
  <c r="E1157" i="3"/>
  <c r="I1156" i="3"/>
  <c r="E1156" i="3"/>
  <c r="I1155" i="3"/>
  <c r="E1155" i="3"/>
  <c r="I1154" i="3"/>
  <c r="E1154" i="3"/>
  <c r="I1153" i="3"/>
  <c r="E1153" i="3"/>
  <c r="I1152" i="3"/>
  <c r="E1152" i="3"/>
  <c r="I1151" i="3"/>
  <c r="E1151" i="3"/>
  <c r="I1150" i="3"/>
  <c r="E1150" i="3"/>
  <c r="I1149" i="3"/>
  <c r="E1149" i="3"/>
  <c r="I1148" i="3"/>
  <c r="E1148" i="3"/>
  <c r="I1147" i="3"/>
  <c r="E1147" i="3"/>
  <c r="I1146" i="3"/>
  <c r="E1146" i="3"/>
  <c r="I1145" i="3"/>
  <c r="E1145" i="3"/>
  <c r="I1144" i="3"/>
  <c r="E1144" i="3"/>
  <c r="I1143" i="3"/>
  <c r="E1143" i="3"/>
  <c r="I1142" i="3"/>
  <c r="E1142" i="3"/>
  <c r="I1141" i="3"/>
  <c r="E1141" i="3"/>
  <c r="I1140" i="3"/>
  <c r="E1140" i="3"/>
  <c r="I1139" i="3"/>
  <c r="E1139" i="3"/>
  <c r="I1138" i="3"/>
  <c r="E1138" i="3"/>
  <c r="I1137" i="3"/>
  <c r="E1137" i="3"/>
  <c r="I1136" i="3"/>
  <c r="E1136" i="3"/>
  <c r="I1135" i="3"/>
  <c r="E1135" i="3"/>
  <c r="I1134" i="3"/>
  <c r="E1134" i="3"/>
  <c r="I1133" i="3"/>
  <c r="E1133" i="3"/>
  <c r="I1132" i="3"/>
  <c r="E1132" i="3"/>
  <c r="I1131" i="3"/>
  <c r="E1131" i="3"/>
  <c r="I1130" i="3"/>
  <c r="E1130" i="3"/>
  <c r="I1129" i="3"/>
  <c r="E1129" i="3"/>
  <c r="I1128" i="3"/>
  <c r="E1128" i="3"/>
  <c r="I1127" i="3"/>
  <c r="E1127" i="3"/>
  <c r="I1126" i="3"/>
  <c r="E1126" i="3"/>
  <c r="I1125" i="3"/>
  <c r="E1125" i="3"/>
  <c r="I1124" i="3"/>
  <c r="E1124" i="3"/>
  <c r="I1123" i="3"/>
  <c r="E1123" i="3"/>
  <c r="I1122" i="3"/>
  <c r="E1122" i="3"/>
  <c r="I1121" i="3"/>
  <c r="E1121" i="3"/>
  <c r="I1120" i="3"/>
  <c r="E1120" i="3"/>
  <c r="I1119" i="3"/>
  <c r="E1119" i="3"/>
  <c r="I1118" i="3"/>
  <c r="E1118" i="3"/>
  <c r="I1117" i="3"/>
  <c r="E1117" i="3"/>
  <c r="I1116" i="3"/>
  <c r="E1116" i="3"/>
  <c r="I1115" i="3"/>
  <c r="E1115" i="3"/>
  <c r="I1114" i="3"/>
  <c r="E1114" i="3"/>
  <c r="I1113" i="3"/>
  <c r="E1113" i="3"/>
  <c r="I1112" i="3"/>
  <c r="E1112" i="3"/>
  <c r="I1111" i="3"/>
  <c r="E1111" i="3"/>
  <c r="I1110" i="3"/>
  <c r="E1110" i="3"/>
  <c r="I1109" i="3"/>
  <c r="E1109" i="3"/>
  <c r="I1108" i="3"/>
  <c r="E1108" i="3"/>
  <c r="I1107" i="3"/>
  <c r="E1107" i="3"/>
  <c r="I1106" i="3"/>
  <c r="E1106" i="3"/>
  <c r="I1105" i="3"/>
  <c r="E1105" i="3"/>
  <c r="I1104" i="3"/>
  <c r="E1104" i="3"/>
  <c r="I1103" i="3"/>
  <c r="E1103" i="3"/>
  <c r="I1102" i="3"/>
  <c r="E1102" i="3"/>
  <c r="I1101" i="3"/>
  <c r="E1101" i="3"/>
  <c r="I1100" i="3"/>
  <c r="E1100" i="3"/>
  <c r="I1099" i="3"/>
  <c r="E1099" i="3"/>
  <c r="I1098" i="3"/>
  <c r="E1098" i="3"/>
  <c r="I1097" i="3"/>
  <c r="E1097" i="3"/>
  <c r="I1096" i="3"/>
  <c r="E1096" i="3"/>
  <c r="I1095" i="3"/>
  <c r="E1095" i="3"/>
  <c r="I1094" i="3"/>
  <c r="E1094" i="3"/>
  <c r="I1093" i="3"/>
  <c r="E1093" i="3"/>
  <c r="I1092" i="3"/>
  <c r="E1092" i="3"/>
  <c r="I1091" i="3"/>
  <c r="E1091" i="3"/>
  <c r="I1090" i="3"/>
  <c r="E1090" i="3"/>
  <c r="I1089" i="3"/>
  <c r="E1089" i="3"/>
  <c r="I1088" i="3"/>
  <c r="E1088" i="3"/>
  <c r="I1087" i="3"/>
  <c r="E1087" i="3"/>
  <c r="I1086" i="3"/>
  <c r="E1086" i="3"/>
  <c r="I1085" i="3"/>
  <c r="E1085" i="3"/>
  <c r="I1084" i="3"/>
  <c r="E1084" i="3"/>
  <c r="I1083" i="3"/>
  <c r="E1083" i="3"/>
  <c r="I1082" i="3"/>
  <c r="E1082" i="3"/>
  <c r="I1081" i="3"/>
  <c r="E1081" i="3"/>
  <c r="I1080" i="3"/>
  <c r="E1080" i="3"/>
  <c r="I1079" i="3"/>
  <c r="E1079" i="3"/>
  <c r="I1078" i="3"/>
  <c r="E1078" i="3"/>
  <c r="I1077" i="3"/>
  <c r="E1077" i="3"/>
  <c r="I1076" i="3"/>
  <c r="E1076" i="3"/>
  <c r="I1075" i="3"/>
  <c r="E1075" i="3"/>
  <c r="I1074" i="3"/>
  <c r="E1074" i="3"/>
  <c r="I1073" i="3"/>
  <c r="E1073" i="3"/>
  <c r="I1072" i="3"/>
  <c r="E1072" i="3"/>
  <c r="I1071" i="3"/>
  <c r="E1071" i="3"/>
  <c r="I1070" i="3"/>
  <c r="E1070" i="3"/>
  <c r="I1069" i="3"/>
  <c r="E1069" i="3"/>
  <c r="I1068" i="3"/>
  <c r="E1068" i="3"/>
  <c r="I1067" i="3"/>
  <c r="E1067" i="3"/>
  <c r="I1066" i="3"/>
  <c r="E1066" i="3"/>
  <c r="I1065" i="3"/>
  <c r="E1065" i="3"/>
  <c r="I1064" i="3"/>
  <c r="E1064" i="3"/>
  <c r="I1063" i="3"/>
  <c r="E1063" i="3"/>
  <c r="I1062" i="3"/>
  <c r="E1062" i="3"/>
  <c r="I1061" i="3"/>
  <c r="E1061" i="3"/>
  <c r="I1060" i="3"/>
  <c r="E1060" i="3"/>
  <c r="I1059" i="3"/>
  <c r="E1059" i="3"/>
  <c r="I1058" i="3"/>
  <c r="E1058" i="3"/>
  <c r="I1057" i="3"/>
  <c r="E1057" i="3"/>
  <c r="I1056" i="3"/>
  <c r="E1056" i="3"/>
  <c r="I1055" i="3"/>
  <c r="E1055" i="3"/>
  <c r="I1054" i="3"/>
  <c r="E1054" i="3"/>
  <c r="I1053" i="3"/>
  <c r="E1053" i="3"/>
  <c r="I1052" i="3"/>
  <c r="E1052" i="3"/>
  <c r="I1051" i="3"/>
  <c r="E1051" i="3"/>
  <c r="I1050" i="3"/>
  <c r="E1050" i="3"/>
  <c r="I1049" i="3"/>
  <c r="E1049" i="3"/>
  <c r="I1048" i="3"/>
  <c r="E1048" i="3"/>
  <c r="I1047" i="3"/>
  <c r="E1047" i="3"/>
  <c r="I1046" i="3"/>
  <c r="E1046" i="3"/>
  <c r="I1045" i="3"/>
  <c r="E1045" i="3"/>
  <c r="I1044" i="3"/>
  <c r="E1044" i="3"/>
  <c r="I1043" i="3"/>
  <c r="E1043" i="3"/>
  <c r="I1042" i="3"/>
  <c r="E1042" i="3"/>
  <c r="I1041" i="3"/>
  <c r="E1041" i="3"/>
  <c r="I1040" i="3"/>
  <c r="E1040" i="3"/>
  <c r="I1039" i="3"/>
  <c r="E1039" i="3"/>
  <c r="I1038" i="3"/>
  <c r="E1038" i="3"/>
  <c r="I1037" i="3"/>
  <c r="E1037" i="3"/>
  <c r="I1036" i="3"/>
  <c r="E1036" i="3"/>
  <c r="I1035" i="3"/>
  <c r="E1035" i="3"/>
  <c r="I1034" i="3"/>
  <c r="E1034" i="3"/>
  <c r="I1033" i="3"/>
  <c r="E1033" i="3"/>
  <c r="I1032" i="3"/>
  <c r="E1032" i="3"/>
  <c r="I1031" i="3"/>
  <c r="E1031" i="3"/>
  <c r="I1030" i="3"/>
  <c r="E1030" i="3"/>
  <c r="I1029" i="3"/>
  <c r="E1029" i="3"/>
  <c r="I1028" i="3"/>
  <c r="E1028" i="3"/>
  <c r="I1027" i="3"/>
  <c r="E1027" i="3"/>
  <c r="I1026" i="3"/>
  <c r="E1026" i="3"/>
  <c r="I1025" i="3"/>
  <c r="E1025" i="3"/>
  <c r="I1024" i="3"/>
  <c r="E1024" i="3"/>
  <c r="I1023" i="3"/>
  <c r="E1023" i="3"/>
  <c r="I1022" i="3"/>
  <c r="E1022" i="3"/>
  <c r="I1021" i="3"/>
  <c r="E1021" i="3"/>
  <c r="I1020" i="3"/>
  <c r="E1020" i="3"/>
  <c r="I1019" i="3"/>
  <c r="E1019" i="3"/>
  <c r="I1018" i="3"/>
  <c r="E1018" i="3"/>
  <c r="I1017" i="3"/>
  <c r="E1017" i="3"/>
  <c r="I1016" i="3"/>
  <c r="E1016" i="3"/>
  <c r="I1015" i="3"/>
  <c r="E1015" i="3"/>
  <c r="I1014" i="3"/>
  <c r="E1014" i="3"/>
  <c r="I1013" i="3"/>
  <c r="E1013" i="3"/>
  <c r="I1012" i="3"/>
  <c r="E1012" i="3"/>
  <c r="I1011" i="3"/>
  <c r="E1011" i="3"/>
  <c r="I1010" i="3"/>
  <c r="E1010" i="3"/>
  <c r="I1009" i="3"/>
  <c r="E1009" i="3"/>
  <c r="I1008" i="3"/>
  <c r="E1008" i="3"/>
  <c r="I1007" i="3"/>
  <c r="E1007" i="3"/>
  <c r="I1006" i="3"/>
  <c r="E1006" i="3"/>
  <c r="I1005" i="3"/>
  <c r="E1005" i="3"/>
  <c r="I1004" i="3"/>
  <c r="E1004" i="3"/>
  <c r="I1003" i="3"/>
  <c r="E1003" i="3"/>
  <c r="I1002" i="3"/>
  <c r="E1002" i="3"/>
  <c r="I1001" i="3"/>
  <c r="E1001" i="3"/>
  <c r="I1000" i="3"/>
  <c r="E1000" i="3"/>
  <c r="I999" i="3"/>
  <c r="E999" i="3"/>
  <c r="I998" i="3"/>
  <c r="E998" i="3"/>
  <c r="I997" i="3"/>
  <c r="E997" i="3"/>
  <c r="I996" i="3"/>
  <c r="E996" i="3"/>
  <c r="I995" i="3"/>
  <c r="E995" i="3"/>
  <c r="I994" i="3"/>
  <c r="E994" i="3"/>
  <c r="I993" i="3"/>
  <c r="E993" i="3"/>
  <c r="I992" i="3"/>
  <c r="E992" i="3"/>
  <c r="I991" i="3"/>
  <c r="E991" i="3"/>
  <c r="I990" i="3"/>
  <c r="E990" i="3"/>
  <c r="I989" i="3"/>
  <c r="E989" i="3"/>
  <c r="I988" i="3"/>
  <c r="E988" i="3"/>
  <c r="I987" i="3"/>
  <c r="E987" i="3"/>
  <c r="I986" i="3"/>
  <c r="E986" i="3"/>
  <c r="I985" i="3"/>
  <c r="E985" i="3"/>
  <c r="I984" i="3"/>
  <c r="E984" i="3"/>
  <c r="I983" i="3"/>
  <c r="E983" i="3"/>
  <c r="I982" i="3"/>
  <c r="E982" i="3"/>
  <c r="I981" i="3"/>
  <c r="E981" i="3"/>
  <c r="I980" i="3"/>
  <c r="E980" i="3"/>
  <c r="I979" i="3"/>
  <c r="E979" i="3"/>
  <c r="I978" i="3"/>
  <c r="E978" i="3"/>
  <c r="I977" i="3"/>
  <c r="E977" i="3"/>
  <c r="I976" i="3"/>
  <c r="E976" i="3"/>
  <c r="I975" i="3"/>
  <c r="E975" i="3"/>
  <c r="I974" i="3"/>
  <c r="E974" i="3"/>
  <c r="I973" i="3"/>
  <c r="E973" i="3"/>
  <c r="I972" i="3"/>
  <c r="E972" i="3"/>
  <c r="I971" i="3"/>
  <c r="E971" i="3"/>
  <c r="I970" i="3"/>
  <c r="E970" i="3"/>
  <c r="I969" i="3"/>
  <c r="E969" i="3"/>
  <c r="I968" i="3"/>
  <c r="E968" i="3"/>
  <c r="I967" i="3"/>
  <c r="E967" i="3"/>
  <c r="I966" i="3"/>
  <c r="E966" i="3"/>
  <c r="I965" i="3"/>
  <c r="E965" i="3"/>
  <c r="I964" i="3"/>
  <c r="E964" i="3"/>
  <c r="I963" i="3"/>
  <c r="E963" i="3"/>
  <c r="I962" i="3"/>
  <c r="E962" i="3"/>
  <c r="I961" i="3"/>
  <c r="E961" i="3"/>
  <c r="I960" i="3"/>
  <c r="E960" i="3"/>
  <c r="I959" i="3"/>
  <c r="E959" i="3"/>
  <c r="I958" i="3"/>
  <c r="E958" i="3"/>
  <c r="I957" i="3"/>
  <c r="E957" i="3"/>
  <c r="I956" i="3"/>
  <c r="E956" i="3"/>
  <c r="I955" i="3"/>
  <c r="E955" i="3"/>
  <c r="I954" i="3"/>
  <c r="E954" i="3"/>
  <c r="I953" i="3"/>
  <c r="E953" i="3"/>
  <c r="I952" i="3"/>
  <c r="E952" i="3"/>
  <c r="I951" i="3"/>
  <c r="E951" i="3"/>
  <c r="I950" i="3"/>
  <c r="E950" i="3"/>
  <c r="I949" i="3"/>
  <c r="E949" i="3"/>
  <c r="I948" i="3"/>
  <c r="E948" i="3"/>
  <c r="I947" i="3"/>
  <c r="E947" i="3"/>
  <c r="I946" i="3"/>
  <c r="E946" i="3"/>
  <c r="I945" i="3"/>
  <c r="E945" i="3"/>
  <c r="I944" i="3"/>
  <c r="E944" i="3"/>
  <c r="I943" i="3"/>
  <c r="E943" i="3"/>
  <c r="I942" i="3"/>
  <c r="E942" i="3"/>
  <c r="I941" i="3"/>
  <c r="E941" i="3"/>
  <c r="I940" i="3"/>
  <c r="E940" i="3"/>
  <c r="I939" i="3"/>
  <c r="E939" i="3"/>
  <c r="I938" i="3"/>
  <c r="E938" i="3"/>
  <c r="I937" i="3"/>
  <c r="E937" i="3"/>
  <c r="I936" i="3"/>
  <c r="E936" i="3"/>
  <c r="I935" i="3"/>
  <c r="E935" i="3"/>
  <c r="I934" i="3"/>
  <c r="E934" i="3"/>
  <c r="I933" i="3"/>
  <c r="E933" i="3"/>
  <c r="I932" i="3"/>
  <c r="E932" i="3"/>
  <c r="I931" i="3"/>
  <c r="E931" i="3"/>
  <c r="I930" i="3"/>
  <c r="E930" i="3"/>
  <c r="I929" i="3"/>
  <c r="E929" i="3"/>
  <c r="I928" i="3"/>
  <c r="E928" i="3"/>
  <c r="I927" i="3"/>
  <c r="E927" i="3"/>
  <c r="I926" i="3"/>
  <c r="E926" i="3"/>
  <c r="I925" i="3"/>
  <c r="E925" i="3"/>
  <c r="I924" i="3"/>
  <c r="E924" i="3"/>
  <c r="I923" i="3"/>
  <c r="E923" i="3"/>
  <c r="I922" i="3"/>
  <c r="E922" i="3"/>
  <c r="I921" i="3"/>
  <c r="E921" i="3"/>
  <c r="I920" i="3"/>
  <c r="E920" i="3"/>
  <c r="I919" i="3"/>
  <c r="E919" i="3"/>
  <c r="I918" i="3"/>
  <c r="E918" i="3"/>
  <c r="I917" i="3"/>
  <c r="E917" i="3"/>
  <c r="I916" i="3"/>
  <c r="E916" i="3"/>
  <c r="I915" i="3"/>
  <c r="E915" i="3"/>
  <c r="I914" i="3"/>
  <c r="E914" i="3"/>
  <c r="I913" i="3"/>
  <c r="E913" i="3"/>
  <c r="I912" i="3"/>
  <c r="E912" i="3"/>
  <c r="I911" i="3"/>
  <c r="E911" i="3"/>
  <c r="I910" i="3"/>
  <c r="E910" i="3"/>
  <c r="I909" i="3"/>
  <c r="E909" i="3"/>
  <c r="I908" i="3"/>
  <c r="E908" i="3"/>
  <c r="I907" i="3"/>
  <c r="E907" i="3"/>
  <c r="I906" i="3"/>
  <c r="E906" i="3"/>
  <c r="I905" i="3"/>
  <c r="E905" i="3"/>
  <c r="I904" i="3"/>
  <c r="E904" i="3"/>
  <c r="I903" i="3"/>
  <c r="E903" i="3"/>
  <c r="I902" i="3"/>
  <c r="E902" i="3"/>
  <c r="I901" i="3"/>
  <c r="E901" i="3"/>
  <c r="I900" i="3"/>
  <c r="E900" i="3"/>
  <c r="I899" i="3"/>
  <c r="E899" i="3"/>
  <c r="I898" i="3"/>
  <c r="E898" i="3"/>
  <c r="I897" i="3"/>
  <c r="E897" i="3"/>
  <c r="I896" i="3"/>
  <c r="E896" i="3"/>
  <c r="I895" i="3"/>
  <c r="E895" i="3"/>
  <c r="I894" i="3"/>
  <c r="E894" i="3"/>
  <c r="I893" i="3"/>
  <c r="E893" i="3"/>
  <c r="I892" i="3"/>
  <c r="E892" i="3"/>
  <c r="I891" i="3"/>
  <c r="E891" i="3"/>
  <c r="I890" i="3"/>
  <c r="E890" i="3"/>
  <c r="I889" i="3"/>
  <c r="E889" i="3"/>
  <c r="I888" i="3"/>
  <c r="E888" i="3"/>
  <c r="I887" i="3"/>
  <c r="E887" i="3"/>
  <c r="I886" i="3"/>
  <c r="E886" i="3"/>
  <c r="I885" i="3"/>
  <c r="E885" i="3"/>
  <c r="I884" i="3"/>
  <c r="E884" i="3"/>
  <c r="I883" i="3"/>
  <c r="E883" i="3"/>
  <c r="I882" i="3"/>
  <c r="E882" i="3"/>
  <c r="I881" i="3"/>
  <c r="E881" i="3"/>
  <c r="I880" i="3"/>
  <c r="E880" i="3"/>
  <c r="I879" i="3"/>
  <c r="E879" i="3"/>
  <c r="I878" i="3"/>
  <c r="E878" i="3"/>
  <c r="I877" i="3"/>
  <c r="E877" i="3"/>
  <c r="I876" i="3"/>
  <c r="E876" i="3"/>
  <c r="I875" i="3"/>
  <c r="E875" i="3"/>
  <c r="I874" i="3"/>
  <c r="E874" i="3"/>
  <c r="I873" i="3"/>
  <c r="E873" i="3"/>
  <c r="I872" i="3"/>
  <c r="E872" i="3"/>
  <c r="I871" i="3"/>
  <c r="E871" i="3"/>
  <c r="I870" i="3"/>
  <c r="E870" i="3"/>
  <c r="I869" i="3"/>
  <c r="E869" i="3"/>
  <c r="I868" i="3"/>
  <c r="E868" i="3"/>
  <c r="I867" i="3"/>
  <c r="E867" i="3"/>
  <c r="I866" i="3"/>
  <c r="E866" i="3"/>
  <c r="I865" i="3"/>
  <c r="E865" i="3"/>
  <c r="I864" i="3"/>
  <c r="E864" i="3"/>
  <c r="I863" i="3"/>
  <c r="E863" i="3"/>
  <c r="I862" i="3"/>
  <c r="E862" i="3"/>
  <c r="I861" i="3"/>
  <c r="E861" i="3"/>
  <c r="I860" i="3"/>
  <c r="E860" i="3"/>
  <c r="I859" i="3"/>
  <c r="E859" i="3"/>
  <c r="I858" i="3"/>
  <c r="E858" i="3"/>
  <c r="I857" i="3"/>
  <c r="E857" i="3"/>
  <c r="I856" i="3"/>
  <c r="E856" i="3"/>
  <c r="I855" i="3"/>
  <c r="E855" i="3"/>
  <c r="I854" i="3"/>
  <c r="E854" i="3"/>
  <c r="I853" i="3"/>
  <c r="E853" i="3"/>
  <c r="I852" i="3"/>
  <c r="E852" i="3"/>
  <c r="I851" i="3"/>
  <c r="E851" i="3"/>
  <c r="I850" i="3"/>
  <c r="E850" i="3"/>
  <c r="I849" i="3"/>
  <c r="E849" i="3"/>
  <c r="I848" i="3"/>
  <c r="E848" i="3"/>
  <c r="I847" i="3"/>
  <c r="E847" i="3"/>
  <c r="I846" i="3"/>
  <c r="E846" i="3"/>
  <c r="I845" i="3"/>
  <c r="E845" i="3"/>
  <c r="I844" i="3"/>
  <c r="E844" i="3"/>
  <c r="I843" i="3"/>
  <c r="E843" i="3"/>
  <c r="I842" i="3"/>
  <c r="E842" i="3"/>
  <c r="I841" i="3"/>
  <c r="E841" i="3"/>
  <c r="I840" i="3"/>
  <c r="E840" i="3"/>
  <c r="I839" i="3"/>
  <c r="E839" i="3"/>
  <c r="I838" i="3"/>
  <c r="E838" i="3"/>
  <c r="I837" i="3"/>
  <c r="E837" i="3"/>
  <c r="I836" i="3"/>
  <c r="E836" i="3"/>
  <c r="I835" i="3"/>
  <c r="E835" i="3"/>
  <c r="I834" i="3"/>
  <c r="E834" i="3"/>
  <c r="I833" i="3"/>
  <c r="E833" i="3"/>
  <c r="I832" i="3"/>
  <c r="E832" i="3"/>
  <c r="I831" i="3"/>
  <c r="E831" i="3"/>
  <c r="I830" i="3"/>
  <c r="E830" i="3"/>
  <c r="I829" i="3"/>
  <c r="E829" i="3"/>
  <c r="I828" i="3"/>
  <c r="E828" i="3"/>
  <c r="I827" i="3"/>
  <c r="E827" i="3"/>
  <c r="I826" i="3"/>
  <c r="E826" i="3"/>
  <c r="I825" i="3"/>
  <c r="E825" i="3"/>
  <c r="I824" i="3"/>
  <c r="E824" i="3"/>
  <c r="I823" i="3"/>
  <c r="E823" i="3"/>
  <c r="I822" i="3"/>
  <c r="E822" i="3"/>
  <c r="I821" i="3"/>
  <c r="E821" i="3"/>
  <c r="I820" i="3"/>
  <c r="E820" i="3"/>
  <c r="I819" i="3"/>
  <c r="E819" i="3"/>
  <c r="I818" i="3"/>
  <c r="E818" i="3"/>
  <c r="I817" i="3"/>
  <c r="E817" i="3"/>
  <c r="I816" i="3"/>
  <c r="E816" i="3"/>
  <c r="I815" i="3"/>
  <c r="E815" i="3"/>
  <c r="I814" i="3"/>
  <c r="E814" i="3"/>
  <c r="I813" i="3"/>
  <c r="E813" i="3"/>
  <c r="I812" i="3"/>
  <c r="E812" i="3"/>
  <c r="I811" i="3"/>
  <c r="E811" i="3"/>
  <c r="I810" i="3"/>
  <c r="E810" i="3"/>
  <c r="I809" i="3"/>
  <c r="E809" i="3"/>
  <c r="I808" i="3"/>
  <c r="E808" i="3"/>
  <c r="I807" i="3"/>
  <c r="E807" i="3"/>
  <c r="I806" i="3"/>
  <c r="E806" i="3"/>
  <c r="I805" i="3"/>
  <c r="E805" i="3"/>
  <c r="I804" i="3"/>
  <c r="E804" i="3"/>
  <c r="I803" i="3"/>
  <c r="E803" i="3"/>
  <c r="I802" i="3"/>
  <c r="E802" i="3"/>
  <c r="I801" i="3"/>
  <c r="E801" i="3"/>
  <c r="I800" i="3"/>
  <c r="E800" i="3"/>
  <c r="I799" i="3"/>
  <c r="E799" i="3"/>
  <c r="I798" i="3"/>
  <c r="E798" i="3"/>
  <c r="I797" i="3"/>
  <c r="E797" i="3"/>
  <c r="I796" i="3"/>
  <c r="E796" i="3"/>
  <c r="I795" i="3"/>
  <c r="E795" i="3"/>
  <c r="I794" i="3"/>
  <c r="E794" i="3"/>
  <c r="I793" i="3"/>
  <c r="E793" i="3"/>
  <c r="I792" i="3"/>
  <c r="E792" i="3"/>
  <c r="I791" i="3"/>
  <c r="E791" i="3"/>
  <c r="I790" i="3"/>
  <c r="E790" i="3"/>
  <c r="I789" i="3"/>
  <c r="E789" i="3"/>
  <c r="I788" i="3"/>
  <c r="E788" i="3"/>
  <c r="I787" i="3"/>
  <c r="E787" i="3"/>
  <c r="I786" i="3"/>
  <c r="E786" i="3"/>
  <c r="I785" i="3"/>
  <c r="E785" i="3"/>
  <c r="I784" i="3"/>
  <c r="E784" i="3"/>
  <c r="I783" i="3"/>
  <c r="E783" i="3"/>
  <c r="I782" i="3"/>
  <c r="E782" i="3"/>
  <c r="I781" i="3"/>
  <c r="E781" i="3"/>
  <c r="I780" i="3"/>
  <c r="E780" i="3"/>
  <c r="I779" i="3"/>
  <c r="E779" i="3"/>
  <c r="I778" i="3"/>
  <c r="E778" i="3"/>
  <c r="I777" i="3"/>
  <c r="E777" i="3"/>
  <c r="I776" i="3"/>
  <c r="E776" i="3"/>
  <c r="I775" i="3"/>
  <c r="E775" i="3"/>
  <c r="I774" i="3"/>
  <c r="E774" i="3"/>
  <c r="I773" i="3"/>
  <c r="E773" i="3"/>
  <c r="I772" i="3"/>
  <c r="E772" i="3"/>
  <c r="I771" i="3"/>
  <c r="E771" i="3"/>
  <c r="I770" i="3"/>
  <c r="E770" i="3"/>
  <c r="I769" i="3"/>
  <c r="E769" i="3"/>
  <c r="I768" i="3"/>
  <c r="E768" i="3"/>
  <c r="I767" i="3"/>
  <c r="E767" i="3"/>
  <c r="I766" i="3"/>
  <c r="E766" i="3"/>
  <c r="I765" i="3"/>
  <c r="E765" i="3"/>
  <c r="I764" i="3"/>
  <c r="E764" i="3"/>
  <c r="I763" i="3"/>
  <c r="E763" i="3"/>
  <c r="I762" i="3"/>
  <c r="E762" i="3"/>
  <c r="I761" i="3"/>
  <c r="E761" i="3"/>
  <c r="I760" i="3"/>
  <c r="E760" i="3"/>
  <c r="I759" i="3"/>
  <c r="E759" i="3"/>
  <c r="I758" i="3"/>
  <c r="E758" i="3"/>
  <c r="I757" i="3"/>
  <c r="E757" i="3"/>
  <c r="I756" i="3"/>
  <c r="E756" i="3"/>
  <c r="I755" i="3"/>
  <c r="E755" i="3"/>
  <c r="I754" i="3"/>
  <c r="E754" i="3"/>
  <c r="I753" i="3"/>
  <c r="E753" i="3"/>
  <c r="I752" i="3"/>
  <c r="E752" i="3"/>
  <c r="I751" i="3"/>
  <c r="E751" i="3"/>
  <c r="I750" i="3"/>
  <c r="E750" i="3"/>
  <c r="I749" i="3"/>
  <c r="E749" i="3"/>
  <c r="I748" i="3"/>
  <c r="E748" i="3"/>
  <c r="I747" i="3"/>
  <c r="E747" i="3"/>
  <c r="I746" i="3"/>
  <c r="E746" i="3"/>
  <c r="I745" i="3"/>
  <c r="E745" i="3"/>
  <c r="I744" i="3"/>
  <c r="E744" i="3"/>
  <c r="I743" i="3"/>
  <c r="E743" i="3"/>
  <c r="I742" i="3"/>
  <c r="E742" i="3"/>
  <c r="I741" i="3"/>
  <c r="E741" i="3"/>
  <c r="I740" i="3"/>
  <c r="E740" i="3"/>
  <c r="I739" i="3"/>
  <c r="E739" i="3"/>
  <c r="I738" i="3"/>
  <c r="E738" i="3"/>
  <c r="I737" i="3"/>
  <c r="E737" i="3"/>
  <c r="I736" i="3"/>
  <c r="E736" i="3"/>
  <c r="I735" i="3"/>
  <c r="E735" i="3"/>
  <c r="I734" i="3"/>
  <c r="E734" i="3"/>
  <c r="I733" i="3"/>
  <c r="E733" i="3"/>
  <c r="I732" i="3"/>
  <c r="E732" i="3"/>
  <c r="I731" i="3"/>
  <c r="E731" i="3"/>
  <c r="I730" i="3"/>
  <c r="E730" i="3"/>
  <c r="I729" i="3"/>
  <c r="E729" i="3"/>
  <c r="I728" i="3"/>
  <c r="E728" i="3"/>
  <c r="I727" i="3"/>
  <c r="E727" i="3"/>
  <c r="I726" i="3"/>
  <c r="E726" i="3"/>
  <c r="I725" i="3"/>
  <c r="E725" i="3"/>
  <c r="I724" i="3"/>
  <c r="E724" i="3"/>
  <c r="I723" i="3"/>
  <c r="E723" i="3"/>
  <c r="I722" i="3"/>
  <c r="E722" i="3"/>
  <c r="I721" i="3"/>
  <c r="E721" i="3"/>
  <c r="I720" i="3"/>
  <c r="E720" i="3"/>
  <c r="I719" i="3"/>
  <c r="E719" i="3"/>
  <c r="I718" i="3"/>
  <c r="E718" i="3"/>
  <c r="I717" i="3"/>
  <c r="E717" i="3"/>
  <c r="I716" i="3"/>
  <c r="E716" i="3"/>
  <c r="I715" i="3"/>
  <c r="E715" i="3"/>
  <c r="I714" i="3"/>
  <c r="E714" i="3"/>
  <c r="I713" i="3"/>
  <c r="E713" i="3"/>
  <c r="I712" i="3"/>
  <c r="E712" i="3"/>
  <c r="I711" i="3"/>
  <c r="E711" i="3"/>
  <c r="I710" i="3"/>
  <c r="E710" i="3"/>
  <c r="I709" i="3"/>
  <c r="E709" i="3"/>
  <c r="I708" i="3"/>
  <c r="E708" i="3"/>
  <c r="I707" i="3"/>
  <c r="E707" i="3"/>
  <c r="I706" i="3"/>
  <c r="E706" i="3"/>
  <c r="I705" i="3"/>
  <c r="E705" i="3"/>
  <c r="I704" i="3"/>
  <c r="E704" i="3"/>
  <c r="I703" i="3"/>
  <c r="E703" i="3"/>
  <c r="I702" i="3"/>
  <c r="E702" i="3"/>
  <c r="I701" i="3"/>
  <c r="E701" i="3"/>
  <c r="I700" i="3"/>
  <c r="E700" i="3"/>
  <c r="I699" i="3"/>
  <c r="E699" i="3"/>
  <c r="I698" i="3"/>
  <c r="E698" i="3"/>
  <c r="I697" i="3"/>
  <c r="E697" i="3"/>
  <c r="I696" i="3"/>
  <c r="E696" i="3"/>
  <c r="I695" i="3"/>
  <c r="E695" i="3"/>
  <c r="I694" i="3"/>
  <c r="E694" i="3"/>
  <c r="I693" i="3"/>
  <c r="E693" i="3"/>
  <c r="I692" i="3"/>
  <c r="E692" i="3"/>
  <c r="I691" i="3"/>
  <c r="E691" i="3"/>
  <c r="I690" i="3"/>
  <c r="E690" i="3"/>
  <c r="I689" i="3"/>
  <c r="E689" i="3"/>
  <c r="I688" i="3"/>
  <c r="E688" i="3"/>
  <c r="I687" i="3"/>
  <c r="E687" i="3"/>
  <c r="I686" i="3"/>
  <c r="E686" i="3"/>
  <c r="I685" i="3"/>
  <c r="E685" i="3"/>
  <c r="I684" i="3"/>
  <c r="E684" i="3"/>
  <c r="I683" i="3"/>
  <c r="E683" i="3"/>
  <c r="I682" i="3"/>
  <c r="E682" i="3"/>
  <c r="I681" i="3"/>
  <c r="E681" i="3"/>
  <c r="I680" i="3"/>
  <c r="E680" i="3"/>
  <c r="I679" i="3"/>
  <c r="E679" i="3"/>
  <c r="I678" i="3"/>
  <c r="E678" i="3"/>
  <c r="I677" i="3"/>
  <c r="E677" i="3"/>
  <c r="I676" i="3"/>
  <c r="E676" i="3"/>
  <c r="I675" i="3"/>
  <c r="E675" i="3"/>
  <c r="I674" i="3"/>
  <c r="E674" i="3"/>
  <c r="I673" i="3"/>
  <c r="E673" i="3"/>
  <c r="I672" i="3"/>
  <c r="E672" i="3"/>
  <c r="I671" i="3"/>
  <c r="E671" i="3"/>
  <c r="I670" i="3"/>
  <c r="E670" i="3"/>
  <c r="I669" i="3"/>
  <c r="E669" i="3"/>
  <c r="I668" i="3"/>
  <c r="E668" i="3"/>
  <c r="I667" i="3"/>
  <c r="E667" i="3"/>
  <c r="I666" i="3"/>
  <c r="E666" i="3"/>
  <c r="I665" i="3"/>
  <c r="E665" i="3"/>
  <c r="I664" i="3"/>
  <c r="E664" i="3"/>
  <c r="I663" i="3"/>
  <c r="E663" i="3"/>
  <c r="I662" i="3"/>
  <c r="E662" i="3"/>
  <c r="I661" i="3"/>
  <c r="E661" i="3"/>
  <c r="I660" i="3"/>
  <c r="E660" i="3"/>
  <c r="I659" i="3"/>
  <c r="E659" i="3"/>
  <c r="I658" i="3"/>
  <c r="E658" i="3"/>
  <c r="I657" i="3"/>
  <c r="E657" i="3"/>
  <c r="I656" i="3"/>
  <c r="E656" i="3"/>
  <c r="I655" i="3"/>
  <c r="E655" i="3"/>
  <c r="I654" i="3"/>
  <c r="E654" i="3"/>
  <c r="I653" i="3"/>
  <c r="E653" i="3"/>
  <c r="I652" i="3"/>
  <c r="E652" i="3"/>
  <c r="I651" i="3"/>
  <c r="E651" i="3"/>
  <c r="I650" i="3"/>
  <c r="E650" i="3"/>
  <c r="I649" i="3"/>
  <c r="E649" i="3"/>
  <c r="I648" i="3"/>
  <c r="E648" i="3"/>
  <c r="I647" i="3"/>
  <c r="E647" i="3"/>
  <c r="I646" i="3"/>
  <c r="E646" i="3"/>
  <c r="I645" i="3"/>
  <c r="E645" i="3"/>
  <c r="I644" i="3"/>
  <c r="E644" i="3"/>
  <c r="I643" i="3"/>
  <c r="E643" i="3"/>
  <c r="I642" i="3"/>
  <c r="E642" i="3"/>
  <c r="I641" i="3"/>
  <c r="E641" i="3"/>
  <c r="I640" i="3"/>
  <c r="E640" i="3"/>
  <c r="I639" i="3"/>
  <c r="E639" i="3"/>
  <c r="I638" i="3"/>
  <c r="E638" i="3"/>
  <c r="I637" i="3"/>
  <c r="E637" i="3"/>
  <c r="I636" i="3"/>
  <c r="E636" i="3"/>
  <c r="I635" i="3"/>
  <c r="E635" i="3"/>
  <c r="I634" i="3"/>
  <c r="E634" i="3"/>
  <c r="I633" i="3"/>
  <c r="E633" i="3"/>
  <c r="I632" i="3"/>
  <c r="E632" i="3"/>
  <c r="I631" i="3"/>
  <c r="E631" i="3"/>
  <c r="I630" i="3"/>
  <c r="E630" i="3"/>
  <c r="I629" i="3"/>
  <c r="E629" i="3"/>
  <c r="I628" i="3"/>
  <c r="E628" i="3"/>
  <c r="I627" i="3"/>
  <c r="E627" i="3"/>
  <c r="I626" i="3"/>
  <c r="E626" i="3"/>
  <c r="I625" i="3"/>
  <c r="E625" i="3"/>
  <c r="I624" i="3"/>
  <c r="E624" i="3"/>
  <c r="I623" i="3"/>
  <c r="E623" i="3"/>
  <c r="I622" i="3"/>
  <c r="E622" i="3"/>
  <c r="I621" i="3"/>
  <c r="E621" i="3"/>
  <c r="I620" i="3"/>
  <c r="E620" i="3"/>
  <c r="I619" i="3"/>
  <c r="E619" i="3"/>
  <c r="I618" i="3"/>
  <c r="E618" i="3"/>
  <c r="I617" i="3"/>
  <c r="E617" i="3"/>
  <c r="I616" i="3"/>
  <c r="E616" i="3"/>
  <c r="I615" i="3"/>
  <c r="E615" i="3"/>
  <c r="I614" i="3"/>
  <c r="E614" i="3"/>
  <c r="I613" i="3"/>
  <c r="E613" i="3"/>
  <c r="I612" i="3"/>
  <c r="E612" i="3"/>
  <c r="I611" i="3"/>
  <c r="E611" i="3"/>
  <c r="I610" i="3"/>
  <c r="E610" i="3"/>
  <c r="I609" i="3"/>
  <c r="E609" i="3"/>
  <c r="I608" i="3"/>
  <c r="E608" i="3"/>
  <c r="I607" i="3"/>
  <c r="E607" i="3"/>
  <c r="I606" i="3"/>
  <c r="E606" i="3"/>
  <c r="I605" i="3"/>
  <c r="E605" i="3"/>
  <c r="I604" i="3"/>
  <c r="E604" i="3"/>
  <c r="I603" i="3"/>
  <c r="E603" i="3"/>
  <c r="I602" i="3"/>
  <c r="E602" i="3"/>
  <c r="I601" i="3"/>
  <c r="E601" i="3"/>
  <c r="I600" i="3"/>
  <c r="E600" i="3"/>
  <c r="I599" i="3"/>
  <c r="E599" i="3"/>
  <c r="I598" i="3"/>
  <c r="E598" i="3"/>
  <c r="I597" i="3"/>
  <c r="E597" i="3"/>
  <c r="I596" i="3"/>
  <c r="E596" i="3"/>
  <c r="I595" i="3"/>
  <c r="E595" i="3"/>
  <c r="I594" i="3"/>
  <c r="E594" i="3"/>
  <c r="I593" i="3"/>
  <c r="E593" i="3"/>
  <c r="I592" i="3"/>
  <c r="E592" i="3"/>
  <c r="I591" i="3"/>
  <c r="E591" i="3"/>
  <c r="I590" i="3"/>
  <c r="E590" i="3"/>
  <c r="I589" i="3"/>
  <c r="E589" i="3"/>
  <c r="I588" i="3"/>
  <c r="E588" i="3"/>
  <c r="I587" i="3"/>
  <c r="E587" i="3"/>
  <c r="I586" i="3"/>
  <c r="E586" i="3"/>
  <c r="I585" i="3"/>
  <c r="E585" i="3"/>
  <c r="I584" i="3"/>
  <c r="E584" i="3"/>
  <c r="I583" i="3"/>
  <c r="E583" i="3"/>
  <c r="I582" i="3"/>
  <c r="E582" i="3"/>
  <c r="I581" i="3"/>
  <c r="E581" i="3"/>
  <c r="I580" i="3"/>
  <c r="E580" i="3"/>
  <c r="I579" i="3"/>
  <c r="E579" i="3"/>
  <c r="I578" i="3"/>
  <c r="E578" i="3"/>
  <c r="I577" i="3"/>
  <c r="E577" i="3"/>
  <c r="I576" i="3"/>
  <c r="E576" i="3"/>
  <c r="I575" i="3"/>
  <c r="E575" i="3"/>
  <c r="I574" i="3"/>
  <c r="E574" i="3"/>
  <c r="I573" i="3"/>
  <c r="E573" i="3"/>
  <c r="I572" i="3"/>
  <c r="E572" i="3"/>
  <c r="I571" i="3"/>
  <c r="E571" i="3"/>
  <c r="I570" i="3"/>
  <c r="E570" i="3"/>
  <c r="I569" i="3"/>
  <c r="E569" i="3"/>
  <c r="I568" i="3"/>
  <c r="E568" i="3"/>
  <c r="I567" i="3"/>
  <c r="E567" i="3"/>
  <c r="I566" i="3"/>
  <c r="E566" i="3"/>
  <c r="I565" i="3"/>
  <c r="E565" i="3"/>
  <c r="I564" i="3"/>
  <c r="E564" i="3"/>
  <c r="I563" i="3"/>
  <c r="E563" i="3"/>
  <c r="I562" i="3"/>
  <c r="E562" i="3"/>
  <c r="I561" i="3"/>
  <c r="E561" i="3"/>
  <c r="I560" i="3"/>
  <c r="E560" i="3"/>
  <c r="I559" i="3"/>
  <c r="E559" i="3"/>
  <c r="I558" i="3"/>
  <c r="E558" i="3"/>
  <c r="I557" i="3"/>
  <c r="E557" i="3"/>
  <c r="I556" i="3"/>
  <c r="E556" i="3"/>
  <c r="I555" i="3"/>
  <c r="E555" i="3"/>
  <c r="I554" i="3"/>
  <c r="E554" i="3"/>
  <c r="I553" i="3"/>
  <c r="E553" i="3"/>
  <c r="I552" i="3"/>
  <c r="E552" i="3"/>
  <c r="I551" i="3"/>
  <c r="E551" i="3"/>
  <c r="I550" i="3"/>
  <c r="E550" i="3"/>
  <c r="I549" i="3"/>
  <c r="E549" i="3"/>
  <c r="I548" i="3"/>
  <c r="E548" i="3"/>
  <c r="I547" i="3"/>
  <c r="E547" i="3"/>
  <c r="I546" i="3"/>
  <c r="E546" i="3"/>
  <c r="I545" i="3"/>
  <c r="E545" i="3"/>
  <c r="I544" i="3"/>
  <c r="E544" i="3"/>
  <c r="I543" i="3"/>
  <c r="E543" i="3"/>
  <c r="I542" i="3"/>
  <c r="E542" i="3"/>
  <c r="I541" i="3"/>
  <c r="E541" i="3"/>
  <c r="I540" i="3"/>
  <c r="E540" i="3"/>
  <c r="I539" i="3"/>
  <c r="E539" i="3"/>
  <c r="I538" i="3"/>
  <c r="E538" i="3"/>
  <c r="I537" i="3"/>
  <c r="E537" i="3"/>
  <c r="I536" i="3"/>
  <c r="E536" i="3"/>
  <c r="I535" i="3"/>
  <c r="E535" i="3"/>
  <c r="I534" i="3"/>
  <c r="E534" i="3"/>
  <c r="I533" i="3"/>
  <c r="E533" i="3"/>
  <c r="I532" i="3"/>
  <c r="E532" i="3"/>
  <c r="I531" i="3"/>
  <c r="E531" i="3"/>
  <c r="I530" i="3"/>
  <c r="E530" i="3"/>
  <c r="I529" i="3"/>
  <c r="E529" i="3"/>
  <c r="I528" i="3"/>
  <c r="E528" i="3"/>
  <c r="I527" i="3"/>
  <c r="E527" i="3"/>
  <c r="I526" i="3"/>
  <c r="E526" i="3"/>
  <c r="I525" i="3"/>
  <c r="E525" i="3"/>
  <c r="I524" i="3"/>
  <c r="E524" i="3"/>
  <c r="I523" i="3"/>
  <c r="E523" i="3"/>
  <c r="I522" i="3"/>
  <c r="E522" i="3"/>
  <c r="I521" i="3"/>
  <c r="E521" i="3"/>
  <c r="I520" i="3"/>
  <c r="E520" i="3"/>
  <c r="I519" i="3"/>
  <c r="E519" i="3"/>
  <c r="I518" i="3"/>
  <c r="E518" i="3"/>
  <c r="I517" i="3"/>
  <c r="E517" i="3"/>
  <c r="I516" i="3"/>
  <c r="E516" i="3"/>
  <c r="I515" i="3"/>
  <c r="E515" i="3"/>
  <c r="I514" i="3"/>
  <c r="E514" i="3"/>
  <c r="I513" i="3"/>
  <c r="E513" i="3"/>
  <c r="I512" i="3"/>
  <c r="E512" i="3"/>
  <c r="I511" i="3"/>
  <c r="E511" i="3"/>
  <c r="I510" i="3"/>
  <c r="E510" i="3"/>
  <c r="I509" i="3"/>
  <c r="E509" i="3"/>
  <c r="I508" i="3"/>
  <c r="E508" i="3"/>
  <c r="I507" i="3"/>
  <c r="E507" i="3"/>
  <c r="I506" i="3"/>
  <c r="E506" i="3"/>
  <c r="I505" i="3"/>
  <c r="E505" i="3"/>
  <c r="I504" i="3"/>
  <c r="E504" i="3"/>
  <c r="I503" i="3"/>
  <c r="E503" i="3"/>
  <c r="I502" i="3"/>
  <c r="E502" i="3"/>
  <c r="I501" i="3"/>
  <c r="E501" i="3"/>
  <c r="I500" i="3"/>
  <c r="E500" i="3"/>
  <c r="I499" i="3"/>
  <c r="E499" i="3"/>
  <c r="I498" i="3"/>
  <c r="E498" i="3"/>
  <c r="I497" i="3"/>
  <c r="E497" i="3"/>
  <c r="I496" i="3"/>
  <c r="E496" i="3"/>
  <c r="I495" i="3"/>
  <c r="E495" i="3"/>
  <c r="I494" i="3"/>
  <c r="E494" i="3"/>
  <c r="I493" i="3"/>
  <c r="E493" i="3"/>
  <c r="I492" i="3"/>
  <c r="E492" i="3"/>
  <c r="I491" i="3"/>
  <c r="E491" i="3"/>
  <c r="I490" i="3"/>
  <c r="E490" i="3"/>
  <c r="I489" i="3"/>
  <c r="E489" i="3"/>
  <c r="I488" i="3"/>
  <c r="E488" i="3"/>
  <c r="I487" i="3"/>
  <c r="E487" i="3"/>
  <c r="I486" i="3"/>
  <c r="E486" i="3"/>
  <c r="I485" i="3"/>
  <c r="E485" i="3"/>
  <c r="I484" i="3"/>
  <c r="E484" i="3"/>
  <c r="I483" i="3"/>
  <c r="E483" i="3"/>
  <c r="I482" i="3"/>
  <c r="E482" i="3"/>
  <c r="I481" i="3"/>
  <c r="E481" i="3"/>
  <c r="I480" i="3"/>
  <c r="E480" i="3"/>
  <c r="I479" i="3"/>
  <c r="E479" i="3"/>
  <c r="I478" i="3"/>
  <c r="E478" i="3"/>
  <c r="I477" i="3"/>
  <c r="E477" i="3"/>
  <c r="I476" i="3"/>
  <c r="E476" i="3"/>
  <c r="I475" i="3"/>
  <c r="E475" i="3"/>
  <c r="I474" i="3"/>
  <c r="E474" i="3"/>
  <c r="I473" i="3"/>
  <c r="E473" i="3"/>
  <c r="I472" i="3"/>
  <c r="E472" i="3"/>
  <c r="I471" i="3"/>
  <c r="E471" i="3"/>
  <c r="I470" i="3"/>
  <c r="E470" i="3"/>
  <c r="I469" i="3"/>
  <c r="E469" i="3"/>
  <c r="I468" i="3"/>
  <c r="E468" i="3"/>
  <c r="I467" i="3"/>
  <c r="E467" i="3"/>
  <c r="I466" i="3"/>
  <c r="E466" i="3"/>
  <c r="I465" i="3"/>
  <c r="E465" i="3"/>
  <c r="I464" i="3"/>
  <c r="E464" i="3"/>
  <c r="I463" i="3"/>
  <c r="E463" i="3"/>
  <c r="I462" i="3"/>
  <c r="E462" i="3"/>
  <c r="I461" i="3"/>
  <c r="E461" i="3"/>
  <c r="I460" i="3"/>
  <c r="E460" i="3"/>
  <c r="I459" i="3"/>
  <c r="E459" i="3"/>
  <c r="I458" i="3"/>
  <c r="E458" i="3"/>
  <c r="I457" i="3"/>
  <c r="E457" i="3"/>
  <c r="I456" i="3"/>
  <c r="E456" i="3"/>
  <c r="I455" i="3"/>
  <c r="E455" i="3"/>
  <c r="I454" i="3"/>
  <c r="E454" i="3"/>
  <c r="I453" i="3"/>
  <c r="E453" i="3"/>
  <c r="I452" i="3"/>
  <c r="E452" i="3"/>
  <c r="I451" i="3"/>
  <c r="E451" i="3"/>
  <c r="I450" i="3"/>
  <c r="E450" i="3"/>
  <c r="I449" i="3"/>
  <c r="E449" i="3"/>
  <c r="I448" i="3"/>
  <c r="E448" i="3"/>
  <c r="I447" i="3"/>
  <c r="E447" i="3"/>
  <c r="I446" i="3"/>
  <c r="E446" i="3"/>
  <c r="I445" i="3"/>
  <c r="E445" i="3"/>
  <c r="I444" i="3"/>
  <c r="E444" i="3"/>
  <c r="I443" i="3"/>
  <c r="E443" i="3"/>
  <c r="I442" i="3"/>
  <c r="E442" i="3"/>
  <c r="I441" i="3"/>
  <c r="E441" i="3"/>
  <c r="I440" i="3"/>
  <c r="E440" i="3"/>
  <c r="I439" i="3"/>
  <c r="E439" i="3"/>
  <c r="I438" i="3"/>
  <c r="E438" i="3"/>
  <c r="I437" i="3"/>
  <c r="E437" i="3"/>
  <c r="I436" i="3"/>
  <c r="E436" i="3"/>
  <c r="I435" i="3"/>
  <c r="E435" i="3"/>
  <c r="I434" i="3"/>
  <c r="E434" i="3"/>
  <c r="I433" i="3"/>
  <c r="E433" i="3"/>
  <c r="I432" i="3"/>
  <c r="E432" i="3"/>
  <c r="I431" i="3"/>
  <c r="E431" i="3"/>
  <c r="I430" i="3"/>
  <c r="E430" i="3"/>
  <c r="I429" i="3"/>
  <c r="E429" i="3"/>
  <c r="I428" i="3"/>
  <c r="E428" i="3"/>
  <c r="I427" i="3"/>
  <c r="E427" i="3"/>
  <c r="I426" i="3"/>
  <c r="E426" i="3"/>
  <c r="I425" i="3"/>
  <c r="E425" i="3"/>
  <c r="I424" i="3"/>
  <c r="E424" i="3"/>
  <c r="I423" i="3"/>
  <c r="E423" i="3"/>
  <c r="I422" i="3"/>
  <c r="E422" i="3"/>
  <c r="I421" i="3"/>
  <c r="E421" i="3"/>
  <c r="I420" i="3"/>
  <c r="E420" i="3"/>
  <c r="I419" i="3"/>
  <c r="E419" i="3"/>
  <c r="I418" i="3"/>
  <c r="E418" i="3"/>
  <c r="I417" i="3"/>
  <c r="E417" i="3"/>
  <c r="I416" i="3"/>
  <c r="E416" i="3"/>
  <c r="I415" i="3"/>
  <c r="E415" i="3"/>
  <c r="I414" i="3"/>
  <c r="E414" i="3"/>
  <c r="I413" i="3"/>
  <c r="E413" i="3"/>
  <c r="I412" i="3"/>
  <c r="E412" i="3"/>
  <c r="I411" i="3"/>
  <c r="E411" i="3"/>
  <c r="I410" i="3"/>
  <c r="E410" i="3"/>
  <c r="I409" i="3"/>
  <c r="E409" i="3"/>
  <c r="I408" i="3"/>
  <c r="E408" i="3"/>
  <c r="I407" i="3"/>
  <c r="E407" i="3"/>
  <c r="I406" i="3"/>
  <c r="E406" i="3"/>
  <c r="I405" i="3"/>
  <c r="E405" i="3"/>
  <c r="I404" i="3"/>
  <c r="E404" i="3"/>
  <c r="I403" i="3"/>
  <c r="E403" i="3"/>
  <c r="I402" i="3"/>
  <c r="E402" i="3"/>
  <c r="I401" i="3"/>
  <c r="E401" i="3"/>
  <c r="I400" i="3"/>
  <c r="E400" i="3"/>
  <c r="I399" i="3"/>
  <c r="E399" i="3"/>
  <c r="I398" i="3"/>
  <c r="E398" i="3"/>
  <c r="I397" i="3"/>
  <c r="E397" i="3"/>
  <c r="I396" i="3"/>
  <c r="E396" i="3"/>
  <c r="I395" i="3"/>
  <c r="E395" i="3"/>
  <c r="I394" i="3"/>
  <c r="E394" i="3"/>
  <c r="I393" i="3"/>
  <c r="E393" i="3"/>
  <c r="I392" i="3"/>
  <c r="E392" i="3"/>
  <c r="I391" i="3"/>
  <c r="E391" i="3"/>
  <c r="I390" i="3"/>
  <c r="E390" i="3"/>
  <c r="I389" i="3"/>
  <c r="E389" i="3"/>
  <c r="I388" i="3"/>
  <c r="E388" i="3"/>
  <c r="I387" i="3"/>
  <c r="E387" i="3"/>
  <c r="I386" i="3"/>
  <c r="E386" i="3"/>
  <c r="I385" i="3"/>
  <c r="E385" i="3"/>
  <c r="I384" i="3"/>
  <c r="E384" i="3"/>
  <c r="I383" i="3"/>
  <c r="E383" i="3"/>
  <c r="I382" i="3"/>
  <c r="E382" i="3"/>
  <c r="I381" i="3"/>
  <c r="E381" i="3"/>
  <c r="I380" i="3"/>
  <c r="E380" i="3"/>
  <c r="I379" i="3"/>
  <c r="E379" i="3"/>
  <c r="I378" i="3"/>
  <c r="E378" i="3"/>
  <c r="I377" i="3"/>
  <c r="E377" i="3"/>
  <c r="I376" i="3"/>
  <c r="E376" i="3"/>
  <c r="I375" i="3"/>
  <c r="E375" i="3"/>
  <c r="I374" i="3"/>
  <c r="E374" i="3"/>
  <c r="I373" i="3"/>
  <c r="E373" i="3"/>
  <c r="I372" i="3"/>
  <c r="E372" i="3"/>
  <c r="I371" i="3"/>
  <c r="E371" i="3"/>
  <c r="I370" i="3"/>
  <c r="E370" i="3"/>
  <c r="I369" i="3"/>
  <c r="E369" i="3"/>
  <c r="I368" i="3"/>
  <c r="E368" i="3"/>
  <c r="I367" i="3"/>
  <c r="E367" i="3"/>
  <c r="I366" i="3"/>
  <c r="E366" i="3"/>
  <c r="I365" i="3"/>
  <c r="E365" i="3"/>
  <c r="I364" i="3"/>
  <c r="E364" i="3"/>
  <c r="I363" i="3"/>
  <c r="E363" i="3"/>
  <c r="I362" i="3"/>
  <c r="E362" i="3"/>
  <c r="I361" i="3"/>
  <c r="E361" i="3"/>
  <c r="I360" i="3"/>
  <c r="E360" i="3"/>
  <c r="I359" i="3"/>
  <c r="E359" i="3"/>
  <c r="I358" i="3"/>
  <c r="E358" i="3"/>
  <c r="I357" i="3"/>
  <c r="E357" i="3"/>
  <c r="I356" i="3"/>
  <c r="E356" i="3"/>
  <c r="I355" i="3"/>
  <c r="E355" i="3"/>
  <c r="I354" i="3"/>
  <c r="E354" i="3"/>
  <c r="I353" i="3"/>
  <c r="E353" i="3"/>
  <c r="I352" i="3"/>
  <c r="E352" i="3"/>
  <c r="I351" i="3"/>
  <c r="E351" i="3"/>
  <c r="I350" i="3"/>
  <c r="E350" i="3"/>
  <c r="I349" i="3"/>
  <c r="E349" i="3"/>
  <c r="I348" i="3"/>
  <c r="E348" i="3"/>
  <c r="I347" i="3"/>
  <c r="E347" i="3"/>
  <c r="I346" i="3"/>
  <c r="E346" i="3"/>
  <c r="I345" i="3"/>
  <c r="E345" i="3"/>
  <c r="I344" i="3"/>
  <c r="E344" i="3"/>
  <c r="I343" i="3"/>
  <c r="E343" i="3"/>
  <c r="I342" i="3"/>
  <c r="E342" i="3"/>
  <c r="I341" i="3"/>
  <c r="E341" i="3"/>
  <c r="I340" i="3"/>
  <c r="E340" i="3"/>
  <c r="I339" i="3"/>
  <c r="E339" i="3"/>
  <c r="I338" i="3"/>
  <c r="E338" i="3"/>
  <c r="I337" i="3"/>
  <c r="E337" i="3"/>
  <c r="I336" i="3"/>
  <c r="E336" i="3"/>
  <c r="I335" i="3"/>
  <c r="E335" i="3"/>
  <c r="I334" i="3"/>
  <c r="E334" i="3"/>
  <c r="I333" i="3"/>
  <c r="E333" i="3"/>
  <c r="I332" i="3"/>
  <c r="E332" i="3"/>
  <c r="I331" i="3"/>
  <c r="E331" i="3"/>
  <c r="I330" i="3"/>
  <c r="E330" i="3"/>
  <c r="I329" i="3"/>
  <c r="E329" i="3"/>
  <c r="I328" i="3"/>
  <c r="E328" i="3"/>
  <c r="I327" i="3"/>
  <c r="E327" i="3"/>
  <c r="I326" i="3"/>
  <c r="E326" i="3"/>
  <c r="I325" i="3"/>
  <c r="E325" i="3"/>
  <c r="I324" i="3"/>
  <c r="E324" i="3"/>
  <c r="I323" i="3"/>
  <c r="E323" i="3"/>
  <c r="I322" i="3"/>
  <c r="E322" i="3"/>
  <c r="I321" i="3"/>
  <c r="E321" i="3"/>
  <c r="I320" i="3"/>
  <c r="E320" i="3"/>
  <c r="I319" i="3"/>
  <c r="E319" i="3"/>
  <c r="I318" i="3"/>
  <c r="E318" i="3"/>
  <c r="I317" i="3"/>
  <c r="E317" i="3"/>
  <c r="I316" i="3"/>
  <c r="E316" i="3"/>
  <c r="I315" i="3"/>
  <c r="E315" i="3"/>
  <c r="I314" i="3"/>
  <c r="E314" i="3"/>
  <c r="I313" i="3"/>
  <c r="E313" i="3"/>
  <c r="I312" i="3"/>
  <c r="E312" i="3"/>
  <c r="I311" i="3"/>
  <c r="E311" i="3"/>
  <c r="I310" i="3"/>
  <c r="E310" i="3"/>
  <c r="I309" i="3"/>
  <c r="E309" i="3"/>
  <c r="I308" i="3"/>
  <c r="E308" i="3"/>
  <c r="I307" i="3"/>
  <c r="E307" i="3"/>
  <c r="I306" i="3"/>
  <c r="E306" i="3"/>
  <c r="I305" i="3"/>
  <c r="E305" i="3"/>
  <c r="I304" i="3"/>
  <c r="E304" i="3"/>
  <c r="I303" i="3"/>
  <c r="E303" i="3"/>
  <c r="I302" i="3"/>
  <c r="E302" i="3"/>
  <c r="I301" i="3"/>
  <c r="E301" i="3"/>
  <c r="I300" i="3"/>
  <c r="E300" i="3"/>
  <c r="I299" i="3"/>
  <c r="E299" i="3"/>
  <c r="I298" i="3"/>
  <c r="E298" i="3"/>
  <c r="I297" i="3"/>
  <c r="E297" i="3"/>
  <c r="I296" i="3"/>
  <c r="E296" i="3"/>
  <c r="I295" i="3"/>
  <c r="E295" i="3"/>
  <c r="I294" i="3"/>
  <c r="E294" i="3"/>
  <c r="I293" i="3"/>
  <c r="E293" i="3"/>
  <c r="I292" i="3"/>
  <c r="E292" i="3"/>
  <c r="I291" i="3"/>
  <c r="E291" i="3"/>
  <c r="I290" i="3"/>
  <c r="E290" i="3"/>
  <c r="I289" i="3"/>
  <c r="E289" i="3"/>
  <c r="I288" i="3"/>
  <c r="E288" i="3"/>
  <c r="I287" i="3"/>
  <c r="E287" i="3"/>
  <c r="I286" i="3"/>
  <c r="E286" i="3"/>
  <c r="I285" i="3"/>
  <c r="E285" i="3"/>
  <c r="I284" i="3"/>
  <c r="E284" i="3"/>
  <c r="I283" i="3"/>
  <c r="E283" i="3"/>
  <c r="I282" i="3"/>
  <c r="E282" i="3"/>
  <c r="I281" i="3"/>
  <c r="E281" i="3"/>
  <c r="I280" i="3"/>
  <c r="E280" i="3"/>
  <c r="I279" i="3"/>
  <c r="E279" i="3"/>
  <c r="I278" i="3"/>
  <c r="E278" i="3"/>
  <c r="I277" i="3"/>
  <c r="E277" i="3"/>
  <c r="I276" i="3"/>
  <c r="E276" i="3"/>
  <c r="I275" i="3"/>
  <c r="E275" i="3"/>
  <c r="I274" i="3"/>
  <c r="E274" i="3"/>
  <c r="I273" i="3"/>
  <c r="E273" i="3"/>
  <c r="I272" i="3"/>
  <c r="E272" i="3"/>
  <c r="I271" i="3"/>
  <c r="E271" i="3"/>
  <c r="I270" i="3"/>
  <c r="E270" i="3"/>
  <c r="I269" i="3"/>
  <c r="E269" i="3"/>
  <c r="I268" i="3"/>
  <c r="E268" i="3"/>
  <c r="I267" i="3"/>
  <c r="E267" i="3"/>
  <c r="I266" i="3"/>
  <c r="E266" i="3"/>
  <c r="I265" i="3"/>
  <c r="E265" i="3"/>
  <c r="I264" i="3"/>
  <c r="E264" i="3"/>
  <c r="I263" i="3"/>
  <c r="E263" i="3"/>
  <c r="I262" i="3"/>
  <c r="E262" i="3"/>
  <c r="I261" i="3"/>
  <c r="E261" i="3"/>
  <c r="I260" i="3"/>
  <c r="E260" i="3"/>
  <c r="I259" i="3"/>
  <c r="E259" i="3"/>
  <c r="I258" i="3"/>
  <c r="E258" i="3"/>
  <c r="I257" i="3"/>
  <c r="E257" i="3"/>
  <c r="I256" i="3"/>
  <c r="E256" i="3"/>
  <c r="I255" i="3"/>
  <c r="E255" i="3"/>
  <c r="I254" i="3"/>
  <c r="E254" i="3"/>
  <c r="I253" i="3"/>
  <c r="E253" i="3"/>
  <c r="I252" i="3"/>
  <c r="E252" i="3"/>
  <c r="I251" i="3"/>
  <c r="E251" i="3"/>
  <c r="I250" i="3"/>
  <c r="E250" i="3"/>
  <c r="I249" i="3"/>
  <c r="E249" i="3"/>
  <c r="I248" i="3"/>
  <c r="E248" i="3"/>
  <c r="I247" i="3"/>
  <c r="E247" i="3"/>
  <c r="I246" i="3"/>
  <c r="E246" i="3"/>
  <c r="I245" i="3"/>
  <c r="E245" i="3"/>
  <c r="I244" i="3"/>
  <c r="E244" i="3"/>
  <c r="I243" i="3"/>
  <c r="E243" i="3"/>
  <c r="I242" i="3"/>
  <c r="E242" i="3"/>
  <c r="I241" i="3"/>
  <c r="E241" i="3"/>
  <c r="I240" i="3"/>
  <c r="E240" i="3"/>
  <c r="I239" i="3"/>
  <c r="E239" i="3"/>
  <c r="I238" i="3"/>
  <c r="E238" i="3"/>
  <c r="I237" i="3"/>
  <c r="E237" i="3"/>
  <c r="I236" i="3"/>
  <c r="E236" i="3"/>
  <c r="I235" i="3"/>
  <c r="E235" i="3"/>
  <c r="I234" i="3"/>
  <c r="E234" i="3"/>
  <c r="I233" i="3"/>
  <c r="E233" i="3"/>
  <c r="I232" i="3"/>
  <c r="E232" i="3"/>
  <c r="I231" i="3"/>
  <c r="E231" i="3"/>
  <c r="I230" i="3"/>
  <c r="E230" i="3"/>
  <c r="I229" i="3"/>
  <c r="E229" i="3"/>
  <c r="I228" i="3"/>
  <c r="E228" i="3"/>
  <c r="I227" i="3"/>
  <c r="E227" i="3"/>
  <c r="I226" i="3"/>
  <c r="E226" i="3"/>
  <c r="I225" i="3"/>
  <c r="E225" i="3"/>
  <c r="I224" i="3"/>
  <c r="E224" i="3"/>
  <c r="I223" i="3"/>
  <c r="E223" i="3"/>
  <c r="I222" i="3"/>
  <c r="E222" i="3"/>
  <c r="I221" i="3"/>
  <c r="E221" i="3"/>
  <c r="I220" i="3"/>
  <c r="E220" i="3"/>
  <c r="I219" i="3"/>
  <c r="E219" i="3"/>
  <c r="I218" i="3"/>
  <c r="E218" i="3"/>
  <c r="I217" i="3"/>
  <c r="E217" i="3"/>
  <c r="I216" i="3"/>
  <c r="E216" i="3"/>
  <c r="I215" i="3"/>
  <c r="E215" i="3"/>
  <c r="I214" i="3"/>
  <c r="E214" i="3"/>
  <c r="I213" i="3"/>
  <c r="E213" i="3"/>
  <c r="I212" i="3"/>
  <c r="E212" i="3"/>
  <c r="I211" i="3"/>
  <c r="E211" i="3"/>
  <c r="I210" i="3"/>
  <c r="E210" i="3"/>
  <c r="I209" i="3"/>
  <c r="E209" i="3"/>
  <c r="I208" i="3"/>
  <c r="E208" i="3"/>
  <c r="I207" i="3"/>
  <c r="E207" i="3"/>
  <c r="I206" i="3"/>
  <c r="E206" i="3"/>
  <c r="I205" i="3"/>
  <c r="E205" i="3"/>
  <c r="I204" i="3"/>
  <c r="E204" i="3"/>
  <c r="I203" i="3"/>
  <c r="E203" i="3"/>
  <c r="I202" i="3"/>
  <c r="E202" i="3"/>
  <c r="I201" i="3"/>
  <c r="E201" i="3"/>
  <c r="I200" i="3"/>
  <c r="E200" i="3"/>
  <c r="I199" i="3"/>
  <c r="E199" i="3"/>
  <c r="I198" i="3"/>
  <c r="E198" i="3"/>
  <c r="I197" i="3"/>
  <c r="E197" i="3"/>
  <c r="I196" i="3"/>
  <c r="E196" i="3"/>
  <c r="I195" i="3"/>
  <c r="E195" i="3"/>
  <c r="I194" i="3"/>
  <c r="E194" i="3"/>
  <c r="I193" i="3"/>
  <c r="E193" i="3"/>
  <c r="I192" i="3"/>
  <c r="E192" i="3"/>
  <c r="I191" i="3"/>
  <c r="E191" i="3"/>
  <c r="I190" i="3"/>
  <c r="E190" i="3"/>
  <c r="I189" i="3"/>
  <c r="E189" i="3"/>
  <c r="I188" i="3"/>
  <c r="E188" i="3"/>
  <c r="I187" i="3"/>
  <c r="E187" i="3"/>
  <c r="I186" i="3"/>
  <c r="E186" i="3"/>
  <c r="I185" i="3"/>
  <c r="E185" i="3"/>
  <c r="I184" i="3"/>
  <c r="E184" i="3"/>
  <c r="I183" i="3"/>
  <c r="E183" i="3"/>
  <c r="I182" i="3"/>
  <c r="E182" i="3"/>
  <c r="I181" i="3"/>
  <c r="E181" i="3"/>
  <c r="I180" i="3"/>
  <c r="E180" i="3"/>
  <c r="I179" i="3"/>
  <c r="E179" i="3"/>
  <c r="I178" i="3"/>
  <c r="E178" i="3"/>
  <c r="I177" i="3"/>
  <c r="E177" i="3"/>
  <c r="I176" i="3"/>
  <c r="E176" i="3"/>
  <c r="I175" i="3"/>
  <c r="E175" i="3"/>
  <c r="I174" i="3"/>
  <c r="E174" i="3"/>
  <c r="I173" i="3"/>
  <c r="E173" i="3"/>
  <c r="I172" i="3"/>
  <c r="E172" i="3"/>
  <c r="I171" i="3"/>
  <c r="E171" i="3"/>
  <c r="I170" i="3"/>
  <c r="E170" i="3"/>
  <c r="I169" i="3"/>
  <c r="E169" i="3"/>
  <c r="I168" i="3"/>
  <c r="E168" i="3"/>
  <c r="I167" i="3"/>
  <c r="E167" i="3"/>
  <c r="I166" i="3"/>
  <c r="E166" i="3"/>
  <c r="I165" i="3"/>
  <c r="E165" i="3"/>
  <c r="I164" i="3"/>
  <c r="E164" i="3"/>
  <c r="I163" i="3"/>
  <c r="E163" i="3"/>
  <c r="I162" i="3"/>
  <c r="E162" i="3"/>
  <c r="I161" i="3"/>
  <c r="E161" i="3"/>
  <c r="I160" i="3"/>
  <c r="E160" i="3"/>
  <c r="I159" i="3"/>
  <c r="E159" i="3"/>
  <c r="I158" i="3"/>
  <c r="E158" i="3"/>
  <c r="I157" i="3"/>
  <c r="E157" i="3"/>
  <c r="I156" i="3"/>
  <c r="E156" i="3"/>
  <c r="I155" i="3"/>
  <c r="E155" i="3"/>
  <c r="I154" i="3"/>
  <c r="E154" i="3"/>
  <c r="I153" i="3"/>
  <c r="E153" i="3"/>
  <c r="I152" i="3"/>
  <c r="E152" i="3"/>
  <c r="I151" i="3"/>
  <c r="E151" i="3"/>
  <c r="I150" i="3"/>
  <c r="E150" i="3"/>
  <c r="I149" i="3"/>
  <c r="E149" i="3"/>
  <c r="I148" i="3"/>
  <c r="E148" i="3"/>
  <c r="I147" i="3"/>
  <c r="E147" i="3"/>
  <c r="I146" i="3"/>
  <c r="E146" i="3"/>
  <c r="I145" i="3"/>
  <c r="E145" i="3"/>
  <c r="I144" i="3"/>
  <c r="E144" i="3"/>
  <c r="I143" i="3"/>
  <c r="E143" i="3"/>
  <c r="I142" i="3"/>
  <c r="E142" i="3"/>
  <c r="I141" i="3"/>
  <c r="E141" i="3"/>
  <c r="I140" i="3"/>
  <c r="E140" i="3"/>
  <c r="I139" i="3"/>
  <c r="E139" i="3"/>
  <c r="I138" i="3"/>
  <c r="E138" i="3"/>
  <c r="I137" i="3"/>
  <c r="E137" i="3"/>
  <c r="I136" i="3"/>
  <c r="E136" i="3"/>
  <c r="I135" i="3"/>
  <c r="E135" i="3"/>
  <c r="I134" i="3"/>
  <c r="E134" i="3"/>
  <c r="I133" i="3"/>
  <c r="E133" i="3"/>
  <c r="I132" i="3"/>
  <c r="E132" i="3"/>
  <c r="I131" i="3"/>
  <c r="E131" i="3"/>
  <c r="I130" i="3"/>
  <c r="E130" i="3"/>
  <c r="I129" i="3"/>
  <c r="E129" i="3"/>
  <c r="I128" i="3"/>
  <c r="E128" i="3"/>
  <c r="I127" i="3"/>
  <c r="E127" i="3"/>
  <c r="I126" i="3"/>
  <c r="E126" i="3"/>
  <c r="I125" i="3"/>
  <c r="E125" i="3"/>
  <c r="I124" i="3"/>
  <c r="E124" i="3"/>
  <c r="I123" i="3"/>
  <c r="E123" i="3"/>
  <c r="I122" i="3"/>
  <c r="E122" i="3"/>
  <c r="I121" i="3"/>
  <c r="E121" i="3"/>
  <c r="I120" i="3"/>
  <c r="E120" i="3"/>
  <c r="I119" i="3"/>
  <c r="E119" i="3"/>
  <c r="I118" i="3"/>
  <c r="E118" i="3"/>
  <c r="I117" i="3"/>
  <c r="E117" i="3"/>
  <c r="I116" i="3"/>
  <c r="E116" i="3"/>
  <c r="I115" i="3"/>
  <c r="E115" i="3"/>
  <c r="I114" i="3"/>
  <c r="E114" i="3"/>
  <c r="I113" i="3"/>
  <c r="E113" i="3"/>
  <c r="I112" i="3"/>
  <c r="E112" i="3"/>
  <c r="I111" i="3"/>
  <c r="E111" i="3"/>
  <c r="I110" i="3"/>
  <c r="E110" i="3"/>
  <c r="I109" i="3"/>
  <c r="E109" i="3"/>
  <c r="I108" i="3"/>
  <c r="E108" i="3"/>
  <c r="I107" i="3"/>
  <c r="E107" i="3"/>
  <c r="I106" i="3"/>
  <c r="E106" i="3"/>
  <c r="I105" i="3"/>
  <c r="E105" i="3"/>
  <c r="I104" i="3"/>
  <c r="E104" i="3"/>
  <c r="I103" i="3"/>
  <c r="E103" i="3"/>
  <c r="I102" i="3"/>
  <c r="E102" i="3"/>
  <c r="I101" i="3"/>
  <c r="E101" i="3"/>
  <c r="I100" i="3"/>
  <c r="E100" i="3"/>
  <c r="I99" i="3"/>
  <c r="E99" i="3"/>
  <c r="I98" i="3"/>
  <c r="E98" i="3"/>
  <c r="I97" i="3"/>
  <c r="E97" i="3"/>
  <c r="I96" i="3"/>
  <c r="E96" i="3"/>
  <c r="I95" i="3"/>
  <c r="E95" i="3"/>
  <c r="I94" i="3"/>
  <c r="E94" i="3"/>
  <c r="I93" i="3"/>
  <c r="E93" i="3"/>
  <c r="I92" i="3"/>
  <c r="E92" i="3"/>
  <c r="I91" i="3"/>
  <c r="E91" i="3"/>
  <c r="I90" i="3"/>
  <c r="E90" i="3"/>
  <c r="I89" i="3"/>
  <c r="E89" i="3"/>
  <c r="I88" i="3"/>
  <c r="E88" i="3"/>
  <c r="I87" i="3"/>
  <c r="E87" i="3"/>
  <c r="I86" i="3"/>
  <c r="E86" i="3"/>
  <c r="I85" i="3"/>
  <c r="E85" i="3"/>
  <c r="I84" i="3"/>
  <c r="E84" i="3"/>
  <c r="I83" i="3"/>
  <c r="E83" i="3"/>
  <c r="I82" i="3"/>
  <c r="E82" i="3"/>
  <c r="I81" i="3"/>
  <c r="E81" i="3"/>
  <c r="I80" i="3"/>
  <c r="E80" i="3"/>
  <c r="I79" i="3"/>
  <c r="E79" i="3"/>
  <c r="I78" i="3"/>
  <c r="E78" i="3"/>
  <c r="I77" i="3"/>
  <c r="E77" i="3"/>
  <c r="I76" i="3"/>
  <c r="E76" i="3"/>
  <c r="I75" i="3"/>
  <c r="E75" i="3"/>
  <c r="I74" i="3"/>
  <c r="E74" i="3"/>
  <c r="I73" i="3"/>
  <c r="E73" i="3"/>
  <c r="I72" i="3"/>
  <c r="E72" i="3"/>
  <c r="I71" i="3"/>
  <c r="E71" i="3"/>
  <c r="I70" i="3"/>
  <c r="E70" i="3"/>
  <c r="I69" i="3"/>
  <c r="E69" i="3"/>
  <c r="I68" i="3"/>
  <c r="E68" i="3"/>
  <c r="I67" i="3"/>
  <c r="E67" i="3"/>
  <c r="I66" i="3"/>
  <c r="E66" i="3"/>
  <c r="I65" i="3"/>
  <c r="E65" i="3"/>
  <c r="I64" i="3"/>
  <c r="E64" i="3"/>
  <c r="I63" i="3"/>
  <c r="E63" i="3"/>
  <c r="I62" i="3"/>
  <c r="E62" i="3"/>
  <c r="I61" i="3"/>
  <c r="E61" i="3"/>
  <c r="I60" i="3"/>
  <c r="E60" i="3"/>
  <c r="I59" i="3"/>
  <c r="E59" i="3"/>
  <c r="I58" i="3"/>
  <c r="E58" i="3"/>
  <c r="I57" i="3"/>
  <c r="E57" i="3"/>
  <c r="I56" i="3"/>
  <c r="E56" i="3"/>
  <c r="I55" i="3"/>
  <c r="E55" i="3"/>
  <c r="I54" i="3"/>
  <c r="E54" i="3"/>
  <c r="I53" i="3"/>
  <c r="E53" i="3"/>
  <c r="I52" i="3"/>
  <c r="E52" i="3"/>
  <c r="I51" i="3"/>
  <c r="E51" i="3"/>
  <c r="I50" i="3"/>
  <c r="E50" i="3"/>
  <c r="I49" i="3"/>
  <c r="E49" i="3"/>
  <c r="I48" i="3"/>
  <c r="E48" i="3"/>
  <c r="I47" i="3"/>
  <c r="E47" i="3"/>
  <c r="I46" i="3"/>
  <c r="E46" i="3"/>
  <c r="I45" i="3"/>
  <c r="E45" i="3"/>
  <c r="I44" i="3"/>
  <c r="E44" i="3"/>
  <c r="I43" i="3"/>
  <c r="E43" i="3"/>
  <c r="I42" i="3"/>
  <c r="E42" i="3"/>
  <c r="I41" i="3"/>
  <c r="E41" i="3"/>
  <c r="I40" i="3"/>
  <c r="E40" i="3"/>
  <c r="I39" i="3"/>
  <c r="E39" i="3"/>
  <c r="I38" i="3"/>
  <c r="E38" i="3"/>
  <c r="I37" i="3"/>
  <c r="E37" i="3"/>
  <c r="I36" i="3"/>
  <c r="E36" i="3"/>
  <c r="I35" i="3"/>
  <c r="E35" i="3"/>
  <c r="I34" i="3"/>
  <c r="E34" i="3"/>
  <c r="I33" i="3"/>
  <c r="E33" i="3"/>
  <c r="I32" i="3"/>
  <c r="E32" i="3"/>
  <c r="I31" i="3"/>
  <c r="E31" i="3"/>
  <c r="I30" i="3"/>
  <c r="E30" i="3"/>
  <c r="I29" i="3"/>
  <c r="E29" i="3"/>
  <c r="I28" i="3"/>
  <c r="E28" i="3"/>
  <c r="I27" i="3"/>
  <c r="E27" i="3"/>
  <c r="I26" i="3"/>
  <c r="E26" i="3"/>
  <c r="I25" i="3"/>
  <c r="E25" i="3"/>
  <c r="I24" i="3"/>
  <c r="E24" i="3"/>
  <c r="I23" i="3"/>
  <c r="E23" i="3"/>
  <c r="I22" i="3"/>
  <c r="E22" i="3"/>
  <c r="I21" i="3"/>
  <c r="E21" i="3"/>
  <c r="I20" i="3"/>
  <c r="E20" i="3"/>
  <c r="I19" i="3"/>
  <c r="E19" i="3"/>
  <c r="I18" i="3"/>
  <c r="E18" i="3"/>
  <c r="I17" i="3"/>
  <c r="E17" i="3"/>
  <c r="I16" i="3"/>
  <c r="E16" i="3"/>
  <c r="I15" i="3"/>
  <c r="E15" i="3"/>
  <c r="I14" i="3"/>
  <c r="E14" i="3"/>
  <c r="I13" i="3"/>
  <c r="E13" i="3"/>
  <c r="I12" i="3"/>
  <c r="E12" i="3"/>
  <c r="I11" i="3"/>
  <c r="E11" i="3"/>
  <c r="I10" i="3"/>
  <c r="E10" i="3"/>
  <c r="I9" i="3"/>
  <c r="E9" i="3"/>
  <c r="I8" i="3"/>
  <c r="E8" i="3"/>
  <c r="I7" i="3"/>
  <c r="E7" i="3"/>
  <c r="I6" i="3"/>
  <c r="E6" i="3"/>
  <c r="I5" i="3"/>
  <c r="E5" i="3"/>
  <c r="G6" i="2"/>
  <c r="F6" i="2"/>
  <c r="E6" i="2"/>
  <c r="D6" i="2"/>
  <c r="G5" i="2"/>
  <c r="F5" i="2"/>
  <c r="E5" i="2"/>
  <c r="D5" i="2"/>
  <c r="I3" i="2"/>
  <c r="J3" i="2" s="1"/>
  <c r="K3" i="2" s="1"/>
  <c r="L3" i="2" s="1"/>
  <c r="M3" i="2" s="1"/>
  <c r="F3" i="2"/>
  <c r="D3" i="2"/>
  <c r="E3" i="2" s="1"/>
  <c r="G12" i="1"/>
  <c r="G14" i="1" s="1"/>
  <c r="G10" i="2" s="1"/>
  <c r="F12" i="1"/>
  <c r="F14" i="1" s="1"/>
  <c r="F10" i="2" s="1"/>
  <c r="E12" i="1"/>
  <c r="E14" i="1" s="1"/>
  <c r="E10" i="2" s="1"/>
  <c r="D12" i="1"/>
  <c r="D14" i="1" s="1"/>
  <c r="D10" i="2" s="1"/>
  <c r="C12" i="1"/>
  <c r="C14" i="1" s="1"/>
  <c r="C10" i="2" s="1"/>
  <c r="C7" i="4" l="1"/>
  <c r="H11" i="2"/>
  <c r="V11" i="2" s="1"/>
  <c r="F5" i="5"/>
  <c r="F6" i="5" s="1"/>
  <c r="C5" i="5"/>
  <c r="E5" i="5"/>
  <c r="E6" i="5" s="1"/>
  <c r="R21" i="2"/>
  <c r="V21" i="2" s="1"/>
  <c r="I21" i="2" s="1"/>
  <c r="J21" i="2" s="1"/>
  <c r="D5" i="5"/>
  <c r="D6" i="5" s="1"/>
  <c r="H6" i="2"/>
  <c r="G5" i="5"/>
  <c r="G6" i="5" s="1"/>
  <c r="H10" i="2"/>
  <c r="K10" i="2" s="1"/>
  <c r="G20" i="2"/>
  <c r="H9" i="2"/>
  <c r="V9" i="2" s="1"/>
  <c r="I9" i="2" s="1"/>
  <c r="F20" i="2"/>
  <c r="H7" i="2"/>
  <c r="H8" i="2"/>
  <c r="V8" i="2" s="1"/>
  <c r="I8" i="2" s="1"/>
  <c r="J8" i="2" s="1"/>
  <c r="K8" i="2" s="1"/>
  <c r="L8" i="2" s="1"/>
  <c r="M8" i="2" s="1"/>
  <c r="C6" i="5"/>
  <c r="C7" i="5" s="1"/>
  <c r="D3" i="5" s="1"/>
  <c r="C26" i="2"/>
  <c r="H5" i="2"/>
  <c r="V5" i="2" s="1"/>
  <c r="I5" i="2" s="1"/>
  <c r="I6" i="2" s="1"/>
  <c r="L5" i="3"/>
  <c r="C16" i="4" s="1"/>
  <c r="C18" i="4" s="1"/>
  <c r="G8" i="6" s="1"/>
  <c r="G26" i="2"/>
  <c r="C8" i="4"/>
  <c r="C23" i="4" s="1"/>
  <c r="E23" i="4" s="1"/>
  <c r="F26" i="2"/>
  <c r="C9" i="4"/>
  <c r="C24" i="4" s="1"/>
  <c r="E20" i="2"/>
  <c r="E26" i="2"/>
  <c r="D20" i="2"/>
  <c r="D26" i="2"/>
  <c r="I7" i="2"/>
  <c r="V7" i="2"/>
  <c r="C10" i="4"/>
  <c r="C8" i="5" l="1"/>
  <c r="C9" i="5" s="1"/>
  <c r="D7" i="5"/>
  <c r="E3" i="5" s="1"/>
  <c r="E7" i="5" s="1"/>
  <c r="F3" i="5" s="1"/>
  <c r="D8" i="6"/>
  <c r="C10" i="5"/>
  <c r="C11" i="5" s="1"/>
  <c r="L10" i="5"/>
  <c r="K10" i="5"/>
  <c r="E10" i="5"/>
  <c r="D10" i="5"/>
  <c r="D24" i="4"/>
  <c r="E24" i="4" s="1"/>
  <c r="E25" i="4" s="1"/>
  <c r="J10" i="5"/>
  <c r="H10" i="5"/>
  <c r="C8" i="6"/>
  <c r="G10" i="5"/>
  <c r="F8" i="6"/>
  <c r="F10" i="5"/>
  <c r="E8" i="6"/>
  <c r="I10" i="5"/>
  <c r="I14" i="2"/>
  <c r="K21" i="2"/>
  <c r="J7" i="2"/>
  <c r="K7" i="2" s="1"/>
  <c r="L7" i="2" s="1"/>
  <c r="M7" i="2" s="1"/>
  <c r="J9" i="2"/>
  <c r="K9" i="2" s="1"/>
  <c r="L9" i="2" s="1"/>
  <c r="M9" i="2" s="1"/>
  <c r="J10" i="2"/>
  <c r="I10" i="2"/>
  <c r="M10" i="2"/>
  <c r="L10" i="2"/>
  <c r="J5" i="2"/>
  <c r="J6" i="2" s="1"/>
  <c r="I15" i="2"/>
  <c r="J14" i="2" l="1"/>
  <c r="D8" i="5"/>
  <c r="D9" i="5" s="1"/>
  <c r="D11" i="5" s="1"/>
  <c r="E8" i="5"/>
  <c r="E9" i="5" s="1"/>
  <c r="E11" i="5" s="1"/>
  <c r="J25" i="2"/>
  <c r="J16" i="2"/>
  <c r="I16" i="2"/>
  <c r="I19" i="2" s="1"/>
  <c r="I18" i="2" s="1"/>
  <c r="I20" i="2" s="1"/>
  <c r="I22" i="2" s="1"/>
  <c r="I25" i="2"/>
  <c r="F7" i="5"/>
  <c r="G3" i="5" s="1"/>
  <c r="L21" i="2"/>
  <c r="K5" i="2"/>
  <c r="L5" i="2" s="1"/>
  <c r="J15" i="2"/>
  <c r="F8" i="5" l="1"/>
  <c r="F9" i="5" s="1"/>
  <c r="F11" i="5" s="1"/>
  <c r="K14" i="2"/>
  <c r="L14" i="2" s="1"/>
  <c r="J19" i="2"/>
  <c r="K6" i="2"/>
  <c r="K15" i="2" s="1"/>
  <c r="G7" i="5"/>
  <c r="H3" i="5" s="1"/>
  <c r="I24" i="2"/>
  <c r="I26" i="2"/>
  <c r="I27" i="2" s="1"/>
  <c r="I29" i="2" s="1"/>
  <c r="M21" i="2"/>
  <c r="M5" i="2"/>
  <c r="M6" i="2" s="1"/>
  <c r="L6" i="2"/>
  <c r="I11" i="2" l="1"/>
  <c r="H5" i="5" s="1"/>
  <c r="H4" i="5"/>
  <c r="L16" i="2"/>
  <c r="L25" i="2"/>
  <c r="G8" i="5"/>
  <c r="G9" i="5" s="1"/>
  <c r="G11" i="5" s="1"/>
  <c r="J18" i="2"/>
  <c r="J20" i="2" s="1"/>
  <c r="J22" i="2" s="1"/>
  <c r="K16" i="2"/>
  <c r="K19" i="2" s="1"/>
  <c r="K18" i="2" s="1"/>
  <c r="K20" i="2" s="1"/>
  <c r="K22" i="2" s="1"/>
  <c r="K25" i="2"/>
  <c r="C6" i="6"/>
  <c r="C4" i="6"/>
  <c r="M14" i="2"/>
  <c r="L15" i="2"/>
  <c r="L19" i="2" l="1"/>
  <c r="L18" i="2" s="1"/>
  <c r="L20" i="2" s="1"/>
  <c r="L22" i="2" s="1"/>
  <c r="L24" i="2" s="1"/>
  <c r="L26" i="2" s="1"/>
  <c r="J24" i="2"/>
  <c r="J26" i="2" s="1"/>
  <c r="J27" i="2" s="1"/>
  <c r="J29" i="2" s="1"/>
  <c r="M16" i="2"/>
  <c r="M25" i="2"/>
  <c r="C5" i="6"/>
  <c r="C7" i="6" s="1"/>
  <c r="C9" i="6" s="1"/>
  <c r="H6" i="5"/>
  <c r="H7" i="5" s="1"/>
  <c r="K24" i="2"/>
  <c r="K26" i="2" s="1"/>
  <c r="K27" i="2" s="1"/>
  <c r="K29" i="2" s="1"/>
  <c r="M15" i="2"/>
  <c r="M19" i="2" l="1"/>
  <c r="M18" i="2" s="1"/>
  <c r="I3" i="5"/>
  <c r="H8" i="5"/>
  <c r="H9" i="5" s="1"/>
  <c r="H11" i="5" s="1"/>
  <c r="M20" i="2"/>
  <c r="M22" i="2" s="1"/>
  <c r="M24" i="2" s="1"/>
  <c r="M26" i="2" s="1"/>
  <c r="M27" i="2" s="1"/>
  <c r="M29" i="2" s="1"/>
  <c r="J11" i="2"/>
  <c r="I5" i="5" s="1"/>
  <c r="I4" i="5"/>
  <c r="D5" i="6" s="1"/>
  <c r="K11" i="2"/>
  <c r="J5" i="5" s="1"/>
  <c r="J4" i="5"/>
  <c r="E5" i="6" s="1"/>
  <c r="L27" i="2"/>
  <c r="L29" i="2" s="1"/>
  <c r="J6" i="5" l="1"/>
  <c r="I6" i="5"/>
  <c r="I7" i="5" s="1"/>
  <c r="J3" i="5" s="1"/>
  <c r="M11" i="2"/>
  <c r="L5" i="5" s="1"/>
  <c r="L4" i="5"/>
  <c r="G5" i="6" s="1"/>
  <c r="L11" i="2"/>
  <c r="K5" i="5" s="1"/>
  <c r="K4" i="5"/>
  <c r="F5" i="6" s="1"/>
  <c r="D4" i="6"/>
  <c r="D6" i="6"/>
  <c r="D7" i="6" s="1"/>
  <c r="D9" i="6" s="1"/>
  <c r="L6" i="5" l="1"/>
  <c r="I8" i="5"/>
  <c r="I9" i="5" s="1"/>
  <c r="I11" i="5" s="1"/>
  <c r="K6" i="5"/>
  <c r="E6" i="6"/>
  <c r="E7" i="6" s="1"/>
  <c r="E9" i="6" s="1"/>
  <c r="J7" i="5"/>
  <c r="K3" i="5" s="1"/>
  <c r="E4" i="6"/>
  <c r="F4" i="6" l="1"/>
  <c r="F6" i="6"/>
  <c r="F7" i="6" s="1"/>
  <c r="F9" i="6" s="1"/>
  <c r="K7" i="5"/>
  <c r="L3" i="5" s="1"/>
  <c r="J8" i="5"/>
  <c r="J9" i="5" s="1"/>
  <c r="J11" i="5" s="1"/>
  <c r="L7" i="5" l="1"/>
  <c r="L8" i="5" s="1"/>
  <c r="L9" i="5" s="1"/>
  <c r="L11" i="5" s="1"/>
  <c r="G4" i="6"/>
  <c r="G6" i="6"/>
  <c r="G7" i="6" s="1"/>
  <c r="K8" i="5"/>
  <c r="K9" i="5" s="1"/>
  <c r="K11" i="5" s="1"/>
  <c r="G12" i="6" l="1"/>
  <c r="C13" i="6" s="1"/>
  <c r="G9" i="6"/>
  <c r="C16" i="6" l="1"/>
  <c r="C18" i="6" s="1"/>
  <c r="D20"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93468B-622D-47B6-80FB-EC8AB5931AB9}" keepAlive="1" name="Query - KOTAKBANK" description="Connection to the 'KOTAKBANK' query in the workbook." type="5" refreshedVersion="8" background="1" saveData="1">
    <dbPr connection="Provider=Microsoft.Mashup.OleDb.1;Data Source=$Workbook$;Location=KOTAKBANK;Extended Properties=&quot;&quot;" command="SELECT * FROM [KOTAKBANK]"/>
  </connection>
</connections>
</file>

<file path=xl/sharedStrings.xml><?xml version="1.0" encoding="utf-8"?>
<sst xmlns="http://schemas.openxmlformats.org/spreadsheetml/2006/main" count="586" uniqueCount="375">
  <si>
    <t>Audited Consolidated Profit and Loss Account (For the year ended)</t>
  </si>
  <si>
    <t>Audited Consolidated Balance Sheet (As of March 31st)</t>
  </si>
  <si>
    <t>Audited Consolidated Cash Flow Statement</t>
  </si>
  <si>
    <t>Particulars (₹ in crore)</t>
  </si>
  <si>
    <t>Capital and Liabilities (₹ in crore)</t>
  </si>
  <si>
    <t>I. INCOME</t>
  </si>
  <si>
    <t>Capital</t>
  </si>
  <si>
    <t>Net Profit Before Taxes</t>
  </si>
  <si>
    <t>Interest Earned</t>
  </si>
  <si>
    <t>Employees' Stock Options Outstanding</t>
  </si>
  <si>
    <t>Adjustments for:</t>
  </si>
  <si>
    <t>Other Income</t>
  </si>
  <si>
    <t>Reserves and Surplus</t>
  </si>
  <si>
    <t>Depreciation</t>
  </si>
  <si>
    <t>Total Income</t>
  </si>
  <si>
    <t>Deposits</t>
  </si>
  <si>
    <t>(Profit) / Loss on sale of Investments</t>
  </si>
  <si>
    <t>II. EXPENDITURE</t>
  </si>
  <si>
    <t>Borrowings</t>
  </si>
  <si>
    <t>Provision for NPAs &amp; Others</t>
  </si>
  <si>
    <t>Interest Expended</t>
  </si>
  <si>
    <t>Policyholders' Funds</t>
  </si>
  <si>
    <t>Operating Profit before WC Changes</t>
  </si>
  <si>
    <t>Operating Expenses</t>
  </si>
  <si>
    <t>Other Liabilities and Provisions</t>
  </si>
  <si>
    <t>Changes in Working Capital:</t>
  </si>
  <si>
    <t>Provisions &amp; Contingencies</t>
  </si>
  <si>
    <t>Total Liabilities</t>
  </si>
  <si>
    <t>(Increase) / Decrease in Investments</t>
  </si>
  <si>
    <t>Total Expenditure</t>
  </si>
  <si>
    <t>(Increase) / Decrease in Advances</t>
  </si>
  <si>
    <t>III. PROFIT / LOSS</t>
  </si>
  <si>
    <t>Assets</t>
  </si>
  <si>
    <t>Increase / (Decrease) in Deposits</t>
  </si>
  <si>
    <t>Profit before Tax</t>
  </si>
  <si>
    <t>Cash and Balances with RBI</t>
  </si>
  <si>
    <t>Net Cash from Operating Activities</t>
  </si>
  <si>
    <t>Less: Provision for Taxes</t>
  </si>
  <si>
    <t>Balances with Banks &amp; Money at Call</t>
  </si>
  <si>
    <t>Net Cash from Investing Activities</t>
  </si>
  <si>
    <t>NET PROFIT AFTER TAX</t>
  </si>
  <si>
    <t>Investments</t>
  </si>
  <si>
    <t>Net Cash from Financing Activities</t>
  </si>
  <si>
    <t>Advances</t>
  </si>
  <si>
    <t>Net Change in Cash &amp; Equivalents</t>
  </si>
  <si>
    <t>Fixed Assets</t>
  </si>
  <si>
    <t>Opening Cash &amp; Equivalents</t>
  </si>
  <si>
    <t>Other Assets</t>
  </si>
  <si>
    <t>Closing Cash &amp; Equivalents</t>
  </si>
  <si>
    <t>Goodwill on Consolidation</t>
  </si>
  <si>
    <t>Total Assets</t>
  </si>
  <si>
    <t>Contingent Liabilities</t>
  </si>
  <si>
    <t>Bills for Collection</t>
  </si>
  <si>
    <t xml:space="preserve">Actual </t>
  </si>
  <si>
    <t xml:space="preserve">Estimated </t>
  </si>
  <si>
    <t>Assumptions</t>
  </si>
  <si>
    <t>Loan Growth %</t>
  </si>
  <si>
    <t>Deposit Growth %</t>
  </si>
  <si>
    <t>NIM %</t>
  </si>
  <si>
    <t>Cost to Income %</t>
  </si>
  <si>
    <t>Credit Cost %</t>
  </si>
  <si>
    <t>Tax Rate %</t>
  </si>
  <si>
    <t>Dividend Payout %</t>
  </si>
  <si>
    <t>Advances (Loans)</t>
  </si>
  <si>
    <t>Interest Income</t>
  </si>
  <si>
    <t>Interest Expense</t>
  </si>
  <si>
    <t>NII</t>
  </si>
  <si>
    <t>Operating Expense</t>
  </si>
  <si>
    <t>Provisions</t>
  </si>
  <si>
    <t>PBT</t>
  </si>
  <si>
    <t>Tax</t>
  </si>
  <si>
    <t>PAT</t>
  </si>
  <si>
    <t>KOTAK BANK</t>
  </si>
  <si>
    <t>NIFTY50</t>
  </si>
  <si>
    <t xml:space="preserve"> </t>
  </si>
  <si>
    <t>Open</t>
  </si>
  <si>
    <t>Close</t>
  </si>
  <si>
    <t>Date</t>
  </si>
  <si>
    <t>Closing Price</t>
  </si>
  <si>
    <t>BETA</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</si>
  <si>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</si>
  <si>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</si>
  <si>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</si>
  <si>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</si>
  <si>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</si>
  <si>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</si>
  <si>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</si>
  <si>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</si>
  <si>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</si>
  <si>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</si>
  <si>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</si>
  <si>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</si>
  <si>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</si>
  <si>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</si>
  <si>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</si>
  <si>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</si>
  <si>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</si>
  <si>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</si>
  <si>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</si>
  <si>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</si>
  <si>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</si>
  <si>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</si>
  <si>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</si>
  <si>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</si>
  <si>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X Variable 1</t>
  </si>
  <si>
    <t>Weighted Average Cost of Capital</t>
  </si>
  <si>
    <t>Capital Structure</t>
  </si>
  <si>
    <t>Total Debt</t>
  </si>
  <si>
    <t>Total Equity</t>
  </si>
  <si>
    <t>Total Mix</t>
  </si>
  <si>
    <t>% of Debt</t>
  </si>
  <si>
    <t>% of Equity</t>
  </si>
  <si>
    <t>Debt to Equity</t>
  </si>
  <si>
    <t>Cost of Equity</t>
  </si>
  <si>
    <t>Cost of Debt</t>
  </si>
  <si>
    <t>Risk free rate(Rf)</t>
  </si>
  <si>
    <t>Beta</t>
  </si>
  <si>
    <t>Cost of debt*</t>
  </si>
  <si>
    <t>Market risk premium</t>
  </si>
  <si>
    <t>Tax rate</t>
  </si>
  <si>
    <t>Cost of equity</t>
  </si>
  <si>
    <t>Cost of Debt after tax</t>
  </si>
  <si>
    <t>WACC</t>
  </si>
  <si>
    <t>Source</t>
  </si>
  <si>
    <t>Weight</t>
  </si>
  <si>
    <t>Cost</t>
  </si>
  <si>
    <t>Weighted Cost</t>
  </si>
  <si>
    <t xml:space="preserve">Debt </t>
  </si>
  <si>
    <t>Equity</t>
  </si>
  <si>
    <t xml:space="preserve">Average </t>
  </si>
  <si>
    <t>Terminal Growth</t>
  </si>
  <si>
    <t>Annual Step Down</t>
  </si>
  <si>
    <t>Spread to Loan Growth</t>
  </si>
  <si>
    <t>Terminal NIM</t>
  </si>
  <si>
    <t>Terminal CTI</t>
  </si>
  <si>
    <t xml:space="preserve">Terminal Cost </t>
  </si>
  <si>
    <t>Yield on Earning Assets %</t>
  </si>
  <si>
    <t xml:space="preserve">Other Income growth </t>
  </si>
  <si>
    <t>Terminal Payout</t>
  </si>
  <si>
    <t xml:space="preserve">Annual Step Down </t>
  </si>
  <si>
    <t xml:space="preserve">Dividend Paid </t>
  </si>
  <si>
    <t xml:space="preserve">Retained Earnings </t>
  </si>
  <si>
    <t xml:space="preserve">Closing Equity </t>
  </si>
  <si>
    <t>Average Equity</t>
  </si>
  <si>
    <t>RoE</t>
  </si>
  <si>
    <t>Opening Equity</t>
  </si>
  <si>
    <t>Ke</t>
  </si>
  <si>
    <t>Excess Returns</t>
  </si>
  <si>
    <t>B</t>
  </si>
  <si>
    <t>C</t>
  </si>
  <si>
    <t>D</t>
  </si>
  <si>
    <t>E</t>
  </si>
  <si>
    <t>G</t>
  </si>
  <si>
    <t>Item</t>
  </si>
  <si>
    <t>Capital Charge</t>
  </si>
  <si>
    <t>Residual Income</t>
  </si>
  <si>
    <t>Discount Factor</t>
  </si>
  <si>
    <t>PV of RI</t>
  </si>
  <si>
    <t>Terminal RI</t>
  </si>
  <si>
    <t>PV Terminal RI</t>
  </si>
  <si>
    <t>Current Book Value</t>
  </si>
  <si>
    <t>Equity Value</t>
  </si>
  <si>
    <t>Shares Outstanding</t>
  </si>
  <si>
    <t>Value Per Share</t>
  </si>
  <si>
    <t xml:space="preserve">Current Value </t>
  </si>
  <si>
    <t xml:space="preserve">Upside/Downside  </t>
  </si>
  <si>
    <t>KOTAKBANK.NS</t>
  </si>
  <si>
    <t>exchangeName</t>
  </si>
  <si>
    <t>NSI</t>
  </si>
  <si>
    <t>fullExchangeName</t>
  </si>
  <si>
    <t>NSE</t>
  </si>
  <si>
    <t>instrumentType</t>
  </si>
  <si>
    <t>EQUITY</t>
  </si>
  <si>
    <t>firstTradeDate</t>
  </si>
  <si>
    <t>regularMarketTime</t>
  </si>
  <si>
    <t>hasPrePostMarketData</t>
  </si>
  <si>
    <t>gmtoffset</t>
  </si>
  <si>
    <t>timezone</t>
  </si>
  <si>
    <t>IST</t>
  </si>
  <si>
    <t>exchangeTimezoneName</t>
  </si>
  <si>
    <t>Asia/Kolkata</t>
  </si>
  <si>
    <t>regularMarketPrice</t>
  </si>
  <si>
    <t>fiftyTwoWeekHigh</t>
  </si>
  <si>
    <t>fiftyTwoWeekLow</t>
  </si>
  <si>
    <t>shortName</t>
  </si>
  <si>
    <t>KOTAK MAHINDRA BANK LTD</t>
  </si>
  <si>
    <t xml:space="preserve">Relative Valuation - Alkem Labs </t>
  </si>
  <si>
    <t>Figures in Crore</t>
  </si>
  <si>
    <t>Comparable Company Valuation</t>
  </si>
  <si>
    <t>Company Name</t>
  </si>
  <si>
    <t>Market Data</t>
  </si>
  <si>
    <t>Financials</t>
  </si>
  <si>
    <t>Valuation</t>
  </si>
  <si>
    <t>No. of shares</t>
  </si>
  <si>
    <t>Share Price</t>
  </si>
  <si>
    <t>Equity value</t>
  </si>
  <si>
    <t>Debt</t>
  </si>
  <si>
    <t>cash</t>
  </si>
  <si>
    <t>Enterprises value</t>
  </si>
  <si>
    <t>Revenue</t>
  </si>
  <si>
    <t>EBITDA</t>
  </si>
  <si>
    <t>Net Profit</t>
  </si>
  <si>
    <t>EPS</t>
  </si>
  <si>
    <t>EV/Revenue</t>
  </si>
  <si>
    <t>EV/EBITDA</t>
  </si>
  <si>
    <t>P/E Ratio</t>
  </si>
  <si>
    <t>Max</t>
  </si>
  <si>
    <t>75th Percentile</t>
  </si>
  <si>
    <t>Average</t>
  </si>
  <si>
    <t>median</t>
  </si>
  <si>
    <t>25th Percentile</t>
  </si>
  <si>
    <t>Min.</t>
  </si>
  <si>
    <t>M&amp;M Industry Comparable comps</t>
  </si>
  <si>
    <t>Implied Enterprise Value</t>
  </si>
  <si>
    <t>Net Debt</t>
  </si>
  <si>
    <t>Implied Market Value</t>
  </si>
  <si>
    <t>Share Outstanding</t>
  </si>
  <si>
    <t>Implied Value per Share</t>
  </si>
  <si>
    <t>HDFC Bank</t>
  </si>
  <si>
    <t>ICICI Bank</t>
  </si>
  <si>
    <t>Axis Bank</t>
  </si>
  <si>
    <t>Kotak Mah. Bank</t>
  </si>
  <si>
    <t>IDBI Bank</t>
  </si>
  <si>
    <t xml:space="preserve">About </t>
  </si>
  <si>
    <t>Kotak Mahindra Bank is one of India’s leading private sector banks, serving over 50 million customers across a network of 2,200+ branches.
Headquartered in Mumbai, it made history in 2003 as the first non-banking financial company (NBFC) in India to be converted into a fully commercial bank.
The bank operates an integrated financial services model spanning consumer, commercial, and corporate banking, alongside major subsidiaries in stock broking, mutual funds, investment banking, and insurance. It is highly regarded in the industry for its strong digital platform (Kotak 811), high financial stability, and excellent asset quality.</t>
  </si>
  <si>
    <t>Category of shareholder</t>
  </si>
  <si>
    <t>Entity Type</t>
  </si>
  <si>
    <t>Nos. of shareholders</t>
  </si>
  <si>
    <t>No. of fully paid up equity shares held</t>
  </si>
  <si>
    <t>Total nos. shares held</t>
  </si>
  <si>
    <t>A9) Indian</t>
  </si>
  <si>
    <t>-</t>
  </si>
  <si>
    <t>Individuals/Hindu undivided Family</t>
  </si>
  <si>
    <t>2,57,17,43,405</t>
  </si>
  <si>
    <t>Uday Suresh Kotak</t>
  </si>
  <si>
    <t>Promoter</t>
  </si>
  <si>
    <t>2,55,51,35,500</t>
  </si>
  <si>
    <t>Pallavi Kotak</t>
  </si>
  <si>
    <t>Promoter Group</t>
  </si>
  <si>
    <t>55,57,900</t>
  </si>
  <si>
    <t>Suresh Amritlal Kotak</t>
  </si>
  <si>
    <t>5,00,000</t>
  </si>
  <si>
    <t>Suresh A Kotak (HUF)</t>
  </si>
  <si>
    <t>5,50,000</t>
  </si>
  <si>
    <t>Indira Suresh Kotak</t>
  </si>
  <si>
    <t>1,00,00,000</t>
  </si>
  <si>
    <t>Janak Dinkarrai Desai</t>
  </si>
  <si>
    <t>Jay Kotak</t>
  </si>
  <si>
    <t>Uday S Kotak (HUF)</t>
  </si>
  <si>
    <t>Any Other (specify)</t>
  </si>
  <si>
    <t>11,71,780</t>
  </si>
  <si>
    <t>Kotak Trustee Company Private Limited</t>
  </si>
  <si>
    <t>2,20,000</t>
  </si>
  <si>
    <t>9,51,780</t>
  </si>
  <si>
    <t>Infina Finance Private Limited</t>
  </si>
  <si>
    <t>Laburnum Adarsh Trust</t>
  </si>
  <si>
    <t>Amrit Lila Enterprises Private Limited</t>
  </si>
  <si>
    <t>Business Standard Private Limited</t>
  </si>
  <si>
    <t>Insurekot Sports Private Limited</t>
  </si>
  <si>
    <t>Kotak Commodity Services Private Limited</t>
  </si>
  <si>
    <t>Helena Realty Private Limited</t>
  </si>
  <si>
    <t>Puma Properties Private Limited</t>
  </si>
  <si>
    <t>Palko Properties Private Limited</t>
  </si>
  <si>
    <t>Harisiddha Trading &amp; Finance Private Limited</t>
  </si>
  <si>
    <t>Aero Agencies Private Limited</t>
  </si>
  <si>
    <t>Komaf Financial Services Private Limited</t>
  </si>
  <si>
    <t>Business Standard Online Private Limited</t>
  </si>
  <si>
    <t>Cumulus Trading Company Private Limited</t>
  </si>
  <si>
    <t>Allied Auto Accessories Pvt Ltd</t>
  </si>
  <si>
    <t>Kotak Chemicals Ltd</t>
  </si>
  <si>
    <t>Asian Machinery &amp; Equipment Pvt Ltd</t>
  </si>
  <si>
    <t>Kotak &amp; Co Pvt Ltd</t>
  </si>
  <si>
    <t>Kudin Trusteeship Services Private Limited</t>
  </si>
  <si>
    <t>USK Capital Partners</t>
  </si>
  <si>
    <t>Amrit Lila (UK) Ltd</t>
  </si>
  <si>
    <t>Niraant Aviation Private Limited</t>
  </si>
  <si>
    <t>Freeland Foods, Inc.</t>
  </si>
  <si>
    <t>Sub Total A1</t>
  </si>
  <si>
    <t>2,57,29,15,185</t>
  </si>
  <si>
    <t>A10) Foreign</t>
  </si>
  <si>
    <t>Individuals (NonResident Individuals/ Foreign Individuals)</t>
  </si>
  <si>
    <t>2,86,800</t>
  </si>
  <si>
    <t>Aarti Neal Chandaria</t>
  </si>
  <si>
    <t>Dhawal Kotak</t>
  </si>
  <si>
    <t>Sub Total A2</t>
  </si>
  <si>
    <t>A=A1+A2</t>
  </si>
  <si>
    <t>2,57,32,01,985</t>
  </si>
  <si>
    <t xml:space="preserve">Promoter </t>
  </si>
  <si>
    <t>Public</t>
  </si>
  <si>
    <t>Category &amp; Name of the Shareholders</t>
  </si>
  <si>
    <t>No. of shareholder</t>
  </si>
  <si>
    <t>Total no. shares held</t>
  </si>
  <si>
    <t>Shareholding % calculated as per SCRR, 1957 As a % of (A+B+C2)</t>
  </si>
  <si>
    <t>Institutions</t>
  </si>
  <si>
    <t>B2) Institutions (Domestic)</t>
  </si>
  <si>
    <t>Mutual Funds/</t>
  </si>
  <si>
    <t>2,34,39,06,602</t>
  </si>
  <si>
    <t>Parag Parikh Mutual Fund</t>
  </si>
  <si>
    <t>15,17,19,892</t>
  </si>
  <si>
    <t>SBI Mutual Fund</t>
  </si>
  <si>
    <t>59,76,93,608</t>
  </si>
  <si>
    <t>UTI Mutual Fund</t>
  </si>
  <si>
    <t>19,43,08,398</t>
  </si>
  <si>
    <t>Nippon Mutual Fund</t>
  </si>
  <si>
    <t>14,41,75,310</t>
  </si>
  <si>
    <t>HDFC Mutual Fund</t>
  </si>
  <si>
    <t>34,38,85,252</t>
  </si>
  <si>
    <t>ICICI Prudential Mutual Fund</t>
  </si>
  <si>
    <t>21,12,38,201</t>
  </si>
  <si>
    <t>Alternate Investment Funds</t>
  </si>
  <si>
    <t>7,06,51,645</t>
  </si>
  <si>
    <t>Banks</t>
  </si>
  <si>
    <t>2,36,24,505</t>
  </si>
  <si>
    <t>Insurance Companies</t>
  </si>
  <si>
    <t>93,69,57,905</t>
  </si>
  <si>
    <t>SBI Life Insurance Company Limited</t>
  </si>
  <si>
    <t>10,48,88,545</t>
  </si>
  <si>
    <t>Life Insurance Corporation of India</t>
  </si>
  <si>
    <t>64,62,64,050</t>
  </si>
  <si>
    <t>Provident Funds/ Pension Funds</t>
  </si>
  <si>
    <t>21,15,65,708</t>
  </si>
  <si>
    <t>National Pension System Trust</t>
  </si>
  <si>
    <t>NBFCs registered with RBI</t>
  </si>
  <si>
    <t>1,71,748</t>
  </si>
  <si>
    <t>Any Other(Institutions (Domestic))</t>
  </si>
  <si>
    <t>1,17,56,435</t>
  </si>
  <si>
    <t>QUALIFIED INSTITUTIONAL BUYER</t>
  </si>
  <si>
    <t>Sub Total B1</t>
  </si>
  <si>
    <t>3,59,86,34,548</t>
  </si>
  <si>
    <t>B21) Institutions (Foreign)</t>
  </si>
  <si>
    <t>Foreign Portfolio Investors Category I</t>
  </si>
  <si>
    <t>2,52,33,31,884</t>
  </si>
  <si>
    <t>GOVERNMENT PENSION FUND GLOBAL</t>
  </si>
  <si>
    <t>13,88,19,027</t>
  </si>
  <si>
    <t>Foreign Portfolio Investors Category II</t>
  </si>
  <si>
    <t>10,13,45,637</t>
  </si>
  <si>
    <t>Any Other(Institutions (Foreign))</t>
  </si>
  <si>
    <t>9,41,235</t>
  </si>
  <si>
    <t>FOREIGN BANK</t>
  </si>
  <si>
    <t>FOREIGN INSTITUTIONAL INVESTORS</t>
  </si>
  <si>
    <t>8,75,875</t>
  </si>
  <si>
    <t>Sub Total B2</t>
  </si>
  <si>
    <t>2,62,56,18,756</t>
  </si>
  <si>
    <t>B29) Central Government/ State Government(s)/ President of India</t>
  </si>
  <si>
    <t>Shareholding by Companies or Bodies Corporate where Central / State Government is a promoter</t>
  </si>
  <si>
    <t>1,07,515</t>
  </si>
  <si>
    <t>Sub Total B3</t>
  </si>
  <si>
    <t>B32) Non-Institutions</t>
  </si>
  <si>
    <t>Directors and their relatives (excluding independent directors and nominee directors)</t>
  </si>
  <si>
    <t>1,33,09,935</t>
  </si>
  <si>
    <t>Key Managerial Personnel</t>
  </si>
  <si>
    <t>7,36,425</t>
  </si>
  <si>
    <t>Investor Education and Protection Fund (IEPF)</t>
  </si>
  <si>
    <t>1,72,15,505</t>
  </si>
  <si>
    <t>Resident Individuals holding nominal share capital up to Rs. 2 lakhs</t>
  </si>
  <si>
    <t>7,33,754</t>
  </si>
  <si>
    <t>43,19,49,841</t>
  </si>
  <si>
    <t>Resident Individuals holding nominal share capital in excess of Rs. 2 lakhs</t>
  </si>
  <si>
    <t>39,83,52,191</t>
  </si>
  <si>
    <t>Non Resident Indians (NRIs)</t>
  </si>
  <si>
    <t>5,38,90,646</t>
  </si>
  <si>
    <t>Foreign Companies</t>
  </si>
  <si>
    <t>2,96,65,626</t>
  </si>
  <si>
    <t>Bodies Corporate</t>
  </si>
  <si>
    <t>18,68,71,023</t>
  </si>
  <si>
    <t>1,69,10,954</t>
  </si>
  <si>
    <t>1,13,38,487</t>
  </si>
  <si>
    <t>31,19,828</t>
  </si>
  <si>
    <t>24,52,639</t>
  </si>
  <si>
    <t>Sub Total B4</t>
  </si>
  <si>
    <t>7,80,079</t>
  </si>
  <si>
    <t>1,14,89,02,146</t>
  </si>
  <si>
    <t>B=B1+B2+B3+B4</t>
  </si>
  <si>
    <t>7,81,439</t>
  </si>
  <si>
    <t>7,37,32,62,965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</si>
</sst>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_ * #,##0.00_ ;_ * \-#,##0.00_ ;_ * \-??_ ;_ @_ "/>
    <numFmt numFmtId="167" formatCode="0.0%;\(0.0%\);\-"/>
    <numFmt numFmtId="168" formatCode="0.0%"/>
  </numFmts>
  <fonts count="35">
    <font>
      <sz val="11"/>
      <color theme="1"/>
      <name val="Calibri"/>
      <family val="2"/>
    </font>
    <font>
      <sz val="11"/>
      <color rgb="FF303030"/>
      <name val="Calibri"/>
      <family val="2"/>
    </font>
    <font>
      <b/>
      <sz val="11"/>
      <color rgb="FF303030"/>
      <name val="Calibri"/>
      <family val="2"/>
    </font>
    <font>
      <b/>
      <sz val="11"/>
      <name val="Calibri"/>
      <family val="2"/>
    </font>
    <font>
      <b/>
      <sz val="11"/>
      <name val="Calibri"/>
      <family val="2"/>
      <charset val="1"/>
    </font>
    <font>
      <b/>
      <sz val="9"/>
      <color rgb="FF2E4D7B"/>
      <name val="Arial"/>
      <family val="2"/>
      <charset val="1"/>
    </font>
    <font>
      <sz val="8"/>
      <color rgb="FF3A4F6A"/>
      <name val="Arial"/>
      <family val="2"/>
      <charset val="1"/>
    </font>
    <font>
      <sz val="10"/>
      <color rgb="FF000000"/>
      <name val="Arial"/>
      <family val="2"/>
      <charset val="1"/>
    </font>
    <font>
      <i/>
      <sz val="11"/>
      <color theme="1"/>
      <name val="Calibri"/>
      <family val="2"/>
    </font>
    <font>
      <b/>
      <sz val="10"/>
      <color rgb="FF000000"/>
      <name val="Arial"/>
      <family val="2"/>
      <charset val="1"/>
    </font>
    <font>
      <b/>
      <sz val="13"/>
      <color rgb="FFFFFFFF"/>
      <name val="Calibri"/>
      <family val="2"/>
      <charset val="1"/>
    </font>
    <font>
      <b/>
      <sz val="12"/>
      <color indexed="18"/>
      <name val="Calibri"/>
      <family val="2"/>
      <charset val="1"/>
    </font>
    <font>
      <b/>
      <sz val="10"/>
      <color rgb="FFFFFFFF"/>
      <name val="Calibri"/>
      <family val="2"/>
      <charset val="1"/>
    </font>
    <font>
      <sz val="10"/>
      <color rgb="FF008000"/>
      <name val="Arial"/>
      <family val="2"/>
      <charset val="1"/>
    </font>
    <font>
      <sz val="9"/>
      <color rgb="FF000000"/>
      <name val="Calibri"/>
      <family val="2"/>
      <charset val="1"/>
    </font>
    <font>
      <sz val="10"/>
      <color rgb="FF0000FF"/>
      <name val="Arial"/>
      <family val="2"/>
      <charset val="1"/>
    </font>
    <font>
      <b/>
      <sz val="9"/>
      <color rgb="FFFFFFFF"/>
      <name val="Calibri"/>
      <family val="2"/>
      <charset val="1"/>
    </font>
    <font>
      <b/>
      <sz val="11"/>
      <color rgb="FF003366"/>
      <name val="Calibri"/>
      <family val="2"/>
      <charset val="1"/>
    </font>
    <font>
      <b/>
      <sz val="10"/>
      <color theme="0"/>
      <name val="Arial"/>
      <family val="2"/>
      <charset val="1"/>
    </font>
    <font>
      <b/>
      <sz val="11"/>
      <color theme="1"/>
      <name val="Calibri"/>
      <family val="2"/>
    </font>
    <font>
      <b/>
      <sz val="11"/>
      <color theme="0" tint="-4.9989318521683403E-2"/>
      <name val="Calibri"/>
      <family val="2"/>
    </font>
    <font>
      <b/>
      <sz val="10"/>
      <color theme="0" tint="-4.9989318521683403E-2"/>
      <name val="Arial"/>
      <family val="2"/>
      <charset val="1"/>
    </font>
    <font>
      <b/>
      <sz val="11"/>
      <name val="Calibri"/>
      <family val="2"/>
    </font>
    <font>
      <sz val="11"/>
      <color theme="0"/>
      <name val="Calibri"/>
      <family val="2"/>
    </font>
    <font>
      <b/>
      <sz val="11"/>
      <color theme="0"/>
      <name val="Calibri"/>
      <family val="2"/>
    </font>
    <font>
      <sz val="10"/>
      <color theme="1"/>
      <name val="Arial Unicode MS"/>
    </font>
    <font>
      <b/>
      <sz val="11"/>
      <color theme="0"/>
      <name val="Calibri"/>
      <family val="2"/>
      <charset val="1"/>
    </font>
    <font>
      <b/>
      <sz val="11"/>
      <color theme="1"/>
      <name val="Calibri"/>
      <family val="2"/>
      <charset val="1"/>
    </font>
    <font>
      <sz val="11"/>
      <color rgb="FF22222F"/>
      <name val="Calibri"/>
      <family val="2"/>
      <charset val="1"/>
    </font>
    <font>
      <u/>
      <sz val="11"/>
      <color theme="10"/>
      <name val="Calibri"/>
      <family val="2"/>
    </font>
    <font>
      <sz val="11"/>
      <color rgb="FF22222F"/>
      <name val="Calibri"/>
      <family val="2"/>
    </font>
    <font>
      <sz val="11"/>
      <color rgb="FF22222F"/>
      <name val="Calibri"/>
      <family val="2"/>
    </font>
    <font>
      <sz val="8"/>
      <color rgb="FFFFFFFF"/>
      <name val="Arial"/>
      <family val="2"/>
    </font>
    <font>
      <sz val="8"/>
      <color rgb="FF000000"/>
      <name val="Arial"/>
      <family val="2"/>
    </font>
    <font>
      <sz val="8"/>
      <color rgb="FF000000"/>
      <name val="Arial"/>
      <family val="2"/>
    </font>
  </fonts>
  <fills count="24">
    <fill>
      <patternFill patternType="none"/>
    </fill>
    <fill>
      <patternFill patternType="gray125"/>
    </fill>
    <fill>
      <patternFill patternType="solid">
        <fgColor rgb="FFE8EEF6"/>
        <bgColor rgb="FFE9EFF7"/>
      </patternFill>
    </fill>
    <fill>
      <patternFill patternType="solid">
        <fgColor rgb="FFEAF1FB"/>
        <bgColor rgb="FFE9EFF7"/>
      </patternFill>
    </fill>
    <fill>
      <patternFill patternType="solid">
        <fgColor rgb="FF003366"/>
        <bgColor rgb="FF17375E"/>
      </patternFill>
    </fill>
    <fill>
      <patternFill patternType="solid">
        <fgColor theme="3"/>
        <bgColor indexed="64"/>
      </patternFill>
    </fill>
    <fill>
      <patternFill patternType="solid">
        <fgColor rgb="FF17375E"/>
        <bgColor rgb="FF003366"/>
      </patternFill>
    </fill>
    <fill>
      <patternFill patternType="solid">
        <fgColor rgb="FFE0E0E0"/>
        <bgColor rgb="FFDCE3EC"/>
      </patternFill>
    </fill>
    <fill>
      <patternFill patternType="solid">
        <fgColor theme="0"/>
        <bgColor rgb="FFF8F8FC"/>
      </patternFill>
    </fill>
    <fill>
      <patternFill patternType="solid">
        <fgColor rgb="FFD9E1F2"/>
        <bgColor rgb="FFDBE4F0"/>
      </patternFill>
    </fill>
    <fill>
      <patternFill patternType="solid">
        <fgColor theme="0" tint="-0.249977111117893"/>
        <bgColor rgb="FFCCC1DA"/>
      </patternFill>
    </fill>
    <fill>
      <patternFill patternType="solid">
        <fgColor rgb="FFFFD700"/>
        <bgColor rgb="FFFFFF00"/>
      </patternFill>
    </fill>
    <fill>
      <patternFill patternType="solid">
        <fgColor rgb="FFD9E1F2"/>
        <bgColor rgb="FFD9E1F2"/>
      </patternFill>
    </fill>
    <fill>
      <patternFill patternType="solid">
        <fgColor theme="0"/>
        <bgColor indexed="64"/>
      </patternFill>
    </fill>
    <fill>
      <patternFill patternType="solid">
        <fgColor theme="3" tint="0.8999908444471571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3"/>
        <bgColor rgb="FF003366"/>
      </patternFill>
    </fill>
    <fill>
      <patternFill patternType="solid">
        <fgColor rgb="FF002060"/>
        <bgColor rgb="FF003366"/>
      </patternFill>
    </fill>
    <fill>
      <patternFill patternType="solid">
        <fgColor theme="7" tint="0.59987182226020086"/>
        <bgColor rgb="FFC0CDD8"/>
      </patternFill>
    </fill>
    <fill>
      <patternFill patternType="solid">
        <fgColor rgb="FFFFFFFF"/>
        <bgColor indexed="64"/>
      </patternFill>
    </fill>
    <fill>
      <patternFill patternType="solid">
        <fgColor rgb="FFF8F8FC"/>
        <bgColor indexed="64"/>
      </patternFill>
    </fill>
    <fill>
      <patternFill patternType="solid">
        <fgColor theme="3" tint="0.89999084444715716"/>
        <bgColor rgb="FFBDD7EE"/>
      </patternFill>
    </fill>
    <fill>
      <patternFill patternType="solid">
        <fgColor rgb="FF243166"/>
        <bgColor indexed="64"/>
      </patternFill>
    </fill>
  </fills>
  <borders count="45">
    <border>
      <left/>
      <right/>
      <top/>
      <bottom/>
      <diagonal/>
    </border>
    <border>
      <left/>
      <right/>
      <top/>
      <bottom style="medium">
        <color rgb="FF919191"/>
      </bottom>
      <diagonal/>
    </border>
    <border>
      <left/>
      <right/>
      <top/>
      <bottom style="medium">
        <color rgb="FFDDE1EB"/>
      </bottom>
      <diagonal/>
    </border>
    <border>
      <left style="thin">
        <color auto="1"/>
      </left>
      <right style="thin">
        <color auto="1"/>
      </right>
      <top style="thin">
        <color auto="1"/>
      </top>
      <bottom style="thin">
        <color auto="1"/>
      </bottom>
      <diagonal/>
    </border>
    <border>
      <left/>
      <right/>
      <top style="thin">
        <color rgb="FFC9A84C"/>
      </top>
      <bottom style="thin">
        <color rgb="FFC8D4E3"/>
      </bottom>
      <diagonal/>
    </border>
    <border>
      <left/>
      <right/>
      <top/>
      <bottom style="thin">
        <color auto="1"/>
      </bottom>
      <diagonal/>
    </border>
    <border>
      <left/>
      <right/>
      <top/>
      <bottom style="medium">
        <color indexed="64"/>
      </bottom>
      <diagonal/>
    </border>
    <border>
      <left/>
      <right/>
      <top style="medium">
        <color indexed="64"/>
      </top>
      <bottom style="thin">
        <color indexed="64"/>
      </bottom>
      <diagonal/>
    </border>
    <border>
      <left style="thin">
        <color auto="1"/>
      </left>
      <right style="thin">
        <color theme="0"/>
      </right>
      <top style="thin">
        <color auto="1"/>
      </top>
      <bottom style="thin">
        <color theme="0"/>
      </bottom>
      <diagonal/>
    </border>
    <border>
      <left/>
      <right style="thin">
        <color theme="0"/>
      </right>
      <top style="thin">
        <color auto="1"/>
      </top>
      <bottom style="thin">
        <color theme="0"/>
      </bottom>
      <diagonal/>
    </border>
    <border>
      <left style="thin">
        <color auto="1"/>
      </left>
      <right style="thin">
        <color theme="0"/>
      </right>
      <top style="thin">
        <color theme="0"/>
      </top>
      <bottom style="thin">
        <color theme="0"/>
      </bottom>
      <diagonal/>
    </border>
    <border>
      <left/>
      <right/>
      <top/>
      <bottom style="thin">
        <color rgb="FF595959"/>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style="thin">
        <color auto="1"/>
      </top>
      <bottom style="thin">
        <color theme="0"/>
      </bottom>
      <diagonal/>
    </border>
    <border>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auto="1"/>
      </left>
      <right/>
      <top style="thin">
        <color auto="1"/>
      </top>
      <bottom style="thin">
        <color auto="1"/>
      </bottom>
      <diagonal/>
    </border>
    <border>
      <left/>
      <right/>
      <top style="thin">
        <color rgb="FF595959"/>
      </top>
      <bottom style="thin">
        <color rgb="FF595959"/>
      </bottom>
      <diagonal/>
    </border>
    <border>
      <left/>
      <right/>
      <top style="thin">
        <color auto="1"/>
      </top>
      <bottom style="thin">
        <color theme="0"/>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right/>
      <top style="medium">
        <color rgb="FF003366"/>
      </top>
      <bottom style="medium">
        <color rgb="FF003366"/>
      </bottom>
      <diagonal/>
    </border>
    <border>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9" tint="0.39997558519241921"/>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auto="1"/>
      </top>
      <bottom/>
      <diagonal/>
    </border>
    <border>
      <left/>
      <right style="thin">
        <color auto="1"/>
      </right>
      <top style="thin">
        <color auto="1"/>
      </top>
      <bottom/>
      <diagonal/>
    </border>
    <border>
      <left/>
      <right/>
      <top style="medium">
        <color rgb="FF645DF9"/>
      </top>
      <bottom style="medium">
        <color rgb="FF645DF9"/>
      </bottom>
      <diagonal/>
    </border>
    <border>
      <left/>
      <right/>
      <top style="thin">
        <color auto="1"/>
      </top>
      <bottom style="thick">
        <color auto="1"/>
      </bottom>
      <diagonal/>
    </border>
    <border>
      <left/>
      <right/>
      <top style="thin">
        <color indexed="64"/>
      </top>
      <bottom style="medium">
        <color indexed="64"/>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double">
        <color rgb="FFDDDDDD"/>
      </left>
      <right style="double">
        <color rgb="FFDDDDDD"/>
      </right>
      <top style="double">
        <color rgb="FFDDDDDD"/>
      </top>
      <bottom style="double">
        <color rgb="FFDDDDDD"/>
      </bottom>
      <diagonal/>
    </border>
    <border>
      <left style="medium">
        <color rgb="FF000000"/>
      </left>
      <right style="medium">
        <color rgb="FF000000"/>
      </right>
      <top/>
      <bottom style="double">
        <color rgb="FFDDDDDD"/>
      </bottom>
      <diagonal/>
    </border>
    <border>
      <left/>
      <right/>
      <top style="double">
        <color rgb="FFDDDDDD"/>
      </top>
      <bottom/>
      <diagonal/>
    </border>
  </borders>
  <cellStyleXfs count="2">
    <xf numFmtId="0" fontId="0" fillId="0" borderId="0"/>
    <xf numFmtId="0" fontId="29" fillId="0" borderId="0" applyNumberFormat="0" applyFill="0" applyBorder="0" applyAlignment="0" applyProtection="0"/>
  </cellStyleXfs>
  <cellXfs count="170">
    <xf numFmtId="0" fontId="0" fillId="0" borderId="0" xfId="0"/>
    <xf numFmtId="0" fontId="2" fillId="0" borderId="0" xfId="0" applyFont="1" applyAlignment="1">
      <alignment vertical="center"/>
    </xf>
    <xf numFmtId="0" fontId="2" fillId="0" borderId="1" xfId="0" applyFont="1" applyBorder="1" applyAlignment="1">
      <alignment horizontal="center" vertical="center"/>
    </xf>
    <xf numFmtId="0" fontId="2" fillId="0" borderId="2" xfId="0" applyFont="1" applyBorder="1" applyAlignment="1">
      <alignment vertical="center"/>
    </xf>
    <xf numFmtId="0" fontId="0" fillId="0" borderId="2" xfId="0" applyBorder="1" applyAlignment="1">
      <alignment vertical="top"/>
    </xf>
    <xf numFmtId="0" fontId="1" fillId="0" borderId="2" xfId="0" applyFont="1" applyBorder="1" applyAlignment="1">
      <alignment vertical="center"/>
    </xf>
    <xf numFmtId="4" fontId="1" fillId="0" borderId="2" xfId="0" applyNumberFormat="1" applyFont="1" applyBorder="1" applyAlignment="1">
      <alignment vertical="center"/>
    </xf>
    <xf numFmtId="4" fontId="2" fillId="0" borderId="2" xfId="0" applyNumberFormat="1" applyFont="1" applyBorder="1" applyAlignment="1">
      <alignment vertical="center"/>
    </xf>
    <xf numFmtId="0" fontId="3" fillId="0" borderId="3" xfId="0" applyFont="1" applyBorder="1" applyAlignment="1">
      <alignment horizontal="center" vertical="top"/>
    </xf>
    <xf numFmtId="0" fontId="0" fillId="0" borderId="0" xfId="0" applyAlignment="1">
      <alignment horizontal="center"/>
    </xf>
    <xf numFmtId="0" fontId="4" fillId="0" borderId="3" xfId="0" applyFont="1" applyBorder="1" applyAlignment="1">
      <alignment horizontal="center" vertical="top"/>
    </xf>
    <xf numFmtId="0" fontId="5" fillId="2" borderId="4" xfId="0" applyFont="1" applyFill="1" applyBorder="1" applyAlignment="1">
      <alignment horizontal="right"/>
    </xf>
    <xf numFmtId="164" fontId="0" fillId="0" borderId="0" xfId="0" applyNumberFormat="1"/>
    <xf numFmtId="10" fontId="6" fillId="0" borderId="0" xfId="0" applyNumberFormat="1" applyFont="1" applyAlignment="1">
      <alignment horizontal="right"/>
    </xf>
    <xf numFmtId="10" fontId="7" fillId="3" borderId="0" xfId="0" applyNumberFormat="1" applyFont="1" applyFill="1" applyAlignment="1">
      <alignment horizontal="right"/>
    </xf>
    <xf numFmtId="10" fontId="7" fillId="0" borderId="0" xfId="0" applyNumberFormat="1" applyFont="1" applyAlignment="1">
      <alignment horizontal="right"/>
    </xf>
    <xf numFmtId="0" fontId="3" fillId="0" borderId="0" xfId="0" applyFont="1" applyAlignment="1">
      <alignment horizontal="center" vertical="top"/>
    </xf>
    <xf numFmtId="10" fontId="0" fillId="0" borderId="0" xfId="0" applyNumberFormat="1"/>
    <xf numFmtId="0" fontId="0" fillId="0" borderId="6" xfId="0" applyBorder="1"/>
    <xf numFmtId="0" fontId="8" fillId="0" borderId="7" xfId="0" applyFont="1" applyBorder="1" applyAlignment="1">
      <alignment horizontal="center"/>
    </xf>
    <xf numFmtId="0" fontId="8" fillId="0" borderId="7" xfId="0" applyFont="1" applyBorder="1" applyAlignment="1">
      <alignment horizontal="centerContinuous"/>
    </xf>
    <xf numFmtId="14" fontId="0" fillId="0" borderId="0" xfId="0" applyNumberFormat="1"/>
    <xf numFmtId="0" fontId="10" fillId="4" borderId="0" xfId="0" applyFont="1" applyFill="1"/>
    <xf numFmtId="0" fontId="11" fillId="5" borderId="0" xfId="0" applyFont="1" applyFill="1"/>
    <xf numFmtId="0" fontId="12" fillId="6" borderId="0" xfId="0" applyFont="1" applyFill="1"/>
    <xf numFmtId="0" fontId="7" fillId="7" borderId="10" xfId="0" applyFont="1" applyFill="1" applyBorder="1" applyAlignment="1">
      <alignment horizontal="left" vertical="center" indent="1"/>
    </xf>
    <xf numFmtId="165" fontId="13" fillId="8" borderId="11" xfId="0" applyNumberFormat="1" applyFont="1" applyFill="1" applyBorder="1" applyAlignment="1">
      <alignment horizontal="right" vertical="center"/>
    </xf>
    <xf numFmtId="166" fontId="9" fillId="9" borderId="12" xfId="0" applyNumberFormat="1" applyFont="1" applyFill="1" applyBorder="1" applyAlignment="1">
      <alignment horizontal="left" vertical="center" indent="1"/>
    </xf>
    <xf numFmtId="165" fontId="7" fillId="9" borderId="11" xfId="0" applyNumberFormat="1" applyFont="1" applyFill="1" applyBorder="1" applyAlignment="1">
      <alignment horizontal="right" vertical="center"/>
    </xf>
    <xf numFmtId="0" fontId="7" fillId="7" borderId="13" xfId="0" applyFont="1" applyFill="1" applyBorder="1" applyAlignment="1">
      <alignment horizontal="left" vertical="center" indent="1"/>
    </xf>
    <xf numFmtId="167" fontId="7" fillId="8" borderId="11" xfId="0" applyNumberFormat="1" applyFont="1" applyFill="1" applyBorder="1" applyAlignment="1">
      <alignment horizontal="right" vertical="center"/>
    </xf>
    <xf numFmtId="0" fontId="7" fillId="0" borderId="0" xfId="0" applyFont="1"/>
    <xf numFmtId="166" fontId="9" fillId="9" borderId="14" xfId="0" applyNumberFormat="1" applyFont="1" applyFill="1" applyBorder="1" applyAlignment="1">
      <alignment horizontal="left" vertical="center" indent="1"/>
    </xf>
    <xf numFmtId="167" fontId="7" fillId="9" borderId="11" xfId="0" applyNumberFormat="1" applyFont="1" applyFill="1" applyBorder="1" applyAlignment="1">
      <alignment horizontal="right" vertical="center"/>
    </xf>
    <xf numFmtId="0" fontId="14" fillId="0" borderId="0" xfId="0" applyFont="1" applyAlignment="1">
      <alignment horizontal="left" vertical="center" indent="1"/>
    </xf>
    <xf numFmtId="167" fontId="0" fillId="0" borderId="11" xfId="0" applyNumberFormat="1" applyBorder="1" applyAlignment="1">
      <alignment horizontal="right" vertical="center"/>
    </xf>
    <xf numFmtId="167" fontId="15" fillId="8" borderId="11" xfId="0" applyNumberFormat="1" applyFont="1" applyFill="1" applyBorder="1" applyAlignment="1">
      <alignment horizontal="right" vertical="center"/>
    </xf>
    <xf numFmtId="10" fontId="7" fillId="7" borderId="13" xfId="0" applyNumberFormat="1" applyFont="1" applyFill="1" applyBorder="1" applyAlignment="1">
      <alignment horizontal="left" vertical="center" indent="1"/>
    </xf>
    <xf numFmtId="167" fontId="9" fillId="8" borderId="11" xfId="0" applyNumberFormat="1" applyFont="1" applyFill="1" applyBorder="1" applyAlignment="1">
      <alignment horizontal="right" vertical="center"/>
    </xf>
    <xf numFmtId="2" fontId="13" fillId="8" borderId="11" xfId="0" applyNumberFormat="1" applyFont="1" applyFill="1" applyBorder="1" applyAlignment="1">
      <alignment horizontal="right" vertical="center"/>
    </xf>
    <xf numFmtId="167" fontId="13" fillId="8" borderId="11" xfId="0" applyNumberFormat="1" applyFont="1" applyFill="1" applyBorder="1" applyAlignment="1">
      <alignment horizontal="right" vertical="center"/>
    </xf>
    <xf numFmtId="0" fontId="7" fillId="7" borderId="17" xfId="0" applyFont="1" applyFill="1" applyBorder="1" applyAlignment="1">
      <alignment horizontal="left" vertical="center" indent="1"/>
    </xf>
    <xf numFmtId="10" fontId="7" fillId="10" borderId="18" xfId="0" applyNumberFormat="1" applyFont="1" applyFill="1" applyBorder="1" applyAlignment="1">
      <alignment horizontal="left" vertical="center" indent="1"/>
    </xf>
    <xf numFmtId="167" fontId="7" fillId="10" borderId="11" xfId="0" applyNumberFormat="1" applyFont="1" applyFill="1" applyBorder="1" applyAlignment="1">
      <alignment horizontal="right" vertical="center"/>
    </xf>
    <xf numFmtId="166" fontId="7" fillId="10" borderId="18" xfId="0" applyNumberFormat="1" applyFont="1" applyFill="1" applyBorder="1" applyAlignment="1">
      <alignment horizontal="left" vertical="center" indent="1"/>
    </xf>
    <xf numFmtId="167" fontId="7" fillId="9" borderId="19" xfId="0" applyNumberFormat="1" applyFont="1" applyFill="1" applyBorder="1" applyAlignment="1">
      <alignment horizontal="right" vertical="center"/>
    </xf>
    <xf numFmtId="167" fontId="12" fillId="6" borderId="11" xfId="0" applyNumberFormat="1" applyFont="1" applyFill="1" applyBorder="1" applyAlignment="1">
      <alignment horizontal="center" vertical="center" wrapText="1"/>
    </xf>
    <xf numFmtId="10" fontId="9" fillId="6" borderId="21" xfId="0" applyNumberFormat="1" applyFont="1" applyFill="1" applyBorder="1" applyAlignment="1">
      <alignment horizontal="center" vertical="center" wrapText="1"/>
    </xf>
    <xf numFmtId="10" fontId="9" fillId="6" borderId="22" xfId="0" applyNumberFormat="1" applyFont="1" applyFill="1" applyBorder="1" applyAlignment="1">
      <alignment horizontal="center" vertical="center" wrapText="1"/>
    </xf>
    <xf numFmtId="10" fontId="9" fillId="6" borderId="23" xfId="0" applyNumberFormat="1" applyFont="1" applyFill="1" applyBorder="1" applyAlignment="1">
      <alignment horizontal="center" vertical="center" wrapText="1"/>
    </xf>
    <xf numFmtId="0" fontId="16" fillId="6" borderId="0" xfId="0" applyFont="1" applyFill="1" applyAlignment="1">
      <alignment horizontal="center" vertical="center" wrapText="1"/>
    </xf>
    <xf numFmtId="10" fontId="9" fillId="11" borderId="24" xfId="0" applyNumberFormat="1" applyFont="1" applyFill="1" applyBorder="1" applyAlignment="1">
      <alignment horizontal="left" vertical="center" indent="1"/>
    </xf>
    <xf numFmtId="10" fontId="17" fillId="11" borderId="24" xfId="0" applyNumberFormat="1" applyFont="1" applyFill="1" applyBorder="1"/>
    <xf numFmtId="166" fontId="17" fillId="11" borderId="24" xfId="0" applyNumberFormat="1" applyFont="1" applyFill="1" applyBorder="1"/>
    <xf numFmtId="167" fontId="7" fillId="11" borderId="24" xfId="0" applyNumberFormat="1" applyFont="1" applyFill="1" applyBorder="1" applyAlignment="1">
      <alignment horizontal="right" vertical="center"/>
    </xf>
    <xf numFmtId="0" fontId="17" fillId="11" borderId="24" xfId="0" applyFont="1" applyFill="1" applyBorder="1"/>
    <xf numFmtId="0" fontId="18" fillId="4" borderId="0" xfId="0" applyFont="1" applyFill="1" applyAlignment="1">
      <alignment horizontal="left" vertical="center" indent="1"/>
    </xf>
    <xf numFmtId="0" fontId="19" fillId="0" borderId="0" xfId="0" applyFont="1" applyAlignment="1">
      <alignment horizontal="center" vertical="center"/>
    </xf>
    <xf numFmtId="2" fontId="1" fillId="0" borderId="2" xfId="0" applyNumberFormat="1" applyFont="1" applyBorder="1" applyAlignment="1">
      <alignment vertical="center"/>
    </xf>
    <xf numFmtId="2" fontId="2" fillId="0" borderId="2" xfId="0" applyNumberFormat="1" applyFont="1" applyBorder="1" applyAlignment="1">
      <alignment vertical="center"/>
    </xf>
    <xf numFmtId="2" fontId="0" fillId="0" borderId="2" xfId="0" applyNumberFormat="1" applyBorder="1" applyAlignment="1">
      <alignment vertical="top"/>
    </xf>
    <xf numFmtId="4" fontId="0" fillId="0" borderId="0" xfId="0" applyNumberFormat="1"/>
    <xf numFmtId="4" fontId="0" fillId="0" borderId="0" xfId="0" applyNumberFormat="1" applyAlignment="1">
      <alignment horizontal="right"/>
    </xf>
    <xf numFmtId="0" fontId="22" fillId="12" borderId="0" xfId="0" applyFont="1" applyFill="1"/>
    <xf numFmtId="0" fontId="23" fillId="5" borderId="0" xfId="0" applyFont="1" applyFill="1" applyAlignment="1">
      <alignment horizontal="left" vertical="center"/>
    </xf>
    <xf numFmtId="0" fontId="23" fillId="13" borderId="0" xfId="0" applyFont="1" applyFill="1" applyAlignment="1">
      <alignment horizontal="left" vertical="center"/>
    </xf>
    <xf numFmtId="0" fontId="0" fillId="0" borderId="0" xfId="0" applyAlignment="1">
      <alignment vertical="center"/>
    </xf>
    <xf numFmtId="168" fontId="0" fillId="0" borderId="0" xfId="0" applyNumberFormat="1" applyAlignment="1">
      <alignment vertical="center"/>
    </xf>
    <xf numFmtId="168" fontId="0" fillId="14" borderId="28" xfId="0" applyNumberFormat="1" applyFill="1" applyBorder="1" applyAlignment="1">
      <alignment vertical="center"/>
    </xf>
    <xf numFmtId="9" fontId="0" fillId="0" borderId="0" xfId="0" applyNumberFormat="1"/>
    <xf numFmtId="168" fontId="0" fillId="14" borderId="29" xfId="0" applyNumberFormat="1" applyFill="1" applyBorder="1" applyAlignment="1">
      <alignment vertical="center"/>
    </xf>
    <xf numFmtId="168" fontId="0" fillId="0" borderId="0" xfId="0" applyNumberFormat="1"/>
    <xf numFmtId="10" fontId="0" fillId="0" borderId="0" xfId="0" applyNumberFormat="1" applyAlignment="1">
      <alignment horizontal="center"/>
    </xf>
    <xf numFmtId="168" fontId="0" fillId="14" borderId="30" xfId="0" applyNumberFormat="1" applyFill="1" applyBorder="1" applyAlignment="1">
      <alignment vertical="center"/>
    </xf>
    <xf numFmtId="2" fontId="0" fillId="0" borderId="0" xfId="0" applyNumberFormat="1"/>
    <xf numFmtId="0" fontId="25" fillId="0" borderId="0" xfId="0" applyFont="1"/>
    <xf numFmtId="0" fontId="19" fillId="0" borderId="31" xfId="0" applyFont="1" applyBorder="1" applyAlignment="1">
      <alignment vertical="center"/>
    </xf>
    <xf numFmtId="164" fontId="0" fillId="0" borderId="0" xfId="0" applyNumberFormat="1" applyAlignment="1">
      <alignment vertical="center"/>
    </xf>
    <xf numFmtId="164" fontId="19" fillId="0" borderId="32" xfId="0" applyNumberFormat="1" applyFont="1" applyBorder="1" applyAlignment="1">
      <alignment vertical="center"/>
    </xf>
    <xf numFmtId="164" fontId="19" fillId="0" borderId="31" xfId="0" applyNumberFormat="1" applyFont="1" applyBorder="1" applyAlignment="1">
      <alignment vertical="center"/>
    </xf>
    <xf numFmtId="0" fontId="0" fillId="16" borderId="33" xfId="0" applyFill="1" applyBorder="1"/>
    <xf numFmtId="0" fontId="0" fillId="0" borderId="33" xfId="0" applyBorder="1"/>
    <xf numFmtId="0" fontId="0" fillId="16" borderId="34" xfId="0" applyFill="1" applyBorder="1"/>
    <xf numFmtId="0" fontId="0" fillId="0" borderId="34" xfId="0" applyBorder="1"/>
    <xf numFmtId="164" fontId="28" fillId="0" borderId="0" xfId="0" applyNumberFormat="1" applyFont="1"/>
    <xf numFmtId="10" fontId="19" fillId="0" borderId="39" xfId="0" applyNumberFormat="1" applyFont="1" applyBorder="1"/>
    <xf numFmtId="164" fontId="19" fillId="22" borderId="0" xfId="0" applyNumberFormat="1" applyFont="1" applyFill="1"/>
    <xf numFmtId="164" fontId="30" fillId="0" borderId="0" xfId="0" applyNumberFormat="1" applyFont="1" applyAlignment="1">
      <alignment wrapText="1"/>
    </xf>
    <xf numFmtId="164" fontId="30" fillId="0" borderId="35" xfId="0" applyNumberFormat="1" applyFont="1" applyBorder="1" applyAlignment="1">
      <alignment wrapText="1"/>
    </xf>
    <xf numFmtId="164" fontId="30" fillId="0" borderId="13" xfId="0" applyNumberFormat="1" applyFont="1" applyBorder="1" applyAlignment="1">
      <alignment wrapText="1"/>
    </xf>
    <xf numFmtId="164" fontId="0" fillId="0" borderId="13" xfId="0" applyNumberFormat="1" applyBorder="1" applyAlignment="1">
      <alignment wrapText="1"/>
    </xf>
    <xf numFmtId="164" fontId="19" fillId="22" borderId="0" xfId="0" applyNumberFormat="1" applyFont="1" applyFill="1" applyAlignment="1">
      <alignment wrapText="1"/>
    </xf>
    <xf numFmtId="164" fontId="30" fillId="14" borderId="0" xfId="0" applyNumberFormat="1" applyFont="1" applyFill="1" applyAlignment="1">
      <alignment wrapText="1"/>
    </xf>
    <xf numFmtId="164" fontId="19" fillId="22" borderId="13" xfId="0" applyNumberFormat="1" applyFont="1" applyFill="1" applyBorder="1" applyAlignment="1">
      <alignment wrapText="1"/>
    </xf>
    <xf numFmtId="164" fontId="30" fillId="0" borderId="12" xfId="0" applyNumberFormat="1" applyFont="1" applyBorder="1" applyAlignment="1">
      <alignment wrapText="1"/>
    </xf>
    <xf numFmtId="164" fontId="30" fillId="14" borderId="13" xfId="0" applyNumberFormat="1" applyFont="1" applyFill="1" applyBorder="1" applyAlignment="1">
      <alignment wrapText="1"/>
    </xf>
    <xf numFmtId="164" fontId="11" fillId="17" borderId="0" xfId="0" applyNumberFormat="1" applyFont="1" applyFill="1"/>
    <xf numFmtId="164" fontId="26" fillId="18" borderId="0" xfId="0" applyNumberFormat="1" applyFont="1" applyFill="1"/>
    <xf numFmtId="164" fontId="0" fillId="18" borderId="0" xfId="0" applyNumberFormat="1" applyFill="1"/>
    <xf numFmtId="164" fontId="27" fillId="0" borderId="0" xfId="0" applyNumberFormat="1" applyFont="1"/>
    <xf numFmtId="164" fontId="27" fillId="19" borderId="0" xfId="0" applyNumberFormat="1" applyFont="1" applyFill="1"/>
    <xf numFmtId="164" fontId="27" fillId="19" borderId="0" xfId="0" applyNumberFormat="1" applyFont="1" applyFill="1" applyAlignment="1">
      <alignment wrapText="1"/>
    </xf>
    <xf numFmtId="164" fontId="0" fillId="0" borderId="29" xfId="0" applyNumberFormat="1" applyBorder="1"/>
    <xf numFmtId="164" fontId="27" fillId="19" borderId="35" xfId="0" applyNumberFormat="1" applyFont="1" applyFill="1" applyBorder="1"/>
    <xf numFmtId="164" fontId="27" fillId="19" borderId="36" xfId="0" applyNumberFormat="1" applyFont="1" applyFill="1" applyBorder="1"/>
    <xf numFmtId="164" fontId="27" fillId="19" borderId="12" xfId="0" applyNumberFormat="1" applyFont="1" applyFill="1" applyBorder="1"/>
    <xf numFmtId="164" fontId="29" fillId="21" borderId="37" xfId="1" applyNumberFormat="1" applyFill="1" applyBorder="1" applyAlignment="1">
      <alignment horizontal="left" vertical="center"/>
    </xf>
    <xf numFmtId="164" fontId="0" fillId="0" borderId="28" xfId="0" applyNumberFormat="1" applyBorder="1"/>
    <xf numFmtId="164" fontId="30" fillId="0" borderId="25" xfId="0" applyNumberFormat="1" applyFont="1" applyBorder="1"/>
    <xf numFmtId="164" fontId="29" fillId="0" borderId="0" xfId="1" applyNumberFormat="1"/>
    <xf numFmtId="164" fontId="30" fillId="20" borderId="0" xfId="0" applyNumberFormat="1" applyFont="1" applyFill="1" applyAlignment="1">
      <alignment horizontal="right" vertical="center" wrapText="1"/>
    </xf>
    <xf numFmtId="164" fontId="30" fillId="21" borderId="0" xfId="0" applyNumberFormat="1" applyFont="1" applyFill="1" applyAlignment="1">
      <alignment horizontal="right" vertical="center" wrapText="1"/>
    </xf>
    <xf numFmtId="164" fontId="29" fillId="14" borderId="37" xfId="1" applyNumberFormat="1" applyFill="1" applyBorder="1" applyAlignment="1">
      <alignment horizontal="left" vertical="center"/>
    </xf>
    <xf numFmtId="164" fontId="31" fillId="14" borderId="0" xfId="0" applyNumberFormat="1" applyFont="1" applyFill="1" applyAlignment="1">
      <alignment wrapText="1"/>
    </xf>
    <xf numFmtId="164" fontId="19" fillId="22" borderId="29" xfId="0" applyNumberFormat="1" applyFont="1" applyFill="1" applyBorder="1"/>
    <xf numFmtId="164" fontId="19" fillId="22" borderId="25" xfId="0" applyNumberFormat="1" applyFont="1" applyFill="1" applyBorder="1"/>
    <xf numFmtId="164" fontId="0" fillId="8" borderId="0" xfId="0" applyNumberFormat="1" applyFill="1" applyAlignment="1">
      <alignment horizontal="left" vertical="center"/>
    </xf>
    <xf numFmtId="164" fontId="26" fillId="18" borderId="0" xfId="0" applyNumberFormat="1" applyFont="1" applyFill="1" applyAlignment="1">
      <alignment horizontal="center"/>
    </xf>
    <xf numFmtId="164" fontId="27" fillId="0" borderId="38" xfId="0" applyNumberFormat="1" applyFont="1" applyBorder="1"/>
    <xf numFmtId="164" fontId="0" fillId="0" borderId="38" xfId="0" applyNumberFormat="1" applyBorder="1"/>
    <xf numFmtId="164" fontId="27" fillId="8" borderId="0" xfId="0" applyNumberFormat="1" applyFont="1" applyFill="1" applyAlignment="1">
      <alignment horizontal="center"/>
    </xf>
    <xf numFmtId="164" fontId="27" fillId="0" borderId="0" xfId="0" applyNumberFormat="1" applyFont="1" applyAlignment="1">
      <alignment horizontal="center"/>
    </xf>
    <xf numFmtId="164" fontId="0" fillId="0" borderId="28" xfId="0" applyNumberFormat="1" applyBorder="1" applyAlignment="1">
      <alignment wrapText="1"/>
    </xf>
    <xf numFmtId="164" fontId="0" fillId="0" borderId="29" xfId="0" applyNumberFormat="1" applyBorder="1" applyAlignment="1">
      <alignment wrapText="1"/>
    </xf>
    <xf numFmtId="0" fontId="34" fillId="20" borderId="42" xfId="0" applyFont="1" applyFill="1" applyBorder="1" applyAlignment="1">
      <alignment horizontal="left" vertical="center" wrapText="1"/>
    </xf>
    <xf numFmtId="0" fontId="33" fillId="20" borderId="42" xfId="0" applyFont="1" applyFill="1" applyBorder="1" applyAlignment="1">
      <alignment horizontal="left" vertical="center" wrapText="1"/>
    </xf>
    <xf numFmtId="0" fontId="33" fillId="20" borderId="42" xfId="0" applyFont="1" applyFill="1" applyBorder="1" applyAlignment="1">
      <alignment horizontal="right" vertical="center" wrapText="1"/>
    </xf>
    <xf numFmtId="0" fontId="34" fillId="20" borderId="41" xfId="0" applyFont="1" applyFill="1" applyBorder="1" applyAlignment="1">
      <alignment horizontal="left" vertical="center" wrapText="1"/>
    </xf>
    <xf numFmtId="0" fontId="33" fillId="20" borderId="41" xfId="0" applyFont="1" applyFill="1" applyBorder="1" applyAlignment="1">
      <alignment horizontal="right" vertical="center" wrapText="1"/>
    </xf>
    <xf numFmtId="0" fontId="33" fillId="20" borderId="41" xfId="0" applyFont="1" applyFill="1" applyBorder="1" applyAlignment="1">
      <alignment horizontal="left" vertical="center" wrapText="1"/>
    </xf>
    <xf numFmtId="3" fontId="33" fillId="20" borderId="41" xfId="0" applyNumberFormat="1" applyFont="1" applyFill="1" applyBorder="1" applyAlignment="1">
      <alignment horizontal="right" vertical="center" wrapText="1"/>
    </xf>
    <xf numFmtId="0" fontId="23" fillId="5" borderId="0" xfId="0" applyFont="1" applyFill="1"/>
    <xf numFmtId="164" fontId="26" fillId="18" borderId="0" xfId="0" applyNumberFormat="1" applyFont="1" applyFill="1" applyAlignment="1">
      <alignment horizontal="left"/>
    </xf>
    <xf numFmtId="164" fontId="0" fillId="0" borderId="0" xfId="0" applyNumberFormat="1"/>
    <xf numFmtId="164" fontId="27" fillId="19" borderId="12" xfId="0" applyNumberFormat="1" applyFont="1" applyFill="1" applyBorder="1" applyAlignment="1">
      <alignment horizontal="center"/>
    </xf>
    <xf numFmtId="164" fontId="0" fillId="0" borderId="13" xfId="0" applyNumberFormat="1" applyBorder="1"/>
    <xf numFmtId="164" fontId="27" fillId="19" borderId="18" xfId="0" applyNumberFormat="1" applyFont="1" applyFill="1" applyBorder="1" applyAlignment="1">
      <alignment horizontal="center"/>
    </xf>
    <xf numFmtId="164" fontId="0" fillId="0" borderId="26" xfId="0" applyNumberFormat="1" applyBorder="1"/>
    <xf numFmtId="164" fontId="27" fillId="19" borderId="28" xfId="0" applyNumberFormat="1" applyFont="1" applyFill="1" applyBorder="1" applyAlignment="1">
      <alignment horizontal="center"/>
    </xf>
    <xf numFmtId="164" fontId="0" fillId="0" borderId="29" xfId="0" applyNumberFormat="1" applyBorder="1"/>
    <xf numFmtId="164" fontId="27" fillId="19" borderId="26" xfId="0" applyNumberFormat="1" applyFont="1" applyFill="1" applyBorder="1" applyAlignment="1">
      <alignment horizontal="center"/>
    </xf>
    <xf numFmtId="164" fontId="27" fillId="19" borderId="3" xfId="0" applyNumberFormat="1" applyFont="1" applyFill="1" applyBorder="1" applyAlignment="1">
      <alignment horizontal="center"/>
    </xf>
    <xf numFmtId="164" fontId="0" fillId="0" borderId="30" xfId="0" applyNumberFormat="1" applyBorder="1"/>
    <xf numFmtId="164" fontId="0" fillId="0" borderId="27" xfId="0" applyNumberFormat="1" applyBorder="1"/>
    <xf numFmtId="0" fontId="19" fillId="0" borderId="0" xfId="0" applyFont="1" applyAlignment="1">
      <alignment horizontal="center"/>
    </xf>
    <xf numFmtId="0" fontId="0" fillId="0" borderId="0" xfId="0" applyAlignment="1">
      <alignment horizontal="center" wrapText="1"/>
    </xf>
    <xf numFmtId="0" fontId="32" fillId="23" borderId="41" xfId="0" applyFont="1" applyFill="1" applyBorder="1" applyAlignment="1">
      <alignment horizontal="center" vertical="center" wrapText="1"/>
    </xf>
    <xf numFmtId="0" fontId="32" fillId="23" borderId="40" xfId="0" applyFont="1" applyFill="1" applyBorder="1" applyAlignment="1">
      <alignment horizontal="center" vertical="center" wrapText="1"/>
    </xf>
    <xf numFmtId="0" fontId="0" fillId="0" borderId="0" xfId="0" applyAlignment="1">
      <alignment horizontal="center"/>
    </xf>
    <xf numFmtId="0" fontId="0" fillId="0" borderId="44" xfId="0" applyBorder="1" applyAlignment="1">
      <alignment horizontal="center"/>
    </xf>
    <xf numFmtId="0" fontId="32" fillId="23" borderId="43" xfId="0" applyFont="1" applyFill="1" applyBorder="1" applyAlignment="1">
      <alignment horizontal="center" vertical="center" wrapText="1"/>
    </xf>
    <xf numFmtId="0" fontId="20" fillId="5" borderId="3" xfId="0" applyFont="1" applyFill="1" applyBorder="1" applyAlignment="1">
      <alignment horizontal="center"/>
    </xf>
    <xf numFmtId="0" fontId="0" fillId="0" borderId="26" xfId="0" applyBorder="1"/>
    <xf numFmtId="0" fontId="0" fillId="0" borderId="27" xfId="0" applyBorder="1"/>
    <xf numFmtId="0" fontId="20" fillId="5" borderId="25" xfId="0" applyFont="1" applyFill="1" applyBorder="1" applyAlignment="1">
      <alignment horizontal="center"/>
    </xf>
    <xf numFmtId="0" fontId="0" fillId="0" borderId="0" xfId="0"/>
    <xf numFmtId="0" fontId="0" fillId="0" borderId="25" xfId="0" applyBorder="1"/>
    <xf numFmtId="0" fontId="19" fillId="0" borderId="39" xfId="0" applyFont="1" applyBorder="1" applyAlignment="1">
      <alignment horizontal="center"/>
    </xf>
    <xf numFmtId="0" fontId="24" fillId="15" borderId="33" xfId="0" applyFont="1" applyFill="1" applyBorder="1" applyAlignment="1">
      <alignment horizontal="center"/>
    </xf>
    <xf numFmtId="0" fontId="24" fillId="15" borderId="34" xfId="0" applyFont="1" applyFill="1" applyBorder="1" applyAlignment="1">
      <alignment horizontal="center"/>
    </xf>
    <xf numFmtId="0" fontId="0" fillId="0" borderId="5" xfId="0" applyBorder="1" applyAlignment="1">
      <alignment horizontal="center"/>
    </xf>
    <xf numFmtId="0" fontId="0" fillId="0" borderId="5" xfId="0" applyBorder="1"/>
    <xf numFmtId="0" fontId="9" fillId="6" borderId="8" xfId="0" applyFont="1" applyFill="1" applyBorder="1" applyAlignment="1">
      <alignment horizontal="center"/>
    </xf>
    <xf numFmtId="0" fontId="0" fillId="0" borderId="9" xfId="0" applyBorder="1"/>
    <xf numFmtId="0" fontId="21" fillId="6" borderId="8" xfId="0" applyFont="1" applyFill="1" applyBorder="1" applyAlignment="1">
      <alignment horizontal="center"/>
    </xf>
    <xf numFmtId="0" fontId="9" fillId="6" borderId="15" xfId="0" applyFont="1" applyFill="1" applyBorder="1" applyAlignment="1">
      <alignment horizontal="center"/>
    </xf>
    <xf numFmtId="0" fontId="0" fillId="0" borderId="16" xfId="0" applyBorder="1"/>
    <xf numFmtId="0" fontId="9" fillId="6" borderId="15" xfId="0" applyFont="1" applyFill="1" applyBorder="1" applyAlignment="1">
      <alignment horizontal="center" vertical="center" wrapText="1"/>
    </xf>
    <xf numFmtId="0" fontId="0" fillId="0" borderId="20" xfId="0" applyBorder="1"/>
    <xf numFmtId="10" fontId="0" fillId="0" borderId="0" xfId="0" applyNumberFormat="1" applyAlignment="1">
      <alignment vertical="center"/>
    </xf>
  </cellXfs>
  <cellStyles count="2">
    <cellStyle name="Hyperlink" xfId="1" builtinId="8"/>
    <cellStyle name="Normal" xfId="0" builtinId="0"/>
  </cellStyles>
  <dxfs count="2">
    <dxf>
      <font>
        <color theme="6" tint="0.39994506668294322"/>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lang="en-IN"/>
          </a:p>
        </c:rich>
      </c:tx>
      <c:overlay val="0"/>
      <c:spPr>
        <a:noFill/>
        <a:ln>
          <a:noFill/>
          <a:prstDash val="solid"/>
        </a:ln>
      </c:spPr>
    </c:title>
    <c:autoTitleDeleted val="0"/>
    <c:plotArea>
      <c:layout/>
      <c:pieChart>
        <c:varyColors val="1"/>
        <c:ser>
          <c:idx val="0"/>
          <c:order val="0"/>
          <c:spPr>
            <a:ln>
              <a:prstDash val="solid"/>
            </a:ln>
          </c:spPr>
          <c:dPt>
            <c:idx val="0"/>
            <c:bubble3D val="0"/>
            <c:spPr>
              <a:solidFill>
                <a:schemeClr val="accent1">
                  <a:tint val="77000"/>
                </a:schemeClr>
              </a:solidFill>
              <a:ln w="19050">
                <a:solidFill>
                  <a:schemeClr val="lt1"/>
                </a:solidFill>
                <a:prstDash val="solid"/>
              </a:ln>
            </c:spPr>
            <c:extLst>
              <c:ext xmlns:c16="http://schemas.microsoft.com/office/drawing/2014/chart" uri="{C3380CC4-5D6E-409C-BE32-E72D297353CC}">
                <c16:uniqueId val="{00000001-1264-4C98-825A-5CE19F0BFC02}"/>
              </c:ext>
            </c:extLst>
          </c:dPt>
          <c:dPt>
            <c:idx val="1"/>
            <c:bubble3D val="0"/>
            <c:spPr>
              <a:solidFill>
                <a:schemeClr val="accent1">
                  <a:shade val="76000"/>
                </a:schemeClr>
              </a:solidFill>
              <a:ln w="19050">
                <a:solidFill>
                  <a:schemeClr val="lt1"/>
                </a:solidFill>
                <a:prstDash val="solid"/>
              </a:ln>
            </c:spPr>
            <c:extLst>
              <c:ext xmlns:c16="http://schemas.microsoft.com/office/drawing/2014/chart" uri="{C3380CC4-5D6E-409C-BE32-E72D297353CC}">
                <c16:uniqueId val="{00000003-1264-4C98-825A-5CE19F0BFC02}"/>
              </c:ext>
            </c:extLst>
          </c:dPt>
          <c:cat>
            <c:strRef>
              <c:f>WACC!$B$8:$B$9</c:f>
              <c:strCache>
                <c:ptCount val="2"/>
                <c:pt idx="0">
                  <c:v>% of Debt</c:v>
                </c:pt>
                <c:pt idx="1">
                  <c:v>% of Equity</c:v>
                </c:pt>
              </c:strCache>
            </c:strRef>
          </c:cat>
          <c:val>
            <c:numRef>
              <c:f>WACC!$C$8:$C$9</c:f>
              <c:numCache>
                <c:formatCode>0.0%;\(0.0%\);\-</c:formatCode>
                <c:ptCount val="2"/>
                <c:pt idx="0">
                  <c:v>0.38266434841127039</c:v>
                </c:pt>
                <c:pt idx="1">
                  <c:v>0.61733565158872961</c:v>
                </c:pt>
              </c:numCache>
            </c:numRef>
          </c:val>
          <c:extLst>
            <c:ext xmlns:c16="http://schemas.microsoft.com/office/drawing/2014/chart" uri="{C3380CC4-5D6E-409C-BE32-E72D297353CC}">
              <c16:uniqueId val="{00000004-1264-4C98-825A-5CE19F0BFC02}"/>
            </c:ext>
          </c:extLst>
        </c:ser>
        <c:dLbls>
          <c:showLegendKey val="0"/>
          <c:showVal val="0"/>
          <c:showCatName val="0"/>
          <c:showSerName val="0"/>
          <c:showPercent val="0"/>
          <c:showBubbleSize val="0"/>
          <c:showLeaderLines val="1"/>
        </c:dLbls>
        <c:firstSliceAng val="0"/>
      </c:pieChart>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359363</xdr:colOff>
      <xdr:row>0</xdr:row>
      <xdr:rowOff>26058</xdr:rowOff>
    </xdr:from>
    <xdr:to>
      <xdr:col>18</xdr:col>
      <xdr:colOff>382223</xdr:colOff>
      <xdr:row>15</xdr:row>
      <xdr:rowOff>84667</xdr:rowOff>
    </xdr:to>
    <xdr:sp macro="" textlink="">
      <xdr:nvSpPr>
        <xdr:cNvPr id="2" name="Rectangle: Rounded Corners 1">
          <a:extLst>
            <a:ext uri="{FF2B5EF4-FFF2-40B4-BE49-F238E27FC236}">
              <a16:creationId xmlns:a16="http://schemas.microsoft.com/office/drawing/2014/main" id="{D7CCFCFB-5E71-A6FC-03AA-1909C94A724D}"/>
            </a:ext>
          </a:extLst>
        </xdr:cNvPr>
        <xdr:cNvSpPr/>
      </xdr:nvSpPr>
      <xdr:spPr>
        <a:xfrm>
          <a:off x="5251215" y="26058"/>
          <a:ext cx="6137675" cy="2739720"/>
        </a:xfrm>
        <a:prstGeom prst="round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320040</xdr:colOff>
      <xdr:row>0</xdr:row>
      <xdr:rowOff>194310</xdr:rowOff>
    </xdr:from>
    <xdr:to>
      <xdr:col>11</xdr:col>
      <xdr:colOff>129540</xdr:colOff>
      <xdr:row>12</xdr:row>
      <xdr:rowOff>7620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screener.in/company/AXISBANK/consolidated/" TargetMode="External"/><Relationship Id="rId2" Type="http://schemas.openxmlformats.org/officeDocument/2006/relationships/hyperlink" Target="https://www.screener.in/company/ICICIBANK/consolidated/" TargetMode="External"/><Relationship Id="rId1" Type="http://schemas.openxmlformats.org/officeDocument/2006/relationships/hyperlink" Target="https://www.screener.in/company/HDFCBANK/consolidated/" TargetMode="External"/><Relationship Id="rId5" Type="http://schemas.openxmlformats.org/officeDocument/2006/relationships/hyperlink" Target="https://www.screener.in/company/IDBI/consolidated/" TargetMode="External"/><Relationship Id="rId4" Type="http://schemas.openxmlformats.org/officeDocument/2006/relationships/hyperlink" Target="https://www.screener.in/company/KOTAKBANK/consolidate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CA15A-6E9A-4C65-957B-C8664AE06C3A}">
  <dimension ref="H19:S29"/>
  <sheetViews>
    <sheetView showGridLines="0" zoomScale="81" workbookViewId="0">
      <selection activeCell="D103" sqref="D103"/>
    </sheetView>
  </sheetViews>
  <sheetFormatPr defaultRowHeight="14.4"/>
  <sheetData>
    <row r="19" spans="8:19">
      <c r="J19" s="144" t="s">
        <v>223</v>
      </c>
      <c r="K19" s="144"/>
      <c r="L19" s="144"/>
      <c r="M19" s="144"/>
      <c r="N19" s="144"/>
      <c r="O19" s="144"/>
      <c r="P19" s="144"/>
      <c r="Q19" s="144"/>
    </row>
    <row r="21" spans="8:19">
      <c r="H21" s="145" t="s">
        <v>224</v>
      </c>
      <c r="I21" s="145"/>
      <c r="J21" s="145"/>
      <c r="K21" s="145"/>
      <c r="L21" s="145"/>
      <c r="M21" s="145"/>
      <c r="N21" s="145"/>
      <c r="O21" s="145"/>
      <c r="P21" s="145"/>
      <c r="Q21" s="145"/>
      <c r="R21" s="145"/>
      <c r="S21" s="145"/>
    </row>
    <row r="22" spans="8:19">
      <c r="H22" s="145"/>
      <c r="I22" s="145"/>
      <c r="J22" s="145"/>
      <c r="K22" s="145"/>
      <c r="L22" s="145"/>
      <c r="M22" s="145"/>
      <c r="N22" s="145"/>
      <c r="O22" s="145"/>
      <c r="P22" s="145"/>
      <c r="Q22" s="145"/>
      <c r="R22" s="145"/>
      <c r="S22" s="145"/>
    </row>
    <row r="23" spans="8:19">
      <c r="H23" s="145"/>
      <c r="I23" s="145"/>
      <c r="J23" s="145"/>
      <c r="K23" s="145"/>
      <c r="L23" s="145"/>
      <c r="M23" s="145"/>
      <c r="N23" s="145"/>
      <c r="O23" s="145"/>
      <c r="P23" s="145"/>
      <c r="Q23" s="145"/>
      <c r="R23" s="145"/>
      <c r="S23" s="145"/>
    </row>
    <row r="24" spans="8:19">
      <c r="H24" s="145"/>
      <c r="I24" s="145"/>
      <c r="J24" s="145"/>
      <c r="K24" s="145"/>
      <c r="L24" s="145"/>
      <c r="M24" s="145"/>
      <c r="N24" s="145"/>
      <c r="O24" s="145"/>
      <c r="P24" s="145"/>
      <c r="Q24" s="145"/>
      <c r="R24" s="145"/>
      <c r="S24" s="145"/>
    </row>
    <row r="25" spans="8:19">
      <c r="H25" s="145"/>
      <c r="I25" s="145"/>
      <c r="J25" s="145"/>
      <c r="K25" s="145"/>
      <c r="L25" s="145"/>
      <c r="M25" s="145"/>
      <c r="N25" s="145"/>
      <c r="O25" s="145"/>
      <c r="P25" s="145"/>
      <c r="Q25" s="145"/>
      <c r="R25" s="145"/>
      <c r="S25" s="145"/>
    </row>
    <row r="26" spans="8:19">
      <c r="H26" s="145"/>
      <c r="I26" s="145"/>
      <c r="J26" s="145"/>
      <c r="K26" s="145"/>
      <c r="L26" s="145"/>
      <c r="M26" s="145"/>
      <c r="N26" s="145"/>
      <c r="O26" s="145"/>
      <c r="P26" s="145"/>
      <c r="Q26" s="145"/>
      <c r="R26" s="145"/>
      <c r="S26" s="145"/>
    </row>
    <row r="27" spans="8:19">
      <c r="H27" s="145"/>
      <c r="I27" s="145"/>
      <c r="J27" s="145"/>
      <c r="K27" s="145"/>
      <c r="L27" s="145"/>
      <c r="M27" s="145"/>
      <c r="N27" s="145"/>
      <c r="O27" s="145"/>
      <c r="P27" s="145"/>
      <c r="Q27" s="145"/>
      <c r="R27" s="145"/>
      <c r="S27" s="145"/>
    </row>
    <row r="28" spans="8:19">
      <c r="H28" s="145"/>
      <c r="I28" s="145"/>
      <c r="J28" s="145"/>
      <c r="K28" s="145"/>
      <c r="L28" s="145"/>
      <c r="M28" s="145"/>
      <c r="N28" s="145"/>
      <c r="O28" s="145"/>
      <c r="P28" s="145"/>
      <c r="Q28" s="145"/>
      <c r="R28" s="145"/>
      <c r="S28" s="145"/>
    </row>
    <row r="29" spans="8:19">
      <c r="H29" s="145"/>
      <c r="I29" s="145"/>
      <c r="J29" s="145"/>
      <c r="K29" s="145"/>
      <c r="L29" s="145"/>
      <c r="M29" s="145"/>
      <c r="N29" s="145"/>
      <c r="O29" s="145"/>
      <c r="P29" s="145"/>
      <c r="Q29" s="145"/>
      <c r="R29" s="145"/>
      <c r="S29" s="145"/>
    </row>
  </sheetData>
  <mergeCells count="2">
    <mergeCell ref="J19:Q19"/>
    <mergeCell ref="H21:S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04B8A-AD77-4204-99FA-C0F5550FA1A2}">
  <dimension ref="B2:F100"/>
  <sheetViews>
    <sheetView showGridLines="0" workbookViewId="0">
      <selection activeCell="D103" sqref="D103"/>
    </sheetView>
  </sheetViews>
  <sheetFormatPr defaultRowHeight="14.4" outlineLevelRow="1"/>
  <sheetData>
    <row r="2" spans="2:6" ht="15" thickBot="1">
      <c r="B2" s="148" t="s">
        <v>287</v>
      </c>
      <c r="C2" s="148"/>
      <c r="D2" s="148"/>
      <c r="E2" s="148"/>
    </row>
    <row r="3" spans="2:6" ht="133.80000000000001" hidden="1" customHeight="1" outlineLevel="1" thickBot="1">
      <c r="B3" s="146" t="s">
        <v>225</v>
      </c>
      <c r="C3" s="146" t="s">
        <v>226</v>
      </c>
      <c r="D3" s="146" t="s">
        <v>227</v>
      </c>
      <c r="E3" s="146" t="s">
        <v>228</v>
      </c>
      <c r="F3" s="146" t="s">
        <v>229</v>
      </c>
    </row>
    <row r="4" spans="2:6" ht="15" hidden="1" outlineLevel="1" thickBot="1">
      <c r="B4" s="146"/>
      <c r="C4" s="146"/>
      <c r="D4" s="146"/>
      <c r="E4" s="146"/>
      <c r="F4" s="146"/>
    </row>
    <row r="5" spans="2:6" ht="15" hidden="1" outlineLevel="1" thickBot="1">
      <c r="B5" s="150"/>
      <c r="C5" s="150"/>
      <c r="D5" s="150"/>
      <c r="E5" s="150"/>
      <c r="F5" s="150"/>
    </row>
    <row r="6" spans="2:6" ht="15.6" hidden="1" outlineLevel="1" thickTop="1" thickBot="1">
      <c r="B6" s="124" t="s">
        <v>230</v>
      </c>
      <c r="C6" s="125"/>
      <c r="D6" s="126" t="s">
        <v>231</v>
      </c>
      <c r="E6" s="126" t="s">
        <v>231</v>
      </c>
      <c r="F6" s="126" t="s">
        <v>231</v>
      </c>
    </row>
    <row r="7" spans="2:6" ht="42" hidden="1" outlineLevel="1" thickTop="1" thickBot="1">
      <c r="B7" s="124" t="s">
        <v>232</v>
      </c>
      <c r="C7" s="125"/>
      <c r="D7" s="126">
        <v>6</v>
      </c>
      <c r="E7" s="126" t="s">
        <v>233</v>
      </c>
      <c r="F7" s="126" t="s">
        <v>233</v>
      </c>
    </row>
    <row r="8" spans="2:6" ht="31.8" hidden="1" outlineLevel="1" thickTop="1" thickBot="1">
      <c r="B8" s="125" t="s">
        <v>234</v>
      </c>
      <c r="C8" s="125" t="s">
        <v>235</v>
      </c>
      <c r="D8" s="126">
        <v>1</v>
      </c>
      <c r="E8" s="126" t="s">
        <v>236</v>
      </c>
      <c r="F8" s="126" t="s">
        <v>236</v>
      </c>
    </row>
    <row r="9" spans="2:6" ht="21.6" hidden="1" outlineLevel="1" thickTop="1" thickBot="1">
      <c r="B9" s="125" t="s">
        <v>237</v>
      </c>
      <c r="C9" s="125" t="s">
        <v>238</v>
      </c>
      <c r="D9" s="126">
        <v>1</v>
      </c>
      <c r="E9" s="126" t="s">
        <v>239</v>
      </c>
      <c r="F9" s="126" t="s">
        <v>239</v>
      </c>
    </row>
    <row r="10" spans="2:6" ht="31.8" hidden="1" outlineLevel="1" thickTop="1" thickBot="1">
      <c r="B10" s="125" t="s">
        <v>240</v>
      </c>
      <c r="C10" s="125" t="s">
        <v>238</v>
      </c>
      <c r="D10" s="126">
        <v>1</v>
      </c>
      <c r="E10" s="126" t="s">
        <v>241</v>
      </c>
      <c r="F10" s="126" t="s">
        <v>241</v>
      </c>
    </row>
    <row r="11" spans="2:6" ht="21.6" hidden="1" outlineLevel="1" thickTop="1" thickBot="1">
      <c r="B11" s="125" t="s">
        <v>242</v>
      </c>
      <c r="C11" s="125" t="s">
        <v>238</v>
      </c>
      <c r="D11" s="126">
        <v>1</v>
      </c>
      <c r="E11" s="126" t="s">
        <v>243</v>
      </c>
      <c r="F11" s="126" t="s">
        <v>243</v>
      </c>
    </row>
    <row r="12" spans="2:6" ht="31.8" hidden="1" outlineLevel="1" thickTop="1" thickBot="1">
      <c r="B12" s="125" t="s">
        <v>244</v>
      </c>
      <c r="C12" s="125" t="s">
        <v>238</v>
      </c>
      <c r="D12" s="126">
        <v>1</v>
      </c>
      <c r="E12" s="126" t="s">
        <v>245</v>
      </c>
      <c r="F12" s="126" t="s">
        <v>245</v>
      </c>
    </row>
    <row r="13" spans="2:6" ht="31.8" hidden="1" outlineLevel="1" thickTop="1" thickBot="1">
      <c r="B13" s="125" t="s">
        <v>246</v>
      </c>
      <c r="C13" s="125" t="s">
        <v>238</v>
      </c>
      <c r="D13" s="126">
        <v>1</v>
      </c>
      <c r="E13" s="126">
        <v>5</v>
      </c>
      <c r="F13" s="126">
        <v>5</v>
      </c>
    </row>
    <row r="14" spans="2:6" ht="21.6" hidden="1" outlineLevel="1" thickTop="1" thickBot="1">
      <c r="B14" s="125" t="s">
        <v>247</v>
      </c>
      <c r="C14" s="125" t="s">
        <v>238</v>
      </c>
      <c r="D14" s="126" t="s">
        <v>231</v>
      </c>
      <c r="E14" s="126" t="s">
        <v>231</v>
      </c>
      <c r="F14" s="126" t="s">
        <v>231</v>
      </c>
    </row>
    <row r="15" spans="2:6" ht="21.6" hidden="1" outlineLevel="1" thickTop="1" thickBot="1">
      <c r="B15" s="125" t="s">
        <v>248</v>
      </c>
      <c r="C15" s="125" t="s">
        <v>238</v>
      </c>
      <c r="D15" s="126" t="s">
        <v>231</v>
      </c>
      <c r="E15" s="126" t="s">
        <v>231</v>
      </c>
      <c r="F15" s="126" t="s">
        <v>231</v>
      </c>
    </row>
    <row r="16" spans="2:6" ht="21.6" hidden="1" outlineLevel="1" thickTop="1" thickBot="1">
      <c r="B16" s="124" t="s">
        <v>249</v>
      </c>
      <c r="C16" s="125"/>
      <c r="D16" s="126">
        <v>2</v>
      </c>
      <c r="E16" s="126" t="s">
        <v>250</v>
      </c>
      <c r="F16" s="126" t="s">
        <v>250</v>
      </c>
    </row>
    <row r="17" spans="2:6" ht="52.2" hidden="1" outlineLevel="1" thickTop="1" thickBot="1">
      <c r="B17" s="125" t="s">
        <v>251</v>
      </c>
      <c r="C17" s="125" t="s">
        <v>238</v>
      </c>
      <c r="D17" s="126">
        <v>1</v>
      </c>
      <c r="E17" s="126" t="s">
        <v>252</v>
      </c>
      <c r="F17" s="126" t="s">
        <v>252</v>
      </c>
    </row>
    <row r="18" spans="2:6" ht="52.2" hidden="1" outlineLevel="1" thickTop="1" thickBot="1">
      <c r="B18" s="125" t="s">
        <v>251</v>
      </c>
      <c r="C18" s="125" t="s">
        <v>238</v>
      </c>
      <c r="D18" s="126">
        <v>1</v>
      </c>
      <c r="E18" s="126" t="s">
        <v>253</v>
      </c>
      <c r="F18" s="126" t="s">
        <v>253</v>
      </c>
    </row>
    <row r="19" spans="2:6" ht="42" hidden="1" outlineLevel="1" thickTop="1" thickBot="1">
      <c r="B19" s="125" t="s">
        <v>254</v>
      </c>
      <c r="C19" s="125" t="s">
        <v>238</v>
      </c>
      <c r="D19" s="126" t="s">
        <v>231</v>
      </c>
      <c r="E19" s="126" t="s">
        <v>231</v>
      </c>
      <c r="F19" s="126" t="s">
        <v>231</v>
      </c>
    </row>
    <row r="20" spans="2:6" ht="31.8" hidden="1" outlineLevel="1" thickTop="1" thickBot="1">
      <c r="B20" s="125" t="s">
        <v>255</v>
      </c>
      <c r="C20" s="125" t="s">
        <v>238</v>
      </c>
      <c r="D20" s="126" t="s">
        <v>231</v>
      </c>
      <c r="E20" s="126" t="s">
        <v>231</v>
      </c>
      <c r="F20" s="126" t="s">
        <v>231</v>
      </c>
    </row>
    <row r="21" spans="2:6" ht="52.2" hidden="1" outlineLevel="1" thickTop="1" thickBot="1">
      <c r="B21" s="125" t="s">
        <v>251</v>
      </c>
      <c r="C21" s="125" t="s">
        <v>238</v>
      </c>
      <c r="D21" s="126" t="s">
        <v>231</v>
      </c>
      <c r="E21" s="126" t="s">
        <v>231</v>
      </c>
      <c r="F21" s="126" t="s">
        <v>231</v>
      </c>
    </row>
    <row r="22" spans="2:6" ht="42" hidden="1" outlineLevel="1" thickTop="1" thickBot="1">
      <c r="B22" s="125" t="s">
        <v>256</v>
      </c>
      <c r="C22" s="125" t="s">
        <v>238</v>
      </c>
      <c r="D22" s="126" t="s">
        <v>231</v>
      </c>
      <c r="E22" s="126" t="s">
        <v>231</v>
      </c>
      <c r="F22" s="126" t="s">
        <v>231</v>
      </c>
    </row>
    <row r="23" spans="2:6" ht="42" hidden="1" outlineLevel="1" thickTop="1" thickBot="1">
      <c r="B23" s="125" t="s">
        <v>257</v>
      </c>
      <c r="C23" s="125" t="s">
        <v>238</v>
      </c>
      <c r="D23" s="126" t="s">
        <v>231</v>
      </c>
      <c r="E23" s="126" t="s">
        <v>231</v>
      </c>
      <c r="F23" s="126" t="s">
        <v>231</v>
      </c>
    </row>
    <row r="24" spans="2:6" ht="42" hidden="1" outlineLevel="1" thickTop="1" thickBot="1">
      <c r="B24" s="125" t="s">
        <v>258</v>
      </c>
      <c r="C24" s="125" t="s">
        <v>238</v>
      </c>
      <c r="D24" s="126" t="s">
        <v>231</v>
      </c>
      <c r="E24" s="126" t="s">
        <v>231</v>
      </c>
      <c r="F24" s="126" t="s">
        <v>231</v>
      </c>
    </row>
    <row r="25" spans="2:6" ht="52.2" hidden="1" outlineLevel="1" thickTop="1" thickBot="1">
      <c r="B25" s="125" t="s">
        <v>259</v>
      </c>
      <c r="C25" s="125" t="s">
        <v>238</v>
      </c>
      <c r="D25" s="126" t="s">
        <v>231</v>
      </c>
      <c r="E25" s="126" t="s">
        <v>231</v>
      </c>
      <c r="F25" s="126" t="s">
        <v>231</v>
      </c>
    </row>
    <row r="26" spans="2:6" ht="42" hidden="1" outlineLevel="1" thickTop="1" thickBot="1">
      <c r="B26" s="125" t="s">
        <v>260</v>
      </c>
      <c r="C26" s="125" t="s">
        <v>238</v>
      </c>
      <c r="D26" s="126" t="s">
        <v>231</v>
      </c>
      <c r="E26" s="126" t="s">
        <v>231</v>
      </c>
      <c r="F26" s="126" t="s">
        <v>231</v>
      </c>
    </row>
    <row r="27" spans="2:6" ht="42" hidden="1" outlineLevel="1" thickTop="1" thickBot="1">
      <c r="B27" s="125" t="s">
        <v>261</v>
      </c>
      <c r="C27" s="125" t="s">
        <v>238</v>
      </c>
      <c r="D27" s="126" t="s">
        <v>231</v>
      </c>
      <c r="E27" s="126" t="s">
        <v>231</v>
      </c>
      <c r="F27" s="126" t="s">
        <v>231</v>
      </c>
    </row>
    <row r="28" spans="2:6" ht="42" hidden="1" outlineLevel="1" thickTop="1" thickBot="1">
      <c r="B28" s="125" t="s">
        <v>262</v>
      </c>
      <c r="C28" s="125" t="s">
        <v>238</v>
      </c>
      <c r="D28" s="126" t="s">
        <v>231</v>
      </c>
      <c r="E28" s="126" t="s">
        <v>231</v>
      </c>
      <c r="F28" s="126" t="s">
        <v>231</v>
      </c>
    </row>
    <row r="29" spans="2:6" ht="52.2" hidden="1" outlineLevel="1" thickTop="1" thickBot="1">
      <c r="B29" s="125" t="s">
        <v>263</v>
      </c>
      <c r="C29" s="125" t="s">
        <v>238</v>
      </c>
      <c r="D29" s="126" t="s">
        <v>231</v>
      </c>
      <c r="E29" s="126" t="s">
        <v>231</v>
      </c>
      <c r="F29" s="126" t="s">
        <v>231</v>
      </c>
    </row>
    <row r="30" spans="2:6" ht="42" hidden="1" outlineLevel="1" thickTop="1" thickBot="1">
      <c r="B30" s="125" t="s">
        <v>264</v>
      </c>
      <c r="C30" s="125" t="s">
        <v>238</v>
      </c>
      <c r="D30" s="126" t="s">
        <v>231</v>
      </c>
      <c r="E30" s="126" t="s">
        <v>231</v>
      </c>
      <c r="F30" s="126" t="s">
        <v>231</v>
      </c>
    </row>
    <row r="31" spans="2:6" ht="52.2" hidden="1" outlineLevel="1" thickTop="1" thickBot="1">
      <c r="B31" s="125" t="s">
        <v>265</v>
      </c>
      <c r="C31" s="125" t="s">
        <v>238</v>
      </c>
      <c r="D31" s="126" t="s">
        <v>231</v>
      </c>
      <c r="E31" s="126" t="s">
        <v>231</v>
      </c>
      <c r="F31" s="126" t="s">
        <v>231</v>
      </c>
    </row>
    <row r="32" spans="2:6" ht="52.2" hidden="1" outlineLevel="1" thickTop="1" thickBot="1">
      <c r="B32" s="125" t="s">
        <v>266</v>
      </c>
      <c r="C32" s="125" t="s">
        <v>238</v>
      </c>
      <c r="D32" s="126" t="s">
        <v>231</v>
      </c>
      <c r="E32" s="126" t="s">
        <v>231</v>
      </c>
      <c r="F32" s="126" t="s">
        <v>231</v>
      </c>
    </row>
    <row r="33" spans="2:6" ht="52.2" hidden="1" outlineLevel="1" thickTop="1" thickBot="1">
      <c r="B33" s="125" t="s">
        <v>267</v>
      </c>
      <c r="C33" s="125" t="s">
        <v>238</v>
      </c>
      <c r="D33" s="126" t="s">
        <v>231</v>
      </c>
      <c r="E33" s="126" t="s">
        <v>231</v>
      </c>
      <c r="F33" s="126" t="s">
        <v>231</v>
      </c>
    </row>
    <row r="34" spans="2:6" ht="31.8" hidden="1" outlineLevel="1" thickTop="1" thickBot="1">
      <c r="B34" s="125" t="s">
        <v>268</v>
      </c>
      <c r="C34" s="125" t="s">
        <v>238</v>
      </c>
      <c r="D34" s="126" t="s">
        <v>231</v>
      </c>
      <c r="E34" s="126" t="s">
        <v>231</v>
      </c>
      <c r="F34" s="126" t="s">
        <v>231</v>
      </c>
    </row>
    <row r="35" spans="2:6" ht="31.8" hidden="1" outlineLevel="1" thickTop="1" thickBot="1">
      <c r="B35" s="125" t="s">
        <v>269</v>
      </c>
      <c r="C35" s="125" t="s">
        <v>238</v>
      </c>
      <c r="D35" s="126" t="s">
        <v>231</v>
      </c>
      <c r="E35" s="126" t="s">
        <v>231</v>
      </c>
      <c r="F35" s="126" t="s">
        <v>231</v>
      </c>
    </row>
    <row r="36" spans="2:6" ht="42" hidden="1" outlineLevel="1" thickTop="1" thickBot="1">
      <c r="B36" s="125" t="s">
        <v>270</v>
      </c>
      <c r="C36" s="125" t="s">
        <v>238</v>
      </c>
      <c r="D36" s="126" t="s">
        <v>231</v>
      </c>
      <c r="E36" s="126" t="s">
        <v>231</v>
      </c>
      <c r="F36" s="126" t="s">
        <v>231</v>
      </c>
    </row>
    <row r="37" spans="2:6" ht="21.6" hidden="1" outlineLevel="1" thickTop="1" thickBot="1">
      <c r="B37" s="125" t="s">
        <v>271</v>
      </c>
      <c r="C37" s="125" t="s">
        <v>238</v>
      </c>
      <c r="D37" s="126" t="s">
        <v>231</v>
      </c>
      <c r="E37" s="126" t="s">
        <v>231</v>
      </c>
      <c r="F37" s="126" t="s">
        <v>231</v>
      </c>
    </row>
    <row r="38" spans="2:6" ht="52.2" hidden="1" outlineLevel="1" thickTop="1" thickBot="1">
      <c r="B38" s="125" t="s">
        <v>272</v>
      </c>
      <c r="C38" s="125" t="s">
        <v>238</v>
      </c>
      <c r="D38" s="126" t="s">
        <v>231</v>
      </c>
      <c r="E38" s="126" t="s">
        <v>231</v>
      </c>
      <c r="F38" s="126" t="s">
        <v>231</v>
      </c>
    </row>
    <row r="39" spans="2:6" ht="21.6" hidden="1" outlineLevel="1" thickTop="1" thickBot="1">
      <c r="B39" s="125" t="s">
        <v>273</v>
      </c>
      <c r="C39" s="125" t="s">
        <v>238</v>
      </c>
      <c r="D39" s="126" t="s">
        <v>231</v>
      </c>
      <c r="E39" s="126" t="s">
        <v>231</v>
      </c>
      <c r="F39" s="126" t="s">
        <v>231</v>
      </c>
    </row>
    <row r="40" spans="2:6" ht="21.6" hidden="1" outlineLevel="1" thickTop="1" thickBot="1">
      <c r="B40" s="125" t="s">
        <v>274</v>
      </c>
      <c r="C40" s="125" t="s">
        <v>238</v>
      </c>
      <c r="D40" s="126" t="s">
        <v>231</v>
      </c>
      <c r="E40" s="126" t="s">
        <v>231</v>
      </c>
      <c r="F40" s="126" t="s">
        <v>231</v>
      </c>
    </row>
    <row r="41" spans="2:6" ht="42" hidden="1" outlineLevel="1" thickTop="1" thickBot="1">
      <c r="B41" s="125" t="s">
        <v>275</v>
      </c>
      <c r="C41" s="125" t="s">
        <v>238</v>
      </c>
      <c r="D41" s="126" t="s">
        <v>231</v>
      </c>
      <c r="E41" s="126" t="s">
        <v>231</v>
      </c>
      <c r="F41" s="126" t="s">
        <v>231</v>
      </c>
    </row>
    <row r="42" spans="2:6" ht="21.6" hidden="1" outlineLevel="1" thickTop="1" thickBot="1">
      <c r="B42" s="125" t="s">
        <v>276</v>
      </c>
      <c r="C42" s="125" t="s">
        <v>238</v>
      </c>
      <c r="D42" s="126" t="s">
        <v>231</v>
      </c>
      <c r="E42" s="126" t="s">
        <v>231</v>
      </c>
      <c r="F42" s="126" t="s">
        <v>231</v>
      </c>
    </row>
    <row r="43" spans="2:6" ht="21.6" hidden="1" outlineLevel="1" thickTop="1" thickBot="1">
      <c r="B43" s="124" t="s">
        <v>277</v>
      </c>
      <c r="C43" s="125"/>
      <c r="D43" s="126">
        <v>8</v>
      </c>
      <c r="E43" s="126" t="s">
        <v>278</v>
      </c>
      <c r="F43" s="126" t="s">
        <v>278</v>
      </c>
    </row>
    <row r="44" spans="2:6" ht="21.6" hidden="1" outlineLevel="1" thickTop="1" thickBot="1">
      <c r="B44" s="124" t="s">
        <v>279</v>
      </c>
      <c r="C44" s="125"/>
      <c r="D44" s="126" t="s">
        <v>231</v>
      </c>
      <c r="E44" s="126" t="s">
        <v>231</v>
      </c>
      <c r="F44" s="126" t="s">
        <v>231</v>
      </c>
    </row>
    <row r="45" spans="2:6" ht="62.4" hidden="1" outlineLevel="1" thickTop="1" thickBot="1">
      <c r="B45" s="124" t="s">
        <v>280</v>
      </c>
      <c r="C45" s="125"/>
      <c r="D45" s="126">
        <v>1</v>
      </c>
      <c r="E45" s="126" t="s">
        <v>281</v>
      </c>
      <c r="F45" s="126" t="s">
        <v>281</v>
      </c>
    </row>
    <row r="46" spans="2:6" ht="21.6" hidden="1" outlineLevel="1" thickTop="1" thickBot="1">
      <c r="B46" s="125" t="s">
        <v>282</v>
      </c>
      <c r="C46" s="125" t="s">
        <v>238</v>
      </c>
      <c r="D46" s="126">
        <v>1</v>
      </c>
      <c r="E46" s="126" t="s">
        <v>281</v>
      </c>
      <c r="F46" s="126" t="s">
        <v>281</v>
      </c>
    </row>
    <row r="47" spans="2:6" ht="21.6" hidden="1" outlineLevel="1" thickTop="1" thickBot="1">
      <c r="B47" s="125" t="s">
        <v>283</v>
      </c>
      <c r="C47" s="125" t="s">
        <v>238</v>
      </c>
      <c r="D47" s="126" t="s">
        <v>231</v>
      </c>
      <c r="E47" s="126" t="s">
        <v>231</v>
      </c>
      <c r="F47" s="126" t="s">
        <v>231</v>
      </c>
    </row>
    <row r="48" spans="2:6" ht="21.6" hidden="1" outlineLevel="1" thickTop="1" thickBot="1">
      <c r="B48" s="124" t="s">
        <v>284</v>
      </c>
      <c r="C48" s="125"/>
      <c r="D48" s="126">
        <v>1</v>
      </c>
      <c r="E48" s="126" t="s">
        <v>281</v>
      </c>
      <c r="F48" s="126" t="s">
        <v>281</v>
      </c>
    </row>
    <row r="49" spans="2:6" ht="21.6" hidden="1" outlineLevel="1" thickTop="1" thickBot="1">
      <c r="B49" s="124" t="s">
        <v>285</v>
      </c>
      <c r="C49" s="125"/>
      <c r="D49" s="126">
        <v>9</v>
      </c>
      <c r="E49" s="126" t="s">
        <v>286</v>
      </c>
      <c r="F49" s="126" t="s">
        <v>286</v>
      </c>
    </row>
    <row r="50" spans="2:6" ht="15" collapsed="1" thickTop="1">
      <c r="B50" s="149" t="s">
        <v>288</v>
      </c>
      <c r="C50" s="149"/>
      <c r="D50" s="149"/>
      <c r="E50" s="149"/>
    </row>
    <row r="51" spans="2:6" ht="127.2" hidden="1" customHeight="1" outlineLevel="1">
      <c r="B51" s="146" t="s">
        <v>289</v>
      </c>
      <c r="C51" s="146" t="s">
        <v>290</v>
      </c>
      <c r="D51" s="146" t="s">
        <v>228</v>
      </c>
      <c r="E51" s="146" t="s">
        <v>291</v>
      </c>
      <c r="F51" s="146" t="s">
        <v>292</v>
      </c>
    </row>
    <row r="52" spans="2:6" hidden="1" outlineLevel="1">
      <c r="B52" s="146"/>
      <c r="C52" s="146"/>
      <c r="D52" s="146"/>
      <c r="E52" s="146"/>
      <c r="F52" s="146"/>
    </row>
    <row r="53" spans="2:6" ht="15" hidden="1" outlineLevel="1" thickBot="1">
      <c r="B53" s="147"/>
      <c r="C53" s="147"/>
      <c r="D53" s="147"/>
      <c r="E53" s="147"/>
      <c r="F53" s="147"/>
    </row>
    <row r="54" spans="2:6" hidden="1" outlineLevel="1">
      <c r="B54" s="127" t="s">
        <v>293</v>
      </c>
      <c r="C54" s="128">
        <v>0</v>
      </c>
      <c r="D54" s="128">
        <v>0</v>
      </c>
      <c r="E54" s="128" t="s">
        <v>231</v>
      </c>
      <c r="F54" s="128">
        <v>0</v>
      </c>
    </row>
    <row r="55" spans="2:6" ht="30.6" hidden="1" outlineLevel="1">
      <c r="B55" s="127" t="s">
        <v>294</v>
      </c>
      <c r="C55" s="128">
        <v>0</v>
      </c>
      <c r="D55" s="128">
        <v>0</v>
      </c>
      <c r="E55" s="128" t="s">
        <v>231</v>
      </c>
      <c r="F55" s="128">
        <v>0</v>
      </c>
    </row>
    <row r="56" spans="2:6" ht="20.399999999999999" hidden="1" outlineLevel="1">
      <c r="B56" s="127" t="s">
        <v>295</v>
      </c>
      <c r="C56" s="128">
        <v>47</v>
      </c>
      <c r="D56" s="128" t="s">
        <v>296</v>
      </c>
      <c r="E56" s="128" t="s">
        <v>296</v>
      </c>
      <c r="F56" s="128">
        <v>23.57</v>
      </c>
    </row>
    <row r="57" spans="2:6" ht="30.6" hidden="1" outlineLevel="1">
      <c r="B57" s="129" t="s">
        <v>297</v>
      </c>
      <c r="C57" s="128">
        <v>1</v>
      </c>
      <c r="D57" s="128" t="s">
        <v>298</v>
      </c>
      <c r="E57" s="128" t="s">
        <v>298</v>
      </c>
      <c r="F57" s="128">
        <v>1.53</v>
      </c>
    </row>
    <row r="58" spans="2:6" ht="20.399999999999999" hidden="1" outlineLevel="1">
      <c r="B58" s="129" t="s">
        <v>299</v>
      </c>
      <c r="C58" s="128">
        <v>1</v>
      </c>
      <c r="D58" s="128" t="s">
        <v>300</v>
      </c>
      <c r="E58" s="128" t="s">
        <v>300</v>
      </c>
      <c r="F58" s="128">
        <v>6.01</v>
      </c>
    </row>
    <row r="59" spans="2:6" ht="20.399999999999999" hidden="1" outlineLevel="1">
      <c r="B59" s="129" t="s">
        <v>301</v>
      </c>
      <c r="C59" s="128">
        <v>1</v>
      </c>
      <c r="D59" s="128" t="s">
        <v>302</v>
      </c>
      <c r="E59" s="128" t="s">
        <v>302</v>
      </c>
      <c r="F59" s="128">
        <v>1.95</v>
      </c>
    </row>
    <row r="60" spans="2:6" ht="20.399999999999999" hidden="1" outlineLevel="1">
      <c r="B60" s="129" t="s">
        <v>303</v>
      </c>
      <c r="C60" s="128">
        <v>1</v>
      </c>
      <c r="D60" s="128" t="s">
        <v>304</v>
      </c>
      <c r="E60" s="128" t="s">
        <v>304</v>
      </c>
      <c r="F60" s="128">
        <v>1.45</v>
      </c>
    </row>
    <row r="61" spans="2:6" ht="20.399999999999999" hidden="1" outlineLevel="1">
      <c r="B61" s="129" t="s">
        <v>305</v>
      </c>
      <c r="C61" s="128">
        <v>1</v>
      </c>
      <c r="D61" s="128" t="s">
        <v>306</v>
      </c>
      <c r="E61" s="128" t="s">
        <v>306</v>
      </c>
      <c r="F61" s="128">
        <v>3.46</v>
      </c>
    </row>
    <row r="62" spans="2:6" ht="30.6" hidden="1" outlineLevel="1">
      <c r="B62" s="129" t="s">
        <v>307</v>
      </c>
      <c r="C62" s="128">
        <v>1</v>
      </c>
      <c r="D62" s="128" t="s">
        <v>308</v>
      </c>
      <c r="E62" s="128" t="s">
        <v>308</v>
      </c>
      <c r="F62" s="128">
        <v>2.12</v>
      </c>
    </row>
    <row r="63" spans="2:6" ht="30.6" hidden="1" outlineLevel="1">
      <c r="B63" s="127" t="s">
        <v>309</v>
      </c>
      <c r="C63" s="128">
        <v>82</v>
      </c>
      <c r="D63" s="128" t="s">
        <v>310</v>
      </c>
      <c r="E63" s="128" t="s">
        <v>310</v>
      </c>
      <c r="F63" s="128">
        <v>0.71</v>
      </c>
    </row>
    <row r="64" spans="2:6" hidden="1" outlineLevel="1">
      <c r="B64" s="127" t="s">
        <v>311</v>
      </c>
      <c r="C64" s="128">
        <v>6</v>
      </c>
      <c r="D64" s="128" t="s">
        <v>312</v>
      </c>
      <c r="E64" s="128" t="s">
        <v>312</v>
      </c>
      <c r="F64" s="128">
        <v>0.24</v>
      </c>
    </row>
    <row r="65" spans="2:6" ht="20.399999999999999" hidden="1" outlineLevel="1">
      <c r="B65" s="127" t="s">
        <v>313</v>
      </c>
      <c r="C65" s="128">
        <v>43</v>
      </c>
      <c r="D65" s="128" t="s">
        <v>314</v>
      </c>
      <c r="E65" s="128" t="s">
        <v>314</v>
      </c>
      <c r="F65" s="128">
        <v>9.42</v>
      </c>
    </row>
    <row r="66" spans="2:6" ht="40.799999999999997" hidden="1" outlineLevel="1">
      <c r="B66" s="129" t="s">
        <v>315</v>
      </c>
      <c r="C66" s="128">
        <v>1</v>
      </c>
      <c r="D66" s="128" t="s">
        <v>316</v>
      </c>
      <c r="E66" s="128" t="s">
        <v>316</v>
      </c>
      <c r="F66" s="128">
        <v>1.05</v>
      </c>
    </row>
    <row r="67" spans="2:6" ht="40.799999999999997" hidden="1" outlineLevel="1">
      <c r="B67" s="129" t="s">
        <v>317</v>
      </c>
      <c r="C67" s="128">
        <v>1</v>
      </c>
      <c r="D67" s="128" t="s">
        <v>318</v>
      </c>
      <c r="E67" s="128" t="s">
        <v>318</v>
      </c>
      <c r="F67" s="128">
        <v>6.5</v>
      </c>
    </row>
    <row r="68" spans="2:6" ht="40.799999999999997" hidden="1" outlineLevel="1">
      <c r="B68" s="127" t="s">
        <v>319</v>
      </c>
      <c r="C68" s="128">
        <v>1</v>
      </c>
      <c r="D68" s="128" t="s">
        <v>320</v>
      </c>
      <c r="E68" s="128" t="s">
        <v>320</v>
      </c>
      <c r="F68" s="128">
        <v>2.13</v>
      </c>
    </row>
    <row r="69" spans="2:6" ht="40.799999999999997" hidden="1" outlineLevel="1">
      <c r="B69" s="129" t="s">
        <v>321</v>
      </c>
      <c r="C69" s="128">
        <v>1</v>
      </c>
      <c r="D69" s="128" t="s">
        <v>320</v>
      </c>
      <c r="E69" s="128" t="s">
        <v>320</v>
      </c>
      <c r="F69" s="128">
        <v>2.13</v>
      </c>
    </row>
    <row r="70" spans="2:6" ht="30.6" hidden="1" outlineLevel="1">
      <c r="B70" s="127" t="s">
        <v>322</v>
      </c>
      <c r="C70" s="128">
        <v>14</v>
      </c>
      <c r="D70" s="128" t="s">
        <v>323</v>
      </c>
      <c r="E70" s="128" t="s">
        <v>323</v>
      </c>
      <c r="F70" s="128">
        <v>0</v>
      </c>
    </row>
    <row r="71" spans="2:6" ht="40.799999999999997" hidden="1" outlineLevel="1">
      <c r="B71" s="127" t="s">
        <v>324</v>
      </c>
      <c r="C71" s="128">
        <v>2</v>
      </c>
      <c r="D71" s="128" t="s">
        <v>325</v>
      </c>
      <c r="E71" s="128" t="s">
        <v>325</v>
      </c>
      <c r="F71" s="128">
        <v>0.12</v>
      </c>
    </row>
    <row r="72" spans="2:6" ht="40.799999999999997" hidden="1" outlineLevel="1">
      <c r="B72" s="129" t="s">
        <v>326</v>
      </c>
      <c r="C72" s="128">
        <v>2</v>
      </c>
      <c r="D72" s="128" t="s">
        <v>325</v>
      </c>
      <c r="E72" s="128" t="s">
        <v>325</v>
      </c>
      <c r="F72" s="128">
        <v>0.12</v>
      </c>
    </row>
    <row r="73" spans="2:6" ht="20.399999999999999" hidden="1" outlineLevel="1">
      <c r="B73" s="127" t="s">
        <v>327</v>
      </c>
      <c r="C73" s="128">
        <v>195</v>
      </c>
      <c r="D73" s="128" t="s">
        <v>328</v>
      </c>
      <c r="E73" s="128" t="s">
        <v>328</v>
      </c>
      <c r="F73" s="128">
        <v>36.18</v>
      </c>
    </row>
    <row r="74" spans="2:6" ht="30.6" hidden="1" outlineLevel="1">
      <c r="B74" s="127" t="s">
        <v>329</v>
      </c>
      <c r="C74" s="128">
        <v>0</v>
      </c>
      <c r="D74" s="128">
        <v>0</v>
      </c>
      <c r="E74" s="128" t="s">
        <v>231</v>
      </c>
      <c r="F74" s="128">
        <v>0</v>
      </c>
    </row>
    <row r="75" spans="2:6" ht="40.799999999999997" hidden="1" outlineLevel="1">
      <c r="B75" s="127" t="s">
        <v>330</v>
      </c>
      <c r="C75" s="130">
        <v>1090</v>
      </c>
      <c r="D75" s="128" t="s">
        <v>331</v>
      </c>
      <c r="E75" s="128" t="s">
        <v>331</v>
      </c>
      <c r="F75" s="128">
        <v>25.37</v>
      </c>
    </row>
    <row r="76" spans="2:6" ht="51" hidden="1" outlineLevel="1">
      <c r="B76" s="129" t="s">
        <v>332</v>
      </c>
      <c r="C76" s="128">
        <v>1</v>
      </c>
      <c r="D76" s="128" t="s">
        <v>333</v>
      </c>
      <c r="E76" s="128" t="s">
        <v>333</v>
      </c>
      <c r="F76" s="128">
        <v>1.4</v>
      </c>
    </row>
    <row r="77" spans="2:6" ht="40.799999999999997" hidden="1" outlineLevel="1">
      <c r="B77" s="127" t="s">
        <v>334</v>
      </c>
      <c r="C77" s="128">
        <v>71</v>
      </c>
      <c r="D77" s="128" t="s">
        <v>335</v>
      </c>
      <c r="E77" s="128" t="s">
        <v>335</v>
      </c>
      <c r="F77" s="128">
        <v>1.02</v>
      </c>
    </row>
    <row r="78" spans="2:6" ht="40.799999999999997" hidden="1" outlineLevel="1">
      <c r="B78" s="127" t="s">
        <v>336</v>
      </c>
      <c r="C78" s="128">
        <v>2</v>
      </c>
      <c r="D78" s="128" t="s">
        <v>337</v>
      </c>
      <c r="E78" s="128" t="s">
        <v>337</v>
      </c>
      <c r="F78" s="128">
        <v>0.01</v>
      </c>
    </row>
    <row r="79" spans="2:6" ht="20.399999999999999" hidden="1" outlineLevel="1">
      <c r="B79" s="129" t="s">
        <v>338</v>
      </c>
      <c r="C79" s="128">
        <v>1</v>
      </c>
      <c r="D79" s="130">
        <v>65360</v>
      </c>
      <c r="E79" s="130">
        <v>65360</v>
      </c>
      <c r="F79" s="128">
        <v>0</v>
      </c>
    </row>
    <row r="80" spans="2:6" ht="51" hidden="1" outlineLevel="1">
      <c r="B80" s="129" t="s">
        <v>339</v>
      </c>
      <c r="C80" s="128">
        <v>1</v>
      </c>
      <c r="D80" s="128" t="s">
        <v>340</v>
      </c>
      <c r="E80" s="128" t="s">
        <v>340</v>
      </c>
      <c r="F80" s="128">
        <v>0.01</v>
      </c>
    </row>
    <row r="81" spans="2:6" ht="20.399999999999999" hidden="1" outlineLevel="1">
      <c r="B81" s="127" t="s">
        <v>341</v>
      </c>
      <c r="C81" s="130">
        <v>1163</v>
      </c>
      <c r="D81" s="128" t="s">
        <v>342</v>
      </c>
      <c r="E81" s="128" t="s">
        <v>342</v>
      </c>
      <c r="F81" s="128">
        <v>26.4</v>
      </c>
    </row>
    <row r="82" spans="2:6" ht="71.400000000000006" hidden="1" outlineLevel="1">
      <c r="B82" s="127" t="s">
        <v>343</v>
      </c>
      <c r="C82" s="128">
        <v>0</v>
      </c>
      <c r="D82" s="128">
        <v>0</v>
      </c>
      <c r="E82" s="128" t="s">
        <v>231</v>
      </c>
      <c r="F82" s="128">
        <v>0</v>
      </c>
    </row>
    <row r="83" spans="2:6" ht="112.2" hidden="1" outlineLevel="1">
      <c r="B83" s="127" t="s">
        <v>344</v>
      </c>
      <c r="C83" s="128">
        <v>2</v>
      </c>
      <c r="D83" s="128" t="s">
        <v>345</v>
      </c>
      <c r="E83" s="128" t="s">
        <v>345</v>
      </c>
      <c r="F83" s="128">
        <v>0</v>
      </c>
    </row>
    <row r="84" spans="2:6" ht="20.399999999999999" hidden="1" outlineLevel="1">
      <c r="B84" s="127" t="s">
        <v>346</v>
      </c>
      <c r="C84" s="128">
        <v>2</v>
      </c>
      <c r="D84" s="128" t="s">
        <v>345</v>
      </c>
      <c r="E84" s="128" t="s">
        <v>345</v>
      </c>
      <c r="F84" s="128">
        <v>0</v>
      </c>
    </row>
    <row r="85" spans="2:6" ht="20.399999999999999" hidden="1" outlineLevel="1">
      <c r="B85" s="127" t="s">
        <v>347</v>
      </c>
      <c r="C85" s="128">
        <v>0</v>
      </c>
      <c r="D85" s="128">
        <v>0</v>
      </c>
      <c r="E85" s="128" t="s">
        <v>231</v>
      </c>
      <c r="F85" s="128">
        <v>0</v>
      </c>
    </row>
    <row r="86" spans="2:6" ht="91.8" hidden="1" outlineLevel="1">
      <c r="B86" s="127" t="s">
        <v>348</v>
      </c>
      <c r="C86" s="128">
        <v>9</v>
      </c>
      <c r="D86" s="128" t="s">
        <v>349</v>
      </c>
      <c r="E86" s="128" t="s">
        <v>349</v>
      </c>
      <c r="F86" s="128">
        <v>0.13</v>
      </c>
    </row>
    <row r="87" spans="2:6" ht="30.6" hidden="1" outlineLevel="1">
      <c r="B87" s="127" t="s">
        <v>350</v>
      </c>
      <c r="C87" s="128">
        <v>2</v>
      </c>
      <c r="D87" s="128" t="s">
        <v>351</v>
      </c>
      <c r="E87" s="128" t="s">
        <v>351</v>
      </c>
      <c r="F87" s="128">
        <v>0.01</v>
      </c>
    </row>
    <row r="88" spans="2:6" ht="51" hidden="1" outlineLevel="1">
      <c r="B88" s="127" t="s">
        <v>352</v>
      </c>
      <c r="C88" s="128">
        <v>1</v>
      </c>
      <c r="D88" s="128" t="s">
        <v>353</v>
      </c>
      <c r="E88" s="128" t="s">
        <v>353</v>
      </c>
      <c r="F88" s="128">
        <v>0.17</v>
      </c>
    </row>
    <row r="89" spans="2:6" ht="71.400000000000006" hidden="1" outlineLevel="1">
      <c r="B89" s="127" t="s">
        <v>354</v>
      </c>
      <c r="C89" s="128" t="s">
        <v>355</v>
      </c>
      <c r="D89" s="128" t="s">
        <v>356</v>
      </c>
      <c r="E89" s="128" t="s">
        <v>356</v>
      </c>
      <c r="F89" s="128">
        <v>4.34</v>
      </c>
    </row>
    <row r="90" spans="2:6" ht="81.599999999999994" hidden="1" outlineLevel="1">
      <c r="B90" s="127" t="s">
        <v>357</v>
      </c>
      <c r="C90" s="128">
        <v>286</v>
      </c>
      <c r="D90" s="128" t="s">
        <v>358</v>
      </c>
      <c r="E90" s="128" t="s">
        <v>358</v>
      </c>
      <c r="F90" s="128">
        <v>4</v>
      </c>
    </row>
    <row r="91" spans="2:6" ht="40.799999999999997" hidden="1" outlineLevel="1">
      <c r="B91" s="127" t="s">
        <v>359</v>
      </c>
      <c r="C91" s="130">
        <v>23728</v>
      </c>
      <c r="D91" s="128" t="s">
        <v>360</v>
      </c>
      <c r="E91" s="128" t="s">
        <v>360</v>
      </c>
      <c r="F91" s="128">
        <v>0.54</v>
      </c>
    </row>
    <row r="92" spans="2:6" ht="20.399999999999999" hidden="1" outlineLevel="1">
      <c r="B92" s="127" t="s">
        <v>361</v>
      </c>
      <c r="C92" s="128">
        <v>1</v>
      </c>
      <c r="D92" s="128" t="s">
        <v>362</v>
      </c>
      <c r="E92" s="128" t="s">
        <v>362</v>
      </c>
      <c r="F92" s="128">
        <v>0.3</v>
      </c>
    </row>
    <row r="93" spans="2:6" ht="20.399999999999999" hidden="1" outlineLevel="1">
      <c r="B93" s="127" t="s">
        <v>363</v>
      </c>
      <c r="C93" s="130">
        <v>4392</v>
      </c>
      <c r="D93" s="128" t="s">
        <v>364</v>
      </c>
      <c r="E93" s="128" t="s">
        <v>364</v>
      </c>
      <c r="F93" s="128">
        <v>1.88</v>
      </c>
    </row>
    <row r="94" spans="2:6" ht="20.399999999999999" hidden="1" outlineLevel="1">
      <c r="B94" s="127" t="s">
        <v>249</v>
      </c>
      <c r="C94" s="130">
        <v>17906</v>
      </c>
      <c r="D94" s="128" t="s">
        <v>365</v>
      </c>
      <c r="E94" s="128" t="s">
        <v>365</v>
      </c>
      <c r="F94" s="128">
        <v>0.17</v>
      </c>
    </row>
    <row r="95" spans="2:6" ht="20.399999999999999" hidden="1" outlineLevel="1">
      <c r="B95" s="127" t="s">
        <v>249</v>
      </c>
      <c r="C95" s="130">
        <v>17817</v>
      </c>
      <c r="D95" s="128" t="s">
        <v>366</v>
      </c>
      <c r="E95" s="128" t="s">
        <v>366</v>
      </c>
      <c r="F95" s="128">
        <v>0.11</v>
      </c>
    </row>
    <row r="96" spans="2:6" ht="20.399999999999999" hidden="1" outlineLevel="1">
      <c r="B96" s="127" t="s">
        <v>249</v>
      </c>
      <c r="C96" s="128">
        <v>8</v>
      </c>
      <c r="D96" s="128" t="s">
        <v>367</v>
      </c>
      <c r="E96" s="128" t="s">
        <v>367</v>
      </c>
      <c r="F96" s="128">
        <v>0.03</v>
      </c>
    </row>
    <row r="97" spans="2:6" ht="20.399999999999999" hidden="1" outlineLevel="1">
      <c r="B97" s="127" t="s">
        <v>249</v>
      </c>
      <c r="C97" s="128">
        <v>81</v>
      </c>
      <c r="D97" s="128" t="s">
        <v>368</v>
      </c>
      <c r="E97" s="128" t="s">
        <v>368</v>
      </c>
      <c r="F97" s="128">
        <v>0.02</v>
      </c>
    </row>
    <row r="98" spans="2:6" ht="20.399999999999999" hidden="1" outlineLevel="1">
      <c r="B98" s="127" t="s">
        <v>369</v>
      </c>
      <c r="C98" s="128" t="s">
        <v>370</v>
      </c>
      <c r="D98" s="128" t="s">
        <v>371</v>
      </c>
      <c r="E98" s="128" t="s">
        <v>371</v>
      </c>
      <c r="F98" s="128">
        <v>11.55</v>
      </c>
    </row>
    <row r="99" spans="2:6" ht="20.399999999999999" hidden="1" outlineLevel="1">
      <c r="B99" s="127" t="s">
        <v>372</v>
      </c>
      <c r="C99" s="128" t="s">
        <v>373</v>
      </c>
      <c r="D99" s="128" t="s">
        <v>374</v>
      </c>
      <c r="E99" s="128" t="s">
        <v>374</v>
      </c>
      <c r="F99" s="128">
        <v>74.13</v>
      </c>
    </row>
    <row r="100" spans="2:6" collapsed="1"/>
  </sheetData>
  <mergeCells count="12">
    <mergeCell ref="F51:F53"/>
    <mergeCell ref="B2:E2"/>
    <mergeCell ref="B50:E50"/>
    <mergeCell ref="B51:B53"/>
    <mergeCell ref="C51:C53"/>
    <mergeCell ref="D51:D53"/>
    <mergeCell ref="E51:E53"/>
    <mergeCell ref="B3:B5"/>
    <mergeCell ref="C3:C5"/>
    <mergeCell ref="D3:D5"/>
    <mergeCell ref="E3:E5"/>
    <mergeCell ref="F3: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24"/>
  <sheetViews>
    <sheetView showGridLines="0" topLeftCell="H1" zoomScale="96" workbookViewId="0">
      <selection activeCell="P6" sqref="P6"/>
    </sheetView>
  </sheetViews>
  <sheetFormatPr defaultRowHeight="14.4"/>
  <cols>
    <col min="1" max="1" width="1.88671875" customWidth="1"/>
    <col min="2" max="2" width="79.109375" bestFit="1" customWidth="1"/>
    <col min="3" max="6" width="13.21875" bestFit="1" customWidth="1"/>
    <col min="7" max="7" width="12" bestFit="1" customWidth="1"/>
    <col min="11" max="11" width="65.33203125" bestFit="1" customWidth="1"/>
    <col min="12" max="12" width="13.88671875" bestFit="1" customWidth="1"/>
    <col min="13" max="13" width="13.44140625" bestFit="1" customWidth="1"/>
    <col min="14" max="16" width="13.88671875" bestFit="1" customWidth="1"/>
    <col min="19" max="19" width="51.21875" bestFit="1" customWidth="1"/>
    <col min="20" max="20" width="12.21875" bestFit="1" customWidth="1"/>
    <col min="21" max="21" width="11.77734375" bestFit="1" customWidth="1"/>
    <col min="22" max="22" width="13.6640625" bestFit="1" customWidth="1"/>
    <col min="23" max="23" width="13.21875" bestFit="1" customWidth="1"/>
    <col min="24" max="24" width="14.44140625" bestFit="1" customWidth="1"/>
  </cols>
  <sheetData>
    <row r="2" spans="2:24">
      <c r="B2" s="1" t="s">
        <v>0</v>
      </c>
      <c r="K2" s="1" t="s">
        <v>1</v>
      </c>
      <c r="S2" s="1" t="s">
        <v>2</v>
      </c>
    </row>
    <row r="3" spans="2:24" ht="15" customHeight="1" thickBot="1">
      <c r="B3" s="2" t="s">
        <v>3</v>
      </c>
      <c r="C3" s="2">
        <v>2021</v>
      </c>
      <c r="D3" s="2">
        <v>2022</v>
      </c>
      <c r="E3" s="2">
        <v>2023</v>
      </c>
      <c r="F3" s="2">
        <v>2024</v>
      </c>
      <c r="G3" s="2">
        <v>2025</v>
      </c>
      <c r="K3" s="2" t="s">
        <v>4</v>
      </c>
      <c r="L3" s="2">
        <v>2021</v>
      </c>
      <c r="M3" s="2">
        <v>2022</v>
      </c>
      <c r="N3" s="2">
        <v>2023</v>
      </c>
      <c r="O3" s="2">
        <v>2024</v>
      </c>
      <c r="P3" s="2">
        <v>2025</v>
      </c>
      <c r="S3" s="2" t="s">
        <v>3</v>
      </c>
      <c r="T3" s="2">
        <v>2021</v>
      </c>
      <c r="U3" s="2">
        <v>2022</v>
      </c>
      <c r="V3" s="2">
        <v>2023</v>
      </c>
      <c r="W3" s="2">
        <v>2024</v>
      </c>
      <c r="X3" s="2">
        <v>2025</v>
      </c>
    </row>
    <row r="4" spans="2:24" ht="15" customHeight="1" thickBot="1">
      <c r="B4" s="3" t="s">
        <v>5</v>
      </c>
      <c r="C4" s="4"/>
      <c r="D4" s="4"/>
      <c r="E4" s="4"/>
      <c r="F4" s="4"/>
      <c r="G4" s="4"/>
      <c r="K4" s="5" t="s">
        <v>6</v>
      </c>
      <c r="L4" s="58">
        <v>1490.92</v>
      </c>
      <c r="M4" s="58">
        <v>1492.33</v>
      </c>
      <c r="N4" s="58">
        <v>1493.28</v>
      </c>
      <c r="O4" s="58">
        <v>993.96</v>
      </c>
      <c r="P4" s="58">
        <v>994.11</v>
      </c>
      <c r="S4" s="5" t="s">
        <v>7</v>
      </c>
      <c r="T4" s="6">
        <v>1316.83</v>
      </c>
      <c r="U4" s="6">
        <v>1594.83</v>
      </c>
      <c r="V4" s="6">
        <v>19646.18</v>
      </c>
      <c r="W4" s="6">
        <v>23863.38</v>
      </c>
      <c r="X4" s="6">
        <v>28989.03</v>
      </c>
    </row>
    <row r="5" spans="2:24" ht="15" customHeight="1" thickBot="1">
      <c r="B5" s="5" t="s">
        <v>8</v>
      </c>
      <c r="C5" s="62">
        <v>53947</v>
      </c>
      <c r="D5" s="62">
        <v>62452</v>
      </c>
      <c r="E5" s="62">
        <v>42151.06</v>
      </c>
      <c r="F5" s="62">
        <v>56236.63</v>
      </c>
      <c r="G5" s="62">
        <v>65668.83</v>
      </c>
      <c r="K5" s="5" t="s">
        <v>9</v>
      </c>
      <c r="L5" s="58">
        <v>2.16</v>
      </c>
      <c r="M5" s="58">
        <v>31.31</v>
      </c>
      <c r="N5" s="58">
        <v>60.31</v>
      </c>
      <c r="O5" s="58">
        <v>79.293800000000005</v>
      </c>
      <c r="P5" s="58">
        <v>94.27</v>
      </c>
      <c r="S5" s="3" t="s">
        <v>10</v>
      </c>
      <c r="T5" s="4"/>
      <c r="U5" s="4"/>
      <c r="V5" s="4"/>
      <c r="W5" s="4"/>
      <c r="X5" s="4"/>
    </row>
    <row r="6" spans="2:24" ht="15" customHeight="1" thickBot="1">
      <c r="B6" s="5" t="s">
        <v>11</v>
      </c>
      <c r="C6" s="61">
        <v>19606</v>
      </c>
      <c r="D6" s="61">
        <v>24565</v>
      </c>
      <c r="E6" s="61">
        <v>30163</v>
      </c>
      <c r="F6" s="61">
        <v>36685</v>
      </c>
      <c r="G6" s="61">
        <v>43703</v>
      </c>
      <c r="K6" s="5" t="s">
        <v>12</v>
      </c>
      <c r="L6" s="58">
        <v>83345.53</v>
      </c>
      <c r="M6" s="58">
        <v>95641.7</v>
      </c>
      <c r="N6" s="58">
        <v>110760.81</v>
      </c>
      <c r="O6" s="58">
        <v>128898.44</v>
      </c>
      <c r="P6" s="58">
        <v>156400.97</v>
      </c>
      <c r="S6" s="5" t="s">
        <v>13</v>
      </c>
      <c r="T6" s="5">
        <v>461.05</v>
      </c>
      <c r="U6" s="5">
        <v>480.35</v>
      </c>
      <c r="V6" s="5">
        <v>599.26</v>
      </c>
      <c r="W6" s="5">
        <v>791.75</v>
      </c>
      <c r="X6" s="5">
        <v>940.91</v>
      </c>
    </row>
    <row r="7" spans="2:24" ht="15" customHeight="1" thickBot="1">
      <c r="B7" s="3" t="s">
        <v>14</v>
      </c>
      <c r="C7" s="62">
        <v>73553</v>
      </c>
      <c r="D7" s="62">
        <v>87017</v>
      </c>
      <c r="E7" s="62">
        <v>68142.03</v>
      </c>
      <c r="F7" s="62">
        <v>94273.91</v>
      </c>
      <c r="G7" s="62">
        <v>106902.24</v>
      </c>
      <c r="K7" s="5" t="s">
        <v>15</v>
      </c>
      <c r="L7" s="58">
        <v>278871.40999999997</v>
      </c>
      <c r="M7" s="58">
        <v>310086.89</v>
      </c>
      <c r="N7" s="58">
        <v>361272.62</v>
      </c>
      <c r="O7" s="58">
        <v>445268.76</v>
      </c>
      <c r="P7" s="58">
        <v>494707.48</v>
      </c>
      <c r="S7" s="5" t="s">
        <v>16</v>
      </c>
      <c r="T7" s="6">
        <v>-1767.77</v>
      </c>
      <c r="U7" s="6">
        <v>-1547.75</v>
      </c>
      <c r="V7" s="6">
        <v>-906.86</v>
      </c>
      <c r="W7" s="6">
        <v>-2773.55</v>
      </c>
      <c r="X7" s="6">
        <v>-4730.2700000000004</v>
      </c>
    </row>
    <row r="8" spans="2:24" ht="15" customHeight="1" thickBot="1">
      <c r="B8" s="3" t="s">
        <v>17</v>
      </c>
      <c r="C8" s="4"/>
      <c r="D8" s="4"/>
      <c r="E8" s="4"/>
      <c r="F8" s="4"/>
      <c r="G8" s="4"/>
      <c r="K8" s="5" t="s">
        <v>18</v>
      </c>
      <c r="L8" s="58">
        <v>47738.9</v>
      </c>
      <c r="M8" s="58">
        <v>55148.27</v>
      </c>
      <c r="N8" s="58">
        <v>57033.919999999998</v>
      </c>
      <c r="O8" s="58">
        <v>75105.61</v>
      </c>
      <c r="P8" s="58">
        <v>97622.03</v>
      </c>
      <c r="S8" s="5" t="s">
        <v>19</v>
      </c>
      <c r="T8" s="5">
        <v>288.04000000000002</v>
      </c>
      <c r="U8" s="5">
        <v>427.51</v>
      </c>
      <c r="V8" s="5">
        <v>457.85</v>
      </c>
      <c r="W8" s="6">
        <v>1898.24</v>
      </c>
      <c r="X8" s="6">
        <v>3765.59</v>
      </c>
    </row>
    <row r="9" spans="2:24" ht="15" customHeight="1" thickBot="1">
      <c r="B9" s="5" t="s">
        <v>20</v>
      </c>
      <c r="C9" s="62">
        <v>26891</v>
      </c>
      <c r="D9" s="62">
        <v>31254</v>
      </c>
      <c r="E9" s="62">
        <v>14411.13</v>
      </c>
      <c r="F9" s="62">
        <v>22567.24</v>
      </c>
      <c r="G9" s="62">
        <v>28274.55</v>
      </c>
      <c r="K9" s="5" t="s">
        <v>21</v>
      </c>
      <c r="L9" s="58">
        <v>42071.519999999997</v>
      </c>
      <c r="M9" s="58">
        <v>50666.79</v>
      </c>
      <c r="N9" s="58">
        <v>57979.47</v>
      </c>
      <c r="O9" s="58">
        <v>73375.600000000006</v>
      </c>
      <c r="P9" s="58">
        <v>85121.06</v>
      </c>
      <c r="S9" s="3" t="s">
        <v>22</v>
      </c>
      <c r="T9" s="7">
        <v>1189.98</v>
      </c>
      <c r="U9" s="7">
        <v>1568.5</v>
      </c>
      <c r="V9" s="7">
        <v>21798.52</v>
      </c>
      <c r="W9" s="7">
        <v>19519.48</v>
      </c>
      <c r="X9" s="7">
        <v>25454.35</v>
      </c>
    </row>
    <row r="10" spans="2:24" ht="15" customHeight="1" thickBot="1">
      <c r="B10" s="5" t="s">
        <v>23</v>
      </c>
      <c r="C10" s="61">
        <v>20341</v>
      </c>
      <c r="D10" s="61">
        <v>24487</v>
      </c>
      <c r="E10" s="61">
        <v>29822</v>
      </c>
      <c r="F10" s="61">
        <v>36057</v>
      </c>
      <c r="G10" s="61">
        <v>42334</v>
      </c>
      <c r="K10" s="5" t="s">
        <v>24</v>
      </c>
      <c r="L10" s="58">
        <v>25352.26</v>
      </c>
      <c r="M10" s="58">
        <v>33430.620000000003</v>
      </c>
      <c r="N10" s="58">
        <v>31829.32</v>
      </c>
      <c r="O10" s="58">
        <v>43945.3</v>
      </c>
      <c r="P10" s="58">
        <v>44834.42</v>
      </c>
      <c r="S10" s="3" t="s">
        <v>25</v>
      </c>
      <c r="T10" s="4"/>
      <c r="U10" s="4"/>
      <c r="V10" s="4"/>
      <c r="W10" s="4"/>
      <c r="X10" s="4"/>
    </row>
    <row r="11" spans="2:24" ht="15" customHeight="1" thickBot="1">
      <c r="B11" s="5" t="s">
        <v>26</v>
      </c>
      <c r="C11" s="62">
        <v>3221</v>
      </c>
      <c r="D11" s="62">
        <v>4567</v>
      </c>
      <c r="E11" s="62">
        <v>5305.42</v>
      </c>
      <c r="F11" s="62">
        <v>7859.02</v>
      </c>
      <c r="G11" s="62">
        <v>10902.53</v>
      </c>
      <c r="K11" s="3" t="s">
        <v>27</v>
      </c>
      <c r="L11" s="59">
        <v>478872.69</v>
      </c>
      <c r="M11" s="59">
        <v>546497.91</v>
      </c>
      <c r="N11" s="59">
        <v>620429.73</v>
      </c>
      <c r="O11" s="59">
        <v>767666.96</v>
      </c>
      <c r="P11" s="59">
        <v>879774.34</v>
      </c>
      <c r="S11" s="5" t="s">
        <v>28</v>
      </c>
      <c r="T11" s="6">
        <v>-3027.21</v>
      </c>
      <c r="U11" s="6">
        <v>-3839.24</v>
      </c>
      <c r="V11" s="6">
        <v>-22134.83</v>
      </c>
      <c r="W11" s="6">
        <v>-36326.75</v>
      </c>
      <c r="X11" s="6">
        <v>-685.57</v>
      </c>
    </row>
    <row r="12" spans="2:24" ht="15" customHeight="1" thickBot="1">
      <c r="B12" s="3" t="s">
        <v>29</v>
      </c>
      <c r="C12" s="7">
        <f>SUM(C9:C11)</f>
        <v>50453</v>
      </c>
      <c r="D12" s="7">
        <f>SUM(D9:D11)</f>
        <v>60308</v>
      </c>
      <c r="E12" s="7">
        <f>SUM(E9:E11)</f>
        <v>49538.549999999996</v>
      </c>
      <c r="F12" s="7">
        <f>SUM(F9:F11)</f>
        <v>66483.260000000009</v>
      </c>
      <c r="G12" s="7">
        <f>SUM(G9:G11)</f>
        <v>81511.08</v>
      </c>
      <c r="K12" s="4"/>
      <c r="L12" s="60"/>
      <c r="M12" s="60"/>
      <c r="N12" s="60"/>
      <c r="O12" s="60"/>
      <c r="P12" s="60"/>
      <c r="S12" s="5" t="s">
        <v>30</v>
      </c>
      <c r="T12" s="5">
        <v>-437.16</v>
      </c>
      <c r="U12" s="6">
        <v>-5228.54</v>
      </c>
      <c r="V12" s="6">
        <v>-55142.32</v>
      </c>
      <c r="W12" s="6">
        <v>-70818.64</v>
      </c>
      <c r="X12" s="6">
        <v>-59396.480000000003</v>
      </c>
    </row>
    <row r="13" spans="2:24" ht="15" customHeight="1" thickBot="1">
      <c r="B13" s="3" t="s">
        <v>31</v>
      </c>
      <c r="C13" s="4"/>
      <c r="D13" s="4"/>
      <c r="E13" s="4"/>
      <c r="F13" s="4"/>
      <c r="G13" s="4"/>
      <c r="K13" s="3" t="s">
        <v>32</v>
      </c>
      <c r="L13" s="60"/>
      <c r="M13" s="60"/>
      <c r="N13" s="60"/>
      <c r="O13" s="60"/>
      <c r="P13" s="60"/>
      <c r="S13" s="5" t="s">
        <v>33</v>
      </c>
      <c r="T13" s="5">
        <v>-394.45</v>
      </c>
      <c r="U13" s="6">
        <v>3121.55</v>
      </c>
      <c r="V13" s="6">
        <v>51185.73</v>
      </c>
      <c r="W13" s="6">
        <v>83996.14</v>
      </c>
      <c r="X13" s="6">
        <v>49438.71</v>
      </c>
    </row>
    <row r="14" spans="2:24" ht="15" customHeight="1" thickBot="1">
      <c r="B14" s="5" t="s">
        <v>34</v>
      </c>
      <c r="C14" s="6">
        <f>C7-C12</f>
        <v>23100</v>
      </c>
      <c r="D14" s="6">
        <f>D7-D12</f>
        <v>26709</v>
      </c>
      <c r="E14" s="6">
        <f>E7-E12</f>
        <v>18603.480000000003</v>
      </c>
      <c r="F14" s="6">
        <f>F7-F12</f>
        <v>27790.649999999994</v>
      </c>
      <c r="G14" s="6">
        <f>G7-G12</f>
        <v>25391.160000000003</v>
      </c>
      <c r="K14" s="5" t="s">
        <v>35</v>
      </c>
      <c r="L14" s="58">
        <v>12528</v>
      </c>
      <c r="M14" s="58">
        <v>19985.2</v>
      </c>
      <c r="N14" s="58">
        <v>19985.2</v>
      </c>
      <c r="O14" s="58">
        <v>36286.74</v>
      </c>
      <c r="P14" s="58">
        <v>41748.35</v>
      </c>
      <c r="S14" s="3" t="s">
        <v>36</v>
      </c>
      <c r="T14" s="3">
        <v>488.11</v>
      </c>
      <c r="U14" s="7">
        <v>1568.5</v>
      </c>
      <c r="V14" s="3">
        <v>-1242.43</v>
      </c>
      <c r="W14" s="7">
        <v>15685</v>
      </c>
      <c r="X14" s="7">
        <v>16915.73</v>
      </c>
    </row>
    <row r="15" spans="2:24" ht="15" customHeight="1" thickBot="1">
      <c r="B15" t="s">
        <v>37</v>
      </c>
      <c r="C15" s="62">
        <v>5878</v>
      </c>
      <c r="D15" s="62">
        <v>7546</v>
      </c>
      <c r="E15" s="62">
        <v>4865.74</v>
      </c>
      <c r="F15" s="62">
        <v>5886.56</v>
      </c>
      <c r="G15" s="62">
        <v>7043.29</v>
      </c>
      <c r="K15" s="5" t="s">
        <v>38</v>
      </c>
      <c r="L15" s="58">
        <v>35188.620000000003</v>
      </c>
      <c r="M15" s="58">
        <v>22940.14</v>
      </c>
      <c r="N15" s="58">
        <v>22940.14</v>
      </c>
      <c r="O15" s="58">
        <v>28919.65</v>
      </c>
      <c r="P15" s="58">
        <v>37313.4</v>
      </c>
      <c r="S15" s="3" t="s">
        <v>39</v>
      </c>
      <c r="T15" s="7">
        <v>-1111.6099999999999</v>
      </c>
      <c r="U15" s="3">
        <v>-909.69</v>
      </c>
      <c r="V15" s="7">
        <v>-10550.18</v>
      </c>
      <c r="W15" s="7">
        <v>-9096.93</v>
      </c>
      <c r="X15" s="7">
        <v>-25272.080000000002</v>
      </c>
    </row>
    <row r="16" spans="2:24" ht="15" customHeight="1" thickBot="1">
      <c r="B16" s="63" t="s">
        <v>40</v>
      </c>
      <c r="C16" s="62">
        <v>9990</v>
      </c>
      <c r="D16" s="62">
        <v>12089</v>
      </c>
      <c r="E16" s="62">
        <v>14925.01</v>
      </c>
      <c r="F16" s="62">
        <v>18213.21</v>
      </c>
      <c r="G16" s="62">
        <v>22125.99</v>
      </c>
      <c r="K16" s="5" t="s">
        <v>41</v>
      </c>
      <c r="L16" s="58">
        <v>156945.54999999999</v>
      </c>
      <c r="M16" s="58">
        <v>195337.97</v>
      </c>
      <c r="N16" s="58">
        <v>195337.97</v>
      </c>
      <c r="O16" s="58">
        <v>246445.72</v>
      </c>
      <c r="P16" s="58">
        <v>284255</v>
      </c>
      <c r="S16" s="3" t="s">
        <v>42</v>
      </c>
      <c r="T16" s="7">
        <v>-1007.21</v>
      </c>
      <c r="U16" s="3">
        <v>754.89</v>
      </c>
      <c r="V16" s="7">
        <v>1883</v>
      </c>
      <c r="W16" s="7">
        <v>15515.11</v>
      </c>
      <c r="X16" s="7">
        <v>22165.200000000001</v>
      </c>
    </row>
    <row r="17" spans="11:24" ht="15" customHeight="1" thickBot="1">
      <c r="K17" s="5" t="s">
        <v>43</v>
      </c>
      <c r="L17" s="58">
        <v>252188.22</v>
      </c>
      <c r="M17" s="58">
        <v>304473.59999999998</v>
      </c>
      <c r="N17" s="58">
        <v>359107.46</v>
      </c>
      <c r="O17" s="58">
        <v>430351.58</v>
      </c>
      <c r="P17" s="58">
        <v>486165.52</v>
      </c>
      <c r="S17" s="5" t="s">
        <v>44</v>
      </c>
      <c r="T17" s="6">
        <v>-1636.32</v>
      </c>
      <c r="U17" s="5">
        <v>-89.45</v>
      </c>
      <c r="V17" s="5">
        <v>-9740.14</v>
      </c>
      <c r="W17" s="6">
        <v>22281.040000000001</v>
      </c>
      <c r="X17" s="6">
        <v>13878.61</v>
      </c>
    </row>
    <row r="18" spans="11:24" ht="15" customHeight="1" thickBot="1">
      <c r="K18" s="5" t="s">
        <v>45</v>
      </c>
      <c r="L18" s="58">
        <v>1740.16</v>
      </c>
      <c r="M18" s="58">
        <v>1909.63</v>
      </c>
      <c r="N18" s="58">
        <v>2261.1999999999998</v>
      </c>
      <c r="O18" s="58">
        <v>2562.5100000000002</v>
      </c>
      <c r="P18" s="58">
        <v>2810.8</v>
      </c>
      <c r="S18" s="5" t="s">
        <v>46</v>
      </c>
      <c r="T18" s="6">
        <v>6407.99</v>
      </c>
      <c r="U18" s="6">
        <v>4771.66</v>
      </c>
      <c r="V18" s="6">
        <v>52665.48</v>
      </c>
      <c r="W18" s="6">
        <v>42925.35</v>
      </c>
      <c r="X18" s="6">
        <v>65206.39</v>
      </c>
    </row>
    <row r="19" spans="11:24" ht="15" customHeight="1" thickBot="1">
      <c r="K19" s="5" t="s">
        <v>47</v>
      </c>
      <c r="L19" s="58">
        <v>19468.38</v>
      </c>
      <c r="M19" s="58">
        <v>4009.94</v>
      </c>
      <c r="N19" s="58">
        <v>19984</v>
      </c>
      <c r="O19" s="58">
        <v>22153</v>
      </c>
      <c r="P19" s="58">
        <v>26533.51</v>
      </c>
      <c r="S19" s="3" t="s">
        <v>48</v>
      </c>
      <c r="T19" s="7">
        <v>4771.66</v>
      </c>
      <c r="U19" s="7">
        <v>5266.55</v>
      </c>
      <c r="V19" s="7">
        <v>42925.35</v>
      </c>
      <c r="W19" s="7">
        <v>65206.39</v>
      </c>
      <c r="X19" s="7">
        <v>79061.75</v>
      </c>
    </row>
    <row r="20" spans="11:24" ht="15" customHeight="1" thickBot="1">
      <c r="K20" s="5" t="s">
        <v>49</v>
      </c>
      <c r="L20" s="58">
        <v>813.75</v>
      </c>
      <c r="M20" s="58">
        <v>813.75</v>
      </c>
      <c r="N20" s="58">
        <v>813.75</v>
      </c>
      <c r="O20" s="58">
        <v>947.76</v>
      </c>
      <c r="P20" s="58">
        <v>947.76</v>
      </c>
    </row>
    <row r="21" spans="11:24" ht="15" customHeight="1" thickBot="1">
      <c r="K21" s="3" t="s">
        <v>50</v>
      </c>
      <c r="L21" s="59">
        <v>478872.69</v>
      </c>
      <c r="M21" s="59">
        <v>546497.91</v>
      </c>
      <c r="N21" s="59">
        <v>620429.73</v>
      </c>
      <c r="O21" s="59">
        <v>767666.96</v>
      </c>
      <c r="P21" s="59">
        <v>879774.34</v>
      </c>
    </row>
    <row r="22" spans="11:24" ht="15" customHeight="1" thickBot="1">
      <c r="K22" s="4"/>
      <c r="L22" s="60"/>
      <c r="M22" s="60"/>
      <c r="N22" s="60"/>
      <c r="O22" s="60"/>
      <c r="P22" s="60"/>
    </row>
    <row r="23" spans="11:24" ht="15" customHeight="1" thickBot="1">
      <c r="K23" s="3" t="s">
        <v>51</v>
      </c>
      <c r="L23" s="58">
        <v>202290.05</v>
      </c>
      <c r="M23" s="58">
        <v>202290.05</v>
      </c>
      <c r="N23" s="58">
        <v>467640.38</v>
      </c>
      <c r="O23" s="58">
        <v>734057.38</v>
      </c>
      <c r="P23" s="58">
        <v>1127159.26</v>
      </c>
    </row>
    <row r="24" spans="11:24" ht="15" customHeight="1" thickBot="1">
      <c r="K24" s="3" t="s">
        <v>52</v>
      </c>
      <c r="L24" s="58">
        <v>41272.800000000003</v>
      </c>
      <c r="M24" s="58">
        <v>41272.800000000003</v>
      </c>
      <c r="N24" s="58">
        <v>44655.24</v>
      </c>
      <c r="O24" s="58">
        <v>47467.71</v>
      </c>
      <c r="P24" s="58">
        <v>52690.82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2:X29"/>
  <sheetViews>
    <sheetView showGridLines="0" zoomScale="69" zoomScaleNormal="92" workbookViewId="0">
      <selection activeCell="C11" sqref="C11"/>
    </sheetView>
  </sheetViews>
  <sheetFormatPr defaultRowHeight="14.4"/>
  <cols>
    <col min="1" max="1" width="1.88671875" customWidth="1"/>
    <col min="2" max="2" width="23.77734375" bestFit="1" customWidth="1"/>
    <col min="3" max="7" width="13.44140625" bestFit="1" customWidth="1"/>
    <col min="8" max="8" width="8.44140625" bestFit="1" customWidth="1"/>
    <col min="9" max="13" width="13.44140625" bestFit="1" customWidth="1"/>
    <col min="16" max="16" width="21.33203125" bestFit="1" customWidth="1"/>
    <col min="18" max="18" width="7.5546875" bestFit="1" customWidth="1"/>
    <col min="20" max="20" width="17.6640625" bestFit="1" customWidth="1"/>
    <col min="22" max="22" width="13.44140625" bestFit="1" customWidth="1"/>
  </cols>
  <sheetData>
    <row r="2" spans="2:24">
      <c r="C2" s="154" t="s">
        <v>53</v>
      </c>
      <c r="D2" s="155"/>
      <c r="E2" s="155"/>
      <c r="F2" s="155"/>
      <c r="G2" s="156"/>
      <c r="H2" s="64" t="s">
        <v>129</v>
      </c>
      <c r="I2" s="151" t="s">
        <v>54</v>
      </c>
      <c r="J2" s="152"/>
      <c r="K2" s="152"/>
      <c r="L2" s="152"/>
      <c r="M2" s="153"/>
    </row>
    <row r="3" spans="2:24">
      <c r="C3" s="57">
        <v>2021</v>
      </c>
      <c r="D3" s="57">
        <f>C3+1</f>
        <v>2022</v>
      </c>
      <c r="E3" s="57">
        <f>D3+1</f>
        <v>2023</v>
      </c>
      <c r="F3" s="57">
        <f>G3-1</f>
        <v>2024</v>
      </c>
      <c r="G3" s="57">
        <v>2025</v>
      </c>
      <c r="H3" s="65"/>
      <c r="I3" s="57">
        <f>G3+1</f>
        <v>2026</v>
      </c>
      <c r="J3" s="57">
        <f>I3+1</f>
        <v>2027</v>
      </c>
      <c r="K3" s="57">
        <f>J3+1</f>
        <v>2028</v>
      </c>
      <c r="L3" s="57">
        <f>K3+1</f>
        <v>2029</v>
      </c>
      <c r="M3" s="57">
        <f>L3+1</f>
        <v>2030</v>
      </c>
    </row>
    <row r="4" spans="2:24">
      <c r="B4" s="57" t="s">
        <v>55</v>
      </c>
      <c r="C4" s="66"/>
      <c r="D4" s="66"/>
      <c r="E4" s="66"/>
      <c r="F4" s="66"/>
      <c r="G4" s="66"/>
      <c r="H4" s="65"/>
      <c r="I4" s="66"/>
      <c r="J4" s="66"/>
      <c r="K4" s="66"/>
      <c r="L4" s="66"/>
    </row>
    <row r="5" spans="2:24" s="17" customFormat="1">
      <c r="B5" s="66" t="s">
        <v>56</v>
      </c>
      <c r="C5" s="67"/>
      <c r="D5" s="67">
        <f>('Consolidated FS'!M17-'Consolidated FS'!L17)/'Consolidated FS'!L17</f>
        <v>0.20732681328255528</v>
      </c>
      <c r="E5" s="67">
        <f>('Consolidated FS'!N17-'Consolidated FS'!M17)/'Consolidated FS'!M17</f>
        <v>0.17943710062218876</v>
      </c>
      <c r="F5" s="67">
        <f>('Consolidated FS'!O17-'Consolidated FS'!N17)/'Consolidated FS'!N17</f>
        <v>0.19839220271280356</v>
      </c>
      <c r="G5" s="67">
        <f>('Consolidated FS'!P17-'Consolidated FS'!O17)/'Consolidated FS'!O17</f>
        <v>0.12969381917919298</v>
      </c>
      <c r="H5" s="68">
        <f>MEDIAN(D5:G5)</f>
        <v>0.18891465166749616</v>
      </c>
      <c r="I5" s="67">
        <f>H5+V5</f>
        <v>0.17113172133399693</v>
      </c>
      <c r="J5" s="67">
        <f>I5+$V$5</f>
        <v>0.1533487910004977</v>
      </c>
      <c r="K5" s="67">
        <f>J5+$V$5</f>
        <v>0.13556586066699847</v>
      </c>
      <c r="L5" s="67">
        <f>K5+$V$5</f>
        <v>0.11778293033349924</v>
      </c>
      <c r="M5" s="67">
        <f>L5+$V$5</f>
        <v>0.1</v>
      </c>
      <c r="P5" t="s">
        <v>130</v>
      </c>
      <c r="Q5"/>
      <c r="R5" s="69">
        <v>0.1</v>
      </c>
      <c r="T5" t="s">
        <v>131</v>
      </c>
      <c r="U5"/>
      <c r="V5" s="17">
        <f>-(H5-R5)/5</f>
        <v>-1.7782930333499231E-2</v>
      </c>
    </row>
    <row r="6" spans="2:24">
      <c r="B6" s="66" t="s">
        <v>57</v>
      </c>
      <c r="C6" s="67"/>
      <c r="D6" s="67">
        <f>('Consolidated FS'!M7-'Consolidated FS'!L7)/'Consolidated FS'!L7</f>
        <v>0.11193503127480885</v>
      </c>
      <c r="E6" s="67">
        <f>('Consolidated FS'!N7-'Consolidated FS'!M7)/'Consolidated FS'!M7</f>
        <v>0.16506899082382998</v>
      </c>
      <c r="F6" s="67">
        <f>('Consolidated FS'!O7-'Consolidated FS'!N7)/'Consolidated FS'!N7</f>
        <v>0.23250070819095014</v>
      </c>
      <c r="G6" s="67">
        <f>('Consolidated FS'!P7-'Consolidated FS'!O7)/'Consolidated FS'!O7</f>
        <v>0.11103118934281392</v>
      </c>
      <c r="H6" s="70">
        <f>MEDIAN(D6:G6)</f>
        <v>0.13850201104931942</v>
      </c>
      <c r="I6" s="67">
        <f>I5-$R$6</f>
        <v>0.16113172133399692</v>
      </c>
      <c r="J6" s="67">
        <f t="shared" ref="J6:M6" si="0">J5-$R$6</f>
        <v>0.14334879100049769</v>
      </c>
      <c r="K6" s="67">
        <f t="shared" si="0"/>
        <v>0.12556586066699846</v>
      </c>
      <c r="L6" s="67">
        <f t="shared" si="0"/>
        <v>0.10778293033349924</v>
      </c>
      <c r="M6" s="67">
        <f t="shared" si="0"/>
        <v>9.0000000000000011E-2</v>
      </c>
      <c r="P6" t="s">
        <v>132</v>
      </c>
      <c r="R6" s="17">
        <v>0.01</v>
      </c>
    </row>
    <row r="7" spans="2:24">
      <c r="B7" s="66" t="s">
        <v>58</v>
      </c>
      <c r="C7" s="67"/>
      <c r="D7" s="17">
        <f>('Consolidated FS'!D5-'Consolidated FS'!D9)/AVERAGE('Consolidated FS'!M17+'Consolidated FS'!M16+'Consolidated FS'!M15,'Consolidated FS'!L17+'Consolidated FS'!L16+'Consolidated FS'!L15)</f>
        <v>6.4520391974100019E-2</v>
      </c>
      <c r="E7" s="17">
        <f>('Consolidated FS'!E5-'Consolidated FS'!E9)/AVERAGE('Consolidated FS'!N17+'Consolidated FS'!N16+'Consolidated FS'!N15,'Consolidated FS'!M17+'Consolidated FS'!M16+'Consolidated FS'!M15)</f>
        <v>5.0429942706786558E-2</v>
      </c>
      <c r="F7" s="17">
        <f>('Consolidated FS'!F5-'Consolidated FS'!F9)/AVERAGE('Consolidated FS'!O17+'Consolidated FS'!O16+'Consolidated FS'!O15,'Consolidated FS'!N17+'Consolidated FS'!N16+'Consolidated FS'!N15)</f>
        <v>5.2481215608554801E-2</v>
      </c>
      <c r="G7" s="17">
        <f>('Consolidated FS'!G5-'Consolidated FS'!G9)/AVERAGE('Consolidated FS'!P17+'Consolidated FS'!P16+'Consolidated FS'!P15,'Consolidated FS'!O17+'Consolidated FS'!O16+'Consolidated FS'!O15)</f>
        <v>4.9415915298261379E-2</v>
      </c>
      <c r="H7" s="70">
        <f>AVERAGE(D7:G7)</f>
        <v>5.4211866396925698E-2</v>
      </c>
      <c r="I7" s="67">
        <f>G7</f>
        <v>4.9415915298261379E-2</v>
      </c>
      <c r="J7" s="67">
        <f>I7+$V$7</f>
        <v>4.8665915298261378E-2</v>
      </c>
      <c r="K7" s="67">
        <f t="shared" ref="K7:M7" si="1">J7+$V$7</f>
        <v>4.7915915298261377E-2</v>
      </c>
      <c r="L7" s="67">
        <f t="shared" si="1"/>
        <v>4.7165915298261377E-2</v>
      </c>
      <c r="M7" s="67">
        <f t="shared" si="1"/>
        <v>4.6415915298261376E-2</v>
      </c>
      <c r="P7" t="s">
        <v>133</v>
      </c>
      <c r="R7" s="71">
        <f>G7-0.003</f>
        <v>4.6415915298261376E-2</v>
      </c>
      <c r="S7" s="9"/>
      <c r="T7" t="s">
        <v>131</v>
      </c>
      <c r="U7" s="9"/>
      <c r="V7" s="72">
        <f>-(G7-R7)/4</f>
        <v>-7.5000000000000067E-4</v>
      </c>
      <c r="W7" s="9"/>
      <c r="X7" s="9"/>
    </row>
    <row r="8" spans="2:24">
      <c r="B8" s="66" t="s">
        <v>59</v>
      </c>
      <c r="C8">
        <f>'Consolidated FS'!C10/'Consolidated FS'!C7</f>
        <v>0.27654888311829567</v>
      </c>
      <c r="D8">
        <f>'Consolidated FS'!D10/'Consolidated FS'!D7</f>
        <v>0.28140478297344196</v>
      </c>
      <c r="E8">
        <f>'Consolidated FS'!E10/'Consolidated FS'!E7</f>
        <v>0.4376447252892231</v>
      </c>
      <c r="F8">
        <f>'Consolidated FS'!F10/'Consolidated FS'!F7</f>
        <v>0.38247061143427696</v>
      </c>
      <c r="G8">
        <f>'Consolidated FS'!G10/'Consolidated FS'!G7</f>
        <v>0.39600666927091516</v>
      </c>
      <c r="H8" s="70">
        <f>MEDIAN(D8:G8)</f>
        <v>0.38923864035259603</v>
      </c>
      <c r="I8" s="67">
        <f>H8+V8</f>
        <v>0.35939091228207681</v>
      </c>
      <c r="J8" s="67">
        <f>I8+$V$8</f>
        <v>0.32954318421155759</v>
      </c>
      <c r="K8" s="67">
        <f t="shared" ref="K8:M8" si="2">J8+$V$8</f>
        <v>0.29969545614103837</v>
      </c>
      <c r="L8" s="67">
        <f t="shared" si="2"/>
        <v>0.26984772807051915</v>
      </c>
      <c r="M8" s="67">
        <f t="shared" si="2"/>
        <v>0.23999999999999994</v>
      </c>
      <c r="P8" t="s">
        <v>134</v>
      </c>
      <c r="R8" s="69">
        <v>0.24</v>
      </c>
      <c r="T8" t="s">
        <v>131</v>
      </c>
      <c r="V8" s="17">
        <f>-(H8-R8)/5</f>
        <v>-2.9847728070519209E-2</v>
      </c>
    </row>
    <row r="9" spans="2:24">
      <c r="B9" s="66" t="s">
        <v>60</v>
      </c>
      <c r="C9" s="67"/>
      <c r="D9" s="67">
        <f>'Consolidated FS'!D11/AVERAGE('Consolidated FS'!M17,'Consolidated FS'!L17)</f>
        <v>1.640852609579008E-2</v>
      </c>
      <c r="E9" s="67">
        <f>'Consolidated FS'!E11/AVERAGE('Consolidated FS'!N17,'Consolidated FS'!M17)</f>
        <v>1.5990269523364634E-2</v>
      </c>
      <c r="F9" s="67">
        <f>'Consolidated FS'!F11/AVERAGE('Consolidated FS'!O17,'Consolidated FS'!N17)</f>
        <v>1.9909886648457404E-2</v>
      </c>
      <c r="G9" s="67">
        <f>'Consolidated FS'!G11/AVERAGE('Consolidated FS'!P17,'Consolidated FS'!O17)</f>
        <v>2.3791220043794054E-2</v>
      </c>
      <c r="H9" s="70">
        <f t="shared" ref="H9" si="3">AVERAGE(D9:G9)</f>
        <v>1.9024975577851544E-2</v>
      </c>
      <c r="I9" s="67">
        <f>H9+V9</f>
        <v>1.8019980462281236E-2</v>
      </c>
      <c r="J9" s="67">
        <f>I9+$V$9</f>
        <v>1.7014985346710927E-2</v>
      </c>
      <c r="K9" s="67">
        <f t="shared" ref="K9:M9" si="4">J9+$V$9</f>
        <v>1.6009990231140619E-2</v>
      </c>
      <c r="L9" s="67">
        <f t="shared" si="4"/>
        <v>1.500499511557031E-2</v>
      </c>
      <c r="M9" s="67">
        <f t="shared" si="4"/>
        <v>1.4000000000000002E-2</v>
      </c>
      <c r="P9" t="s">
        <v>135</v>
      </c>
      <c r="R9" s="17">
        <v>1.4E-2</v>
      </c>
      <c r="T9" t="s">
        <v>131</v>
      </c>
      <c r="V9" s="17">
        <f>-(H9-R9)/5</f>
        <v>-1.0049951155703088E-3</v>
      </c>
    </row>
    <row r="10" spans="2:24">
      <c r="B10" s="66" t="s">
        <v>61</v>
      </c>
      <c r="C10" s="67">
        <f>'Consolidated FS'!C15/'Consolidated FS'!C14</f>
        <v>0.25445887445887444</v>
      </c>
      <c r="D10" s="67">
        <f>'Consolidated FS'!D15/'Consolidated FS'!D14</f>
        <v>0.28252648919839757</v>
      </c>
      <c r="E10" s="67">
        <f>'Consolidated FS'!E15/'Consolidated FS'!E14</f>
        <v>0.2615499895718435</v>
      </c>
      <c r="F10" s="67">
        <f>'Consolidated FS'!F15/'Consolidated FS'!F14</f>
        <v>0.21181800353716093</v>
      </c>
      <c r="G10" s="67">
        <f>'Consolidated FS'!G15/'Consolidated FS'!G14</f>
        <v>0.27739142284165036</v>
      </c>
      <c r="H10" s="73">
        <f>AVERAGE(C10:G10)</f>
        <v>0.25754895592158533</v>
      </c>
      <c r="I10" s="67">
        <f>$H$10</f>
        <v>0.25754895592158533</v>
      </c>
      <c r="J10" s="67">
        <f t="shared" ref="J10:M10" si="5">$H$10</f>
        <v>0.25754895592158533</v>
      </c>
      <c r="K10" s="67">
        <f t="shared" si="5"/>
        <v>0.25754895592158533</v>
      </c>
      <c r="L10" s="67">
        <f t="shared" si="5"/>
        <v>0.25754895592158533</v>
      </c>
      <c r="M10" s="67">
        <f t="shared" si="5"/>
        <v>0.25754895592158533</v>
      </c>
    </row>
    <row r="11" spans="2:24">
      <c r="B11" s="66" t="s">
        <v>62</v>
      </c>
      <c r="C11" s="17">
        <f>1988.22/'Consolidated FS'!C16</f>
        <v>0.19902102102102101</v>
      </c>
      <c r="D11" s="17">
        <f>1988.22/'Consolidated FS'!D16</f>
        <v>0.16446521631235006</v>
      </c>
      <c r="E11" s="17">
        <f>1988.22/'Consolidated FS'!E16</f>
        <v>0.13321398109616006</v>
      </c>
      <c r="F11" s="17">
        <f>1988.22/'Consolidated FS'!F16</f>
        <v>0.10916362354576706</v>
      </c>
      <c r="G11" s="17">
        <f>1988.22/'Consolidated FS'!G16</f>
        <v>8.9859030036622087E-2</v>
      </c>
      <c r="H11" s="73">
        <f>MEDIAN(C11:G11)</f>
        <v>0.13321398109616006</v>
      </c>
      <c r="I11" s="17">
        <f>(1988/I29)+$V$11</f>
        <v>5.5262128609378271E-2</v>
      </c>
      <c r="J11" s="17">
        <f>1988.22/J29</f>
        <v>4.2329017248509203E-2</v>
      </c>
      <c r="K11" s="17">
        <f t="shared" ref="K11:M11" si="6">1988.22/K29</f>
        <v>3.5441984379600791E-2</v>
      </c>
      <c r="L11" s="17">
        <f t="shared" si="6"/>
        <v>3.0469038326124128E-2</v>
      </c>
      <c r="M11" s="17">
        <f t="shared" si="6"/>
        <v>2.6892401326265712E-2</v>
      </c>
      <c r="P11" t="s">
        <v>138</v>
      </c>
      <c r="R11" s="69">
        <v>0.15</v>
      </c>
      <c r="T11" t="s">
        <v>139</v>
      </c>
      <c r="V11">
        <f>(R11-H11)/5</f>
        <v>3.3572037807679867E-3</v>
      </c>
    </row>
    <row r="12" spans="2:24">
      <c r="B12" t="s">
        <v>136</v>
      </c>
      <c r="C12" s="17"/>
      <c r="D12">
        <f xml:space="preserve"> 'Consolidated FS'!D5 / AVERAGE('Consolidated FS'!M17+'Consolidated FS'!M16, 'Consolidated FS'!L17+'Consolidated FS'!L16)</f>
        <v>0.13741640393909715</v>
      </c>
      <c r="E12">
        <f xml:space="preserve"> 'Consolidated FS'!E5 / AVERAGE('Consolidated FS'!N17+'Consolidated FS'!N16, 'Consolidated FS'!M17+'Consolidated FS'!M16)</f>
        <v>7.9963538302330453E-2</v>
      </c>
      <c r="F12">
        <f xml:space="preserve"> 'Consolidated FS'!F5 / AVERAGE('Consolidated FS'!O17+'Consolidated FS'!O16, 'Consolidated FS'!N17+'Consolidated FS'!N16)</f>
        <v>9.1349379987811175E-2</v>
      </c>
      <c r="G12">
        <f xml:space="preserve"> 'Consolidated FS'!G5 / AVERAGE('Consolidated FS'!P17+'Consolidated FS'!P16, 'Consolidated FS'!O17+'Consolidated FS'!O16)</f>
        <v>9.0751826148741041E-2</v>
      </c>
      <c r="H12" s="17"/>
      <c r="I12" s="17"/>
      <c r="J12" s="17"/>
      <c r="K12" s="17"/>
      <c r="L12" s="17"/>
      <c r="M12" s="17"/>
    </row>
    <row r="14" spans="2:24">
      <c r="B14" t="s">
        <v>63</v>
      </c>
      <c r="C14" s="74">
        <f>'Consolidated FS'!L17</f>
        <v>252188.22</v>
      </c>
      <c r="D14" s="74">
        <f>'Consolidated FS'!M17</f>
        <v>304473.59999999998</v>
      </c>
      <c r="E14" s="74">
        <f>'Consolidated FS'!N17</f>
        <v>359107.46</v>
      </c>
      <c r="F14" s="74">
        <f>'Consolidated FS'!O17</f>
        <v>430351.58</v>
      </c>
      <c r="G14" s="74">
        <f>'Consolidated FS'!P17</f>
        <v>486165.52</v>
      </c>
      <c r="I14">
        <f>G14*(1+I5)</f>
        <v>569363.86229083769</v>
      </c>
      <c r="J14">
        <f>I14*(1+J5)</f>
        <v>656675.1222125116</v>
      </c>
      <c r="K14">
        <f>J14*(1+K5)</f>
        <v>745697.85033385712</v>
      </c>
      <c r="L14">
        <f>K14*(1+L5)</f>
        <v>833528.32828956994</v>
      </c>
      <c r="M14">
        <f>L14*(M5+1)</f>
        <v>916881.16111852706</v>
      </c>
    </row>
    <row r="15" spans="2:24">
      <c r="B15" t="s">
        <v>15</v>
      </c>
      <c r="C15" s="74">
        <f>'Consolidated FS'!L7</f>
        <v>278871.40999999997</v>
      </c>
      <c r="D15" s="74">
        <f>'Consolidated FS'!M7</f>
        <v>310086.89</v>
      </c>
      <c r="E15" s="74">
        <f>'Consolidated FS'!N7</f>
        <v>361272.62</v>
      </c>
      <c r="F15" s="74">
        <f>'Consolidated FS'!O7</f>
        <v>445268.76</v>
      </c>
      <c r="G15" s="74">
        <f>'Consolidated FS'!P7</f>
        <v>494707.48</v>
      </c>
      <c r="I15">
        <f>G15*(I6+1)</f>
        <v>574420.54780920385</v>
      </c>
      <c r="J15">
        <f>I15*(1+J6)</f>
        <v>656763.03886349674</v>
      </c>
      <c r="K15">
        <f t="shared" ref="K15:M15" si="7">J15*(1+K6)</f>
        <v>739230.05509266513</v>
      </c>
      <c r="L15">
        <f t="shared" si="7"/>
        <v>818906.43662114663</v>
      </c>
      <c r="M15">
        <f t="shared" si="7"/>
        <v>892608.01591704984</v>
      </c>
    </row>
    <row r="16" spans="2:24">
      <c r="B16" t="s">
        <v>18</v>
      </c>
      <c r="C16" s="74">
        <f>'Consolidated FS'!L8</f>
        <v>47738.9</v>
      </c>
      <c r="D16" s="74">
        <f>'Consolidated FS'!M8</f>
        <v>55148.27</v>
      </c>
      <c r="E16" s="74">
        <f>'Consolidated FS'!N8</f>
        <v>57033.919999999998</v>
      </c>
      <c r="F16" s="74">
        <f>'Consolidated FS'!O8</f>
        <v>75105.61</v>
      </c>
      <c r="G16" s="74">
        <f>'Consolidated FS'!P8</f>
        <v>97622.03</v>
      </c>
      <c r="I16">
        <f>I14*0.18</f>
        <v>102485.49521235078</v>
      </c>
      <c r="J16">
        <f t="shared" ref="J16:M16" si="8">J14*0.18</f>
        <v>118201.52199825208</v>
      </c>
      <c r="K16">
        <f t="shared" si="8"/>
        <v>134225.61306009427</v>
      </c>
      <c r="L16">
        <f t="shared" si="8"/>
        <v>150035.09909212257</v>
      </c>
      <c r="M16">
        <f t="shared" si="8"/>
        <v>165038.60900133487</v>
      </c>
    </row>
    <row r="18" spans="2:22">
      <c r="B18" t="s">
        <v>64</v>
      </c>
      <c r="C18" s="61">
        <f>'Consolidated FS'!C5</f>
        <v>53947</v>
      </c>
      <c r="D18" s="61">
        <f>'Consolidated FS'!D5</f>
        <v>62452</v>
      </c>
      <c r="E18" s="61">
        <f>'Consolidated FS'!E5</f>
        <v>42151.06</v>
      </c>
      <c r="F18" s="61">
        <f>'Consolidated FS'!F5</f>
        <v>56236.63</v>
      </c>
      <c r="G18" s="61">
        <f>'Consolidated FS'!G5</f>
        <v>65668.83</v>
      </c>
      <c r="I18">
        <f>((I14+G14)/2)*(('Consolidated FS'!P15+'Consolidated FS'!P16+'Consolidated FS'!P17)/'Consolidated FS'!P17)*I7+I19</f>
        <v>75582.389217827716</v>
      </c>
      <c r="J18">
        <f>((J14+I14)/2)*(('Consolidated FS'!P15+'Consolidated FS'!P16+'Consolidated FS'!P17)/'Consolidated FS'!P17)*J7+J19</f>
        <v>86458.943331134986</v>
      </c>
      <c r="K18">
        <f>((K14+J14)/2)*(('Consolidated FS'!P15+'Consolidated FS'!P16+'Consolidated FS'!P17)/'Consolidated FS'!P17)*K7+K19</f>
        <v>97708.445442383614</v>
      </c>
      <c r="L18">
        <f>((L14+K14)/2)*(('Consolidated FS'!P15+'Consolidated FS'!P16+'Consolidated FS'!P17)/'Consolidated FS'!P17)*L7+L19</f>
        <v>108693.19258978422</v>
      </c>
      <c r="M18">
        <f>((M14+L14)/2)*(('Consolidated FS'!P15+'Consolidated FS'!P16+'Consolidated FS'!P17)/'Consolidated FS'!P17)*M7+M19</f>
        <v>118990.2743385747</v>
      </c>
    </row>
    <row r="19" spans="2:22">
      <c r="B19" t="s">
        <v>65</v>
      </c>
      <c r="C19" s="61">
        <f>'Consolidated FS'!C9</f>
        <v>26891</v>
      </c>
      <c r="D19" s="61">
        <f>'Consolidated FS'!D9</f>
        <v>31254</v>
      </c>
      <c r="E19" s="61">
        <f>'Consolidated FS'!E9</f>
        <v>14411.13</v>
      </c>
      <c r="F19" s="61">
        <f>'Consolidated FS'!F9</f>
        <v>22567.24</v>
      </c>
      <c r="G19" s="61">
        <f>'Consolidated FS'!G9</f>
        <v>28274.55</v>
      </c>
      <c r="I19">
        <f>((I15 + I16 + G15 + G16) / 2) * WACC!$F$16</f>
        <v>32252.12453261653</v>
      </c>
      <c r="J19">
        <f>((J15 + J16 + I15 + I16) / 2) * WACC!$F$16</f>
        <v>36893.003359553899</v>
      </c>
      <c r="K19">
        <f>((K15 + K16 + J15 + J16) / 2) * WACC!$F$16</f>
        <v>41887.460827657189</v>
      </c>
      <c r="L19">
        <f>((L15 + L16 + K15 + K16) / 2) * WACC!$F$16</f>
        <v>46816.545531026837</v>
      </c>
      <c r="M19">
        <f>((M15 + M16 + L15 + L16) / 2) * WACC!$F$16</f>
        <v>51496.960967897168</v>
      </c>
    </row>
    <row r="20" spans="2:22">
      <c r="B20" t="s">
        <v>66</v>
      </c>
      <c r="C20" s="61">
        <f>C18-C19</f>
        <v>27056</v>
      </c>
      <c r="D20" s="61">
        <f t="shared" ref="D20:G20" si="9">D18-D19</f>
        <v>31198</v>
      </c>
      <c r="E20" s="61">
        <f t="shared" si="9"/>
        <v>27739.93</v>
      </c>
      <c r="F20" s="61">
        <f t="shared" si="9"/>
        <v>33669.39</v>
      </c>
      <c r="G20" s="61">
        <f t="shared" si="9"/>
        <v>37394.28</v>
      </c>
      <c r="I20" s="61">
        <f>I18-I19</f>
        <v>43330.264685211187</v>
      </c>
      <c r="J20" s="61">
        <f t="shared" ref="J20:M20" si="10">J18-J19</f>
        <v>49565.939971581087</v>
      </c>
      <c r="K20" s="61">
        <f t="shared" si="10"/>
        <v>55820.984614726425</v>
      </c>
      <c r="L20" s="61">
        <f t="shared" si="10"/>
        <v>61876.647058757379</v>
      </c>
      <c r="M20" s="61">
        <f t="shared" si="10"/>
        <v>67493.313370677526</v>
      </c>
    </row>
    <row r="21" spans="2:22">
      <c r="B21" t="s">
        <v>11</v>
      </c>
      <c r="C21" s="61">
        <f>'Consolidated FS'!C6</f>
        <v>19606</v>
      </c>
      <c r="D21" s="61">
        <f>'Consolidated FS'!D6</f>
        <v>24565</v>
      </c>
      <c r="E21" s="61">
        <f>'Consolidated FS'!E6</f>
        <v>30163</v>
      </c>
      <c r="F21" s="61">
        <f>'Consolidated FS'!F6</f>
        <v>36685</v>
      </c>
      <c r="G21" s="61">
        <f>'Consolidated FS'!G6</f>
        <v>43703</v>
      </c>
      <c r="I21">
        <f>G21*(1+R21+V21)</f>
        <v>52043.461958506028</v>
      </c>
      <c r="J21">
        <f>I21*(1+R21+2*V21)</f>
        <v>60351.321839680182</v>
      </c>
      <c r="K21">
        <f>J21*(1+R21+3*V21)</f>
        <v>68101.763868386872</v>
      </c>
      <c r="L21" s="75">
        <f>K21*(1+R21+4*V21)</f>
        <v>74722.007017294178</v>
      </c>
      <c r="M21" s="75">
        <f>L21*(1+R21+5*V21)</f>
        <v>79653.659480435599</v>
      </c>
      <c r="P21" t="s">
        <v>137</v>
      </c>
      <c r="R21" s="17">
        <f>MEDIAN((D21-C21)/C21,(E21-D21)/D21,(F21-E21)/E21,(G21-F21)/F21)</f>
        <v>0.22205518953235559</v>
      </c>
      <c r="T21" t="s">
        <v>131</v>
      </c>
      <c r="V21" s="17">
        <f>-(R21-WACC!$C$15)/5</f>
        <v>-3.1211037906471117E-2</v>
      </c>
    </row>
    <row r="22" spans="2:22">
      <c r="B22" t="s">
        <v>14</v>
      </c>
      <c r="C22" s="61">
        <f>'Consolidated FS'!C7</f>
        <v>73553</v>
      </c>
      <c r="D22" s="61">
        <f>'Consolidated FS'!D7</f>
        <v>87017</v>
      </c>
      <c r="E22" s="61">
        <f>'Consolidated FS'!E7</f>
        <v>68142.03</v>
      </c>
      <c r="F22" s="61">
        <f>'Consolidated FS'!F7</f>
        <v>94273.91</v>
      </c>
      <c r="G22" s="61">
        <f>'Consolidated FS'!G7</f>
        <v>106902.24</v>
      </c>
      <c r="I22" s="61">
        <f>I21+I20</f>
        <v>95373.726643717207</v>
      </c>
      <c r="J22" s="61">
        <f t="shared" ref="J22:M22" si="11">J21+J20</f>
        <v>109917.26181126127</v>
      </c>
      <c r="K22" s="61">
        <f t="shared" si="11"/>
        <v>123922.7484831133</v>
      </c>
      <c r="L22" s="61">
        <f t="shared" si="11"/>
        <v>136598.65407605155</v>
      </c>
      <c r="M22" s="61">
        <f t="shared" si="11"/>
        <v>147146.97285111313</v>
      </c>
    </row>
    <row r="24" spans="2:22">
      <c r="B24" t="s">
        <v>67</v>
      </c>
      <c r="C24" s="61">
        <f>'Consolidated FS'!C10</f>
        <v>20341</v>
      </c>
      <c r="D24" s="61">
        <f>'Consolidated FS'!D10</f>
        <v>24487</v>
      </c>
      <c r="E24" s="61">
        <f>'Consolidated FS'!E10</f>
        <v>29822</v>
      </c>
      <c r="F24" s="61">
        <f>'Consolidated FS'!F10</f>
        <v>36057</v>
      </c>
      <c r="G24" s="61">
        <f>'Consolidated FS'!G10</f>
        <v>42334</v>
      </c>
      <c r="I24">
        <f>I22*I8</f>
        <v>34276.450626226942</v>
      </c>
      <c r="J24">
        <f t="shared" ref="J24:M24" si="12">J22*J8</f>
        <v>36222.484457098479</v>
      </c>
      <c r="K24">
        <f t="shared" si="12"/>
        <v>37139.084632897815</v>
      </c>
      <c r="L24">
        <f t="shared" si="12"/>
        <v>36860.836459913269</v>
      </c>
      <c r="M24">
        <f t="shared" si="12"/>
        <v>35315.273484267142</v>
      </c>
    </row>
    <row r="25" spans="2:22">
      <c r="B25" t="s">
        <v>68</v>
      </c>
      <c r="C25" s="61">
        <f>'Consolidated FS'!C11</f>
        <v>3221</v>
      </c>
      <c r="D25" s="61">
        <f>'Consolidated FS'!D11</f>
        <v>4567</v>
      </c>
      <c r="E25" s="61">
        <f>'Consolidated FS'!E11</f>
        <v>5305.42</v>
      </c>
      <c r="F25" s="61">
        <f>'Consolidated FS'!F11</f>
        <v>7859.02</v>
      </c>
      <c r="G25" s="61">
        <f>'Consolidated FS'!G11</f>
        <v>10902.53</v>
      </c>
      <c r="I25">
        <f>((I14+G14)/2)*I9</f>
        <v>9510.3094231223386</v>
      </c>
      <c r="J25">
        <f>((J14+I14)/2)*J9</f>
        <v>10430.517677910417</v>
      </c>
      <c r="K25" s="75">
        <f>((K14+J14)/2)*K9</f>
        <v>11225.988795441499</v>
      </c>
      <c r="L25">
        <f>((L14+K14)/2)*L9</f>
        <v>11848.140548312645</v>
      </c>
      <c r="M25">
        <f>((M14+L14)/2)*M9</f>
        <v>12252.866425856681</v>
      </c>
    </row>
    <row r="26" spans="2:22">
      <c r="B26" t="s">
        <v>69</v>
      </c>
      <c r="C26" s="61">
        <f>'Consolidated FS'!C14</f>
        <v>23100</v>
      </c>
      <c r="D26" s="61">
        <f>'Consolidated FS'!D14</f>
        <v>26709</v>
      </c>
      <c r="E26" s="61">
        <f>'Consolidated FS'!E14</f>
        <v>18603.480000000003</v>
      </c>
      <c r="F26" s="61">
        <f>'Consolidated FS'!F14</f>
        <v>27790.649999999994</v>
      </c>
      <c r="G26" s="61">
        <f>'Consolidated FS'!G14</f>
        <v>25391.160000000003</v>
      </c>
      <c r="I26" s="61">
        <f>I22-I24-I25</f>
        <v>51586.966594367928</v>
      </c>
      <c r="J26" s="61">
        <f t="shared" ref="J26:M26" si="13">J22-J24-J25</f>
        <v>63264.259676252383</v>
      </c>
      <c r="K26" s="61">
        <f t="shared" si="13"/>
        <v>75557.675054773994</v>
      </c>
      <c r="L26" s="61">
        <f t="shared" si="13"/>
        <v>87889.677067825643</v>
      </c>
      <c r="M26" s="61">
        <f t="shared" si="13"/>
        <v>99578.83294098929</v>
      </c>
    </row>
    <row r="27" spans="2:22">
      <c r="B27" t="s">
        <v>70</v>
      </c>
      <c r="C27" s="61">
        <f>'Consolidated FS'!C15</f>
        <v>5878</v>
      </c>
      <c r="D27" s="61">
        <f>'Consolidated FS'!D15</f>
        <v>7546</v>
      </c>
      <c r="E27" s="61">
        <f>'Consolidated FS'!E15</f>
        <v>4865.74</v>
      </c>
      <c r="F27" s="61">
        <f>'Consolidated FS'!F15</f>
        <v>5886.56</v>
      </c>
      <c r="G27" s="61">
        <f>'Consolidated FS'!G15</f>
        <v>7043.29</v>
      </c>
      <c r="I27">
        <f>I26*I10</f>
        <v>13286.169385541161</v>
      </c>
      <c r="J27">
        <f t="shared" ref="J27:M27" si="14">J26*J10</f>
        <v>16293.644026770853</v>
      </c>
      <c r="K27">
        <f t="shared" si="14"/>
        <v>19459.800322219457</v>
      </c>
      <c r="L27">
        <f t="shared" si="14"/>
        <v>22635.894565103798</v>
      </c>
      <c r="M27">
        <f t="shared" si="14"/>
        <v>25646.424455841759</v>
      </c>
    </row>
    <row r="29" spans="2:22">
      <c r="B29" t="s">
        <v>71</v>
      </c>
      <c r="C29" s="61">
        <f>'Consolidated FS'!C16</f>
        <v>9990</v>
      </c>
      <c r="D29" s="61">
        <f>'Consolidated FS'!D16</f>
        <v>12089</v>
      </c>
      <c r="E29" s="61">
        <f>'Consolidated FS'!E16</f>
        <v>14925.01</v>
      </c>
      <c r="F29" s="61">
        <f>'Consolidated FS'!F16</f>
        <v>18213.21</v>
      </c>
      <c r="G29" s="61">
        <f>'Consolidated FS'!G16</f>
        <v>22125.99</v>
      </c>
      <c r="I29" s="61">
        <f>I26-I27</f>
        <v>38300.797208826771</v>
      </c>
      <c r="J29" s="61">
        <f t="shared" ref="J29:M29" si="15">J26-J27</f>
        <v>46970.61564948153</v>
      </c>
      <c r="K29" s="61">
        <f t="shared" si="15"/>
        <v>56097.874732554541</v>
      </c>
      <c r="L29" s="61">
        <f t="shared" si="15"/>
        <v>65253.78250272185</v>
      </c>
      <c r="M29" s="61">
        <f t="shared" si="15"/>
        <v>73932.408485147535</v>
      </c>
    </row>
  </sheetData>
  <mergeCells count="2">
    <mergeCell ref="I2:M2"/>
    <mergeCell ref="C2:G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14E28-71C7-4741-8E8D-7544CA6393D6}">
  <sheetPr codeName="Sheet3"/>
  <dimension ref="B2:L11"/>
  <sheetViews>
    <sheetView showGridLines="0" zoomScale="77" zoomScaleNormal="80" workbookViewId="0">
      <selection activeCell="H3" sqref="H3"/>
    </sheetView>
  </sheetViews>
  <sheetFormatPr defaultRowHeight="14.4"/>
  <cols>
    <col min="1" max="1" width="1.88671875" customWidth="1"/>
    <col min="2" max="2" width="16.6640625" bestFit="1" customWidth="1"/>
    <col min="3" max="3" width="9" bestFit="1" customWidth="1"/>
    <col min="4" max="4" width="9.5546875" bestFit="1" customWidth="1"/>
    <col min="5" max="7" width="10" bestFit="1" customWidth="1"/>
    <col min="8" max="8" width="12.5546875" bestFit="1" customWidth="1"/>
    <col min="9" max="12" width="9.5546875" bestFit="1" customWidth="1"/>
  </cols>
  <sheetData>
    <row r="2" spans="2:12">
      <c r="C2" s="131">
        <v>2021</v>
      </c>
      <c r="D2" s="131">
        <f>C2+1</f>
        <v>2022</v>
      </c>
      <c r="E2" s="131">
        <f t="shared" ref="E2:L2" si="0">D2+1</f>
        <v>2023</v>
      </c>
      <c r="F2" s="131">
        <f t="shared" si="0"/>
        <v>2024</v>
      </c>
      <c r="G2" s="131">
        <f t="shared" si="0"/>
        <v>2025</v>
      </c>
      <c r="H2" s="131">
        <f t="shared" si="0"/>
        <v>2026</v>
      </c>
      <c r="I2" s="131">
        <f t="shared" si="0"/>
        <v>2027</v>
      </c>
      <c r="J2" s="131">
        <f t="shared" si="0"/>
        <v>2028</v>
      </c>
      <c r="K2" s="131">
        <f t="shared" si="0"/>
        <v>2029</v>
      </c>
      <c r="L2" s="131">
        <f t="shared" si="0"/>
        <v>2030</v>
      </c>
    </row>
    <row r="3" spans="2:12">
      <c r="B3" t="s">
        <v>145</v>
      </c>
      <c r="C3" s="74">
        <f>'Consolidated FS'!L4+'Consolidated FS'!L6</f>
        <v>84836.45</v>
      </c>
      <c r="D3" s="74">
        <f>C7</f>
        <v>92838.23</v>
      </c>
      <c r="E3" s="74">
        <f t="shared" ref="E3:L3" si="1">D7</f>
        <v>102939.01</v>
      </c>
      <c r="F3" s="74">
        <f t="shared" si="1"/>
        <v>115875.79999999999</v>
      </c>
      <c r="G3" s="74">
        <f t="shared" si="1"/>
        <v>132100.78999999998</v>
      </c>
      <c r="H3" s="74">
        <f t="shared" si="1"/>
        <v>152238.55999999997</v>
      </c>
      <c r="I3" s="74">
        <f t="shared" si="1"/>
        <v>188422.77362763084</v>
      </c>
      <c r="J3" s="74">
        <f t="shared" si="1"/>
        <v>233405.16927711238</v>
      </c>
      <c r="K3" s="74">
        <f t="shared" si="1"/>
        <v>287514.82400966692</v>
      </c>
      <c r="L3" s="74">
        <f t="shared" si="1"/>
        <v>350780.38651238877</v>
      </c>
    </row>
    <row r="4" spans="2:12">
      <c r="B4" t="s">
        <v>71</v>
      </c>
      <c r="C4" s="74">
        <f>'Assumptions '!C29</f>
        <v>9990</v>
      </c>
      <c r="D4" s="74">
        <f>'Assumptions '!D29</f>
        <v>12089</v>
      </c>
      <c r="E4" s="74">
        <f>'Assumptions '!E29</f>
        <v>14925.01</v>
      </c>
      <c r="F4" s="74">
        <f>'Assumptions '!F29</f>
        <v>18213.21</v>
      </c>
      <c r="G4" s="74">
        <f>'Assumptions '!G29</f>
        <v>22125.99</v>
      </c>
      <c r="H4" s="74">
        <f>'Assumptions '!I29</f>
        <v>38300.797208826771</v>
      </c>
      <c r="I4" s="74">
        <f>'Assumptions '!J29</f>
        <v>46970.61564948153</v>
      </c>
      <c r="J4" s="74">
        <f>'Assumptions '!K29</f>
        <v>56097.874732554541</v>
      </c>
      <c r="K4" s="74">
        <f>'Assumptions '!L29</f>
        <v>65253.78250272185</v>
      </c>
      <c r="L4" s="74">
        <f>'Assumptions '!M29</f>
        <v>73932.408485147535</v>
      </c>
    </row>
    <row r="5" spans="2:12">
      <c r="B5" t="s">
        <v>140</v>
      </c>
      <c r="C5">
        <f>'Assumptions '!C29*'Assumptions '!C11</f>
        <v>1988.2199999999998</v>
      </c>
      <c r="D5">
        <f>'Assumptions '!D29*'Assumptions '!D11</f>
        <v>1988.2199999999998</v>
      </c>
      <c r="E5">
        <f>'Assumptions '!E29*'Assumptions '!E11</f>
        <v>1988.2199999999998</v>
      </c>
      <c r="F5">
        <f>'Assumptions '!F29*'Assumptions '!F11</f>
        <v>1988.22</v>
      </c>
      <c r="G5">
        <f>'Assumptions '!G29*'Assumptions '!G11</f>
        <v>1988.22</v>
      </c>
      <c r="H5">
        <f>'Assumptions '!I29*'Assumptions '!I11</f>
        <v>2116.5835811959014</v>
      </c>
      <c r="I5">
        <f>'Assumptions '!J29*'Assumptions '!J11</f>
        <v>1988.22</v>
      </c>
      <c r="J5">
        <f>'Assumptions '!K29*'Assumptions '!K11</f>
        <v>1988.22</v>
      </c>
      <c r="K5">
        <f>'Assumptions '!L29*'Assumptions '!L11</f>
        <v>1988.22</v>
      </c>
      <c r="L5">
        <f>'Assumptions '!M29*'Assumptions '!M11</f>
        <v>1988.22</v>
      </c>
    </row>
    <row r="6" spans="2:12">
      <c r="B6" t="s">
        <v>141</v>
      </c>
      <c r="C6" s="74">
        <f>C4-C5</f>
        <v>8001.7800000000007</v>
      </c>
      <c r="D6" s="74">
        <f t="shared" ref="D6:L6" si="2">D4-D5</f>
        <v>10100.780000000001</v>
      </c>
      <c r="E6" s="74">
        <f t="shared" si="2"/>
        <v>12936.79</v>
      </c>
      <c r="F6" s="74">
        <f t="shared" si="2"/>
        <v>16224.99</v>
      </c>
      <c r="G6" s="74">
        <f t="shared" si="2"/>
        <v>20137.77</v>
      </c>
      <c r="H6" s="74">
        <f t="shared" si="2"/>
        <v>36184.213627630867</v>
      </c>
      <c r="I6" s="74">
        <f t="shared" si="2"/>
        <v>44982.395649481528</v>
      </c>
      <c r="J6" s="74">
        <f t="shared" si="2"/>
        <v>54109.65473255454</v>
      </c>
      <c r="K6" s="74">
        <f t="shared" si="2"/>
        <v>63265.562502721848</v>
      </c>
      <c r="L6" s="74">
        <f t="shared" si="2"/>
        <v>71944.188485147533</v>
      </c>
    </row>
    <row r="7" spans="2:12">
      <c r="B7" t="s">
        <v>142</v>
      </c>
      <c r="C7" s="74">
        <f>C3+C6</f>
        <v>92838.23</v>
      </c>
      <c r="D7" s="74">
        <f t="shared" ref="D7:L7" si="3">D3+D6</f>
        <v>102939.01</v>
      </c>
      <c r="E7" s="74">
        <f t="shared" si="3"/>
        <v>115875.79999999999</v>
      </c>
      <c r="F7" s="74">
        <f t="shared" si="3"/>
        <v>132100.78999999998</v>
      </c>
      <c r="G7" s="74">
        <f t="shared" si="3"/>
        <v>152238.55999999997</v>
      </c>
      <c r="H7" s="74">
        <f t="shared" si="3"/>
        <v>188422.77362763084</v>
      </c>
      <c r="I7" s="74">
        <f t="shared" si="3"/>
        <v>233405.16927711238</v>
      </c>
      <c r="J7" s="74">
        <f t="shared" si="3"/>
        <v>287514.82400966692</v>
      </c>
      <c r="K7" s="74">
        <f t="shared" si="3"/>
        <v>350780.38651238877</v>
      </c>
      <c r="L7" s="74">
        <f t="shared" si="3"/>
        <v>422724.57499753631</v>
      </c>
    </row>
    <row r="8" spans="2:12">
      <c r="B8" t="s">
        <v>143</v>
      </c>
      <c r="C8">
        <f>(C3+C7)/2</f>
        <v>88837.34</v>
      </c>
      <c r="D8">
        <f t="shared" ref="D8:L8" si="4">(D3+D7)/2</f>
        <v>97888.62</v>
      </c>
      <c r="E8">
        <f t="shared" si="4"/>
        <v>109407.405</v>
      </c>
      <c r="F8">
        <f t="shared" si="4"/>
        <v>123988.29499999998</v>
      </c>
      <c r="G8">
        <f t="shared" si="4"/>
        <v>142169.67499999999</v>
      </c>
      <c r="H8">
        <f t="shared" si="4"/>
        <v>170330.66681381542</v>
      </c>
      <c r="I8">
        <f t="shared" si="4"/>
        <v>210913.97145237162</v>
      </c>
      <c r="J8">
        <f t="shared" si="4"/>
        <v>260459.99664338963</v>
      </c>
      <c r="K8">
        <f t="shared" si="4"/>
        <v>319147.60526102781</v>
      </c>
      <c r="L8">
        <f t="shared" si="4"/>
        <v>386752.48075496254</v>
      </c>
    </row>
    <row r="9" spans="2:12">
      <c r="B9" t="s">
        <v>144</v>
      </c>
      <c r="C9" s="17">
        <f>C4/C8</f>
        <v>0.11245271414024778</v>
      </c>
      <c r="D9" s="17">
        <f t="shared" ref="D9:L9" si="5">D4/D8</f>
        <v>0.12349750154818814</v>
      </c>
      <c r="E9" s="17">
        <f t="shared" si="5"/>
        <v>0.13641681749055287</v>
      </c>
      <c r="F9" s="17">
        <f t="shared" si="5"/>
        <v>0.14689459194515098</v>
      </c>
      <c r="G9" s="17">
        <f t="shared" si="5"/>
        <v>0.15563086853789321</v>
      </c>
      <c r="H9" s="17">
        <f t="shared" si="5"/>
        <v>0.22486142939070686</v>
      </c>
      <c r="I9" s="17">
        <f t="shared" si="5"/>
        <v>0.22270035183557474</v>
      </c>
      <c r="J9" s="17">
        <f t="shared" si="5"/>
        <v>0.21538000251670616</v>
      </c>
      <c r="K9" s="17">
        <f t="shared" si="5"/>
        <v>0.20446270448857479</v>
      </c>
      <c r="L9" s="17">
        <f t="shared" si="5"/>
        <v>0.19116207953166151</v>
      </c>
    </row>
    <row r="10" spans="2:12">
      <c r="B10" t="s">
        <v>146</v>
      </c>
      <c r="C10" s="17">
        <f>WACC!$C$18</f>
        <v>0.13429083548580473</v>
      </c>
      <c r="D10" s="17">
        <f>WACC!$C$18</f>
        <v>0.13429083548580473</v>
      </c>
      <c r="E10" s="17">
        <f>WACC!$C$18</f>
        <v>0.13429083548580473</v>
      </c>
      <c r="F10" s="17">
        <f>WACC!$C$18</f>
        <v>0.13429083548580473</v>
      </c>
      <c r="G10" s="17">
        <f>WACC!$C$18</f>
        <v>0.13429083548580473</v>
      </c>
      <c r="H10" s="17">
        <f>WACC!$C$18</f>
        <v>0.13429083548580473</v>
      </c>
      <c r="I10" s="17">
        <f>WACC!$C$18</f>
        <v>0.13429083548580473</v>
      </c>
      <c r="J10" s="17">
        <f>WACC!$C$18</f>
        <v>0.13429083548580473</v>
      </c>
      <c r="K10" s="17">
        <f>WACC!$C$18</f>
        <v>0.13429083548580473</v>
      </c>
      <c r="L10" s="17">
        <f>WACC!$C$18</f>
        <v>0.13429083548580473</v>
      </c>
    </row>
    <row r="11" spans="2:12">
      <c r="B11" t="s">
        <v>147</v>
      </c>
      <c r="C11" s="17">
        <f>C9-C10</f>
        <v>-2.1838121345556946E-2</v>
      </c>
      <c r="D11" s="17">
        <f t="shared" ref="D11:L11" si="6">D9-D10</f>
        <v>-1.0793333937616584E-2</v>
      </c>
      <c r="E11" s="17">
        <f t="shared" si="6"/>
        <v>2.1259820047481448E-3</v>
      </c>
      <c r="F11" s="17">
        <f t="shared" si="6"/>
        <v>1.2603756459346249E-2</v>
      </c>
      <c r="G11" s="17">
        <f t="shared" si="6"/>
        <v>2.1340033052088481E-2</v>
      </c>
      <c r="H11" s="17">
        <f t="shared" si="6"/>
        <v>9.057059390490213E-2</v>
      </c>
      <c r="I11" s="17">
        <f t="shared" si="6"/>
        <v>8.8409516349770012E-2</v>
      </c>
      <c r="J11" s="17">
        <f t="shared" si="6"/>
        <v>8.1089167030901438E-2</v>
      </c>
      <c r="K11" s="17">
        <f t="shared" si="6"/>
        <v>7.017186900277006E-2</v>
      </c>
      <c r="L11" s="17">
        <f t="shared" si="6"/>
        <v>5.6871244045856778E-2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9A6CC-9961-4AA3-97B3-844CEAA10A95}">
  <sheetPr codeName="Sheet4"/>
  <dimension ref="B2:K20"/>
  <sheetViews>
    <sheetView showGridLines="0" tabSelected="1" workbookViewId="0">
      <selection activeCell="C16" sqref="C16"/>
    </sheetView>
  </sheetViews>
  <sheetFormatPr defaultRowHeight="14.4"/>
  <cols>
    <col min="2" max="2" width="16.88671875" bestFit="1" customWidth="1"/>
    <col min="3" max="4" width="8.5546875" bestFit="1" customWidth="1"/>
    <col min="5" max="5" width="13.109375" bestFit="1" customWidth="1"/>
    <col min="6" max="7" width="8.5546875" bestFit="1" customWidth="1"/>
    <col min="8" max="8" width="10.33203125" bestFit="1" customWidth="1"/>
    <col min="10" max="10" width="21.77734375" bestFit="1" customWidth="1"/>
    <col min="11" max="11" width="25.109375" bestFit="1" customWidth="1"/>
  </cols>
  <sheetData>
    <row r="2" spans="2:11">
      <c r="B2" s="57" t="s">
        <v>148</v>
      </c>
      <c r="C2" s="57" t="s">
        <v>149</v>
      </c>
      <c r="D2" s="57" t="s">
        <v>150</v>
      </c>
      <c r="E2" s="57" t="s">
        <v>151</v>
      </c>
      <c r="F2" s="57" t="s">
        <v>91</v>
      </c>
      <c r="G2" s="57" t="s">
        <v>152</v>
      </c>
      <c r="J2" s="158" t="s">
        <v>166</v>
      </c>
      <c r="K2" s="159"/>
    </row>
    <row r="3" spans="2:11">
      <c r="B3" s="66" t="s">
        <v>153</v>
      </c>
      <c r="C3" s="66">
        <v>2026</v>
      </c>
      <c r="D3" s="66">
        <v>2027</v>
      </c>
      <c r="E3" s="66">
        <v>2028</v>
      </c>
      <c r="F3" s="66">
        <v>2029</v>
      </c>
      <c r="G3" s="66">
        <v>2030</v>
      </c>
      <c r="J3" s="80" t="s">
        <v>167</v>
      </c>
      <c r="K3" s="82" t="s">
        <v>168</v>
      </c>
    </row>
    <row r="4" spans="2:11">
      <c r="B4" s="66" t="s">
        <v>145</v>
      </c>
      <c r="C4" s="77">
        <f>'Equity Schedule '!H3</f>
        <v>152238.55999999997</v>
      </c>
      <c r="D4" s="77">
        <f>'Equity Schedule '!I3</f>
        <v>188422.77362763084</v>
      </c>
      <c r="E4" s="77">
        <f>'Equity Schedule '!J3</f>
        <v>233405.16927711238</v>
      </c>
      <c r="F4" s="77">
        <f>'Equity Schedule '!K3</f>
        <v>287514.82400966692</v>
      </c>
      <c r="G4" s="77">
        <f>'Equity Schedule '!L3</f>
        <v>350780.38651238877</v>
      </c>
      <c r="J4" s="81" t="s">
        <v>169</v>
      </c>
      <c r="K4" s="83" t="s">
        <v>170</v>
      </c>
    </row>
    <row r="5" spans="2:11">
      <c r="B5" s="66" t="s">
        <v>71</v>
      </c>
      <c r="C5" s="77">
        <f>'Equity Schedule '!H4</f>
        <v>38300.797208826771</v>
      </c>
      <c r="D5" s="77">
        <f>'Equity Schedule '!I4</f>
        <v>46970.61564948153</v>
      </c>
      <c r="E5" s="77">
        <f>'Equity Schedule '!J4</f>
        <v>56097.874732554541</v>
      </c>
      <c r="F5" s="77">
        <f>'Equity Schedule '!K4</f>
        <v>65253.78250272185</v>
      </c>
      <c r="G5" s="77">
        <f>'Equity Schedule '!L4</f>
        <v>73932.408485147535</v>
      </c>
      <c r="J5" s="80" t="s">
        <v>171</v>
      </c>
      <c r="K5" s="82" t="s">
        <v>172</v>
      </c>
    </row>
    <row r="6" spans="2:11">
      <c r="B6" s="66" t="s">
        <v>154</v>
      </c>
      <c r="C6" s="77">
        <f>'Equity Schedule '!H3*WACC!$C$18</f>
        <v>20444.243415555808</v>
      </c>
      <c r="D6" s="77">
        <f>'Equity Schedule '!I3*WACC!$C$18</f>
        <v>25303.451695007199</v>
      </c>
      <c r="E6" s="77">
        <f>'Equity Schedule '!J3*WACC!$C$18</f>
        <v>31344.175188929101</v>
      </c>
      <c r="F6" s="77">
        <f>'Equity Schedule '!K3*WACC!$C$18</f>
        <v>38610.605930812279</v>
      </c>
      <c r="G6" s="77">
        <f>'Equity Schedule '!L3*WACC!$C$18</f>
        <v>47106.591176782196</v>
      </c>
      <c r="J6" s="81" t="s">
        <v>173</v>
      </c>
      <c r="K6" s="83">
        <v>994045500</v>
      </c>
    </row>
    <row r="7" spans="2:11">
      <c r="B7" s="66" t="s">
        <v>155</v>
      </c>
      <c r="C7" s="77">
        <f>C5-C6</f>
        <v>17856.553793270963</v>
      </c>
      <c r="D7" s="77">
        <f t="shared" ref="D7:G7" si="0">D5-D6</f>
        <v>21667.16395447433</v>
      </c>
      <c r="E7" s="77">
        <f t="shared" si="0"/>
        <v>24753.69954362544</v>
      </c>
      <c r="F7" s="77">
        <f t="shared" si="0"/>
        <v>26643.176571909571</v>
      </c>
      <c r="G7" s="77">
        <f t="shared" si="0"/>
        <v>26825.817308365338</v>
      </c>
      <c r="J7" s="80" t="s">
        <v>174</v>
      </c>
      <c r="K7" s="82">
        <v>1780908425</v>
      </c>
    </row>
    <row r="8" spans="2:11">
      <c r="B8" s="66" t="s">
        <v>156</v>
      </c>
      <c r="C8" s="77">
        <f>1/(1+WACC!$C$18)^1</f>
        <v>0.88160811029713604</v>
      </c>
      <c r="D8" s="77">
        <f>1/(1+WACC!$C$18)^2</f>
        <v>0.77723286014168724</v>
      </c>
      <c r="E8" s="77">
        <f>1/(1+WACC!$C$18)^3</f>
        <v>0.68521479309035116</v>
      </c>
      <c r="F8" s="77">
        <f>1/(1+WACC!$C$18)^4</f>
        <v>0.60409091888402766</v>
      </c>
      <c r="G8" s="77">
        <f>1/(1+WACC!$C$18)^5</f>
        <v>0.53257145344500811</v>
      </c>
      <c r="J8" s="81" t="s">
        <v>175</v>
      </c>
      <c r="K8" s="83" t="b">
        <v>0</v>
      </c>
    </row>
    <row r="9" spans="2:11">
      <c r="B9" s="66" t="s">
        <v>157</v>
      </c>
      <c r="C9" s="77">
        <f>C7*C8</f>
        <v>15742.482646104771</v>
      </c>
      <c r="D9" s="77">
        <f t="shared" ref="D9:G9" si="1">D7*D8</f>
        <v>16840.431811494953</v>
      </c>
      <c r="E9" s="77">
        <f t="shared" si="1"/>
        <v>16961.601111006024</v>
      </c>
      <c r="F9" s="77">
        <f t="shared" si="1"/>
        <v>16094.901017314251</v>
      </c>
      <c r="G9" s="77">
        <f t="shared" si="1"/>
        <v>14286.664513766384</v>
      </c>
      <c r="J9" s="80" t="s">
        <v>176</v>
      </c>
      <c r="K9" s="82">
        <v>19800</v>
      </c>
    </row>
    <row r="10" spans="2:11">
      <c r="B10" s="66"/>
      <c r="C10" s="77"/>
      <c r="D10" s="77"/>
      <c r="E10" s="77"/>
      <c r="F10" s="77"/>
      <c r="G10" s="77"/>
      <c r="J10" s="81" t="s">
        <v>177</v>
      </c>
      <c r="K10" s="83" t="s">
        <v>178</v>
      </c>
    </row>
    <row r="11" spans="2:11">
      <c r="B11" s="66" t="s">
        <v>130</v>
      </c>
      <c r="C11" s="169">
        <f>WACC!$C$15</f>
        <v>6.6000000000000003E-2</v>
      </c>
      <c r="D11" s="77"/>
      <c r="E11" s="77"/>
      <c r="F11" s="77"/>
      <c r="G11" s="77"/>
      <c r="J11" s="80" t="s">
        <v>179</v>
      </c>
      <c r="K11" s="82" t="s">
        <v>180</v>
      </c>
    </row>
    <row r="12" spans="2:11">
      <c r="B12" s="66" t="s">
        <v>158</v>
      </c>
      <c r="C12" s="77"/>
      <c r="D12" s="77"/>
      <c r="E12" s="77"/>
      <c r="F12" s="77"/>
      <c r="G12" s="77">
        <f>G7*(1+$C$11)/(WACC!$C$18-$C$11)</f>
        <v>418743.17464839964</v>
      </c>
      <c r="J12" s="81" t="s">
        <v>181</v>
      </c>
      <c r="K12" s="83">
        <v>376.4</v>
      </c>
    </row>
    <row r="13" spans="2:11">
      <c r="B13" s="66" t="s">
        <v>159</v>
      </c>
      <c r="C13" s="77">
        <f>G12*G8</f>
        <v>223010.66114267506</v>
      </c>
      <c r="D13" s="77"/>
      <c r="E13" s="77"/>
      <c r="F13" s="77"/>
      <c r="G13" s="77"/>
      <c r="J13" s="80" t="s">
        <v>182</v>
      </c>
      <c r="K13" s="82">
        <v>453.2</v>
      </c>
    </row>
    <row r="14" spans="2:11">
      <c r="B14" s="66"/>
      <c r="C14" s="77"/>
      <c r="D14" s="77"/>
      <c r="E14" s="77"/>
      <c r="F14" s="77"/>
      <c r="G14" s="77"/>
      <c r="J14" s="81" t="s">
        <v>183</v>
      </c>
      <c r="K14" s="83">
        <v>345.5</v>
      </c>
    </row>
    <row r="15" spans="2:11">
      <c r="B15" s="66" t="s">
        <v>160</v>
      </c>
      <c r="C15" s="77">
        <f>'Consolidated FS'!P4+'Consolidated FS'!P6</f>
        <v>157395.07999999999</v>
      </c>
      <c r="D15" s="77"/>
      <c r="E15" s="77"/>
      <c r="F15" s="77"/>
      <c r="G15" s="77"/>
      <c r="J15" s="80" t="s">
        <v>184</v>
      </c>
      <c r="K15" s="82" t="s">
        <v>185</v>
      </c>
    </row>
    <row r="16" spans="2:11">
      <c r="B16" s="66" t="s">
        <v>161</v>
      </c>
      <c r="C16" s="77">
        <f>C15+SUM(C9:G9)+C13</f>
        <v>460331.82224236144</v>
      </c>
      <c r="D16" s="77"/>
      <c r="E16" s="77"/>
      <c r="F16" s="77"/>
      <c r="G16" s="77"/>
    </row>
    <row r="17" spans="2:7" ht="15" thickBot="1">
      <c r="B17" s="66" t="s">
        <v>162</v>
      </c>
      <c r="C17" s="77">
        <v>995</v>
      </c>
      <c r="D17" s="77"/>
      <c r="E17" s="77"/>
      <c r="F17" s="77"/>
      <c r="G17" s="77"/>
    </row>
    <row r="18" spans="2:7" ht="15" thickBot="1">
      <c r="B18" s="76" t="s">
        <v>163</v>
      </c>
      <c r="C18" s="78">
        <f>C16/C17</f>
        <v>462.64504747976025</v>
      </c>
      <c r="D18" s="77"/>
      <c r="E18" s="79" t="s">
        <v>164</v>
      </c>
      <c r="F18" s="78">
        <f>K12</f>
        <v>376.4</v>
      </c>
      <c r="G18" s="77"/>
    </row>
    <row r="20" spans="2:7" ht="15" thickBot="1">
      <c r="B20" s="157" t="s">
        <v>165</v>
      </c>
      <c r="C20" s="157"/>
      <c r="D20" s="85">
        <f>(C18-F18)/F18</f>
        <v>0.22913136949989446</v>
      </c>
    </row>
  </sheetData>
  <mergeCells count="2">
    <mergeCell ref="B20:C20"/>
    <mergeCell ref="J2:K2"/>
  </mergeCells>
  <conditionalFormatting sqref="D20">
    <cfRule type="expression" dxfId="1" priority="1">
      <formula>$D$20&lt;0</formula>
    </cfRule>
    <cfRule type="expression" dxfId="0" priority="2">
      <formula>$D$20&gt;0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B2:T1237"/>
  <sheetViews>
    <sheetView showGridLines="0" topLeftCell="A1208" workbookViewId="0">
      <selection activeCell="D103" sqref="D103"/>
    </sheetView>
  </sheetViews>
  <sheetFormatPr defaultRowHeight="14.4"/>
  <cols>
    <col min="2" max="2" width="10.5546875" bestFit="1" customWidth="1"/>
    <col min="3" max="4" width="7" bestFit="1" customWidth="1"/>
    <col min="5" max="5" width="7.6640625" bestFit="1" customWidth="1"/>
    <col min="7" max="7" width="10.5546875" bestFit="1" customWidth="1"/>
    <col min="8" max="8" width="11.5546875" bestFit="1" customWidth="1"/>
    <col min="9" max="9" width="6.88671875" bestFit="1" customWidth="1"/>
    <col min="12" max="12" width="17.44140625" bestFit="1" customWidth="1"/>
    <col min="13" max="13" width="12.6640625" bestFit="1" customWidth="1"/>
    <col min="14" max="14" width="13.44140625" bestFit="1" customWidth="1"/>
    <col min="15" max="15" width="12.6640625" bestFit="1" customWidth="1"/>
    <col min="16" max="16" width="12" bestFit="1" customWidth="1"/>
    <col min="17" max="17" width="12.6640625" bestFit="1" customWidth="1"/>
    <col min="18" max="18" width="12" bestFit="1" customWidth="1"/>
    <col min="19" max="19" width="12.6640625" bestFit="1" customWidth="1"/>
    <col min="20" max="20" width="12.109375" bestFit="1" customWidth="1"/>
  </cols>
  <sheetData>
    <row r="2" spans="2:13">
      <c r="B2" s="160" t="s">
        <v>72</v>
      </c>
      <c r="C2" s="161"/>
      <c r="D2" s="161"/>
      <c r="E2" s="9"/>
      <c r="G2" s="148" t="s">
        <v>73</v>
      </c>
      <c r="H2" s="155"/>
      <c r="I2" s="155"/>
    </row>
    <row r="3" spans="2:13">
      <c r="B3" s="8" t="s">
        <v>74</v>
      </c>
      <c r="C3" s="8" t="s">
        <v>75</v>
      </c>
      <c r="D3" s="8" t="s">
        <v>76</v>
      </c>
      <c r="E3" s="16"/>
      <c r="G3" s="10" t="s">
        <v>77</v>
      </c>
      <c r="H3" s="10" t="s">
        <v>78</v>
      </c>
      <c r="I3" s="11"/>
      <c r="L3" t="s">
        <v>79</v>
      </c>
    </row>
    <row r="4" spans="2:13">
      <c r="B4" s="21">
        <v>44287</v>
      </c>
      <c r="C4">
        <v>352.53</v>
      </c>
      <c r="D4">
        <v>359.41</v>
      </c>
      <c r="G4" s="21">
        <v>44287</v>
      </c>
      <c r="H4" s="12">
        <v>14867.349609375</v>
      </c>
      <c r="I4" s="13"/>
    </row>
    <row r="5" spans="2:13">
      <c r="B5" s="21">
        <v>44291</v>
      </c>
      <c r="C5">
        <v>355.73</v>
      </c>
      <c r="D5">
        <v>350.38</v>
      </c>
      <c r="E5" s="17">
        <f t="shared" ref="E5:E68" si="0">(D5-D4)/D4</f>
        <v>-2.5124509612976905E-2</v>
      </c>
      <c r="G5" s="21">
        <v>44291</v>
      </c>
      <c r="H5" s="12">
        <v>14637.7998046875</v>
      </c>
      <c r="I5" s="14">
        <f t="shared" ref="I5:I68" si="1">(H5-H4)/H4</f>
        <v>-1.5439860548026079E-2</v>
      </c>
      <c r="L5">
        <f>SLOPE(E5:E1237,I5:I1237)</f>
        <v>0.97558336408292434</v>
      </c>
    </row>
    <row r="6" spans="2:13">
      <c r="B6" s="21">
        <v>44292</v>
      </c>
      <c r="C6">
        <v>353.72</v>
      </c>
      <c r="D6">
        <v>352.19</v>
      </c>
      <c r="E6" s="17">
        <f t="shared" si="0"/>
        <v>5.1658199668930937E-3</v>
      </c>
      <c r="G6" s="21">
        <v>44292</v>
      </c>
      <c r="H6" s="12">
        <v>14683.5</v>
      </c>
      <c r="I6" s="15">
        <f t="shared" si="1"/>
        <v>3.1220672452334885E-3</v>
      </c>
    </row>
    <row r="7" spans="2:13">
      <c r="B7" s="21">
        <v>44293</v>
      </c>
      <c r="C7">
        <v>351.74</v>
      </c>
      <c r="D7">
        <v>356.91</v>
      </c>
      <c r="E7" s="17">
        <f t="shared" si="0"/>
        <v>1.3401856952213371E-2</v>
      </c>
      <c r="G7" s="21">
        <v>44293</v>
      </c>
      <c r="H7" s="12">
        <v>14819.0498046875</v>
      </c>
      <c r="I7" s="14">
        <f t="shared" si="1"/>
        <v>9.231436965811966E-3</v>
      </c>
      <c r="L7" t="s">
        <v>80</v>
      </c>
    </row>
    <row r="8" spans="2:13" ht="15" customHeight="1" thickBot="1">
      <c r="B8" s="21">
        <v>44294</v>
      </c>
      <c r="C8">
        <v>357.71</v>
      </c>
      <c r="D8">
        <v>355.17</v>
      </c>
      <c r="E8" s="17">
        <f t="shared" si="0"/>
        <v>-4.8751786164579558E-3</v>
      </c>
      <c r="G8" s="21">
        <v>44294</v>
      </c>
      <c r="H8" s="12">
        <v>14873.7998046875</v>
      </c>
      <c r="I8" s="15">
        <f t="shared" si="1"/>
        <v>3.6945688638337464E-3</v>
      </c>
    </row>
    <row r="9" spans="2:13">
      <c r="B9" s="21">
        <v>44295</v>
      </c>
      <c r="C9">
        <v>352.53</v>
      </c>
      <c r="D9">
        <v>358.35</v>
      </c>
      <c r="E9" s="17">
        <f t="shared" si="0"/>
        <v>8.9534589070022989E-3</v>
      </c>
      <c r="G9" s="21">
        <v>44295</v>
      </c>
      <c r="H9" s="12">
        <v>14834.849609375</v>
      </c>
      <c r="I9" s="14">
        <f t="shared" si="1"/>
        <v>-2.6187118170183242E-3</v>
      </c>
      <c r="L9" s="20" t="s">
        <v>81</v>
      </c>
      <c r="M9" s="20"/>
    </row>
    <row r="10" spans="2:13">
      <c r="B10" s="21">
        <v>44298</v>
      </c>
      <c r="C10">
        <v>349.99</v>
      </c>
      <c r="D10">
        <v>347.05</v>
      </c>
      <c r="E10" s="17">
        <f t="shared" si="0"/>
        <v>-3.1533417050369779E-2</v>
      </c>
      <c r="G10" s="21">
        <v>44298</v>
      </c>
      <c r="H10" s="12">
        <v>14310.7998046875</v>
      </c>
      <c r="I10" s="15">
        <f t="shared" si="1"/>
        <v>-3.5325589304007678E-2</v>
      </c>
      <c r="L10" t="s">
        <v>82</v>
      </c>
      <c r="M10">
        <v>0.58706255763542325</v>
      </c>
    </row>
    <row r="11" spans="2:13">
      <c r="B11" s="21">
        <v>44299</v>
      </c>
      <c r="C11">
        <v>347.71</v>
      </c>
      <c r="D11">
        <v>353.69</v>
      </c>
      <c r="E11" s="17">
        <f t="shared" si="0"/>
        <v>1.9132689814147778E-2</v>
      </c>
      <c r="G11" s="21">
        <v>44299</v>
      </c>
      <c r="H11" s="12">
        <v>14504.7998046875</v>
      </c>
      <c r="I11" s="14">
        <f t="shared" si="1"/>
        <v>1.3556195506030022E-2</v>
      </c>
      <c r="L11" t="s">
        <v>83</v>
      </c>
      <c r="M11">
        <v>0.34464244657744469</v>
      </c>
    </row>
    <row r="12" spans="2:13">
      <c r="B12" s="21">
        <v>44301</v>
      </c>
      <c r="C12">
        <v>358.5</v>
      </c>
      <c r="D12">
        <v>353.17</v>
      </c>
      <c r="E12" s="17">
        <f t="shared" si="0"/>
        <v>-1.470214029234589E-3</v>
      </c>
      <c r="G12" s="21">
        <v>44301</v>
      </c>
      <c r="H12" s="12">
        <v>14581.4501953125</v>
      </c>
      <c r="I12" s="15">
        <f t="shared" si="1"/>
        <v>5.2844845607747703E-3</v>
      </c>
      <c r="L12" t="s">
        <v>84</v>
      </c>
      <c r="M12">
        <v>0.34411006838619967</v>
      </c>
    </row>
    <row r="13" spans="2:13">
      <c r="B13" s="21">
        <v>44302</v>
      </c>
      <c r="C13">
        <v>353.32</v>
      </c>
      <c r="D13">
        <v>351.35</v>
      </c>
      <c r="E13" s="17">
        <f t="shared" si="0"/>
        <v>-5.1533255939065978E-3</v>
      </c>
      <c r="G13" s="21">
        <v>44302</v>
      </c>
      <c r="H13" s="12">
        <v>14617.849609375</v>
      </c>
      <c r="I13" s="14">
        <f t="shared" si="1"/>
        <v>2.4962821650072447E-3</v>
      </c>
      <c r="L13" t="s">
        <v>85</v>
      </c>
      <c r="M13">
        <v>1.167143980000303E-2</v>
      </c>
    </row>
    <row r="14" spans="2:13" ht="15" customHeight="1" thickBot="1">
      <c r="B14" s="21">
        <v>44305</v>
      </c>
      <c r="C14">
        <v>342.57</v>
      </c>
      <c r="D14">
        <v>338.73</v>
      </c>
      <c r="E14" s="17">
        <f t="shared" si="0"/>
        <v>-3.5918599686921883E-2</v>
      </c>
      <c r="G14" s="21">
        <v>44305</v>
      </c>
      <c r="H14" s="12">
        <v>14359.4501953125</v>
      </c>
      <c r="I14" s="15">
        <f t="shared" si="1"/>
        <v>-1.7676978554819603E-2</v>
      </c>
      <c r="L14" s="18" t="s">
        <v>86</v>
      </c>
      <c r="M14" s="18">
        <v>1233</v>
      </c>
    </row>
    <row r="15" spans="2:13">
      <c r="B15" s="21">
        <v>44306</v>
      </c>
      <c r="C15">
        <v>343.56</v>
      </c>
      <c r="D15">
        <v>338.13</v>
      </c>
      <c r="E15" s="17">
        <f t="shared" si="0"/>
        <v>-1.7713222920911131E-3</v>
      </c>
      <c r="G15" s="21">
        <v>44306</v>
      </c>
      <c r="H15" s="12">
        <v>14296.400390625</v>
      </c>
      <c r="I15" s="14">
        <f t="shared" si="1"/>
        <v>-4.390823034999069E-3</v>
      </c>
    </row>
    <row r="16" spans="2:13" ht="15" customHeight="1" thickBot="1">
      <c r="B16" s="21">
        <v>44308</v>
      </c>
      <c r="C16">
        <v>336.54</v>
      </c>
      <c r="D16">
        <v>345.77</v>
      </c>
      <c r="E16" s="17">
        <f t="shared" si="0"/>
        <v>2.2594859965102139E-2</v>
      </c>
      <c r="G16" s="21">
        <v>44308</v>
      </c>
      <c r="H16" s="12">
        <v>14406.150390625</v>
      </c>
      <c r="I16" s="15">
        <f t="shared" si="1"/>
        <v>7.6767575754222439E-3</v>
      </c>
      <c r="L16" t="s">
        <v>87</v>
      </c>
    </row>
    <row r="17" spans="2:20">
      <c r="B17" s="21">
        <v>44309</v>
      </c>
      <c r="C17">
        <v>345.34</v>
      </c>
      <c r="D17">
        <v>345.4</v>
      </c>
      <c r="E17" s="17">
        <f t="shared" si="0"/>
        <v>-1.0700754837030528E-3</v>
      </c>
      <c r="G17" s="21">
        <v>44309</v>
      </c>
      <c r="H17" s="12">
        <v>14341.349609375</v>
      </c>
      <c r="I17" s="14">
        <f t="shared" si="1"/>
        <v>-4.4981330537941623E-3</v>
      </c>
      <c r="L17" s="19"/>
      <c r="M17" s="19" t="s">
        <v>88</v>
      </c>
      <c r="N17" s="19" t="s">
        <v>89</v>
      </c>
      <c r="O17" s="19" t="s">
        <v>90</v>
      </c>
      <c r="P17" s="19" t="s">
        <v>91</v>
      </c>
      <c r="Q17" s="19" t="s">
        <v>92</v>
      </c>
    </row>
    <row r="18" spans="2:20">
      <c r="B18" s="21">
        <v>44312</v>
      </c>
      <c r="C18">
        <v>346.55</v>
      </c>
      <c r="D18">
        <v>350.47</v>
      </c>
      <c r="E18" s="17">
        <f t="shared" si="0"/>
        <v>1.4678633468442531E-2</v>
      </c>
      <c r="G18" s="21">
        <v>44312</v>
      </c>
      <c r="H18" s="12">
        <v>14485</v>
      </c>
      <c r="I18" s="15">
        <f t="shared" si="1"/>
        <v>1.001651828716979E-2</v>
      </c>
      <c r="L18" t="s">
        <v>93</v>
      </c>
      <c r="M18">
        <v>1</v>
      </c>
      <c r="N18">
        <v>8.818553965060219E-2</v>
      </c>
      <c r="O18">
        <v>8.818553965060219E-2</v>
      </c>
      <c r="P18">
        <v>647.36394586618485</v>
      </c>
      <c r="Q18">
        <v>4.2635427337789729E-115</v>
      </c>
    </row>
    <row r="19" spans="2:20">
      <c r="B19" s="21">
        <v>44313</v>
      </c>
      <c r="C19">
        <v>348.54</v>
      </c>
      <c r="D19">
        <v>348.6</v>
      </c>
      <c r="E19" s="17">
        <f t="shared" si="0"/>
        <v>-5.3356920706479991E-3</v>
      </c>
      <c r="G19" s="21">
        <v>44313</v>
      </c>
      <c r="H19" s="12">
        <v>14653.0498046875</v>
      </c>
      <c r="I19" s="14">
        <f t="shared" si="1"/>
        <v>1.1601643402657923E-2</v>
      </c>
      <c r="L19" t="s">
        <v>94</v>
      </c>
      <c r="M19">
        <v>1231</v>
      </c>
      <c r="N19">
        <v>0.16768990612327181</v>
      </c>
      <c r="O19">
        <v>1.3622250700509481E-4</v>
      </c>
    </row>
    <row r="20" spans="2:20" ht="15" customHeight="1" thickBot="1">
      <c r="B20" s="21">
        <v>44314</v>
      </c>
      <c r="C20">
        <v>351.03</v>
      </c>
      <c r="D20">
        <v>360.78</v>
      </c>
      <c r="E20" s="17">
        <f t="shared" si="0"/>
        <v>3.4939759036144435E-2</v>
      </c>
      <c r="G20" s="21">
        <v>44314</v>
      </c>
      <c r="H20" s="12">
        <v>14864.5498046875</v>
      </c>
      <c r="I20" s="15">
        <f t="shared" si="1"/>
        <v>1.4433855260107101E-2</v>
      </c>
      <c r="L20" s="18" t="s">
        <v>95</v>
      </c>
      <c r="M20" s="18">
        <v>1232</v>
      </c>
      <c r="N20" s="18">
        <v>0.25587544577387389</v>
      </c>
      <c r="O20" s="18"/>
      <c r="P20" s="18"/>
      <c r="Q20" s="18"/>
    </row>
    <row r="21" spans="2:20" ht="15" customHeight="1" thickBot="1">
      <c r="B21" s="21">
        <v>44315</v>
      </c>
      <c r="C21">
        <v>363.5</v>
      </c>
      <c r="D21">
        <v>359.5</v>
      </c>
      <c r="E21" s="17">
        <f t="shared" si="0"/>
        <v>-3.5478685071233793E-3</v>
      </c>
      <c r="G21" s="21">
        <v>44315</v>
      </c>
      <c r="H21" s="12">
        <v>14894.900390625</v>
      </c>
      <c r="I21" s="14">
        <f t="shared" si="1"/>
        <v>2.0418099664161384E-3</v>
      </c>
    </row>
    <row r="22" spans="2:20">
      <c r="B22" s="21">
        <v>44316</v>
      </c>
      <c r="C22">
        <v>354.52</v>
      </c>
      <c r="D22">
        <v>348.3</v>
      </c>
      <c r="E22" s="17">
        <f t="shared" si="0"/>
        <v>-3.1154381084840026E-2</v>
      </c>
      <c r="G22" s="21">
        <v>44316</v>
      </c>
      <c r="H22" s="12">
        <v>14631.099609375</v>
      </c>
      <c r="I22" s="15">
        <f t="shared" si="1"/>
        <v>-1.7710812045177479E-2</v>
      </c>
      <c r="L22" s="19"/>
      <c r="M22" s="19" t="s">
        <v>96</v>
      </c>
      <c r="N22" s="19" t="s">
        <v>85</v>
      </c>
      <c r="O22" s="19" t="s">
        <v>97</v>
      </c>
      <c r="P22" s="19" t="s">
        <v>98</v>
      </c>
      <c r="Q22" s="19" t="s">
        <v>99</v>
      </c>
      <c r="R22" s="19" t="s">
        <v>100</v>
      </c>
      <c r="S22" s="19" t="s">
        <v>101</v>
      </c>
      <c r="T22" s="19" t="s">
        <v>102</v>
      </c>
    </row>
    <row r="23" spans="2:20">
      <c r="B23" s="21">
        <v>44319</v>
      </c>
      <c r="C23">
        <v>345.56</v>
      </c>
      <c r="D23">
        <v>343.65</v>
      </c>
      <c r="E23" s="17">
        <f t="shared" si="0"/>
        <v>-1.3350559862187866E-2</v>
      </c>
      <c r="G23" s="21">
        <v>44319</v>
      </c>
      <c r="H23" s="12">
        <v>14634.150390625</v>
      </c>
      <c r="I23" s="14">
        <f t="shared" si="1"/>
        <v>2.0851346320171222E-4</v>
      </c>
      <c r="L23" t="s">
        <v>103</v>
      </c>
      <c r="M23">
        <v>-2.6836263965060512E-4</v>
      </c>
      <c r="N23">
        <v>3.3268498339971049E-4</v>
      </c>
      <c r="O23">
        <v>-0.80665690680777091</v>
      </c>
      <c r="P23">
        <v>0.42001999195560258</v>
      </c>
      <c r="Q23">
        <v>-9.2105496566318237E-4</v>
      </c>
      <c r="R23">
        <v>3.8432968636197229E-4</v>
      </c>
      <c r="S23">
        <v>-9.2105496566318237E-4</v>
      </c>
      <c r="T23">
        <v>3.8432968636197229E-4</v>
      </c>
    </row>
    <row r="24" spans="2:20" ht="15" customHeight="1" thickBot="1">
      <c r="B24" s="21">
        <v>44320</v>
      </c>
      <c r="C24">
        <v>348.74</v>
      </c>
      <c r="D24">
        <v>345.09</v>
      </c>
      <c r="E24" s="17">
        <f t="shared" si="0"/>
        <v>4.1903099083369644E-3</v>
      </c>
      <c r="G24" s="21">
        <v>44320</v>
      </c>
      <c r="H24" s="12">
        <v>14496.5</v>
      </c>
      <c r="I24" s="15">
        <f t="shared" si="1"/>
        <v>-9.4061074234403283E-3</v>
      </c>
      <c r="L24" s="18" t="s">
        <v>104</v>
      </c>
      <c r="M24" s="18">
        <v>0.97558336408292301</v>
      </c>
      <c r="N24" s="18">
        <v>3.8343356888830379E-2</v>
      </c>
      <c r="O24" s="18">
        <v>25.44334777237815</v>
      </c>
      <c r="P24" s="18">
        <v>4.2635427337850401E-115</v>
      </c>
      <c r="Q24" s="18">
        <v>0.90035780223412554</v>
      </c>
      <c r="R24" s="18">
        <v>1.050808925931721</v>
      </c>
      <c r="S24" s="18">
        <v>0.90035780223412554</v>
      </c>
      <c r="T24" s="18">
        <v>1.050808925931721</v>
      </c>
    </row>
    <row r="25" spans="2:20">
      <c r="B25" s="21">
        <v>44321</v>
      </c>
      <c r="C25">
        <v>346.75</v>
      </c>
      <c r="D25">
        <v>352.68</v>
      </c>
      <c r="E25" s="17">
        <f t="shared" si="0"/>
        <v>2.199426236633931E-2</v>
      </c>
      <c r="G25" s="21">
        <v>44321</v>
      </c>
      <c r="H25" s="12">
        <v>14617.849609375</v>
      </c>
      <c r="I25" s="14">
        <f t="shared" si="1"/>
        <v>8.3709591539337085E-3</v>
      </c>
    </row>
    <row r="26" spans="2:20">
      <c r="B26" s="21">
        <v>44322</v>
      </c>
      <c r="C26">
        <v>354.86</v>
      </c>
      <c r="D26">
        <v>356.16</v>
      </c>
      <c r="E26" s="17">
        <f t="shared" si="0"/>
        <v>9.8673018033345189E-3</v>
      </c>
      <c r="G26" s="21">
        <v>44322</v>
      </c>
      <c r="H26" s="12">
        <v>14724.7998046875</v>
      </c>
      <c r="I26" s="15">
        <f t="shared" si="1"/>
        <v>7.3164109749705355E-3</v>
      </c>
    </row>
    <row r="27" spans="2:20">
      <c r="B27" s="21">
        <v>44323</v>
      </c>
      <c r="C27">
        <v>357.71</v>
      </c>
      <c r="D27">
        <v>354.59</v>
      </c>
      <c r="E27" s="17">
        <f t="shared" si="0"/>
        <v>-4.4081311769992417E-3</v>
      </c>
      <c r="G27" s="21">
        <v>44323</v>
      </c>
      <c r="H27" s="12">
        <v>14823.150390625</v>
      </c>
      <c r="I27" s="14">
        <f t="shared" si="1"/>
        <v>6.6792477481555316E-3</v>
      </c>
    </row>
    <row r="28" spans="2:20">
      <c r="B28" s="21">
        <v>44326</v>
      </c>
      <c r="C28">
        <v>360.29</v>
      </c>
      <c r="D28">
        <v>360.36</v>
      </c>
      <c r="E28" s="17">
        <f t="shared" si="0"/>
        <v>1.6272314504075239E-2</v>
      </c>
      <c r="G28" s="21">
        <v>44326</v>
      </c>
      <c r="H28" s="12">
        <v>14942.349609375</v>
      </c>
      <c r="I28" s="15">
        <f t="shared" si="1"/>
        <v>8.041422748121637E-3</v>
      </c>
    </row>
    <row r="29" spans="2:20">
      <c r="B29" s="21">
        <v>44327</v>
      </c>
      <c r="C29">
        <v>353.84</v>
      </c>
      <c r="D29">
        <v>349.63</v>
      </c>
      <c r="E29" s="17">
        <f t="shared" si="0"/>
        <v>-2.9775779775779825E-2</v>
      </c>
      <c r="G29" s="21">
        <v>44327</v>
      </c>
      <c r="H29" s="12">
        <v>14850.75</v>
      </c>
      <c r="I29" s="14">
        <f t="shared" si="1"/>
        <v>-6.1302011912189071E-3</v>
      </c>
    </row>
    <row r="30" spans="2:20">
      <c r="B30" s="21">
        <v>44328</v>
      </c>
      <c r="C30">
        <v>349.34</v>
      </c>
      <c r="D30">
        <v>342.34</v>
      </c>
      <c r="E30" s="17">
        <f t="shared" si="0"/>
        <v>-2.0850613505706092E-2</v>
      </c>
      <c r="G30" s="21">
        <v>44328</v>
      </c>
      <c r="H30" s="12">
        <v>14696.5</v>
      </c>
      <c r="I30" s="15">
        <f t="shared" si="1"/>
        <v>-1.0386680807366631E-2</v>
      </c>
    </row>
    <row r="31" spans="2:20">
      <c r="B31" s="21">
        <v>44330</v>
      </c>
      <c r="C31">
        <v>344.34</v>
      </c>
      <c r="D31">
        <v>339.91</v>
      </c>
      <c r="E31" s="17">
        <f t="shared" si="0"/>
        <v>-7.0982064614124847E-3</v>
      </c>
      <c r="G31" s="21">
        <v>44330</v>
      </c>
      <c r="H31" s="12">
        <v>14677.7998046875</v>
      </c>
      <c r="I31" s="14">
        <f t="shared" si="1"/>
        <v>-1.2724250884564353E-3</v>
      </c>
    </row>
    <row r="32" spans="2:20">
      <c r="B32" s="21">
        <v>44333</v>
      </c>
      <c r="C32">
        <v>341.97</v>
      </c>
      <c r="D32">
        <v>347.38</v>
      </c>
      <c r="E32" s="17">
        <f t="shared" si="0"/>
        <v>2.197640551910791E-2</v>
      </c>
      <c r="G32" s="21">
        <v>44333</v>
      </c>
      <c r="H32" s="12">
        <v>14923.150390625</v>
      </c>
      <c r="I32" s="15">
        <f t="shared" si="1"/>
        <v>1.6715760481972569E-2</v>
      </c>
    </row>
    <row r="33" spans="2:9">
      <c r="B33" s="21">
        <v>44334</v>
      </c>
      <c r="C33">
        <v>352.13</v>
      </c>
      <c r="D33">
        <v>349.56</v>
      </c>
      <c r="E33" s="17">
        <f t="shared" si="0"/>
        <v>6.2755483908112355E-3</v>
      </c>
      <c r="G33" s="21">
        <v>44334</v>
      </c>
      <c r="H33" s="12">
        <v>15108.099609375</v>
      </c>
      <c r="I33" s="14">
        <f t="shared" si="1"/>
        <v>1.239344333527514E-2</v>
      </c>
    </row>
    <row r="34" spans="2:9">
      <c r="B34" s="21">
        <v>44335</v>
      </c>
      <c r="C34">
        <v>348.14</v>
      </c>
      <c r="D34">
        <v>344.67</v>
      </c>
      <c r="E34" s="17">
        <f t="shared" si="0"/>
        <v>-1.3989014761414311E-2</v>
      </c>
      <c r="G34" s="21">
        <v>44335</v>
      </c>
      <c r="H34" s="12">
        <v>15030.150390625</v>
      </c>
      <c r="I34" s="15">
        <f t="shared" si="1"/>
        <v>-5.1594324081388979E-3</v>
      </c>
    </row>
    <row r="35" spans="2:9">
      <c r="B35" s="21">
        <v>44336</v>
      </c>
      <c r="C35">
        <v>344.96</v>
      </c>
      <c r="D35">
        <v>340.22</v>
      </c>
      <c r="E35" s="17">
        <f t="shared" si="0"/>
        <v>-1.291090028142858E-2</v>
      </c>
      <c r="G35" s="21">
        <v>44336</v>
      </c>
      <c r="H35" s="12">
        <v>14906.0498046875</v>
      </c>
      <c r="I35" s="14">
        <f t="shared" si="1"/>
        <v>-8.2567760609306533E-3</v>
      </c>
    </row>
    <row r="36" spans="2:9">
      <c r="B36" s="21">
        <v>44337</v>
      </c>
      <c r="C36">
        <v>341.67</v>
      </c>
      <c r="D36">
        <v>350.07</v>
      </c>
      <c r="E36" s="17">
        <f t="shared" si="0"/>
        <v>2.8951854682264314E-2</v>
      </c>
      <c r="G36" s="21">
        <v>44337</v>
      </c>
      <c r="H36" s="12">
        <v>15175.2998046875</v>
      </c>
      <c r="I36" s="15">
        <f t="shared" si="1"/>
        <v>1.8063135674974671E-2</v>
      </c>
    </row>
    <row r="37" spans="2:9">
      <c r="B37" s="21">
        <v>44340</v>
      </c>
      <c r="C37">
        <v>351.26</v>
      </c>
      <c r="D37">
        <v>349.94</v>
      </c>
      <c r="E37" s="17">
        <f t="shared" si="0"/>
        <v>-3.7135430056844476E-4</v>
      </c>
      <c r="G37" s="21">
        <v>44340</v>
      </c>
      <c r="H37" s="12">
        <v>15197.7001953125</v>
      </c>
      <c r="I37" s="14">
        <f t="shared" si="1"/>
        <v>1.4761086049898495E-3</v>
      </c>
    </row>
    <row r="38" spans="2:9">
      <c r="B38" s="21">
        <v>44341</v>
      </c>
      <c r="C38">
        <v>352.61</v>
      </c>
      <c r="D38">
        <v>348.64</v>
      </c>
      <c r="E38" s="17">
        <f t="shared" si="0"/>
        <v>-3.7149225581528588E-3</v>
      </c>
      <c r="G38" s="21">
        <v>44341</v>
      </c>
      <c r="H38" s="12">
        <v>15208.4501953125</v>
      </c>
      <c r="I38" s="15">
        <f t="shared" si="1"/>
        <v>7.0734386531165255E-4</v>
      </c>
    </row>
    <row r="39" spans="2:9">
      <c r="B39" s="21">
        <v>44342</v>
      </c>
      <c r="C39">
        <v>350.55</v>
      </c>
      <c r="D39">
        <v>346.68</v>
      </c>
      <c r="E39" s="17">
        <f t="shared" si="0"/>
        <v>-5.6218448829737826E-3</v>
      </c>
      <c r="G39" s="21">
        <v>44342</v>
      </c>
      <c r="H39" s="12">
        <v>15301.4501953125</v>
      </c>
      <c r="I39" s="14">
        <f t="shared" si="1"/>
        <v>6.1150215048647203E-3</v>
      </c>
    </row>
    <row r="40" spans="2:9">
      <c r="B40" s="21">
        <v>44343</v>
      </c>
      <c r="C40">
        <v>346.55</v>
      </c>
      <c r="D40">
        <v>353.97</v>
      </c>
      <c r="E40" s="17">
        <f t="shared" si="0"/>
        <v>2.1028037383177628E-2</v>
      </c>
      <c r="G40" s="21">
        <v>44343</v>
      </c>
      <c r="H40" s="12">
        <v>15337.849609375</v>
      </c>
      <c r="I40" s="15">
        <f t="shared" si="1"/>
        <v>2.3788211965458492E-3</v>
      </c>
    </row>
    <row r="41" spans="2:9">
      <c r="B41" s="21">
        <v>44344</v>
      </c>
      <c r="C41">
        <v>355.71</v>
      </c>
      <c r="D41">
        <v>358.65</v>
      </c>
      <c r="E41" s="17">
        <f t="shared" si="0"/>
        <v>1.3221459445715596E-2</v>
      </c>
      <c r="G41" s="21">
        <v>44344</v>
      </c>
      <c r="H41" s="12">
        <v>15435.650390625</v>
      </c>
      <c r="I41" s="14">
        <f t="shared" si="1"/>
        <v>6.3764337075140533E-3</v>
      </c>
    </row>
    <row r="42" spans="2:9">
      <c r="B42" s="21">
        <v>44347</v>
      </c>
      <c r="C42">
        <v>358.3</v>
      </c>
      <c r="D42">
        <v>360.04</v>
      </c>
      <c r="E42" s="17">
        <f t="shared" si="0"/>
        <v>3.8756447790326038E-3</v>
      </c>
      <c r="G42" s="21">
        <v>44347</v>
      </c>
      <c r="H42" s="12">
        <v>15582.7998046875</v>
      </c>
      <c r="I42" s="15">
        <f t="shared" si="1"/>
        <v>9.5330880357249285E-3</v>
      </c>
    </row>
    <row r="43" spans="2:9">
      <c r="B43" s="21">
        <v>44348</v>
      </c>
      <c r="C43">
        <v>361.49</v>
      </c>
      <c r="D43">
        <v>357.9</v>
      </c>
      <c r="E43" s="17">
        <f t="shared" si="0"/>
        <v>-5.943784023997453E-3</v>
      </c>
      <c r="G43" s="21">
        <v>44348</v>
      </c>
      <c r="H43" s="12">
        <v>15574.849609375</v>
      </c>
      <c r="I43" s="14">
        <f t="shared" si="1"/>
        <v>-5.1019042868717874E-4</v>
      </c>
    </row>
    <row r="44" spans="2:9">
      <c r="B44" s="21">
        <v>44349</v>
      </c>
      <c r="C44">
        <v>357.11</v>
      </c>
      <c r="D44">
        <v>355.14</v>
      </c>
      <c r="E44" s="17">
        <f t="shared" si="0"/>
        <v>-7.7116512992455744E-3</v>
      </c>
      <c r="G44" s="21">
        <v>44349</v>
      </c>
      <c r="H44" s="12">
        <v>15576.2001953125</v>
      </c>
      <c r="I44" s="15">
        <f t="shared" si="1"/>
        <v>8.6715825280716621E-5</v>
      </c>
    </row>
    <row r="45" spans="2:9">
      <c r="B45" s="21">
        <v>44350</v>
      </c>
      <c r="C45">
        <v>356.51</v>
      </c>
      <c r="D45">
        <v>361.33</v>
      </c>
      <c r="E45" s="17">
        <f t="shared" si="0"/>
        <v>1.7429746015655792E-2</v>
      </c>
      <c r="G45" s="21">
        <v>44350</v>
      </c>
      <c r="H45" s="12">
        <v>15690.349609375</v>
      </c>
      <c r="I45" s="14">
        <f t="shared" si="1"/>
        <v>7.3284506253875779E-3</v>
      </c>
    </row>
    <row r="46" spans="2:9">
      <c r="B46" s="21">
        <v>44351</v>
      </c>
      <c r="C46">
        <v>362.49</v>
      </c>
      <c r="D46">
        <v>360.73</v>
      </c>
      <c r="E46" s="17">
        <f t="shared" si="0"/>
        <v>-1.6605319237261392E-3</v>
      </c>
      <c r="G46" s="21">
        <v>44351</v>
      </c>
      <c r="H46" s="12">
        <v>15670.25</v>
      </c>
      <c r="I46" s="15">
        <f t="shared" si="1"/>
        <v>-1.2810173052479636E-3</v>
      </c>
    </row>
    <row r="47" spans="2:9">
      <c r="B47" s="21">
        <v>44354</v>
      </c>
      <c r="C47">
        <v>363.48</v>
      </c>
      <c r="D47">
        <v>361.47</v>
      </c>
      <c r="E47" s="17">
        <f t="shared" si="0"/>
        <v>2.0513957807778921E-3</v>
      </c>
      <c r="G47" s="21">
        <v>44354</v>
      </c>
      <c r="H47" s="12">
        <v>15751.650390625</v>
      </c>
      <c r="I47" s="14">
        <f t="shared" si="1"/>
        <v>5.1945814919991708E-3</v>
      </c>
    </row>
    <row r="48" spans="2:9">
      <c r="B48" s="21">
        <v>44355</v>
      </c>
      <c r="C48">
        <v>361.49</v>
      </c>
      <c r="D48">
        <v>357.22</v>
      </c>
      <c r="E48" s="17">
        <f t="shared" si="0"/>
        <v>-1.175754557777962E-2</v>
      </c>
      <c r="G48" s="21">
        <v>44355</v>
      </c>
      <c r="H48" s="12">
        <v>15740.099609375</v>
      </c>
      <c r="I48" s="15">
        <f t="shared" si="1"/>
        <v>-7.3330609577741419E-4</v>
      </c>
    </row>
    <row r="49" spans="2:9">
      <c r="B49" s="21">
        <v>44356</v>
      </c>
      <c r="C49">
        <v>356.49</v>
      </c>
      <c r="D49">
        <v>355.1</v>
      </c>
      <c r="E49" s="17">
        <f t="shared" si="0"/>
        <v>-5.9347181008902201E-3</v>
      </c>
      <c r="G49" s="21">
        <v>44356</v>
      </c>
      <c r="H49" s="12">
        <v>15635.349609375</v>
      </c>
      <c r="I49" s="14">
        <f t="shared" si="1"/>
        <v>-6.6549769442125761E-3</v>
      </c>
    </row>
    <row r="50" spans="2:9">
      <c r="B50" s="21">
        <v>44357</v>
      </c>
      <c r="C50">
        <v>356.05</v>
      </c>
      <c r="D50">
        <v>358.41</v>
      </c>
      <c r="E50" s="17">
        <f t="shared" si="0"/>
        <v>9.3213179386088477E-3</v>
      </c>
      <c r="G50" s="21">
        <v>44357</v>
      </c>
      <c r="H50" s="12">
        <v>15737.75</v>
      </c>
      <c r="I50" s="15">
        <f t="shared" si="1"/>
        <v>6.5492869160789623E-3</v>
      </c>
    </row>
    <row r="51" spans="2:9">
      <c r="B51" s="21">
        <v>44358</v>
      </c>
      <c r="C51">
        <v>360.29</v>
      </c>
      <c r="D51">
        <v>357.38</v>
      </c>
      <c r="E51" s="17">
        <f t="shared" si="0"/>
        <v>-2.8738037443152521E-3</v>
      </c>
      <c r="G51" s="21">
        <v>44358</v>
      </c>
      <c r="H51" s="12">
        <v>15799.349609375</v>
      </c>
      <c r="I51" s="14">
        <f t="shared" si="1"/>
        <v>3.9141306333497486E-3</v>
      </c>
    </row>
    <row r="52" spans="2:9">
      <c r="B52" s="21">
        <v>44361</v>
      </c>
      <c r="C52">
        <v>356.49</v>
      </c>
      <c r="D52">
        <v>352.14</v>
      </c>
      <c r="E52" s="17">
        <f t="shared" si="0"/>
        <v>-1.4662264256533688E-2</v>
      </c>
      <c r="G52" s="21">
        <v>44361</v>
      </c>
      <c r="H52" s="12">
        <v>15811.849609375</v>
      </c>
      <c r="I52" s="15">
        <f t="shared" si="1"/>
        <v>7.9117180827385227E-4</v>
      </c>
    </row>
    <row r="53" spans="2:9">
      <c r="B53" s="21">
        <v>44362</v>
      </c>
      <c r="C53">
        <v>353.68</v>
      </c>
      <c r="D53">
        <v>352.71</v>
      </c>
      <c r="E53" s="17">
        <f t="shared" si="0"/>
        <v>1.6186743908672494E-3</v>
      </c>
      <c r="G53" s="21">
        <v>44362</v>
      </c>
      <c r="H53" s="12">
        <v>15869.25</v>
      </c>
      <c r="I53" s="14">
        <f t="shared" si="1"/>
        <v>3.630213545097643E-3</v>
      </c>
    </row>
    <row r="54" spans="2:9">
      <c r="B54" s="21">
        <v>44363</v>
      </c>
      <c r="C54">
        <v>352.7</v>
      </c>
      <c r="D54">
        <v>350.66</v>
      </c>
      <c r="E54" s="17">
        <f t="shared" si="0"/>
        <v>-5.8121402852200242E-3</v>
      </c>
      <c r="G54" s="21">
        <v>44363</v>
      </c>
      <c r="H54" s="12">
        <v>15767.5498046875</v>
      </c>
      <c r="I54" s="15">
        <f t="shared" si="1"/>
        <v>-6.4086327528081041E-3</v>
      </c>
    </row>
    <row r="55" spans="2:9">
      <c r="B55" s="21">
        <v>44364</v>
      </c>
      <c r="C55">
        <v>348</v>
      </c>
      <c r="D55">
        <v>351.74</v>
      </c>
      <c r="E55" s="17">
        <f t="shared" si="0"/>
        <v>3.0799064620999944E-3</v>
      </c>
      <c r="G55" s="21">
        <v>44364</v>
      </c>
      <c r="H55" s="12">
        <v>15691.400390625</v>
      </c>
      <c r="I55" s="14">
        <f t="shared" si="1"/>
        <v>-4.829502047290931E-3</v>
      </c>
    </row>
    <row r="56" spans="2:9">
      <c r="B56" s="21">
        <v>44365</v>
      </c>
      <c r="C56">
        <v>353.51</v>
      </c>
      <c r="D56">
        <v>350.63</v>
      </c>
      <c r="E56" s="17">
        <f t="shared" si="0"/>
        <v>-3.1557400352533508E-3</v>
      </c>
      <c r="G56" s="21">
        <v>44365</v>
      </c>
      <c r="H56" s="12">
        <v>15683.349609375</v>
      </c>
      <c r="I56" s="15">
        <f t="shared" si="1"/>
        <v>-5.1306964640390079E-4</v>
      </c>
    </row>
    <row r="57" spans="2:9">
      <c r="B57" s="21">
        <v>44368</v>
      </c>
      <c r="C57">
        <v>346.55</v>
      </c>
      <c r="D57">
        <v>352.94</v>
      </c>
      <c r="E57" s="17">
        <f t="shared" si="0"/>
        <v>6.588141345577966E-3</v>
      </c>
      <c r="G57" s="21">
        <v>44368</v>
      </c>
      <c r="H57" s="12">
        <v>15746.5</v>
      </c>
      <c r="I57" s="14">
        <f t="shared" si="1"/>
        <v>4.0265882096545708E-3</v>
      </c>
    </row>
    <row r="58" spans="2:9">
      <c r="B58" s="21">
        <v>44369</v>
      </c>
      <c r="C58">
        <v>354.52</v>
      </c>
      <c r="D58">
        <v>349.96</v>
      </c>
      <c r="E58" s="17">
        <f t="shared" si="0"/>
        <v>-8.443361477871645E-3</v>
      </c>
      <c r="G58" s="21">
        <v>44369</v>
      </c>
      <c r="H58" s="12">
        <v>15772.75</v>
      </c>
      <c r="I58" s="15">
        <f t="shared" si="1"/>
        <v>1.6670371193598578E-3</v>
      </c>
    </row>
    <row r="59" spans="2:9">
      <c r="B59" s="21">
        <v>44370</v>
      </c>
      <c r="C59">
        <v>351.33</v>
      </c>
      <c r="D59">
        <v>345.89</v>
      </c>
      <c r="E59" s="17">
        <f t="shared" si="0"/>
        <v>-1.1629900560063989E-2</v>
      </c>
      <c r="G59" s="21">
        <v>44370</v>
      </c>
      <c r="H59" s="12">
        <v>15686.9501953125</v>
      </c>
      <c r="I59" s="14">
        <f t="shared" si="1"/>
        <v>-5.4397492312691191E-3</v>
      </c>
    </row>
    <row r="60" spans="2:9">
      <c r="B60" s="21">
        <v>44371</v>
      </c>
      <c r="C60">
        <v>345.56</v>
      </c>
      <c r="D60">
        <v>346.13</v>
      </c>
      <c r="E60" s="17">
        <f t="shared" si="0"/>
        <v>6.9386221052938533E-4</v>
      </c>
      <c r="G60" s="21">
        <v>44371</v>
      </c>
      <c r="H60" s="12">
        <v>15790.4501953125</v>
      </c>
      <c r="I60" s="15">
        <f t="shared" si="1"/>
        <v>6.5978407983297719E-3</v>
      </c>
    </row>
    <row r="61" spans="2:9">
      <c r="B61" s="21">
        <v>44372</v>
      </c>
      <c r="C61">
        <v>345.56</v>
      </c>
      <c r="D61">
        <v>345.56</v>
      </c>
      <c r="E61" s="17">
        <f t="shared" si="0"/>
        <v>-1.6467801115187738E-3</v>
      </c>
      <c r="G61" s="21">
        <v>44372</v>
      </c>
      <c r="H61" s="12">
        <v>15860.349609375</v>
      </c>
      <c r="I61" s="14">
        <f t="shared" si="1"/>
        <v>4.4266891189239247E-3</v>
      </c>
    </row>
    <row r="62" spans="2:9">
      <c r="B62" s="21">
        <v>44375</v>
      </c>
      <c r="C62">
        <v>345.56</v>
      </c>
      <c r="D62">
        <v>345.17</v>
      </c>
      <c r="E62" s="17">
        <f t="shared" si="0"/>
        <v>-1.1286028475517606E-3</v>
      </c>
      <c r="G62" s="21">
        <v>44375</v>
      </c>
      <c r="H62" s="12">
        <v>15814.7001953125</v>
      </c>
      <c r="I62" s="15">
        <f t="shared" si="1"/>
        <v>-2.8782098242977434E-3</v>
      </c>
    </row>
    <row r="63" spans="2:9">
      <c r="B63" s="21">
        <v>44376</v>
      </c>
      <c r="C63">
        <v>346.11</v>
      </c>
      <c r="D63">
        <v>339.75</v>
      </c>
      <c r="E63" s="17">
        <f t="shared" si="0"/>
        <v>-1.5702407509343267E-2</v>
      </c>
      <c r="G63" s="21">
        <v>44376</v>
      </c>
      <c r="H63" s="12">
        <v>15748.4501953125</v>
      </c>
      <c r="I63" s="14">
        <f t="shared" si="1"/>
        <v>-4.1891404314851697E-3</v>
      </c>
    </row>
    <row r="64" spans="2:9">
      <c r="B64" s="21">
        <v>44377</v>
      </c>
      <c r="C64">
        <v>339.75</v>
      </c>
      <c r="D64">
        <v>339.75</v>
      </c>
      <c r="E64" s="17">
        <f t="shared" si="0"/>
        <v>0</v>
      </c>
      <c r="G64" s="21">
        <v>44377</v>
      </c>
      <c r="H64" s="12">
        <v>15721.5</v>
      </c>
      <c r="I64" s="15">
        <f t="shared" si="1"/>
        <v>-1.7112919035373831E-3</v>
      </c>
    </row>
    <row r="65" spans="2:9">
      <c r="B65" s="21">
        <v>44378</v>
      </c>
      <c r="C65">
        <v>340.56</v>
      </c>
      <c r="D65">
        <v>341.79</v>
      </c>
      <c r="E65" s="17">
        <f t="shared" si="0"/>
        <v>6.0044150110375874E-3</v>
      </c>
      <c r="G65" s="21">
        <v>44378</v>
      </c>
      <c r="H65" s="12">
        <v>15680</v>
      </c>
      <c r="I65" s="14">
        <f t="shared" si="1"/>
        <v>-2.6396972299080877E-3</v>
      </c>
    </row>
    <row r="66" spans="2:9">
      <c r="B66" s="21">
        <v>44379</v>
      </c>
      <c r="C66">
        <v>343.96</v>
      </c>
      <c r="D66">
        <v>341.6</v>
      </c>
      <c r="E66" s="17">
        <f t="shared" si="0"/>
        <v>-5.558968957546965E-4</v>
      </c>
      <c r="G66" s="21">
        <v>44379</v>
      </c>
      <c r="H66" s="12">
        <v>15722.2001953125</v>
      </c>
      <c r="I66" s="15">
        <f t="shared" si="1"/>
        <v>2.6913389867665818E-3</v>
      </c>
    </row>
    <row r="67" spans="2:9">
      <c r="B67" s="21">
        <v>44382</v>
      </c>
      <c r="C67">
        <v>343.96</v>
      </c>
      <c r="D67">
        <v>344.78</v>
      </c>
      <c r="E67" s="17">
        <f t="shared" si="0"/>
        <v>9.3091334894612118E-3</v>
      </c>
      <c r="G67" s="21">
        <v>44382</v>
      </c>
      <c r="H67" s="12">
        <v>15834.349609375</v>
      </c>
      <c r="I67" s="14">
        <f t="shared" si="1"/>
        <v>7.1331882732250679E-3</v>
      </c>
    </row>
    <row r="68" spans="2:9">
      <c r="B68" s="21">
        <v>44383</v>
      </c>
      <c r="C68">
        <v>344.36</v>
      </c>
      <c r="D68">
        <v>349.61</v>
      </c>
      <c r="E68" s="17">
        <f t="shared" si="0"/>
        <v>1.4008933232786245E-2</v>
      </c>
      <c r="G68" s="21">
        <v>44383</v>
      </c>
      <c r="H68" s="12">
        <v>15818.25</v>
      </c>
      <c r="I68" s="15">
        <f t="shared" si="1"/>
        <v>-1.016752173102705E-3</v>
      </c>
    </row>
    <row r="69" spans="2:9">
      <c r="B69" s="21">
        <v>44384</v>
      </c>
      <c r="C69">
        <v>349.74</v>
      </c>
      <c r="D69">
        <v>350.89</v>
      </c>
      <c r="E69" s="17">
        <f t="shared" ref="E69:E132" si="2">(D69-D68)/D68</f>
        <v>3.6612225050770076E-3</v>
      </c>
      <c r="G69" s="21">
        <v>44384</v>
      </c>
      <c r="H69" s="12">
        <v>15879.650390625</v>
      </c>
      <c r="I69" s="14">
        <f t="shared" ref="I69:I132" si="3">(H69-H68)/H68</f>
        <v>3.8816171589777632E-3</v>
      </c>
    </row>
    <row r="70" spans="2:9">
      <c r="B70" s="21">
        <v>44385</v>
      </c>
      <c r="C70">
        <v>350.14</v>
      </c>
      <c r="D70">
        <v>345.02</v>
      </c>
      <c r="E70" s="17">
        <f t="shared" si="2"/>
        <v>-1.6728889395537076E-2</v>
      </c>
      <c r="G70" s="21">
        <v>44385</v>
      </c>
      <c r="H70" s="12">
        <v>15727.900390625</v>
      </c>
      <c r="I70" s="15">
        <f t="shared" si="3"/>
        <v>-9.5562557277451086E-3</v>
      </c>
    </row>
    <row r="71" spans="2:9">
      <c r="B71" s="21">
        <v>44386</v>
      </c>
      <c r="C71">
        <v>344.36</v>
      </c>
      <c r="D71">
        <v>342.58</v>
      </c>
      <c r="E71" s="17">
        <f t="shared" si="2"/>
        <v>-7.0720537939829515E-3</v>
      </c>
      <c r="G71" s="21">
        <v>44386</v>
      </c>
      <c r="H71" s="12">
        <v>15689.7998046875</v>
      </c>
      <c r="I71" s="14">
        <f t="shared" si="3"/>
        <v>-2.4224839292732799E-3</v>
      </c>
    </row>
    <row r="72" spans="2:9">
      <c r="B72" s="21">
        <v>44389</v>
      </c>
      <c r="C72">
        <v>344.96</v>
      </c>
      <c r="D72">
        <v>344.95</v>
      </c>
      <c r="E72" s="17">
        <f t="shared" si="2"/>
        <v>6.9180921244672913E-3</v>
      </c>
      <c r="G72" s="21">
        <v>44389</v>
      </c>
      <c r="H72" s="12">
        <v>15692.599609375</v>
      </c>
      <c r="I72" s="15">
        <f t="shared" si="3"/>
        <v>1.7844744498674405E-4</v>
      </c>
    </row>
    <row r="73" spans="2:9">
      <c r="B73" s="21">
        <v>44390</v>
      </c>
      <c r="C73">
        <v>347.15</v>
      </c>
      <c r="D73">
        <v>347.98</v>
      </c>
      <c r="E73" s="17">
        <f t="shared" si="2"/>
        <v>8.7838817219887799E-3</v>
      </c>
      <c r="G73" s="21">
        <v>44390</v>
      </c>
      <c r="H73" s="12">
        <v>15812.349609375</v>
      </c>
      <c r="I73" s="14">
        <f t="shared" si="3"/>
        <v>7.6309854951285136E-3</v>
      </c>
    </row>
    <row r="74" spans="2:9">
      <c r="B74" s="21">
        <v>44391</v>
      </c>
      <c r="C74">
        <v>346.55</v>
      </c>
      <c r="D74">
        <v>348.18</v>
      </c>
      <c r="E74" s="17">
        <f t="shared" si="2"/>
        <v>5.7474567503876261E-4</v>
      </c>
      <c r="G74" s="21">
        <v>44391</v>
      </c>
      <c r="H74" s="12">
        <v>15853.9501953125</v>
      </c>
      <c r="I74" s="15">
        <f t="shared" si="3"/>
        <v>2.6308921169334244E-3</v>
      </c>
    </row>
    <row r="75" spans="2:9">
      <c r="B75" s="21">
        <v>44392</v>
      </c>
      <c r="C75">
        <v>349.94</v>
      </c>
      <c r="D75">
        <v>348.55</v>
      </c>
      <c r="E75" s="17">
        <f t="shared" si="2"/>
        <v>1.0626687345625955E-3</v>
      </c>
      <c r="G75" s="21">
        <v>44392</v>
      </c>
      <c r="H75" s="12">
        <v>15924.2001953125</v>
      </c>
      <c r="I75" s="14">
        <f t="shared" si="3"/>
        <v>4.4310723280038215E-3</v>
      </c>
    </row>
    <row r="76" spans="2:9">
      <c r="B76" s="21">
        <v>44393</v>
      </c>
      <c r="C76">
        <v>349.64</v>
      </c>
      <c r="D76">
        <v>348.44</v>
      </c>
      <c r="E76" s="17">
        <f t="shared" si="2"/>
        <v>-3.1559317171141481E-4</v>
      </c>
      <c r="G76" s="21">
        <v>44393</v>
      </c>
      <c r="H76" s="12">
        <v>15923.400390625</v>
      </c>
      <c r="I76" s="15">
        <f t="shared" si="3"/>
        <v>-5.0225736783655429E-5</v>
      </c>
    </row>
    <row r="77" spans="2:9">
      <c r="B77" s="21">
        <v>44396</v>
      </c>
      <c r="C77">
        <v>345.34</v>
      </c>
      <c r="D77">
        <v>343.13</v>
      </c>
      <c r="E77" s="17">
        <f t="shared" si="2"/>
        <v>-1.5239352542762031E-2</v>
      </c>
      <c r="G77" s="21">
        <v>44396</v>
      </c>
      <c r="H77" s="12">
        <v>15752.400390625</v>
      </c>
      <c r="I77" s="14">
        <f t="shared" si="3"/>
        <v>-1.0738912280361756E-2</v>
      </c>
    </row>
    <row r="78" spans="2:9">
      <c r="B78" s="21">
        <v>44397</v>
      </c>
      <c r="C78">
        <v>343.13</v>
      </c>
      <c r="D78">
        <v>339.11</v>
      </c>
      <c r="E78" s="17">
        <f t="shared" si="2"/>
        <v>-1.1715676274298318E-2</v>
      </c>
      <c r="G78" s="21">
        <v>44397</v>
      </c>
      <c r="H78" s="12">
        <v>15632.099609375</v>
      </c>
      <c r="I78" s="15">
        <f t="shared" si="3"/>
        <v>-7.6369809214344685E-3</v>
      </c>
    </row>
    <row r="79" spans="2:9">
      <c r="B79" s="21">
        <v>44399</v>
      </c>
      <c r="C79">
        <v>339.89</v>
      </c>
      <c r="D79">
        <v>340.02</v>
      </c>
      <c r="E79" s="17">
        <f t="shared" si="2"/>
        <v>2.6834950311107552E-3</v>
      </c>
      <c r="G79" s="21">
        <v>44399</v>
      </c>
      <c r="H79" s="12">
        <v>15824.0498046875</v>
      </c>
      <c r="I79" s="14">
        <f t="shared" si="3"/>
        <v>1.2279233123449532E-2</v>
      </c>
    </row>
    <row r="80" spans="2:9">
      <c r="B80" s="21">
        <v>44400</v>
      </c>
      <c r="C80">
        <v>340.58</v>
      </c>
      <c r="D80">
        <v>343.16</v>
      </c>
      <c r="E80" s="17">
        <f t="shared" si="2"/>
        <v>9.2347508970061862E-3</v>
      </c>
      <c r="G80" s="21">
        <v>44400</v>
      </c>
      <c r="H80" s="12">
        <v>15856.0498046875</v>
      </c>
      <c r="I80" s="15">
        <f t="shared" si="3"/>
        <v>2.0222383267853947E-3</v>
      </c>
    </row>
    <row r="81" spans="2:9">
      <c r="B81" s="21">
        <v>44403</v>
      </c>
      <c r="C81">
        <v>340.9</v>
      </c>
      <c r="D81">
        <v>346.67</v>
      </c>
      <c r="E81" s="17">
        <f t="shared" si="2"/>
        <v>1.0228464856043801E-2</v>
      </c>
      <c r="G81" s="21">
        <v>44403</v>
      </c>
      <c r="H81" s="12">
        <v>15824.4501953125</v>
      </c>
      <c r="I81" s="14">
        <f t="shared" si="3"/>
        <v>-1.9929055322251985E-3</v>
      </c>
    </row>
    <row r="82" spans="2:9">
      <c r="B82" s="21">
        <v>44404</v>
      </c>
      <c r="C82">
        <v>348.94</v>
      </c>
      <c r="D82">
        <v>338.18</v>
      </c>
      <c r="E82" s="17">
        <f t="shared" si="2"/>
        <v>-2.4490149133181437E-2</v>
      </c>
      <c r="G82" s="21">
        <v>44404</v>
      </c>
      <c r="H82" s="12">
        <v>15746.4501953125</v>
      </c>
      <c r="I82" s="15">
        <f t="shared" si="3"/>
        <v>-4.9290812026508866E-3</v>
      </c>
    </row>
    <row r="83" spans="2:9">
      <c r="B83" s="21">
        <v>44405</v>
      </c>
      <c r="C83">
        <v>339.58</v>
      </c>
      <c r="D83">
        <v>329.19</v>
      </c>
      <c r="E83" s="17">
        <f t="shared" si="2"/>
        <v>-2.6583476255248709E-2</v>
      </c>
      <c r="G83" s="21">
        <v>44405</v>
      </c>
      <c r="H83" s="12">
        <v>15709.400390625</v>
      </c>
      <c r="I83" s="14">
        <f t="shared" si="3"/>
        <v>-2.3528988583426387E-3</v>
      </c>
    </row>
    <row r="84" spans="2:9">
      <c r="B84" s="21">
        <v>44406</v>
      </c>
      <c r="C84">
        <v>331.42</v>
      </c>
      <c r="D84">
        <v>326.95999999999998</v>
      </c>
      <c r="E84" s="17">
        <f t="shared" si="2"/>
        <v>-6.774203347610858E-3</v>
      </c>
      <c r="G84" s="21">
        <v>44406</v>
      </c>
      <c r="H84" s="12">
        <v>15778.4501953125</v>
      </c>
      <c r="I84" s="15">
        <f t="shared" si="3"/>
        <v>4.3954449546468556E-3</v>
      </c>
    </row>
    <row r="85" spans="2:9">
      <c r="B85" s="21">
        <v>44407</v>
      </c>
      <c r="C85">
        <v>326.95999999999998</v>
      </c>
      <c r="D85">
        <v>329.58</v>
      </c>
      <c r="E85" s="17">
        <f t="shared" si="2"/>
        <v>8.0132126253976161E-3</v>
      </c>
      <c r="G85" s="21">
        <v>44407</v>
      </c>
      <c r="H85" s="12">
        <v>15763.0498046875</v>
      </c>
      <c r="I85" s="14">
        <f t="shared" si="3"/>
        <v>-9.7603949908687388E-4</v>
      </c>
    </row>
    <row r="86" spans="2:9">
      <c r="B86" s="21">
        <v>44410</v>
      </c>
      <c r="C86">
        <v>331.61</v>
      </c>
      <c r="D86">
        <v>331.63</v>
      </c>
      <c r="E86" s="17">
        <f t="shared" si="2"/>
        <v>6.2200376236422458E-3</v>
      </c>
      <c r="G86" s="21">
        <v>44410</v>
      </c>
      <c r="H86" s="12">
        <v>15885.150390625</v>
      </c>
      <c r="I86" s="15">
        <f t="shared" si="3"/>
        <v>7.7460001364197065E-3</v>
      </c>
    </row>
    <row r="87" spans="2:9">
      <c r="B87" s="21">
        <v>44411</v>
      </c>
      <c r="C87">
        <v>331.61</v>
      </c>
      <c r="D87">
        <v>335.73</v>
      </c>
      <c r="E87" s="17">
        <f t="shared" si="2"/>
        <v>1.2363175828483619E-2</v>
      </c>
      <c r="G87" s="21">
        <v>44411</v>
      </c>
      <c r="H87" s="12">
        <v>16130.75</v>
      </c>
      <c r="I87" s="14">
        <f t="shared" si="3"/>
        <v>1.5460955882416225E-2</v>
      </c>
    </row>
    <row r="88" spans="2:9">
      <c r="B88" s="21">
        <v>44412</v>
      </c>
      <c r="C88">
        <v>338.33</v>
      </c>
      <c r="D88">
        <v>348.53</v>
      </c>
      <c r="E88" s="17">
        <f t="shared" si="2"/>
        <v>3.8125874959044334E-2</v>
      </c>
      <c r="G88" s="21">
        <v>44412</v>
      </c>
      <c r="H88" s="12">
        <v>16258.7998046875</v>
      </c>
      <c r="I88" s="15">
        <f t="shared" si="3"/>
        <v>7.9382424678021788E-3</v>
      </c>
    </row>
    <row r="89" spans="2:9">
      <c r="B89" s="21">
        <v>44413</v>
      </c>
      <c r="C89">
        <v>350.87</v>
      </c>
      <c r="D89">
        <v>352.88</v>
      </c>
      <c r="E89" s="17">
        <f t="shared" si="2"/>
        <v>1.2480991593263199E-2</v>
      </c>
      <c r="G89" s="21">
        <v>44413</v>
      </c>
      <c r="H89" s="12">
        <v>16294.599609375</v>
      </c>
      <c r="I89" s="14">
        <f t="shared" si="3"/>
        <v>2.2018725316476757E-3</v>
      </c>
    </row>
    <row r="90" spans="2:9">
      <c r="B90" s="21">
        <v>44414</v>
      </c>
      <c r="C90">
        <v>352.33</v>
      </c>
      <c r="D90">
        <v>353.96</v>
      </c>
      <c r="E90" s="17">
        <f t="shared" si="2"/>
        <v>3.0605304919518934E-3</v>
      </c>
      <c r="G90" s="21">
        <v>44414</v>
      </c>
      <c r="H90" s="12">
        <v>16238.2001953125</v>
      </c>
      <c r="I90" s="15">
        <f t="shared" si="3"/>
        <v>-3.4612335015615195E-3</v>
      </c>
    </row>
    <row r="91" spans="2:9">
      <c r="B91" s="21">
        <v>44417</v>
      </c>
      <c r="C91">
        <v>353.96</v>
      </c>
      <c r="D91">
        <v>354.7</v>
      </c>
      <c r="E91" s="17">
        <f t="shared" si="2"/>
        <v>2.0906317097977431E-3</v>
      </c>
      <c r="G91" s="21">
        <v>44417</v>
      </c>
      <c r="H91" s="12">
        <v>16258.25</v>
      </c>
      <c r="I91" s="14">
        <f t="shared" si="3"/>
        <v>1.2347307242392418E-3</v>
      </c>
    </row>
    <row r="92" spans="2:9">
      <c r="B92" s="21">
        <v>44418</v>
      </c>
      <c r="C92">
        <v>355.51</v>
      </c>
      <c r="D92">
        <v>361.14</v>
      </c>
      <c r="E92" s="17">
        <f t="shared" si="2"/>
        <v>1.8156188328164641E-2</v>
      </c>
      <c r="G92" s="21">
        <v>44418</v>
      </c>
      <c r="H92" s="12">
        <v>16280.099609375</v>
      </c>
      <c r="I92" s="15">
        <f t="shared" si="3"/>
        <v>1.3439090538649608E-3</v>
      </c>
    </row>
    <row r="93" spans="2:9">
      <c r="B93" s="21">
        <v>44419</v>
      </c>
      <c r="C93">
        <v>362.67</v>
      </c>
      <c r="D93">
        <v>354.81</v>
      </c>
      <c r="E93" s="17">
        <f t="shared" si="2"/>
        <v>-1.752782854294729E-2</v>
      </c>
      <c r="G93" s="21">
        <v>44419</v>
      </c>
      <c r="H93" s="12">
        <v>16282.25</v>
      </c>
      <c r="I93" s="14">
        <f t="shared" si="3"/>
        <v>1.3208706805219322E-4</v>
      </c>
    </row>
    <row r="94" spans="2:9">
      <c r="B94" s="21">
        <v>44420</v>
      </c>
      <c r="C94">
        <v>353.72</v>
      </c>
      <c r="D94">
        <v>356.23</v>
      </c>
      <c r="E94" s="17">
        <f t="shared" si="2"/>
        <v>4.0021419914884468E-3</v>
      </c>
      <c r="G94" s="21">
        <v>44420</v>
      </c>
      <c r="H94" s="12">
        <v>16364.400390625</v>
      </c>
      <c r="I94" s="15">
        <f t="shared" si="3"/>
        <v>5.0453954843464512E-3</v>
      </c>
    </row>
    <row r="95" spans="2:9">
      <c r="B95" s="21">
        <v>44421</v>
      </c>
      <c r="C95">
        <v>355.49</v>
      </c>
      <c r="D95">
        <v>356.29</v>
      </c>
      <c r="E95" s="17">
        <f t="shared" si="2"/>
        <v>1.6843050837942415E-4</v>
      </c>
      <c r="G95" s="21">
        <v>44421</v>
      </c>
      <c r="H95" s="12">
        <v>16529.099609375</v>
      </c>
      <c r="I95" s="14">
        <f t="shared" si="3"/>
        <v>1.0064482340847301E-2</v>
      </c>
    </row>
    <row r="96" spans="2:9">
      <c r="B96" s="21">
        <v>44424</v>
      </c>
      <c r="C96">
        <v>355.49</v>
      </c>
      <c r="D96">
        <v>355.16</v>
      </c>
      <c r="E96" s="17">
        <f t="shared" si="2"/>
        <v>-3.1715737180386633E-3</v>
      </c>
      <c r="G96" s="21">
        <v>44424</v>
      </c>
      <c r="H96" s="12">
        <v>16563.05078125</v>
      </c>
      <c r="I96" s="15">
        <f t="shared" si="3"/>
        <v>2.0540242770237479E-3</v>
      </c>
    </row>
    <row r="97" spans="2:9">
      <c r="B97" s="21">
        <v>44425</v>
      </c>
      <c r="C97">
        <v>354.5</v>
      </c>
      <c r="D97">
        <v>356.36</v>
      </c>
      <c r="E97" s="17">
        <f t="shared" si="2"/>
        <v>3.3787588692419995E-3</v>
      </c>
      <c r="G97" s="21">
        <v>44425</v>
      </c>
      <c r="H97" s="12">
        <v>16614.599609375</v>
      </c>
      <c r="I97" s="14">
        <f t="shared" si="3"/>
        <v>3.1122785775284361E-3</v>
      </c>
    </row>
    <row r="98" spans="2:9">
      <c r="B98" s="21">
        <v>44426</v>
      </c>
      <c r="C98">
        <v>356.36</v>
      </c>
      <c r="D98">
        <v>348.66</v>
      </c>
      <c r="E98" s="17">
        <f t="shared" si="2"/>
        <v>-2.1607363340442217E-2</v>
      </c>
      <c r="G98" s="21">
        <v>44426</v>
      </c>
      <c r="H98" s="12">
        <v>16568.849609375</v>
      </c>
      <c r="I98" s="15">
        <f t="shared" si="3"/>
        <v>-2.7536023181795473E-3</v>
      </c>
    </row>
    <row r="99" spans="2:9">
      <c r="B99" s="21">
        <v>44428</v>
      </c>
      <c r="C99">
        <v>345.13</v>
      </c>
      <c r="D99">
        <v>339.46</v>
      </c>
      <c r="E99" s="17">
        <f t="shared" si="2"/>
        <v>-2.6386737796133899E-2</v>
      </c>
      <c r="G99" s="21">
        <v>44428</v>
      </c>
      <c r="H99" s="12">
        <v>16450.5</v>
      </c>
      <c r="I99" s="14">
        <f t="shared" si="3"/>
        <v>-7.142898400624949E-3</v>
      </c>
    </row>
    <row r="100" spans="2:9">
      <c r="B100" s="21">
        <v>44431</v>
      </c>
      <c r="C100">
        <v>343.65</v>
      </c>
      <c r="D100">
        <v>342.11</v>
      </c>
      <c r="E100" s="17">
        <f t="shared" si="2"/>
        <v>7.8065162316621525E-3</v>
      </c>
      <c r="G100" s="21">
        <v>44431</v>
      </c>
      <c r="H100" s="12">
        <v>16496.44921875</v>
      </c>
      <c r="I100" s="15">
        <f t="shared" si="3"/>
        <v>2.7931806783988329E-3</v>
      </c>
    </row>
    <row r="101" spans="2:9">
      <c r="B101" s="21">
        <v>44432</v>
      </c>
      <c r="C101">
        <v>343.74</v>
      </c>
      <c r="D101">
        <v>339.73</v>
      </c>
      <c r="E101" s="17">
        <f t="shared" si="2"/>
        <v>-6.956826751629579E-3</v>
      </c>
      <c r="G101" s="21">
        <v>44432</v>
      </c>
      <c r="H101" s="12">
        <v>16624.599609375</v>
      </c>
      <c r="I101" s="14">
        <f t="shared" si="3"/>
        <v>7.7683620836017982E-3</v>
      </c>
    </row>
    <row r="102" spans="2:9">
      <c r="B102" s="21">
        <v>44433</v>
      </c>
      <c r="C102">
        <v>339.75</v>
      </c>
      <c r="D102">
        <v>338.2</v>
      </c>
      <c r="E102" s="17">
        <f t="shared" si="2"/>
        <v>-4.5035763694699603E-3</v>
      </c>
      <c r="G102" s="21">
        <v>44433</v>
      </c>
      <c r="H102" s="12">
        <v>16634.650390625</v>
      </c>
      <c r="I102" s="15">
        <f t="shared" si="3"/>
        <v>6.0457283099510741E-4</v>
      </c>
    </row>
    <row r="103" spans="2:9">
      <c r="B103" s="21">
        <v>44434</v>
      </c>
      <c r="C103">
        <v>337.52</v>
      </c>
      <c r="D103">
        <v>338.26</v>
      </c>
      <c r="E103" s="17">
        <f t="shared" si="2"/>
        <v>1.774098166765295E-4</v>
      </c>
      <c r="G103" s="21">
        <v>44434</v>
      </c>
      <c r="H103" s="12">
        <v>16636.900390625</v>
      </c>
      <c r="I103" s="14">
        <f t="shared" si="3"/>
        <v>1.3525983096513173E-4</v>
      </c>
    </row>
    <row r="104" spans="2:9">
      <c r="B104" s="21">
        <v>44435</v>
      </c>
      <c r="C104">
        <v>337.76</v>
      </c>
      <c r="D104">
        <v>341.45</v>
      </c>
      <c r="E104" s="17">
        <f t="shared" si="2"/>
        <v>9.4306155028676102E-3</v>
      </c>
      <c r="G104" s="21">
        <v>44435</v>
      </c>
      <c r="H104" s="12">
        <v>16705.19921875</v>
      </c>
      <c r="I104" s="15">
        <f t="shared" si="3"/>
        <v>4.1052615884799564E-3</v>
      </c>
    </row>
    <row r="105" spans="2:9">
      <c r="B105" s="21">
        <v>44438</v>
      </c>
      <c r="C105">
        <v>341.93</v>
      </c>
      <c r="D105">
        <v>345.9</v>
      </c>
      <c r="E105" s="17">
        <f t="shared" si="2"/>
        <v>1.3032654854297814E-2</v>
      </c>
      <c r="G105" s="21">
        <v>44438</v>
      </c>
      <c r="H105" s="12">
        <v>16931.05078125</v>
      </c>
      <c r="I105" s="14">
        <f t="shared" si="3"/>
        <v>1.3519836521704158E-2</v>
      </c>
    </row>
    <row r="106" spans="2:9">
      <c r="B106" s="21">
        <v>44439</v>
      </c>
      <c r="C106">
        <v>347.53</v>
      </c>
      <c r="D106">
        <v>349.45</v>
      </c>
      <c r="E106" s="17">
        <f t="shared" si="2"/>
        <v>1.0263081815553661E-2</v>
      </c>
      <c r="G106" s="21">
        <v>44439</v>
      </c>
      <c r="H106" s="12">
        <v>17132.19921875</v>
      </c>
      <c r="I106" s="15">
        <f t="shared" si="3"/>
        <v>1.1880446175423345E-2</v>
      </c>
    </row>
    <row r="107" spans="2:9">
      <c r="B107" s="21">
        <v>44440</v>
      </c>
      <c r="C107">
        <v>349.46</v>
      </c>
      <c r="D107">
        <v>348.05</v>
      </c>
      <c r="E107" s="17">
        <f t="shared" si="2"/>
        <v>-4.006295607382966E-3</v>
      </c>
      <c r="G107" s="21">
        <v>44440</v>
      </c>
      <c r="H107" s="12">
        <v>17076.25</v>
      </c>
      <c r="I107" s="14">
        <f t="shared" si="3"/>
        <v>-3.2657347743637881E-3</v>
      </c>
    </row>
    <row r="108" spans="2:9">
      <c r="B108" s="21">
        <v>44441</v>
      </c>
      <c r="C108">
        <v>349.12</v>
      </c>
      <c r="D108">
        <v>353.98</v>
      </c>
      <c r="E108" s="17">
        <f t="shared" si="2"/>
        <v>1.7037781927883945E-2</v>
      </c>
      <c r="G108" s="21">
        <v>44441</v>
      </c>
      <c r="H108" s="12">
        <v>17234.150390625</v>
      </c>
      <c r="I108" s="15">
        <f t="shared" si="3"/>
        <v>9.2467837273991649E-3</v>
      </c>
    </row>
    <row r="109" spans="2:9">
      <c r="B109" s="21">
        <v>44442</v>
      </c>
      <c r="C109">
        <v>357.29</v>
      </c>
      <c r="D109">
        <v>357.06</v>
      </c>
      <c r="E109" s="17">
        <f t="shared" si="2"/>
        <v>8.701056556867575E-3</v>
      </c>
      <c r="G109" s="21">
        <v>44442</v>
      </c>
      <c r="H109" s="12">
        <v>17323.599609375</v>
      </c>
      <c r="I109" s="14">
        <f t="shared" si="3"/>
        <v>5.1902308336974016E-3</v>
      </c>
    </row>
    <row r="110" spans="2:9">
      <c r="B110" s="21">
        <v>44445</v>
      </c>
      <c r="C110">
        <v>360.27</v>
      </c>
      <c r="D110">
        <v>353.61</v>
      </c>
      <c r="E110" s="17">
        <f t="shared" si="2"/>
        <v>-9.6622416400604615E-3</v>
      </c>
      <c r="G110" s="21">
        <v>44445</v>
      </c>
      <c r="H110" s="12">
        <v>17377.80078125</v>
      </c>
      <c r="I110" s="15">
        <f t="shared" si="3"/>
        <v>3.1287476677576867E-3</v>
      </c>
    </row>
    <row r="111" spans="2:9">
      <c r="B111" s="21">
        <v>44446</v>
      </c>
      <c r="C111">
        <v>353.61</v>
      </c>
      <c r="D111">
        <v>351.68</v>
      </c>
      <c r="E111" s="17">
        <f t="shared" si="2"/>
        <v>-5.4579904414468108E-3</v>
      </c>
      <c r="G111" s="21">
        <v>44446</v>
      </c>
      <c r="H111" s="12">
        <v>17362.099609375</v>
      </c>
      <c r="I111" s="14">
        <f t="shared" si="3"/>
        <v>-9.0351892466974189E-4</v>
      </c>
    </row>
    <row r="112" spans="2:9">
      <c r="B112" s="21">
        <v>44447</v>
      </c>
      <c r="C112">
        <v>350.73</v>
      </c>
      <c r="D112">
        <v>361.74</v>
      </c>
      <c r="E112" s="17">
        <f t="shared" si="2"/>
        <v>2.8605550500454966E-2</v>
      </c>
      <c r="G112" s="21">
        <v>44447</v>
      </c>
      <c r="H112" s="12">
        <v>17353.5</v>
      </c>
      <c r="I112" s="15">
        <f t="shared" si="3"/>
        <v>-4.9530929832682655E-4</v>
      </c>
    </row>
    <row r="113" spans="2:9">
      <c r="B113" s="21">
        <v>44448</v>
      </c>
      <c r="C113">
        <v>363.86</v>
      </c>
      <c r="D113">
        <v>362.24</v>
      </c>
      <c r="E113" s="17">
        <f t="shared" si="2"/>
        <v>1.382208215845635E-3</v>
      </c>
      <c r="G113" s="21">
        <v>44448</v>
      </c>
      <c r="H113" s="12">
        <v>17369.25</v>
      </c>
      <c r="I113" s="14">
        <f t="shared" si="3"/>
        <v>9.0759789091537728E-4</v>
      </c>
    </row>
    <row r="114" spans="2:9">
      <c r="B114" s="21">
        <v>44452</v>
      </c>
      <c r="C114">
        <v>364.36</v>
      </c>
      <c r="D114">
        <v>366.66</v>
      </c>
      <c r="E114" s="17">
        <f t="shared" si="2"/>
        <v>1.2201855123674955E-2</v>
      </c>
      <c r="G114" s="21">
        <v>44452</v>
      </c>
      <c r="H114" s="12">
        <v>17355.30078125</v>
      </c>
      <c r="I114" s="15">
        <f t="shared" si="3"/>
        <v>-8.0309850741972161E-4</v>
      </c>
    </row>
    <row r="115" spans="2:9">
      <c r="B115" s="21">
        <v>44453</v>
      </c>
      <c r="C115">
        <v>368.64</v>
      </c>
      <c r="D115">
        <v>372.18</v>
      </c>
      <c r="E115" s="17">
        <f t="shared" si="2"/>
        <v>1.5054819178530469E-2</v>
      </c>
      <c r="G115" s="21">
        <v>44453</v>
      </c>
      <c r="H115" s="12">
        <v>17380</v>
      </c>
      <c r="I115" s="14">
        <f t="shared" si="3"/>
        <v>1.4231512931590379E-3</v>
      </c>
    </row>
    <row r="116" spans="2:9">
      <c r="B116" s="21">
        <v>44454</v>
      </c>
      <c r="C116">
        <v>373.43</v>
      </c>
      <c r="D116">
        <v>372.97</v>
      </c>
      <c r="E116" s="17">
        <f t="shared" si="2"/>
        <v>2.1226288355097544E-3</v>
      </c>
      <c r="G116" s="21">
        <v>44454</v>
      </c>
      <c r="H116" s="12">
        <v>17519.44921875</v>
      </c>
      <c r="I116" s="15">
        <f t="shared" si="3"/>
        <v>8.0235453826237053E-3</v>
      </c>
    </row>
    <row r="117" spans="2:9">
      <c r="B117" s="21">
        <v>44455</v>
      </c>
      <c r="C117">
        <v>374.02</v>
      </c>
      <c r="D117">
        <v>379.96</v>
      </c>
      <c r="E117" s="17">
        <f t="shared" si="2"/>
        <v>1.8741453736225305E-2</v>
      </c>
      <c r="G117" s="21">
        <v>44455</v>
      </c>
      <c r="H117" s="12">
        <v>17629.5</v>
      </c>
      <c r="I117" s="14">
        <f t="shared" si="3"/>
        <v>6.2816347635072543E-3</v>
      </c>
    </row>
    <row r="118" spans="2:9">
      <c r="B118" s="21">
        <v>44456</v>
      </c>
      <c r="C118">
        <v>381.8</v>
      </c>
      <c r="D118">
        <v>400.12</v>
      </c>
      <c r="E118" s="17">
        <f t="shared" si="2"/>
        <v>5.3058216654384739E-2</v>
      </c>
      <c r="G118" s="21">
        <v>44456</v>
      </c>
      <c r="H118" s="12">
        <v>17585.150390625</v>
      </c>
      <c r="I118" s="15">
        <f t="shared" si="3"/>
        <v>-2.5156476006126098E-3</v>
      </c>
    </row>
    <row r="119" spans="2:9">
      <c r="B119" s="21">
        <v>44459</v>
      </c>
      <c r="C119">
        <v>396.54</v>
      </c>
      <c r="D119">
        <v>398.82</v>
      </c>
      <c r="E119" s="17">
        <f t="shared" si="2"/>
        <v>-3.2490252924123049E-3</v>
      </c>
      <c r="G119" s="21">
        <v>44459</v>
      </c>
      <c r="H119" s="12">
        <v>17396.900390625</v>
      </c>
      <c r="I119" s="14">
        <f t="shared" si="3"/>
        <v>-1.0705054879733066E-2</v>
      </c>
    </row>
    <row r="120" spans="2:9">
      <c r="B120" s="21">
        <v>44460</v>
      </c>
      <c r="C120">
        <v>401.92</v>
      </c>
      <c r="D120">
        <v>400.72</v>
      </c>
      <c r="E120" s="17">
        <f t="shared" si="2"/>
        <v>4.7640539591796652E-3</v>
      </c>
      <c r="G120" s="21">
        <v>44460</v>
      </c>
      <c r="H120" s="12">
        <v>17562</v>
      </c>
      <c r="I120" s="15">
        <f t="shared" si="3"/>
        <v>9.4901738624640509E-3</v>
      </c>
    </row>
    <row r="121" spans="2:9">
      <c r="B121" s="21">
        <v>44461</v>
      </c>
      <c r="C121">
        <v>401.82</v>
      </c>
      <c r="D121">
        <v>395.65</v>
      </c>
      <c r="E121" s="17">
        <f t="shared" si="2"/>
        <v>-1.2652225993212342E-2</v>
      </c>
      <c r="G121" s="21">
        <v>44461</v>
      </c>
      <c r="H121" s="12">
        <v>17546.650390625</v>
      </c>
      <c r="I121" s="14">
        <f t="shared" si="3"/>
        <v>-8.7402399356565307E-4</v>
      </c>
    </row>
    <row r="122" spans="2:9">
      <c r="B122" s="21">
        <v>44462</v>
      </c>
      <c r="C122">
        <v>399.33</v>
      </c>
      <c r="D122">
        <v>403.32</v>
      </c>
      <c r="E122" s="17">
        <f t="shared" si="2"/>
        <v>1.9385820801213236E-2</v>
      </c>
      <c r="G122" s="21">
        <v>44462</v>
      </c>
      <c r="H122" s="12">
        <v>17822.94921875</v>
      </c>
      <c r="I122" s="15">
        <f t="shared" si="3"/>
        <v>1.5746528367181906E-2</v>
      </c>
    </row>
    <row r="123" spans="2:9">
      <c r="B123" s="21">
        <v>44463</v>
      </c>
      <c r="C123">
        <v>404.51</v>
      </c>
      <c r="D123">
        <v>404.13</v>
      </c>
      <c r="E123" s="17">
        <f t="shared" si="2"/>
        <v>2.0083308539125318E-3</v>
      </c>
      <c r="G123" s="21">
        <v>44463</v>
      </c>
      <c r="H123" s="12">
        <v>17853.19921875</v>
      </c>
      <c r="I123" s="14">
        <f t="shared" si="3"/>
        <v>1.6972499684943592E-3</v>
      </c>
    </row>
    <row r="124" spans="2:9">
      <c r="B124" s="21">
        <v>44466</v>
      </c>
      <c r="C124">
        <v>404.75</v>
      </c>
      <c r="D124">
        <v>405.18</v>
      </c>
      <c r="E124" s="17">
        <f t="shared" si="2"/>
        <v>2.5981738549476934E-3</v>
      </c>
      <c r="G124" s="21">
        <v>44466</v>
      </c>
      <c r="H124" s="12">
        <v>17855.099609375</v>
      </c>
      <c r="I124" s="15">
        <f t="shared" si="3"/>
        <v>1.0644538279750718E-4</v>
      </c>
    </row>
    <row r="125" spans="2:9">
      <c r="B125" s="21">
        <v>44467</v>
      </c>
      <c r="C125">
        <v>406.5</v>
      </c>
      <c r="D125">
        <v>412.12</v>
      </c>
      <c r="E125" s="17">
        <f t="shared" si="2"/>
        <v>1.7128189940273451E-2</v>
      </c>
      <c r="G125" s="21">
        <v>44467</v>
      </c>
      <c r="H125" s="12">
        <v>17748.599609375</v>
      </c>
      <c r="I125" s="14">
        <f t="shared" si="3"/>
        <v>-5.9646824901543032E-3</v>
      </c>
    </row>
    <row r="126" spans="2:9">
      <c r="B126" s="21">
        <v>44468</v>
      </c>
      <c r="C126">
        <v>410.47</v>
      </c>
      <c r="D126">
        <v>404.6</v>
      </c>
      <c r="E126" s="17">
        <f t="shared" si="2"/>
        <v>-1.8247112491507282E-2</v>
      </c>
      <c r="G126" s="21">
        <v>44468</v>
      </c>
      <c r="H126" s="12">
        <v>17711.30078125</v>
      </c>
      <c r="I126" s="15">
        <f t="shared" si="3"/>
        <v>-2.1015082285871364E-3</v>
      </c>
    </row>
    <row r="127" spans="2:9">
      <c r="B127" s="21">
        <v>44469</v>
      </c>
      <c r="C127">
        <v>403.61</v>
      </c>
      <c r="D127">
        <v>399.63</v>
      </c>
      <c r="E127" s="17">
        <f t="shared" si="2"/>
        <v>-1.228373702422152E-2</v>
      </c>
      <c r="G127" s="21">
        <v>44469</v>
      </c>
      <c r="H127" s="12">
        <v>17618.150390625</v>
      </c>
      <c r="I127" s="14">
        <f t="shared" si="3"/>
        <v>-5.2593760207388773E-3</v>
      </c>
    </row>
    <row r="128" spans="2:9">
      <c r="B128" s="21">
        <v>44470</v>
      </c>
      <c r="C128">
        <v>397.94</v>
      </c>
      <c r="D128">
        <v>397.25</v>
      </c>
      <c r="E128" s="17">
        <f t="shared" si="2"/>
        <v>-5.9555088456822447E-3</v>
      </c>
      <c r="G128" s="21">
        <v>44470</v>
      </c>
      <c r="H128" s="12">
        <v>17532.05078125</v>
      </c>
      <c r="I128" s="15">
        <f t="shared" si="3"/>
        <v>-4.8869834497959255E-3</v>
      </c>
    </row>
    <row r="129" spans="2:9">
      <c r="B129" s="21">
        <v>44473</v>
      </c>
      <c r="C129">
        <v>397.54</v>
      </c>
      <c r="D129">
        <v>396.73</v>
      </c>
      <c r="E129" s="17">
        <f t="shared" si="2"/>
        <v>-1.3089993706733338E-3</v>
      </c>
      <c r="G129" s="21">
        <v>44473</v>
      </c>
      <c r="H129" s="12">
        <v>17691.25</v>
      </c>
      <c r="I129" s="14">
        <f t="shared" si="3"/>
        <v>9.080467581137671E-3</v>
      </c>
    </row>
    <row r="130" spans="2:9">
      <c r="B130" s="21">
        <v>44474</v>
      </c>
      <c r="C130">
        <v>397.52</v>
      </c>
      <c r="D130">
        <v>395.02</v>
      </c>
      <c r="E130" s="17">
        <f t="shared" si="2"/>
        <v>-4.3102361807779502E-3</v>
      </c>
      <c r="G130" s="21">
        <v>44474</v>
      </c>
      <c r="H130" s="12">
        <v>17822.30078125</v>
      </c>
      <c r="I130" s="15">
        <f t="shared" si="3"/>
        <v>7.4076609199463014E-3</v>
      </c>
    </row>
    <row r="131" spans="2:9">
      <c r="B131" s="21">
        <v>44475</v>
      </c>
      <c r="C131">
        <v>393.76</v>
      </c>
      <c r="D131">
        <v>389.72</v>
      </c>
      <c r="E131" s="17">
        <f t="shared" si="2"/>
        <v>-1.3417042175079628E-2</v>
      </c>
      <c r="G131" s="21">
        <v>44475</v>
      </c>
      <c r="H131" s="12">
        <v>17646</v>
      </c>
      <c r="I131" s="14">
        <f t="shared" si="3"/>
        <v>-9.8921448702895716E-3</v>
      </c>
    </row>
    <row r="132" spans="2:9">
      <c r="B132" s="21">
        <v>44476</v>
      </c>
      <c r="C132">
        <v>392.16</v>
      </c>
      <c r="D132">
        <v>389.06</v>
      </c>
      <c r="E132" s="17">
        <f t="shared" si="2"/>
        <v>-1.6935235553731524E-3</v>
      </c>
      <c r="G132" s="21">
        <v>44476</v>
      </c>
      <c r="H132" s="12">
        <v>17790.349609375</v>
      </c>
      <c r="I132" s="15">
        <f t="shared" si="3"/>
        <v>8.1803020160376282E-3</v>
      </c>
    </row>
    <row r="133" spans="2:9">
      <c r="B133" s="21">
        <v>44477</v>
      </c>
      <c r="C133">
        <v>388.57</v>
      </c>
      <c r="D133">
        <v>385.85</v>
      </c>
      <c r="E133" s="17">
        <f t="shared" ref="E133:E196" si="4">(D133-D132)/D132</f>
        <v>-8.2506554258982671E-3</v>
      </c>
      <c r="G133" s="21">
        <v>44477</v>
      </c>
      <c r="H133" s="12">
        <v>17895.19921875</v>
      </c>
      <c r="I133" s="14">
        <f t="shared" ref="I133:I196" si="5">(H133-H132)/H132</f>
        <v>5.8936227604963589E-3</v>
      </c>
    </row>
    <row r="134" spans="2:9">
      <c r="B134" s="21">
        <v>44480</v>
      </c>
      <c r="C134">
        <v>388.37</v>
      </c>
      <c r="D134">
        <v>393.63</v>
      </c>
      <c r="E134" s="17">
        <f t="shared" si="4"/>
        <v>2.0163275884410969E-2</v>
      </c>
      <c r="G134" s="21">
        <v>44480</v>
      </c>
      <c r="H134" s="12">
        <v>17945.94921875</v>
      </c>
      <c r="I134" s="15">
        <f t="shared" si="5"/>
        <v>2.8359561343595336E-3</v>
      </c>
    </row>
    <row r="135" spans="2:9">
      <c r="B135" s="21">
        <v>44481</v>
      </c>
      <c r="C135">
        <v>394.55</v>
      </c>
      <c r="D135">
        <v>397.56</v>
      </c>
      <c r="E135" s="17">
        <f t="shared" si="4"/>
        <v>9.9839951223230118E-3</v>
      </c>
      <c r="G135" s="21">
        <v>44481</v>
      </c>
      <c r="H135" s="12">
        <v>17991.94921875</v>
      </c>
      <c r="I135" s="14">
        <f t="shared" si="5"/>
        <v>2.5632525445875558E-3</v>
      </c>
    </row>
    <row r="136" spans="2:9">
      <c r="B136" s="21">
        <v>44482</v>
      </c>
      <c r="C136">
        <v>399.33</v>
      </c>
      <c r="D136">
        <v>400.4</v>
      </c>
      <c r="E136" s="17">
        <f t="shared" si="4"/>
        <v>7.1435758124559186E-3</v>
      </c>
      <c r="G136" s="21">
        <v>44482</v>
      </c>
      <c r="H136" s="12">
        <v>18161.75</v>
      </c>
      <c r="I136" s="15">
        <f t="shared" si="5"/>
        <v>9.4375978492116375E-3</v>
      </c>
    </row>
    <row r="137" spans="2:9">
      <c r="B137" s="21">
        <v>44483</v>
      </c>
      <c r="C137">
        <v>400.13</v>
      </c>
      <c r="D137">
        <v>402.08</v>
      </c>
      <c r="E137" s="17">
        <f t="shared" si="4"/>
        <v>4.1958041958042131E-3</v>
      </c>
      <c r="G137" s="21">
        <v>44483</v>
      </c>
      <c r="H137" s="12">
        <v>18338.55078125</v>
      </c>
      <c r="I137" s="14">
        <f t="shared" si="5"/>
        <v>9.7347877407188178E-3</v>
      </c>
    </row>
    <row r="138" spans="2:9">
      <c r="B138" s="21">
        <v>44487</v>
      </c>
      <c r="C138">
        <v>402.08</v>
      </c>
      <c r="D138">
        <v>400.85</v>
      </c>
      <c r="E138" s="17">
        <f t="shared" si="4"/>
        <v>-3.0590927178669952E-3</v>
      </c>
      <c r="G138" s="21">
        <v>44487</v>
      </c>
      <c r="H138" s="12">
        <v>18477.05078125</v>
      </c>
      <c r="I138" s="15">
        <f t="shared" si="5"/>
        <v>7.5523961327198996E-3</v>
      </c>
    </row>
    <row r="139" spans="2:9">
      <c r="B139" s="21">
        <v>44488</v>
      </c>
      <c r="C139">
        <v>400.9</v>
      </c>
      <c r="D139">
        <v>405.58</v>
      </c>
      <c r="E139" s="17">
        <f t="shared" si="4"/>
        <v>1.179992515903695E-2</v>
      </c>
      <c r="G139" s="21">
        <v>44488</v>
      </c>
      <c r="H139" s="12">
        <v>18418.75</v>
      </c>
      <c r="I139" s="14">
        <f t="shared" si="5"/>
        <v>-3.1553077349964326E-3</v>
      </c>
    </row>
    <row r="140" spans="2:9">
      <c r="B140" s="21">
        <v>44489</v>
      </c>
      <c r="C140">
        <v>406.9</v>
      </c>
      <c r="D140">
        <v>401.61</v>
      </c>
      <c r="E140" s="17">
        <f t="shared" si="4"/>
        <v>-9.7884511070564888E-3</v>
      </c>
      <c r="G140" s="21">
        <v>44489</v>
      </c>
      <c r="H140" s="12">
        <v>18266.599609375</v>
      </c>
      <c r="I140" s="15">
        <f t="shared" si="5"/>
        <v>-8.2606252120800815E-3</v>
      </c>
    </row>
    <row r="141" spans="2:9">
      <c r="B141" s="21">
        <v>44490</v>
      </c>
      <c r="C141">
        <v>404.71</v>
      </c>
      <c r="D141">
        <v>427.18</v>
      </c>
      <c r="E141" s="17">
        <f t="shared" si="4"/>
        <v>6.3668733348273179E-2</v>
      </c>
      <c r="G141" s="21">
        <v>44490</v>
      </c>
      <c r="H141" s="12">
        <v>18178.099609375</v>
      </c>
      <c r="I141" s="14">
        <f t="shared" si="5"/>
        <v>-4.8449082967023036E-3</v>
      </c>
    </row>
    <row r="142" spans="2:9">
      <c r="B142" s="21">
        <v>44491</v>
      </c>
      <c r="C142">
        <v>429.4</v>
      </c>
      <c r="D142">
        <v>432.69</v>
      </c>
      <c r="E142" s="17">
        <f t="shared" si="4"/>
        <v>1.2898543939322981E-2</v>
      </c>
      <c r="G142" s="21">
        <v>44491</v>
      </c>
      <c r="H142" s="12">
        <v>18114.900390625</v>
      </c>
      <c r="I142" s="15">
        <f t="shared" si="5"/>
        <v>-3.4766680845673349E-3</v>
      </c>
    </row>
    <row r="143" spans="2:9">
      <c r="B143" s="21">
        <v>44494</v>
      </c>
      <c r="C143">
        <v>428.82</v>
      </c>
      <c r="D143">
        <v>429.32</v>
      </c>
      <c r="E143" s="17">
        <f t="shared" si="4"/>
        <v>-7.7884859830363645E-3</v>
      </c>
      <c r="G143" s="21">
        <v>44494</v>
      </c>
      <c r="H143" s="12">
        <v>18125.400390625</v>
      </c>
      <c r="I143" s="14">
        <f t="shared" si="5"/>
        <v>5.7963332801068358E-4</v>
      </c>
    </row>
    <row r="144" spans="2:9">
      <c r="B144" s="21">
        <v>44495</v>
      </c>
      <c r="C144">
        <v>429.32</v>
      </c>
      <c r="D144">
        <v>440.57</v>
      </c>
      <c r="E144" s="17">
        <f t="shared" si="4"/>
        <v>2.6204229945029349E-2</v>
      </c>
      <c r="G144" s="21">
        <v>44495</v>
      </c>
      <c r="H144" s="12">
        <v>18268.400390625</v>
      </c>
      <c r="I144" s="15">
        <f t="shared" si="5"/>
        <v>7.8894808897001737E-3</v>
      </c>
    </row>
    <row r="145" spans="2:9">
      <c r="B145" s="21">
        <v>44496</v>
      </c>
      <c r="C145">
        <v>438.39</v>
      </c>
      <c r="D145">
        <v>436.05</v>
      </c>
      <c r="E145" s="17">
        <f t="shared" si="4"/>
        <v>-1.0259436638899565E-2</v>
      </c>
      <c r="G145" s="21">
        <v>44496</v>
      </c>
      <c r="H145" s="12">
        <v>18210.94921875</v>
      </c>
      <c r="I145" s="14">
        <f t="shared" si="5"/>
        <v>-3.144838663842887E-3</v>
      </c>
    </row>
    <row r="146" spans="2:9">
      <c r="B146" s="21">
        <v>44497</v>
      </c>
      <c r="C146">
        <v>436.05</v>
      </c>
      <c r="D146">
        <v>418.16</v>
      </c>
      <c r="E146" s="17">
        <f t="shared" si="4"/>
        <v>-4.1027405114092391E-2</v>
      </c>
      <c r="G146" s="21">
        <v>44497</v>
      </c>
      <c r="H146" s="12">
        <v>17857.25</v>
      </c>
      <c r="I146" s="15">
        <f t="shared" si="5"/>
        <v>-1.942233842406365E-2</v>
      </c>
    </row>
    <row r="147" spans="2:9">
      <c r="B147" s="21">
        <v>44498</v>
      </c>
      <c r="C147">
        <v>413.99</v>
      </c>
      <c r="D147">
        <v>404.74</v>
      </c>
      <c r="E147" s="17">
        <f t="shared" si="4"/>
        <v>-3.2092978764109471E-2</v>
      </c>
      <c r="G147" s="21">
        <v>44498</v>
      </c>
      <c r="H147" s="12">
        <v>17671.650390625</v>
      </c>
      <c r="I147" s="14">
        <f t="shared" si="5"/>
        <v>-1.0393515763905417E-2</v>
      </c>
    </row>
    <row r="148" spans="2:9">
      <c r="B148" s="21">
        <v>44501</v>
      </c>
      <c r="C148">
        <v>409.49</v>
      </c>
      <c r="D148">
        <v>413.78</v>
      </c>
      <c r="E148" s="17">
        <f t="shared" si="4"/>
        <v>2.2335326382368837E-2</v>
      </c>
      <c r="G148" s="21">
        <v>44501</v>
      </c>
      <c r="H148" s="12">
        <v>17929.650390625</v>
      </c>
      <c r="I148" s="15">
        <f t="shared" si="5"/>
        <v>1.4599655057507915E-2</v>
      </c>
    </row>
    <row r="149" spans="2:9">
      <c r="B149" s="21">
        <v>44502</v>
      </c>
      <c r="C149">
        <v>411.72</v>
      </c>
      <c r="D149">
        <v>413.81</v>
      </c>
      <c r="E149" s="17">
        <f t="shared" si="4"/>
        <v>7.2502295906108459E-5</v>
      </c>
      <c r="G149" s="21">
        <v>44502</v>
      </c>
      <c r="H149" s="12">
        <v>17888.94921875</v>
      </c>
      <c r="I149" s="14">
        <f t="shared" si="5"/>
        <v>-2.2700482713417379E-3</v>
      </c>
    </row>
    <row r="150" spans="2:9">
      <c r="B150" s="21">
        <v>44503</v>
      </c>
      <c r="C150">
        <v>414.48</v>
      </c>
      <c r="D150">
        <v>406.02</v>
      </c>
      <c r="E150" s="17">
        <f t="shared" si="4"/>
        <v>-1.8825064643193785E-2</v>
      </c>
      <c r="G150" s="21">
        <v>44503</v>
      </c>
      <c r="H150" s="12">
        <v>17829.19921875</v>
      </c>
      <c r="I150" s="15">
        <f t="shared" si="5"/>
        <v>-3.3400508475575552E-3</v>
      </c>
    </row>
    <row r="151" spans="2:9">
      <c r="B151" s="21">
        <v>44504</v>
      </c>
      <c r="C151">
        <v>406.5</v>
      </c>
      <c r="D151">
        <v>409.89</v>
      </c>
      <c r="E151" s="17">
        <f t="shared" si="4"/>
        <v>9.5315501699423794E-3</v>
      </c>
      <c r="G151" s="21">
        <v>44504</v>
      </c>
      <c r="H151" s="12">
        <v>17916.80078125</v>
      </c>
      <c r="I151" s="14">
        <f t="shared" si="5"/>
        <v>4.9133761659847404E-3</v>
      </c>
    </row>
    <row r="152" spans="2:9">
      <c r="B152" s="21">
        <v>44508</v>
      </c>
      <c r="C152">
        <v>409.49</v>
      </c>
      <c r="D152">
        <v>422.22</v>
      </c>
      <c r="E152" s="17">
        <f t="shared" si="4"/>
        <v>3.0081241308643883E-2</v>
      </c>
      <c r="G152" s="21">
        <v>44508</v>
      </c>
      <c r="H152" s="12">
        <v>18068.55078125</v>
      </c>
      <c r="I152" s="15">
        <f t="shared" si="5"/>
        <v>8.4697040421863115E-3</v>
      </c>
    </row>
    <row r="153" spans="2:9">
      <c r="B153" s="21">
        <v>44509</v>
      </c>
      <c r="C153">
        <v>422.45</v>
      </c>
      <c r="D153">
        <v>417.9</v>
      </c>
      <c r="E153" s="17">
        <f t="shared" si="4"/>
        <v>-1.0231632798067476E-2</v>
      </c>
      <c r="G153" s="21">
        <v>44509</v>
      </c>
      <c r="H153" s="12">
        <v>18044.25</v>
      </c>
      <c r="I153" s="14">
        <f t="shared" si="5"/>
        <v>-1.3449214352717915E-3</v>
      </c>
    </row>
    <row r="154" spans="2:9">
      <c r="B154" s="21">
        <v>44510</v>
      </c>
      <c r="C154">
        <v>415.47</v>
      </c>
      <c r="D154">
        <v>413.69</v>
      </c>
      <c r="E154" s="17">
        <f t="shared" si="4"/>
        <v>-1.0074180425939171E-2</v>
      </c>
      <c r="G154" s="21">
        <v>44510</v>
      </c>
      <c r="H154" s="12">
        <v>18017.19921875</v>
      </c>
      <c r="I154" s="15">
        <f t="shared" si="5"/>
        <v>-1.499135805034845E-3</v>
      </c>
    </row>
    <row r="155" spans="2:9">
      <c r="B155" s="21">
        <v>44511</v>
      </c>
      <c r="C155">
        <v>413.08</v>
      </c>
      <c r="D155">
        <v>409.31</v>
      </c>
      <c r="E155" s="17">
        <f t="shared" si="4"/>
        <v>-1.0587638086489872E-2</v>
      </c>
      <c r="G155" s="21">
        <v>44511</v>
      </c>
      <c r="H155" s="12">
        <v>17873.599609375</v>
      </c>
      <c r="I155" s="14">
        <f t="shared" si="5"/>
        <v>-7.970140510271978E-3</v>
      </c>
    </row>
    <row r="156" spans="2:9">
      <c r="B156" s="21">
        <v>44512</v>
      </c>
      <c r="C156">
        <v>412.08</v>
      </c>
      <c r="D156">
        <v>413.42</v>
      </c>
      <c r="E156" s="17">
        <f t="shared" si="4"/>
        <v>1.0041288998558584E-2</v>
      </c>
      <c r="G156" s="21">
        <v>44512</v>
      </c>
      <c r="H156" s="12">
        <v>18102.75</v>
      </c>
      <c r="I156" s="15">
        <f t="shared" si="5"/>
        <v>1.2820606684330492E-2</v>
      </c>
    </row>
    <row r="157" spans="2:9">
      <c r="B157" s="21">
        <v>44515</v>
      </c>
      <c r="C157">
        <v>414.49</v>
      </c>
      <c r="D157">
        <v>417.92</v>
      </c>
      <c r="E157" s="17">
        <f t="shared" si="4"/>
        <v>1.0884814474384403E-2</v>
      </c>
      <c r="G157" s="21">
        <v>44515</v>
      </c>
      <c r="H157" s="12">
        <v>18109.44921875</v>
      </c>
      <c r="I157" s="14">
        <f t="shared" si="5"/>
        <v>3.7006635732140142E-4</v>
      </c>
    </row>
    <row r="158" spans="2:9">
      <c r="B158" s="21">
        <v>44516</v>
      </c>
      <c r="C158">
        <v>418.44</v>
      </c>
      <c r="D158">
        <v>415.04</v>
      </c>
      <c r="E158" s="17">
        <f t="shared" si="4"/>
        <v>-6.8912710566615505E-3</v>
      </c>
      <c r="G158" s="21">
        <v>44516</v>
      </c>
      <c r="H158" s="12">
        <v>17999.19921875</v>
      </c>
      <c r="I158" s="15">
        <f t="shared" si="5"/>
        <v>-6.0879819517564533E-3</v>
      </c>
    </row>
    <row r="159" spans="2:9">
      <c r="B159" s="21">
        <v>44517</v>
      </c>
      <c r="C159">
        <v>412.48</v>
      </c>
      <c r="D159">
        <v>409.11</v>
      </c>
      <c r="E159" s="17">
        <f t="shared" si="4"/>
        <v>-1.42877794911334E-2</v>
      </c>
      <c r="G159" s="21">
        <v>44517</v>
      </c>
      <c r="H159" s="12">
        <v>17898.650390625</v>
      </c>
      <c r="I159" s="14">
        <f t="shared" si="5"/>
        <v>-5.5862945291619958E-3</v>
      </c>
    </row>
    <row r="160" spans="2:9">
      <c r="B160" s="21">
        <v>44518</v>
      </c>
      <c r="C160">
        <v>408.5</v>
      </c>
      <c r="D160">
        <v>403.41</v>
      </c>
      <c r="E160" s="17">
        <f t="shared" si="4"/>
        <v>-1.3932683141453371E-2</v>
      </c>
      <c r="G160" s="21">
        <v>44518</v>
      </c>
      <c r="H160" s="12">
        <v>17764.80078125</v>
      </c>
      <c r="I160" s="15">
        <f t="shared" si="5"/>
        <v>-7.4781956434608098E-3</v>
      </c>
    </row>
    <row r="161" spans="2:9">
      <c r="B161" s="21">
        <v>44522</v>
      </c>
      <c r="C161">
        <v>407.3</v>
      </c>
      <c r="D161">
        <v>389.66</v>
      </c>
      <c r="E161" s="17">
        <f t="shared" si="4"/>
        <v>-3.4084430232269897E-2</v>
      </c>
      <c r="G161" s="21">
        <v>44522</v>
      </c>
      <c r="H161" s="12">
        <v>17416.55078125</v>
      </c>
      <c r="I161" s="14">
        <f t="shared" si="5"/>
        <v>-1.96033721001568E-2</v>
      </c>
    </row>
    <row r="162" spans="2:9">
      <c r="B162" s="21">
        <v>44523</v>
      </c>
      <c r="C162">
        <v>386.18</v>
      </c>
      <c r="D162">
        <v>395.13</v>
      </c>
      <c r="E162" s="17">
        <f t="shared" si="4"/>
        <v>1.4037879176718088E-2</v>
      </c>
      <c r="G162" s="21">
        <v>44523</v>
      </c>
      <c r="H162" s="12">
        <v>17503.349609375</v>
      </c>
      <c r="I162" s="15">
        <f t="shared" si="5"/>
        <v>4.9836979327987458E-3</v>
      </c>
    </row>
    <row r="163" spans="2:9">
      <c r="B163" s="21">
        <v>44524</v>
      </c>
      <c r="C163">
        <v>394.46</v>
      </c>
      <c r="D163">
        <v>400.81</v>
      </c>
      <c r="E163" s="17">
        <f t="shared" si="4"/>
        <v>1.4375015817579042E-2</v>
      </c>
      <c r="G163" s="21">
        <v>44524</v>
      </c>
      <c r="H163" s="12">
        <v>17415.05078125</v>
      </c>
      <c r="I163" s="14">
        <f t="shared" si="5"/>
        <v>-5.0446817378146927E-3</v>
      </c>
    </row>
    <row r="164" spans="2:9">
      <c r="B164" s="21">
        <v>44525</v>
      </c>
      <c r="C164">
        <v>402.52</v>
      </c>
      <c r="D164">
        <v>405.53</v>
      </c>
      <c r="E164" s="17">
        <f t="shared" si="4"/>
        <v>1.1776153289588509E-2</v>
      </c>
      <c r="G164" s="21">
        <v>44525</v>
      </c>
      <c r="H164" s="12">
        <v>17536.25</v>
      </c>
      <c r="I164" s="15">
        <f t="shared" si="5"/>
        <v>6.9594525030320176E-3</v>
      </c>
    </row>
    <row r="165" spans="2:9">
      <c r="B165" s="21">
        <v>44526</v>
      </c>
      <c r="C165">
        <v>398.93</v>
      </c>
      <c r="D165">
        <v>391.42</v>
      </c>
      <c r="E165" s="17">
        <f t="shared" si="4"/>
        <v>-3.4793973318866564E-2</v>
      </c>
      <c r="G165" s="21">
        <v>44526</v>
      </c>
      <c r="H165" s="12">
        <v>17026.44921875</v>
      </c>
      <c r="I165" s="14">
        <f t="shared" si="5"/>
        <v>-2.9071254187753939E-2</v>
      </c>
    </row>
    <row r="166" spans="2:9">
      <c r="B166" s="21">
        <v>44529</v>
      </c>
      <c r="C166">
        <v>397.14</v>
      </c>
      <c r="D166">
        <v>402.44</v>
      </c>
      <c r="E166" s="17">
        <f t="shared" si="4"/>
        <v>2.815390118031777E-2</v>
      </c>
      <c r="G166" s="21">
        <v>44529</v>
      </c>
      <c r="H166" s="12">
        <v>17053.94921875</v>
      </c>
      <c r="I166" s="15">
        <f t="shared" si="5"/>
        <v>1.615134174289037E-3</v>
      </c>
    </row>
    <row r="167" spans="2:9">
      <c r="B167" s="21">
        <v>44530</v>
      </c>
      <c r="C167">
        <v>403.12</v>
      </c>
      <c r="D167">
        <v>390.94</v>
      </c>
      <c r="E167" s="17">
        <f t="shared" si="4"/>
        <v>-2.8575688301361694E-2</v>
      </c>
      <c r="G167" s="21">
        <v>44530</v>
      </c>
      <c r="H167" s="12">
        <v>16983.19921875</v>
      </c>
      <c r="I167" s="14">
        <f t="shared" si="5"/>
        <v>-4.1485991949720222E-3</v>
      </c>
    </row>
    <row r="168" spans="2:9">
      <c r="B168" s="21">
        <v>44531</v>
      </c>
      <c r="C168">
        <v>394.35</v>
      </c>
      <c r="D168">
        <v>389.24</v>
      </c>
      <c r="E168" s="17">
        <f t="shared" si="4"/>
        <v>-4.3484933749424175E-3</v>
      </c>
      <c r="G168" s="21">
        <v>44531</v>
      </c>
      <c r="H168" s="12">
        <v>17166.900390625</v>
      </c>
      <c r="I168" s="15">
        <f t="shared" si="5"/>
        <v>1.0816641170421411E-2</v>
      </c>
    </row>
    <row r="169" spans="2:9">
      <c r="B169" s="21">
        <v>44532</v>
      </c>
      <c r="C169">
        <v>388.08</v>
      </c>
      <c r="D169">
        <v>391.41</v>
      </c>
      <c r="E169" s="17">
        <f t="shared" si="4"/>
        <v>5.5749666015826116E-3</v>
      </c>
      <c r="G169" s="21">
        <v>44532</v>
      </c>
      <c r="H169" s="12">
        <v>17401.650390625</v>
      </c>
      <c r="I169" s="14">
        <f t="shared" si="5"/>
        <v>1.3674571102433792E-2</v>
      </c>
    </row>
    <row r="170" spans="2:9">
      <c r="B170" s="21">
        <v>44533</v>
      </c>
      <c r="C170">
        <v>391.9</v>
      </c>
      <c r="D170">
        <v>381.44</v>
      </c>
      <c r="E170" s="17">
        <f t="shared" si="4"/>
        <v>-2.5472011445798592E-2</v>
      </c>
      <c r="G170" s="21">
        <v>44533</v>
      </c>
      <c r="H170" s="12">
        <v>17196.69921875</v>
      </c>
      <c r="I170" s="15">
        <f t="shared" si="5"/>
        <v>-1.1777685867394267E-2</v>
      </c>
    </row>
    <row r="171" spans="2:9">
      <c r="B171" s="21">
        <v>44536</v>
      </c>
      <c r="C171">
        <v>382.59</v>
      </c>
      <c r="D171">
        <v>375.66</v>
      </c>
      <c r="E171" s="17">
        <f t="shared" si="4"/>
        <v>-1.5153104026845566E-2</v>
      </c>
      <c r="G171" s="21">
        <v>44536</v>
      </c>
      <c r="H171" s="12">
        <v>16912.25</v>
      </c>
      <c r="I171" s="14">
        <f t="shared" si="5"/>
        <v>-1.6540919575999662E-2</v>
      </c>
    </row>
    <row r="172" spans="2:9">
      <c r="B172" s="21">
        <v>44537</v>
      </c>
      <c r="C172">
        <v>381</v>
      </c>
      <c r="D172">
        <v>386.01</v>
      </c>
      <c r="E172" s="17">
        <f t="shared" si="4"/>
        <v>2.7551509343555249E-2</v>
      </c>
      <c r="G172" s="21">
        <v>44537</v>
      </c>
      <c r="H172" s="12">
        <v>17176.69921875</v>
      </c>
      <c r="I172" s="15">
        <f t="shared" si="5"/>
        <v>1.5636548581649395E-2</v>
      </c>
    </row>
    <row r="173" spans="2:9">
      <c r="B173" s="21">
        <v>44538</v>
      </c>
      <c r="C173">
        <v>392.56</v>
      </c>
      <c r="D173">
        <v>382.68</v>
      </c>
      <c r="E173" s="17">
        <f t="shared" si="4"/>
        <v>-8.62671951503843E-3</v>
      </c>
      <c r="G173" s="21">
        <v>44538</v>
      </c>
      <c r="H173" s="12">
        <v>17469.75</v>
      </c>
      <c r="I173" s="14">
        <f t="shared" si="5"/>
        <v>1.7060948527881727E-2</v>
      </c>
    </row>
    <row r="174" spans="2:9">
      <c r="B174" s="21">
        <v>44539</v>
      </c>
      <c r="C174">
        <v>383.79</v>
      </c>
      <c r="D174">
        <v>381.86</v>
      </c>
      <c r="E174" s="17">
        <f t="shared" si="4"/>
        <v>-2.1427824814466215E-3</v>
      </c>
      <c r="G174" s="21">
        <v>44539</v>
      </c>
      <c r="H174" s="12">
        <v>17516.849609375</v>
      </c>
      <c r="I174" s="15">
        <f t="shared" si="5"/>
        <v>2.6960665936833668E-3</v>
      </c>
    </row>
    <row r="175" spans="2:9">
      <c r="B175" s="21">
        <v>44540</v>
      </c>
      <c r="C175">
        <v>381.6</v>
      </c>
      <c r="D175">
        <v>377.96</v>
      </c>
      <c r="E175" s="17">
        <f t="shared" si="4"/>
        <v>-1.0213167129314497E-2</v>
      </c>
      <c r="G175" s="21">
        <v>44540</v>
      </c>
      <c r="H175" s="12">
        <v>17511.30078125</v>
      </c>
      <c r="I175" s="14">
        <f t="shared" si="5"/>
        <v>-3.1677089480920548E-4</v>
      </c>
    </row>
    <row r="176" spans="2:9">
      <c r="B176" s="21">
        <v>44543</v>
      </c>
      <c r="C176">
        <v>380.6</v>
      </c>
      <c r="D176">
        <v>373.25</v>
      </c>
      <c r="E176" s="17">
        <f t="shared" si="4"/>
        <v>-1.2461636151973701E-2</v>
      </c>
      <c r="G176" s="21">
        <v>44543</v>
      </c>
      <c r="H176" s="12">
        <v>17368.25</v>
      </c>
      <c r="I176" s="15">
        <f t="shared" si="5"/>
        <v>-8.1690551168631508E-3</v>
      </c>
    </row>
    <row r="177" spans="2:9">
      <c r="B177" s="21">
        <v>44544</v>
      </c>
      <c r="C177">
        <v>373.25</v>
      </c>
      <c r="D177">
        <v>366.73</v>
      </c>
      <c r="E177" s="17">
        <f t="shared" si="4"/>
        <v>-1.7468184862692516E-2</v>
      </c>
      <c r="G177" s="21">
        <v>44544</v>
      </c>
      <c r="H177" s="12">
        <v>17324.900390625</v>
      </c>
      <c r="I177" s="14">
        <f t="shared" si="5"/>
        <v>-2.4959111813222402E-3</v>
      </c>
    </row>
    <row r="178" spans="2:9">
      <c r="B178" s="21">
        <v>44545</v>
      </c>
      <c r="C178">
        <v>367.77</v>
      </c>
      <c r="D178">
        <v>372.11</v>
      </c>
      <c r="E178" s="17">
        <f t="shared" si="4"/>
        <v>1.4670193330242946E-2</v>
      </c>
      <c r="G178" s="21">
        <v>44545</v>
      </c>
      <c r="H178" s="12">
        <v>17221.400390625</v>
      </c>
      <c r="I178" s="15">
        <f t="shared" si="5"/>
        <v>-5.9740603216401067E-3</v>
      </c>
    </row>
    <row r="179" spans="2:9">
      <c r="B179" s="21">
        <v>44546</v>
      </c>
      <c r="C179">
        <v>375.8</v>
      </c>
      <c r="D179">
        <v>370.79</v>
      </c>
      <c r="E179" s="17">
        <f t="shared" si="4"/>
        <v>-3.5473381526967647E-3</v>
      </c>
      <c r="G179" s="21">
        <v>44546</v>
      </c>
      <c r="H179" s="12">
        <v>17248.400390625</v>
      </c>
      <c r="I179" s="14">
        <f t="shared" si="5"/>
        <v>1.5678167505296654E-3</v>
      </c>
    </row>
    <row r="180" spans="2:9">
      <c r="B180" s="21">
        <v>44547</v>
      </c>
      <c r="C180">
        <v>369.64</v>
      </c>
      <c r="D180">
        <v>357.44</v>
      </c>
      <c r="E180" s="17">
        <f t="shared" si="4"/>
        <v>-3.6004207233204841E-2</v>
      </c>
      <c r="G180" s="21">
        <v>44547</v>
      </c>
      <c r="H180" s="12">
        <v>16985.19921875</v>
      </c>
      <c r="I180" s="15">
        <f t="shared" si="5"/>
        <v>-1.525945397337004E-2</v>
      </c>
    </row>
    <row r="181" spans="2:9">
      <c r="B181" s="21">
        <v>44550</v>
      </c>
      <c r="C181">
        <v>354.69</v>
      </c>
      <c r="D181">
        <v>347.22</v>
      </c>
      <c r="E181" s="17">
        <f t="shared" si="4"/>
        <v>-2.8592211280214778E-2</v>
      </c>
      <c r="G181" s="21">
        <v>44550</v>
      </c>
      <c r="H181" s="12">
        <v>16614.19921875</v>
      </c>
      <c r="I181" s="14">
        <f t="shared" si="5"/>
        <v>-2.1842546279377886E-2</v>
      </c>
    </row>
    <row r="182" spans="2:9">
      <c r="B182" s="21">
        <v>44551</v>
      </c>
      <c r="C182">
        <v>350.92</v>
      </c>
      <c r="D182">
        <v>346.04</v>
      </c>
      <c r="E182" s="17">
        <f t="shared" si="4"/>
        <v>-3.3984217498992187E-3</v>
      </c>
      <c r="G182" s="21">
        <v>44551</v>
      </c>
      <c r="H182" s="12">
        <v>16770.849609375</v>
      </c>
      <c r="I182" s="15">
        <f t="shared" si="5"/>
        <v>9.4287054442089378E-3</v>
      </c>
    </row>
    <row r="183" spans="2:9">
      <c r="B183" s="21">
        <v>44552</v>
      </c>
      <c r="C183">
        <v>348.32</v>
      </c>
      <c r="D183">
        <v>351.19</v>
      </c>
      <c r="E183" s="17">
        <f t="shared" si="4"/>
        <v>1.4882672523407633E-2</v>
      </c>
      <c r="G183" s="21">
        <v>44552</v>
      </c>
      <c r="H183" s="12">
        <v>16955.44921875</v>
      </c>
      <c r="I183" s="14">
        <f t="shared" si="5"/>
        <v>1.1007170994593368E-2</v>
      </c>
    </row>
    <row r="184" spans="2:9">
      <c r="B184" s="21">
        <v>44553</v>
      </c>
      <c r="C184">
        <v>355.67</v>
      </c>
      <c r="D184">
        <v>353.82</v>
      </c>
      <c r="E184" s="17">
        <f t="shared" si="4"/>
        <v>7.4888237136592596E-3</v>
      </c>
      <c r="G184" s="21">
        <v>44553</v>
      </c>
      <c r="H184" s="12">
        <v>17072.599609375</v>
      </c>
      <c r="I184" s="15">
        <f t="shared" si="5"/>
        <v>6.9093062126275315E-3</v>
      </c>
    </row>
    <row r="185" spans="2:9">
      <c r="B185" s="21">
        <v>44554</v>
      </c>
      <c r="C185">
        <v>354.69</v>
      </c>
      <c r="D185">
        <v>348.4</v>
      </c>
      <c r="E185" s="17">
        <f t="shared" si="4"/>
        <v>-1.5318523543044532E-2</v>
      </c>
      <c r="G185" s="21">
        <v>44554</v>
      </c>
      <c r="H185" s="12">
        <v>17003.75</v>
      </c>
      <c r="I185" s="14">
        <f t="shared" si="5"/>
        <v>-4.0327548791803756E-3</v>
      </c>
    </row>
    <row r="186" spans="2:9">
      <c r="B186" s="21">
        <v>44557</v>
      </c>
      <c r="C186">
        <v>347.34</v>
      </c>
      <c r="D186">
        <v>353.39</v>
      </c>
      <c r="E186" s="17">
        <f t="shared" si="4"/>
        <v>1.4322617680826663E-2</v>
      </c>
      <c r="G186" s="21">
        <v>44557</v>
      </c>
      <c r="H186" s="12">
        <v>17086.25</v>
      </c>
      <c r="I186" s="15">
        <f t="shared" si="5"/>
        <v>4.8518709108284937E-3</v>
      </c>
    </row>
    <row r="187" spans="2:9">
      <c r="B187" s="21">
        <v>44558</v>
      </c>
      <c r="C187">
        <v>355.69</v>
      </c>
      <c r="D187">
        <v>353.68</v>
      </c>
      <c r="E187" s="17">
        <f t="shared" si="4"/>
        <v>8.206231076148744E-4</v>
      </c>
      <c r="G187" s="21">
        <v>44558</v>
      </c>
      <c r="H187" s="12">
        <v>17233.25</v>
      </c>
      <c r="I187" s="14">
        <f t="shared" si="5"/>
        <v>8.6034091740434561E-3</v>
      </c>
    </row>
    <row r="188" spans="2:9">
      <c r="B188" s="21">
        <v>44559</v>
      </c>
      <c r="C188">
        <v>353.5</v>
      </c>
      <c r="D188">
        <v>351.55</v>
      </c>
      <c r="E188" s="17">
        <f t="shared" si="4"/>
        <v>-6.0223931237276505E-3</v>
      </c>
      <c r="G188" s="21">
        <v>44559</v>
      </c>
      <c r="H188" s="12">
        <v>17213.599609375</v>
      </c>
      <c r="I188" s="15">
        <f t="shared" si="5"/>
        <v>-1.1402602889762524E-3</v>
      </c>
    </row>
    <row r="189" spans="2:9">
      <c r="B189" s="21">
        <v>44560</v>
      </c>
      <c r="C189">
        <v>350.51</v>
      </c>
      <c r="D189">
        <v>349.76</v>
      </c>
      <c r="E189" s="17">
        <f t="shared" si="4"/>
        <v>-5.0917365950789942E-3</v>
      </c>
      <c r="G189" s="21">
        <v>44560</v>
      </c>
      <c r="H189" s="12">
        <v>17203.94921875</v>
      </c>
      <c r="I189" s="14">
        <f t="shared" si="5"/>
        <v>-5.606259494814862E-4</v>
      </c>
    </row>
    <row r="190" spans="2:9">
      <c r="B190" s="21">
        <v>44561</v>
      </c>
      <c r="C190">
        <v>351.11</v>
      </c>
      <c r="D190">
        <v>357.9</v>
      </c>
      <c r="E190" s="17">
        <f t="shared" si="4"/>
        <v>2.3273101555352203E-2</v>
      </c>
      <c r="G190" s="21">
        <v>44561</v>
      </c>
      <c r="H190" s="12">
        <v>17354.05078125</v>
      </c>
      <c r="I190" s="15">
        <f t="shared" si="5"/>
        <v>8.7248317576065267E-3</v>
      </c>
    </row>
    <row r="191" spans="2:9">
      <c r="B191" s="21">
        <v>44564</v>
      </c>
      <c r="C191">
        <v>358.08</v>
      </c>
      <c r="D191">
        <v>363.55</v>
      </c>
      <c r="E191" s="17">
        <f t="shared" si="4"/>
        <v>1.5786532550991994E-2</v>
      </c>
      <c r="G191" s="21">
        <v>44564</v>
      </c>
      <c r="H191" s="12">
        <v>17625.69921875</v>
      </c>
      <c r="I191" s="14">
        <f t="shared" si="5"/>
        <v>1.565331581220793E-2</v>
      </c>
    </row>
    <row r="192" spans="2:9">
      <c r="B192" s="21">
        <v>44565</v>
      </c>
      <c r="C192">
        <v>364.66</v>
      </c>
      <c r="D192">
        <v>369.16</v>
      </c>
      <c r="E192" s="17">
        <f t="shared" si="4"/>
        <v>1.5431164901664182E-2</v>
      </c>
      <c r="G192" s="21">
        <v>44565</v>
      </c>
      <c r="H192" s="12">
        <v>17805.25</v>
      </c>
      <c r="I192" s="15">
        <f t="shared" si="5"/>
        <v>1.0186874235264159E-2</v>
      </c>
    </row>
    <row r="193" spans="2:9">
      <c r="B193" s="21">
        <v>44566</v>
      </c>
      <c r="C193">
        <v>370.04</v>
      </c>
      <c r="D193">
        <v>383.02</v>
      </c>
      <c r="E193" s="17">
        <f t="shared" si="4"/>
        <v>3.7544696066746007E-2</v>
      </c>
      <c r="G193" s="21">
        <v>44566</v>
      </c>
      <c r="H193" s="12">
        <v>17925.25</v>
      </c>
      <c r="I193" s="14">
        <f t="shared" si="5"/>
        <v>6.7395852346920151E-3</v>
      </c>
    </row>
    <row r="194" spans="2:9">
      <c r="B194" s="21">
        <v>44567</v>
      </c>
      <c r="C194">
        <v>380.02</v>
      </c>
      <c r="D194">
        <v>376.99</v>
      </c>
      <c r="E194" s="17">
        <f t="shared" si="4"/>
        <v>-1.5743303221763805E-2</v>
      </c>
      <c r="G194" s="21">
        <v>44567</v>
      </c>
      <c r="H194" s="12">
        <v>17745.900390625</v>
      </c>
      <c r="I194" s="15">
        <f t="shared" si="5"/>
        <v>-1.0005417462796892E-2</v>
      </c>
    </row>
    <row r="195" spans="2:9">
      <c r="B195" s="21">
        <v>44568</v>
      </c>
      <c r="C195">
        <v>376.99</v>
      </c>
      <c r="D195">
        <v>379.45</v>
      </c>
      <c r="E195" s="17">
        <f t="shared" si="4"/>
        <v>6.5253720257831228E-3</v>
      </c>
      <c r="G195" s="21">
        <v>44568</v>
      </c>
      <c r="H195" s="12">
        <v>17812.69921875</v>
      </c>
      <c r="I195" s="14">
        <f t="shared" si="5"/>
        <v>3.7641836511315718E-3</v>
      </c>
    </row>
    <row r="196" spans="2:9">
      <c r="B196" s="21">
        <v>44571</v>
      </c>
      <c r="C196">
        <v>379.45</v>
      </c>
      <c r="D196">
        <v>388.16</v>
      </c>
      <c r="E196" s="17">
        <f t="shared" si="4"/>
        <v>2.2954275925682003E-2</v>
      </c>
      <c r="G196" s="21">
        <v>44571</v>
      </c>
      <c r="H196" s="12">
        <v>18003.30078125</v>
      </c>
      <c r="I196" s="15">
        <f t="shared" si="5"/>
        <v>1.0700318921871708E-2</v>
      </c>
    </row>
    <row r="197" spans="2:9">
      <c r="B197" s="21">
        <v>44572</v>
      </c>
      <c r="C197">
        <v>388.17</v>
      </c>
      <c r="D197">
        <v>385.94</v>
      </c>
      <c r="E197" s="17">
        <f t="shared" ref="E197:E260" si="6">(D197-D196)/D196</f>
        <v>-5.7192910140149095E-3</v>
      </c>
      <c r="G197" s="21">
        <v>44572</v>
      </c>
      <c r="H197" s="12">
        <v>18055.75</v>
      </c>
      <c r="I197" s="14">
        <f t="shared" ref="I197:I260" si="7">(H197-H196)/H196</f>
        <v>2.9133112526023332E-3</v>
      </c>
    </row>
    <row r="198" spans="2:9">
      <c r="B198" s="21">
        <v>44573</v>
      </c>
      <c r="C198">
        <v>389.53</v>
      </c>
      <c r="D198">
        <v>389.89</v>
      </c>
      <c r="E198" s="17">
        <f t="shared" si="6"/>
        <v>1.0234751515779626E-2</v>
      </c>
      <c r="G198" s="21">
        <v>44573</v>
      </c>
      <c r="H198" s="12">
        <v>18212.349609375</v>
      </c>
      <c r="I198" s="15">
        <f t="shared" si="7"/>
        <v>8.6731157318305808E-3</v>
      </c>
    </row>
    <row r="199" spans="2:9">
      <c r="B199" s="21">
        <v>44574</v>
      </c>
      <c r="C199">
        <v>390.56</v>
      </c>
      <c r="D199">
        <v>383.86</v>
      </c>
      <c r="E199" s="17">
        <f t="shared" si="6"/>
        <v>-1.5465900638641599E-2</v>
      </c>
      <c r="G199" s="21">
        <v>44574</v>
      </c>
      <c r="H199" s="12">
        <v>18257.80078125</v>
      </c>
      <c r="I199" s="14">
        <f t="shared" si="7"/>
        <v>2.495623730592319E-3</v>
      </c>
    </row>
    <row r="200" spans="2:9">
      <c r="B200" s="21">
        <v>44575</v>
      </c>
      <c r="C200">
        <v>380.4</v>
      </c>
      <c r="D200">
        <v>386.22</v>
      </c>
      <c r="E200" s="17">
        <f t="shared" si="6"/>
        <v>6.1480748189444425E-3</v>
      </c>
      <c r="G200" s="21">
        <v>44575</v>
      </c>
      <c r="H200" s="12">
        <v>18255.75</v>
      </c>
      <c r="I200" s="15">
        <f t="shared" si="7"/>
        <v>-1.1232356375068276E-4</v>
      </c>
    </row>
    <row r="201" spans="2:9">
      <c r="B201" s="21">
        <v>44578</v>
      </c>
      <c r="C201">
        <v>382.99</v>
      </c>
      <c r="D201">
        <v>386.07</v>
      </c>
      <c r="E201" s="17">
        <f t="shared" si="6"/>
        <v>-3.8837967997523199E-4</v>
      </c>
      <c r="G201" s="21">
        <v>44578</v>
      </c>
      <c r="H201" s="12">
        <v>18308.099609375</v>
      </c>
      <c r="I201" s="14">
        <f t="shared" si="7"/>
        <v>2.867568266162716E-3</v>
      </c>
    </row>
    <row r="202" spans="2:9">
      <c r="B202" s="21">
        <v>44579</v>
      </c>
      <c r="C202">
        <v>384.58</v>
      </c>
      <c r="D202">
        <v>387.01</v>
      </c>
      <c r="E202" s="17">
        <f t="shared" si="6"/>
        <v>2.4347916181003387E-3</v>
      </c>
      <c r="G202" s="21">
        <v>44579</v>
      </c>
      <c r="H202" s="12">
        <v>18113.05078125</v>
      </c>
      <c r="I202" s="15">
        <f t="shared" si="7"/>
        <v>-1.0653690567923372E-2</v>
      </c>
    </row>
    <row r="203" spans="2:9">
      <c r="B203" s="21">
        <v>44580</v>
      </c>
      <c r="C203">
        <v>387.57</v>
      </c>
      <c r="D203">
        <v>379.73</v>
      </c>
      <c r="E203" s="17">
        <f t="shared" si="6"/>
        <v>-1.8810883439704329E-2</v>
      </c>
      <c r="G203" s="21">
        <v>44580</v>
      </c>
      <c r="H203" s="12">
        <v>17938.400390625</v>
      </c>
      <c r="I203" s="14">
        <f t="shared" si="7"/>
        <v>-9.642240433941256E-3</v>
      </c>
    </row>
    <row r="204" spans="2:9">
      <c r="B204" s="21">
        <v>44581</v>
      </c>
      <c r="C204">
        <v>383.59</v>
      </c>
      <c r="D204">
        <v>377.13</v>
      </c>
      <c r="E204" s="17">
        <f t="shared" si="6"/>
        <v>-6.8469702156796217E-3</v>
      </c>
      <c r="G204" s="21">
        <v>44581</v>
      </c>
      <c r="H204" s="12">
        <v>17757</v>
      </c>
      <c r="I204" s="15">
        <f t="shared" si="7"/>
        <v>-1.0112406160797024E-2</v>
      </c>
    </row>
    <row r="205" spans="2:9">
      <c r="B205" s="21">
        <v>44582</v>
      </c>
      <c r="C205">
        <v>372.28</v>
      </c>
      <c r="D205">
        <v>377.36</v>
      </c>
      <c r="E205" s="17">
        <f t="shared" si="6"/>
        <v>6.0986927584657331E-4</v>
      </c>
      <c r="G205" s="21">
        <v>44582</v>
      </c>
      <c r="H205" s="12">
        <v>17617.150390625</v>
      </c>
      <c r="I205" s="14">
        <f t="shared" si="7"/>
        <v>-7.875745304668582E-3</v>
      </c>
    </row>
    <row r="206" spans="2:9">
      <c r="B206" s="21">
        <v>44585</v>
      </c>
      <c r="C206">
        <v>375.44</v>
      </c>
      <c r="D206">
        <v>364.84</v>
      </c>
      <c r="E206" s="17">
        <f t="shared" si="6"/>
        <v>-3.3177867288530949E-2</v>
      </c>
      <c r="G206" s="21">
        <v>44585</v>
      </c>
      <c r="H206" s="12">
        <v>17149.099609375</v>
      </c>
      <c r="I206" s="15">
        <f t="shared" si="7"/>
        <v>-2.6567905187383431E-2</v>
      </c>
    </row>
    <row r="207" spans="2:9">
      <c r="B207" s="21">
        <v>44586</v>
      </c>
      <c r="C207">
        <v>361.61</v>
      </c>
      <c r="D207">
        <v>369.57</v>
      </c>
      <c r="E207" s="17">
        <f t="shared" si="6"/>
        <v>1.2964587216314051E-2</v>
      </c>
      <c r="G207" s="21">
        <v>44586</v>
      </c>
      <c r="H207" s="12">
        <v>17277.94921875</v>
      </c>
      <c r="I207" s="14">
        <f t="shared" si="7"/>
        <v>7.5134912216942877E-3</v>
      </c>
    </row>
    <row r="208" spans="2:9">
      <c r="B208" s="21">
        <v>44588</v>
      </c>
      <c r="C208">
        <v>366.65</v>
      </c>
      <c r="D208">
        <v>376.46</v>
      </c>
      <c r="E208" s="17">
        <f t="shared" si="6"/>
        <v>1.8643288145682783E-2</v>
      </c>
      <c r="G208" s="21">
        <v>44588</v>
      </c>
      <c r="H208" s="12">
        <v>17110.150390625</v>
      </c>
      <c r="I208" s="15">
        <f t="shared" si="7"/>
        <v>-9.7117329146276816E-3</v>
      </c>
    </row>
    <row r="209" spans="2:9">
      <c r="B209" s="21">
        <v>44589</v>
      </c>
      <c r="C209">
        <v>377.61</v>
      </c>
      <c r="D209">
        <v>378.27</v>
      </c>
      <c r="E209" s="17">
        <f t="shared" si="6"/>
        <v>4.8079477235297308E-3</v>
      </c>
      <c r="G209" s="21">
        <v>44589</v>
      </c>
      <c r="H209" s="12">
        <v>17101.94921875</v>
      </c>
      <c r="I209" s="14">
        <f t="shared" si="7"/>
        <v>-4.7931617710932507E-4</v>
      </c>
    </row>
    <row r="210" spans="2:9">
      <c r="B210" s="21">
        <v>44592</v>
      </c>
      <c r="C210">
        <v>382.59</v>
      </c>
      <c r="D210">
        <v>370.09</v>
      </c>
      <c r="E210" s="17">
        <f t="shared" si="6"/>
        <v>-2.1624765379226498E-2</v>
      </c>
      <c r="G210" s="21">
        <v>44592</v>
      </c>
      <c r="H210" s="12">
        <v>17339.849609375</v>
      </c>
      <c r="I210" s="15">
        <f t="shared" si="7"/>
        <v>1.3910717870929826E-2</v>
      </c>
    </row>
    <row r="211" spans="2:9">
      <c r="B211" s="21">
        <v>44593</v>
      </c>
      <c r="C211">
        <v>375.02</v>
      </c>
      <c r="D211">
        <v>375.08</v>
      </c>
      <c r="E211" s="17">
        <f t="shared" si="6"/>
        <v>1.3483206787538192E-2</v>
      </c>
      <c r="G211" s="21">
        <v>44593</v>
      </c>
      <c r="H211" s="12">
        <v>17576.849609375</v>
      </c>
      <c r="I211" s="14">
        <f t="shared" si="7"/>
        <v>1.366793861187026E-2</v>
      </c>
    </row>
    <row r="212" spans="2:9">
      <c r="B212" s="21">
        <v>44594</v>
      </c>
      <c r="C212">
        <v>380.76</v>
      </c>
      <c r="D212">
        <v>387.1</v>
      </c>
      <c r="E212" s="17">
        <f t="shared" si="6"/>
        <v>3.2046496747360667E-2</v>
      </c>
      <c r="G212" s="21">
        <v>44594</v>
      </c>
      <c r="H212" s="12">
        <v>17780</v>
      </c>
      <c r="I212" s="15">
        <f t="shared" si="7"/>
        <v>1.1557838585399586E-2</v>
      </c>
    </row>
    <row r="213" spans="2:9">
      <c r="B213" s="21">
        <v>44595</v>
      </c>
      <c r="C213">
        <v>386.56</v>
      </c>
      <c r="D213">
        <v>380.41</v>
      </c>
      <c r="E213" s="17">
        <f t="shared" si="6"/>
        <v>-1.7282355980366822E-2</v>
      </c>
      <c r="G213" s="21">
        <v>44595</v>
      </c>
      <c r="H213" s="12">
        <v>17560.19921875</v>
      </c>
      <c r="I213" s="14">
        <f t="shared" si="7"/>
        <v>-1.2362248664229471E-2</v>
      </c>
    </row>
    <row r="214" spans="2:9">
      <c r="B214" s="21">
        <v>44596</v>
      </c>
      <c r="C214">
        <v>381.4</v>
      </c>
      <c r="D214">
        <v>375.46</v>
      </c>
      <c r="E214" s="17">
        <f t="shared" si="6"/>
        <v>-1.3012276228280132E-2</v>
      </c>
      <c r="G214" s="21">
        <v>44596</v>
      </c>
      <c r="H214" s="12">
        <v>17516.30078125</v>
      </c>
      <c r="I214" s="15">
        <f t="shared" si="7"/>
        <v>-2.4998826581151311E-3</v>
      </c>
    </row>
    <row r="215" spans="2:9">
      <c r="B215" s="21">
        <v>44599</v>
      </c>
      <c r="C215">
        <v>368.64</v>
      </c>
      <c r="D215">
        <v>364.35</v>
      </c>
      <c r="E215" s="17">
        <f t="shared" si="6"/>
        <v>-2.9590369147179347E-2</v>
      </c>
      <c r="G215" s="21">
        <v>44599</v>
      </c>
      <c r="H215" s="12">
        <v>17213.599609375</v>
      </c>
      <c r="I215" s="14">
        <f t="shared" si="7"/>
        <v>-1.7281112927623445E-2</v>
      </c>
    </row>
    <row r="216" spans="2:9">
      <c r="B216" s="21">
        <v>44600</v>
      </c>
      <c r="C216">
        <v>365.65</v>
      </c>
      <c r="D216">
        <v>362.23</v>
      </c>
      <c r="E216" s="17">
        <f t="shared" si="6"/>
        <v>-5.8185810347193756E-3</v>
      </c>
      <c r="G216" s="21">
        <v>44600</v>
      </c>
      <c r="H216" s="12">
        <v>17266.75</v>
      </c>
      <c r="I216" s="15">
        <f t="shared" si="7"/>
        <v>3.0876976246184346E-3</v>
      </c>
    </row>
    <row r="217" spans="2:9">
      <c r="B217" s="21">
        <v>44601</v>
      </c>
      <c r="C217">
        <v>365.77</v>
      </c>
      <c r="D217">
        <v>365.65</v>
      </c>
      <c r="E217" s="17">
        <f t="shared" si="6"/>
        <v>9.4415150594924745E-3</v>
      </c>
      <c r="G217" s="21">
        <v>44601</v>
      </c>
      <c r="H217" s="12">
        <v>17463.80078125</v>
      </c>
      <c r="I217" s="14">
        <f t="shared" si="7"/>
        <v>1.1412152330345897E-2</v>
      </c>
    </row>
    <row r="218" spans="2:9">
      <c r="B218" s="21">
        <v>44602</v>
      </c>
      <c r="C218">
        <v>365.65</v>
      </c>
      <c r="D218">
        <v>372.07</v>
      </c>
      <c r="E218" s="17">
        <f t="shared" si="6"/>
        <v>1.7557773827430647E-2</v>
      </c>
      <c r="G218" s="21">
        <v>44602</v>
      </c>
      <c r="H218" s="12">
        <v>17605.849609375</v>
      </c>
      <c r="I218" s="15">
        <f t="shared" si="7"/>
        <v>8.1339010851240717E-3</v>
      </c>
    </row>
    <row r="219" spans="2:9">
      <c r="B219" s="21">
        <v>44603</v>
      </c>
      <c r="C219">
        <v>369.46</v>
      </c>
      <c r="D219">
        <v>364.31</v>
      </c>
      <c r="E219" s="17">
        <f t="shared" si="6"/>
        <v>-2.0856290482973609E-2</v>
      </c>
      <c r="G219" s="21">
        <v>44603</v>
      </c>
      <c r="H219" s="12">
        <v>17374.75</v>
      </c>
      <c r="I219" s="14">
        <f t="shared" si="7"/>
        <v>-1.3126296912813624E-2</v>
      </c>
    </row>
    <row r="220" spans="2:9">
      <c r="B220" s="21">
        <v>44606</v>
      </c>
      <c r="C220">
        <v>356.7</v>
      </c>
      <c r="D220">
        <v>348.09</v>
      </c>
      <c r="E220" s="17">
        <f t="shared" si="6"/>
        <v>-4.4522522027943309E-2</v>
      </c>
      <c r="G220" s="21">
        <v>44606</v>
      </c>
      <c r="H220" s="12">
        <v>16842.80078125</v>
      </c>
      <c r="I220" s="15">
        <f t="shared" si="7"/>
        <v>-3.0616222895293456E-2</v>
      </c>
    </row>
    <row r="221" spans="2:9">
      <c r="B221" s="21">
        <v>44607</v>
      </c>
      <c r="C221">
        <v>349.91</v>
      </c>
      <c r="D221">
        <v>361.29</v>
      </c>
      <c r="E221" s="17">
        <f t="shared" si="6"/>
        <v>3.7921227268809921E-2</v>
      </c>
      <c r="G221" s="21">
        <v>44607</v>
      </c>
      <c r="H221" s="12">
        <v>17352.44921875</v>
      </c>
      <c r="I221" s="14">
        <f t="shared" si="7"/>
        <v>3.0259126383977576E-2</v>
      </c>
    </row>
    <row r="222" spans="2:9">
      <c r="B222" s="21">
        <v>44608</v>
      </c>
      <c r="C222">
        <v>361.69</v>
      </c>
      <c r="D222">
        <v>364.67</v>
      </c>
      <c r="E222" s="17">
        <f t="shared" si="6"/>
        <v>9.3553654958620364E-3</v>
      </c>
      <c r="G222" s="21">
        <v>44608</v>
      </c>
      <c r="H222" s="12">
        <v>17322.19921875</v>
      </c>
      <c r="I222" s="15">
        <f t="shared" si="7"/>
        <v>-1.7432697608654399E-3</v>
      </c>
    </row>
    <row r="223" spans="2:9">
      <c r="B223" s="21">
        <v>44609</v>
      </c>
      <c r="C223">
        <v>365.65</v>
      </c>
      <c r="D223">
        <v>362.13</v>
      </c>
      <c r="E223" s="17">
        <f t="shared" si="6"/>
        <v>-6.9652014149779807E-3</v>
      </c>
      <c r="G223" s="21">
        <v>44609</v>
      </c>
      <c r="H223" s="12">
        <v>17304.599609375</v>
      </c>
      <c r="I223" s="14">
        <f t="shared" si="7"/>
        <v>-1.0160147191904897E-3</v>
      </c>
    </row>
    <row r="224" spans="2:9">
      <c r="B224" s="21">
        <v>44610</v>
      </c>
      <c r="C224">
        <v>360.48</v>
      </c>
      <c r="D224">
        <v>363.97</v>
      </c>
      <c r="E224" s="17">
        <f t="shared" si="6"/>
        <v>5.0810482423439976E-3</v>
      </c>
      <c r="G224" s="21">
        <v>44610</v>
      </c>
      <c r="H224" s="12">
        <v>17276.30078125</v>
      </c>
      <c r="I224" s="15">
        <f t="shared" si="7"/>
        <v>-1.6353356196504385E-3</v>
      </c>
    </row>
    <row r="225" spans="2:9">
      <c r="B225" s="21">
        <v>44613</v>
      </c>
      <c r="C225">
        <v>360.27</v>
      </c>
      <c r="D225">
        <v>364.08</v>
      </c>
      <c r="E225" s="17">
        <f t="shared" si="6"/>
        <v>3.0222271066284801E-4</v>
      </c>
      <c r="G225" s="21">
        <v>44613</v>
      </c>
      <c r="H225" s="12">
        <v>17206.650390625</v>
      </c>
      <c r="I225" s="14">
        <f t="shared" si="7"/>
        <v>-4.0315569581071253E-3</v>
      </c>
    </row>
    <row r="226" spans="2:9">
      <c r="B226" s="21">
        <v>44614</v>
      </c>
      <c r="C226">
        <v>356.69</v>
      </c>
      <c r="D226">
        <v>367</v>
      </c>
      <c r="E226" s="17">
        <f t="shared" si="6"/>
        <v>8.0202153372885519E-3</v>
      </c>
      <c r="G226" s="21">
        <v>44614</v>
      </c>
      <c r="H226" s="12">
        <v>17092.19921875</v>
      </c>
      <c r="I226" s="15">
        <f t="shared" si="7"/>
        <v>-6.6515660675803834E-3</v>
      </c>
    </row>
    <row r="227" spans="2:9">
      <c r="B227" s="21">
        <v>44615</v>
      </c>
      <c r="C227">
        <v>369.22</v>
      </c>
      <c r="D227">
        <v>375.84</v>
      </c>
      <c r="E227" s="17">
        <f t="shared" si="6"/>
        <v>2.4087193460490396E-2</v>
      </c>
      <c r="G227" s="21">
        <v>44615</v>
      </c>
      <c r="H227" s="12">
        <v>17063.25</v>
      </c>
      <c r="I227" s="14">
        <f t="shared" si="7"/>
        <v>-1.6937094155936908E-3</v>
      </c>
    </row>
    <row r="228" spans="2:9">
      <c r="B228" s="21">
        <v>44616</v>
      </c>
      <c r="C228">
        <v>365.53</v>
      </c>
      <c r="D228">
        <v>357.65</v>
      </c>
      <c r="E228" s="17">
        <f t="shared" si="6"/>
        <v>-4.8398254576415493E-2</v>
      </c>
      <c r="G228" s="21">
        <v>44616</v>
      </c>
      <c r="H228" s="12">
        <v>16247.9501953125</v>
      </c>
      <c r="I228" s="15">
        <f t="shared" si="7"/>
        <v>-4.7781038470836444E-2</v>
      </c>
    </row>
    <row r="229" spans="2:9">
      <c r="B229" s="21">
        <v>44617</v>
      </c>
      <c r="C229">
        <v>362.85</v>
      </c>
      <c r="D229">
        <v>369.98</v>
      </c>
      <c r="E229" s="17">
        <f t="shared" si="6"/>
        <v>3.447504543548173E-2</v>
      </c>
      <c r="G229" s="21">
        <v>44617</v>
      </c>
      <c r="H229" s="12">
        <v>16658.400390625</v>
      </c>
      <c r="I229" s="14">
        <f t="shared" si="7"/>
        <v>2.5261660109649649E-2</v>
      </c>
    </row>
    <row r="230" spans="2:9">
      <c r="B230" s="21">
        <v>44620</v>
      </c>
      <c r="C230">
        <v>366.05</v>
      </c>
      <c r="D230">
        <v>367.2</v>
      </c>
      <c r="E230" s="17">
        <f t="shared" si="6"/>
        <v>-7.5139196713336649E-3</v>
      </c>
      <c r="G230" s="21">
        <v>44620</v>
      </c>
      <c r="H230" s="12">
        <v>16793.900390625</v>
      </c>
      <c r="I230" s="15">
        <f t="shared" si="7"/>
        <v>8.1340342903665937E-3</v>
      </c>
    </row>
    <row r="231" spans="2:9">
      <c r="B231" s="21">
        <v>44622</v>
      </c>
      <c r="C231">
        <v>361.03</v>
      </c>
      <c r="D231">
        <v>359.88</v>
      </c>
      <c r="E231" s="17">
        <f t="shared" si="6"/>
        <v>-1.9934640522875798E-2</v>
      </c>
      <c r="G231" s="21">
        <v>44622</v>
      </c>
      <c r="H231" s="12">
        <v>16605.94921875</v>
      </c>
      <c r="I231" s="14">
        <f t="shared" si="7"/>
        <v>-1.1191633122935609E-2</v>
      </c>
    </row>
    <row r="232" spans="2:9">
      <c r="B232" s="21">
        <v>44623</v>
      </c>
      <c r="C232">
        <v>361.26</v>
      </c>
      <c r="D232">
        <v>357.14</v>
      </c>
      <c r="E232" s="17">
        <f t="shared" si="6"/>
        <v>-7.6136489941091732E-3</v>
      </c>
      <c r="G232" s="21">
        <v>44623</v>
      </c>
      <c r="H232" s="12">
        <v>16498.05078125</v>
      </c>
      <c r="I232" s="15">
        <f t="shared" si="7"/>
        <v>-6.4975772284170561E-3</v>
      </c>
    </row>
    <row r="233" spans="2:9">
      <c r="B233" s="21">
        <v>44624</v>
      </c>
      <c r="C233">
        <v>352.7</v>
      </c>
      <c r="D233">
        <v>349.15</v>
      </c>
      <c r="E233" s="17">
        <f t="shared" si="6"/>
        <v>-2.2372178977431847E-2</v>
      </c>
      <c r="G233" s="21">
        <v>44624</v>
      </c>
      <c r="H233" s="12">
        <v>16245.349609375</v>
      </c>
      <c r="I233" s="14">
        <f t="shared" si="7"/>
        <v>-1.5317032007332306E-2</v>
      </c>
    </row>
    <row r="234" spans="2:9">
      <c r="B234" s="21">
        <v>44627</v>
      </c>
      <c r="C234">
        <v>337.46</v>
      </c>
      <c r="D234">
        <v>341.12</v>
      </c>
      <c r="E234" s="17">
        <f t="shared" si="6"/>
        <v>-2.2998711155663678E-2</v>
      </c>
      <c r="G234" s="21">
        <v>44627</v>
      </c>
      <c r="H234" s="12">
        <v>15863.150390625</v>
      </c>
      <c r="I234" s="15">
        <f t="shared" si="7"/>
        <v>-2.3526684739947814E-2</v>
      </c>
    </row>
    <row r="235" spans="2:9">
      <c r="B235" s="21">
        <v>44628</v>
      </c>
      <c r="C235">
        <v>338.75</v>
      </c>
      <c r="D235">
        <v>343.36</v>
      </c>
      <c r="E235" s="17">
        <f t="shared" si="6"/>
        <v>6.5666041275797638E-3</v>
      </c>
      <c r="G235" s="21">
        <v>44628</v>
      </c>
      <c r="H235" s="12">
        <v>16013.4501953125</v>
      </c>
      <c r="I235" s="14">
        <f t="shared" si="7"/>
        <v>9.4747765094836418E-3</v>
      </c>
    </row>
    <row r="236" spans="2:9">
      <c r="B236" s="21">
        <v>44629</v>
      </c>
      <c r="C236">
        <v>343.36</v>
      </c>
      <c r="D236">
        <v>346.54</v>
      </c>
      <c r="E236" s="17">
        <f t="shared" si="6"/>
        <v>9.261416589002815E-3</v>
      </c>
      <c r="G236" s="21">
        <v>44629</v>
      </c>
      <c r="H236" s="12">
        <v>16345.349609375</v>
      </c>
      <c r="I236" s="15">
        <f t="shared" si="7"/>
        <v>2.0726290088294307E-2</v>
      </c>
    </row>
    <row r="237" spans="2:9">
      <c r="B237" s="21">
        <v>44630</v>
      </c>
      <c r="C237">
        <v>358.68</v>
      </c>
      <c r="D237">
        <v>349.58</v>
      </c>
      <c r="E237" s="17">
        <f t="shared" si="6"/>
        <v>8.7724360824146235E-3</v>
      </c>
      <c r="G237" s="21">
        <v>44630</v>
      </c>
      <c r="H237" s="12">
        <v>16594.900390625</v>
      </c>
      <c r="I237" s="14">
        <f t="shared" si="7"/>
        <v>1.5267387190474546E-2</v>
      </c>
    </row>
    <row r="238" spans="2:9">
      <c r="B238" s="21">
        <v>44631</v>
      </c>
      <c r="C238">
        <v>347.72</v>
      </c>
      <c r="D238">
        <v>351.31</v>
      </c>
      <c r="E238" s="17">
        <f t="shared" si="6"/>
        <v>4.948795697694428E-3</v>
      </c>
      <c r="G238" s="21">
        <v>44631</v>
      </c>
      <c r="H238" s="12">
        <v>16630.44921875</v>
      </c>
      <c r="I238" s="15">
        <f t="shared" si="7"/>
        <v>2.14215375134657E-3</v>
      </c>
    </row>
    <row r="239" spans="2:9">
      <c r="B239" s="21">
        <v>44634</v>
      </c>
      <c r="C239">
        <v>347.81</v>
      </c>
      <c r="D239">
        <v>356.44</v>
      </c>
      <c r="E239" s="17">
        <f t="shared" si="6"/>
        <v>1.4602487831260128E-2</v>
      </c>
      <c r="G239" s="21">
        <v>44634</v>
      </c>
      <c r="H239" s="12">
        <v>16871.30078125</v>
      </c>
      <c r="I239" s="14">
        <f t="shared" si="7"/>
        <v>1.4482565042708041E-2</v>
      </c>
    </row>
    <row r="240" spans="2:9">
      <c r="B240" s="21">
        <v>44635</v>
      </c>
      <c r="C240">
        <v>355.49</v>
      </c>
      <c r="D240">
        <v>345.48</v>
      </c>
      <c r="E240" s="17">
        <f t="shared" si="6"/>
        <v>-3.0748513073729042E-2</v>
      </c>
      <c r="G240" s="21">
        <v>44635</v>
      </c>
      <c r="H240" s="12">
        <v>16663</v>
      </c>
      <c r="I240" s="15">
        <f t="shared" si="7"/>
        <v>-1.2346456503312184E-2</v>
      </c>
    </row>
    <row r="241" spans="2:9">
      <c r="B241" s="21">
        <v>44636</v>
      </c>
      <c r="C241">
        <v>350.71</v>
      </c>
      <c r="D241">
        <v>350.81</v>
      </c>
      <c r="E241" s="17">
        <f t="shared" si="6"/>
        <v>1.5427810582378094E-2</v>
      </c>
      <c r="G241" s="21">
        <v>44636</v>
      </c>
      <c r="H241" s="12">
        <v>16975.349609375</v>
      </c>
      <c r="I241" s="14">
        <f t="shared" si="7"/>
        <v>1.8745100484606612E-2</v>
      </c>
    </row>
    <row r="242" spans="2:9">
      <c r="B242" s="21">
        <v>44637</v>
      </c>
      <c r="C242">
        <v>356.69</v>
      </c>
      <c r="D242">
        <v>362.67</v>
      </c>
      <c r="E242" s="17">
        <f t="shared" si="6"/>
        <v>3.3807474131296179E-2</v>
      </c>
      <c r="G242" s="21">
        <v>44637</v>
      </c>
      <c r="H242" s="12">
        <v>17287.05078125</v>
      </c>
      <c r="I242" s="15">
        <f t="shared" si="7"/>
        <v>1.8361988356508215E-2</v>
      </c>
    </row>
    <row r="243" spans="2:9">
      <c r="B243" s="21">
        <v>44641</v>
      </c>
      <c r="C243">
        <v>361.8</v>
      </c>
      <c r="D243">
        <v>354.12</v>
      </c>
      <c r="E243" s="17">
        <f t="shared" si="6"/>
        <v>-2.3575150963686026E-2</v>
      </c>
      <c r="G243" s="21">
        <v>44641</v>
      </c>
      <c r="H243" s="12">
        <v>17117.599609375</v>
      </c>
      <c r="I243" s="14">
        <f t="shared" si="7"/>
        <v>-9.80220247046369E-3</v>
      </c>
    </row>
    <row r="244" spans="2:9">
      <c r="B244" s="21">
        <v>44642</v>
      </c>
      <c r="C244">
        <v>354.12</v>
      </c>
      <c r="D244">
        <v>360.24</v>
      </c>
      <c r="E244" s="17">
        <f t="shared" si="6"/>
        <v>1.728227719417148E-2</v>
      </c>
      <c r="G244" s="21">
        <v>44642</v>
      </c>
      <c r="H244" s="12">
        <v>17315.5</v>
      </c>
      <c r="I244" s="15">
        <f t="shared" si="7"/>
        <v>1.1561223252155842E-2</v>
      </c>
    </row>
    <row r="245" spans="2:9">
      <c r="B245" s="21">
        <v>44643</v>
      </c>
      <c r="C245">
        <v>361.67</v>
      </c>
      <c r="D245">
        <v>352.65</v>
      </c>
      <c r="E245" s="17">
        <f t="shared" si="6"/>
        <v>-2.1069287141905483E-2</v>
      </c>
      <c r="G245" s="21">
        <v>44643</v>
      </c>
      <c r="H245" s="12">
        <v>17245.650390625</v>
      </c>
      <c r="I245" s="14">
        <f t="shared" si="7"/>
        <v>-4.0339354552279749E-3</v>
      </c>
    </row>
    <row r="246" spans="2:9">
      <c r="B246" s="21">
        <v>44644</v>
      </c>
      <c r="C246">
        <v>341.74</v>
      </c>
      <c r="D246">
        <v>341.57</v>
      </c>
      <c r="E246" s="17">
        <f t="shared" si="6"/>
        <v>-3.1419254218063193E-2</v>
      </c>
      <c r="G246" s="21">
        <v>44644</v>
      </c>
      <c r="H246" s="12">
        <v>17222.75</v>
      </c>
      <c r="I246" s="15">
        <f t="shared" si="7"/>
        <v>-1.3278937068937106E-3</v>
      </c>
    </row>
    <row r="247" spans="2:9">
      <c r="B247" s="21">
        <v>44645</v>
      </c>
      <c r="C247">
        <v>344.33</v>
      </c>
      <c r="D247">
        <v>343.19</v>
      </c>
      <c r="E247" s="17">
        <f t="shared" si="6"/>
        <v>4.7428052814942898E-3</v>
      </c>
      <c r="G247" s="21">
        <v>44645</v>
      </c>
      <c r="H247" s="12">
        <v>17153</v>
      </c>
      <c r="I247" s="14">
        <f t="shared" si="7"/>
        <v>-4.0498758909001172E-3</v>
      </c>
    </row>
    <row r="248" spans="2:9">
      <c r="B248" s="21">
        <v>44648</v>
      </c>
      <c r="C248">
        <v>344.33</v>
      </c>
      <c r="D248">
        <v>343.78</v>
      </c>
      <c r="E248" s="17">
        <f t="shared" si="6"/>
        <v>1.7191643113143593E-3</v>
      </c>
      <c r="G248" s="21">
        <v>44648</v>
      </c>
      <c r="H248" s="12">
        <v>17222</v>
      </c>
      <c r="I248" s="15">
        <f t="shared" si="7"/>
        <v>4.022619949862998E-3</v>
      </c>
    </row>
    <row r="249" spans="2:9">
      <c r="B249" s="21">
        <v>44649</v>
      </c>
      <c r="C249">
        <v>346.33</v>
      </c>
      <c r="D249">
        <v>344.73</v>
      </c>
      <c r="E249" s="17">
        <f t="shared" si="6"/>
        <v>2.7633951946013308E-3</v>
      </c>
      <c r="G249" s="21">
        <v>44649</v>
      </c>
      <c r="H249" s="12">
        <v>17325.30078125</v>
      </c>
      <c r="I249" s="14">
        <f t="shared" si="7"/>
        <v>5.9981872749970966E-3</v>
      </c>
    </row>
    <row r="250" spans="2:9">
      <c r="B250" s="21">
        <v>44650</v>
      </c>
      <c r="C250">
        <v>348.6</v>
      </c>
      <c r="D250">
        <v>351.33</v>
      </c>
      <c r="E250" s="17">
        <f t="shared" si="6"/>
        <v>1.9145418153337295E-2</v>
      </c>
      <c r="G250" s="21">
        <v>44650</v>
      </c>
      <c r="H250" s="12">
        <v>17498.25</v>
      </c>
      <c r="I250" s="15">
        <f t="shared" si="7"/>
        <v>9.9824655821947536E-3</v>
      </c>
    </row>
    <row r="251" spans="2:9">
      <c r="B251" s="21">
        <v>44651</v>
      </c>
      <c r="C251">
        <v>349.73</v>
      </c>
      <c r="D251">
        <v>349.48</v>
      </c>
      <c r="E251" s="17">
        <f t="shared" si="6"/>
        <v>-5.265704608203017E-3</v>
      </c>
      <c r="G251" s="21">
        <v>44651</v>
      </c>
      <c r="H251" s="12">
        <v>17464.75</v>
      </c>
      <c r="I251" s="14">
        <f t="shared" si="7"/>
        <v>-1.9144771620019144E-3</v>
      </c>
    </row>
    <row r="252" spans="2:9">
      <c r="B252" s="21">
        <v>44652</v>
      </c>
      <c r="C252">
        <v>348.58</v>
      </c>
      <c r="D252">
        <v>354.03</v>
      </c>
      <c r="E252" s="17">
        <f t="shared" si="6"/>
        <v>1.3019343023921123E-2</v>
      </c>
      <c r="G252" s="21">
        <v>44652</v>
      </c>
      <c r="H252" s="12">
        <v>17670.44921875</v>
      </c>
      <c r="I252" s="15">
        <f t="shared" si="7"/>
        <v>1.1777965258592307E-2</v>
      </c>
    </row>
    <row r="253" spans="2:9">
      <c r="B253" s="21">
        <v>44655</v>
      </c>
      <c r="C253">
        <v>356.09</v>
      </c>
      <c r="D253">
        <v>365.86</v>
      </c>
      <c r="E253" s="17">
        <f t="shared" si="6"/>
        <v>3.341524729542706E-2</v>
      </c>
      <c r="G253" s="21">
        <v>44655</v>
      </c>
      <c r="H253" s="12">
        <v>18053.400390625</v>
      </c>
      <c r="I253" s="14">
        <f t="shared" si="7"/>
        <v>2.1671841339984326E-2</v>
      </c>
    </row>
    <row r="254" spans="2:9">
      <c r="B254" s="21">
        <v>44656</v>
      </c>
      <c r="C254">
        <v>365.86</v>
      </c>
      <c r="D254">
        <v>359.12</v>
      </c>
      <c r="E254" s="17">
        <f t="shared" si="6"/>
        <v>-1.8422347345979362E-2</v>
      </c>
      <c r="G254" s="21">
        <v>44656</v>
      </c>
      <c r="H254" s="12">
        <v>17957.400390625</v>
      </c>
      <c r="I254" s="15">
        <f t="shared" si="7"/>
        <v>-5.3175577964720763E-3</v>
      </c>
    </row>
    <row r="255" spans="2:9">
      <c r="B255" s="21">
        <v>44657</v>
      </c>
      <c r="C255">
        <v>356.19</v>
      </c>
      <c r="D255">
        <v>354.58</v>
      </c>
      <c r="E255" s="17">
        <f t="shared" si="6"/>
        <v>-1.2642013811539374E-2</v>
      </c>
      <c r="G255" s="21">
        <v>44657</v>
      </c>
      <c r="H255" s="12">
        <v>17807.650390625</v>
      </c>
      <c r="I255" s="14">
        <f t="shared" si="7"/>
        <v>-8.3391803235717699E-3</v>
      </c>
    </row>
    <row r="256" spans="2:9">
      <c r="B256" s="21">
        <v>44658</v>
      </c>
      <c r="C256">
        <v>352.9</v>
      </c>
      <c r="D256">
        <v>351.99</v>
      </c>
      <c r="E256" s="17">
        <f t="shared" si="6"/>
        <v>-7.3044164927519185E-3</v>
      </c>
      <c r="G256" s="21">
        <v>44658</v>
      </c>
      <c r="H256" s="12">
        <v>17639.55078125</v>
      </c>
      <c r="I256" s="15">
        <f t="shared" si="7"/>
        <v>-9.4397411049521492E-3</v>
      </c>
    </row>
    <row r="257" spans="2:9">
      <c r="B257" s="21">
        <v>44659</v>
      </c>
      <c r="C257">
        <v>353.75</v>
      </c>
      <c r="D257">
        <v>355.59</v>
      </c>
      <c r="E257" s="17">
        <f t="shared" si="6"/>
        <v>1.0227563283047717E-2</v>
      </c>
      <c r="G257" s="21">
        <v>44659</v>
      </c>
      <c r="H257" s="12">
        <v>17784.349609375</v>
      </c>
      <c r="I257" s="14">
        <f t="shared" si="7"/>
        <v>8.2087593907954979E-3</v>
      </c>
    </row>
    <row r="258" spans="2:9">
      <c r="B258" s="21">
        <v>44662</v>
      </c>
      <c r="C258">
        <v>353.7</v>
      </c>
      <c r="D258">
        <v>355.38</v>
      </c>
      <c r="E258" s="17">
        <f t="shared" si="6"/>
        <v>-5.9056778874540781E-4</v>
      </c>
      <c r="G258" s="21">
        <v>44662</v>
      </c>
      <c r="H258" s="12">
        <v>17674.94921875</v>
      </c>
      <c r="I258" s="15">
        <f t="shared" si="7"/>
        <v>-6.1514979759130298E-3</v>
      </c>
    </row>
    <row r="259" spans="2:9">
      <c r="B259" s="21">
        <v>44663</v>
      </c>
      <c r="C259">
        <v>352.91</v>
      </c>
      <c r="D259">
        <v>359.05</v>
      </c>
      <c r="E259" s="17">
        <f t="shared" si="6"/>
        <v>1.0326973943384591E-2</v>
      </c>
      <c r="G259" s="21">
        <v>44663</v>
      </c>
      <c r="H259" s="12">
        <v>17530.30078125</v>
      </c>
      <c r="I259" s="14">
        <f t="shared" si="7"/>
        <v>-8.1838106412522836E-3</v>
      </c>
    </row>
    <row r="260" spans="2:9">
      <c r="B260" s="21">
        <v>44664</v>
      </c>
      <c r="C260">
        <v>360.21</v>
      </c>
      <c r="D260">
        <v>354.62</v>
      </c>
      <c r="E260" s="17">
        <f t="shared" si="6"/>
        <v>-1.2338114468736963E-2</v>
      </c>
      <c r="G260" s="21">
        <v>44664</v>
      </c>
      <c r="H260" s="12">
        <v>17475.650390625</v>
      </c>
      <c r="I260" s="15">
        <f t="shared" si="7"/>
        <v>-3.1174816283501979E-3</v>
      </c>
    </row>
    <row r="261" spans="2:9">
      <c r="B261" s="21">
        <v>44669</v>
      </c>
      <c r="C261">
        <v>353.82</v>
      </c>
      <c r="D261">
        <v>348.8</v>
      </c>
      <c r="E261" s="17">
        <f t="shared" ref="E261:E324" si="8">(D261-D260)/D260</f>
        <v>-1.6411933901077189E-2</v>
      </c>
      <c r="G261" s="21">
        <v>44669</v>
      </c>
      <c r="H261" s="12">
        <v>17173.650390625</v>
      </c>
      <c r="I261" s="14">
        <f t="shared" ref="I261:I324" si="9">(H261-H260)/H260</f>
        <v>-1.7281188010147601E-2</v>
      </c>
    </row>
    <row r="262" spans="2:9">
      <c r="B262" s="21">
        <v>44670</v>
      </c>
      <c r="C262">
        <v>351.31</v>
      </c>
      <c r="D262">
        <v>340.25</v>
      </c>
      <c r="E262" s="17">
        <f t="shared" si="8"/>
        <v>-2.4512614678899116E-2</v>
      </c>
      <c r="G262" s="21">
        <v>44670</v>
      </c>
      <c r="H262" s="12">
        <v>16958.650390625</v>
      </c>
      <c r="I262" s="15">
        <f t="shared" si="9"/>
        <v>-1.2519178806467803E-2</v>
      </c>
    </row>
    <row r="263" spans="2:9">
      <c r="B263" s="21">
        <v>44671</v>
      </c>
      <c r="C263">
        <v>341.34</v>
      </c>
      <c r="D263">
        <v>343</v>
      </c>
      <c r="E263" s="17">
        <f t="shared" si="8"/>
        <v>8.0822924320352683E-3</v>
      </c>
      <c r="G263" s="21">
        <v>44671</v>
      </c>
      <c r="H263" s="12">
        <v>17136.55078125</v>
      </c>
      <c r="I263" s="14">
        <f t="shared" si="9"/>
        <v>1.0490244596547968E-2</v>
      </c>
    </row>
    <row r="264" spans="2:9">
      <c r="B264" s="21">
        <v>44672</v>
      </c>
      <c r="C264">
        <v>343.74</v>
      </c>
      <c r="D264">
        <v>350.88</v>
      </c>
      <c r="E264" s="17">
        <f t="shared" si="8"/>
        <v>2.2973760932944592E-2</v>
      </c>
      <c r="G264" s="21">
        <v>44672</v>
      </c>
      <c r="H264" s="12">
        <v>17392.599609375</v>
      </c>
      <c r="I264" s="15">
        <f t="shared" si="9"/>
        <v>1.4941678252146078E-2</v>
      </c>
    </row>
    <row r="265" spans="2:9">
      <c r="B265" s="21">
        <v>44673</v>
      </c>
      <c r="C265">
        <v>346.72</v>
      </c>
      <c r="D265">
        <v>344.28</v>
      </c>
      <c r="E265" s="17">
        <f t="shared" si="8"/>
        <v>-1.8809849521203896E-2</v>
      </c>
      <c r="G265" s="21">
        <v>44673</v>
      </c>
      <c r="H265" s="12">
        <v>17171.94921875</v>
      </c>
      <c r="I265" s="14">
        <f t="shared" si="9"/>
        <v>-1.2686452605168035E-2</v>
      </c>
    </row>
    <row r="266" spans="2:9">
      <c r="B266" s="21">
        <v>44676</v>
      </c>
      <c r="C266">
        <v>339.25</v>
      </c>
      <c r="D266">
        <v>344.5</v>
      </c>
      <c r="E266" s="17">
        <f t="shared" si="8"/>
        <v>6.3901475543170474E-4</v>
      </c>
      <c r="G266" s="21">
        <v>44676</v>
      </c>
      <c r="H266" s="12">
        <v>16953.94921875</v>
      </c>
      <c r="I266" s="15">
        <f t="shared" si="9"/>
        <v>-1.2695122564301929E-2</v>
      </c>
    </row>
    <row r="267" spans="2:9">
      <c r="B267" s="21">
        <v>44677</v>
      </c>
      <c r="C267">
        <v>347.94</v>
      </c>
      <c r="D267">
        <v>347.26</v>
      </c>
      <c r="E267" s="17">
        <f t="shared" si="8"/>
        <v>8.0116110304789285E-3</v>
      </c>
      <c r="G267" s="21">
        <v>44677</v>
      </c>
      <c r="H267" s="12">
        <v>17200.80078125</v>
      </c>
      <c r="I267" s="14">
        <f t="shared" si="9"/>
        <v>1.4560121616207138E-2</v>
      </c>
    </row>
    <row r="268" spans="2:9">
      <c r="B268" s="21">
        <v>44678</v>
      </c>
      <c r="C268">
        <v>343.54</v>
      </c>
      <c r="D268">
        <v>347.02</v>
      </c>
      <c r="E268" s="17">
        <f t="shared" si="8"/>
        <v>-6.9112480562117458E-4</v>
      </c>
      <c r="G268" s="21">
        <v>44678</v>
      </c>
      <c r="H268" s="12">
        <v>17038.400390625</v>
      </c>
      <c r="I268" s="15">
        <f t="shared" si="9"/>
        <v>-9.4414436101153531E-3</v>
      </c>
    </row>
    <row r="269" spans="2:9">
      <c r="B269" s="21">
        <v>44679</v>
      </c>
      <c r="C269">
        <v>348.52</v>
      </c>
      <c r="D269">
        <v>351.84</v>
      </c>
      <c r="E269" s="17">
        <f t="shared" si="8"/>
        <v>1.388968935508038E-2</v>
      </c>
      <c r="G269" s="21">
        <v>44679</v>
      </c>
      <c r="H269" s="12">
        <v>17245.05078125</v>
      </c>
      <c r="I269" s="14">
        <f t="shared" si="9"/>
        <v>1.2128508890934666E-2</v>
      </c>
    </row>
    <row r="270" spans="2:9">
      <c r="B270" s="21">
        <v>44680</v>
      </c>
      <c r="C270">
        <v>352.49</v>
      </c>
      <c r="D270">
        <v>356.84</v>
      </c>
      <c r="E270" s="17">
        <f t="shared" si="8"/>
        <v>1.4211005002273762E-2</v>
      </c>
      <c r="G270" s="21">
        <v>44680</v>
      </c>
      <c r="H270" s="12">
        <v>17102.55078125</v>
      </c>
      <c r="I270" s="15">
        <f t="shared" si="9"/>
        <v>-8.2632403816946566E-3</v>
      </c>
    </row>
    <row r="271" spans="2:9">
      <c r="B271" s="21">
        <v>44683</v>
      </c>
      <c r="C271">
        <v>351.82</v>
      </c>
      <c r="D271">
        <v>353.57</v>
      </c>
      <c r="E271" s="17">
        <f t="shared" si="8"/>
        <v>-9.1637708777042425E-3</v>
      </c>
      <c r="G271" s="21">
        <v>44683</v>
      </c>
      <c r="H271" s="12">
        <v>17069.099609375</v>
      </c>
      <c r="I271" s="14">
        <f t="shared" si="9"/>
        <v>-1.9559171203674158E-3</v>
      </c>
    </row>
    <row r="272" spans="2:9">
      <c r="B272" s="21">
        <v>44685</v>
      </c>
      <c r="C272">
        <v>352.3</v>
      </c>
      <c r="D272">
        <v>353.82</v>
      </c>
      <c r="E272" s="17">
        <f t="shared" si="8"/>
        <v>7.0707356393359168E-4</v>
      </c>
      <c r="G272" s="21">
        <v>44685</v>
      </c>
      <c r="H272" s="12">
        <v>16677.599609375</v>
      </c>
      <c r="I272" s="15">
        <f t="shared" si="9"/>
        <v>-2.2936183451936345E-2</v>
      </c>
    </row>
    <row r="273" spans="2:9">
      <c r="B273" s="21">
        <v>44686</v>
      </c>
      <c r="C273">
        <v>358.88</v>
      </c>
      <c r="D273">
        <v>358.2</v>
      </c>
      <c r="E273" s="17">
        <f t="shared" si="8"/>
        <v>1.2379175852128188E-2</v>
      </c>
      <c r="G273" s="21">
        <v>44686</v>
      </c>
      <c r="H273" s="12">
        <v>16682.650390625</v>
      </c>
      <c r="I273" s="14">
        <f t="shared" si="9"/>
        <v>3.0284821366983761E-4</v>
      </c>
    </row>
    <row r="274" spans="2:9">
      <c r="B274" s="21">
        <v>44687</v>
      </c>
      <c r="C274">
        <v>349.74</v>
      </c>
      <c r="D274">
        <v>353.76</v>
      </c>
      <c r="E274" s="17">
        <f t="shared" si="8"/>
        <v>-1.2395309882747063E-2</v>
      </c>
      <c r="G274" s="21">
        <v>44687</v>
      </c>
      <c r="H274" s="12">
        <v>16411.25</v>
      </c>
      <c r="I274" s="15">
        <f t="shared" si="9"/>
        <v>-1.6268421639856246E-2</v>
      </c>
    </row>
    <row r="275" spans="2:9">
      <c r="B275" s="21">
        <v>44690</v>
      </c>
      <c r="C275">
        <v>347.72</v>
      </c>
      <c r="D275">
        <v>352.2</v>
      </c>
      <c r="E275" s="17">
        <f t="shared" si="8"/>
        <v>-4.4097693351424763E-3</v>
      </c>
      <c r="G275" s="21">
        <v>44690</v>
      </c>
      <c r="H275" s="12">
        <v>16301.849609375</v>
      </c>
      <c r="I275" s="14">
        <f t="shared" si="9"/>
        <v>-6.6661826871810496E-3</v>
      </c>
    </row>
    <row r="276" spans="2:9">
      <c r="B276" s="21">
        <v>44691</v>
      </c>
      <c r="C276">
        <v>352.7</v>
      </c>
      <c r="D276">
        <v>358.11</v>
      </c>
      <c r="E276" s="17">
        <f t="shared" si="8"/>
        <v>1.6780238500851859E-2</v>
      </c>
      <c r="G276" s="21">
        <v>44691</v>
      </c>
      <c r="H276" s="12">
        <v>16240.0498046875</v>
      </c>
      <c r="I276" s="15">
        <f t="shared" si="9"/>
        <v>-3.7909688880922855E-3</v>
      </c>
    </row>
    <row r="277" spans="2:9">
      <c r="B277" s="21">
        <v>44692</v>
      </c>
      <c r="C277">
        <v>358.28</v>
      </c>
      <c r="D277">
        <v>360.66</v>
      </c>
      <c r="E277" s="17">
        <f t="shared" si="8"/>
        <v>7.1207170980983813E-3</v>
      </c>
      <c r="G277" s="21">
        <v>44692</v>
      </c>
      <c r="H277" s="12">
        <v>16167.099609375</v>
      </c>
      <c r="I277" s="14">
        <f t="shared" si="9"/>
        <v>-4.4919933245182401E-3</v>
      </c>
    </row>
    <row r="278" spans="2:9">
      <c r="B278" s="21">
        <v>44693</v>
      </c>
      <c r="C278">
        <v>359.24</v>
      </c>
      <c r="D278">
        <v>350.89</v>
      </c>
      <c r="E278" s="17">
        <f t="shared" si="8"/>
        <v>-2.7089225309155543E-2</v>
      </c>
      <c r="G278" s="21">
        <v>44693</v>
      </c>
      <c r="H278" s="12">
        <v>15808</v>
      </c>
      <c r="I278" s="15">
        <f t="shared" si="9"/>
        <v>-2.2211752141785831E-2</v>
      </c>
    </row>
    <row r="279" spans="2:9">
      <c r="B279" s="21">
        <v>44694</v>
      </c>
      <c r="C279">
        <v>355.69</v>
      </c>
      <c r="D279">
        <v>354.61</v>
      </c>
      <c r="E279" s="17">
        <f t="shared" si="8"/>
        <v>1.0601613041124077E-2</v>
      </c>
      <c r="G279" s="21">
        <v>44694</v>
      </c>
      <c r="H279" s="12">
        <v>15782.150390625</v>
      </c>
      <c r="I279" s="14">
        <f t="shared" si="9"/>
        <v>-1.6352232651189271E-3</v>
      </c>
    </row>
    <row r="280" spans="2:9">
      <c r="B280" s="21">
        <v>44697</v>
      </c>
      <c r="C280">
        <v>354.89</v>
      </c>
      <c r="D280">
        <v>361.24</v>
      </c>
      <c r="E280" s="17">
        <f t="shared" si="8"/>
        <v>1.8696596260680733E-2</v>
      </c>
      <c r="G280" s="21">
        <v>44697</v>
      </c>
      <c r="H280" s="12">
        <v>15842.2998046875</v>
      </c>
      <c r="I280" s="15">
        <f t="shared" si="9"/>
        <v>3.8112305721171107E-3</v>
      </c>
    </row>
    <row r="281" spans="2:9">
      <c r="B281" s="21">
        <v>44698</v>
      </c>
      <c r="C281">
        <v>363.26</v>
      </c>
      <c r="D281">
        <v>366.71</v>
      </c>
      <c r="E281" s="17">
        <f t="shared" si="8"/>
        <v>1.5142287675783331E-2</v>
      </c>
      <c r="G281" s="21">
        <v>44698</v>
      </c>
      <c r="H281" s="12">
        <v>16259.2998046875</v>
      </c>
      <c r="I281" s="14">
        <f t="shared" si="9"/>
        <v>2.6321935902047247E-2</v>
      </c>
    </row>
    <row r="282" spans="2:9">
      <c r="B282" s="21">
        <v>44699</v>
      </c>
      <c r="C282">
        <v>368.04</v>
      </c>
      <c r="D282">
        <v>368.01</v>
      </c>
      <c r="E282" s="17">
        <f t="shared" si="8"/>
        <v>3.5450355867034209E-3</v>
      </c>
      <c r="G282" s="21">
        <v>44699</v>
      </c>
      <c r="H282" s="12">
        <v>16240.2998046875</v>
      </c>
      <c r="I282" s="15">
        <f t="shared" si="9"/>
        <v>-1.1685620062508698E-3</v>
      </c>
    </row>
    <row r="283" spans="2:9">
      <c r="B283" s="21">
        <v>44700</v>
      </c>
      <c r="C283">
        <v>361.07</v>
      </c>
      <c r="D283">
        <v>355.37</v>
      </c>
      <c r="E283" s="17">
        <f t="shared" si="8"/>
        <v>-3.4346892747479651E-2</v>
      </c>
      <c r="G283" s="21">
        <v>44700</v>
      </c>
      <c r="H283" s="12">
        <v>15809.400390625</v>
      </c>
      <c r="I283" s="14">
        <f t="shared" si="9"/>
        <v>-2.6532725334179351E-2</v>
      </c>
    </row>
    <row r="284" spans="2:9">
      <c r="B284" s="21">
        <v>44701</v>
      </c>
      <c r="C284">
        <v>360.87</v>
      </c>
      <c r="D284">
        <v>364.49</v>
      </c>
      <c r="E284" s="17">
        <f t="shared" si="8"/>
        <v>2.5663393083265342E-2</v>
      </c>
      <c r="G284" s="21">
        <v>44701</v>
      </c>
      <c r="H284" s="12">
        <v>16266.150390625</v>
      </c>
      <c r="I284" s="15">
        <f t="shared" si="9"/>
        <v>2.8891038794289343E-2</v>
      </c>
    </row>
    <row r="285" spans="2:9">
      <c r="B285" s="21">
        <v>44704</v>
      </c>
      <c r="C285">
        <v>369.04</v>
      </c>
      <c r="D285">
        <v>369.5</v>
      </c>
      <c r="E285" s="17">
        <f t="shared" si="8"/>
        <v>1.3745233065378998E-2</v>
      </c>
      <c r="G285" s="21">
        <v>44704</v>
      </c>
      <c r="H285" s="12">
        <v>16214.7001953125</v>
      </c>
      <c r="I285" s="14">
        <f t="shared" si="9"/>
        <v>-3.1630222318707523E-3</v>
      </c>
    </row>
    <row r="286" spans="2:9">
      <c r="B286" s="21">
        <v>44705</v>
      </c>
      <c r="C286">
        <v>370.23</v>
      </c>
      <c r="D286">
        <v>375.14</v>
      </c>
      <c r="E286" s="17">
        <f t="shared" si="8"/>
        <v>1.5263870094722562E-2</v>
      </c>
      <c r="G286" s="21">
        <v>44705</v>
      </c>
      <c r="H286" s="12">
        <v>16125.150390625</v>
      </c>
      <c r="I286" s="15">
        <f t="shared" si="9"/>
        <v>-5.5227542667355585E-3</v>
      </c>
    </row>
    <row r="287" spans="2:9">
      <c r="B287" s="21">
        <v>44706</v>
      </c>
      <c r="C287">
        <v>378.18</v>
      </c>
      <c r="D287">
        <v>380.11</v>
      </c>
      <c r="E287" s="17">
        <f t="shared" si="8"/>
        <v>1.3248387268753072E-2</v>
      </c>
      <c r="G287" s="21">
        <v>44706</v>
      </c>
      <c r="H287" s="12">
        <v>16025.7998046875</v>
      </c>
      <c r="I287" s="14">
        <f t="shared" si="9"/>
        <v>-6.1612191843656494E-3</v>
      </c>
    </row>
    <row r="288" spans="2:9">
      <c r="B288" s="21">
        <v>44707</v>
      </c>
      <c r="C288">
        <v>381.59</v>
      </c>
      <c r="D288">
        <v>380.33</v>
      </c>
      <c r="E288" s="17">
        <f t="shared" si="8"/>
        <v>5.7877982689213763E-4</v>
      </c>
      <c r="G288" s="21">
        <v>44707</v>
      </c>
      <c r="H288" s="12">
        <v>16170.150390625</v>
      </c>
      <c r="I288" s="15">
        <f t="shared" si="9"/>
        <v>9.0073873189953288E-3</v>
      </c>
    </row>
    <row r="289" spans="2:9">
      <c r="B289" s="21">
        <v>44708</v>
      </c>
      <c r="C289">
        <v>382.79</v>
      </c>
      <c r="D289">
        <v>387.81</v>
      </c>
      <c r="E289" s="17">
        <f t="shared" si="8"/>
        <v>1.9667131175558118E-2</v>
      </c>
      <c r="G289" s="21">
        <v>44708</v>
      </c>
      <c r="H289" s="12">
        <v>16352.4501953125</v>
      </c>
      <c r="I289" s="14">
        <f t="shared" si="9"/>
        <v>1.1273847198922301E-2</v>
      </c>
    </row>
    <row r="290" spans="2:9">
      <c r="B290" s="21">
        <v>44711</v>
      </c>
      <c r="C290">
        <v>387.62</v>
      </c>
      <c r="D290">
        <v>379.24</v>
      </c>
      <c r="E290" s="17">
        <f t="shared" si="8"/>
        <v>-2.2098450272040413E-2</v>
      </c>
      <c r="G290" s="21">
        <v>44711</v>
      </c>
      <c r="H290" s="12">
        <v>16661.400390625</v>
      </c>
      <c r="I290" s="15">
        <f t="shared" si="9"/>
        <v>1.8893205092962884E-2</v>
      </c>
    </row>
    <row r="291" spans="2:9">
      <c r="B291" s="21">
        <v>44712</v>
      </c>
      <c r="C291">
        <v>376.83</v>
      </c>
      <c r="D291">
        <v>368.02</v>
      </c>
      <c r="E291" s="17">
        <f t="shared" si="8"/>
        <v>-2.9585486762999755E-2</v>
      </c>
      <c r="G291" s="21">
        <v>44712</v>
      </c>
      <c r="H291" s="12">
        <v>16584.55078125</v>
      </c>
      <c r="I291" s="14">
        <f t="shared" si="9"/>
        <v>-4.6124339835348759E-3</v>
      </c>
    </row>
    <row r="292" spans="2:9">
      <c r="B292" s="21">
        <v>44713</v>
      </c>
      <c r="C292">
        <v>366.65</v>
      </c>
      <c r="D292">
        <v>371.65</v>
      </c>
      <c r="E292" s="17">
        <f t="shared" si="8"/>
        <v>9.8635943698711908E-3</v>
      </c>
      <c r="G292" s="21">
        <v>44713</v>
      </c>
      <c r="H292" s="12">
        <v>16522.75</v>
      </c>
      <c r="I292" s="15">
        <f t="shared" si="9"/>
        <v>-3.7264067061659654E-3</v>
      </c>
    </row>
    <row r="293" spans="2:9">
      <c r="B293" s="21">
        <v>44714</v>
      </c>
      <c r="C293">
        <v>368.28</v>
      </c>
      <c r="D293">
        <v>370.17</v>
      </c>
      <c r="E293" s="17">
        <f t="shared" si="8"/>
        <v>-3.9822413561145199E-3</v>
      </c>
      <c r="G293" s="21">
        <v>44714</v>
      </c>
      <c r="H293" s="12">
        <v>16628</v>
      </c>
      <c r="I293" s="14">
        <f t="shared" si="9"/>
        <v>6.3700049931155528E-3</v>
      </c>
    </row>
    <row r="294" spans="2:9">
      <c r="B294" s="21">
        <v>44715</v>
      </c>
      <c r="C294">
        <v>374.42</v>
      </c>
      <c r="D294">
        <v>370.37</v>
      </c>
      <c r="E294" s="17">
        <f t="shared" si="8"/>
        <v>5.4029229813325934E-4</v>
      </c>
      <c r="G294" s="21">
        <v>44715</v>
      </c>
      <c r="H294" s="12">
        <v>16584.30078125</v>
      </c>
      <c r="I294" s="15">
        <f t="shared" si="9"/>
        <v>-2.6280502014674042E-3</v>
      </c>
    </row>
    <row r="295" spans="2:9">
      <c r="B295" s="21">
        <v>44718</v>
      </c>
      <c r="C295">
        <v>367.65</v>
      </c>
      <c r="D295">
        <v>372.49</v>
      </c>
      <c r="E295" s="17">
        <f t="shared" si="8"/>
        <v>5.7240057240057363E-3</v>
      </c>
      <c r="G295" s="21">
        <v>44718</v>
      </c>
      <c r="H295" s="12">
        <v>16569.55078125</v>
      </c>
      <c r="I295" s="14">
        <f t="shared" si="9"/>
        <v>-8.893953501299351E-4</v>
      </c>
    </row>
    <row r="296" spans="2:9">
      <c r="B296" s="21">
        <v>44719</v>
      </c>
      <c r="C296">
        <v>371.43</v>
      </c>
      <c r="D296">
        <v>370.27</v>
      </c>
      <c r="E296" s="17">
        <f t="shared" si="8"/>
        <v>-5.9598915407125756E-3</v>
      </c>
      <c r="G296" s="21">
        <v>44719</v>
      </c>
      <c r="H296" s="12">
        <v>16416.349609375</v>
      </c>
      <c r="I296" s="15">
        <f t="shared" si="9"/>
        <v>-9.2459460064760173E-3</v>
      </c>
    </row>
    <row r="297" spans="2:9">
      <c r="B297" s="21">
        <v>44720</v>
      </c>
      <c r="C297">
        <v>370.64</v>
      </c>
      <c r="D297">
        <v>367.75</v>
      </c>
      <c r="E297" s="17">
        <f t="shared" si="8"/>
        <v>-6.8058443838279687E-3</v>
      </c>
      <c r="G297" s="21">
        <v>44720</v>
      </c>
      <c r="H297" s="12">
        <v>16356.25</v>
      </c>
      <c r="I297" s="14">
        <f t="shared" si="9"/>
        <v>-3.6609606157923498E-3</v>
      </c>
    </row>
    <row r="298" spans="2:9">
      <c r="B298" s="21">
        <v>44721</v>
      </c>
      <c r="C298">
        <v>366.4</v>
      </c>
      <c r="D298">
        <v>371.67</v>
      </c>
      <c r="E298" s="17">
        <f t="shared" si="8"/>
        <v>1.0659415363698207E-2</v>
      </c>
      <c r="G298" s="21">
        <v>44721</v>
      </c>
      <c r="H298" s="12">
        <v>16478.099609375</v>
      </c>
      <c r="I298" s="15">
        <f t="shared" si="9"/>
        <v>7.4497277416889565E-3</v>
      </c>
    </row>
    <row r="299" spans="2:9">
      <c r="B299" s="21">
        <v>44722</v>
      </c>
      <c r="C299">
        <v>366.65</v>
      </c>
      <c r="D299">
        <v>357.05</v>
      </c>
      <c r="E299" s="17">
        <f t="shared" si="8"/>
        <v>-3.9335970080985834E-2</v>
      </c>
      <c r="G299" s="21">
        <v>44722</v>
      </c>
      <c r="H299" s="12">
        <v>16201.7998046875</v>
      </c>
      <c r="I299" s="14">
        <f t="shared" si="9"/>
        <v>-1.6767698414100061E-2</v>
      </c>
    </row>
    <row r="300" spans="2:9">
      <c r="B300" s="21">
        <v>44725</v>
      </c>
      <c r="C300">
        <v>347.32</v>
      </c>
      <c r="D300">
        <v>346.2</v>
      </c>
      <c r="E300" s="17">
        <f t="shared" si="8"/>
        <v>-3.0387900854222161E-2</v>
      </c>
      <c r="G300" s="21">
        <v>44725</v>
      </c>
      <c r="H300" s="12">
        <v>15774.400390625</v>
      </c>
      <c r="I300" s="15">
        <f t="shared" si="9"/>
        <v>-2.6379749115209097E-2</v>
      </c>
    </row>
    <row r="301" spans="2:9">
      <c r="B301" s="21">
        <v>44726</v>
      </c>
      <c r="C301">
        <v>345.85</v>
      </c>
      <c r="D301">
        <v>346.66</v>
      </c>
      <c r="E301" s="17">
        <f t="shared" si="8"/>
        <v>1.3287117273253506E-3</v>
      </c>
      <c r="G301" s="21">
        <v>44726</v>
      </c>
      <c r="H301" s="12">
        <v>15732.099609375</v>
      </c>
      <c r="I301" s="14">
        <f t="shared" si="9"/>
        <v>-2.6816094559854137E-3</v>
      </c>
    </row>
    <row r="302" spans="2:9">
      <c r="B302" s="21">
        <v>44727</v>
      </c>
      <c r="C302">
        <v>346.33</v>
      </c>
      <c r="D302">
        <v>346.06</v>
      </c>
      <c r="E302" s="17">
        <f t="shared" si="8"/>
        <v>-1.7308025154330546E-3</v>
      </c>
      <c r="G302" s="21">
        <v>44727</v>
      </c>
      <c r="H302" s="12">
        <v>15692.150390625</v>
      </c>
      <c r="I302" s="15">
        <f t="shared" si="9"/>
        <v>-2.5393443813560425E-3</v>
      </c>
    </row>
    <row r="303" spans="2:9">
      <c r="B303" s="21">
        <v>44728</v>
      </c>
      <c r="C303">
        <v>347.12</v>
      </c>
      <c r="D303">
        <v>333.93</v>
      </c>
      <c r="E303" s="17">
        <f t="shared" si="8"/>
        <v>-3.505172513436975E-2</v>
      </c>
      <c r="G303" s="21">
        <v>44728</v>
      </c>
      <c r="H303" s="12">
        <v>15360.599609375</v>
      </c>
      <c r="I303" s="14">
        <f t="shared" si="9"/>
        <v>-2.1128447854290206E-2</v>
      </c>
    </row>
    <row r="304" spans="2:9">
      <c r="B304" s="21">
        <v>44729</v>
      </c>
      <c r="C304">
        <v>330.98</v>
      </c>
      <c r="D304">
        <v>333.49</v>
      </c>
      <c r="E304" s="17">
        <f t="shared" si="8"/>
        <v>-1.3176414218548729E-3</v>
      </c>
      <c r="G304" s="21">
        <v>44729</v>
      </c>
      <c r="H304" s="12">
        <v>15293.5</v>
      </c>
      <c r="I304" s="15">
        <f t="shared" si="9"/>
        <v>-4.3682936266398898E-3</v>
      </c>
    </row>
    <row r="305" spans="2:9">
      <c r="B305" s="21">
        <v>44732</v>
      </c>
      <c r="C305">
        <v>333.49</v>
      </c>
      <c r="D305">
        <v>334.61</v>
      </c>
      <c r="E305" s="17">
        <f t="shared" si="8"/>
        <v>3.3584215418753323E-3</v>
      </c>
      <c r="G305" s="21">
        <v>44732</v>
      </c>
      <c r="H305" s="12">
        <v>15350.150390625</v>
      </c>
      <c r="I305" s="14">
        <f t="shared" si="9"/>
        <v>3.7042135956452085E-3</v>
      </c>
    </row>
    <row r="306" spans="2:9">
      <c r="B306" s="21">
        <v>44733</v>
      </c>
      <c r="C306">
        <v>336.76</v>
      </c>
      <c r="D306">
        <v>335.07</v>
      </c>
      <c r="E306" s="17">
        <f t="shared" si="8"/>
        <v>1.3747347658467455E-3</v>
      </c>
      <c r="G306" s="21">
        <v>44733</v>
      </c>
      <c r="H306" s="12">
        <v>15638.7998046875</v>
      </c>
      <c r="I306" s="15">
        <f t="shared" si="9"/>
        <v>1.8804337854487124E-2</v>
      </c>
    </row>
    <row r="307" spans="2:9">
      <c r="B307" s="21">
        <v>44734</v>
      </c>
      <c r="C307">
        <v>331.78</v>
      </c>
      <c r="D307">
        <v>332.72</v>
      </c>
      <c r="E307" s="17">
        <f t="shared" si="8"/>
        <v>-7.0134598740560659E-3</v>
      </c>
      <c r="G307" s="21">
        <v>44734</v>
      </c>
      <c r="H307" s="12">
        <v>15413.2998046875</v>
      </c>
      <c r="I307" s="14">
        <f t="shared" si="9"/>
        <v>-1.4419265085317462E-2</v>
      </c>
    </row>
    <row r="308" spans="2:9">
      <c r="B308" s="21">
        <v>44735</v>
      </c>
      <c r="C308">
        <v>333.77</v>
      </c>
      <c r="D308">
        <v>335.59</v>
      </c>
      <c r="E308" s="17">
        <f t="shared" si="8"/>
        <v>8.6258716037507441E-3</v>
      </c>
      <c r="G308" s="21">
        <v>44735</v>
      </c>
      <c r="H308" s="12">
        <v>15556.650390625</v>
      </c>
      <c r="I308" s="15">
        <f t="shared" si="9"/>
        <v>9.3004475196092756E-3</v>
      </c>
    </row>
    <row r="309" spans="2:9">
      <c r="B309" s="21">
        <v>44736</v>
      </c>
      <c r="C309">
        <v>338.75</v>
      </c>
      <c r="D309">
        <v>338.43</v>
      </c>
      <c r="E309" s="17">
        <f t="shared" si="8"/>
        <v>8.4627074704253166E-3</v>
      </c>
      <c r="G309" s="21">
        <v>44736</v>
      </c>
      <c r="H309" s="12">
        <v>15699.25</v>
      </c>
      <c r="I309" s="14">
        <f t="shared" si="9"/>
        <v>9.1664725885294493E-3</v>
      </c>
    </row>
    <row r="310" spans="2:9">
      <c r="B310" s="21">
        <v>44739</v>
      </c>
      <c r="C310">
        <v>342.18</v>
      </c>
      <c r="D310">
        <v>337.07</v>
      </c>
      <c r="E310" s="17">
        <f t="shared" si="8"/>
        <v>-4.0185562745619881E-3</v>
      </c>
      <c r="G310" s="21">
        <v>44739</v>
      </c>
      <c r="H310" s="12">
        <v>15832.0498046875</v>
      </c>
      <c r="I310" s="15">
        <f t="shared" si="9"/>
        <v>8.4589903777250505E-3</v>
      </c>
    </row>
    <row r="311" spans="2:9">
      <c r="B311" s="21">
        <v>44740</v>
      </c>
      <c r="C311">
        <v>335.74</v>
      </c>
      <c r="D311">
        <v>332.54</v>
      </c>
      <c r="E311" s="17">
        <f t="shared" si="8"/>
        <v>-1.3439344943186795E-2</v>
      </c>
      <c r="G311" s="21">
        <v>44740</v>
      </c>
      <c r="H311" s="12">
        <v>15850.2001953125</v>
      </c>
      <c r="I311" s="14">
        <f t="shared" si="9"/>
        <v>1.14643339611186E-3</v>
      </c>
    </row>
    <row r="312" spans="2:9">
      <c r="B312" s="21">
        <v>44741</v>
      </c>
      <c r="C312">
        <v>328.79</v>
      </c>
      <c r="D312">
        <v>327.29000000000002</v>
      </c>
      <c r="E312" s="17">
        <f t="shared" si="8"/>
        <v>-1.5787574427136585E-2</v>
      </c>
      <c r="G312" s="21">
        <v>44741</v>
      </c>
      <c r="H312" s="12">
        <v>15799.099609375</v>
      </c>
      <c r="I312" s="15">
        <f t="shared" si="9"/>
        <v>-3.2239710103227821E-3</v>
      </c>
    </row>
    <row r="313" spans="2:9">
      <c r="B313" s="21">
        <v>44742</v>
      </c>
      <c r="C313">
        <v>325.2</v>
      </c>
      <c r="D313">
        <v>331</v>
      </c>
      <c r="E313" s="17">
        <f t="shared" si="8"/>
        <v>1.1335512847932962E-2</v>
      </c>
      <c r="G313" s="21">
        <v>44742</v>
      </c>
      <c r="H313" s="12">
        <v>15780.25</v>
      </c>
      <c r="I313" s="14">
        <f t="shared" si="9"/>
        <v>-1.1930812414028243E-3</v>
      </c>
    </row>
    <row r="314" spans="2:9">
      <c r="B314" s="21">
        <v>44743</v>
      </c>
      <c r="C314">
        <v>327.79</v>
      </c>
      <c r="D314">
        <v>332.33</v>
      </c>
      <c r="E314" s="17">
        <f t="shared" si="8"/>
        <v>4.0181268882174747E-3</v>
      </c>
      <c r="G314" s="21">
        <v>44743</v>
      </c>
      <c r="H314" s="12">
        <v>15752.0498046875</v>
      </c>
      <c r="I314" s="15">
        <f t="shared" si="9"/>
        <v>-1.7870563085185596E-3</v>
      </c>
    </row>
    <row r="315" spans="2:9">
      <c r="B315" s="21">
        <v>44746</v>
      </c>
      <c r="C315">
        <v>332.09</v>
      </c>
      <c r="D315">
        <v>332.95</v>
      </c>
      <c r="E315" s="17">
        <f t="shared" si="8"/>
        <v>1.8656155026630294E-3</v>
      </c>
      <c r="G315" s="21">
        <v>44746</v>
      </c>
      <c r="H315" s="12">
        <v>15835.349609375</v>
      </c>
      <c r="I315" s="14">
        <f t="shared" si="9"/>
        <v>5.288188249805534E-3</v>
      </c>
    </row>
    <row r="316" spans="2:9">
      <c r="B316" s="21">
        <v>44747</v>
      </c>
      <c r="C316">
        <v>333.77</v>
      </c>
      <c r="D316">
        <v>331.39</v>
      </c>
      <c r="E316" s="17">
        <f t="shared" si="8"/>
        <v>-4.6853881964258968E-3</v>
      </c>
      <c r="G316" s="21">
        <v>44747</v>
      </c>
      <c r="H316" s="12">
        <v>15810.849609375</v>
      </c>
      <c r="I316" s="15">
        <f t="shared" si="9"/>
        <v>-1.5471713984448608E-3</v>
      </c>
    </row>
    <row r="317" spans="2:9">
      <c r="B317" s="21">
        <v>44748</v>
      </c>
      <c r="C317">
        <v>335.17</v>
      </c>
      <c r="D317">
        <v>339.65</v>
      </c>
      <c r="E317" s="17">
        <f t="shared" si="8"/>
        <v>2.4925314584024839E-2</v>
      </c>
      <c r="G317" s="21">
        <v>44748</v>
      </c>
      <c r="H317" s="12">
        <v>15989.7998046875</v>
      </c>
      <c r="I317" s="14">
        <f t="shared" si="9"/>
        <v>1.1318189707300232E-2</v>
      </c>
    </row>
    <row r="318" spans="2:9">
      <c r="B318" s="21">
        <v>44749</v>
      </c>
      <c r="C318">
        <v>342.34</v>
      </c>
      <c r="D318">
        <v>346.43</v>
      </c>
      <c r="E318" s="17">
        <f t="shared" si="8"/>
        <v>1.9961725305461593E-2</v>
      </c>
      <c r="G318" s="21">
        <v>44749</v>
      </c>
      <c r="H318" s="12">
        <v>16132.900390625</v>
      </c>
      <c r="I318" s="15">
        <f t="shared" si="9"/>
        <v>8.9494920315105666E-3</v>
      </c>
    </row>
    <row r="319" spans="2:9">
      <c r="B319" s="21">
        <v>44750</v>
      </c>
      <c r="C319">
        <v>349.71</v>
      </c>
      <c r="D319">
        <v>347.67</v>
      </c>
      <c r="E319" s="17">
        <f t="shared" si="8"/>
        <v>3.5793666830240137E-3</v>
      </c>
      <c r="G319" s="21">
        <v>44750</v>
      </c>
      <c r="H319" s="12">
        <v>16220.599609375</v>
      </c>
      <c r="I319" s="14">
        <f t="shared" si="9"/>
        <v>5.436047866567313E-3</v>
      </c>
    </row>
    <row r="320" spans="2:9">
      <c r="B320" s="21">
        <v>44753</v>
      </c>
      <c r="C320">
        <v>347.32</v>
      </c>
      <c r="D320">
        <v>346.97</v>
      </c>
      <c r="E320" s="17">
        <f t="shared" si="8"/>
        <v>-2.0134035148272459E-3</v>
      </c>
      <c r="G320" s="21">
        <v>44753</v>
      </c>
      <c r="H320" s="12">
        <v>16216</v>
      </c>
      <c r="I320" s="15">
        <f t="shared" si="9"/>
        <v>-2.8356592763325282E-4</v>
      </c>
    </row>
    <row r="321" spans="2:9">
      <c r="B321" s="21">
        <v>44754</v>
      </c>
      <c r="C321">
        <v>343.04</v>
      </c>
      <c r="D321">
        <v>342.53</v>
      </c>
      <c r="E321" s="17">
        <f t="shared" si="8"/>
        <v>-1.2796495374240003E-2</v>
      </c>
      <c r="G321" s="21">
        <v>44754</v>
      </c>
      <c r="H321" s="12">
        <v>16058.2998046875</v>
      </c>
      <c r="I321" s="14">
        <f t="shared" si="9"/>
        <v>-9.7249750439380861E-3</v>
      </c>
    </row>
    <row r="322" spans="2:9">
      <c r="B322" s="21">
        <v>44755</v>
      </c>
      <c r="C322">
        <v>343.54</v>
      </c>
      <c r="D322">
        <v>347.13</v>
      </c>
      <c r="E322" s="17">
        <f t="shared" si="8"/>
        <v>1.3429480629433986E-2</v>
      </c>
      <c r="G322" s="21">
        <v>44755</v>
      </c>
      <c r="H322" s="12">
        <v>15966.650390625</v>
      </c>
      <c r="I322" s="15">
        <f t="shared" si="9"/>
        <v>-5.707292501522924E-3</v>
      </c>
    </row>
    <row r="323" spans="2:9">
      <c r="B323" s="21">
        <v>44756</v>
      </c>
      <c r="C323">
        <v>346.72</v>
      </c>
      <c r="D323">
        <v>352.71</v>
      </c>
      <c r="E323" s="17">
        <f t="shared" si="8"/>
        <v>1.6074669432201146E-2</v>
      </c>
      <c r="G323" s="21">
        <v>44756</v>
      </c>
      <c r="H323" s="12">
        <v>15938.650390625</v>
      </c>
      <c r="I323" s="14">
        <f t="shared" si="9"/>
        <v>-1.7536552323109999E-3</v>
      </c>
    </row>
    <row r="324" spans="2:9">
      <c r="B324" s="21">
        <v>44757</v>
      </c>
      <c r="C324">
        <v>353.16</v>
      </c>
      <c r="D324">
        <v>356.23</v>
      </c>
      <c r="E324" s="17">
        <f t="shared" si="8"/>
        <v>9.9798701482805667E-3</v>
      </c>
      <c r="G324" s="21">
        <v>44757</v>
      </c>
      <c r="H324" s="12">
        <v>16049.2001953125</v>
      </c>
      <c r="I324" s="15">
        <f t="shared" si="9"/>
        <v>6.9359576863875878E-3</v>
      </c>
    </row>
    <row r="325" spans="2:9">
      <c r="B325" s="21">
        <v>44760</v>
      </c>
      <c r="C325">
        <v>358.68</v>
      </c>
      <c r="D325">
        <v>367.78</v>
      </c>
      <c r="E325" s="17">
        <f t="shared" ref="E325:E388" si="10">(D325-D324)/D324</f>
        <v>3.2422872863037792E-2</v>
      </c>
      <c r="G325" s="21">
        <v>44760</v>
      </c>
      <c r="H325" s="12">
        <v>16278.5</v>
      </c>
      <c r="I325" s="14">
        <f t="shared" ref="I325:I388" si="11">(H325-H324)/H324</f>
        <v>1.4287304158276481E-2</v>
      </c>
    </row>
    <row r="326" spans="2:9">
      <c r="B326" s="21">
        <v>44761</v>
      </c>
      <c r="C326">
        <v>365.65</v>
      </c>
      <c r="D326">
        <v>365.64</v>
      </c>
      <c r="E326" s="17">
        <f t="shared" si="10"/>
        <v>-5.8186959595409931E-3</v>
      </c>
      <c r="G326" s="21">
        <v>44761</v>
      </c>
      <c r="H326" s="12">
        <v>16340.5498046875</v>
      </c>
      <c r="I326" s="15">
        <f t="shared" si="11"/>
        <v>3.8117642711244892E-3</v>
      </c>
    </row>
    <row r="327" spans="2:9">
      <c r="B327" s="21">
        <v>44762</v>
      </c>
      <c r="C327">
        <v>367.9</v>
      </c>
      <c r="D327">
        <v>364.21</v>
      </c>
      <c r="E327" s="17">
        <f t="shared" si="10"/>
        <v>-3.9109506618532075E-3</v>
      </c>
      <c r="G327" s="21">
        <v>44762</v>
      </c>
      <c r="H327" s="12">
        <v>16520.849609375</v>
      </c>
      <c r="I327" s="14">
        <f t="shared" si="11"/>
        <v>1.1033888506969248E-2</v>
      </c>
    </row>
    <row r="328" spans="2:9">
      <c r="B328" s="21">
        <v>44763</v>
      </c>
      <c r="C328">
        <v>363.66</v>
      </c>
      <c r="D328">
        <v>358.79</v>
      </c>
      <c r="E328" s="17">
        <f t="shared" si="10"/>
        <v>-1.4881524395266356E-2</v>
      </c>
      <c r="G328" s="21">
        <v>44763</v>
      </c>
      <c r="H328" s="12">
        <v>16605.25</v>
      </c>
      <c r="I328" s="15">
        <f t="shared" si="11"/>
        <v>5.1087197462959628E-3</v>
      </c>
    </row>
    <row r="329" spans="2:9">
      <c r="B329" s="21">
        <v>44764</v>
      </c>
      <c r="C329">
        <v>358.88</v>
      </c>
      <c r="D329">
        <v>364.08</v>
      </c>
      <c r="E329" s="17">
        <f t="shared" si="10"/>
        <v>1.4744000668914861E-2</v>
      </c>
      <c r="G329" s="21">
        <v>44764</v>
      </c>
      <c r="H329" s="12">
        <v>16719.44921875</v>
      </c>
      <c r="I329" s="14">
        <f t="shared" si="11"/>
        <v>6.8772959606148657E-3</v>
      </c>
    </row>
    <row r="330" spans="2:9">
      <c r="B330" s="21">
        <v>44767</v>
      </c>
      <c r="C330">
        <v>361.87</v>
      </c>
      <c r="D330">
        <v>357.79</v>
      </c>
      <c r="E330" s="17">
        <f t="shared" si="10"/>
        <v>-1.7276422764227542E-2</v>
      </c>
      <c r="G330" s="21">
        <v>44767</v>
      </c>
      <c r="H330" s="12">
        <v>16631</v>
      </c>
      <c r="I330" s="15">
        <f t="shared" si="11"/>
        <v>-5.2901993117577557E-3</v>
      </c>
    </row>
    <row r="331" spans="2:9">
      <c r="B331" s="21">
        <v>44768</v>
      </c>
      <c r="C331">
        <v>356.89</v>
      </c>
      <c r="D331">
        <v>351.03</v>
      </c>
      <c r="E331" s="17">
        <f t="shared" si="10"/>
        <v>-1.8893764498728437E-2</v>
      </c>
      <c r="G331" s="21">
        <v>44768</v>
      </c>
      <c r="H331" s="12">
        <v>16483.849609375</v>
      </c>
      <c r="I331" s="14">
        <f t="shared" si="11"/>
        <v>-8.8479580677650171E-3</v>
      </c>
    </row>
    <row r="332" spans="2:9">
      <c r="B332" s="21">
        <v>44769</v>
      </c>
      <c r="C332">
        <v>350.94</v>
      </c>
      <c r="D332">
        <v>349.53</v>
      </c>
      <c r="E332" s="17">
        <f t="shared" si="10"/>
        <v>-4.2731390479446201E-3</v>
      </c>
      <c r="G332" s="21">
        <v>44769</v>
      </c>
      <c r="H332" s="12">
        <v>16641.80078125</v>
      </c>
      <c r="I332" s="15">
        <f t="shared" si="11"/>
        <v>9.5821774414374099E-3</v>
      </c>
    </row>
    <row r="333" spans="2:9">
      <c r="B333" s="21">
        <v>44770</v>
      </c>
      <c r="C333">
        <v>353.66</v>
      </c>
      <c r="D333">
        <v>364.36</v>
      </c>
      <c r="E333" s="17">
        <f t="shared" si="10"/>
        <v>4.2428403856607566E-2</v>
      </c>
      <c r="G333" s="21">
        <v>44770</v>
      </c>
      <c r="H333" s="12">
        <v>16929.599609375</v>
      </c>
      <c r="I333" s="14">
        <f t="shared" si="11"/>
        <v>1.7293731123692903E-2</v>
      </c>
    </row>
    <row r="334" spans="2:9">
      <c r="B334" s="21">
        <v>44771</v>
      </c>
      <c r="C334">
        <v>366.18</v>
      </c>
      <c r="D334">
        <v>360.74</v>
      </c>
      <c r="E334" s="17">
        <f t="shared" si="10"/>
        <v>-9.9352288944999576E-3</v>
      </c>
      <c r="G334" s="21">
        <v>44771</v>
      </c>
      <c r="H334" s="12">
        <v>17158.25</v>
      </c>
      <c r="I334" s="15">
        <f t="shared" si="11"/>
        <v>1.3505953826479256E-2</v>
      </c>
    </row>
    <row r="335" spans="2:9">
      <c r="B335" s="21">
        <v>44774</v>
      </c>
      <c r="C335">
        <v>361.67</v>
      </c>
      <c r="D335">
        <v>369.79</v>
      </c>
      <c r="E335" s="17">
        <f t="shared" si="10"/>
        <v>2.5087320507845016E-2</v>
      </c>
      <c r="G335" s="21">
        <v>44774</v>
      </c>
      <c r="H335" s="12">
        <v>17340.05078125</v>
      </c>
      <c r="I335" s="14">
        <f t="shared" si="11"/>
        <v>1.059553166843938E-2</v>
      </c>
    </row>
    <row r="336" spans="2:9">
      <c r="B336" s="21">
        <v>44775</v>
      </c>
      <c r="C336">
        <v>368.98</v>
      </c>
      <c r="D336">
        <v>375.54</v>
      </c>
      <c r="E336" s="17">
        <f t="shared" si="10"/>
        <v>1.5549365856296815E-2</v>
      </c>
      <c r="G336" s="21">
        <v>44775</v>
      </c>
      <c r="H336" s="12">
        <v>17345.44921875</v>
      </c>
      <c r="I336" s="15">
        <f t="shared" si="11"/>
        <v>3.1132766380577117E-4</v>
      </c>
    </row>
    <row r="337" spans="2:9">
      <c r="B337" s="21">
        <v>44776</v>
      </c>
      <c r="C337">
        <v>373.63</v>
      </c>
      <c r="D337">
        <v>368.86</v>
      </c>
      <c r="E337" s="17">
        <f t="shared" si="10"/>
        <v>-1.7787719017947505E-2</v>
      </c>
      <c r="G337" s="21">
        <v>44776</v>
      </c>
      <c r="H337" s="12">
        <v>17388.150390625</v>
      </c>
      <c r="I337" s="14">
        <f t="shared" si="11"/>
        <v>2.4618083588657416E-3</v>
      </c>
    </row>
    <row r="338" spans="2:9">
      <c r="B338" s="21">
        <v>44777</v>
      </c>
      <c r="C338">
        <v>369.96</v>
      </c>
      <c r="D338">
        <v>365.76</v>
      </c>
      <c r="E338" s="17">
        <f t="shared" si="10"/>
        <v>-8.404272623759753E-3</v>
      </c>
      <c r="G338" s="21">
        <v>44777</v>
      </c>
      <c r="H338" s="12">
        <v>17382</v>
      </c>
      <c r="I338" s="15">
        <f t="shared" si="11"/>
        <v>-3.537116074356043E-4</v>
      </c>
    </row>
    <row r="339" spans="2:9">
      <c r="B339" s="21">
        <v>44778</v>
      </c>
      <c r="C339">
        <v>367.6</v>
      </c>
      <c r="D339">
        <v>365.44</v>
      </c>
      <c r="E339" s="17">
        <f t="shared" si="10"/>
        <v>-8.748906386701476E-4</v>
      </c>
      <c r="G339" s="21">
        <v>44778</v>
      </c>
      <c r="H339" s="12">
        <v>17397.5</v>
      </c>
      <c r="I339" s="14">
        <f t="shared" si="11"/>
        <v>8.9172707398458174E-4</v>
      </c>
    </row>
    <row r="340" spans="2:9">
      <c r="B340" s="21">
        <v>44781</v>
      </c>
      <c r="C340">
        <v>364.66</v>
      </c>
      <c r="D340">
        <v>367.55</v>
      </c>
      <c r="E340" s="17">
        <f t="shared" si="10"/>
        <v>5.7738616462347132E-3</v>
      </c>
      <c r="G340" s="21">
        <v>44781</v>
      </c>
      <c r="H340" s="12">
        <v>17525.099609375</v>
      </c>
      <c r="I340" s="15">
        <f t="shared" si="11"/>
        <v>7.3343646716482252E-3</v>
      </c>
    </row>
    <row r="341" spans="2:9">
      <c r="B341" s="21">
        <v>44783</v>
      </c>
      <c r="C341">
        <v>368.25</v>
      </c>
      <c r="D341">
        <v>364.33</v>
      </c>
      <c r="E341" s="17">
        <f t="shared" si="10"/>
        <v>-8.7607128281867157E-3</v>
      </c>
      <c r="G341" s="21">
        <v>44783</v>
      </c>
      <c r="H341" s="12">
        <v>17534.75</v>
      </c>
      <c r="I341" s="14">
        <f t="shared" si="11"/>
        <v>5.5066109979982946E-4</v>
      </c>
    </row>
    <row r="342" spans="2:9">
      <c r="B342" s="21">
        <v>44784</v>
      </c>
      <c r="C342">
        <v>368.67</v>
      </c>
      <c r="D342">
        <v>369.56</v>
      </c>
      <c r="E342" s="17">
        <f t="shared" si="10"/>
        <v>1.4355117613152961E-2</v>
      </c>
      <c r="G342" s="21">
        <v>44784</v>
      </c>
      <c r="H342" s="12">
        <v>17659</v>
      </c>
      <c r="I342" s="15">
        <f t="shared" si="11"/>
        <v>7.0859293688247619E-3</v>
      </c>
    </row>
    <row r="343" spans="2:9">
      <c r="B343" s="21">
        <v>44785</v>
      </c>
      <c r="C343">
        <v>370.86</v>
      </c>
      <c r="D343">
        <v>367.11</v>
      </c>
      <c r="E343" s="17">
        <f t="shared" si="10"/>
        <v>-6.6295053577226665E-3</v>
      </c>
      <c r="G343" s="21">
        <v>44785</v>
      </c>
      <c r="H343" s="12">
        <v>17698.150390625</v>
      </c>
      <c r="I343" s="14">
        <f t="shared" si="11"/>
        <v>2.2170219505634522E-3</v>
      </c>
    </row>
    <row r="344" spans="2:9">
      <c r="B344" s="21">
        <v>44789</v>
      </c>
      <c r="C344">
        <v>368.96</v>
      </c>
      <c r="D344">
        <v>368.14</v>
      </c>
      <c r="E344" s="17">
        <f t="shared" si="10"/>
        <v>2.8056985644628932E-3</v>
      </c>
      <c r="G344" s="21">
        <v>44789</v>
      </c>
      <c r="H344" s="12">
        <v>17825.25</v>
      </c>
      <c r="I344" s="15">
        <f t="shared" si="11"/>
        <v>7.18151934353133E-3</v>
      </c>
    </row>
    <row r="345" spans="2:9">
      <c r="B345" s="21">
        <v>44790</v>
      </c>
      <c r="C345">
        <v>369.66</v>
      </c>
      <c r="D345">
        <v>366.81</v>
      </c>
      <c r="E345" s="17">
        <f t="shared" si="10"/>
        <v>-3.6127560167327215E-3</v>
      </c>
      <c r="G345" s="21">
        <v>44790</v>
      </c>
      <c r="H345" s="12">
        <v>17944.25</v>
      </c>
      <c r="I345" s="14">
        <f t="shared" si="11"/>
        <v>6.675923198833116E-3</v>
      </c>
    </row>
    <row r="346" spans="2:9">
      <c r="B346" s="21">
        <v>44791</v>
      </c>
      <c r="C346">
        <v>366.67</v>
      </c>
      <c r="D346">
        <v>379.73</v>
      </c>
      <c r="E346" s="17">
        <f t="shared" si="10"/>
        <v>3.5222594803849448E-2</v>
      </c>
      <c r="G346" s="21">
        <v>44791</v>
      </c>
      <c r="H346" s="12">
        <v>17956.5</v>
      </c>
      <c r="I346" s="15">
        <f t="shared" si="11"/>
        <v>6.8266993605193866E-4</v>
      </c>
    </row>
    <row r="347" spans="2:9">
      <c r="B347" s="21">
        <v>44792</v>
      </c>
      <c r="C347">
        <v>382.62</v>
      </c>
      <c r="D347">
        <v>374.25</v>
      </c>
      <c r="E347" s="17">
        <f t="shared" si="10"/>
        <v>-1.44313064545862E-2</v>
      </c>
      <c r="G347" s="21">
        <v>44792</v>
      </c>
      <c r="H347" s="12">
        <v>17758.44921875</v>
      </c>
      <c r="I347" s="14">
        <f t="shared" si="11"/>
        <v>-1.1029475746944004E-2</v>
      </c>
    </row>
    <row r="348" spans="2:9">
      <c r="B348" s="21">
        <v>44795</v>
      </c>
      <c r="C348">
        <v>364.27</v>
      </c>
      <c r="D348">
        <v>365.29</v>
      </c>
      <c r="E348" s="17">
        <f t="shared" si="10"/>
        <v>-2.3941215764863005E-2</v>
      </c>
      <c r="G348" s="21">
        <v>44795</v>
      </c>
      <c r="H348" s="12">
        <v>17490.69921875</v>
      </c>
      <c r="I348" s="15">
        <f t="shared" si="11"/>
        <v>-1.5077330047338822E-2</v>
      </c>
    </row>
    <row r="349" spans="2:9">
      <c r="B349" s="21">
        <v>44796</v>
      </c>
      <c r="C349">
        <v>363.68</v>
      </c>
      <c r="D349">
        <v>370.01</v>
      </c>
      <c r="E349" s="17">
        <f t="shared" si="10"/>
        <v>1.2921240658107175E-2</v>
      </c>
      <c r="G349" s="21">
        <v>44796</v>
      </c>
      <c r="H349" s="12">
        <v>17577.5</v>
      </c>
      <c r="I349" s="14">
        <f t="shared" si="11"/>
        <v>4.9626821755044369E-3</v>
      </c>
    </row>
    <row r="350" spans="2:9">
      <c r="B350" s="21">
        <v>44797</v>
      </c>
      <c r="C350">
        <v>369.06</v>
      </c>
      <c r="D350">
        <v>372.37</v>
      </c>
      <c r="E350" s="17">
        <f t="shared" si="10"/>
        <v>6.3782059944326201E-3</v>
      </c>
      <c r="G350" s="21">
        <v>44797</v>
      </c>
      <c r="H350" s="12">
        <v>17604.94921875</v>
      </c>
      <c r="I350" s="15">
        <f t="shared" si="11"/>
        <v>1.5616110795050491E-3</v>
      </c>
    </row>
    <row r="351" spans="2:9">
      <c r="B351" s="21">
        <v>44798</v>
      </c>
      <c r="C351">
        <v>373.87</v>
      </c>
      <c r="D351">
        <v>372.6</v>
      </c>
      <c r="E351" s="17">
        <f t="shared" si="10"/>
        <v>6.1766522544785612E-4</v>
      </c>
      <c r="G351" s="21">
        <v>44798</v>
      </c>
      <c r="H351" s="12">
        <v>17522.44921875</v>
      </c>
      <c r="I351" s="14">
        <f t="shared" si="11"/>
        <v>-4.686182219266732E-3</v>
      </c>
    </row>
    <row r="352" spans="2:9">
      <c r="B352" s="21">
        <v>44799</v>
      </c>
      <c r="C352">
        <v>373.32</v>
      </c>
      <c r="D352">
        <v>379.24</v>
      </c>
      <c r="E352" s="17">
        <f t="shared" si="10"/>
        <v>1.7820719269994595E-2</v>
      </c>
      <c r="G352" s="21">
        <v>44799</v>
      </c>
      <c r="H352" s="12">
        <v>17558.900390625</v>
      </c>
      <c r="I352" s="15">
        <f t="shared" si="11"/>
        <v>2.0802555293466174E-3</v>
      </c>
    </row>
    <row r="353" spans="2:9">
      <c r="B353" s="21">
        <v>44802</v>
      </c>
      <c r="C353">
        <v>370.46</v>
      </c>
      <c r="D353">
        <v>368.87</v>
      </c>
      <c r="E353" s="17">
        <f t="shared" si="10"/>
        <v>-2.734416200822699E-2</v>
      </c>
      <c r="G353" s="21">
        <v>44802</v>
      </c>
      <c r="H353" s="12">
        <v>17312.900390625</v>
      </c>
      <c r="I353" s="14">
        <f t="shared" si="11"/>
        <v>-1.400998892455382E-2</v>
      </c>
    </row>
    <row r="354" spans="2:9">
      <c r="B354" s="21">
        <v>44803</v>
      </c>
      <c r="C354">
        <v>371.83</v>
      </c>
      <c r="D354">
        <v>381.92</v>
      </c>
      <c r="E354" s="17">
        <f t="shared" si="10"/>
        <v>3.5378317564453629E-2</v>
      </c>
      <c r="G354" s="21">
        <v>44803</v>
      </c>
      <c r="H354" s="12">
        <v>17759.30078125</v>
      </c>
      <c r="I354" s="15">
        <f t="shared" si="11"/>
        <v>2.5784263789025638E-2</v>
      </c>
    </row>
    <row r="355" spans="2:9">
      <c r="B355" s="21">
        <v>44805</v>
      </c>
      <c r="C355">
        <v>373.85</v>
      </c>
      <c r="D355">
        <v>379.4</v>
      </c>
      <c r="E355" s="17">
        <f t="shared" si="10"/>
        <v>-6.598240469208312E-3</v>
      </c>
      <c r="G355" s="21">
        <v>44805</v>
      </c>
      <c r="H355" s="12">
        <v>17542.80078125</v>
      </c>
      <c r="I355" s="14">
        <f t="shared" si="11"/>
        <v>-1.2190795272107639E-2</v>
      </c>
    </row>
    <row r="356" spans="2:9">
      <c r="B356" s="21">
        <v>44806</v>
      </c>
      <c r="C356">
        <v>382.21</v>
      </c>
      <c r="D356">
        <v>382.59</v>
      </c>
      <c r="E356" s="17">
        <f t="shared" si="10"/>
        <v>8.4080126515550819E-3</v>
      </c>
      <c r="G356" s="21">
        <v>44806</v>
      </c>
      <c r="H356" s="12">
        <v>17539.44921875</v>
      </c>
      <c r="I356" s="15">
        <f t="shared" si="11"/>
        <v>-1.9105059344812252E-4</v>
      </c>
    </row>
    <row r="357" spans="2:9">
      <c r="B357" s="21">
        <v>44809</v>
      </c>
      <c r="C357">
        <v>381.03</v>
      </c>
      <c r="D357">
        <v>386.39</v>
      </c>
      <c r="E357" s="17">
        <f t="shared" si="10"/>
        <v>9.9323035102851925E-3</v>
      </c>
      <c r="G357" s="21">
        <v>44809</v>
      </c>
      <c r="H357" s="12">
        <v>17665.80078125</v>
      </c>
      <c r="I357" s="14">
        <f t="shared" si="11"/>
        <v>7.2038500710117975E-3</v>
      </c>
    </row>
    <row r="358" spans="2:9">
      <c r="B358" s="21">
        <v>44810</v>
      </c>
      <c r="C358">
        <v>387.8</v>
      </c>
      <c r="D358">
        <v>381.97</v>
      </c>
      <c r="E358" s="17">
        <f t="shared" si="10"/>
        <v>-1.1439219441496827E-2</v>
      </c>
      <c r="G358" s="21">
        <v>44810</v>
      </c>
      <c r="H358" s="12">
        <v>17655.599609375</v>
      </c>
      <c r="I358" s="15">
        <f t="shared" si="11"/>
        <v>-5.7745312546642362E-4</v>
      </c>
    </row>
    <row r="359" spans="2:9">
      <c r="B359" s="21">
        <v>44811</v>
      </c>
      <c r="C359">
        <v>378.83</v>
      </c>
      <c r="D359">
        <v>380.48</v>
      </c>
      <c r="E359" s="17">
        <f t="shared" si="10"/>
        <v>-3.90082990810799E-3</v>
      </c>
      <c r="G359" s="21">
        <v>44811</v>
      </c>
      <c r="H359" s="12">
        <v>17624.400390625</v>
      </c>
      <c r="I359" s="14">
        <f t="shared" si="11"/>
        <v>-1.7671004916442166E-3</v>
      </c>
    </row>
    <row r="360" spans="2:9">
      <c r="B360" s="21">
        <v>44812</v>
      </c>
      <c r="C360">
        <v>382.84</v>
      </c>
      <c r="D360">
        <v>384.83</v>
      </c>
      <c r="E360" s="17">
        <f t="shared" si="10"/>
        <v>1.1432926829268202E-2</v>
      </c>
      <c r="G360" s="21">
        <v>44812</v>
      </c>
      <c r="H360" s="12">
        <v>17798.75</v>
      </c>
      <c r="I360" s="15">
        <f t="shared" si="11"/>
        <v>9.8925129655895866E-3</v>
      </c>
    </row>
    <row r="361" spans="2:9">
      <c r="B361" s="21">
        <v>44813</v>
      </c>
      <c r="C361">
        <v>388.8</v>
      </c>
      <c r="D361">
        <v>384.09</v>
      </c>
      <c r="E361" s="17">
        <f t="shared" si="10"/>
        <v>-1.9229270067302683E-3</v>
      </c>
      <c r="G361" s="21">
        <v>44813</v>
      </c>
      <c r="H361" s="12">
        <v>17833.349609375</v>
      </c>
      <c r="I361" s="14">
        <f t="shared" si="11"/>
        <v>1.943934791769085E-3</v>
      </c>
    </row>
    <row r="362" spans="2:9">
      <c r="B362" s="21">
        <v>44816</v>
      </c>
      <c r="C362">
        <v>383.82</v>
      </c>
      <c r="D362">
        <v>383.62</v>
      </c>
      <c r="E362" s="17">
        <f t="shared" si="10"/>
        <v>-1.2236715353171664E-3</v>
      </c>
      <c r="G362" s="21">
        <v>44816</v>
      </c>
      <c r="H362" s="12">
        <v>17936.349609375</v>
      </c>
      <c r="I362" s="15">
        <f t="shared" si="11"/>
        <v>5.77569566324505E-3</v>
      </c>
    </row>
    <row r="363" spans="2:9">
      <c r="B363" s="21">
        <v>44817</v>
      </c>
      <c r="C363">
        <v>385.41</v>
      </c>
      <c r="D363">
        <v>383.5</v>
      </c>
      <c r="E363" s="17">
        <f t="shared" si="10"/>
        <v>-3.1280955111830599E-4</v>
      </c>
      <c r="G363" s="21">
        <v>44817</v>
      </c>
      <c r="H363" s="12">
        <v>18070.05078125</v>
      </c>
      <c r="I363" s="14">
        <f t="shared" si="11"/>
        <v>7.4542019299800475E-3</v>
      </c>
    </row>
    <row r="364" spans="2:9">
      <c r="B364" s="21">
        <v>44818</v>
      </c>
      <c r="C364">
        <v>377.24</v>
      </c>
      <c r="D364">
        <v>389.74</v>
      </c>
      <c r="E364" s="17">
        <f t="shared" si="10"/>
        <v>1.6271186440677991E-2</v>
      </c>
      <c r="G364" s="21">
        <v>44818</v>
      </c>
      <c r="H364" s="12">
        <v>18003.75</v>
      </c>
      <c r="I364" s="15">
        <f t="shared" si="11"/>
        <v>-3.6690976717561625E-3</v>
      </c>
    </row>
    <row r="365" spans="2:9">
      <c r="B365" s="21">
        <v>44819</v>
      </c>
      <c r="C365">
        <v>392.29</v>
      </c>
      <c r="D365">
        <v>385.64</v>
      </c>
      <c r="E365" s="17">
        <f t="shared" si="10"/>
        <v>-1.0519833735310779E-2</v>
      </c>
      <c r="G365" s="21">
        <v>44819</v>
      </c>
      <c r="H365" s="12">
        <v>17877.400390625</v>
      </c>
      <c r="I365" s="14">
        <f t="shared" si="11"/>
        <v>-7.0179606679164064E-3</v>
      </c>
    </row>
    <row r="366" spans="2:9">
      <c r="B366" s="21">
        <v>44820</v>
      </c>
      <c r="C366">
        <v>384.07</v>
      </c>
      <c r="D366">
        <v>384.88</v>
      </c>
      <c r="E366" s="17">
        <f t="shared" si="10"/>
        <v>-1.9707499222072163E-3</v>
      </c>
      <c r="G366" s="21">
        <v>44820</v>
      </c>
      <c r="H366" s="12">
        <v>17530.849609375</v>
      </c>
      <c r="I366" s="15">
        <f t="shared" si="11"/>
        <v>-1.9384853148544628E-2</v>
      </c>
    </row>
    <row r="367" spans="2:9">
      <c r="B367" s="21">
        <v>44823</v>
      </c>
      <c r="C367">
        <v>383.44</v>
      </c>
      <c r="D367">
        <v>384.72</v>
      </c>
      <c r="E367" s="17">
        <f t="shared" si="10"/>
        <v>-4.1571398877563961E-4</v>
      </c>
      <c r="G367" s="21">
        <v>44823</v>
      </c>
      <c r="H367" s="12">
        <v>17622.25</v>
      </c>
      <c r="I367" s="14">
        <f t="shared" si="11"/>
        <v>5.2136885924867933E-3</v>
      </c>
    </row>
    <row r="368" spans="2:9">
      <c r="B368" s="21">
        <v>44824</v>
      </c>
      <c r="C368">
        <v>387.61</v>
      </c>
      <c r="D368">
        <v>386.76</v>
      </c>
      <c r="E368" s="17">
        <f t="shared" si="10"/>
        <v>5.3025577043043339E-3</v>
      </c>
      <c r="G368" s="21">
        <v>44824</v>
      </c>
      <c r="H368" s="12">
        <v>17816.25</v>
      </c>
      <c r="I368" s="15">
        <f t="shared" si="11"/>
        <v>1.1008809885230319E-2</v>
      </c>
    </row>
    <row r="369" spans="2:9">
      <c r="B369" s="21">
        <v>44825</v>
      </c>
      <c r="C369">
        <v>384.22</v>
      </c>
      <c r="D369">
        <v>382.52</v>
      </c>
      <c r="E369" s="17">
        <f t="shared" si="10"/>
        <v>-1.0962871031130441E-2</v>
      </c>
      <c r="G369" s="21">
        <v>44825</v>
      </c>
      <c r="H369" s="12">
        <v>17718.349609375</v>
      </c>
      <c r="I369" s="14">
        <f t="shared" si="11"/>
        <v>-5.4950054374517648E-3</v>
      </c>
    </row>
    <row r="370" spans="2:9">
      <c r="B370" s="21">
        <v>44826</v>
      </c>
      <c r="C370">
        <v>379.94</v>
      </c>
      <c r="D370">
        <v>377.39</v>
      </c>
      <c r="E370" s="17">
        <f t="shared" si="10"/>
        <v>-1.3411063473805281E-2</v>
      </c>
      <c r="G370" s="21">
        <v>44826</v>
      </c>
      <c r="H370" s="12">
        <v>17629.80078125</v>
      </c>
      <c r="I370" s="15">
        <f t="shared" si="11"/>
        <v>-4.9975776569025207E-3</v>
      </c>
    </row>
    <row r="371" spans="2:9">
      <c r="B371" s="21">
        <v>44827</v>
      </c>
      <c r="C371">
        <v>372.87</v>
      </c>
      <c r="D371">
        <v>371.4</v>
      </c>
      <c r="E371" s="17">
        <f t="shared" si="10"/>
        <v>-1.5872174673414795E-2</v>
      </c>
      <c r="G371" s="21">
        <v>44827</v>
      </c>
      <c r="H371" s="12">
        <v>17327.349609375</v>
      </c>
      <c r="I371" s="14">
        <f t="shared" si="11"/>
        <v>-1.7155677232420515E-2</v>
      </c>
    </row>
    <row r="372" spans="2:9">
      <c r="B372" s="21">
        <v>44830</v>
      </c>
      <c r="C372">
        <v>366.07</v>
      </c>
      <c r="D372">
        <v>364.68</v>
      </c>
      <c r="E372" s="17">
        <f t="shared" si="10"/>
        <v>-1.8093699515347256E-2</v>
      </c>
      <c r="G372" s="21">
        <v>44830</v>
      </c>
      <c r="H372" s="12">
        <v>17016.30078125</v>
      </c>
      <c r="I372" s="15">
        <f t="shared" si="11"/>
        <v>-1.7951321762256493E-2</v>
      </c>
    </row>
    <row r="373" spans="2:9">
      <c r="B373" s="21">
        <v>44831</v>
      </c>
      <c r="C373">
        <v>365.32</v>
      </c>
      <c r="D373">
        <v>358.76</v>
      </c>
      <c r="E373" s="17">
        <f t="shared" si="10"/>
        <v>-1.6233410112975803E-2</v>
      </c>
      <c r="G373" s="21">
        <v>44831</v>
      </c>
      <c r="H373" s="12">
        <v>17007.400390625</v>
      </c>
      <c r="I373" s="14">
        <f t="shared" si="11"/>
        <v>-5.2305085220444639E-4</v>
      </c>
    </row>
    <row r="374" spans="2:9">
      <c r="B374" s="21">
        <v>44832</v>
      </c>
      <c r="C374">
        <v>356.9</v>
      </c>
      <c r="D374">
        <v>357.42</v>
      </c>
      <c r="E374" s="17">
        <f t="shared" si="10"/>
        <v>-3.7350875236926498E-3</v>
      </c>
      <c r="G374" s="21">
        <v>44832</v>
      </c>
      <c r="H374" s="12">
        <v>16858.599609375</v>
      </c>
      <c r="I374" s="15">
        <f t="shared" si="11"/>
        <v>-8.7491784653946029E-3</v>
      </c>
    </row>
    <row r="375" spans="2:9">
      <c r="B375" s="21">
        <v>44833</v>
      </c>
      <c r="C375">
        <v>359.29</v>
      </c>
      <c r="D375">
        <v>351.98</v>
      </c>
      <c r="E375" s="17">
        <f t="shared" si="10"/>
        <v>-1.5220189133232604E-2</v>
      </c>
      <c r="G375" s="21">
        <v>44833</v>
      </c>
      <c r="H375" s="12">
        <v>16818.099609375</v>
      </c>
      <c r="I375" s="14">
        <f t="shared" si="11"/>
        <v>-2.4023347691037229E-3</v>
      </c>
    </row>
    <row r="376" spans="2:9">
      <c r="B376" s="21">
        <v>44834</v>
      </c>
      <c r="C376">
        <v>352.52</v>
      </c>
      <c r="D376">
        <v>362.72</v>
      </c>
      <c r="E376" s="17">
        <f t="shared" si="10"/>
        <v>3.051309733507588E-2</v>
      </c>
      <c r="G376" s="21">
        <v>44834</v>
      </c>
      <c r="H376" s="12">
        <v>17094.349609375</v>
      </c>
      <c r="I376" s="15">
        <f t="shared" si="11"/>
        <v>1.6425755966269134E-2</v>
      </c>
    </row>
    <row r="377" spans="2:9">
      <c r="B377" s="21">
        <v>44837</v>
      </c>
      <c r="C377">
        <v>360.49</v>
      </c>
      <c r="D377">
        <v>355.69</v>
      </c>
      <c r="E377" s="17">
        <f t="shared" si="10"/>
        <v>-1.9381340979267834E-2</v>
      </c>
      <c r="G377" s="21">
        <v>44837</v>
      </c>
      <c r="H377" s="12">
        <v>16887.349609375</v>
      </c>
      <c r="I377" s="14">
        <f t="shared" si="11"/>
        <v>-1.2109264448790473E-2</v>
      </c>
    </row>
    <row r="378" spans="2:9">
      <c r="B378" s="21">
        <v>44838</v>
      </c>
      <c r="C378">
        <v>360.49</v>
      </c>
      <c r="D378">
        <v>363.33</v>
      </c>
      <c r="E378" s="17">
        <f t="shared" si="10"/>
        <v>2.1479378110152061E-2</v>
      </c>
      <c r="G378" s="21">
        <v>44838</v>
      </c>
      <c r="H378" s="12">
        <v>17274.30078125</v>
      </c>
      <c r="I378" s="15">
        <f t="shared" si="11"/>
        <v>2.2913670932719031E-2</v>
      </c>
    </row>
    <row r="379" spans="2:9">
      <c r="B379" s="21">
        <v>44840</v>
      </c>
      <c r="C379">
        <v>363.88</v>
      </c>
      <c r="D379">
        <v>362.66</v>
      </c>
      <c r="E379" s="17">
        <f t="shared" si="10"/>
        <v>-1.8440536151706688E-3</v>
      </c>
      <c r="G379" s="21">
        <v>44840</v>
      </c>
      <c r="H379" s="12">
        <v>17331.80078125</v>
      </c>
      <c r="I379" s="14">
        <f t="shared" si="11"/>
        <v>3.3286441360574244E-3</v>
      </c>
    </row>
    <row r="380" spans="2:9">
      <c r="B380" s="21">
        <v>44841</v>
      </c>
      <c r="C380">
        <v>360.99</v>
      </c>
      <c r="D380">
        <v>363.96</v>
      </c>
      <c r="E380" s="17">
        <f t="shared" si="10"/>
        <v>3.5846247173660023E-3</v>
      </c>
      <c r="G380" s="21">
        <v>44841</v>
      </c>
      <c r="H380" s="12">
        <v>17314.650390625</v>
      </c>
      <c r="I380" s="15">
        <f t="shared" si="11"/>
        <v>-9.8953310400115763E-4</v>
      </c>
    </row>
    <row r="381" spans="2:9">
      <c r="B381" s="21">
        <v>44844</v>
      </c>
      <c r="C381">
        <v>359.12</v>
      </c>
      <c r="D381">
        <v>360.54</v>
      </c>
      <c r="E381" s="17">
        <f t="shared" si="10"/>
        <v>-9.3966369930760501E-3</v>
      </c>
      <c r="G381" s="21">
        <v>44844</v>
      </c>
      <c r="H381" s="12">
        <v>17241</v>
      </c>
      <c r="I381" s="14">
        <f t="shared" si="11"/>
        <v>-4.253645841147213E-3</v>
      </c>
    </row>
    <row r="382" spans="2:9">
      <c r="B382" s="21">
        <v>44845</v>
      </c>
      <c r="C382">
        <v>360.86</v>
      </c>
      <c r="D382">
        <v>356.48</v>
      </c>
      <c r="E382" s="17">
        <f t="shared" si="10"/>
        <v>-1.1260886448105625E-2</v>
      </c>
      <c r="G382" s="21">
        <v>44845</v>
      </c>
      <c r="H382" s="12">
        <v>16983.55078125</v>
      </c>
      <c r="I382" s="15">
        <f t="shared" si="11"/>
        <v>-1.4932383199930399E-2</v>
      </c>
    </row>
    <row r="383" spans="2:9">
      <c r="B383" s="21">
        <v>44846</v>
      </c>
      <c r="C383">
        <v>356.5</v>
      </c>
      <c r="D383">
        <v>360.93</v>
      </c>
      <c r="E383" s="17">
        <f t="shared" si="10"/>
        <v>1.2483168761220794E-2</v>
      </c>
      <c r="G383" s="21">
        <v>44846</v>
      </c>
      <c r="H383" s="12">
        <v>17123.599609375</v>
      </c>
      <c r="I383" s="14">
        <f t="shared" si="11"/>
        <v>8.2461453396197471E-3</v>
      </c>
    </row>
    <row r="384" spans="2:9">
      <c r="B384" s="21">
        <v>44847</v>
      </c>
      <c r="C384">
        <v>359.89</v>
      </c>
      <c r="D384">
        <v>359.2</v>
      </c>
      <c r="E384" s="17">
        <f t="shared" si="10"/>
        <v>-4.7931731914776224E-3</v>
      </c>
      <c r="G384" s="21">
        <v>44847</v>
      </c>
      <c r="H384" s="12">
        <v>17014.349609375</v>
      </c>
      <c r="I384" s="15">
        <f t="shared" si="11"/>
        <v>-6.3800837728176449E-3</v>
      </c>
    </row>
    <row r="385" spans="2:9">
      <c r="B385" s="21">
        <v>44848</v>
      </c>
      <c r="C385">
        <v>364.48</v>
      </c>
      <c r="D385">
        <v>365.68</v>
      </c>
      <c r="E385" s="17">
        <f t="shared" si="10"/>
        <v>1.804008908685974E-2</v>
      </c>
      <c r="G385" s="21">
        <v>44848</v>
      </c>
      <c r="H385" s="12">
        <v>17185.69921875</v>
      </c>
      <c r="I385" s="14">
        <f t="shared" si="11"/>
        <v>1.0070888003887344E-2</v>
      </c>
    </row>
    <row r="386" spans="2:9">
      <c r="B386" s="21">
        <v>44851</v>
      </c>
      <c r="C386">
        <v>364.49</v>
      </c>
      <c r="D386">
        <v>370.49</v>
      </c>
      <c r="E386" s="17">
        <f t="shared" si="10"/>
        <v>1.3153576897834179E-2</v>
      </c>
      <c r="G386" s="21">
        <v>44851</v>
      </c>
      <c r="H386" s="12">
        <v>17311.80078125</v>
      </c>
      <c r="I386" s="15">
        <f t="shared" si="11"/>
        <v>7.3375869608156676E-3</v>
      </c>
    </row>
    <row r="387" spans="2:9">
      <c r="B387" s="21">
        <v>44852</v>
      </c>
      <c r="C387">
        <v>372.34</v>
      </c>
      <c r="D387">
        <v>370.8</v>
      </c>
      <c r="E387" s="17">
        <f t="shared" si="10"/>
        <v>8.3672973629518273E-4</v>
      </c>
      <c r="G387" s="21">
        <v>44852</v>
      </c>
      <c r="H387" s="12">
        <v>17486.94921875</v>
      </c>
      <c r="I387" s="14">
        <f t="shared" si="11"/>
        <v>1.0117285874136163E-2</v>
      </c>
    </row>
    <row r="388" spans="2:9">
      <c r="B388" s="21">
        <v>44853</v>
      </c>
      <c r="C388">
        <v>372.65</v>
      </c>
      <c r="D388">
        <v>372.72</v>
      </c>
      <c r="E388" s="17">
        <f t="shared" si="10"/>
        <v>5.1779935275081332E-3</v>
      </c>
      <c r="G388" s="21">
        <v>44853</v>
      </c>
      <c r="H388" s="12">
        <v>17512.25</v>
      </c>
      <c r="I388" s="15">
        <f t="shared" si="11"/>
        <v>1.4468379208691124E-3</v>
      </c>
    </row>
    <row r="389" spans="2:9">
      <c r="B389" s="21">
        <v>44854</v>
      </c>
      <c r="C389">
        <v>370.86</v>
      </c>
      <c r="D389">
        <v>371.57</v>
      </c>
      <c r="E389" s="17">
        <f t="shared" ref="E389:E452" si="12">(D389-D388)/D388</f>
        <v>-3.0854260570938883E-3</v>
      </c>
      <c r="G389" s="21">
        <v>44854</v>
      </c>
      <c r="H389" s="12">
        <v>17563.94921875</v>
      </c>
      <c r="I389" s="14">
        <f t="shared" ref="I389:I452" si="13">(H389-H388)/H388</f>
        <v>2.9521745492441004E-3</v>
      </c>
    </row>
    <row r="390" spans="2:9">
      <c r="B390" s="21">
        <v>44855</v>
      </c>
      <c r="C390">
        <v>372.85</v>
      </c>
      <c r="D390">
        <v>379.36</v>
      </c>
      <c r="E390" s="17">
        <f t="shared" si="12"/>
        <v>2.096509406033862E-2</v>
      </c>
      <c r="G390" s="21">
        <v>44855</v>
      </c>
      <c r="H390" s="12">
        <v>17576.30078125</v>
      </c>
      <c r="I390" s="15">
        <f t="shared" si="13"/>
        <v>7.0323378564624668E-4</v>
      </c>
    </row>
    <row r="391" spans="2:9">
      <c r="B391" s="21">
        <v>44858</v>
      </c>
      <c r="C391">
        <v>379.33</v>
      </c>
      <c r="D391">
        <v>378</v>
      </c>
      <c r="E391" s="17">
        <f t="shared" si="12"/>
        <v>-3.5849852382961135E-3</v>
      </c>
      <c r="G391" s="21">
        <v>44858</v>
      </c>
      <c r="H391" s="12">
        <v>17730.75</v>
      </c>
      <c r="I391" s="14">
        <f t="shared" si="13"/>
        <v>8.7873563767617655E-3</v>
      </c>
    </row>
    <row r="392" spans="2:9">
      <c r="B392" s="21">
        <v>44859</v>
      </c>
      <c r="C392">
        <v>381.03</v>
      </c>
      <c r="D392">
        <v>368.19</v>
      </c>
      <c r="E392" s="17">
        <f t="shared" si="12"/>
        <v>-2.5952380952380959E-2</v>
      </c>
      <c r="G392" s="21">
        <v>44859</v>
      </c>
      <c r="H392" s="12">
        <v>17656.349609375</v>
      </c>
      <c r="I392" s="15">
        <f t="shared" si="13"/>
        <v>-4.1961220267050185E-3</v>
      </c>
    </row>
    <row r="393" spans="2:9">
      <c r="B393" s="21">
        <v>44861</v>
      </c>
      <c r="C393">
        <v>375.58</v>
      </c>
      <c r="D393">
        <v>371.86</v>
      </c>
      <c r="E393" s="17">
        <f t="shared" si="12"/>
        <v>9.9676797305739313E-3</v>
      </c>
      <c r="G393" s="21">
        <v>44861</v>
      </c>
      <c r="H393" s="12">
        <v>17736.94921875</v>
      </c>
      <c r="I393" s="14">
        <f t="shared" si="13"/>
        <v>4.5649078749666347E-3</v>
      </c>
    </row>
    <row r="394" spans="2:9">
      <c r="B394" s="21">
        <v>44862</v>
      </c>
      <c r="C394">
        <v>373.65</v>
      </c>
      <c r="D394">
        <v>375.69</v>
      </c>
      <c r="E394" s="17">
        <f t="shared" si="12"/>
        <v>1.0299575108911913E-2</v>
      </c>
      <c r="G394" s="21">
        <v>44862</v>
      </c>
      <c r="H394" s="12">
        <v>17786.80078125</v>
      </c>
      <c r="I394" s="15">
        <f t="shared" si="13"/>
        <v>2.8106052447453111E-3</v>
      </c>
    </row>
    <row r="395" spans="2:9">
      <c r="B395" s="21">
        <v>44865</v>
      </c>
      <c r="C395">
        <v>378.64</v>
      </c>
      <c r="D395">
        <v>379.22</v>
      </c>
      <c r="E395" s="17">
        <f t="shared" si="12"/>
        <v>9.3960446112487141E-3</v>
      </c>
      <c r="G395" s="21">
        <v>44865</v>
      </c>
      <c r="H395" s="12">
        <v>18012.19921875</v>
      </c>
      <c r="I395" s="14">
        <f t="shared" si="13"/>
        <v>1.2672230395564126E-2</v>
      </c>
    </row>
    <row r="396" spans="2:9">
      <c r="B396" s="21">
        <v>44866</v>
      </c>
      <c r="C396">
        <v>380.43</v>
      </c>
      <c r="D396">
        <v>380.67</v>
      </c>
      <c r="E396" s="17">
        <f t="shared" si="12"/>
        <v>3.8236379937766694E-3</v>
      </c>
      <c r="G396" s="21">
        <v>44866</v>
      </c>
      <c r="H396" s="12">
        <v>18145.400390625</v>
      </c>
      <c r="I396" s="15">
        <f t="shared" si="13"/>
        <v>7.3950532223928962E-3</v>
      </c>
    </row>
    <row r="397" spans="2:9">
      <c r="B397" s="21">
        <v>44867</v>
      </c>
      <c r="C397">
        <v>382.57</v>
      </c>
      <c r="D397">
        <v>380.82</v>
      </c>
      <c r="E397" s="17">
        <f t="shared" si="12"/>
        <v>3.9404208369447886E-4</v>
      </c>
      <c r="G397" s="21">
        <v>44867</v>
      </c>
      <c r="H397" s="12">
        <v>18082.849609375</v>
      </c>
      <c r="I397" s="14">
        <f t="shared" si="13"/>
        <v>-3.4471976315450983E-3</v>
      </c>
    </row>
    <row r="398" spans="2:9">
      <c r="B398" s="21">
        <v>44868</v>
      </c>
      <c r="C398">
        <v>379.79</v>
      </c>
      <c r="D398">
        <v>378.86</v>
      </c>
      <c r="E398" s="17">
        <f t="shared" si="12"/>
        <v>-5.1467885090068265E-3</v>
      </c>
      <c r="G398" s="21">
        <v>44868</v>
      </c>
      <c r="H398" s="12">
        <v>18052.69921875</v>
      </c>
      <c r="I398" s="15">
        <f t="shared" si="13"/>
        <v>-1.6673473084335456E-3</v>
      </c>
    </row>
    <row r="399" spans="2:9">
      <c r="B399" s="21">
        <v>44869</v>
      </c>
      <c r="C399">
        <v>380.03</v>
      </c>
      <c r="D399">
        <v>378.82</v>
      </c>
      <c r="E399" s="17">
        <f t="shared" si="12"/>
        <v>-1.0557989758755336E-4</v>
      </c>
      <c r="G399" s="21">
        <v>44869</v>
      </c>
      <c r="H399" s="12">
        <v>18117.150390625</v>
      </c>
      <c r="I399" s="14">
        <f t="shared" si="13"/>
        <v>3.5701681556882833E-3</v>
      </c>
    </row>
    <row r="400" spans="2:9">
      <c r="B400" s="21">
        <v>44872</v>
      </c>
      <c r="C400">
        <v>380.43</v>
      </c>
      <c r="D400">
        <v>375.37</v>
      </c>
      <c r="E400" s="17">
        <f t="shared" si="12"/>
        <v>-9.1072277070904095E-3</v>
      </c>
      <c r="G400" s="21">
        <v>44872</v>
      </c>
      <c r="H400" s="12">
        <v>18202.80078125</v>
      </c>
      <c r="I400" s="15">
        <f t="shared" si="13"/>
        <v>4.7275862251119315E-3</v>
      </c>
    </row>
    <row r="401" spans="2:9">
      <c r="B401" s="21">
        <v>44874</v>
      </c>
      <c r="C401">
        <v>378.44</v>
      </c>
      <c r="D401">
        <v>377.52</v>
      </c>
      <c r="E401" s="17">
        <f t="shared" si="12"/>
        <v>5.7276820204064712E-3</v>
      </c>
      <c r="G401" s="21">
        <v>44874</v>
      </c>
      <c r="H401" s="12">
        <v>18157</v>
      </c>
      <c r="I401" s="14">
        <f t="shared" si="13"/>
        <v>-2.5161392359563488E-3</v>
      </c>
    </row>
    <row r="402" spans="2:9">
      <c r="B402" s="21">
        <v>44875</v>
      </c>
      <c r="C402">
        <v>377.84</v>
      </c>
      <c r="D402">
        <v>381.26</v>
      </c>
      <c r="E402" s="17">
        <f t="shared" si="12"/>
        <v>9.9067599067599321E-3</v>
      </c>
      <c r="G402" s="21">
        <v>44875</v>
      </c>
      <c r="H402" s="12">
        <v>18028.19921875</v>
      </c>
      <c r="I402" s="15">
        <f t="shared" si="13"/>
        <v>-7.093725904609792E-3</v>
      </c>
    </row>
    <row r="403" spans="2:9">
      <c r="B403" s="21">
        <v>44876</v>
      </c>
      <c r="C403">
        <v>385.41</v>
      </c>
      <c r="D403">
        <v>378.66</v>
      </c>
      <c r="E403" s="17">
        <f t="shared" si="12"/>
        <v>-6.8194932591931125E-3</v>
      </c>
      <c r="G403" s="21">
        <v>44876</v>
      </c>
      <c r="H403" s="12">
        <v>18349.69921875</v>
      </c>
      <c r="I403" s="14">
        <f t="shared" si="13"/>
        <v>1.7833173247033349E-2</v>
      </c>
    </row>
    <row r="404" spans="2:9">
      <c r="B404" s="21">
        <v>44879</v>
      </c>
      <c r="C404">
        <v>379.4</v>
      </c>
      <c r="D404">
        <v>383.38</v>
      </c>
      <c r="E404" s="17">
        <f t="shared" si="12"/>
        <v>1.2465008186763772E-2</v>
      </c>
      <c r="G404" s="21">
        <v>44879</v>
      </c>
      <c r="H404" s="12">
        <v>18329.150390625</v>
      </c>
      <c r="I404" s="15">
        <f t="shared" si="13"/>
        <v>-1.1198455015547556E-3</v>
      </c>
    </row>
    <row r="405" spans="2:9">
      <c r="B405" s="21">
        <v>44880</v>
      </c>
      <c r="C405">
        <v>383.82</v>
      </c>
      <c r="D405">
        <v>381.31</v>
      </c>
      <c r="E405" s="17">
        <f t="shared" si="12"/>
        <v>-5.3993426887161385E-3</v>
      </c>
      <c r="G405" s="21">
        <v>44880</v>
      </c>
      <c r="H405" s="12">
        <v>18403.400390625</v>
      </c>
      <c r="I405" s="14">
        <f t="shared" si="13"/>
        <v>4.0509242609508738E-3</v>
      </c>
    </row>
    <row r="406" spans="2:9">
      <c r="B406" s="21">
        <v>44881</v>
      </c>
      <c r="C406">
        <v>381.63</v>
      </c>
      <c r="D406">
        <v>391.97</v>
      </c>
      <c r="E406" s="17">
        <f t="shared" si="12"/>
        <v>2.7956256064619402E-2</v>
      </c>
      <c r="G406" s="21">
        <v>44881</v>
      </c>
      <c r="H406" s="12">
        <v>18409.650390625</v>
      </c>
      <c r="I406" s="15">
        <f t="shared" si="13"/>
        <v>3.3961115159912808E-4</v>
      </c>
    </row>
    <row r="407" spans="2:9">
      <c r="B407" s="21">
        <v>44882</v>
      </c>
      <c r="C407">
        <v>391.56</v>
      </c>
      <c r="D407">
        <v>388.91</v>
      </c>
      <c r="E407" s="17">
        <f t="shared" si="12"/>
        <v>-7.8067199020333241E-3</v>
      </c>
      <c r="G407" s="21">
        <v>44882</v>
      </c>
      <c r="H407" s="12">
        <v>18343.900390625</v>
      </c>
      <c r="I407" s="14">
        <f t="shared" si="13"/>
        <v>-3.5714963948192506E-3</v>
      </c>
    </row>
    <row r="408" spans="2:9">
      <c r="B408" s="21">
        <v>44883</v>
      </c>
      <c r="C408">
        <v>390.99</v>
      </c>
      <c r="D408">
        <v>390.71</v>
      </c>
      <c r="E408" s="17">
        <f t="shared" si="12"/>
        <v>4.6283201769045648E-3</v>
      </c>
      <c r="G408" s="21">
        <v>44883</v>
      </c>
      <c r="H408" s="12">
        <v>18307.650390625</v>
      </c>
      <c r="I408" s="15">
        <f t="shared" si="13"/>
        <v>-1.9761337135545203E-3</v>
      </c>
    </row>
    <row r="409" spans="2:9">
      <c r="B409" s="21">
        <v>44886</v>
      </c>
      <c r="C409">
        <v>389.71</v>
      </c>
      <c r="D409">
        <v>387.63</v>
      </c>
      <c r="E409" s="17">
        <f t="shared" si="12"/>
        <v>-7.8830846407821255E-3</v>
      </c>
      <c r="G409" s="21">
        <v>44886</v>
      </c>
      <c r="H409" s="12">
        <v>18159.94921875</v>
      </c>
      <c r="I409" s="14">
        <f t="shared" si="13"/>
        <v>-8.0677295405769262E-3</v>
      </c>
    </row>
    <row r="410" spans="2:9">
      <c r="B410" s="21">
        <v>44887</v>
      </c>
      <c r="C410">
        <v>389.57</v>
      </c>
      <c r="D410">
        <v>386.76</v>
      </c>
      <c r="E410" s="17">
        <f t="shared" si="12"/>
        <v>-2.2444083275288407E-3</v>
      </c>
      <c r="G410" s="21">
        <v>44887</v>
      </c>
      <c r="H410" s="12">
        <v>18244.19921875</v>
      </c>
      <c r="I410" s="15">
        <f t="shared" si="13"/>
        <v>4.6393301536885668E-3</v>
      </c>
    </row>
    <row r="411" spans="2:9">
      <c r="B411" s="21">
        <v>44888</v>
      </c>
      <c r="C411">
        <v>388.9</v>
      </c>
      <c r="D411">
        <v>389.47</v>
      </c>
      <c r="E411" s="17">
        <f t="shared" si="12"/>
        <v>7.0069293618782611E-3</v>
      </c>
      <c r="G411" s="21">
        <v>44888</v>
      </c>
      <c r="H411" s="12">
        <v>18267.25</v>
      </c>
      <c r="I411" s="14">
        <f t="shared" si="13"/>
        <v>1.2634580983039343E-3</v>
      </c>
    </row>
    <row r="412" spans="2:9">
      <c r="B412" s="21">
        <v>44889</v>
      </c>
      <c r="C412">
        <v>389.7</v>
      </c>
      <c r="D412">
        <v>387.78</v>
      </c>
      <c r="E412" s="17">
        <f t="shared" si="12"/>
        <v>-4.3392302359618311E-3</v>
      </c>
      <c r="G412" s="21">
        <v>44889</v>
      </c>
      <c r="H412" s="12">
        <v>18484.099609375</v>
      </c>
      <c r="I412" s="15">
        <f t="shared" si="13"/>
        <v>1.1870949889830161E-2</v>
      </c>
    </row>
    <row r="413" spans="2:9">
      <c r="B413" s="21">
        <v>44890</v>
      </c>
      <c r="C413">
        <v>388.6</v>
      </c>
      <c r="D413">
        <v>384.5</v>
      </c>
      <c r="E413" s="17">
        <f t="shared" si="12"/>
        <v>-8.4584042498323086E-3</v>
      </c>
      <c r="G413" s="21">
        <v>44890</v>
      </c>
      <c r="H413" s="12">
        <v>18512.75</v>
      </c>
      <c r="I413" s="14">
        <f t="shared" si="13"/>
        <v>1.5500019600883741E-3</v>
      </c>
    </row>
    <row r="414" spans="2:9">
      <c r="B414" s="21">
        <v>44893</v>
      </c>
      <c r="C414">
        <v>382.03</v>
      </c>
      <c r="D414">
        <v>384.45</v>
      </c>
      <c r="E414" s="17">
        <f t="shared" si="12"/>
        <v>-1.3003901170354062E-4</v>
      </c>
      <c r="G414" s="21">
        <v>44893</v>
      </c>
      <c r="H414" s="12">
        <v>18562.75</v>
      </c>
      <c r="I414" s="15">
        <f t="shared" si="13"/>
        <v>2.7008413120687092E-3</v>
      </c>
    </row>
    <row r="415" spans="2:9">
      <c r="B415" s="21">
        <v>44894</v>
      </c>
      <c r="C415">
        <v>385.14</v>
      </c>
      <c r="D415">
        <v>383.93</v>
      </c>
      <c r="E415" s="17">
        <f t="shared" si="12"/>
        <v>-1.3525816100922925E-3</v>
      </c>
      <c r="G415" s="21">
        <v>44894</v>
      </c>
      <c r="H415" s="12">
        <v>18618.05078125</v>
      </c>
      <c r="I415" s="14">
        <f t="shared" si="13"/>
        <v>2.9791265437502526E-3</v>
      </c>
    </row>
    <row r="416" spans="2:9">
      <c r="B416" s="21">
        <v>44895</v>
      </c>
      <c r="C416">
        <v>386.61</v>
      </c>
      <c r="D416">
        <v>388.22</v>
      </c>
      <c r="E416" s="17">
        <f t="shared" si="12"/>
        <v>1.11739119110255E-2</v>
      </c>
      <c r="G416" s="21">
        <v>44895</v>
      </c>
      <c r="H416" s="12">
        <v>18758.349609375</v>
      </c>
      <c r="I416" s="15">
        <f t="shared" si="13"/>
        <v>7.5356346254191742E-3</v>
      </c>
    </row>
    <row r="417" spans="2:9">
      <c r="B417" s="21">
        <v>44896</v>
      </c>
      <c r="C417">
        <v>389.8</v>
      </c>
      <c r="D417">
        <v>385.67</v>
      </c>
      <c r="E417" s="17">
        <f t="shared" si="12"/>
        <v>-6.5684405749317689E-3</v>
      </c>
      <c r="G417" s="21">
        <v>44896</v>
      </c>
      <c r="H417" s="12">
        <v>18812.5</v>
      </c>
      <c r="I417" s="14">
        <f t="shared" si="13"/>
        <v>2.8867353340049093E-3</v>
      </c>
    </row>
    <row r="418" spans="2:9">
      <c r="B418" s="21">
        <v>44897</v>
      </c>
      <c r="C418">
        <v>382.24</v>
      </c>
      <c r="D418">
        <v>384.98</v>
      </c>
      <c r="E418" s="17">
        <f t="shared" si="12"/>
        <v>-1.7890943034200163E-3</v>
      </c>
      <c r="G418" s="21">
        <v>44897</v>
      </c>
      <c r="H418" s="12">
        <v>18696.099609375</v>
      </c>
      <c r="I418" s="15">
        <f t="shared" si="13"/>
        <v>-6.1873961794019936E-3</v>
      </c>
    </row>
    <row r="419" spans="2:9">
      <c r="B419" s="21">
        <v>44900</v>
      </c>
      <c r="C419">
        <v>387.21</v>
      </c>
      <c r="D419">
        <v>386.5</v>
      </c>
      <c r="E419" s="17">
        <f t="shared" si="12"/>
        <v>3.9482570523143587E-3</v>
      </c>
      <c r="G419" s="21">
        <v>44900</v>
      </c>
      <c r="H419" s="12">
        <v>18701.05078125</v>
      </c>
      <c r="I419" s="14">
        <f t="shared" si="13"/>
        <v>2.6482378562624241E-4</v>
      </c>
    </row>
    <row r="420" spans="2:9">
      <c r="B420" s="21">
        <v>44901</v>
      </c>
      <c r="C420">
        <v>382.93</v>
      </c>
      <c r="D420">
        <v>385.86</v>
      </c>
      <c r="E420" s="17">
        <f t="shared" si="12"/>
        <v>-1.6558861578266141E-3</v>
      </c>
      <c r="G420" s="21">
        <v>44901</v>
      </c>
      <c r="H420" s="12">
        <v>18642.75</v>
      </c>
      <c r="I420" s="15">
        <f t="shared" si="13"/>
        <v>-3.1175136590962781E-3</v>
      </c>
    </row>
    <row r="421" spans="2:9">
      <c r="B421" s="21">
        <v>44902</v>
      </c>
      <c r="C421">
        <v>385.31</v>
      </c>
      <c r="D421">
        <v>381.12</v>
      </c>
      <c r="E421" s="17">
        <f t="shared" si="12"/>
        <v>-1.2284248172912479E-2</v>
      </c>
      <c r="G421" s="21">
        <v>44902</v>
      </c>
      <c r="H421" s="12">
        <v>18560.5</v>
      </c>
      <c r="I421" s="14">
        <f t="shared" si="13"/>
        <v>-4.4119027503989484E-3</v>
      </c>
    </row>
    <row r="422" spans="2:9">
      <c r="B422" s="21">
        <v>44903</v>
      </c>
      <c r="C422">
        <v>378.62</v>
      </c>
      <c r="D422">
        <v>378.24</v>
      </c>
      <c r="E422" s="17">
        <f t="shared" si="12"/>
        <v>-7.5566750629722798E-3</v>
      </c>
      <c r="G422" s="21">
        <v>44903</v>
      </c>
      <c r="H422" s="12">
        <v>18609.349609375</v>
      </c>
      <c r="I422" s="15">
        <f t="shared" si="13"/>
        <v>2.6319123609277765E-3</v>
      </c>
    </row>
    <row r="423" spans="2:9">
      <c r="B423" s="21">
        <v>44904</v>
      </c>
      <c r="C423">
        <v>381.63</v>
      </c>
      <c r="D423">
        <v>376.45</v>
      </c>
      <c r="E423" s="17">
        <f t="shared" si="12"/>
        <v>-4.7324450084602907E-3</v>
      </c>
      <c r="G423" s="21">
        <v>44904</v>
      </c>
      <c r="H423" s="12">
        <v>18496.599609375</v>
      </c>
      <c r="I423" s="14">
        <f t="shared" si="13"/>
        <v>-6.058782405979353E-3</v>
      </c>
    </row>
    <row r="424" spans="2:9">
      <c r="B424" s="21">
        <v>44907</v>
      </c>
      <c r="C424">
        <v>371.86</v>
      </c>
      <c r="D424">
        <v>372.01</v>
      </c>
      <c r="E424" s="17">
        <f t="shared" si="12"/>
        <v>-1.1794395005976883E-2</v>
      </c>
      <c r="G424" s="21">
        <v>44907</v>
      </c>
      <c r="H424" s="12">
        <v>18497.150390625</v>
      </c>
      <c r="I424" s="15">
        <f t="shared" si="13"/>
        <v>2.9777432697458433E-5</v>
      </c>
    </row>
    <row r="425" spans="2:9">
      <c r="B425" s="21">
        <v>44908</v>
      </c>
      <c r="C425">
        <v>371.61</v>
      </c>
      <c r="D425">
        <v>372.55</v>
      </c>
      <c r="E425" s="17">
        <f t="shared" si="12"/>
        <v>1.4515738824225706E-3</v>
      </c>
      <c r="G425" s="21">
        <v>44908</v>
      </c>
      <c r="H425" s="12">
        <v>18608</v>
      </c>
      <c r="I425" s="14">
        <f t="shared" si="13"/>
        <v>5.9927938646799584E-3</v>
      </c>
    </row>
    <row r="426" spans="2:9">
      <c r="B426" s="21">
        <v>44909</v>
      </c>
      <c r="C426">
        <v>373.07</v>
      </c>
      <c r="D426">
        <v>373.49</v>
      </c>
      <c r="E426" s="17">
        <f t="shared" si="12"/>
        <v>2.5231512548651125E-3</v>
      </c>
      <c r="G426" s="21">
        <v>44909</v>
      </c>
      <c r="H426" s="12">
        <v>18660.30078125</v>
      </c>
      <c r="I426" s="15">
        <f t="shared" si="13"/>
        <v>2.8106610731943251E-3</v>
      </c>
    </row>
    <row r="427" spans="2:9">
      <c r="B427" s="21">
        <v>44910</v>
      </c>
      <c r="C427">
        <v>373.96</v>
      </c>
      <c r="D427">
        <v>371.5</v>
      </c>
      <c r="E427" s="17">
        <f t="shared" si="12"/>
        <v>-5.3281212348389754E-3</v>
      </c>
      <c r="G427" s="21">
        <v>44910</v>
      </c>
      <c r="H427" s="12">
        <v>18414.900390625</v>
      </c>
      <c r="I427" s="14">
        <f t="shared" si="13"/>
        <v>-1.3150934355333651E-2</v>
      </c>
    </row>
    <row r="428" spans="2:9">
      <c r="B428" s="21">
        <v>44911</v>
      </c>
      <c r="C428">
        <v>369.8</v>
      </c>
      <c r="D428">
        <v>366.98</v>
      </c>
      <c r="E428" s="17">
        <f t="shared" si="12"/>
        <v>-1.2166890982503316E-2</v>
      </c>
      <c r="G428" s="21">
        <v>44911</v>
      </c>
      <c r="H428" s="12">
        <v>18269</v>
      </c>
      <c r="I428" s="15">
        <f t="shared" si="13"/>
        <v>-7.9229530179418008E-3</v>
      </c>
    </row>
    <row r="429" spans="2:9">
      <c r="B429" s="21">
        <v>44914</v>
      </c>
      <c r="C429">
        <v>366.98</v>
      </c>
      <c r="D429">
        <v>370.49</v>
      </c>
      <c r="E429" s="17">
        <f t="shared" si="12"/>
        <v>9.5645539266444781E-3</v>
      </c>
      <c r="G429" s="21">
        <v>44914</v>
      </c>
      <c r="H429" s="12">
        <v>18420.44921875</v>
      </c>
      <c r="I429" s="14">
        <f t="shared" si="13"/>
        <v>8.2899566889265974E-3</v>
      </c>
    </row>
    <row r="430" spans="2:9">
      <c r="B430" s="21">
        <v>44915</v>
      </c>
      <c r="C430">
        <v>367.87</v>
      </c>
      <c r="D430">
        <v>368.29</v>
      </c>
      <c r="E430" s="17">
        <f t="shared" si="12"/>
        <v>-5.9380819995141264E-3</v>
      </c>
      <c r="G430" s="21">
        <v>44915</v>
      </c>
      <c r="H430" s="12">
        <v>18385.30078125</v>
      </c>
      <c r="I430" s="15">
        <f t="shared" si="13"/>
        <v>-1.9081205394395452E-3</v>
      </c>
    </row>
    <row r="431" spans="2:9">
      <c r="B431" s="21">
        <v>44916</v>
      </c>
      <c r="C431">
        <v>370.96</v>
      </c>
      <c r="D431">
        <v>361.81</v>
      </c>
      <c r="E431" s="17">
        <f t="shared" si="12"/>
        <v>-1.7594830161014468E-2</v>
      </c>
      <c r="G431" s="21">
        <v>44916</v>
      </c>
      <c r="H431" s="12">
        <v>18199.099609375</v>
      </c>
      <c r="I431" s="14">
        <f t="shared" si="13"/>
        <v>-1.012771964355866E-2</v>
      </c>
    </row>
    <row r="432" spans="2:9">
      <c r="B432" s="21">
        <v>44917</v>
      </c>
      <c r="C432">
        <v>364.08</v>
      </c>
      <c r="D432">
        <v>364.09</v>
      </c>
      <c r="E432" s="17">
        <f t="shared" si="12"/>
        <v>6.3016500373123258E-3</v>
      </c>
      <c r="G432" s="21">
        <v>44917</v>
      </c>
      <c r="H432" s="12">
        <v>18127.349609375</v>
      </c>
      <c r="I432" s="15">
        <f t="shared" si="13"/>
        <v>-3.9425027358517802E-3</v>
      </c>
    </row>
    <row r="433" spans="2:9">
      <c r="B433" s="21">
        <v>44918</v>
      </c>
      <c r="C433">
        <v>362.08</v>
      </c>
      <c r="D433">
        <v>363.27</v>
      </c>
      <c r="E433" s="17">
        <f t="shared" si="12"/>
        <v>-2.2521903924853561E-3</v>
      </c>
      <c r="G433" s="21">
        <v>44918</v>
      </c>
      <c r="H433" s="12">
        <v>17806.80078125</v>
      </c>
      <c r="I433" s="14">
        <f t="shared" si="13"/>
        <v>-1.7683160254117921E-2</v>
      </c>
    </row>
    <row r="434" spans="2:9">
      <c r="B434" s="21">
        <v>44921</v>
      </c>
      <c r="C434">
        <v>363.27</v>
      </c>
      <c r="D434">
        <v>361.6</v>
      </c>
      <c r="E434" s="17">
        <f t="shared" si="12"/>
        <v>-4.5971316100970605E-3</v>
      </c>
      <c r="G434" s="21">
        <v>44921</v>
      </c>
      <c r="H434" s="12">
        <v>18014.599609375</v>
      </c>
      <c r="I434" s="15">
        <f t="shared" si="13"/>
        <v>1.1669632893506936E-2</v>
      </c>
    </row>
    <row r="435" spans="2:9">
      <c r="B435" s="21">
        <v>44922</v>
      </c>
      <c r="C435">
        <v>363.41</v>
      </c>
      <c r="D435">
        <v>363.06</v>
      </c>
      <c r="E435" s="17">
        <f t="shared" si="12"/>
        <v>4.0376106194689697E-3</v>
      </c>
      <c r="G435" s="21">
        <v>44922</v>
      </c>
      <c r="H435" s="12">
        <v>18132.30078125</v>
      </c>
      <c r="I435" s="14">
        <f t="shared" si="13"/>
        <v>6.533654614990554E-3</v>
      </c>
    </row>
    <row r="436" spans="2:9">
      <c r="B436" s="21">
        <v>44923</v>
      </c>
      <c r="C436">
        <v>363.76</v>
      </c>
      <c r="D436">
        <v>362.9</v>
      </c>
      <c r="E436" s="17">
        <f t="shared" si="12"/>
        <v>-4.4069850713387596E-4</v>
      </c>
      <c r="G436" s="21">
        <v>44923</v>
      </c>
      <c r="H436" s="12">
        <v>18122.5</v>
      </c>
      <c r="I436" s="15">
        <f t="shared" si="13"/>
        <v>-5.405150382313676E-4</v>
      </c>
    </row>
    <row r="437" spans="2:9">
      <c r="B437" s="21">
        <v>44924</v>
      </c>
      <c r="C437">
        <v>361.77</v>
      </c>
      <c r="D437">
        <v>362.63</v>
      </c>
      <c r="E437" s="17">
        <f t="shared" si="12"/>
        <v>-7.4400661339206898E-4</v>
      </c>
      <c r="G437" s="21">
        <v>44924</v>
      </c>
      <c r="H437" s="12">
        <v>18191</v>
      </c>
      <c r="I437" s="14">
        <f t="shared" si="13"/>
        <v>3.7798317009242652E-3</v>
      </c>
    </row>
    <row r="438" spans="2:9">
      <c r="B438" s="21">
        <v>44925</v>
      </c>
      <c r="C438">
        <v>363.9</v>
      </c>
      <c r="D438">
        <v>364.33</v>
      </c>
      <c r="E438" s="17">
        <f t="shared" si="12"/>
        <v>4.6879739679562878E-3</v>
      </c>
      <c r="G438" s="21">
        <v>44925</v>
      </c>
      <c r="H438" s="12">
        <v>18105.30078125</v>
      </c>
      <c r="I438" s="15">
        <f t="shared" si="13"/>
        <v>-4.7110779368918698E-3</v>
      </c>
    </row>
    <row r="439" spans="2:9">
      <c r="B439" s="21">
        <v>44928</v>
      </c>
      <c r="C439">
        <v>364.44</v>
      </c>
      <c r="D439">
        <v>363.89</v>
      </c>
      <c r="E439" s="17">
        <f t="shared" si="12"/>
        <v>-1.2076963192709843E-3</v>
      </c>
      <c r="G439" s="21">
        <v>44928</v>
      </c>
      <c r="H439" s="12">
        <v>18197.44921875</v>
      </c>
      <c r="I439" s="14">
        <f t="shared" si="13"/>
        <v>5.0895833553579895E-3</v>
      </c>
    </row>
    <row r="440" spans="2:9">
      <c r="B440" s="21">
        <v>44929</v>
      </c>
      <c r="C440">
        <v>363.33</v>
      </c>
      <c r="D440">
        <v>365.45</v>
      </c>
      <c r="E440" s="17">
        <f t="shared" si="12"/>
        <v>4.2870098106570732E-3</v>
      </c>
      <c r="G440" s="21">
        <v>44929</v>
      </c>
      <c r="H440" s="12">
        <v>18232.55078125</v>
      </c>
      <c r="I440" s="15">
        <f t="shared" si="13"/>
        <v>1.928927624858137E-3</v>
      </c>
    </row>
    <row r="441" spans="2:9">
      <c r="B441" s="21">
        <v>44930</v>
      </c>
      <c r="C441">
        <v>365.85</v>
      </c>
      <c r="D441">
        <v>363.03</v>
      </c>
      <c r="E441" s="17">
        <f t="shared" si="12"/>
        <v>-6.6219729101108663E-3</v>
      </c>
      <c r="G441" s="21">
        <v>44930</v>
      </c>
      <c r="H441" s="12">
        <v>18042.94921875</v>
      </c>
      <c r="I441" s="14">
        <f t="shared" si="13"/>
        <v>-1.0399069487028801E-2</v>
      </c>
    </row>
    <row r="442" spans="2:9">
      <c r="B442" s="21">
        <v>44931</v>
      </c>
      <c r="C442">
        <v>362.88</v>
      </c>
      <c r="D442">
        <v>362.94</v>
      </c>
      <c r="E442" s="17">
        <f t="shared" si="12"/>
        <v>-2.479133955870727E-4</v>
      </c>
      <c r="G442" s="21">
        <v>44931</v>
      </c>
      <c r="H442" s="12">
        <v>17992.150390625</v>
      </c>
      <c r="I442" s="15">
        <f t="shared" si="13"/>
        <v>-2.8154392892826255E-3</v>
      </c>
    </row>
    <row r="443" spans="2:9">
      <c r="B443" s="21">
        <v>44932</v>
      </c>
      <c r="C443">
        <v>364.08</v>
      </c>
      <c r="D443">
        <v>356.26</v>
      </c>
      <c r="E443" s="17">
        <f t="shared" si="12"/>
        <v>-1.840524604617845E-2</v>
      </c>
      <c r="G443" s="21">
        <v>44932</v>
      </c>
      <c r="H443" s="12">
        <v>17859.44921875</v>
      </c>
      <c r="I443" s="14">
        <f t="shared" si="13"/>
        <v>-7.3755037054462009E-3</v>
      </c>
    </row>
    <row r="444" spans="2:9">
      <c r="B444" s="21">
        <v>44935</v>
      </c>
      <c r="C444">
        <v>359.1</v>
      </c>
      <c r="D444">
        <v>361.27</v>
      </c>
      <c r="E444" s="17">
        <f t="shared" si="12"/>
        <v>1.406276315050803E-2</v>
      </c>
      <c r="G444" s="21">
        <v>44935</v>
      </c>
      <c r="H444" s="12">
        <v>18101.19921875</v>
      </c>
      <c r="I444" s="15">
        <f t="shared" si="13"/>
        <v>1.3536251708490276E-2</v>
      </c>
    </row>
    <row r="445" spans="2:9">
      <c r="B445" s="21">
        <v>44936</v>
      </c>
      <c r="C445">
        <v>360.6</v>
      </c>
      <c r="D445">
        <v>358.01</v>
      </c>
      <c r="E445" s="17">
        <f t="shared" si="12"/>
        <v>-9.0237218700694524E-3</v>
      </c>
      <c r="G445" s="21">
        <v>44936</v>
      </c>
      <c r="H445" s="12">
        <v>17914.150390625</v>
      </c>
      <c r="I445" s="14">
        <f t="shared" si="13"/>
        <v>-1.0333504750958532E-2</v>
      </c>
    </row>
    <row r="446" spans="2:9">
      <c r="B446" s="21">
        <v>44937</v>
      </c>
      <c r="C446">
        <v>358.9</v>
      </c>
      <c r="D446">
        <v>359.27</v>
      </c>
      <c r="E446" s="17">
        <f t="shared" si="12"/>
        <v>3.5194547638333872E-3</v>
      </c>
      <c r="G446" s="21">
        <v>44937</v>
      </c>
      <c r="H446" s="12">
        <v>17895.69921875</v>
      </c>
      <c r="I446" s="15">
        <f t="shared" si="13"/>
        <v>-1.0299775022909285E-3</v>
      </c>
    </row>
    <row r="447" spans="2:9">
      <c r="B447" s="21">
        <v>44938</v>
      </c>
      <c r="C447">
        <v>360.29</v>
      </c>
      <c r="D447">
        <v>354.81</v>
      </c>
      <c r="E447" s="17">
        <f t="shared" si="12"/>
        <v>-1.2414061847635426E-2</v>
      </c>
      <c r="G447" s="21">
        <v>44938</v>
      </c>
      <c r="H447" s="12">
        <v>17858.19921875</v>
      </c>
      <c r="I447" s="14">
        <f t="shared" si="13"/>
        <v>-2.0954755408891671E-3</v>
      </c>
    </row>
    <row r="448" spans="2:9">
      <c r="B448" s="21">
        <v>44939</v>
      </c>
      <c r="C448">
        <v>354.81</v>
      </c>
      <c r="D448">
        <v>354.97</v>
      </c>
      <c r="E448" s="17">
        <f t="shared" si="12"/>
        <v>4.5094557650580594E-4</v>
      </c>
      <c r="G448" s="21">
        <v>44939</v>
      </c>
      <c r="H448" s="12">
        <v>17956.599609375</v>
      </c>
      <c r="I448" s="15">
        <f t="shared" si="13"/>
        <v>5.5100959183883276E-3</v>
      </c>
    </row>
    <row r="449" spans="2:9">
      <c r="B449" s="21">
        <v>44942</v>
      </c>
      <c r="C449">
        <v>356.3</v>
      </c>
      <c r="D449">
        <v>355.87</v>
      </c>
      <c r="E449" s="17">
        <f t="shared" si="12"/>
        <v>2.5354255289178726E-3</v>
      </c>
      <c r="G449" s="21">
        <v>44942</v>
      </c>
      <c r="H449" s="12">
        <v>17894.849609375</v>
      </c>
      <c r="I449" s="14">
        <f t="shared" si="13"/>
        <v>-3.4388470725693972E-3</v>
      </c>
    </row>
    <row r="450" spans="2:9">
      <c r="B450" s="21">
        <v>44943</v>
      </c>
      <c r="C450">
        <v>354.91</v>
      </c>
      <c r="D450">
        <v>358.43</v>
      </c>
      <c r="E450" s="17">
        <f t="shared" si="12"/>
        <v>7.1936381262820755E-3</v>
      </c>
      <c r="G450" s="21">
        <v>44943</v>
      </c>
      <c r="H450" s="12">
        <v>18053.30078125</v>
      </c>
      <c r="I450" s="15">
        <f t="shared" si="13"/>
        <v>8.854568511824118E-3</v>
      </c>
    </row>
    <row r="451" spans="2:9">
      <c r="B451" s="21">
        <v>44944</v>
      </c>
      <c r="C451">
        <v>359.48</v>
      </c>
      <c r="D451">
        <v>358.72</v>
      </c>
      <c r="E451" s="17">
        <f t="shared" si="12"/>
        <v>8.0908406104405453E-4</v>
      </c>
      <c r="G451" s="21">
        <v>44944</v>
      </c>
      <c r="H451" s="12">
        <v>18165.349609375</v>
      </c>
      <c r="I451" s="14">
        <f t="shared" si="13"/>
        <v>6.2065563235601173E-3</v>
      </c>
    </row>
    <row r="452" spans="2:9">
      <c r="B452" s="21">
        <v>44945</v>
      </c>
      <c r="C452">
        <v>359.59</v>
      </c>
      <c r="D452">
        <v>352.38</v>
      </c>
      <c r="E452" s="17">
        <f t="shared" si="12"/>
        <v>-1.767395182872444E-2</v>
      </c>
      <c r="G452" s="21">
        <v>44945</v>
      </c>
      <c r="H452" s="12">
        <v>18107.849609375</v>
      </c>
      <c r="I452" s="15">
        <f t="shared" si="13"/>
        <v>-3.1653670992560848E-3</v>
      </c>
    </row>
    <row r="453" spans="2:9">
      <c r="B453" s="21">
        <v>44946</v>
      </c>
      <c r="C453">
        <v>354.69</v>
      </c>
      <c r="D453">
        <v>351.5</v>
      </c>
      <c r="E453" s="17">
        <f t="shared" ref="E453:E516" si="14">(D453-D452)/D452</f>
        <v>-2.497304046767681E-3</v>
      </c>
      <c r="G453" s="21">
        <v>44946</v>
      </c>
      <c r="H453" s="12">
        <v>18027.650390625</v>
      </c>
      <c r="I453" s="14">
        <f t="shared" ref="I453:I516" si="15">(H453-H452)/H452</f>
        <v>-4.4289753051891022E-3</v>
      </c>
    </row>
    <row r="454" spans="2:9">
      <c r="B454" s="21">
        <v>44949</v>
      </c>
      <c r="C454">
        <v>356.9</v>
      </c>
      <c r="D454">
        <v>355.66</v>
      </c>
      <c r="E454" s="17">
        <f t="shared" si="14"/>
        <v>1.1834992887624537E-2</v>
      </c>
      <c r="G454" s="21">
        <v>44949</v>
      </c>
      <c r="H454" s="12">
        <v>18118.55078125</v>
      </c>
      <c r="I454" s="15">
        <f t="shared" si="15"/>
        <v>5.042276095628709E-3</v>
      </c>
    </row>
    <row r="455" spans="2:9">
      <c r="B455" s="21">
        <v>44950</v>
      </c>
      <c r="C455">
        <v>357.44</v>
      </c>
      <c r="D455">
        <v>350.97</v>
      </c>
      <c r="E455" s="17">
        <f t="shared" si="14"/>
        <v>-1.3186751391778658E-2</v>
      </c>
      <c r="G455" s="21">
        <v>44950</v>
      </c>
      <c r="H455" s="12">
        <v>18118.30078125</v>
      </c>
      <c r="I455" s="14">
        <f t="shared" si="15"/>
        <v>-1.3798013043003017E-5</v>
      </c>
    </row>
    <row r="456" spans="2:9">
      <c r="B456" s="21">
        <v>44951</v>
      </c>
      <c r="C456">
        <v>350.32</v>
      </c>
      <c r="D456">
        <v>348.89</v>
      </c>
      <c r="E456" s="17">
        <f t="shared" si="14"/>
        <v>-5.9264324586148125E-3</v>
      </c>
      <c r="G456" s="21">
        <v>44951</v>
      </c>
      <c r="H456" s="12">
        <v>17891.94921875</v>
      </c>
      <c r="I456" s="15">
        <f t="shared" si="15"/>
        <v>-1.2492979625012262E-2</v>
      </c>
    </row>
    <row r="457" spans="2:9">
      <c r="B457" s="21">
        <v>44953</v>
      </c>
      <c r="C457">
        <v>349.35</v>
      </c>
      <c r="D457">
        <v>341.57</v>
      </c>
      <c r="E457" s="17">
        <f t="shared" si="14"/>
        <v>-2.0980824901831504E-2</v>
      </c>
      <c r="G457" s="21">
        <v>44953</v>
      </c>
      <c r="H457" s="12">
        <v>17604.349609375</v>
      </c>
      <c r="I457" s="14">
        <f t="shared" si="15"/>
        <v>-1.6074246906178778E-2</v>
      </c>
    </row>
    <row r="458" spans="2:9">
      <c r="B458" s="21">
        <v>44956</v>
      </c>
      <c r="C458">
        <v>341.57</v>
      </c>
      <c r="D458">
        <v>344.19</v>
      </c>
      <c r="E458" s="17">
        <f t="shared" si="14"/>
        <v>7.6704628626635962E-3</v>
      </c>
      <c r="G458" s="21">
        <v>44956</v>
      </c>
      <c r="H458" s="12">
        <v>17648.94921875</v>
      </c>
      <c r="I458" s="15">
        <f t="shared" si="15"/>
        <v>2.5334426073456854E-3</v>
      </c>
    </row>
    <row r="459" spans="2:9">
      <c r="B459" s="21">
        <v>44957</v>
      </c>
      <c r="C459">
        <v>345.04</v>
      </c>
      <c r="D459">
        <v>345.14</v>
      </c>
      <c r="E459" s="17">
        <f t="shared" si="14"/>
        <v>2.7601034312443378E-3</v>
      </c>
      <c r="G459" s="21">
        <v>44957</v>
      </c>
      <c r="H459" s="12">
        <v>17662.150390625</v>
      </c>
      <c r="I459" s="14">
        <f t="shared" si="15"/>
        <v>7.4798628016761802E-4</v>
      </c>
    </row>
    <row r="460" spans="2:9">
      <c r="B460" s="21">
        <v>44958</v>
      </c>
      <c r="C460">
        <v>347.93</v>
      </c>
      <c r="D460">
        <v>347.87</v>
      </c>
      <c r="E460" s="17">
        <f t="shared" si="14"/>
        <v>7.9098336906763007E-3</v>
      </c>
      <c r="G460" s="21">
        <v>44958</v>
      </c>
      <c r="H460" s="12">
        <v>17616.30078125</v>
      </c>
      <c r="I460" s="15">
        <f t="shared" si="15"/>
        <v>-2.5959245256645981E-3</v>
      </c>
    </row>
    <row r="461" spans="2:9">
      <c r="B461" s="21">
        <v>44959</v>
      </c>
      <c r="C461">
        <v>342.95</v>
      </c>
      <c r="D461">
        <v>351.27</v>
      </c>
      <c r="E461" s="17">
        <f t="shared" si="14"/>
        <v>9.7737660620346029E-3</v>
      </c>
      <c r="G461" s="21">
        <v>44959</v>
      </c>
      <c r="H461" s="12">
        <v>17610.400390625</v>
      </c>
      <c r="I461" s="14">
        <f t="shared" si="15"/>
        <v>-3.3493925304000889E-4</v>
      </c>
    </row>
    <row r="462" spans="2:9">
      <c r="B462" s="21">
        <v>44960</v>
      </c>
      <c r="C462">
        <v>353.03</v>
      </c>
      <c r="D462">
        <v>354.97</v>
      </c>
      <c r="E462" s="17">
        <f t="shared" si="14"/>
        <v>1.0533208073561777E-2</v>
      </c>
      <c r="G462" s="21">
        <v>44960</v>
      </c>
      <c r="H462" s="12">
        <v>17854.05078125</v>
      </c>
      <c r="I462" s="15">
        <f t="shared" si="15"/>
        <v>1.3835596307890234E-2</v>
      </c>
    </row>
    <row r="463" spans="2:9">
      <c r="B463" s="21">
        <v>44963</v>
      </c>
      <c r="C463">
        <v>353.91</v>
      </c>
      <c r="D463">
        <v>348.33</v>
      </c>
      <c r="E463" s="17">
        <f t="shared" si="14"/>
        <v>-1.8705806124461342E-2</v>
      </c>
      <c r="G463" s="21">
        <v>44963</v>
      </c>
      <c r="H463" s="12">
        <v>17764.599609375</v>
      </c>
      <c r="I463" s="14">
        <f t="shared" si="15"/>
        <v>-5.0101331608701366E-3</v>
      </c>
    </row>
    <row r="464" spans="2:9">
      <c r="B464" s="21">
        <v>44964</v>
      </c>
      <c r="C464">
        <v>349.37</v>
      </c>
      <c r="D464">
        <v>353.99</v>
      </c>
      <c r="E464" s="17">
        <f t="shared" si="14"/>
        <v>1.6248959320184955E-2</v>
      </c>
      <c r="G464" s="21">
        <v>44964</v>
      </c>
      <c r="H464" s="12">
        <v>17721.5</v>
      </c>
      <c r="I464" s="15">
        <f t="shared" si="15"/>
        <v>-2.4261514654264895E-3</v>
      </c>
    </row>
    <row r="465" spans="2:9">
      <c r="B465" s="21">
        <v>44965</v>
      </c>
      <c r="C465">
        <v>354.67</v>
      </c>
      <c r="D465">
        <v>352.02</v>
      </c>
      <c r="E465" s="17">
        <f t="shared" si="14"/>
        <v>-5.5651289584452311E-3</v>
      </c>
      <c r="G465" s="21">
        <v>44965</v>
      </c>
      <c r="H465" s="12">
        <v>17871.69921875</v>
      </c>
      <c r="I465" s="14">
        <f t="shared" si="15"/>
        <v>8.4755364246818839E-3</v>
      </c>
    </row>
    <row r="466" spans="2:9">
      <c r="B466" s="21">
        <v>44966</v>
      </c>
      <c r="C466">
        <v>352.51</v>
      </c>
      <c r="D466">
        <v>353.09</v>
      </c>
      <c r="E466" s="17">
        <f t="shared" si="14"/>
        <v>3.0396000227259621E-3</v>
      </c>
      <c r="G466" s="21">
        <v>44966</v>
      </c>
      <c r="H466" s="12">
        <v>17893.44921875</v>
      </c>
      <c r="I466" s="15">
        <f t="shared" si="15"/>
        <v>1.2170079483645908E-3</v>
      </c>
    </row>
    <row r="467" spans="2:9">
      <c r="B467" s="21">
        <v>44967</v>
      </c>
      <c r="C467">
        <v>352.5</v>
      </c>
      <c r="D467">
        <v>353.32</v>
      </c>
      <c r="E467" s="17">
        <f t="shared" si="14"/>
        <v>6.5139199637491354E-4</v>
      </c>
      <c r="G467" s="21">
        <v>44967</v>
      </c>
      <c r="H467" s="12">
        <v>17856.5</v>
      </c>
      <c r="I467" s="14">
        <f t="shared" si="15"/>
        <v>-2.0649578680046795E-3</v>
      </c>
    </row>
    <row r="468" spans="2:9">
      <c r="B468" s="21">
        <v>44970</v>
      </c>
      <c r="C468">
        <v>353.93</v>
      </c>
      <c r="D468">
        <v>353.67</v>
      </c>
      <c r="E468" s="17">
        <f t="shared" si="14"/>
        <v>9.9060341899700772E-4</v>
      </c>
      <c r="G468" s="21">
        <v>44970</v>
      </c>
      <c r="H468" s="12">
        <v>17770.900390625</v>
      </c>
      <c r="I468" s="15">
        <f t="shared" si="15"/>
        <v>-4.7937507000252013E-3</v>
      </c>
    </row>
    <row r="469" spans="2:9">
      <c r="B469" s="21">
        <v>44971</v>
      </c>
      <c r="C469">
        <v>352.91</v>
      </c>
      <c r="D469">
        <v>352.98</v>
      </c>
      <c r="E469" s="17">
        <f t="shared" si="14"/>
        <v>-1.9509712443803481E-3</v>
      </c>
      <c r="G469" s="21">
        <v>44971</v>
      </c>
      <c r="H469" s="12">
        <v>17929.849609375</v>
      </c>
      <c r="I469" s="14">
        <f t="shared" si="15"/>
        <v>8.944353704995911E-3</v>
      </c>
    </row>
    <row r="470" spans="2:9">
      <c r="B470" s="21">
        <v>44972</v>
      </c>
      <c r="C470">
        <v>352.61</v>
      </c>
      <c r="D470">
        <v>356.01</v>
      </c>
      <c r="E470" s="17">
        <f t="shared" si="14"/>
        <v>8.5840557538669968E-3</v>
      </c>
      <c r="G470" s="21">
        <v>44972</v>
      </c>
      <c r="H470" s="12">
        <v>18015.849609375</v>
      </c>
      <c r="I470" s="15">
        <f t="shared" si="15"/>
        <v>4.796470794436172E-3</v>
      </c>
    </row>
    <row r="471" spans="2:9">
      <c r="B471" s="21">
        <v>44973</v>
      </c>
      <c r="C471">
        <v>357.7</v>
      </c>
      <c r="D471">
        <v>356.49</v>
      </c>
      <c r="E471" s="17">
        <f t="shared" si="14"/>
        <v>1.3482767337996634E-3</v>
      </c>
      <c r="G471" s="21">
        <v>44973</v>
      </c>
      <c r="H471" s="12">
        <v>18035.849609375</v>
      </c>
      <c r="I471" s="14">
        <f t="shared" si="15"/>
        <v>1.110133600892877E-3</v>
      </c>
    </row>
    <row r="472" spans="2:9">
      <c r="B472" s="21">
        <v>44974</v>
      </c>
      <c r="C472">
        <v>355.53</v>
      </c>
      <c r="D472">
        <v>350.77</v>
      </c>
      <c r="E472" s="17">
        <f t="shared" si="14"/>
        <v>-1.6045330864820968E-2</v>
      </c>
      <c r="G472" s="21">
        <v>44974</v>
      </c>
      <c r="H472" s="12">
        <v>17944.19921875</v>
      </c>
      <c r="I472" s="15">
        <f t="shared" si="15"/>
        <v>-5.0815676893513411E-3</v>
      </c>
    </row>
    <row r="473" spans="2:9">
      <c r="B473" s="21">
        <v>44977</v>
      </c>
      <c r="C473">
        <v>352.53</v>
      </c>
      <c r="D473">
        <v>346.39</v>
      </c>
      <c r="E473" s="17">
        <f t="shared" si="14"/>
        <v>-1.2486814721897527E-2</v>
      </c>
      <c r="G473" s="21">
        <v>44977</v>
      </c>
      <c r="H473" s="12">
        <v>17844.599609375</v>
      </c>
      <c r="I473" s="14">
        <f t="shared" si="15"/>
        <v>-5.5505184801408012E-3</v>
      </c>
    </row>
    <row r="474" spans="2:9">
      <c r="B474" s="21">
        <v>44978</v>
      </c>
      <c r="C474">
        <v>347.93</v>
      </c>
      <c r="D474">
        <v>344.98</v>
      </c>
      <c r="E474" s="17">
        <f t="shared" si="14"/>
        <v>-4.0705563093621881E-3</v>
      </c>
      <c r="G474" s="21">
        <v>44978</v>
      </c>
      <c r="H474" s="12">
        <v>17826.69921875</v>
      </c>
      <c r="I474" s="15">
        <f t="shared" si="15"/>
        <v>-1.0031264929920697E-3</v>
      </c>
    </row>
    <row r="475" spans="2:9">
      <c r="B475" s="21">
        <v>44979</v>
      </c>
      <c r="C475">
        <v>343.73</v>
      </c>
      <c r="D475">
        <v>339.07</v>
      </c>
      <c r="E475" s="17">
        <f t="shared" si="14"/>
        <v>-1.7131427908864353E-2</v>
      </c>
      <c r="G475" s="21">
        <v>44979</v>
      </c>
      <c r="H475" s="12">
        <v>17554.30078125</v>
      </c>
      <c r="I475" s="14">
        <f t="shared" si="15"/>
        <v>-1.5280363131582609E-2</v>
      </c>
    </row>
    <row r="476" spans="2:9">
      <c r="B476" s="21">
        <v>44980</v>
      </c>
      <c r="C476">
        <v>340.43</v>
      </c>
      <c r="D476">
        <v>340.38</v>
      </c>
      <c r="E476" s="17">
        <f t="shared" si="14"/>
        <v>3.8635090099389574E-3</v>
      </c>
      <c r="G476" s="21">
        <v>44980</v>
      </c>
      <c r="H476" s="12">
        <v>17511.25</v>
      </c>
      <c r="I476" s="15">
        <f t="shared" si="15"/>
        <v>-2.4524349779846064E-3</v>
      </c>
    </row>
    <row r="477" spans="2:9">
      <c r="B477" s="21">
        <v>44981</v>
      </c>
      <c r="C477">
        <v>341.55</v>
      </c>
      <c r="D477">
        <v>338.42</v>
      </c>
      <c r="E477" s="17">
        <f t="shared" si="14"/>
        <v>-5.7582701686349951E-3</v>
      </c>
      <c r="G477" s="21">
        <v>44981</v>
      </c>
      <c r="H477" s="12">
        <v>17465.80078125</v>
      </c>
      <c r="I477" s="14">
        <f t="shared" si="15"/>
        <v>-2.5954297237490184E-3</v>
      </c>
    </row>
    <row r="478" spans="2:9">
      <c r="B478" s="21">
        <v>44984</v>
      </c>
      <c r="C478">
        <v>338.62</v>
      </c>
      <c r="D478">
        <v>344.13</v>
      </c>
      <c r="E478" s="17">
        <f t="shared" si="14"/>
        <v>1.6872525264464214E-2</v>
      </c>
      <c r="G478" s="21">
        <v>44984</v>
      </c>
      <c r="H478" s="12">
        <v>17392.69921875</v>
      </c>
      <c r="I478" s="15">
        <f t="shared" si="15"/>
        <v>-4.1854114458053631E-3</v>
      </c>
    </row>
    <row r="479" spans="2:9">
      <c r="B479" s="21">
        <v>44985</v>
      </c>
      <c r="C479">
        <v>344.13</v>
      </c>
      <c r="D479">
        <v>344.79</v>
      </c>
      <c r="E479" s="17">
        <f t="shared" si="14"/>
        <v>1.9178798709790631E-3</v>
      </c>
      <c r="G479" s="21">
        <v>44985</v>
      </c>
      <c r="H479" s="12">
        <v>17303.94921875</v>
      </c>
      <c r="I479" s="14">
        <f t="shared" si="15"/>
        <v>-5.1027157362857215E-3</v>
      </c>
    </row>
    <row r="480" spans="2:9">
      <c r="B480" s="21">
        <v>44986</v>
      </c>
      <c r="C480">
        <v>344.79</v>
      </c>
      <c r="D480">
        <v>347.91</v>
      </c>
      <c r="E480" s="17">
        <f t="shared" si="14"/>
        <v>9.0489863395110202E-3</v>
      </c>
      <c r="G480" s="21">
        <v>44986</v>
      </c>
      <c r="H480" s="12">
        <v>17450.900390625</v>
      </c>
      <c r="I480" s="15">
        <f t="shared" si="15"/>
        <v>8.4923487706360379E-3</v>
      </c>
    </row>
    <row r="481" spans="2:9">
      <c r="B481" s="21">
        <v>44987</v>
      </c>
      <c r="C481">
        <v>346.06</v>
      </c>
      <c r="D481">
        <v>343.28</v>
      </c>
      <c r="E481" s="17">
        <f t="shared" si="14"/>
        <v>-1.3308039435486339E-2</v>
      </c>
      <c r="G481" s="21">
        <v>44987</v>
      </c>
      <c r="H481" s="12">
        <v>17321.900390625</v>
      </c>
      <c r="I481" s="14">
        <f t="shared" si="15"/>
        <v>-7.3921687198043708E-3</v>
      </c>
    </row>
    <row r="482" spans="2:9">
      <c r="B482" s="21">
        <v>44988</v>
      </c>
      <c r="C482">
        <v>345.34</v>
      </c>
      <c r="D482">
        <v>349.13</v>
      </c>
      <c r="E482" s="17">
        <f t="shared" si="14"/>
        <v>1.7041482171987948E-2</v>
      </c>
      <c r="G482" s="21">
        <v>44988</v>
      </c>
      <c r="H482" s="12">
        <v>17594.349609375</v>
      </c>
      <c r="I482" s="15">
        <f t="shared" si="15"/>
        <v>1.5728598629827915E-2</v>
      </c>
    </row>
    <row r="483" spans="2:9">
      <c r="B483" s="21">
        <v>44991</v>
      </c>
      <c r="C483">
        <v>350.18</v>
      </c>
      <c r="D483">
        <v>349.13</v>
      </c>
      <c r="E483" s="17">
        <f t="shared" si="14"/>
        <v>0</v>
      </c>
      <c r="G483" s="21">
        <v>44991</v>
      </c>
      <c r="H483" s="12">
        <v>17711.44921875</v>
      </c>
      <c r="I483" s="14">
        <f t="shared" si="15"/>
        <v>6.6555236183669141E-3</v>
      </c>
    </row>
    <row r="484" spans="2:9">
      <c r="B484" s="21">
        <v>44993</v>
      </c>
      <c r="C484">
        <v>346.14</v>
      </c>
      <c r="D484">
        <v>346.97</v>
      </c>
      <c r="E484" s="17">
        <f t="shared" si="14"/>
        <v>-6.1868072064845993E-3</v>
      </c>
      <c r="G484" s="21">
        <v>44993</v>
      </c>
      <c r="H484" s="12">
        <v>17754.400390625</v>
      </c>
      <c r="I484" s="15">
        <f t="shared" si="15"/>
        <v>2.4250512391459354E-3</v>
      </c>
    </row>
    <row r="485" spans="2:9">
      <c r="B485" s="21">
        <v>44994</v>
      </c>
      <c r="C485">
        <v>346.79</v>
      </c>
      <c r="D485">
        <v>342.29</v>
      </c>
      <c r="E485" s="17">
        <f t="shared" si="14"/>
        <v>-1.348819782690148E-2</v>
      </c>
      <c r="G485" s="21">
        <v>44994</v>
      </c>
      <c r="H485" s="12">
        <v>17589.599609375</v>
      </c>
      <c r="I485" s="14">
        <f t="shared" si="15"/>
        <v>-9.2822498999752812E-3</v>
      </c>
    </row>
    <row r="486" spans="2:9">
      <c r="B486" s="21">
        <v>44995</v>
      </c>
      <c r="C486">
        <v>340.35</v>
      </c>
      <c r="D486">
        <v>338.82</v>
      </c>
      <c r="E486" s="17">
        <f t="shared" si="14"/>
        <v>-1.0137602617663465E-2</v>
      </c>
      <c r="G486" s="21">
        <v>44995</v>
      </c>
      <c r="H486" s="12">
        <v>17412.900390625</v>
      </c>
      <c r="I486" s="15">
        <f t="shared" si="15"/>
        <v>-1.0045664635585105E-2</v>
      </c>
    </row>
    <row r="487" spans="2:9">
      <c r="B487" s="21">
        <v>44998</v>
      </c>
      <c r="C487">
        <v>338.76</v>
      </c>
      <c r="D487">
        <v>333.75</v>
      </c>
      <c r="E487" s="17">
        <f t="shared" si="14"/>
        <v>-1.4963697538516006E-2</v>
      </c>
      <c r="G487" s="21">
        <v>44998</v>
      </c>
      <c r="H487" s="12">
        <v>17154.30078125</v>
      </c>
      <c r="I487" s="14">
        <f t="shared" si="15"/>
        <v>-1.4851035931626214E-2</v>
      </c>
    </row>
    <row r="488" spans="2:9">
      <c r="B488" s="21">
        <v>44999</v>
      </c>
      <c r="C488">
        <v>333.57</v>
      </c>
      <c r="D488">
        <v>328.64</v>
      </c>
      <c r="E488" s="17">
        <f t="shared" si="14"/>
        <v>-1.5310861423221014E-2</v>
      </c>
      <c r="G488" s="21">
        <v>44999</v>
      </c>
      <c r="H488" s="12">
        <v>17043.30078125</v>
      </c>
      <c r="I488" s="15">
        <f t="shared" si="15"/>
        <v>-6.470680525861203E-3</v>
      </c>
    </row>
    <row r="489" spans="2:9">
      <c r="B489" s="21">
        <v>45000</v>
      </c>
      <c r="C489">
        <v>332.58</v>
      </c>
      <c r="D489">
        <v>332.17</v>
      </c>
      <c r="E489" s="17">
        <f t="shared" si="14"/>
        <v>1.0741236611489867E-2</v>
      </c>
      <c r="G489" s="21">
        <v>45000</v>
      </c>
      <c r="H489" s="12">
        <v>16972.150390625</v>
      </c>
      <c r="I489" s="14">
        <f t="shared" si="15"/>
        <v>-4.1746837386848982E-3</v>
      </c>
    </row>
    <row r="490" spans="2:9">
      <c r="B490" s="21">
        <v>45001</v>
      </c>
      <c r="C490">
        <v>332.98</v>
      </c>
      <c r="D490">
        <v>331.69</v>
      </c>
      <c r="E490" s="17">
        <f t="shared" si="14"/>
        <v>-1.4450432007707445E-3</v>
      </c>
      <c r="G490" s="21">
        <v>45001</v>
      </c>
      <c r="H490" s="12">
        <v>16985.599609375</v>
      </c>
      <c r="I490" s="15">
        <f t="shared" si="15"/>
        <v>7.9242868113100259E-4</v>
      </c>
    </row>
    <row r="491" spans="2:9">
      <c r="B491" s="21">
        <v>45002</v>
      </c>
      <c r="C491">
        <v>334.89</v>
      </c>
      <c r="D491">
        <v>337.58</v>
      </c>
      <c r="E491" s="17">
        <f t="shared" si="14"/>
        <v>1.7757544695348026E-2</v>
      </c>
      <c r="G491" s="21">
        <v>45002</v>
      </c>
      <c r="H491" s="12">
        <v>17100.05078125</v>
      </c>
      <c r="I491" s="14">
        <f t="shared" si="15"/>
        <v>6.7381296219787279E-3</v>
      </c>
    </row>
    <row r="492" spans="2:9">
      <c r="B492" s="21">
        <v>45005</v>
      </c>
      <c r="C492">
        <v>336.37</v>
      </c>
      <c r="D492">
        <v>338.89</v>
      </c>
      <c r="E492" s="17">
        <f t="shared" si="14"/>
        <v>3.8805616446472018E-3</v>
      </c>
      <c r="G492" s="21">
        <v>45005</v>
      </c>
      <c r="H492" s="12">
        <v>16988.400390625</v>
      </c>
      <c r="I492" s="15">
        <f t="shared" si="15"/>
        <v>-6.5292432199922654E-3</v>
      </c>
    </row>
    <row r="493" spans="2:9">
      <c r="B493" s="21">
        <v>45006</v>
      </c>
      <c r="C493">
        <v>340.46</v>
      </c>
      <c r="D493">
        <v>340.32</v>
      </c>
      <c r="E493" s="17">
        <f t="shared" si="14"/>
        <v>4.2196582962023277E-3</v>
      </c>
      <c r="G493" s="21">
        <v>45006</v>
      </c>
      <c r="H493" s="12">
        <v>17107.5</v>
      </c>
      <c r="I493" s="14">
        <f t="shared" si="15"/>
        <v>7.0106429467441077E-3</v>
      </c>
    </row>
    <row r="494" spans="2:9">
      <c r="B494" s="21">
        <v>45007</v>
      </c>
      <c r="C494">
        <v>340.95</v>
      </c>
      <c r="D494">
        <v>339.98</v>
      </c>
      <c r="E494" s="17">
        <f t="shared" si="14"/>
        <v>-9.9905970850956444E-4</v>
      </c>
      <c r="G494" s="21">
        <v>45007</v>
      </c>
      <c r="H494" s="12">
        <v>17151.900390625</v>
      </c>
      <c r="I494" s="15">
        <f t="shared" si="15"/>
        <v>2.5953757489405233E-3</v>
      </c>
    </row>
    <row r="495" spans="2:9">
      <c r="B495" s="21">
        <v>45008</v>
      </c>
      <c r="C495">
        <v>338.79</v>
      </c>
      <c r="D495">
        <v>334.91</v>
      </c>
      <c r="E495" s="17">
        <f t="shared" si="14"/>
        <v>-1.4912641920112928E-2</v>
      </c>
      <c r="G495" s="21">
        <v>45008</v>
      </c>
      <c r="H495" s="12">
        <v>17076.900390625</v>
      </c>
      <c r="I495" s="14">
        <f t="shared" si="15"/>
        <v>-4.3726933046436068E-3</v>
      </c>
    </row>
    <row r="496" spans="2:9">
      <c r="B496" s="21">
        <v>45009</v>
      </c>
      <c r="C496">
        <v>334.18</v>
      </c>
      <c r="D496">
        <v>337.39</v>
      </c>
      <c r="E496" s="17">
        <f t="shared" si="14"/>
        <v>7.4049744707532211E-3</v>
      </c>
      <c r="G496" s="21">
        <v>45009</v>
      </c>
      <c r="H496" s="12">
        <v>16945.05078125</v>
      </c>
      <c r="I496" s="15">
        <f t="shared" si="15"/>
        <v>-7.7209333285906939E-3</v>
      </c>
    </row>
    <row r="497" spans="2:9">
      <c r="B497" s="21">
        <v>45012</v>
      </c>
      <c r="C497">
        <v>339.09</v>
      </c>
      <c r="D497">
        <v>339.99</v>
      </c>
      <c r="E497" s="17">
        <f t="shared" si="14"/>
        <v>7.7062153590800641E-3</v>
      </c>
      <c r="G497" s="21">
        <v>45012</v>
      </c>
      <c r="H497" s="12">
        <v>16985.69921875</v>
      </c>
      <c r="I497" s="14">
        <f t="shared" si="15"/>
        <v>2.3988383407489234E-3</v>
      </c>
    </row>
    <row r="498" spans="2:9">
      <c r="B498" s="21">
        <v>45013</v>
      </c>
      <c r="C498">
        <v>340.74</v>
      </c>
      <c r="D498">
        <v>338.74</v>
      </c>
      <c r="E498" s="17">
        <f t="shared" si="14"/>
        <v>-3.6765787229036148E-3</v>
      </c>
      <c r="G498" s="21">
        <v>45013</v>
      </c>
      <c r="H498" s="12">
        <v>16951.69921875</v>
      </c>
      <c r="I498" s="15">
        <f t="shared" si="15"/>
        <v>-2.0016838613548761E-3</v>
      </c>
    </row>
    <row r="499" spans="2:9">
      <c r="B499" s="21">
        <v>45014</v>
      </c>
      <c r="C499">
        <v>338.98</v>
      </c>
      <c r="D499">
        <v>343.15</v>
      </c>
      <c r="E499" s="17">
        <f t="shared" si="14"/>
        <v>1.3018834504339518E-2</v>
      </c>
      <c r="G499" s="21">
        <v>45014</v>
      </c>
      <c r="H499" s="12">
        <v>17080.69921875</v>
      </c>
      <c r="I499" s="14">
        <f t="shared" si="15"/>
        <v>7.6098565893214518E-3</v>
      </c>
    </row>
    <row r="500" spans="2:9">
      <c r="B500" s="21">
        <v>45016</v>
      </c>
      <c r="C500">
        <v>344.04</v>
      </c>
      <c r="D500">
        <v>345.51</v>
      </c>
      <c r="E500" s="17">
        <f t="shared" si="14"/>
        <v>6.8774588372432282E-3</v>
      </c>
      <c r="G500" s="21">
        <v>45016</v>
      </c>
      <c r="H500" s="12">
        <v>17359.75</v>
      </c>
      <c r="I500" s="15">
        <f t="shared" si="15"/>
        <v>1.6337198944623856E-2</v>
      </c>
    </row>
    <row r="501" spans="2:9">
      <c r="B501" s="21">
        <v>45019</v>
      </c>
      <c r="C501">
        <v>345.74</v>
      </c>
      <c r="D501">
        <v>348.07</v>
      </c>
      <c r="E501" s="17">
        <f t="shared" si="14"/>
        <v>7.4093369222309122E-3</v>
      </c>
      <c r="G501" s="21">
        <v>45019</v>
      </c>
      <c r="H501" s="12">
        <v>17398.05078125</v>
      </c>
      <c r="I501" s="14">
        <f t="shared" si="15"/>
        <v>2.2062979737611428E-3</v>
      </c>
    </row>
    <row r="502" spans="2:9">
      <c r="B502" s="21">
        <v>45021</v>
      </c>
      <c r="C502">
        <v>347.93</v>
      </c>
      <c r="D502">
        <v>349.31</v>
      </c>
      <c r="E502" s="17">
        <f t="shared" si="14"/>
        <v>3.5625017956158506E-3</v>
      </c>
      <c r="G502" s="21">
        <v>45021</v>
      </c>
      <c r="H502" s="12">
        <v>17557.05078125</v>
      </c>
      <c r="I502" s="15">
        <f t="shared" si="15"/>
        <v>9.1389548173612303E-3</v>
      </c>
    </row>
    <row r="503" spans="2:9">
      <c r="B503" s="21">
        <v>45022</v>
      </c>
      <c r="C503">
        <v>348.93</v>
      </c>
      <c r="D503">
        <v>350.34</v>
      </c>
      <c r="E503" s="17">
        <f t="shared" si="14"/>
        <v>2.948670235607262E-3</v>
      </c>
      <c r="G503" s="21">
        <v>45022</v>
      </c>
      <c r="H503" s="12">
        <v>17599.150390625</v>
      </c>
      <c r="I503" s="14">
        <f t="shared" si="15"/>
        <v>2.3978747854372074E-3</v>
      </c>
    </row>
    <row r="504" spans="2:9">
      <c r="B504" s="21">
        <v>45026</v>
      </c>
      <c r="C504">
        <v>350.35</v>
      </c>
      <c r="D504">
        <v>350.78</v>
      </c>
      <c r="E504" s="17">
        <f t="shared" si="14"/>
        <v>1.2559228178340976E-3</v>
      </c>
      <c r="G504" s="21">
        <v>45026</v>
      </c>
      <c r="H504" s="12">
        <v>17624.05078125</v>
      </c>
      <c r="I504" s="15">
        <f t="shared" si="15"/>
        <v>1.4148632219350965E-3</v>
      </c>
    </row>
    <row r="505" spans="2:9">
      <c r="B505" s="21">
        <v>45027</v>
      </c>
      <c r="C505">
        <v>368.31</v>
      </c>
      <c r="D505">
        <v>368.17</v>
      </c>
      <c r="E505" s="17">
        <f t="shared" si="14"/>
        <v>4.9575232339358129E-2</v>
      </c>
      <c r="G505" s="21">
        <v>45027</v>
      </c>
      <c r="H505" s="12">
        <v>17722.30078125</v>
      </c>
      <c r="I505" s="14">
        <f t="shared" si="15"/>
        <v>5.574768321964148E-3</v>
      </c>
    </row>
    <row r="506" spans="2:9">
      <c r="B506" s="21">
        <v>45028</v>
      </c>
      <c r="C506">
        <v>367.27</v>
      </c>
      <c r="D506">
        <v>367.68</v>
      </c>
      <c r="E506" s="17">
        <f t="shared" si="14"/>
        <v>-1.3309069179998616E-3</v>
      </c>
      <c r="G506" s="21">
        <v>45028</v>
      </c>
      <c r="H506" s="12">
        <v>17812.400390625</v>
      </c>
      <c r="I506" s="15">
        <f t="shared" si="15"/>
        <v>5.0839679614468796E-3</v>
      </c>
    </row>
    <row r="507" spans="2:9">
      <c r="B507" s="21">
        <v>45029</v>
      </c>
      <c r="C507">
        <v>366.47</v>
      </c>
      <c r="D507">
        <v>372.75</v>
      </c>
      <c r="E507" s="17">
        <f t="shared" si="14"/>
        <v>1.3789164490861599E-2</v>
      </c>
      <c r="G507" s="21">
        <v>45029</v>
      </c>
      <c r="H507" s="12">
        <v>17828</v>
      </c>
      <c r="I507" s="14">
        <f t="shared" si="15"/>
        <v>8.7577244127132723E-4</v>
      </c>
    </row>
    <row r="508" spans="2:9">
      <c r="B508" s="21">
        <v>45033</v>
      </c>
      <c r="C508">
        <v>376.63</v>
      </c>
      <c r="D508">
        <v>377.87</v>
      </c>
      <c r="E508" s="17">
        <f t="shared" si="14"/>
        <v>1.3735747820254874E-2</v>
      </c>
      <c r="G508" s="21">
        <v>45033</v>
      </c>
      <c r="H508" s="12">
        <v>17706.849609375</v>
      </c>
      <c r="I508" s="15">
        <f t="shared" si="15"/>
        <v>-6.7955121508301549E-3</v>
      </c>
    </row>
    <row r="509" spans="2:9">
      <c r="B509" s="21">
        <v>45034</v>
      </c>
      <c r="C509">
        <v>379.02</v>
      </c>
      <c r="D509">
        <v>376.5</v>
      </c>
      <c r="E509" s="17">
        <f t="shared" si="14"/>
        <v>-3.6255855188292389E-3</v>
      </c>
      <c r="G509" s="21">
        <v>45034</v>
      </c>
      <c r="H509" s="12">
        <v>17660.150390625</v>
      </c>
      <c r="I509" s="14">
        <f t="shared" si="15"/>
        <v>-2.6373533282439362E-3</v>
      </c>
    </row>
    <row r="510" spans="2:9">
      <c r="B510" s="21">
        <v>45035</v>
      </c>
      <c r="C510">
        <v>376.5</v>
      </c>
      <c r="D510">
        <v>375.82</v>
      </c>
      <c r="E510" s="17">
        <f t="shared" si="14"/>
        <v>-1.806108897742382E-3</v>
      </c>
      <c r="G510" s="21">
        <v>45035</v>
      </c>
      <c r="H510" s="12">
        <v>17618.75</v>
      </c>
      <c r="I510" s="15">
        <f t="shared" si="15"/>
        <v>-2.3442830162407708E-3</v>
      </c>
    </row>
    <row r="511" spans="2:9">
      <c r="B511" s="21">
        <v>45036</v>
      </c>
      <c r="C511">
        <v>375.7</v>
      </c>
      <c r="D511">
        <v>375.64</v>
      </c>
      <c r="E511" s="17">
        <f t="shared" si="14"/>
        <v>-4.7895269011762764E-4</v>
      </c>
      <c r="G511" s="21">
        <v>45036</v>
      </c>
      <c r="H511" s="12">
        <v>17624.44921875</v>
      </c>
      <c r="I511" s="14">
        <f t="shared" si="15"/>
        <v>3.2347463639588507E-4</v>
      </c>
    </row>
    <row r="512" spans="2:9">
      <c r="B512" s="21">
        <v>45037</v>
      </c>
      <c r="C512">
        <v>375.25</v>
      </c>
      <c r="D512">
        <v>377.57</v>
      </c>
      <c r="E512" s="17">
        <f t="shared" si="14"/>
        <v>5.137897987434796E-3</v>
      </c>
      <c r="G512" s="21">
        <v>45037</v>
      </c>
      <c r="H512" s="12">
        <v>17624.05078125</v>
      </c>
      <c r="I512" s="15">
        <f t="shared" si="15"/>
        <v>-2.2607089450268724E-5</v>
      </c>
    </row>
    <row r="513" spans="2:9">
      <c r="B513" s="21">
        <v>45040</v>
      </c>
      <c r="C513">
        <v>376.88</v>
      </c>
      <c r="D513">
        <v>378.29</v>
      </c>
      <c r="E513" s="17">
        <f t="shared" si="14"/>
        <v>1.9069311650820439E-3</v>
      </c>
      <c r="G513" s="21">
        <v>45040</v>
      </c>
      <c r="H513" s="12">
        <v>17743.400390625</v>
      </c>
      <c r="I513" s="14">
        <f t="shared" si="15"/>
        <v>6.7719737565653465E-3</v>
      </c>
    </row>
    <row r="514" spans="2:9">
      <c r="B514" s="21">
        <v>45041</v>
      </c>
      <c r="C514">
        <v>379.23</v>
      </c>
      <c r="D514">
        <v>376.7</v>
      </c>
      <c r="E514" s="17">
        <f t="shared" si="14"/>
        <v>-4.2031245869571807E-3</v>
      </c>
      <c r="G514" s="21">
        <v>45041</v>
      </c>
      <c r="H514" s="12">
        <v>17769.25</v>
      </c>
      <c r="I514" s="15">
        <f t="shared" si="15"/>
        <v>1.4568576938982925E-3</v>
      </c>
    </row>
    <row r="515" spans="2:9">
      <c r="B515" s="21">
        <v>45042</v>
      </c>
      <c r="C515">
        <v>374.35</v>
      </c>
      <c r="D515">
        <v>374.57</v>
      </c>
      <c r="E515" s="17">
        <f t="shared" si="14"/>
        <v>-5.6543668701884674E-3</v>
      </c>
      <c r="G515" s="21">
        <v>45042</v>
      </c>
      <c r="H515" s="12">
        <v>17813.599609375</v>
      </c>
      <c r="I515" s="14">
        <f t="shared" si="15"/>
        <v>2.495862761512163E-3</v>
      </c>
    </row>
    <row r="516" spans="2:9">
      <c r="B516" s="21">
        <v>45043</v>
      </c>
      <c r="C516">
        <v>374.23</v>
      </c>
      <c r="D516">
        <v>380.55</v>
      </c>
      <c r="E516" s="17">
        <f t="shared" si="14"/>
        <v>1.5964973169234103E-2</v>
      </c>
      <c r="G516" s="21">
        <v>45043</v>
      </c>
      <c r="H516" s="12">
        <v>17915.05078125</v>
      </c>
      <c r="I516" s="15">
        <f t="shared" si="15"/>
        <v>5.6951528101938445E-3</v>
      </c>
    </row>
    <row r="517" spans="2:9">
      <c r="B517" s="21">
        <v>45044</v>
      </c>
      <c r="C517">
        <v>380.03</v>
      </c>
      <c r="D517">
        <v>386.42</v>
      </c>
      <c r="E517" s="17">
        <f t="shared" ref="E517:E580" si="16">(D517-D516)/D516</f>
        <v>1.5425042701353316E-2</v>
      </c>
      <c r="G517" s="21">
        <v>45044</v>
      </c>
      <c r="H517" s="12">
        <v>18065</v>
      </c>
      <c r="I517" s="14">
        <f t="shared" ref="I517:I580" si="17">(H517-H516)/H516</f>
        <v>8.3700136036978338E-3</v>
      </c>
    </row>
    <row r="518" spans="2:9">
      <c r="B518" s="21">
        <v>45048</v>
      </c>
      <c r="C518">
        <v>382.42</v>
      </c>
      <c r="D518">
        <v>383.05</v>
      </c>
      <c r="E518" s="17">
        <f t="shared" si="16"/>
        <v>-8.7210806894053219E-3</v>
      </c>
      <c r="G518" s="21">
        <v>45048</v>
      </c>
      <c r="H518" s="12">
        <v>18147.650390625</v>
      </c>
      <c r="I518" s="15">
        <f t="shared" si="17"/>
        <v>4.5751669319125379E-3</v>
      </c>
    </row>
    <row r="519" spans="2:9">
      <c r="B519" s="21">
        <v>45049</v>
      </c>
      <c r="C519">
        <v>382.62</v>
      </c>
      <c r="D519">
        <v>385.01</v>
      </c>
      <c r="E519" s="17">
        <f t="shared" si="16"/>
        <v>5.1168254797023353E-3</v>
      </c>
      <c r="G519" s="21">
        <v>45049</v>
      </c>
      <c r="H519" s="12">
        <v>18089.849609375</v>
      </c>
      <c r="I519" s="14">
        <f t="shared" si="17"/>
        <v>-3.18502836487635E-3</v>
      </c>
    </row>
    <row r="520" spans="2:9">
      <c r="B520" s="21">
        <v>45050</v>
      </c>
      <c r="C520">
        <v>384.81</v>
      </c>
      <c r="D520">
        <v>388.33</v>
      </c>
      <c r="E520" s="17">
        <f t="shared" si="16"/>
        <v>8.6231526453858162E-3</v>
      </c>
      <c r="G520" s="21">
        <v>45050</v>
      </c>
      <c r="H520" s="12">
        <v>18255.80078125</v>
      </c>
      <c r="I520" s="15">
        <f t="shared" si="17"/>
        <v>9.173717607303733E-3</v>
      </c>
    </row>
    <row r="521" spans="2:9">
      <c r="B521" s="21">
        <v>45051</v>
      </c>
      <c r="C521">
        <v>389.23</v>
      </c>
      <c r="D521">
        <v>384.56</v>
      </c>
      <c r="E521" s="17">
        <f t="shared" si="16"/>
        <v>-9.7082378389513613E-3</v>
      </c>
      <c r="G521" s="21">
        <v>45051</v>
      </c>
      <c r="H521" s="12">
        <v>18069</v>
      </c>
      <c r="I521" s="14">
        <f t="shared" si="17"/>
        <v>-1.0232406865540384E-2</v>
      </c>
    </row>
    <row r="522" spans="2:9">
      <c r="B522" s="21">
        <v>45054</v>
      </c>
      <c r="C522">
        <v>385.99</v>
      </c>
      <c r="D522">
        <v>390.57</v>
      </c>
      <c r="E522" s="17">
        <f t="shared" si="16"/>
        <v>1.5628250468067376E-2</v>
      </c>
      <c r="G522" s="21">
        <v>45054</v>
      </c>
      <c r="H522" s="12">
        <v>18264.400390625</v>
      </c>
      <c r="I522" s="15">
        <f t="shared" si="17"/>
        <v>1.0814123118324201E-2</v>
      </c>
    </row>
    <row r="523" spans="2:9">
      <c r="B523" s="21">
        <v>45055</v>
      </c>
      <c r="C523">
        <v>391.77</v>
      </c>
      <c r="D523">
        <v>389.66</v>
      </c>
      <c r="E523" s="17">
        <f t="shared" si="16"/>
        <v>-2.3299280538699035E-3</v>
      </c>
      <c r="G523" s="21">
        <v>45055</v>
      </c>
      <c r="H523" s="12">
        <v>18265.94921875</v>
      </c>
      <c r="I523" s="14">
        <f t="shared" si="17"/>
        <v>8.4800381719347525E-5</v>
      </c>
    </row>
    <row r="524" spans="2:9">
      <c r="B524" s="21">
        <v>45056</v>
      </c>
      <c r="C524">
        <v>390.8</v>
      </c>
      <c r="D524">
        <v>390.54</v>
      </c>
      <c r="E524" s="17">
        <f t="shared" si="16"/>
        <v>2.258379099727956E-3</v>
      </c>
      <c r="G524" s="21">
        <v>45056</v>
      </c>
      <c r="H524" s="12">
        <v>18315.099609375</v>
      </c>
      <c r="I524" s="15">
        <f t="shared" si="17"/>
        <v>2.6908205008337105E-3</v>
      </c>
    </row>
    <row r="525" spans="2:9">
      <c r="B525" s="21">
        <v>45057</v>
      </c>
      <c r="C525">
        <v>392.79</v>
      </c>
      <c r="D525">
        <v>390.39</v>
      </c>
      <c r="E525" s="17">
        <f t="shared" si="16"/>
        <v>-3.8408357658635246E-4</v>
      </c>
      <c r="G525" s="21">
        <v>45057</v>
      </c>
      <c r="H525" s="12">
        <v>18297</v>
      </c>
      <c r="I525" s="14">
        <f t="shared" si="17"/>
        <v>-9.8823428542727139E-4</v>
      </c>
    </row>
    <row r="526" spans="2:9">
      <c r="B526" s="21">
        <v>45058</v>
      </c>
      <c r="C526">
        <v>389.6</v>
      </c>
      <c r="D526">
        <v>390.92</v>
      </c>
      <c r="E526" s="17">
        <f t="shared" si="16"/>
        <v>1.3576167422322026E-3</v>
      </c>
      <c r="G526" s="21">
        <v>45058</v>
      </c>
      <c r="H526" s="12">
        <v>18314.80078125</v>
      </c>
      <c r="I526" s="15">
        <f t="shared" si="17"/>
        <v>9.7287977537301195E-4</v>
      </c>
    </row>
    <row r="527" spans="2:9">
      <c r="B527" s="21">
        <v>45061</v>
      </c>
      <c r="C527">
        <v>390.21</v>
      </c>
      <c r="D527">
        <v>393.39</v>
      </c>
      <c r="E527" s="17">
        <f t="shared" si="16"/>
        <v>6.3184283229304472E-3</v>
      </c>
      <c r="G527" s="21">
        <v>45061</v>
      </c>
      <c r="H527" s="12">
        <v>18398.849609375</v>
      </c>
      <c r="I527" s="14">
        <f t="shared" si="17"/>
        <v>4.589120522186952E-3</v>
      </c>
    </row>
    <row r="528" spans="2:9">
      <c r="B528" s="21">
        <v>45062</v>
      </c>
      <c r="C528">
        <v>394.39</v>
      </c>
      <c r="D528">
        <v>388.22</v>
      </c>
      <c r="E528" s="17">
        <f t="shared" si="16"/>
        <v>-1.3142174432496909E-2</v>
      </c>
      <c r="G528" s="21">
        <v>45062</v>
      </c>
      <c r="H528" s="12">
        <v>18286.5</v>
      </c>
      <c r="I528" s="15">
        <f t="shared" si="17"/>
        <v>-6.1063388070606911E-3</v>
      </c>
    </row>
    <row r="529" spans="2:9">
      <c r="B529" s="21">
        <v>45063</v>
      </c>
      <c r="C529">
        <v>388.76</v>
      </c>
      <c r="D529">
        <v>380.66</v>
      </c>
      <c r="E529" s="17">
        <f t="shared" si="16"/>
        <v>-1.9473494410385869E-2</v>
      </c>
      <c r="G529" s="21">
        <v>45063</v>
      </c>
      <c r="H529" s="12">
        <v>18181.75</v>
      </c>
      <c r="I529" s="14">
        <f t="shared" si="17"/>
        <v>-5.7282694884204198E-3</v>
      </c>
    </row>
    <row r="530" spans="2:9">
      <c r="B530" s="21">
        <v>45064</v>
      </c>
      <c r="C530">
        <v>383.62</v>
      </c>
      <c r="D530">
        <v>384.3</v>
      </c>
      <c r="E530" s="17">
        <f t="shared" si="16"/>
        <v>9.5623390952555721E-3</v>
      </c>
      <c r="G530" s="21">
        <v>45064</v>
      </c>
      <c r="H530" s="12">
        <v>18129.94921875</v>
      </c>
      <c r="I530" s="15">
        <f t="shared" si="17"/>
        <v>-2.8490536527011976E-3</v>
      </c>
    </row>
    <row r="531" spans="2:9">
      <c r="B531" s="21">
        <v>45065</v>
      </c>
      <c r="C531">
        <v>384.82</v>
      </c>
      <c r="D531">
        <v>387.14</v>
      </c>
      <c r="E531" s="17">
        <f t="shared" si="16"/>
        <v>7.3900598490761775E-3</v>
      </c>
      <c r="G531" s="21">
        <v>45065</v>
      </c>
      <c r="H531" s="12">
        <v>18203.400390625</v>
      </c>
      <c r="I531" s="14">
        <f t="shared" si="17"/>
        <v>4.051372179191587E-3</v>
      </c>
    </row>
    <row r="532" spans="2:9">
      <c r="B532" s="21">
        <v>45068</v>
      </c>
      <c r="C532">
        <v>387.81</v>
      </c>
      <c r="D532">
        <v>386.85</v>
      </c>
      <c r="E532" s="17">
        <f t="shared" si="16"/>
        <v>-7.490830190627774E-4</v>
      </c>
      <c r="G532" s="21">
        <v>45068</v>
      </c>
      <c r="H532" s="12">
        <v>18314.400390625</v>
      </c>
      <c r="I532" s="15">
        <f t="shared" si="17"/>
        <v>6.0977618257062847E-3</v>
      </c>
    </row>
    <row r="533" spans="2:9">
      <c r="B533" s="21">
        <v>45069</v>
      </c>
      <c r="C533">
        <v>386.85</v>
      </c>
      <c r="D533">
        <v>383.12</v>
      </c>
      <c r="E533" s="17">
        <f t="shared" si="16"/>
        <v>-9.6419800956443532E-3</v>
      </c>
      <c r="G533" s="21">
        <v>45069</v>
      </c>
      <c r="H533" s="12">
        <v>18348</v>
      </c>
      <c r="I533" s="14">
        <f t="shared" si="17"/>
        <v>1.8346005688616145E-3</v>
      </c>
    </row>
    <row r="534" spans="2:9">
      <c r="B534" s="21">
        <v>45070</v>
      </c>
      <c r="C534">
        <v>383.21</v>
      </c>
      <c r="D534">
        <v>380.9</v>
      </c>
      <c r="E534" s="17">
        <f t="shared" si="16"/>
        <v>-5.7945291292546127E-3</v>
      </c>
      <c r="G534" s="21">
        <v>45070</v>
      </c>
      <c r="H534" s="12">
        <v>18285.400390625</v>
      </c>
      <c r="I534" s="15">
        <f t="shared" si="17"/>
        <v>-3.4117947119577064E-3</v>
      </c>
    </row>
    <row r="535" spans="2:9">
      <c r="B535" s="21">
        <v>45071</v>
      </c>
      <c r="C535">
        <v>382.42</v>
      </c>
      <c r="D535">
        <v>384.81</v>
      </c>
      <c r="E535" s="17">
        <f t="shared" si="16"/>
        <v>1.0265161459700776E-2</v>
      </c>
      <c r="G535" s="21">
        <v>45071</v>
      </c>
      <c r="H535" s="12">
        <v>18321.150390625</v>
      </c>
      <c r="I535" s="14">
        <f t="shared" si="17"/>
        <v>1.955111686716424E-3</v>
      </c>
    </row>
    <row r="536" spans="2:9">
      <c r="B536" s="21">
        <v>45072</v>
      </c>
      <c r="C536">
        <v>388.79</v>
      </c>
      <c r="D536">
        <v>387.82</v>
      </c>
      <c r="E536" s="17">
        <f t="shared" si="16"/>
        <v>7.822042046724334E-3</v>
      </c>
      <c r="G536" s="21">
        <v>45072</v>
      </c>
      <c r="H536" s="12">
        <v>18499.349609375</v>
      </c>
      <c r="I536" s="15">
        <f t="shared" si="17"/>
        <v>9.7264208278747162E-3</v>
      </c>
    </row>
    <row r="537" spans="2:9">
      <c r="B537" s="21">
        <v>45075</v>
      </c>
      <c r="C537">
        <v>391.42</v>
      </c>
      <c r="D537">
        <v>389.44</v>
      </c>
      <c r="E537" s="17">
        <f t="shared" si="16"/>
        <v>4.1771956062090776E-3</v>
      </c>
      <c r="G537" s="21">
        <v>45075</v>
      </c>
      <c r="H537" s="12">
        <v>18598.650390625</v>
      </c>
      <c r="I537" s="14">
        <f t="shared" si="17"/>
        <v>5.3677985089636282E-3</v>
      </c>
    </row>
    <row r="538" spans="2:9">
      <c r="B538" s="21">
        <v>45076</v>
      </c>
      <c r="C538">
        <v>390.37</v>
      </c>
      <c r="D538">
        <v>393.73</v>
      </c>
      <c r="E538" s="17">
        <f t="shared" si="16"/>
        <v>1.1015817584223554E-2</v>
      </c>
      <c r="G538" s="21">
        <v>45076</v>
      </c>
      <c r="H538" s="12">
        <v>18633.849609375</v>
      </c>
      <c r="I538" s="15">
        <f t="shared" si="17"/>
        <v>1.892568439683281E-3</v>
      </c>
    </row>
    <row r="539" spans="2:9">
      <c r="B539" s="21">
        <v>45077</v>
      </c>
      <c r="C539">
        <v>395.77</v>
      </c>
      <c r="D539">
        <v>401.63</v>
      </c>
      <c r="E539" s="17">
        <f t="shared" si="16"/>
        <v>2.0064511213267917E-2</v>
      </c>
      <c r="G539" s="21">
        <v>45077</v>
      </c>
      <c r="H539" s="12">
        <v>18534.400390625</v>
      </c>
      <c r="I539" s="14">
        <f t="shared" si="17"/>
        <v>-5.33701950132545E-3</v>
      </c>
    </row>
    <row r="540" spans="2:9">
      <c r="B540" s="21">
        <v>45078</v>
      </c>
      <c r="C540">
        <v>392.39</v>
      </c>
      <c r="D540">
        <v>384.83</v>
      </c>
      <c r="E540" s="17">
        <f t="shared" si="16"/>
        <v>-4.1829544605731669E-2</v>
      </c>
      <c r="G540" s="21">
        <v>45078</v>
      </c>
      <c r="H540" s="12">
        <v>18487.75</v>
      </c>
      <c r="I540" s="15">
        <f t="shared" si="17"/>
        <v>-2.5169624936232909E-3</v>
      </c>
    </row>
    <row r="541" spans="2:9">
      <c r="B541" s="21">
        <v>45079</v>
      </c>
      <c r="C541">
        <v>387.8</v>
      </c>
      <c r="D541">
        <v>386.56</v>
      </c>
      <c r="E541" s="17">
        <f t="shared" si="16"/>
        <v>4.4954915157342677E-3</v>
      </c>
      <c r="G541" s="21">
        <v>45079</v>
      </c>
      <c r="H541" s="12">
        <v>18534.099609375</v>
      </c>
      <c r="I541" s="14">
        <f t="shared" si="17"/>
        <v>2.5070443604548959E-3</v>
      </c>
    </row>
    <row r="542" spans="2:9">
      <c r="B542" s="21">
        <v>45082</v>
      </c>
      <c r="C542">
        <v>387.81</v>
      </c>
      <c r="D542">
        <v>383.8</v>
      </c>
      <c r="E542" s="17">
        <f t="shared" si="16"/>
        <v>-7.1399006622516322E-3</v>
      </c>
      <c r="G542" s="21">
        <v>45082</v>
      </c>
      <c r="H542" s="12">
        <v>18593.849609375</v>
      </c>
      <c r="I542" s="15">
        <f t="shared" si="17"/>
        <v>3.2237875731377309E-3</v>
      </c>
    </row>
    <row r="543" spans="2:9">
      <c r="B543" s="21">
        <v>45083</v>
      </c>
      <c r="C543">
        <v>385.79</v>
      </c>
      <c r="D543">
        <v>390.61</v>
      </c>
      <c r="E543" s="17">
        <f t="shared" si="16"/>
        <v>1.7743616466909855E-2</v>
      </c>
      <c r="G543" s="21">
        <v>45083</v>
      </c>
      <c r="H543" s="12">
        <v>18599</v>
      </c>
      <c r="I543" s="14">
        <f t="shared" si="17"/>
        <v>2.7699431442121478E-4</v>
      </c>
    </row>
    <row r="544" spans="2:9">
      <c r="B544" s="21">
        <v>45084</v>
      </c>
      <c r="C544">
        <v>393.19</v>
      </c>
      <c r="D544">
        <v>386.69</v>
      </c>
      <c r="E544" s="17">
        <f t="shared" si="16"/>
        <v>-1.0035585366478113E-2</v>
      </c>
      <c r="G544" s="21">
        <v>45084</v>
      </c>
      <c r="H544" s="12">
        <v>18726.400390625</v>
      </c>
      <c r="I544" s="15">
        <f t="shared" si="17"/>
        <v>6.8498516385289534E-3</v>
      </c>
    </row>
    <row r="545" spans="2:9">
      <c r="B545" s="21">
        <v>45085</v>
      </c>
      <c r="C545">
        <v>386.19</v>
      </c>
      <c r="D545">
        <v>376.14</v>
      </c>
      <c r="E545" s="17">
        <f t="shared" si="16"/>
        <v>-2.7282836380563273E-2</v>
      </c>
      <c r="G545" s="21">
        <v>45085</v>
      </c>
      <c r="H545" s="12">
        <v>18634.55078125</v>
      </c>
      <c r="I545" s="14">
        <f t="shared" si="17"/>
        <v>-4.904819263662796E-3</v>
      </c>
    </row>
    <row r="546" spans="2:9">
      <c r="B546" s="21">
        <v>45086</v>
      </c>
      <c r="C546">
        <v>371.26</v>
      </c>
      <c r="D546">
        <v>373.25</v>
      </c>
      <c r="E546" s="17">
        <f t="shared" si="16"/>
        <v>-7.6833094060721708E-3</v>
      </c>
      <c r="G546" s="21">
        <v>45086</v>
      </c>
      <c r="H546" s="12">
        <v>18563.400390625</v>
      </c>
      <c r="I546" s="15">
        <f t="shared" si="17"/>
        <v>-3.8181972541345725E-3</v>
      </c>
    </row>
    <row r="547" spans="2:9">
      <c r="B547" s="21">
        <v>45089</v>
      </c>
      <c r="C547">
        <v>373.82</v>
      </c>
      <c r="D547">
        <v>374.74</v>
      </c>
      <c r="E547" s="17">
        <f t="shared" si="16"/>
        <v>3.9919624916276196E-3</v>
      </c>
      <c r="G547" s="21">
        <v>45089</v>
      </c>
      <c r="H547" s="12">
        <v>18601.5</v>
      </c>
      <c r="I547" s="14">
        <f t="shared" si="17"/>
        <v>2.0524046550351462E-3</v>
      </c>
    </row>
    <row r="548" spans="2:9">
      <c r="B548" s="21">
        <v>45090</v>
      </c>
      <c r="C548">
        <v>373.92</v>
      </c>
      <c r="D548">
        <v>370.05</v>
      </c>
      <c r="E548" s="17">
        <f t="shared" si="16"/>
        <v>-1.2515343971820456E-2</v>
      </c>
      <c r="G548" s="21">
        <v>45090</v>
      </c>
      <c r="H548" s="12">
        <v>18716.150390625</v>
      </c>
      <c r="I548" s="15">
        <f t="shared" si="17"/>
        <v>6.1635024393194094E-3</v>
      </c>
    </row>
    <row r="549" spans="2:9">
      <c r="B549" s="21">
        <v>45091</v>
      </c>
      <c r="C549">
        <v>370.05</v>
      </c>
      <c r="D549">
        <v>371.79</v>
      </c>
      <c r="E549" s="17">
        <f t="shared" si="16"/>
        <v>4.7020672882043214E-3</v>
      </c>
      <c r="G549" s="21">
        <v>45091</v>
      </c>
      <c r="H549" s="12">
        <v>18755.900390625</v>
      </c>
      <c r="I549" s="14">
        <f t="shared" si="17"/>
        <v>2.1238341844010264E-3</v>
      </c>
    </row>
    <row r="550" spans="2:9">
      <c r="B550" s="21">
        <v>45092</v>
      </c>
      <c r="C550">
        <v>372.44</v>
      </c>
      <c r="D550">
        <v>365.58</v>
      </c>
      <c r="E550" s="17">
        <f t="shared" si="16"/>
        <v>-1.6702977487291309E-2</v>
      </c>
      <c r="G550" s="21">
        <v>45092</v>
      </c>
      <c r="H550" s="12">
        <v>18688.099609375</v>
      </c>
      <c r="I550" s="15">
        <f t="shared" si="17"/>
        <v>-3.6149041015322157E-3</v>
      </c>
    </row>
    <row r="551" spans="2:9">
      <c r="B551" s="21">
        <v>45093</v>
      </c>
      <c r="C551">
        <v>366.26</v>
      </c>
      <c r="D551">
        <v>370.34</v>
      </c>
      <c r="E551" s="17">
        <f t="shared" si="16"/>
        <v>1.3020405930302509E-2</v>
      </c>
      <c r="G551" s="21">
        <v>45093</v>
      </c>
      <c r="H551" s="12">
        <v>18826</v>
      </c>
      <c r="I551" s="14">
        <f t="shared" si="17"/>
        <v>7.3790483520229863E-3</v>
      </c>
    </row>
    <row r="552" spans="2:9">
      <c r="B552" s="21">
        <v>45096</v>
      </c>
      <c r="C552">
        <v>371.63</v>
      </c>
      <c r="D552">
        <v>363.79</v>
      </c>
      <c r="E552" s="17">
        <f t="shared" si="16"/>
        <v>-1.7686450288923568E-2</v>
      </c>
      <c r="G552" s="21">
        <v>45096</v>
      </c>
      <c r="H552" s="12">
        <v>18755.44921875</v>
      </c>
      <c r="I552" s="15">
        <f t="shared" si="17"/>
        <v>-3.7475183921172844E-3</v>
      </c>
    </row>
    <row r="553" spans="2:9">
      <c r="B553" s="21">
        <v>45097</v>
      </c>
      <c r="C553">
        <v>362.88</v>
      </c>
      <c r="D553">
        <v>367.67</v>
      </c>
      <c r="E553" s="17">
        <f t="shared" si="16"/>
        <v>1.0665493828857295E-2</v>
      </c>
      <c r="G553" s="21">
        <v>45097</v>
      </c>
      <c r="H553" s="12">
        <v>18816.69921875</v>
      </c>
      <c r="I553" s="14">
        <f t="shared" si="17"/>
        <v>3.2657175674986124E-3</v>
      </c>
    </row>
    <row r="554" spans="2:9">
      <c r="B554" s="21">
        <v>45098</v>
      </c>
      <c r="C554">
        <v>368.28</v>
      </c>
      <c r="D554">
        <v>367.98</v>
      </c>
      <c r="E554" s="17">
        <f t="shared" si="16"/>
        <v>8.431473876030197E-4</v>
      </c>
      <c r="G554" s="21">
        <v>45098</v>
      </c>
      <c r="H554" s="12">
        <v>18856.849609375</v>
      </c>
      <c r="I554" s="15">
        <f t="shared" si="17"/>
        <v>2.133763746671995E-3</v>
      </c>
    </row>
    <row r="555" spans="2:9">
      <c r="B555" s="21">
        <v>45099</v>
      </c>
      <c r="C555">
        <v>367.98</v>
      </c>
      <c r="D555">
        <v>366.09</v>
      </c>
      <c r="E555" s="17">
        <f t="shared" si="16"/>
        <v>-5.1361487037340156E-3</v>
      </c>
      <c r="G555" s="21">
        <v>45099</v>
      </c>
      <c r="H555" s="12">
        <v>18771.25</v>
      </c>
      <c r="I555" s="14">
        <f t="shared" si="17"/>
        <v>-4.5394438174042985E-3</v>
      </c>
    </row>
    <row r="556" spans="2:9">
      <c r="B556" s="21">
        <v>45100</v>
      </c>
      <c r="C556">
        <v>365.48</v>
      </c>
      <c r="D556">
        <v>364.59</v>
      </c>
      <c r="E556" s="17">
        <f t="shared" si="16"/>
        <v>-4.097353109891011E-3</v>
      </c>
      <c r="G556" s="21">
        <v>45100</v>
      </c>
      <c r="H556" s="12">
        <v>18665.5</v>
      </c>
      <c r="I556" s="15">
        <f t="shared" si="17"/>
        <v>-5.6336152360657917E-3</v>
      </c>
    </row>
    <row r="557" spans="2:9">
      <c r="B557" s="21">
        <v>45103</v>
      </c>
      <c r="C557">
        <v>365.27</v>
      </c>
      <c r="D557">
        <v>363.47</v>
      </c>
      <c r="E557" s="17">
        <f t="shared" si="16"/>
        <v>-3.0719438273127289E-3</v>
      </c>
      <c r="G557" s="21">
        <v>45103</v>
      </c>
      <c r="H557" s="12">
        <v>18691.19921875</v>
      </c>
      <c r="I557" s="14">
        <f t="shared" si="17"/>
        <v>1.3768299134767352E-3</v>
      </c>
    </row>
    <row r="558" spans="2:9">
      <c r="B558" s="21">
        <v>45104</v>
      </c>
      <c r="C558">
        <v>364.42</v>
      </c>
      <c r="D558">
        <v>367.81</v>
      </c>
      <c r="E558" s="17">
        <f t="shared" si="16"/>
        <v>1.1940462761713413E-2</v>
      </c>
      <c r="G558" s="21">
        <v>45104</v>
      </c>
      <c r="H558" s="12">
        <v>18817.400390625</v>
      </c>
      <c r="I558" s="15">
        <f t="shared" si="17"/>
        <v>6.7519034171120394E-3</v>
      </c>
    </row>
    <row r="559" spans="2:9">
      <c r="B559" s="21">
        <v>45105</v>
      </c>
      <c r="C559">
        <v>368.07</v>
      </c>
      <c r="D559">
        <v>366.98</v>
      </c>
      <c r="E559" s="17">
        <f t="shared" si="16"/>
        <v>-2.2565998749353852E-3</v>
      </c>
      <c r="G559" s="21">
        <v>45105</v>
      </c>
      <c r="H559" s="12">
        <v>18972.099609375</v>
      </c>
      <c r="I559" s="14">
        <f t="shared" si="17"/>
        <v>8.2210728123249463E-3</v>
      </c>
    </row>
    <row r="560" spans="2:9">
      <c r="B560" s="21">
        <v>45107</v>
      </c>
      <c r="C560">
        <v>368.45</v>
      </c>
      <c r="D560">
        <v>368.18</v>
      </c>
      <c r="E560" s="17">
        <f t="shared" si="16"/>
        <v>3.2699329663741583E-3</v>
      </c>
      <c r="G560" s="21">
        <v>45107</v>
      </c>
      <c r="H560" s="12">
        <v>19189.05078125</v>
      </c>
      <c r="I560" s="15">
        <f t="shared" si="17"/>
        <v>1.143527476356883E-2</v>
      </c>
    </row>
    <row r="561" spans="2:9">
      <c r="B561" s="21">
        <v>45110</v>
      </c>
      <c r="C561">
        <v>370.06</v>
      </c>
      <c r="D561">
        <v>367.66</v>
      </c>
      <c r="E561" s="17">
        <f t="shared" si="16"/>
        <v>-1.4123526535933016E-3</v>
      </c>
      <c r="G561" s="21">
        <v>45110</v>
      </c>
      <c r="H561" s="12">
        <v>19322.55078125</v>
      </c>
      <c r="I561" s="14">
        <f t="shared" si="17"/>
        <v>6.9570924336937751E-3</v>
      </c>
    </row>
    <row r="562" spans="2:9">
      <c r="B562" s="21">
        <v>45111</v>
      </c>
      <c r="C562">
        <v>368.87</v>
      </c>
      <c r="D562">
        <v>371.2</v>
      </c>
      <c r="E562" s="17">
        <f t="shared" si="16"/>
        <v>9.6284610781699493E-3</v>
      </c>
      <c r="G562" s="21">
        <v>45111</v>
      </c>
      <c r="H562" s="12">
        <v>19389</v>
      </c>
      <c r="I562" s="15">
        <f t="shared" si="17"/>
        <v>3.4389465191355714E-3</v>
      </c>
    </row>
    <row r="563" spans="2:9">
      <c r="B563" s="21">
        <v>45112</v>
      </c>
      <c r="C563">
        <v>371.42</v>
      </c>
      <c r="D563">
        <v>371.83</v>
      </c>
      <c r="E563" s="17">
        <f t="shared" si="16"/>
        <v>1.6971982758620567E-3</v>
      </c>
      <c r="G563" s="21">
        <v>45112</v>
      </c>
      <c r="H563" s="12">
        <v>19398.5</v>
      </c>
      <c r="I563" s="14">
        <f t="shared" si="17"/>
        <v>4.8996853886224153E-4</v>
      </c>
    </row>
    <row r="564" spans="2:9">
      <c r="B564" s="21">
        <v>45113</v>
      </c>
      <c r="C564">
        <v>370.86</v>
      </c>
      <c r="D564">
        <v>374.31</v>
      </c>
      <c r="E564" s="17">
        <f t="shared" si="16"/>
        <v>6.6697146545464814E-3</v>
      </c>
      <c r="G564" s="21">
        <v>45113</v>
      </c>
      <c r="H564" s="12">
        <v>19497.30078125</v>
      </c>
      <c r="I564" s="15">
        <f t="shared" si="17"/>
        <v>5.0932175812562824E-3</v>
      </c>
    </row>
    <row r="565" spans="2:9">
      <c r="B565" s="21">
        <v>45114</v>
      </c>
      <c r="C565">
        <v>373.25</v>
      </c>
      <c r="D565">
        <v>369.56</v>
      </c>
      <c r="E565" s="17">
        <f t="shared" si="16"/>
        <v>-1.2690016296652507E-2</v>
      </c>
      <c r="G565" s="21">
        <v>45114</v>
      </c>
      <c r="H565" s="12">
        <v>19331.80078125</v>
      </c>
      <c r="I565" s="14">
        <f t="shared" si="17"/>
        <v>-8.4883544577184066E-3</v>
      </c>
    </row>
    <row r="566" spans="2:9">
      <c r="B566" s="21">
        <v>45117</v>
      </c>
      <c r="C566">
        <v>369.46</v>
      </c>
      <c r="D566">
        <v>372.24</v>
      </c>
      <c r="E566" s="17">
        <f t="shared" si="16"/>
        <v>7.2518670851823971E-3</v>
      </c>
      <c r="G566" s="21">
        <v>45117</v>
      </c>
      <c r="H566" s="12">
        <v>19355.900390625</v>
      </c>
      <c r="I566" s="15">
        <f t="shared" si="17"/>
        <v>1.2466303397029789E-3</v>
      </c>
    </row>
    <row r="567" spans="2:9">
      <c r="B567" s="21">
        <v>45118</v>
      </c>
      <c r="C567">
        <v>373.65</v>
      </c>
      <c r="D567">
        <v>372.18</v>
      </c>
      <c r="E567" s="17">
        <f t="shared" si="16"/>
        <v>-1.6118633139910346E-4</v>
      </c>
      <c r="G567" s="21">
        <v>45118</v>
      </c>
      <c r="H567" s="12">
        <v>19439.400390625</v>
      </c>
      <c r="I567" s="14">
        <f t="shared" si="17"/>
        <v>4.3139300324382271E-3</v>
      </c>
    </row>
    <row r="568" spans="2:9">
      <c r="B568" s="21">
        <v>45119</v>
      </c>
      <c r="C568">
        <v>373.83</v>
      </c>
      <c r="D568">
        <v>374.47</v>
      </c>
      <c r="E568" s="17">
        <f t="shared" si="16"/>
        <v>6.1529367510345006E-3</v>
      </c>
      <c r="G568" s="21">
        <v>45119</v>
      </c>
      <c r="H568" s="12">
        <v>19384.30078125</v>
      </c>
      <c r="I568" s="15">
        <f t="shared" si="17"/>
        <v>-2.8344294714755078E-3</v>
      </c>
    </row>
    <row r="569" spans="2:9">
      <c r="B569" s="21">
        <v>45120</v>
      </c>
      <c r="C569">
        <v>376.64</v>
      </c>
      <c r="D569">
        <v>372.79</v>
      </c>
      <c r="E569" s="17">
        <f t="shared" si="16"/>
        <v>-4.4863406948487377E-3</v>
      </c>
      <c r="G569" s="21">
        <v>45120</v>
      </c>
      <c r="H569" s="12">
        <v>19413.75</v>
      </c>
      <c r="I569" s="14">
        <f t="shared" si="17"/>
        <v>1.5192303855749891E-3</v>
      </c>
    </row>
    <row r="570" spans="2:9">
      <c r="B570" s="21">
        <v>45121</v>
      </c>
      <c r="C570">
        <v>372.87</v>
      </c>
      <c r="D570">
        <v>372.65</v>
      </c>
      <c r="E570" s="17">
        <f t="shared" si="16"/>
        <v>-3.755465543604796E-4</v>
      </c>
      <c r="G570" s="21">
        <v>45121</v>
      </c>
      <c r="H570" s="12">
        <v>19564.5</v>
      </c>
      <c r="I570" s="15">
        <f t="shared" si="17"/>
        <v>7.7651149314274673E-3</v>
      </c>
    </row>
    <row r="571" spans="2:9">
      <c r="B571" s="21">
        <v>45124</v>
      </c>
      <c r="C571">
        <v>373.09</v>
      </c>
      <c r="D571">
        <v>378.25</v>
      </c>
      <c r="E571" s="17">
        <f t="shared" si="16"/>
        <v>1.5027505702401779E-2</v>
      </c>
      <c r="G571" s="21">
        <v>45124</v>
      </c>
      <c r="H571" s="12">
        <v>19711.44921875</v>
      </c>
      <c r="I571" s="14">
        <f t="shared" si="17"/>
        <v>7.5110132510414268E-3</v>
      </c>
    </row>
    <row r="572" spans="2:9">
      <c r="B572" s="21">
        <v>45125</v>
      </c>
      <c r="C572">
        <v>377.91</v>
      </c>
      <c r="D572">
        <v>377.01</v>
      </c>
      <c r="E572" s="17">
        <f t="shared" si="16"/>
        <v>-3.2782551222736525E-3</v>
      </c>
      <c r="G572" s="21">
        <v>45125</v>
      </c>
      <c r="H572" s="12">
        <v>19749.25</v>
      </c>
      <c r="I572" s="15">
        <f t="shared" si="17"/>
        <v>1.917706853032551E-3</v>
      </c>
    </row>
    <row r="573" spans="2:9">
      <c r="B573" s="21">
        <v>45126</v>
      </c>
      <c r="C573">
        <v>377.8</v>
      </c>
      <c r="D573">
        <v>380.15</v>
      </c>
      <c r="E573" s="17">
        <f t="shared" si="16"/>
        <v>8.3286915466432888E-3</v>
      </c>
      <c r="G573" s="21">
        <v>45126</v>
      </c>
      <c r="H573" s="12">
        <v>19833.150390625</v>
      </c>
      <c r="I573" s="14">
        <f t="shared" si="17"/>
        <v>4.248282371482461E-3</v>
      </c>
    </row>
    <row r="574" spans="2:9">
      <c r="B574" s="21">
        <v>45127</v>
      </c>
      <c r="C574">
        <v>379.03</v>
      </c>
      <c r="D574">
        <v>390.18</v>
      </c>
      <c r="E574" s="17">
        <f t="shared" si="16"/>
        <v>2.6384321978166592E-2</v>
      </c>
      <c r="G574" s="21">
        <v>45127</v>
      </c>
      <c r="H574" s="12">
        <v>19979.150390625</v>
      </c>
      <c r="I574" s="15">
        <f t="shared" si="17"/>
        <v>7.3614124394989332E-3</v>
      </c>
    </row>
    <row r="575" spans="2:9">
      <c r="B575" s="21">
        <v>45128</v>
      </c>
      <c r="C575">
        <v>389.18</v>
      </c>
      <c r="D575">
        <v>392.83</v>
      </c>
      <c r="E575" s="17">
        <f t="shared" si="16"/>
        <v>6.7917371469577558E-3</v>
      </c>
      <c r="G575" s="21">
        <v>45128</v>
      </c>
      <c r="H575" s="12">
        <v>19745</v>
      </c>
      <c r="I575" s="14">
        <f t="shared" si="17"/>
        <v>-1.1719737128305142E-2</v>
      </c>
    </row>
    <row r="576" spans="2:9">
      <c r="B576" s="21">
        <v>45131</v>
      </c>
      <c r="C576">
        <v>388.8</v>
      </c>
      <c r="D576">
        <v>378.29</v>
      </c>
      <c r="E576" s="17">
        <f t="shared" si="16"/>
        <v>-3.7013466384950143E-2</v>
      </c>
      <c r="G576" s="21">
        <v>45131</v>
      </c>
      <c r="H576" s="12">
        <v>19672.349609375</v>
      </c>
      <c r="I576" s="15">
        <f t="shared" si="17"/>
        <v>-3.6794322929855658E-3</v>
      </c>
    </row>
    <row r="577" spans="2:9">
      <c r="B577" s="21">
        <v>45132</v>
      </c>
      <c r="C577">
        <v>379.03</v>
      </c>
      <c r="D577">
        <v>373.95</v>
      </c>
      <c r="E577" s="17">
        <f t="shared" si="16"/>
        <v>-1.1472679690184862E-2</v>
      </c>
      <c r="G577" s="21">
        <v>45132</v>
      </c>
      <c r="H577" s="12">
        <v>19680.599609375</v>
      </c>
      <c r="I577" s="14">
        <f t="shared" si="17"/>
        <v>4.193703428322768E-4</v>
      </c>
    </row>
    <row r="578" spans="2:9">
      <c r="B578" s="21">
        <v>45133</v>
      </c>
      <c r="C578">
        <v>374.85</v>
      </c>
      <c r="D578">
        <v>377.9</v>
      </c>
      <c r="E578" s="17">
        <f t="shared" si="16"/>
        <v>1.0562909479876958E-2</v>
      </c>
      <c r="G578" s="21">
        <v>45133</v>
      </c>
      <c r="H578" s="12">
        <v>19778.30078125</v>
      </c>
      <c r="I578" s="15">
        <f t="shared" si="17"/>
        <v>4.9643391875346787E-3</v>
      </c>
    </row>
    <row r="579" spans="2:9">
      <c r="B579" s="21">
        <v>45134</v>
      </c>
      <c r="C579">
        <v>376.64</v>
      </c>
      <c r="D579">
        <v>373.6</v>
      </c>
      <c r="E579" s="17">
        <f t="shared" si="16"/>
        <v>-1.1378671606244919E-2</v>
      </c>
      <c r="G579" s="21">
        <v>45134</v>
      </c>
      <c r="H579" s="12">
        <v>19659.900390625</v>
      </c>
      <c r="I579" s="14">
        <f t="shared" si="17"/>
        <v>-5.9863783008722669E-3</v>
      </c>
    </row>
    <row r="580" spans="2:9">
      <c r="B580" s="21">
        <v>45135</v>
      </c>
      <c r="C580">
        <v>372.77</v>
      </c>
      <c r="D580">
        <v>374.22</v>
      </c>
      <c r="E580" s="17">
        <f t="shared" si="16"/>
        <v>1.6595289079229243E-3</v>
      </c>
      <c r="G580" s="21">
        <v>45135</v>
      </c>
      <c r="H580" s="12">
        <v>19646.05078125</v>
      </c>
      <c r="I580" s="15">
        <f t="shared" si="17"/>
        <v>-7.0445979378432207E-4</v>
      </c>
    </row>
    <row r="581" spans="2:9">
      <c r="B581" s="21">
        <v>45138</v>
      </c>
      <c r="C581">
        <v>372.06</v>
      </c>
      <c r="D581">
        <v>370.17</v>
      </c>
      <c r="E581" s="17">
        <f t="shared" ref="E581:E644" si="18">(D581-D580)/D580</f>
        <v>-1.0822510822510852E-2</v>
      </c>
      <c r="G581" s="21">
        <v>45138</v>
      </c>
      <c r="H581" s="12">
        <v>19753.80078125</v>
      </c>
      <c r="I581" s="14">
        <f t="shared" ref="I581:I644" si="19">(H581-H580)/H580</f>
        <v>5.4845628365592716E-3</v>
      </c>
    </row>
    <row r="582" spans="2:9">
      <c r="B582" s="21">
        <v>45139</v>
      </c>
      <c r="C582">
        <v>368.87</v>
      </c>
      <c r="D582">
        <v>368.87</v>
      </c>
      <c r="E582" s="17">
        <f t="shared" si="18"/>
        <v>-3.5118999378664162E-3</v>
      </c>
      <c r="G582" s="21">
        <v>45139</v>
      </c>
      <c r="H582" s="12">
        <v>19733.55078125</v>
      </c>
      <c r="I582" s="15">
        <f t="shared" si="19"/>
        <v>-1.0251191770254656E-3</v>
      </c>
    </row>
    <row r="583" spans="2:9">
      <c r="B583" s="21">
        <v>45140</v>
      </c>
      <c r="C583">
        <v>366.98</v>
      </c>
      <c r="D583">
        <v>363.62</v>
      </c>
      <c r="E583" s="17">
        <f t="shared" si="18"/>
        <v>-1.4232656491446852E-2</v>
      </c>
      <c r="G583" s="21">
        <v>45140</v>
      </c>
      <c r="H583" s="12">
        <v>19526.55078125</v>
      </c>
      <c r="I583" s="14">
        <f t="shared" si="19"/>
        <v>-1.0489749274959822E-2</v>
      </c>
    </row>
    <row r="584" spans="2:9">
      <c r="B584" s="21">
        <v>45141</v>
      </c>
      <c r="C584">
        <v>362.9</v>
      </c>
      <c r="D584">
        <v>363.53</v>
      </c>
      <c r="E584" s="17">
        <f t="shared" si="18"/>
        <v>-2.4751113800129757E-4</v>
      </c>
      <c r="G584" s="21">
        <v>45141</v>
      </c>
      <c r="H584" s="12">
        <v>19381.650390625</v>
      </c>
      <c r="I584" s="15">
        <f t="shared" si="19"/>
        <v>-7.4206854169113091E-3</v>
      </c>
    </row>
    <row r="585" spans="2:9">
      <c r="B585" s="21">
        <v>45142</v>
      </c>
      <c r="C585">
        <v>364.98</v>
      </c>
      <c r="D585">
        <v>366.87</v>
      </c>
      <c r="E585" s="17">
        <f t="shared" si="18"/>
        <v>9.1876873985641677E-3</v>
      </c>
      <c r="G585" s="21">
        <v>45142</v>
      </c>
      <c r="H585" s="12">
        <v>19517</v>
      </c>
      <c r="I585" s="14">
        <f t="shared" si="19"/>
        <v>6.9833892701144417E-3</v>
      </c>
    </row>
    <row r="586" spans="2:9">
      <c r="B586" s="21">
        <v>45145</v>
      </c>
      <c r="C586">
        <v>368.17</v>
      </c>
      <c r="D586">
        <v>365.49</v>
      </c>
      <c r="E586" s="17">
        <f t="shared" si="18"/>
        <v>-3.7615504129528046E-3</v>
      </c>
      <c r="G586" s="21">
        <v>45145</v>
      </c>
      <c r="H586" s="12">
        <v>19597.30078125</v>
      </c>
      <c r="I586" s="15">
        <f t="shared" si="19"/>
        <v>4.1144018676026028E-3</v>
      </c>
    </row>
    <row r="587" spans="2:9">
      <c r="B587" s="21">
        <v>45146</v>
      </c>
      <c r="C587">
        <v>365.48</v>
      </c>
      <c r="D587">
        <v>364.78</v>
      </c>
      <c r="E587" s="17">
        <f t="shared" si="18"/>
        <v>-1.9425976086898038E-3</v>
      </c>
      <c r="G587" s="21">
        <v>45146</v>
      </c>
      <c r="H587" s="12">
        <v>19570.849609375</v>
      </c>
      <c r="I587" s="14">
        <f t="shared" si="19"/>
        <v>-1.349735464605796E-3</v>
      </c>
    </row>
    <row r="588" spans="2:9">
      <c r="B588" s="21">
        <v>45147</v>
      </c>
      <c r="C588">
        <v>365.98</v>
      </c>
      <c r="D588">
        <v>365.48</v>
      </c>
      <c r="E588" s="17">
        <f t="shared" si="18"/>
        <v>1.9189648555294849E-3</v>
      </c>
      <c r="G588" s="21">
        <v>45147</v>
      </c>
      <c r="H588" s="12">
        <v>19632.55078125</v>
      </c>
      <c r="I588" s="15">
        <f t="shared" si="19"/>
        <v>3.1527078847636415E-3</v>
      </c>
    </row>
    <row r="589" spans="2:9">
      <c r="B589" s="21">
        <v>45148</v>
      </c>
      <c r="C589">
        <v>364.33</v>
      </c>
      <c r="D589">
        <v>359.36</v>
      </c>
      <c r="E589" s="17">
        <f t="shared" si="18"/>
        <v>-1.6745102331180924E-2</v>
      </c>
      <c r="G589" s="21">
        <v>45148</v>
      </c>
      <c r="H589" s="12">
        <v>19543.099609375</v>
      </c>
      <c r="I589" s="14">
        <f t="shared" si="19"/>
        <v>-4.5562684580156563E-3</v>
      </c>
    </row>
    <row r="590" spans="2:9">
      <c r="B590" s="21">
        <v>45149</v>
      </c>
      <c r="C590">
        <v>358.79</v>
      </c>
      <c r="D590">
        <v>357.49</v>
      </c>
      <c r="E590" s="17">
        <f t="shared" si="18"/>
        <v>-5.2036954585930667E-3</v>
      </c>
      <c r="G590" s="21">
        <v>45149</v>
      </c>
      <c r="H590" s="12">
        <v>19428.30078125</v>
      </c>
      <c r="I590" s="15">
        <f t="shared" si="19"/>
        <v>-5.8741361615907628E-3</v>
      </c>
    </row>
    <row r="591" spans="2:9">
      <c r="B591" s="21">
        <v>45152</v>
      </c>
      <c r="C591">
        <v>357</v>
      </c>
      <c r="D591">
        <v>358.01</v>
      </c>
      <c r="E591" s="17">
        <f t="shared" si="18"/>
        <v>1.454586142269663E-3</v>
      </c>
      <c r="G591" s="21">
        <v>45152</v>
      </c>
      <c r="H591" s="12">
        <v>19434.55078125</v>
      </c>
      <c r="I591" s="14">
        <f t="shared" si="19"/>
        <v>3.2169565781232879E-4</v>
      </c>
    </row>
    <row r="592" spans="2:9">
      <c r="B592" s="21">
        <v>45154</v>
      </c>
      <c r="C592">
        <v>356.6</v>
      </c>
      <c r="D592">
        <v>356.44</v>
      </c>
      <c r="E592" s="17">
        <f t="shared" si="18"/>
        <v>-4.3853523644590744E-3</v>
      </c>
      <c r="G592" s="21">
        <v>45154</v>
      </c>
      <c r="H592" s="12">
        <v>19465</v>
      </c>
      <c r="I592" s="15">
        <f t="shared" si="19"/>
        <v>1.5667570139761961E-3</v>
      </c>
    </row>
    <row r="593" spans="2:9">
      <c r="B593" s="21">
        <v>45155</v>
      </c>
      <c r="C593">
        <v>355.6</v>
      </c>
      <c r="D593">
        <v>352.35</v>
      </c>
      <c r="E593" s="17">
        <f t="shared" si="18"/>
        <v>-1.1474581977331318E-2</v>
      </c>
      <c r="G593" s="21">
        <v>45155</v>
      </c>
      <c r="H593" s="12">
        <v>19365.25</v>
      </c>
      <c r="I593" s="14">
        <f t="shared" si="19"/>
        <v>-5.124582584125353E-3</v>
      </c>
    </row>
    <row r="594" spans="2:9">
      <c r="B594" s="21">
        <v>45156</v>
      </c>
      <c r="C594">
        <v>350.63</v>
      </c>
      <c r="D594">
        <v>349.37</v>
      </c>
      <c r="E594" s="17">
        <f t="shared" si="18"/>
        <v>-8.4574996452391592E-3</v>
      </c>
      <c r="G594" s="21">
        <v>45156</v>
      </c>
      <c r="H594" s="12">
        <v>19310.150390625</v>
      </c>
      <c r="I594" s="15">
        <f t="shared" si="19"/>
        <v>-2.8452826260957128E-3</v>
      </c>
    </row>
    <row r="595" spans="2:9">
      <c r="B595" s="21">
        <v>45159</v>
      </c>
      <c r="C595">
        <v>349.41</v>
      </c>
      <c r="D595">
        <v>351.28</v>
      </c>
      <c r="E595" s="17">
        <f t="shared" si="18"/>
        <v>5.4669834273119279E-3</v>
      </c>
      <c r="G595" s="21">
        <v>45159</v>
      </c>
      <c r="H595" s="12">
        <v>19393.599609375</v>
      </c>
      <c r="I595" s="14">
        <f t="shared" si="19"/>
        <v>4.3215209131936255E-3</v>
      </c>
    </row>
    <row r="596" spans="2:9">
      <c r="B596" s="21">
        <v>45160</v>
      </c>
      <c r="C596">
        <v>353.01</v>
      </c>
      <c r="D596">
        <v>351.83</v>
      </c>
      <c r="E596" s="17">
        <f t="shared" si="18"/>
        <v>1.5657025734457169E-3</v>
      </c>
      <c r="G596" s="21">
        <v>45160</v>
      </c>
      <c r="H596" s="12">
        <v>19396.44921875</v>
      </c>
      <c r="I596" s="15">
        <f t="shared" si="19"/>
        <v>1.4693555773021523E-4</v>
      </c>
    </row>
    <row r="597" spans="2:9">
      <c r="B597" s="21">
        <v>45161</v>
      </c>
      <c r="C597">
        <v>353.17</v>
      </c>
      <c r="D597">
        <v>355.21</v>
      </c>
      <c r="E597" s="17">
        <f t="shared" si="18"/>
        <v>9.6069124292982276E-3</v>
      </c>
      <c r="G597" s="21">
        <v>45161</v>
      </c>
      <c r="H597" s="12">
        <v>19444</v>
      </c>
      <c r="I597" s="14">
        <f t="shared" si="19"/>
        <v>2.4515199000461384E-3</v>
      </c>
    </row>
    <row r="598" spans="2:9">
      <c r="B598" s="21">
        <v>45162</v>
      </c>
      <c r="C598">
        <v>357</v>
      </c>
      <c r="D598">
        <v>355.39</v>
      </c>
      <c r="E598" s="17">
        <f t="shared" si="18"/>
        <v>5.0674249035783574E-4</v>
      </c>
      <c r="G598" s="21">
        <v>45162</v>
      </c>
      <c r="H598" s="12">
        <v>19386.69921875</v>
      </c>
      <c r="I598" s="15">
        <f t="shared" si="19"/>
        <v>-2.9469646806212714E-3</v>
      </c>
    </row>
    <row r="599" spans="2:9">
      <c r="B599" s="21">
        <v>45163</v>
      </c>
      <c r="C599">
        <v>353.44</v>
      </c>
      <c r="D599">
        <v>354.97</v>
      </c>
      <c r="E599" s="17">
        <f t="shared" si="18"/>
        <v>-1.1818002757532826E-3</v>
      </c>
      <c r="G599" s="21">
        <v>45163</v>
      </c>
      <c r="H599" s="12">
        <v>19265.80078125</v>
      </c>
      <c r="I599" s="14">
        <f t="shared" si="19"/>
        <v>-6.2361537740819812E-3</v>
      </c>
    </row>
    <row r="600" spans="2:9">
      <c r="B600" s="21">
        <v>45166</v>
      </c>
      <c r="C600">
        <v>354.97</v>
      </c>
      <c r="D600">
        <v>357.27</v>
      </c>
      <c r="E600" s="17">
        <f t="shared" si="18"/>
        <v>6.4794207961234871E-3</v>
      </c>
      <c r="G600" s="21">
        <v>45166</v>
      </c>
      <c r="H600" s="12">
        <v>19306.05078125</v>
      </c>
      <c r="I600" s="15">
        <f t="shared" si="19"/>
        <v>2.089194238900902E-3</v>
      </c>
    </row>
    <row r="601" spans="2:9">
      <c r="B601" s="21">
        <v>45167</v>
      </c>
      <c r="C601">
        <v>358.58</v>
      </c>
      <c r="D601">
        <v>355.82</v>
      </c>
      <c r="E601" s="17">
        <f t="shared" si="18"/>
        <v>-4.0585551543650148E-3</v>
      </c>
      <c r="G601" s="21">
        <v>45167</v>
      </c>
      <c r="H601" s="12">
        <v>19342.650390625</v>
      </c>
      <c r="I601" s="14">
        <f t="shared" si="19"/>
        <v>1.8957584743610782E-3</v>
      </c>
    </row>
    <row r="602" spans="2:9">
      <c r="B602" s="21">
        <v>45168</v>
      </c>
      <c r="C602">
        <v>357.4</v>
      </c>
      <c r="D602">
        <v>354.18</v>
      </c>
      <c r="E602" s="17">
        <f t="shared" si="18"/>
        <v>-4.6090720026979552E-3</v>
      </c>
      <c r="G602" s="21">
        <v>45168</v>
      </c>
      <c r="H602" s="12">
        <v>19347.44921875</v>
      </c>
      <c r="I602" s="15">
        <f t="shared" si="19"/>
        <v>2.4809568637635602E-4</v>
      </c>
    </row>
    <row r="603" spans="2:9">
      <c r="B603" s="21">
        <v>45169</v>
      </c>
      <c r="C603">
        <v>354.18</v>
      </c>
      <c r="D603">
        <v>350.96</v>
      </c>
      <c r="E603" s="17">
        <f t="shared" si="18"/>
        <v>-9.0914224405670204E-3</v>
      </c>
      <c r="G603" s="21">
        <v>45169</v>
      </c>
      <c r="H603" s="12">
        <v>19253.80078125</v>
      </c>
      <c r="I603" s="14">
        <f t="shared" si="19"/>
        <v>-4.8403506033882458E-3</v>
      </c>
    </row>
    <row r="604" spans="2:9">
      <c r="B604" s="21">
        <v>45170</v>
      </c>
      <c r="C604">
        <v>351.99</v>
      </c>
      <c r="D604">
        <v>353.42</v>
      </c>
      <c r="E604" s="17">
        <f t="shared" si="18"/>
        <v>7.0093457943926274E-3</v>
      </c>
      <c r="G604" s="21">
        <v>45170</v>
      </c>
      <c r="H604" s="12">
        <v>19435.30078125</v>
      </c>
      <c r="I604" s="15">
        <f t="shared" si="19"/>
        <v>9.4267101889176502E-3</v>
      </c>
    </row>
    <row r="605" spans="2:9">
      <c r="B605" s="21">
        <v>45173</v>
      </c>
      <c r="C605">
        <v>354.68</v>
      </c>
      <c r="D605">
        <v>351.65</v>
      </c>
      <c r="E605" s="17">
        <f t="shared" si="18"/>
        <v>-5.0082055344916488E-3</v>
      </c>
      <c r="G605" s="21">
        <v>45173</v>
      </c>
      <c r="H605" s="12">
        <v>19528.80078125</v>
      </c>
      <c r="I605" s="14">
        <f t="shared" si="19"/>
        <v>4.8108337016426897E-3</v>
      </c>
    </row>
    <row r="606" spans="2:9">
      <c r="B606" s="21">
        <v>45174</v>
      </c>
      <c r="C606">
        <v>352.21</v>
      </c>
      <c r="D606">
        <v>353.41</v>
      </c>
      <c r="E606" s="17">
        <f t="shared" si="18"/>
        <v>5.0049765391726089E-3</v>
      </c>
      <c r="G606" s="21">
        <v>45174</v>
      </c>
      <c r="H606" s="12">
        <v>19574.900390625</v>
      </c>
      <c r="I606" s="15">
        <f t="shared" si="19"/>
        <v>2.3605960187407502E-3</v>
      </c>
    </row>
    <row r="607" spans="2:9">
      <c r="B607" s="21">
        <v>45175</v>
      </c>
      <c r="C607">
        <v>353.4</v>
      </c>
      <c r="D607">
        <v>353.27</v>
      </c>
      <c r="E607" s="17">
        <f t="shared" si="18"/>
        <v>-3.9614046008897084E-4</v>
      </c>
      <c r="G607" s="21">
        <v>45175</v>
      </c>
      <c r="H607" s="12">
        <v>19611.05078125</v>
      </c>
      <c r="I607" s="14">
        <f t="shared" si="19"/>
        <v>1.8467726478094107E-3</v>
      </c>
    </row>
    <row r="608" spans="2:9">
      <c r="B608" s="21">
        <v>45176</v>
      </c>
      <c r="C608">
        <v>354.2</v>
      </c>
      <c r="D608">
        <v>357</v>
      </c>
      <c r="E608" s="17">
        <f t="shared" si="18"/>
        <v>1.0558496334248643E-2</v>
      </c>
      <c r="G608" s="21">
        <v>45176</v>
      </c>
      <c r="H608" s="12">
        <v>19727.05078125</v>
      </c>
      <c r="I608" s="15">
        <f t="shared" si="19"/>
        <v>5.9150323607803238E-3</v>
      </c>
    </row>
    <row r="609" spans="2:9">
      <c r="B609" s="21">
        <v>45177</v>
      </c>
      <c r="C609">
        <v>358.59</v>
      </c>
      <c r="D609">
        <v>357.83</v>
      </c>
      <c r="E609" s="17">
        <f t="shared" si="18"/>
        <v>2.3249299719887511E-3</v>
      </c>
      <c r="G609" s="21">
        <v>45177</v>
      </c>
      <c r="H609" s="12">
        <v>19819.94921875</v>
      </c>
      <c r="I609" s="14">
        <f t="shared" si="19"/>
        <v>4.7091903665750848E-3</v>
      </c>
    </row>
    <row r="610" spans="2:9">
      <c r="B610" s="21">
        <v>45180</v>
      </c>
      <c r="C610">
        <v>359.19</v>
      </c>
      <c r="D610">
        <v>360.77</v>
      </c>
      <c r="E610" s="17">
        <f t="shared" si="18"/>
        <v>8.216192046502523E-3</v>
      </c>
      <c r="G610" s="21">
        <v>45180</v>
      </c>
      <c r="H610" s="12">
        <v>19996.349609375</v>
      </c>
      <c r="I610" s="15">
        <f t="shared" si="19"/>
        <v>8.9001434200508597E-3</v>
      </c>
    </row>
    <row r="611" spans="2:9">
      <c r="B611" s="21">
        <v>45181</v>
      </c>
      <c r="C611">
        <v>362.98</v>
      </c>
      <c r="D611">
        <v>361.43</v>
      </c>
      <c r="E611" s="17">
        <f t="shared" si="18"/>
        <v>1.8294204063531475E-3</v>
      </c>
      <c r="G611" s="21">
        <v>45181</v>
      </c>
      <c r="H611" s="12">
        <v>19993.19921875</v>
      </c>
      <c r="I611" s="14">
        <f t="shared" si="19"/>
        <v>-1.5754828688947231E-4</v>
      </c>
    </row>
    <row r="612" spans="2:9">
      <c r="B612" s="21">
        <v>45182</v>
      </c>
      <c r="C612">
        <v>359.31</v>
      </c>
      <c r="D612">
        <v>364.1</v>
      </c>
      <c r="E612" s="17">
        <f t="shared" si="18"/>
        <v>7.3873225797526929E-3</v>
      </c>
      <c r="G612" s="21">
        <v>45182</v>
      </c>
      <c r="H612" s="12">
        <v>20070</v>
      </c>
      <c r="I612" s="15">
        <f t="shared" si="19"/>
        <v>3.8413452699443307E-3</v>
      </c>
    </row>
    <row r="613" spans="2:9">
      <c r="B613" s="21">
        <v>45183</v>
      </c>
      <c r="C613">
        <v>364.78</v>
      </c>
      <c r="D613">
        <v>363.49</v>
      </c>
      <c r="E613" s="17">
        <f t="shared" si="18"/>
        <v>-1.6753639110134951E-3</v>
      </c>
      <c r="G613" s="21">
        <v>45183</v>
      </c>
      <c r="H613" s="12">
        <v>20103.099609375</v>
      </c>
      <c r="I613" s="14">
        <f t="shared" si="19"/>
        <v>1.6492082399103139E-3</v>
      </c>
    </row>
    <row r="614" spans="2:9">
      <c r="B614" s="21">
        <v>45184</v>
      </c>
      <c r="C614">
        <v>362.42</v>
      </c>
      <c r="D614">
        <v>361.97</v>
      </c>
      <c r="E614" s="17">
        <f t="shared" si="18"/>
        <v>-4.1816831274587522E-3</v>
      </c>
      <c r="G614" s="21">
        <v>45184</v>
      </c>
      <c r="H614" s="12">
        <v>20192.349609375</v>
      </c>
      <c r="I614" s="15">
        <f t="shared" si="19"/>
        <v>4.439613877174375E-3</v>
      </c>
    </row>
    <row r="615" spans="2:9">
      <c r="B615" s="21">
        <v>45187</v>
      </c>
      <c r="C615">
        <v>361.39</v>
      </c>
      <c r="D615">
        <v>358.86</v>
      </c>
      <c r="E615" s="17">
        <f t="shared" si="18"/>
        <v>-8.5918722546067718E-3</v>
      </c>
      <c r="G615" s="21">
        <v>45187</v>
      </c>
      <c r="H615" s="12">
        <v>20133.30078125</v>
      </c>
      <c r="I615" s="14">
        <f t="shared" si="19"/>
        <v>-2.9243168460982138E-3</v>
      </c>
    </row>
    <row r="616" spans="2:9">
      <c r="B616" s="21">
        <v>45189</v>
      </c>
      <c r="C616">
        <v>356.59</v>
      </c>
      <c r="D616">
        <v>357.09</v>
      </c>
      <c r="E616" s="17">
        <f t="shared" si="18"/>
        <v>-4.9322855709748609E-3</v>
      </c>
      <c r="G616" s="21">
        <v>45189</v>
      </c>
      <c r="H616" s="12">
        <v>19901.400390625</v>
      </c>
      <c r="I616" s="15">
        <f t="shared" si="19"/>
        <v>-1.1518249945432057E-2</v>
      </c>
    </row>
    <row r="617" spans="2:9">
      <c r="B617" s="21">
        <v>45190</v>
      </c>
      <c r="C617">
        <v>356</v>
      </c>
      <c r="D617">
        <v>350.35</v>
      </c>
      <c r="E617" s="17">
        <f t="shared" si="18"/>
        <v>-1.8874793469433344E-2</v>
      </c>
      <c r="G617" s="21">
        <v>45190</v>
      </c>
      <c r="H617" s="12">
        <v>19742.349609375</v>
      </c>
      <c r="I617" s="14">
        <f t="shared" si="19"/>
        <v>-7.9919391664982752E-3</v>
      </c>
    </row>
    <row r="618" spans="2:9">
      <c r="B618" s="21">
        <v>45191</v>
      </c>
      <c r="C618">
        <v>350.81</v>
      </c>
      <c r="D618">
        <v>350.5</v>
      </c>
      <c r="E618" s="17">
        <f t="shared" si="18"/>
        <v>4.281432852860775E-4</v>
      </c>
      <c r="G618" s="21">
        <v>45191</v>
      </c>
      <c r="H618" s="12">
        <v>19674.25</v>
      </c>
      <c r="I618" s="15">
        <f t="shared" si="19"/>
        <v>-3.4494176591149876E-3</v>
      </c>
    </row>
    <row r="619" spans="2:9">
      <c r="B619" s="21">
        <v>45194</v>
      </c>
      <c r="C619">
        <v>352.01</v>
      </c>
      <c r="D619">
        <v>356.08</v>
      </c>
      <c r="E619" s="17">
        <f t="shared" si="18"/>
        <v>1.5920114122681836E-2</v>
      </c>
      <c r="G619" s="21">
        <v>45194</v>
      </c>
      <c r="H619" s="12">
        <v>19674.55078125</v>
      </c>
      <c r="I619" s="14">
        <f t="shared" si="19"/>
        <v>1.5288066889462116E-5</v>
      </c>
    </row>
    <row r="620" spans="2:9">
      <c r="B620" s="21">
        <v>45195</v>
      </c>
      <c r="C620">
        <v>354.42</v>
      </c>
      <c r="D620">
        <v>352.03</v>
      </c>
      <c r="E620" s="17">
        <f t="shared" si="18"/>
        <v>-1.1373848573354335E-2</v>
      </c>
      <c r="G620" s="21">
        <v>45195</v>
      </c>
      <c r="H620" s="12">
        <v>19664.69921875</v>
      </c>
      <c r="I620" s="15">
        <f t="shared" si="19"/>
        <v>-5.0072617207548218E-4</v>
      </c>
    </row>
    <row r="621" spans="2:9">
      <c r="B621" s="21">
        <v>45196</v>
      </c>
      <c r="C621">
        <v>352.01</v>
      </c>
      <c r="D621">
        <v>352.24</v>
      </c>
      <c r="E621" s="17">
        <f t="shared" si="18"/>
        <v>5.9654006760797771E-4</v>
      </c>
      <c r="G621" s="21">
        <v>45196</v>
      </c>
      <c r="H621" s="12">
        <v>19716.44921875</v>
      </c>
      <c r="I621" s="14">
        <f t="shared" si="19"/>
        <v>2.6316191986632139E-3</v>
      </c>
    </row>
    <row r="622" spans="2:9">
      <c r="B622" s="21">
        <v>45197</v>
      </c>
      <c r="C622">
        <v>351.65</v>
      </c>
      <c r="D622">
        <v>345.86</v>
      </c>
      <c r="E622" s="17">
        <f t="shared" si="18"/>
        <v>-1.8112650465591629E-2</v>
      </c>
      <c r="G622" s="21">
        <v>45197</v>
      </c>
      <c r="H622" s="12">
        <v>19523.55078125</v>
      </c>
      <c r="I622" s="15">
        <f t="shared" si="19"/>
        <v>-9.7836296667737181E-3</v>
      </c>
    </row>
    <row r="623" spans="2:9">
      <c r="B623" s="21">
        <v>45198</v>
      </c>
      <c r="C623">
        <v>348.02</v>
      </c>
      <c r="D623">
        <v>346.36</v>
      </c>
      <c r="E623" s="17">
        <f t="shared" si="18"/>
        <v>1.4456716590527958E-3</v>
      </c>
      <c r="G623" s="21">
        <v>45198</v>
      </c>
      <c r="H623" s="12">
        <v>19638.30078125</v>
      </c>
      <c r="I623" s="14">
        <f t="shared" si="19"/>
        <v>5.8775169171687482E-3</v>
      </c>
    </row>
    <row r="624" spans="2:9">
      <c r="B624" s="21">
        <v>45202</v>
      </c>
      <c r="C624">
        <v>345.22</v>
      </c>
      <c r="D624">
        <v>344.63</v>
      </c>
      <c r="E624" s="17">
        <f t="shared" si="18"/>
        <v>-4.9948030950456692E-3</v>
      </c>
      <c r="G624" s="21">
        <v>45202</v>
      </c>
      <c r="H624" s="12">
        <v>19528.75</v>
      </c>
      <c r="I624" s="15">
        <f t="shared" si="19"/>
        <v>-5.5784246544688561E-3</v>
      </c>
    </row>
    <row r="625" spans="2:9">
      <c r="B625" s="21">
        <v>45203</v>
      </c>
      <c r="C625">
        <v>342.23</v>
      </c>
      <c r="D625">
        <v>343.64</v>
      </c>
      <c r="E625" s="17">
        <f t="shared" si="18"/>
        <v>-2.8726460261730234E-3</v>
      </c>
      <c r="G625" s="21">
        <v>45203</v>
      </c>
      <c r="H625" s="12">
        <v>19436.099609375</v>
      </c>
      <c r="I625" s="14">
        <f t="shared" si="19"/>
        <v>-4.7443072713307301E-3</v>
      </c>
    </row>
    <row r="626" spans="2:9">
      <c r="B626" s="21">
        <v>45204</v>
      </c>
      <c r="C626">
        <v>345.22</v>
      </c>
      <c r="D626">
        <v>346.07</v>
      </c>
      <c r="E626" s="17">
        <f t="shared" si="18"/>
        <v>7.0713537422884614E-3</v>
      </c>
      <c r="G626" s="21">
        <v>45204</v>
      </c>
      <c r="H626" s="12">
        <v>19545.75</v>
      </c>
      <c r="I626" s="15">
        <f t="shared" si="19"/>
        <v>5.6415841052857201E-3</v>
      </c>
    </row>
    <row r="627" spans="2:9">
      <c r="B627" s="21">
        <v>45205</v>
      </c>
      <c r="C627">
        <v>346.28</v>
      </c>
      <c r="D627">
        <v>348</v>
      </c>
      <c r="E627" s="17">
        <f t="shared" si="18"/>
        <v>5.5769064062184152E-3</v>
      </c>
      <c r="G627" s="21">
        <v>45205</v>
      </c>
      <c r="H627" s="12">
        <v>19653.5</v>
      </c>
      <c r="I627" s="14">
        <f t="shared" si="19"/>
        <v>5.512707366051443E-3</v>
      </c>
    </row>
    <row r="628" spans="2:9">
      <c r="B628" s="21">
        <v>45208</v>
      </c>
      <c r="C628">
        <v>345.22</v>
      </c>
      <c r="D628">
        <v>343.09</v>
      </c>
      <c r="E628" s="17">
        <f t="shared" si="18"/>
        <v>-1.4109195402298923E-2</v>
      </c>
      <c r="G628" s="21">
        <v>45208</v>
      </c>
      <c r="H628" s="12">
        <v>19512.349609375</v>
      </c>
      <c r="I628" s="15">
        <f t="shared" si="19"/>
        <v>-7.181946758847025E-3</v>
      </c>
    </row>
    <row r="629" spans="2:9">
      <c r="B629" s="21">
        <v>45209</v>
      </c>
      <c r="C629">
        <v>344.72</v>
      </c>
      <c r="D629">
        <v>350.43</v>
      </c>
      <c r="E629" s="17">
        <f t="shared" si="18"/>
        <v>2.1393803375207767E-2</v>
      </c>
      <c r="G629" s="21">
        <v>45209</v>
      </c>
      <c r="H629" s="12">
        <v>19689.849609375</v>
      </c>
      <c r="I629" s="14">
        <f t="shared" si="19"/>
        <v>9.0968029762401072E-3</v>
      </c>
    </row>
    <row r="630" spans="2:9">
      <c r="B630" s="21">
        <v>45210</v>
      </c>
      <c r="C630">
        <v>351.22</v>
      </c>
      <c r="D630">
        <v>353.48</v>
      </c>
      <c r="E630" s="17">
        <f t="shared" si="18"/>
        <v>8.7035927289330576E-3</v>
      </c>
      <c r="G630" s="21">
        <v>45210</v>
      </c>
      <c r="H630" s="12">
        <v>19811.349609375</v>
      </c>
      <c r="I630" s="15">
        <f t="shared" si="19"/>
        <v>6.1706921287072586E-3</v>
      </c>
    </row>
    <row r="631" spans="2:9">
      <c r="B631" s="21">
        <v>45211</v>
      </c>
      <c r="C631">
        <v>354.2</v>
      </c>
      <c r="D631">
        <v>351.98</v>
      </c>
      <c r="E631" s="17">
        <f t="shared" si="18"/>
        <v>-4.24352155708951E-3</v>
      </c>
      <c r="G631" s="21">
        <v>45211</v>
      </c>
      <c r="H631" s="12">
        <v>19794</v>
      </c>
      <c r="I631" s="14">
        <f t="shared" si="19"/>
        <v>-8.7574091200681898E-4</v>
      </c>
    </row>
    <row r="632" spans="2:9">
      <c r="B632" s="21">
        <v>45212</v>
      </c>
      <c r="C632">
        <v>350.21</v>
      </c>
      <c r="D632">
        <v>351.61</v>
      </c>
      <c r="E632" s="17">
        <f t="shared" si="18"/>
        <v>-1.0511960906869836E-3</v>
      </c>
      <c r="G632" s="21">
        <v>45212</v>
      </c>
      <c r="H632" s="12">
        <v>19751.05078125</v>
      </c>
      <c r="I632" s="15">
        <f t="shared" si="19"/>
        <v>-2.1698099802970596E-3</v>
      </c>
    </row>
    <row r="633" spans="2:9">
      <c r="B633" s="21">
        <v>45215</v>
      </c>
      <c r="C633">
        <v>351.41</v>
      </c>
      <c r="D633">
        <v>349.16</v>
      </c>
      <c r="E633" s="17">
        <f t="shared" si="18"/>
        <v>-6.9679474417678354E-3</v>
      </c>
      <c r="G633" s="21">
        <v>45215</v>
      </c>
      <c r="H633" s="12">
        <v>19731.75</v>
      </c>
      <c r="I633" s="14">
        <f t="shared" si="19"/>
        <v>-9.7720275562870559E-4</v>
      </c>
    </row>
    <row r="634" spans="2:9">
      <c r="B634" s="21">
        <v>45216</v>
      </c>
      <c r="C634">
        <v>350.21</v>
      </c>
      <c r="D634">
        <v>353.51</v>
      </c>
      <c r="E634" s="17">
        <f t="shared" si="18"/>
        <v>1.2458471760797243E-2</v>
      </c>
      <c r="G634" s="21">
        <v>45216</v>
      </c>
      <c r="H634" s="12">
        <v>19811.5</v>
      </c>
      <c r="I634" s="15">
        <f t="shared" si="19"/>
        <v>4.0417094276990126E-3</v>
      </c>
    </row>
    <row r="635" spans="2:9">
      <c r="B635" s="21">
        <v>45217</v>
      </c>
      <c r="C635">
        <v>353.8</v>
      </c>
      <c r="D635">
        <v>349.89</v>
      </c>
      <c r="E635" s="17">
        <f t="shared" si="18"/>
        <v>-1.0240162937399239E-2</v>
      </c>
      <c r="G635" s="21">
        <v>45217</v>
      </c>
      <c r="H635" s="12">
        <v>19671.099609375</v>
      </c>
      <c r="I635" s="14">
        <f t="shared" si="19"/>
        <v>-7.0868127413371024E-3</v>
      </c>
    </row>
    <row r="636" spans="2:9">
      <c r="B636" s="21">
        <v>45218</v>
      </c>
      <c r="C636">
        <v>347.62</v>
      </c>
      <c r="D636">
        <v>346.91</v>
      </c>
      <c r="E636" s="17">
        <f t="shared" si="18"/>
        <v>-8.5169624739202653E-3</v>
      </c>
      <c r="G636" s="21">
        <v>45218</v>
      </c>
      <c r="H636" s="12">
        <v>19624.69921875</v>
      </c>
      <c r="I636" s="15">
        <f t="shared" si="19"/>
        <v>-2.3588102112444267E-3</v>
      </c>
    </row>
    <row r="637" spans="2:9">
      <c r="B637" s="21">
        <v>45219</v>
      </c>
      <c r="C637">
        <v>345.92</v>
      </c>
      <c r="D637">
        <v>353.13</v>
      </c>
      <c r="E637" s="17">
        <f t="shared" si="18"/>
        <v>1.7929722406387738E-2</v>
      </c>
      <c r="G637" s="21">
        <v>45219</v>
      </c>
      <c r="H637" s="12">
        <v>19542.650390625</v>
      </c>
      <c r="I637" s="14">
        <f t="shared" si="19"/>
        <v>-4.1808960845936532E-3</v>
      </c>
    </row>
    <row r="638" spans="2:9">
      <c r="B638" s="21">
        <v>45222</v>
      </c>
      <c r="C638">
        <v>353.01</v>
      </c>
      <c r="D638">
        <v>347.37</v>
      </c>
      <c r="E638" s="17">
        <f t="shared" si="18"/>
        <v>-1.6311273468694223E-2</v>
      </c>
      <c r="G638" s="21">
        <v>45222</v>
      </c>
      <c r="H638" s="12">
        <v>19281.75</v>
      </c>
      <c r="I638" s="15">
        <f t="shared" si="19"/>
        <v>-1.3350307425555702E-2</v>
      </c>
    </row>
    <row r="639" spans="2:9">
      <c r="B639" s="21">
        <v>45224</v>
      </c>
      <c r="C639">
        <v>349.01</v>
      </c>
      <c r="D639">
        <v>344.83</v>
      </c>
      <c r="E639" s="17">
        <f t="shared" si="18"/>
        <v>-7.3120879753577469E-3</v>
      </c>
      <c r="G639" s="21">
        <v>45224</v>
      </c>
      <c r="H639" s="12">
        <v>19122.150390625</v>
      </c>
      <c r="I639" s="14">
        <f t="shared" si="19"/>
        <v>-8.2772367329210263E-3</v>
      </c>
    </row>
    <row r="640" spans="2:9">
      <c r="B640" s="21">
        <v>45225</v>
      </c>
      <c r="C640">
        <v>344.76</v>
      </c>
      <c r="D640">
        <v>338.21</v>
      </c>
      <c r="E640" s="17">
        <f t="shared" si="18"/>
        <v>-1.9197865614940711E-2</v>
      </c>
      <c r="G640" s="21">
        <v>45225</v>
      </c>
      <c r="H640" s="12">
        <v>18857.25</v>
      </c>
      <c r="I640" s="15">
        <f t="shared" si="19"/>
        <v>-1.385306491234754E-2</v>
      </c>
    </row>
    <row r="641" spans="2:9">
      <c r="B641" s="21">
        <v>45226</v>
      </c>
      <c r="C641">
        <v>340.83</v>
      </c>
      <c r="D641">
        <v>339.78</v>
      </c>
      <c r="E641" s="17">
        <f t="shared" si="18"/>
        <v>4.6420862777564039E-3</v>
      </c>
      <c r="G641" s="21">
        <v>45226</v>
      </c>
      <c r="H641" s="12">
        <v>19047.25</v>
      </c>
      <c r="I641" s="14">
        <f t="shared" si="19"/>
        <v>1.007570032746026E-2</v>
      </c>
    </row>
    <row r="642" spans="2:9">
      <c r="B642" s="21">
        <v>45229</v>
      </c>
      <c r="C642">
        <v>339.64</v>
      </c>
      <c r="D642">
        <v>342.73</v>
      </c>
      <c r="E642" s="17">
        <f t="shared" si="18"/>
        <v>8.6820884101478767E-3</v>
      </c>
      <c r="G642" s="21">
        <v>45229</v>
      </c>
      <c r="H642" s="12">
        <v>19140.900390625</v>
      </c>
      <c r="I642" s="15">
        <f t="shared" si="19"/>
        <v>4.9167407696649118E-3</v>
      </c>
    </row>
    <row r="643" spans="2:9">
      <c r="B643" s="21">
        <v>45230</v>
      </c>
      <c r="C643">
        <v>344.76</v>
      </c>
      <c r="D643">
        <v>347.1</v>
      </c>
      <c r="E643" s="17">
        <f t="shared" si="18"/>
        <v>1.2750561666618049E-2</v>
      </c>
      <c r="G643" s="21">
        <v>45230</v>
      </c>
      <c r="H643" s="12">
        <v>19079.599609375</v>
      </c>
      <c r="I643" s="14">
        <f t="shared" si="19"/>
        <v>-3.2026069828995319E-3</v>
      </c>
    </row>
    <row r="644" spans="2:9">
      <c r="B644" s="21">
        <v>45231</v>
      </c>
      <c r="C644">
        <v>345.42</v>
      </c>
      <c r="D644">
        <v>344.11</v>
      </c>
      <c r="E644" s="17">
        <f t="shared" si="18"/>
        <v>-8.6142322097378533E-3</v>
      </c>
      <c r="G644" s="21">
        <v>45231</v>
      </c>
      <c r="H644" s="12">
        <v>18989.150390625</v>
      </c>
      <c r="I644" s="15">
        <f t="shared" si="19"/>
        <v>-4.7406245729368791E-3</v>
      </c>
    </row>
    <row r="645" spans="2:9">
      <c r="B645" s="21">
        <v>45232</v>
      </c>
      <c r="C645">
        <v>346.22</v>
      </c>
      <c r="D645">
        <v>346.76</v>
      </c>
      <c r="E645" s="17">
        <f t="shared" ref="E645:E708" si="20">(D645-D644)/D644</f>
        <v>7.7010258347620739E-3</v>
      </c>
      <c r="G645" s="21">
        <v>45232</v>
      </c>
      <c r="H645" s="12">
        <v>19133.25</v>
      </c>
      <c r="I645" s="14">
        <f t="shared" ref="I645:I708" si="21">(H645-H644)/H644</f>
        <v>7.5885232572670764E-3</v>
      </c>
    </row>
    <row r="646" spans="2:9">
      <c r="B646" s="21">
        <v>45233</v>
      </c>
      <c r="C646">
        <v>347.22</v>
      </c>
      <c r="D646">
        <v>345.87</v>
      </c>
      <c r="E646" s="17">
        <f t="shared" si="20"/>
        <v>-2.5666166801245425E-3</v>
      </c>
      <c r="G646" s="21">
        <v>45233</v>
      </c>
      <c r="H646" s="12">
        <v>19230.599609375</v>
      </c>
      <c r="I646" s="15">
        <f t="shared" si="21"/>
        <v>5.0879808383311777E-3</v>
      </c>
    </row>
    <row r="647" spans="2:9">
      <c r="B647" s="21">
        <v>45236</v>
      </c>
      <c r="C647">
        <v>348.02</v>
      </c>
      <c r="D647">
        <v>347.26</v>
      </c>
      <c r="E647" s="17">
        <f t="shared" si="20"/>
        <v>4.0188510133864928E-3</v>
      </c>
      <c r="G647" s="21">
        <v>45236</v>
      </c>
      <c r="H647" s="12">
        <v>19411.75</v>
      </c>
      <c r="I647" s="14">
        <f t="shared" si="21"/>
        <v>9.4199033989916994E-3</v>
      </c>
    </row>
    <row r="648" spans="2:9">
      <c r="B648" s="21">
        <v>45237</v>
      </c>
      <c r="C648">
        <v>346.25</v>
      </c>
      <c r="D648">
        <v>349.46</v>
      </c>
      <c r="E648" s="17">
        <f t="shared" si="20"/>
        <v>6.3353107181938276E-3</v>
      </c>
      <c r="G648" s="21">
        <v>45237</v>
      </c>
      <c r="H648" s="12">
        <v>19406.69921875</v>
      </c>
      <c r="I648" s="15">
        <f t="shared" si="21"/>
        <v>-2.6019195847875644E-4</v>
      </c>
    </row>
    <row r="649" spans="2:9">
      <c r="B649" s="21">
        <v>45238</v>
      </c>
      <c r="C649">
        <v>349.81</v>
      </c>
      <c r="D649">
        <v>348.47</v>
      </c>
      <c r="E649" s="17">
        <f t="shared" si="20"/>
        <v>-2.8329422537628122E-3</v>
      </c>
      <c r="G649" s="21">
        <v>45238</v>
      </c>
      <c r="H649" s="12">
        <v>19443.5</v>
      </c>
      <c r="I649" s="14">
        <f t="shared" si="21"/>
        <v>1.8962926582818634E-3</v>
      </c>
    </row>
    <row r="650" spans="2:9">
      <c r="B650" s="21">
        <v>45239</v>
      </c>
      <c r="C650">
        <v>348.4</v>
      </c>
      <c r="D650">
        <v>348.21</v>
      </c>
      <c r="E650" s="17">
        <f t="shared" si="20"/>
        <v>-7.461187476685159E-4</v>
      </c>
      <c r="G650" s="21">
        <v>45239</v>
      </c>
      <c r="H650" s="12">
        <v>19395.30078125</v>
      </c>
      <c r="I650" s="15">
        <f t="shared" si="21"/>
        <v>-2.4789373698151053E-3</v>
      </c>
    </row>
    <row r="651" spans="2:9">
      <c r="B651" s="21">
        <v>45240</v>
      </c>
      <c r="C651">
        <v>346.14</v>
      </c>
      <c r="D651">
        <v>348.31</v>
      </c>
      <c r="E651" s="17">
        <f t="shared" si="20"/>
        <v>2.8718302173982006E-4</v>
      </c>
      <c r="G651" s="21">
        <v>45240</v>
      </c>
      <c r="H651" s="12">
        <v>19425.349609375</v>
      </c>
      <c r="I651" s="14">
        <f t="shared" si="21"/>
        <v>1.5492839458333678E-3</v>
      </c>
    </row>
    <row r="652" spans="2:9">
      <c r="B652" s="21">
        <v>45243</v>
      </c>
      <c r="C652">
        <v>349.41</v>
      </c>
      <c r="D652">
        <v>348.86</v>
      </c>
      <c r="E652" s="17">
        <f t="shared" si="20"/>
        <v>1.5790531423157859E-3</v>
      </c>
      <c r="G652" s="21">
        <v>45243</v>
      </c>
      <c r="H652" s="12">
        <v>19443.55078125</v>
      </c>
      <c r="I652" s="15">
        <f t="shared" si="21"/>
        <v>9.3698040143461864E-4</v>
      </c>
    </row>
    <row r="653" spans="2:9">
      <c r="B653" s="21">
        <v>45245</v>
      </c>
      <c r="C653">
        <v>351.41</v>
      </c>
      <c r="D653">
        <v>353.11</v>
      </c>
      <c r="E653" s="17">
        <f t="shared" si="20"/>
        <v>1.2182537407556039E-2</v>
      </c>
      <c r="G653" s="21">
        <v>45245</v>
      </c>
      <c r="H653" s="12">
        <v>19675.44921875</v>
      </c>
      <c r="I653" s="14">
        <f t="shared" si="21"/>
        <v>1.1926753508604336E-2</v>
      </c>
    </row>
    <row r="654" spans="2:9">
      <c r="B654" s="21">
        <v>45246</v>
      </c>
      <c r="C654">
        <v>353.4</v>
      </c>
      <c r="D654">
        <v>353.77</v>
      </c>
      <c r="E654" s="17">
        <f t="shared" si="20"/>
        <v>1.8691059443232084E-3</v>
      </c>
      <c r="G654" s="21">
        <v>45246</v>
      </c>
      <c r="H654" s="12">
        <v>19765.19921875</v>
      </c>
      <c r="I654" s="15">
        <f t="shared" si="21"/>
        <v>4.5615222809993819E-3</v>
      </c>
    </row>
    <row r="655" spans="2:9">
      <c r="B655" s="21">
        <v>45247</v>
      </c>
      <c r="C655">
        <v>351.21</v>
      </c>
      <c r="D655">
        <v>352.13</v>
      </c>
      <c r="E655" s="17">
        <f t="shared" si="20"/>
        <v>-4.6357803092404283E-3</v>
      </c>
      <c r="G655" s="21">
        <v>45247</v>
      </c>
      <c r="H655" s="12">
        <v>19731.80078125</v>
      </c>
      <c r="I655" s="14">
        <f t="shared" si="21"/>
        <v>-1.6897597201204532E-3</v>
      </c>
    </row>
    <row r="656" spans="2:9">
      <c r="B656" s="21">
        <v>45250</v>
      </c>
      <c r="C656">
        <v>350.41</v>
      </c>
      <c r="D656">
        <v>353.31</v>
      </c>
      <c r="E656" s="17">
        <f t="shared" si="20"/>
        <v>3.3510351290716692E-3</v>
      </c>
      <c r="G656" s="21">
        <v>45250</v>
      </c>
      <c r="H656" s="12">
        <v>19694</v>
      </c>
      <c r="I656" s="15">
        <f t="shared" si="21"/>
        <v>-1.9157289123818803E-3</v>
      </c>
    </row>
    <row r="657" spans="2:9">
      <c r="B657" s="21">
        <v>45251</v>
      </c>
      <c r="C657">
        <v>354.99</v>
      </c>
      <c r="D657">
        <v>352.65</v>
      </c>
      <c r="E657" s="17">
        <f t="shared" si="20"/>
        <v>-1.8680478899550678E-3</v>
      </c>
      <c r="G657" s="21">
        <v>45251</v>
      </c>
      <c r="H657" s="12">
        <v>19783.400390625</v>
      </c>
      <c r="I657" s="14">
        <f t="shared" si="21"/>
        <v>4.5394734754239871E-3</v>
      </c>
    </row>
    <row r="658" spans="2:9">
      <c r="B658" s="21">
        <v>45252</v>
      </c>
      <c r="C658">
        <v>350.81</v>
      </c>
      <c r="D658">
        <v>348.35</v>
      </c>
      <c r="E658" s="17">
        <f t="shared" si="20"/>
        <v>-1.2193392882461235E-2</v>
      </c>
      <c r="G658" s="21">
        <v>45252</v>
      </c>
      <c r="H658" s="12">
        <v>19811.849609375</v>
      </c>
      <c r="I658" s="15">
        <f t="shared" si="21"/>
        <v>1.438034826585301E-3</v>
      </c>
    </row>
    <row r="659" spans="2:9">
      <c r="B659" s="21">
        <v>45253</v>
      </c>
      <c r="C659">
        <v>347.23</v>
      </c>
      <c r="D659">
        <v>347.08</v>
      </c>
      <c r="E659" s="17">
        <f t="shared" si="20"/>
        <v>-3.6457585761447927E-3</v>
      </c>
      <c r="G659" s="21">
        <v>45253</v>
      </c>
      <c r="H659" s="12">
        <v>19802</v>
      </c>
      <c r="I659" s="14">
        <f t="shared" si="21"/>
        <v>-4.9715748752398909E-4</v>
      </c>
    </row>
    <row r="660" spans="2:9">
      <c r="B660" s="21">
        <v>45254</v>
      </c>
      <c r="C660">
        <v>347.12</v>
      </c>
      <c r="D660">
        <v>348.02</v>
      </c>
      <c r="E660" s="17">
        <f t="shared" si="20"/>
        <v>2.7083093234988986E-3</v>
      </c>
      <c r="G660" s="21">
        <v>45254</v>
      </c>
      <c r="H660" s="12">
        <v>19794.69921875</v>
      </c>
      <c r="I660" s="15">
        <f t="shared" si="21"/>
        <v>-3.6868908443591557E-4</v>
      </c>
    </row>
    <row r="661" spans="2:9">
      <c r="B661" s="21">
        <v>45258</v>
      </c>
      <c r="C661">
        <v>348.22</v>
      </c>
      <c r="D661">
        <v>347.67</v>
      </c>
      <c r="E661" s="17">
        <f t="shared" si="20"/>
        <v>-1.0056893281994309E-3</v>
      </c>
      <c r="G661" s="21">
        <v>45258</v>
      </c>
      <c r="H661" s="12">
        <v>19889.69921875</v>
      </c>
      <c r="I661" s="14">
        <f t="shared" si="21"/>
        <v>4.7992646389905125E-3</v>
      </c>
    </row>
    <row r="662" spans="2:9">
      <c r="B662" s="21">
        <v>45259</v>
      </c>
      <c r="C662">
        <v>348.91</v>
      </c>
      <c r="D662">
        <v>349.9</v>
      </c>
      <c r="E662" s="17">
        <f t="shared" si="20"/>
        <v>6.4141283400925052E-3</v>
      </c>
      <c r="G662" s="21">
        <v>45259</v>
      </c>
      <c r="H662" s="12">
        <v>20096.599609375</v>
      </c>
      <c r="I662" s="15">
        <f t="shared" si="21"/>
        <v>1.0402389113554579E-2</v>
      </c>
    </row>
    <row r="663" spans="2:9">
      <c r="B663" s="21">
        <v>45260</v>
      </c>
      <c r="C663">
        <v>350.5</v>
      </c>
      <c r="D663">
        <v>350.3</v>
      </c>
      <c r="E663" s="17">
        <f t="shared" si="20"/>
        <v>1.1431837667906092E-3</v>
      </c>
      <c r="G663" s="21">
        <v>45260</v>
      </c>
      <c r="H663" s="12">
        <v>20133.150390625</v>
      </c>
      <c r="I663" s="14">
        <f t="shared" si="21"/>
        <v>1.8187545137212753E-3</v>
      </c>
    </row>
    <row r="664" spans="2:9">
      <c r="B664" s="21">
        <v>45261</v>
      </c>
      <c r="C664">
        <v>351.21</v>
      </c>
      <c r="D664">
        <v>349.31</v>
      </c>
      <c r="E664" s="17">
        <f t="shared" si="20"/>
        <v>-2.8261490151299147E-3</v>
      </c>
      <c r="G664" s="21">
        <v>45261</v>
      </c>
      <c r="H664" s="12">
        <v>20267.900390625</v>
      </c>
      <c r="I664" s="15">
        <f t="shared" si="21"/>
        <v>6.6929416105065368E-3</v>
      </c>
    </row>
    <row r="665" spans="2:9">
      <c r="B665" s="21">
        <v>45264</v>
      </c>
      <c r="C665">
        <v>353.21</v>
      </c>
      <c r="D665">
        <v>362.89</v>
      </c>
      <c r="E665" s="17">
        <f t="shared" si="20"/>
        <v>3.8876642523832654E-2</v>
      </c>
      <c r="G665" s="21">
        <v>45264</v>
      </c>
      <c r="H665" s="12">
        <v>20686.80078125</v>
      </c>
      <c r="I665" s="14">
        <f t="shared" si="21"/>
        <v>2.0668169003769332E-2</v>
      </c>
    </row>
    <row r="666" spans="2:9">
      <c r="B666" s="21">
        <v>45265</v>
      </c>
      <c r="C666">
        <v>364.78</v>
      </c>
      <c r="D666">
        <v>364.87</v>
      </c>
      <c r="E666" s="17">
        <f t="shared" si="20"/>
        <v>5.4561988481358487E-3</v>
      </c>
      <c r="G666" s="21">
        <v>45265</v>
      </c>
      <c r="H666" s="12">
        <v>20855.099609375</v>
      </c>
      <c r="I666" s="15">
        <f t="shared" si="21"/>
        <v>8.1355657602475619E-3</v>
      </c>
    </row>
    <row r="667" spans="2:9">
      <c r="B667" s="21">
        <v>45266</v>
      </c>
      <c r="C667">
        <v>365.59</v>
      </c>
      <c r="D667">
        <v>363.46</v>
      </c>
      <c r="E667" s="17">
        <f t="shared" si="20"/>
        <v>-3.8643900567326035E-3</v>
      </c>
      <c r="G667" s="21">
        <v>45266</v>
      </c>
      <c r="H667" s="12">
        <v>20937.69921875</v>
      </c>
      <c r="I667" s="14">
        <f t="shared" si="21"/>
        <v>3.9606432442005199E-3</v>
      </c>
    </row>
    <row r="668" spans="2:9">
      <c r="B668" s="21">
        <v>45267</v>
      </c>
      <c r="C668">
        <v>364.18</v>
      </c>
      <c r="D668">
        <v>364.55</v>
      </c>
      <c r="E668" s="17">
        <f t="shared" si="20"/>
        <v>2.9989544929291583E-3</v>
      </c>
      <c r="G668" s="21">
        <v>45267</v>
      </c>
      <c r="H668" s="12">
        <v>20901.150390625</v>
      </c>
      <c r="I668" s="15">
        <f t="shared" si="21"/>
        <v>-1.7455990623969808E-3</v>
      </c>
    </row>
    <row r="669" spans="2:9">
      <c r="B669" s="21">
        <v>45268</v>
      </c>
      <c r="C669">
        <v>364.55</v>
      </c>
      <c r="D669">
        <v>366.86</v>
      </c>
      <c r="E669" s="17">
        <f t="shared" si="20"/>
        <v>6.336579344397208E-3</v>
      </c>
      <c r="G669" s="21">
        <v>45268</v>
      </c>
      <c r="H669" s="12">
        <v>20969.400390625</v>
      </c>
      <c r="I669" s="14">
        <f t="shared" si="21"/>
        <v>3.2653705047073797E-3</v>
      </c>
    </row>
    <row r="670" spans="2:9">
      <c r="B670" s="21">
        <v>45271</v>
      </c>
      <c r="C670">
        <v>368.17</v>
      </c>
      <c r="D670">
        <v>367.98</v>
      </c>
      <c r="E670" s="17">
        <f t="shared" si="20"/>
        <v>3.0529357247996635E-3</v>
      </c>
      <c r="G670" s="21">
        <v>45271</v>
      </c>
      <c r="H670" s="12">
        <v>20997.099609375</v>
      </c>
      <c r="I670" s="15">
        <f t="shared" si="21"/>
        <v>1.3209351833628857E-3</v>
      </c>
    </row>
    <row r="671" spans="2:9">
      <c r="B671" s="21">
        <v>45272</v>
      </c>
      <c r="C671">
        <v>368.77</v>
      </c>
      <c r="D671">
        <v>364.05</v>
      </c>
      <c r="E671" s="17">
        <f t="shared" si="20"/>
        <v>-1.0679928256970506E-2</v>
      </c>
      <c r="G671" s="21">
        <v>45272</v>
      </c>
      <c r="H671" s="12">
        <v>20906.400390625</v>
      </c>
      <c r="I671" s="14">
        <f t="shared" si="21"/>
        <v>-4.3196070141755995E-3</v>
      </c>
    </row>
    <row r="672" spans="2:9">
      <c r="B672" s="21">
        <v>45273</v>
      </c>
      <c r="C672">
        <v>363.98</v>
      </c>
      <c r="D672">
        <v>364.42</v>
      </c>
      <c r="E672" s="17">
        <f t="shared" si="20"/>
        <v>1.0163439088037482E-3</v>
      </c>
      <c r="G672" s="21">
        <v>45273</v>
      </c>
      <c r="H672" s="12">
        <v>20926.349609375</v>
      </c>
      <c r="I672" s="15">
        <f t="shared" si="21"/>
        <v>9.5421585625738684E-4</v>
      </c>
    </row>
    <row r="673" spans="2:9">
      <c r="B673" s="21">
        <v>45274</v>
      </c>
      <c r="C673">
        <v>367.97</v>
      </c>
      <c r="D673">
        <v>369.94</v>
      </c>
      <c r="E673" s="17">
        <f t="shared" si="20"/>
        <v>1.5147357444706607E-2</v>
      </c>
      <c r="G673" s="21">
        <v>45274</v>
      </c>
      <c r="H673" s="12">
        <v>21182.69921875</v>
      </c>
      <c r="I673" s="14">
        <f t="shared" si="21"/>
        <v>1.2250087289956937E-2</v>
      </c>
    </row>
    <row r="674" spans="2:9">
      <c r="B674" s="21">
        <v>45275</v>
      </c>
      <c r="C674">
        <v>372.16</v>
      </c>
      <c r="D674">
        <v>369.29</v>
      </c>
      <c r="E674" s="17">
        <f t="shared" si="20"/>
        <v>-1.757041682434928E-3</v>
      </c>
      <c r="G674" s="21">
        <v>45275</v>
      </c>
      <c r="H674" s="12">
        <v>21456.650390625</v>
      </c>
      <c r="I674" s="15">
        <f t="shared" si="21"/>
        <v>1.2932779200891942E-2</v>
      </c>
    </row>
    <row r="675" spans="2:9">
      <c r="B675" s="21">
        <v>45278</v>
      </c>
      <c r="C675">
        <v>368.21</v>
      </c>
      <c r="D675">
        <v>368.56</v>
      </c>
      <c r="E675" s="17">
        <f t="shared" si="20"/>
        <v>-1.9767662270844546E-3</v>
      </c>
      <c r="G675" s="21">
        <v>45278</v>
      </c>
      <c r="H675" s="12">
        <v>21418.650390625</v>
      </c>
      <c r="I675" s="14">
        <f t="shared" si="21"/>
        <v>-1.7710126840955215E-3</v>
      </c>
    </row>
    <row r="676" spans="2:9">
      <c r="B676" s="21">
        <v>45279</v>
      </c>
      <c r="C676">
        <v>369.14</v>
      </c>
      <c r="D676">
        <v>368.48</v>
      </c>
      <c r="E676" s="17">
        <f t="shared" si="20"/>
        <v>-2.1706099413930998E-4</v>
      </c>
      <c r="G676" s="21">
        <v>45279</v>
      </c>
      <c r="H676" s="12">
        <v>21453.099609375</v>
      </c>
      <c r="I676" s="15">
        <f t="shared" si="21"/>
        <v>1.6083748565725931E-3</v>
      </c>
    </row>
    <row r="677" spans="2:9">
      <c r="B677" s="21">
        <v>45280</v>
      </c>
      <c r="C677">
        <v>369.6</v>
      </c>
      <c r="D677">
        <v>364.48</v>
      </c>
      <c r="E677" s="17">
        <f t="shared" si="20"/>
        <v>-1.0855405992184108E-2</v>
      </c>
      <c r="G677" s="21">
        <v>45280</v>
      </c>
      <c r="H677" s="12">
        <v>21150.150390625</v>
      </c>
      <c r="I677" s="14">
        <f t="shared" si="21"/>
        <v>-1.412146609423336E-2</v>
      </c>
    </row>
    <row r="678" spans="2:9">
      <c r="B678" s="21">
        <v>45281</v>
      </c>
      <c r="C678">
        <v>363.38</v>
      </c>
      <c r="D678">
        <v>369.71</v>
      </c>
      <c r="E678" s="17">
        <f t="shared" si="20"/>
        <v>1.43492098331869E-2</v>
      </c>
      <c r="G678" s="21">
        <v>45281</v>
      </c>
      <c r="H678" s="12">
        <v>21255.05078125</v>
      </c>
      <c r="I678" s="15">
        <f t="shared" si="21"/>
        <v>4.9597940765233554E-3</v>
      </c>
    </row>
    <row r="679" spans="2:9">
      <c r="B679" s="21">
        <v>45282</v>
      </c>
      <c r="C679">
        <v>370.11</v>
      </c>
      <c r="D679">
        <v>371.26</v>
      </c>
      <c r="E679" s="17">
        <f t="shared" si="20"/>
        <v>4.192475183251769E-3</v>
      </c>
      <c r="G679" s="21">
        <v>45282</v>
      </c>
      <c r="H679" s="12">
        <v>21349.400390625</v>
      </c>
      <c r="I679" s="14">
        <f t="shared" si="21"/>
        <v>4.4389265566107177E-3</v>
      </c>
    </row>
    <row r="680" spans="2:9">
      <c r="B680" s="21">
        <v>45286</v>
      </c>
      <c r="C680">
        <v>372.56</v>
      </c>
      <c r="D680">
        <v>376.52</v>
      </c>
      <c r="E680" s="17">
        <f t="shared" si="20"/>
        <v>1.4167968539567933E-2</v>
      </c>
      <c r="G680" s="21">
        <v>45286</v>
      </c>
      <c r="H680" s="12">
        <v>21441.349609375</v>
      </c>
      <c r="I680" s="15">
        <f t="shared" si="21"/>
        <v>4.3068759341071223E-3</v>
      </c>
    </row>
    <row r="681" spans="2:9">
      <c r="B681" s="21">
        <v>45287</v>
      </c>
      <c r="C681">
        <v>377.95</v>
      </c>
      <c r="D681">
        <v>379.62</v>
      </c>
      <c r="E681" s="17">
        <f t="shared" si="20"/>
        <v>8.2332943801126709E-3</v>
      </c>
      <c r="G681" s="21">
        <v>45287</v>
      </c>
      <c r="H681" s="12">
        <v>21654.75</v>
      </c>
      <c r="I681" s="14">
        <f t="shared" si="21"/>
        <v>9.9527499207276091E-3</v>
      </c>
    </row>
    <row r="682" spans="2:9">
      <c r="B682" s="21">
        <v>45288</v>
      </c>
      <c r="C682">
        <v>381.34</v>
      </c>
      <c r="D682">
        <v>383.41</v>
      </c>
      <c r="E682" s="17">
        <f t="shared" si="20"/>
        <v>9.9836678784047742E-3</v>
      </c>
      <c r="G682" s="21">
        <v>45288</v>
      </c>
      <c r="H682" s="12">
        <v>21778.69921875</v>
      </c>
      <c r="I682" s="15">
        <f t="shared" si="21"/>
        <v>5.7238813077962114E-3</v>
      </c>
    </row>
    <row r="683" spans="2:9">
      <c r="B683" s="21">
        <v>45289</v>
      </c>
      <c r="C683">
        <v>381.56</v>
      </c>
      <c r="D683">
        <v>380.76</v>
      </c>
      <c r="E683" s="17">
        <f t="shared" si="20"/>
        <v>-6.9116611460317522E-3</v>
      </c>
      <c r="G683" s="21">
        <v>45289</v>
      </c>
      <c r="H683" s="12">
        <v>21731.400390625</v>
      </c>
      <c r="I683" s="14">
        <f t="shared" si="21"/>
        <v>-2.171793074045436E-3</v>
      </c>
    </row>
    <row r="684" spans="2:9">
      <c r="B684" s="21">
        <v>45292</v>
      </c>
      <c r="C684">
        <v>380.94</v>
      </c>
      <c r="D684">
        <v>380.97</v>
      </c>
      <c r="E684" s="17">
        <f t="shared" si="20"/>
        <v>5.5152852190365682E-4</v>
      </c>
      <c r="G684" s="21">
        <v>45292</v>
      </c>
      <c r="H684" s="12">
        <v>21741.900390625</v>
      </c>
      <c r="I684" s="15">
        <f t="shared" si="21"/>
        <v>4.8317180721265139E-4</v>
      </c>
    </row>
    <row r="685" spans="2:9">
      <c r="B685" s="21">
        <v>45293</v>
      </c>
      <c r="C685">
        <v>380.74</v>
      </c>
      <c r="D685">
        <v>372.17</v>
      </c>
      <c r="E685" s="17">
        <f t="shared" si="20"/>
        <v>-2.3098931674410086E-2</v>
      </c>
      <c r="G685" s="21">
        <v>45293</v>
      </c>
      <c r="H685" s="12">
        <v>21665.80078125</v>
      </c>
      <c r="I685" s="14">
        <f t="shared" si="21"/>
        <v>-3.5001360510240297E-3</v>
      </c>
    </row>
    <row r="686" spans="2:9">
      <c r="B686" s="21">
        <v>45294</v>
      </c>
      <c r="C686">
        <v>371.96</v>
      </c>
      <c r="D686">
        <v>372.34</v>
      </c>
      <c r="E686" s="17">
        <f t="shared" si="20"/>
        <v>4.5678050353322158E-4</v>
      </c>
      <c r="G686" s="21">
        <v>45294</v>
      </c>
      <c r="H686" s="12">
        <v>21517.349609375</v>
      </c>
      <c r="I686" s="15">
        <f t="shared" si="21"/>
        <v>-6.8518663756694607E-3</v>
      </c>
    </row>
    <row r="687" spans="2:9">
      <c r="B687" s="21">
        <v>45295</v>
      </c>
      <c r="C687">
        <v>373.46</v>
      </c>
      <c r="D687">
        <v>371.88</v>
      </c>
      <c r="E687" s="17">
        <f t="shared" si="20"/>
        <v>-1.2354299833484976E-3</v>
      </c>
      <c r="G687" s="21">
        <v>45295</v>
      </c>
      <c r="H687" s="12">
        <v>21658.599609375</v>
      </c>
      <c r="I687" s="14">
        <f t="shared" si="21"/>
        <v>6.5644701863494422E-3</v>
      </c>
    </row>
    <row r="688" spans="2:9">
      <c r="B688" s="21">
        <v>45296</v>
      </c>
      <c r="C688">
        <v>372.26</v>
      </c>
      <c r="D688">
        <v>368.69</v>
      </c>
      <c r="E688" s="17">
        <f t="shared" si="20"/>
        <v>-8.5780359255673809E-3</v>
      </c>
      <c r="G688" s="21">
        <v>45296</v>
      </c>
      <c r="H688" s="12">
        <v>21710.80078125</v>
      </c>
      <c r="I688" s="15">
        <f t="shared" si="21"/>
        <v>2.4101822286056087E-3</v>
      </c>
    </row>
    <row r="689" spans="2:9">
      <c r="B689" s="21">
        <v>45299</v>
      </c>
      <c r="C689">
        <v>368.77</v>
      </c>
      <c r="D689">
        <v>364.4</v>
      </c>
      <c r="E689" s="17">
        <f t="shared" si="20"/>
        <v>-1.1635791586427678E-2</v>
      </c>
      <c r="G689" s="21">
        <v>45299</v>
      </c>
      <c r="H689" s="12">
        <v>21513</v>
      </c>
      <c r="I689" s="14">
        <f t="shared" si="21"/>
        <v>-9.1107086856430358E-3</v>
      </c>
    </row>
    <row r="690" spans="2:9">
      <c r="B690" s="21">
        <v>45300</v>
      </c>
      <c r="C690">
        <v>366.58</v>
      </c>
      <c r="D690">
        <v>364.51</v>
      </c>
      <c r="E690" s="17">
        <f t="shared" si="20"/>
        <v>3.018660812294557E-4</v>
      </c>
      <c r="G690" s="21">
        <v>45300</v>
      </c>
      <c r="H690" s="12">
        <v>21544.849609375</v>
      </c>
      <c r="I690" s="15">
        <f t="shared" si="21"/>
        <v>1.4804820050667038E-3</v>
      </c>
    </row>
    <row r="691" spans="2:9">
      <c r="B691" s="21">
        <v>45301</v>
      </c>
      <c r="C691">
        <v>363.34</v>
      </c>
      <c r="D691">
        <v>363.34</v>
      </c>
      <c r="E691" s="17">
        <f t="shared" si="20"/>
        <v>-3.2097884831692298E-3</v>
      </c>
      <c r="G691" s="21">
        <v>45301</v>
      </c>
      <c r="H691" s="12">
        <v>21618.69921875</v>
      </c>
      <c r="I691" s="14">
        <f t="shared" si="21"/>
        <v>3.4277152411806657E-3</v>
      </c>
    </row>
    <row r="692" spans="2:9">
      <c r="B692" s="21">
        <v>45302</v>
      </c>
      <c r="C692">
        <v>365.58</v>
      </c>
      <c r="D692">
        <v>363.75</v>
      </c>
      <c r="E692" s="17">
        <f t="shared" si="20"/>
        <v>1.128419662024619E-3</v>
      </c>
      <c r="G692" s="21">
        <v>45302</v>
      </c>
      <c r="H692" s="12">
        <v>21647.19921875</v>
      </c>
      <c r="I692" s="15">
        <f t="shared" si="21"/>
        <v>1.3183031833516521E-3</v>
      </c>
    </row>
    <row r="693" spans="2:9">
      <c r="B693" s="21">
        <v>45303</v>
      </c>
      <c r="C693">
        <v>364.18</v>
      </c>
      <c r="D693">
        <v>365.83</v>
      </c>
      <c r="E693" s="17">
        <f t="shared" si="20"/>
        <v>5.7182130584191998E-3</v>
      </c>
      <c r="G693" s="21">
        <v>45303</v>
      </c>
      <c r="H693" s="12">
        <v>21894.55078125</v>
      </c>
      <c r="I693" s="14">
        <f t="shared" si="21"/>
        <v>1.1426492637705911E-2</v>
      </c>
    </row>
    <row r="694" spans="2:9">
      <c r="B694" s="21">
        <v>45306</v>
      </c>
      <c r="C694">
        <v>367.77</v>
      </c>
      <c r="D694">
        <v>369.47</v>
      </c>
      <c r="E694" s="17">
        <f t="shared" si="20"/>
        <v>9.9499767651642663E-3</v>
      </c>
      <c r="G694" s="21">
        <v>45306</v>
      </c>
      <c r="H694" s="12">
        <v>22097.44921875</v>
      </c>
      <c r="I694" s="15">
        <f t="shared" si="21"/>
        <v>9.2670746948486215E-3</v>
      </c>
    </row>
    <row r="695" spans="2:9">
      <c r="B695" s="21">
        <v>45307</v>
      </c>
      <c r="C695">
        <v>369.28</v>
      </c>
      <c r="D695">
        <v>368.77</v>
      </c>
      <c r="E695" s="17">
        <f t="shared" si="20"/>
        <v>-1.8946057866675115E-3</v>
      </c>
      <c r="G695" s="21">
        <v>45307</v>
      </c>
      <c r="H695" s="12">
        <v>22032.30078125</v>
      </c>
      <c r="I695" s="14">
        <f t="shared" si="21"/>
        <v>-2.9482333845447023E-3</v>
      </c>
    </row>
    <row r="696" spans="2:9">
      <c r="B696" s="21">
        <v>45308</v>
      </c>
      <c r="C696">
        <v>363.79</v>
      </c>
      <c r="D696">
        <v>355.13</v>
      </c>
      <c r="E696" s="17">
        <f t="shared" si="20"/>
        <v>-3.6987824389185638E-2</v>
      </c>
      <c r="G696" s="21">
        <v>45308</v>
      </c>
      <c r="H696" s="12">
        <v>21571.94921875</v>
      </c>
      <c r="I696" s="15">
        <f t="shared" si="21"/>
        <v>-2.0894393512082492E-2</v>
      </c>
    </row>
    <row r="697" spans="2:9">
      <c r="B697" s="21">
        <v>45309</v>
      </c>
      <c r="C697">
        <v>353.21</v>
      </c>
      <c r="D697">
        <v>354.65</v>
      </c>
      <c r="E697" s="17">
        <f t="shared" si="20"/>
        <v>-1.351617717455631E-3</v>
      </c>
      <c r="G697" s="21">
        <v>45309</v>
      </c>
      <c r="H697" s="12">
        <v>21462.25</v>
      </c>
      <c r="I697" s="14">
        <f t="shared" si="21"/>
        <v>-5.0852715087355742E-3</v>
      </c>
    </row>
    <row r="698" spans="2:9">
      <c r="B698" s="21">
        <v>45310</v>
      </c>
      <c r="C698">
        <v>356.61</v>
      </c>
      <c r="D698">
        <v>352.07</v>
      </c>
      <c r="E698" s="17">
        <f t="shared" si="20"/>
        <v>-7.2747779500915953E-3</v>
      </c>
      <c r="G698" s="21">
        <v>45310</v>
      </c>
      <c r="H698" s="12">
        <v>21622.400390625</v>
      </c>
      <c r="I698" s="15">
        <f t="shared" si="21"/>
        <v>7.4619571864552878E-3</v>
      </c>
    </row>
    <row r="699" spans="2:9">
      <c r="B699" s="21">
        <v>45314</v>
      </c>
      <c r="C699">
        <v>359.39</v>
      </c>
      <c r="D699">
        <v>356.1</v>
      </c>
      <c r="E699" s="17">
        <f t="shared" si="20"/>
        <v>1.1446587326384042E-2</v>
      </c>
      <c r="G699" s="21">
        <v>45314</v>
      </c>
      <c r="H699" s="12">
        <v>21238.80078125</v>
      </c>
      <c r="I699" s="14">
        <f t="shared" si="21"/>
        <v>-1.7740842942734536E-2</v>
      </c>
    </row>
    <row r="700" spans="2:9">
      <c r="B700" s="21">
        <v>45315</v>
      </c>
      <c r="C700">
        <v>357</v>
      </c>
      <c r="D700">
        <v>356.92</v>
      </c>
      <c r="E700" s="17">
        <f t="shared" si="20"/>
        <v>2.3027239539455016E-3</v>
      </c>
      <c r="G700" s="21">
        <v>45315</v>
      </c>
      <c r="H700" s="12">
        <v>21453.94921875</v>
      </c>
      <c r="I700" s="15">
        <f t="shared" si="21"/>
        <v>1.0129971071150917E-2</v>
      </c>
    </row>
    <row r="701" spans="2:9">
      <c r="B701" s="21">
        <v>45316</v>
      </c>
      <c r="C701">
        <v>357.2</v>
      </c>
      <c r="D701">
        <v>352.89</v>
      </c>
      <c r="E701" s="17">
        <f t="shared" si="20"/>
        <v>-1.1291045612462259E-2</v>
      </c>
      <c r="G701" s="21">
        <v>45316</v>
      </c>
      <c r="H701" s="12">
        <v>21352.599609375</v>
      </c>
      <c r="I701" s="14">
        <f t="shared" si="21"/>
        <v>-4.7240537554001476E-3</v>
      </c>
    </row>
    <row r="702" spans="2:9">
      <c r="B702" s="21">
        <v>45320</v>
      </c>
      <c r="C702">
        <v>356.26</v>
      </c>
      <c r="D702">
        <v>363.76</v>
      </c>
      <c r="E702" s="17">
        <f t="shared" si="20"/>
        <v>3.0802799739295544E-2</v>
      </c>
      <c r="G702" s="21">
        <v>45320</v>
      </c>
      <c r="H702" s="12">
        <v>21737.599609375</v>
      </c>
      <c r="I702" s="15">
        <f t="shared" si="21"/>
        <v>1.8030591452244681E-2</v>
      </c>
    </row>
    <row r="703" spans="2:9">
      <c r="B703" s="21">
        <v>45321</v>
      </c>
      <c r="C703">
        <v>364.18</v>
      </c>
      <c r="D703">
        <v>363.9</v>
      </c>
      <c r="E703" s="17">
        <f t="shared" si="20"/>
        <v>3.8486914449083561E-4</v>
      </c>
      <c r="G703" s="21">
        <v>45321</v>
      </c>
      <c r="H703" s="12">
        <v>21522.099609375</v>
      </c>
      <c r="I703" s="14">
        <f t="shared" si="21"/>
        <v>-9.9136981024831768E-3</v>
      </c>
    </row>
    <row r="704" spans="2:9">
      <c r="B704" s="21">
        <v>45322</v>
      </c>
      <c r="C704">
        <v>362.38</v>
      </c>
      <c r="D704">
        <v>364.23</v>
      </c>
      <c r="E704" s="17">
        <f t="shared" si="20"/>
        <v>9.0684253915922219E-4</v>
      </c>
      <c r="G704" s="21">
        <v>45322</v>
      </c>
      <c r="H704" s="12">
        <v>21725.69921875</v>
      </c>
      <c r="I704" s="15">
        <f t="shared" si="21"/>
        <v>9.4600254190029057E-3</v>
      </c>
    </row>
    <row r="705" spans="2:9">
      <c r="B705" s="21">
        <v>45323</v>
      </c>
      <c r="C705">
        <v>365.18</v>
      </c>
      <c r="D705">
        <v>363.73</v>
      </c>
      <c r="E705" s="17">
        <f t="shared" si="20"/>
        <v>-1.3727589709798752E-3</v>
      </c>
      <c r="G705" s="21">
        <v>45323</v>
      </c>
      <c r="H705" s="12">
        <v>21697.44921875</v>
      </c>
      <c r="I705" s="14">
        <f t="shared" si="21"/>
        <v>-1.3003033741542051E-3</v>
      </c>
    </row>
    <row r="706" spans="2:9">
      <c r="B706" s="21">
        <v>45324</v>
      </c>
      <c r="C706">
        <v>367.53</v>
      </c>
      <c r="D706">
        <v>363.77</v>
      </c>
      <c r="E706" s="17">
        <f t="shared" si="20"/>
        <v>1.0997168229170983E-4</v>
      </c>
      <c r="G706" s="21">
        <v>45324</v>
      </c>
      <c r="H706" s="12">
        <v>21853.80078125</v>
      </c>
      <c r="I706" s="15">
        <f t="shared" si="21"/>
        <v>7.2059881750933062E-3</v>
      </c>
    </row>
    <row r="707" spans="2:9">
      <c r="B707" s="21">
        <v>45327</v>
      </c>
      <c r="C707">
        <v>364.18</v>
      </c>
      <c r="D707">
        <v>360.86</v>
      </c>
      <c r="E707" s="17">
        <f t="shared" si="20"/>
        <v>-7.9995601616405093E-3</v>
      </c>
      <c r="G707" s="21">
        <v>45327</v>
      </c>
      <c r="H707" s="12">
        <v>21771.69921875</v>
      </c>
      <c r="I707" s="14">
        <f t="shared" si="21"/>
        <v>-3.7568550808077758E-3</v>
      </c>
    </row>
    <row r="708" spans="2:9">
      <c r="B708" s="21">
        <v>45328</v>
      </c>
      <c r="C708">
        <v>361.99</v>
      </c>
      <c r="D708">
        <v>356.6</v>
      </c>
      <c r="E708" s="17">
        <f t="shared" si="20"/>
        <v>-1.1805132184226545E-2</v>
      </c>
      <c r="G708" s="21">
        <v>45328</v>
      </c>
      <c r="H708" s="12">
        <v>21929.400390625</v>
      </c>
      <c r="I708" s="15">
        <f t="shared" si="21"/>
        <v>7.243402101531249E-3</v>
      </c>
    </row>
    <row r="709" spans="2:9">
      <c r="B709" s="21">
        <v>45329</v>
      </c>
      <c r="C709">
        <v>357.4</v>
      </c>
      <c r="D709">
        <v>357.72</v>
      </c>
      <c r="E709" s="17">
        <f t="shared" ref="E709:E772" si="22">(D709-D708)/D708</f>
        <v>3.1407739764442075E-3</v>
      </c>
      <c r="G709" s="21">
        <v>45329</v>
      </c>
      <c r="H709" s="12">
        <v>21930.5</v>
      </c>
      <c r="I709" s="14">
        <f t="shared" ref="I709:I772" si="23">(H709-H708)/H708</f>
        <v>5.0143157378351857E-5</v>
      </c>
    </row>
    <row r="710" spans="2:9">
      <c r="B710" s="21">
        <v>45330</v>
      </c>
      <c r="C710">
        <v>359.5</v>
      </c>
      <c r="D710">
        <v>345.16</v>
      </c>
      <c r="E710" s="17">
        <f t="shared" si="22"/>
        <v>-3.511126020351113E-2</v>
      </c>
      <c r="G710" s="21">
        <v>45330</v>
      </c>
      <c r="H710" s="12">
        <v>21717.94921875</v>
      </c>
      <c r="I710" s="15">
        <f t="shared" si="23"/>
        <v>-9.6920171108729851E-3</v>
      </c>
    </row>
    <row r="711" spans="2:9">
      <c r="B711" s="21">
        <v>45331</v>
      </c>
      <c r="C711">
        <v>345.22</v>
      </c>
      <c r="D711">
        <v>347.71</v>
      </c>
      <c r="E711" s="17">
        <f t="shared" si="22"/>
        <v>7.3878780855254214E-3</v>
      </c>
      <c r="G711" s="21">
        <v>45331</v>
      </c>
      <c r="H711" s="12">
        <v>21782.5</v>
      </c>
      <c r="I711" s="14">
        <f t="shared" si="23"/>
        <v>2.9722318898448593E-3</v>
      </c>
    </row>
    <row r="712" spans="2:9">
      <c r="B712" s="21">
        <v>45334</v>
      </c>
      <c r="C712">
        <v>347.82</v>
      </c>
      <c r="D712">
        <v>341.14</v>
      </c>
      <c r="E712" s="17">
        <f t="shared" si="22"/>
        <v>-1.889505622501508E-2</v>
      </c>
      <c r="G712" s="21">
        <v>45334</v>
      </c>
      <c r="H712" s="12">
        <v>21616.05078125</v>
      </c>
      <c r="I712" s="15">
        <f t="shared" si="23"/>
        <v>-7.6414194307356824E-3</v>
      </c>
    </row>
    <row r="713" spans="2:9">
      <c r="B713" s="21">
        <v>45335</v>
      </c>
      <c r="C713">
        <v>341.83</v>
      </c>
      <c r="D713">
        <v>346.65</v>
      </c>
      <c r="E713" s="17">
        <f t="shared" si="22"/>
        <v>1.6151726563874043E-2</v>
      </c>
      <c r="G713" s="21">
        <v>45335</v>
      </c>
      <c r="H713" s="12">
        <v>21743.25</v>
      </c>
      <c r="I713" s="14">
        <f t="shared" si="23"/>
        <v>5.8844800115076526E-3</v>
      </c>
    </row>
    <row r="714" spans="2:9">
      <c r="B714" s="21">
        <v>45336</v>
      </c>
      <c r="C714">
        <v>343.96</v>
      </c>
      <c r="D714">
        <v>349</v>
      </c>
      <c r="E714" s="17">
        <f t="shared" si="22"/>
        <v>6.7791720755806225E-3</v>
      </c>
      <c r="G714" s="21">
        <v>45336</v>
      </c>
      <c r="H714" s="12">
        <v>21840.05078125</v>
      </c>
      <c r="I714" s="15">
        <f t="shared" si="23"/>
        <v>4.4519922849619994E-3</v>
      </c>
    </row>
    <row r="715" spans="2:9">
      <c r="B715" s="21">
        <v>45337</v>
      </c>
      <c r="C715">
        <v>350.21</v>
      </c>
      <c r="D715">
        <v>347.07</v>
      </c>
      <c r="E715" s="17">
        <f t="shared" si="22"/>
        <v>-5.5300859598854061E-3</v>
      </c>
      <c r="G715" s="21">
        <v>45337</v>
      </c>
      <c r="H715" s="12">
        <v>21910.75</v>
      </c>
      <c r="I715" s="14">
        <f t="shared" si="23"/>
        <v>3.2371361888359849E-3</v>
      </c>
    </row>
    <row r="716" spans="2:9">
      <c r="B716" s="21">
        <v>45338</v>
      </c>
      <c r="C716">
        <v>349.2</v>
      </c>
      <c r="D716">
        <v>346.27</v>
      </c>
      <c r="E716" s="17">
        <f t="shared" si="22"/>
        <v>-2.3050105166105149E-3</v>
      </c>
      <c r="G716" s="21">
        <v>45338</v>
      </c>
      <c r="H716" s="12">
        <v>22040.69921875</v>
      </c>
      <c r="I716" s="15">
        <f t="shared" si="23"/>
        <v>5.9308430222607626E-3</v>
      </c>
    </row>
    <row r="717" spans="2:9">
      <c r="B717" s="21">
        <v>45341</v>
      </c>
      <c r="C717">
        <v>348.02</v>
      </c>
      <c r="D717">
        <v>345.5</v>
      </c>
      <c r="E717" s="17">
        <f t="shared" si="22"/>
        <v>-2.2236982701359688E-3</v>
      </c>
      <c r="G717" s="21">
        <v>45341</v>
      </c>
      <c r="H717" s="12">
        <v>22122.25</v>
      </c>
      <c r="I717" s="14">
        <f t="shared" si="23"/>
        <v>3.7000088082788604E-3</v>
      </c>
    </row>
    <row r="718" spans="2:9">
      <c r="B718" s="21">
        <v>45342</v>
      </c>
      <c r="C718">
        <v>347.16</v>
      </c>
      <c r="D718">
        <v>351.71</v>
      </c>
      <c r="E718" s="17">
        <f t="shared" si="22"/>
        <v>1.7973950795947841E-2</v>
      </c>
      <c r="G718" s="21">
        <v>45342</v>
      </c>
      <c r="H718" s="12">
        <v>22196.94921875</v>
      </c>
      <c r="I718" s="15">
        <f t="shared" si="23"/>
        <v>3.3766555730090748E-3</v>
      </c>
    </row>
    <row r="719" spans="2:9">
      <c r="B719" s="21">
        <v>45343</v>
      </c>
      <c r="C719">
        <v>353.01</v>
      </c>
      <c r="D719">
        <v>348.44</v>
      </c>
      <c r="E719" s="17">
        <f t="shared" si="22"/>
        <v>-9.297432543857103E-3</v>
      </c>
      <c r="G719" s="21">
        <v>45343</v>
      </c>
      <c r="H719" s="12">
        <v>22055.05078125</v>
      </c>
      <c r="I719" s="14">
        <f t="shared" si="23"/>
        <v>-6.3927000103301077E-3</v>
      </c>
    </row>
    <row r="720" spans="2:9">
      <c r="B720" s="21">
        <v>45344</v>
      </c>
      <c r="C720">
        <v>348.12</v>
      </c>
      <c r="D720">
        <v>344.18</v>
      </c>
      <c r="E720" s="17">
        <f t="shared" si="22"/>
        <v>-1.2225921248995497E-2</v>
      </c>
      <c r="G720" s="21">
        <v>45344</v>
      </c>
      <c r="H720" s="12">
        <v>22217.44921875</v>
      </c>
      <c r="I720" s="15">
        <f t="shared" si="23"/>
        <v>7.3633218581415499E-3</v>
      </c>
    </row>
    <row r="721" spans="2:9">
      <c r="B721" s="21">
        <v>45345</v>
      </c>
      <c r="C721">
        <v>344.13</v>
      </c>
      <c r="D721">
        <v>344.03</v>
      </c>
      <c r="E721" s="17">
        <f t="shared" si="22"/>
        <v>-4.3581846708127755E-4</v>
      </c>
      <c r="G721" s="21">
        <v>45345</v>
      </c>
      <c r="H721" s="12">
        <v>22212.69921875</v>
      </c>
      <c r="I721" s="14">
        <f t="shared" si="23"/>
        <v>-2.1379592019012364E-4</v>
      </c>
    </row>
    <row r="722" spans="2:9">
      <c r="B722" s="21">
        <v>45348</v>
      </c>
      <c r="C722">
        <v>343.65</v>
      </c>
      <c r="D722">
        <v>340.49</v>
      </c>
      <c r="E722" s="17">
        <f t="shared" si="22"/>
        <v>-1.028980030811256E-2</v>
      </c>
      <c r="G722" s="21">
        <v>45348</v>
      </c>
      <c r="H722" s="12">
        <v>22122.05078125</v>
      </c>
      <c r="I722" s="15">
        <f t="shared" si="23"/>
        <v>-4.0809285088361791E-3</v>
      </c>
    </row>
    <row r="723" spans="2:9">
      <c r="B723" s="21">
        <v>45349</v>
      </c>
      <c r="C723">
        <v>341.83</v>
      </c>
      <c r="D723">
        <v>340.58</v>
      </c>
      <c r="E723" s="17">
        <f t="shared" si="22"/>
        <v>2.643249434637581E-4</v>
      </c>
      <c r="G723" s="21">
        <v>45349</v>
      </c>
      <c r="H723" s="12">
        <v>22198.349609375</v>
      </c>
      <c r="I723" s="14">
        <f t="shared" si="23"/>
        <v>3.4489943486464033E-3</v>
      </c>
    </row>
    <row r="724" spans="2:9">
      <c r="B724" s="21">
        <v>45350</v>
      </c>
      <c r="C724">
        <v>341.43</v>
      </c>
      <c r="D724">
        <v>335.96</v>
      </c>
      <c r="E724" s="17">
        <f t="shared" si="22"/>
        <v>-1.3565094838217173E-2</v>
      </c>
      <c r="G724" s="21">
        <v>45350</v>
      </c>
      <c r="H724" s="12">
        <v>21951.150390625</v>
      </c>
      <c r="I724" s="15">
        <f t="shared" si="23"/>
        <v>-1.1135927809948569E-2</v>
      </c>
    </row>
    <row r="725" spans="2:9">
      <c r="B725" s="21">
        <v>45351</v>
      </c>
      <c r="C725">
        <v>336.64</v>
      </c>
      <c r="D725">
        <v>337.13</v>
      </c>
      <c r="E725" s="17">
        <f t="shared" si="22"/>
        <v>3.4825574473152042E-3</v>
      </c>
      <c r="G725" s="21">
        <v>45351</v>
      </c>
      <c r="H725" s="12">
        <v>21982.80078125</v>
      </c>
      <c r="I725" s="14">
        <f t="shared" si="23"/>
        <v>1.4418556686904846E-3</v>
      </c>
    </row>
    <row r="726" spans="2:9">
      <c r="B726" s="21">
        <v>45352</v>
      </c>
      <c r="C726">
        <v>338.34</v>
      </c>
      <c r="D726">
        <v>344.76</v>
      </c>
      <c r="E726" s="17">
        <f t="shared" si="22"/>
        <v>2.2632219025301801E-2</v>
      </c>
      <c r="G726" s="21">
        <v>45352</v>
      </c>
      <c r="H726" s="12">
        <v>22338.75</v>
      </c>
      <c r="I726" s="15">
        <f t="shared" si="23"/>
        <v>1.6192168700068607E-2</v>
      </c>
    </row>
    <row r="727" spans="2:9">
      <c r="B727" s="21">
        <v>45355</v>
      </c>
      <c r="C727">
        <v>344.81</v>
      </c>
      <c r="D727">
        <v>344.66</v>
      </c>
      <c r="E727" s="17">
        <f t="shared" si="22"/>
        <v>-2.9005685114272506E-4</v>
      </c>
      <c r="G727" s="21">
        <v>45355</v>
      </c>
      <c r="H727" s="12">
        <v>22405.599609375</v>
      </c>
      <c r="I727" s="14">
        <f t="shared" si="23"/>
        <v>2.9925402887359411E-3</v>
      </c>
    </row>
    <row r="728" spans="2:9">
      <c r="B728" s="21">
        <v>45356</v>
      </c>
      <c r="C728">
        <v>344.6</v>
      </c>
      <c r="D728">
        <v>342.37</v>
      </c>
      <c r="E728" s="17">
        <f t="shared" si="22"/>
        <v>-6.6442290953403942E-3</v>
      </c>
      <c r="G728" s="21">
        <v>45356</v>
      </c>
      <c r="H728" s="12">
        <v>22356.30078125</v>
      </c>
      <c r="I728" s="15">
        <f t="shared" si="23"/>
        <v>-2.2002905070379049E-3</v>
      </c>
    </row>
    <row r="729" spans="2:9">
      <c r="B729" s="21">
        <v>45357</v>
      </c>
      <c r="C729">
        <v>343.8</v>
      </c>
      <c r="D729">
        <v>351.16</v>
      </c>
      <c r="E729" s="17">
        <f t="shared" si="22"/>
        <v>2.5673978444373108E-2</v>
      </c>
      <c r="G729" s="21">
        <v>45357</v>
      </c>
      <c r="H729" s="12">
        <v>22474.05078125</v>
      </c>
      <c r="I729" s="14">
        <f t="shared" si="23"/>
        <v>5.2669715420341689E-3</v>
      </c>
    </row>
    <row r="730" spans="2:9">
      <c r="B730" s="21">
        <v>45358</v>
      </c>
      <c r="C730">
        <v>351.16</v>
      </c>
      <c r="D730">
        <v>348.83</v>
      </c>
      <c r="E730" s="17">
        <f t="shared" si="22"/>
        <v>-6.6351520674337644E-3</v>
      </c>
      <c r="G730" s="21">
        <v>45358</v>
      </c>
      <c r="H730" s="12">
        <v>22493.55078125</v>
      </c>
      <c r="I730" s="15">
        <f t="shared" si="23"/>
        <v>8.6766734621195941E-4</v>
      </c>
    </row>
    <row r="731" spans="2:9">
      <c r="B731" s="21">
        <v>45362</v>
      </c>
      <c r="C731">
        <v>352.39</v>
      </c>
      <c r="D731">
        <v>345.15</v>
      </c>
      <c r="E731" s="17">
        <f t="shared" si="22"/>
        <v>-1.054955135739474E-2</v>
      </c>
      <c r="G731" s="21">
        <v>45362</v>
      </c>
      <c r="H731" s="12">
        <v>22332.650390625</v>
      </c>
      <c r="I731" s="14">
        <f t="shared" si="23"/>
        <v>-7.1531788017711326E-3</v>
      </c>
    </row>
    <row r="732" spans="2:9">
      <c r="B732" s="21">
        <v>45363</v>
      </c>
      <c r="C732">
        <v>346.2</v>
      </c>
      <c r="D732">
        <v>343.3</v>
      </c>
      <c r="E732" s="17">
        <f t="shared" si="22"/>
        <v>-5.3599884108357703E-3</v>
      </c>
      <c r="G732" s="21">
        <v>45363</v>
      </c>
      <c r="H732" s="12">
        <v>22335.69921875</v>
      </c>
      <c r="I732" s="15">
        <f t="shared" si="23"/>
        <v>1.3651886684617893E-4</v>
      </c>
    </row>
    <row r="733" spans="2:9">
      <c r="B733" s="21">
        <v>45364</v>
      </c>
      <c r="C733">
        <v>343.3</v>
      </c>
      <c r="D733">
        <v>345.13</v>
      </c>
      <c r="E733" s="17">
        <f t="shared" si="22"/>
        <v>5.3306146227788641E-3</v>
      </c>
      <c r="G733" s="21">
        <v>45364</v>
      </c>
      <c r="H733" s="12">
        <v>21997.69921875</v>
      </c>
      <c r="I733" s="14">
        <f t="shared" si="23"/>
        <v>-1.5132725270416491E-2</v>
      </c>
    </row>
    <row r="734" spans="2:9">
      <c r="B734" s="21">
        <v>45365</v>
      </c>
      <c r="C734">
        <v>344.23</v>
      </c>
      <c r="D734">
        <v>347.7</v>
      </c>
      <c r="E734" s="17">
        <f t="shared" si="22"/>
        <v>7.4464694462955793E-3</v>
      </c>
      <c r="G734" s="21">
        <v>45365</v>
      </c>
      <c r="H734" s="12">
        <v>22146.650390625</v>
      </c>
      <c r="I734" s="15">
        <f t="shared" si="23"/>
        <v>6.7712159528047237E-3</v>
      </c>
    </row>
    <row r="735" spans="2:9">
      <c r="B735" s="21">
        <v>45366</v>
      </c>
      <c r="C735">
        <v>346.38</v>
      </c>
      <c r="D735">
        <v>346.88</v>
      </c>
      <c r="E735" s="17">
        <f t="shared" si="22"/>
        <v>-2.3583549036525547E-3</v>
      </c>
      <c r="G735" s="21">
        <v>45366</v>
      </c>
      <c r="H735" s="12">
        <v>22023.349609375</v>
      </c>
      <c r="I735" s="14">
        <f t="shared" si="23"/>
        <v>-5.5674686273186943E-3</v>
      </c>
    </row>
    <row r="736" spans="2:9">
      <c r="B736" s="21">
        <v>45369</v>
      </c>
      <c r="C736">
        <v>346.7</v>
      </c>
      <c r="D736">
        <v>346.8</v>
      </c>
      <c r="E736" s="17">
        <f t="shared" si="22"/>
        <v>-2.3062730627301686E-4</v>
      </c>
      <c r="G736" s="21">
        <v>45369</v>
      </c>
      <c r="H736" s="12">
        <v>22055.69921875</v>
      </c>
      <c r="I736" s="15">
        <f t="shared" si="23"/>
        <v>1.4688778023679591E-3</v>
      </c>
    </row>
    <row r="737" spans="2:9">
      <c r="B737" s="21">
        <v>45370</v>
      </c>
      <c r="C737">
        <v>346.19</v>
      </c>
      <c r="D737">
        <v>349.14</v>
      </c>
      <c r="E737" s="17">
        <f t="shared" si="22"/>
        <v>6.7474048442905847E-3</v>
      </c>
      <c r="G737" s="21">
        <v>45370</v>
      </c>
      <c r="H737" s="12">
        <v>21817.44921875</v>
      </c>
      <c r="I737" s="14">
        <f t="shared" si="23"/>
        <v>-1.080219664028873E-2</v>
      </c>
    </row>
    <row r="738" spans="2:9">
      <c r="B738" s="21">
        <v>45371</v>
      </c>
      <c r="C738">
        <v>349.49</v>
      </c>
      <c r="D738">
        <v>352.29</v>
      </c>
      <c r="E738" s="17">
        <f t="shared" si="22"/>
        <v>9.0221687575185727E-3</v>
      </c>
      <c r="G738" s="21">
        <v>45371</v>
      </c>
      <c r="H738" s="12">
        <v>21839.099609375</v>
      </c>
      <c r="I738" s="15">
        <f t="shared" si="23"/>
        <v>9.9234289068006964E-4</v>
      </c>
    </row>
    <row r="739" spans="2:9">
      <c r="B739" s="21">
        <v>45372</v>
      </c>
      <c r="C739">
        <v>353.62</v>
      </c>
      <c r="D739">
        <v>353.63</v>
      </c>
      <c r="E739" s="17">
        <f t="shared" si="22"/>
        <v>3.8036844645036047E-3</v>
      </c>
      <c r="G739" s="21">
        <v>45372</v>
      </c>
      <c r="H739" s="12">
        <v>22011.94921875</v>
      </c>
      <c r="I739" s="14">
        <f t="shared" si="23"/>
        <v>7.9146856998078725E-3</v>
      </c>
    </row>
    <row r="740" spans="2:9">
      <c r="B740" s="21">
        <v>45373</v>
      </c>
      <c r="C740">
        <v>353.19</v>
      </c>
      <c r="D740">
        <v>354.48</v>
      </c>
      <c r="E740" s="17">
        <f t="shared" si="22"/>
        <v>2.4036422249244203E-3</v>
      </c>
      <c r="G740" s="21">
        <v>45373</v>
      </c>
      <c r="H740" s="12">
        <v>22096.75</v>
      </c>
      <c r="I740" s="15">
        <f t="shared" si="23"/>
        <v>3.8524885010077091E-3</v>
      </c>
    </row>
    <row r="741" spans="2:9">
      <c r="B741" s="21">
        <v>45377</v>
      </c>
      <c r="C741">
        <v>352.21</v>
      </c>
      <c r="D741">
        <v>349.95</v>
      </c>
      <c r="E741" s="17">
        <f t="shared" si="22"/>
        <v>-1.2779282329045445E-2</v>
      </c>
      <c r="G741" s="21">
        <v>45377</v>
      </c>
      <c r="H741" s="12">
        <v>22004.69921875</v>
      </c>
      <c r="I741" s="14">
        <f t="shared" si="23"/>
        <v>-4.1658063402989125E-3</v>
      </c>
    </row>
    <row r="742" spans="2:9">
      <c r="B742" s="21">
        <v>45378</v>
      </c>
      <c r="C742">
        <v>350.81</v>
      </c>
      <c r="D742">
        <v>354.32</v>
      </c>
      <c r="E742" s="17">
        <f t="shared" si="22"/>
        <v>1.248749821403059E-2</v>
      </c>
      <c r="G742" s="21">
        <v>45378</v>
      </c>
      <c r="H742" s="12">
        <v>22123.650390625</v>
      </c>
      <c r="I742" s="15">
        <f t="shared" si="23"/>
        <v>5.40571678315161E-3</v>
      </c>
    </row>
    <row r="743" spans="2:9">
      <c r="B743" s="21">
        <v>45379</v>
      </c>
      <c r="C743">
        <v>354.79</v>
      </c>
      <c r="D743">
        <v>356.3</v>
      </c>
      <c r="E743" s="17">
        <f t="shared" si="22"/>
        <v>5.5881688868819664E-3</v>
      </c>
      <c r="G743" s="21">
        <v>45379</v>
      </c>
      <c r="H743" s="12">
        <v>22326.900390625</v>
      </c>
      <c r="I743" s="14">
        <f t="shared" si="23"/>
        <v>9.1870010785438973E-3</v>
      </c>
    </row>
    <row r="744" spans="2:9">
      <c r="B744" s="21">
        <v>45383</v>
      </c>
      <c r="C744">
        <v>358.19</v>
      </c>
      <c r="D744">
        <v>357.34</v>
      </c>
      <c r="E744" s="17">
        <f t="shared" si="22"/>
        <v>2.9188885770417166E-3</v>
      </c>
      <c r="G744" s="21">
        <v>45383</v>
      </c>
      <c r="H744" s="12">
        <v>22462</v>
      </c>
      <c r="I744" s="15">
        <f t="shared" si="23"/>
        <v>6.0509791780917303E-3</v>
      </c>
    </row>
    <row r="745" spans="2:9">
      <c r="B745" s="21">
        <v>45384</v>
      </c>
      <c r="C745">
        <v>357.97</v>
      </c>
      <c r="D745">
        <v>350.69</v>
      </c>
      <c r="E745" s="17">
        <f t="shared" si="22"/>
        <v>-1.8609727430458325E-2</v>
      </c>
      <c r="G745" s="21">
        <v>45384</v>
      </c>
      <c r="H745" s="12">
        <v>22453.30078125</v>
      </c>
      <c r="I745" s="14">
        <f t="shared" si="23"/>
        <v>-3.872860275131333E-4</v>
      </c>
    </row>
    <row r="746" spans="2:9">
      <c r="B746" s="21">
        <v>45385</v>
      </c>
      <c r="C746">
        <v>349.91</v>
      </c>
      <c r="D746">
        <v>345.45</v>
      </c>
      <c r="E746" s="17">
        <f t="shared" si="22"/>
        <v>-1.4941971541817586E-2</v>
      </c>
      <c r="G746" s="21">
        <v>45385</v>
      </c>
      <c r="H746" s="12">
        <v>22434.650390625</v>
      </c>
      <c r="I746" s="15">
        <f t="shared" si="23"/>
        <v>-8.3063024036868183E-4</v>
      </c>
    </row>
    <row r="747" spans="2:9">
      <c r="B747" s="21">
        <v>45386</v>
      </c>
      <c r="C747">
        <v>348.62</v>
      </c>
      <c r="D747">
        <v>349.04</v>
      </c>
      <c r="E747" s="17">
        <f t="shared" si="22"/>
        <v>1.0392242003184345E-2</v>
      </c>
      <c r="G747" s="21">
        <v>45386</v>
      </c>
      <c r="H747" s="12">
        <v>22514.650390625</v>
      </c>
      <c r="I747" s="14">
        <f t="shared" si="23"/>
        <v>3.5659124883635554E-3</v>
      </c>
    </row>
    <row r="748" spans="2:9">
      <c r="B748" s="21">
        <v>45387</v>
      </c>
      <c r="C748">
        <v>349.02</v>
      </c>
      <c r="D748">
        <v>356.23</v>
      </c>
      <c r="E748" s="17">
        <f t="shared" si="22"/>
        <v>2.0599358239743289E-2</v>
      </c>
      <c r="G748" s="21">
        <v>45387</v>
      </c>
      <c r="H748" s="12">
        <v>22513.69921875</v>
      </c>
      <c r="I748" s="15">
        <f t="shared" si="23"/>
        <v>-4.2246797462867275E-5</v>
      </c>
    </row>
    <row r="749" spans="2:9">
      <c r="B749" s="21">
        <v>45390</v>
      </c>
      <c r="C749">
        <v>357.95</v>
      </c>
      <c r="D749">
        <v>356.88</v>
      </c>
      <c r="E749" s="17">
        <f t="shared" si="22"/>
        <v>1.8246638407769622E-3</v>
      </c>
      <c r="G749" s="21">
        <v>45390</v>
      </c>
      <c r="H749" s="12">
        <v>22666.30078125</v>
      </c>
      <c r="I749" s="14">
        <f t="shared" si="23"/>
        <v>6.7781647528145621E-3</v>
      </c>
    </row>
    <row r="750" spans="2:9">
      <c r="B750" s="21">
        <v>45391</v>
      </c>
      <c r="C750">
        <v>357.27</v>
      </c>
      <c r="D750">
        <v>355.32</v>
      </c>
      <c r="E750" s="17">
        <f t="shared" si="22"/>
        <v>-4.3712172158708873E-3</v>
      </c>
      <c r="G750" s="21">
        <v>45391</v>
      </c>
      <c r="H750" s="12">
        <v>22642.75</v>
      </c>
      <c r="I750" s="15">
        <f t="shared" si="23"/>
        <v>-1.0390218270412109E-3</v>
      </c>
    </row>
    <row r="751" spans="2:9">
      <c r="B751" s="21">
        <v>45392</v>
      </c>
      <c r="C751">
        <v>356.98</v>
      </c>
      <c r="D751">
        <v>364.37</v>
      </c>
      <c r="E751" s="17">
        <f t="shared" si="22"/>
        <v>2.5469998874254225E-2</v>
      </c>
      <c r="G751" s="21">
        <v>45392</v>
      </c>
      <c r="H751" s="12">
        <v>22753.80078125</v>
      </c>
      <c r="I751" s="14">
        <f t="shared" si="23"/>
        <v>4.9044741142308243E-3</v>
      </c>
    </row>
    <row r="752" spans="2:9">
      <c r="B752" s="21">
        <v>45394</v>
      </c>
      <c r="C752">
        <v>361.39</v>
      </c>
      <c r="D752">
        <v>361.8</v>
      </c>
      <c r="E752" s="17">
        <f t="shared" si="22"/>
        <v>-7.0532700277190583E-3</v>
      </c>
      <c r="G752" s="21">
        <v>45394</v>
      </c>
      <c r="H752" s="12">
        <v>22519.400390625</v>
      </c>
      <c r="I752" s="15">
        <f t="shared" si="23"/>
        <v>-1.0301592814249954E-2</v>
      </c>
    </row>
    <row r="753" spans="2:9">
      <c r="B753" s="21">
        <v>45397</v>
      </c>
      <c r="C753">
        <v>357.19</v>
      </c>
      <c r="D753">
        <v>358.82</v>
      </c>
      <c r="E753" s="17">
        <f t="shared" si="22"/>
        <v>-8.2365948037590331E-3</v>
      </c>
      <c r="G753" s="21">
        <v>45397</v>
      </c>
      <c r="H753" s="12">
        <v>22272.5</v>
      </c>
      <c r="I753" s="14">
        <f t="shared" si="23"/>
        <v>-1.0963897188301094E-2</v>
      </c>
    </row>
    <row r="754" spans="2:9">
      <c r="B754" s="21">
        <v>45398</v>
      </c>
      <c r="C754">
        <v>354.8</v>
      </c>
      <c r="D754">
        <v>357.72</v>
      </c>
      <c r="E754" s="17">
        <f t="shared" si="22"/>
        <v>-3.0656039239729278E-3</v>
      </c>
      <c r="G754" s="21">
        <v>45398</v>
      </c>
      <c r="H754" s="12">
        <v>22147.900390625</v>
      </c>
      <c r="I754" s="15">
        <f t="shared" si="23"/>
        <v>-5.5943252609720511E-3</v>
      </c>
    </row>
    <row r="755" spans="2:9">
      <c r="B755" s="21">
        <v>45400</v>
      </c>
      <c r="C755">
        <v>357.21</v>
      </c>
      <c r="D755">
        <v>356.55</v>
      </c>
      <c r="E755" s="17">
        <f t="shared" si="22"/>
        <v>-3.2707145253271157E-3</v>
      </c>
      <c r="G755" s="21">
        <v>45400</v>
      </c>
      <c r="H755" s="12">
        <v>21995.849609375</v>
      </c>
      <c r="I755" s="14">
        <f t="shared" si="23"/>
        <v>-6.8652458503182393E-3</v>
      </c>
    </row>
    <row r="756" spans="2:9">
      <c r="B756" s="21">
        <v>45401</v>
      </c>
      <c r="C756">
        <v>352.01</v>
      </c>
      <c r="D756">
        <v>357.73</v>
      </c>
      <c r="E756" s="17">
        <f t="shared" si="22"/>
        <v>3.309493759641023E-3</v>
      </c>
      <c r="G756" s="21">
        <v>45401</v>
      </c>
      <c r="H756" s="12">
        <v>22147</v>
      </c>
      <c r="I756" s="15">
        <f t="shared" si="23"/>
        <v>6.8717686886064708E-3</v>
      </c>
    </row>
    <row r="757" spans="2:9">
      <c r="B757" s="21">
        <v>45404</v>
      </c>
      <c r="C757">
        <v>361.79</v>
      </c>
      <c r="D757">
        <v>361.18</v>
      </c>
      <c r="E757" s="17">
        <f t="shared" si="22"/>
        <v>9.6441450255779181E-3</v>
      </c>
      <c r="G757" s="21">
        <v>45404</v>
      </c>
      <c r="H757" s="12">
        <v>22336.400390625</v>
      </c>
      <c r="I757" s="14">
        <f t="shared" si="23"/>
        <v>8.5519659829773782E-3</v>
      </c>
    </row>
    <row r="758" spans="2:9">
      <c r="B758" s="21">
        <v>45405</v>
      </c>
      <c r="C758">
        <v>361.19</v>
      </c>
      <c r="D758">
        <v>361.8</v>
      </c>
      <c r="E758" s="17">
        <f t="shared" si="22"/>
        <v>1.716595603300306E-3</v>
      </c>
      <c r="G758" s="21">
        <v>45405</v>
      </c>
      <c r="H758" s="12">
        <v>22368</v>
      </c>
      <c r="I758" s="15">
        <f t="shared" si="23"/>
        <v>1.4147135985377009E-3</v>
      </c>
    </row>
    <row r="759" spans="2:9">
      <c r="B759" s="21">
        <v>45406</v>
      </c>
      <c r="C759">
        <v>361.59</v>
      </c>
      <c r="D759">
        <v>367.73</v>
      </c>
      <c r="E759" s="17">
        <f t="shared" si="22"/>
        <v>1.6390270867882827E-2</v>
      </c>
      <c r="G759" s="21">
        <v>45406</v>
      </c>
      <c r="H759" s="12">
        <v>22402.400390625</v>
      </c>
      <c r="I759" s="14">
        <f t="shared" si="23"/>
        <v>1.5379287654238199E-3</v>
      </c>
    </row>
    <row r="760" spans="2:9">
      <c r="B760" s="21">
        <v>45407</v>
      </c>
      <c r="C760">
        <v>332.25</v>
      </c>
      <c r="D760">
        <v>327.75</v>
      </c>
      <c r="E760" s="17">
        <f t="shared" si="22"/>
        <v>-0.10872107252603817</v>
      </c>
      <c r="G760" s="21">
        <v>45407</v>
      </c>
      <c r="H760" s="12">
        <v>22570.349609375</v>
      </c>
      <c r="I760" s="15">
        <f t="shared" si="23"/>
        <v>7.4969296067167743E-3</v>
      </c>
    </row>
    <row r="761" spans="2:9">
      <c r="B761" s="21">
        <v>45408</v>
      </c>
      <c r="C761">
        <v>327.75</v>
      </c>
      <c r="D761">
        <v>320.98</v>
      </c>
      <c r="E761" s="17">
        <f t="shared" si="22"/>
        <v>-2.0655987795575842E-2</v>
      </c>
      <c r="G761" s="21">
        <v>45408</v>
      </c>
      <c r="H761" s="12">
        <v>22419.94921875</v>
      </c>
      <c r="I761" s="14">
        <f t="shared" si="23"/>
        <v>-6.6636269808832953E-3</v>
      </c>
    </row>
    <row r="762" spans="2:9">
      <c r="B762" s="21">
        <v>45411</v>
      </c>
      <c r="C762">
        <v>321.3</v>
      </c>
      <c r="D762">
        <v>327.33999999999997</v>
      </c>
      <c r="E762" s="17">
        <f t="shared" si="22"/>
        <v>1.9814318649136881E-2</v>
      </c>
      <c r="G762" s="21">
        <v>45411</v>
      </c>
      <c r="H762" s="12">
        <v>22643.400390625</v>
      </c>
      <c r="I762" s="15">
        <f t="shared" si="23"/>
        <v>9.9666225688025117E-3</v>
      </c>
    </row>
    <row r="763" spans="2:9">
      <c r="B763" s="21">
        <v>45412</v>
      </c>
      <c r="C763">
        <v>327.33999999999997</v>
      </c>
      <c r="D763">
        <v>324.06</v>
      </c>
      <c r="E763" s="17">
        <f t="shared" si="22"/>
        <v>-1.0020162522148143E-2</v>
      </c>
      <c r="G763" s="21">
        <v>45412</v>
      </c>
      <c r="H763" s="12">
        <v>22604.849609375</v>
      </c>
      <c r="I763" s="14">
        <f t="shared" si="23"/>
        <v>-1.7025173156396201E-3</v>
      </c>
    </row>
    <row r="764" spans="2:9">
      <c r="B764" s="21">
        <v>45414</v>
      </c>
      <c r="C764">
        <v>317.29000000000002</v>
      </c>
      <c r="D764">
        <v>314.42</v>
      </c>
      <c r="E764" s="17">
        <f t="shared" si="22"/>
        <v>-2.9747577609084697E-2</v>
      </c>
      <c r="G764" s="21">
        <v>45414</v>
      </c>
      <c r="H764" s="12">
        <v>22648.19921875</v>
      </c>
      <c r="I764" s="15">
        <f t="shared" si="23"/>
        <v>1.9177127972141625E-3</v>
      </c>
    </row>
    <row r="765" spans="2:9">
      <c r="B765" s="21">
        <v>45415</v>
      </c>
      <c r="C765">
        <v>315.89</v>
      </c>
      <c r="D765">
        <v>308.64999999999998</v>
      </c>
      <c r="E765" s="17">
        <f t="shared" si="22"/>
        <v>-1.835124992048864E-2</v>
      </c>
      <c r="G765" s="21">
        <v>45415</v>
      </c>
      <c r="H765" s="12">
        <v>22475.849609375</v>
      </c>
      <c r="I765" s="14">
        <f t="shared" si="23"/>
        <v>-7.6098592965534824E-3</v>
      </c>
    </row>
    <row r="766" spans="2:9">
      <c r="B766" s="21">
        <v>45418</v>
      </c>
      <c r="C766">
        <v>320.27999999999997</v>
      </c>
      <c r="D766">
        <v>324.13</v>
      </c>
      <c r="E766" s="17">
        <f t="shared" si="22"/>
        <v>5.0153895998704096E-2</v>
      </c>
      <c r="G766" s="21">
        <v>45418</v>
      </c>
      <c r="H766" s="12">
        <v>22442.69921875</v>
      </c>
      <c r="I766" s="15">
        <f t="shared" si="23"/>
        <v>-1.4749338156797639E-3</v>
      </c>
    </row>
    <row r="767" spans="2:9">
      <c r="B767" s="21">
        <v>45419</v>
      </c>
      <c r="C767">
        <v>325.01</v>
      </c>
      <c r="D767">
        <v>328.04</v>
      </c>
      <c r="E767" s="17">
        <f t="shared" si="22"/>
        <v>1.2063061117452952E-2</v>
      </c>
      <c r="G767" s="21">
        <v>45419</v>
      </c>
      <c r="H767" s="12">
        <v>22302.5</v>
      </c>
      <c r="I767" s="14">
        <f t="shared" si="23"/>
        <v>-6.2469855957820357E-3</v>
      </c>
    </row>
    <row r="768" spans="2:9">
      <c r="B768" s="21">
        <v>45420</v>
      </c>
      <c r="C768">
        <v>327.26</v>
      </c>
      <c r="D768">
        <v>328.93</v>
      </c>
      <c r="E768" s="17">
        <f t="shared" si="22"/>
        <v>2.7130837702718765E-3</v>
      </c>
      <c r="G768" s="21">
        <v>45420</v>
      </c>
      <c r="H768" s="12">
        <v>22302.5</v>
      </c>
      <c r="I768" s="15">
        <f t="shared" si="23"/>
        <v>0</v>
      </c>
    </row>
    <row r="769" spans="2:9">
      <c r="B769" s="21">
        <v>45421</v>
      </c>
      <c r="C769">
        <v>328.86</v>
      </c>
      <c r="D769">
        <v>327.88</v>
      </c>
      <c r="E769" s="17">
        <f t="shared" si="22"/>
        <v>-3.1921685464992898E-3</v>
      </c>
      <c r="G769" s="21">
        <v>45421</v>
      </c>
      <c r="H769" s="12">
        <v>21957.5</v>
      </c>
      <c r="I769" s="14">
        <f t="shared" si="23"/>
        <v>-1.5469117811904494E-2</v>
      </c>
    </row>
    <row r="770" spans="2:9">
      <c r="B770" s="21">
        <v>45422</v>
      </c>
      <c r="C770">
        <v>327.86</v>
      </c>
      <c r="D770">
        <v>324.86</v>
      </c>
      <c r="E770" s="17">
        <f t="shared" si="22"/>
        <v>-9.2106868366474987E-3</v>
      </c>
      <c r="G770" s="21">
        <v>45422</v>
      </c>
      <c r="H770" s="12">
        <v>22055.19921875</v>
      </c>
      <c r="I770" s="15">
        <f t="shared" si="23"/>
        <v>4.4494691449390869E-3</v>
      </c>
    </row>
    <row r="771" spans="2:9">
      <c r="B771" s="21">
        <v>45425</v>
      </c>
      <c r="C771">
        <v>324.67</v>
      </c>
      <c r="D771">
        <v>327.5</v>
      </c>
      <c r="E771" s="17">
        <f t="shared" si="22"/>
        <v>8.126577602659564E-3</v>
      </c>
      <c r="G771" s="21">
        <v>45425</v>
      </c>
      <c r="H771" s="12">
        <v>22104.05078125</v>
      </c>
      <c r="I771" s="14">
        <f t="shared" si="23"/>
        <v>2.214968090538459E-3</v>
      </c>
    </row>
    <row r="772" spans="2:9">
      <c r="B772" s="21">
        <v>45426</v>
      </c>
      <c r="C772">
        <v>327.66000000000003</v>
      </c>
      <c r="D772">
        <v>328.52</v>
      </c>
      <c r="E772" s="17">
        <f t="shared" si="22"/>
        <v>3.1145038167938377E-3</v>
      </c>
      <c r="G772" s="21">
        <v>45426</v>
      </c>
      <c r="H772" s="12">
        <v>22217.849609375</v>
      </c>
      <c r="I772" s="15">
        <f t="shared" si="23"/>
        <v>5.1483245877054842E-3</v>
      </c>
    </row>
    <row r="773" spans="2:9">
      <c r="B773" s="21">
        <v>45427</v>
      </c>
      <c r="C773">
        <v>329.2</v>
      </c>
      <c r="D773">
        <v>329.42</v>
      </c>
      <c r="E773" s="17">
        <f t="shared" ref="E773:E836" si="24">(D773-D772)/D772</f>
        <v>2.7395592353586817E-3</v>
      </c>
      <c r="G773" s="21">
        <v>45427</v>
      </c>
      <c r="H773" s="12">
        <v>22200.55078125</v>
      </c>
      <c r="I773" s="14">
        <f t="shared" ref="I773:I836" si="25">(H773-H772)/H772</f>
        <v>-7.7860046895360301E-4</v>
      </c>
    </row>
    <row r="774" spans="2:9">
      <c r="B774" s="21">
        <v>45428</v>
      </c>
      <c r="C774">
        <v>330.26</v>
      </c>
      <c r="D774">
        <v>333.66</v>
      </c>
      <c r="E774" s="17">
        <f t="shared" si="24"/>
        <v>1.2871106793758755E-2</v>
      </c>
      <c r="G774" s="21">
        <v>45428</v>
      </c>
      <c r="H774" s="12">
        <v>22403.849609375</v>
      </c>
      <c r="I774" s="15">
        <f t="shared" si="25"/>
        <v>9.1573776762647191E-3</v>
      </c>
    </row>
    <row r="775" spans="2:9">
      <c r="B775" s="21">
        <v>45429</v>
      </c>
      <c r="C775">
        <v>334.05</v>
      </c>
      <c r="D775">
        <v>338.55</v>
      </c>
      <c r="E775" s="17">
        <f t="shared" si="24"/>
        <v>1.4655637475274189E-2</v>
      </c>
      <c r="G775" s="21">
        <v>45429</v>
      </c>
      <c r="H775" s="12">
        <v>22466.099609375</v>
      </c>
      <c r="I775" s="14">
        <f t="shared" si="25"/>
        <v>2.7785403439751347E-3</v>
      </c>
    </row>
    <row r="776" spans="2:9">
      <c r="B776" s="21">
        <v>45433</v>
      </c>
      <c r="C776">
        <v>337.64</v>
      </c>
      <c r="D776">
        <v>338.89</v>
      </c>
      <c r="E776" s="17">
        <f t="shared" si="24"/>
        <v>1.0042829714960123E-3</v>
      </c>
      <c r="G776" s="21">
        <v>45433</v>
      </c>
      <c r="H776" s="12">
        <v>22529.05078125</v>
      </c>
      <c r="I776" s="15">
        <f t="shared" si="25"/>
        <v>2.8020516676036979E-3</v>
      </c>
    </row>
    <row r="777" spans="2:9">
      <c r="B777" s="21">
        <v>45434</v>
      </c>
      <c r="C777">
        <v>339.8</v>
      </c>
      <c r="D777">
        <v>339.15</v>
      </c>
      <c r="E777" s="17">
        <f t="shared" si="24"/>
        <v>7.6721059930948371E-4</v>
      </c>
      <c r="G777" s="21">
        <v>45434</v>
      </c>
      <c r="H777" s="12">
        <v>22597.80078125</v>
      </c>
      <c r="I777" s="14">
        <f t="shared" si="25"/>
        <v>3.051615474950138E-3</v>
      </c>
    </row>
    <row r="778" spans="2:9">
      <c r="B778" s="21">
        <v>45435</v>
      </c>
      <c r="C778">
        <v>339.24</v>
      </c>
      <c r="D778">
        <v>341.04</v>
      </c>
      <c r="E778" s="17">
        <f t="shared" si="24"/>
        <v>5.5727554179567842E-3</v>
      </c>
      <c r="G778" s="21">
        <v>45435</v>
      </c>
      <c r="H778" s="12">
        <v>22967.650390625</v>
      </c>
      <c r="I778" s="15">
        <f t="shared" si="25"/>
        <v>1.6366619608483058E-2</v>
      </c>
    </row>
    <row r="779" spans="2:9">
      <c r="B779" s="21">
        <v>45436</v>
      </c>
      <c r="C779">
        <v>341.43</v>
      </c>
      <c r="D779">
        <v>339.93</v>
      </c>
      <c r="E779" s="17">
        <f t="shared" si="24"/>
        <v>-3.254750175932482E-3</v>
      </c>
      <c r="G779" s="21">
        <v>45436</v>
      </c>
      <c r="H779" s="12">
        <v>22957.099609375</v>
      </c>
      <c r="I779" s="14">
        <f t="shared" si="25"/>
        <v>-4.5937573371922485E-4</v>
      </c>
    </row>
    <row r="780" spans="2:9">
      <c r="B780" s="21">
        <v>45439</v>
      </c>
      <c r="C780">
        <v>339.93</v>
      </c>
      <c r="D780">
        <v>341.43</v>
      </c>
      <c r="E780" s="17">
        <f t="shared" si="24"/>
        <v>4.4126731974229987E-3</v>
      </c>
      <c r="G780" s="21">
        <v>45439</v>
      </c>
      <c r="H780" s="12">
        <v>22932.44921875</v>
      </c>
      <c r="I780" s="15">
        <f t="shared" si="25"/>
        <v>-1.0737589261900274E-3</v>
      </c>
    </row>
    <row r="781" spans="2:9">
      <c r="B781" s="21">
        <v>45440</v>
      </c>
      <c r="C781">
        <v>341.69</v>
      </c>
      <c r="D781">
        <v>339.96</v>
      </c>
      <c r="E781" s="17">
        <f t="shared" si="24"/>
        <v>-4.3054213162288819E-3</v>
      </c>
      <c r="G781" s="21">
        <v>45440</v>
      </c>
      <c r="H781" s="12">
        <v>22888.150390625</v>
      </c>
      <c r="I781" s="14">
        <f t="shared" si="25"/>
        <v>-1.9317094176221025E-3</v>
      </c>
    </row>
    <row r="782" spans="2:9">
      <c r="B782" s="21">
        <v>45441</v>
      </c>
      <c r="C782">
        <v>338.84</v>
      </c>
      <c r="D782">
        <v>336.81</v>
      </c>
      <c r="E782" s="17">
        <f t="shared" si="24"/>
        <v>-9.2657959759971098E-3</v>
      </c>
      <c r="G782" s="21">
        <v>45441</v>
      </c>
      <c r="H782" s="12">
        <v>22704.69921875</v>
      </c>
      <c r="I782" s="15">
        <f t="shared" si="25"/>
        <v>-8.0151156272610692E-3</v>
      </c>
    </row>
    <row r="783" spans="2:9">
      <c r="B783" s="21">
        <v>45442</v>
      </c>
      <c r="C783">
        <v>336.11</v>
      </c>
      <c r="D783">
        <v>337.26</v>
      </c>
      <c r="E783" s="17">
        <f t="shared" si="24"/>
        <v>1.3360648436803796E-3</v>
      </c>
      <c r="G783" s="21">
        <v>45442</v>
      </c>
      <c r="H783" s="12">
        <v>22488.650390625</v>
      </c>
      <c r="I783" s="14">
        <f t="shared" si="25"/>
        <v>-9.5155996581792416E-3</v>
      </c>
    </row>
    <row r="784" spans="2:9">
      <c r="B784" s="21">
        <v>45443</v>
      </c>
      <c r="C784">
        <v>339.84</v>
      </c>
      <c r="D784">
        <v>335.33</v>
      </c>
      <c r="E784" s="17">
        <f t="shared" si="24"/>
        <v>-5.7225879143687564E-3</v>
      </c>
      <c r="G784" s="21">
        <v>45443</v>
      </c>
      <c r="H784" s="12">
        <v>22530.69921875</v>
      </c>
      <c r="I784" s="15">
        <f t="shared" si="25"/>
        <v>1.869779973213919E-3</v>
      </c>
    </row>
    <row r="785" spans="2:9">
      <c r="B785" s="21">
        <v>45446</v>
      </c>
      <c r="C785">
        <v>343.52</v>
      </c>
      <c r="D785">
        <v>342.84</v>
      </c>
      <c r="E785" s="17">
        <f t="shared" si="24"/>
        <v>2.2395848865296844E-2</v>
      </c>
      <c r="G785" s="21">
        <v>45446</v>
      </c>
      <c r="H785" s="12">
        <v>23263.900390625</v>
      </c>
      <c r="I785" s="14">
        <f t="shared" si="25"/>
        <v>3.2542317695352818E-2</v>
      </c>
    </row>
    <row r="786" spans="2:9">
      <c r="B786" s="21">
        <v>45447</v>
      </c>
      <c r="C786">
        <v>339.89</v>
      </c>
      <c r="D786">
        <v>326.85000000000002</v>
      </c>
      <c r="E786" s="17">
        <f t="shared" si="24"/>
        <v>-4.6639831991599441E-2</v>
      </c>
      <c r="G786" s="21">
        <v>45447</v>
      </c>
      <c r="H786" s="12">
        <v>21884.5</v>
      </c>
      <c r="I786" s="15">
        <f t="shared" si="25"/>
        <v>-5.9293599416410735E-2</v>
      </c>
    </row>
    <row r="787" spans="2:9">
      <c r="B787" s="21">
        <v>45448</v>
      </c>
      <c r="C787">
        <v>331.76</v>
      </c>
      <c r="D787">
        <v>342.85</v>
      </c>
      <c r="E787" s="17">
        <f t="shared" si="24"/>
        <v>4.8952118708887868E-2</v>
      </c>
      <c r="G787" s="21">
        <v>45448</v>
      </c>
      <c r="H787" s="12">
        <v>22620.349609375</v>
      </c>
      <c r="I787" s="14">
        <f t="shared" si="25"/>
        <v>3.362423676003564E-2</v>
      </c>
    </row>
    <row r="788" spans="2:9">
      <c r="B788" s="21">
        <v>45449</v>
      </c>
      <c r="C788">
        <v>343.43</v>
      </c>
      <c r="D788">
        <v>346.16</v>
      </c>
      <c r="E788" s="17">
        <f t="shared" si="24"/>
        <v>9.6543677993291589E-3</v>
      </c>
      <c r="G788" s="21">
        <v>45449</v>
      </c>
      <c r="H788" s="12">
        <v>22821.400390625</v>
      </c>
      <c r="I788" s="15">
        <f t="shared" si="25"/>
        <v>8.8880492442377883E-3</v>
      </c>
    </row>
    <row r="789" spans="2:9">
      <c r="B789" s="21">
        <v>45450</v>
      </c>
      <c r="C789">
        <v>345.23</v>
      </c>
      <c r="D789">
        <v>349.95</v>
      </c>
      <c r="E789" s="17">
        <f t="shared" si="24"/>
        <v>1.0948694245435531E-2</v>
      </c>
      <c r="G789" s="21">
        <v>45450</v>
      </c>
      <c r="H789" s="12">
        <v>23290.150390625</v>
      </c>
      <c r="I789" s="14">
        <f t="shared" si="25"/>
        <v>2.0539931466807E-2</v>
      </c>
    </row>
    <row r="790" spans="2:9">
      <c r="B790" s="21">
        <v>45453</v>
      </c>
      <c r="C790">
        <v>349.23</v>
      </c>
      <c r="D790">
        <v>348.35</v>
      </c>
      <c r="E790" s="17">
        <f t="shared" si="24"/>
        <v>-4.5720817259607546E-3</v>
      </c>
      <c r="G790" s="21">
        <v>45453</v>
      </c>
      <c r="H790" s="12">
        <v>23259.19921875</v>
      </c>
      <c r="I790" s="15">
        <f t="shared" si="25"/>
        <v>-1.328938257412833E-3</v>
      </c>
    </row>
    <row r="791" spans="2:9">
      <c r="B791" s="21">
        <v>45454</v>
      </c>
      <c r="C791">
        <v>348.54</v>
      </c>
      <c r="D791">
        <v>343.23</v>
      </c>
      <c r="E791" s="17">
        <f t="shared" si="24"/>
        <v>-1.4697861346347077E-2</v>
      </c>
      <c r="G791" s="21">
        <v>45454</v>
      </c>
      <c r="H791" s="12">
        <v>23264.849609375</v>
      </c>
      <c r="I791" s="14">
        <f t="shared" si="25"/>
        <v>2.4293143421915555E-4</v>
      </c>
    </row>
    <row r="792" spans="2:9">
      <c r="B792" s="21">
        <v>45455</v>
      </c>
      <c r="C792">
        <v>343.25</v>
      </c>
      <c r="D792">
        <v>342.38</v>
      </c>
      <c r="E792" s="17">
        <f t="shared" si="24"/>
        <v>-2.4764735017335977E-3</v>
      </c>
      <c r="G792" s="21">
        <v>45455</v>
      </c>
      <c r="H792" s="12">
        <v>23322.94921875</v>
      </c>
      <c r="I792" s="15">
        <f t="shared" si="25"/>
        <v>2.4973129141392641E-3</v>
      </c>
    </row>
    <row r="793" spans="2:9">
      <c r="B793" s="21">
        <v>45456</v>
      </c>
      <c r="C793">
        <v>345.5</v>
      </c>
      <c r="D793">
        <v>344.49</v>
      </c>
      <c r="E793" s="17">
        <f t="shared" si="24"/>
        <v>6.1627431508850215E-3</v>
      </c>
      <c r="G793" s="21">
        <v>45456</v>
      </c>
      <c r="H793" s="12">
        <v>23398.900390625</v>
      </c>
      <c r="I793" s="14">
        <f t="shared" si="25"/>
        <v>3.2564994745150257E-3</v>
      </c>
    </row>
    <row r="794" spans="2:9">
      <c r="B794" s="21">
        <v>45457</v>
      </c>
      <c r="C794">
        <v>343.83</v>
      </c>
      <c r="D794">
        <v>342.67</v>
      </c>
      <c r="E794" s="17">
        <f t="shared" si="24"/>
        <v>-5.2831722256088511E-3</v>
      </c>
      <c r="G794" s="21">
        <v>45457</v>
      </c>
      <c r="H794" s="12">
        <v>23465.599609375</v>
      </c>
      <c r="I794" s="15">
        <f t="shared" si="25"/>
        <v>2.8505279152657831E-3</v>
      </c>
    </row>
    <row r="795" spans="2:9">
      <c r="B795" s="21">
        <v>45461</v>
      </c>
      <c r="C795">
        <v>342.95</v>
      </c>
      <c r="D795">
        <v>343.11</v>
      </c>
      <c r="E795" s="17">
        <f t="shared" si="24"/>
        <v>1.2840342020019194E-3</v>
      </c>
      <c r="G795" s="21">
        <v>45461</v>
      </c>
      <c r="H795" s="12">
        <v>23557.900390625</v>
      </c>
      <c r="I795" s="14">
        <f t="shared" si="25"/>
        <v>3.9334507869606666E-3</v>
      </c>
    </row>
    <row r="796" spans="2:9">
      <c r="B796" s="21">
        <v>45462</v>
      </c>
      <c r="C796">
        <v>345.02</v>
      </c>
      <c r="D796">
        <v>348.56</v>
      </c>
      <c r="E796" s="17">
        <f t="shared" si="24"/>
        <v>1.5884118795721457E-2</v>
      </c>
      <c r="G796" s="21">
        <v>45462</v>
      </c>
      <c r="H796" s="12">
        <v>23516</v>
      </c>
      <c r="I796" s="15">
        <f t="shared" si="25"/>
        <v>-1.7786131162042989E-3</v>
      </c>
    </row>
    <row r="797" spans="2:9">
      <c r="B797" s="21">
        <v>45463</v>
      </c>
      <c r="C797">
        <v>352.21</v>
      </c>
      <c r="D797">
        <v>352.46</v>
      </c>
      <c r="E797" s="17">
        <f t="shared" si="24"/>
        <v>1.1188891439063511E-2</v>
      </c>
      <c r="G797" s="21">
        <v>45463</v>
      </c>
      <c r="H797" s="12">
        <v>23567</v>
      </c>
      <c r="I797" s="14">
        <f t="shared" si="25"/>
        <v>2.1687361796223848E-3</v>
      </c>
    </row>
    <row r="798" spans="2:9">
      <c r="B798" s="21">
        <v>45464</v>
      </c>
      <c r="C798">
        <v>353.21</v>
      </c>
      <c r="D798">
        <v>354.33</v>
      </c>
      <c r="E798" s="17">
        <f t="shared" si="24"/>
        <v>5.3055665891165085E-3</v>
      </c>
      <c r="G798" s="21">
        <v>45464</v>
      </c>
      <c r="H798" s="12">
        <v>23501.099609375</v>
      </c>
      <c r="I798" s="15">
        <f t="shared" si="25"/>
        <v>-2.7962995130903384E-3</v>
      </c>
    </row>
    <row r="799" spans="2:9">
      <c r="B799" s="21">
        <v>45467</v>
      </c>
      <c r="C799">
        <v>350.64</v>
      </c>
      <c r="D799">
        <v>353.71</v>
      </c>
      <c r="E799" s="17">
        <f t="shared" si="24"/>
        <v>-1.7497812773403453E-3</v>
      </c>
      <c r="G799" s="21">
        <v>45467</v>
      </c>
      <c r="H799" s="12">
        <v>23537.849609375</v>
      </c>
      <c r="I799" s="14">
        <f t="shared" si="25"/>
        <v>1.5637566161091365E-3</v>
      </c>
    </row>
    <row r="800" spans="2:9">
      <c r="B800" s="21">
        <v>45468</v>
      </c>
      <c r="C800">
        <v>354.51</v>
      </c>
      <c r="D800">
        <v>355.58</v>
      </c>
      <c r="E800" s="17">
        <f t="shared" si="24"/>
        <v>5.2868168838879443E-3</v>
      </c>
      <c r="G800" s="21">
        <v>45468</v>
      </c>
      <c r="H800" s="12">
        <v>23721.30078125</v>
      </c>
      <c r="I800" s="15">
        <f t="shared" si="25"/>
        <v>7.7938798539154731E-3</v>
      </c>
    </row>
    <row r="801" spans="2:9">
      <c r="B801" s="21">
        <v>45469</v>
      </c>
      <c r="C801">
        <v>355.2</v>
      </c>
      <c r="D801">
        <v>358.82</v>
      </c>
      <c r="E801" s="17">
        <f t="shared" si="24"/>
        <v>9.1118735586928658E-3</v>
      </c>
      <c r="G801" s="21">
        <v>45469</v>
      </c>
      <c r="H801" s="12">
        <v>23868.80078125</v>
      </c>
      <c r="I801" s="14">
        <f t="shared" si="25"/>
        <v>6.2180401218380173E-3</v>
      </c>
    </row>
    <row r="802" spans="2:9">
      <c r="B802" s="21">
        <v>45470</v>
      </c>
      <c r="C802">
        <v>357.4</v>
      </c>
      <c r="D802">
        <v>365.29</v>
      </c>
      <c r="E802" s="17">
        <f t="shared" si="24"/>
        <v>1.8031324898277766E-2</v>
      </c>
      <c r="G802" s="21">
        <v>45470</v>
      </c>
      <c r="H802" s="12">
        <v>24044.5</v>
      </c>
      <c r="I802" s="15">
        <f t="shared" si="25"/>
        <v>7.3610408985448281E-3</v>
      </c>
    </row>
    <row r="803" spans="2:9">
      <c r="B803" s="21">
        <v>45471</v>
      </c>
      <c r="C803">
        <v>363.62</v>
      </c>
      <c r="D803">
        <v>359.69</v>
      </c>
      <c r="E803" s="17">
        <f t="shared" si="24"/>
        <v>-1.5330285526567993E-2</v>
      </c>
      <c r="G803" s="21">
        <v>45471</v>
      </c>
      <c r="H803" s="12">
        <v>24010.599609375</v>
      </c>
      <c r="I803" s="14">
        <f t="shared" si="25"/>
        <v>-1.4099020825968517E-3</v>
      </c>
    </row>
    <row r="804" spans="2:9">
      <c r="B804" s="21">
        <v>45474</v>
      </c>
      <c r="C804">
        <v>359.69</v>
      </c>
      <c r="D804">
        <v>360.81</v>
      </c>
      <c r="E804" s="17">
        <f t="shared" si="24"/>
        <v>3.1137924323723335E-3</v>
      </c>
      <c r="G804" s="21">
        <v>45474</v>
      </c>
      <c r="H804" s="12">
        <v>24141.94921875</v>
      </c>
      <c r="I804" s="15">
        <f t="shared" si="25"/>
        <v>5.4704843490753228E-3</v>
      </c>
    </row>
    <row r="805" spans="2:9">
      <c r="B805" s="21">
        <v>45475</v>
      </c>
      <c r="C805">
        <v>363.37</v>
      </c>
      <c r="D805">
        <v>353.13</v>
      </c>
      <c r="E805" s="17">
        <f t="shared" si="24"/>
        <v>-2.1285441090878876E-2</v>
      </c>
      <c r="G805" s="21">
        <v>45475</v>
      </c>
      <c r="H805" s="12">
        <v>24123.849609375</v>
      </c>
      <c r="I805" s="14">
        <f t="shared" si="25"/>
        <v>-7.4971615634676354E-4</v>
      </c>
    </row>
    <row r="806" spans="2:9">
      <c r="B806" s="21">
        <v>45476</v>
      </c>
      <c r="C806">
        <v>352.37</v>
      </c>
      <c r="D806">
        <v>361.33</v>
      </c>
      <c r="E806" s="17">
        <f t="shared" si="24"/>
        <v>2.3220910146404976E-2</v>
      </c>
      <c r="G806" s="21">
        <v>45476</v>
      </c>
      <c r="H806" s="12">
        <v>24286.5</v>
      </c>
      <c r="I806" s="15">
        <f t="shared" si="25"/>
        <v>6.742306607722794E-3</v>
      </c>
    </row>
    <row r="807" spans="2:9">
      <c r="B807" s="21">
        <v>45477</v>
      </c>
      <c r="C807">
        <v>360.51</v>
      </c>
      <c r="D807">
        <v>365.95</v>
      </c>
      <c r="E807" s="17">
        <f t="shared" si="24"/>
        <v>1.2786095812692012E-2</v>
      </c>
      <c r="G807" s="21">
        <v>45477</v>
      </c>
      <c r="H807" s="12">
        <v>24302.150390625</v>
      </c>
      <c r="I807" s="14">
        <f t="shared" si="25"/>
        <v>6.4440700080291519E-4</v>
      </c>
    </row>
    <row r="808" spans="2:9">
      <c r="B808" s="21">
        <v>45478</v>
      </c>
      <c r="C808">
        <v>363.18</v>
      </c>
      <c r="D808">
        <v>369.71</v>
      </c>
      <c r="E808" s="17">
        <f t="shared" si="24"/>
        <v>1.0274627681377213E-2</v>
      </c>
      <c r="G808" s="21">
        <v>45478</v>
      </c>
      <c r="H808" s="12">
        <v>24323.849609375</v>
      </c>
      <c r="I808" s="15">
        <f t="shared" si="25"/>
        <v>8.928929498506795E-4</v>
      </c>
    </row>
    <row r="809" spans="2:9">
      <c r="B809" s="21">
        <v>45481</v>
      </c>
      <c r="C809">
        <v>369.97</v>
      </c>
      <c r="D809">
        <v>369.81</v>
      </c>
      <c r="E809" s="17">
        <f t="shared" si="24"/>
        <v>2.7048226988727041E-4</v>
      </c>
      <c r="G809" s="21">
        <v>45481</v>
      </c>
      <c r="H809" s="12">
        <v>24320.55078125</v>
      </c>
      <c r="I809" s="14">
        <f t="shared" si="25"/>
        <v>-1.3562113637343622E-4</v>
      </c>
    </row>
    <row r="810" spans="2:9">
      <c r="B810" s="21">
        <v>45482</v>
      </c>
      <c r="C810">
        <v>371.4</v>
      </c>
      <c r="D810">
        <v>368.74</v>
      </c>
      <c r="E810" s="17">
        <f t="shared" si="24"/>
        <v>-2.8933776804304727E-3</v>
      </c>
      <c r="G810" s="21">
        <v>45482</v>
      </c>
      <c r="H810" s="12">
        <v>24433.19921875</v>
      </c>
      <c r="I810" s="15">
        <f t="shared" si="25"/>
        <v>4.631820986013468E-3</v>
      </c>
    </row>
    <row r="811" spans="2:9">
      <c r="B811" s="21">
        <v>45483</v>
      </c>
      <c r="C811">
        <v>367.77</v>
      </c>
      <c r="D811">
        <v>365.15</v>
      </c>
      <c r="E811" s="17">
        <f t="shared" si="24"/>
        <v>-9.735857243586353E-3</v>
      </c>
      <c r="G811" s="21">
        <v>45483</v>
      </c>
      <c r="H811" s="12">
        <v>24324.44921875</v>
      </c>
      <c r="I811" s="14">
        <f t="shared" si="25"/>
        <v>-4.4509111977667423E-3</v>
      </c>
    </row>
    <row r="812" spans="2:9">
      <c r="B812" s="21">
        <v>45484</v>
      </c>
      <c r="C812">
        <v>365.35</v>
      </c>
      <c r="D812">
        <v>368.07</v>
      </c>
      <c r="E812" s="17">
        <f t="shared" si="24"/>
        <v>7.9967136793099164E-3</v>
      </c>
      <c r="G812" s="21">
        <v>45484</v>
      </c>
      <c r="H812" s="12">
        <v>24315.94921875</v>
      </c>
      <c r="I812" s="15">
        <f t="shared" si="25"/>
        <v>-3.4944265021417015E-4</v>
      </c>
    </row>
    <row r="813" spans="2:9">
      <c r="B813" s="21">
        <v>45485</v>
      </c>
      <c r="C813">
        <v>368.07</v>
      </c>
      <c r="D813">
        <v>365.75</v>
      </c>
      <c r="E813" s="17">
        <f t="shared" si="24"/>
        <v>-6.3031488575542513E-3</v>
      </c>
      <c r="G813" s="21">
        <v>45485</v>
      </c>
      <c r="H813" s="12">
        <v>24502.150390625</v>
      </c>
      <c r="I813" s="14">
        <f t="shared" si="25"/>
        <v>7.6575736443560468E-3</v>
      </c>
    </row>
    <row r="814" spans="2:9">
      <c r="B814" s="21">
        <v>45488</v>
      </c>
      <c r="C814">
        <v>366.97</v>
      </c>
      <c r="D814">
        <v>367.88</v>
      </c>
      <c r="E814" s="17">
        <f t="shared" si="24"/>
        <v>5.8236500341763376E-3</v>
      </c>
      <c r="G814" s="21">
        <v>45488</v>
      </c>
      <c r="H814" s="12">
        <v>24586.69921875</v>
      </c>
      <c r="I814" s="15">
        <f t="shared" si="25"/>
        <v>3.4506697076412537E-3</v>
      </c>
    </row>
    <row r="815" spans="2:9">
      <c r="B815" s="21">
        <v>45489</v>
      </c>
      <c r="C815">
        <v>367.59</v>
      </c>
      <c r="D815">
        <v>360.25</v>
      </c>
      <c r="E815" s="17">
        <f t="shared" si="24"/>
        <v>-2.074045884527562E-2</v>
      </c>
      <c r="G815" s="21">
        <v>45489</v>
      </c>
      <c r="H815" s="12">
        <v>24613</v>
      </c>
      <c r="I815" s="14">
        <f t="shared" si="25"/>
        <v>1.0697158254550424E-3</v>
      </c>
    </row>
    <row r="816" spans="2:9">
      <c r="B816" s="21">
        <v>45491</v>
      </c>
      <c r="C816">
        <v>360.19</v>
      </c>
      <c r="D816">
        <v>364.53</v>
      </c>
      <c r="E816" s="17">
        <f t="shared" si="24"/>
        <v>1.1880638445523867E-2</v>
      </c>
      <c r="G816" s="21">
        <v>45491</v>
      </c>
      <c r="H816" s="12">
        <v>24800.849609375</v>
      </c>
      <c r="I816" s="15">
        <f t="shared" si="25"/>
        <v>7.63212974342827E-3</v>
      </c>
    </row>
    <row r="817" spans="2:9">
      <c r="B817" s="21">
        <v>45492</v>
      </c>
      <c r="C817">
        <v>363.28</v>
      </c>
      <c r="D817">
        <v>363.9</v>
      </c>
      <c r="E817" s="17">
        <f t="shared" si="24"/>
        <v>-1.7282528186980371E-3</v>
      </c>
      <c r="G817" s="21">
        <v>45492</v>
      </c>
      <c r="H817" s="12">
        <v>24530.900390625</v>
      </c>
      <c r="I817" s="14">
        <f t="shared" si="25"/>
        <v>-1.0884676251089243E-2</v>
      </c>
    </row>
    <row r="818" spans="2:9">
      <c r="B818" s="21">
        <v>45495</v>
      </c>
      <c r="C818">
        <v>363.78</v>
      </c>
      <c r="D818">
        <v>351.11</v>
      </c>
      <c r="E818" s="17">
        <f t="shared" si="24"/>
        <v>-3.5147018411651458E-2</v>
      </c>
      <c r="G818" s="21">
        <v>45495</v>
      </c>
      <c r="H818" s="12">
        <v>24509.25</v>
      </c>
      <c r="I818" s="15">
        <f t="shared" si="25"/>
        <v>-8.8257627238477363E-4</v>
      </c>
    </row>
    <row r="819" spans="2:9">
      <c r="B819" s="21">
        <v>45496</v>
      </c>
      <c r="C819">
        <v>353.39</v>
      </c>
      <c r="D819">
        <v>353.37</v>
      </c>
      <c r="E819" s="17">
        <f t="shared" si="24"/>
        <v>6.4367292301557655E-3</v>
      </c>
      <c r="G819" s="21">
        <v>45496</v>
      </c>
      <c r="H819" s="12">
        <v>24479.05078125</v>
      </c>
      <c r="I819" s="14">
        <f t="shared" si="25"/>
        <v>-1.2321559717249609E-3</v>
      </c>
    </row>
    <row r="820" spans="2:9">
      <c r="B820" s="21">
        <v>45497</v>
      </c>
      <c r="C820">
        <v>353.18</v>
      </c>
      <c r="D820">
        <v>348.84</v>
      </c>
      <c r="E820" s="17">
        <f t="shared" si="24"/>
        <v>-1.2819424399354868E-2</v>
      </c>
      <c r="G820" s="21">
        <v>45497</v>
      </c>
      <c r="H820" s="12">
        <v>24413.5</v>
      </c>
      <c r="I820" s="15">
        <f t="shared" si="25"/>
        <v>-2.6778318259059845E-3</v>
      </c>
    </row>
    <row r="821" spans="2:9">
      <c r="B821" s="21">
        <v>45498</v>
      </c>
      <c r="C821">
        <v>346</v>
      </c>
      <c r="D821">
        <v>354.62</v>
      </c>
      <c r="E821" s="17">
        <f t="shared" si="24"/>
        <v>1.6569200779727181E-2</v>
      </c>
      <c r="G821" s="21">
        <v>45498</v>
      </c>
      <c r="H821" s="12">
        <v>24406.099609375</v>
      </c>
      <c r="I821" s="14">
        <f t="shared" si="25"/>
        <v>-3.031269840457124E-4</v>
      </c>
    </row>
    <row r="822" spans="2:9">
      <c r="B822" s="21">
        <v>45499</v>
      </c>
      <c r="C822">
        <v>351.22</v>
      </c>
      <c r="D822">
        <v>362.35</v>
      </c>
      <c r="E822" s="17">
        <f t="shared" si="24"/>
        <v>2.1797980937341432E-2</v>
      </c>
      <c r="G822" s="21">
        <v>45499</v>
      </c>
      <c r="H822" s="12">
        <v>24834.849609375</v>
      </c>
      <c r="I822" s="15">
        <f t="shared" si="25"/>
        <v>1.756732976027461E-2</v>
      </c>
    </row>
    <row r="823" spans="2:9">
      <c r="B823" s="21">
        <v>45502</v>
      </c>
      <c r="C823">
        <v>364.52</v>
      </c>
      <c r="D823">
        <v>358.37</v>
      </c>
      <c r="E823" s="17">
        <f t="shared" si="24"/>
        <v>-1.0983855388436645E-2</v>
      </c>
      <c r="G823" s="21">
        <v>45502</v>
      </c>
      <c r="H823" s="12">
        <v>24836.099609375</v>
      </c>
      <c r="I823" s="14">
        <f t="shared" si="25"/>
        <v>5.0332497263367071E-5</v>
      </c>
    </row>
    <row r="824" spans="2:9">
      <c r="B824" s="21">
        <v>45503</v>
      </c>
      <c r="C824">
        <v>358.37</v>
      </c>
      <c r="D824">
        <v>356.81</v>
      </c>
      <c r="E824" s="17">
        <f t="shared" si="24"/>
        <v>-4.3530429444429003E-3</v>
      </c>
      <c r="G824" s="21">
        <v>45503</v>
      </c>
      <c r="H824" s="12">
        <v>24857.30078125</v>
      </c>
      <c r="I824" s="15">
        <f t="shared" si="25"/>
        <v>8.5364337430008915E-4</v>
      </c>
    </row>
    <row r="825" spans="2:9">
      <c r="B825" s="21">
        <v>45504</v>
      </c>
      <c r="C825">
        <v>358.19</v>
      </c>
      <c r="D825">
        <v>361.16</v>
      </c>
      <c r="E825" s="17">
        <f t="shared" si="24"/>
        <v>1.2191362349709993E-2</v>
      </c>
      <c r="G825" s="21">
        <v>45504</v>
      </c>
      <c r="H825" s="12">
        <v>24951.150390625</v>
      </c>
      <c r="I825" s="14">
        <f t="shared" si="25"/>
        <v>3.7755350108564997E-3</v>
      </c>
    </row>
    <row r="826" spans="2:9">
      <c r="B826" s="21">
        <v>45505</v>
      </c>
      <c r="C826">
        <v>361</v>
      </c>
      <c r="D826">
        <v>358.12</v>
      </c>
      <c r="E826" s="17">
        <f t="shared" si="24"/>
        <v>-8.417321962565125E-3</v>
      </c>
      <c r="G826" s="21">
        <v>45505</v>
      </c>
      <c r="H826" s="12">
        <v>25010.900390625</v>
      </c>
      <c r="I826" s="15">
        <f t="shared" si="25"/>
        <v>2.3946791656728628E-3</v>
      </c>
    </row>
    <row r="827" spans="2:9">
      <c r="B827" s="21">
        <v>45506</v>
      </c>
      <c r="C827">
        <v>355.81</v>
      </c>
      <c r="D827">
        <v>360.27</v>
      </c>
      <c r="E827" s="17">
        <f t="shared" si="24"/>
        <v>6.0035742209314678E-3</v>
      </c>
      <c r="G827" s="21">
        <v>45506</v>
      </c>
      <c r="H827" s="12">
        <v>24717.69921875</v>
      </c>
      <c r="I827" s="14">
        <f t="shared" si="25"/>
        <v>-1.1722935491954641E-2</v>
      </c>
    </row>
    <row r="828" spans="2:9">
      <c r="B828" s="21">
        <v>45509</v>
      </c>
      <c r="C828">
        <v>353.63</v>
      </c>
      <c r="D828">
        <v>354.32</v>
      </c>
      <c r="E828" s="17">
        <f t="shared" si="24"/>
        <v>-1.6515391234351983E-2</v>
      </c>
      <c r="G828" s="21">
        <v>45509</v>
      </c>
      <c r="H828" s="12">
        <v>24055.599609375</v>
      </c>
      <c r="I828" s="15">
        <f t="shared" si="25"/>
        <v>-2.6786457894622889E-2</v>
      </c>
    </row>
    <row r="829" spans="2:9">
      <c r="B829" s="21">
        <v>45510</v>
      </c>
      <c r="C829">
        <v>356.59</v>
      </c>
      <c r="D829">
        <v>353.7</v>
      </c>
      <c r="E829" s="17">
        <f t="shared" si="24"/>
        <v>-1.7498306615488953E-3</v>
      </c>
      <c r="G829" s="21">
        <v>45510</v>
      </c>
      <c r="H829" s="12">
        <v>23992.55078125</v>
      </c>
      <c r="I829" s="14">
        <f t="shared" si="25"/>
        <v>-2.6209626510589443E-3</v>
      </c>
    </row>
    <row r="830" spans="2:9">
      <c r="B830" s="21">
        <v>45511</v>
      </c>
      <c r="C830">
        <v>356.59</v>
      </c>
      <c r="D830">
        <v>354.9</v>
      </c>
      <c r="E830" s="17">
        <f t="shared" si="24"/>
        <v>3.3927056827819865E-3</v>
      </c>
      <c r="G830" s="21">
        <v>45511</v>
      </c>
      <c r="H830" s="12">
        <v>24297.5</v>
      </c>
      <c r="I830" s="15">
        <f t="shared" si="25"/>
        <v>1.2710162480444369E-2</v>
      </c>
    </row>
    <row r="831" spans="2:9">
      <c r="B831" s="21">
        <v>45512</v>
      </c>
      <c r="C831">
        <v>352.92</v>
      </c>
      <c r="D831">
        <v>354.14</v>
      </c>
      <c r="E831" s="17">
        <f t="shared" si="24"/>
        <v>-2.1414482952944237E-3</v>
      </c>
      <c r="G831" s="21">
        <v>45512</v>
      </c>
      <c r="H831" s="12">
        <v>24117</v>
      </c>
      <c r="I831" s="14">
        <f t="shared" si="25"/>
        <v>-7.428747813561066E-3</v>
      </c>
    </row>
    <row r="832" spans="2:9">
      <c r="B832" s="21">
        <v>45513</v>
      </c>
      <c r="C832">
        <v>356.6</v>
      </c>
      <c r="D832">
        <v>353.52</v>
      </c>
      <c r="E832" s="17">
        <f t="shared" si="24"/>
        <v>-1.7507200542158598E-3</v>
      </c>
      <c r="G832" s="21">
        <v>45513</v>
      </c>
      <c r="H832" s="12">
        <v>24367.5</v>
      </c>
      <c r="I832" s="15">
        <f t="shared" si="25"/>
        <v>1.0386864037815649E-2</v>
      </c>
    </row>
    <row r="833" spans="2:9">
      <c r="B833" s="21">
        <v>45516</v>
      </c>
      <c r="C833">
        <v>351.79</v>
      </c>
      <c r="D833">
        <v>354.1</v>
      </c>
      <c r="E833" s="17">
        <f t="shared" si="24"/>
        <v>1.6406426793393329E-3</v>
      </c>
      <c r="G833" s="21">
        <v>45516</v>
      </c>
      <c r="H833" s="12">
        <v>24347</v>
      </c>
      <c r="I833" s="14">
        <f t="shared" si="25"/>
        <v>-8.412844977941931E-4</v>
      </c>
    </row>
    <row r="834" spans="2:9">
      <c r="B834" s="21">
        <v>45517</v>
      </c>
      <c r="C834">
        <v>352.19</v>
      </c>
      <c r="D834">
        <v>350.01</v>
      </c>
      <c r="E834" s="17">
        <f t="shared" si="24"/>
        <v>-1.1550409488845049E-2</v>
      </c>
      <c r="G834" s="21">
        <v>45517</v>
      </c>
      <c r="H834" s="12">
        <v>24139</v>
      </c>
      <c r="I834" s="15">
        <f t="shared" si="25"/>
        <v>-8.5431469996303452E-3</v>
      </c>
    </row>
    <row r="835" spans="2:9">
      <c r="B835" s="21">
        <v>45518</v>
      </c>
      <c r="C835">
        <v>350.6</v>
      </c>
      <c r="D835">
        <v>349.18</v>
      </c>
      <c r="E835" s="17">
        <f t="shared" si="24"/>
        <v>-2.3713608182622898E-3</v>
      </c>
      <c r="G835" s="21">
        <v>45518</v>
      </c>
      <c r="H835" s="12">
        <v>24143.75</v>
      </c>
      <c r="I835" s="14">
        <f t="shared" si="25"/>
        <v>1.9677699987571978E-4</v>
      </c>
    </row>
    <row r="836" spans="2:9">
      <c r="B836" s="21">
        <v>45520</v>
      </c>
      <c r="C836">
        <v>351.99</v>
      </c>
      <c r="D836">
        <v>355.05</v>
      </c>
      <c r="E836" s="17">
        <f t="shared" si="24"/>
        <v>1.681081390686753E-2</v>
      </c>
      <c r="G836" s="21">
        <v>45520</v>
      </c>
      <c r="H836" s="12">
        <v>24541.150390625</v>
      </c>
      <c r="I836" s="15">
        <f t="shared" si="25"/>
        <v>1.6459762490292518E-2</v>
      </c>
    </row>
    <row r="837" spans="2:9">
      <c r="B837" s="21">
        <v>45523</v>
      </c>
      <c r="C837">
        <v>355.7</v>
      </c>
      <c r="D837">
        <v>355.86</v>
      </c>
      <c r="E837" s="17">
        <f t="shared" ref="E837:E900" si="26">(D837-D836)/D836</f>
        <v>2.2813688212927818E-3</v>
      </c>
      <c r="G837" s="21">
        <v>45523</v>
      </c>
      <c r="H837" s="12">
        <v>24572.650390625</v>
      </c>
      <c r="I837" s="14">
        <f t="shared" ref="I837:I900" si="27">(H837-H836)/H836</f>
        <v>1.2835584110202657E-3</v>
      </c>
    </row>
    <row r="838" spans="2:9">
      <c r="B838" s="21">
        <v>45524</v>
      </c>
      <c r="C838">
        <v>356.19</v>
      </c>
      <c r="D838">
        <v>360.71</v>
      </c>
      <c r="E838" s="17">
        <f t="shared" si="26"/>
        <v>1.362895520710382E-2</v>
      </c>
      <c r="G838" s="21">
        <v>45524</v>
      </c>
      <c r="H838" s="12">
        <v>24698.849609375</v>
      </c>
      <c r="I838" s="15">
        <f t="shared" si="27"/>
        <v>5.1357593399101852E-3</v>
      </c>
    </row>
    <row r="839" spans="2:9">
      <c r="B839" s="21">
        <v>45525</v>
      </c>
      <c r="C839">
        <v>359.59</v>
      </c>
      <c r="D839">
        <v>362.17</v>
      </c>
      <c r="E839" s="17">
        <f t="shared" si="26"/>
        <v>4.0475728424497143E-3</v>
      </c>
      <c r="G839" s="21">
        <v>45525</v>
      </c>
      <c r="H839" s="12">
        <v>24770.19921875</v>
      </c>
      <c r="I839" s="14">
        <f t="shared" si="27"/>
        <v>2.8887826964992596E-3</v>
      </c>
    </row>
    <row r="840" spans="2:9">
      <c r="B840" s="21">
        <v>45526</v>
      </c>
      <c r="C840">
        <v>362.38</v>
      </c>
      <c r="D840">
        <v>363.88</v>
      </c>
      <c r="E840" s="17">
        <f t="shared" si="26"/>
        <v>4.7215396084711037E-3</v>
      </c>
      <c r="G840" s="21">
        <v>45526</v>
      </c>
      <c r="H840" s="12">
        <v>24811.5</v>
      </c>
      <c r="I840" s="15">
        <f t="shared" si="27"/>
        <v>1.667357653657345E-3</v>
      </c>
    </row>
    <row r="841" spans="2:9">
      <c r="B841" s="21">
        <v>45527</v>
      </c>
      <c r="C841">
        <v>363.88</v>
      </c>
      <c r="D841">
        <v>363.18</v>
      </c>
      <c r="E841" s="17">
        <f t="shared" si="26"/>
        <v>-1.9237111135538877E-3</v>
      </c>
      <c r="G841" s="21">
        <v>45527</v>
      </c>
      <c r="H841" s="12">
        <v>24823.150390625</v>
      </c>
      <c r="I841" s="14">
        <f t="shared" si="27"/>
        <v>4.6955607782681415E-4</v>
      </c>
    </row>
    <row r="842" spans="2:9">
      <c r="B842" s="21">
        <v>45530</v>
      </c>
      <c r="C842">
        <v>363.58</v>
      </c>
      <c r="D842">
        <v>362.08</v>
      </c>
      <c r="E842" s="17">
        <f t="shared" si="26"/>
        <v>-3.0288011454375867E-3</v>
      </c>
      <c r="G842" s="21">
        <v>45530</v>
      </c>
      <c r="H842" s="12">
        <v>25010.599609375</v>
      </c>
      <c r="I842" s="15">
        <f t="shared" si="27"/>
        <v>7.551387144670978E-3</v>
      </c>
    </row>
    <row r="843" spans="2:9">
      <c r="B843" s="21">
        <v>45531</v>
      </c>
      <c r="C843">
        <v>361.79</v>
      </c>
      <c r="D843">
        <v>360.25</v>
      </c>
      <c r="E843" s="17">
        <f t="shared" si="26"/>
        <v>-5.0541316836057891E-3</v>
      </c>
      <c r="G843" s="21">
        <v>45531</v>
      </c>
      <c r="H843" s="12">
        <v>25017.75</v>
      </c>
      <c r="I843" s="14">
        <f t="shared" si="27"/>
        <v>2.8589441023715959E-4</v>
      </c>
    </row>
    <row r="844" spans="2:9">
      <c r="B844" s="21">
        <v>45532</v>
      </c>
      <c r="C844">
        <v>358.79</v>
      </c>
      <c r="D844">
        <v>357.85</v>
      </c>
      <c r="E844" s="17">
        <f t="shared" si="26"/>
        <v>-6.6620402498264461E-3</v>
      </c>
      <c r="G844" s="21">
        <v>45532</v>
      </c>
      <c r="H844" s="12">
        <v>25052.349609375</v>
      </c>
      <c r="I844" s="15">
        <f t="shared" si="27"/>
        <v>1.3830024432652816E-3</v>
      </c>
    </row>
    <row r="845" spans="2:9">
      <c r="B845" s="21">
        <v>45533</v>
      </c>
      <c r="C845">
        <v>356.24</v>
      </c>
      <c r="D845">
        <v>355.04</v>
      </c>
      <c r="E845" s="17">
        <f t="shared" si="26"/>
        <v>-7.8524521447533944E-3</v>
      </c>
      <c r="G845" s="21">
        <v>45533</v>
      </c>
      <c r="H845" s="12">
        <v>25151.94921875</v>
      </c>
      <c r="I845" s="14">
        <f t="shared" si="27"/>
        <v>3.9756594063228385E-3</v>
      </c>
    </row>
    <row r="846" spans="2:9">
      <c r="B846" s="21">
        <v>45534</v>
      </c>
      <c r="C846">
        <v>355.05</v>
      </c>
      <c r="D846">
        <v>355.75</v>
      </c>
      <c r="E846" s="17">
        <f t="shared" si="26"/>
        <v>1.9997746732761928E-3</v>
      </c>
      <c r="G846" s="21">
        <v>45534</v>
      </c>
      <c r="H846" s="12">
        <v>25235.900390625</v>
      </c>
      <c r="I846" s="15">
        <f t="shared" si="27"/>
        <v>3.3377600735777966E-3</v>
      </c>
    </row>
    <row r="847" spans="2:9">
      <c r="B847" s="21">
        <v>45537</v>
      </c>
      <c r="C847">
        <v>355.99</v>
      </c>
      <c r="D847">
        <v>355.64</v>
      </c>
      <c r="E847" s="17">
        <f t="shared" si="26"/>
        <v>-3.0920590302182328E-4</v>
      </c>
      <c r="G847" s="21">
        <v>45537</v>
      </c>
      <c r="H847" s="12">
        <v>25278.69921875</v>
      </c>
      <c r="I847" s="14">
        <f t="shared" si="27"/>
        <v>1.6959501132323192E-3</v>
      </c>
    </row>
    <row r="848" spans="2:9">
      <c r="B848" s="21">
        <v>45538</v>
      </c>
      <c r="C848">
        <v>355.6</v>
      </c>
      <c r="D848">
        <v>356.35</v>
      </c>
      <c r="E848" s="17">
        <f t="shared" si="26"/>
        <v>1.9964008547970879E-3</v>
      </c>
      <c r="G848" s="21">
        <v>45538</v>
      </c>
      <c r="H848" s="12">
        <v>25279.849609375</v>
      </c>
      <c r="I848" s="15">
        <f t="shared" si="27"/>
        <v>4.5508299894905958E-5</v>
      </c>
    </row>
    <row r="849" spans="2:9">
      <c r="B849" s="21">
        <v>45539</v>
      </c>
      <c r="C849">
        <v>353.59</v>
      </c>
      <c r="D849">
        <v>356.35</v>
      </c>
      <c r="E849" s="17">
        <f t="shared" si="26"/>
        <v>0</v>
      </c>
      <c r="G849" s="21">
        <v>45539</v>
      </c>
      <c r="H849" s="12">
        <v>25198.69921875</v>
      </c>
      <c r="I849" s="14">
        <f t="shared" si="27"/>
        <v>-3.2100820170585776E-3</v>
      </c>
    </row>
    <row r="850" spans="2:9">
      <c r="B850" s="21">
        <v>45540</v>
      </c>
      <c r="C850">
        <v>355.84</v>
      </c>
      <c r="D850">
        <v>355.18</v>
      </c>
      <c r="E850" s="17">
        <f t="shared" si="26"/>
        <v>-3.2832889013610657E-3</v>
      </c>
      <c r="G850" s="21">
        <v>45540</v>
      </c>
      <c r="H850" s="12">
        <v>25145.099609375</v>
      </c>
      <c r="I850" s="15">
        <f t="shared" si="27"/>
        <v>-2.1270784221717794E-3</v>
      </c>
    </row>
    <row r="851" spans="2:9">
      <c r="B851" s="21">
        <v>45541</v>
      </c>
      <c r="C851">
        <v>353.1</v>
      </c>
      <c r="D851">
        <v>352.42</v>
      </c>
      <c r="E851" s="17">
        <f t="shared" si="26"/>
        <v>-7.770707810124418E-3</v>
      </c>
      <c r="G851" s="21">
        <v>45541</v>
      </c>
      <c r="H851" s="12">
        <v>24852.150390625</v>
      </c>
      <c r="I851" s="14">
        <f t="shared" si="27"/>
        <v>-1.1650350298901897E-2</v>
      </c>
    </row>
    <row r="852" spans="2:9">
      <c r="B852" s="21">
        <v>45544</v>
      </c>
      <c r="C852">
        <v>353.13</v>
      </c>
      <c r="D852">
        <v>357.62</v>
      </c>
      <c r="E852" s="17">
        <f t="shared" si="26"/>
        <v>1.4755121729754237E-2</v>
      </c>
      <c r="G852" s="21">
        <v>45544</v>
      </c>
      <c r="H852" s="12">
        <v>24936.400390625</v>
      </c>
      <c r="I852" s="15">
        <f t="shared" si="27"/>
        <v>3.3900486950127948E-3</v>
      </c>
    </row>
    <row r="853" spans="2:9">
      <c r="B853" s="21">
        <v>45545</v>
      </c>
      <c r="C853">
        <v>359.19</v>
      </c>
      <c r="D853">
        <v>357.91</v>
      </c>
      <c r="E853" s="17">
        <f t="shared" si="26"/>
        <v>8.1091661540188035E-4</v>
      </c>
      <c r="G853" s="21">
        <v>45545</v>
      </c>
      <c r="H853" s="12">
        <v>25041.099609375</v>
      </c>
      <c r="I853" s="14">
        <f t="shared" si="27"/>
        <v>4.1986500501236075E-3</v>
      </c>
    </row>
    <row r="854" spans="2:9">
      <c r="B854" s="21">
        <v>45546</v>
      </c>
      <c r="C854">
        <v>358.59</v>
      </c>
      <c r="D854">
        <v>357.44</v>
      </c>
      <c r="E854" s="17">
        <f t="shared" si="26"/>
        <v>-1.3131792908832591E-3</v>
      </c>
      <c r="G854" s="21">
        <v>45546</v>
      </c>
      <c r="H854" s="12">
        <v>24918.44921875</v>
      </c>
      <c r="I854" s="15">
        <f t="shared" si="27"/>
        <v>-4.8979634496195048E-3</v>
      </c>
    </row>
    <row r="855" spans="2:9">
      <c r="B855" s="21">
        <v>45547</v>
      </c>
      <c r="C855">
        <v>360.36</v>
      </c>
      <c r="D855">
        <v>365.07</v>
      </c>
      <c r="E855" s="17">
        <f t="shared" si="26"/>
        <v>2.1346239928379574E-2</v>
      </c>
      <c r="G855" s="21">
        <v>45547</v>
      </c>
      <c r="H855" s="12">
        <v>25388.900390625</v>
      </c>
      <c r="I855" s="14">
        <f t="shared" si="27"/>
        <v>1.8879632827271085E-2</v>
      </c>
    </row>
    <row r="856" spans="2:9">
      <c r="B856" s="21">
        <v>45548</v>
      </c>
      <c r="C856">
        <v>366.98</v>
      </c>
      <c r="D856">
        <v>363.65</v>
      </c>
      <c r="E856" s="17">
        <f t="shared" si="26"/>
        <v>-3.8896649957542826E-3</v>
      </c>
      <c r="G856" s="21">
        <v>45548</v>
      </c>
      <c r="H856" s="12">
        <v>25356.5</v>
      </c>
      <c r="I856" s="15">
        <f t="shared" si="27"/>
        <v>-1.2761636040355664E-3</v>
      </c>
    </row>
    <row r="857" spans="2:9">
      <c r="B857" s="21">
        <v>45551</v>
      </c>
      <c r="C857">
        <v>366.18</v>
      </c>
      <c r="D857">
        <v>365.84</v>
      </c>
      <c r="E857" s="17">
        <f t="shared" si="26"/>
        <v>6.0222741647188169E-3</v>
      </c>
      <c r="G857" s="21">
        <v>45551</v>
      </c>
      <c r="H857" s="12">
        <v>25383.75</v>
      </c>
      <c r="I857" s="14">
        <f t="shared" si="27"/>
        <v>1.0746751326089958E-3</v>
      </c>
    </row>
    <row r="858" spans="2:9">
      <c r="B858" s="21">
        <v>45552</v>
      </c>
      <c r="C858">
        <v>367.46</v>
      </c>
      <c r="D858">
        <v>368.9</v>
      </c>
      <c r="E858" s="17">
        <f t="shared" si="26"/>
        <v>8.3643122676579987E-3</v>
      </c>
      <c r="G858" s="21">
        <v>45552</v>
      </c>
      <c r="H858" s="12">
        <v>25418.55078125</v>
      </c>
      <c r="I858" s="15">
        <f t="shared" si="27"/>
        <v>1.3709866056039789E-3</v>
      </c>
    </row>
    <row r="859" spans="2:9">
      <c r="B859" s="21">
        <v>45553</v>
      </c>
      <c r="C859">
        <v>369.57</v>
      </c>
      <c r="D859">
        <v>367.52</v>
      </c>
      <c r="E859" s="17">
        <f t="shared" si="26"/>
        <v>-3.7408511791813381E-3</v>
      </c>
      <c r="G859" s="21">
        <v>45553</v>
      </c>
      <c r="H859" s="12">
        <v>25377.55078125</v>
      </c>
      <c r="I859" s="14">
        <f t="shared" si="27"/>
        <v>-1.6129951842196943E-3</v>
      </c>
    </row>
    <row r="860" spans="2:9">
      <c r="B860" s="21">
        <v>45554</v>
      </c>
      <c r="C860">
        <v>369.55</v>
      </c>
      <c r="D860">
        <v>373.96</v>
      </c>
      <c r="E860" s="17">
        <f t="shared" si="26"/>
        <v>1.7522855898998688E-2</v>
      </c>
      <c r="G860" s="21">
        <v>45554</v>
      </c>
      <c r="H860" s="12">
        <v>25415.80078125</v>
      </c>
      <c r="I860" s="15">
        <f t="shared" si="27"/>
        <v>1.5072376499098844E-3</v>
      </c>
    </row>
    <row r="861" spans="2:9">
      <c r="B861" s="21">
        <v>45555</v>
      </c>
      <c r="C861">
        <v>374.37</v>
      </c>
      <c r="D861">
        <v>380.46</v>
      </c>
      <c r="E861" s="17">
        <f t="shared" si="26"/>
        <v>1.738153813242058E-2</v>
      </c>
      <c r="G861" s="21">
        <v>45555</v>
      </c>
      <c r="H861" s="12">
        <v>25790.94921875</v>
      </c>
      <c r="I861" s="14">
        <f t="shared" si="27"/>
        <v>1.4760441377741608E-2</v>
      </c>
    </row>
    <row r="862" spans="2:9">
      <c r="B862" s="21">
        <v>45558</v>
      </c>
      <c r="C862">
        <v>382.55</v>
      </c>
      <c r="D862">
        <v>386.49</v>
      </c>
      <c r="E862" s="17">
        <f t="shared" si="26"/>
        <v>1.5849235136413894E-2</v>
      </c>
      <c r="G862" s="21">
        <v>45558</v>
      </c>
      <c r="H862" s="12">
        <v>25939.05078125</v>
      </c>
      <c r="I862" s="15">
        <f t="shared" si="27"/>
        <v>5.7423850996662926E-3</v>
      </c>
    </row>
    <row r="863" spans="2:9">
      <c r="B863" s="21">
        <v>45559</v>
      </c>
      <c r="C863">
        <v>386.55</v>
      </c>
      <c r="D863">
        <v>382.5</v>
      </c>
      <c r="E863" s="17">
        <f t="shared" si="26"/>
        <v>-1.0323682372118319E-2</v>
      </c>
      <c r="G863" s="21">
        <v>45559</v>
      </c>
      <c r="H863" s="12">
        <v>25940.400390625</v>
      </c>
      <c r="I863" s="14">
        <f t="shared" si="27"/>
        <v>5.2030021699003842E-5</v>
      </c>
    </row>
    <row r="864" spans="2:9">
      <c r="B864" s="21">
        <v>45560</v>
      </c>
      <c r="C864">
        <v>381.57</v>
      </c>
      <c r="D864">
        <v>379.15</v>
      </c>
      <c r="E864" s="17">
        <f t="shared" si="26"/>
        <v>-8.7581699346405816E-3</v>
      </c>
      <c r="G864" s="21">
        <v>45560</v>
      </c>
      <c r="H864" s="12">
        <v>26004.150390625</v>
      </c>
      <c r="I864" s="15">
        <f t="shared" si="27"/>
        <v>2.4575565157058869E-3</v>
      </c>
    </row>
    <row r="865" spans="2:9">
      <c r="B865" s="21">
        <v>45561</v>
      </c>
      <c r="C865">
        <v>378.56</v>
      </c>
      <c r="D865">
        <v>380.02</v>
      </c>
      <c r="E865" s="17">
        <f t="shared" si="26"/>
        <v>2.2946063563233669E-3</v>
      </c>
      <c r="G865" s="21">
        <v>45561</v>
      </c>
      <c r="H865" s="12">
        <v>26216.05078125</v>
      </c>
      <c r="I865" s="14">
        <f t="shared" si="27"/>
        <v>8.1487142414540942E-3</v>
      </c>
    </row>
    <row r="866" spans="2:9">
      <c r="B866" s="21">
        <v>45562</v>
      </c>
      <c r="C866">
        <v>379.56</v>
      </c>
      <c r="D866">
        <v>374.06</v>
      </c>
      <c r="E866" s="17">
        <f t="shared" si="26"/>
        <v>-1.5683385084995474E-2</v>
      </c>
      <c r="G866" s="21">
        <v>45562</v>
      </c>
      <c r="H866" s="12">
        <v>26178.94921875</v>
      </c>
      <c r="I866" s="15">
        <f t="shared" si="27"/>
        <v>-1.4152231703234049E-3</v>
      </c>
    </row>
    <row r="867" spans="2:9">
      <c r="B867" s="21">
        <v>45565</v>
      </c>
      <c r="C867">
        <v>370.91</v>
      </c>
      <c r="D867">
        <v>370.36</v>
      </c>
      <c r="E867" s="17">
        <f t="shared" si="26"/>
        <v>-9.8914612628989689E-3</v>
      </c>
      <c r="G867" s="21">
        <v>45565</v>
      </c>
      <c r="H867" s="12">
        <v>25810.849609375</v>
      </c>
      <c r="I867" s="14">
        <f t="shared" si="27"/>
        <v>-1.406090085202343E-2</v>
      </c>
    </row>
    <row r="868" spans="2:9">
      <c r="B868" s="21">
        <v>45566</v>
      </c>
      <c r="C868">
        <v>368.97</v>
      </c>
      <c r="D868">
        <v>375.45</v>
      </c>
      <c r="E868" s="17">
        <f t="shared" si="26"/>
        <v>1.3743384814774745E-2</v>
      </c>
      <c r="G868" s="21">
        <v>45566</v>
      </c>
      <c r="H868" s="12">
        <v>25796.900390625</v>
      </c>
      <c r="I868" s="15">
        <f t="shared" si="27"/>
        <v>-5.4044012347944466E-4</v>
      </c>
    </row>
    <row r="869" spans="2:9">
      <c r="B869" s="21">
        <v>45568</v>
      </c>
      <c r="C869">
        <v>371.15</v>
      </c>
      <c r="D869">
        <v>364.14</v>
      </c>
      <c r="E869" s="17">
        <f t="shared" si="26"/>
        <v>-3.012385137834599E-2</v>
      </c>
      <c r="G869" s="21">
        <v>45568</v>
      </c>
      <c r="H869" s="12">
        <v>25250.099609375</v>
      </c>
      <c r="I869" s="14">
        <f t="shared" si="27"/>
        <v>-2.1196375260987402E-2</v>
      </c>
    </row>
    <row r="870" spans="2:9">
      <c r="B870" s="21">
        <v>45569</v>
      </c>
      <c r="C870">
        <v>362.68</v>
      </c>
      <c r="D870">
        <v>361.38</v>
      </c>
      <c r="E870" s="17">
        <f t="shared" si="26"/>
        <v>-7.5795023891909461E-3</v>
      </c>
      <c r="G870" s="21">
        <v>45569</v>
      </c>
      <c r="H870" s="12">
        <v>25014.599609375</v>
      </c>
      <c r="I870" s="15">
        <f t="shared" si="27"/>
        <v>-9.3266958801446562E-3</v>
      </c>
    </row>
    <row r="871" spans="2:9">
      <c r="B871" s="21">
        <v>45572</v>
      </c>
      <c r="C871">
        <v>361.58</v>
      </c>
      <c r="D871">
        <v>357.64</v>
      </c>
      <c r="E871" s="17">
        <f t="shared" si="26"/>
        <v>-1.0349216890807486E-2</v>
      </c>
      <c r="G871" s="21">
        <v>45572</v>
      </c>
      <c r="H871" s="12">
        <v>24795.75</v>
      </c>
      <c r="I871" s="14">
        <f t="shared" si="27"/>
        <v>-8.7488751686027114E-3</v>
      </c>
    </row>
    <row r="872" spans="2:9">
      <c r="B872" s="21">
        <v>45573</v>
      </c>
      <c r="C872">
        <v>359.59</v>
      </c>
      <c r="D872">
        <v>360.26</v>
      </c>
      <c r="E872" s="17">
        <f t="shared" si="26"/>
        <v>7.3258024829437555E-3</v>
      </c>
      <c r="G872" s="21">
        <v>45573</v>
      </c>
      <c r="H872" s="12">
        <v>25013.150390625</v>
      </c>
      <c r="I872" s="15">
        <f t="shared" si="27"/>
        <v>8.7676473034693451E-3</v>
      </c>
    </row>
    <row r="873" spans="2:9">
      <c r="B873" s="21">
        <v>45574</v>
      </c>
      <c r="C873">
        <v>359.79</v>
      </c>
      <c r="D873">
        <v>359.75</v>
      </c>
      <c r="E873" s="17">
        <f t="shared" si="26"/>
        <v>-1.4156442569255286E-3</v>
      </c>
      <c r="G873" s="21">
        <v>45574</v>
      </c>
      <c r="H873" s="12">
        <v>24981.94921875</v>
      </c>
      <c r="I873" s="14">
        <f t="shared" si="27"/>
        <v>-1.2473907279865989E-3</v>
      </c>
    </row>
    <row r="874" spans="2:9">
      <c r="B874" s="21">
        <v>45575</v>
      </c>
      <c r="C874">
        <v>361.56</v>
      </c>
      <c r="D874">
        <v>374.79</v>
      </c>
      <c r="E874" s="17">
        <f t="shared" si="26"/>
        <v>4.1806810284920143E-2</v>
      </c>
      <c r="G874" s="21">
        <v>45575</v>
      </c>
      <c r="H874" s="12">
        <v>24998.44921875</v>
      </c>
      <c r="I874" s="15">
        <f t="shared" si="27"/>
        <v>6.6047688495083712E-4</v>
      </c>
    </row>
    <row r="875" spans="2:9">
      <c r="B875" s="21">
        <v>45576</v>
      </c>
      <c r="C875">
        <v>374.01</v>
      </c>
      <c r="D875">
        <v>376.05</v>
      </c>
      <c r="E875" s="17">
        <f t="shared" si="26"/>
        <v>3.361882654286376E-3</v>
      </c>
      <c r="G875" s="21">
        <v>45576</v>
      </c>
      <c r="H875" s="12">
        <v>24964.25</v>
      </c>
      <c r="I875" s="14">
        <f t="shared" si="27"/>
        <v>-1.3680536120756241E-3</v>
      </c>
    </row>
    <row r="876" spans="2:9">
      <c r="B876" s="21">
        <v>45579</v>
      </c>
      <c r="C876">
        <v>376.58</v>
      </c>
      <c r="D876">
        <v>381.72</v>
      </c>
      <c r="E876" s="17">
        <f t="shared" si="26"/>
        <v>1.5077782209812566E-2</v>
      </c>
      <c r="G876" s="21">
        <v>45579</v>
      </c>
      <c r="H876" s="12">
        <v>25127.94921875</v>
      </c>
      <c r="I876" s="15">
        <f t="shared" si="27"/>
        <v>6.5573457544288337E-3</v>
      </c>
    </row>
    <row r="877" spans="2:9">
      <c r="B877" s="21">
        <v>45580</v>
      </c>
      <c r="C877">
        <v>382</v>
      </c>
      <c r="D877">
        <v>378.6</v>
      </c>
      <c r="E877" s="17">
        <f t="shared" si="26"/>
        <v>-8.1735303363722218E-3</v>
      </c>
      <c r="G877" s="21">
        <v>45580</v>
      </c>
      <c r="H877" s="12">
        <v>25057.349609375</v>
      </c>
      <c r="I877" s="14">
        <f t="shared" si="27"/>
        <v>-2.8096049048968912E-3</v>
      </c>
    </row>
    <row r="878" spans="2:9">
      <c r="B878" s="21">
        <v>45581</v>
      </c>
      <c r="C878">
        <v>376.37</v>
      </c>
      <c r="D878">
        <v>374.84</v>
      </c>
      <c r="E878" s="17">
        <f t="shared" si="26"/>
        <v>-9.9313259376652072E-3</v>
      </c>
      <c r="G878" s="21">
        <v>45581</v>
      </c>
      <c r="H878" s="12">
        <v>24971.30078125</v>
      </c>
      <c r="I878" s="15">
        <f t="shared" si="27"/>
        <v>-3.4340754096676505E-3</v>
      </c>
    </row>
    <row r="879" spans="2:9">
      <c r="B879" s="21">
        <v>45582</v>
      </c>
      <c r="C879">
        <v>374.84</v>
      </c>
      <c r="D879">
        <v>372.38</v>
      </c>
      <c r="E879" s="17">
        <f t="shared" si="26"/>
        <v>-6.5628001280545823E-3</v>
      </c>
      <c r="G879" s="21">
        <v>45582</v>
      </c>
      <c r="H879" s="12">
        <v>24749.849609375</v>
      </c>
      <c r="I879" s="14">
        <f t="shared" si="27"/>
        <v>-8.8682273228345102E-3</v>
      </c>
    </row>
    <row r="880" spans="2:9">
      <c r="B880" s="21">
        <v>45583</v>
      </c>
      <c r="C880">
        <v>373.17</v>
      </c>
      <c r="D880">
        <v>373.78</v>
      </c>
      <c r="E880" s="17">
        <f t="shared" si="26"/>
        <v>3.759600408185126E-3</v>
      </c>
      <c r="G880" s="21">
        <v>45583</v>
      </c>
      <c r="H880" s="12">
        <v>24854.05078125</v>
      </c>
      <c r="I880" s="15">
        <f t="shared" si="27"/>
        <v>4.2101739412400158E-3</v>
      </c>
    </row>
    <row r="881" spans="2:9">
      <c r="B881" s="21">
        <v>45586</v>
      </c>
      <c r="C881">
        <v>369.57</v>
      </c>
      <c r="D881">
        <v>357.43</v>
      </c>
      <c r="E881" s="17">
        <f t="shared" si="26"/>
        <v>-4.3742308309700807E-2</v>
      </c>
      <c r="G881" s="21">
        <v>45586</v>
      </c>
      <c r="H881" s="12">
        <v>24781.099609375</v>
      </c>
      <c r="I881" s="14">
        <f t="shared" si="27"/>
        <v>-2.9351823779983047E-3</v>
      </c>
    </row>
    <row r="882" spans="2:9">
      <c r="B882" s="21">
        <v>45587</v>
      </c>
      <c r="C882">
        <v>357.98</v>
      </c>
      <c r="D882">
        <v>352.22</v>
      </c>
      <c r="E882" s="17">
        <f t="shared" si="26"/>
        <v>-1.4576280670340988E-2</v>
      </c>
      <c r="G882" s="21">
        <v>45587</v>
      </c>
      <c r="H882" s="12">
        <v>24472.099609375</v>
      </c>
      <c r="I882" s="15">
        <f t="shared" si="27"/>
        <v>-1.2469180337869326E-2</v>
      </c>
    </row>
    <row r="883" spans="2:9">
      <c r="B883" s="21">
        <v>45588</v>
      </c>
      <c r="C883">
        <v>351.82</v>
      </c>
      <c r="D883">
        <v>353.15</v>
      </c>
      <c r="E883" s="17">
        <f t="shared" si="26"/>
        <v>2.6403952075405995E-3</v>
      </c>
      <c r="G883" s="21">
        <v>45588</v>
      </c>
      <c r="H883" s="12">
        <v>24435.5</v>
      </c>
      <c r="I883" s="14">
        <f t="shared" si="27"/>
        <v>-1.4955647434917714E-3</v>
      </c>
    </row>
    <row r="884" spans="2:9">
      <c r="B884" s="21">
        <v>45589</v>
      </c>
      <c r="C884">
        <v>352.79</v>
      </c>
      <c r="D884">
        <v>352.03</v>
      </c>
      <c r="E884" s="17">
        <f t="shared" si="26"/>
        <v>-3.1714568880079419E-3</v>
      </c>
      <c r="G884" s="21">
        <v>45589</v>
      </c>
      <c r="H884" s="12">
        <v>24399.400390625</v>
      </c>
      <c r="I884" s="15">
        <f t="shared" si="27"/>
        <v>-1.4773427748562542E-3</v>
      </c>
    </row>
    <row r="885" spans="2:9">
      <c r="B885" s="21">
        <v>45590</v>
      </c>
      <c r="C885">
        <v>352.59</v>
      </c>
      <c r="D885">
        <v>353.36</v>
      </c>
      <c r="E885" s="17">
        <f t="shared" si="26"/>
        <v>3.7780870948499871E-3</v>
      </c>
      <c r="G885" s="21">
        <v>45590</v>
      </c>
      <c r="H885" s="12">
        <v>24180.80078125</v>
      </c>
      <c r="I885" s="14">
        <f t="shared" si="27"/>
        <v>-8.9592205494932031E-3</v>
      </c>
    </row>
    <row r="886" spans="2:9">
      <c r="B886" s="21">
        <v>45593</v>
      </c>
      <c r="C886">
        <v>353.19</v>
      </c>
      <c r="D886">
        <v>349.57</v>
      </c>
      <c r="E886" s="17">
        <f t="shared" si="26"/>
        <v>-1.0725605614670649E-2</v>
      </c>
      <c r="G886" s="21">
        <v>45593</v>
      </c>
      <c r="H886" s="12">
        <v>24339.150390625</v>
      </c>
      <c r="I886" s="15">
        <f t="shared" si="27"/>
        <v>6.5485676346080995E-3</v>
      </c>
    </row>
    <row r="887" spans="2:9">
      <c r="B887" s="21">
        <v>45594</v>
      </c>
      <c r="C887">
        <v>348.3</v>
      </c>
      <c r="D887">
        <v>351.63</v>
      </c>
      <c r="E887" s="17">
        <f t="shared" si="26"/>
        <v>5.8929542008753681E-3</v>
      </c>
      <c r="G887" s="21">
        <v>45594</v>
      </c>
      <c r="H887" s="12">
        <v>24466.849609375</v>
      </c>
      <c r="I887" s="14">
        <f t="shared" si="27"/>
        <v>5.2466588480092318E-3</v>
      </c>
    </row>
    <row r="888" spans="2:9">
      <c r="B888" s="21">
        <v>45595</v>
      </c>
      <c r="C888">
        <v>345</v>
      </c>
      <c r="D888">
        <v>346.52</v>
      </c>
      <c r="E888" s="17">
        <f t="shared" si="26"/>
        <v>-1.4532320905497295E-2</v>
      </c>
      <c r="G888" s="21">
        <v>45595</v>
      </c>
      <c r="H888" s="12">
        <v>24340.849609375</v>
      </c>
      <c r="I888" s="15">
        <f t="shared" si="27"/>
        <v>-5.149825253829181E-3</v>
      </c>
    </row>
    <row r="889" spans="2:9">
      <c r="B889" s="21">
        <v>45596</v>
      </c>
      <c r="C889">
        <v>345.07</v>
      </c>
      <c r="D889">
        <v>345.82</v>
      </c>
      <c r="E889" s="17">
        <f t="shared" si="26"/>
        <v>-2.0200854207549019E-3</v>
      </c>
      <c r="G889" s="21">
        <v>45596</v>
      </c>
      <c r="H889" s="12">
        <v>24205.349609375</v>
      </c>
      <c r="I889" s="14">
        <f t="shared" si="27"/>
        <v>-5.566773640794013E-3</v>
      </c>
    </row>
    <row r="890" spans="2:9">
      <c r="B890" s="21">
        <v>45597</v>
      </c>
      <c r="C890">
        <v>347.52</v>
      </c>
      <c r="D890">
        <v>348.48</v>
      </c>
      <c r="E890" s="17">
        <f t="shared" si="26"/>
        <v>7.6918628188075442E-3</v>
      </c>
      <c r="G890" s="21">
        <v>45597</v>
      </c>
      <c r="H890" s="12">
        <v>24304.349609375</v>
      </c>
      <c r="I890" s="15">
        <f t="shared" si="27"/>
        <v>4.0900049616162618E-3</v>
      </c>
    </row>
    <row r="891" spans="2:9">
      <c r="B891" s="21">
        <v>45600</v>
      </c>
      <c r="C891">
        <v>348.4</v>
      </c>
      <c r="D891">
        <v>345.47</v>
      </c>
      <c r="E891" s="17">
        <f t="shared" si="26"/>
        <v>-8.6375114784205433E-3</v>
      </c>
      <c r="G891" s="21">
        <v>45600</v>
      </c>
      <c r="H891" s="12">
        <v>23995.349609375</v>
      </c>
      <c r="I891" s="14">
        <f t="shared" si="27"/>
        <v>-1.2713773664645128E-2</v>
      </c>
    </row>
    <row r="892" spans="2:9">
      <c r="B892" s="21">
        <v>45601</v>
      </c>
      <c r="C892">
        <v>343.9</v>
      </c>
      <c r="D892">
        <v>351.03</v>
      </c>
      <c r="E892" s="17">
        <f t="shared" si="26"/>
        <v>1.6094016846614597E-2</v>
      </c>
      <c r="G892" s="21">
        <v>45601</v>
      </c>
      <c r="H892" s="12">
        <v>24213.30078125</v>
      </c>
      <c r="I892" s="15">
        <f t="shared" si="27"/>
        <v>9.0830588186073483E-3</v>
      </c>
    </row>
    <row r="893" spans="2:9">
      <c r="B893" s="21">
        <v>45602</v>
      </c>
      <c r="C893">
        <v>351.61</v>
      </c>
      <c r="D893">
        <v>352.11</v>
      </c>
      <c r="E893" s="17">
        <f t="shared" si="26"/>
        <v>3.0766601145202433E-3</v>
      </c>
      <c r="G893" s="21">
        <v>45602</v>
      </c>
      <c r="H893" s="12">
        <v>24484.05078125</v>
      </c>
      <c r="I893" s="14">
        <f t="shared" si="27"/>
        <v>1.1181870759630595E-2</v>
      </c>
    </row>
    <row r="894" spans="2:9">
      <c r="B894" s="21">
        <v>45603</v>
      </c>
      <c r="C894">
        <v>352.19</v>
      </c>
      <c r="D894">
        <v>348.98</v>
      </c>
      <c r="E894" s="17">
        <f t="shared" si="26"/>
        <v>-8.8892675584334307E-3</v>
      </c>
      <c r="G894" s="21">
        <v>45603</v>
      </c>
      <c r="H894" s="12">
        <v>24199.349609375</v>
      </c>
      <c r="I894" s="15">
        <f t="shared" si="27"/>
        <v>-1.1628025706147672E-2</v>
      </c>
    </row>
    <row r="895" spans="2:9">
      <c r="B895" s="21">
        <v>45604</v>
      </c>
      <c r="C895">
        <v>348.6</v>
      </c>
      <c r="D895">
        <v>348.76</v>
      </c>
      <c r="E895" s="17">
        <f t="shared" si="26"/>
        <v>-6.3040861940520166E-4</v>
      </c>
      <c r="G895" s="21">
        <v>45604</v>
      </c>
      <c r="H895" s="12">
        <v>24148.19921875</v>
      </c>
      <c r="I895" s="14">
        <f t="shared" si="27"/>
        <v>-2.1137093124678017E-3</v>
      </c>
    </row>
    <row r="896" spans="2:9">
      <c r="B896" s="21">
        <v>45607</v>
      </c>
      <c r="C896">
        <v>348.6</v>
      </c>
      <c r="D896">
        <v>348.4</v>
      </c>
      <c r="E896" s="17">
        <f t="shared" si="26"/>
        <v>-1.0322284665673061E-3</v>
      </c>
      <c r="G896" s="21">
        <v>45607</v>
      </c>
      <c r="H896" s="12">
        <v>24141.30078125</v>
      </c>
      <c r="I896" s="15">
        <f t="shared" si="27"/>
        <v>-2.8567088740280355E-4</v>
      </c>
    </row>
    <row r="897" spans="2:9">
      <c r="B897" s="21">
        <v>45608</v>
      </c>
      <c r="C897">
        <v>348.56</v>
      </c>
      <c r="D897">
        <v>343.88</v>
      </c>
      <c r="E897" s="17">
        <f t="shared" si="26"/>
        <v>-1.2973593570608444E-2</v>
      </c>
      <c r="G897" s="21">
        <v>45608</v>
      </c>
      <c r="H897" s="12">
        <v>23883.44921875</v>
      </c>
      <c r="I897" s="14">
        <f t="shared" si="27"/>
        <v>-1.0680930776533279E-2</v>
      </c>
    </row>
    <row r="898" spans="2:9">
      <c r="B898" s="21">
        <v>45609</v>
      </c>
      <c r="C898">
        <v>342.41</v>
      </c>
      <c r="D898">
        <v>337.18</v>
      </c>
      <c r="E898" s="17">
        <f t="shared" si="26"/>
        <v>-1.9483540770036025E-2</v>
      </c>
      <c r="G898" s="21">
        <v>45609</v>
      </c>
      <c r="H898" s="12">
        <v>23559.05078125</v>
      </c>
      <c r="I898" s="15">
        <f t="shared" si="27"/>
        <v>-1.3582562322921387E-2</v>
      </c>
    </row>
    <row r="899" spans="2:9">
      <c r="B899" s="21">
        <v>45610</v>
      </c>
      <c r="C899">
        <v>337.61</v>
      </c>
      <c r="D899">
        <v>341.19</v>
      </c>
      <c r="E899" s="17">
        <f t="shared" si="26"/>
        <v>1.1892757577554989E-2</v>
      </c>
      <c r="G899" s="21">
        <v>45610</v>
      </c>
      <c r="H899" s="12">
        <v>23532.69921875</v>
      </c>
      <c r="I899" s="14">
        <f t="shared" si="27"/>
        <v>-1.1185324376894032E-3</v>
      </c>
    </row>
    <row r="900" spans="2:9">
      <c r="B900" s="21">
        <v>45614</v>
      </c>
      <c r="C900">
        <v>342.41</v>
      </c>
      <c r="D900">
        <v>344.15</v>
      </c>
      <c r="E900" s="17">
        <f t="shared" si="26"/>
        <v>8.6755180398018095E-3</v>
      </c>
      <c r="G900" s="21">
        <v>45614</v>
      </c>
      <c r="H900" s="12">
        <v>23453.80078125</v>
      </c>
      <c r="I900" s="15">
        <f t="shared" si="27"/>
        <v>-3.3527151631265739E-3</v>
      </c>
    </row>
    <row r="901" spans="2:9">
      <c r="B901" s="21">
        <v>45615</v>
      </c>
      <c r="C901">
        <v>345.56</v>
      </c>
      <c r="D901">
        <v>345.15</v>
      </c>
      <c r="E901" s="17">
        <f t="shared" ref="E901:E964" si="28">(D901-D900)/D900</f>
        <v>2.9057097195990121E-3</v>
      </c>
      <c r="G901" s="21">
        <v>45615</v>
      </c>
      <c r="H901" s="12">
        <v>23518.5</v>
      </c>
      <c r="I901" s="14">
        <f t="shared" ref="I901:I964" si="29">(H901-H900)/H900</f>
        <v>2.7585814066316875E-3</v>
      </c>
    </row>
    <row r="902" spans="2:9">
      <c r="B902" s="21">
        <v>45617</v>
      </c>
      <c r="C902">
        <v>342.62</v>
      </c>
      <c r="D902">
        <v>347.02</v>
      </c>
      <c r="E902" s="17">
        <f t="shared" si="28"/>
        <v>5.4179342314935675E-3</v>
      </c>
      <c r="G902" s="21">
        <v>45617</v>
      </c>
      <c r="H902" s="12">
        <v>23349.900390625</v>
      </c>
      <c r="I902" s="15">
        <f t="shared" si="29"/>
        <v>-7.1688079331164827E-3</v>
      </c>
    </row>
    <row r="903" spans="2:9">
      <c r="B903" s="21">
        <v>45618</v>
      </c>
      <c r="C903">
        <v>346.4</v>
      </c>
      <c r="D903">
        <v>351.88</v>
      </c>
      <c r="E903" s="17">
        <f t="shared" si="28"/>
        <v>1.4004956486657869E-2</v>
      </c>
      <c r="G903" s="21">
        <v>45618</v>
      </c>
      <c r="H903" s="12">
        <v>23907.25</v>
      </c>
      <c r="I903" s="14">
        <f t="shared" si="29"/>
        <v>2.3869464111237762E-2</v>
      </c>
    </row>
    <row r="904" spans="2:9">
      <c r="B904" s="21">
        <v>45621</v>
      </c>
      <c r="C904">
        <v>355.99</v>
      </c>
      <c r="D904">
        <v>357.74</v>
      </c>
      <c r="E904" s="17">
        <f t="shared" si="28"/>
        <v>1.6653404569739724E-2</v>
      </c>
      <c r="G904" s="21">
        <v>45621</v>
      </c>
      <c r="H904" s="12">
        <v>24221.900390625</v>
      </c>
      <c r="I904" s="15">
        <f t="shared" si="29"/>
        <v>1.3161295867362411E-2</v>
      </c>
    </row>
    <row r="905" spans="2:9">
      <c r="B905" s="21">
        <v>45622</v>
      </c>
      <c r="C905">
        <v>358.59</v>
      </c>
      <c r="D905">
        <v>356.31</v>
      </c>
      <c r="E905" s="17">
        <f t="shared" si="28"/>
        <v>-3.9973164868340322E-3</v>
      </c>
      <c r="G905" s="21">
        <v>45622</v>
      </c>
      <c r="H905" s="12">
        <v>24194.5</v>
      </c>
      <c r="I905" s="14">
        <f t="shared" si="29"/>
        <v>-1.1312238174179439E-3</v>
      </c>
    </row>
    <row r="906" spans="2:9">
      <c r="B906" s="21">
        <v>45623</v>
      </c>
      <c r="C906">
        <v>355.78</v>
      </c>
      <c r="D906">
        <v>356.23</v>
      </c>
      <c r="E906" s="17">
        <f t="shared" si="28"/>
        <v>-2.2452358900952563E-4</v>
      </c>
      <c r="G906" s="21">
        <v>45623</v>
      </c>
      <c r="H906" s="12">
        <v>24274.900390625</v>
      </c>
      <c r="I906" s="15">
        <f t="shared" si="29"/>
        <v>3.3230854378061129E-3</v>
      </c>
    </row>
    <row r="907" spans="2:9">
      <c r="B907" s="21">
        <v>45624</v>
      </c>
      <c r="C907">
        <v>356.24</v>
      </c>
      <c r="D907">
        <v>351.43</v>
      </c>
      <c r="E907" s="17">
        <f t="shared" si="28"/>
        <v>-1.3474440670353454E-2</v>
      </c>
      <c r="G907" s="21">
        <v>45624</v>
      </c>
      <c r="H907" s="12">
        <v>23914.150390625</v>
      </c>
      <c r="I907" s="14">
        <f t="shared" si="29"/>
        <v>-1.4861029054492934E-2</v>
      </c>
    </row>
    <row r="908" spans="2:9">
      <c r="B908" s="21">
        <v>45625</v>
      </c>
      <c r="C908">
        <v>351</v>
      </c>
      <c r="D908">
        <v>352.64</v>
      </c>
      <c r="E908" s="17">
        <f t="shared" si="28"/>
        <v>3.4430754346526462E-3</v>
      </c>
      <c r="G908" s="21">
        <v>45625</v>
      </c>
      <c r="H908" s="12">
        <v>24131.099609375</v>
      </c>
      <c r="I908" s="15">
        <f t="shared" si="29"/>
        <v>9.0720019405351737E-3</v>
      </c>
    </row>
    <row r="909" spans="2:9">
      <c r="B909" s="21">
        <v>45628</v>
      </c>
      <c r="C909">
        <v>352.59</v>
      </c>
      <c r="D909">
        <v>350.39</v>
      </c>
      <c r="E909" s="17">
        <f t="shared" si="28"/>
        <v>-6.380444646098004E-3</v>
      </c>
      <c r="G909" s="21">
        <v>45628</v>
      </c>
      <c r="H909" s="12">
        <v>24276.05078125</v>
      </c>
      <c r="I909" s="14">
        <f t="shared" si="29"/>
        <v>6.0068200049485541E-3</v>
      </c>
    </row>
    <row r="910" spans="2:9">
      <c r="B910" s="21">
        <v>45629</v>
      </c>
      <c r="C910">
        <v>351.59</v>
      </c>
      <c r="D910">
        <v>349.58</v>
      </c>
      <c r="E910" s="17">
        <f t="shared" si="28"/>
        <v>-2.3117098090699E-3</v>
      </c>
      <c r="G910" s="21">
        <v>45629</v>
      </c>
      <c r="H910" s="12">
        <v>24457.150390625</v>
      </c>
      <c r="I910" s="15">
        <f t="shared" si="29"/>
        <v>7.4600111445999777E-3</v>
      </c>
    </row>
    <row r="911" spans="2:9">
      <c r="B911" s="21">
        <v>45630</v>
      </c>
      <c r="C911">
        <v>350</v>
      </c>
      <c r="D911">
        <v>351.1</v>
      </c>
      <c r="E911" s="17">
        <f t="shared" si="28"/>
        <v>4.3480748326564416E-3</v>
      </c>
      <c r="G911" s="21">
        <v>45630</v>
      </c>
      <c r="H911" s="12">
        <v>24467.44921875</v>
      </c>
      <c r="I911" s="14">
        <f t="shared" si="29"/>
        <v>4.2109681465375389E-4</v>
      </c>
    </row>
    <row r="912" spans="2:9">
      <c r="B912" s="21">
        <v>45631</v>
      </c>
      <c r="C912">
        <v>352.39</v>
      </c>
      <c r="D912">
        <v>354.62</v>
      </c>
      <c r="E912" s="17">
        <f t="shared" si="28"/>
        <v>1.0025633722586105E-2</v>
      </c>
      <c r="G912" s="21">
        <v>45631</v>
      </c>
      <c r="H912" s="12">
        <v>24708.400390625</v>
      </c>
      <c r="I912" s="15">
        <f t="shared" si="29"/>
        <v>9.8478255628851284E-3</v>
      </c>
    </row>
    <row r="913" spans="2:9">
      <c r="B913" s="21">
        <v>45632</v>
      </c>
      <c r="C913">
        <v>354.37</v>
      </c>
      <c r="D913">
        <v>354.98</v>
      </c>
      <c r="E913" s="17">
        <f t="shared" si="28"/>
        <v>1.0151711691388349E-3</v>
      </c>
      <c r="G913" s="21">
        <v>45632</v>
      </c>
      <c r="H913" s="12">
        <v>24677.80078125</v>
      </c>
      <c r="I913" s="14">
        <f t="shared" si="29"/>
        <v>-1.2384293961259537E-3</v>
      </c>
    </row>
    <row r="914" spans="2:9">
      <c r="B914" s="21">
        <v>45635</v>
      </c>
      <c r="C914">
        <v>353.21</v>
      </c>
      <c r="D914">
        <v>356.84</v>
      </c>
      <c r="E914" s="17">
        <f t="shared" si="28"/>
        <v>5.2397318158768288E-3</v>
      </c>
      <c r="G914" s="21">
        <v>45635</v>
      </c>
      <c r="H914" s="12">
        <v>24619</v>
      </c>
      <c r="I914" s="15">
        <f t="shared" si="29"/>
        <v>-2.3827399277279349E-3</v>
      </c>
    </row>
    <row r="915" spans="2:9">
      <c r="B915" s="21">
        <v>45636</v>
      </c>
      <c r="C915">
        <v>356.24</v>
      </c>
      <c r="D915">
        <v>358.53</v>
      </c>
      <c r="E915" s="17">
        <f t="shared" si="28"/>
        <v>4.7360161416881456E-3</v>
      </c>
      <c r="G915" s="21">
        <v>45636</v>
      </c>
      <c r="H915" s="12">
        <v>24610.05078125</v>
      </c>
      <c r="I915" s="14">
        <f t="shared" si="29"/>
        <v>-3.6350862138998332E-4</v>
      </c>
    </row>
    <row r="916" spans="2:9">
      <c r="B916" s="21">
        <v>45637</v>
      </c>
      <c r="C916">
        <v>358.79</v>
      </c>
      <c r="D916">
        <v>358.53</v>
      </c>
      <c r="E916" s="17">
        <f t="shared" si="28"/>
        <v>0</v>
      </c>
      <c r="G916" s="21">
        <v>45637</v>
      </c>
      <c r="H916" s="12">
        <v>24641.80078125</v>
      </c>
      <c r="I916" s="15">
        <f t="shared" si="29"/>
        <v>1.2901233029632678E-3</v>
      </c>
    </row>
    <row r="917" spans="2:9">
      <c r="B917" s="21">
        <v>45638</v>
      </c>
      <c r="C917">
        <v>357.59</v>
      </c>
      <c r="D917">
        <v>353.33</v>
      </c>
      <c r="E917" s="17">
        <f t="shared" si="28"/>
        <v>-1.4503667754441717E-2</v>
      </c>
      <c r="G917" s="21">
        <v>45638</v>
      </c>
      <c r="H917" s="12">
        <v>24548.69921875</v>
      </c>
      <c r="I917" s="14">
        <f t="shared" si="29"/>
        <v>-3.778196379659119E-3</v>
      </c>
    </row>
    <row r="918" spans="2:9">
      <c r="B918" s="21">
        <v>45639</v>
      </c>
      <c r="C918">
        <v>351.27</v>
      </c>
      <c r="D918">
        <v>360.71</v>
      </c>
      <c r="E918" s="17">
        <f t="shared" si="28"/>
        <v>2.0886989499900931E-2</v>
      </c>
      <c r="G918" s="21">
        <v>45639</v>
      </c>
      <c r="H918" s="12">
        <v>24768.30078125</v>
      </c>
      <c r="I918" s="15">
        <f t="shared" si="29"/>
        <v>8.9455478085890185E-3</v>
      </c>
    </row>
    <row r="919" spans="2:9">
      <c r="B919" s="21">
        <v>45642</v>
      </c>
      <c r="C919">
        <v>360.18</v>
      </c>
      <c r="D919">
        <v>360.47</v>
      </c>
      <c r="E919" s="17">
        <f t="shared" si="28"/>
        <v>-6.6535443985459865E-4</v>
      </c>
      <c r="G919" s="21">
        <v>45642</v>
      </c>
      <c r="H919" s="12">
        <v>24668.25</v>
      </c>
      <c r="I919" s="14">
        <f t="shared" si="29"/>
        <v>-4.0394689217332193E-3</v>
      </c>
    </row>
    <row r="920" spans="2:9">
      <c r="B920" s="21">
        <v>45643</v>
      </c>
      <c r="C920">
        <v>358.81</v>
      </c>
      <c r="D920">
        <v>356.4</v>
      </c>
      <c r="E920" s="17">
        <f t="shared" si="28"/>
        <v>-1.1290814769606486E-2</v>
      </c>
      <c r="G920" s="21">
        <v>45643</v>
      </c>
      <c r="H920" s="12">
        <v>24336</v>
      </c>
      <c r="I920" s="15">
        <f t="shared" si="29"/>
        <v>-1.3468730047733423E-2</v>
      </c>
    </row>
    <row r="921" spans="2:9">
      <c r="B921" s="21">
        <v>45644</v>
      </c>
      <c r="C921">
        <v>355.99</v>
      </c>
      <c r="D921">
        <v>355.59</v>
      </c>
      <c r="E921" s="17">
        <f t="shared" si="28"/>
        <v>-2.2727272727272791E-3</v>
      </c>
      <c r="G921" s="21">
        <v>45644</v>
      </c>
      <c r="H921" s="12">
        <v>24198.849609375</v>
      </c>
      <c r="I921" s="14">
        <f t="shared" si="29"/>
        <v>-5.6356998120069036E-3</v>
      </c>
    </row>
    <row r="922" spans="2:9">
      <c r="B922" s="21">
        <v>45645</v>
      </c>
      <c r="C922">
        <v>352.28</v>
      </c>
      <c r="D922">
        <v>352.01</v>
      </c>
      <c r="E922" s="17">
        <f t="shared" si="28"/>
        <v>-1.0067774684327412E-2</v>
      </c>
      <c r="G922" s="21">
        <v>45645</v>
      </c>
      <c r="H922" s="12">
        <v>23951.69921875</v>
      </c>
      <c r="I922" s="15">
        <f t="shared" si="29"/>
        <v>-1.0213311567061031E-2</v>
      </c>
    </row>
    <row r="923" spans="2:9">
      <c r="B923" s="21">
        <v>45646</v>
      </c>
      <c r="C923">
        <v>350.6</v>
      </c>
      <c r="D923">
        <v>348.31</v>
      </c>
      <c r="E923" s="17">
        <f t="shared" si="28"/>
        <v>-1.0511065026561713E-2</v>
      </c>
      <c r="G923" s="21">
        <v>45646</v>
      </c>
      <c r="H923" s="12">
        <v>23587.5</v>
      </c>
      <c r="I923" s="14">
        <f t="shared" si="29"/>
        <v>-1.5205569150805617E-2</v>
      </c>
    </row>
    <row r="924" spans="2:9">
      <c r="B924" s="21">
        <v>45649</v>
      </c>
      <c r="C924">
        <v>349.1</v>
      </c>
      <c r="D924">
        <v>348.67</v>
      </c>
      <c r="E924" s="17">
        <f t="shared" si="28"/>
        <v>1.0335620567885322E-3</v>
      </c>
      <c r="G924" s="21">
        <v>45649</v>
      </c>
      <c r="H924" s="12">
        <v>23753.44921875</v>
      </c>
      <c r="I924" s="15">
        <f t="shared" si="29"/>
        <v>7.0354729729729731E-3</v>
      </c>
    </row>
    <row r="925" spans="2:9">
      <c r="B925" s="21">
        <v>45650</v>
      </c>
      <c r="C925">
        <v>348.11</v>
      </c>
      <c r="D925">
        <v>349.41</v>
      </c>
      <c r="E925" s="17">
        <f t="shared" si="28"/>
        <v>2.1223506467433649E-3</v>
      </c>
      <c r="G925" s="21">
        <v>45650</v>
      </c>
      <c r="H925" s="12">
        <v>23727.650390625</v>
      </c>
      <c r="I925" s="14">
        <f t="shared" si="29"/>
        <v>-1.0861087115144297E-3</v>
      </c>
    </row>
    <row r="926" spans="2:9">
      <c r="B926" s="21">
        <v>45652</v>
      </c>
      <c r="C926">
        <v>350.96</v>
      </c>
      <c r="D926">
        <v>350.16</v>
      </c>
      <c r="E926" s="17">
        <f t="shared" si="28"/>
        <v>2.1464754872499354E-3</v>
      </c>
      <c r="G926" s="21">
        <v>45652</v>
      </c>
      <c r="H926" s="12">
        <v>23750.19921875</v>
      </c>
      <c r="I926" s="15">
        <f t="shared" si="29"/>
        <v>9.5031862631915877E-4</v>
      </c>
    </row>
    <row r="927" spans="2:9">
      <c r="B927" s="21">
        <v>45653</v>
      </c>
      <c r="C927">
        <v>351.59</v>
      </c>
      <c r="D927">
        <v>351.57</v>
      </c>
      <c r="E927" s="17">
        <f t="shared" si="28"/>
        <v>4.0267306374228012E-3</v>
      </c>
      <c r="G927" s="21">
        <v>45653</v>
      </c>
      <c r="H927" s="12">
        <v>23813.400390625</v>
      </c>
      <c r="I927" s="14">
        <f t="shared" si="29"/>
        <v>2.6610796521279179E-3</v>
      </c>
    </row>
    <row r="928" spans="2:9">
      <c r="B928" s="21">
        <v>45656</v>
      </c>
      <c r="C928">
        <v>352.59</v>
      </c>
      <c r="D928">
        <v>347.74</v>
      </c>
      <c r="E928" s="17">
        <f t="shared" si="28"/>
        <v>-1.0893989817106079E-2</v>
      </c>
      <c r="G928" s="21">
        <v>45656</v>
      </c>
      <c r="H928" s="12">
        <v>23644.900390625</v>
      </c>
      <c r="I928" s="15">
        <f t="shared" si="29"/>
        <v>-7.0758479358679106E-3</v>
      </c>
    </row>
    <row r="929" spans="2:9">
      <c r="B929" s="21">
        <v>45657</v>
      </c>
      <c r="C929">
        <v>346.61</v>
      </c>
      <c r="D929">
        <v>356.8</v>
      </c>
      <c r="E929" s="17">
        <f t="shared" si="28"/>
        <v>2.6053948352217179E-2</v>
      </c>
      <c r="G929" s="21">
        <v>45657</v>
      </c>
      <c r="H929" s="12">
        <v>23644.80078125</v>
      </c>
      <c r="I929" s="14">
        <f t="shared" si="29"/>
        <v>-4.2127212783477941E-6</v>
      </c>
    </row>
    <row r="930" spans="2:9">
      <c r="B930" s="21">
        <v>45658</v>
      </c>
      <c r="C930">
        <v>355.44</v>
      </c>
      <c r="D930">
        <v>357.27</v>
      </c>
      <c r="E930" s="17">
        <f t="shared" si="28"/>
        <v>1.3172645739909486E-3</v>
      </c>
      <c r="G930" s="21">
        <v>45658</v>
      </c>
      <c r="H930" s="12">
        <v>23742.900390625</v>
      </c>
      <c r="I930" s="15">
        <f t="shared" si="29"/>
        <v>4.1488871182535671E-3</v>
      </c>
    </row>
    <row r="931" spans="2:9">
      <c r="B931" s="21">
        <v>45659</v>
      </c>
      <c r="C931">
        <v>359.59</v>
      </c>
      <c r="D931">
        <v>367.01</v>
      </c>
      <c r="E931" s="17">
        <f t="shared" si="28"/>
        <v>2.7262294623114199E-2</v>
      </c>
      <c r="G931" s="21">
        <v>45659</v>
      </c>
      <c r="H931" s="12">
        <v>24188.650390625</v>
      </c>
      <c r="I931" s="14">
        <f t="shared" si="29"/>
        <v>1.8774033191665436E-2</v>
      </c>
    </row>
    <row r="932" spans="2:9">
      <c r="B932" s="21">
        <v>45660</v>
      </c>
      <c r="C932">
        <v>369.77</v>
      </c>
      <c r="D932">
        <v>367.31</v>
      </c>
      <c r="E932" s="17">
        <f t="shared" si="28"/>
        <v>8.1741641917117071E-4</v>
      </c>
      <c r="G932" s="21">
        <v>45660</v>
      </c>
      <c r="H932" s="12">
        <v>24004.75</v>
      </c>
      <c r="I932" s="15">
        <f t="shared" si="29"/>
        <v>-7.602755327609176E-3</v>
      </c>
    </row>
    <row r="933" spans="2:9">
      <c r="B933" s="21">
        <v>45663</v>
      </c>
      <c r="C933">
        <v>363.78</v>
      </c>
      <c r="D933">
        <v>355.52</v>
      </c>
      <c r="E933" s="17">
        <f t="shared" si="28"/>
        <v>-3.2098227655114261E-2</v>
      </c>
      <c r="G933" s="21">
        <v>45663</v>
      </c>
      <c r="H933" s="12">
        <v>23616.05078125</v>
      </c>
      <c r="I933" s="14">
        <f t="shared" si="29"/>
        <v>-1.6192595996625668E-2</v>
      </c>
    </row>
    <row r="934" spans="2:9">
      <c r="B934" s="21">
        <v>45664</v>
      </c>
      <c r="C934">
        <v>356.99</v>
      </c>
      <c r="D934">
        <v>354</v>
      </c>
      <c r="E934" s="17">
        <f t="shared" si="28"/>
        <v>-4.2754275427542244E-3</v>
      </c>
      <c r="G934" s="21">
        <v>45664</v>
      </c>
      <c r="H934" s="12">
        <v>23707.900390625</v>
      </c>
      <c r="I934" s="15">
        <f t="shared" si="29"/>
        <v>3.8892874268344705E-3</v>
      </c>
    </row>
    <row r="935" spans="2:9">
      <c r="B935" s="21">
        <v>45665</v>
      </c>
      <c r="C935">
        <v>355.61</v>
      </c>
      <c r="D935">
        <v>353.32</v>
      </c>
      <c r="E935" s="17">
        <f t="shared" si="28"/>
        <v>-1.9209039548022792E-3</v>
      </c>
      <c r="G935" s="21">
        <v>45665</v>
      </c>
      <c r="H935" s="12">
        <v>23688.94921875</v>
      </c>
      <c r="I935" s="14">
        <f t="shared" si="29"/>
        <v>-7.9936103841966573E-4</v>
      </c>
    </row>
    <row r="936" spans="2:9">
      <c r="B936" s="21">
        <v>45666</v>
      </c>
      <c r="C936">
        <v>354.39</v>
      </c>
      <c r="D936">
        <v>357.63</v>
      </c>
      <c r="E936" s="17">
        <f t="shared" si="28"/>
        <v>1.219857353107665E-2</v>
      </c>
      <c r="G936" s="21">
        <v>45666</v>
      </c>
      <c r="H936" s="12">
        <v>23526.5</v>
      </c>
      <c r="I936" s="15">
        <f t="shared" si="29"/>
        <v>-6.8575949591474531E-3</v>
      </c>
    </row>
    <row r="937" spans="2:9">
      <c r="B937" s="21">
        <v>45667</v>
      </c>
      <c r="C937">
        <v>356.43</v>
      </c>
      <c r="D937">
        <v>350.84</v>
      </c>
      <c r="E937" s="17">
        <f t="shared" si="28"/>
        <v>-1.8986102955568664E-2</v>
      </c>
      <c r="G937" s="21">
        <v>45667</v>
      </c>
      <c r="H937" s="12">
        <v>23431.5</v>
      </c>
      <c r="I937" s="14">
        <f t="shared" si="29"/>
        <v>-4.0379997024631801E-3</v>
      </c>
    </row>
    <row r="938" spans="2:9">
      <c r="B938" s="21">
        <v>45670</v>
      </c>
      <c r="C938">
        <v>346.18</v>
      </c>
      <c r="D938">
        <v>347.28</v>
      </c>
      <c r="E938" s="17">
        <f t="shared" si="28"/>
        <v>-1.0147075590012548E-2</v>
      </c>
      <c r="G938" s="21">
        <v>45670</v>
      </c>
      <c r="H938" s="12">
        <v>23085.94921875</v>
      </c>
      <c r="I938" s="15">
        <f t="shared" si="29"/>
        <v>-1.4747275302477434E-2</v>
      </c>
    </row>
    <row r="939" spans="2:9">
      <c r="B939" s="21">
        <v>45671</v>
      </c>
      <c r="C939">
        <v>349.52</v>
      </c>
      <c r="D939">
        <v>349.72</v>
      </c>
      <c r="E939" s="17">
        <f t="shared" si="28"/>
        <v>7.0260308684636456E-3</v>
      </c>
      <c r="G939" s="21">
        <v>45671</v>
      </c>
      <c r="H939" s="12">
        <v>23176.05078125</v>
      </c>
      <c r="I939" s="14">
        <f t="shared" si="29"/>
        <v>3.9028744993868871E-3</v>
      </c>
    </row>
    <row r="940" spans="2:9">
      <c r="B940" s="21">
        <v>45672</v>
      </c>
      <c r="C940">
        <v>351.61</v>
      </c>
      <c r="D940">
        <v>357.51</v>
      </c>
      <c r="E940" s="17">
        <f t="shared" si="28"/>
        <v>2.2274962827404675E-2</v>
      </c>
      <c r="G940" s="21">
        <v>45672</v>
      </c>
      <c r="H940" s="12">
        <v>23213.19921875</v>
      </c>
      <c r="I940" s="15">
        <f t="shared" si="29"/>
        <v>1.6028803979862699E-3</v>
      </c>
    </row>
    <row r="941" spans="2:9">
      <c r="B941" s="21">
        <v>45673</v>
      </c>
      <c r="C941">
        <v>358.75</v>
      </c>
      <c r="D941">
        <v>360.69</v>
      </c>
      <c r="E941" s="17">
        <f t="shared" si="28"/>
        <v>8.8948560879416154E-3</v>
      </c>
      <c r="G941" s="21">
        <v>45673</v>
      </c>
      <c r="H941" s="12">
        <v>23311.80078125</v>
      </c>
      <c r="I941" s="14">
        <f t="shared" si="29"/>
        <v>4.2476507253837101E-3</v>
      </c>
    </row>
    <row r="942" spans="2:9">
      <c r="B942" s="21">
        <v>45674</v>
      </c>
      <c r="C942">
        <v>358.99</v>
      </c>
      <c r="D942">
        <v>351.31</v>
      </c>
      <c r="E942" s="17">
        <f t="shared" si="28"/>
        <v>-2.6005711275610622E-2</v>
      </c>
      <c r="G942" s="21">
        <v>45674</v>
      </c>
      <c r="H942" s="12">
        <v>23203.19921875</v>
      </c>
      <c r="I942" s="15">
        <f t="shared" si="29"/>
        <v>-4.6586517926727362E-3</v>
      </c>
    </row>
    <row r="943" spans="2:9">
      <c r="B943" s="21">
        <v>45677</v>
      </c>
      <c r="C943">
        <v>377.56</v>
      </c>
      <c r="D943">
        <v>383.66</v>
      </c>
      <c r="E943" s="17">
        <f t="shared" si="28"/>
        <v>9.2083914491474836E-2</v>
      </c>
      <c r="G943" s="21">
        <v>45677</v>
      </c>
      <c r="H943" s="12">
        <v>23344.75</v>
      </c>
      <c r="I943" s="14">
        <f t="shared" si="29"/>
        <v>6.1004855371674738E-3</v>
      </c>
    </row>
    <row r="944" spans="2:9">
      <c r="B944" s="21">
        <v>45678</v>
      </c>
      <c r="C944">
        <v>383.75</v>
      </c>
      <c r="D944">
        <v>378.22</v>
      </c>
      <c r="E944" s="17">
        <f t="shared" si="28"/>
        <v>-1.4179221185424588E-2</v>
      </c>
      <c r="G944" s="21">
        <v>45678</v>
      </c>
      <c r="H944" s="12">
        <v>23024.650390625</v>
      </c>
      <c r="I944" s="15">
        <f t="shared" si="29"/>
        <v>-1.371184567729361E-2</v>
      </c>
    </row>
    <row r="945" spans="2:9">
      <c r="B945" s="21">
        <v>45679</v>
      </c>
      <c r="C945">
        <v>379.36</v>
      </c>
      <c r="D945">
        <v>383.06</v>
      </c>
      <c r="E945" s="17">
        <f t="shared" si="28"/>
        <v>1.2796784939981954E-2</v>
      </c>
      <c r="G945" s="21">
        <v>45679</v>
      </c>
      <c r="H945" s="12">
        <v>23155.349609375</v>
      </c>
      <c r="I945" s="14">
        <f t="shared" si="29"/>
        <v>5.6764909144165375E-3</v>
      </c>
    </row>
    <row r="946" spans="2:9">
      <c r="B946" s="21">
        <v>45680</v>
      </c>
      <c r="C946">
        <v>380.98</v>
      </c>
      <c r="D946">
        <v>378.53</v>
      </c>
      <c r="E946" s="17">
        <f t="shared" si="28"/>
        <v>-1.1825823630762882E-2</v>
      </c>
      <c r="G946" s="21">
        <v>45680</v>
      </c>
      <c r="H946" s="12">
        <v>23205.349609375</v>
      </c>
      <c r="I946" s="15">
        <f t="shared" si="29"/>
        <v>2.1593282262409156E-3</v>
      </c>
    </row>
    <row r="947" spans="2:9">
      <c r="B947" s="21">
        <v>45681</v>
      </c>
      <c r="C947">
        <v>377.76</v>
      </c>
      <c r="D947">
        <v>376.81</v>
      </c>
      <c r="E947" s="17">
        <f t="shared" si="28"/>
        <v>-4.5438934826829329E-3</v>
      </c>
      <c r="G947" s="21">
        <v>45681</v>
      </c>
      <c r="H947" s="12">
        <v>23092.19921875</v>
      </c>
      <c r="I947" s="14">
        <f t="shared" si="29"/>
        <v>-4.8760476583936943E-3</v>
      </c>
    </row>
    <row r="948" spans="2:9">
      <c r="B948" s="21">
        <v>45684</v>
      </c>
      <c r="C948">
        <v>374.57</v>
      </c>
      <c r="D948">
        <v>375.85</v>
      </c>
      <c r="E948" s="17">
        <f t="shared" si="28"/>
        <v>-2.5477030864360806E-3</v>
      </c>
      <c r="G948" s="21">
        <v>45684</v>
      </c>
      <c r="H948" s="12">
        <v>22829.150390625</v>
      </c>
      <c r="I948" s="15">
        <f t="shared" si="29"/>
        <v>-1.1391241935562993E-2</v>
      </c>
    </row>
    <row r="949" spans="2:9">
      <c r="B949" s="21">
        <v>45685</v>
      </c>
      <c r="C949">
        <v>378.56</v>
      </c>
      <c r="D949">
        <v>377.12</v>
      </c>
      <c r="E949" s="17">
        <f t="shared" si="28"/>
        <v>3.3790075828122436E-3</v>
      </c>
      <c r="G949" s="21">
        <v>45685</v>
      </c>
      <c r="H949" s="12">
        <v>22957.25</v>
      </c>
      <c r="I949" s="14">
        <f t="shared" si="29"/>
        <v>5.6112298172780566E-3</v>
      </c>
    </row>
    <row r="950" spans="2:9">
      <c r="B950" s="21">
        <v>45686</v>
      </c>
      <c r="C950">
        <v>377.13</v>
      </c>
      <c r="D950">
        <v>383.63</v>
      </c>
      <c r="E950" s="17">
        <f t="shared" si="28"/>
        <v>1.7262409843020764E-2</v>
      </c>
      <c r="G950" s="21">
        <v>45686</v>
      </c>
      <c r="H950" s="12">
        <v>23163.099609375</v>
      </c>
      <c r="I950" s="15">
        <f t="shared" si="29"/>
        <v>8.9666492883511747E-3</v>
      </c>
    </row>
    <row r="951" spans="2:9">
      <c r="B951" s="21">
        <v>45687</v>
      </c>
      <c r="C951">
        <v>383.63</v>
      </c>
      <c r="D951">
        <v>379.86</v>
      </c>
      <c r="E951" s="17">
        <f t="shared" si="28"/>
        <v>-9.8271772280582384E-3</v>
      </c>
      <c r="G951" s="21">
        <v>45687</v>
      </c>
      <c r="H951" s="12">
        <v>23249.5</v>
      </c>
      <c r="I951" s="14">
        <f t="shared" si="29"/>
        <v>3.7300875997627893E-3</v>
      </c>
    </row>
    <row r="952" spans="2:9">
      <c r="B952" s="21">
        <v>45688</v>
      </c>
      <c r="C952">
        <v>380.17</v>
      </c>
      <c r="D952">
        <v>379.82</v>
      </c>
      <c r="E952" s="17">
        <f t="shared" si="28"/>
        <v>-1.0530195335128854E-4</v>
      </c>
      <c r="G952" s="21">
        <v>45688</v>
      </c>
      <c r="H952" s="12">
        <v>23508.400390625</v>
      </c>
      <c r="I952" s="15">
        <f t="shared" si="29"/>
        <v>1.1135740150325814E-2</v>
      </c>
    </row>
    <row r="953" spans="2:9">
      <c r="B953" s="21">
        <v>45689</v>
      </c>
      <c r="C953">
        <v>379.36</v>
      </c>
      <c r="D953">
        <v>380.18</v>
      </c>
      <c r="E953" s="17">
        <f t="shared" si="28"/>
        <v>9.4781738718343863E-4</v>
      </c>
      <c r="G953" s="21">
        <v>45689</v>
      </c>
      <c r="H953" s="12">
        <v>23482.150390625</v>
      </c>
      <c r="I953" s="14">
        <f t="shared" si="29"/>
        <v>-1.1166221250199708E-3</v>
      </c>
    </row>
    <row r="954" spans="2:9">
      <c r="B954" s="21">
        <v>45691</v>
      </c>
      <c r="C954">
        <v>378.28</v>
      </c>
      <c r="D954">
        <v>376.47</v>
      </c>
      <c r="E954" s="17">
        <f t="shared" si="28"/>
        <v>-9.7585354305854584E-3</v>
      </c>
      <c r="G954" s="21">
        <v>45691</v>
      </c>
      <c r="H954" s="12">
        <v>23361.05078125</v>
      </c>
      <c r="I954" s="15">
        <f t="shared" si="29"/>
        <v>-5.1570919766934014E-3</v>
      </c>
    </row>
    <row r="955" spans="2:9">
      <c r="B955" s="21">
        <v>45692</v>
      </c>
      <c r="C955">
        <v>377.77</v>
      </c>
      <c r="D955">
        <v>385.26</v>
      </c>
      <c r="E955" s="17">
        <f t="shared" si="28"/>
        <v>2.3348473981990497E-2</v>
      </c>
      <c r="G955" s="21">
        <v>45692</v>
      </c>
      <c r="H955" s="12">
        <v>23739.25</v>
      </c>
      <c r="I955" s="14">
        <f t="shared" si="29"/>
        <v>1.6189306820631095E-2</v>
      </c>
    </row>
    <row r="956" spans="2:9">
      <c r="B956" s="21">
        <v>45693</v>
      </c>
      <c r="C956">
        <v>387.11</v>
      </c>
      <c r="D956">
        <v>381.91</v>
      </c>
      <c r="E956" s="17">
        <f t="shared" si="28"/>
        <v>-8.6954264652441618E-3</v>
      </c>
      <c r="G956" s="21">
        <v>45693</v>
      </c>
      <c r="H956" s="12">
        <v>23696.30078125</v>
      </c>
      <c r="I956" s="15">
        <f t="shared" si="29"/>
        <v>-1.8092070621439178E-3</v>
      </c>
    </row>
    <row r="957" spans="2:9">
      <c r="B957" s="21">
        <v>45694</v>
      </c>
      <c r="C957">
        <v>382.96</v>
      </c>
      <c r="D957">
        <v>382.75</v>
      </c>
      <c r="E957" s="17">
        <f t="shared" si="28"/>
        <v>2.199471079573656E-3</v>
      </c>
      <c r="G957" s="21">
        <v>45694</v>
      </c>
      <c r="H957" s="12">
        <v>23603.349609375</v>
      </c>
      <c r="I957" s="14">
        <f t="shared" si="29"/>
        <v>-3.9226026346082174E-3</v>
      </c>
    </row>
    <row r="958" spans="2:9">
      <c r="B958" s="21">
        <v>45695</v>
      </c>
      <c r="C958">
        <v>383.76</v>
      </c>
      <c r="D958">
        <v>385.41</v>
      </c>
      <c r="E958" s="17">
        <f t="shared" si="28"/>
        <v>6.9497060744612019E-3</v>
      </c>
      <c r="G958" s="21">
        <v>45695</v>
      </c>
      <c r="H958" s="12">
        <v>23559.94921875</v>
      </c>
      <c r="I958" s="15">
        <f t="shared" si="29"/>
        <v>-1.8387386257991884E-3</v>
      </c>
    </row>
    <row r="959" spans="2:9">
      <c r="B959" s="21">
        <v>45698</v>
      </c>
      <c r="C959">
        <v>386.61</v>
      </c>
      <c r="D959">
        <v>391.58</v>
      </c>
      <c r="E959" s="17">
        <f t="shared" si="28"/>
        <v>1.6008925559793358E-2</v>
      </c>
      <c r="G959" s="21">
        <v>45698</v>
      </c>
      <c r="H959" s="12">
        <v>23381.599609375</v>
      </c>
      <c r="I959" s="14">
        <f t="shared" si="29"/>
        <v>-7.5700336923078711E-3</v>
      </c>
    </row>
    <row r="960" spans="2:9">
      <c r="B960" s="21">
        <v>45699</v>
      </c>
      <c r="C960">
        <v>392.47</v>
      </c>
      <c r="D960">
        <v>383.28</v>
      </c>
      <c r="E960" s="17">
        <f t="shared" si="28"/>
        <v>-2.1196179580162448E-2</v>
      </c>
      <c r="G960" s="21">
        <v>45699</v>
      </c>
      <c r="H960" s="12">
        <v>23071.80078125</v>
      </c>
      <c r="I960" s="15">
        <f t="shared" si="29"/>
        <v>-1.3249684936046216E-2</v>
      </c>
    </row>
    <row r="961" spans="2:9">
      <c r="B961" s="21">
        <v>45700</v>
      </c>
      <c r="C961">
        <v>384.25</v>
      </c>
      <c r="D961">
        <v>388.34</v>
      </c>
      <c r="E961" s="17">
        <f t="shared" si="28"/>
        <v>1.3201836777290761E-2</v>
      </c>
      <c r="G961" s="21">
        <v>45700</v>
      </c>
      <c r="H961" s="12">
        <v>23045.25</v>
      </c>
      <c r="I961" s="14">
        <f t="shared" si="29"/>
        <v>-1.1507892904301298E-3</v>
      </c>
    </row>
    <row r="962" spans="2:9">
      <c r="B962" s="21">
        <v>45701</v>
      </c>
      <c r="C962">
        <v>392.15</v>
      </c>
      <c r="D962">
        <v>394.11</v>
      </c>
      <c r="E962" s="17">
        <f t="shared" si="28"/>
        <v>1.4858114023793683E-2</v>
      </c>
      <c r="G962" s="21">
        <v>45701</v>
      </c>
      <c r="H962" s="12">
        <v>23031.400390625</v>
      </c>
      <c r="I962" s="15">
        <f t="shared" si="29"/>
        <v>-6.0097457719052736E-4</v>
      </c>
    </row>
    <row r="963" spans="2:9">
      <c r="B963" s="21">
        <v>45702</v>
      </c>
      <c r="C963">
        <v>394.35</v>
      </c>
      <c r="D963">
        <v>390.03</v>
      </c>
      <c r="E963" s="17">
        <f t="shared" si="28"/>
        <v>-1.0352439674202737E-2</v>
      </c>
      <c r="G963" s="21">
        <v>45702</v>
      </c>
      <c r="H963" s="12">
        <v>22929.25</v>
      </c>
      <c r="I963" s="14">
        <f t="shared" si="29"/>
        <v>-4.4352661537064254E-3</v>
      </c>
    </row>
    <row r="964" spans="2:9">
      <c r="B964" s="21">
        <v>45705</v>
      </c>
      <c r="C964">
        <v>390.55</v>
      </c>
      <c r="D964">
        <v>388.61</v>
      </c>
      <c r="E964" s="17">
        <f t="shared" si="28"/>
        <v>-3.6407455836729463E-3</v>
      </c>
      <c r="G964" s="21">
        <v>45705</v>
      </c>
      <c r="H964" s="12">
        <v>22959.5</v>
      </c>
      <c r="I964" s="15">
        <f t="shared" si="29"/>
        <v>1.3192755977626831E-3</v>
      </c>
    </row>
    <row r="965" spans="2:9">
      <c r="B965" s="21">
        <v>45706</v>
      </c>
      <c r="C965">
        <v>387.96</v>
      </c>
      <c r="D965">
        <v>392.22</v>
      </c>
      <c r="E965" s="17">
        <f t="shared" ref="E965:E1028" si="30">(D965-D964)/D964</f>
        <v>9.2895190550938301E-3</v>
      </c>
      <c r="G965" s="21">
        <v>45706</v>
      </c>
      <c r="H965" s="12">
        <v>22945.30078125</v>
      </c>
      <c r="I965" s="14">
        <f t="shared" ref="I965:I1028" si="31">(H965-H964)/H964</f>
        <v>-6.1844634029486708E-4</v>
      </c>
    </row>
    <row r="966" spans="2:9">
      <c r="B966" s="21">
        <v>45707</v>
      </c>
      <c r="C966">
        <v>392.34</v>
      </c>
      <c r="D966">
        <v>396.54</v>
      </c>
      <c r="E966" s="17">
        <f t="shared" si="30"/>
        <v>1.1014226709499753E-2</v>
      </c>
      <c r="G966" s="21">
        <v>45707</v>
      </c>
      <c r="H966" s="12">
        <v>22932.900390625</v>
      </c>
      <c r="I966" s="15">
        <f t="shared" si="31"/>
        <v>-5.4043269004052947E-4</v>
      </c>
    </row>
    <row r="967" spans="2:9">
      <c r="B967" s="21">
        <v>45708</v>
      </c>
      <c r="C967">
        <v>396</v>
      </c>
      <c r="D967">
        <v>393.66</v>
      </c>
      <c r="E967" s="17">
        <f t="shared" si="30"/>
        <v>-7.2628234226055259E-3</v>
      </c>
      <c r="G967" s="21">
        <v>45708</v>
      </c>
      <c r="H967" s="12">
        <v>22913.150390625</v>
      </c>
      <c r="I967" s="14">
        <f t="shared" si="31"/>
        <v>-8.6120811862392364E-4</v>
      </c>
    </row>
    <row r="968" spans="2:9">
      <c r="B968" s="21">
        <v>45709</v>
      </c>
      <c r="C968">
        <v>393.66</v>
      </c>
      <c r="D968">
        <v>390.16</v>
      </c>
      <c r="E968" s="17">
        <f t="shared" si="30"/>
        <v>-8.8909210994258994E-3</v>
      </c>
      <c r="G968" s="21">
        <v>45709</v>
      </c>
      <c r="H968" s="12">
        <v>22795.900390625</v>
      </c>
      <c r="I968" s="15">
        <f t="shared" si="31"/>
        <v>-5.1171487988824647E-3</v>
      </c>
    </row>
    <row r="969" spans="2:9">
      <c r="B969" s="21">
        <v>45712</v>
      </c>
      <c r="C969">
        <v>387.21</v>
      </c>
      <c r="D969">
        <v>392.77</v>
      </c>
      <c r="E969" s="17">
        <f t="shared" si="30"/>
        <v>6.6895632560999502E-3</v>
      </c>
      <c r="G969" s="21">
        <v>45712</v>
      </c>
      <c r="H969" s="12">
        <v>22553.349609375</v>
      </c>
      <c r="I969" s="14">
        <f t="shared" si="31"/>
        <v>-1.0640105330068515E-2</v>
      </c>
    </row>
    <row r="970" spans="2:9">
      <c r="B970" s="21">
        <v>45713</v>
      </c>
      <c r="C970">
        <v>393.35</v>
      </c>
      <c r="D970">
        <v>393</v>
      </c>
      <c r="E970" s="17">
        <f t="shared" si="30"/>
        <v>5.8558443873009197E-4</v>
      </c>
      <c r="G970" s="21">
        <v>45713</v>
      </c>
      <c r="H970" s="12">
        <v>22547.55078125</v>
      </c>
      <c r="I970" s="15">
        <f t="shared" si="31"/>
        <v>-2.5711604818955748E-4</v>
      </c>
    </row>
    <row r="971" spans="2:9">
      <c r="B971" s="21">
        <v>45715</v>
      </c>
      <c r="C971">
        <v>393.95</v>
      </c>
      <c r="D971">
        <v>389.06</v>
      </c>
      <c r="E971" s="17">
        <f t="shared" si="30"/>
        <v>-1.0025445292620859E-2</v>
      </c>
      <c r="G971" s="21">
        <v>45715</v>
      </c>
      <c r="H971" s="12">
        <v>22545.05078125</v>
      </c>
      <c r="I971" s="14">
        <f t="shared" si="31"/>
        <v>-1.1087678764998901E-4</v>
      </c>
    </row>
    <row r="972" spans="2:9">
      <c r="B972" s="21">
        <v>45716</v>
      </c>
      <c r="C972">
        <v>386.96</v>
      </c>
      <c r="D972">
        <v>380.15</v>
      </c>
      <c r="E972" s="17">
        <f t="shared" si="30"/>
        <v>-2.2901351976558949E-2</v>
      </c>
      <c r="G972" s="21">
        <v>45716</v>
      </c>
      <c r="H972" s="12">
        <v>22124.69921875</v>
      </c>
      <c r="I972" s="15">
        <f t="shared" si="31"/>
        <v>-1.8644959666695139E-2</v>
      </c>
    </row>
    <row r="973" spans="2:9">
      <c r="B973" s="21">
        <v>45719</v>
      </c>
      <c r="C973">
        <v>380.67</v>
      </c>
      <c r="D973">
        <v>382.48</v>
      </c>
      <c r="E973" s="17">
        <f t="shared" si="30"/>
        <v>6.129159542286048E-3</v>
      </c>
      <c r="G973" s="21">
        <v>45719</v>
      </c>
      <c r="H973" s="12">
        <v>22119.30078125</v>
      </c>
      <c r="I973" s="14">
        <f t="shared" si="31"/>
        <v>-2.4400049223833022E-4</v>
      </c>
    </row>
    <row r="974" spans="2:9">
      <c r="B974" s="21">
        <v>45720</v>
      </c>
      <c r="C974">
        <v>379.79</v>
      </c>
      <c r="D974">
        <v>381.12</v>
      </c>
      <c r="E974" s="17">
        <f t="shared" si="30"/>
        <v>-3.5557414766785546E-3</v>
      </c>
      <c r="G974" s="21">
        <v>45720</v>
      </c>
      <c r="H974" s="12">
        <v>22082.650390625</v>
      </c>
      <c r="I974" s="15">
        <f t="shared" si="31"/>
        <v>-1.6569416451024373E-3</v>
      </c>
    </row>
    <row r="975" spans="2:9">
      <c r="B975" s="21">
        <v>45721</v>
      </c>
      <c r="C975">
        <v>380.18</v>
      </c>
      <c r="D975">
        <v>386.17</v>
      </c>
      <c r="E975" s="17">
        <f t="shared" si="30"/>
        <v>1.3250419815281305E-2</v>
      </c>
      <c r="G975" s="21">
        <v>45721</v>
      </c>
      <c r="H975" s="12">
        <v>22337.30078125</v>
      </c>
      <c r="I975" s="14">
        <f t="shared" si="31"/>
        <v>1.153169506922546E-2</v>
      </c>
    </row>
    <row r="976" spans="2:9">
      <c r="B976" s="21">
        <v>45722</v>
      </c>
      <c r="C976">
        <v>388.35</v>
      </c>
      <c r="D976">
        <v>383.9</v>
      </c>
      <c r="E976" s="17">
        <f t="shared" si="30"/>
        <v>-5.8782401533004599E-3</v>
      </c>
      <c r="G976" s="21">
        <v>45722</v>
      </c>
      <c r="H976" s="12">
        <v>22544.69921875</v>
      </c>
      <c r="I976" s="15">
        <f t="shared" si="31"/>
        <v>9.2848477768670643E-3</v>
      </c>
    </row>
    <row r="977" spans="2:9">
      <c r="B977" s="21">
        <v>45723</v>
      </c>
      <c r="C977">
        <v>382.96</v>
      </c>
      <c r="D977">
        <v>386.63</v>
      </c>
      <c r="E977" s="17">
        <f t="shared" si="30"/>
        <v>7.1112268820005689E-3</v>
      </c>
      <c r="G977" s="21">
        <v>45723</v>
      </c>
      <c r="H977" s="12">
        <v>22552.5</v>
      </c>
      <c r="I977" s="14">
        <f t="shared" si="31"/>
        <v>3.4601398645018238E-4</v>
      </c>
    </row>
    <row r="978" spans="2:9">
      <c r="B978" s="21">
        <v>45726</v>
      </c>
      <c r="C978">
        <v>386.05</v>
      </c>
      <c r="D978">
        <v>383.91</v>
      </c>
      <c r="E978" s="17">
        <f t="shared" si="30"/>
        <v>-7.0351498849028022E-3</v>
      </c>
      <c r="G978" s="21">
        <v>45726</v>
      </c>
      <c r="H978" s="12">
        <v>22460.30078125</v>
      </c>
      <c r="I978" s="15">
        <f t="shared" si="31"/>
        <v>-4.0882039130916746E-3</v>
      </c>
    </row>
    <row r="979" spans="2:9">
      <c r="B979" s="21">
        <v>45727</v>
      </c>
      <c r="C979">
        <v>384.16</v>
      </c>
      <c r="D979">
        <v>386.59</v>
      </c>
      <c r="E979" s="17">
        <f t="shared" si="30"/>
        <v>6.9808027923209861E-3</v>
      </c>
      <c r="G979" s="21">
        <v>45727</v>
      </c>
      <c r="H979" s="12">
        <v>22497.900390625</v>
      </c>
      <c r="I979" s="14">
        <f t="shared" si="31"/>
        <v>1.6740474556061328E-3</v>
      </c>
    </row>
    <row r="980" spans="2:9">
      <c r="B980" s="21">
        <v>45728</v>
      </c>
      <c r="C980">
        <v>387.55</v>
      </c>
      <c r="D980">
        <v>396.05</v>
      </c>
      <c r="E980" s="17">
        <f t="shared" si="30"/>
        <v>2.4470369124912794E-2</v>
      </c>
      <c r="G980" s="21">
        <v>45728</v>
      </c>
      <c r="H980" s="12">
        <v>22470.5</v>
      </c>
      <c r="I980" s="15">
        <f t="shared" si="31"/>
        <v>-1.217908789231634E-3</v>
      </c>
    </row>
    <row r="981" spans="2:9">
      <c r="B981" s="21">
        <v>45729</v>
      </c>
      <c r="C981">
        <v>394.68</v>
      </c>
      <c r="D981">
        <v>396.56</v>
      </c>
      <c r="E981" s="17">
        <f t="shared" si="30"/>
        <v>1.2877161974497939E-3</v>
      </c>
      <c r="G981" s="21">
        <v>45729</v>
      </c>
      <c r="H981" s="12">
        <v>22397.19921875</v>
      </c>
      <c r="I981" s="14">
        <f t="shared" si="31"/>
        <v>-3.2620894617387242E-3</v>
      </c>
    </row>
    <row r="982" spans="2:9">
      <c r="B982" s="21">
        <v>45733</v>
      </c>
      <c r="C982">
        <v>395.56</v>
      </c>
      <c r="D982">
        <v>398.16</v>
      </c>
      <c r="E982" s="17">
        <f t="shared" si="30"/>
        <v>4.0346984062941864E-3</v>
      </c>
      <c r="G982" s="21">
        <v>45733</v>
      </c>
      <c r="H982" s="12">
        <v>22508.75</v>
      </c>
      <c r="I982" s="15">
        <f t="shared" si="31"/>
        <v>4.9805683362683286E-3</v>
      </c>
    </row>
    <row r="983" spans="2:9">
      <c r="B983" s="21">
        <v>45734</v>
      </c>
      <c r="C983">
        <v>398.16</v>
      </c>
      <c r="D983">
        <v>398.16</v>
      </c>
      <c r="E983" s="17">
        <f t="shared" si="30"/>
        <v>0</v>
      </c>
      <c r="G983" s="21">
        <v>45734</v>
      </c>
      <c r="H983" s="12">
        <v>22834.30078125</v>
      </c>
      <c r="I983" s="14">
        <f t="shared" si="31"/>
        <v>1.4463298994835342E-2</v>
      </c>
    </row>
    <row r="984" spans="2:9">
      <c r="B984" s="21">
        <v>45735</v>
      </c>
      <c r="C984">
        <v>407.38</v>
      </c>
      <c r="D984">
        <v>403.84</v>
      </c>
      <c r="E984" s="17">
        <f t="shared" si="30"/>
        <v>1.4265621860558443E-2</v>
      </c>
      <c r="G984" s="21">
        <v>45735</v>
      </c>
      <c r="H984" s="12">
        <v>22907.599609375</v>
      </c>
      <c r="I984" s="15">
        <f t="shared" si="31"/>
        <v>3.2100316461272198E-3</v>
      </c>
    </row>
    <row r="985" spans="2:9">
      <c r="B985" s="21">
        <v>45736</v>
      </c>
      <c r="C985">
        <v>405.73</v>
      </c>
      <c r="D985">
        <v>406.66</v>
      </c>
      <c r="E985" s="17">
        <f t="shared" si="30"/>
        <v>6.9829635499208849E-3</v>
      </c>
      <c r="G985" s="21">
        <v>45736</v>
      </c>
      <c r="H985" s="12">
        <v>23190.650390625</v>
      </c>
      <c r="I985" s="14">
        <f t="shared" si="31"/>
        <v>1.2356195589090036E-2</v>
      </c>
    </row>
    <row r="986" spans="2:9">
      <c r="B986" s="21">
        <v>45737</v>
      </c>
      <c r="C986">
        <v>407.53</v>
      </c>
      <c r="D986">
        <v>415.32</v>
      </c>
      <c r="E986" s="17">
        <f t="shared" si="30"/>
        <v>2.1295431072640456E-2</v>
      </c>
      <c r="G986" s="21">
        <v>45737</v>
      </c>
      <c r="H986" s="12">
        <v>23350.400390625</v>
      </c>
      <c r="I986" s="15">
        <f t="shared" si="31"/>
        <v>6.8885519512889631E-3</v>
      </c>
    </row>
    <row r="987" spans="2:9">
      <c r="B987" s="21">
        <v>45740</v>
      </c>
      <c r="C987">
        <v>419.52</v>
      </c>
      <c r="D987">
        <v>434.73</v>
      </c>
      <c r="E987" s="17">
        <f t="shared" si="30"/>
        <v>4.6735047674082694E-2</v>
      </c>
      <c r="G987" s="21">
        <v>45740</v>
      </c>
      <c r="H987" s="12">
        <v>23658.349609375</v>
      </c>
      <c r="I987" s="14">
        <f t="shared" si="31"/>
        <v>1.3188177230298765E-2</v>
      </c>
    </row>
    <row r="988" spans="2:9">
      <c r="B988" s="21">
        <v>45741</v>
      </c>
      <c r="C988">
        <v>435.48</v>
      </c>
      <c r="D988">
        <v>433.5</v>
      </c>
      <c r="E988" s="17">
        <f t="shared" si="30"/>
        <v>-2.8293423504244433E-3</v>
      </c>
      <c r="G988" s="21">
        <v>45741</v>
      </c>
      <c r="H988" s="12">
        <v>23668.650390625</v>
      </c>
      <c r="I988" s="15">
        <f t="shared" si="31"/>
        <v>4.3539728764165997E-4</v>
      </c>
    </row>
    <row r="989" spans="2:9">
      <c r="B989" s="21">
        <v>45742</v>
      </c>
      <c r="C989">
        <v>434.5</v>
      </c>
      <c r="D989">
        <v>428.49</v>
      </c>
      <c r="E989" s="17">
        <f t="shared" si="30"/>
        <v>-1.1557093425605515E-2</v>
      </c>
      <c r="G989" s="21">
        <v>45742</v>
      </c>
      <c r="H989" s="12">
        <v>23486.849609375</v>
      </c>
      <c r="I989" s="14">
        <f t="shared" si="31"/>
        <v>-7.6810793285454976E-3</v>
      </c>
    </row>
    <row r="990" spans="2:9">
      <c r="B990" s="21">
        <v>45743</v>
      </c>
      <c r="C990">
        <v>428.31</v>
      </c>
      <c r="D990">
        <v>425.24</v>
      </c>
      <c r="E990" s="17">
        <f t="shared" si="30"/>
        <v>-7.5847744404770236E-3</v>
      </c>
      <c r="G990" s="21">
        <v>45743</v>
      </c>
      <c r="H990" s="12">
        <v>23591.94921875</v>
      </c>
      <c r="I990" s="15">
        <f t="shared" si="31"/>
        <v>4.4748278770026483E-3</v>
      </c>
    </row>
    <row r="991" spans="2:9">
      <c r="B991" s="21">
        <v>45744</v>
      </c>
      <c r="C991">
        <v>427.37</v>
      </c>
      <c r="D991">
        <v>433.74</v>
      </c>
      <c r="E991" s="17">
        <f t="shared" si="30"/>
        <v>1.9988712256608032E-2</v>
      </c>
      <c r="G991" s="21">
        <v>45744</v>
      </c>
      <c r="H991" s="12">
        <v>23519.349609375</v>
      </c>
      <c r="I991" s="14">
        <f t="shared" si="31"/>
        <v>-3.0773044101544836E-3</v>
      </c>
    </row>
    <row r="992" spans="2:9">
      <c r="B992" s="21">
        <v>45748</v>
      </c>
      <c r="C992">
        <v>434.36</v>
      </c>
      <c r="D992">
        <v>428.69</v>
      </c>
      <c r="E992" s="17">
        <f t="shared" si="30"/>
        <v>-1.1642919721492164E-2</v>
      </c>
      <c r="G992" s="21">
        <v>45748</v>
      </c>
      <c r="H992" s="12">
        <v>23165.69921875</v>
      </c>
      <c r="I992" s="15">
        <f t="shared" si="31"/>
        <v>-1.5036571865236959E-2</v>
      </c>
    </row>
    <row r="993" spans="2:9">
      <c r="B993" s="21">
        <v>45749</v>
      </c>
      <c r="C993">
        <v>427.71</v>
      </c>
      <c r="D993">
        <v>430.42</v>
      </c>
      <c r="E993" s="17">
        <f t="shared" si="30"/>
        <v>4.0355501644545435E-3</v>
      </c>
      <c r="G993" s="21">
        <v>45749</v>
      </c>
      <c r="H993" s="12">
        <v>23332.349609375</v>
      </c>
      <c r="I993" s="14">
        <f t="shared" si="31"/>
        <v>7.1938424586863083E-3</v>
      </c>
    </row>
    <row r="994" spans="2:9">
      <c r="B994" s="21">
        <v>45750</v>
      </c>
      <c r="C994">
        <v>425.31</v>
      </c>
      <c r="D994">
        <v>426.03</v>
      </c>
      <c r="E994" s="17">
        <f t="shared" si="30"/>
        <v>-1.0199340179359796E-2</v>
      </c>
      <c r="G994" s="21">
        <v>45750</v>
      </c>
      <c r="H994" s="12">
        <v>23250.099609375</v>
      </c>
      <c r="I994" s="15">
        <f t="shared" si="31"/>
        <v>-3.5251486188494162E-3</v>
      </c>
    </row>
    <row r="995" spans="2:9">
      <c r="B995" s="21">
        <v>45751</v>
      </c>
      <c r="C995">
        <v>425.69</v>
      </c>
      <c r="D995">
        <v>425.9</v>
      </c>
      <c r="E995" s="17">
        <f t="shared" si="30"/>
        <v>-3.0514283031710316E-4</v>
      </c>
      <c r="G995" s="21">
        <v>45751</v>
      </c>
      <c r="H995" s="12">
        <v>22904.44921875</v>
      </c>
      <c r="I995" s="14">
        <f t="shared" si="31"/>
        <v>-1.4866619775066488E-2</v>
      </c>
    </row>
    <row r="996" spans="2:9">
      <c r="B996" s="21">
        <v>45754</v>
      </c>
      <c r="C996">
        <v>403.28</v>
      </c>
      <c r="D996">
        <v>407.1</v>
      </c>
      <c r="E996" s="17">
        <f t="shared" si="30"/>
        <v>-4.4141817328011167E-2</v>
      </c>
      <c r="G996" s="21">
        <v>45754</v>
      </c>
      <c r="H996" s="12">
        <v>22161.599609375</v>
      </c>
      <c r="I996" s="15">
        <f t="shared" si="31"/>
        <v>-3.2432546283055336E-2</v>
      </c>
    </row>
    <row r="997" spans="2:9">
      <c r="B997" s="21">
        <v>45755</v>
      </c>
      <c r="C997">
        <v>412.01</v>
      </c>
      <c r="D997">
        <v>410.56</v>
      </c>
      <c r="E997" s="17">
        <f t="shared" si="30"/>
        <v>8.4991402603782351E-3</v>
      </c>
      <c r="G997" s="21">
        <v>45755</v>
      </c>
      <c r="H997" s="12">
        <v>22535.849609375</v>
      </c>
      <c r="I997" s="14">
        <f t="shared" si="31"/>
        <v>1.688731890281428E-2</v>
      </c>
    </row>
    <row r="998" spans="2:9">
      <c r="B998" s="21">
        <v>45756</v>
      </c>
      <c r="C998">
        <v>410.33</v>
      </c>
      <c r="D998">
        <v>410.07</v>
      </c>
      <c r="E998" s="17">
        <f t="shared" si="30"/>
        <v>-1.1934918160561407E-3</v>
      </c>
      <c r="G998" s="21">
        <v>45756</v>
      </c>
      <c r="H998" s="12">
        <v>22399.150390625</v>
      </c>
      <c r="I998" s="15">
        <f t="shared" si="31"/>
        <v>-6.0658560080704745E-3</v>
      </c>
    </row>
    <row r="999" spans="2:9">
      <c r="B999" s="21">
        <v>45758</v>
      </c>
      <c r="C999">
        <v>412.52</v>
      </c>
      <c r="D999">
        <v>421.75</v>
      </c>
      <c r="E999" s="17">
        <f t="shared" si="30"/>
        <v>2.8482941936742525E-2</v>
      </c>
      <c r="G999" s="21">
        <v>45758</v>
      </c>
      <c r="H999" s="12">
        <v>22828.55078125</v>
      </c>
      <c r="I999" s="14">
        <f t="shared" si="31"/>
        <v>1.9170387409190411E-2</v>
      </c>
    </row>
    <row r="1000" spans="2:9">
      <c r="B1000" s="21">
        <v>45762</v>
      </c>
      <c r="C1000">
        <v>428.51</v>
      </c>
      <c r="D1000">
        <v>423.55</v>
      </c>
      <c r="E1000" s="17">
        <f t="shared" si="30"/>
        <v>4.2679312388856231E-3</v>
      </c>
      <c r="G1000" s="21">
        <v>45762</v>
      </c>
      <c r="H1000" s="12">
        <v>23328.55078125</v>
      </c>
      <c r="I1000" s="15">
        <f t="shared" si="31"/>
        <v>2.1902397782108445E-2</v>
      </c>
    </row>
    <row r="1001" spans="2:9">
      <c r="B1001" s="21">
        <v>45763</v>
      </c>
      <c r="C1001">
        <v>423.51</v>
      </c>
      <c r="D1001">
        <v>424.19</v>
      </c>
      <c r="E1001" s="17">
        <f t="shared" si="30"/>
        <v>1.511037657891598E-3</v>
      </c>
      <c r="G1001" s="21">
        <v>45763</v>
      </c>
      <c r="H1001" s="12">
        <v>23437.19921875</v>
      </c>
      <c r="I1001" s="14">
        <f t="shared" si="31"/>
        <v>4.657316201027141E-3</v>
      </c>
    </row>
    <row r="1002" spans="2:9">
      <c r="B1002" s="21">
        <v>45764</v>
      </c>
      <c r="C1002">
        <v>422.51</v>
      </c>
      <c r="D1002">
        <v>437.12</v>
      </c>
      <c r="E1002" s="17">
        <f t="shared" si="30"/>
        <v>3.0481623800655382E-2</v>
      </c>
      <c r="G1002" s="21">
        <v>45764</v>
      </c>
      <c r="H1002" s="12">
        <v>23851.650390625</v>
      </c>
      <c r="I1002" s="15">
        <f t="shared" si="31"/>
        <v>1.7683476937954037E-2</v>
      </c>
    </row>
    <row r="1003" spans="2:9">
      <c r="B1003" s="21">
        <v>45768</v>
      </c>
      <c r="C1003">
        <v>438.49</v>
      </c>
      <c r="D1003">
        <v>447.76</v>
      </c>
      <c r="E1003" s="17">
        <f t="shared" si="30"/>
        <v>2.4341142020497773E-2</v>
      </c>
      <c r="G1003" s="21">
        <v>45768</v>
      </c>
      <c r="H1003" s="12">
        <v>24125.55078125</v>
      </c>
      <c r="I1003" s="14">
        <f t="shared" si="31"/>
        <v>1.1483498464016469E-2</v>
      </c>
    </row>
    <row r="1004" spans="2:9">
      <c r="B1004" s="21">
        <v>45769</v>
      </c>
      <c r="C1004">
        <v>449.28</v>
      </c>
      <c r="D1004">
        <v>453.24</v>
      </c>
      <c r="E1004" s="17">
        <f t="shared" si="30"/>
        <v>1.2238699303198182E-2</v>
      </c>
      <c r="G1004" s="21">
        <v>45769</v>
      </c>
      <c r="H1004" s="12">
        <v>24167.25</v>
      </c>
      <c r="I1004" s="15">
        <f t="shared" si="31"/>
        <v>1.728425565413743E-3</v>
      </c>
    </row>
    <row r="1005" spans="2:9">
      <c r="B1005" s="21">
        <v>45770</v>
      </c>
      <c r="C1005">
        <v>456.47</v>
      </c>
      <c r="D1005">
        <v>444.89</v>
      </c>
      <c r="E1005" s="17">
        <f t="shared" si="30"/>
        <v>-1.8422910599241071E-2</v>
      </c>
      <c r="G1005" s="21">
        <v>45770</v>
      </c>
      <c r="H1005" s="12">
        <v>24328.94921875</v>
      </c>
      <c r="I1005" s="14">
        <f t="shared" si="31"/>
        <v>6.6908406521221904E-3</v>
      </c>
    </row>
    <row r="1006" spans="2:9">
      <c r="B1006" s="21">
        <v>45771</v>
      </c>
      <c r="C1006">
        <v>443.09</v>
      </c>
      <c r="D1006">
        <v>444.09</v>
      </c>
      <c r="E1006" s="17">
        <f t="shared" si="30"/>
        <v>-1.7981973071995582E-3</v>
      </c>
      <c r="G1006" s="21">
        <v>45771</v>
      </c>
      <c r="H1006" s="12">
        <v>24246.69921875</v>
      </c>
      <c r="I1006" s="15">
        <f t="shared" si="31"/>
        <v>-3.3807460922566689E-3</v>
      </c>
    </row>
    <row r="1007" spans="2:9">
      <c r="B1007" s="21">
        <v>45772</v>
      </c>
      <c r="C1007">
        <v>443.49</v>
      </c>
      <c r="D1007">
        <v>440.37</v>
      </c>
      <c r="E1007" s="17">
        <f t="shared" si="30"/>
        <v>-8.3766804026210243E-3</v>
      </c>
      <c r="G1007" s="21">
        <v>45772</v>
      </c>
      <c r="H1007" s="12">
        <v>24039.349609375</v>
      </c>
      <c r="I1007" s="14">
        <f t="shared" si="31"/>
        <v>-8.5516633626838701E-3</v>
      </c>
    </row>
    <row r="1008" spans="2:9">
      <c r="B1008" s="21">
        <v>45775</v>
      </c>
      <c r="C1008">
        <v>438.89</v>
      </c>
      <c r="D1008">
        <v>444.61</v>
      </c>
      <c r="E1008" s="17">
        <f t="shared" si="30"/>
        <v>9.6282671389967735E-3</v>
      </c>
      <c r="G1008" s="21">
        <v>45775</v>
      </c>
      <c r="H1008" s="12">
        <v>24328.5</v>
      </c>
      <c r="I1008" s="15">
        <f t="shared" si="31"/>
        <v>1.2028211882747256E-2</v>
      </c>
    </row>
    <row r="1009" spans="2:9">
      <c r="B1009" s="21">
        <v>45776</v>
      </c>
      <c r="C1009">
        <v>444.61</v>
      </c>
      <c r="D1009">
        <v>440.49</v>
      </c>
      <c r="E1009" s="17">
        <f t="shared" si="30"/>
        <v>-9.2665482107914896E-3</v>
      </c>
      <c r="G1009" s="21">
        <v>45776</v>
      </c>
      <c r="H1009" s="12">
        <v>24335.94921875</v>
      </c>
      <c r="I1009" s="14">
        <f t="shared" si="31"/>
        <v>3.0619309657397702E-4</v>
      </c>
    </row>
    <row r="1010" spans="2:9">
      <c r="B1010" s="21">
        <v>45777</v>
      </c>
      <c r="C1010">
        <v>442.27</v>
      </c>
      <c r="D1010">
        <v>441.11</v>
      </c>
      <c r="E1010" s="17">
        <f t="shared" si="30"/>
        <v>1.4075234398056812E-3</v>
      </c>
      <c r="G1010" s="21">
        <v>45777</v>
      </c>
      <c r="H1010" s="12">
        <v>24334.19921875</v>
      </c>
      <c r="I1010" s="15">
        <f t="shared" si="31"/>
        <v>-7.1910077731904783E-5</v>
      </c>
    </row>
    <row r="1011" spans="2:9">
      <c r="B1011" s="21">
        <v>45779</v>
      </c>
      <c r="C1011">
        <v>440.29</v>
      </c>
      <c r="D1011">
        <v>435.84</v>
      </c>
      <c r="E1011" s="17">
        <f t="shared" si="30"/>
        <v>-1.1947133368094214E-2</v>
      </c>
      <c r="G1011" s="21">
        <v>45779</v>
      </c>
      <c r="H1011" s="12">
        <v>24346.69921875</v>
      </c>
      <c r="I1011" s="14">
        <f t="shared" si="31"/>
        <v>5.1368035116473008E-4</v>
      </c>
    </row>
    <row r="1012" spans="2:9">
      <c r="B1012" s="21">
        <v>45782</v>
      </c>
      <c r="C1012">
        <v>420.54</v>
      </c>
      <c r="D1012">
        <v>416.5</v>
      </c>
      <c r="E1012" s="17">
        <f t="shared" si="30"/>
        <v>-4.437408223201169E-2</v>
      </c>
      <c r="G1012" s="21">
        <v>45782</v>
      </c>
      <c r="H1012" s="12">
        <v>24461.150390625</v>
      </c>
      <c r="I1012" s="15">
        <f t="shared" si="31"/>
        <v>4.700890697612853E-3</v>
      </c>
    </row>
    <row r="1013" spans="2:9">
      <c r="B1013" s="21">
        <v>45783</v>
      </c>
      <c r="C1013">
        <v>416.72</v>
      </c>
      <c r="D1013">
        <v>414.32</v>
      </c>
      <c r="E1013" s="17">
        <f t="shared" si="30"/>
        <v>-5.2340936374549981E-3</v>
      </c>
      <c r="G1013" s="21">
        <v>45783</v>
      </c>
      <c r="H1013" s="12">
        <v>24379.599609375</v>
      </c>
      <c r="I1013" s="14">
        <f t="shared" si="31"/>
        <v>-3.3338898599493184E-3</v>
      </c>
    </row>
    <row r="1014" spans="2:9">
      <c r="B1014" s="21">
        <v>45784</v>
      </c>
      <c r="C1014">
        <v>412.26</v>
      </c>
      <c r="D1014">
        <v>418.5</v>
      </c>
      <c r="E1014" s="17">
        <f t="shared" si="30"/>
        <v>1.0088820235566728E-2</v>
      </c>
      <c r="G1014" s="21">
        <v>45784</v>
      </c>
      <c r="H1014" s="12">
        <v>24414.400390625</v>
      </c>
      <c r="I1014" s="15">
        <f t="shared" si="31"/>
        <v>1.4274549954716078E-3</v>
      </c>
    </row>
    <row r="1015" spans="2:9">
      <c r="B1015" s="21">
        <v>45785</v>
      </c>
      <c r="C1015">
        <v>419.32</v>
      </c>
      <c r="D1015">
        <v>422.03</v>
      </c>
      <c r="E1015" s="17">
        <f t="shared" si="30"/>
        <v>8.4348864994025635E-3</v>
      </c>
      <c r="G1015" s="21">
        <v>45785</v>
      </c>
      <c r="H1015" s="12">
        <v>24273.80078125</v>
      </c>
      <c r="I1015" s="14">
        <f t="shared" si="31"/>
        <v>-5.7588802970966885E-3</v>
      </c>
    </row>
    <row r="1016" spans="2:9">
      <c r="B1016" s="21">
        <v>45786</v>
      </c>
      <c r="C1016">
        <v>414.52</v>
      </c>
      <c r="D1016">
        <v>420.14</v>
      </c>
      <c r="E1016" s="17">
        <f t="shared" si="30"/>
        <v>-4.4783546193398254E-3</v>
      </c>
      <c r="G1016" s="21">
        <v>45786</v>
      </c>
      <c r="H1016" s="12">
        <v>24008</v>
      </c>
      <c r="I1016" s="15">
        <f t="shared" si="31"/>
        <v>-1.0950109694206379E-2</v>
      </c>
    </row>
    <row r="1017" spans="2:9">
      <c r="B1017" s="21">
        <v>45789</v>
      </c>
      <c r="C1017">
        <v>426.31</v>
      </c>
      <c r="D1017">
        <v>428.51</v>
      </c>
      <c r="E1017" s="17">
        <f t="shared" si="30"/>
        <v>1.9921930784976449E-2</v>
      </c>
      <c r="G1017" s="21">
        <v>45789</v>
      </c>
      <c r="H1017" s="12">
        <v>24924.69921875</v>
      </c>
      <c r="I1017" s="14">
        <f t="shared" si="31"/>
        <v>3.8183073090219927E-2</v>
      </c>
    </row>
    <row r="1018" spans="2:9">
      <c r="B1018" s="21">
        <v>45790</v>
      </c>
      <c r="C1018">
        <v>426.51</v>
      </c>
      <c r="D1018">
        <v>422.63</v>
      </c>
      <c r="E1018" s="17">
        <f t="shared" si="30"/>
        <v>-1.3721966815243508E-2</v>
      </c>
      <c r="G1018" s="21">
        <v>45790</v>
      </c>
      <c r="H1018" s="12">
        <v>24578.349609375</v>
      </c>
      <c r="I1018" s="15">
        <f t="shared" si="31"/>
        <v>-1.389583907654352E-2</v>
      </c>
    </row>
    <row r="1019" spans="2:9">
      <c r="B1019" s="21">
        <v>45791</v>
      </c>
      <c r="C1019">
        <v>421.71</v>
      </c>
      <c r="D1019">
        <v>418</v>
      </c>
      <c r="E1019" s="17">
        <f t="shared" si="30"/>
        <v>-1.0955209048103532E-2</v>
      </c>
      <c r="G1019" s="21">
        <v>45791</v>
      </c>
      <c r="H1019" s="12">
        <v>24666.900390625</v>
      </c>
      <c r="I1019" s="14">
        <f t="shared" si="31"/>
        <v>3.6027960647212775E-3</v>
      </c>
    </row>
    <row r="1020" spans="2:9">
      <c r="B1020" s="21">
        <v>45792</v>
      </c>
      <c r="C1020">
        <v>416.54</v>
      </c>
      <c r="D1020">
        <v>420.79</v>
      </c>
      <c r="E1020" s="17">
        <f t="shared" si="30"/>
        <v>6.6746411483254078E-3</v>
      </c>
      <c r="G1020" s="21">
        <v>45792</v>
      </c>
      <c r="H1020" s="12">
        <v>25062.099609375</v>
      </c>
      <c r="I1020" s="15">
        <f t="shared" si="31"/>
        <v>1.6021438141461865E-2</v>
      </c>
    </row>
    <row r="1021" spans="2:9">
      <c r="B1021" s="21">
        <v>45793</v>
      </c>
      <c r="C1021">
        <v>419.5</v>
      </c>
      <c r="D1021">
        <v>421.15</v>
      </c>
      <c r="E1021" s="17">
        <f t="shared" si="30"/>
        <v>8.5553363910729054E-4</v>
      </c>
      <c r="G1021" s="21">
        <v>45793</v>
      </c>
      <c r="H1021" s="12">
        <v>25019.80078125</v>
      </c>
      <c r="I1021" s="14">
        <f t="shared" si="31"/>
        <v>-1.6877607536591724E-3</v>
      </c>
    </row>
    <row r="1022" spans="2:9">
      <c r="B1022" s="21">
        <v>45796</v>
      </c>
      <c r="C1022">
        <v>419.92</v>
      </c>
      <c r="D1022">
        <v>421.75</v>
      </c>
      <c r="E1022" s="17">
        <f t="shared" si="30"/>
        <v>1.4246705449365376E-3</v>
      </c>
      <c r="G1022" s="21">
        <v>45796</v>
      </c>
      <c r="H1022" s="12">
        <v>24945.44921875</v>
      </c>
      <c r="I1022" s="15">
        <f t="shared" si="31"/>
        <v>-2.9717088137536066E-3</v>
      </c>
    </row>
    <row r="1023" spans="2:9">
      <c r="B1023" s="21">
        <v>45797</v>
      </c>
      <c r="C1023">
        <v>422.47</v>
      </c>
      <c r="D1023">
        <v>417.54</v>
      </c>
      <c r="E1023" s="17">
        <f t="shared" si="30"/>
        <v>-9.982216953171261E-3</v>
      </c>
      <c r="G1023" s="21">
        <v>45797</v>
      </c>
      <c r="H1023" s="12">
        <v>24683.900390625</v>
      </c>
      <c r="I1023" s="14">
        <f t="shared" si="31"/>
        <v>-1.0484831354666864E-2</v>
      </c>
    </row>
    <row r="1024" spans="2:9">
      <c r="B1024" s="21">
        <v>45798</v>
      </c>
      <c r="C1024">
        <v>418.52</v>
      </c>
      <c r="D1024">
        <v>413.78</v>
      </c>
      <c r="E1024" s="17">
        <f t="shared" si="30"/>
        <v>-9.0051252574604775E-3</v>
      </c>
      <c r="G1024" s="21">
        <v>45798</v>
      </c>
      <c r="H1024" s="12">
        <v>24813.44921875</v>
      </c>
      <c r="I1024" s="15">
        <f t="shared" si="31"/>
        <v>5.2483127088862724E-3</v>
      </c>
    </row>
    <row r="1025" spans="2:9">
      <c r="B1025" s="21">
        <v>45799</v>
      </c>
      <c r="C1025">
        <v>414.32</v>
      </c>
      <c r="D1025">
        <v>412.68</v>
      </c>
      <c r="E1025" s="17">
        <f t="shared" si="30"/>
        <v>-2.6584175165546087E-3</v>
      </c>
      <c r="G1025" s="21">
        <v>45799</v>
      </c>
      <c r="H1025" s="12">
        <v>24609.69921875</v>
      </c>
      <c r="I1025" s="14">
        <f t="shared" si="31"/>
        <v>-8.2112727740421762E-3</v>
      </c>
    </row>
    <row r="1026" spans="2:9">
      <c r="B1026" s="21">
        <v>45800</v>
      </c>
      <c r="C1026">
        <v>412.68</v>
      </c>
      <c r="D1026">
        <v>419.68</v>
      </c>
      <c r="E1026" s="17">
        <f t="shared" si="30"/>
        <v>1.6962295240864591E-2</v>
      </c>
      <c r="G1026" s="21">
        <v>45800</v>
      </c>
      <c r="H1026" s="12">
        <v>24853.150390625</v>
      </c>
      <c r="I1026" s="15">
        <f t="shared" si="31"/>
        <v>9.8924887180057795E-3</v>
      </c>
    </row>
    <row r="1027" spans="2:9">
      <c r="B1027" s="21">
        <v>45803</v>
      </c>
      <c r="C1027">
        <v>417.54</v>
      </c>
      <c r="D1027">
        <v>417.38</v>
      </c>
      <c r="E1027" s="17">
        <f t="shared" si="30"/>
        <v>-5.4803659931376555E-3</v>
      </c>
      <c r="G1027" s="21">
        <v>45803</v>
      </c>
      <c r="H1027" s="12">
        <v>25001.150390625</v>
      </c>
      <c r="I1027" s="14">
        <f t="shared" si="31"/>
        <v>5.9549794562796321E-3</v>
      </c>
    </row>
    <row r="1028" spans="2:9">
      <c r="B1028" s="21">
        <v>45804</v>
      </c>
      <c r="C1028">
        <v>417.52</v>
      </c>
      <c r="D1028">
        <v>415</v>
      </c>
      <c r="E1028" s="17">
        <f t="shared" si="30"/>
        <v>-5.7022377689395646E-3</v>
      </c>
      <c r="G1028" s="21">
        <v>45804</v>
      </c>
      <c r="H1028" s="12">
        <v>24826.19921875</v>
      </c>
      <c r="I1028" s="15">
        <f t="shared" si="31"/>
        <v>-6.9977248703165145E-3</v>
      </c>
    </row>
    <row r="1029" spans="2:9">
      <c r="B1029" s="21">
        <v>45805</v>
      </c>
      <c r="C1029">
        <v>414.52</v>
      </c>
      <c r="D1029">
        <v>414.38</v>
      </c>
      <c r="E1029" s="17">
        <f t="shared" ref="E1029:E1092" si="32">(D1029-D1028)/D1028</f>
        <v>-1.4939759036144689E-3</v>
      </c>
      <c r="G1029" s="21">
        <v>45805</v>
      </c>
      <c r="H1029" s="12">
        <v>24752.44921875</v>
      </c>
      <c r="I1029" s="14">
        <f t="shared" ref="I1029:I1092" si="33">(H1029-H1028)/H1028</f>
        <v>-2.9706520659956788E-3</v>
      </c>
    </row>
    <row r="1030" spans="2:9">
      <c r="B1030" s="21">
        <v>45806</v>
      </c>
      <c r="C1030">
        <v>414.98</v>
      </c>
      <c r="D1030">
        <v>415.84</v>
      </c>
      <c r="E1030" s="17">
        <f t="shared" si="32"/>
        <v>3.5233360683430176E-3</v>
      </c>
      <c r="G1030" s="21">
        <v>45806</v>
      </c>
      <c r="H1030" s="12">
        <v>24833.599609375</v>
      </c>
      <c r="I1030" s="15">
        <f t="shared" si="33"/>
        <v>3.2784792287758142E-3</v>
      </c>
    </row>
    <row r="1031" spans="2:9">
      <c r="B1031" s="21">
        <v>45807</v>
      </c>
      <c r="C1031">
        <v>415.84</v>
      </c>
      <c r="D1031">
        <v>414.46</v>
      </c>
      <c r="E1031" s="17">
        <f t="shared" si="32"/>
        <v>-3.3185840707964493E-3</v>
      </c>
      <c r="G1031" s="21">
        <v>45807</v>
      </c>
      <c r="H1031" s="12">
        <v>24750.69921875</v>
      </c>
      <c r="I1031" s="14">
        <f t="shared" si="33"/>
        <v>-3.3382349691143463E-3</v>
      </c>
    </row>
    <row r="1032" spans="2:9">
      <c r="B1032" s="21">
        <v>45810</v>
      </c>
      <c r="C1032">
        <v>412.92</v>
      </c>
      <c r="D1032">
        <v>412.24</v>
      </c>
      <c r="E1032" s="17">
        <f t="shared" si="32"/>
        <v>-5.356367321333713E-3</v>
      </c>
      <c r="G1032" s="21">
        <v>45810</v>
      </c>
      <c r="H1032" s="12">
        <v>24716.599609375</v>
      </c>
      <c r="I1032" s="15">
        <f t="shared" si="33"/>
        <v>-1.3777230725331466E-3</v>
      </c>
    </row>
    <row r="1033" spans="2:9">
      <c r="B1033" s="21">
        <v>45811</v>
      </c>
      <c r="C1033">
        <v>413.52</v>
      </c>
      <c r="D1033">
        <v>408.43</v>
      </c>
      <c r="E1033" s="17">
        <f t="shared" si="32"/>
        <v>-9.2421890161071274E-3</v>
      </c>
      <c r="G1033" s="21">
        <v>45811</v>
      </c>
      <c r="H1033" s="12">
        <v>24542.5</v>
      </c>
      <c r="I1033" s="14">
        <f t="shared" si="33"/>
        <v>-7.0438333802585072E-3</v>
      </c>
    </row>
    <row r="1034" spans="2:9">
      <c r="B1034" s="21">
        <v>45812</v>
      </c>
      <c r="C1034">
        <v>408.95</v>
      </c>
      <c r="D1034">
        <v>408.79</v>
      </c>
      <c r="E1034" s="17">
        <f t="shared" si="32"/>
        <v>8.8142398942294548E-4</v>
      </c>
      <c r="G1034" s="21">
        <v>45812</v>
      </c>
      <c r="H1034" s="12">
        <v>24620.19921875</v>
      </c>
      <c r="I1034" s="15">
        <f t="shared" si="33"/>
        <v>3.1659048079861465E-3</v>
      </c>
    </row>
    <row r="1035" spans="2:9">
      <c r="B1035" s="21">
        <v>45813</v>
      </c>
      <c r="C1035">
        <v>410.49</v>
      </c>
      <c r="D1035">
        <v>407.51</v>
      </c>
      <c r="E1035" s="17">
        <f t="shared" si="32"/>
        <v>-3.1311920546002337E-3</v>
      </c>
      <c r="G1035" s="21">
        <v>45813</v>
      </c>
      <c r="H1035" s="12">
        <v>24750.900390625</v>
      </c>
      <c r="I1035" s="14">
        <f t="shared" si="33"/>
        <v>5.3086967621066988E-3</v>
      </c>
    </row>
    <row r="1036" spans="2:9">
      <c r="B1036" s="21">
        <v>45814</v>
      </c>
      <c r="C1036">
        <v>408.31</v>
      </c>
      <c r="D1036">
        <v>414.2</v>
      </c>
      <c r="E1036" s="17">
        <f t="shared" si="32"/>
        <v>1.6416775048465063E-2</v>
      </c>
      <c r="G1036" s="21">
        <v>45814</v>
      </c>
      <c r="H1036" s="12">
        <v>25003.05078125</v>
      </c>
      <c r="I1036" s="15">
        <f t="shared" si="33"/>
        <v>1.0187523954502602E-2</v>
      </c>
    </row>
    <row r="1037" spans="2:9">
      <c r="B1037" s="21">
        <v>45817</v>
      </c>
      <c r="C1037">
        <v>421.71</v>
      </c>
      <c r="D1037">
        <v>427.15</v>
      </c>
      <c r="E1037" s="17">
        <f t="shared" si="32"/>
        <v>3.1265089328826629E-2</v>
      </c>
      <c r="G1037" s="21">
        <v>45817</v>
      </c>
      <c r="H1037" s="12">
        <v>25103.19921875</v>
      </c>
      <c r="I1037" s="14">
        <f t="shared" si="33"/>
        <v>4.0054487100870968E-3</v>
      </c>
    </row>
    <row r="1038" spans="2:9">
      <c r="B1038" s="21">
        <v>45818</v>
      </c>
      <c r="C1038">
        <v>428.85</v>
      </c>
      <c r="D1038">
        <v>429.72</v>
      </c>
      <c r="E1038" s="17">
        <f t="shared" si="32"/>
        <v>6.016621795622264E-3</v>
      </c>
      <c r="G1038" s="21">
        <v>45818</v>
      </c>
      <c r="H1038" s="12">
        <v>25104.25</v>
      </c>
      <c r="I1038" s="15">
        <f t="shared" si="33"/>
        <v>4.185845958690213E-5</v>
      </c>
    </row>
    <row r="1039" spans="2:9">
      <c r="B1039" s="21">
        <v>45819</v>
      </c>
      <c r="C1039">
        <v>429.31</v>
      </c>
      <c r="D1039">
        <v>428.57</v>
      </c>
      <c r="E1039" s="17">
        <f t="shared" si="32"/>
        <v>-2.6761612212604347E-3</v>
      </c>
      <c r="G1039" s="21">
        <v>45819</v>
      </c>
      <c r="H1039" s="12">
        <v>25141.400390625</v>
      </c>
      <c r="I1039" s="14">
        <f t="shared" si="33"/>
        <v>1.4798446727147794E-3</v>
      </c>
    </row>
    <row r="1040" spans="2:9">
      <c r="B1040" s="21">
        <v>45820</v>
      </c>
      <c r="C1040">
        <v>428.57</v>
      </c>
      <c r="D1040">
        <v>424.87</v>
      </c>
      <c r="E1040" s="17">
        <f t="shared" si="32"/>
        <v>-8.6333621112070109E-3</v>
      </c>
      <c r="G1040" s="21">
        <v>45820</v>
      </c>
      <c r="H1040" s="12">
        <v>24888.19921875</v>
      </c>
      <c r="I1040" s="15">
        <f t="shared" si="33"/>
        <v>-1.0071084662786582E-2</v>
      </c>
    </row>
    <row r="1041" spans="2:9">
      <c r="B1041" s="21">
        <v>45821</v>
      </c>
      <c r="C1041">
        <v>413.92</v>
      </c>
      <c r="D1041">
        <v>420.99</v>
      </c>
      <c r="E1041" s="17">
        <f t="shared" si="32"/>
        <v>-9.1322051451031977E-3</v>
      </c>
      <c r="G1041" s="21">
        <v>45821</v>
      </c>
      <c r="H1041" s="12">
        <v>24718.599609375</v>
      </c>
      <c r="I1041" s="14">
        <f t="shared" si="33"/>
        <v>-6.814458847919736E-3</v>
      </c>
    </row>
    <row r="1042" spans="2:9">
      <c r="B1042" s="21">
        <v>45824</v>
      </c>
      <c r="C1042">
        <v>421.09</v>
      </c>
      <c r="D1042">
        <v>427.31</v>
      </c>
      <c r="E1042" s="17">
        <f t="shared" si="32"/>
        <v>1.5012233069669097E-2</v>
      </c>
      <c r="G1042" s="21">
        <v>45824</v>
      </c>
      <c r="H1042" s="12">
        <v>24946.5</v>
      </c>
      <c r="I1042" s="15">
        <f t="shared" si="33"/>
        <v>9.2197937677086055E-3</v>
      </c>
    </row>
    <row r="1043" spans="2:9">
      <c r="B1043" s="21">
        <v>45825</v>
      </c>
      <c r="C1043">
        <v>427.31</v>
      </c>
      <c r="D1043">
        <v>426.87</v>
      </c>
      <c r="E1043" s="17">
        <f t="shared" si="32"/>
        <v>-1.0296974093749215E-3</v>
      </c>
      <c r="G1043" s="21">
        <v>45825</v>
      </c>
      <c r="H1043" s="12">
        <v>24853.400390625</v>
      </c>
      <c r="I1043" s="14">
        <f t="shared" si="33"/>
        <v>-3.7319707924959415E-3</v>
      </c>
    </row>
    <row r="1044" spans="2:9">
      <c r="B1044" s="21">
        <v>45826</v>
      </c>
      <c r="C1044">
        <v>424.51</v>
      </c>
      <c r="D1044">
        <v>425.99</v>
      </c>
      <c r="E1044" s="17">
        <f t="shared" si="32"/>
        <v>-2.0615175580387364E-3</v>
      </c>
      <c r="G1044" s="21">
        <v>45826</v>
      </c>
      <c r="H1044" s="12">
        <v>24812.05078125</v>
      </c>
      <c r="I1044" s="15">
        <f t="shared" si="33"/>
        <v>-1.6637405234334682E-3</v>
      </c>
    </row>
    <row r="1045" spans="2:9">
      <c r="B1045" s="21">
        <v>45827</v>
      </c>
      <c r="C1045">
        <v>427.41</v>
      </c>
      <c r="D1045">
        <v>428.79</v>
      </c>
      <c r="E1045" s="17">
        <f t="shared" si="32"/>
        <v>6.572924247048079E-3</v>
      </c>
      <c r="G1045" s="21">
        <v>45827</v>
      </c>
      <c r="H1045" s="12">
        <v>24793.25</v>
      </c>
      <c r="I1045" s="14">
        <f t="shared" si="33"/>
        <v>-7.5772782410260889E-4</v>
      </c>
    </row>
    <row r="1046" spans="2:9">
      <c r="B1046" s="21">
        <v>45828</v>
      </c>
      <c r="C1046">
        <v>428.51</v>
      </c>
      <c r="D1046">
        <v>433.46</v>
      </c>
      <c r="E1046" s="17">
        <f t="shared" si="32"/>
        <v>1.0891112199444854E-2</v>
      </c>
      <c r="G1046" s="21">
        <v>45828</v>
      </c>
      <c r="H1046" s="12">
        <v>25112.400390625</v>
      </c>
      <c r="I1046" s="15">
        <f t="shared" si="33"/>
        <v>1.2872470959837859E-2</v>
      </c>
    </row>
    <row r="1047" spans="2:9">
      <c r="B1047" s="21">
        <v>45831</v>
      </c>
      <c r="C1047">
        <v>431.12</v>
      </c>
      <c r="D1047">
        <v>436.32</v>
      </c>
      <c r="E1047" s="17">
        <f t="shared" si="32"/>
        <v>6.5980713329950027E-3</v>
      </c>
      <c r="G1047" s="21">
        <v>45831</v>
      </c>
      <c r="H1047" s="12">
        <v>24971.900390625</v>
      </c>
      <c r="I1047" s="14">
        <f t="shared" si="33"/>
        <v>-5.5948454872697742E-3</v>
      </c>
    </row>
    <row r="1048" spans="2:9">
      <c r="B1048" s="21">
        <v>45832</v>
      </c>
      <c r="C1048">
        <v>441.09</v>
      </c>
      <c r="D1048">
        <v>444.21</v>
      </c>
      <c r="E1048" s="17">
        <f t="shared" si="32"/>
        <v>1.8083058305830551E-2</v>
      </c>
      <c r="G1048" s="21">
        <v>45832</v>
      </c>
      <c r="H1048" s="12">
        <v>25044.349609375</v>
      </c>
      <c r="I1048" s="15">
        <f t="shared" si="33"/>
        <v>2.9012296868362901E-3</v>
      </c>
    </row>
    <row r="1049" spans="2:9">
      <c r="B1049" s="21">
        <v>45833</v>
      </c>
      <c r="C1049">
        <v>444.09</v>
      </c>
      <c r="D1049">
        <v>439.15</v>
      </c>
      <c r="E1049" s="17">
        <f t="shared" si="32"/>
        <v>-1.1391008757119386E-2</v>
      </c>
      <c r="G1049" s="21">
        <v>45833</v>
      </c>
      <c r="H1049" s="12">
        <v>25244.75</v>
      </c>
      <c r="I1049" s="14">
        <f t="shared" si="33"/>
        <v>8.0018205204252114E-3</v>
      </c>
    </row>
    <row r="1050" spans="2:9">
      <c r="B1050" s="21">
        <v>45834</v>
      </c>
      <c r="C1050">
        <v>439.97</v>
      </c>
      <c r="D1050">
        <v>440.27</v>
      </c>
      <c r="E1050" s="17">
        <f t="shared" si="32"/>
        <v>2.5503814186496748E-3</v>
      </c>
      <c r="G1050" s="21">
        <v>45834</v>
      </c>
      <c r="H1050" s="12">
        <v>25549</v>
      </c>
      <c r="I1050" s="15">
        <f t="shared" si="33"/>
        <v>1.205201081412967E-2</v>
      </c>
    </row>
    <row r="1051" spans="2:9">
      <c r="B1051" s="21">
        <v>45835</v>
      </c>
      <c r="C1051">
        <v>441.49</v>
      </c>
      <c r="D1051">
        <v>441.07</v>
      </c>
      <c r="E1051" s="17">
        <f t="shared" si="32"/>
        <v>1.8170667999182579E-3</v>
      </c>
      <c r="G1051" s="21">
        <v>45835</v>
      </c>
      <c r="H1051" s="12">
        <v>25637.80078125</v>
      </c>
      <c r="I1051" s="14">
        <f t="shared" si="33"/>
        <v>3.4757047731809464E-3</v>
      </c>
    </row>
    <row r="1052" spans="2:9">
      <c r="B1052" s="21">
        <v>45838</v>
      </c>
      <c r="C1052">
        <v>441.07</v>
      </c>
      <c r="D1052">
        <v>432.2</v>
      </c>
      <c r="E1052" s="17">
        <f t="shared" si="32"/>
        <v>-2.0110186591697474E-2</v>
      </c>
      <c r="G1052" s="21">
        <v>45838</v>
      </c>
      <c r="H1052" s="12">
        <v>25517.05078125</v>
      </c>
      <c r="I1052" s="15">
        <f t="shared" si="33"/>
        <v>-4.7098423546652075E-3</v>
      </c>
    </row>
    <row r="1053" spans="2:9">
      <c r="B1053" s="21">
        <v>45839</v>
      </c>
      <c r="C1053">
        <v>432.2</v>
      </c>
      <c r="D1053">
        <v>436.22</v>
      </c>
      <c r="E1053" s="17">
        <f t="shared" si="32"/>
        <v>9.3012494215641804E-3</v>
      </c>
      <c r="G1053" s="21">
        <v>45839</v>
      </c>
      <c r="H1053" s="12">
        <v>25541.80078125</v>
      </c>
      <c r="I1053" s="14">
        <f t="shared" si="33"/>
        <v>9.6993967728380148E-4</v>
      </c>
    </row>
    <row r="1054" spans="2:9">
      <c r="B1054" s="21">
        <v>45840</v>
      </c>
      <c r="C1054">
        <v>436.5</v>
      </c>
      <c r="D1054">
        <v>433.32</v>
      </c>
      <c r="E1054" s="17">
        <f t="shared" si="32"/>
        <v>-6.6480216404567281E-3</v>
      </c>
      <c r="G1054" s="21">
        <v>45840</v>
      </c>
      <c r="H1054" s="12">
        <v>25453.400390625</v>
      </c>
      <c r="I1054" s="15">
        <f t="shared" si="33"/>
        <v>-3.4610085397695964E-3</v>
      </c>
    </row>
    <row r="1055" spans="2:9">
      <c r="B1055" s="21">
        <v>45841</v>
      </c>
      <c r="C1055">
        <v>427.33</v>
      </c>
      <c r="D1055">
        <v>424.83</v>
      </c>
      <c r="E1055" s="17">
        <f t="shared" si="32"/>
        <v>-1.9592910551093901E-2</v>
      </c>
      <c r="G1055" s="21">
        <v>45841</v>
      </c>
      <c r="H1055" s="12">
        <v>25405.30078125</v>
      </c>
      <c r="I1055" s="14">
        <f t="shared" si="33"/>
        <v>-1.8897125192245848E-3</v>
      </c>
    </row>
    <row r="1056" spans="2:9">
      <c r="B1056" s="21">
        <v>45842</v>
      </c>
      <c r="C1056">
        <v>424.31</v>
      </c>
      <c r="D1056">
        <v>425.47</v>
      </c>
      <c r="E1056" s="17">
        <f t="shared" si="32"/>
        <v>1.5064849469200463E-3</v>
      </c>
      <c r="G1056" s="21">
        <v>45842</v>
      </c>
      <c r="H1056" s="12">
        <v>25461</v>
      </c>
      <c r="I1056" s="15">
        <f t="shared" si="33"/>
        <v>2.1924250859926041E-3</v>
      </c>
    </row>
    <row r="1057" spans="2:9">
      <c r="B1057" s="21">
        <v>45845</v>
      </c>
      <c r="C1057">
        <v>425.51</v>
      </c>
      <c r="D1057">
        <v>429.46</v>
      </c>
      <c r="E1057" s="17">
        <f t="shared" si="32"/>
        <v>9.3778644792816227E-3</v>
      </c>
      <c r="G1057" s="21">
        <v>45845</v>
      </c>
      <c r="H1057" s="12">
        <v>25461.30078125</v>
      </c>
      <c r="I1057" s="14">
        <f t="shared" si="33"/>
        <v>1.1813410706570834E-5</v>
      </c>
    </row>
    <row r="1058" spans="2:9">
      <c r="B1058" s="21">
        <v>45846</v>
      </c>
      <c r="C1058">
        <v>436.5</v>
      </c>
      <c r="D1058">
        <v>444.39</v>
      </c>
      <c r="E1058" s="17">
        <f t="shared" si="32"/>
        <v>3.4764588087365544E-2</v>
      </c>
      <c r="G1058" s="21">
        <v>45846</v>
      </c>
      <c r="H1058" s="12">
        <v>25522.5</v>
      </c>
      <c r="I1058" s="15">
        <f t="shared" si="33"/>
        <v>2.4036171315751404E-3</v>
      </c>
    </row>
    <row r="1059" spans="2:9">
      <c r="B1059" s="21">
        <v>45847</v>
      </c>
      <c r="C1059">
        <v>442.89</v>
      </c>
      <c r="D1059">
        <v>445.35</v>
      </c>
      <c r="E1059" s="17">
        <f t="shared" si="32"/>
        <v>2.1602646324175531E-3</v>
      </c>
      <c r="G1059" s="21">
        <v>45847</v>
      </c>
      <c r="H1059" s="12">
        <v>25476.099609375</v>
      </c>
      <c r="I1059" s="14">
        <f t="shared" si="33"/>
        <v>-1.8180190273288275E-3</v>
      </c>
    </row>
    <row r="1060" spans="2:9">
      <c r="B1060" s="21">
        <v>45848</v>
      </c>
      <c r="C1060">
        <v>445.31</v>
      </c>
      <c r="D1060">
        <v>440.25</v>
      </c>
      <c r="E1060" s="17">
        <f t="shared" si="32"/>
        <v>-1.1451667228022953E-2</v>
      </c>
      <c r="G1060" s="21">
        <v>45848</v>
      </c>
      <c r="H1060" s="12">
        <v>25355.25</v>
      </c>
      <c r="I1060" s="15">
        <f t="shared" si="33"/>
        <v>-4.7436464461980792E-3</v>
      </c>
    </row>
    <row r="1061" spans="2:9">
      <c r="B1061" s="21">
        <v>45849</v>
      </c>
      <c r="C1061">
        <v>439.85</v>
      </c>
      <c r="D1061">
        <v>443.61</v>
      </c>
      <c r="E1061" s="17">
        <f t="shared" si="32"/>
        <v>7.6320272572402356E-3</v>
      </c>
      <c r="G1061" s="21">
        <v>45849</v>
      </c>
      <c r="H1061" s="12">
        <v>25149.849609375</v>
      </c>
      <c r="I1061" s="14">
        <f t="shared" si="33"/>
        <v>-8.1009018102759789E-3</v>
      </c>
    </row>
    <row r="1062" spans="2:9">
      <c r="B1062" s="21">
        <v>45852</v>
      </c>
      <c r="C1062">
        <v>444.27</v>
      </c>
      <c r="D1062">
        <v>440.25</v>
      </c>
      <c r="E1062" s="17">
        <f t="shared" si="32"/>
        <v>-7.5742205991749818E-3</v>
      </c>
      <c r="G1062" s="21">
        <v>45852</v>
      </c>
      <c r="H1062" s="12">
        <v>25082.30078125</v>
      </c>
      <c r="I1062" s="15">
        <f t="shared" si="33"/>
        <v>-2.685854157148523E-3</v>
      </c>
    </row>
    <row r="1063" spans="2:9">
      <c r="B1063" s="21">
        <v>45853</v>
      </c>
      <c r="C1063">
        <v>441.49</v>
      </c>
      <c r="D1063">
        <v>437.12</v>
      </c>
      <c r="E1063" s="17">
        <f t="shared" si="32"/>
        <v>-7.1095968199886327E-3</v>
      </c>
      <c r="G1063" s="21">
        <v>45853</v>
      </c>
      <c r="H1063" s="12">
        <v>25195.80078125</v>
      </c>
      <c r="I1063" s="14">
        <f t="shared" si="33"/>
        <v>4.5251032187942535E-3</v>
      </c>
    </row>
    <row r="1064" spans="2:9">
      <c r="B1064" s="21">
        <v>45854</v>
      </c>
      <c r="C1064">
        <v>436.32</v>
      </c>
      <c r="D1064">
        <v>435.38</v>
      </c>
      <c r="E1064" s="17">
        <f t="shared" si="32"/>
        <v>-3.9806002928257896E-3</v>
      </c>
      <c r="G1064" s="21">
        <v>45854</v>
      </c>
      <c r="H1064" s="12">
        <v>25212.05078125</v>
      </c>
      <c r="I1064" s="15">
        <f t="shared" si="33"/>
        <v>6.4494874130346306E-4</v>
      </c>
    </row>
    <row r="1065" spans="2:9">
      <c r="B1065" s="21">
        <v>45855</v>
      </c>
      <c r="C1065">
        <v>434.5</v>
      </c>
      <c r="D1065">
        <v>433.66</v>
      </c>
      <c r="E1065" s="17">
        <f t="shared" si="32"/>
        <v>-3.9505719141898349E-3</v>
      </c>
      <c r="G1065" s="21">
        <v>45855</v>
      </c>
      <c r="H1065" s="12">
        <v>25111.44921875</v>
      </c>
      <c r="I1065" s="14">
        <f t="shared" si="33"/>
        <v>-3.9902173517283477E-3</v>
      </c>
    </row>
    <row r="1066" spans="2:9">
      <c r="B1066" s="21">
        <v>45856</v>
      </c>
      <c r="C1066">
        <v>433.52</v>
      </c>
      <c r="D1066">
        <v>428.1</v>
      </c>
      <c r="E1066" s="17">
        <f t="shared" si="32"/>
        <v>-1.2821104090762352E-2</v>
      </c>
      <c r="G1066" s="21">
        <v>45856</v>
      </c>
      <c r="H1066" s="12">
        <v>24968.400390625</v>
      </c>
      <c r="I1066" s="15">
        <f t="shared" si="33"/>
        <v>-5.6965580472428303E-3</v>
      </c>
    </row>
    <row r="1067" spans="2:9">
      <c r="B1067" s="21">
        <v>45859</v>
      </c>
      <c r="C1067">
        <v>427.62</v>
      </c>
      <c r="D1067">
        <v>433.04</v>
      </c>
      <c r="E1067" s="17">
        <f t="shared" si="32"/>
        <v>1.1539359962625549E-2</v>
      </c>
      <c r="G1067" s="21">
        <v>45859</v>
      </c>
      <c r="H1067" s="12">
        <v>25090.69921875</v>
      </c>
      <c r="I1067" s="14">
        <f t="shared" si="33"/>
        <v>4.8981443028653171E-3</v>
      </c>
    </row>
    <row r="1068" spans="2:9">
      <c r="B1068" s="21">
        <v>45860</v>
      </c>
      <c r="C1068">
        <v>434.4</v>
      </c>
      <c r="D1068">
        <v>432.04</v>
      </c>
      <c r="E1068" s="17">
        <f t="shared" si="32"/>
        <v>-2.3092554960280802E-3</v>
      </c>
      <c r="G1068" s="21">
        <v>45860</v>
      </c>
      <c r="H1068" s="12">
        <v>25060.900390625</v>
      </c>
      <c r="I1068" s="15">
        <f t="shared" si="33"/>
        <v>-1.1876443882732318E-3</v>
      </c>
    </row>
    <row r="1069" spans="2:9">
      <c r="B1069" s="21">
        <v>45861</v>
      </c>
      <c r="C1069">
        <v>434.2</v>
      </c>
      <c r="D1069">
        <v>434.08</v>
      </c>
      <c r="E1069" s="17">
        <f t="shared" si="32"/>
        <v>4.7217850199054801E-3</v>
      </c>
      <c r="G1069" s="21">
        <v>45861</v>
      </c>
      <c r="H1069" s="12">
        <v>25219.900390625</v>
      </c>
      <c r="I1069" s="14">
        <f t="shared" si="33"/>
        <v>6.3445445902446549E-3</v>
      </c>
    </row>
    <row r="1070" spans="2:9">
      <c r="B1070" s="21">
        <v>45862</v>
      </c>
      <c r="C1070">
        <v>433.08</v>
      </c>
      <c r="D1070">
        <v>428.42</v>
      </c>
      <c r="E1070" s="17">
        <f t="shared" si="32"/>
        <v>-1.3039071138960488E-2</v>
      </c>
      <c r="G1070" s="21">
        <v>45862</v>
      </c>
      <c r="H1070" s="12">
        <v>25062.099609375</v>
      </c>
      <c r="I1070" s="15">
        <f t="shared" si="33"/>
        <v>-6.2569946274910479E-3</v>
      </c>
    </row>
    <row r="1071" spans="2:9">
      <c r="B1071" s="21">
        <v>45863</v>
      </c>
      <c r="C1071">
        <v>427.82</v>
      </c>
      <c r="D1071">
        <v>424.92</v>
      </c>
      <c r="E1071" s="17">
        <f t="shared" si="32"/>
        <v>-8.1695532421455583E-3</v>
      </c>
      <c r="G1071" s="21">
        <v>45863</v>
      </c>
      <c r="H1071" s="12">
        <v>24837</v>
      </c>
      <c r="I1071" s="14">
        <f t="shared" si="33"/>
        <v>-8.9816740370306722E-3</v>
      </c>
    </row>
    <row r="1072" spans="2:9">
      <c r="B1072" s="21">
        <v>45866</v>
      </c>
      <c r="C1072">
        <v>405.06</v>
      </c>
      <c r="D1072">
        <v>393.32</v>
      </c>
      <c r="E1072" s="17">
        <f t="shared" si="32"/>
        <v>-7.4366939659230025E-2</v>
      </c>
      <c r="G1072" s="21">
        <v>45866</v>
      </c>
      <c r="H1072" s="12">
        <v>24680.900390625</v>
      </c>
      <c r="I1072" s="15">
        <f t="shared" si="33"/>
        <v>-6.2849623293876073E-3</v>
      </c>
    </row>
    <row r="1073" spans="2:9">
      <c r="B1073" s="21">
        <v>45867</v>
      </c>
      <c r="C1073">
        <v>393.4</v>
      </c>
      <c r="D1073">
        <v>394.54</v>
      </c>
      <c r="E1073" s="17">
        <f t="shared" si="32"/>
        <v>3.101800061019087E-3</v>
      </c>
      <c r="G1073" s="21">
        <v>45867</v>
      </c>
      <c r="H1073" s="12">
        <v>24821.099609375</v>
      </c>
      <c r="I1073" s="14">
        <f t="shared" si="33"/>
        <v>5.6804742343700898E-3</v>
      </c>
    </row>
    <row r="1074" spans="2:9">
      <c r="B1074" s="21">
        <v>45868</v>
      </c>
      <c r="C1074">
        <v>393.22</v>
      </c>
      <c r="D1074">
        <v>391.94</v>
      </c>
      <c r="E1074" s="17">
        <f t="shared" si="32"/>
        <v>-6.5899528564911606E-3</v>
      </c>
      <c r="G1074" s="21">
        <v>45868</v>
      </c>
      <c r="H1074" s="12">
        <v>24855.05078125</v>
      </c>
      <c r="I1074" s="15">
        <f t="shared" si="33"/>
        <v>1.3678351245235141E-3</v>
      </c>
    </row>
    <row r="1075" spans="2:9">
      <c r="B1075" s="21">
        <v>45869</v>
      </c>
      <c r="C1075">
        <v>388.24</v>
      </c>
      <c r="D1075">
        <v>395.72</v>
      </c>
      <c r="E1075" s="17">
        <f t="shared" si="32"/>
        <v>9.6443333163240032E-3</v>
      </c>
      <c r="G1075" s="21">
        <v>45869</v>
      </c>
      <c r="H1075" s="12">
        <v>24768.349609375</v>
      </c>
      <c r="I1075" s="14">
        <f t="shared" si="33"/>
        <v>-3.4882717656889721E-3</v>
      </c>
    </row>
    <row r="1076" spans="2:9">
      <c r="B1076" s="21">
        <v>45870</v>
      </c>
      <c r="C1076">
        <v>396.6</v>
      </c>
      <c r="D1076">
        <v>398.48</v>
      </c>
      <c r="E1076" s="17">
        <f t="shared" si="32"/>
        <v>6.9746285252198286E-3</v>
      </c>
      <c r="G1076" s="21">
        <v>45870</v>
      </c>
      <c r="H1076" s="12">
        <v>24565.349609375</v>
      </c>
      <c r="I1076" s="15">
        <f t="shared" si="33"/>
        <v>-8.1959437427822409E-3</v>
      </c>
    </row>
    <row r="1077" spans="2:9">
      <c r="B1077" s="21">
        <v>45873</v>
      </c>
      <c r="C1077">
        <v>397.4</v>
      </c>
      <c r="D1077">
        <v>399.4</v>
      </c>
      <c r="E1077" s="17">
        <f t="shared" si="32"/>
        <v>2.308773338686908E-3</v>
      </c>
      <c r="G1077" s="21">
        <v>45873</v>
      </c>
      <c r="H1077" s="12">
        <v>24722.75</v>
      </c>
      <c r="I1077" s="14">
        <f t="shared" si="33"/>
        <v>6.4074150430544043E-3</v>
      </c>
    </row>
    <row r="1078" spans="2:9">
      <c r="B1078" s="21">
        <v>45874</v>
      </c>
      <c r="C1078">
        <v>401.6</v>
      </c>
      <c r="D1078">
        <v>400.6</v>
      </c>
      <c r="E1078" s="17">
        <f t="shared" si="32"/>
        <v>3.0045067601403245E-3</v>
      </c>
      <c r="G1078" s="21">
        <v>45874</v>
      </c>
      <c r="H1078" s="12">
        <v>24649.55078125</v>
      </c>
      <c r="I1078" s="15">
        <f t="shared" si="33"/>
        <v>-2.9608040671041855E-3</v>
      </c>
    </row>
    <row r="1079" spans="2:9">
      <c r="B1079" s="21">
        <v>45875</v>
      </c>
      <c r="C1079">
        <v>400.6</v>
      </c>
      <c r="D1079">
        <v>400.48</v>
      </c>
      <c r="E1079" s="17">
        <f t="shared" si="32"/>
        <v>-2.9955067398902783E-4</v>
      </c>
      <c r="G1079" s="21">
        <v>45875</v>
      </c>
      <c r="H1079" s="12">
        <v>24574.19921875</v>
      </c>
      <c r="I1079" s="14">
        <f t="shared" si="33"/>
        <v>-3.0569142281212337E-3</v>
      </c>
    </row>
    <row r="1080" spans="2:9">
      <c r="B1080" s="21">
        <v>45876</v>
      </c>
      <c r="C1080">
        <v>396.2</v>
      </c>
      <c r="D1080">
        <v>398.42</v>
      </c>
      <c r="E1080" s="17">
        <f t="shared" si="32"/>
        <v>-5.1438274071114714E-3</v>
      </c>
      <c r="G1080" s="21">
        <v>45876</v>
      </c>
      <c r="H1080" s="12">
        <v>24596.150390625</v>
      </c>
      <c r="I1080" s="15">
        <f t="shared" si="33"/>
        <v>8.9326092295415906E-4</v>
      </c>
    </row>
    <row r="1081" spans="2:9">
      <c r="B1081" s="21">
        <v>45877</v>
      </c>
      <c r="C1081">
        <v>398.78</v>
      </c>
      <c r="D1081">
        <v>390.54</v>
      </c>
      <c r="E1081" s="17">
        <f t="shared" si="32"/>
        <v>-1.9778123588173272E-2</v>
      </c>
      <c r="G1081" s="21">
        <v>45877</v>
      </c>
      <c r="H1081" s="12">
        <v>24363.30078125</v>
      </c>
      <c r="I1081" s="14">
        <f t="shared" si="33"/>
        <v>-9.4669127354072569E-3</v>
      </c>
    </row>
    <row r="1082" spans="2:9">
      <c r="B1082" s="21">
        <v>45880</v>
      </c>
      <c r="C1082">
        <v>392.8</v>
      </c>
      <c r="D1082">
        <v>395.18</v>
      </c>
      <c r="E1082" s="17">
        <f t="shared" si="32"/>
        <v>1.1880985302401767E-2</v>
      </c>
      <c r="G1082" s="21">
        <v>45880</v>
      </c>
      <c r="H1082" s="12">
        <v>24585.05078125</v>
      </c>
      <c r="I1082" s="15">
        <f t="shared" si="33"/>
        <v>9.1018044718578876E-3</v>
      </c>
    </row>
    <row r="1083" spans="2:9">
      <c r="B1083" s="21">
        <v>45881</v>
      </c>
      <c r="C1083">
        <v>395</v>
      </c>
      <c r="D1083">
        <v>391.8</v>
      </c>
      <c r="E1083" s="17">
        <f t="shared" si="32"/>
        <v>-8.5530644263373534E-3</v>
      </c>
      <c r="G1083" s="21">
        <v>45881</v>
      </c>
      <c r="H1083" s="12">
        <v>24487.400390625</v>
      </c>
      <c r="I1083" s="14">
        <f t="shared" si="33"/>
        <v>-3.9719417907191756E-3</v>
      </c>
    </row>
    <row r="1084" spans="2:9">
      <c r="B1084" s="21">
        <v>45882</v>
      </c>
      <c r="C1084">
        <v>393.6</v>
      </c>
      <c r="D1084">
        <v>397.54</v>
      </c>
      <c r="E1084" s="17">
        <f t="shared" si="32"/>
        <v>1.4650331801939788E-2</v>
      </c>
      <c r="G1084" s="21">
        <v>45882</v>
      </c>
      <c r="H1084" s="12">
        <v>24619.349609375</v>
      </c>
      <c r="I1084" s="15">
        <f t="shared" si="33"/>
        <v>5.3884535167120782E-3</v>
      </c>
    </row>
    <row r="1085" spans="2:9">
      <c r="B1085" s="21">
        <v>45883</v>
      </c>
      <c r="C1085">
        <v>397.6</v>
      </c>
      <c r="D1085">
        <v>395.64</v>
      </c>
      <c r="E1085" s="17">
        <f t="shared" si="32"/>
        <v>-4.7793932686019868E-3</v>
      </c>
      <c r="G1085" s="21">
        <v>45883</v>
      </c>
      <c r="H1085" s="12">
        <v>24631.30078125</v>
      </c>
      <c r="I1085" s="14">
        <f t="shared" si="33"/>
        <v>4.8543816407111817E-4</v>
      </c>
    </row>
    <row r="1086" spans="2:9">
      <c r="B1086" s="21">
        <v>45887</v>
      </c>
      <c r="C1086">
        <v>399.58</v>
      </c>
      <c r="D1086">
        <v>400.28</v>
      </c>
      <c r="E1086" s="17">
        <f t="shared" si="32"/>
        <v>1.1727833383884305E-2</v>
      </c>
      <c r="G1086" s="21">
        <v>45887</v>
      </c>
      <c r="H1086" s="12">
        <v>24876.94921875</v>
      </c>
      <c r="I1086" s="15">
        <f t="shared" si="33"/>
        <v>9.9730192766349594E-3</v>
      </c>
    </row>
    <row r="1087" spans="2:9">
      <c r="B1087" s="21">
        <v>45888</v>
      </c>
      <c r="C1087">
        <v>398.8</v>
      </c>
      <c r="D1087">
        <v>405.98</v>
      </c>
      <c r="E1087" s="17">
        <f t="shared" si="32"/>
        <v>1.4240031977615784E-2</v>
      </c>
      <c r="G1087" s="21">
        <v>45888</v>
      </c>
      <c r="H1087" s="12">
        <v>24980.650390625</v>
      </c>
      <c r="I1087" s="14">
        <f t="shared" si="33"/>
        <v>4.1685646806256856E-3</v>
      </c>
    </row>
    <row r="1088" spans="2:9">
      <c r="B1088" s="21">
        <v>45889</v>
      </c>
      <c r="C1088">
        <v>404.1</v>
      </c>
      <c r="D1088">
        <v>403.5</v>
      </c>
      <c r="E1088" s="17">
        <f t="shared" si="32"/>
        <v>-6.1086753042022216E-3</v>
      </c>
      <c r="G1088" s="21">
        <v>45889</v>
      </c>
      <c r="H1088" s="12">
        <v>25050.55078125</v>
      </c>
      <c r="I1088" s="15">
        <f t="shared" si="33"/>
        <v>2.7981813736616301E-3</v>
      </c>
    </row>
    <row r="1089" spans="2:9">
      <c r="B1089" s="21">
        <v>45890</v>
      </c>
      <c r="C1089">
        <v>407.8</v>
      </c>
      <c r="D1089">
        <v>403.56</v>
      </c>
      <c r="E1089" s="17">
        <f t="shared" si="32"/>
        <v>1.4869888475836995E-4</v>
      </c>
      <c r="G1089" s="21">
        <v>45890</v>
      </c>
      <c r="H1089" s="12">
        <v>25083.75</v>
      </c>
      <c r="I1089" s="14">
        <f t="shared" si="33"/>
        <v>1.325288974278728E-3</v>
      </c>
    </row>
    <row r="1090" spans="2:9">
      <c r="B1090" s="21">
        <v>45891</v>
      </c>
      <c r="C1090">
        <v>402.04</v>
      </c>
      <c r="D1090">
        <v>397.32</v>
      </c>
      <c r="E1090" s="17">
        <f t="shared" si="32"/>
        <v>-1.546238477549809E-2</v>
      </c>
      <c r="G1090" s="21">
        <v>45891</v>
      </c>
      <c r="H1090" s="12">
        <v>24870.099609375</v>
      </c>
      <c r="I1090" s="15">
        <f t="shared" si="33"/>
        <v>-8.5174820600986689E-3</v>
      </c>
    </row>
    <row r="1091" spans="2:9">
      <c r="B1091" s="21">
        <v>45894</v>
      </c>
      <c r="C1091">
        <v>397.4</v>
      </c>
      <c r="D1091">
        <v>396.66</v>
      </c>
      <c r="E1091" s="17">
        <f t="shared" si="32"/>
        <v>-1.6611295681062321E-3</v>
      </c>
      <c r="G1091" s="21">
        <v>45894</v>
      </c>
      <c r="H1091" s="12">
        <v>24967.75</v>
      </c>
      <c r="I1091" s="14">
        <f t="shared" si="33"/>
        <v>3.9264173509055761E-3</v>
      </c>
    </row>
    <row r="1092" spans="2:9">
      <c r="B1092" s="21">
        <v>45895</v>
      </c>
      <c r="C1092">
        <v>395.6</v>
      </c>
      <c r="D1092">
        <v>393.14</v>
      </c>
      <c r="E1092" s="17">
        <f t="shared" si="32"/>
        <v>-8.8740987243484046E-3</v>
      </c>
      <c r="G1092" s="21">
        <v>45895</v>
      </c>
      <c r="H1092" s="12">
        <v>24712.05078125</v>
      </c>
      <c r="I1092" s="15">
        <f t="shared" si="33"/>
        <v>-1.0241179872034925E-2</v>
      </c>
    </row>
    <row r="1093" spans="2:9">
      <c r="B1093" s="21">
        <v>45897</v>
      </c>
      <c r="C1093">
        <v>391</v>
      </c>
      <c r="D1093">
        <v>388.94</v>
      </c>
      <c r="E1093" s="17">
        <f t="shared" ref="E1093:E1156" si="34">(D1093-D1092)/D1092</f>
        <v>-1.0683217174543392E-2</v>
      </c>
      <c r="G1093" s="21">
        <v>45897</v>
      </c>
      <c r="H1093" s="12">
        <v>24500.900390625</v>
      </c>
      <c r="I1093" s="14">
        <f t="shared" ref="I1093:I1156" si="35">(H1093-H1092)/H1092</f>
        <v>-8.5444301039235507E-3</v>
      </c>
    </row>
    <row r="1094" spans="2:9">
      <c r="B1094" s="21">
        <v>45898</v>
      </c>
      <c r="C1094">
        <v>390.04</v>
      </c>
      <c r="D1094">
        <v>392.06</v>
      </c>
      <c r="E1094" s="17">
        <f t="shared" si="34"/>
        <v>8.0218028487684598E-3</v>
      </c>
      <c r="G1094" s="21">
        <v>45898</v>
      </c>
      <c r="H1094" s="12">
        <v>24426.849609375</v>
      </c>
      <c r="I1094" s="15">
        <f t="shared" si="35"/>
        <v>-3.0223697933295024E-3</v>
      </c>
    </row>
    <row r="1095" spans="2:9">
      <c r="B1095" s="21">
        <v>45901</v>
      </c>
      <c r="C1095">
        <v>392.06</v>
      </c>
      <c r="D1095">
        <v>393.72</v>
      </c>
      <c r="E1095" s="17">
        <f t="shared" si="34"/>
        <v>4.2340458093149645E-3</v>
      </c>
      <c r="G1095" s="21">
        <v>45901</v>
      </c>
      <c r="H1095" s="12">
        <v>24625.05078125</v>
      </c>
      <c r="I1095" s="14">
        <f t="shared" si="35"/>
        <v>8.1140701746053485E-3</v>
      </c>
    </row>
    <row r="1096" spans="2:9">
      <c r="B1096" s="21">
        <v>45902</v>
      </c>
      <c r="C1096">
        <v>393.2</v>
      </c>
      <c r="D1096">
        <v>388.5</v>
      </c>
      <c r="E1096" s="17">
        <f t="shared" si="34"/>
        <v>-1.3258153002133564E-2</v>
      </c>
      <c r="G1096" s="21">
        <v>45902</v>
      </c>
      <c r="H1096" s="12">
        <v>24579.599609375</v>
      </c>
      <c r="I1096" s="15">
        <f t="shared" si="35"/>
        <v>-1.8457290617896885E-3</v>
      </c>
    </row>
    <row r="1097" spans="2:9">
      <c r="B1097" s="21">
        <v>45903</v>
      </c>
      <c r="C1097">
        <v>388.8</v>
      </c>
      <c r="D1097">
        <v>392.04</v>
      </c>
      <c r="E1097" s="17">
        <f t="shared" si="34"/>
        <v>9.1119691119691641E-3</v>
      </c>
      <c r="G1097" s="21">
        <v>45903</v>
      </c>
      <c r="H1097" s="12">
        <v>24715.05078125</v>
      </c>
      <c r="I1097" s="14">
        <f t="shared" si="35"/>
        <v>5.5107151470171652E-3</v>
      </c>
    </row>
    <row r="1098" spans="2:9">
      <c r="B1098" s="21">
        <v>45904</v>
      </c>
      <c r="C1098">
        <v>392.2</v>
      </c>
      <c r="D1098">
        <v>389.94</v>
      </c>
      <c r="E1098" s="17">
        <f t="shared" si="34"/>
        <v>-5.3565962656872326E-3</v>
      </c>
      <c r="G1098" s="21">
        <v>45904</v>
      </c>
      <c r="H1098" s="12">
        <v>24734.30078125</v>
      </c>
      <c r="I1098" s="15">
        <f t="shared" si="35"/>
        <v>7.7887762280480347E-4</v>
      </c>
    </row>
    <row r="1099" spans="2:9">
      <c r="B1099" s="21">
        <v>45905</v>
      </c>
      <c r="C1099">
        <v>389.94</v>
      </c>
      <c r="D1099">
        <v>389.1</v>
      </c>
      <c r="E1099" s="17">
        <f t="shared" si="34"/>
        <v>-2.1541775657792864E-3</v>
      </c>
      <c r="G1099" s="21">
        <v>45905</v>
      </c>
      <c r="H1099" s="12">
        <v>24741</v>
      </c>
      <c r="I1099" s="14">
        <f t="shared" si="35"/>
        <v>2.708473067117542E-4</v>
      </c>
    </row>
    <row r="1100" spans="2:9">
      <c r="B1100" s="21">
        <v>45908</v>
      </c>
      <c r="C1100">
        <v>388.5</v>
      </c>
      <c r="D1100">
        <v>390.02</v>
      </c>
      <c r="E1100" s="17">
        <f t="shared" si="34"/>
        <v>2.3644307375994835E-3</v>
      </c>
      <c r="G1100" s="21">
        <v>45908</v>
      </c>
      <c r="H1100" s="12">
        <v>24773.150390625</v>
      </c>
      <c r="I1100" s="15">
        <f t="shared" si="35"/>
        <v>1.2994782193524919E-3</v>
      </c>
    </row>
    <row r="1101" spans="2:9">
      <c r="B1101" s="21">
        <v>45909</v>
      </c>
      <c r="C1101">
        <v>391.2</v>
      </c>
      <c r="D1101">
        <v>392.08</v>
      </c>
      <c r="E1101" s="17">
        <f t="shared" si="34"/>
        <v>5.2817804215168516E-3</v>
      </c>
      <c r="G1101" s="21">
        <v>45909</v>
      </c>
      <c r="H1101" s="12">
        <v>24868.599609375</v>
      </c>
      <c r="I1101" s="14">
        <f t="shared" si="35"/>
        <v>3.852930178235273E-3</v>
      </c>
    </row>
    <row r="1102" spans="2:9">
      <c r="B1102" s="21">
        <v>45910</v>
      </c>
      <c r="C1102">
        <v>396.98</v>
      </c>
      <c r="D1102">
        <v>394.66</v>
      </c>
      <c r="E1102" s="17">
        <f t="shared" si="34"/>
        <v>6.5802897367885152E-3</v>
      </c>
      <c r="G1102" s="21">
        <v>45910</v>
      </c>
      <c r="H1102" s="12">
        <v>24973.099609375</v>
      </c>
      <c r="I1102" s="15">
        <f t="shared" si="35"/>
        <v>4.20208623088714E-3</v>
      </c>
    </row>
    <row r="1103" spans="2:9">
      <c r="B1103" s="21">
        <v>45911</v>
      </c>
      <c r="C1103">
        <v>395.4</v>
      </c>
      <c r="D1103">
        <v>394.46</v>
      </c>
      <c r="E1103" s="17">
        <f t="shared" si="34"/>
        <v>-5.0676531698182095E-4</v>
      </c>
      <c r="G1103" s="21">
        <v>45911</v>
      </c>
      <c r="H1103" s="12">
        <v>25005.5</v>
      </c>
      <c r="I1103" s="14">
        <f t="shared" si="35"/>
        <v>1.2974116602184522E-3</v>
      </c>
    </row>
    <row r="1104" spans="2:9">
      <c r="B1104" s="21">
        <v>45912</v>
      </c>
      <c r="C1104">
        <v>394.64</v>
      </c>
      <c r="D1104">
        <v>394.46</v>
      </c>
      <c r="E1104" s="17">
        <f t="shared" si="34"/>
        <v>0</v>
      </c>
      <c r="G1104" s="21">
        <v>45912</v>
      </c>
      <c r="H1104" s="12">
        <v>25114</v>
      </c>
      <c r="I1104" s="15">
        <f t="shared" si="35"/>
        <v>4.3390454100097975E-3</v>
      </c>
    </row>
    <row r="1105" spans="2:9">
      <c r="B1105" s="21">
        <v>45915</v>
      </c>
      <c r="C1105">
        <v>393.6</v>
      </c>
      <c r="D1105">
        <v>394.16</v>
      </c>
      <c r="E1105" s="17">
        <f t="shared" si="34"/>
        <v>-7.6053338741559231E-4</v>
      </c>
      <c r="G1105" s="21">
        <v>45915</v>
      </c>
      <c r="H1105" s="12">
        <v>25069.19921875</v>
      </c>
      <c r="I1105" s="14">
        <f t="shared" si="35"/>
        <v>-1.7838966811340288E-3</v>
      </c>
    </row>
    <row r="1106" spans="2:9">
      <c r="B1106" s="21">
        <v>45916</v>
      </c>
      <c r="C1106">
        <v>395.28</v>
      </c>
      <c r="D1106">
        <v>404.34</v>
      </c>
      <c r="E1106" s="17">
        <f t="shared" si="34"/>
        <v>2.5827075299370686E-2</v>
      </c>
      <c r="G1106" s="21">
        <v>45916</v>
      </c>
      <c r="H1106" s="12">
        <v>25239.099609375</v>
      </c>
      <c r="I1106" s="15">
        <f t="shared" si="35"/>
        <v>6.7772563910987009E-3</v>
      </c>
    </row>
    <row r="1107" spans="2:9">
      <c r="B1107" s="21">
        <v>45917</v>
      </c>
      <c r="C1107">
        <v>405.8</v>
      </c>
      <c r="D1107">
        <v>410.06</v>
      </c>
      <c r="E1107" s="17">
        <f t="shared" si="34"/>
        <v>1.4146510362566226E-2</v>
      </c>
      <c r="G1107" s="21">
        <v>45917</v>
      </c>
      <c r="H1107" s="12">
        <v>25330.25</v>
      </c>
      <c r="I1107" s="14">
        <f t="shared" si="35"/>
        <v>3.6114755294654973E-3</v>
      </c>
    </row>
    <row r="1108" spans="2:9">
      <c r="B1108" s="21">
        <v>45918</v>
      </c>
      <c r="C1108">
        <v>410</v>
      </c>
      <c r="D1108">
        <v>410.92</v>
      </c>
      <c r="E1108" s="17">
        <f t="shared" si="34"/>
        <v>2.097254060381441E-3</v>
      </c>
      <c r="G1108" s="21">
        <v>45918</v>
      </c>
      <c r="H1108" s="12">
        <v>25423.599609375</v>
      </c>
      <c r="I1108" s="15">
        <f t="shared" si="35"/>
        <v>3.6853015416350018E-3</v>
      </c>
    </row>
    <row r="1109" spans="2:9">
      <c r="B1109" s="21">
        <v>45919</v>
      </c>
      <c r="C1109">
        <v>410.92</v>
      </c>
      <c r="D1109">
        <v>406.2</v>
      </c>
      <c r="E1109" s="17">
        <f t="shared" si="34"/>
        <v>-1.1486420714494371E-2</v>
      </c>
      <c r="G1109" s="21">
        <v>45919</v>
      </c>
      <c r="H1109" s="12">
        <v>25327.05078125</v>
      </c>
      <c r="I1109" s="14">
        <f t="shared" si="35"/>
        <v>-3.7976065391384403E-3</v>
      </c>
    </row>
    <row r="1110" spans="2:9">
      <c r="B1110" s="21">
        <v>45922</v>
      </c>
      <c r="C1110">
        <v>406.4</v>
      </c>
      <c r="D1110">
        <v>404.34</v>
      </c>
      <c r="E1110" s="17">
        <f t="shared" si="34"/>
        <v>-4.5790251107828989E-3</v>
      </c>
      <c r="G1110" s="21">
        <v>45922</v>
      </c>
      <c r="H1110" s="12">
        <v>25202.349609375</v>
      </c>
      <c r="I1110" s="15">
        <f t="shared" si="35"/>
        <v>-4.9236357186648108E-3</v>
      </c>
    </row>
    <row r="1111" spans="2:9">
      <c r="B1111" s="21">
        <v>45923</v>
      </c>
      <c r="C1111">
        <v>404.6</v>
      </c>
      <c r="D1111">
        <v>409.54</v>
      </c>
      <c r="E1111" s="17">
        <f t="shared" si="34"/>
        <v>1.2860463965969347E-2</v>
      </c>
      <c r="G1111" s="21">
        <v>45923</v>
      </c>
      <c r="H1111" s="12">
        <v>25169.5</v>
      </c>
      <c r="I1111" s="14">
        <f t="shared" si="35"/>
        <v>-1.3034343973539794E-3</v>
      </c>
    </row>
    <row r="1112" spans="2:9">
      <c r="B1112" s="21">
        <v>45924</v>
      </c>
      <c r="C1112">
        <v>408.4</v>
      </c>
      <c r="D1112">
        <v>406.26</v>
      </c>
      <c r="E1112" s="17">
        <f t="shared" si="34"/>
        <v>-8.0089856912634403E-3</v>
      </c>
      <c r="G1112" s="21">
        <v>45924</v>
      </c>
      <c r="H1112" s="12">
        <v>25056.900390625</v>
      </c>
      <c r="I1112" s="15">
        <f t="shared" si="35"/>
        <v>-4.4736530076084149E-3</v>
      </c>
    </row>
    <row r="1113" spans="2:9">
      <c r="B1113" s="21">
        <v>45925</v>
      </c>
      <c r="C1113">
        <v>406.46</v>
      </c>
      <c r="D1113">
        <v>402.7</v>
      </c>
      <c r="E1113" s="17">
        <f t="shared" si="34"/>
        <v>-8.7628612218776207E-3</v>
      </c>
      <c r="G1113" s="21">
        <v>45925</v>
      </c>
      <c r="H1113" s="12">
        <v>24890.849609375</v>
      </c>
      <c r="I1113" s="14">
        <f t="shared" si="35"/>
        <v>-6.6269482123226878E-3</v>
      </c>
    </row>
    <row r="1114" spans="2:9">
      <c r="B1114" s="21">
        <v>45926</v>
      </c>
      <c r="C1114">
        <v>401.8</v>
      </c>
      <c r="D1114">
        <v>398.96</v>
      </c>
      <c r="E1114" s="17">
        <f t="shared" si="34"/>
        <v>-9.2873106530916537E-3</v>
      </c>
      <c r="G1114" s="21">
        <v>45926</v>
      </c>
      <c r="H1114" s="12">
        <v>24654.69921875</v>
      </c>
      <c r="I1114" s="15">
        <f t="shared" si="35"/>
        <v>-9.4874379272315099E-3</v>
      </c>
    </row>
    <row r="1115" spans="2:9">
      <c r="B1115" s="21">
        <v>45929</v>
      </c>
      <c r="C1115">
        <v>399.18</v>
      </c>
      <c r="D1115">
        <v>398.32</v>
      </c>
      <c r="E1115" s="17">
        <f t="shared" si="34"/>
        <v>-1.6041708441948727E-3</v>
      </c>
      <c r="G1115" s="21">
        <v>45929</v>
      </c>
      <c r="H1115" s="12">
        <v>24634.900390625</v>
      </c>
      <c r="I1115" s="14">
        <f t="shared" si="35"/>
        <v>-8.030448049409952E-4</v>
      </c>
    </row>
    <row r="1116" spans="2:9">
      <c r="B1116" s="21">
        <v>45930</v>
      </c>
      <c r="C1116">
        <v>400.8</v>
      </c>
      <c r="D1116">
        <v>398.54</v>
      </c>
      <c r="E1116" s="17">
        <f t="shared" si="34"/>
        <v>5.5231974292033366E-4</v>
      </c>
      <c r="G1116" s="21">
        <v>45930</v>
      </c>
      <c r="H1116" s="12">
        <v>24611.099609375</v>
      </c>
      <c r="I1116" s="15">
        <f t="shared" si="35"/>
        <v>-9.6614075448251335E-4</v>
      </c>
    </row>
    <row r="1117" spans="2:9">
      <c r="B1117" s="21">
        <v>45931</v>
      </c>
      <c r="C1117">
        <v>397.2</v>
      </c>
      <c r="D1117">
        <v>412.66</v>
      </c>
      <c r="E1117" s="17">
        <f t="shared" si="34"/>
        <v>3.5429317007075835E-2</v>
      </c>
      <c r="G1117" s="21">
        <v>45931</v>
      </c>
      <c r="H1117" s="12">
        <v>24836.30078125</v>
      </c>
      <c r="I1117" s="14">
        <f t="shared" si="35"/>
        <v>9.1503904924758045E-3</v>
      </c>
    </row>
    <row r="1118" spans="2:9">
      <c r="B1118" s="21">
        <v>45933</v>
      </c>
      <c r="C1118">
        <v>412.66</v>
      </c>
      <c r="D1118">
        <v>420.1</v>
      </c>
      <c r="E1118" s="17">
        <f t="shared" si="34"/>
        <v>1.8029370426016569E-2</v>
      </c>
      <c r="G1118" s="21">
        <v>45933</v>
      </c>
      <c r="H1118" s="12">
        <v>24894.25</v>
      </c>
      <c r="I1118" s="15">
        <f t="shared" si="35"/>
        <v>2.3332467769817144E-3</v>
      </c>
    </row>
    <row r="1119" spans="2:9">
      <c r="B1119" s="21">
        <v>45936</v>
      </c>
      <c r="C1119">
        <v>422.8</v>
      </c>
      <c r="D1119">
        <v>429.2</v>
      </c>
      <c r="E1119" s="17">
        <f t="shared" si="34"/>
        <v>2.1661509164484564E-2</v>
      </c>
      <c r="G1119" s="21">
        <v>45936</v>
      </c>
      <c r="H1119" s="12">
        <v>25077.650390625</v>
      </c>
      <c r="I1119" s="14">
        <f t="shared" si="35"/>
        <v>7.3671787912871446E-3</v>
      </c>
    </row>
    <row r="1120" spans="2:9">
      <c r="B1120" s="21">
        <v>45937</v>
      </c>
      <c r="C1120">
        <v>428.4</v>
      </c>
      <c r="D1120">
        <v>425.38</v>
      </c>
      <c r="E1120" s="17">
        <f t="shared" si="34"/>
        <v>-8.9002795899347474E-3</v>
      </c>
      <c r="G1120" s="21">
        <v>45937</v>
      </c>
      <c r="H1120" s="12">
        <v>25108.30078125</v>
      </c>
      <c r="I1120" s="15">
        <f t="shared" si="35"/>
        <v>1.2222193924698109E-3</v>
      </c>
    </row>
    <row r="1121" spans="2:9">
      <c r="B1121" s="21">
        <v>45938</v>
      </c>
      <c r="C1121">
        <v>425.3</v>
      </c>
      <c r="D1121">
        <v>423.56</v>
      </c>
      <c r="E1121" s="17">
        <f t="shared" si="34"/>
        <v>-4.2785274342940268E-3</v>
      </c>
      <c r="G1121" s="21">
        <v>45938</v>
      </c>
      <c r="H1121" s="12">
        <v>25046.150390625</v>
      </c>
      <c r="I1121" s="14">
        <f t="shared" si="35"/>
        <v>-2.4752925801897249E-3</v>
      </c>
    </row>
    <row r="1122" spans="2:9">
      <c r="B1122" s="21">
        <v>45939</v>
      </c>
      <c r="C1122">
        <v>423.6</v>
      </c>
      <c r="D1122">
        <v>428.92</v>
      </c>
      <c r="E1122" s="17">
        <f t="shared" si="34"/>
        <v>1.2654641609217145E-2</v>
      </c>
      <c r="G1122" s="21">
        <v>45939</v>
      </c>
      <c r="H1122" s="12">
        <v>25181.80078125</v>
      </c>
      <c r="I1122" s="15">
        <f t="shared" si="35"/>
        <v>5.4160175719369296E-3</v>
      </c>
    </row>
    <row r="1123" spans="2:9">
      <c r="B1123" s="21">
        <v>45940</v>
      </c>
      <c r="C1123">
        <v>429</v>
      </c>
      <c r="D1123">
        <v>430.02</v>
      </c>
      <c r="E1123" s="17">
        <f t="shared" si="34"/>
        <v>2.5645808076097312E-3</v>
      </c>
      <c r="G1123" s="21">
        <v>45940</v>
      </c>
      <c r="H1123" s="12">
        <v>25285.349609375</v>
      </c>
      <c r="I1123" s="14">
        <f t="shared" si="35"/>
        <v>4.1120501676790702E-3</v>
      </c>
    </row>
    <row r="1124" spans="2:9">
      <c r="B1124" s="21">
        <v>45943</v>
      </c>
      <c r="C1124">
        <v>427.2</v>
      </c>
      <c r="D1124">
        <v>430.42</v>
      </c>
      <c r="E1124" s="17">
        <f t="shared" si="34"/>
        <v>9.3018929352131088E-4</v>
      </c>
      <c r="G1124" s="21">
        <v>45943</v>
      </c>
      <c r="H1124" s="12">
        <v>25227.349609375</v>
      </c>
      <c r="I1124" s="15">
        <f t="shared" si="35"/>
        <v>-2.2938183927065595E-3</v>
      </c>
    </row>
    <row r="1125" spans="2:9">
      <c r="B1125" s="21">
        <v>45944</v>
      </c>
      <c r="C1125">
        <v>429.8</v>
      </c>
      <c r="D1125">
        <v>430.36</v>
      </c>
      <c r="E1125" s="17">
        <f t="shared" si="34"/>
        <v>-1.3939872682496693E-4</v>
      </c>
      <c r="G1125" s="21">
        <v>45944</v>
      </c>
      <c r="H1125" s="12">
        <v>25145.5</v>
      </c>
      <c r="I1125" s="14">
        <f t="shared" si="35"/>
        <v>-3.2444791324643557E-3</v>
      </c>
    </row>
    <row r="1126" spans="2:9">
      <c r="B1126" s="21">
        <v>45945</v>
      </c>
      <c r="C1126">
        <v>431</v>
      </c>
      <c r="D1126">
        <v>429.92</v>
      </c>
      <c r="E1126" s="17">
        <f t="shared" si="34"/>
        <v>-1.0223998512872891E-3</v>
      </c>
      <c r="G1126" s="21">
        <v>45945</v>
      </c>
      <c r="H1126" s="12">
        <v>25323.55078125</v>
      </c>
      <c r="I1126" s="15">
        <f t="shared" si="35"/>
        <v>7.0808208725219226E-3</v>
      </c>
    </row>
    <row r="1127" spans="2:9">
      <c r="B1127" s="21">
        <v>45946</v>
      </c>
      <c r="C1127">
        <v>430.58</v>
      </c>
      <c r="D1127">
        <v>441.08</v>
      </c>
      <c r="E1127" s="17">
        <f t="shared" si="34"/>
        <v>2.5958317826572312E-2</v>
      </c>
      <c r="G1127" s="21">
        <v>45946</v>
      </c>
      <c r="H1127" s="12">
        <v>25585.30078125</v>
      </c>
      <c r="I1127" s="14">
        <f t="shared" si="35"/>
        <v>1.0336228211479895E-2</v>
      </c>
    </row>
    <row r="1128" spans="2:9">
      <c r="B1128" s="21">
        <v>45947</v>
      </c>
      <c r="C1128">
        <v>440.78</v>
      </c>
      <c r="D1128">
        <v>441.16</v>
      </c>
      <c r="E1128" s="17">
        <f t="shared" si="34"/>
        <v>1.8137299356135153E-4</v>
      </c>
      <c r="G1128" s="21">
        <v>45947</v>
      </c>
      <c r="H1128" s="12">
        <v>25709.849609375</v>
      </c>
      <c r="I1128" s="15">
        <f t="shared" si="35"/>
        <v>4.8679837376105692E-3</v>
      </c>
    </row>
    <row r="1129" spans="2:9">
      <c r="B1129" s="21">
        <v>45950</v>
      </c>
      <c r="C1129">
        <v>442.8</v>
      </c>
      <c r="D1129">
        <v>442.76</v>
      </c>
      <c r="E1129" s="17">
        <f t="shared" si="34"/>
        <v>3.6268020672771007E-3</v>
      </c>
      <c r="G1129" s="21">
        <v>45950</v>
      </c>
      <c r="H1129" s="12">
        <v>25843.150390625</v>
      </c>
      <c r="I1129" s="14">
        <f t="shared" si="35"/>
        <v>5.1848137299641134E-3</v>
      </c>
    </row>
    <row r="1130" spans="2:9">
      <c r="B1130" s="21">
        <v>45951</v>
      </c>
      <c r="C1130">
        <v>442.76</v>
      </c>
      <c r="D1130">
        <v>439.4</v>
      </c>
      <c r="E1130" s="17">
        <f t="shared" si="34"/>
        <v>-7.588761405727739E-3</v>
      </c>
      <c r="G1130" s="21">
        <v>45951</v>
      </c>
      <c r="H1130" s="12">
        <v>25868.599609375</v>
      </c>
      <c r="I1130" s="15">
        <f t="shared" si="35"/>
        <v>9.8475682590277742E-4</v>
      </c>
    </row>
    <row r="1131" spans="2:9">
      <c r="B1131" s="21">
        <v>45953</v>
      </c>
      <c r="C1131">
        <v>445</v>
      </c>
      <c r="D1131">
        <v>445.12</v>
      </c>
      <c r="E1131" s="17">
        <f t="shared" si="34"/>
        <v>1.3017751479290003E-2</v>
      </c>
      <c r="G1131" s="21">
        <v>45953</v>
      </c>
      <c r="H1131" s="12">
        <v>25891.400390625</v>
      </c>
      <c r="I1131" s="14">
        <f t="shared" si="35"/>
        <v>8.8140763683770514E-4</v>
      </c>
    </row>
    <row r="1132" spans="2:9">
      <c r="B1132" s="21">
        <v>45954</v>
      </c>
      <c r="C1132">
        <v>447.6</v>
      </c>
      <c r="D1132">
        <v>437.4</v>
      </c>
      <c r="E1132" s="17">
        <f t="shared" si="34"/>
        <v>-1.7343637670740535E-2</v>
      </c>
      <c r="G1132" s="21">
        <v>45954</v>
      </c>
      <c r="H1132" s="12">
        <v>25795.150390625</v>
      </c>
      <c r="I1132" s="15">
        <f t="shared" si="35"/>
        <v>-3.7174505259611641E-3</v>
      </c>
    </row>
    <row r="1133" spans="2:9">
      <c r="B1133" s="21">
        <v>45957</v>
      </c>
      <c r="C1133">
        <v>434.44</v>
      </c>
      <c r="D1133">
        <v>429.72</v>
      </c>
      <c r="E1133" s="17">
        <f t="shared" si="34"/>
        <v>-1.7558299039780408E-2</v>
      </c>
      <c r="G1133" s="21">
        <v>45957</v>
      </c>
      <c r="H1133" s="12">
        <v>25966.05078125</v>
      </c>
      <c r="I1133" s="14">
        <f t="shared" si="35"/>
        <v>6.6252915000298701E-3</v>
      </c>
    </row>
    <row r="1134" spans="2:9">
      <c r="B1134" s="21">
        <v>45958</v>
      </c>
      <c r="C1134">
        <v>428.4</v>
      </c>
      <c r="D1134">
        <v>432.16</v>
      </c>
      <c r="E1134" s="17">
        <f t="shared" si="34"/>
        <v>5.6781159825002271E-3</v>
      </c>
      <c r="G1134" s="21">
        <v>45958</v>
      </c>
      <c r="H1134" s="12">
        <v>25936.19921875</v>
      </c>
      <c r="I1134" s="15">
        <f t="shared" si="35"/>
        <v>-1.1496381468049702E-3</v>
      </c>
    </row>
    <row r="1135" spans="2:9">
      <c r="B1135" s="21">
        <v>45959</v>
      </c>
      <c r="C1135">
        <v>434</v>
      </c>
      <c r="D1135">
        <v>430.1</v>
      </c>
      <c r="E1135" s="17">
        <f t="shared" si="34"/>
        <v>-4.7667530544242926E-3</v>
      </c>
      <c r="G1135" s="21">
        <v>45959</v>
      </c>
      <c r="H1135" s="12">
        <v>26053.900390625</v>
      </c>
      <c r="I1135" s="14">
        <f t="shared" si="35"/>
        <v>4.5381040946782421E-3</v>
      </c>
    </row>
    <row r="1136" spans="2:9">
      <c r="B1136" s="21">
        <v>45960</v>
      </c>
      <c r="C1136">
        <v>430</v>
      </c>
      <c r="D1136">
        <v>427.44</v>
      </c>
      <c r="E1136" s="17">
        <f t="shared" si="34"/>
        <v>-6.1846082306440944E-3</v>
      </c>
      <c r="G1136" s="21">
        <v>45960</v>
      </c>
      <c r="H1136" s="12">
        <v>25877.849609375</v>
      </c>
      <c r="I1136" s="15">
        <f t="shared" si="35"/>
        <v>-6.7571756478100502E-3</v>
      </c>
    </row>
    <row r="1137" spans="2:9">
      <c r="B1137" s="21">
        <v>45961</v>
      </c>
      <c r="C1137">
        <v>429.38</v>
      </c>
      <c r="D1137">
        <v>420.44</v>
      </c>
      <c r="E1137" s="17">
        <f t="shared" si="34"/>
        <v>-1.6376567471457982E-2</v>
      </c>
      <c r="G1137" s="21">
        <v>45961</v>
      </c>
      <c r="H1137" s="12">
        <v>25722.099609375</v>
      </c>
      <c r="I1137" s="14">
        <f t="shared" si="35"/>
        <v>-6.0186608373972101E-3</v>
      </c>
    </row>
    <row r="1138" spans="2:9">
      <c r="B1138" s="21">
        <v>45964</v>
      </c>
      <c r="C1138">
        <v>420.44</v>
      </c>
      <c r="D1138">
        <v>422.7</v>
      </c>
      <c r="E1138" s="17">
        <f t="shared" si="34"/>
        <v>5.3753210921891137E-3</v>
      </c>
      <c r="G1138" s="21">
        <v>45964</v>
      </c>
      <c r="H1138" s="12">
        <v>25763.349609375</v>
      </c>
      <c r="I1138" s="15">
        <f t="shared" si="35"/>
        <v>1.6036793506920993E-3</v>
      </c>
    </row>
    <row r="1139" spans="2:9">
      <c r="B1139" s="21">
        <v>45965</v>
      </c>
      <c r="C1139">
        <v>423.34</v>
      </c>
      <c r="D1139">
        <v>419.32</v>
      </c>
      <c r="E1139" s="17">
        <f t="shared" si="34"/>
        <v>-7.9962148095575961E-3</v>
      </c>
      <c r="G1139" s="21">
        <v>45965</v>
      </c>
      <c r="H1139" s="12">
        <v>25597.650390625</v>
      </c>
      <c r="I1139" s="14">
        <f t="shared" si="35"/>
        <v>-6.4315867797603409E-3</v>
      </c>
    </row>
    <row r="1140" spans="2:9">
      <c r="B1140" s="21">
        <v>45967</v>
      </c>
      <c r="C1140">
        <v>414.6</v>
      </c>
      <c r="D1140">
        <v>416.64</v>
      </c>
      <c r="E1140" s="17">
        <f t="shared" si="34"/>
        <v>-6.3913002003243508E-3</v>
      </c>
      <c r="G1140" s="21">
        <v>45967</v>
      </c>
      <c r="H1140" s="12">
        <v>25509.69921875</v>
      </c>
      <c r="I1140" s="15">
        <f t="shared" si="35"/>
        <v>-3.4359080045569977E-3</v>
      </c>
    </row>
    <row r="1141" spans="2:9">
      <c r="B1141" s="21">
        <v>45968</v>
      </c>
      <c r="C1141">
        <v>415.74</v>
      </c>
      <c r="D1141">
        <v>417.66</v>
      </c>
      <c r="E1141" s="17">
        <f t="shared" si="34"/>
        <v>2.4481566820277428E-3</v>
      </c>
      <c r="G1141" s="21">
        <v>45968</v>
      </c>
      <c r="H1141" s="12">
        <v>25492.30078125</v>
      </c>
      <c r="I1141" s="14">
        <f t="shared" si="35"/>
        <v>-6.8203224784445498E-4</v>
      </c>
    </row>
    <row r="1142" spans="2:9">
      <c r="B1142" s="21">
        <v>45971</v>
      </c>
      <c r="C1142">
        <v>416.2</v>
      </c>
      <c r="D1142">
        <v>418.54</v>
      </c>
      <c r="E1142" s="17">
        <f t="shared" si="34"/>
        <v>2.1069769669108734E-3</v>
      </c>
      <c r="G1142" s="21">
        <v>45971</v>
      </c>
      <c r="H1142" s="12">
        <v>25574.349609375</v>
      </c>
      <c r="I1142" s="15">
        <f t="shared" si="35"/>
        <v>3.2185728871263058E-3</v>
      </c>
    </row>
    <row r="1143" spans="2:9">
      <c r="B1143" s="21">
        <v>45972</v>
      </c>
      <c r="C1143">
        <v>420</v>
      </c>
      <c r="D1143">
        <v>417.38</v>
      </c>
      <c r="E1143" s="17">
        <f t="shared" si="34"/>
        <v>-2.7715391599369833E-3</v>
      </c>
      <c r="G1143" s="21">
        <v>45972</v>
      </c>
      <c r="H1143" s="12">
        <v>25694.94921875</v>
      </c>
      <c r="I1143" s="14">
        <f t="shared" si="35"/>
        <v>4.7156471705849679E-3</v>
      </c>
    </row>
    <row r="1144" spans="2:9">
      <c r="B1144" s="21">
        <v>45973</v>
      </c>
      <c r="C1144">
        <v>420.02</v>
      </c>
      <c r="D1144">
        <v>416.9</v>
      </c>
      <c r="E1144" s="17">
        <f t="shared" si="34"/>
        <v>-1.1500311466769327E-3</v>
      </c>
      <c r="G1144" s="21">
        <v>45973</v>
      </c>
      <c r="H1144" s="12">
        <v>25875.80078125</v>
      </c>
      <c r="I1144" s="15">
        <f t="shared" si="35"/>
        <v>7.0384090258497119E-3</v>
      </c>
    </row>
    <row r="1145" spans="2:9">
      <c r="B1145" s="21">
        <v>45974</v>
      </c>
      <c r="C1145">
        <v>417.9</v>
      </c>
      <c r="D1145">
        <v>415.04</v>
      </c>
      <c r="E1145" s="17">
        <f t="shared" si="34"/>
        <v>-4.4615015591267853E-3</v>
      </c>
      <c r="G1145" s="21">
        <v>45974</v>
      </c>
      <c r="H1145" s="12">
        <v>25879.150390625</v>
      </c>
      <c r="I1145" s="14">
        <f t="shared" si="35"/>
        <v>1.2944949620369539E-4</v>
      </c>
    </row>
    <row r="1146" spans="2:9">
      <c r="B1146" s="21">
        <v>45975</v>
      </c>
      <c r="C1146">
        <v>413.2</v>
      </c>
      <c r="D1146">
        <v>415.94</v>
      </c>
      <c r="E1146" s="17">
        <f t="shared" si="34"/>
        <v>2.168465690053916E-3</v>
      </c>
      <c r="G1146" s="21">
        <v>45975</v>
      </c>
      <c r="H1146" s="12">
        <v>25910.05078125</v>
      </c>
      <c r="I1146" s="15">
        <f t="shared" si="35"/>
        <v>1.1940264714483827E-3</v>
      </c>
    </row>
    <row r="1147" spans="2:9">
      <c r="B1147" s="21">
        <v>45978</v>
      </c>
      <c r="C1147">
        <v>419</v>
      </c>
      <c r="D1147">
        <v>420.58</v>
      </c>
      <c r="E1147" s="17">
        <f t="shared" si="34"/>
        <v>1.1155455113718292E-2</v>
      </c>
      <c r="G1147" s="21">
        <v>45978</v>
      </c>
      <c r="H1147" s="12">
        <v>26013.44921875</v>
      </c>
      <c r="I1147" s="14">
        <f t="shared" si="35"/>
        <v>3.9906690408659891E-3</v>
      </c>
    </row>
    <row r="1148" spans="2:9">
      <c r="B1148" s="21">
        <v>45979</v>
      </c>
      <c r="C1148">
        <v>418.12</v>
      </c>
      <c r="D1148">
        <v>418.62</v>
      </c>
      <c r="E1148" s="17">
        <f t="shared" si="34"/>
        <v>-4.6602311094202757E-3</v>
      </c>
      <c r="G1148" s="21">
        <v>45979</v>
      </c>
      <c r="H1148" s="12">
        <v>25910.05078125</v>
      </c>
      <c r="I1148" s="15">
        <f t="shared" si="35"/>
        <v>-3.974806902018682E-3</v>
      </c>
    </row>
    <row r="1149" spans="2:9">
      <c r="B1149" s="21">
        <v>45980</v>
      </c>
      <c r="C1149">
        <v>419.9</v>
      </c>
      <c r="D1149">
        <v>421.18</v>
      </c>
      <c r="E1149" s="17">
        <f t="shared" si="34"/>
        <v>6.1153313267402467E-3</v>
      </c>
      <c r="G1149" s="21">
        <v>45980</v>
      </c>
      <c r="H1149" s="12">
        <v>26052.650390625</v>
      </c>
      <c r="I1149" s="14">
        <f t="shared" si="35"/>
        <v>5.503640675154263E-3</v>
      </c>
    </row>
    <row r="1150" spans="2:9">
      <c r="B1150" s="21">
        <v>45981</v>
      </c>
      <c r="C1150">
        <v>422.96</v>
      </c>
      <c r="D1150">
        <v>419.74</v>
      </c>
      <c r="E1150" s="17">
        <f t="shared" si="34"/>
        <v>-3.4189657628567304E-3</v>
      </c>
      <c r="G1150" s="21">
        <v>45981</v>
      </c>
      <c r="H1150" s="12">
        <v>26192.150390625</v>
      </c>
      <c r="I1150" s="15">
        <f t="shared" si="35"/>
        <v>5.3545415882216276E-3</v>
      </c>
    </row>
    <row r="1151" spans="2:9">
      <c r="B1151" s="21">
        <v>45982</v>
      </c>
      <c r="C1151">
        <v>420</v>
      </c>
      <c r="D1151">
        <v>417.56</v>
      </c>
      <c r="E1151" s="17">
        <f t="shared" si="34"/>
        <v>-5.1936913327298015E-3</v>
      </c>
      <c r="G1151" s="21">
        <v>45982</v>
      </c>
      <c r="H1151" s="12">
        <v>26068.150390625</v>
      </c>
      <c r="I1151" s="14">
        <f t="shared" si="35"/>
        <v>-4.7342428227803521E-3</v>
      </c>
    </row>
    <row r="1152" spans="2:9">
      <c r="B1152" s="21">
        <v>45985</v>
      </c>
      <c r="C1152">
        <v>419</v>
      </c>
      <c r="D1152">
        <v>417.46</v>
      </c>
      <c r="E1152" s="17">
        <f t="shared" si="34"/>
        <v>-2.3948654085645832E-4</v>
      </c>
      <c r="G1152" s="21">
        <v>45985</v>
      </c>
      <c r="H1152" s="12">
        <v>25959.5</v>
      </c>
      <c r="I1152" s="15">
        <f t="shared" si="35"/>
        <v>-4.167936312968119E-3</v>
      </c>
    </row>
    <row r="1153" spans="2:9">
      <c r="B1153" s="21">
        <v>45986</v>
      </c>
      <c r="C1153">
        <v>418.86</v>
      </c>
      <c r="D1153">
        <v>413.98</v>
      </c>
      <c r="E1153" s="17">
        <f t="shared" si="34"/>
        <v>-8.3361280122645556E-3</v>
      </c>
      <c r="G1153" s="21">
        <v>45986</v>
      </c>
      <c r="H1153" s="12">
        <v>25884.80078125</v>
      </c>
      <c r="I1153" s="14">
        <f t="shared" si="35"/>
        <v>-2.8775291800689534E-3</v>
      </c>
    </row>
    <row r="1154" spans="2:9">
      <c r="B1154" s="21">
        <v>45987</v>
      </c>
      <c r="C1154">
        <v>415</v>
      </c>
      <c r="D1154">
        <v>420.76</v>
      </c>
      <c r="E1154" s="17">
        <f t="shared" si="34"/>
        <v>1.6377602782743059E-2</v>
      </c>
      <c r="G1154" s="21">
        <v>45987</v>
      </c>
      <c r="H1154" s="12">
        <v>26205.30078125</v>
      </c>
      <c r="I1154" s="15">
        <f t="shared" si="35"/>
        <v>1.2381783530362669E-2</v>
      </c>
    </row>
    <row r="1155" spans="2:9">
      <c r="B1155" s="21">
        <v>45988</v>
      </c>
      <c r="C1155">
        <v>420.8</v>
      </c>
      <c r="D1155">
        <v>422.04</v>
      </c>
      <c r="E1155" s="17">
        <f t="shared" si="34"/>
        <v>3.0421142694173151E-3</v>
      </c>
      <c r="G1155" s="21">
        <v>45988</v>
      </c>
      <c r="H1155" s="12">
        <v>26215.55078125</v>
      </c>
      <c r="I1155" s="14">
        <f t="shared" si="35"/>
        <v>3.9114223818922608E-4</v>
      </c>
    </row>
    <row r="1156" spans="2:9">
      <c r="B1156" s="21">
        <v>45989</v>
      </c>
      <c r="C1156">
        <v>423.8</v>
      </c>
      <c r="D1156">
        <v>424.88</v>
      </c>
      <c r="E1156" s="17">
        <f t="shared" si="34"/>
        <v>6.7292199791488365E-3</v>
      </c>
      <c r="G1156" s="21">
        <v>45989</v>
      </c>
      <c r="H1156" s="12">
        <v>26202.94921875</v>
      </c>
      <c r="I1156" s="15">
        <f t="shared" si="35"/>
        <v>-4.8069035837358583E-4</v>
      </c>
    </row>
    <row r="1157" spans="2:9">
      <c r="B1157" s="21">
        <v>45992</v>
      </c>
      <c r="C1157">
        <v>426.8</v>
      </c>
      <c r="D1157">
        <v>429.52</v>
      </c>
      <c r="E1157" s="17">
        <f t="shared" ref="E1157:E1220" si="36">(D1157-D1156)/D1156</f>
        <v>1.0920730559216689E-2</v>
      </c>
      <c r="G1157" s="21">
        <v>45992</v>
      </c>
      <c r="H1157" s="12">
        <v>26175.75</v>
      </c>
      <c r="I1157" s="14">
        <f t="shared" ref="I1157:I1220" si="37">(H1157-H1156)/H1156</f>
        <v>-1.0380212747402153E-3</v>
      </c>
    </row>
    <row r="1158" spans="2:9">
      <c r="B1158" s="21">
        <v>45993</v>
      </c>
      <c r="C1158">
        <v>428</v>
      </c>
      <c r="D1158">
        <v>428.48</v>
      </c>
      <c r="E1158" s="17">
        <f t="shared" si="36"/>
        <v>-2.4213075060531843E-3</v>
      </c>
      <c r="G1158" s="21">
        <v>45993</v>
      </c>
      <c r="H1158" s="12">
        <v>26032.19921875</v>
      </c>
      <c r="I1158" s="15">
        <f t="shared" si="37"/>
        <v>-5.4841133969418263E-3</v>
      </c>
    </row>
    <row r="1159" spans="2:9">
      <c r="B1159" s="21">
        <v>45994</v>
      </c>
      <c r="C1159">
        <v>427.02</v>
      </c>
      <c r="D1159">
        <v>429.22</v>
      </c>
      <c r="E1159" s="17">
        <f t="shared" si="36"/>
        <v>1.7270351008215298E-3</v>
      </c>
      <c r="G1159" s="21">
        <v>45994</v>
      </c>
      <c r="H1159" s="12">
        <v>25986</v>
      </c>
      <c r="I1159" s="14">
        <f t="shared" si="37"/>
        <v>-1.7746951904364832E-3</v>
      </c>
    </row>
    <row r="1160" spans="2:9">
      <c r="B1160" s="21">
        <v>45995</v>
      </c>
      <c r="C1160">
        <v>429.22</v>
      </c>
      <c r="D1160">
        <v>427.08</v>
      </c>
      <c r="E1160" s="17">
        <f t="shared" si="36"/>
        <v>-4.9857881738969365E-3</v>
      </c>
      <c r="G1160" s="21">
        <v>45995</v>
      </c>
      <c r="H1160" s="12">
        <v>26033.75</v>
      </c>
      <c r="I1160" s="15">
        <f t="shared" si="37"/>
        <v>1.8375278996382667E-3</v>
      </c>
    </row>
    <row r="1161" spans="2:9">
      <c r="B1161" s="21">
        <v>45996</v>
      </c>
      <c r="C1161">
        <v>427</v>
      </c>
      <c r="D1161">
        <v>430.98</v>
      </c>
      <c r="E1161" s="17">
        <f t="shared" si="36"/>
        <v>9.1317785894915095E-3</v>
      </c>
      <c r="G1161" s="21">
        <v>45996</v>
      </c>
      <c r="H1161" s="12">
        <v>26186.44921875</v>
      </c>
      <c r="I1161" s="14">
        <f t="shared" si="37"/>
        <v>5.8654330916598644E-3</v>
      </c>
    </row>
    <row r="1162" spans="2:9">
      <c r="B1162" s="21">
        <v>45999</v>
      </c>
      <c r="C1162">
        <v>431.74</v>
      </c>
      <c r="D1162">
        <v>426.32</v>
      </c>
      <c r="E1162" s="17">
        <f t="shared" si="36"/>
        <v>-1.0812566708432003E-2</v>
      </c>
      <c r="G1162" s="21">
        <v>45999</v>
      </c>
      <c r="H1162" s="12">
        <v>25960.55078125</v>
      </c>
      <c r="I1162" s="15">
        <f t="shared" si="37"/>
        <v>-8.6265394598918129E-3</v>
      </c>
    </row>
    <row r="1163" spans="2:9">
      <c r="B1163" s="21">
        <v>46000</v>
      </c>
      <c r="C1163">
        <v>424</v>
      </c>
      <c r="D1163">
        <v>425.54</v>
      </c>
      <c r="E1163" s="17">
        <f t="shared" si="36"/>
        <v>-1.8296115593919421E-3</v>
      </c>
      <c r="G1163" s="21">
        <v>46000</v>
      </c>
      <c r="H1163" s="12">
        <v>25839.650390625</v>
      </c>
      <c r="I1163" s="14">
        <f t="shared" si="37"/>
        <v>-4.6570811090926572E-3</v>
      </c>
    </row>
    <row r="1164" spans="2:9">
      <c r="B1164" s="21">
        <v>46001</v>
      </c>
      <c r="C1164">
        <v>426</v>
      </c>
      <c r="D1164">
        <v>425.9</v>
      </c>
      <c r="E1164" s="17">
        <f t="shared" si="36"/>
        <v>8.4598392630529865E-4</v>
      </c>
      <c r="G1164" s="21">
        <v>46001</v>
      </c>
      <c r="H1164" s="12">
        <v>25758</v>
      </c>
      <c r="I1164" s="15">
        <f t="shared" si="37"/>
        <v>-3.159887590995579E-3</v>
      </c>
    </row>
    <row r="1165" spans="2:9">
      <c r="B1165" s="21">
        <v>46002</v>
      </c>
      <c r="C1165">
        <v>425.9</v>
      </c>
      <c r="D1165">
        <v>436.04</v>
      </c>
      <c r="E1165" s="17">
        <f t="shared" si="36"/>
        <v>2.3808405729044479E-2</v>
      </c>
      <c r="G1165" s="21">
        <v>46002</v>
      </c>
      <c r="H1165" s="12">
        <v>25898.55078125</v>
      </c>
      <c r="I1165" s="14">
        <f t="shared" si="37"/>
        <v>5.4565875164997281E-3</v>
      </c>
    </row>
    <row r="1166" spans="2:9">
      <c r="B1166" s="21">
        <v>46003</v>
      </c>
      <c r="C1166">
        <v>436.34</v>
      </c>
      <c r="D1166">
        <v>435.32</v>
      </c>
      <c r="E1166" s="17">
        <f t="shared" si="36"/>
        <v>-1.651224658288293E-3</v>
      </c>
      <c r="G1166" s="21">
        <v>46003</v>
      </c>
      <c r="H1166" s="12">
        <v>26046.94921875</v>
      </c>
      <c r="I1166" s="15">
        <f t="shared" si="37"/>
        <v>5.7299900196514974E-3</v>
      </c>
    </row>
    <row r="1167" spans="2:9">
      <c r="B1167" s="21">
        <v>46006</v>
      </c>
      <c r="C1167">
        <v>433.42</v>
      </c>
      <c r="D1167">
        <v>436.26</v>
      </c>
      <c r="E1167" s="17">
        <f t="shared" si="36"/>
        <v>2.1593310668014281E-3</v>
      </c>
      <c r="G1167" s="21">
        <v>46006</v>
      </c>
      <c r="H1167" s="12">
        <v>26027.30078125</v>
      </c>
      <c r="I1167" s="14">
        <f t="shared" si="37"/>
        <v>-7.5434698071496196E-4</v>
      </c>
    </row>
    <row r="1168" spans="2:9">
      <c r="B1168" s="21">
        <v>46007</v>
      </c>
      <c r="C1168">
        <v>435.6</v>
      </c>
      <c r="D1168">
        <v>436.48</v>
      </c>
      <c r="E1168" s="17">
        <f t="shared" si="36"/>
        <v>5.0428643469496931E-4</v>
      </c>
      <c r="G1168" s="21">
        <v>46007</v>
      </c>
      <c r="H1168" s="12">
        <v>25860.099609375</v>
      </c>
      <c r="I1168" s="15">
        <f t="shared" si="37"/>
        <v>-6.4240688375742476E-3</v>
      </c>
    </row>
    <row r="1169" spans="2:9">
      <c r="B1169" s="21">
        <v>46008</v>
      </c>
      <c r="C1169">
        <v>437.6</v>
      </c>
      <c r="D1169">
        <v>434.64</v>
      </c>
      <c r="E1169" s="17">
        <f t="shared" si="36"/>
        <v>-4.2155425219942075E-3</v>
      </c>
      <c r="G1169" s="21">
        <v>46008</v>
      </c>
      <c r="H1169" s="12">
        <v>25818.55078125</v>
      </c>
      <c r="I1169" s="14">
        <f t="shared" si="37"/>
        <v>-1.6066770334456639E-3</v>
      </c>
    </row>
    <row r="1170" spans="2:9">
      <c r="B1170" s="21">
        <v>46009</v>
      </c>
      <c r="C1170">
        <v>434.64</v>
      </c>
      <c r="D1170">
        <v>432.92</v>
      </c>
      <c r="E1170" s="17">
        <f t="shared" si="36"/>
        <v>-3.9572979937418798E-3</v>
      </c>
      <c r="G1170" s="21">
        <v>46009</v>
      </c>
      <c r="H1170" s="12">
        <v>25815.55078125</v>
      </c>
      <c r="I1170" s="15">
        <f t="shared" si="37"/>
        <v>-1.1619552256893776E-4</v>
      </c>
    </row>
    <row r="1171" spans="2:9">
      <c r="B1171" s="21">
        <v>46010</v>
      </c>
      <c r="C1171">
        <v>433.7</v>
      </c>
      <c r="D1171">
        <v>431.9</v>
      </c>
      <c r="E1171" s="17">
        <f t="shared" si="36"/>
        <v>-2.3560935045736824E-3</v>
      </c>
      <c r="G1171" s="21">
        <v>46010</v>
      </c>
      <c r="H1171" s="12">
        <v>25966.400390625</v>
      </c>
      <c r="I1171" s="14">
        <f t="shared" si="37"/>
        <v>5.8433620360547577E-3</v>
      </c>
    </row>
    <row r="1172" spans="2:9">
      <c r="B1172" s="21">
        <v>46013</v>
      </c>
      <c r="C1172">
        <v>434</v>
      </c>
      <c r="D1172">
        <v>429.94</v>
      </c>
      <c r="E1172" s="17">
        <f t="shared" si="36"/>
        <v>-4.538087520259272E-3</v>
      </c>
      <c r="G1172" s="21">
        <v>46013</v>
      </c>
      <c r="H1172" s="12">
        <v>26172.400390625</v>
      </c>
      <c r="I1172" s="15">
        <f t="shared" si="37"/>
        <v>7.9333291061157232E-3</v>
      </c>
    </row>
    <row r="1173" spans="2:9">
      <c r="B1173" s="21">
        <v>46014</v>
      </c>
      <c r="C1173">
        <v>430.5</v>
      </c>
      <c r="D1173">
        <v>432.54</v>
      </c>
      <c r="E1173" s="17">
        <f t="shared" si="36"/>
        <v>6.0473554449458596E-3</v>
      </c>
      <c r="G1173" s="21">
        <v>46014</v>
      </c>
      <c r="H1173" s="12">
        <v>26177.150390625</v>
      </c>
      <c r="I1173" s="14">
        <f t="shared" si="37"/>
        <v>1.814888939916057E-4</v>
      </c>
    </row>
    <row r="1174" spans="2:9">
      <c r="B1174" s="21">
        <v>46015</v>
      </c>
      <c r="C1174">
        <v>433.6</v>
      </c>
      <c r="D1174">
        <v>432.74</v>
      </c>
      <c r="E1174" s="17">
        <f t="shared" si="36"/>
        <v>4.6238498173576694E-4</v>
      </c>
      <c r="G1174" s="21">
        <v>46015</v>
      </c>
      <c r="H1174" s="12">
        <v>26142.099609375</v>
      </c>
      <c r="I1174" s="15">
        <f t="shared" si="37"/>
        <v>-1.3389838361685454E-3</v>
      </c>
    </row>
    <row r="1175" spans="2:9">
      <c r="B1175" s="21">
        <v>46017</v>
      </c>
      <c r="C1175">
        <v>432.4</v>
      </c>
      <c r="D1175">
        <v>432.84</v>
      </c>
      <c r="E1175" s="17">
        <f t="shared" si="36"/>
        <v>2.3108564033823056E-4</v>
      </c>
      <c r="G1175" s="21">
        <v>46017</v>
      </c>
      <c r="H1175" s="12">
        <v>26042.30078125</v>
      </c>
      <c r="I1175" s="14">
        <f t="shared" si="37"/>
        <v>-3.8175521330050493E-3</v>
      </c>
    </row>
    <row r="1176" spans="2:9">
      <c r="B1176" s="21">
        <v>46020</v>
      </c>
      <c r="C1176">
        <v>434.12</v>
      </c>
      <c r="D1176">
        <v>431.72</v>
      </c>
      <c r="E1176" s="17">
        <f t="shared" si="36"/>
        <v>-2.5875612235466863E-3</v>
      </c>
      <c r="G1176" s="21">
        <v>46020</v>
      </c>
      <c r="H1176" s="12">
        <v>25942.099609375</v>
      </c>
      <c r="I1176" s="15">
        <f t="shared" si="37"/>
        <v>-3.8476313101775974E-3</v>
      </c>
    </row>
    <row r="1177" spans="2:9">
      <c r="B1177" s="21">
        <v>46021</v>
      </c>
      <c r="C1177">
        <v>431.94</v>
      </c>
      <c r="D1177">
        <v>430.54</v>
      </c>
      <c r="E1177" s="17">
        <f t="shared" si="36"/>
        <v>-2.7332530343741469E-3</v>
      </c>
      <c r="G1177" s="21">
        <v>46021</v>
      </c>
      <c r="H1177" s="12">
        <v>25938.849609375</v>
      </c>
      <c r="I1177" s="14">
        <f t="shared" si="37"/>
        <v>-1.2527898855285829E-4</v>
      </c>
    </row>
    <row r="1178" spans="2:9">
      <c r="B1178" s="21">
        <v>46022</v>
      </c>
      <c r="C1178">
        <v>431.6</v>
      </c>
      <c r="D1178">
        <v>440.22</v>
      </c>
      <c r="E1178" s="17">
        <f t="shared" si="36"/>
        <v>2.2483392948390409E-2</v>
      </c>
      <c r="G1178" s="21">
        <v>46022</v>
      </c>
      <c r="H1178" s="12">
        <v>26129.599609375</v>
      </c>
      <c r="I1178" s="15">
        <f t="shared" si="37"/>
        <v>7.353834224439075E-3</v>
      </c>
    </row>
    <row r="1179" spans="2:9">
      <c r="B1179" s="21">
        <v>46023</v>
      </c>
      <c r="C1179">
        <v>442</v>
      </c>
      <c r="D1179">
        <v>443.56</v>
      </c>
      <c r="E1179" s="17">
        <f t="shared" si="36"/>
        <v>7.5871155331424626E-3</v>
      </c>
      <c r="G1179" s="21">
        <v>46023</v>
      </c>
      <c r="H1179" s="12">
        <v>26146.55078125</v>
      </c>
      <c r="I1179" s="14">
        <f t="shared" si="37"/>
        <v>6.4873446698043217E-4</v>
      </c>
    </row>
    <row r="1180" spans="2:9">
      <c r="B1180" s="21">
        <v>46024</v>
      </c>
      <c r="C1180">
        <v>443.56</v>
      </c>
      <c r="D1180">
        <v>439.02</v>
      </c>
      <c r="E1180" s="17">
        <f t="shared" si="36"/>
        <v>-1.023536838308238E-2</v>
      </c>
      <c r="G1180" s="21">
        <v>46024</v>
      </c>
      <c r="H1180" s="12">
        <v>26328.55078125</v>
      </c>
      <c r="I1180" s="15">
        <f t="shared" si="37"/>
        <v>6.9607651702386052E-3</v>
      </c>
    </row>
    <row r="1181" spans="2:9">
      <c r="B1181" s="21">
        <v>46027</v>
      </c>
      <c r="C1181">
        <v>439.38</v>
      </c>
      <c r="D1181">
        <v>438.18</v>
      </c>
      <c r="E1181" s="17">
        <f t="shared" si="36"/>
        <v>-1.913352466857945E-3</v>
      </c>
      <c r="G1181" s="21">
        <v>46027</v>
      </c>
      <c r="H1181" s="12">
        <v>26250.30078125</v>
      </c>
      <c r="I1181" s="14">
        <f t="shared" si="37"/>
        <v>-2.9720587604740519E-3</v>
      </c>
    </row>
    <row r="1182" spans="2:9">
      <c r="B1182" s="21">
        <v>46028</v>
      </c>
      <c r="C1182">
        <v>440.42</v>
      </c>
      <c r="D1182">
        <v>429.28</v>
      </c>
      <c r="E1182" s="17">
        <f t="shared" si="36"/>
        <v>-2.0311287598703806E-2</v>
      </c>
      <c r="G1182" s="21">
        <v>46028</v>
      </c>
      <c r="H1182" s="12">
        <v>26178.69921875</v>
      </c>
      <c r="I1182" s="15">
        <f t="shared" si="37"/>
        <v>-2.7276473171363958E-3</v>
      </c>
    </row>
    <row r="1183" spans="2:9">
      <c r="B1183" s="21">
        <v>46029</v>
      </c>
      <c r="C1183">
        <v>429.28</v>
      </c>
      <c r="D1183">
        <v>428.8</v>
      </c>
      <c r="E1183" s="17">
        <f t="shared" si="36"/>
        <v>-1.1181513231456424E-3</v>
      </c>
      <c r="G1183" s="21">
        <v>46029</v>
      </c>
      <c r="H1183" s="12">
        <v>26140.75</v>
      </c>
      <c r="I1183" s="14">
        <f t="shared" si="37"/>
        <v>-1.4496220164682432E-3</v>
      </c>
    </row>
    <row r="1184" spans="2:9">
      <c r="B1184" s="21">
        <v>46030</v>
      </c>
      <c r="C1184">
        <v>428.02</v>
      </c>
      <c r="D1184">
        <v>426.6</v>
      </c>
      <c r="E1184" s="17">
        <f t="shared" si="36"/>
        <v>-5.1305970149253463E-3</v>
      </c>
      <c r="G1184" s="21">
        <v>46030</v>
      </c>
      <c r="H1184" s="12">
        <v>25876.849609375</v>
      </c>
      <c r="I1184" s="15">
        <f t="shared" si="37"/>
        <v>-1.0095364158449929E-2</v>
      </c>
    </row>
    <row r="1185" spans="2:9">
      <c r="B1185" s="21">
        <v>46031</v>
      </c>
      <c r="C1185">
        <v>426.6</v>
      </c>
      <c r="D1185">
        <v>425.36</v>
      </c>
      <c r="E1185" s="17">
        <f t="shared" si="36"/>
        <v>-2.9067041725269784E-3</v>
      </c>
      <c r="G1185" s="21">
        <v>46031</v>
      </c>
      <c r="H1185" s="12">
        <v>25683.30078125</v>
      </c>
      <c r="I1185" s="14">
        <f t="shared" si="37"/>
        <v>-7.4796132854935563E-3</v>
      </c>
    </row>
    <row r="1186" spans="2:9">
      <c r="B1186" s="21">
        <v>46034</v>
      </c>
      <c r="C1186">
        <v>425.36</v>
      </c>
      <c r="D1186">
        <v>426.66</v>
      </c>
      <c r="E1186" s="17">
        <f t="shared" si="36"/>
        <v>3.0562347188264325E-3</v>
      </c>
      <c r="G1186" s="21">
        <v>46034</v>
      </c>
      <c r="H1186" s="12">
        <v>25790.25</v>
      </c>
      <c r="I1186" s="15">
        <f t="shared" si="37"/>
        <v>4.1641539637334267E-3</v>
      </c>
    </row>
    <row r="1187" spans="2:9">
      <c r="B1187" s="21">
        <v>46035</v>
      </c>
      <c r="C1187">
        <v>425.38</v>
      </c>
      <c r="D1187">
        <v>426.52</v>
      </c>
      <c r="E1187" s="17">
        <f t="shared" si="36"/>
        <v>-3.2813012703333615E-4</v>
      </c>
      <c r="G1187" s="21">
        <v>46035</v>
      </c>
      <c r="H1187" s="12">
        <v>25732.30078125</v>
      </c>
      <c r="I1187" s="14">
        <f t="shared" si="37"/>
        <v>-2.2469428853927357E-3</v>
      </c>
    </row>
    <row r="1188" spans="2:9">
      <c r="B1188" s="21">
        <v>46036</v>
      </c>
      <c r="C1188">
        <v>426</v>
      </c>
      <c r="D1188">
        <v>421</v>
      </c>
      <c r="E1188" s="17">
        <f t="shared" si="36"/>
        <v>-1.2941948794898205E-2</v>
      </c>
      <c r="G1188" s="21">
        <v>46036</v>
      </c>
      <c r="H1188" s="12">
        <v>25665.599609375</v>
      </c>
      <c r="I1188" s="15">
        <f t="shared" si="37"/>
        <v>-2.5921184600641006E-3</v>
      </c>
    </row>
    <row r="1189" spans="2:9">
      <c r="B1189" s="21">
        <v>46038</v>
      </c>
      <c r="C1189">
        <v>424</v>
      </c>
      <c r="D1189">
        <v>418.2</v>
      </c>
      <c r="E1189" s="17">
        <f t="shared" si="36"/>
        <v>-6.6508313539192666E-3</v>
      </c>
      <c r="G1189" s="21">
        <v>46038</v>
      </c>
      <c r="H1189" s="12">
        <v>25694.349609375</v>
      </c>
      <c r="I1189" s="14">
        <f t="shared" si="37"/>
        <v>1.1201764399651254E-3</v>
      </c>
    </row>
    <row r="1190" spans="2:9">
      <c r="B1190" s="21">
        <v>46041</v>
      </c>
      <c r="C1190">
        <v>419</v>
      </c>
      <c r="D1190">
        <v>426.9</v>
      </c>
      <c r="E1190" s="17">
        <f t="shared" si="36"/>
        <v>2.0803443328550907E-2</v>
      </c>
      <c r="G1190" s="21">
        <v>46041</v>
      </c>
      <c r="H1190" s="12">
        <v>25585.5</v>
      </c>
      <c r="I1190" s="15">
        <f t="shared" si="37"/>
        <v>-4.2363247573810724E-3</v>
      </c>
    </row>
    <row r="1191" spans="2:9">
      <c r="B1191" s="21">
        <v>46042</v>
      </c>
      <c r="C1191">
        <v>428</v>
      </c>
      <c r="D1191">
        <v>423.8</v>
      </c>
      <c r="E1191" s="17">
        <f t="shared" si="36"/>
        <v>-7.2616537830872945E-3</v>
      </c>
      <c r="G1191" s="21">
        <v>46042</v>
      </c>
      <c r="H1191" s="12">
        <v>25232.5</v>
      </c>
      <c r="I1191" s="14">
        <f t="shared" si="37"/>
        <v>-1.3796877137441129E-2</v>
      </c>
    </row>
    <row r="1192" spans="2:9">
      <c r="B1192" s="21">
        <v>46043</v>
      </c>
      <c r="C1192">
        <v>422.1</v>
      </c>
      <c r="D1192">
        <v>421.6</v>
      </c>
      <c r="E1192" s="17">
        <f t="shared" si="36"/>
        <v>-5.1911278905143665E-3</v>
      </c>
      <c r="G1192" s="21">
        <v>46043</v>
      </c>
      <c r="H1192" s="12">
        <v>25157.5</v>
      </c>
      <c r="I1192" s="15">
        <f t="shared" si="37"/>
        <v>-2.9723570791637768E-3</v>
      </c>
    </row>
    <row r="1193" spans="2:9">
      <c r="B1193" s="21">
        <v>46044</v>
      </c>
      <c r="C1193">
        <v>423.8</v>
      </c>
      <c r="D1193">
        <v>426</v>
      </c>
      <c r="E1193" s="17">
        <f t="shared" si="36"/>
        <v>1.0436432637571103E-2</v>
      </c>
      <c r="G1193" s="21">
        <v>46044</v>
      </c>
      <c r="H1193" s="12">
        <v>25289.900390625</v>
      </c>
      <c r="I1193" s="14">
        <f t="shared" si="37"/>
        <v>5.2628596094603996E-3</v>
      </c>
    </row>
    <row r="1194" spans="2:9">
      <c r="B1194" s="21">
        <v>46045</v>
      </c>
      <c r="C1194">
        <v>429</v>
      </c>
      <c r="D1194">
        <v>422.8</v>
      </c>
      <c r="E1194" s="17">
        <f t="shared" si="36"/>
        <v>-7.5117370892018509E-3</v>
      </c>
      <c r="G1194" s="21">
        <v>46045</v>
      </c>
      <c r="H1194" s="12">
        <v>25048.650390625</v>
      </c>
      <c r="I1194" s="15">
        <f t="shared" si="37"/>
        <v>-9.5393811867061241E-3</v>
      </c>
    </row>
    <row r="1195" spans="2:9">
      <c r="B1195" s="21">
        <v>46049</v>
      </c>
      <c r="C1195">
        <v>415</v>
      </c>
      <c r="D1195">
        <v>408.7</v>
      </c>
      <c r="E1195" s="17">
        <f t="shared" si="36"/>
        <v>-3.3349101229895983E-2</v>
      </c>
      <c r="G1195" s="21">
        <v>46049</v>
      </c>
      <c r="H1195" s="12">
        <v>25175.400390625</v>
      </c>
      <c r="I1195" s="14">
        <f t="shared" si="37"/>
        <v>5.0601528634628126E-3</v>
      </c>
    </row>
    <row r="1196" spans="2:9">
      <c r="B1196" s="21">
        <v>46050</v>
      </c>
      <c r="C1196">
        <v>409.3</v>
      </c>
      <c r="D1196">
        <v>412.4</v>
      </c>
      <c r="E1196" s="17">
        <f t="shared" si="36"/>
        <v>9.053095179838485E-3</v>
      </c>
      <c r="G1196" s="21">
        <v>46050</v>
      </c>
      <c r="H1196" s="12">
        <v>25342.75</v>
      </c>
      <c r="I1196" s="15">
        <f t="shared" si="37"/>
        <v>6.6473464881741809E-3</v>
      </c>
    </row>
    <row r="1197" spans="2:9">
      <c r="B1197" s="21">
        <v>46051</v>
      </c>
      <c r="C1197">
        <v>407</v>
      </c>
      <c r="D1197">
        <v>412.4</v>
      </c>
      <c r="E1197" s="17">
        <f t="shared" si="36"/>
        <v>0</v>
      </c>
      <c r="G1197" s="21">
        <v>46051</v>
      </c>
      <c r="H1197" s="12">
        <v>25418.900390625</v>
      </c>
      <c r="I1197" s="14">
        <f t="shared" si="37"/>
        <v>3.004819548983437E-3</v>
      </c>
    </row>
    <row r="1198" spans="2:9">
      <c r="B1198" s="21">
        <v>46052</v>
      </c>
      <c r="C1198">
        <v>410</v>
      </c>
      <c r="D1198">
        <v>408</v>
      </c>
      <c r="E1198" s="17">
        <f t="shared" si="36"/>
        <v>-1.0669253152279286E-2</v>
      </c>
      <c r="G1198" s="21">
        <v>46052</v>
      </c>
      <c r="H1198" s="12">
        <v>25320.650390625</v>
      </c>
      <c r="I1198" s="15">
        <f t="shared" si="37"/>
        <v>-3.8652340774047241E-3</v>
      </c>
    </row>
    <row r="1199" spans="2:9">
      <c r="B1199" s="21">
        <v>46055</v>
      </c>
      <c r="C1199">
        <v>408.7</v>
      </c>
      <c r="D1199">
        <v>408.2</v>
      </c>
      <c r="E1199" s="17">
        <f t="shared" si="36"/>
        <v>4.9019607843134468E-4</v>
      </c>
      <c r="G1199" s="21">
        <v>46055</v>
      </c>
      <c r="H1199" s="12">
        <v>25088.400390625</v>
      </c>
      <c r="I1199" s="14">
        <f t="shared" si="37"/>
        <v>-9.1723552285209401E-3</v>
      </c>
    </row>
    <row r="1200" spans="2:9">
      <c r="B1200" s="21">
        <v>46056</v>
      </c>
      <c r="C1200">
        <v>415</v>
      </c>
      <c r="D1200">
        <v>415.8</v>
      </c>
      <c r="E1200" s="17">
        <f t="shared" si="36"/>
        <v>1.8618324350808485E-2</v>
      </c>
      <c r="G1200" s="21">
        <v>46056</v>
      </c>
      <c r="H1200" s="12">
        <v>25727.55078125</v>
      </c>
      <c r="I1200" s="15">
        <f t="shared" si="37"/>
        <v>2.5475932330218904E-2</v>
      </c>
    </row>
    <row r="1201" spans="2:9">
      <c r="B1201" s="21">
        <v>46057</v>
      </c>
      <c r="C1201">
        <v>416.7</v>
      </c>
      <c r="D1201">
        <v>412.35</v>
      </c>
      <c r="E1201" s="17">
        <f t="shared" si="36"/>
        <v>-8.2972582972582701E-3</v>
      </c>
      <c r="G1201" s="21">
        <v>46057</v>
      </c>
      <c r="H1201" s="12">
        <v>25776</v>
      </c>
      <c r="I1201" s="14">
        <f t="shared" si="37"/>
        <v>1.8831648283174059E-3</v>
      </c>
    </row>
    <row r="1202" spans="2:9">
      <c r="B1202" s="21">
        <v>46058</v>
      </c>
      <c r="C1202">
        <v>411</v>
      </c>
      <c r="D1202">
        <v>408.75</v>
      </c>
      <c r="E1202" s="17">
        <f t="shared" si="36"/>
        <v>-8.7304474354311205E-3</v>
      </c>
      <c r="G1202" s="21">
        <v>46058</v>
      </c>
      <c r="H1202" s="12">
        <v>25642.80078125</v>
      </c>
      <c r="I1202" s="15">
        <f t="shared" si="37"/>
        <v>-5.1675674561607694E-3</v>
      </c>
    </row>
    <row r="1203" spans="2:9">
      <c r="B1203" s="21">
        <v>46059</v>
      </c>
      <c r="C1203">
        <v>411</v>
      </c>
      <c r="D1203">
        <v>422.35</v>
      </c>
      <c r="E1203" s="17">
        <f t="shared" si="36"/>
        <v>3.3272171253822688E-2</v>
      </c>
      <c r="G1203" s="21">
        <v>46059</v>
      </c>
      <c r="H1203" s="12">
        <v>25693.69921875</v>
      </c>
      <c r="I1203" s="14">
        <f t="shared" si="37"/>
        <v>1.9849016468285676E-3</v>
      </c>
    </row>
    <row r="1204" spans="2:9">
      <c r="B1204" s="21">
        <v>46062</v>
      </c>
      <c r="C1204">
        <v>430</v>
      </c>
      <c r="D1204">
        <v>428.8</v>
      </c>
      <c r="E1204" s="17">
        <f t="shared" si="36"/>
        <v>1.5271694092577219E-2</v>
      </c>
      <c r="G1204" s="21">
        <v>46062</v>
      </c>
      <c r="H1204" s="12">
        <v>25867.30078125</v>
      </c>
      <c r="I1204" s="15">
        <f t="shared" si="37"/>
        <v>6.7565810988132885E-3</v>
      </c>
    </row>
    <row r="1205" spans="2:9">
      <c r="B1205" s="21">
        <v>46063</v>
      </c>
      <c r="C1205">
        <v>430.8</v>
      </c>
      <c r="D1205">
        <v>429.3</v>
      </c>
      <c r="E1205" s="17">
        <f t="shared" si="36"/>
        <v>1.1660447761194029E-3</v>
      </c>
      <c r="G1205" s="21">
        <v>46063</v>
      </c>
      <c r="H1205" s="12">
        <v>25935.150390625</v>
      </c>
      <c r="I1205" s="14">
        <f t="shared" si="37"/>
        <v>2.6229876069706129E-3</v>
      </c>
    </row>
    <row r="1206" spans="2:9">
      <c r="B1206" s="21">
        <v>46064</v>
      </c>
      <c r="C1206">
        <v>431.7</v>
      </c>
      <c r="D1206">
        <v>429.55</v>
      </c>
      <c r="E1206" s="17">
        <f t="shared" si="36"/>
        <v>5.8234334963894706E-4</v>
      </c>
      <c r="G1206" s="21">
        <v>46064</v>
      </c>
      <c r="H1206" s="12">
        <v>25953.849609375</v>
      </c>
      <c r="I1206" s="15">
        <f t="shared" si="37"/>
        <v>7.2099904833246569E-4</v>
      </c>
    </row>
    <row r="1207" spans="2:9">
      <c r="B1207" s="21">
        <v>46065</v>
      </c>
      <c r="C1207">
        <v>429.4</v>
      </c>
      <c r="D1207">
        <v>426.25</v>
      </c>
      <c r="E1207" s="17">
        <f t="shared" si="36"/>
        <v>-7.6824583866837654E-3</v>
      </c>
      <c r="G1207" s="21">
        <v>46065</v>
      </c>
      <c r="H1207" s="12">
        <v>25807.19921875</v>
      </c>
      <c r="I1207" s="14">
        <f t="shared" si="37"/>
        <v>-5.6504292362096155E-3</v>
      </c>
    </row>
    <row r="1208" spans="2:9">
      <c r="B1208" s="21">
        <v>46066</v>
      </c>
      <c r="C1208">
        <v>426</v>
      </c>
      <c r="D1208">
        <v>420.65</v>
      </c>
      <c r="E1208" s="17">
        <f t="shared" si="36"/>
        <v>-1.3137829912023514E-2</v>
      </c>
      <c r="G1208" s="21">
        <v>46066</v>
      </c>
      <c r="H1208" s="12">
        <v>25471.099609375</v>
      </c>
      <c r="I1208" s="15">
        <f t="shared" si="37"/>
        <v>-1.3023482576552116E-2</v>
      </c>
    </row>
    <row r="1209" spans="2:9">
      <c r="B1209" s="21">
        <v>46069</v>
      </c>
      <c r="C1209">
        <v>419</v>
      </c>
      <c r="D1209">
        <v>425.6</v>
      </c>
      <c r="E1209" s="17">
        <f t="shared" si="36"/>
        <v>1.1767502674432535E-2</v>
      </c>
      <c r="G1209" s="21">
        <v>46069</v>
      </c>
      <c r="H1209" s="12">
        <v>25682.75</v>
      </c>
      <c r="I1209" s="14">
        <f t="shared" si="37"/>
        <v>8.3094328030933959E-3</v>
      </c>
    </row>
    <row r="1210" spans="2:9">
      <c r="B1210" s="21">
        <v>46070</v>
      </c>
      <c r="C1210">
        <v>423.65</v>
      </c>
      <c r="D1210">
        <v>424.45</v>
      </c>
      <c r="E1210" s="17">
        <f t="shared" si="36"/>
        <v>-2.7020676691730124E-3</v>
      </c>
      <c r="G1210" s="21">
        <v>46070</v>
      </c>
      <c r="H1210" s="12">
        <v>25725.400390625</v>
      </c>
      <c r="I1210" s="15">
        <f t="shared" si="37"/>
        <v>1.6606629206373927E-3</v>
      </c>
    </row>
    <row r="1211" spans="2:9">
      <c r="B1211" s="21">
        <v>46071</v>
      </c>
      <c r="C1211">
        <v>425.7</v>
      </c>
      <c r="D1211">
        <v>426.35</v>
      </c>
      <c r="E1211" s="17">
        <f t="shared" si="36"/>
        <v>4.4763811991990442E-3</v>
      </c>
      <c r="G1211" s="21">
        <v>46071</v>
      </c>
      <c r="H1211" s="12">
        <v>25819.349609375</v>
      </c>
      <c r="I1211" s="14">
        <f t="shared" si="37"/>
        <v>3.6520021971839754E-3</v>
      </c>
    </row>
    <row r="1212" spans="2:9">
      <c r="B1212" s="21">
        <v>46072</v>
      </c>
      <c r="C1212">
        <v>425.7</v>
      </c>
      <c r="D1212">
        <v>416.4</v>
      </c>
      <c r="E1212" s="17">
        <f t="shared" si="36"/>
        <v>-2.3337633399789011E-2</v>
      </c>
      <c r="G1212" s="21">
        <v>46072</v>
      </c>
      <c r="H1212" s="12">
        <v>25454.349609375</v>
      </c>
      <c r="I1212" s="15">
        <f t="shared" si="37"/>
        <v>-1.4136684522350191E-2</v>
      </c>
    </row>
    <row r="1213" spans="2:9">
      <c r="B1213" s="21">
        <v>46073</v>
      </c>
      <c r="C1213">
        <v>415</v>
      </c>
      <c r="D1213">
        <v>421.35</v>
      </c>
      <c r="E1213" s="17">
        <f t="shared" si="36"/>
        <v>1.1887608069164375E-2</v>
      </c>
      <c r="G1213" s="21">
        <v>46073</v>
      </c>
      <c r="H1213" s="12">
        <v>25571.25</v>
      </c>
      <c r="I1213" s="14">
        <f t="shared" si="37"/>
        <v>4.5925506806877847E-3</v>
      </c>
    </row>
    <row r="1214" spans="2:9">
      <c r="B1214" s="21">
        <v>46076</v>
      </c>
      <c r="C1214">
        <v>423</v>
      </c>
      <c r="D1214">
        <v>430.7</v>
      </c>
      <c r="E1214" s="17">
        <f t="shared" si="36"/>
        <v>2.2190577904354965E-2</v>
      </c>
      <c r="G1214" s="21">
        <v>46076</v>
      </c>
      <c r="H1214" s="12">
        <v>25713</v>
      </c>
      <c r="I1214" s="15">
        <f t="shared" si="37"/>
        <v>5.5433347998240208E-3</v>
      </c>
    </row>
    <row r="1215" spans="2:9">
      <c r="B1215" s="21">
        <v>46077</v>
      </c>
      <c r="C1215">
        <v>430.9</v>
      </c>
      <c r="D1215">
        <v>427.7</v>
      </c>
      <c r="E1215" s="17">
        <f t="shared" si="36"/>
        <v>-6.9654051543998141E-3</v>
      </c>
      <c r="G1215" s="21">
        <v>46077</v>
      </c>
      <c r="H1215" s="12">
        <v>25424.650390625</v>
      </c>
      <c r="I1215" s="14">
        <f t="shared" si="37"/>
        <v>-1.1214156627970288E-2</v>
      </c>
    </row>
    <row r="1216" spans="2:9">
      <c r="B1216" s="21">
        <v>46078</v>
      </c>
      <c r="C1216">
        <v>425.5</v>
      </c>
      <c r="D1216">
        <v>424.95</v>
      </c>
      <c r="E1216" s="17">
        <f t="shared" si="36"/>
        <v>-6.429740472293664E-3</v>
      </c>
      <c r="G1216" s="21">
        <v>46078</v>
      </c>
      <c r="H1216" s="12">
        <v>25482.5</v>
      </c>
      <c r="I1216" s="15">
        <f t="shared" si="37"/>
        <v>2.2753354908011348E-3</v>
      </c>
    </row>
    <row r="1217" spans="2:9">
      <c r="B1217" s="21">
        <v>46079</v>
      </c>
      <c r="C1217">
        <v>426.7</v>
      </c>
      <c r="D1217">
        <v>424.55</v>
      </c>
      <c r="E1217" s="17">
        <f t="shared" si="36"/>
        <v>-9.4128721025997714E-4</v>
      </c>
      <c r="G1217" s="21">
        <v>46079</v>
      </c>
      <c r="H1217" s="12">
        <v>25496.55078125</v>
      </c>
      <c r="I1217" s="14">
        <f t="shared" si="37"/>
        <v>5.5138943392524285E-4</v>
      </c>
    </row>
    <row r="1218" spans="2:9">
      <c r="B1218" s="21">
        <v>46080</v>
      </c>
      <c r="C1218">
        <v>420.5</v>
      </c>
      <c r="D1218">
        <v>415.2</v>
      </c>
      <c r="E1218" s="17">
        <f t="shared" si="36"/>
        <v>-2.202331880814986E-2</v>
      </c>
      <c r="G1218" s="21">
        <v>46080</v>
      </c>
      <c r="H1218" s="12">
        <v>25178.650390625</v>
      </c>
      <c r="I1218" s="15">
        <f t="shared" si="37"/>
        <v>-1.2468368500212268E-2</v>
      </c>
    </row>
    <row r="1219" spans="2:9">
      <c r="B1219" s="21">
        <v>46083</v>
      </c>
      <c r="C1219">
        <v>410</v>
      </c>
      <c r="D1219">
        <v>413.1</v>
      </c>
      <c r="E1219" s="17">
        <f t="shared" si="36"/>
        <v>-5.0578034682080102E-3</v>
      </c>
      <c r="G1219" s="21">
        <v>46083</v>
      </c>
      <c r="H1219" s="12">
        <v>24865.69921875</v>
      </c>
      <c r="I1219" s="14">
        <f t="shared" si="37"/>
        <v>-1.2429227421638295E-2</v>
      </c>
    </row>
    <row r="1220" spans="2:9">
      <c r="B1220" s="21">
        <v>46085</v>
      </c>
      <c r="C1220">
        <v>405</v>
      </c>
      <c r="D1220">
        <v>403.35</v>
      </c>
      <c r="E1220" s="17">
        <f t="shared" si="36"/>
        <v>-2.3602033405954972E-2</v>
      </c>
      <c r="G1220" s="21">
        <v>46085</v>
      </c>
      <c r="H1220" s="12">
        <v>24480.5</v>
      </c>
      <c r="I1220" s="15">
        <f t="shared" si="37"/>
        <v>-1.5491187895474108E-2</v>
      </c>
    </row>
    <row r="1221" spans="2:9">
      <c r="B1221" s="21">
        <v>46086</v>
      </c>
      <c r="C1221">
        <v>403.6</v>
      </c>
      <c r="D1221">
        <v>407.3</v>
      </c>
      <c r="E1221" s="17">
        <f t="shared" ref="E1221:E1237" si="38">(D1221-D1220)/D1220</f>
        <v>9.7929837610015828E-3</v>
      </c>
      <c r="G1221" s="21">
        <v>46086</v>
      </c>
      <c r="H1221" s="12">
        <v>24765.900390625</v>
      </c>
      <c r="I1221" s="14">
        <f t="shared" ref="I1221:I1237" si="39">(H1221-H1220)/H1220</f>
        <v>1.165827457057658E-2</v>
      </c>
    </row>
    <row r="1222" spans="2:9">
      <c r="B1222" s="21">
        <v>46087</v>
      </c>
      <c r="C1222">
        <v>403.7</v>
      </c>
      <c r="D1222">
        <v>399.8</v>
      </c>
      <c r="E1222" s="17">
        <f t="shared" si="38"/>
        <v>-1.8413945494721334E-2</v>
      </c>
      <c r="G1222" s="21">
        <v>46087</v>
      </c>
      <c r="H1222" s="12">
        <v>24450.44921875</v>
      </c>
      <c r="I1222" s="15">
        <f t="shared" si="39"/>
        <v>-1.273731893044407E-2</v>
      </c>
    </row>
    <row r="1223" spans="2:9">
      <c r="B1223" s="21">
        <v>46090</v>
      </c>
      <c r="C1223">
        <v>390</v>
      </c>
      <c r="D1223">
        <v>386.35</v>
      </c>
      <c r="E1223" s="17">
        <f t="shared" si="38"/>
        <v>-3.36418209104552E-2</v>
      </c>
      <c r="G1223" s="21">
        <v>46090</v>
      </c>
      <c r="H1223" s="12">
        <v>24028.05078125</v>
      </c>
      <c r="I1223" s="14">
        <f t="shared" si="39"/>
        <v>-1.7275692308183883E-2</v>
      </c>
    </row>
    <row r="1224" spans="2:9">
      <c r="B1224" s="21">
        <v>46091</v>
      </c>
      <c r="C1224">
        <v>390.5</v>
      </c>
      <c r="D1224">
        <v>391.85</v>
      </c>
      <c r="E1224" s="17">
        <f t="shared" si="38"/>
        <v>1.4235796557525559E-2</v>
      </c>
      <c r="G1224" s="21">
        <v>46091</v>
      </c>
      <c r="H1224" s="12">
        <v>24261.599609375</v>
      </c>
      <c r="I1224" s="15">
        <f t="shared" si="39"/>
        <v>9.7198407915488096E-3</v>
      </c>
    </row>
    <row r="1225" spans="2:9">
      <c r="B1225" s="21">
        <v>46092</v>
      </c>
      <c r="C1225">
        <v>388.85</v>
      </c>
      <c r="D1225">
        <v>383.2</v>
      </c>
      <c r="E1225" s="17">
        <f t="shared" si="38"/>
        <v>-2.2074773510271872E-2</v>
      </c>
      <c r="G1225" s="21">
        <v>46092</v>
      </c>
      <c r="H1225" s="12">
        <v>23866.849609375</v>
      </c>
      <c r="I1225" s="14">
        <f t="shared" si="39"/>
        <v>-1.6270567743087452E-2</v>
      </c>
    </row>
    <row r="1226" spans="2:9">
      <c r="B1226" s="21">
        <v>46093</v>
      </c>
      <c r="C1226">
        <v>377</v>
      </c>
      <c r="D1226">
        <v>375.3</v>
      </c>
      <c r="E1226" s="17">
        <f t="shared" si="38"/>
        <v>-2.061586638830892E-2</v>
      </c>
      <c r="G1226" s="21">
        <v>46093</v>
      </c>
      <c r="H1226" s="12">
        <v>23639.150390625</v>
      </c>
      <c r="I1226" s="15">
        <f t="shared" si="39"/>
        <v>-9.5403969303329752E-3</v>
      </c>
    </row>
    <row r="1227" spans="2:9">
      <c r="B1227" s="21">
        <v>46094</v>
      </c>
      <c r="C1227">
        <v>373</v>
      </c>
      <c r="D1227">
        <v>366.85</v>
      </c>
      <c r="E1227" s="17">
        <f t="shared" si="38"/>
        <v>-2.2515321076472125E-2</v>
      </c>
      <c r="G1227" s="21">
        <v>46094</v>
      </c>
      <c r="H1227" s="12">
        <v>23151.099609375</v>
      </c>
      <c r="I1227" s="14">
        <f t="shared" si="39"/>
        <v>-2.0645868112229408E-2</v>
      </c>
    </row>
    <row r="1228" spans="2:9">
      <c r="B1228" s="21">
        <v>46097</v>
      </c>
      <c r="C1228">
        <v>366.85</v>
      </c>
      <c r="D1228">
        <v>369.85</v>
      </c>
      <c r="E1228" s="17">
        <f t="shared" si="38"/>
        <v>8.1777293171596023E-3</v>
      </c>
      <c r="G1228" s="21">
        <v>46097</v>
      </c>
      <c r="H1228" s="12">
        <v>23408.80078125</v>
      </c>
      <c r="I1228" s="15">
        <f t="shared" si="39"/>
        <v>1.1131271353117254E-2</v>
      </c>
    </row>
    <row r="1229" spans="2:9">
      <c r="B1229" s="21">
        <v>46098</v>
      </c>
      <c r="C1229">
        <v>369.85</v>
      </c>
      <c r="D1229">
        <v>374.2</v>
      </c>
      <c r="E1229" s="17">
        <f t="shared" si="38"/>
        <v>1.1761524942544182E-2</v>
      </c>
      <c r="G1229" s="21">
        <v>46098</v>
      </c>
      <c r="H1229" s="12">
        <v>23581.150390625</v>
      </c>
      <c r="I1229" s="14">
        <f t="shared" si="39"/>
        <v>7.3625988356075351E-3</v>
      </c>
    </row>
    <row r="1230" spans="2:9">
      <c r="B1230" s="21">
        <v>46099</v>
      </c>
      <c r="C1230">
        <v>375</v>
      </c>
      <c r="D1230">
        <v>375.4</v>
      </c>
      <c r="E1230" s="17">
        <f t="shared" si="38"/>
        <v>3.2068412613575326E-3</v>
      </c>
      <c r="G1230" s="21">
        <v>46099</v>
      </c>
      <c r="H1230" s="12">
        <v>23777.80078125</v>
      </c>
      <c r="I1230" s="15">
        <f t="shared" si="39"/>
        <v>8.339304375208979E-3</v>
      </c>
    </row>
    <row r="1231" spans="2:9">
      <c r="B1231" s="21">
        <v>46100</v>
      </c>
      <c r="C1231">
        <v>366.15</v>
      </c>
      <c r="D1231">
        <v>368.15</v>
      </c>
      <c r="E1231" s="17">
        <f t="shared" si="38"/>
        <v>-1.9312733084709644E-2</v>
      </c>
      <c r="G1231" s="21">
        <v>46100</v>
      </c>
      <c r="H1231" s="12">
        <v>23002.150390625</v>
      </c>
      <c r="I1231" s="14">
        <f t="shared" si="39"/>
        <v>-3.2620779262169594E-2</v>
      </c>
    </row>
    <row r="1232" spans="2:9">
      <c r="B1232" s="21">
        <v>46101</v>
      </c>
      <c r="C1232">
        <v>368.6</v>
      </c>
      <c r="D1232">
        <v>366.75</v>
      </c>
      <c r="E1232" s="17">
        <f t="shared" si="38"/>
        <v>-3.8027977726469574E-3</v>
      </c>
      <c r="G1232" s="21">
        <v>46101</v>
      </c>
      <c r="H1232" s="12">
        <v>23114.5</v>
      </c>
      <c r="I1232" s="15">
        <f t="shared" si="39"/>
        <v>4.8843089653387538E-3</v>
      </c>
    </row>
    <row r="1233" spans="2:9">
      <c r="B1233" s="21">
        <v>46104</v>
      </c>
      <c r="C1233">
        <v>364.85</v>
      </c>
      <c r="D1233">
        <v>356.55</v>
      </c>
      <c r="E1233" s="17">
        <f t="shared" si="38"/>
        <v>-2.7811860940695265E-2</v>
      </c>
      <c r="G1233" s="21">
        <v>46104</v>
      </c>
      <c r="H1233" s="12">
        <v>22512.650390625</v>
      </c>
      <c r="I1233" s="14">
        <f t="shared" si="39"/>
        <v>-2.6037751600726817E-2</v>
      </c>
    </row>
    <row r="1234" spans="2:9">
      <c r="B1234" s="21">
        <v>46105</v>
      </c>
      <c r="C1234">
        <v>363</v>
      </c>
      <c r="D1234">
        <v>366.85</v>
      </c>
      <c r="E1234" s="17">
        <f t="shared" si="38"/>
        <v>2.8887954003646084E-2</v>
      </c>
      <c r="G1234" s="21">
        <v>46105</v>
      </c>
      <c r="H1234" s="12">
        <v>22912.400390625</v>
      </c>
      <c r="I1234" s="15">
        <f t="shared" si="39"/>
        <v>1.7756683156527359E-2</v>
      </c>
    </row>
    <row r="1235" spans="2:9">
      <c r="B1235" s="21">
        <v>46106</v>
      </c>
      <c r="C1235">
        <v>368.95</v>
      </c>
      <c r="D1235">
        <v>371.1</v>
      </c>
      <c r="E1235" s="17">
        <f t="shared" si="38"/>
        <v>1.158511653264277E-2</v>
      </c>
      <c r="G1235" s="21">
        <v>46106</v>
      </c>
      <c r="H1235" s="12">
        <v>23306.44921875</v>
      </c>
      <c r="I1235" s="14">
        <f t="shared" si="39"/>
        <v>1.719805962740734E-2</v>
      </c>
    </row>
    <row r="1236" spans="2:9">
      <c r="B1236" s="21">
        <v>46108</v>
      </c>
      <c r="C1236">
        <v>367.55</v>
      </c>
      <c r="D1236">
        <v>366.15</v>
      </c>
      <c r="E1236" s="17">
        <f t="shared" si="38"/>
        <v>-1.3338722716249111E-2</v>
      </c>
      <c r="G1236" s="21">
        <v>46108</v>
      </c>
      <c r="H1236" s="12">
        <v>22819.599609375</v>
      </c>
      <c r="I1236" s="15">
        <f t="shared" si="39"/>
        <v>-2.0889051129389984E-2</v>
      </c>
    </row>
    <row r="1237" spans="2:9">
      <c r="B1237" s="21">
        <v>46111</v>
      </c>
      <c r="C1237">
        <v>361</v>
      </c>
      <c r="D1237">
        <v>353.4</v>
      </c>
      <c r="E1237" s="17">
        <f t="shared" si="38"/>
        <v>-3.4821794346579275E-2</v>
      </c>
      <c r="G1237" s="21">
        <v>46111</v>
      </c>
      <c r="H1237" s="12">
        <v>22331.400390625</v>
      </c>
      <c r="I1237" s="14">
        <f t="shared" si="39"/>
        <v>-2.1393855593742871E-2</v>
      </c>
    </row>
  </sheetData>
  <mergeCells count="2">
    <mergeCell ref="G2:I2"/>
    <mergeCell ref="B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B1:M25"/>
  <sheetViews>
    <sheetView showGridLines="0" workbookViewId="0">
      <selection activeCell="C15" sqref="C15"/>
    </sheetView>
  </sheetViews>
  <sheetFormatPr defaultColWidth="8.6640625" defaultRowHeight="14.4"/>
  <cols>
    <col min="1" max="1" width="1.88671875" customWidth="1"/>
    <col min="2" max="2" width="32.33203125" bestFit="1" customWidth="1"/>
    <col min="3" max="3" width="9.109375" bestFit="1" customWidth="1"/>
    <col min="4" max="4" width="6.21875" bestFit="1" customWidth="1"/>
    <col min="5" max="5" width="20.77734375" bestFit="1" customWidth="1"/>
    <col min="6" max="6" width="6.21875" bestFit="1" customWidth="1"/>
    <col min="9" max="9" width="1.5546875" bestFit="1" customWidth="1"/>
  </cols>
  <sheetData>
    <row r="1" spans="2:13" ht="17.399999999999999" customHeight="1">
      <c r="B1" s="56" t="s">
        <v>105</v>
      </c>
      <c r="C1" s="22"/>
      <c r="D1" s="22"/>
      <c r="E1" s="22"/>
      <c r="F1" s="22"/>
      <c r="G1" s="22"/>
      <c r="H1" s="22"/>
      <c r="I1" s="22"/>
      <c r="J1" s="22"/>
      <c r="K1" s="22"/>
      <c r="L1" s="22"/>
      <c r="M1" s="22"/>
    </row>
    <row r="2" spans="2:13" ht="15.6" customHeight="1">
      <c r="B2" s="23"/>
      <c r="C2" s="23"/>
      <c r="D2" s="23"/>
    </row>
    <row r="4" spans="2:13" ht="19.5" customHeight="1">
      <c r="B4" s="164" t="s">
        <v>106</v>
      </c>
      <c r="C4" s="163"/>
      <c r="D4" s="24"/>
      <c r="E4" s="24"/>
      <c r="F4" s="24"/>
    </row>
    <row r="5" spans="2:13" ht="15.75" customHeight="1">
      <c r="B5" s="25" t="s">
        <v>107</v>
      </c>
      <c r="C5" s="26">
        <f>'Consolidated FS'!P8</f>
        <v>97622.03</v>
      </c>
    </row>
    <row r="6" spans="2:13" ht="15.75" customHeight="1">
      <c r="B6" s="25" t="s">
        <v>108</v>
      </c>
      <c r="C6" s="26">
        <f>SUM('Consolidated FS'!P4:P6)</f>
        <v>157489.35</v>
      </c>
    </row>
    <row r="7" spans="2:13" ht="15.75" customHeight="1">
      <c r="B7" s="27" t="s">
        <v>109</v>
      </c>
      <c r="C7" s="28">
        <f>SUM(C5:C6)</f>
        <v>255111.38</v>
      </c>
    </row>
    <row r="8" spans="2:13" ht="15.75" customHeight="1">
      <c r="B8" s="29" t="s">
        <v>110</v>
      </c>
      <c r="C8" s="30">
        <f>C5/C7</f>
        <v>0.38266434841127039</v>
      </c>
    </row>
    <row r="9" spans="2:13" ht="15.75" customHeight="1">
      <c r="B9" s="29" t="s">
        <v>111</v>
      </c>
      <c r="C9" s="30">
        <f>C6/C7</f>
        <v>0.61733565158872961</v>
      </c>
      <c r="I9" s="31" t="s">
        <v>74</v>
      </c>
    </row>
    <row r="10" spans="2:13" ht="15.75" customHeight="1">
      <c r="B10" s="32" t="s">
        <v>112</v>
      </c>
      <c r="C10" s="33">
        <f>C5/C6</f>
        <v>0.61986432733387997</v>
      </c>
    </row>
    <row r="11" spans="2:13" ht="15.75" customHeight="1">
      <c r="B11" s="34"/>
      <c r="C11" s="35"/>
    </row>
    <row r="12" spans="2:13" ht="15.75" customHeight="1">
      <c r="B12" s="34"/>
      <c r="C12" s="35"/>
    </row>
    <row r="14" spans="2:13" ht="19.5" customHeight="1">
      <c r="B14" s="162" t="s">
        <v>113</v>
      </c>
      <c r="C14" s="163"/>
      <c r="E14" s="165" t="s">
        <v>114</v>
      </c>
      <c r="F14" s="166"/>
    </row>
    <row r="15" spans="2:13" ht="15.75" customHeight="1">
      <c r="B15" s="29" t="s">
        <v>115</v>
      </c>
      <c r="C15" s="36">
        <v>6.6000000000000003E-2</v>
      </c>
      <c r="E15" s="37"/>
      <c r="F15" s="38"/>
    </row>
    <row r="16" spans="2:13" ht="15.75" customHeight="1">
      <c r="B16" s="29" t="s">
        <v>116</v>
      </c>
      <c r="C16" s="39">
        <f>'BETA '!L5</f>
        <v>0.97558336408292434</v>
      </c>
      <c r="E16" s="29" t="s">
        <v>117</v>
      </c>
      <c r="F16" s="40">
        <f>'Consolidated FS'!G9/(AVERAGE(SUM('Consolidated FS'!O7:O8),SUM('Consolidated FS'!P7:P8)))</f>
        <v>5.0821338018521157E-2</v>
      </c>
    </row>
    <row r="17" spans="2:6" ht="15.75" customHeight="1">
      <c r="B17" s="41" t="s">
        <v>118</v>
      </c>
      <c r="C17" s="36">
        <v>7.0000000000000007E-2</v>
      </c>
      <c r="E17" s="41" t="s">
        <v>119</v>
      </c>
      <c r="F17" s="36">
        <v>0.25</v>
      </c>
    </row>
    <row r="18" spans="2:6" ht="15.75" customHeight="1">
      <c r="B18" s="42" t="s">
        <v>120</v>
      </c>
      <c r="C18" s="43">
        <f>C15+C16*C17</f>
        <v>0.13429083548580473</v>
      </c>
      <c r="E18" s="44" t="s">
        <v>121</v>
      </c>
      <c r="F18" s="45">
        <f>F16*(1-F17)</f>
        <v>3.811600351389087E-2</v>
      </c>
    </row>
    <row r="19" spans="2:6" ht="15.75" customHeight="1">
      <c r="B19" s="34"/>
      <c r="C19" s="35"/>
      <c r="E19" s="34"/>
      <c r="F19" s="35"/>
    </row>
    <row r="20" spans="2:6" ht="15.75" customHeight="1">
      <c r="B20" s="34"/>
      <c r="C20" s="35"/>
      <c r="E20" s="34"/>
      <c r="F20" s="35"/>
    </row>
    <row r="21" spans="2:6" ht="19.5" customHeight="1">
      <c r="B21" s="167" t="s">
        <v>122</v>
      </c>
      <c r="C21" s="168"/>
      <c r="D21" s="168"/>
      <c r="E21" s="166"/>
      <c r="F21" s="46"/>
    </row>
    <row r="22" spans="2:6">
      <c r="B22" s="47" t="s">
        <v>123</v>
      </c>
      <c r="C22" s="48" t="s">
        <v>124</v>
      </c>
      <c r="D22" s="48" t="s">
        <v>125</v>
      </c>
      <c r="E22" s="49" t="s">
        <v>126</v>
      </c>
      <c r="F22" s="50"/>
    </row>
    <row r="23" spans="2:6" ht="15.75" customHeight="1">
      <c r="B23" s="37" t="s">
        <v>127</v>
      </c>
      <c r="C23" s="30">
        <f>C8</f>
        <v>0.38266434841127039</v>
      </c>
      <c r="D23" s="30">
        <f>F18</f>
        <v>3.811600351389087E-2</v>
      </c>
      <c r="E23" s="30">
        <f>C23*D23</f>
        <v>1.4585635648684743E-2</v>
      </c>
      <c r="F23" s="35"/>
    </row>
    <row r="24" spans="2:6" ht="15" customHeight="1" thickBot="1">
      <c r="B24" s="37" t="s">
        <v>128</v>
      </c>
      <c r="C24" s="30">
        <f>C9</f>
        <v>0.61733565158872961</v>
      </c>
      <c r="D24" s="30">
        <f>C18</f>
        <v>0.13429083548580473</v>
      </c>
      <c r="E24" s="30">
        <f>C24*D24</f>
        <v>8.2902520427024159E-2</v>
      </c>
      <c r="F24" s="35"/>
    </row>
    <row r="25" spans="2:6" ht="15" customHeight="1" thickBot="1">
      <c r="B25" s="51" t="s">
        <v>122</v>
      </c>
      <c r="C25" s="52"/>
      <c r="D25" s="53"/>
      <c r="E25" s="54">
        <f>SUM(E23:E24)</f>
        <v>9.7488156075708904E-2</v>
      </c>
      <c r="F25" s="55"/>
    </row>
  </sheetData>
  <mergeCells count="4">
    <mergeCell ref="B14:C14"/>
    <mergeCell ref="B4:C4"/>
    <mergeCell ref="E14:F14"/>
    <mergeCell ref="B21:E2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82FB-B197-46A7-8486-08BF3B5E7F6C}">
  <sheetPr codeName="Sheet7"/>
  <dimension ref="B2:Q30"/>
  <sheetViews>
    <sheetView showGridLines="0" topLeftCell="B2" workbookViewId="0">
      <selection activeCell="D103" sqref="D103"/>
    </sheetView>
  </sheetViews>
  <sheetFormatPr defaultColWidth="8.6640625" defaultRowHeight="14.4"/>
  <cols>
    <col min="1" max="1" width="1.88671875" style="12" customWidth="1"/>
    <col min="2" max="2" width="31.5546875" style="12" bestFit="1" customWidth="1"/>
    <col min="3" max="3" width="12" style="12" customWidth="1"/>
    <col min="4" max="4" width="10.33203125" style="12" customWidth="1"/>
    <col min="5" max="5" width="11.33203125" style="12" customWidth="1"/>
    <col min="6" max="6" width="12" style="12" bestFit="1" customWidth="1"/>
    <col min="7" max="7" width="9.77734375" style="12" bestFit="1" customWidth="1"/>
    <col min="8" max="8" width="10.21875" style="12" bestFit="1" customWidth="1"/>
    <col min="9" max="9" width="8.6640625" style="12"/>
    <col min="10" max="11" width="11.109375" style="12" bestFit="1" customWidth="1"/>
    <col min="12" max="12" width="10" style="12" bestFit="1" customWidth="1"/>
    <col min="13" max="13" width="4.5546875" style="12" bestFit="1" customWidth="1"/>
    <col min="14" max="14" width="8.6640625" style="12"/>
    <col min="15" max="15" width="12" style="12" bestFit="1" customWidth="1"/>
    <col min="16" max="16" width="10.21875" style="12" bestFit="1" customWidth="1"/>
    <col min="17" max="17" width="9.5546875" style="12" bestFit="1" customWidth="1"/>
    <col min="18" max="16384" width="8.6640625" style="12"/>
  </cols>
  <sheetData>
    <row r="2" spans="2:17" ht="15.6">
      <c r="B2" s="96" t="s">
        <v>186</v>
      </c>
      <c r="C2" s="96"/>
      <c r="D2" s="97"/>
      <c r="E2" s="97"/>
      <c r="F2" s="97"/>
      <c r="G2" s="97"/>
      <c r="H2" s="97"/>
      <c r="I2" s="98"/>
      <c r="J2" s="98"/>
      <c r="K2" s="98"/>
      <c r="L2" s="98"/>
      <c r="M2" s="98"/>
      <c r="N2" s="98"/>
      <c r="O2" s="98"/>
      <c r="P2" s="98"/>
      <c r="Q2" s="98"/>
    </row>
    <row r="4" spans="2:17" ht="14.25" customHeight="1">
      <c r="B4" s="99" t="s">
        <v>187</v>
      </c>
    </row>
    <row r="5" spans="2:17" ht="14.25" customHeight="1">
      <c r="B5" s="132" t="s">
        <v>188</v>
      </c>
      <c r="C5" s="133"/>
      <c r="D5" s="133"/>
      <c r="E5" s="133"/>
      <c r="F5" s="133"/>
      <c r="G5" s="133"/>
      <c r="H5" s="133"/>
      <c r="I5" s="133"/>
      <c r="J5" s="133"/>
      <c r="K5" s="133"/>
      <c r="L5" s="133"/>
      <c r="M5" s="133"/>
      <c r="N5" s="133"/>
      <c r="O5" s="133"/>
      <c r="P5" s="133"/>
      <c r="Q5" s="133"/>
    </row>
    <row r="7" spans="2:17" ht="14.25" customHeight="1">
      <c r="B7" s="134" t="s">
        <v>189</v>
      </c>
      <c r="C7" s="136" t="s">
        <v>190</v>
      </c>
      <c r="D7" s="137"/>
      <c r="E7" s="137"/>
      <c r="F7" s="137"/>
      <c r="G7" s="137"/>
      <c r="H7" s="137"/>
      <c r="I7" s="138"/>
      <c r="J7" s="140" t="s">
        <v>191</v>
      </c>
      <c r="K7" s="137"/>
      <c r="L7" s="137"/>
      <c r="M7" s="137"/>
      <c r="N7" s="141"/>
      <c r="O7" s="141" t="s">
        <v>192</v>
      </c>
      <c r="P7" s="137"/>
      <c r="Q7" s="143"/>
    </row>
    <row r="8" spans="2:17" ht="29.4" thickBot="1">
      <c r="B8" s="135"/>
      <c r="C8" s="100" t="s">
        <v>193</v>
      </c>
      <c r="D8" s="100" t="s">
        <v>194</v>
      </c>
      <c r="E8" s="100" t="s">
        <v>195</v>
      </c>
      <c r="F8" s="100" t="s">
        <v>196</v>
      </c>
      <c r="G8" s="100" t="s">
        <v>197</v>
      </c>
      <c r="H8" s="101" t="s">
        <v>198</v>
      </c>
      <c r="I8" s="139"/>
      <c r="J8" s="103" t="s">
        <v>199</v>
      </c>
      <c r="K8" s="103" t="s">
        <v>200</v>
      </c>
      <c r="L8" s="103" t="s">
        <v>201</v>
      </c>
      <c r="M8" s="104" t="s">
        <v>202</v>
      </c>
      <c r="N8" s="142"/>
      <c r="O8" s="105" t="s">
        <v>203</v>
      </c>
      <c r="P8" s="103" t="s">
        <v>204</v>
      </c>
      <c r="Q8" s="104" t="s">
        <v>205</v>
      </c>
    </row>
    <row r="9" spans="2:17" ht="15" customHeight="1" thickBot="1">
      <c r="B9" s="106" t="s">
        <v>218</v>
      </c>
      <c r="C9" s="87">
        <v>1539.76</v>
      </c>
      <c r="D9" s="87">
        <v>738.65</v>
      </c>
      <c r="E9" s="87">
        <f>IFERROR(C9*D9,0)</f>
        <v>1137343.7239999999</v>
      </c>
      <c r="F9" s="87">
        <v>3688122.84</v>
      </c>
      <c r="G9" s="87">
        <v>200707.11</v>
      </c>
      <c r="H9" s="87">
        <f>IFERROR(E9+F9-G9,0)</f>
        <v>4624759.453999999</v>
      </c>
      <c r="I9" s="122"/>
      <c r="J9" s="87">
        <v>348615.15</v>
      </c>
      <c r="K9" s="87">
        <v>287632.68</v>
      </c>
      <c r="L9" s="88">
        <v>79219.460000000006</v>
      </c>
      <c r="M9" s="88">
        <f>IFERROR(L9/C9,0)</f>
        <v>51.449225853379751</v>
      </c>
      <c r="N9" s="107"/>
      <c r="O9" s="12">
        <f>IFERROR(H9/J9,0)</f>
        <v>13.266088562129324</v>
      </c>
      <c r="P9" s="12">
        <f>IFERROR(H9/K9,0)</f>
        <v>16.078699590046579</v>
      </c>
      <c r="Q9" s="108">
        <f>IFERROR(D9/M9,0)</f>
        <v>14.356872970353495</v>
      </c>
    </row>
    <row r="10" spans="2:17" ht="15" customHeight="1">
      <c r="B10" s="109" t="s">
        <v>219</v>
      </c>
      <c r="C10" s="89">
        <v>717.18</v>
      </c>
      <c r="D10" s="87">
        <v>1250.2</v>
      </c>
      <c r="E10" s="87">
        <f>IFERROR(C10*D10,0)</f>
        <v>896618.43599999999</v>
      </c>
      <c r="F10" s="87">
        <v>2050284.4</v>
      </c>
      <c r="G10" s="87">
        <v>121237.19</v>
      </c>
      <c r="H10" s="87">
        <f>IFERROR(E10+F10-G10,0)</f>
        <v>2825665.6460000002</v>
      </c>
      <c r="I10" s="123"/>
      <c r="J10" s="110">
        <v>195218.46</v>
      </c>
      <c r="K10" s="110">
        <v>166085.91</v>
      </c>
      <c r="L10" s="110">
        <v>57936.25</v>
      </c>
      <c r="M10" s="87">
        <f>IFERROR(L10/C10,0)</f>
        <v>80.783415599988857</v>
      </c>
      <c r="N10" s="102"/>
      <c r="O10" s="12">
        <f>IFERROR(H10/J10,0)</f>
        <v>14.474377300179503</v>
      </c>
      <c r="P10" s="12">
        <f>IFERROR(H10/K10,0)</f>
        <v>17.013277321357364</v>
      </c>
      <c r="Q10" s="108">
        <f>IFERROR(D10/M10,0)</f>
        <v>15.475948754018424</v>
      </c>
    </row>
    <row r="11" spans="2:17" ht="15" customHeight="1" thickBot="1">
      <c r="B11" s="109" t="s">
        <v>220</v>
      </c>
      <c r="C11" s="89">
        <v>311.01</v>
      </c>
      <c r="D11" s="87">
        <v>1268.0999999999999</v>
      </c>
      <c r="E11" s="87">
        <f>IFERROR(C11*D11,0)</f>
        <v>394391.78099999996</v>
      </c>
      <c r="F11" s="111">
        <v>1614302.06</v>
      </c>
      <c r="G11" s="111">
        <v>78627.37</v>
      </c>
      <c r="H11" s="87">
        <f>IFERROR(E11+F11-G11,0)</f>
        <v>1930066.4709999999</v>
      </c>
      <c r="I11" s="123"/>
      <c r="J11" s="111">
        <v>132538.23999999999</v>
      </c>
      <c r="K11" s="111">
        <v>106368.46</v>
      </c>
      <c r="L11" s="111">
        <v>26547.91</v>
      </c>
      <c r="M11" s="87">
        <f>IFERROR(L11/C11,0)</f>
        <v>85.360309957879167</v>
      </c>
      <c r="N11" s="102"/>
      <c r="O11" s="12">
        <f>IFERROR(H11/J11,0)</f>
        <v>14.562336658461739</v>
      </c>
      <c r="P11" s="12">
        <f>IFERROR(H11/K11,0)</f>
        <v>18.145101198231128</v>
      </c>
      <c r="Q11" s="108">
        <f>IFERROR(D11/M11,0)</f>
        <v>14.855850460544728</v>
      </c>
    </row>
    <row r="12" spans="2:17" ht="15" customHeight="1" thickBot="1">
      <c r="B12" s="112" t="s">
        <v>221</v>
      </c>
      <c r="C12" s="113">
        <v>994.65</v>
      </c>
      <c r="D12" s="113">
        <v>377.1</v>
      </c>
      <c r="E12" s="91">
        <f>IFERROR(C12*D12,0)</f>
        <v>375082.51500000001</v>
      </c>
      <c r="F12" s="92">
        <v>662333.86</v>
      </c>
      <c r="G12" s="92">
        <v>51281.74</v>
      </c>
      <c r="H12" s="91">
        <f>IFERROR(E12+F12-G12,0)</f>
        <v>986134.63500000001</v>
      </c>
      <c r="I12" s="93"/>
      <c r="J12" s="95">
        <v>69781.210000000006</v>
      </c>
      <c r="K12" s="92">
        <v>55244.9</v>
      </c>
      <c r="L12" s="92">
        <v>19287.900000000001</v>
      </c>
      <c r="M12" s="91">
        <f>IFERROR(L12/C12,0)</f>
        <v>19.391645302367667</v>
      </c>
      <c r="N12" s="114"/>
      <c r="O12" s="86">
        <f>IFERROR(H12/J12,0)</f>
        <v>14.131807616978838</v>
      </c>
      <c r="P12" s="86">
        <f>IFERROR(H12/K12,0)</f>
        <v>17.850238393046236</v>
      </c>
      <c r="Q12" s="115">
        <f>IFERROR(D12/M12,0)</f>
        <v>19.446519061173067</v>
      </c>
    </row>
    <row r="13" spans="2:17" ht="15" customHeight="1">
      <c r="B13" s="109" t="s">
        <v>222</v>
      </c>
      <c r="C13" s="89">
        <v>1075.24</v>
      </c>
      <c r="D13" s="87">
        <v>71.849999999999994</v>
      </c>
      <c r="E13" s="87">
        <f>IFERROR(C13*D13,0)</f>
        <v>77255.993999999992</v>
      </c>
      <c r="F13" s="87">
        <v>374879.89</v>
      </c>
      <c r="G13" s="87">
        <v>33230.47</v>
      </c>
      <c r="H13" s="87">
        <f>IFERROR(E13+F13-G13,0)</f>
        <v>418905.41399999999</v>
      </c>
      <c r="I13" s="90"/>
      <c r="J13" s="94">
        <v>29019.59</v>
      </c>
      <c r="K13" s="88">
        <v>27132.49</v>
      </c>
      <c r="L13" s="88">
        <v>9236.6200000000008</v>
      </c>
      <c r="M13" s="87">
        <f>IFERROR(L13/C13,0)</f>
        <v>8.590286819686769</v>
      </c>
      <c r="N13" s="102"/>
      <c r="O13" s="12">
        <f>IFERROR(H13/J13,0)</f>
        <v>14.435263006817118</v>
      </c>
      <c r="P13" s="12">
        <f>IFERROR(H13/K13,0)</f>
        <v>15.439254340460458</v>
      </c>
      <c r="Q13" s="108">
        <f>IFERROR(D13/M13,0)</f>
        <v>8.3640979059439466</v>
      </c>
    </row>
    <row r="14" spans="2:17" ht="14.25" customHeight="1">
      <c r="B14" s="116"/>
      <c r="C14" s="84"/>
      <c r="D14" s="84"/>
      <c r="E14" s="84"/>
      <c r="F14" s="84"/>
      <c r="G14" s="84"/>
      <c r="H14" s="84"/>
      <c r="J14" s="84"/>
      <c r="K14" s="84"/>
      <c r="L14" s="84"/>
      <c r="M14" s="84"/>
      <c r="Q14" s="84"/>
    </row>
    <row r="15" spans="2:17" ht="14.25" customHeight="1">
      <c r="B15" s="12" t="s">
        <v>206</v>
      </c>
      <c r="O15" s="12">
        <f>IFERROR(MAX(O9:O13),0)</f>
        <v>14.562336658461739</v>
      </c>
      <c r="P15" s="12">
        <f>IFERROR(MAX(P9:P13),0)</f>
        <v>18.145101198231128</v>
      </c>
      <c r="Q15" s="12">
        <f>IFERROR(MAX(Q9:Q13),0)</f>
        <v>19.446519061173067</v>
      </c>
    </row>
    <row r="16" spans="2:17" ht="14.25" customHeight="1">
      <c r="B16" s="12" t="s">
        <v>207</v>
      </c>
      <c r="O16" s="12">
        <f>IFERROR(QUARTILE(O9:O13,3),0)</f>
        <v>14.474377300179503</v>
      </c>
      <c r="P16" s="12">
        <f>IFERROR(QUARTILE(P9:P13,3),0)</f>
        <v>17.850238393046236</v>
      </c>
      <c r="Q16" s="12">
        <f>IFERROR(QUARTILE(Q9:Q13,3),0)</f>
        <v>15.475948754018424</v>
      </c>
    </row>
    <row r="17" spans="2:17" ht="14.25" customHeight="1">
      <c r="B17" s="99" t="s">
        <v>208</v>
      </c>
      <c r="O17" s="12">
        <f>IFERROR(AVERAGE(O9:O13),0)</f>
        <v>14.173974628913305</v>
      </c>
      <c r="P17" s="12">
        <f>IFERROR(AVERAGE(P9:P13),0)</f>
        <v>16.905314168628355</v>
      </c>
      <c r="Q17" s="12">
        <f>IFERROR(AVERAGE(Q9:Q13),0)</f>
        <v>14.499857830406734</v>
      </c>
    </row>
    <row r="18" spans="2:17" ht="14.25" customHeight="1">
      <c r="B18" s="99" t="s">
        <v>209</v>
      </c>
      <c r="O18" s="12">
        <f>IFERROR(MEDIAN(O9:O13),0)</f>
        <v>14.435263006817118</v>
      </c>
      <c r="P18" s="12">
        <f>IFERROR(MEDIAN(P9:P13),0)</f>
        <v>17.013277321357364</v>
      </c>
      <c r="Q18" s="12">
        <f>IFERROR(MEDIAN(Q9:Q13),0)</f>
        <v>14.855850460544728</v>
      </c>
    </row>
    <row r="19" spans="2:17" ht="14.25" customHeight="1">
      <c r="B19" s="12" t="s">
        <v>210</v>
      </c>
      <c r="O19" s="12">
        <f>IFERROR(QUARTILE(O9:O13,1),0)</f>
        <v>14.131807616978838</v>
      </c>
      <c r="P19" s="12">
        <f>IFERROR(QUARTILE(P9:P13,1),0)</f>
        <v>16.078699590046579</v>
      </c>
      <c r="Q19" s="12">
        <f>IFERROR(QUARTILE(Q9:Q13,1),0)</f>
        <v>14.356872970353495</v>
      </c>
    </row>
    <row r="20" spans="2:17" ht="14.25" customHeight="1">
      <c r="B20" s="12" t="s">
        <v>211</v>
      </c>
      <c r="O20" s="12">
        <f>IFERROR(MIN(O9:O13),0)</f>
        <v>13.266088562129324</v>
      </c>
      <c r="P20" s="12">
        <f>IFERROR(MIN(P9:P13),0)</f>
        <v>15.439254340460458</v>
      </c>
      <c r="Q20" s="12">
        <f>IFERROR(MIN(Q9:Q13),0)</f>
        <v>8.3640979059439466</v>
      </c>
    </row>
    <row r="22" spans="2:17" ht="14.25" customHeight="1">
      <c r="B22" s="97" t="s">
        <v>212</v>
      </c>
      <c r="C22" s="97"/>
      <c r="D22" s="97"/>
      <c r="E22" s="97"/>
      <c r="F22" s="97"/>
      <c r="G22" s="97"/>
      <c r="H22" s="97"/>
      <c r="I22" s="97"/>
      <c r="J22" s="97"/>
      <c r="K22" s="97"/>
      <c r="L22" s="97"/>
      <c r="M22" s="97"/>
      <c r="N22" s="97"/>
      <c r="O22" s="117" t="s">
        <v>203</v>
      </c>
      <c r="P22" s="117" t="s">
        <v>204</v>
      </c>
      <c r="Q22" s="117" t="s">
        <v>205</v>
      </c>
    </row>
    <row r="23" spans="2:17" ht="14.25" customHeight="1">
      <c r="B23" s="12" t="s">
        <v>213</v>
      </c>
      <c r="O23" s="12">
        <f>O18*J12</f>
        <v>1007310.1192839369</v>
      </c>
      <c r="P23" s="12">
        <f>P18*K12</f>
        <v>939896.80429065553</v>
      </c>
      <c r="Q23" s="12">
        <f>SUM(Q25+Q24)</f>
        <v>897590.27809794061</v>
      </c>
    </row>
    <row r="24" spans="2:17" ht="14.25" customHeight="1">
      <c r="B24" s="12" t="s">
        <v>214</v>
      </c>
      <c r="O24" s="12">
        <f>F12-G12</f>
        <v>611052.12</v>
      </c>
      <c r="P24" s="12">
        <f>O24</f>
        <v>611052.12</v>
      </c>
      <c r="Q24" s="12">
        <f>P24</f>
        <v>611052.12</v>
      </c>
    </row>
    <row r="25" spans="2:17" ht="14.25" customHeight="1">
      <c r="B25" s="12" t="s">
        <v>215</v>
      </c>
      <c r="O25" s="12">
        <f>O23-O24</f>
        <v>396257.99928393692</v>
      </c>
      <c r="P25" s="12">
        <f>P23-P24</f>
        <v>328844.68429065554</v>
      </c>
      <c r="Q25" s="12">
        <f>Q18*L12</f>
        <v>286538.15809794067</v>
      </c>
    </row>
    <row r="26" spans="2:17" ht="14.25" customHeight="1">
      <c r="B26" s="12" t="s">
        <v>216</v>
      </c>
      <c r="O26" s="12">
        <f>C12</f>
        <v>994.65</v>
      </c>
      <c r="P26" s="12">
        <f>O26</f>
        <v>994.65</v>
      </c>
      <c r="Q26" s="12">
        <f>P26</f>
        <v>994.65</v>
      </c>
    </row>
    <row r="28" spans="2:17" ht="15" customHeight="1" thickBot="1">
      <c r="B28" s="118" t="s">
        <v>217</v>
      </c>
      <c r="C28" s="119"/>
      <c r="D28" s="119"/>
      <c r="E28" s="119"/>
      <c r="F28" s="119"/>
      <c r="G28" s="119"/>
      <c r="H28" s="119"/>
      <c r="I28" s="119"/>
      <c r="J28" s="119"/>
      <c r="K28" s="119"/>
      <c r="L28" s="119"/>
      <c r="M28" s="119"/>
      <c r="N28" s="119"/>
      <c r="O28" s="118">
        <f>O25/O26</f>
        <v>398.38938248020605</v>
      </c>
      <c r="P28" s="118">
        <f>P25/P26</f>
        <v>330.61346633555075</v>
      </c>
      <c r="Q28" s="118">
        <f>Q25/Q26</f>
        <v>288.07938279589871</v>
      </c>
    </row>
    <row r="29" spans="2:17" ht="15" customHeight="1" thickTop="1">
      <c r="O29" s="120"/>
      <c r="P29" s="120"/>
      <c r="Q29" s="120"/>
    </row>
    <row r="30" spans="2:17" ht="14.25" customHeight="1">
      <c r="O30" s="121"/>
      <c r="P30" s="121"/>
      <c r="Q30" s="121"/>
    </row>
  </sheetData>
  <mergeCells count="7">
    <mergeCell ref="B5:Q5"/>
    <mergeCell ref="B7:B8"/>
    <mergeCell ref="C7:H7"/>
    <mergeCell ref="I7:I8"/>
    <mergeCell ref="J7:M7"/>
    <mergeCell ref="N7:N8"/>
    <mergeCell ref="O7:Q7"/>
  </mergeCells>
  <hyperlinks>
    <hyperlink ref="B9" r:id="rId1" display="https://www.screener.in/company/HDFCBANK/consolidated/" xr:uid="{7FDFC40C-EB24-45EA-A344-B846D1234CBE}"/>
    <hyperlink ref="B10" r:id="rId2" display="https://www.screener.in/company/ICICIBANK/consolidated/" xr:uid="{8F21062D-C837-4D94-9D73-A7BCB59AA497}"/>
    <hyperlink ref="B11" r:id="rId3" display="https://www.screener.in/company/AXISBANK/consolidated/" xr:uid="{F6B35592-279B-403A-A473-00022EB1BD56}"/>
    <hyperlink ref="B12" r:id="rId4" display="https://www.screener.in/company/KOTAKBANK/consolidated/" xr:uid="{4787D140-81D8-453D-B6C8-314C19667DA5}"/>
    <hyperlink ref="B13" r:id="rId5" display="https://www.screener.in/company/IDBI/consolidated/" xr:uid="{004C9548-EFF7-469E-9ECA-0972654027F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3583FF-A818-42E6-A01C-E5BA0CB17B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 </vt:lpstr>
      <vt:lpstr>Shareholding </vt:lpstr>
      <vt:lpstr>Consolidated FS</vt:lpstr>
      <vt:lpstr>Assumptions </vt:lpstr>
      <vt:lpstr>Equity Schedule </vt:lpstr>
      <vt:lpstr>Residual Income Schedule </vt:lpstr>
      <vt:lpstr>BETA </vt:lpstr>
      <vt:lpstr>WACC</vt:lpstr>
      <vt:lpstr>Relative Valuation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 singh</dc:creator>
  <cp:lastModifiedBy>hi singh</cp:lastModifiedBy>
  <dcterms:created xsi:type="dcterms:W3CDTF">2026-06-02T04:12:57Z</dcterms:created>
  <dcterms:modified xsi:type="dcterms:W3CDTF">2026-09-03T06:13:25Z</dcterms:modified>
</cp:coreProperties>
</file>