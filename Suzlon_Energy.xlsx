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nan\Desktop\cip hero\Finalized\"/>
    </mc:Choice>
  </mc:AlternateContent>
  <xr:revisionPtr revIDLastSave="0" documentId="13_ncr:1_{3D5F01CB-8630-40C7-AC6E-563D02370BDC}" xr6:coauthVersionLast="47" xr6:coauthVersionMax="47" xr10:uidLastSave="{00000000-0000-0000-0000-000000000000}"/>
  <bookViews>
    <workbookView xWindow="-108" yWindow="-108" windowWidth="23256" windowHeight="13896" tabRatio="693" firstSheet="1" activeTab="1" xr2:uid="{00000000-000D-0000-FFFF-FFFF00000000}"/>
  </bookViews>
  <sheets>
    <sheet name="Hero" sheetId="1" r:id="rId1"/>
    <sheet name="About" sheetId="2" r:id="rId2"/>
    <sheet name="Shareholding " sheetId="3" r:id="rId3"/>
    <sheet name="Consolidated FS" sheetId="4" r:id="rId4"/>
    <sheet name="Quaterly Results " sheetId="6" r:id="rId5"/>
    <sheet name="WACC" sheetId="7" r:id="rId6"/>
    <sheet name="BETA" sheetId="8" r:id="rId7"/>
    <sheet name="Assumptions" sheetId="9" r:id="rId8"/>
    <sheet name="Fixed Asset Schedule " sheetId="10" r:id="rId9"/>
    <sheet name="Change in Working Capital " sheetId="11" r:id="rId10"/>
    <sheet name="FCFF" sheetId="12" r:id="rId11"/>
    <sheet name="Growth Scenario" sheetId="13" r:id="rId12"/>
    <sheet name="Valuation " sheetId="14" r:id="rId13"/>
    <sheet name="Ratios" sheetId="15" r:id="rId14"/>
    <sheet name="Raw Data Relative Valuation " sheetId="16" r:id="rId15"/>
    <sheet name="Relative Valuation " sheetId="17" r:id="rId16"/>
    <sheet name="Stock Analysis" sheetId="18" r:id="rId17"/>
    <sheet name="Peers" sheetId="19"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 i="14" l="1"/>
  <c r="P27" i="17"/>
  <c r="Q27" i="17" s="1"/>
  <c r="R27" i="17" s="1"/>
  <c r="Q25" i="17"/>
  <c r="R25" i="17" s="1"/>
  <c r="P25" i="17"/>
  <c r="R18" i="17"/>
  <c r="R26" i="17" s="1"/>
  <c r="R13" i="17"/>
  <c r="Q13" i="17"/>
  <c r="P13" i="17"/>
  <c r="N13" i="17"/>
  <c r="I13" i="17"/>
  <c r="F13" i="17"/>
  <c r="R12" i="17"/>
  <c r="N12" i="17"/>
  <c r="F12" i="17"/>
  <c r="I12" i="17" s="1"/>
  <c r="R11" i="17"/>
  <c r="Q11" i="17"/>
  <c r="P11" i="17"/>
  <c r="N11" i="17"/>
  <c r="I11" i="17"/>
  <c r="F11" i="17"/>
  <c r="R10" i="17"/>
  <c r="N10" i="17"/>
  <c r="F10" i="17"/>
  <c r="I10" i="17" s="1"/>
  <c r="R9" i="17"/>
  <c r="R17" i="17" s="1"/>
  <c r="Q9" i="17"/>
  <c r="P9" i="17"/>
  <c r="N9" i="17"/>
  <c r="I9" i="17"/>
  <c r="F9" i="17"/>
  <c r="C35" i="15"/>
  <c r="G34" i="15"/>
  <c r="E34" i="15"/>
  <c r="D34" i="15"/>
  <c r="G31" i="15"/>
  <c r="F31" i="15"/>
  <c r="E31" i="15"/>
  <c r="D31" i="15"/>
  <c r="C31" i="15"/>
  <c r="G30" i="15"/>
  <c r="F30" i="15"/>
  <c r="E30" i="15"/>
  <c r="D30" i="15"/>
  <c r="C30" i="15"/>
  <c r="G29" i="15"/>
  <c r="G35" i="15" s="1"/>
  <c r="F29" i="15"/>
  <c r="F35" i="15" s="1"/>
  <c r="E29" i="15"/>
  <c r="E35" i="15" s="1"/>
  <c r="D29" i="15"/>
  <c r="D35" i="15" s="1"/>
  <c r="C29" i="15"/>
  <c r="G28" i="15"/>
  <c r="F28" i="15"/>
  <c r="F34" i="15" s="1"/>
  <c r="E28" i="15"/>
  <c r="D28" i="15"/>
  <c r="C28" i="15"/>
  <c r="C34" i="15" s="1"/>
  <c r="G27" i="15"/>
  <c r="G33" i="15" s="1"/>
  <c r="F27" i="15"/>
  <c r="F33" i="15" s="1"/>
  <c r="E27" i="15"/>
  <c r="E33" i="15" s="1"/>
  <c r="D27" i="15"/>
  <c r="D33" i="15" s="1"/>
  <c r="C27" i="15"/>
  <c r="C33" i="15" s="1"/>
  <c r="C36" i="15" s="1"/>
  <c r="G25" i="15"/>
  <c r="F25" i="15"/>
  <c r="E25" i="15"/>
  <c r="D25" i="15"/>
  <c r="C25" i="15"/>
  <c r="G23" i="15"/>
  <c r="F23" i="15"/>
  <c r="E23" i="15"/>
  <c r="D23" i="15"/>
  <c r="C23" i="15"/>
  <c r="G21" i="15"/>
  <c r="F21" i="15"/>
  <c r="E21" i="15"/>
  <c r="D21" i="15"/>
  <c r="C21" i="15"/>
  <c r="G19" i="15"/>
  <c r="F19" i="15"/>
  <c r="E19" i="15"/>
  <c r="D19" i="15"/>
  <c r="C19" i="15"/>
  <c r="G18" i="15"/>
  <c r="F18" i="15"/>
  <c r="E18" i="15"/>
  <c r="D18" i="15"/>
  <c r="C18" i="15"/>
  <c r="G17" i="15"/>
  <c r="F17" i="15"/>
  <c r="E17" i="15"/>
  <c r="D17" i="15"/>
  <c r="C17" i="15"/>
  <c r="G15" i="15"/>
  <c r="F15" i="15"/>
  <c r="E15" i="15"/>
  <c r="D15" i="15"/>
  <c r="C15" i="15"/>
  <c r="G14" i="15"/>
  <c r="F14" i="15"/>
  <c r="E14" i="15"/>
  <c r="D14" i="15"/>
  <c r="C14" i="15"/>
  <c r="G13" i="15"/>
  <c r="F13" i="15"/>
  <c r="E13" i="15"/>
  <c r="D13" i="15"/>
  <c r="C13" i="15"/>
  <c r="D7" i="14" s="1"/>
  <c r="G12" i="15"/>
  <c r="F12" i="15"/>
  <c r="E12" i="15"/>
  <c r="D12" i="15"/>
  <c r="C12" i="15"/>
  <c r="G11" i="15"/>
  <c r="F11" i="15"/>
  <c r="E11" i="15"/>
  <c r="D11" i="15"/>
  <c r="C11" i="15"/>
  <c r="G8" i="15"/>
  <c r="F8" i="15"/>
  <c r="E8" i="15"/>
  <c r="D8" i="15"/>
  <c r="G7" i="15"/>
  <c r="F7" i="15"/>
  <c r="E7" i="15"/>
  <c r="D7" i="15"/>
  <c r="G6" i="15"/>
  <c r="F6" i="15"/>
  <c r="E6" i="15"/>
  <c r="D6" i="15"/>
  <c r="G5" i="15"/>
  <c r="F5" i="15"/>
  <c r="E5" i="15"/>
  <c r="D5" i="15"/>
  <c r="M22" i="13"/>
  <c r="M5" i="14" s="1"/>
  <c r="C6" i="13"/>
  <c r="E7" i="12"/>
  <c r="C7" i="12"/>
  <c r="C8" i="12" s="1"/>
  <c r="D6" i="11"/>
  <c r="C6" i="11"/>
  <c r="G5" i="11"/>
  <c r="F5" i="11"/>
  <c r="E5" i="11"/>
  <c r="D5" i="11"/>
  <c r="C5" i="11"/>
  <c r="G4" i="11"/>
  <c r="F4" i="11"/>
  <c r="E4" i="11"/>
  <c r="D4" i="11"/>
  <c r="C4" i="11"/>
  <c r="G3" i="11"/>
  <c r="F3" i="11"/>
  <c r="F6" i="11" s="1"/>
  <c r="E3" i="11"/>
  <c r="E6" i="11" s="1"/>
  <c r="E7" i="11" s="1"/>
  <c r="E8" i="11" s="1"/>
  <c r="D3" i="11"/>
  <c r="C3" i="11"/>
  <c r="G7" i="10"/>
  <c r="F7" i="10"/>
  <c r="E7" i="10"/>
  <c r="D7" i="10"/>
  <c r="C7" i="10"/>
  <c r="G6" i="10"/>
  <c r="F6" i="10"/>
  <c r="E6" i="10"/>
  <c r="D6" i="10"/>
  <c r="D5" i="10" s="1"/>
  <c r="C6" i="10"/>
  <c r="C5" i="10" s="1"/>
  <c r="G5" i="10"/>
  <c r="G4" i="10" s="1"/>
  <c r="G9" i="10" s="1"/>
  <c r="F5" i="10"/>
  <c r="F4" i="10" s="1"/>
  <c r="F9" i="10" s="1"/>
  <c r="E5" i="10"/>
  <c r="E4" i="10" s="1"/>
  <c r="E9" i="10" s="1"/>
  <c r="G3" i="10"/>
  <c r="F3" i="10"/>
  <c r="E3" i="10"/>
  <c r="D3" i="10"/>
  <c r="H49" i="9"/>
  <c r="G49" i="9"/>
  <c r="H48" i="9"/>
  <c r="G48" i="9"/>
  <c r="F48" i="9"/>
  <c r="E48" i="9"/>
  <c r="D48" i="9"/>
  <c r="H47" i="9"/>
  <c r="G47" i="9"/>
  <c r="F47" i="9"/>
  <c r="F49" i="9" s="1"/>
  <c r="E47" i="9"/>
  <c r="D47" i="9"/>
  <c r="H46" i="9"/>
  <c r="G46" i="9"/>
  <c r="F46" i="9"/>
  <c r="E46" i="9"/>
  <c r="D46" i="9"/>
  <c r="D49" i="9" s="1"/>
  <c r="I26" i="9"/>
  <c r="H26" i="9"/>
  <c r="G26" i="9"/>
  <c r="F26" i="9"/>
  <c r="E26" i="9"/>
  <c r="I25" i="9"/>
  <c r="H25" i="9"/>
  <c r="G25" i="9"/>
  <c r="F25" i="9"/>
  <c r="E25" i="9"/>
  <c r="I21" i="9"/>
  <c r="H21" i="9"/>
  <c r="G21" i="9"/>
  <c r="F21" i="9"/>
  <c r="E21" i="9"/>
  <c r="I20" i="9"/>
  <c r="H20" i="9"/>
  <c r="G20" i="9"/>
  <c r="F20" i="9"/>
  <c r="E20" i="9"/>
  <c r="H18" i="9"/>
  <c r="G18" i="9"/>
  <c r="I16" i="9"/>
  <c r="H16" i="9"/>
  <c r="G16" i="9"/>
  <c r="F16" i="9"/>
  <c r="E16" i="9"/>
  <c r="I11" i="9"/>
  <c r="H11" i="9"/>
  <c r="G11" i="9"/>
  <c r="F11" i="9"/>
  <c r="F12" i="9" s="1"/>
  <c r="F14" i="9" s="1"/>
  <c r="E11" i="9"/>
  <c r="I10" i="9"/>
  <c r="I12" i="9" s="1"/>
  <c r="H10" i="9"/>
  <c r="G10" i="9"/>
  <c r="F10" i="9"/>
  <c r="E10" i="9"/>
  <c r="I9" i="9"/>
  <c r="H9" i="9"/>
  <c r="H12" i="9" s="1"/>
  <c r="H14" i="9" s="1"/>
  <c r="H35" i="9" s="1"/>
  <c r="G9" i="9"/>
  <c r="G12" i="9" s="1"/>
  <c r="G14" i="9" s="1"/>
  <c r="G35" i="9" s="1"/>
  <c r="F9" i="9"/>
  <c r="E9" i="9"/>
  <c r="E12" i="9" s="1"/>
  <c r="E14" i="9" s="1"/>
  <c r="I7" i="9"/>
  <c r="H7" i="9"/>
  <c r="G7" i="9"/>
  <c r="F7" i="9"/>
  <c r="I6" i="9"/>
  <c r="F32" i="9" s="1"/>
  <c r="H6" i="9"/>
  <c r="G6" i="9"/>
  <c r="F6" i="9"/>
  <c r="E6" i="9"/>
  <c r="H1485" i="8"/>
  <c r="D1485" i="8"/>
  <c r="H1484" i="8"/>
  <c r="D1484" i="8"/>
  <c r="H1483" i="8"/>
  <c r="D1483" i="8"/>
  <c r="H1482" i="8"/>
  <c r="D1482" i="8"/>
  <c r="H1481" i="8"/>
  <c r="D1481" i="8"/>
  <c r="H1480" i="8"/>
  <c r="D1480" i="8"/>
  <c r="H1479" i="8"/>
  <c r="D1479" i="8"/>
  <c r="H1478" i="8"/>
  <c r="D1478" i="8"/>
  <c r="H1477" i="8"/>
  <c r="D1477" i="8"/>
  <c r="H1476" i="8"/>
  <c r="D1476" i="8"/>
  <c r="H1475" i="8"/>
  <c r="D1475" i="8"/>
  <c r="H1474" i="8"/>
  <c r="D1474" i="8"/>
  <c r="H1473" i="8"/>
  <c r="D1473" i="8"/>
  <c r="H1472" i="8"/>
  <c r="D1472" i="8"/>
  <c r="H1471" i="8"/>
  <c r="D1471" i="8"/>
  <c r="H1470" i="8"/>
  <c r="D1470" i="8"/>
  <c r="H1469" i="8"/>
  <c r="D1469" i="8"/>
  <c r="H1468" i="8"/>
  <c r="D1468" i="8"/>
  <c r="H1467" i="8"/>
  <c r="D1467" i="8"/>
  <c r="H1466" i="8"/>
  <c r="D1466" i="8"/>
  <c r="H1465" i="8"/>
  <c r="D1465" i="8"/>
  <c r="H1464" i="8"/>
  <c r="D1464" i="8"/>
  <c r="H1463" i="8"/>
  <c r="D1463" i="8"/>
  <c r="H1462" i="8"/>
  <c r="D1462" i="8"/>
  <c r="H1461" i="8"/>
  <c r="D1461" i="8"/>
  <c r="H1460" i="8"/>
  <c r="D1460" i="8"/>
  <c r="H1459" i="8"/>
  <c r="D1459" i="8"/>
  <c r="H1458" i="8"/>
  <c r="D1458" i="8"/>
  <c r="H1457" i="8"/>
  <c r="D1457" i="8"/>
  <c r="H1456" i="8"/>
  <c r="D1456" i="8"/>
  <c r="H1455" i="8"/>
  <c r="D1455" i="8"/>
  <c r="H1454" i="8"/>
  <c r="D1454" i="8"/>
  <c r="H1453" i="8"/>
  <c r="D1453" i="8"/>
  <c r="H1452" i="8"/>
  <c r="D1452" i="8"/>
  <c r="H1451" i="8"/>
  <c r="D1451" i="8"/>
  <c r="H1450" i="8"/>
  <c r="D1450" i="8"/>
  <c r="H1449" i="8"/>
  <c r="D1449" i="8"/>
  <c r="H1448" i="8"/>
  <c r="D1448" i="8"/>
  <c r="H1447" i="8"/>
  <c r="D1447" i="8"/>
  <c r="H1446" i="8"/>
  <c r="D1446" i="8"/>
  <c r="H1445" i="8"/>
  <c r="D1445" i="8"/>
  <c r="H1444" i="8"/>
  <c r="D1444" i="8"/>
  <c r="H1443" i="8"/>
  <c r="D1443" i="8"/>
  <c r="H1442" i="8"/>
  <c r="D1442" i="8"/>
  <c r="H1441" i="8"/>
  <c r="D1441" i="8"/>
  <c r="H1440" i="8"/>
  <c r="D1440" i="8"/>
  <c r="H1439" i="8"/>
  <c r="D1439" i="8"/>
  <c r="H1438" i="8"/>
  <c r="D1438" i="8"/>
  <c r="H1437" i="8"/>
  <c r="D1437" i="8"/>
  <c r="H1436" i="8"/>
  <c r="D1436" i="8"/>
  <c r="H1435" i="8"/>
  <c r="D1435" i="8"/>
  <c r="H1434" i="8"/>
  <c r="D1434" i="8"/>
  <c r="H1433" i="8"/>
  <c r="D1433" i="8"/>
  <c r="H1432" i="8"/>
  <c r="D1432" i="8"/>
  <c r="H1431" i="8"/>
  <c r="D1431" i="8"/>
  <c r="H1430" i="8"/>
  <c r="D1430" i="8"/>
  <c r="H1429" i="8"/>
  <c r="D1429" i="8"/>
  <c r="H1428" i="8"/>
  <c r="D1428" i="8"/>
  <c r="H1427" i="8"/>
  <c r="D1427" i="8"/>
  <c r="H1426" i="8"/>
  <c r="D1426" i="8"/>
  <c r="H1425" i="8"/>
  <c r="D1425" i="8"/>
  <c r="H1424" i="8"/>
  <c r="D1424" i="8"/>
  <c r="H1423" i="8"/>
  <c r="D1423" i="8"/>
  <c r="H1422" i="8"/>
  <c r="D1422" i="8"/>
  <c r="H1421" i="8"/>
  <c r="D1421" i="8"/>
  <c r="H1420" i="8"/>
  <c r="D1420" i="8"/>
  <c r="H1419" i="8"/>
  <c r="D1419" i="8"/>
  <c r="H1418" i="8"/>
  <c r="D1418" i="8"/>
  <c r="H1417" i="8"/>
  <c r="D1417" i="8"/>
  <c r="H1416" i="8"/>
  <c r="D1416" i="8"/>
  <c r="H1415" i="8"/>
  <c r="D1415" i="8"/>
  <c r="H1414" i="8"/>
  <c r="D1414" i="8"/>
  <c r="H1413" i="8"/>
  <c r="D1413" i="8"/>
  <c r="H1412" i="8"/>
  <c r="D1412" i="8"/>
  <c r="H1411" i="8"/>
  <c r="D1411" i="8"/>
  <c r="H1410" i="8"/>
  <c r="D1410" i="8"/>
  <c r="H1409" i="8"/>
  <c r="D1409" i="8"/>
  <c r="H1408" i="8"/>
  <c r="D1408" i="8"/>
  <c r="H1407" i="8"/>
  <c r="D1407" i="8"/>
  <c r="H1406" i="8"/>
  <c r="D1406" i="8"/>
  <c r="H1405" i="8"/>
  <c r="D1405" i="8"/>
  <c r="H1404" i="8"/>
  <c r="D1404" i="8"/>
  <c r="H1403" i="8"/>
  <c r="D1403" i="8"/>
  <c r="H1402" i="8"/>
  <c r="D1402" i="8"/>
  <c r="H1401" i="8"/>
  <c r="D1401" i="8"/>
  <c r="H1400" i="8"/>
  <c r="D1400" i="8"/>
  <c r="H1399" i="8"/>
  <c r="D1399" i="8"/>
  <c r="H1398" i="8"/>
  <c r="D1398" i="8"/>
  <c r="H1397" i="8"/>
  <c r="D1397" i="8"/>
  <c r="H1396" i="8"/>
  <c r="D1396" i="8"/>
  <c r="H1395" i="8"/>
  <c r="D1395" i="8"/>
  <c r="H1394" i="8"/>
  <c r="D1394" i="8"/>
  <c r="H1393" i="8"/>
  <c r="D1393" i="8"/>
  <c r="H1392" i="8"/>
  <c r="D1392" i="8"/>
  <c r="H1391" i="8"/>
  <c r="D1391" i="8"/>
  <c r="H1390" i="8"/>
  <c r="D1390" i="8"/>
  <c r="H1389" i="8"/>
  <c r="D1389" i="8"/>
  <c r="H1388" i="8"/>
  <c r="D1388" i="8"/>
  <c r="H1387" i="8"/>
  <c r="D1387" i="8"/>
  <c r="H1386" i="8"/>
  <c r="D1386" i="8"/>
  <c r="H1385" i="8"/>
  <c r="D1385" i="8"/>
  <c r="H1384" i="8"/>
  <c r="D1384" i="8"/>
  <c r="H1383" i="8"/>
  <c r="D1383" i="8"/>
  <c r="H1382" i="8"/>
  <c r="D1382" i="8"/>
  <c r="H1381" i="8"/>
  <c r="D1381" i="8"/>
  <c r="H1380" i="8"/>
  <c r="D1380" i="8"/>
  <c r="H1379" i="8"/>
  <c r="D1379" i="8"/>
  <c r="H1378" i="8"/>
  <c r="D1378" i="8"/>
  <c r="H1377" i="8"/>
  <c r="D1377" i="8"/>
  <c r="H1376" i="8"/>
  <c r="D1376" i="8"/>
  <c r="H1375" i="8"/>
  <c r="D1375" i="8"/>
  <c r="H1374" i="8"/>
  <c r="D1374" i="8"/>
  <c r="H1373" i="8"/>
  <c r="D1373" i="8"/>
  <c r="H1372" i="8"/>
  <c r="D1372" i="8"/>
  <c r="H1371" i="8"/>
  <c r="D1371" i="8"/>
  <c r="H1370" i="8"/>
  <c r="D1370" i="8"/>
  <c r="H1369" i="8"/>
  <c r="D1369" i="8"/>
  <c r="H1368" i="8"/>
  <c r="D1368" i="8"/>
  <c r="H1367" i="8"/>
  <c r="D1367" i="8"/>
  <c r="H1366" i="8"/>
  <c r="D1366" i="8"/>
  <c r="H1365" i="8"/>
  <c r="D1365" i="8"/>
  <c r="H1364" i="8"/>
  <c r="D1364" i="8"/>
  <c r="H1363" i="8"/>
  <c r="D1363" i="8"/>
  <c r="H1362" i="8"/>
  <c r="D1362" i="8"/>
  <c r="H1361" i="8"/>
  <c r="D1361" i="8"/>
  <c r="H1360" i="8"/>
  <c r="D1360" i="8"/>
  <c r="H1359" i="8"/>
  <c r="D1359" i="8"/>
  <c r="H1358" i="8"/>
  <c r="D1358" i="8"/>
  <c r="H1357" i="8"/>
  <c r="D1357" i="8"/>
  <c r="H1356" i="8"/>
  <c r="D1356" i="8"/>
  <c r="H1355" i="8"/>
  <c r="D1355" i="8"/>
  <c r="H1354" i="8"/>
  <c r="D1354" i="8"/>
  <c r="H1353" i="8"/>
  <c r="D1353" i="8"/>
  <c r="H1352" i="8"/>
  <c r="D1352" i="8"/>
  <c r="H1351" i="8"/>
  <c r="D1351" i="8"/>
  <c r="H1350" i="8"/>
  <c r="D1350" i="8"/>
  <c r="H1349" i="8"/>
  <c r="D1349" i="8"/>
  <c r="H1348" i="8"/>
  <c r="D1348" i="8"/>
  <c r="H1347" i="8"/>
  <c r="D1347" i="8"/>
  <c r="H1346" i="8"/>
  <c r="D1346" i="8"/>
  <c r="H1345" i="8"/>
  <c r="D1345" i="8"/>
  <c r="H1344" i="8"/>
  <c r="D1344" i="8"/>
  <c r="H1343" i="8"/>
  <c r="D1343" i="8"/>
  <c r="H1342" i="8"/>
  <c r="D1342" i="8"/>
  <c r="H1341" i="8"/>
  <c r="D1341" i="8"/>
  <c r="H1340" i="8"/>
  <c r="D1340" i="8"/>
  <c r="H1339" i="8"/>
  <c r="D1339" i="8"/>
  <c r="H1338" i="8"/>
  <c r="D1338" i="8"/>
  <c r="H1337" i="8"/>
  <c r="D1337" i="8"/>
  <c r="H1336" i="8"/>
  <c r="D1336" i="8"/>
  <c r="H1335" i="8"/>
  <c r="D1335" i="8"/>
  <c r="H1334" i="8"/>
  <c r="D1334" i="8"/>
  <c r="H1333" i="8"/>
  <c r="D1333" i="8"/>
  <c r="H1332" i="8"/>
  <c r="D1332" i="8"/>
  <c r="H1331" i="8"/>
  <c r="D1331" i="8"/>
  <c r="H1330" i="8"/>
  <c r="D1330" i="8"/>
  <c r="H1329" i="8"/>
  <c r="D1329" i="8"/>
  <c r="H1328" i="8"/>
  <c r="D1328" i="8"/>
  <c r="H1327" i="8"/>
  <c r="D1327" i="8"/>
  <c r="H1326" i="8"/>
  <c r="D1326" i="8"/>
  <c r="H1325" i="8"/>
  <c r="D1325" i="8"/>
  <c r="H1324" i="8"/>
  <c r="D1324" i="8"/>
  <c r="H1323" i="8"/>
  <c r="D1323" i="8"/>
  <c r="H1322" i="8"/>
  <c r="D1322" i="8"/>
  <c r="H1321" i="8"/>
  <c r="D1321" i="8"/>
  <c r="H1320" i="8"/>
  <c r="D1320" i="8"/>
  <c r="H1319" i="8"/>
  <c r="D1319" i="8"/>
  <c r="H1318" i="8"/>
  <c r="D1318" i="8"/>
  <c r="H1317" i="8"/>
  <c r="D1317" i="8"/>
  <c r="H1316" i="8"/>
  <c r="D1316" i="8"/>
  <c r="H1315" i="8"/>
  <c r="D1315" i="8"/>
  <c r="H1314" i="8"/>
  <c r="D1314" i="8"/>
  <c r="H1313" i="8"/>
  <c r="D1313" i="8"/>
  <c r="H1312" i="8"/>
  <c r="D1312" i="8"/>
  <c r="H1311" i="8"/>
  <c r="D1311" i="8"/>
  <c r="H1310" i="8"/>
  <c r="D1310" i="8"/>
  <c r="H1309" i="8"/>
  <c r="D1309" i="8"/>
  <c r="H1308" i="8"/>
  <c r="D1308" i="8"/>
  <c r="H1307" i="8"/>
  <c r="D1307" i="8"/>
  <c r="H1306" i="8"/>
  <c r="D1306" i="8"/>
  <c r="H1305" i="8"/>
  <c r="D1305" i="8"/>
  <c r="H1304" i="8"/>
  <c r="D1304" i="8"/>
  <c r="H1303" i="8"/>
  <c r="D1303" i="8"/>
  <c r="H1302" i="8"/>
  <c r="D1302" i="8"/>
  <c r="H1301" i="8"/>
  <c r="D1301" i="8"/>
  <c r="H1300" i="8"/>
  <c r="D1300" i="8"/>
  <c r="H1299" i="8"/>
  <c r="D1299" i="8"/>
  <c r="H1298" i="8"/>
  <c r="D1298" i="8"/>
  <c r="H1297" i="8"/>
  <c r="D1297" i="8"/>
  <c r="H1296" i="8"/>
  <c r="D1296" i="8"/>
  <c r="H1295" i="8"/>
  <c r="D1295" i="8"/>
  <c r="H1294" i="8"/>
  <c r="D1294" i="8"/>
  <c r="H1293" i="8"/>
  <c r="D1293" i="8"/>
  <c r="H1292" i="8"/>
  <c r="D1292" i="8"/>
  <c r="H1291" i="8"/>
  <c r="D1291" i="8"/>
  <c r="H1290" i="8"/>
  <c r="D1290" i="8"/>
  <c r="H1289" i="8"/>
  <c r="D1289" i="8"/>
  <c r="H1288" i="8"/>
  <c r="D1288" i="8"/>
  <c r="H1287" i="8"/>
  <c r="D1287" i="8"/>
  <c r="H1286" i="8"/>
  <c r="D1286" i="8"/>
  <c r="H1285" i="8"/>
  <c r="D1285" i="8"/>
  <c r="H1284" i="8"/>
  <c r="D1284" i="8"/>
  <c r="H1283" i="8"/>
  <c r="D1283" i="8"/>
  <c r="H1282" i="8"/>
  <c r="D1282" i="8"/>
  <c r="H1281" i="8"/>
  <c r="D1281" i="8"/>
  <c r="H1280" i="8"/>
  <c r="D1280" i="8"/>
  <c r="H1279" i="8"/>
  <c r="D1279" i="8"/>
  <c r="H1278" i="8"/>
  <c r="D1278" i="8"/>
  <c r="H1277" i="8"/>
  <c r="D1277" i="8"/>
  <c r="H1276" i="8"/>
  <c r="D1276" i="8"/>
  <c r="H1275" i="8"/>
  <c r="D1275" i="8"/>
  <c r="H1274" i="8"/>
  <c r="D1274" i="8"/>
  <c r="H1273" i="8"/>
  <c r="D1273" i="8"/>
  <c r="H1272" i="8"/>
  <c r="D1272" i="8"/>
  <c r="H1271" i="8"/>
  <c r="D1271" i="8"/>
  <c r="H1270" i="8"/>
  <c r="D1270" i="8"/>
  <c r="H1269" i="8"/>
  <c r="D1269" i="8"/>
  <c r="H1268" i="8"/>
  <c r="D1268" i="8"/>
  <c r="H1267" i="8"/>
  <c r="D1267" i="8"/>
  <c r="H1266" i="8"/>
  <c r="D1266" i="8"/>
  <c r="H1265" i="8"/>
  <c r="D1265" i="8"/>
  <c r="H1264" i="8"/>
  <c r="D1264" i="8"/>
  <c r="H1263" i="8"/>
  <c r="D1263" i="8"/>
  <c r="H1262" i="8"/>
  <c r="D1262" i="8"/>
  <c r="H1261" i="8"/>
  <c r="D1261" i="8"/>
  <c r="H1260" i="8"/>
  <c r="D1260" i="8"/>
  <c r="H1259" i="8"/>
  <c r="D1259" i="8"/>
  <c r="H1258" i="8"/>
  <c r="D1258" i="8"/>
  <c r="H1257" i="8"/>
  <c r="D1257" i="8"/>
  <c r="H1256" i="8"/>
  <c r="D1256" i="8"/>
  <c r="H1255" i="8"/>
  <c r="D1255" i="8"/>
  <c r="H1254" i="8"/>
  <c r="D1254" i="8"/>
  <c r="H1253" i="8"/>
  <c r="D1253" i="8"/>
  <c r="H1252" i="8"/>
  <c r="D1252" i="8"/>
  <c r="H1251" i="8"/>
  <c r="D1251" i="8"/>
  <c r="H1250" i="8"/>
  <c r="D1250" i="8"/>
  <c r="H1249" i="8"/>
  <c r="D1249" i="8"/>
  <c r="H1248" i="8"/>
  <c r="D1248" i="8"/>
  <c r="H1247" i="8"/>
  <c r="D1247" i="8"/>
  <c r="H1246" i="8"/>
  <c r="D1246" i="8"/>
  <c r="H1245" i="8"/>
  <c r="D1245" i="8"/>
  <c r="H1244" i="8"/>
  <c r="D1244" i="8"/>
  <c r="H1243" i="8"/>
  <c r="D1243" i="8"/>
  <c r="H1242" i="8"/>
  <c r="D1242" i="8"/>
  <c r="H1241" i="8"/>
  <c r="D1241" i="8"/>
  <c r="H1240" i="8"/>
  <c r="D1240" i="8"/>
  <c r="H1239" i="8"/>
  <c r="D1239" i="8"/>
  <c r="H1238" i="8"/>
  <c r="D1238" i="8"/>
  <c r="H1237" i="8"/>
  <c r="D1237" i="8"/>
  <c r="H1236" i="8"/>
  <c r="D1236" i="8"/>
  <c r="H1235" i="8"/>
  <c r="D1235" i="8"/>
  <c r="H1234" i="8"/>
  <c r="D1234" i="8"/>
  <c r="H1233" i="8"/>
  <c r="D1233" i="8"/>
  <c r="H1232" i="8"/>
  <c r="D1232" i="8"/>
  <c r="H1231" i="8"/>
  <c r="D1231" i="8"/>
  <c r="H1230" i="8"/>
  <c r="D1230" i="8"/>
  <c r="H1229" i="8"/>
  <c r="D1229" i="8"/>
  <c r="H1228" i="8"/>
  <c r="D1228" i="8"/>
  <c r="H1227" i="8"/>
  <c r="D1227" i="8"/>
  <c r="H1226" i="8"/>
  <c r="D1226" i="8"/>
  <c r="H1225" i="8"/>
  <c r="D1225" i="8"/>
  <c r="H1224" i="8"/>
  <c r="D1224" i="8"/>
  <c r="H1223" i="8"/>
  <c r="D1223" i="8"/>
  <c r="H1222" i="8"/>
  <c r="D1222" i="8"/>
  <c r="H1221" i="8"/>
  <c r="D1221" i="8"/>
  <c r="H1220" i="8"/>
  <c r="D1220" i="8"/>
  <c r="H1219" i="8"/>
  <c r="D1219" i="8"/>
  <c r="H1218" i="8"/>
  <c r="D1218" i="8"/>
  <c r="H1217" i="8"/>
  <c r="D1217" i="8"/>
  <c r="H1216" i="8"/>
  <c r="D1216" i="8"/>
  <c r="H1215" i="8"/>
  <c r="D1215" i="8"/>
  <c r="H1214" i="8"/>
  <c r="D1214" i="8"/>
  <c r="H1213" i="8"/>
  <c r="D1213" i="8"/>
  <c r="H1212" i="8"/>
  <c r="D1212" i="8"/>
  <c r="H1211" i="8"/>
  <c r="D1211" i="8"/>
  <c r="H1210" i="8"/>
  <c r="D1210" i="8"/>
  <c r="H1209" i="8"/>
  <c r="D1209" i="8"/>
  <c r="H1208" i="8"/>
  <c r="D1208" i="8"/>
  <c r="H1207" i="8"/>
  <c r="D1207" i="8"/>
  <c r="H1206" i="8"/>
  <c r="D1206" i="8"/>
  <c r="H1205" i="8"/>
  <c r="D1205" i="8"/>
  <c r="H1204" i="8"/>
  <c r="D1204" i="8"/>
  <c r="H1203" i="8"/>
  <c r="D1203" i="8"/>
  <c r="H1202" i="8"/>
  <c r="D1202" i="8"/>
  <c r="H1201" i="8"/>
  <c r="D1201" i="8"/>
  <c r="H1200" i="8"/>
  <c r="D1200" i="8"/>
  <c r="H1199" i="8"/>
  <c r="D1199" i="8"/>
  <c r="H1198" i="8"/>
  <c r="D1198" i="8"/>
  <c r="H1197" i="8"/>
  <c r="D1197" i="8"/>
  <c r="H1196" i="8"/>
  <c r="D1196" i="8"/>
  <c r="H1195" i="8"/>
  <c r="D1195" i="8"/>
  <c r="H1194" i="8"/>
  <c r="D1194" i="8"/>
  <c r="H1193" i="8"/>
  <c r="D1193" i="8"/>
  <c r="H1192" i="8"/>
  <c r="D1192" i="8"/>
  <c r="H1191" i="8"/>
  <c r="D1191" i="8"/>
  <c r="H1190" i="8"/>
  <c r="D1190" i="8"/>
  <c r="H1189" i="8"/>
  <c r="D1189" i="8"/>
  <c r="H1188" i="8"/>
  <c r="D1188" i="8"/>
  <c r="H1187" i="8"/>
  <c r="D1187" i="8"/>
  <c r="H1186" i="8"/>
  <c r="D1186" i="8"/>
  <c r="H1185" i="8"/>
  <c r="D1185" i="8"/>
  <c r="H1184" i="8"/>
  <c r="D1184" i="8"/>
  <c r="H1183" i="8"/>
  <c r="D1183" i="8"/>
  <c r="H1182" i="8"/>
  <c r="D1182" i="8"/>
  <c r="H1181" i="8"/>
  <c r="D1181" i="8"/>
  <c r="H1180" i="8"/>
  <c r="D1180" i="8"/>
  <c r="H1179" i="8"/>
  <c r="D1179" i="8"/>
  <c r="H1178" i="8"/>
  <c r="D1178" i="8"/>
  <c r="H1177" i="8"/>
  <c r="D1177" i="8"/>
  <c r="H1176" i="8"/>
  <c r="D1176" i="8"/>
  <c r="H1175" i="8"/>
  <c r="D1175" i="8"/>
  <c r="H1174" i="8"/>
  <c r="D1174" i="8"/>
  <c r="H1173" i="8"/>
  <c r="D1173" i="8"/>
  <c r="H1172" i="8"/>
  <c r="D1172" i="8"/>
  <c r="H1171" i="8"/>
  <c r="D1171" i="8"/>
  <c r="H1170" i="8"/>
  <c r="D1170" i="8"/>
  <c r="H1169" i="8"/>
  <c r="D1169" i="8"/>
  <c r="H1168" i="8"/>
  <c r="D1168" i="8"/>
  <c r="H1167" i="8"/>
  <c r="D1167" i="8"/>
  <c r="H1166" i="8"/>
  <c r="D1166" i="8"/>
  <c r="H1165" i="8"/>
  <c r="D1165" i="8"/>
  <c r="H1164" i="8"/>
  <c r="D1164" i="8"/>
  <c r="H1163" i="8"/>
  <c r="D1163" i="8"/>
  <c r="H1162" i="8"/>
  <c r="D1162" i="8"/>
  <c r="H1161" i="8"/>
  <c r="D1161" i="8"/>
  <c r="H1160" i="8"/>
  <c r="D1160" i="8"/>
  <c r="H1159" i="8"/>
  <c r="D1159" i="8"/>
  <c r="H1158" i="8"/>
  <c r="D1158" i="8"/>
  <c r="H1157" i="8"/>
  <c r="D1157" i="8"/>
  <c r="H1156" i="8"/>
  <c r="D1156" i="8"/>
  <c r="H1155" i="8"/>
  <c r="D1155" i="8"/>
  <c r="H1154" i="8"/>
  <c r="D1154" i="8"/>
  <c r="H1153" i="8"/>
  <c r="D1153" i="8"/>
  <c r="H1152" i="8"/>
  <c r="D1152" i="8"/>
  <c r="H1151" i="8"/>
  <c r="D1151" i="8"/>
  <c r="H1150" i="8"/>
  <c r="D1150" i="8"/>
  <c r="H1149" i="8"/>
  <c r="D1149" i="8"/>
  <c r="H1148" i="8"/>
  <c r="D1148" i="8"/>
  <c r="H1147" i="8"/>
  <c r="D1147" i="8"/>
  <c r="H1146" i="8"/>
  <c r="D1146" i="8"/>
  <c r="H1145" i="8"/>
  <c r="D1145" i="8"/>
  <c r="H1144" i="8"/>
  <c r="D1144" i="8"/>
  <c r="H1143" i="8"/>
  <c r="D1143" i="8"/>
  <c r="H1142" i="8"/>
  <c r="D1142" i="8"/>
  <c r="H1141" i="8"/>
  <c r="D1141" i="8"/>
  <c r="H1140" i="8"/>
  <c r="D1140" i="8"/>
  <c r="H1139" i="8"/>
  <c r="D1139" i="8"/>
  <c r="H1138" i="8"/>
  <c r="D1138" i="8"/>
  <c r="H1137" i="8"/>
  <c r="D1137" i="8"/>
  <c r="H1136" i="8"/>
  <c r="D1136" i="8"/>
  <c r="H1135" i="8"/>
  <c r="D1135" i="8"/>
  <c r="H1134" i="8"/>
  <c r="D1134" i="8"/>
  <c r="H1133" i="8"/>
  <c r="D1133" i="8"/>
  <c r="H1132" i="8"/>
  <c r="D1132" i="8"/>
  <c r="H1131" i="8"/>
  <c r="D1131" i="8"/>
  <c r="H1130" i="8"/>
  <c r="D1130" i="8"/>
  <c r="H1129" i="8"/>
  <c r="D1129" i="8"/>
  <c r="H1128" i="8"/>
  <c r="D1128" i="8"/>
  <c r="H1127" i="8"/>
  <c r="D1127" i="8"/>
  <c r="H1126" i="8"/>
  <c r="D1126" i="8"/>
  <c r="H1125" i="8"/>
  <c r="D1125" i="8"/>
  <c r="H1124" i="8"/>
  <c r="D1124" i="8"/>
  <c r="H1123" i="8"/>
  <c r="D1123" i="8"/>
  <c r="H1122" i="8"/>
  <c r="D1122" i="8"/>
  <c r="H1121" i="8"/>
  <c r="D1121" i="8"/>
  <c r="H1120" i="8"/>
  <c r="D1120" i="8"/>
  <c r="H1119" i="8"/>
  <c r="D1119" i="8"/>
  <c r="H1118" i="8"/>
  <c r="D1118" i="8"/>
  <c r="H1117" i="8"/>
  <c r="D1117" i="8"/>
  <c r="H1116" i="8"/>
  <c r="D1116" i="8"/>
  <c r="H1115" i="8"/>
  <c r="D1115" i="8"/>
  <c r="H1114" i="8"/>
  <c r="D1114" i="8"/>
  <c r="H1113" i="8"/>
  <c r="D1113" i="8"/>
  <c r="H1112" i="8"/>
  <c r="D1112" i="8"/>
  <c r="H1111" i="8"/>
  <c r="D1111" i="8"/>
  <c r="H1110" i="8"/>
  <c r="D1110" i="8"/>
  <c r="H1109" i="8"/>
  <c r="D1109" i="8"/>
  <c r="H1108" i="8"/>
  <c r="D1108" i="8"/>
  <c r="H1107" i="8"/>
  <c r="D1107" i="8"/>
  <c r="H1106" i="8"/>
  <c r="D1106" i="8"/>
  <c r="H1105" i="8"/>
  <c r="D1105" i="8"/>
  <c r="H1104" i="8"/>
  <c r="D1104" i="8"/>
  <c r="H1103" i="8"/>
  <c r="D1103" i="8"/>
  <c r="H1102" i="8"/>
  <c r="D1102" i="8"/>
  <c r="H1101" i="8"/>
  <c r="D1101" i="8"/>
  <c r="H1100" i="8"/>
  <c r="D1100" i="8"/>
  <c r="H1099" i="8"/>
  <c r="D1099" i="8"/>
  <c r="H1098" i="8"/>
  <c r="D1098" i="8"/>
  <c r="H1097" i="8"/>
  <c r="D1097" i="8"/>
  <c r="H1096" i="8"/>
  <c r="D1096" i="8"/>
  <c r="H1095" i="8"/>
  <c r="D1095" i="8"/>
  <c r="H1094" i="8"/>
  <c r="D1094" i="8"/>
  <c r="H1093" i="8"/>
  <c r="D1093" i="8"/>
  <c r="H1092" i="8"/>
  <c r="D1092" i="8"/>
  <c r="H1091" i="8"/>
  <c r="D1091" i="8"/>
  <c r="H1090" i="8"/>
  <c r="D1090" i="8"/>
  <c r="H1089" i="8"/>
  <c r="D1089" i="8"/>
  <c r="H1088" i="8"/>
  <c r="D1088" i="8"/>
  <c r="H1087" i="8"/>
  <c r="D1087" i="8"/>
  <c r="H1086" i="8"/>
  <c r="D1086" i="8"/>
  <c r="H1085" i="8"/>
  <c r="D1085" i="8"/>
  <c r="H1084" i="8"/>
  <c r="D1084" i="8"/>
  <c r="H1083" i="8"/>
  <c r="D1083" i="8"/>
  <c r="H1082" i="8"/>
  <c r="D1082" i="8"/>
  <c r="H1081" i="8"/>
  <c r="D1081" i="8"/>
  <c r="H1080" i="8"/>
  <c r="D1080" i="8"/>
  <c r="H1079" i="8"/>
  <c r="D1079" i="8"/>
  <c r="H1078" i="8"/>
  <c r="D1078" i="8"/>
  <c r="H1077" i="8"/>
  <c r="D1077" i="8"/>
  <c r="H1076" i="8"/>
  <c r="D1076" i="8"/>
  <c r="H1075" i="8"/>
  <c r="D1075" i="8"/>
  <c r="H1074" i="8"/>
  <c r="D1074" i="8"/>
  <c r="H1073" i="8"/>
  <c r="D1073" i="8"/>
  <c r="H1072" i="8"/>
  <c r="D1072" i="8"/>
  <c r="H1071" i="8"/>
  <c r="D1071" i="8"/>
  <c r="H1070" i="8"/>
  <c r="D1070" i="8"/>
  <c r="H1069" i="8"/>
  <c r="D1069" i="8"/>
  <c r="H1068" i="8"/>
  <c r="D1068" i="8"/>
  <c r="H1067" i="8"/>
  <c r="D1067" i="8"/>
  <c r="H1066" i="8"/>
  <c r="D1066" i="8"/>
  <c r="H1065" i="8"/>
  <c r="D1065" i="8"/>
  <c r="H1064" i="8"/>
  <c r="D1064" i="8"/>
  <c r="H1063" i="8"/>
  <c r="D1063" i="8"/>
  <c r="H1062" i="8"/>
  <c r="D1062" i="8"/>
  <c r="H1061" i="8"/>
  <c r="D1061" i="8"/>
  <c r="H1060" i="8"/>
  <c r="D1060" i="8"/>
  <c r="H1059" i="8"/>
  <c r="D1059" i="8"/>
  <c r="H1058" i="8"/>
  <c r="D1058" i="8"/>
  <c r="H1057" i="8"/>
  <c r="D1057" i="8"/>
  <c r="H1056" i="8"/>
  <c r="D1056" i="8"/>
  <c r="H1055" i="8"/>
  <c r="D1055" i="8"/>
  <c r="H1054" i="8"/>
  <c r="D1054" i="8"/>
  <c r="H1053" i="8"/>
  <c r="D1053" i="8"/>
  <c r="H1052" i="8"/>
  <c r="D1052" i="8"/>
  <c r="H1051" i="8"/>
  <c r="D1051" i="8"/>
  <c r="H1050" i="8"/>
  <c r="D1050" i="8"/>
  <c r="H1049" i="8"/>
  <c r="D1049" i="8"/>
  <c r="H1048" i="8"/>
  <c r="D1048" i="8"/>
  <c r="H1047" i="8"/>
  <c r="D1047" i="8"/>
  <c r="H1046" i="8"/>
  <c r="D1046" i="8"/>
  <c r="H1045" i="8"/>
  <c r="D1045" i="8"/>
  <c r="H1044" i="8"/>
  <c r="D1044" i="8"/>
  <c r="H1043" i="8"/>
  <c r="D1043" i="8"/>
  <c r="H1042" i="8"/>
  <c r="D1042" i="8"/>
  <c r="H1041" i="8"/>
  <c r="D1041" i="8"/>
  <c r="H1040" i="8"/>
  <c r="D1040" i="8"/>
  <c r="H1039" i="8"/>
  <c r="D1039" i="8"/>
  <c r="H1038" i="8"/>
  <c r="D1038" i="8"/>
  <c r="H1037" i="8"/>
  <c r="D1037" i="8"/>
  <c r="H1036" i="8"/>
  <c r="D1036" i="8"/>
  <c r="H1035" i="8"/>
  <c r="D1035" i="8"/>
  <c r="H1034" i="8"/>
  <c r="D1034" i="8"/>
  <c r="H1033" i="8"/>
  <c r="D1033" i="8"/>
  <c r="H1032" i="8"/>
  <c r="D1032" i="8"/>
  <c r="H1031" i="8"/>
  <c r="D1031" i="8"/>
  <c r="H1030" i="8"/>
  <c r="D1030" i="8"/>
  <c r="H1029" i="8"/>
  <c r="D1029" i="8"/>
  <c r="H1028" i="8"/>
  <c r="D1028" i="8"/>
  <c r="H1027" i="8"/>
  <c r="D1027" i="8"/>
  <c r="H1026" i="8"/>
  <c r="D1026" i="8"/>
  <c r="H1025" i="8"/>
  <c r="D1025" i="8"/>
  <c r="H1024" i="8"/>
  <c r="D1024" i="8"/>
  <c r="H1023" i="8"/>
  <c r="D1023" i="8"/>
  <c r="H1022" i="8"/>
  <c r="D1022" i="8"/>
  <c r="H1021" i="8"/>
  <c r="D1021" i="8"/>
  <c r="H1020" i="8"/>
  <c r="D1020" i="8"/>
  <c r="H1019" i="8"/>
  <c r="D1019" i="8"/>
  <c r="H1018" i="8"/>
  <c r="D1018" i="8"/>
  <c r="H1017" i="8"/>
  <c r="D1017" i="8"/>
  <c r="H1016" i="8"/>
  <c r="D1016" i="8"/>
  <c r="H1015" i="8"/>
  <c r="D1015" i="8"/>
  <c r="H1014" i="8"/>
  <c r="D1014" i="8"/>
  <c r="H1013" i="8"/>
  <c r="D1013" i="8"/>
  <c r="H1012" i="8"/>
  <c r="D1012" i="8"/>
  <c r="H1011" i="8"/>
  <c r="D1011" i="8"/>
  <c r="H1010" i="8"/>
  <c r="D1010" i="8"/>
  <c r="H1009" i="8"/>
  <c r="D1009" i="8"/>
  <c r="H1008" i="8"/>
  <c r="D1008" i="8"/>
  <c r="H1007" i="8"/>
  <c r="D1007" i="8"/>
  <c r="H1006" i="8"/>
  <c r="D1006" i="8"/>
  <c r="H1005" i="8"/>
  <c r="D1005" i="8"/>
  <c r="H1004" i="8"/>
  <c r="D1004" i="8"/>
  <c r="H1003" i="8"/>
  <c r="D1003" i="8"/>
  <c r="H1002" i="8"/>
  <c r="D1002" i="8"/>
  <c r="H1001" i="8"/>
  <c r="D1001" i="8"/>
  <c r="H1000" i="8"/>
  <c r="D1000" i="8"/>
  <c r="H999" i="8"/>
  <c r="D999" i="8"/>
  <c r="H998" i="8"/>
  <c r="D998" i="8"/>
  <c r="H997" i="8"/>
  <c r="D997" i="8"/>
  <c r="H996" i="8"/>
  <c r="D996" i="8"/>
  <c r="H995" i="8"/>
  <c r="D995" i="8"/>
  <c r="H994" i="8"/>
  <c r="D994" i="8"/>
  <c r="H993" i="8"/>
  <c r="D993" i="8"/>
  <c r="H992" i="8"/>
  <c r="D992" i="8"/>
  <c r="H991" i="8"/>
  <c r="D991" i="8"/>
  <c r="H990" i="8"/>
  <c r="D990" i="8"/>
  <c r="H989" i="8"/>
  <c r="D989" i="8"/>
  <c r="H988" i="8"/>
  <c r="D988" i="8"/>
  <c r="H987" i="8"/>
  <c r="D987" i="8"/>
  <c r="H986" i="8"/>
  <c r="D986" i="8"/>
  <c r="H985" i="8"/>
  <c r="D985" i="8"/>
  <c r="H984" i="8"/>
  <c r="D984" i="8"/>
  <c r="H983" i="8"/>
  <c r="D983" i="8"/>
  <c r="H982" i="8"/>
  <c r="D982" i="8"/>
  <c r="H981" i="8"/>
  <c r="D981" i="8"/>
  <c r="H980" i="8"/>
  <c r="D980" i="8"/>
  <c r="H979" i="8"/>
  <c r="D979" i="8"/>
  <c r="H978" i="8"/>
  <c r="D978" i="8"/>
  <c r="H977" i="8"/>
  <c r="D977" i="8"/>
  <c r="H976" i="8"/>
  <c r="D976" i="8"/>
  <c r="H975" i="8"/>
  <c r="D975" i="8"/>
  <c r="H974" i="8"/>
  <c r="D974" i="8"/>
  <c r="H973" i="8"/>
  <c r="D973" i="8"/>
  <c r="H972" i="8"/>
  <c r="D972" i="8"/>
  <c r="H971" i="8"/>
  <c r="D971" i="8"/>
  <c r="H970" i="8"/>
  <c r="D970" i="8"/>
  <c r="H969" i="8"/>
  <c r="D969" i="8"/>
  <c r="H968" i="8"/>
  <c r="D968" i="8"/>
  <c r="H967" i="8"/>
  <c r="D967" i="8"/>
  <c r="H966" i="8"/>
  <c r="D966" i="8"/>
  <c r="H965" i="8"/>
  <c r="D965" i="8"/>
  <c r="H964" i="8"/>
  <c r="D964" i="8"/>
  <c r="H963" i="8"/>
  <c r="D963" i="8"/>
  <c r="H962" i="8"/>
  <c r="D962" i="8"/>
  <c r="H961" i="8"/>
  <c r="D961" i="8"/>
  <c r="H960" i="8"/>
  <c r="D960" i="8"/>
  <c r="H959" i="8"/>
  <c r="D959" i="8"/>
  <c r="H958" i="8"/>
  <c r="D958" i="8"/>
  <c r="H957" i="8"/>
  <c r="D957" i="8"/>
  <c r="H956" i="8"/>
  <c r="D956" i="8"/>
  <c r="H955" i="8"/>
  <c r="D955" i="8"/>
  <c r="H954" i="8"/>
  <c r="D954" i="8"/>
  <c r="H953" i="8"/>
  <c r="D953" i="8"/>
  <c r="H952" i="8"/>
  <c r="D952" i="8"/>
  <c r="H951" i="8"/>
  <c r="D951" i="8"/>
  <c r="H950" i="8"/>
  <c r="D950" i="8"/>
  <c r="H949" i="8"/>
  <c r="D949" i="8"/>
  <c r="H948" i="8"/>
  <c r="D948" i="8"/>
  <c r="H947" i="8"/>
  <c r="D947" i="8"/>
  <c r="H946" i="8"/>
  <c r="D946" i="8"/>
  <c r="H945" i="8"/>
  <c r="D945" i="8"/>
  <c r="H944" i="8"/>
  <c r="D944" i="8"/>
  <c r="H943" i="8"/>
  <c r="D943" i="8"/>
  <c r="H942" i="8"/>
  <c r="D942" i="8"/>
  <c r="H941" i="8"/>
  <c r="D941" i="8"/>
  <c r="H940" i="8"/>
  <c r="D940" i="8"/>
  <c r="H939" i="8"/>
  <c r="D939" i="8"/>
  <c r="H938" i="8"/>
  <c r="D938" i="8"/>
  <c r="H937" i="8"/>
  <c r="D937" i="8"/>
  <c r="H936" i="8"/>
  <c r="D936" i="8"/>
  <c r="H935" i="8"/>
  <c r="D935" i="8"/>
  <c r="H934" i="8"/>
  <c r="D934" i="8"/>
  <c r="H933" i="8"/>
  <c r="D933" i="8"/>
  <c r="H932" i="8"/>
  <c r="D932" i="8"/>
  <c r="H931" i="8"/>
  <c r="D931" i="8"/>
  <c r="H930" i="8"/>
  <c r="D930" i="8"/>
  <c r="H929" i="8"/>
  <c r="D929" i="8"/>
  <c r="H928" i="8"/>
  <c r="D928" i="8"/>
  <c r="H927" i="8"/>
  <c r="D927" i="8"/>
  <c r="H926" i="8"/>
  <c r="D926" i="8"/>
  <c r="H925" i="8"/>
  <c r="D925" i="8"/>
  <c r="H924" i="8"/>
  <c r="D924" i="8"/>
  <c r="H923" i="8"/>
  <c r="D923" i="8"/>
  <c r="H922" i="8"/>
  <c r="D922" i="8"/>
  <c r="H921" i="8"/>
  <c r="D921" i="8"/>
  <c r="H920" i="8"/>
  <c r="D920" i="8"/>
  <c r="H919" i="8"/>
  <c r="D919" i="8"/>
  <c r="H918" i="8"/>
  <c r="D918" i="8"/>
  <c r="H917" i="8"/>
  <c r="D917" i="8"/>
  <c r="H916" i="8"/>
  <c r="D916" i="8"/>
  <c r="H915" i="8"/>
  <c r="D915" i="8"/>
  <c r="H914" i="8"/>
  <c r="D914" i="8"/>
  <c r="H913" i="8"/>
  <c r="D913" i="8"/>
  <c r="H912" i="8"/>
  <c r="D912" i="8"/>
  <c r="H911" i="8"/>
  <c r="D911" i="8"/>
  <c r="H910" i="8"/>
  <c r="D910" i="8"/>
  <c r="H909" i="8"/>
  <c r="D909" i="8"/>
  <c r="H908" i="8"/>
  <c r="D908" i="8"/>
  <c r="H907" i="8"/>
  <c r="D907" i="8"/>
  <c r="H906" i="8"/>
  <c r="D906" i="8"/>
  <c r="H905" i="8"/>
  <c r="D905" i="8"/>
  <c r="H904" i="8"/>
  <c r="D904" i="8"/>
  <c r="H903" i="8"/>
  <c r="D903" i="8"/>
  <c r="H902" i="8"/>
  <c r="D902" i="8"/>
  <c r="H901" i="8"/>
  <c r="D901" i="8"/>
  <c r="H900" i="8"/>
  <c r="D900" i="8"/>
  <c r="H899" i="8"/>
  <c r="D899" i="8"/>
  <c r="H898" i="8"/>
  <c r="D898" i="8"/>
  <c r="H897" i="8"/>
  <c r="D897" i="8"/>
  <c r="H896" i="8"/>
  <c r="D896" i="8"/>
  <c r="H895" i="8"/>
  <c r="D895" i="8"/>
  <c r="H894" i="8"/>
  <c r="D894" i="8"/>
  <c r="H893" i="8"/>
  <c r="D893" i="8"/>
  <c r="H892" i="8"/>
  <c r="D892" i="8"/>
  <c r="H891" i="8"/>
  <c r="D891" i="8"/>
  <c r="H890" i="8"/>
  <c r="D890" i="8"/>
  <c r="H889" i="8"/>
  <c r="D889" i="8"/>
  <c r="H888" i="8"/>
  <c r="D888" i="8"/>
  <c r="H887" i="8"/>
  <c r="D887" i="8"/>
  <c r="H886" i="8"/>
  <c r="D886" i="8"/>
  <c r="H885" i="8"/>
  <c r="D885" i="8"/>
  <c r="H884" i="8"/>
  <c r="D884" i="8"/>
  <c r="H883" i="8"/>
  <c r="D883" i="8"/>
  <c r="H882" i="8"/>
  <c r="D882" i="8"/>
  <c r="H881" i="8"/>
  <c r="D881" i="8"/>
  <c r="H880" i="8"/>
  <c r="D880" i="8"/>
  <c r="H879" i="8"/>
  <c r="D879" i="8"/>
  <c r="H878" i="8"/>
  <c r="D878" i="8"/>
  <c r="H877" i="8"/>
  <c r="D877" i="8"/>
  <c r="H876" i="8"/>
  <c r="D876" i="8"/>
  <c r="H875" i="8"/>
  <c r="D875" i="8"/>
  <c r="H874" i="8"/>
  <c r="D874" i="8"/>
  <c r="H873" i="8"/>
  <c r="D873" i="8"/>
  <c r="H872" i="8"/>
  <c r="D872" i="8"/>
  <c r="H871" i="8"/>
  <c r="D871" i="8"/>
  <c r="H870" i="8"/>
  <c r="D870" i="8"/>
  <c r="H869" i="8"/>
  <c r="D869" i="8"/>
  <c r="H868" i="8"/>
  <c r="D868" i="8"/>
  <c r="H867" i="8"/>
  <c r="D867" i="8"/>
  <c r="H866" i="8"/>
  <c r="D866" i="8"/>
  <c r="H865" i="8"/>
  <c r="D865" i="8"/>
  <c r="H864" i="8"/>
  <c r="D864" i="8"/>
  <c r="H863" i="8"/>
  <c r="D863" i="8"/>
  <c r="H862" i="8"/>
  <c r="D862" i="8"/>
  <c r="H861" i="8"/>
  <c r="D861" i="8"/>
  <c r="H860" i="8"/>
  <c r="D860" i="8"/>
  <c r="H859" i="8"/>
  <c r="D859" i="8"/>
  <c r="H858" i="8"/>
  <c r="D858" i="8"/>
  <c r="H857" i="8"/>
  <c r="D857" i="8"/>
  <c r="H856" i="8"/>
  <c r="D856" i="8"/>
  <c r="H855" i="8"/>
  <c r="D855" i="8"/>
  <c r="H854" i="8"/>
  <c r="D854" i="8"/>
  <c r="H853" i="8"/>
  <c r="D853" i="8"/>
  <c r="H852" i="8"/>
  <c r="D852" i="8"/>
  <c r="H851" i="8"/>
  <c r="D851" i="8"/>
  <c r="H850" i="8"/>
  <c r="D850" i="8"/>
  <c r="H849" i="8"/>
  <c r="D849" i="8"/>
  <c r="H848" i="8"/>
  <c r="D848" i="8"/>
  <c r="H847" i="8"/>
  <c r="D847" i="8"/>
  <c r="H846" i="8"/>
  <c r="D846" i="8"/>
  <c r="H845" i="8"/>
  <c r="D845" i="8"/>
  <c r="H844" i="8"/>
  <c r="D844" i="8"/>
  <c r="H843" i="8"/>
  <c r="D843" i="8"/>
  <c r="H842" i="8"/>
  <c r="D842" i="8"/>
  <c r="H841" i="8"/>
  <c r="D841" i="8"/>
  <c r="H840" i="8"/>
  <c r="D840" i="8"/>
  <c r="H839" i="8"/>
  <c r="D839" i="8"/>
  <c r="H838" i="8"/>
  <c r="D838" i="8"/>
  <c r="H837" i="8"/>
  <c r="D837" i="8"/>
  <c r="H836" i="8"/>
  <c r="D836" i="8"/>
  <c r="H835" i="8"/>
  <c r="D835" i="8"/>
  <c r="H834" i="8"/>
  <c r="D834" i="8"/>
  <c r="H833" i="8"/>
  <c r="D833" i="8"/>
  <c r="H832" i="8"/>
  <c r="D832" i="8"/>
  <c r="H831" i="8"/>
  <c r="D831" i="8"/>
  <c r="H830" i="8"/>
  <c r="D830" i="8"/>
  <c r="H829" i="8"/>
  <c r="D829" i="8"/>
  <c r="H828" i="8"/>
  <c r="D828" i="8"/>
  <c r="H827" i="8"/>
  <c r="D827" i="8"/>
  <c r="H826" i="8"/>
  <c r="D826" i="8"/>
  <c r="H825" i="8"/>
  <c r="D825" i="8"/>
  <c r="H824" i="8"/>
  <c r="D824" i="8"/>
  <c r="H823" i="8"/>
  <c r="D823" i="8"/>
  <c r="H822" i="8"/>
  <c r="D822" i="8"/>
  <c r="H821" i="8"/>
  <c r="D821" i="8"/>
  <c r="H820" i="8"/>
  <c r="D820" i="8"/>
  <c r="H819" i="8"/>
  <c r="D819" i="8"/>
  <c r="H818" i="8"/>
  <c r="D818" i="8"/>
  <c r="H817" i="8"/>
  <c r="D817" i="8"/>
  <c r="H816" i="8"/>
  <c r="D816" i="8"/>
  <c r="H815" i="8"/>
  <c r="D815" i="8"/>
  <c r="H814" i="8"/>
  <c r="D814" i="8"/>
  <c r="H813" i="8"/>
  <c r="D813" i="8"/>
  <c r="H812" i="8"/>
  <c r="D812" i="8"/>
  <c r="H811" i="8"/>
  <c r="D811" i="8"/>
  <c r="H810" i="8"/>
  <c r="D810" i="8"/>
  <c r="H809" i="8"/>
  <c r="D809" i="8"/>
  <c r="H808" i="8"/>
  <c r="D808" i="8"/>
  <c r="H807" i="8"/>
  <c r="D807" i="8"/>
  <c r="H806" i="8"/>
  <c r="D806" i="8"/>
  <c r="H805" i="8"/>
  <c r="D805" i="8"/>
  <c r="H804" i="8"/>
  <c r="D804" i="8"/>
  <c r="H803" i="8"/>
  <c r="D803" i="8"/>
  <c r="H802" i="8"/>
  <c r="D802" i="8"/>
  <c r="H801" i="8"/>
  <c r="D801" i="8"/>
  <c r="H800" i="8"/>
  <c r="D800" i="8"/>
  <c r="H799" i="8"/>
  <c r="D799" i="8"/>
  <c r="H798" i="8"/>
  <c r="D798" i="8"/>
  <c r="H797" i="8"/>
  <c r="D797" i="8"/>
  <c r="H796" i="8"/>
  <c r="D796" i="8"/>
  <c r="H795" i="8"/>
  <c r="D795" i="8"/>
  <c r="H794" i="8"/>
  <c r="D794" i="8"/>
  <c r="H793" i="8"/>
  <c r="D793" i="8"/>
  <c r="H792" i="8"/>
  <c r="D792" i="8"/>
  <c r="H791" i="8"/>
  <c r="D791" i="8"/>
  <c r="H790" i="8"/>
  <c r="D790" i="8"/>
  <c r="H789" i="8"/>
  <c r="D789" i="8"/>
  <c r="H788" i="8"/>
  <c r="D788" i="8"/>
  <c r="H787" i="8"/>
  <c r="D787" i="8"/>
  <c r="H786" i="8"/>
  <c r="D786" i="8"/>
  <c r="H785" i="8"/>
  <c r="D785" i="8"/>
  <c r="H784" i="8"/>
  <c r="D784" i="8"/>
  <c r="H783" i="8"/>
  <c r="D783" i="8"/>
  <c r="H782" i="8"/>
  <c r="D782" i="8"/>
  <c r="H781" i="8"/>
  <c r="D781" i="8"/>
  <c r="H780" i="8"/>
  <c r="D780" i="8"/>
  <c r="H779" i="8"/>
  <c r="D779" i="8"/>
  <c r="H778" i="8"/>
  <c r="D778" i="8"/>
  <c r="H777" i="8"/>
  <c r="D777" i="8"/>
  <c r="H776" i="8"/>
  <c r="D776" i="8"/>
  <c r="H775" i="8"/>
  <c r="D775" i="8"/>
  <c r="H774" i="8"/>
  <c r="D774" i="8"/>
  <c r="H773" i="8"/>
  <c r="D773" i="8"/>
  <c r="H772" i="8"/>
  <c r="D772" i="8"/>
  <c r="H771" i="8"/>
  <c r="D771" i="8"/>
  <c r="H770" i="8"/>
  <c r="D770" i="8"/>
  <c r="H769" i="8"/>
  <c r="D769" i="8"/>
  <c r="H768" i="8"/>
  <c r="D768" i="8"/>
  <c r="H767" i="8"/>
  <c r="D767" i="8"/>
  <c r="H766" i="8"/>
  <c r="D766" i="8"/>
  <c r="H765" i="8"/>
  <c r="D765" i="8"/>
  <c r="H764" i="8"/>
  <c r="D764" i="8"/>
  <c r="H763" i="8"/>
  <c r="D763" i="8"/>
  <c r="H762" i="8"/>
  <c r="D762" i="8"/>
  <c r="H761" i="8"/>
  <c r="D761" i="8"/>
  <c r="H760" i="8"/>
  <c r="D760" i="8"/>
  <c r="H759" i="8"/>
  <c r="D759" i="8"/>
  <c r="H758" i="8"/>
  <c r="D758" i="8"/>
  <c r="H757" i="8"/>
  <c r="D757" i="8"/>
  <c r="H756" i="8"/>
  <c r="D756" i="8"/>
  <c r="H755" i="8"/>
  <c r="D755" i="8"/>
  <c r="H754" i="8"/>
  <c r="D754" i="8"/>
  <c r="H753" i="8"/>
  <c r="D753" i="8"/>
  <c r="H752" i="8"/>
  <c r="D752" i="8"/>
  <c r="H751" i="8"/>
  <c r="D751" i="8"/>
  <c r="H750" i="8"/>
  <c r="D750" i="8"/>
  <c r="H749" i="8"/>
  <c r="D749" i="8"/>
  <c r="H748" i="8"/>
  <c r="D748" i="8"/>
  <c r="H747" i="8"/>
  <c r="D747" i="8"/>
  <c r="H746" i="8"/>
  <c r="D746" i="8"/>
  <c r="H745" i="8"/>
  <c r="D745" i="8"/>
  <c r="H744" i="8"/>
  <c r="D744" i="8"/>
  <c r="H743" i="8"/>
  <c r="D743" i="8"/>
  <c r="H742" i="8"/>
  <c r="D742" i="8"/>
  <c r="H741" i="8"/>
  <c r="D741" i="8"/>
  <c r="H740" i="8"/>
  <c r="D740" i="8"/>
  <c r="H739" i="8"/>
  <c r="D739" i="8"/>
  <c r="H738" i="8"/>
  <c r="D738" i="8"/>
  <c r="H737" i="8"/>
  <c r="D737" i="8"/>
  <c r="H736" i="8"/>
  <c r="D736" i="8"/>
  <c r="H735" i="8"/>
  <c r="D735" i="8"/>
  <c r="H734" i="8"/>
  <c r="D734" i="8"/>
  <c r="H733" i="8"/>
  <c r="D733" i="8"/>
  <c r="H732" i="8"/>
  <c r="D732" i="8"/>
  <c r="H731" i="8"/>
  <c r="D731" i="8"/>
  <c r="H730" i="8"/>
  <c r="D730" i="8"/>
  <c r="H729" i="8"/>
  <c r="D729" i="8"/>
  <c r="H728" i="8"/>
  <c r="D728" i="8"/>
  <c r="H727" i="8"/>
  <c r="D727" i="8"/>
  <c r="H726" i="8"/>
  <c r="D726" i="8"/>
  <c r="H725" i="8"/>
  <c r="D725" i="8"/>
  <c r="H724" i="8"/>
  <c r="D724" i="8"/>
  <c r="H723" i="8"/>
  <c r="D723" i="8"/>
  <c r="H722" i="8"/>
  <c r="D722" i="8"/>
  <c r="H721" i="8"/>
  <c r="D721" i="8"/>
  <c r="H720" i="8"/>
  <c r="D720" i="8"/>
  <c r="H719" i="8"/>
  <c r="D719" i="8"/>
  <c r="H718" i="8"/>
  <c r="D718" i="8"/>
  <c r="H717" i="8"/>
  <c r="D717" i="8"/>
  <c r="H716" i="8"/>
  <c r="D716" i="8"/>
  <c r="H715" i="8"/>
  <c r="D715" i="8"/>
  <c r="H714" i="8"/>
  <c r="D714" i="8"/>
  <c r="H713" i="8"/>
  <c r="D713" i="8"/>
  <c r="H712" i="8"/>
  <c r="D712" i="8"/>
  <c r="H711" i="8"/>
  <c r="D711" i="8"/>
  <c r="H710" i="8"/>
  <c r="D710" i="8"/>
  <c r="H709" i="8"/>
  <c r="D709" i="8"/>
  <c r="H708" i="8"/>
  <c r="D708" i="8"/>
  <c r="H707" i="8"/>
  <c r="D707" i="8"/>
  <c r="H706" i="8"/>
  <c r="D706" i="8"/>
  <c r="H705" i="8"/>
  <c r="D705" i="8"/>
  <c r="H704" i="8"/>
  <c r="D704" i="8"/>
  <c r="H703" i="8"/>
  <c r="D703" i="8"/>
  <c r="H702" i="8"/>
  <c r="D702" i="8"/>
  <c r="H701" i="8"/>
  <c r="D701" i="8"/>
  <c r="H700" i="8"/>
  <c r="D700" i="8"/>
  <c r="H699" i="8"/>
  <c r="D699" i="8"/>
  <c r="H698" i="8"/>
  <c r="D698" i="8"/>
  <c r="H697" i="8"/>
  <c r="D697" i="8"/>
  <c r="H696" i="8"/>
  <c r="D696" i="8"/>
  <c r="H695" i="8"/>
  <c r="D695" i="8"/>
  <c r="H694" i="8"/>
  <c r="D694" i="8"/>
  <c r="H693" i="8"/>
  <c r="D693" i="8"/>
  <c r="H692" i="8"/>
  <c r="D692" i="8"/>
  <c r="H691" i="8"/>
  <c r="D691" i="8"/>
  <c r="H690" i="8"/>
  <c r="D690" i="8"/>
  <c r="H689" i="8"/>
  <c r="D689" i="8"/>
  <c r="H688" i="8"/>
  <c r="D688" i="8"/>
  <c r="H687" i="8"/>
  <c r="D687" i="8"/>
  <c r="H686" i="8"/>
  <c r="D686" i="8"/>
  <c r="H685" i="8"/>
  <c r="D685" i="8"/>
  <c r="H684" i="8"/>
  <c r="D684" i="8"/>
  <c r="H683" i="8"/>
  <c r="D683" i="8"/>
  <c r="H682" i="8"/>
  <c r="D682" i="8"/>
  <c r="H681" i="8"/>
  <c r="D681" i="8"/>
  <c r="H680" i="8"/>
  <c r="D680" i="8"/>
  <c r="H679" i="8"/>
  <c r="D679" i="8"/>
  <c r="H678" i="8"/>
  <c r="D678" i="8"/>
  <c r="H677" i="8"/>
  <c r="D677" i="8"/>
  <c r="H676" i="8"/>
  <c r="D676" i="8"/>
  <c r="H675" i="8"/>
  <c r="D675" i="8"/>
  <c r="H674" i="8"/>
  <c r="D674" i="8"/>
  <c r="H673" i="8"/>
  <c r="D673" i="8"/>
  <c r="H672" i="8"/>
  <c r="D672" i="8"/>
  <c r="H671" i="8"/>
  <c r="D671" i="8"/>
  <c r="H670" i="8"/>
  <c r="D670" i="8"/>
  <c r="H669" i="8"/>
  <c r="D669" i="8"/>
  <c r="H668" i="8"/>
  <c r="D668" i="8"/>
  <c r="H667" i="8"/>
  <c r="D667" i="8"/>
  <c r="H666" i="8"/>
  <c r="D666" i="8"/>
  <c r="H665" i="8"/>
  <c r="D665" i="8"/>
  <c r="H664" i="8"/>
  <c r="D664" i="8"/>
  <c r="H663" i="8"/>
  <c r="D663" i="8"/>
  <c r="H662" i="8"/>
  <c r="D662" i="8"/>
  <c r="H661" i="8"/>
  <c r="D661" i="8"/>
  <c r="H660" i="8"/>
  <c r="D660" i="8"/>
  <c r="H659" i="8"/>
  <c r="D659" i="8"/>
  <c r="H658" i="8"/>
  <c r="D658" i="8"/>
  <c r="H657" i="8"/>
  <c r="D657" i="8"/>
  <c r="H656" i="8"/>
  <c r="D656" i="8"/>
  <c r="H655" i="8"/>
  <c r="D655" i="8"/>
  <c r="H654" i="8"/>
  <c r="D654" i="8"/>
  <c r="H653" i="8"/>
  <c r="D653" i="8"/>
  <c r="H652" i="8"/>
  <c r="D652" i="8"/>
  <c r="H651" i="8"/>
  <c r="D651" i="8"/>
  <c r="H650" i="8"/>
  <c r="D650" i="8"/>
  <c r="H649" i="8"/>
  <c r="D649" i="8"/>
  <c r="H648" i="8"/>
  <c r="D648" i="8"/>
  <c r="H647" i="8"/>
  <c r="D647" i="8"/>
  <c r="H646" i="8"/>
  <c r="D646" i="8"/>
  <c r="H645" i="8"/>
  <c r="D645" i="8"/>
  <c r="H644" i="8"/>
  <c r="D644" i="8"/>
  <c r="H643" i="8"/>
  <c r="D643" i="8"/>
  <c r="H642" i="8"/>
  <c r="D642" i="8"/>
  <c r="H641" i="8"/>
  <c r="D641" i="8"/>
  <c r="H640" i="8"/>
  <c r="D640" i="8"/>
  <c r="H639" i="8"/>
  <c r="D639" i="8"/>
  <c r="H638" i="8"/>
  <c r="D638" i="8"/>
  <c r="H637" i="8"/>
  <c r="D637" i="8"/>
  <c r="H636" i="8"/>
  <c r="D636" i="8"/>
  <c r="H635" i="8"/>
  <c r="D635" i="8"/>
  <c r="H634" i="8"/>
  <c r="D634" i="8"/>
  <c r="H633" i="8"/>
  <c r="D633" i="8"/>
  <c r="H632" i="8"/>
  <c r="D632" i="8"/>
  <c r="H631" i="8"/>
  <c r="D631" i="8"/>
  <c r="H630" i="8"/>
  <c r="D630" i="8"/>
  <c r="H629" i="8"/>
  <c r="D629" i="8"/>
  <c r="H628" i="8"/>
  <c r="D628" i="8"/>
  <c r="H627" i="8"/>
  <c r="D627" i="8"/>
  <c r="H626" i="8"/>
  <c r="D626" i="8"/>
  <c r="H625" i="8"/>
  <c r="D625" i="8"/>
  <c r="H624" i="8"/>
  <c r="D624" i="8"/>
  <c r="H623" i="8"/>
  <c r="D623" i="8"/>
  <c r="H622" i="8"/>
  <c r="D622" i="8"/>
  <c r="H621" i="8"/>
  <c r="D621" i="8"/>
  <c r="H620" i="8"/>
  <c r="D620" i="8"/>
  <c r="H619" i="8"/>
  <c r="D619" i="8"/>
  <c r="H618" i="8"/>
  <c r="D618" i="8"/>
  <c r="H617" i="8"/>
  <c r="D617" i="8"/>
  <c r="H616" i="8"/>
  <c r="D616" i="8"/>
  <c r="H615" i="8"/>
  <c r="D615" i="8"/>
  <c r="H614" i="8"/>
  <c r="D614" i="8"/>
  <c r="H613" i="8"/>
  <c r="D613" i="8"/>
  <c r="H612" i="8"/>
  <c r="D612" i="8"/>
  <c r="H611" i="8"/>
  <c r="D611" i="8"/>
  <c r="H610" i="8"/>
  <c r="D610" i="8"/>
  <c r="H609" i="8"/>
  <c r="D609" i="8"/>
  <c r="H608" i="8"/>
  <c r="D608" i="8"/>
  <c r="H607" i="8"/>
  <c r="D607" i="8"/>
  <c r="H606" i="8"/>
  <c r="D606" i="8"/>
  <c r="H605" i="8"/>
  <c r="D605" i="8"/>
  <c r="H604" i="8"/>
  <c r="D604" i="8"/>
  <c r="H603" i="8"/>
  <c r="D603" i="8"/>
  <c r="H602" i="8"/>
  <c r="D602" i="8"/>
  <c r="H601" i="8"/>
  <c r="D601" i="8"/>
  <c r="H600" i="8"/>
  <c r="D600" i="8"/>
  <c r="H599" i="8"/>
  <c r="D599" i="8"/>
  <c r="H598" i="8"/>
  <c r="D598" i="8"/>
  <c r="H597" i="8"/>
  <c r="D597" i="8"/>
  <c r="H596" i="8"/>
  <c r="D596" i="8"/>
  <c r="H595" i="8"/>
  <c r="D595" i="8"/>
  <c r="H594" i="8"/>
  <c r="D594" i="8"/>
  <c r="H593" i="8"/>
  <c r="D593" i="8"/>
  <c r="H592" i="8"/>
  <c r="D592" i="8"/>
  <c r="H591" i="8"/>
  <c r="D591" i="8"/>
  <c r="H590" i="8"/>
  <c r="D590" i="8"/>
  <c r="H589" i="8"/>
  <c r="D589" i="8"/>
  <c r="H588" i="8"/>
  <c r="D588" i="8"/>
  <c r="H587" i="8"/>
  <c r="D587" i="8"/>
  <c r="H586" i="8"/>
  <c r="D586" i="8"/>
  <c r="H585" i="8"/>
  <c r="D585" i="8"/>
  <c r="H584" i="8"/>
  <c r="D584" i="8"/>
  <c r="H583" i="8"/>
  <c r="D583" i="8"/>
  <c r="H582" i="8"/>
  <c r="D582" i="8"/>
  <c r="H581" i="8"/>
  <c r="D581" i="8"/>
  <c r="H580" i="8"/>
  <c r="D580" i="8"/>
  <c r="H579" i="8"/>
  <c r="D579" i="8"/>
  <c r="H578" i="8"/>
  <c r="D578" i="8"/>
  <c r="H577" i="8"/>
  <c r="D577" i="8"/>
  <c r="H576" i="8"/>
  <c r="D576" i="8"/>
  <c r="H575" i="8"/>
  <c r="D575" i="8"/>
  <c r="H574" i="8"/>
  <c r="D574" i="8"/>
  <c r="H573" i="8"/>
  <c r="D573" i="8"/>
  <c r="H572" i="8"/>
  <c r="D572" i="8"/>
  <c r="H571" i="8"/>
  <c r="D571" i="8"/>
  <c r="H570" i="8"/>
  <c r="D570" i="8"/>
  <c r="H569" i="8"/>
  <c r="D569" i="8"/>
  <c r="H568" i="8"/>
  <c r="D568" i="8"/>
  <c r="H567" i="8"/>
  <c r="D567" i="8"/>
  <c r="H566" i="8"/>
  <c r="D566" i="8"/>
  <c r="H565" i="8"/>
  <c r="D565" i="8"/>
  <c r="H564" i="8"/>
  <c r="D564" i="8"/>
  <c r="H563" i="8"/>
  <c r="D563" i="8"/>
  <c r="H562" i="8"/>
  <c r="D562" i="8"/>
  <c r="H561" i="8"/>
  <c r="D561" i="8"/>
  <c r="H560" i="8"/>
  <c r="D560" i="8"/>
  <c r="H559" i="8"/>
  <c r="D559" i="8"/>
  <c r="H558" i="8"/>
  <c r="D558" i="8"/>
  <c r="H557" i="8"/>
  <c r="D557" i="8"/>
  <c r="H556" i="8"/>
  <c r="D556" i="8"/>
  <c r="H555" i="8"/>
  <c r="D555" i="8"/>
  <c r="H554" i="8"/>
  <c r="D554" i="8"/>
  <c r="H553" i="8"/>
  <c r="D553" i="8"/>
  <c r="H552" i="8"/>
  <c r="D552" i="8"/>
  <c r="H551" i="8"/>
  <c r="D551" i="8"/>
  <c r="H550" i="8"/>
  <c r="D550" i="8"/>
  <c r="H549" i="8"/>
  <c r="D549" i="8"/>
  <c r="H548" i="8"/>
  <c r="D548" i="8"/>
  <c r="H547" i="8"/>
  <c r="D547" i="8"/>
  <c r="H546" i="8"/>
  <c r="D546" i="8"/>
  <c r="H545" i="8"/>
  <c r="D545" i="8"/>
  <c r="H544" i="8"/>
  <c r="D544" i="8"/>
  <c r="H543" i="8"/>
  <c r="D543" i="8"/>
  <c r="H542" i="8"/>
  <c r="D542" i="8"/>
  <c r="H541" i="8"/>
  <c r="D541" i="8"/>
  <c r="H540" i="8"/>
  <c r="D540" i="8"/>
  <c r="H539" i="8"/>
  <c r="D539" i="8"/>
  <c r="H538" i="8"/>
  <c r="D538" i="8"/>
  <c r="H537" i="8"/>
  <c r="D537" i="8"/>
  <c r="H536" i="8"/>
  <c r="D536" i="8"/>
  <c r="H535" i="8"/>
  <c r="D535" i="8"/>
  <c r="H534" i="8"/>
  <c r="D534" i="8"/>
  <c r="H533" i="8"/>
  <c r="D533" i="8"/>
  <c r="H532" i="8"/>
  <c r="D532" i="8"/>
  <c r="H531" i="8"/>
  <c r="D531" i="8"/>
  <c r="H530" i="8"/>
  <c r="D530" i="8"/>
  <c r="H529" i="8"/>
  <c r="D529" i="8"/>
  <c r="H528" i="8"/>
  <c r="D528" i="8"/>
  <c r="H527" i="8"/>
  <c r="D527" i="8"/>
  <c r="H526" i="8"/>
  <c r="D526" i="8"/>
  <c r="H525" i="8"/>
  <c r="D525" i="8"/>
  <c r="H524" i="8"/>
  <c r="D524" i="8"/>
  <c r="H523" i="8"/>
  <c r="D523" i="8"/>
  <c r="H522" i="8"/>
  <c r="D522" i="8"/>
  <c r="H521" i="8"/>
  <c r="D521" i="8"/>
  <c r="H520" i="8"/>
  <c r="D520" i="8"/>
  <c r="H519" i="8"/>
  <c r="D519" i="8"/>
  <c r="H518" i="8"/>
  <c r="D518" i="8"/>
  <c r="H517" i="8"/>
  <c r="D517" i="8"/>
  <c r="H516" i="8"/>
  <c r="D516" i="8"/>
  <c r="H515" i="8"/>
  <c r="D515" i="8"/>
  <c r="H514" i="8"/>
  <c r="D514" i="8"/>
  <c r="H513" i="8"/>
  <c r="D513" i="8"/>
  <c r="H512" i="8"/>
  <c r="D512" i="8"/>
  <c r="H511" i="8"/>
  <c r="D511" i="8"/>
  <c r="H510" i="8"/>
  <c r="D510" i="8"/>
  <c r="H509" i="8"/>
  <c r="D509" i="8"/>
  <c r="H508" i="8"/>
  <c r="D508" i="8"/>
  <c r="H507" i="8"/>
  <c r="D507" i="8"/>
  <c r="H506" i="8"/>
  <c r="D506" i="8"/>
  <c r="H505" i="8"/>
  <c r="D505" i="8"/>
  <c r="H504" i="8"/>
  <c r="D504" i="8"/>
  <c r="H503" i="8"/>
  <c r="D503" i="8"/>
  <c r="H502" i="8"/>
  <c r="D502" i="8"/>
  <c r="H501" i="8"/>
  <c r="D501" i="8"/>
  <c r="H500" i="8"/>
  <c r="D500" i="8"/>
  <c r="H499" i="8"/>
  <c r="D499" i="8"/>
  <c r="H498" i="8"/>
  <c r="D498" i="8"/>
  <c r="H497" i="8"/>
  <c r="D497" i="8"/>
  <c r="H496" i="8"/>
  <c r="D496" i="8"/>
  <c r="H495" i="8"/>
  <c r="D495" i="8"/>
  <c r="H494" i="8"/>
  <c r="D494" i="8"/>
  <c r="H493" i="8"/>
  <c r="D493" i="8"/>
  <c r="H492" i="8"/>
  <c r="D492" i="8"/>
  <c r="H491" i="8"/>
  <c r="D491" i="8"/>
  <c r="H490" i="8"/>
  <c r="D490" i="8"/>
  <c r="H489" i="8"/>
  <c r="D489" i="8"/>
  <c r="H488" i="8"/>
  <c r="D488" i="8"/>
  <c r="H487" i="8"/>
  <c r="D487" i="8"/>
  <c r="H486" i="8"/>
  <c r="D486" i="8"/>
  <c r="H485" i="8"/>
  <c r="D485" i="8"/>
  <c r="H484" i="8"/>
  <c r="D484" i="8"/>
  <c r="H483" i="8"/>
  <c r="D483" i="8"/>
  <c r="H482" i="8"/>
  <c r="D482" i="8"/>
  <c r="H481" i="8"/>
  <c r="D481" i="8"/>
  <c r="H480" i="8"/>
  <c r="D480" i="8"/>
  <c r="H479" i="8"/>
  <c r="D479" i="8"/>
  <c r="H478" i="8"/>
  <c r="D478" i="8"/>
  <c r="H477" i="8"/>
  <c r="D477" i="8"/>
  <c r="H476" i="8"/>
  <c r="D476" i="8"/>
  <c r="H475" i="8"/>
  <c r="D475" i="8"/>
  <c r="H474" i="8"/>
  <c r="D474" i="8"/>
  <c r="H473" i="8"/>
  <c r="D473" i="8"/>
  <c r="H472" i="8"/>
  <c r="D472" i="8"/>
  <c r="H471" i="8"/>
  <c r="D471" i="8"/>
  <c r="H470" i="8"/>
  <c r="D470" i="8"/>
  <c r="H469" i="8"/>
  <c r="D469" i="8"/>
  <c r="H468" i="8"/>
  <c r="D468" i="8"/>
  <c r="H467" i="8"/>
  <c r="D467" i="8"/>
  <c r="H466" i="8"/>
  <c r="D466" i="8"/>
  <c r="H465" i="8"/>
  <c r="D465" i="8"/>
  <c r="H464" i="8"/>
  <c r="D464" i="8"/>
  <c r="H463" i="8"/>
  <c r="D463" i="8"/>
  <c r="H462" i="8"/>
  <c r="D462" i="8"/>
  <c r="H461" i="8"/>
  <c r="D461" i="8"/>
  <c r="H460" i="8"/>
  <c r="D460" i="8"/>
  <c r="H459" i="8"/>
  <c r="D459" i="8"/>
  <c r="H458" i="8"/>
  <c r="D458" i="8"/>
  <c r="H457" i="8"/>
  <c r="D457" i="8"/>
  <c r="H456" i="8"/>
  <c r="D456" i="8"/>
  <c r="H455" i="8"/>
  <c r="D455" i="8"/>
  <c r="H454" i="8"/>
  <c r="D454" i="8"/>
  <c r="H453" i="8"/>
  <c r="D453" i="8"/>
  <c r="H452" i="8"/>
  <c r="D452" i="8"/>
  <c r="H451" i="8"/>
  <c r="D451" i="8"/>
  <c r="H450" i="8"/>
  <c r="D450" i="8"/>
  <c r="H449" i="8"/>
  <c r="D449" i="8"/>
  <c r="H448" i="8"/>
  <c r="D448" i="8"/>
  <c r="H447" i="8"/>
  <c r="D447" i="8"/>
  <c r="H446" i="8"/>
  <c r="D446" i="8"/>
  <c r="H445" i="8"/>
  <c r="D445" i="8"/>
  <c r="H444" i="8"/>
  <c r="D444" i="8"/>
  <c r="H443" i="8"/>
  <c r="D443" i="8"/>
  <c r="H442" i="8"/>
  <c r="D442" i="8"/>
  <c r="H441" i="8"/>
  <c r="D441" i="8"/>
  <c r="H440" i="8"/>
  <c r="D440" i="8"/>
  <c r="H439" i="8"/>
  <c r="D439" i="8"/>
  <c r="H438" i="8"/>
  <c r="D438" i="8"/>
  <c r="H437" i="8"/>
  <c r="D437" i="8"/>
  <c r="H436" i="8"/>
  <c r="D436" i="8"/>
  <c r="H435" i="8"/>
  <c r="D435" i="8"/>
  <c r="H434" i="8"/>
  <c r="D434" i="8"/>
  <c r="H433" i="8"/>
  <c r="D433" i="8"/>
  <c r="H432" i="8"/>
  <c r="D432" i="8"/>
  <c r="H431" i="8"/>
  <c r="D431" i="8"/>
  <c r="H430" i="8"/>
  <c r="D430" i="8"/>
  <c r="H429" i="8"/>
  <c r="D429" i="8"/>
  <c r="H428" i="8"/>
  <c r="D428" i="8"/>
  <c r="H427" i="8"/>
  <c r="D427" i="8"/>
  <c r="H426" i="8"/>
  <c r="D426" i="8"/>
  <c r="H425" i="8"/>
  <c r="D425" i="8"/>
  <c r="H424" i="8"/>
  <c r="D424" i="8"/>
  <c r="H423" i="8"/>
  <c r="D423" i="8"/>
  <c r="H422" i="8"/>
  <c r="D422" i="8"/>
  <c r="H421" i="8"/>
  <c r="D421" i="8"/>
  <c r="H420" i="8"/>
  <c r="D420" i="8"/>
  <c r="H419" i="8"/>
  <c r="D419" i="8"/>
  <c r="H418" i="8"/>
  <c r="D418" i="8"/>
  <c r="H417" i="8"/>
  <c r="D417" i="8"/>
  <c r="H416" i="8"/>
  <c r="D416" i="8"/>
  <c r="H415" i="8"/>
  <c r="D415" i="8"/>
  <c r="H414" i="8"/>
  <c r="D414" i="8"/>
  <c r="H413" i="8"/>
  <c r="D413" i="8"/>
  <c r="H412" i="8"/>
  <c r="D412" i="8"/>
  <c r="H411" i="8"/>
  <c r="D411" i="8"/>
  <c r="H410" i="8"/>
  <c r="D410" i="8"/>
  <c r="H409" i="8"/>
  <c r="D409" i="8"/>
  <c r="H408" i="8"/>
  <c r="D408" i="8"/>
  <c r="H407" i="8"/>
  <c r="D407" i="8"/>
  <c r="H406" i="8"/>
  <c r="D406" i="8"/>
  <c r="H405" i="8"/>
  <c r="D405" i="8"/>
  <c r="H404" i="8"/>
  <c r="D404" i="8"/>
  <c r="H403" i="8"/>
  <c r="D403" i="8"/>
  <c r="H402" i="8"/>
  <c r="D402" i="8"/>
  <c r="H401" i="8"/>
  <c r="D401" i="8"/>
  <c r="H400" i="8"/>
  <c r="D400" i="8"/>
  <c r="H399" i="8"/>
  <c r="D399" i="8"/>
  <c r="H398" i="8"/>
  <c r="D398" i="8"/>
  <c r="H397" i="8"/>
  <c r="D397" i="8"/>
  <c r="H396" i="8"/>
  <c r="D396" i="8"/>
  <c r="H395" i="8"/>
  <c r="D395" i="8"/>
  <c r="H394" i="8"/>
  <c r="D394" i="8"/>
  <c r="H393" i="8"/>
  <c r="D393" i="8"/>
  <c r="H392" i="8"/>
  <c r="D392" i="8"/>
  <c r="H391" i="8"/>
  <c r="D391" i="8"/>
  <c r="H390" i="8"/>
  <c r="D390" i="8"/>
  <c r="H389" i="8"/>
  <c r="D389" i="8"/>
  <c r="H388" i="8"/>
  <c r="D388" i="8"/>
  <c r="H387" i="8"/>
  <c r="D387" i="8"/>
  <c r="H386" i="8"/>
  <c r="D386" i="8"/>
  <c r="H385" i="8"/>
  <c r="D385" i="8"/>
  <c r="H384" i="8"/>
  <c r="D384" i="8"/>
  <c r="H383" i="8"/>
  <c r="D383" i="8"/>
  <c r="H382" i="8"/>
  <c r="D382" i="8"/>
  <c r="H381" i="8"/>
  <c r="D381" i="8"/>
  <c r="H380" i="8"/>
  <c r="D380" i="8"/>
  <c r="H379" i="8"/>
  <c r="D379" i="8"/>
  <c r="H378" i="8"/>
  <c r="D378" i="8"/>
  <c r="H377" i="8"/>
  <c r="D377" i="8"/>
  <c r="H376" i="8"/>
  <c r="D376" i="8"/>
  <c r="H375" i="8"/>
  <c r="D375" i="8"/>
  <c r="H374" i="8"/>
  <c r="D374" i="8"/>
  <c r="H373" i="8"/>
  <c r="D373" i="8"/>
  <c r="H372" i="8"/>
  <c r="D372" i="8"/>
  <c r="H371" i="8"/>
  <c r="D371" i="8"/>
  <c r="H370" i="8"/>
  <c r="D370" i="8"/>
  <c r="H369" i="8"/>
  <c r="D369" i="8"/>
  <c r="H368" i="8"/>
  <c r="D368" i="8"/>
  <c r="H367" i="8"/>
  <c r="D367" i="8"/>
  <c r="H366" i="8"/>
  <c r="D366" i="8"/>
  <c r="H365" i="8"/>
  <c r="D365" i="8"/>
  <c r="H364" i="8"/>
  <c r="D364" i="8"/>
  <c r="H363" i="8"/>
  <c r="D363" i="8"/>
  <c r="H362" i="8"/>
  <c r="D362" i="8"/>
  <c r="H361" i="8"/>
  <c r="D361" i="8"/>
  <c r="H360" i="8"/>
  <c r="D360" i="8"/>
  <c r="H359" i="8"/>
  <c r="D359" i="8"/>
  <c r="H358" i="8"/>
  <c r="D358" i="8"/>
  <c r="H357" i="8"/>
  <c r="D357" i="8"/>
  <c r="H356" i="8"/>
  <c r="D356" i="8"/>
  <c r="H355" i="8"/>
  <c r="D355" i="8"/>
  <c r="H354" i="8"/>
  <c r="D354" i="8"/>
  <c r="H353" i="8"/>
  <c r="D353" i="8"/>
  <c r="H352" i="8"/>
  <c r="D352" i="8"/>
  <c r="H351" i="8"/>
  <c r="D351" i="8"/>
  <c r="H350" i="8"/>
  <c r="D350" i="8"/>
  <c r="H349" i="8"/>
  <c r="D349" i="8"/>
  <c r="H348" i="8"/>
  <c r="D348" i="8"/>
  <c r="H347" i="8"/>
  <c r="D347" i="8"/>
  <c r="H346" i="8"/>
  <c r="D346" i="8"/>
  <c r="H345" i="8"/>
  <c r="D345" i="8"/>
  <c r="H344" i="8"/>
  <c r="D344" i="8"/>
  <c r="H343" i="8"/>
  <c r="D343" i="8"/>
  <c r="H342" i="8"/>
  <c r="D342" i="8"/>
  <c r="H341" i="8"/>
  <c r="D341" i="8"/>
  <c r="H340" i="8"/>
  <c r="D340" i="8"/>
  <c r="H339" i="8"/>
  <c r="D339" i="8"/>
  <c r="H338" i="8"/>
  <c r="D338" i="8"/>
  <c r="H337" i="8"/>
  <c r="D337" i="8"/>
  <c r="H336" i="8"/>
  <c r="D336" i="8"/>
  <c r="H335" i="8"/>
  <c r="D335" i="8"/>
  <c r="H334" i="8"/>
  <c r="D334" i="8"/>
  <c r="H333" i="8"/>
  <c r="D333" i="8"/>
  <c r="H332" i="8"/>
  <c r="D332" i="8"/>
  <c r="H331" i="8"/>
  <c r="D331" i="8"/>
  <c r="H330" i="8"/>
  <c r="D330" i="8"/>
  <c r="H329" i="8"/>
  <c r="D329" i="8"/>
  <c r="H328" i="8"/>
  <c r="D328" i="8"/>
  <c r="H327" i="8"/>
  <c r="D327" i="8"/>
  <c r="H326" i="8"/>
  <c r="D326" i="8"/>
  <c r="H325" i="8"/>
  <c r="D325" i="8"/>
  <c r="H324" i="8"/>
  <c r="D324" i="8"/>
  <c r="H323" i="8"/>
  <c r="D323" i="8"/>
  <c r="H322" i="8"/>
  <c r="D322" i="8"/>
  <c r="H321" i="8"/>
  <c r="D321" i="8"/>
  <c r="H320" i="8"/>
  <c r="D320" i="8"/>
  <c r="H319" i="8"/>
  <c r="D319" i="8"/>
  <c r="H318" i="8"/>
  <c r="D318" i="8"/>
  <c r="H317" i="8"/>
  <c r="D317" i="8"/>
  <c r="H316" i="8"/>
  <c r="D316" i="8"/>
  <c r="H315" i="8"/>
  <c r="D315" i="8"/>
  <c r="H314" i="8"/>
  <c r="D314" i="8"/>
  <c r="H313" i="8"/>
  <c r="D313" i="8"/>
  <c r="H312" i="8"/>
  <c r="D312" i="8"/>
  <c r="H311" i="8"/>
  <c r="D311" i="8"/>
  <c r="H310" i="8"/>
  <c r="D310" i="8"/>
  <c r="H309" i="8"/>
  <c r="D309" i="8"/>
  <c r="H308" i="8"/>
  <c r="D308" i="8"/>
  <c r="H307" i="8"/>
  <c r="D307" i="8"/>
  <c r="H306" i="8"/>
  <c r="D306" i="8"/>
  <c r="H305" i="8"/>
  <c r="D305" i="8"/>
  <c r="H304" i="8"/>
  <c r="D304" i="8"/>
  <c r="H303" i="8"/>
  <c r="D303" i="8"/>
  <c r="H302" i="8"/>
  <c r="D302" i="8"/>
  <c r="H301" i="8"/>
  <c r="D301" i="8"/>
  <c r="H300" i="8"/>
  <c r="D300" i="8"/>
  <c r="H299" i="8"/>
  <c r="D299" i="8"/>
  <c r="H298" i="8"/>
  <c r="D298" i="8"/>
  <c r="H297" i="8"/>
  <c r="D297" i="8"/>
  <c r="H296" i="8"/>
  <c r="D296" i="8"/>
  <c r="H295" i="8"/>
  <c r="D295" i="8"/>
  <c r="H294" i="8"/>
  <c r="D294" i="8"/>
  <c r="H293" i="8"/>
  <c r="D293" i="8"/>
  <c r="H292" i="8"/>
  <c r="D292" i="8"/>
  <c r="H291" i="8"/>
  <c r="D291" i="8"/>
  <c r="H290" i="8"/>
  <c r="D290" i="8"/>
  <c r="H289" i="8"/>
  <c r="D289" i="8"/>
  <c r="H288" i="8"/>
  <c r="D288" i="8"/>
  <c r="H287" i="8"/>
  <c r="D287" i="8"/>
  <c r="H286" i="8"/>
  <c r="D286" i="8"/>
  <c r="H285" i="8"/>
  <c r="D285" i="8"/>
  <c r="H284" i="8"/>
  <c r="D284" i="8"/>
  <c r="H283" i="8"/>
  <c r="D283" i="8"/>
  <c r="H282" i="8"/>
  <c r="D282" i="8"/>
  <c r="H281" i="8"/>
  <c r="D281" i="8"/>
  <c r="H280" i="8"/>
  <c r="D280" i="8"/>
  <c r="H279" i="8"/>
  <c r="D279" i="8"/>
  <c r="H278" i="8"/>
  <c r="D278" i="8"/>
  <c r="H277" i="8"/>
  <c r="D277" i="8"/>
  <c r="H276" i="8"/>
  <c r="D276" i="8"/>
  <c r="H275" i="8"/>
  <c r="D275" i="8"/>
  <c r="H274" i="8"/>
  <c r="D274" i="8"/>
  <c r="H273" i="8"/>
  <c r="D273" i="8"/>
  <c r="H272" i="8"/>
  <c r="D272" i="8"/>
  <c r="H271" i="8"/>
  <c r="D271" i="8"/>
  <c r="H270" i="8"/>
  <c r="D270" i="8"/>
  <c r="H269" i="8"/>
  <c r="D269" i="8"/>
  <c r="H268" i="8"/>
  <c r="D268" i="8"/>
  <c r="H267" i="8"/>
  <c r="D267" i="8"/>
  <c r="H266" i="8"/>
  <c r="D266" i="8"/>
  <c r="H265" i="8"/>
  <c r="D265" i="8"/>
  <c r="H264" i="8"/>
  <c r="D264" i="8"/>
  <c r="H263" i="8"/>
  <c r="D263" i="8"/>
  <c r="H262" i="8"/>
  <c r="D262" i="8"/>
  <c r="H261" i="8"/>
  <c r="D261" i="8"/>
  <c r="H260" i="8"/>
  <c r="D260" i="8"/>
  <c r="H259" i="8"/>
  <c r="D259" i="8"/>
  <c r="H258" i="8"/>
  <c r="D258" i="8"/>
  <c r="H257" i="8"/>
  <c r="D257" i="8"/>
  <c r="H256" i="8"/>
  <c r="D256" i="8"/>
  <c r="H255" i="8"/>
  <c r="D255" i="8"/>
  <c r="H254" i="8"/>
  <c r="D254" i="8"/>
  <c r="H253" i="8"/>
  <c r="D253" i="8"/>
  <c r="H252" i="8"/>
  <c r="D252" i="8"/>
  <c r="H251" i="8"/>
  <c r="D251" i="8"/>
  <c r="H250" i="8"/>
  <c r="D250" i="8"/>
  <c r="H249" i="8"/>
  <c r="D249" i="8"/>
  <c r="H248" i="8"/>
  <c r="D248" i="8"/>
  <c r="H247" i="8"/>
  <c r="D247" i="8"/>
  <c r="H246" i="8"/>
  <c r="D246" i="8"/>
  <c r="H245" i="8"/>
  <c r="D245" i="8"/>
  <c r="H244" i="8"/>
  <c r="D244" i="8"/>
  <c r="H243" i="8"/>
  <c r="D243" i="8"/>
  <c r="H242" i="8"/>
  <c r="D242" i="8"/>
  <c r="H241" i="8"/>
  <c r="D241" i="8"/>
  <c r="H240" i="8"/>
  <c r="D240" i="8"/>
  <c r="H239" i="8"/>
  <c r="D239" i="8"/>
  <c r="H238" i="8"/>
  <c r="D238" i="8"/>
  <c r="H237" i="8"/>
  <c r="D237" i="8"/>
  <c r="H236" i="8"/>
  <c r="D236" i="8"/>
  <c r="H235" i="8"/>
  <c r="D235" i="8"/>
  <c r="H234" i="8"/>
  <c r="D234" i="8"/>
  <c r="H233" i="8"/>
  <c r="D233" i="8"/>
  <c r="H232" i="8"/>
  <c r="D232" i="8"/>
  <c r="H231" i="8"/>
  <c r="D231" i="8"/>
  <c r="H230" i="8"/>
  <c r="D230" i="8"/>
  <c r="H229" i="8"/>
  <c r="D229" i="8"/>
  <c r="H228" i="8"/>
  <c r="D228" i="8"/>
  <c r="H227" i="8"/>
  <c r="D227" i="8"/>
  <c r="H226" i="8"/>
  <c r="D226" i="8"/>
  <c r="H225" i="8"/>
  <c r="D225" i="8"/>
  <c r="H224" i="8"/>
  <c r="D224" i="8"/>
  <c r="H223" i="8"/>
  <c r="D223" i="8"/>
  <c r="H222" i="8"/>
  <c r="D222" i="8"/>
  <c r="H221" i="8"/>
  <c r="D221" i="8"/>
  <c r="H220" i="8"/>
  <c r="D220" i="8"/>
  <c r="H219" i="8"/>
  <c r="D219" i="8"/>
  <c r="H218" i="8"/>
  <c r="D218" i="8"/>
  <c r="H217" i="8"/>
  <c r="D217" i="8"/>
  <c r="H216" i="8"/>
  <c r="D216" i="8"/>
  <c r="H215" i="8"/>
  <c r="D215" i="8"/>
  <c r="H214" i="8"/>
  <c r="D214" i="8"/>
  <c r="H213" i="8"/>
  <c r="D213" i="8"/>
  <c r="H212" i="8"/>
  <c r="D212" i="8"/>
  <c r="H211" i="8"/>
  <c r="D211" i="8"/>
  <c r="H210" i="8"/>
  <c r="D210" i="8"/>
  <c r="H209" i="8"/>
  <c r="D209" i="8"/>
  <c r="H208" i="8"/>
  <c r="D208" i="8"/>
  <c r="H207" i="8"/>
  <c r="D207" i="8"/>
  <c r="H206" i="8"/>
  <c r="D206" i="8"/>
  <c r="H205" i="8"/>
  <c r="D205" i="8"/>
  <c r="H204" i="8"/>
  <c r="D204" i="8"/>
  <c r="H203" i="8"/>
  <c r="D203" i="8"/>
  <c r="H202" i="8"/>
  <c r="D202" i="8"/>
  <c r="H201" i="8"/>
  <c r="D201" i="8"/>
  <c r="H200" i="8"/>
  <c r="D200" i="8"/>
  <c r="H199" i="8"/>
  <c r="D199" i="8"/>
  <c r="H198" i="8"/>
  <c r="D198" i="8"/>
  <c r="H197" i="8"/>
  <c r="D197" i="8"/>
  <c r="H196" i="8"/>
  <c r="D196" i="8"/>
  <c r="H195" i="8"/>
  <c r="D195" i="8"/>
  <c r="H194" i="8"/>
  <c r="D194" i="8"/>
  <c r="H193" i="8"/>
  <c r="D193" i="8"/>
  <c r="H192" i="8"/>
  <c r="D192" i="8"/>
  <c r="H191" i="8"/>
  <c r="D191" i="8"/>
  <c r="H190" i="8"/>
  <c r="D190" i="8"/>
  <c r="H189" i="8"/>
  <c r="D189" i="8"/>
  <c r="H188" i="8"/>
  <c r="D188" i="8"/>
  <c r="H187" i="8"/>
  <c r="D187" i="8"/>
  <c r="H186" i="8"/>
  <c r="D186" i="8"/>
  <c r="H185" i="8"/>
  <c r="D185" i="8"/>
  <c r="H184" i="8"/>
  <c r="D184" i="8"/>
  <c r="H183" i="8"/>
  <c r="D183" i="8"/>
  <c r="H182" i="8"/>
  <c r="D182" i="8"/>
  <c r="H181" i="8"/>
  <c r="D181" i="8"/>
  <c r="H180" i="8"/>
  <c r="D180" i="8"/>
  <c r="H179" i="8"/>
  <c r="D179" i="8"/>
  <c r="H178" i="8"/>
  <c r="D178" i="8"/>
  <c r="H177" i="8"/>
  <c r="D177" i="8"/>
  <c r="H176" i="8"/>
  <c r="D176" i="8"/>
  <c r="H175" i="8"/>
  <c r="D175" i="8"/>
  <c r="H174" i="8"/>
  <c r="D174" i="8"/>
  <c r="H173" i="8"/>
  <c r="D173" i="8"/>
  <c r="H172" i="8"/>
  <c r="D172" i="8"/>
  <c r="H171" i="8"/>
  <c r="D171" i="8"/>
  <c r="H170" i="8"/>
  <c r="D170" i="8"/>
  <c r="H169" i="8"/>
  <c r="D169" i="8"/>
  <c r="H168" i="8"/>
  <c r="D168" i="8"/>
  <c r="H167" i="8"/>
  <c r="D167" i="8"/>
  <c r="H166" i="8"/>
  <c r="D166" i="8"/>
  <c r="H165" i="8"/>
  <c r="D165" i="8"/>
  <c r="H164" i="8"/>
  <c r="D164" i="8"/>
  <c r="H163" i="8"/>
  <c r="D163" i="8"/>
  <c r="H162" i="8"/>
  <c r="D162" i="8"/>
  <c r="H161" i="8"/>
  <c r="D161" i="8"/>
  <c r="H160" i="8"/>
  <c r="D160" i="8"/>
  <c r="H159" i="8"/>
  <c r="D159" i="8"/>
  <c r="H158" i="8"/>
  <c r="D158" i="8"/>
  <c r="H157" i="8"/>
  <c r="D157" i="8"/>
  <c r="H156" i="8"/>
  <c r="D156" i="8"/>
  <c r="H155" i="8"/>
  <c r="D155" i="8"/>
  <c r="H154" i="8"/>
  <c r="D154" i="8"/>
  <c r="H153" i="8"/>
  <c r="D153" i="8"/>
  <c r="H152" i="8"/>
  <c r="D152" i="8"/>
  <c r="H151" i="8"/>
  <c r="D151" i="8"/>
  <c r="H150" i="8"/>
  <c r="D150" i="8"/>
  <c r="H149" i="8"/>
  <c r="D149" i="8"/>
  <c r="H148" i="8"/>
  <c r="D148" i="8"/>
  <c r="H147" i="8"/>
  <c r="D147" i="8"/>
  <c r="H146" i="8"/>
  <c r="D146" i="8"/>
  <c r="H145" i="8"/>
  <c r="D145" i="8"/>
  <c r="H144" i="8"/>
  <c r="D144" i="8"/>
  <c r="H143" i="8"/>
  <c r="D143" i="8"/>
  <c r="H142" i="8"/>
  <c r="D142" i="8"/>
  <c r="H141" i="8"/>
  <c r="D141" i="8"/>
  <c r="H140" i="8"/>
  <c r="D140" i="8"/>
  <c r="H139" i="8"/>
  <c r="D139" i="8"/>
  <c r="H138" i="8"/>
  <c r="D138" i="8"/>
  <c r="H137" i="8"/>
  <c r="D137" i="8"/>
  <c r="H136" i="8"/>
  <c r="D136" i="8"/>
  <c r="H135" i="8"/>
  <c r="D135" i="8"/>
  <c r="H134" i="8"/>
  <c r="D134" i="8"/>
  <c r="H133" i="8"/>
  <c r="D133" i="8"/>
  <c r="H132" i="8"/>
  <c r="D132" i="8"/>
  <c r="H131" i="8"/>
  <c r="D131" i="8"/>
  <c r="H130" i="8"/>
  <c r="D130" i="8"/>
  <c r="H129" i="8"/>
  <c r="D129" i="8"/>
  <c r="H128" i="8"/>
  <c r="D128" i="8"/>
  <c r="H127" i="8"/>
  <c r="D127" i="8"/>
  <c r="H126" i="8"/>
  <c r="D126" i="8"/>
  <c r="H125" i="8"/>
  <c r="D125" i="8"/>
  <c r="H124" i="8"/>
  <c r="D124" i="8"/>
  <c r="H123" i="8"/>
  <c r="D123" i="8"/>
  <c r="H122" i="8"/>
  <c r="D122" i="8"/>
  <c r="H121" i="8"/>
  <c r="D121" i="8"/>
  <c r="H120" i="8"/>
  <c r="D120" i="8"/>
  <c r="H119" i="8"/>
  <c r="D119" i="8"/>
  <c r="H118" i="8"/>
  <c r="D118" i="8"/>
  <c r="H117" i="8"/>
  <c r="D117" i="8"/>
  <c r="H116" i="8"/>
  <c r="D116" i="8"/>
  <c r="H115" i="8"/>
  <c r="D115" i="8"/>
  <c r="H114" i="8"/>
  <c r="D114" i="8"/>
  <c r="H113" i="8"/>
  <c r="D113" i="8"/>
  <c r="H112" i="8"/>
  <c r="D112" i="8"/>
  <c r="H111" i="8"/>
  <c r="D111" i="8"/>
  <c r="H110" i="8"/>
  <c r="D110" i="8"/>
  <c r="H109" i="8"/>
  <c r="D109" i="8"/>
  <c r="H108" i="8"/>
  <c r="D108" i="8"/>
  <c r="H107" i="8"/>
  <c r="D107" i="8"/>
  <c r="H106" i="8"/>
  <c r="D106" i="8"/>
  <c r="H105" i="8"/>
  <c r="D105" i="8"/>
  <c r="H104" i="8"/>
  <c r="D104" i="8"/>
  <c r="H103" i="8"/>
  <c r="D103" i="8"/>
  <c r="H102" i="8"/>
  <c r="D102" i="8"/>
  <c r="H101" i="8"/>
  <c r="D101" i="8"/>
  <c r="H100" i="8"/>
  <c r="D100" i="8"/>
  <c r="H99" i="8"/>
  <c r="D99" i="8"/>
  <c r="H98" i="8"/>
  <c r="D98" i="8"/>
  <c r="H97" i="8"/>
  <c r="D97" i="8"/>
  <c r="H96" i="8"/>
  <c r="D96" i="8"/>
  <c r="H95" i="8"/>
  <c r="D95" i="8"/>
  <c r="H94" i="8"/>
  <c r="D94" i="8"/>
  <c r="H93" i="8"/>
  <c r="D93" i="8"/>
  <c r="H92" i="8"/>
  <c r="D92" i="8"/>
  <c r="H91" i="8"/>
  <c r="D91" i="8"/>
  <c r="H90" i="8"/>
  <c r="D90" i="8"/>
  <c r="H89" i="8"/>
  <c r="D89" i="8"/>
  <c r="H88" i="8"/>
  <c r="D88" i="8"/>
  <c r="H87" i="8"/>
  <c r="D87" i="8"/>
  <c r="H86" i="8"/>
  <c r="D86" i="8"/>
  <c r="H85" i="8"/>
  <c r="D85" i="8"/>
  <c r="H84" i="8"/>
  <c r="D84" i="8"/>
  <c r="H83" i="8"/>
  <c r="D83" i="8"/>
  <c r="H82" i="8"/>
  <c r="D82" i="8"/>
  <c r="H81" i="8"/>
  <c r="D81" i="8"/>
  <c r="H80" i="8"/>
  <c r="D80" i="8"/>
  <c r="H79" i="8"/>
  <c r="D79" i="8"/>
  <c r="H78" i="8"/>
  <c r="D78" i="8"/>
  <c r="H77" i="8"/>
  <c r="D77" i="8"/>
  <c r="H76" i="8"/>
  <c r="D76" i="8"/>
  <c r="H75" i="8"/>
  <c r="D75" i="8"/>
  <c r="H74" i="8"/>
  <c r="D74" i="8"/>
  <c r="H73" i="8"/>
  <c r="D73" i="8"/>
  <c r="H72" i="8"/>
  <c r="D72" i="8"/>
  <c r="H71" i="8"/>
  <c r="D71" i="8"/>
  <c r="H70" i="8"/>
  <c r="D70" i="8"/>
  <c r="H69" i="8"/>
  <c r="D69" i="8"/>
  <c r="H68" i="8"/>
  <c r="D68" i="8"/>
  <c r="H67" i="8"/>
  <c r="D67" i="8"/>
  <c r="H66" i="8"/>
  <c r="D66" i="8"/>
  <c r="H65" i="8"/>
  <c r="D65" i="8"/>
  <c r="H64" i="8"/>
  <c r="D64" i="8"/>
  <c r="H63" i="8"/>
  <c r="D63" i="8"/>
  <c r="H62" i="8"/>
  <c r="D62" i="8"/>
  <c r="H61" i="8"/>
  <c r="D61" i="8"/>
  <c r="H60" i="8"/>
  <c r="D60" i="8"/>
  <c r="H59" i="8"/>
  <c r="D59" i="8"/>
  <c r="H58" i="8"/>
  <c r="D58" i="8"/>
  <c r="H57" i="8"/>
  <c r="D57" i="8"/>
  <c r="H56" i="8"/>
  <c r="D56" i="8"/>
  <c r="H55" i="8"/>
  <c r="D55" i="8"/>
  <c r="H54" i="8"/>
  <c r="D54" i="8"/>
  <c r="H53" i="8"/>
  <c r="D53" i="8"/>
  <c r="H52" i="8"/>
  <c r="D52" i="8"/>
  <c r="H51" i="8"/>
  <c r="D51" i="8"/>
  <c r="H50" i="8"/>
  <c r="D50" i="8"/>
  <c r="H49" i="8"/>
  <c r="D49" i="8"/>
  <c r="H48" i="8"/>
  <c r="D48" i="8"/>
  <c r="H47" i="8"/>
  <c r="D47" i="8"/>
  <c r="H46" i="8"/>
  <c r="D46" i="8"/>
  <c r="H45" i="8"/>
  <c r="D45" i="8"/>
  <c r="H44" i="8"/>
  <c r="D44" i="8"/>
  <c r="H43" i="8"/>
  <c r="D43" i="8"/>
  <c r="H42" i="8"/>
  <c r="D42" i="8"/>
  <c r="H41" i="8"/>
  <c r="D41" i="8"/>
  <c r="H40" i="8"/>
  <c r="D40" i="8"/>
  <c r="H39" i="8"/>
  <c r="D39" i="8"/>
  <c r="H38" i="8"/>
  <c r="D38" i="8"/>
  <c r="H37" i="8"/>
  <c r="D37" i="8"/>
  <c r="H36" i="8"/>
  <c r="D36" i="8"/>
  <c r="H35" i="8"/>
  <c r="D35" i="8"/>
  <c r="H34" i="8"/>
  <c r="D34" i="8"/>
  <c r="H33" i="8"/>
  <c r="D33" i="8"/>
  <c r="H32" i="8"/>
  <c r="D32" i="8"/>
  <c r="H31" i="8"/>
  <c r="D31" i="8"/>
  <c r="H30" i="8"/>
  <c r="D30" i="8"/>
  <c r="H29" i="8"/>
  <c r="D29" i="8"/>
  <c r="H28" i="8"/>
  <c r="D28" i="8"/>
  <c r="H27" i="8"/>
  <c r="D27" i="8"/>
  <c r="H26" i="8"/>
  <c r="D26" i="8"/>
  <c r="H25" i="8"/>
  <c r="D25" i="8"/>
  <c r="H24" i="8"/>
  <c r="D24" i="8"/>
  <c r="H23" i="8"/>
  <c r="D23" i="8"/>
  <c r="H22" i="8"/>
  <c r="D22" i="8"/>
  <c r="H21" i="8"/>
  <c r="D21" i="8"/>
  <c r="H20" i="8"/>
  <c r="D20" i="8"/>
  <c r="H19" i="8"/>
  <c r="D19" i="8"/>
  <c r="H18" i="8"/>
  <c r="D18" i="8"/>
  <c r="H17" i="8"/>
  <c r="D17" i="8"/>
  <c r="H16" i="8"/>
  <c r="D16" i="8"/>
  <c r="H15" i="8"/>
  <c r="D15" i="8"/>
  <c r="H14" i="8"/>
  <c r="D14" i="8"/>
  <c r="H13" i="8"/>
  <c r="D13" i="8"/>
  <c r="H12" i="8"/>
  <c r="D12" i="8"/>
  <c r="H11" i="8"/>
  <c r="D11" i="8"/>
  <c r="H10" i="8"/>
  <c r="D10" i="8"/>
  <c r="H9" i="8"/>
  <c r="D9" i="8"/>
  <c r="H8" i="8"/>
  <c r="D8" i="8"/>
  <c r="H7" i="8"/>
  <c r="D7" i="8"/>
  <c r="K4" i="8" s="1"/>
  <c r="C16" i="7" s="1"/>
  <c r="C18" i="7" s="1"/>
  <c r="D24" i="7" s="1"/>
  <c r="K6" i="8"/>
  <c r="H6" i="8"/>
  <c r="D6" i="8"/>
  <c r="H5" i="8"/>
  <c r="D5" i="8"/>
  <c r="D23" i="7"/>
  <c r="F18" i="7"/>
  <c r="F16" i="7"/>
  <c r="C6" i="7"/>
  <c r="C5" i="7"/>
  <c r="C10" i="7" s="1"/>
  <c r="J55" i="4" a="1"/>
  <c r="J55" i="4" s="1"/>
  <c r="J54" i="4" a="1"/>
  <c r="J54" i="4" s="1"/>
  <c r="I28" i="14"/>
  <c r="I29" i="14" s="1"/>
  <c r="I26" i="14"/>
  <c r="D26" i="14"/>
  <c r="I25" i="14"/>
  <c r="D25" i="14"/>
  <c r="O5" i="14"/>
  <c r="D36" i="15" l="1"/>
  <c r="E18" i="9"/>
  <c r="E35" i="9"/>
  <c r="E6" i="12"/>
  <c r="E8" i="12" s="1"/>
  <c r="E10" i="10"/>
  <c r="F18" i="9"/>
  <c r="F35" i="9"/>
  <c r="Q10" i="17"/>
  <c r="Q17" i="17" s="1"/>
  <c r="P10" i="17"/>
  <c r="P20" i="17" s="1"/>
  <c r="F36" i="15"/>
  <c r="F6" i="12"/>
  <c r="F8" i="12" s="1"/>
  <c r="F10" i="10"/>
  <c r="G36" i="15"/>
  <c r="G6" i="12"/>
  <c r="G10" i="10"/>
  <c r="Q16" i="17"/>
  <c r="Q15" i="17"/>
  <c r="Q19" i="17"/>
  <c r="Q18" i="17"/>
  <c r="Q24" i="17" s="1"/>
  <c r="Q26" i="17" s="1"/>
  <c r="Q29" i="17" s="1"/>
  <c r="H36" i="9"/>
  <c r="F3" i="12"/>
  <c r="H23" i="9"/>
  <c r="G51" i="9"/>
  <c r="G45" i="9"/>
  <c r="G52" i="9" s="1"/>
  <c r="D4" i="10"/>
  <c r="D9" i="10" s="1"/>
  <c r="R29" i="17"/>
  <c r="R24" i="17"/>
  <c r="G36" i="9"/>
  <c r="E3" i="12"/>
  <c r="F51" i="9"/>
  <c r="F45" i="9"/>
  <c r="F52" i="9" s="1"/>
  <c r="G23" i="9"/>
  <c r="E49" i="9"/>
  <c r="E36" i="15"/>
  <c r="E7" i="14"/>
  <c r="F7" i="11"/>
  <c r="F8" i="11" s="1"/>
  <c r="F7" i="12" s="1"/>
  <c r="E31" i="9"/>
  <c r="D12" i="13"/>
  <c r="N7" i="13"/>
  <c r="G6" i="11"/>
  <c r="G7" i="11" s="1"/>
  <c r="D7" i="11"/>
  <c r="D8" i="11" s="1"/>
  <c r="P17" i="17"/>
  <c r="Q12" i="17"/>
  <c r="P12" i="17"/>
  <c r="C7" i="7"/>
  <c r="C9" i="7" s="1"/>
  <c r="C24" i="7" s="1"/>
  <c r="E24" i="7" s="1"/>
  <c r="C21" i="13"/>
  <c r="C8" i="7"/>
  <c r="C23" i="7" s="1"/>
  <c r="E23" i="7" s="1"/>
  <c r="R15" i="17"/>
  <c r="R19" i="17"/>
  <c r="I14" i="9"/>
  <c r="R16" i="17"/>
  <c r="R20" i="17"/>
  <c r="C11" i="13"/>
  <c r="E32" i="9"/>
  <c r="F4" i="12" l="1"/>
  <c r="F5" i="12" s="1"/>
  <c r="G28" i="9"/>
  <c r="G38" i="9" s="1"/>
  <c r="G37" i="9"/>
  <c r="D7" i="12"/>
  <c r="C11" i="14"/>
  <c r="G8" i="11"/>
  <c r="G7" i="12" s="1"/>
  <c r="C4" i="14"/>
  <c r="E25" i="7"/>
  <c r="R4" i="14" s="1"/>
  <c r="D11" i="13"/>
  <c r="C16" i="13"/>
  <c r="Q20" i="17"/>
  <c r="E45" i="9"/>
  <c r="E52" i="9" s="1"/>
  <c r="F36" i="9"/>
  <c r="D3" i="12"/>
  <c r="E51" i="9"/>
  <c r="F23" i="9"/>
  <c r="G8" i="12"/>
  <c r="E11" i="12"/>
  <c r="D7" i="13"/>
  <c r="O9" i="13"/>
  <c r="P9" i="13" s="1"/>
  <c r="E4" i="12"/>
  <c r="E5" i="12"/>
  <c r="E9" i="12" s="1"/>
  <c r="P18" i="17"/>
  <c r="P24" i="17" s="1"/>
  <c r="P26" i="17" s="1"/>
  <c r="P29" i="17" s="1"/>
  <c r="F7" i="14"/>
  <c r="F41" i="9"/>
  <c r="N12" i="13"/>
  <c r="O12" i="13" s="1"/>
  <c r="E12" i="13" s="1"/>
  <c r="F12" i="13" s="1"/>
  <c r="G12" i="13" s="1"/>
  <c r="H12" i="13" s="1"/>
  <c r="I12" i="13" s="1"/>
  <c r="J12" i="13" s="1"/>
  <c r="K12" i="13" s="1"/>
  <c r="L12" i="13" s="1"/>
  <c r="P15" i="17"/>
  <c r="D6" i="12"/>
  <c r="D8" i="12" s="1"/>
  <c r="D10" i="10"/>
  <c r="P19" i="17"/>
  <c r="P16" i="17"/>
  <c r="I18" i="9"/>
  <c r="I35" i="9"/>
  <c r="G41" i="9"/>
  <c r="H28" i="9"/>
  <c r="H38" i="9" s="1"/>
  <c r="H37" i="9"/>
  <c r="D51" i="9"/>
  <c r="E36" i="9"/>
  <c r="C3" i="12"/>
  <c r="E23" i="9"/>
  <c r="D45" i="9"/>
  <c r="D52" i="9" s="1"/>
  <c r="F9" i="12" l="1"/>
  <c r="F11" i="12"/>
  <c r="E7" i="13"/>
  <c r="F7" i="13" s="1"/>
  <c r="G7" i="13" s="1"/>
  <c r="H7" i="13" s="1"/>
  <c r="I7" i="13" s="1"/>
  <c r="J7" i="13" s="1"/>
  <c r="K7" i="13" s="1"/>
  <c r="L7" i="13" s="1"/>
  <c r="M7" i="13" s="1"/>
  <c r="D6" i="13"/>
  <c r="E6" i="13" s="1"/>
  <c r="F6" i="13" s="1"/>
  <c r="G6" i="13" s="1"/>
  <c r="H6" i="13" s="1"/>
  <c r="I6" i="13" s="1"/>
  <c r="J6" i="13" s="1"/>
  <c r="K6" i="13" s="1"/>
  <c r="L6" i="13" s="1"/>
  <c r="M6" i="13" s="1"/>
  <c r="F37" i="9"/>
  <c r="F28" i="9"/>
  <c r="F38" i="9" s="1"/>
  <c r="E41" i="9"/>
  <c r="C13" i="10"/>
  <c r="C12" i="10"/>
  <c r="E37" i="9"/>
  <c r="D41" i="9"/>
  <c r="E28" i="9"/>
  <c r="E38" i="9" s="1"/>
  <c r="C11" i="11"/>
  <c r="D4" i="12"/>
  <c r="D5" i="12"/>
  <c r="D9" i="12" s="1"/>
  <c r="I36" i="9"/>
  <c r="G3" i="12"/>
  <c r="H51" i="9"/>
  <c r="H45" i="9"/>
  <c r="H52" i="9" s="1"/>
  <c r="I23" i="9"/>
  <c r="K24" i="14"/>
  <c r="G19" i="14"/>
  <c r="J19" i="14"/>
  <c r="F19" i="14"/>
  <c r="E19" i="14"/>
  <c r="D19" i="14"/>
  <c r="K19" i="14"/>
  <c r="R5" i="14"/>
  <c r="O15" i="14" s="1"/>
  <c r="L19" i="14"/>
  <c r="M19" i="14"/>
  <c r="H19" i="14"/>
  <c r="I19" i="14"/>
  <c r="C4" i="12"/>
  <c r="C5" i="12" s="1"/>
  <c r="C9" i="12" s="1"/>
  <c r="C10" i="11"/>
  <c r="G7" i="14"/>
  <c r="E11" i="13"/>
  <c r="F11" i="13" s="1"/>
  <c r="G11" i="13" s="1"/>
  <c r="H11" i="13" s="1"/>
  <c r="I11" i="13" s="1"/>
  <c r="J11" i="13" s="1"/>
  <c r="K11" i="13" s="1"/>
  <c r="L11" i="13" s="1"/>
  <c r="M11" i="13" s="1"/>
  <c r="J24" i="14" l="1"/>
  <c r="L24" i="14"/>
  <c r="M24" i="14" s="1"/>
  <c r="I37" i="9"/>
  <c r="I28" i="9"/>
  <c r="I38" i="9" s="1"/>
  <c r="H41" i="9"/>
  <c r="H7" i="14"/>
  <c r="D11" i="12"/>
  <c r="G4" i="12"/>
  <c r="G5" i="12" s="1"/>
  <c r="G9" i="12" l="1"/>
  <c r="G11" i="12"/>
  <c r="C14" i="12"/>
  <c r="C13" i="12"/>
  <c r="D54" i="9" s="1"/>
  <c r="D17" i="13" s="1"/>
  <c r="I7" i="14"/>
  <c r="J7" i="14" l="1"/>
  <c r="D22" i="13"/>
  <c r="N17" i="13"/>
  <c r="O17" i="13" s="1"/>
  <c r="E17" i="13" s="1"/>
  <c r="D16" i="13"/>
  <c r="F17" i="13" l="1"/>
  <c r="E22" i="13"/>
  <c r="E5" i="14" s="1"/>
  <c r="E16" i="13"/>
  <c r="F16" i="13" s="1"/>
  <c r="D5" i="14"/>
  <c r="D21" i="13"/>
  <c r="K7" i="14"/>
  <c r="L7" i="14" l="1"/>
  <c r="D4" i="14"/>
  <c r="E21" i="13"/>
  <c r="G16" i="13"/>
  <c r="G17" i="13"/>
  <c r="F22" i="13"/>
  <c r="F5" i="14" s="1"/>
  <c r="H17" i="13" l="1"/>
  <c r="G22" i="13"/>
  <c r="G5" i="14" s="1"/>
  <c r="E4" i="14"/>
  <c r="F21" i="13"/>
  <c r="D6" i="14"/>
  <c r="D10" i="14"/>
  <c r="D11" i="14"/>
  <c r="D12" i="14" s="1"/>
  <c r="M7" i="14"/>
  <c r="D13" i="14" l="1"/>
  <c r="O7" i="14"/>
  <c r="D8" i="14"/>
  <c r="D9" i="14" s="1"/>
  <c r="F4" i="14"/>
  <c r="G21" i="13"/>
  <c r="E6" i="14"/>
  <c r="E11" i="14"/>
  <c r="E12" i="14" s="1"/>
  <c r="E10" i="14"/>
  <c r="E13" i="14" s="1"/>
  <c r="I17" i="13"/>
  <c r="H22" i="13"/>
  <c r="H5" i="14" s="1"/>
  <c r="H16" i="13"/>
  <c r="D14" i="14" l="1"/>
  <c r="D15" i="14"/>
  <c r="G4" i="14"/>
  <c r="H21" i="13"/>
  <c r="J17" i="13"/>
  <c r="I22" i="13"/>
  <c r="I5" i="14" s="1"/>
  <c r="E8" i="14"/>
  <c r="E9" i="14"/>
  <c r="E14" i="14" s="1"/>
  <c r="F6" i="14"/>
  <c r="F10" i="14"/>
  <c r="F11" i="14"/>
  <c r="F12" i="14" s="1"/>
  <c r="I16" i="13"/>
  <c r="F13" i="14" l="1"/>
  <c r="H4" i="14"/>
  <c r="I21" i="13"/>
  <c r="E15" i="14"/>
  <c r="F8" i="14"/>
  <c r="F9" i="14"/>
  <c r="F14" i="14" s="1"/>
  <c r="J16" i="13"/>
  <c r="J22" i="13"/>
  <c r="J5" i="14" s="1"/>
  <c r="K17" i="13"/>
  <c r="G10" i="14"/>
  <c r="G11" i="14"/>
  <c r="G12" i="14" s="1"/>
  <c r="G6" i="14"/>
  <c r="G13" i="14" l="1"/>
  <c r="G8" i="14"/>
  <c r="G9" i="14" s="1"/>
  <c r="K22" i="13"/>
  <c r="K5" i="14" s="1"/>
  <c r="L17" i="13"/>
  <c r="L22" i="13" s="1"/>
  <c r="L5" i="14" s="1"/>
  <c r="J21" i="13"/>
  <c r="I4" i="14"/>
  <c r="K16" i="13"/>
  <c r="L16" i="13" s="1"/>
  <c r="M16" i="13" s="1"/>
  <c r="F15" i="14"/>
  <c r="H10" i="14"/>
  <c r="H11" i="14"/>
  <c r="H12" i="14" s="1"/>
  <c r="H6" i="14"/>
  <c r="H13" i="14" l="1"/>
  <c r="G14" i="14"/>
  <c r="G15" i="14"/>
  <c r="I11" i="14"/>
  <c r="I12" i="14" s="1"/>
  <c r="I10" i="14"/>
  <c r="I13" i="14" s="1"/>
  <c r="I6" i="14"/>
  <c r="K21" i="13"/>
  <c r="J4" i="14"/>
  <c r="H8" i="14"/>
  <c r="H9" i="14" s="1"/>
  <c r="H14" i="14" s="1"/>
  <c r="L21" i="13" l="1"/>
  <c r="K4" i="14"/>
  <c r="I8" i="14"/>
  <c r="I9" i="14"/>
  <c r="I14" i="14" s="1"/>
  <c r="J11" i="14"/>
  <c r="J12" i="14" s="1"/>
  <c r="J10" i="14"/>
  <c r="J6" i="14"/>
  <c r="I15" i="14"/>
  <c r="H15" i="14"/>
  <c r="J13" i="14" l="1"/>
  <c r="J8" i="14"/>
  <c r="J9" i="14"/>
  <c r="J14" i="14" s="1"/>
  <c r="J15" i="14"/>
  <c r="K11" i="14"/>
  <c r="K12" i="14" s="1"/>
  <c r="K10" i="14"/>
  <c r="K13" i="14" s="1"/>
  <c r="K6" i="14"/>
  <c r="M21" i="13"/>
  <c r="M4" i="14" s="1"/>
  <c r="L4" i="14"/>
  <c r="L10" i="14" l="1"/>
  <c r="L11" i="14"/>
  <c r="L12" i="14" s="1"/>
  <c r="L6" i="14"/>
  <c r="O4" i="14"/>
  <c r="O6" i="14" s="1"/>
  <c r="M10" i="14"/>
  <c r="M11" i="14"/>
  <c r="M12" i="14" s="1"/>
  <c r="M6" i="14"/>
  <c r="K8" i="14"/>
  <c r="K9" i="14" s="1"/>
  <c r="K14" i="14" l="1"/>
  <c r="K15" i="14"/>
  <c r="M8" i="14"/>
  <c r="M9" i="14"/>
  <c r="M13" i="14"/>
  <c r="O8" i="14"/>
  <c r="O9" i="14"/>
  <c r="L8" i="14"/>
  <c r="L9" i="14"/>
  <c r="L13" i="14"/>
  <c r="L15" i="14" s="1"/>
  <c r="M15" i="14" l="1"/>
  <c r="L14" i="14"/>
  <c r="O13" i="14"/>
  <c r="O14" i="14" s="1"/>
  <c r="M14" i="14"/>
  <c r="D22" i="14" l="1"/>
  <c r="D21" i="14"/>
  <c r="D24" i="14" l="1"/>
  <c r="D28" i="14" s="1"/>
  <c r="D31" i="14" s="1"/>
  <c r="I24" i="14" s="1"/>
</calcChain>
</file>

<file path=xl/sharedStrings.xml><?xml version="1.0" encoding="utf-8"?>
<sst xmlns="http://schemas.openxmlformats.org/spreadsheetml/2006/main" count="659" uniqueCount="551">
  <si>
    <t>Suzlon Energy- "VALUATION"</t>
  </si>
  <si>
    <t>INR Cr</t>
  </si>
  <si>
    <t>LTM</t>
  </si>
  <si>
    <t>Y1E</t>
  </si>
  <si>
    <t>Y2E</t>
  </si>
  <si>
    <t>Y3E</t>
  </si>
  <si>
    <t>Y4W</t>
  </si>
  <si>
    <t>Y5E</t>
  </si>
  <si>
    <t>Y6E</t>
  </si>
  <si>
    <t>Y7E</t>
  </si>
  <si>
    <t>Y8E</t>
  </si>
  <si>
    <t>Y9E</t>
  </si>
  <si>
    <t>Y10E</t>
  </si>
  <si>
    <t>Terminal Year</t>
  </si>
  <si>
    <t>Terminal growth rate %</t>
  </si>
  <si>
    <t xml:space="preserve">Sales </t>
  </si>
  <si>
    <t>Cost of Capital %</t>
  </si>
  <si>
    <t>Sales Growth</t>
  </si>
  <si>
    <t>Terminal reinvestment rate %</t>
  </si>
  <si>
    <t>EBIT</t>
  </si>
  <si>
    <t>EBIT Margin %</t>
  </si>
  <si>
    <t>Enterprise value = Equity Value + Minority interest</t>
  </si>
  <si>
    <t>Less: Tax on EBIT</t>
  </si>
  <si>
    <t>EBIT(1-T)</t>
  </si>
  <si>
    <t>Less: Net Capital Expenditure</t>
  </si>
  <si>
    <t>Non Cash Working Capital</t>
  </si>
  <si>
    <t>Less: Change in Working Capital</t>
  </si>
  <si>
    <t>Reinvestment</t>
  </si>
  <si>
    <t>Free Cash Flow To Firm (FCFF)</t>
  </si>
  <si>
    <t>Implied Reinvestment rate %</t>
  </si>
  <si>
    <t>Terminal Value</t>
  </si>
  <si>
    <t>Present Value Interest Factor(PVIF)</t>
  </si>
  <si>
    <t>Present value of FCFF</t>
  </si>
  <si>
    <t>Present value of Terminal value</t>
  </si>
  <si>
    <t>Calculation of Sensitivity Analysis</t>
  </si>
  <si>
    <t>Value of operating assets</t>
  </si>
  <si>
    <t>Add: Cash</t>
  </si>
  <si>
    <t>Less: Debt</t>
  </si>
  <si>
    <t>Less: Minority Interest</t>
  </si>
  <si>
    <t>Equity Value</t>
  </si>
  <si>
    <t>No. of Shares outstanding (Cr)</t>
  </si>
  <si>
    <t xml:space="preserve">intrinsic value per share </t>
  </si>
  <si>
    <t xml:space="preserve">Current </t>
  </si>
  <si>
    <t>GOLDMAN SACHS EQUITY RESEARCH</t>
  </si>
  <si>
    <t>Suzlon Energy Ltd (SUZLON.NS)</t>
  </si>
  <si>
    <t>Recommendation: BUY</t>
  </si>
  <si>
    <t>Target Price: ₹88.00</t>
  </si>
  <si>
    <t>Current Price: ₹53.62</t>
  </si>
  <si>
    <t>Upside: 64.1%</t>
  </si>
  <si>
    <t>INVESTMENT THESIS:</t>
  </si>
  <si>
    <t>We reiterate our BUY rating on Suzlon Energy as the company emerges as a primary beneficiary of India's aggressive renewable energy targets. With a deleveraged balance sheet and a robust order book of over 5.6 GW, Suzlon is well-positioned to capture the surging demand in the wind energy sector.</t>
  </si>
  <si>
    <t>KEY DRIVERS:</t>
  </si>
  <si>
    <t>1. Market Leadership: Suzlon maintains a ~32% market share in India's wind turbine market.</t>
  </si>
  <si>
    <t>2. Financial Turnaround: Successful debt reduction and capital infusion have significantly improved the ROCE to 32.5%.</t>
  </si>
  <si>
    <t>3. Order Book Visibility: Record order book of 5.6 GW provides strong revenue visibility for the next 24-36 months.</t>
  </si>
  <si>
    <t>4. Policy Tailwinds: The Indian government's target of 500 GW non-fossil capacity by 2030 provides long-term visibility.</t>
  </si>
  <si>
    <t>RISKS:</t>
  </si>
  <si>
    <t>1. Execution delays in large-scale projects.</t>
  </si>
  <si>
    <t>2. Supply chain disruptions for key components.</t>
  </si>
  <si>
    <t>3. Competition from global players like GE Vernova and Siemens Energy.</t>
  </si>
  <si>
    <t>Suzlon Energy Limited (NSE: SUZLON | BSE: 532667 | CIN: L40101PN1995PLC085963) is one of the leading global renewable energy solutions providers. Incorporated in 1995, it is a vertically integrated wind turbine generator (WTG) manufacturer. Headquartered in Pune, India, Suzlon has a presence in 17 countries across Asia, Australia, Europe, Africa, and the Americas. The company has installed over 20.5 GW of wind energy capacity globally. It operates 14 manufacturing facilities in India and has a strong R&amp;D presence in Germany, Denmark, and the Netherlands. Key subsidiaries include SE Forge Limited and Suzlon Global Services Limited. Vision: Powering a greener tomorrow. Mission: To be the world's leading renewable energy solutions provider.</t>
  </si>
  <si>
    <t>Promoters -</t>
  </si>
  <si>
    <t>Sugati Holdings Pvt. Ltd.</t>
  </si>
  <si>
    <t>Tanti Holdings Private Limited</t>
  </si>
  <si>
    <t>Samanvaya Holdings Private Limited</t>
  </si>
  <si>
    <t>Rambhaben Ukabhai</t>
  </si>
  <si>
    <t>Girish R.Tanti</t>
  </si>
  <si>
    <t>Sangita V.Tanti</t>
  </si>
  <si>
    <t>Lina J.Tanti</t>
  </si>
  <si>
    <t>Tulsi R.Tanti J/w. Vinod R.Tanti J/w. Jitendra R.Tanti</t>
  </si>
  <si>
    <t>Tulsi R.Tanti as karta of Ranchhodbhai Ramjibhai HUF</t>
  </si>
  <si>
    <t>Gita T.Tanti</t>
  </si>
  <si>
    <t>Pranav T.Tanti</t>
  </si>
  <si>
    <t>Tulsi R.Tanti J/w. Vinod R.Tanti J/w. Jitendra R.T...</t>
  </si>
  <si>
    <t>Brij J.Tanti</t>
  </si>
  <si>
    <t>Vinod R.Tanti as karta of Ranchhodbhai Ramjibhai HUF</t>
  </si>
  <si>
    <t>Vinod R.Tanti J/w. Jitendra R.Tanti as trustees of...</t>
  </si>
  <si>
    <t>Tulsi R.Tanti as karta of Tulsi Ranchhodbhai HUF</t>
  </si>
  <si>
    <t>Vinod R.Tanti</t>
  </si>
  <si>
    <t>Rajan V.Tanti</t>
  </si>
  <si>
    <t>Jitendra R.Tanti</t>
  </si>
  <si>
    <t>Trisha J.Tanti</t>
  </si>
  <si>
    <t>Vinod R.Tanti as karta of Vinod Ranchhodbhai HUF</t>
  </si>
  <si>
    <t>Jitendra R.Tanti as karta of Jitendra Ranchhodbhai HUF</t>
  </si>
  <si>
    <t>Pranav T.Tanti as karta of Tulsi Ranchhodbhai HUF</t>
  </si>
  <si>
    <t>Tulsi R.Tanti</t>
  </si>
  <si>
    <t>Nidhi T.Tanti</t>
  </si>
  <si>
    <t>The Tanti Trust (through its Trustee Mr. Vinod Ran...</t>
  </si>
  <si>
    <t>The Tanti Trust (its Trustee Vinod R.Tanti, Girish...</t>
  </si>
  <si>
    <t>FIIs -</t>
  </si>
  <si>
    <t>Cowell &amp; Lee Investment (Mauritius) Limited</t>
  </si>
  <si>
    <t>Ishares Ii Public Limited Company - Ishares Global</t>
  </si>
  <si>
    <t>Vanguard Total International Stock Index Fund</t>
  </si>
  <si>
    <t>Vanguard Emerging Markets Stock Index Fund, A Seri</t>
  </si>
  <si>
    <t>Blackrock Global Funds Asian Dragon Fund</t>
  </si>
  <si>
    <t>Elm Park Fund Limited</t>
  </si>
  <si>
    <t>DIIs -</t>
  </si>
  <si>
    <t>State Bank Of India</t>
  </si>
  <si>
    <t>Tor Asia Credit Master Fund Lp</t>
  </si>
  <si>
    <t>Belgrave Investment Fund .</t>
  </si>
  <si>
    <t>Bank Of Baroda</t>
  </si>
  <si>
    <t>Life Insurance Corporation Of India</t>
  </si>
  <si>
    <t>Idbi Bank Ltd.</t>
  </si>
  <si>
    <t>Reliance Etf Infra Bees Investment Account</t>
  </si>
  <si>
    <t>Punjab National Bank</t>
  </si>
  <si>
    <t>Motilal Oswal Nifty India Manufacturing Etf</t>
  </si>
  <si>
    <t>Kotak Equity Arbitrage Fund</t>
  </si>
  <si>
    <t>Lici Health Plus Non Unit Fund</t>
  </si>
  <si>
    <t>Public -</t>
  </si>
  <si>
    <t>Cannon Realty Pvt. Ltd. J/W. Sun Fastfin Services ...</t>
  </si>
  <si>
    <t>Tejaskiran Pharmachem Industries Pvt. Ltd. J/w. Vi...</t>
  </si>
  <si>
    <t>Viditi Investment Pvt. Ltd. J/w. Virtuous Share In...</t>
  </si>
  <si>
    <t>Family Investment Pvt. Ltd. J/w. Quality Investmen...</t>
  </si>
  <si>
    <t>Shanghvi Finance Pvt. Ltd. J/w. Aalok D. Shanghvi ...</t>
  </si>
  <si>
    <t>Shanghvi Finance Pvt. Ltd. J/w. Vibha Shanghvi in ...</t>
  </si>
  <si>
    <t>Shanghvi Finance Pvt. Ltd. J/w. Kumud S. Shanghvi ...</t>
  </si>
  <si>
    <t>Suraksha Buildwell Llp</t>
  </si>
  <si>
    <t>Cannon Realty Pvt. Ltd.</t>
  </si>
  <si>
    <t>ShanghviFinancePvtLtdJwAdityaMedisalesLtAalokShang...</t>
  </si>
  <si>
    <t>ShanghviFinancePvtLtdJwAdityaMedisalesLtdJWVibhaSh...</t>
  </si>
  <si>
    <t>ShanghviFinancePvtLtdJwAdityaMedisalesLtd.JWKumudS...</t>
  </si>
  <si>
    <t>Neostar Developers Llp</t>
  </si>
  <si>
    <t>Real Gold Developers Llp</t>
  </si>
  <si>
    <t>Aditya Medisales Ltd. J/W. M J Pharmaceuticals Pvt...</t>
  </si>
  <si>
    <t>Sun Petrochemicals Private Limited J/W. Aditya Med...</t>
  </si>
  <si>
    <t>Aditya Thermal Energy Private Limited J/W. Aditya ...</t>
  </si>
  <si>
    <t>Vibha D.Shanghvi</t>
  </si>
  <si>
    <t>Aalok Dilip Shanghvi</t>
  </si>
  <si>
    <t>Aditya Thermal Energy Private Limited</t>
  </si>
  <si>
    <t>Vidhi D.Shanghvi</t>
  </si>
  <si>
    <t>AdityaMedisalesLtdJWMackinonEnterprisesPvtLtdJwVid...</t>
  </si>
  <si>
    <t>Amrik Singh And Sons Crane Services Private Limited</t>
  </si>
  <si>
    <t>Power Finance Corporation Ltd</t>
  </si>
  <si>
    <t>Aditya Medisales Ltd. J/w. Unimed Investments Ltd....</t>
  </si>
  <si>
    <t>Aditya Medisales Ltd. J/W. Mackinon Enterprises Pv...</t>
  </si>
  <si>
    <t>Aalok Dilip Shanghvi - 2</t>
  </si>
  <si>
    <t>Aditya Medisales Ltd</t>
  </si>
  <si>
    <t>No. of Shareholders</t>
  </si>
  <si>
    <t>56,74,619</t>
  </si>
  <si>
    <t>56,95,354</t>
  </si>
  <si>
    <t>Particulars (₹ in Crores)</t>
  </si>
  <si>
    <t>FY 2020-21</t>
  </si>
  <si>
    <t>FY 2021-22</t>
  </si>
  <si>
    <t>FY 2022-23</t>
  </si>
  <si>
    <t xml:space="preserve">FY 2023-24 </t>
  </si>
  <si>
    <t>FY 2024-25</t>
  </si>
  <si>
    <t>Consolidated Balance Sheet</t>
  </si>
  <si>
    <t>Consolidated Cash Flow Statement</t>
  </si>
  <si>
    <t>Income</t>
  </si>
  <si>
    <t>ASSETS</t>
  </si>
  <si>
    <t>Cash flow from operating activities</t>
  </si>
  <si>
    <t>Revenue from operations</t>
  </si>
  <si>
    <t>Non-current assets</t>
  </si>
  <si>
    <t>Profit / (loss) before tax</t>
  </si>
  <si>
    <t>Other operating income</t>
  </si>
  <si>
    <t>Property, plant and equipment</t>
  </si>
  <si>
    <t>Adjustments for:</t>
  </si>
  <si>
    <t>Other income</t>
  </si>
  <si>
    <t>Capital work-in-progress</t>
  </si>
  <si>
    <t>Depreciation and amortisation</t>
  </si>
  <si>
    <t>Total Income (I)</t>
  </si>
  <si>
    <t>Investment property</t>
  </si>
  <si>
    <t>Finance costs</t>
  </si>
  <si>
    <t>Goodwill</t>
  </si>
  <si>
    <t>Interest income</t>
  </si>
  <si>
    <t>Expenses</t>
  </si>
  <si>
    <t>Other intangible assets</t>
  </si>
  <si>
    <t>(Gain) / loss on disposal of property</t>
  </si>
  <si>
    <t>Cost of raw materials, components and services consumed</t>
  </si>
  <si>
    <t>Intangible assets under development</t>
  </si>
  <si>
    <t>Unrealised foreign exchange (gain) / loss</t>
  </si>
  <si>
    <t>Changes in inventories of finished goods, etc.</t>
  </si>
  <si>
    <t>Financial assets</t>
  </si>
  <si>
    <t>Bad debts and allowances for doubtful debts</t>
  </si>
  <si>
    <t>Employee benefits expense</t>
  </si>
  <si>
    <t>(i) Investments</t>
  </si>
  <si>
    <t>Exceptional items items adjustment</t>
  </si>
  <si>
    <t>(ii) Trade receivables</t>
  </si>
  <si>
    <t>Operating profit before working capital changes</t>
  </si>
  <si>
    <t>Depreciation and amortisation expenses</t>
  </si>
  <si>
    <t>(iii) Loans</t>
  </si>
  <si>
    <t>Movements in working capital:</t>
  </si>
  <si>
    <t>Other expenses</t>
  </si>
  <si>
    <t>(iv) Other financial assets</t>
  </si>
  <si>
    <t>Decrease / (increase) in inventories</t>
  </si>
  <si>
    <t>Total Expenses (II)</t>
  </si>
  <si>
    <t>Deferred tax assets (net)</t>
  </si>
  <si>
    <t>Decrease / (increase) in trade receivables</t>
  </si>
  <si>
    <t>Other non-current assets</t>
  </si>
  <si>
    <t>Decrease / (increase) in financial and other assets</t>
  </si>
  <si>
    <t>Profit / (loss) before exceptional items and tax</t>
  </si>
  <si>
    <t>Total non-current assets</t>
  </si>
  <si>
    <t>Increase / (decrease) in trade payables</t>
  </si>
  <si>
    <t>Exceptional items (net)</t>
  </si>
  <si>
    <t>-</t>
  </si>
  <si>
    <t>Current assets</t>
  </si>
  <si>
    <t>Increase / (decrease) in financial and other liabilities</t>
  </si>
  <si>
    <t>Inventories</t>
  </si>
  <si>
    <t>Increase / (decrease) in provisions</t>
  </si>
  <si>
    <t>Cash generated from operations</t>
  </si>
  <si>
    <t>Tax expense</t>
  </si>
  <si>
    <t>Direct taxes paid (net of refunds)</t>
  </si>
  <si>
    <t>Current tax</t>
  </si>
  <si>
    <t>Net cash flow from operating activities (A)</t>
  </si>
  <si>
    <t>Deferred tax</t>
  </si>
  <si>
    <t>(iii) Cash and cash equivalents</t>
  </si>
  <si>
    <t>Total Tax Expense</t>
  </si>
  <si>
    <t>(iv) Bank balances other than cash</t>
  </si>
  <si>
    <t>Cash flows from investing activities</t>
  </si>
  <si>
    <t>(v) Loans</t>
  </si>
  <si>
    <t>Purchase of property, plant and equipment</t>
  </si>
  <si>
    <t>Profit / (loss) after tax</t>
  </si>
  <si>
    <t>(vi) Other financial assets</t>
  </si>
  <si>
    <t>Proceeds from sale of property, plant &amp; equipment</t>
  </si>
  <si>
    <t>Share of profit / (loss) of associates and joint ventures</t>
  </si>
  <si>
    <t>Other current assets</t>
  </si>
  <si>
    <t>Purchase of current/non-current investments</t>
  </si>
  <si>
    <t>Net Profit / (loss) for the year</t>
  </si>
  <si>
    <t>Total current assets</t>
  </si>
  <si>
    <t>Proceeds from sale/maturity of investments</t>
  </si>
  <si>
    <t>Total assets</t>
  </si>
  <si>
    <t>Interest received</t>
  </si>
  <si>
    <t>Other Comprehensive Income / (loss) (OCI)</t>
  </si>
  <si>
    <t>Net cash flow used in investing activities (B)</t>
  </si>
  <si>
    <t>Items that will not be reclassified to profit or loss</t>
  </si>
  <si>
    <t>EQUITY AND LIABILITIES</t>
  </si>
  <si>
    <t>Items that will be reclassified to profit or loss</t>
  </si>
  <si>
    <t>Equity</t>
  </si>
  <si>
    <t>Cash flows from financing activities</t>
  </si>
  <si>
    <t>Other comprehensive income for the year, net of tax</t>
  </si>
  <si>
    <t>Equity share capital</t>
  </si>
  <si>
    <t>Proceeds from issuance of equity shares</t>
  </si>
  <si>
    <t>Other equity</t>
  </si>
  <si>
    <t>Proceeds from long-term borrowings</t>
  </si>
  <si>
    <t>Total Comprehensive Income for the year</t>
  </si>
  <si>
    <t>Equity attributable to owners</t>
  </si>
  <si>
    <t>Repayment of long-term borrowings</t>
  </si>
  <si>
    <t>Non-controlling interests</t>
  </si>
  <si>
    <t>Net movement in short-term borrowings</t>
  </si>
  <si>
    <t>Profit / (loss) for the year attributable to:</t>
  </si>
  <si>
    <t>Total equity</t>
  </si>
  <si>
    <t>Payment of lease liabilities</t>
  </si>
  <si>
    <t>Owners of the Company</t>
  </si>
  <si>
    <t>LIABILITIES</t>
  </si>
  <si>
    <t>Finance costs paid</t>
  </si>
  <si>
    <t>Non-controlling interest</t>
  </si>
  <si>
    <t>Non-current liabilities</t>
  </si>
  <si>
    <t>Net cash flow from / (used in) financing activities (C)</t>
  </si>
  <si>
    <t>Financial liabilities</t>
  </si>
  <si>
    <t>Earnings per equity share (EPS)</t>
  </si>
  <si>
    <t>(i) Borrowings</t>
  </si>
  <si>
    <t>Net increase in cash and cash equivalents (A+B+C)</t>
  </si>
  <si>
    <t>Basic (₹)</t>
  </si>
  <si>
    <t>(ii) Lease liabilities</t>
  </si>
  <si>
    <t>Cash and cash equivalents at beginning of the year</t>
  </si>
  <si>
    <t>Diluted (₹)</t>
  </si>
  <si>
    <t>(iii) Other financial liabilities</t>
  </si>
  <si>
    <t>Effects of exchange rate changes on cash balances</t>
  </si>
  <si>
    <t>Provisions</t>
  </si>
  <si>
    <t>Cash and cash equivalents at end of the year</t>
  </si>
  <si>
    <t>Deferred tax liabilities (net)</t>
  </si>
  <si>
    <t>Other non-current liabilities</t>
  </si>
  <si>
    <t>Total non-current liabilities</t>
  </si>
  <si>
    <t>Current liabilities</t>
  </si>
  <si>
    <t>(iii) Trade payables</t>
  </si>
  <si>
    <t>(iv) Other financial liabilities</t>
  </si>
  <si>
    <t>Other current liabilities</t>
  </si>
  <si>
    <t>Current tax liabilities (net)</t>
  </si>
  <si>
    <t>Total current liabilities</t>
  </si>
  <si>
    <t>Total equity and liabilities</t>
  </si>
  <si>
    <t>SUZLON ENERGY LIMITED</t>
  </si>
  <si>
    <t>Consolidated Financial Results for the Quarters of 2025</t>
  </si>
  <si>
    <t>(₹ in Crores)</t>
  </si>
  <si>
    <t>Particulars</t>
  </si>
  <si>
    <t>Quarter ended December 31, 2025 (Unaudited)</t>
  </si>
  <si>
    <t>Quarter ended September 30, 2025 (Unaudited)</t>
  </si>
  <si>
    <t>Quarter ended June 30, 2025 (Unaudited)</t>
  </si>
  <si>
    <t>1. Income</t>
  </si>
  <si>
    <t xml:space="preserve">   a) Revenue from operations</t>
  </si>
  <si>
    <t xml:space="preserve">   b) Other operating income</t>
  </si>
  <si>
    <t xml:space="preserve">   c) Other income</t>
  </si>
  <si>
    <t>Total Income</t>
  </si>
  <si>
    <t>2. Expenses</t>
  </si>
  <si>
    <t xml:space="preserve">   a) Consumption of raw materials, components consumed and services rendered</t>
  </si>
  <si>
    <t xml:space="preserve">   b) Purchase of stock-in-trade</t>
  </si>
  <si>
    <t xml:space="preserve">   c) Changes in inventories of finished goods, semi-finished goods and work-in-progress</t>
  </si>
  <si>
    <t xml:space="preserve">   d) Employee benefits expense</t>
  </si>
  <si>
    <t xml:space="preserve">   e) Finance cost</t>
  </si>
  <si>
    <t xml:space="preserve">   f) Depreciation and amortisation expense</t>
  </si>
  <si>
    <t xml:space="preserve">   g) Foreign exchange loss / (gain)</t>
  </si>
  <si>
    <t xml:space="preserve">   h) Other expenses</t>
  </si>
  <si>
    <t>Total Expenses</t>
  </si>
  <si>
    <t>3. Profit before exceptional items and tax (1 - 2)</t>
  </si>
  <si>
    <t>4. Exceptional items loss / (gain)</t>
  </si>
  <si>
    <t>5. Profit before tax (3 - 4)</t>
  </si>
  <si>
    <t>6. Tax expenses</t>
  </si>
  <si>
    <t xml:space="preserve">   a) Current tax</t>
  </si>
  <si>
    <t xml:space="preserve">   b) Deferred tax</t>
  </si>
  <si>
    <t>7. Net profit after tax (5 - 6)</t>
  </si>
  <si>
    <t>8. Share of profit/ (loss) of associate and joint ventures</t>
  </si>
  <si>
    <t>9. Net profit for the period (7 + 8)</t>
  </si>
  <si>
    <t>10. Other comprehensive income/ (loss), net of tax</t>
  </si>
  <si>
    <t xml:space="preserve">   a) Items that will not be reclassified to profit and loss</t>
  </si>
  <si>
    <t xml:space="preserve">   b) Items that will be reclassified to profit and loss</t>
  </si>
  <si>
    <t>11. Total comprehensive income, net of tax (9 + 10)</t>
  </si>
  <si>
    <t>12. Net profit for the period attributable to:</t>
  </si>
  <si>
    <t xml:space="preserve">   - Owners of the Company</t>
  </si>
  <si>
    <t xml:space="preserve">   - Non-controlling interest</t>
  </si>
  <si>
    <t>Total comprehensive income for the period attributable to:</t>
  </si>
  <si>
    <t>13. Paid up equity share capital (Face value of ₹ 2/- each)</t>
  </si>
  <si>
    <t>14. Earnings per equity share (EPS) (*not annualised)</t>
  </si>
  <si>
    <t xml:space="preserve">   - Basic (₹)</t>
  </si>
  <si>
    <t xml:space="preserve">   - Diluted (₹)</t>
  </si>
  <si>
    <t>Weighted Average Cost of Capital</t>
  </si>
  <si>
    <t>Capital Structure</t>
  </si>
  <si>
    <t>Total Debt</t>
  </si>
  <si>
    <t>Total Equity</t>
  </si>
  <si>
    <t>Total Mix</t>
  </si>
  <si>
    <t>% of Debt</t>
  </si>
  <si>
    <t>% of Equity</t>
  </si>
  <si>
    <t xml:space="preserve"> </t>
  </si>
  <si>
    <t>Debt to Equity</t>
  </si>
  <si>
    <t>Cost of Equity</t>
  </si>
  <si>
    <t>Cost of Debt</t>
  </si>
  <si>
    <t>Risk free rate(Rf)</t>
  </si>
  <si>
    <t>Source</t>
  </si>
  <si>
    <t>Cost</t>
  </si>
  <si>
    <t>Beta</t>
  </si>
  <si>
    <t>Cost of debt*</t>
  </si>
  <si>
    <t>Market risk premium</t>
  </si>
  <si>
    <t>Tax rate</t>
  </si>
  <si>
    <t>Cost of equity</t>
  </si>
  <si>
    <t>Cost of Debt after tax</t>
  </si>
  <si>
    <t>WACC</t>
  </si>
  <si>
    <t>Weight</t>
  </si>
  <si>
    <t>Weighted Cost</t>
  </si>
  <si>
    <t xml:space="preserve">Debt </t>
  </si>
  <si>
    <t xml:space="preserve">NIFTY </t>
  </si>
  <si>
    <t>BETA</t>
  </si>
  <si>
    <t>Date</t>
  </si>
  <si>
    <t>Closing Price</t>
  </si>
  <si>
    <t>Close</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</si>
  <si>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</si>
  <si>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</si>
  <si>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</si>
  <si>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</si>
  <si>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</si>
  <si>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</si>
  <si>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</si>
  <si>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</si>
  <si>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</si>
  <si>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</si>
  <si>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</si>
  <si>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</si>
  <si>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</si>
  <si>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</si>
  <si>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</si>
  <si>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</si>
  <si>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</si>
  <si>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</si>
  <si>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</si>
  <si>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</si>
  <si>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</si>
  <si>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</si>
  <si>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</si>
  <si>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</si>
  <si>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</si>
  <si>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t>
  </si>
  <si>
    <t>Suzlon Energy</t>
  </si>
  <si>
    <t>Consolidated Profit &amp; Loss account</t>
  </si>
  <si>
    <t>Mar 25</t>
  </si>
  <si>
    <t>Revenue From Operations [Net]</t>
  </si>
  <si>
    <t xml:space="preserve">revenue growth </t>
  </si>
  <si>
    <t>less: Material Consumed</t>
  </si>
  <si>
    <t xml:space="preserve">less: Employee Cost </t>
  </si>
  <si>
    <t>less: Other Expenses</t>
  </si>
  <si>
    <t>EBITDA</t>
  </si>
  <si>
    <t xml:space="preserve">less: Depreciation &amp; Amortization </t>
  </si>
  <si>
    <t xml:space="preserve">add: Other income </t>
  </si>
  <si>
    <t>less: Interest Expense</t>
  </si>
  <si>
    <t xml:space="preserve">EBT </t>
  </si>
  <si>
    <t xml:space="preserve">less: Tax </t>
  </si>
  <si>
    <t xml:space="preserve">less: Non Controlling interest </t>
  </si>
  <si>
    <t>PAT</t>
  </si>
  <si>
    <t xml:space="preserve">Historical Growth </t>
  </si>
  <si>
    <t xml:space="preserve">Average Growth </t>
  </si>
  <si>
    <t>CAGR</t>
  </si>
  <si>
    <t>Margin Analysis</t>
  </si>
  <si>
    <t>EBITDA Margin</t>
  </si>
  <si>
    <t>EBIT Margin</t>
  </si>
  <si>
    <t>EBT Margin</t>
  </si>
  <si>
    <t>PAT Margin</t>
  </si>
  <si>
    <t xml:space="preserve">Tax Rate </t>
  </si>
  <si>
    <t xml:space="preserve">Effective  Tax Rate </t>
  </si>
  <si>
    <t xml:space="preserve">Marginal Tax Rate </t>
  </si>
  <si>
    <t xml:space="preserve">Return on Capital </t>
  </si>
  <si>
    <t>EBIT(1-t)</t>
  </si>
  <si>
    <t xml:space="preserve">Book Equity </t>
  </si>
  <si>
    <t>Book Debt</t>
  </si>
  <si>
    <t xml:space="preserve">Cash and Cash Equivalent </t>
  </si>
  <si>
    <t>Capital Employed</t>
  </si>
  <si>
    <t>Pre Tax Return on Capital</t>
  </si>
  <si>
    <t>Post Tax Return on Capital</t>
  </si>
  <si>
    <t>EBIT Growth</t>
  </si>
  <si>
    <t xml:space="preserve">Varun Beverages                        "Fixed Asset Schedule " </t>
  </si>
  <si>
    <t xml:space="preserve">Particular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</si>
  <si>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</si>
  <si>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</si>
  <si>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</si>
  <si>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</si>
  <si>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</si>
  <si>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</si>
  <si>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 xml:space="preserve">Net Capital expenditure / Sales percentage </t>
  </si>
  <si>
    <t xml:space="preserve">Median Capital expenditure /Sales percentage </t>
  </si>
  <si>
    <t xml:space="preserve">Average  Capital expenditure /Sales percentage </t>
  </si>
  <si>
    <t xml:space="preserve">       "Change in Working Capital " </t>
  </si>
  <si>
    <t xml:space="preserve">Inventory </t>
  </si>
  <si>
    <t xml:space="preserve">Trade Receivables </t>
  </si>
  <si>
    <t>Trade Payable</t>
  </si>
  <si>
    <t xml:space="preserve">Non Cash working Capital </t>
  </si>
  <si>
    <t xml:space="preserve">Change in Working Capital </t>
  </si>
  <si>
    <t xml:space="preserve">changein working Capital /percentage of sales </t>
  </si>
  <si>
    <t xml:space="preserve">Median Non Cash working Capital  /Sales percentage </t>
  </si>
  <si>
    <t xml:space="preserve">Average  Non Cash working Capital  /Sales percentage </t>
  </si>
  <si>
    <t xml:space="preserve">Suzlon Energy   "Free Cash Flow " </t>
  </si>
  <si>
    <t>EBIT * (1- Tax)</t>
  </si>
  <si>
    <t xml:space="preserve">Less: Net Capital expenditure </t>
  </si>
  <si>
    <t xml:space="preserve">Less: Net Change in working Capital </t>
  </si>
  <si>
    <t>Free Cash Flow</t>
  </si>
  <si>
    <t xml:space="preserve">Reinvestment Rate </t>
  </si>
  <si>
    <t xml:space="preserve">Median Reinvestment rate   /Sales percentage </t>
  </si>
  <si>
    <t xml:space="preserve">Average Reinvestment rate   /Sales percentage </t>
  </si>
  <si>
    <t>Radico Khaitan "Growth Scenarios"</t>
  </si>
  <si>
    <t>Scenario 1: High Growth</t>
  </si>
  <si>
    <t>INR Cr.</t>
  </si>
  <si>
    <t>Sales</t>
  </si>
  <si>
    <t>Risk Free Rate</t>
  </si>
  <si>
    <t>Sales Growth %</t>
  </si>
  <si>
    <t>Scenario 2: Average Growth</t>
  </si>
  <si>
    <t>Scenario 3: EBIT Growth</t>
  </si>
  <si>
    <t>Live Scenario</t>
  </si>
  <si>
    <t>Ratio Analysis</t>
  </si>
  <si>
    <t>Years</t>
  </si>
  <si>
    <t>Trend</t>
  </si>
  <si>
    <t>SalesGrowth</t>
  </si>
  <si>
    <t>EBITDA Growth</t>
  </si>
  <si>
    <t>Net Profit Growth</t>
  </si>
  <si>
    <t>Dividend Growth</t>
  </si>
  <si>
    <t>Gross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</si>
  <si>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</si>
  <si>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</si>
  <si>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</si>
  <si>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</si>
  <si>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</si>
  <si>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</si>
  <si>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</si>
  <si>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</si>
  <si>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</si>
  <si>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</si>
  <si>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</si>
  <si>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</si>
  <si>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</si>
  <si>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</si>
  <si>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</si>
  <si>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</si>
  <si>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</si>
  <si>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Cash Conversion Cycle (in days)</t>
  </si>
  <si>
    <t>S.No.</t>
  </si>
  <si>
    <t>Name</t>
  </si>
  <si>
    <t>CMP Rs.</t>
  </si>
  <si>
    <t>Net Profit</t>
  </si>
  <si>
    <t>No. Eq. Shares Cr.</t>
  </si>
  <si>
    <t>Mar Cap Rs.Cr.</t>
  </si>
  <si>
    <t>Cash End Rs.Cr.</t>
  </si>
  <si>
    <t>Debt Rs.Cr.</t>
  </si>
  <si>
    <t>Sales Rs.Cr.</t>
  </si>
  <si>
    <t>EV / EBITDA</t>
  </si>
  <si>
    <t>EBIDT Ann Rs.Cr.</t>
  </si>
  <si>
    <t>A B B</t>
  </si>
  <si>
    <t>CG Power &amp; Ind</t>
  </si>
  <si>
    <t>Siemens Ener.Ind</t>
  </si>
  <si>
    <t>GE Vernova T&amp;D</t>
  </si>
  <si>
    <t>Relative Valuation - Radico Khaitan</t>
  </si>
  <si>
    <t>Figures in Crore</t>
  </si>
  <si>
    <t>Comparable Company Valuation</t>
  </si>
  <si>
    <t>Company Name</t>
  </si>
  <si>
    <t>Ticker Name</t>
  </si>
  <si>
    <t>Market Data</t>
  </si>
  <si>
    <t>Financials</t>
  </si>
  <si>
    <t>Valuation</t>
  </si>
  <si>
    <t>No. of shares</t>
  </si>
  <si>
    <t>Share Price</t>
  </si>
  <si>
    <t>Equity value</t>
  </si>
  <si>
    <t>Debt</t>
  </si>
  <si>
    <t>cash</t>
  </si>
  <si>
    <t>Enterprises value</t>
  </si>
  <si>
    <t>Revenue</t>
  </si>
  <si>
    <t>EPS</t>
  </si>
  <si>
    <t>EV/Revenue</t>
  </si>
  <si>
    <t>EV/EBITDA</t>
  </si>
  <si>
    <t>P/E Ratio</t>
  </si>
  <si>
    <t>Max</t>
  </si>
  <si>
    <t>75th Percentile</t>
  </si>
  <si>
    <t>Average</t>
  </si>
  <si>
    <t>median</t>
  </si>
  <si>
    <t>25th Percentile</t>
  </si>
  <si>
    <t>Min.</t>
  </si>
  <si>
    <t>M&amp;M Industry Comparable comps</t>
  </si>
  <si>
    <t xml:space="preserve">Overvalued </t>
  </si>
  <si>
    <t>Overvalued</t>
  </si>
  <si>
    <t>Implied Enterprise Value</t>
  </si>
  <si>
    <t>Net Debt</t>
  </si>
  <si>
    <t>Implied Market Value</t>
  </si>
  <si>
    <t>Share Outstanding</t>
  </si>
  <si>
    <t>Implied Value per Share</t>
  </si>
  <si>
    <t>Metric</t>
  </si>
  <si>
    <t>Value</t>
  </si>
  <si>
    <t>Market Cap</t>
  </si>
  <si>
    <t>₹ 72,952 Cr.</t>
  </si>
  <si>
    <t>Current Price</t>
  </si>
  <si>
    <t>High / Low</t>
  </si>
  <si>
    <t>₹ 74.3 / 38.2</t>
  </si>
  <si>
    <t>Stock P/E</t>
  </si>
  <si>
    <t>Book Value</t>
  </si>
  <si>
    <t>Dividend Yield</t>
  </si>
  <si>
    <t>0.0%</t>
  </si>
  <si>
    <t>ROCE</t>
  </si>
  <si>
    <t>32.5%</t>
  </si>
  <si>
    <t>ROE</t>
  </si>
  <si>
    <t>41.4%</t>
  </si>
  <si>
    <t>Face Value</t>
  </si>
  <si>
    <t>Suzlon Energy: Strategic Turnaround and Market Leadership in India's Energy Transition</t>
  </si>
  <si>
    <t>SIEMENS ENERGY</t>
  </si>
  <si>
    <t>Siemens Energy is a global leader in energy technology, operating across the entire energy value chain. The company's portfolio includes conventional and renewable energy technologies, such as gas and steam turbines, and wind energy through Siemens Gamesa.</t>
  </si>
  <si>
    <t>GE VERNOVA</t>
  </si>
  <si>
    <t>GE Vernova is a purpose-built energy company that includes GE's Renewable Energy, Power, and Digital businesses. It has a massive installed base of over 7,000 gas turbines and 59,000 wind turbines.</t>
  </si>
  <si>
    <t>CG POWER</t>
  </si>
  <si>
    <t>CG Power and Industrial Solutions Limited is an Indian multinational engaged in power generation, transmission, and distribution. It provides transformers, switchgears, motors, and drives.</t>
  </si>
  <si>
    <t>ABB</t>
  </si>
  <si>
    <t>ABB is a global technology leader in electrification and automation. Its solutions connect engineering know-how and software to optimize manufacturing, motion, and power.</t>
  </si>
  <si>
    <t>Attribute</t>
  </si>
  <si>
    <t>LTP (₹)</t>
  </si>
  <si>
    <t>Change (%)</t>
  </si>
  <si>
    <t>Sales (₹ crore)</t>
  </si>
  <si>
    <t>PAT (₹ crore)</t>
  </si>
  <si>
    <t>Equity (₹ crore)</t>
  </si>
  <si>
    <t>Operating Profit Margin (OPM%)</t>
  </si>
  <si>
    <t>Net Profit Margin (NPM%)</t>
  </si>
  <si>
    <t>Earnings Per Share (EPS)</t>
  </si>
  <si>
    <t>Hold on Suzlon Energy with TP ₹88.00 — GS Research | May 2026</t>
  </si>
  <si>
    <t>Suzlon Energy has successfully executed a massive financial turnaround, deleveraging its balance sheet and positioning itself as the primary beneficiary of India's 500 GW renewable energy target. With a record order book of 5.6 GW and a dominant 32% market share, the company is entering a high-growth phase. The successful integration of the S144 turbine series is driving higher margins and operational efficiency.  maintains a high-conviction BUY rating with a target price of ₹88.00, implying a 64% upside.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</si>
</sst>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0.0%\);\-"/>
    <numFmt numFmtId="166" formatCode="_ * #,##0.00_ ;_ * \-#,##0.00_ ;_ * \-??_ ;_ @_ "/>
    <numFmt numFmtId="167" formatCode="_ * #,##0.0_ ;_ * \-#,##0.0_ ;_ * &quot;-&quot;??_ ;_ @_ "/>
    <numFmt numFmtId="168" formatCode="0.0"/>
    <numFmt numFmtId="169" formatCode="0.&quot;X&quot;"/>
    <numFmt numFmtId="170" formatCode="0.000000"/>
    <numFmt numFmtId="171" formatCode="0.0000"/>
    <numFmt numFmtId="172" formatCode="#,##0.00;\(#,##0.00\);&quot;-&quot;;@"/>
    <numFmt numFmtId="173" formatCode="#,##0.0;\(#,##0.0\);\-"/>
    <numFmt numFmtId="174" formatCode="#,##0.0"/>
    <numFmt numFmtId="175" formatCode="_ * #,##0.00_ ;_ * \-#,##0.00_ ;_ * &quot;-&quot;??_ ;_ @_ "/>
    <numFmt numFmtId="176" formatCode="0.000%"/>
    <numFmt numFmtId="177" formatCode="0.00000"/>
  </numFmts>
  <fonts count="45">
    <font>
      <sz val="11"/>
      <color theme="1"/>
      <name val="Calibri"/>
      <family val="2"/>
    </font>
    <font>
      <b/>
      <sz val="11"/>
      <color theme="1"/>
      <name val="Calibri"/>
      <family val="2"/>
    </font>
    <font>
      <sz val="11"/>
      <color rgb="FF606F7B"/>
      <name val="Arial"/>
      <family val="2"/>
    </font>
    <font>
      <sz val="11"/>
      <color rgb="FF22222F"/>
      <name val="Arial"/>
      <family val="2"/>
    </font>
    <font>
      <u/>
      <sz val="11"/>
      <color theme="10"/>
      <name val="Calibri"/>
      <family val="2"/>
    </font>
    <font>
      <b/>
      <sz val="9"/>
      <color rgb="FFFFFFFF"/>
      <name val="Arial"/>
      <family val="2"/>
    </font>
    <font>
      <b/>
      <sz val="9"/>
      <color rgb="FF2E4D7B"/>
      <name val="Arial"/>
      <family val="2"/>
    </font>
    <font>
      <sz val="8"/>
      <color rgb="FF3A4F6A"/>
      <name val="Arial"/>
      <family val="2"/>
    </font>
    <font>
      <b/>
      <sz val="11"/>
      <name val="Calibri"/>
      <family val="2"/>
    </font>
    <font>
      <i/>
      <sz val="11"/>
      <color theme="1"/>
      <name val="Calibri"/>
      <family val="2"/>
    </font>
    <font>
      <sz val="9"/>
      <color rgb="FF1A2B3C"/>
      <name val="Arial"/>
      <family val="2"/>
    </font>
    <font>
      <b/>
      <sz val="11"/>
      <color rgb="FFFFFFFF"/>
      <name val="Arial"/>
      <family val="2"/>
    </font>
    <font>
      <b/>
      <sz val="8"/>
      <color rgb="FF2E4D7B"/>
      <name val="Arial"/>
      <family val="2"/>
    </font>
    <font>
      <i/>
      <sz val="8"/>
      <color rgb="FF7A8A9A"/>
      <name val="Arial"/>
      <family val="2"/>
    </font>
    <font>
      <sz val="9"/>
      <color rgb="FF3A4F6A"/>
      <name val="Arial"/>
      <family val="2"/>
    </font>
    <font>
      <b/>
      <sz val="9"/>
      <color rgb="FF1A2B3C"/>
      <name val="Arial"/>
      <family val="2"/>
    </font>
    <font>
      <b/>
      <sz val="10"/>
      <color rgb="FFC9A84C"/>
      <name val="Arial"/>
      <family val="2"/>
    </font>
    <font>
      <sz val="8"/>
      <color rgb="FF303030"/>
      <name val="Google Sans Text"/>
    </font>
    <font>
      <sz val="11"/>
      <color theme="1"/>
      <name val="Calibri"/>
      <family val="2"/>
    </font>
    <font>
      <b/>
      <sz val="13"/>
      <color rgb="FFFFFFFF"/>
      <name val="Calibri"/>
      <family val="2"/>
    </font>
    <font>
      <b/>
      <sz val="10"/>
      <color rgb="FFFFFFFF"/>
      <name val="Calibri"/>
      <family val="2"/>
    </font>
    <font>
      <sz val="9"/>
      <color rgb="FF000000"/>
      <name val="Calibri"/>
      <family val="2"/>
    </font>
    <font>
      <b/>
      <sz val="9"/>
      <color rgb="FFFFFFFF"/>
      <name val="Calibri"/>
      <family val="2"/>
    </font>
    <font>
      <b/>
      <sz val="11"/>
      <color rgb="FF003366"/>
      <name val="Calibri"/>
      <family val="2"/>
    </font>
    <font>
      <sz val="10"/>
      <color rgb="FF000000"/>
      <name val="Calibri"/>
      <family val="2"/>
    </font>
    <font>
      <b/>
      <sz val="10"/>
      <color rgb="FF000000"/>
      <name val="Calibri"/>
      <family val="2"/>
    </font>
    <font>
      <b/>
      <sz val="11"/>
      <color theme="1"/>
      <name val="Aptos Narrow"/>
      <family val="2"/>
      <scheme val="minor"/>
    </font>
    <font>
      <b/>
      <sz val="11"/>
      <color theme="0"/>
      <name val="Aptos Narrow"/>
      <family val="2"/>
      <scheme val="minor"/>
    </font>
    <font>
      <sz val="11"/>
      <color rgb="FF22222F"/>
      <name val="Aptos Narrow"/>
      <family val="2"/>
      <scheme val="minor"/>
    </font>
    <font>
      <sz val="11"/>
      <color theme="1"/>
      <name val="Aptos Narrow"/>
      <family val="2"/>
      <scheme val="minor"/>
    </font>
    <font>
      <sz val="10"/>
      <name val="Segoe UI"/>
      <family val="2"/>
    </font>
    <font>
      <sz val="10"/>
      <color rgb="FF000000"/>
      <name val="Arial"/>
      <family val="2"/>
    </font>
    <font>
      <sz val="10"/>
      <color rgb="FF0000FF"/>
      <name val="Arial"/>
      <family val="2"/>
    </font>
    <font>
      <b/>
      <sz val="10"/>
      <color rgb="FF000000"/>
      <name val="Arial"/>
      <family val="2"/>
    </font>
    <font>
      <b/>
      <sz val="10"/>
      <color rgb="FF0000FF"/>
      <name val="Arial"/>
      <family val="2"/>
    </font>
    <font>
      <sz val="10"/>
      <color rgb="FF008000"/>
      <name val="Arial"/>
      <family val="2"/>
    </font>
    <font>
      <b/>
      <sz val="11"/>
      <name val="Calibri"/>
      <family val="2"/>
    </font>
    <font>
      <b/>
      <sz val="14"/>
      <name val="Calibri"/>
      <family val="2"/>
    </font>
    <font>
      <b/>
      <sz val="11"/>
      <color rgb="FF008000"/>
      <name val="Calibri"/>
      <family val="2"/>
    </font>
    <font>
      <b/>
      <sz val="12"/>
      <name val="Calibri"/>
      <family val="2"/>
    </font>
    <font>
      <i/>
      <sz val="11"/>
      <name val="Calibri"/>
      <family val="2"/>
    </font>
    <font>
      <sz val="16"/>
      <color rgb="FF333333"/>
      <name val="Arial"/>
      <family val="2"/>
    </font>
    <font>
      <b/>
      <sz val="10"/>
      <color theme="0"/>
      <name val="Arial"/>
      <family val="2"/>
    </font>
    <font>
      <sz val="11"/>
      <color theme="0"/>
      <name val="Calibri"/>
      <family val="2"/>
    </font>
    <font>
      <sz val="10"/>
      <color theme="1"/>
      <name val="Arial"/>
      <family val="2"/>
    </font>
  </fonts>
  <fills count="35">
    <fill>
      <patternFill patternType="none"/>
    </fill>
    <fill>
      <patternFill patternType="gray125"/>
    </fill>
    <fill>
      <patternFill patternType="solid">
        <fgColor rgb="FFFFFFFF"/>
        <bgColor indexed="64"/>
      </patternFill>
    </fill>
    <fill>
      <patternFill patternType="solid">
        <fgColor rgb="FFF8F8FC"/>
        <bgColor indexed="64"/>
      </patternFill>
    </fill>
    <fill>
      <patternFill patternType="solid">
        <fgColor rgb="FF2E4D7B"/>
        <bgColor indexed="64"/>
      </patternFill>
    </fill>
    <fill>
      <patternFill patternType="solid">
        <fgColor rgb="FFE8EEF6"/>
        <bgColor indexed="64"/>
      </patternFill>
    </fill>
    <fill>
      <patternFill patternType="solid">
        <fgColor rgb="FFEAF1FB"/>
        <bgColor indexed="64"/>
      </patternFill>
    </fill>
    <fill>
      <patternFill patternType="solid">
        <fgColor rgb="FF14243A"/>
        <bgColor indexed="64"/>
      </patternFill>
    </fill>
    <fill>
      <patternFill patternType="solid">
        <fgColor rgb="FF3D6494"/>
        <bgColor indexed="64"/>
      </patternFill>
    </fill>
    <fill>
      <patternFill patternType="solid">
        <fgColor rgb="FFF0F5FC"/>
        <bgColor indexed="64"/>
      </patternFill>
    </fill>
    <fill>
      <patternFill patternType="solid">
        <fgColor rgb="FFDCE3EC"/>
        <bgColor indexed="64"/>
      </patternFill>
    </fill>
    <fill>
      <patternFill patternType="solid">
        <fgColor rgb="FF003366"/>
        <bgColor rgb="FF17375E"/>
      </patternFill>
    </fill>
    <fill>
      <patternFill patternType="solid">
        <fgColor rgb="FF17375E"/>
        <bgColor rgb="FF203864"/>
      </patternFill>
    </fill>
    <fill>
      <patternFill patternType="solid">
        <fgColor rgb="FFE0E0E0"/>
        <bgColor rgb="FFD9D9D9"/>
      </patternFill>
    </fill>
    <fill>
      <patternFill patternType="solid">
        <fgColor rgb="FFFFFFFF"/>
        <bgColor rgb="FFFFFDE7"/>
      </patternFill>
    </fill>
    <fill>
      <patternFill patternType="solid">
        <fgColor rgb="FFD9E1F2"/>
        <bgColor rgb="FFDAE3F3"/>
      </patternFill>
    </fill>
    <fill>
      <patternFill patternType="solid">
        <fgColor theme="0" tint="-0.249977111117893"/>
        <bgColor rgb="FFC9C9C9"/>
      </patternFill>
    </fill>
    <fill>
      <patternFill patternType="solid">
        <fgColor rgb="FFFFD700"/>
        <bgColor rgb="FFFFC000"/>
      </patternFill>
    </fill>
    <fill>
      <patternFill patternType="solid">
        <fgColor rgb="FF4472C4"/>
        <bgColor indexed="64"/>
      </patternFill>
    </fill>
    <fill>
      <patternFill patternType="solid">
        <fgColor rgb="FFF5F5F5"/>
        <bgColor indexed="64"/>
      </patternFill>
    </fill>
    <fill>
      <patternFill patternType="solid">
        <fgColor rgb="FFE9EFF7"/>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499984740745262"/>
        <bgColor indexed="64"/>
      </patternFill>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F7FAFC"/>
        <bgColor rgb="FFF7FAFC"/>
      </patternFill>
    </fill>
    <fill>
      <patternFill patternType="solid">
        <fgColor rgb="FFEDF2F7"/>
        <bgColor rgb="FFEDF2F7"/>
      </patternFill>
    </fill>
    <fill>
      <patternFill patternType="solid">
        <fgColor rgb="FFE6EDF5"/>
        <bgColor rgb="FFE6EDF5"/>
      </patternFill>
    </fill>
    <fill>
      <patternFill patternType="solid">
        <fgColor rgb="FF1B365D"/>
        <bgColor rgb="FF1B365D"/>
      </patternFill>
    </fill>
    <fill>
      <patternFill patternType="solid">
        <fgColor rgb="FFD9D9D9"/>
        <bgColor rgb="FFD9D9D9"/>
      </patternFill>
    </fill>
  </fills>
  <borders count="87">
    <border>
      <left/>
      <right/>
      <top/>
      <bottom/>
      <diagonal/>
    </border>
    <border>
      <left/>
      <right/>
      <top/>
      <bottom style="medium">
        <color rgb="FFDBE4F0"/>
      </bottom>
      <diagonal/>
    </border>
    <border>
      <left/>
      <right/>
      <top style="medium">
        <color rgb="FFDBE4F0"/>
      </top>
      <bottom/>
      <diagonal/>
    </border>
    <border>
      <left/>
      <right/>
      <top style="thin">
        <color rgb="FFC9A84C"/>
      </top>
      <bottom/>
      <diagonal/>
    </border>
    <border>
      <left style="thin">
        <color auto="1"/>
      </left>
      <right style="thin">
        <color auto="1"/>
      </right>
      <top style="thin">
        <color rgb="FFC9A84C"/>
      </top>
      <bottom style="thin">
        <color rgb="FFC8D4E3"/>
      </bottom>
      <diagonal/>
    </border>
    <border>
      <left/>
      <right/>
      <top style="thin">
        <color rgb="FFC9A84C"/>
      </top>
      <bottom style="thin">
        <color rgb="FFC8D4E3"/>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
      <left/>
      <right/>
      <top style="thin">
        <color rgb="FFC9A84C"/>
      </top>
      <bottom style="thin">
        <color rgb="FFC9A84C"/>
      </bottom>
      <diagonal/>
    </border>
    <border>
      <left/>
      <right style="thin">
        <color rgb="FFC8D4E3"/>
      </right>
      <top style="thin">
        <color rgb="FFC9A84C"/>
      </top>
      <bottom style="thin">
        <color rgb="FFC9A84C"/>
      </bottom>
      <diagonal/>
    </border>
    <border>
      <left/>
      <right style="thin">
        <color rgb="FFC8D4E3"/>
      </right>
      <top/>
      <bottom/>
      <diagonal/>
    </border>
    <border>
      <left/>
      <right style="medium">
        <color rgb="FFEEEEEE"/>
      </right>
      <top/>
      <bottom/>
      <diagonal/>
    </border>
    <border>
      <left/>
      <right/>
      <top/>
      <bottom style="thin">
        <color rgb="FFC9A84C"/>
      </bottom>
      <diagonal/>
    </border>
    <border>
      <left/>
      <right style="thin">
        <color rgb="FFC8D4E3"/>
      </right>
      <top/>
      <bottom style="thin">
        <color rgb="FFC9A84C"/>
      </bottom>
      <diagonal/>
    </border>
    <border>
      <left/>
      <right style="medium">
        <color rgb="FFEEEEEE"/>
      </right>
      <top/>
      <bottom style="thin">
        <color rgb="FFC9A84C"/>
      </bottom>
      <diagonal/>
    </border>
    <border>
      <left style="medium">
        <color rgb="FFEEEEEE"/>
      </left>
      <right style="medium">
        <color rgb="FFEEEEEE"/>
      </right>
      <top/>
      <bottom style="thin">
        <color rgb="FFC9A84C"/>
      </bottom>
      <diagonal/>
    </border>
    <border>
      <left/>
      <right/>
      <top/>
      <bottom style="thin">
        <color rgb="FFC8D4E3"/>
      </bottom>
      <diagonal/>
    </border>
    <border>
      <left/>
      <right style="thin">
        <color rgb="FFC8D4E3"/>
      </right>
      <top/>
      <bottom style="thin">
        <color rgb="FFC8D4E3"/>
      </bottom>
      <diagonal/>
    </border>
    <border>
      <left/>
      <right style="thin">
        <color rgb="FFC8D4E3"/>
      </right>
      <top style="thin">
        <color rgb="FFC9A84C"/>
      </top>
      <bottom/>
      <diagonal/>
    </border>
    <border>
      <left/>
      <right style="thin">
        <color rgb="FFC8D4E3"/>
      </right>
      <top style="thin">
        <color rgb="FFC0CDD8"/>
      </top>
      <bottom style="thin">
        <color rgb="FFC8D4E3"/>
      </bottom>
      <diagonal/>
    </border>
    <border>
      <left/>
      <right/>
      <top style="thin">
        <color rgb="FFC0CDD8"/>
      </top>
      <bottom style="thin">
        <color rgb="FFC8D4E3"/>
      </bottom>
      <diagonal/>
    </border>
    <border>
      <left/>
      <right style="thin">
        <color rgb="FFC8D4E3"/>
      </right>
      <top style="medium">
        <color rgb="FFC9A84C"/>
      </top>
      <bottom/>
      <diagonal/>
    </border>
    <border>
      <left/>
      <right/>
      <top style="medium">
        <color rgb="FFC9A84C"/>
      </top>
      <bottom/>
      <diagonal/>
    </border>
    <border>
      <left/>
      <right style="thin">
        <color rgb="FFC8D4E3"/>
      </right>
      <top style="thin">
        <color rgb="FFC0CDD8"/>
      </top>
      <bottom/>
      <diagonal/>
    </border>
    <border>
      <left/>
      <right/>
      <top style="thin">
        <color rgb="FFC0CDD8"/>
      </top>
      <bottom/>
      <diagonal/>
    </border>
    <border>
      <left/>
      <right style="thin">
        <color rgb="FFC8D4E3"/>
      </right>
      <top style="thin">
        <color rgb="FFC0CDD8"/>
      </top>
      <bottom style="medium">
        <color rgb="FFC9A84C"/>
      </bottom>
      <diagonal/>
    </border>
    <border>
      <left/>
      <right/>
      <top style="thin">
        <color rgb="FFC0CDD8"/>
      </top>
      <bottom style="medium">
        <color rgb="FFC9A84C"/>
      </bottom>
      <diagonal/>
    </border>
    <border>
      <left/>
      <right style="thin">
        <color rgb="FFC8D4E3"/>
      </right>
      <top style="thin">
        <color rgb="FFC8D4E3"/>
      </top>
      <bottom style="thin">
        <color rgb="FFC9A84C"/>
      </bottom>
      <diagonal/>
    </border>
    <border>
      <left/>
      <right/>
      <top style="thin">
        <color rgb="FFC8D4E3"/>
      </top>
      <bottom style="thin">
        <color rgb="FFC9A84C"/>
      </bottom>
      <diagonal/>
    </border>
    <border>
      <left/>
      <right/>
      <top/>
      <bottom style="medium">
        <color rgb="FFDDE1EB"/>
      </bottom>
      <diagonal/>
    </border>
    <border>
      <left/>
      <right/>
      <top/>
      <bottom style="medium">
        <color rgb="FF919191"/>
      </bottom>
      <diagonal/>
    </border>
    <border>
      <left style="thin">
        <color auto="1"/>
      </left>
      <right style="thin">
        <color theme="0"/>
      </right>
      <top style="thin">
        <color auto="1"/>
      </top>
      <bottom style="thin">
        <color theme="0"/>
      </bottom>
      <diagonal/>
    </border>
    <border>
      <left style="thin">
        <color auto="1"/>
      </left>
      <right style="thin">
        <color theme="0"/>
      </right>
      <top style="thin">
        <color theme="0"/>
      </top>
      <bottom style="thin">
        <color theme="0"/>
      </bottom>
      <diagonal/>
    </border>
    <border>
      <left/>
      <right/>
      <top/>
      <bottom style="thin">
        <color rgb="FF595959"/>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auto="1"/>
      </left>
      <right/>
      <top style="thin">
        <color auto="1"/>
      </top>
      <bottom style="thin">
        <color auto="1"/>
      </bottom>
      <diagonal/>
    </border>
    <border>
      <left/>
      <right/>
      <top style="thin">
        <color rgb="FF595959"/>
      </top>
      <bottom style="thin">
        <color rgb="FF595959"/>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top style="medium">
        <color rgb="FF003366"/>
      </top>
      <bottom style="medium">
        <color rgb="FF003366"/>
      </bottom>
      <diagonal/>
    </border>
    <border>
      <left/>
      <right/>
      <top style="medium">
        <color rgb="FF4472C4"/>
      </top>
      <bottom/>
      <diagonal/>
    </border>
    <border>
      <left/>
      <right style="medium">
        <color rgb="FF4472C4"/>
      </right>
      <top style="medium">
        <color rgb="FF4472C4"/>
      </top>
      <bottom/>
      <diagonal/>
    </border>
    <border>
      <left style="medium">
        <color rgb="FF4472C4"/>
      </left>
      <right/>
      <top style="thin">
        <color rgb="FFBDD7EE"/>
      </top>
      <bottom style="thin">
        <color rgb="FF4472C4"/>
      </bottom>
      <diagonal/>
    </border>
    <border>
      <left/>
      <right/>
      <top style="thin">
        <color rgb="FFBDD7EE"/>
      </top>
      <bottom style="thin">
        <color rgb="FF4472C4"/>
      </bottom>
      <diagonal/>
    </border>
    <border>
      <left/>
      <right style="medium">
        <color rgb="FF4472C4"/>
      </right>
      <top style="thin">
        <color rgb="FFBDD7EE"/>
      </top>
      <bottom style="thin">
        <color rgb="FF4472C4"/>
      </bottom>
      <diagonal/>
    </border>
    <border>
      <left style="medium">
        <color rgb="FF4472C4"/>
      </left>
      <right/>
      <top/>
      <bottom style="thin">
        <color rgb="FFBDD7EE"/>
      </bottom>
      <diagonal/>
    </border>
    <border>
      <left/>
      <right/>
      <top/>
      <bottom style="thin">
        <color rgb="FFBDD7EE"/>
      </bottom>
      <diagonal/>
    </border>
    <border>
      <left/>
      <right style="medium">
        <color rgb="FF4472C4"/>
      </right>
      <top/>
      <bottom style="thin">
        <color rgb="FFBDD7EE"/>
      </bottom>
      <diagonal/>
    </border>
    <border>
      <left style="medium">
        <color rgb="FF4472C4"/>
      </left>
      <right/>
      <top style="thin">
        <color rgb="FFBDD7EE"/>
      </top>
      <bottom style="thin">
        <color rgb="FFBDD7EE"/>
      </bottom>
      <diagonal/>
    </border>
    <border>
      <left/>
      <right/>
      <top style="thin">
        <color rgb="FFBDD7EE"/>
      </top>
      <bottom style="thin">
        <color rgb="FFBDD7EE"/>
      </bottom>
      <diagonal/>
    </border>
    <border>
      <left/>
      <right style="medium">
        <color rgb="FF4472C4"/>
      </right>
      <top style="thin">
        <color rgb="FFBDD7EE"/>
      </top>
      <bottom style="thin">
        <color rgb="FFBDD7EE"/>
      </bottom>
      <diagonal/>
    </border>
    <border>
      <left style="medium">
        <color rgb="FF4472C4"/>
      </left>
      <right/>
      <top style="thin">
        <color rgb="FFBDD7EE"/>
      </top>
      <bottom/>
      <diagonal/>
    </border>
    <border>
      <left/>
      <right/>
      <top style="thin">
        <color rgb="FFBDD7EE"/>
      </top>
      <bottom/>
      <diagonal/>
    </border>
    <border>
      <left style="medium">
        <color rgb="FF4472C4"/>
      </left>
      <right/>
      <top style="thin">
        <color rgb="FFBDD7EE"/>
      </top>
      <bottom style="double">
        <color rgb="FF4472C4"/>
      </bottom>
      <diagonal/>
    </border>
    <border>
      <left/>
      <right/>
      <top style="thin">
        <color rgb="FFBDD7EE"/>
      </top>
      <bottom style="double">
        <color rgb="FF4472C4"/>
      </bottom>
      <diagonal/>
    </border>
    <border>
      <left style="medium">
        <color rgb="FF4472C4"/>
      </left>
      <right/>
      <top style="medium">
        <color rgb="FF4472C4"/>
      </top>
      <bottom style="thin">
        <color rgb="FFBDD7EE"/>
      </bottom>
      <diagonal/>
    </border>
    <border>
      <left/>
      <right/>
      <top style="medium">
        <color rgb="FF4472C4"/>
      </top>
      <bottom style="thin">
        <color rgb="FFBDD7EE"/>
      </bottom>
      <diagonal/>
    </border>
    <border>
      <left/>
      <right style="medium">
        <color rgb="FF4472C4"/>
      </right>
      <top style="medium">
        <color rgb="FF4472C4"/>
      </top>
      <bottom style="thin">
        <color rgb="FFBDD7EE"/>
      </bottom>
      <diagonal/>
    </border>
    <border>
      <left style="medium">
        <color rgb="FF4472C4"/>
      </left>
      <right/>
      <top style="thin">
        <color rgb="FFBDD7EE"/>
      </top>
      <bottom style="medium">
        <color rgb="FF4472C4"/>
      </bottom>
      <diagonal/>
    </border>
    <border>
      <left/>
      <right/>
      <top style="thin">
        <color rgb="FFBDD7EE"/>
      </top>
      <bottom style="medium">
        <color rgb="FF4472C4"/>
      </bottom>
      <diagonal/>
    </border>
    <border>
      <left/>
      <right style="medium">
        <color rgb="FF4472C4"/>
      </right>
      <top style="thin">
        <color rgb="FFBDD7EE"/>
      </top>
      <bottom style="medium">
        <color rgb="FF4472C4"/>
      </bottom>
      <diagonal/>
    </border>
    <border>
      <left/>
      <right/>
      <top/>
      <bottom style="thin">
        <color indexed="64"/>
      </bottom>
      <diagonal/>
    </border>
    <border>
      <left/>
      <right/>
      <top style="thin">
        <color auto="1"/>
      </top>
      <bottom style="thick">
        <color auto="1"/>
      </bottom>
      <diagonal/>
    </border>
    <border>
      <left/>
      <right/>
      <top style="medium">
        <color rgb="FF645DF9"/>
      </top>
      <bottom style="medium">
        <color rgb="FF645DF9"/>
      </bottom>
      <diagonal/>
    </border>
    <border>
      <left style="thin">
        <color indexed="64"/>
      </left>
      <right style="thin">
        <color indexed="64"/>
      </right>
      <top style="thin">
        <color indexed="64"/>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thin">
        <color indexed="64"/>
      </top>
      <bottom/>
      <diagonal/>
    </border>
    <border>
      <left/>
      <right style="thin">
        <color auto="1"/>
      </right>
      <top style="thin">
        <color auto="1"/>
      </top>
      <bottom/>
      <diagonal/>
    </border>
    <border>
      <left/>
      <right style="thin">
        <color auto="1"/>
      </right>
      <top/>
      <bottom/>
      <diagonal/>
    </border>
    <border>
      <left style="thin">
        <color rgb="FFD2D2D2"/>
      </left>
      <right style="thin">
        <color rgb="FFD2D2D2"/>
      </right>
      <top style="thin">
        <color rgb="FFD2D2D2"/>
      </top>
      <bottom style="thin">
        <color rgb="FFD2D2D2"/>
      </bottom>
      <diagonal/>
    </border>
    <border>
      <left/>
      <right/>
      <top style="thin">
        <color rgb="FF1B365D"/>
      </top>
      <bottom style="double">
        <color rgb="FF1B365D"/>
      </bottom>
      <diagonal/>
    </border>
    <border>
      <left/>
      <right style="thin">
        <color theme="0"/>
      </right>
      <top style="thin">
        <color auto="1"/>
      </top>
      <bottom style="thin">
        <color theme="0"/>
      </bottom>
      <diagonal/>
    </border>
    <border>
      <left/>
      <right style="thin">
        <color auto="1"/>
      </right>
      <top style="thin">
        <color auto="1"/>
      </top>
      <bottom style="thin">
        <color theme="0"/>
      </bottom>
      <diagonal/>
    </border>
    <border>
      <left/>
      <right/>
      <top style="thin">
        <color auto="1"/>
      </top>
      <bottom style="thin">
        <color theme="0"/>
      </bottom>
      <diagonal/>
    </border>
    <border>
      <left style="medium">
        <color rgb="FF4472C4"/>
      </left>
      <right style="medium">
        <color rgb="FF4472C4"/>
      </right>
      <top style="medium">
        <color rgb="FF4472C4"/>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diagonal/>
    </border>
    <border>
      <left style="thin">
        <color indexed="64"/>
      </left>
      <right style="thin">
        <color indexed="64"/>
      </right>
      <top/>
      <bottom style="thin">
        <color auto="1"/>
      </bottom>
      <diagonal/>
    </border>
  </borders>
  <cellStyleXfs count="3">
    <xf numFmtId="0" fontId="0" fillId="0" borderId="0"/>
    <xf numFmtId="0" fontId="4" fillId="0" borderId="0"/>
    <xf numFmtId="9" fontId="18" fillId="0" borderId="0"/>
  </cellStyleXfs>
  <cellXfs count="388">
    <xf numFmtId="0" fontId="0" fillId="0" borderId="0" xfId="0"/>
    <xf numFmtId="0" fontId="3" fillId="3" borderId="0" xfId="0" applyFont="1" applyFill="1" applyAlignment="1">
      <alignment horizontal="right" vertical="center"/>
    </xf>
    <xf numFmtId="0" fontId="2" fillId="2" borderId="1" xfId="0" applyFont="1" applyFill="1" applyBorder="1" applyAlignment="1">
      <alignment horizontal="left" vertical="center"/>
    </xf>
    <xf numFmtId="0" fontId="3" fillId="2" borderId="0" xfId="0" applyFont="1" applyFill="1" applyAlignment="1">
      <alignment horizontal="right" vertical="center"/>
    </xf>
    <xf numFmtId="0" fontId="5" fillId="4" borderId="3" xfId="0" applyFont="1" applyFill="1" applyBorder="1"/>
    <xf numFmtId="0" fontId="6" fillId="5" borderId="5" xfId="0" applyFont="1" applyFill="1" applyBorder="1" applyAlignment="1">
      <alignment horizontal="right"/>
    </xf>
    <xf numFmtId="10" fontId="7" fillId="0" borderId="0" xfId="0" applyNumberFormat="1" applyFont="1" applyAlignment="1">
      <alignment horizontal="right"/>
    </xf>
    <xf numFmtId="2" fontId="0" fillId="0" borderId="0" xfId="0" applyNumberFormat="1"/>
    <xf numFmtId="0" fontId="5" fillId="4" borderId="3" xfId="0" applyFont="1" applyFill="1" applyBorder="1" applyAlignment="1">
      <alignment horizontal="center"/>
    </xf>
    <xf numFmtId="2" fontId="8" fillId="0" borderId="0" xfId="0" applyNumberFormat="1" applyFont="1" applyAlignment="1">
      <alignment horizontal="center" vertical="top"/>
    </xf>
    <xf numFmtId="10" fontId="0" fillId="0" borderId="0" xfId="0" applyNumberFormat="1"/>
    <xf numFmtId="0" fontId="0" fillId="0" borderId="8" xfId="0" applyBorder="1"/>
    <xf numFmtId="0" fontId="9" fillId="0" borderId="9" xfId="0" applyFont="1" applyBorder="1" applyAlignment="1">
      <alignment horizontal="center"/>
    </xf>
    <xf numFmtId="0" fontId="9" fillId="0" borderId="9" xfId="0" applyFont="1" applyBorder="1" applyAlignment="1">
      <alignment horizontal="centerContinuous"/>
    </xf>
    <xf numFmtId="0" fontId="10" fillId="0" borderId="0" xfId="0" applyFont="1"/>
    <xf numFmtId="0" fontId="11" fillId="7" borderId="10" xfId="0" applyFont="1" applyFill="1" applyBorder="1" applyAlignment="1">
      <alignment horizontal="center"/>
    </xf>
    <xf numFmtId="0" fontId="11" fillId="7" borderId="10" xfId="0" applyFont="1" applyFill="1" applyBorder="1" applyAlignment="1">
      <alignment vertical="center"/>
    </xf>
    <xf numFmtId="0" fontId="12" fillId="5" borderId="0" xfId="0" applyFont="1" applyFill="1" applyAlignment="1">
      <alignment horizontal="center"/>
    </xf>
    <xf numFmtId="0" fontId="12" fillId="5" borderId="12" xfId="0" applyFont="1" applyFill="1" applyBorder="1" applyAlignment="1">
      <alignment horizontal="left"/>
    </xf>
    <xf numFmtId="0" fontId="12" fillId="5" borderId="0" xfId="0" applyFont="1" applyFill="1" applyAlignment="1">
      <alignment vertical="center"/>
    </xf>
    <xf numFmtId="0" fontId="12" fillId="5" borderId="13" xfId="0" applyFont="1" applyFill="1" applyBorder="1" applyAlignment="1">
      <alignment vertical="center"/>
    </xf>
    <xf numFmtId="0" fontId="5" fillId="4" borderId="14" xfId="0" applyFont="1" applyFill="1" applyBorder="1" applyAlignment="1">
      <alignment horizontal="right"/>
    </xf>
    <xf numFmtId="0" fontId="5" fillId="4" borderId="15" xfId="0" applyFont="1" applyFill="1" applyBorder="1" applyAlignment="1">
      <alignment horizontal="left"/>
    </xf>
    <xf numFmtId="0" fontId="5" fillId="4" borderId="16" xfId="0" applyFont="1" applyFill="1" applyBorder="1" applyAlignment="1">
      <alignment horizontal="right" vertical="center"/>
    </xf>
    <xf numFmtId="0" fontId="6" fillId="5" borderId="0" xfId="0" applyFont="1" applyFill="1"/>
    <xf numFmtId="0" fontId="6" fillId="5" borderId="0" xfId="0" applyFont="1" applyFill="1" applyAlignment="1">
      <alignment horizontal="right"/>
    </xf>
    <xf numFmtId="0" fontId="5" fillId="8" borderId="18" xfId="0" applyFont="1" applyFill="1" applyBorder="1"/>
    <xf numFmtId="0" fontId="1" fillId="0" borderId="0" xfId="0" applyFont="1"/>
    <xf numFmtId="0" fontId="13" fillId="9" borderId="0" xfId="0" applyFont="1" applyFill="1"/>
    <xf numFmtId="164" fontId="13" fillId="9" borderId="0" xfId="0" applyNumberFormat="1" applyFont="1" applyFill="1" applyAlignment="1">
      <alignment horizontal="right"/>
    </xf>
    <xf numFmtId="0" fontId="10" fillId="2" borderId="0" xfId="0" applyFont="1" applyFill="1"/>
    <xf numFmtId="0" fontId="10" fillId="2" borderId="12" xfId="0" applyFont="1" applyFill="1" applyBorder="1" applyAlignment="1">
      <alignment horizontal="left"/>
    </xf>
    <xf numFmtId="0" fontId="10" fillId="2" borderId="0" xfId="0" applyFont="1" applyFill="1" applyAlignment="1">
      <alignment horizontal="right"/>
    </xf>
    <xf numFmtId="0" fontId="14" fillId="2" borderId="0" xfId="0" applyFont="1" applyFill="1"/>
    <xf numFmtId="0" fontId="14" fillId="6" borderId="0" xfId="0" applyFont="1" applyFill="1"/>
    <xf numFmtId="0" fontId="15" fillId="10" borderId="18" xfId="0" applyFont="1" applyFill="1" applyBorder="1"/>
    <xf numFmtId="0" fontId="16" fillId="7" borderId="14" xfId="0" applyFont="1" applyFill="1" applyBorder="1"/>
    <xf numFmtId="0" fontId="5" fillId="4" borderId="0" xfId="0" applyFont="1" applyFill="1"/>
    <xf numFmtId="0" fontId="5" fillId="4" borderId="3" xfId="0" applyFont="1" applyFill="1" applyBorder="1" applyAlignment="1">
      <alignment horizontal="right"/>
    </xf>
    <xf numFmtId="164" fontId="14" fillId="2" borderId="0" xfId="0" applyNumberFormat="1" applyFont="1" applyFill="1" applyAlignment="1">
      <alignment horizontal="right"/>
    </xf>
    <xf numFmtId="0" fontId="14" fillId="2" borderId="0" xfId="0" applyFont="1" applyFill="1" applyAlignment="1">
      <alignment horizontal="right"/>
    </xf>
    <xf numFmtId="0" fontId="14" fillId="6" borderId="22" xfId="0" applyFont="1" applyFill="1" applyBorder="1"/>
    <xf numFmtId="0" fontId="14" fillId="6" borderId="22" xfId="0" applyFont="1" applyFill="1" applyBorder="1" applyAlignment="1">
      <alignment horizontal="right"/>
    </xf>
    <xf numFmtId="0" fontId="5" fillId="4" borderId="24" xfId="0" applyFont="1" applyFill="1" applyBorder="1"/>
    <xf numFmtId="0" fontId="5" fillId="4" borderId="24" xfId="0" applyFont="1" applyFill="1" applyBorder="1" applyAlignment="1">
      <alignment horizontal="right"/>
    </xf>
    <xf numFmtId="0" fontId="14" fillId="6" borderId="26" xfId="0" applyFont="1" applyFill="1" applyBorder="1"/>
    <xf numFmtId="0" fontId="14" fillId="2" borderId="26" xfId="0" applyFont="1" applyFill="1" applyBorder="1"/>
    <xf numFmtId="0" fontId="16" fillId="7" borderId="0" xfId="0" applyFont="1" applyFill="1"/>
    <xf numFmtId="0" fontId="16" fillId="7" borderId="28" xfId="0" applyFont="1" applyFill="1" applyBorder="1"/>
    <xf numFmtId="0" fontId="14" fillId="6" borderId="26" xfId="0" applyFont="1" applyFill="1" applyBorder="1" applyAlignment="1">
      <alignment horizontal="right"/>
    </xf>
    <xf numFmtId="0" fontId="14" fillId="2" borderId="26" xfId="0" applyFont="1" applyFill="1" applyBorder="1" applyAlignment="1">
      <alignment horizontal="right"/>
    </xf>
    <xf numFmtId="0" fontId="15" fillId="10" borderId="0" xfId="0" applyFont="1" applyFill="1"/>
    <xf numFmtId="0" fontId="15" fillId="10" borderId="22" xfId="0" applyFont="1" applyFill="1" applyBorder="1" applyAlignment="1">
      <alignment horizontal="right"/>
    </xf>
    <xf numFmtId="0" fontId="5" fillId="8" borderId="0" xfId="0" applyFont="1" applyFill="1"/>
    <xf numFmtId="0" fontId="5" fillId="8" borderId="3" xfId="0" applyFont="1" applyFill="1" applyBorder="1" applyAlignment="1">
      <alignment horizontal="right"/>
    </xf>
    <xf numFmtId="0" fontId="16" fillId="7" borderId="30" xfId="0" applyFont="1" applyFill="1" applyBorder="1" applyAlignment="1">
      <alignment horizontal="right"/>
    </xf>
    <xf numFmtId="0" fontId="17" fillId="2" borderId="31" xfId="0" applyFont="1" applyFill="1" applyBorder="1" applyAlignment="1">
      <alignment vertical="top" wrapText="1"/>
    </xf>
    <xf numFmtId="0" fontId="19" fillId="11" borderId="0" xfId="0" applyFont="1" applyFill="1"/>
    <xf numFmtId="0" fontId="20" fillId="12" borderId="0" xfId="0" applyFont="1" applyFill="1"/>
    <xf numFmtId="0" fontId="21" fillId="0" borderId="0" xfId="0" applyFont="1" applyAlignment="1">
      <alignment horizontal="left" vertical="center" indent="1"/>
    </xf>
    <xf numFmtId="165" fontId="0" fillId="0" borderId="35" xfId="0" applyNumberFormat="1" applyBorder="1" applyAlignment="1">
      <alignment horizontal="right" vertical="center"/>
    </xf>
    <xf numFmtId="165" fontId="20" fillId="12" borderId="35" xfId="0" applyNumberFormat="1" applyFont="1" applyFill="1" applyBorder="1" applyAlignment="1">
      <alignment horizontal="center" vertical="center" wrapText="1"/>
    </xf>
    <xf numFmtId="0" fontId="22" fillId="12" borderId="0" xfId="0" applyFont="1" applyFill="1" applyAlignment="1">
      <alignment horizontal="center" vertical="center" wrapText="1"/>
    </xf>
    <xf numFmtId="10" fontId="23" fillId="17" borderId="46" xfId="0" applyNumberFormat="1" applyFont="1" applyFill="1" applyBorder="1"/>
    <xf numFmtId="166" fontId="23" fillId="17" borderId="46" xfId="0" applyNumberFormat="1" applyFont="1" applyFill="1" applyBorder="1"/>
    <xf numFmtId="0" fontId="23" fillId="17" borderId="46" xfId="0" applyFont="1" applyFill="1" applyBorder="1"/>
    <xf numFmtId="0" fontId="0" fillId="2" borderId="0" xfId="0" applyFill="1"/>
    <xf numFmtId="4" fontId="24" fillId="19" borderId="53" xfId="0" applyNumberFormat="1" applyFont="1" applyFill="1" applyBorder="1" applyAlignment="1">
      <alignment horizontal="center"/>
    </xf>
    <xf numFmtId="4" fontId="25" fillId="2" borderId="56" xfId="0" applyNumberFormat="1" applyFont="1" applyFill="1" applyBorder="1" applyAlignment="1">
      <alignment horizontal="center"/>
    </xf>
    <xf numFmtId="0" fontId="24" fillId="2" borderId="0" xfId="0" applyFont="1" applyFill="1" applyAlignment="1">
      <alignment horizontal="left" indent="1"/>
    </xf>
    <xf numFmtId="0" fontId="24" fillId="2" borderId="0" xfId="0" applyFont="1" applyFill="1" applyAlignment="1">
      <alignment horizontal="center"/>
    </xf>
    <xf numFmtId="4" fontId="25" fillId="19" borderId="63" xfId="0" applyNumberFormat="1" applyFont="1" applyFill="1" applyBorder="1" applyAlignment="1">
      <alignment horizontal="center"/>
    </xf>
    <xf numFmtId="10" fontId="24" fillId="2" borderId="66" xfId="0" applyNumberFormat="1" applyFont="1" applyFill="1" applyBorder="1" applyAlignment="1">
      <alignment horizontal="center"/>
    </xf>
    <xf numFmtId="0" fontId="26" fillId="24" borderId="0" xfId="0" applyFont="1" applyFill="1"/>
    <xf numFmtId="0" fontId="0" fillId="0" borderId="0" xfId="0" applyAlignment="1">
      <alignment horizontal="right"/>
    </xf>
    <xf numFmtId="9" fontId="0" fillId="0" borderId="0" xfId="0" applyNumberFormat="1"/>
    <xf numFmtId="10" fontId="0" fillId="0" borderId="0" xfId="0" applyNumberFormat="1" applyAlignment="1">
      <alignment horizontal="right"/>
    </xf>
    <xf numFmtId="0" fontId="26" fillId="0" borderId="0" xfId="0" applyFont="1" applyAlignment="1">
      <alignment horizontal="right"/>
    </xf>
    <xf numFmtId="167" fontId="0" fillId="0" borderId="0" xfId="0" applyNumberFormat="1"/>
    <xf numFmtId="167" fontId="26" fillId="0" borderId="0" xfId="0" applyNumberFormat="1" applyFont="1"/>
    <xf numFmtId="167" fontId="0" fillId="0" borderId="0" xfId="0" applyNumberFormat="1" applyAlignment="1">
      <alignment horizontal="left"/>
    </xf>
    <xf numFmtId="167" fontId="27" fillId="25" borderId="0" xfId="0" applyNumberFormat="1" applyFont="1" applyFill="1"/>
    <xf numFmtId="167" fontId="0" fillId="0" borderId="69" xfId="0" applyNumberFormat="1" applyBorder="1"/>
    <xf numFmtId="0" fontId="27" fillId="25" borderId="0" xfId="0" applyFont="1" applyFill="1"/>
    <xf numFmtId="0" fontId="0" fillId="25" borderId="0" xfId="0" applyFill="1"/>
    <xf numFmtId="168" fontId="28" fillId="0" borderId="0" xfId="0" applyNumberFormat="1" applyFont="1"/>
    <xf numFmtId="169" fontId="29" fillId="0" borderId="0" xfId="0" applyNumberFormat="1" applyFont="1"/>
    <xf numFmtId="170" fontId="0" fillId="0" borderId="0" xfId="0" applyNumberFormat="1"/>
    <xf numFmtId="0" fontId="29" fillId="24" borderId="0" xfId="1" applyFont="1" applyFill="1" applyAlignment="1">
      <alignment horizontal="left" vertical="center"/>
    </xf>
    <xf numFmtId="0" fontId="29" fillId="0" borderId="0" xfId="0" applyFont="1"/>
    <xf numFmtId="0" fontId="28" fillId="0" borderId="0" xfId="0" applyFont="1"/>
    <xf numFmtId="171" fontId="28" fillId="0" borderId="0" xfId="0" applyNumberFormat="1" applyFont="1"/>
    <xf numFmtId="169" fontId="28" fillId="0" borderId="0" xfId="0" applyNumberFormat="1" applyFont="1"/>
    <xf numFmtId="0" fontId="0" fillId="0" borderId="69" xfId="0" applyBorder="1"/>
    <xf numFmtId="0" fontId="26" fillId="24" borderId="0" xfId="0" applyFont="1" applyFill="1" applyAlignment="1">
      <alignment horizontal="center"/>
    </xf>
    <xf numFmtId="0" fontId="26" fillId="0" borderId="0" xfId="0" applyFont="1" applyAlignment="1">
      <alignment horizontal="center"/>
    </xf>
    <xf numFmtId="0" fontId="29" fillId="29" borderId="74" xfId="1" applyFont="1" applyFill="1" applyBorder="1"/>
    <xf numFmtId="168" fontId="29" fillId="29" borderId="37" xfId="0" applyNumberFormat="1" applyFont="1" applyFill="1" applyBorder="1"/>
    <xf numFmtId="0" fontId="29" fillId="29" borderId="74" xfId="0" applyFont="1" applyFill="1" applyBorder="1"/>
    <xf numFmtId="0" fontId="18" fillId="24" borderId="71" xfId="1" applyFont="1" applyFill="1" applyBorder="1"/>
    <xf numFmtId="168" fontId="29" fillId="24" borderId="36" xfId="0" applyNumberFormat="1" applyFont="1" applyFill="1" applyBorder="1"/>
    <xf numFmtId="0" fontId="29" fillId="24" borderId="71" xfId="0" applyFont="1" applyFill="1" applyBorder="1"/>
    <xf numFmtId="0" fontId="29" fillId="24" borderId="74" xfId="1" applyFont="1" applyFill="1" applyBorder="1"/>
    <xf numFmtId="168" fontId="29" fillId="24" borderId="37" xfId="0" applyNumberFormat="1" applyFont="1" applyFill="1" applyBorder="1"/>
    <xf numFmtId="0" fontId="29" fillId="24" borderId="74" xfId="0" applyFont="1" applyFill="1" applyBorder="1"/>
    <xf numFmtId="0" fontId="26" fillId="24" borderId="74" xfId="1" applyFont="1" applyFill="1" applyBorder="1"/>
    <xf numFmtId="168" fontId="26" fillId="24" borderId="37" xfId="0" applyNumberFormat="1" applyFont="1" applyFill="1" applyBorder="1"/>
    <xf numFmtId="0" fontId="26" fillId="24" borderId="74" xfId="0" applyFont="1" applyFill="1" applyBorder="1"/>
    <xf numFmtId="0" fontId="0" fillId="0" borderId="0" xfId="0" applyAlignment="1">
      <alignment horizontal="center"/>
    </xf>
    <xf numFmtId="0" fontId="0" fillId="0" borderId="0" xfId="0" applyAlignment="1">
      <alignment horizontal="left"/>
    </xf>
    <xf numFmtId="0" fontId="30" fillId="31" borderId="78" xfId="0" applyFont="1" applyFill="1" applyBorder="1" applyAlignment="1">
      <alignment horizontal="right" vertical="center"/>
    </xf>
    <xf numFmtId="0" fontId="31" fillId="0" borderId="0" xfId="0" applyFont="1" applyAlignment="1">
      <alignment horizontal="center" vertical="center" wrapText="1"/>
    </xf>
    <xf numFmtId="0" fontId="31" fillId="0" borderId="0" xfId="0" applyFont="1" applyAlignment="1">
      <alignment horizontal="center"/>
    </xf>
    <xf numFmtId="0" fontId="31" fillId="0" borderId="0" xfId="0" applyFont="1" applyAlignment="1">
      <alignment horizontal="left"/>
    </xf>
    <xf numFmtId="17" fontId="31" fillId="2" borderId="1" xfId="0" applyNumberFormat="1" applyFont="1" applyFill="1" applyBorder="1" applyAlignment="1">
      <alignment horizontal="right" vertical="center"/>
    </xf>
    <xf numFmtId="0" fontId="31" fillId="3" borderId="2" xfId="0" applyFont="1" applyFill="1" applyBorder="1" applyAlignment="1">
      <alignment horizontal="left" vertical="center"/>
    </xf>
    <xf numFmtId="10" fontId="32" fillId="3" borderId="2" xfId="0" applyNumberFormat="1" applyFont="1" applyFill="1" applyBorder="1" applyAlignment="1">
      <alignment horizontal="right" vertical="center"/>
    </xf>
    <xf numFmtId="0" fontId="31" fillId="3" borderId="0" xfId="1" applyFont="1" applyFill="1" applyAlignment="1">
      <alignment horizontal="left" vertical="center"/>
    </xf>
    <xf numFmtId="0" fontId="32" fillId="3" borderId="0" xfId="0" applyFont="1" applyFill="1" applyAlignment="1">
      <alignment horizontal="right" vertical="center"/>
    </xf>
    <xf numFmtId="0" fontId="31" fillId="2" borderId="2" xfId="0" applyFont="1" applyFill="1" applyBorder="1" applyAlignment="1">
      <alignment horizontal="left" vertical="center"/>
    </xf>
    <xf numFmtId="10" fontId="32" fillId="2" borderId="2" xfId="0" applyNumberFormat="1" applyFont="1" applyFill="1" applyBorder="1" applyAlignment="1">
      <alignment horizontal="right" vertical="center"/>
    </xf>
    <xf numFmtId="0" fontId="31" fillId="2" borderId="0" xfId="1" applyFont="1" applyFill="1" applyAlignment="1">
      <alignment horizontal="left" vertical="center"/>
    </xf>
    <xf numFmtId="0" fontId="32" fillId="2" borderId="0" xfId="0" applyFont="1" applyFill="1" applyAlignment="1">
      <alignment horizontal="right" vertical="center"/>
    </xf>
    <xf numFmtId="0" fontId="31" fillId="2" borderId="0" xfId="0" applyFont="1" applyFill="1" applyAlignment="1">
      <alignment horizontal="left" vertical="center"/>
    </xf>
    <xf numFmtId="0" fontId="31" fillId="2" borderId="0" xfId="0" applyFont="1" applyFill="1" applyAlignment="1">
      <alignment horizontal="right" vertical="center"/>
    </xf>
    <xf numFmtId="0" fontId="33" fillId="2" borderId="32" xfId="0" applyFont="1" applyFill="1" applyBorder="1" applyAlignment="1">
      <alignment horizontal="center" vertical="center" wrapText="1"/>
    </xf>
    <xf numFmtId="0" fontId="31" fillId="0" borderId="0" xfId="0" applyFont="1"/>
    <xf numFmtId="0" fontId="32" fillId="0" borderId="0" xfId="0" applyFont="1"/>
    <xf numFmtId="0" fontId="33" fillId="2" borderId="31" xfId="0" applyFont="1" applyFill="1" applyBorder="1" applyAlignment="1">
      <alignment vertical="center" wrapText="1"/>
    </xf>
    <xf numFmtId="0" fontId="31" fillId="2" borderId="31" xfId="0" applyFont="1" applyFill="1" applyBorder="1" applyAlignment="1">
      <alignment vertical="center" wrapText="1"/>
    </xf>
    <xf numFmtId="4" fontId="32" fillId="2" borderId="31" xfId="0" applyNumberFormat="1" applyFont="1" applyFill="1" applyBorder="1" applyAlignment="1">
      <alignment vertical="center" wrapText="1"/>
    </xf>
    <xf numFmtId="4" fontId="32" fillId="0" borderId="0" xfId="0" applyNumberFormat="1" applyFont="1"/>
    <xf numFmtId="0" fontId="32" fillId="2" borderId="31" xfId="0" applyFont="1" applyFill="1" applyBorder="1" applyAlignment="1">
      <alignment vertical="center" wrapText="1"/>
    </xf>
    <xf numFmtId="4" fontId="34" fillId="2" borderId="31" xfId="0" applyNumberFormat="1" applyFont="1" applyFill="1" applyBorder="1" applyAlignment="1">
      <alignment vertical="center" wrapText="1"/>
    </xf>
    <xf numFmtId="0" fontId="34" fillId="2" borderId="31" xfId="0" applyFont="1" applyFill="1" applyBorder="1" applyAlignment="1">
      <alignment vertical="center" wrapText="1"/>
    </xf>
    <xf numFmtId="0" fontId="33" fillId="33" borderId="0" xfId="0" applyFont="1" applyFill="1" applyAlignment="1">
      <alignment horizontal="left" vertical="center"/>
    </xf>
    <xf numFmtId="0" fontId="33" fillId="33" borderId="0" xfId="0" applyFont="1" applyFill="1" applyAlignment="1">
      <alignment horizontal="center" vertical="center" wrapText="1"/>
    </xf>
    <xf numFmtId="0" fontId="33" fillId="31" borderId="78" xfId="0" applyFont="1" applyFill="1" applyBorder="1" applyAlignment="1">
      <alignment horizontal="left" vertical="center"/>
    </xf>
    <xf numFmtId="0" fontId="31" fillId="30" borderId="78" xfId="0" applyFont="1" applyFill="1" applyBorder="1" applyAlignment="1">
      <alignment horizontal="left" vertical="center"/>
    </xf>
    <xf numFmtId="172" fontId="32" fillId="30" borderId="78" xfId="0" applyNumberFormat="1" applyFont="1" applyFill="1" applyBorder="1" applyAlignment="1">
      <alignment horizontal="right" vertical="center"/>
    </xf>
    <xf numFmtId="0" fontId="31" fillId="0" borderId="78" xfId="0" applyFont="1" applyBorder="1" applyAlignment="1">
      <alignment horizontal="left" vertical="center"/>
    </xf>
    <xf numFmtId="172" fontId="32" fillId="0" borderId="78" xfId="0" applyNumberFormat="1" applyFont="1" applyBorder="1" applyAlignment="1">
      <alignment horizontal="right" vertical="center"/>
    </xf>
    <xf numFmtId="0" fontId="33" fillId="32" borderId="78" xfId="0" applyFont="1" applyFill="1" applyBorder="1" applyAlignment="1">
      <alignment horizontal="left" vertical="center"/>
    </xf>
    <xf numFmtId="172" fontId="34" fillId="32" borderId="78" xfId="0" applyNumberFormat="1" applyFont="1" applyFill="1" applyBorder="1" applyAlignment="1">
      <alignment horizontal="right" vertical="center"/>
    </xf>
    <xf numFmtId="0" fontId="33" fillId="32" borderId="79" xfId="0" applyFont="1" applyFill="1" applyBorder="1" applyAlignment="1">
      <alignment horizontal="left" vertical="center"/>
    </xf>
    <xf numFmtId="172" fontId="34" fillId="32" borderId="79" xfId="0" applyNumberFormat="1" applyFont="1" applyFill="1" applyBorder="1" applyAlignment="1">
      <alignment horizontal="right" vertical="center"/>
    </xf>
    <xf numFmtId="0" fontId="33" fillId="11" borderId="0" xfId="0" applyFont="1" applyFill="1" applyAlignment="1">
      <alignment horizontal="left" vertical="center" indent="1"/>
    </xf>
    <xf numFmtId="0" fontId="31" fillId="13" borderId="34" xfId="0" applyFont="1" applyFill="1" applyBorder="1" applyAlignment="1">
      <alignment horizontal="left" vertical="center" indent="1"/>
    </xf>
    <xf numFmtId="173" fontId="35" fillId="14" borderId="35" xfId="0" applyNumberFormat="1" applyFont="1" applyFill="1" applyBorder="1" applyAlignment="1">
      <alignment horizontal="right" vertical="center"/>
    </xf>
    <xf numFmtId="166" fontId="33" fillId="15" borderId="36" xfId="0" applyNumberFormat="1" applyFont="1" applyFill="1" applyBorder="1" applyAlignment="1">
      <alignment horizontal="left" vertical="center" indent="1"/>
    </xf>
    <xf numFmtId="173" fontId="31" fillId="15" borderId="35" xfId="0" applyNumberFormat="1" applyFont="1" applyFill="1" applyBorder="1" applyAlignment="1">
      <alignment horizontal="right" vertical="center"/>
    </xf>
    <xf numFmtId="0" fontId="31" fillId="13" borderId="37" xfId="0" applyFont="1" applyFill="1" applyBorder="1" applyAlignment="1">
      <alignment horizontal="left" vertical="center" indent="1"/>
    </xf>
    <xf numFmtId="165" fontId="31" fillId="14" borderId="35" xfId="0" applyNumberFormat="1" applyFont="1" applyFill="1" applyBorder="1" applyAlignment="1">
      <alignment horizontal="right" vertical="center"/>
    </xf>
    <xf numFmtId="166" fontId="33" fillId="15" borderId="38" xfId="0" applyNumberFormat="1" applyFont="1" applyFill="1" applyBorder="1" applyAlignment="1">
      <alignment horizontal="left" vertical="center" indent="1"/>
    </xf>
    <xf numFmtId="165" fontId="31" fillId="15" borderId="35" xfId="0" applyNumberFormat="1" applyFont="1" applyFill="1" applyBorder="1" applyAlignment="1">
      <alignment horizontal="right" vertical="center"/>
    </xf>
    <xf numFmtId="165" fontId="32" fillId="14" borderId="35" xfId="0" applyNumberFormat="1" applyFont="1" applyFill="1" applyBorder="1" applyAlignment="1">
      <alignment horizontal="right" vertical="center"/>
    </xf>
    <xf numFmtId="10" fontId="31" fillId="13" borderId="37" xfId="0" applyNumberFormat="1" applyFont="1" applyFill="1" applyBorder="1" applyAlignment="1">
      <alignment horizontal="left" vertical="center" indent="1"/>
    </xf>
    <xf numFmtId="165" fontId="33" fillId="14" borderId="35" xfId="0" applyNumberFormat="1" applyFont="1" applyFill="1" applyBorder="1" applyAlignment="1">
      <alignment horizontal="right" vertical="center"/>
    </xf>
    <xf numFmtId="2" fontId="35" fillId="14" borderId="35" xfId="0" applyNumberFormat="1" applyFont="1" applyFill="1" applyBorder="1" applyAlignment="1">
      <alignment horizontal="right" vertical="center"/>
    </xf>
    <xf numFmtId="165" fontId="35" fillId="14" borderId="35" xfId="0" applyNumberFormat="1" applyFont="1" applyFill="1" applyBorder="1" applyAlignment="1">
      <alignment horizontal="right" vertical="center"/>
    </xf>
    <xf numFmtId="0" fontId="31" fillId="13" borderId="40" xfId="0" applyFont="1" applyFill="1" applyBorder="1" applyAlignment="1">
      <alignment horizontal="left" vertical="center" indent="1"/>
    </xf>
    <xf numFmtId="10" fontId="31" fillId="16" borderId="41" xfId="0" applyNumberFormat="1" applyFont="1" applyFill="1" applyBorder="1" applyAlignment="1">
      <alignment horizontal="left" vertical="center" indent="1"/>
    </xf>
    <xf numFmtId="165" fontId="31" fillId="16" borderId="35" xfId="0" applyNumberFormat="1" applyFont="1" applyFill="1" applyBorder="1" applyAlignment="1">
      <alignment horizontal="right" vertical="center"/>
    </xf>
    <xf numFmtId="166" fontId="31" fillId="16" borderId="41" xfId="0" applyNumberFormat="1" applyFont="1" applyFill="1" applyBorder="1" applyAlignment="1">
      <alignment horizontal="left" vertical="center" indent="1"/>
    </xf>
    <xf numFmtId="165" fontId="31" fillId="15" borderId="42" xfId="0" applyNumberFormat="1" applyFont="1" applyFill="1" applyBorder="1" applyAlignment="1">
      <alignment horizontal="right" vertical="center"/>
    </xf>
    <xf numFmtId="10" fontId="33" fillId="12" borderId="43" xfId="0" applyNumberFormat="1" applyFont="1" applyFill="1" applyBorder="1" applyAlignment="1">
      <alignment horizontal="center" vertical="center" wrapText="1"/>
    </xf>
    <xf numFmtId="10" fontId="33" fillId="12" borderId="44" xfId="0" applyNumberFormat="1" applyFont="1" applyFill="1" applyBorder="1" applyAlignment="1">
      <alignment horizontal="center" vertical="center" wrapText="1"/>
    </xf>
    <xf numFmtId="10" fontId="33" fillId="12" borderId="45" xfId="0" applyNumberFormat="1" applyFont="1" applyFill="1" applyBorder="1" applyAlignment="1">
      <alignment horizontal="center" vertical="center" wrapText="1"/>
    </xf>
    <xf numFmtId="10" fontId="33" fillId="17" borderId="46" xfId="0" applyNumberFormat="1" applyFont="1" applyFill="1" applyBorder="1" applyAlignment="1">
      <alignment horizontal="left" vertical="center" indent="1"/>
    </xf>
    <xf numFmtId="165" fontId="31" fillId="17" borderId="46" xfId="0" applyNumberFormat="1" applyFont="1" applyFill="1" applyBorder="1" applyAlignment="1">
      <alignment horizontal="right" vertical="center"/>
    </xf>
    <xf numFmtId="0" fontId="33" fillId="4" borderId="3" xfId="0" applyFont="1" applyFill="1" applyBorder="1" applyAlignment="1">
      <alignment horizontal="center"/>
    </xf>
    <xf numFmtId="0" fontId="33" fillId="0" borderId="7" xfId="0" applyFont="1" applyBorder="1" applyAlignment="1">
      <alignment horizontal="center" vertical="top"/>
    </xf>
    <xf numFmtId="2" fontId="33" fillId="0" borderId="7" xfId="0" applyNumberFormat="1" applyFont="1" applyBorder="1" applyAlignment="1">
      <alignment horizontal="center" vertical="top"/>
    </xf>
    <xf numFmtId="0" fontId="33" fillId="5" borderId="4" xfId="0" applyFont="1" applyFill="1" applyBorder="1" applyAlignment="1">
      <alignment horizontal="center" vertical="top"/>
    </xf>
    <xf numFmtId="168" fontId="33" fillId="5" borderId="4" xfId="0" applyNumberFormat="1" applyFont="1" applyFill="1" applyBorder="1" applyAlignment="1">
      <alignment horizontal="right" vertical="top"/>
    </xf>
    <xf numFmtId="14" fontId="31" fillId="0" borderId="0" xfId="0" applyNumberFormat="1" applyFont="1"/>
    <xf numFmtId="2" fontId="32" fillId="0" borderId="0" xfId="0" applyNumberFormat="1" applyFont="1"/>
    <xf numFmtId="15" fontId="31" fillId="0" borderId="6" xfId="0" applyNumberFormat="1" applyFont="1" applyBorder="1" applyAlignment="1">
      <alignment horizontal="center" vertical="top"/>
    </xf>
    <xf numFmtId="4" fontId="32" fillId="0" borderId="6" xfId="0" applyNumberFormat="1" applyFont="1" applyBorder="1" applyAlignment="1">
      <alignment horizontal="right"/>
    </xf>
    <xf numFmtId="2" fontId="31" fillId="0" borderId="0" xfId="0" applyNumberFormat="1" applyFont="1"/>
    <xf numFmtId="10" fontId="31" fillId="0" borderId="0" xfId="0" applyNumberFormat="1" applyFont="1"/>
    <xf numFmtId="15" fontId="31" fillId="6" borderId="7" xfId="0" applyNumberFormat="1" applyFont="1" applyFill="1" applyBorder="1" applyAlignment="1">
      <alignment horizontal="center" vertical="top"/>
    </xf>
    <xf numFmtId="4" fontId="32" fillId="6" borderId="7" xfId="0" applyNumberFormat="1" applyFont="1" applyFill="1" applyBorder="1" applyAlignment="1">
      <alignment horizontal="right"/>
    </xf>
    <xf numFmtId="10" fontId="31" fillId="6" borderId="0" xfId="0" applyNumberFormat="1" applyFont="1" applyFill="1" applyAlignment="1">
      <alignment horizontal="right"/>
    </xf>
    <xf numFmtId="15" fontId="31" fillId="0" borderId="7" xfId="0" applyNumberFormat="1" applyFont="1" applyBorder="1" applyAlignment="1">
      <alignment horizontal="center" vertical="top"/>
    </xf>
    <xf numFmtId="4" fontId="32" fillId="0" borderId="7" xfId="0" applyNumberFormat="1" applyFont="1" applyBorder="1" applyAlignment="1">
      <alignment horizontal="right"/>
    </xf>
    <xf numFmtId="10" fontId="31" fillId="0" borderId="0" xfId="0" applyNumberFormat="1" applyFont="1" applyAlignment="1">
      <alignment horizontal="right"/>
    </xf>
    <xf numFmtId="0" fontId="31" fillId="0" borderId="9" xfId="0" applyFont="1" applyBorder="1" applyAlignment="1">
      <alignment horizontal="centerContinuous"/>
    </xf>
    <xf numFmtId="0" fontId="31" fillId="0" borderId="8" xfId="0" applyFont="1" applyBorder="1"/>
    <xf numFmtId="0" fontId="32" fillId="0" borderId="8" xfId="0" applyFont="1" applyBorder="1"/>
    <xf numFmtId="0" fontId="31" fillId="0" borderId="9" xfId="0" applyFont="1" applyBorder="1" applyAlignment="1">
      <alignment horizontal="center"/>
    </xf>
    <xf numFmtId="0" fontId="33" fillId="7" borderId="11" xfId="0" applyFont="1" applyFill="1" applyBorder="1" applyAlignment="1">
      <alignment horizontal="left"/>
    </xf>
    <xf numFmtId="0" fontId="33" fillId="7" borderId="10" xfId="0" applyFont="1" applyFill="1" applyBorder="1" applyAlignment="1">
      <alignment vertical="center"/>
    </xf>
    <xf numFmtId="0" fontId="33" fillId="5" borderId="0" xfId="0" applyFont="1" applyFill="1" applyAlignment="1">
      <alignment vertical="center"/>
    </xf>
    <xf numFmtId="17" fontId="33" fillId="4" borderId="17" xfId="0" applyNumberFormat="1" applyFont="1" applyFill="1" applyBorder="1" applyAlignment="1">
      <alignment horizontal="right" vertical="center"/>
    </xf>
    <xf numFmtId="0" fontId="33" fillId="4" borderId="17" xfId="0" applyFont="1" applyFill="1" applyBorder="1" applyAlignment="1">
      <alignment horizontal="right" vertical="center"/>
    </xf>
    <xf numFmtId="0" fontId="33" fillId="5" borderId="12" xfId="0" applyFont="1" applyFill="1" applyBorder="1" applyAlignment="1">
      <alignment horizontal="left"/>
    </xf>
    <xf numFmtId="0" fontId="33" fillId="8" borderId="19" xfId="0" applyFont="1" applyFill="1" applyBorder="1" applyAlignment="1">
      <alignment horizontal="left"/>
    </xf>
    <xf numFmtId="174" fontId="35" fillId="8" borderId="18" xfId="0" applyNumberFormat="1" applyFont="1" applyFill="1" applyBorder="1" applyAlignment="1">
      <alignment horizontal="right"/>
    </xf>
    <xf numFmtId="0" fontId="31" fillId="9" borderId="12" xfId="0" applyFont="1" applyFill="1" applyBorder="1" applyAlignment="1">
      <alignment horizontal="left"/>
    </xf>
    <xf numFmtId="164" fontId="31" fillId="9" borderId="0" xfId="0" applyNumberFormat="1" applyFont="1" applyFill="1" applyAlignment="1">
      <alignment horizontal="right"/>
    </xf>
    <xf numFmtId="0" fontId="31" fillId="2" borderId="12" xfId="0" applyFont="1" applyFill="1" applyBorder="1" applyAlignment="1">
      <alignment horizontal="left"/>
    </xf>
    <xf numFmtId="174" fontId="35" fillId="2" borderId="0" xfId="0" applyNumberFormat="1" applyFont="1" applyFill="1" applyAlignment="1">
      <alignment horizontal="right"/>
    </xf>
    <xf numFmtId="0" fontId="31" fillId="6" borderId="12" xfId="0" applyFont="1" applyFill="1" applyBorder="1" applyAlignment="1">
      <alignment horizontal="left"/>
    </xf>
    <xf numFmtId="174" fontId="35" fillId="6" borderId="0" xfId="0" applyNumberFormat="1" applyFont="1" applyFill="1" applyAlignment="1">
      <alignment horizontal="right"/>
    </xf>
    <xf numFmtId="0" fontId="33" fillId="10" borderId="19" xfId="0" applyFont="1" applyFill="1" applyBorder="1" applyAlignment="1">
      <alignment horizontal="left"/>
    </xf>
    <xf numFmtId="174" fontId="31" fillId="10" borderId="18" xfId="0" applyNumberFormat="1" applyFont="1" applyFill="1" applyBorder="1" applyAlignment="1">
      <alignment horizontal="right"/>
    </xf>
    <xf numFmtId="174" fontId="31" fillId="8" borderId="18" xfId="0" applyNumberFormat="1" applyFont="1" applyFill="1" applyBorder="1" applyAlignment="1">
      <alignment horizontal="right"/>
    </xf>
    <xf numFmtId="0" fontId="33" fillId="7" borderId="15" xfId="0" applyFont="1" applyFill="1" applyBorder="1" applyAlignment="1">
      <alignment horizontal="left"/>
    </xf>
    <xf numFmtId="174" fontId="31" fillId="7" borderId="14" xfId="0" applyNumberFormat="1" applyFont="1" applyFill="1" applyBorder="1" applyAlignment="1">
      <alignment horizontal="right"/>
    </xf>
    <xf numFmtId="0" fontId="33" fillId="4" borderId="20" xfId="0" applyFont="1" applyFill="1" applyBorder="1" applyAlignment="1">
      <alignment horizontal="left"/>
    </xf>
    <xf numFmtId="164" fontId="31" fillId="2" borderId="0" xfId="0" applyNumberFormat="1" applyFont="1" applyFill="1" applyAlignment="1">
      <alignment horizontal="right"/>
    </xf>
    <xf numFmtId="0" fontId="31" fillId="6" borderId="21" xfId="0" applyFont="1" applyFill="1" applyBorder="1" applyAlignment="1">
      <alignment horizontal="left"/>
    </xf>
    <xf numFmtId="164" fontId="31" fillId="6" borderId="22" xfId="0" applyNumberFormat="1" applyFont="1" applyFill="1" applyBorder="1" applyAlignment="1">
      <alignment horizontal="right"/>
    </xf>
    <xf numFmtId="0" fontId="33" fillId="4" borderId="23" xfId="0" applyFont="1" applyFill="1" applyBorder="1" applyAlignment="1">
      <alignment horizontal="left"/>
    </xf>
    <xf numFmtId="0" fontId="31" fillId="6" borderId="25" xfId="0" applyFont="1" applyFill="1" applyBorder="1" applyAlignment="1">
      <alignment horizontal="left"/>
    </xf>
    <xf numFmtId="164" fontId="31" fillId="6" borderId="26" xfId="0" applyNumberFormat="1" applyFont="1" applyFill="1" applyBorder="1" applyAlignment="1">
      <alignment horizontal="right"/>
    </xf>
    <xf numFmtId="0" fontId="31" fillId="2" borderId="25" xfId="0" applyFont="1" applyFill="1" applyBorder="1" applyAlignment="1">
      <alignment horizontal="left"/>
    </xf>
    <xf numFmtId="164" fontId="31" fillId="2" borderId="26" xfId="0" applyNumberFormat="1" applyFont="1" applyFill="1" applyBorder="1" applyAlignment="1">
      <alignment horizontal="right"/>
    </xf>
    <xf numFmtId="0" fontId="33" fillId="7" borderId="27" xfId="0" applyFont="1" applyFill="1" applyBorder="1" applyAlignment="1">
      <alignment horizontal="left"/>
    </xf>
    <xf numFmtId="164" fontId="31" fillId="7" borderId="28" xfId="0" applyNumberFormat="1" applyFont="1" applyFill="1" applyBorder="1" applyAlignment="1">
      <alignment horizontal="right"/>
    </xf>
    <xf numFmtId="9" fontId="32" fillId="6" borderId="22" xfId="0" applyNumberFormat="1" applyFont="1" applyFill="1" applyBorder="1" applyAlignment="1">
      <alignment horizontal="right"/>
    </xf>
    <xf numFmtId="174" fontId="31" fillId="2" borderId="0" xfId="0" applyNumberFormat="1" applyFont="1" applyFill="1" applyAlignment="1">
      <alignment horizontal="right"/>
    </xf>
    <xf numFmtId="174" fontId="35" fillId="6" borderId="26" xfId="0" applyNumberFormat="1" applyFont="1" applyFill="1" applyBorder="1" applyAlignment="1">
      <alignment horizontal="right"/>
    </xf>
    <xf numFmtId="174" fontId="35" fillId="2" borderId="26" xfId="0" applyNumberFormat="1" applyFont="1" applyFill="1" applyBorder="1" applyAlignment="1">
      <alignment horizontal="right"/>
    </xf>
    <xf numFmtId="0" fontId="33" fillId="10" borderId="21" xfId="0" applyFont="1" applyFill="1" applyBorder="1" applyAlignment="1">
      <alignment horizontal="left"/>
    </xf>
    <xf numFmtId="174" fontId="31" fillId="10" borderId="22" xfId="0" applyNumberFormat="1" applyFont="1" applyFill="1" applyBorder="1" applyAlignment="1">
      <alignment horizontal="right"/>
    </xf>
    <xf numFmtId="0" fontId="33" fillId="8" borderId="20" xfId="0" applyFont="1" applyFill="1" applyBorder="1" applyAlignment="1">
      <alignment horizontal="left"/>
    </xf>
    <xf numFmtId="164" fontId="31" fillId="8" borderId="3" xfId="0" applyNumberFormat="1" applyFont="1" applyFill="1" applyBorder="1" applyAlignment="1">
      <alignment horizontal="right"/>
    </xf>
    <xf numFmtId="0" fontId="33" fillId="7" borderId="29" xfId="0" applyFont="1" applyFill="1" applyBorder="1" applyAlignment="1">
      <alignment horizontal="left"/>
    </xf>
    <xf numFmtId="164" fontId="31" fillId="7" borderId="30" xfId="0" applyNumberFormat="1" applyFont="1" applyFill="1" applyBorder="1" applyAlignment="1">
      <alignment horizontal="right"/>
    </xf>
    <xf numFmtId="164" fontId="35" fillId="0" borderId="0" xfId="0" applyNumberFormat="1" applyFont="1"/>
    <xf numFmtId="0" fontId="33" fillId="18" borderId="49" xfId="0" applyFont="1" applyFill="1" applyBorder="1" applyAlignment="1">
      <alignment horizontal="left" indent="1"/>
    </xf>
    <xf numFmtId="17" fontId="33" fillId="18" borderId="50" xfId="0" applyNumberFormat="1" applyFont="1" applyFill="1" applyBorder="1" applyAlignment="1">
      <alignment horizontal="center"/>
    </xf>
    <xf numFmtId="17" fontId="33" fillId="18" borderId="51" xfId="0" applyNumberFormat="1" applyFont="1" applyFill="1" applyBorder="1" applyAlignment="1">
      <alignment horizontal="center"/>
    </xf>
    <xf numFmtId="0" fontId="31" fillId="19" borderId="52" xfId="0" applyFont="1" applyFill="1" applyBorder="1" applyAlignment="1">
      <alignment horizontal="left" indent="1"/>
    </xf>
    <xf numFmtId="4" fontId="31" fillId="19" borderId="53" xfId="0" applyNumberFormat="1" applyFont="1" applyFill="1" applyBorder="1" applyAlignment="1">
      <alignment horizontal="center"/>
    </xf>
    <xf numFmtId="4" fontId="31" fillId="19" borderId="54" xfId="0" applyNumberFormat="1" applyFont="1" applyFill="1" applyBorder="1" applyAlignment="1">
      <alignment horizontal="center"/>
    </xf>
    <xf numFmtId="0" fontId="31" fillId="2" borderId="55" xfId="0" applyFont="1" applyFill="1" applyBorder="1" applyAlignment="1">
      <alignment horizontal="left" indent="2"/>
    </xf>
    <xf numFmtId="4" fontId="31" fillId="2" borderId="56" xfId="0" applyNumberFormat="1" applyFont="1" applyFill="1" applyBorder="1" applyAlignment="1">
      <alignment horizontal="center"/>
    </xf>
    <xf numFmtId="4" fontId="31" fillId="2" borderId="57" xfId="0" applyNumberFormat="1" applyFont="1" applyFill="1" applyBorder="1" applyAlignment="1">
      <alignment horizontal="center"/>
    </xf>
    <xf numFmtId="0" fontId="33" fillId="20" borderId="55" xfId="0" applyFont="1" applyFill="1" applyBorder="1" applyAlignment="1">
      <alignment horizontal="left" indent="1"/>
    </xf>
    <xf numFmtId="4" fontId="31" fillId="20" borderId="56" xfId="0" applyNumberFormat="1" applyFont="1" applyFill="1" applyBorder="1" applyAlignment="1">
      <alignment horizontal="center"/>
    </xf>
    <xf numFmtId="4" fontId="31" fillId="20" borderId="57" xfId="0" applyNumberFormat="1" applyFont="1" applyFill="1" applyBorder="1" applyAlignment="1">
      <alignment horizontal="center"/>
    </xf>
    <xf numFmtId="0" fontId="31" fillId="2" borderId="58" xfId="0" applyFont="1" applyFill="1" applyBorder="1" applyAlignment="1">
      <alignment horizontal="left" indent="2"/>
    </xf>
    <xf numFmtId="4" fontId="35" fillId="2" borderId="59" xfId="0" applyNumberFormat="1" applyFont="1" applyFill="1" applyBorder="1" applyAlignment="1">
      <alignment horizontal="center"/>
    </xf>
    <xf numFmtId="0" fontId="33" fillId="20" borderId="60" xfId="0" applyFont="1" applyFill="1" applyBorder="1" applyAlignment="1">
      <alignment horizontal="left" indent="1"/>
    </xf>
    <xf numFmtId="4" fontId="35" fillId="20" borderId="61" xfId="0" applyNumberFormat="1" applyFont="1" applyFill="1" applyBorder="1" applyAlignment="1">
      <alignment horizontal="center"/>
    </xf>
    <xf numFmtId="0" fontId="33" fillId="19" borderId="62" xfId="0" applyFont="1" applyFill="1" applyBorder="1" applyAlignment="1">
      <alignment horizontal="left" indent="1"/>
    </xf>
    <xf numFmtId="4" fontId="31" fillId="19" borderId="63" xfId="0" applyNumberFormat="1" applyFont="1" applyFill="1" applyBorder="1" applyAlignment="1">
      <alignment horizontal="center"/>
    </xf>
    <xf numFmtId="4" fontId="31" fillId="19" borderId="64" xfId="0" applyNumberFormat="1" applyFont="1" applyFill="1" applyBorder="1" applyAlignment="1">
      <alignment horizontal="center"/>
    </xf>
    <xf numFmtId="0" fontId="31" fillId="2" borderId="65" xfId="0" applyFont="1" applyFill="1" applyBorder="1" applyAlignment="1">
      <alignment horizontal="left" indent="1"/>
    </xf>
    <xf numFmtId="10" fontId="31" fillId="2" borderId="66" xfId="0" applyNumberFormat="1" applyFont="1" applyFill="1" applyBorder="1" applyAlignment="1">
      <alignment horizontal="center"/>
    </xf>
    <xf numFmtId="10" fontId="31" fillId="2" borderId="67" xfId="0" applyNumberFormat="1" applyFont="1" applyFill="1" applyBorder="1" applyAlignment="1">
      <alignment horizontal="center"/>
    </xf>
    <xf numFmtId="0" fontId="31" fillId="19" borderId="62" xfId="0" applyFont="1" applyFill="1" applyBorder="1" applyAlignment="1">
      <alignment horizontal="left" indent="1"/>
    </xf>
    <xf numFmtId="10" fontId="31" fillId="19" borderId="64" xfId="0" applyNumberFormat="1" applyFont="1" applyFill="1" applyBorder="1" applyAlignment="1">
      <alignment horizontal="center"/>
    </xf>
    <xf numFmtId="0" fontId="31" fillId="21" borderId="0" xfId="0" applyFont="1" applyFill="1" applyAlignment="1">
      <alignment vertical="center" wrapText="1"/>
    </xf>
    <xf numFmtId="0" fontId="33" fillId="22" borderId="7" xfId="0" applyFont="1" applyFill="1" applyBorder="1"/>
    <xf numFmtId="17" fontId="33" fillId="22" borderId="7" xfId="0" applyNumberFormat="1" applyFont="1" applyFill="1" applyBorder="1"/>
    <xf numFmtId="0" fontId="31" fillId="0" borderId="7" xfId="0" applyFont="1" applyBorder="1"/>
    <xf numFmtId="4" fontId="35" fillId="0" borderId="7" xfId="0" applyNumberFormat="1" applyFont="1" applyBorder="1"/>
    <xf numFmtId="4" fontId="31" fillId="0" borderId="7" xfId="0" applyNumberFormat="1" applyFont="1" applyBorder="1"/>
    <xf numFmtId="0" fontId="33" fillId="0" borderId="7" xfId="0" applyFont="1" applyBorder="1"/>
    <xf numFmtId="10" fontId="35" fillId="0" borderId="7" xfId="2" applyNumberFormat="1" applyFont="1" applyBorder="1"/>
    <xf numFmtId="10" fontId="31" fillId="0" borderId="7" xfId="0" applyNumberFormat="1" applyFont="1" applyBorder="1"/>
    <xf numFmtId="10" fontId="31" fillId="0" borderId="7" xfId="2" applyNumberFormat="1" applyFont="1" applyBorder="1"/>
    <xf numFmtId="0" fontId="33" fillId="23" borderId="0" xfId="0" applyFont="1" applyFill="1"/>
    <xf numFmtId="0" fontId="33" fillId="0" borderId="0" xfId="0" applyFont="1"/>
    <xf numFmtId="0" fontId="31" fillId="0" borderId="68" xfId="0" applyFont="1" applyBorder="1"/>
    <xf numFmtId="0" fontId="33" fillId="0" borderId="68" xfId="0" applyFont="1" applyBorder="1" applyAlignment="1">
      <alignment horizontal="right"/>
    </xf>
    <xf numFmtId="175" fontId="35" fillId="0" borderId="0" xfId="0" applyNumberFormat="1" applyFont="1" applyAlignment="1">
      <alignment horizontal="right"/>
    </xf>
    <xf numFmtId="175" fontId="31" fillId="0" borderId="0" xfId="0" applyNumberFormat="1" applyFont="1" applyAlignment="1">
      <alignment horizontal="right"/>
    </xf>
    <xf numFmtId="10" fontId="32" fillId="0" borderId="0" xfId="0" applyNumberFormat="1" applyFont="1"/>
    <xf numFmtId="164" fontId="31" fillId="0" borderId="0" xfId="0" applyNumberFormat="1" applyFont="1" applyAlignment="1">
      <alignment horizontal="right"/>
    </xf>
    <xf numFmtId="9" fontId="35" fillId="0" borderId="0" xfId="0" applyNumberFormat="1" applyFont="1"/>
    <xf numFmtId="176" fontId="31" fillId="0" borderId="0" xfId="0" applyNumberFormat="1" applyFont="1"/>
    <xf numFmtId="10" fontId="31" fillId="0" borderId="0" xfId="2" applyNumberFormat="1" applyFont="1"/>
    <xf numFmtId="9" fontId="35" fillId="0" borderId="0" xfId="0" applyNumberFormat="1" applyFont="1" applyAlignment="1">
      <alignment horizontal="right"/>
    </xf>
    <xf numFmtId="10" fontId="32" fillId="0" borderId="0" xfId="0" applyNumberFormat="1" applyFont="1" applyAlignment="1">
      <alignment horizontal="right"/>
    </xf>
    <xf numFmtId="177" fontId="31" fillId="0" borderId="0" xfId="0" applyNumberFormat="1" applyFont="1"/>
    <xf numFmtId="10" fontId="35" fillId="0" borderId="0" xfId="0" applyNumberFormat="1" applyFont="1" applyAlignment="1">
      <alignment horizontal="right"/>
    </xf>
    <xf numFmtId="10" fontId="31" fillId="0" borderId="0" xfId="2" applyNumberFormat="1" applyFont="1" applyAlignment="1">
      <alignment horizontal="right"/>
    </xf>
    <xf numFmtId="167" fontId="33" fillId="23" borderId="0" xfId="0" applyNumberFormat="1" applyFont="1" applyFill="1"/>
    <xf numFmtId="167" fontId="32" fillId="0" borderId="0" xfId="0" applyNumberFormat="1" applyFont="1"/>
    <xf numFmtId="167" fontId="33" fillId="0" borderId="68" xfId="0" applyNumberFormat="1" applyFont="1" applyBorder="1"/>
    <xf numFmtId="167" fontId="33" fillId="0" borderId="68" xfId="0" applyNumberFormat="1" applyFont="1" applyBorder="1" applyAlignment="1">
      <alignment horizontal="right"/>
    </xf>
    <xf numFmtId="167" fontId="31" fillId="0" borderId="0" xfId="0" applyNumberFormat="1" applyFont="1" applyAlignment="1">
      <alignment horizontal="left"/>
    </xf>
    <xf numFmtId="167" fontId="31" fillId="0" borderId="0" xfId="0" applyNumberFormat="1" applyFont="1"/>
    <xf numFmtId="167" fontId="35" fillId="0" borderId="0" xfId="0" applyNumberFormat="1" applyFont="1"/>
    <xf numFmtId="10" fontId="35" fillId="0" borderId="0" xfId="0" applyNumberFormat="1" applyFont="1"/>
    <xf numFmtId="167" fontId="33" fillId="0" borderId="0" xfId="0" applyNumberFormat="1" applyFont="1"/>
    <xf numFmtId="167" fontId="31" fillId="0" borderId="0" xfId="2" applyNumberFormat="1" applyFont="1"/>
    <xf numFmtId="167" fontId="33" fillId="25" borderId="0" xfId="0" applyNumberFormat="1" applyFont="1" applyFill="1"/>
    <xf numFmtId="167" fontId="34" fillId="0" borderId="0" xfId="0" applyNumberFormat="1" applyFont="1" applyAlignment="1">
      <alignment horizontal="left"/>
    </xf>
    <xf numFmtId="167" fontId="32" fillId="26" borderId="0" xfId="0" applyNumberFormat="1" applyFont="1" applyFill="1"/>
    <xf numFmtId="167" fontId="33" fillId="0" borderId="69" xfId="0" applyNumberFormat="1" applyFont="1" applyBorder="1"/>
    <xf numFmtId="167" fontId="31" fillId="0" borderId="69" xfId="0" applyNumberFormat="1" applyFont="1" applyBorder="1"/>
    <xf numFmtId="167" fontId="32" fillId="24" borderId="0" xfId="0" applyNumberFormat="1" applyFont="1" applyFill="1"/>
    <xf numFmtId="3" fontId="32" fillId="0" borderId="0" xfId="0" applyNumberFormat="1" applyFont="1"/>
    <xf numFmtId="167" fontId="34" fillId="0" borderId="69" xfId="0" applyNumberFormat="1" applyFont="1" applyBorder="1"/>
    <xf numFmtId="0" fontId="33" fillId="25" borderId="0" xfId="0" applyFont="1" applyFill="1" applyAlignment="1">
      <alignment horizontal="center"/>
    </xf>
    <xf numFmtId="0" fontId="31" fillId="2" borderId="1" xfId="0" applyFont="1" applyFill="1" applyBorder="1" applyAlignment="1">
      <alignment horizontal="left" vertical="center" indent="2"/>
    </xf>
    <xf numFmtId="0" fontId="31" fillId="2" borderId="1" xfId="0" applyFont="1" applyFill="1" applyBorder="1" applyAlignment="1">
      <alignment horizontal="left" vertical="center"/>
    </xf>
    <xf numFmtId="0" fontId="31" fillId="2" borderId="1" xfId="0" applyFont="1" applyFill="1" applyBorder="1" applyAlignment="1">
      <alignment horizontal="right" vertical="center" wrapText="1"/>
    </xf>
    <xf numFmtId="0" fontId="32" fillId="3" borderId="0" xfId="0" applyFont="1" applyFill="1" applyAlignment="1">
      <alignment horizontal="left" vertical="center" indent="2"/>
    </xf>
    <xf numFmtId="0" fontId="31" fillId="0" borderId="0" xfId="1" applyFont="1"/>
    <xf numFmtId="0" fontId="32" fillId="3" borderId="70" xfId="0" applyFont="1" applyFill="1" applyBorder="1" applyAlignment="1">
      <alignment horizontal="right" vertical="center" wrapText="1"/>
    </xf>
    <xf numFmtId="0" fontId="32" fillId="2" borderId="0" xfId="0" applyFont="1" applyFill="1" applyAlignment="1">
      <alignment horizontal="left" vertical="center" indent="2"/>
    </xf>
    <xf numFmtId="0" fontId="32" fillId="2" borderId="70" xfId="0" applyFont="1" applyFill="1" applyBorder="1" applyAlignment="1">
      <alignment horizontal="right" vertical="center" wrapText="1"/>
    </xf>
    <xf numFmtId="0" fontId="32" fillId="27" borderId="0" xfId="0" applyFont="1" applyFill="1" applyAlignment="1">
      <alignment horizontal="left" vertical="center" indent="2"/>
    </xf>
    <xf numFmtId="0" fontId="32" fillId="3" borderId="70" xfId="0" applyFont="1" applyFill="1" applyBorder="1" applyAlignment="1">
      <alignment horizontal="left" vertical="center" indent="2"/>
    </xf>
    <xf numFmtId="0" fontId="31" fillId="27" borderId="0" xfId="1" applyFont="1" applyFill="1" applyAlignment="1">
      <alignment horizontal="left" vertical="center"/>
    </xf>
    <xf numFmtId="0" fontId="33" fillId="25" borderId="0" xfId="0" applyFont="1" applyFill="1"/>
    <xf numFmtId="0" fontId="33" fillId="28" borderId="0" xfId="0" applyFont="1" applyFill="1"/>
    <xf numFmtId="0" fontId="33" fillId="28" borderId="0" xfId="0" applyFont="1" applyFill="1" applyAlignment="1">
      <alignment wrapText="1"/>
    </xf>
    <xf numFmtId="0" fontId="33" fillId="28" borderId="75" xfId="0" applyFont="1" applyFill="1" applyBorder="1"/>
    <xf numFmtId="0" fontId="33" fillId="28" borderId="76" xfId="0" applyFont="1" applyFill="1" applyBorder="1"/>
    <xf numFmtId="0" fontId="33" fillId="28" borderId="36" xfId="0" applyFont="1" applyFill="1" applyBorder="1"/>
    <xf numFmtId="0" fontId="31" fillId="24" borderId="0" xfId="1" applyFont="1" applyFill="1"/>
    <xf numFmtId="0" fontId="32" fillId="24" borderId="70" xfId="0" applyFont="1" applyFill="1" applyBorder="1" applyAlignment="1">
      <alignment horizontal="right" vertical="center" wrapText="1"/>
    </xf>
    <xf numFmtId="168" fontId="31" fillId="24" borderId="0" xfId="0" applyNumberFormat="1" applyFont="1" applyFill="1"/>
    <xf numFmtId="168" fontId="31" fillId="24" borderId="75" xfId="0" applyNumberFormat="1" applyFont="1" applyFill="1" applyBorder="1"/>
    <xf numFmtId="169" fontId="31" fillId="24" borderId="0" xfId="0" applyNumberFormat="1" applyFont="1" applyFill="1"/>
    <xf numFmtId="169" fontId="31" fillId="24" borderId="77" xfId="0" applyNumberFormat="1" applyFont="1" applyFill="1" applyBorder="1"/>
    <xf numFmtId="0" fontId="31" fillId="29" borderId="0" xfId="1" applyFont="1" applyFill="1" applyAlignment="1">
      <alignment horizontal="left" vertical="center"/>
    </xf>
    <xf numFmtId="0" fontId="32" fillId="29" borderId="70" xfId="0" applyFont="1" applyFill="1" applyBorder="1" applyAlignment="1">
      <alignment horizontal="right" vertical="center" wrapText="1"/>
    </xf>
    <xf numFmtId="168" fontId="31" fillId="29" borderId="0" xfId="0" applyNumberFormat="1" applyFont="1" applyFill="1"/>
    <xf numFmtId="169" fontId="31" fillId="29" borderId="0" xfId="0" applyNumberFormat="1" applyFont="1" applyFill="1"/>
    <xf numFmtId="169" fontId="31" fillId="29" borderId="77" xfId="0" applyNumberFormat="1" applyFont="1" applyFill="1" applyBorder="1"/>
    <xf numFmtId="169" fontId="31" fillId="0" borderId="0" xfId="0" applyNumberFormat="1" applyFont="1"/>
    <xf numFmtId="0" fontId="33" fillId="0" borderId="69" xfId="0" applyFont="1" applyBorder="1"/>
    <xf numFmtId="0" fontId="31" fillId="0" borderId="69" xfId="0" applyFont="1" applyBorder="1"/>
    <xf numFmtId="2" fontId="31" fillId="0" borderId="69" xfId="0" applyNumberFormat="1" applyFont="1" applyBorder="1"/>
    <xf numFmtId="164" fontId="32" fillId="0" borderId="0" xfId="0" applyNumberFormat="1" applyFont="1"/>
    <xf numFmtId="0" fontId="37" fillId="0" borderId="0" xfId="0" applyFont="1"/>
    <xf numFmtId="0" fontId="38" fillId="0" borderId="0" xfId="0" applyFont="1"/>
    <xf numFmtId="0" fontId="0" fillId="0" borderId="0" xfId="0" applyAlignment="1">
      <alignment vertical="top" wrapText="1"/>
    </xf>
    <xf numFmtId="0" fontId="36" fillId="0" borderId="0" xfId="0" applyFont="1"/>
    <xf numFmtId="0" fontId="0" fillId="0" borderId="0" xfId="0" applyAlignment="1">
      <alignment wrapText="1"/>
    </xf>
    <xf numFmtId="0" fontId="36" fillId="34" borderId="0" xfId="0" applyFont="1" applyFill="1"/>
    <xf numFmtId="0" fontId="39" fillId="0" borderId="0" xfId="0" applyFont="1"/>
    <xf numFmtId="0" fontId="40" fillId="0" borderId="0" xfId="0" applyFont="1"/>
    <xf numFmtId="0" fontId="41" fillId="21" borderId="0" xfId="0" applyFont="1" applyFill="1" applyAlignment="1">
      <alignment vertical="center" wrapText="1"/>
    </xf>
    <xf numFmtId="0" fontId="26" fillId="22" borderId="84" xfId="0" applyFont="1" applyFill="1" applyBorder="1"/>
    <xf numFmtId="17" fontId="26" fillId="22" borderId="84" xfId="0" applyNumberFormat="1" applyFont="1" applyFill="1" applyBorder="1"/>
    <xf numFmtId="0" fontId="0" fillId="0" borderId="84" xfId="0" applyBorder="1"/>
    <xf numFmtId="4" fontId="0" fillId="0" borderId="84" xfId="0" applyNumberFormat="1" applyBorder="1"/>
    <xf numFmtId="0" fontId="26" fillId="0" borderId="84" xfId="0" applyFont="1" applyBorder="1"/>
    <xf numFmtId="10" fontId="0" fillId="0" borderId="84" xfId="2" applyNumberFormat="1" applyFont="1" applyBorder="1"/>
    <xf numFmtId="10" fontId="0" fillId="0" borderId="84" xfId="0" applyNumberFormat="1" applyBorder="1"/>
    <xf numFmtId="10" fontId="0" fillId="0" borderId="84" xfId="0" applyNumberFormat="1" applyBorder="1" applyAlignment="1">
      <alignment horizontal="right"/>
    </xf>
    <xf numFmtId="0" fontId="42" fillId="23" borderId="0" xfId="0" applyFont="1" applyFill="1" applyAlignment="1">
      <alignment horizontal="right"/>
    </xf>
    <xf numFmtId="0" fontId="33" fillId="0" borderId="0" xfId="0" applyFont="1" applyAlignment="1">
      <alignment horizontal="center"/>
    </xf>
    <xf numFmtId="0" fontId="0" fillId="0" borderId="0" xfId="0"/>
    <xf numFmtId="0" fontId="31" fillId="0" borderId="0" xfId="0" applyFont="1" applyAlignment="1">
      <alignment horizontal="right"/>
    </xf>
    <xf numFmtId="0" fontId="31" fillId="0" borderId="0" xfId="0" applyFont="1" applyAlignment="1">
      <alignment horizontal="center"/>
    </xf>
    <xf numFmtId="0" fontId="33" fillId="12" borderId="33" xfId="0" applyFont="1" applyFill="1" applyBorder="1" applyAlignment="1">
      <alignment horizontal="center"/>
    </xf>
    <xf numFmtId="0" fontId="0" fillId="0" borderId="80" xfId="0" applyBorder="1"/>
    <xf numFmtId="0" fontId="33" fillId="12" borderId="39" xfId="0" applyFont="1" applyFill="1" applyBorder="1" applyAlignment="1">
      <alignment horizontal="center"/>
    </xf>
    <xf numFmtId="0" fontId="0" fillId="0" borderId="81" xfId="0" applyBorder="1"/>
    <xf numFmtId="0" fontId="33" fillId="12" borderId="39" xfId="0" applyFont="1" applyFill="1" applyBorder="1" applyAlignment="1">
      <alignment horizontal="center" vertical="center" wrapText="1"/>
    </xf>
    <xf numFmtId="0" fontId="0" fillId="0" borderId="82" xfId="0" applyBorder="1"/>
    <xf numFmtId="0" fontId="33" fillId="18" borderId="83" xfId="0" applyFont="1" applyFill="1" applyBorder="1" applyAlignment="1">
      <alignment horizontal="center" vertical="center" wrapText="1"/>
    </xf>
    <xf numFmtId="0" fontId="0" fillId="0" borderId="47" xfId="0" applyBorder="1"/>
    <xf numFmtId="0" fontId="0" fillId="0" borderId="48" xfId="0" applyBorder="1"/>
    <xf numFmtId="0" fontId="33" fillId="28" borderId="7" xfId="0" applyFont="1" applyFill="1" applyBorder="1" applyAlignment="1">
      <alignment horizontal="center"/>
    </xf>
    <xf numFmtId="0" fontId="0" fillId="0" borderId="72" xfId="0" applyBorder="1"/>
    <xf numFmtId="0" fontId="0" fillId="0" borderId="73" xfId="0" applyBorder="1"/>
    <xf numFmtId="0" fontId="33" fillId="28" borderId="84" xfId="0" applyFont="1" applyFill="1" applyBorder="1" applyAlignment="1">
      <alignment horizontal="center"/>
    </xf>
    <xf numFmtId="0" fontId="0" fillId="0" borderId="86" xfId="0" applyBorder="1"/>
    <xf numFmtId="0" fontId="33" fillId="28" borderId="36" xfId="0" applyFont="1" applyFill="1" applyBorder="1" applyAlignment="1">
      <alignment horizontal="center"/>
    </xf>
    <xf numFmtId="0" fontId="0" fillId="0" borderId="37" xfId="0" applyBorder="1"/>
    <xf numFmtId="0" fontId="33" fillId="28" borderId="41" xfId="0" applyFont="1" applyFill="1" applyBorder="1" applyAlignment="1">
      <alignment horizontal="center"/>
    </xf>
    <xf numFmtId="0" fontId="33" fillId="28" borderId="72" xfId="0" applyFont="1" applyFill="1" applyBorder="1" applyAlignment="1">
      <alignment horizontal="center"/>
    </xf>
    <xf numFmtId="0" fontId="26" fillId="28" borderId="71" xfId="0" applyFont="1" applyFill="1" applyBorder="1" applyAlignment="1">
      <alignment horizontal="center"/>
    </xf>
    <xf numFmtId="0" fontId="0" fillId="0" borderId="85" xfId="0" applyBorder="1"/>
    <xf numFmtId="0" fontId="26" fillId="28" borderId="84" xfId="0" applyFont="1" applyFill="1" applyBorder="1" applyAlignment="1">
      <alignment horizontal="center"/>
    </xf>
    <xf numFmtId="0" fontId="33" fillId="25" borderId="0" xfId="0" applyFont="1" applyFill="1" applyAlignment="1">
      <alignment horizontal="left"/>
    </xf>
    <xf numFmtId="0" fontId="42" fillId="25" borderId="0" xfId="0" applyFont="1" applyFill="1" applyAlignment="1">
      <alignment horizontal="center"/>
    </xf>
    <xf numFmtId="0" fontId="43" fillId="0" borderId="0" xfId="0" applyFont="1"/>
    <xf numFmtId="0" fontId="42" fillId="25" borderId="0" xfId="0" applyFont="1" applyFill="1" applyAlignment="1">
      <alignment horizontal="center"/>
    </xf>
    <xf numFmtId="16" fontId="42" fillId="25" borderId="0" xfId="0" applyNumberFormat="1" applyFont="1" applyFill="1" applyAlignment="1">
      <alignment horizontal="center"/>
    </xf>
    <xf numFmtId="0" fontId="44" fillId="0" borderId="0" xfId="0" applyFont="1"/>
    <xf numFmtId="10" fontId="0" fillId="0" borderId="0" xfId="0" applyNumberFormat="1" applyFont="1"/>
    <xf numFmtId="10" fontId="44" fillId="0" borderId="0" xfId="0" applyNumberFormat="1" applyFont="1"/>
    <xf numFmtId="0" fontId="0" fillId="0" borderId="0" xfId="0" applyFont="1"/>
    <xf numFmtId="2" fontId="0" fillId="0" borderId="0" xfId="0" applyNumberFormat="1" applyFont="1"/>
    <xf numFmtId="0" fontId="42" fillId="24" borderId="0" xfId="0" applyFont="1" applyFill="1" applyAlignment="1">
      <alignment horizontal="center"/>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IN"/>
              <a:t>None</a:t>
            </a:r>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3E7B-45FE-A386-AE6FF845FC35}"/>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3E7B-45FE-A386-AE6FF845FC35}"/>
              </c:ext>
            </c:extLst>
          </c:dPt>
          <c:cat>
            <c:strLit>
              <c:ptCount val="2"/>
              <c:pt idx="0">
                <c:v>% of Debt</c:v>
              </c:pt>
              <c:pt idx="1">
                <c:v>% of Equity</c:v>
              </c:pt>
            </c:strLit>
          </c:cat>
          <c:val>
            <c:numLit>
              <c:formatCode>General</c:formatCode>
              <c:ptCount val="2"/>
              <c:pt idx="0">
                <c:v>0.85048430608881409</c:v>
              </c:pt>
              <c:pt idx="1">
                <c:v>0.14951569391118599</c:v>
              </c:pt>
            </c:numLit>
          </c:val>
          <c:extLst>
            <c:ext xmlns:c16="http://schemas.microsoft.com/office/drawing/2014/chart" uri="{C3380CC4-5D6E-409C-BE32-E72D297353CC}">
              <c16:uniqueId val="{00000004-3E7B-45FE-A386-AE6FF845FC35}"/>
            </c:ext>
          </c:extLst>
        </c:ser>
        <c:dLbls>
          <c:showLegendKey val="0"/>
          <c:showVal val="0"/>
          <c:showCatName val="0"/>
          <c:showSerName val="0"/>
          <c:showPercent val="0"/>
          <c:showBubbleSize val="0"/>
          <c:showLeaderLines val="1"/>
        </c:dLbls>
        <c:firstSliceAng val="0"/>
      </c:pieChart>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0</xdr:row>
      <xdr:rowOff>0</xdr:rowOff>
    </xdr:from>
    <xdr:to>
      <xdr:col>8</xdr:col>
      <xdr:colOff>398706</xdr:colOff>
      <xdr:row>19</xdr:row>
      <xdr:rowOff>112947</xdr:rowOff>
    </xdr:to>
    <xdr:pic>
      <xdr:nvPicPr>
        <xdr:cNvPr id="2" name="Picture 1">
          <a:extLst>
            <a:ext uri="{FF2B5EF4-FFF2-40B4-BE49-F238E27FC236}">
              <a16:creationId xmlns:a16="http://schemas.microsoft.com/office/drawing/2014/main" id="{8A44D8E4-E818-C8DB-155D-0E9BCE547C10}"/>
            </a:ext>
          </a:extLst>
        </xdr:cNvPr>
        <xdr:cNvPicPr>
          <a:picLocks noChangeAspect="1"/>
        </xdr:cNvPicPr>
      </xdr:nvPicPr>
      <xdr:blipFill>
        <a:blip xmlns:r="http://schemas.openxmlformats.org/officeDocument/2006/relationships" r:embed="rId1"/>
        <a:stretch>
          <a:fillRect/>
        </a:stretch>
      </xdr:blipFill>
      <xdr:spPr>
        <a:xfrm>
          <a:off x="655320" y="0"/>
          <a:ext cx="4620186" cy="46849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1</xdr:row>
      <xdr:rowOff>102870</xdr:rowOff>
    </xdr:from>
    <xdr:to>
      <xdr:col>7</xdr:col>
      <xdr:colOff>281940</xdr:colOff>
      <xdr:row>12</xdr:row>
      <xdr:rowOff>45720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screener.in/people/132391/the-tanti-trust-through-its-trustee-mr-vinod-ranchhodbhai-tanti/" TargetMode="External"/><Relationship Id="rId21" Type="http://schemas.openxmlformats.org/officeDocument/2006/relationships/hyperlink" Target="https://www.screener.in/people/71960/vinod-rtanti-as-karta-of-vinod-ranchhodbhai-huf/" TargetMode="External"/><Relationship Id="rId42" Type="http://schemas.openxmlformats.org/officeDocument/2006/relationships/hyperlink" Target="https://www.screener.in/people/185512/motilal-oswal-nifty-india-manufacturing-etf/" TargetMode="External"/><Relationship Id="rId47" Type="http://schemas.openxmlformats.org/officeDocument/2006/relationships/hyperlink" Target="https://www.screener.in/people/71943/tejaskiran-pharmachem-industries-pvt-ltd-jw-virtuous-finance-pvt-ltd-jw-aalok-d-shanghvi-in-the-capacity-of-partners-of-ms-goldenstar-enterprises/" TargetMode="External"/><Relationship Id="rId63" Type="http://schemas.openxmlformats.org/officeDocument/2006/relationships/hyperlink" Target="https://www.screener.in/people/71950/vibha-dshanghvi/" TargetMode="External"/><Relationship Id="rId68" Type="http://schemas.openxmlformats.org/officeDocument/2006/relationships/hyperlink" Target="https://www.screener.in/people/124304/sun-petrochemicals-private-limited-jw-aditya-medisales-ltd-jw-vibha-shanghvi-in-the-capacity-of-partners-of-ms-pioneer-resources/" TargetMode="External"/><Relationship Id="rId2" Type="http://schemas.openxmlformats.org/officeDocument/2006/relationships/hyperlink" Target="https://www.screener.in/people/71940/tanti-holdings-private-limited/" TargetMode="External"/><Relationship Id="rId16" Type="http://schemas.openxmlformats.org/officeDocument/2006/relationships/hyperlink" Target="https://www.screener.in/people/71961/tulsi-rtanti-as-karta-of-tulsi-ranchhodbhai-huf/" TargetMode="External"/><Relationship Id="rId29" Type="http://schemas.openxmlformats.org/officeDocument/2006/relationships/hyperlink" Target="https://www.screener.in/people/145262/ishares-ii-public-limited-company-ishares-global/" TargetMode="External"/><Relationship Id="rId11" Type="http://schemas.openxmlformats.org/officeDocument/2006/relationships/hyperlink" Target="https://www.screener.in/people/71954/pranav-ttanti/" TargetMode="External"/><Relationship Id="rId24" Type="http://schemas.openxmlformats.org/officeDocument/2006/relationships/hyperlink" Target="https://www.screener.in/people/71967/tulsi-rtanti/" TargetMode="External"/><Relationship Id="rId32" Type="http://schemas.openxmlformats.org/officeDocument/2006/relationships/hyperlink" Target="https://www.screener.in/people/5839/blackrock-global-funds-asian-dragon-fund/" TargetMode="External"/><Relationship Id="rId37" Type="http://schemas.openxmlformats.org/officeDocument/2006/relationships/hyperlink" Target="https://www.screener.in/people/3213/bank-of-baroda/" TargetMode="External"/><Relationship Id="rId40" Type="http://schemas.openxmlformats.org/officeDocument/2006/relationships/hyperlink" Target="https://www.screener.in/people/52943/reliance-etf-infra-bees-investment-account/" TargetMode="External"/><Relationship Id="rId45" Type="http://schemas.openxmlformats.org/officeDocument/2006/relationships/hyperlink" Target="https://www.screener.in/people/42039/belgrave-investment-fund/" TargetMode="External"/><Relationship Id="rId53" Type="http://schemas.openxmlformats.org/officeDocument/2006/relationships/hyperlink" Target="https://www.screener.in/people/71942/suraksha-buildwell-llp/" TargetMode="External"/><Relationship Id="rId58" Type="http://schemas.openxmlformats.org/officeDocument/2006/relationships/hyperlink" Target="https://www.screener.in/people/1748/neostar-developers-llp/" TargetMode="External"/><Relationship Id="rId66" Type="http://schemas.openxmlformats.org/officeDocument/2006/relationships/hyperlink" Target="https://www.screener.in/people/71952/vidhi-dshanghvi/" TargetMode="External"/><Relationship Id="rId74" Type="http://schemas.openxmlformats.org/officeDocument/2006/relationships/hyperlink" Target="https://www.screener.in/people/70953/aditya-medisales-ltd/" TargetMode="External"/><Relationship Id="rId5" Type="http://schemas.openxmlformats.org/officeDocument/2006/relationships/hyperlink" Target="https://www.screener.in/people/71946/girish-rtanti/" TargetMode="External"/><Relationship Id="rId61" Type="http://schemas.openxmlformats.org/officeDocument/2006/relationships/hyperlink" Target="https://www.screener.in/people/124303/sun-petrochemicals-private-limited-jw-aditya-medisales-ltd-jw-aalok-d-shanghvi-in-the-capacity-of-partners-of-ms-goldenstar-enterprises/" TargetMode="External"/><Relationship Id="rId19" Type="http://schemas.openxmlformats.org/officeDocument/2006/relationships/hyperlink" Target="https://www.screener.in/people/71964/jitendra-rtanti/" TargetMode="External"/><Relationship Id="rId14" Type="http://schemas.openxmlformats.org/officeDocument/2006/relationships/hyperlink" Target="https://www.screener.in/people/126548/vinod-rtanti-as-karta-of-ranchhodbhai-ramjibhai-huf/" TargetMode="External"/><Relationship Id="rId22" Type="http://schemas.openxmlformats.org/officeDocument/2006/relationships/hyperlink" Target="https://www.screener.in/people/71965/jitendra-rtanti-as-karta-of-jitendra-ranchhodbhai-huf/" TargetMode="External"/><Relationship Id="rId27" Type="http://schemas.openxmlformats.org/officeDocument/2006/relationships/hyperlink" Target="https://www.screener.in/people/153458/the-tanti-trust-its-trustee-vinod-rtanti-girish-rtanti-and-mr-jitendra-rtanti/" TargetMode="External"/><Relationship Id="rId30" Type="http://schemas.openxmlformats.org/officeDocument/2006/relationships/hyperlink" Target="https://www.screener.in/people/298/vanguard-total-international-stock-index-fund/" TargetMode="External"/><Relationship Id="rId35" Type="http://schemas.openxmlformats.org/officeDocument/2006/relationships/hyperlink" Target="https://www.screener.in/people/41235/tor-asia-credit-master-fund-lp/" TargetMode="External"/><Relationship Id="rId43" Type="http://schemas.openxmlformats.org/officeDocument/2006/relationships/hyperlink" Target="https://www.screener.in/people/1634/kotak-equity-arbitrage-fund/" TargetMode="External"/><Relationship Id="rId48" Type="http://schemas.openxmlformats.org/officeDocument/2006/relationships/hyperlink" Target="https://www.screener.in/people/71944/viditi-investment-pvt-ltd-jw-virtuous-share-investments-pvt-ltd-jw-vibha-shanghvi-in-the-capacity-of-partners-of-ms-pioneer-resources/" TargetMode="External"/><Relationship Id="rId56" Type="http://schemas.openxmlformats.org/officeDocument/2006/relationships/hyperlink" Target="https://www.screener.in/people/71977/shanghvifinancepvtltdjwadityamedisalesltdjwvibhashanghviincapacityofpartnersof-mspioneerresources/" TargetMode="External"/><Relationship Id="rId64" Type="http://schemas.openxmlformats.org/officeDocument/2006/relationships/hyperlink" Target="https://www.screener.in/people/71951/aalok-dilip-shanghvi/" TargetMode="External"/><Relationship Id="rId69" Type="http://schemas.openxmlformats.org/officeDocument/2006/relationships/hyperlink" Target="https://www.screener.in/people/71979/amrik-singh-and-sons-crane-services-private-limited/" TargetMode="External"/><Relationship Id="rId8" Type="http://schemas.openxmlformats.org/officeDocument/2006/relationships/hyperlink" Target="https://www.screener.in/people/71957/tulsi-rtanti-jw-vinod-rtanti-jw-jitendra-rtanti/" TargetMode="External"/><Relationship Id="rId51" Type="http://schemas.openxmlformats.org/officeDocument/2006/relationships/hyperlink" Target="https://www.screener.in/people/71972/shanghvi-finance-pvt-ltd-jw-vibha-shanghvi-in-the-capacity-of-partners-of-ms-pioneer-resources/" TargetMode="External"/><Relationship Id="rId72" Type="http://schemas.openxmlformats.org/officeDocument/2006/relationships/hyperlink" Target="https://www.screener.in/people/71980/aditya-medisales-ltd-jw-mackinon-enterprises-pvt-ltd-formerly-m-j-pharmaceuticals-pvt-ltd-jw-ms-vidhi-shanghvi-in-the-capacity-of-partners-of-ms-expert-vision/" TargetMode="External"/><Relationship Id="rId3" Type="http://schemas.openxmlformats.org/officeDocument/2006/relationships/hyperlink" Target="https://www.screener.in/people/71959/samanvaya-holdings-private-limited/" TargetMode="External"/><Relationship Id="rId12" Type="http://schemas.openxmlformats.org/officeDocument/2006/relationships/hyperlink" Target="https://www.screener.in/people/71981/tulsi-rtanti-jw-vinod-rtanti-jw-jitendra-rtanti-as-trustees-of-rr-family-trust/" TargetMode="External"/><Relationship Id="rId17" Type="http://schemas.openxmlformats.org/officeDocument/2006/relationships/hyperlink" Target="https://www.screener.in/people/71966/vinod-rtanti/" TargetMode="External"/><Relationship Id="rId25" Type="http://schemas.openxmlformats.org/officeDocument/2006/relationships/hyperlink" Target="https://www.screener.in/people/71968/nidhi-ttanti/" TargetMode="External"/><Relationship Id="rId33" Type="http://schemas.openxmlformats.org/officeDocument/2006/relationships/hyperlink" Target="https://www.screener.in/people/826/elm-park-fund-limited/" TargetMode="External"/><Relationship Id="rId38" Type="http://schemas.openxmlformats.org/officeDocument/2006/relationships/hyperlink" Target="https://www.screener.in/people/123150/life-insurance-corporation-of-india/" TargetMode="External"/><Relationship Id="rId46" Type="http://schemas.openxmlformats.org/officeDocument/2006/relationships/hyperlink" Target="https://www.screener.in/people/71970/cannon-realty-pvt-ltd-jw-sun-fastfin-services-pvt-ltd-in-the-capacity-of-partners-of-ms-gee-six-enterprises/" TargetMode="External"/><Relationship Id="rId59" Type="http://schemas.openxmlformats.org/officeDocument/2006/relationships/hyperlink" Target="https://www.screener.in/people/71947/real-gold-developers-llp/" TargetMode="External"/><Relationship Id="rId67" Type="http://schemas.openxmlformats.org/officeDocument/2006/relationships/hyperlink" Target="https://www.screener.in/people/71982/adityamedisalesltdjwmackinonenterprisespvtltdjwvidhishanghviincapacityofpartnersofexpertvision/" TargetMode="External"/><Relationship Id="rId20" Type="http://schemas.openxmlformats.org/officeDocument/2006/relationships/hyperlink" Target="https://www.screener.in/people/71963/trisha-jtanti/" TargetMode="External"/><Relationship Id="rId41" Type="http://schemas.openxmlformats.org/officeDocument/2006/relationships/hyperlink" Target="https://www.screener.in/people/3211/punjab-national-bank/" TargetMode="External"/><Relationship Id="rId54" Type="http://schemas.openxmlformats.org/officeDocument/2006/relationships/hyperlink" Target="https://www.screener.in/people/166296/cannon-realty-pvt-ltd/" TargetMode="External"/><Relationship Id="rId62" Type="http://schemas.openxmlformats.org/officeDocument/2006/relationships/hyperlink" Target="https://www.screener.in/people/124305/aditya-thermal-energy-private-limited-jw-aditya-medisales-ltd-jw-kumud-s-shanghvi-in-the-capacity-of-partners-of-ms-sunrise-associates/" TargetMode="External"/><Relationship Id="rId70" Type="http://schemas.openxmlformats.org/officeDocument/2006/relationships/hyperlink" Target="https://www.screener.in/people/38335/power-finance-corporation-ltd/" TargetMode="External"/><Relationship Id="rId1" Type="http://schemas.openxmlformats.org/officeDocument/2006/relationships/hyperlink" Target="https://www.screener.in/people/71939/sugati-holdings-pvt-ltd/" TargetMode="External"/><Relationship Id="rId6" Type="http://schemas.openxmlformats.org/officeDocument/2006/relationships/hyperlink" Target="https://www.screener.in/people/71948/sangita-vtanti/" TargetMode="External"/><Relationship Id="rId15" Type="http://schemas.openxmlformats.org/officeDocument/2006/relationships/hyperlink" Target="https://www.screener.in/people/153457/vinod-rtanti-jw-jitendra-rtanti-as-trustees-of-rr-family-trust/" TargetMode="External"/><Relationship Id="rId23" Type="http://schemas.openxmlformats.org/officeDocument/2006/relationships/hyperlink" Target="https://www.screener.in/people/126549/pranav-ttanti-as-karta-of-tulsi-ranchhodbhai-huf/" TargetMode="External"/><Relationship Id="rId28" Type="http://schemas.openxmlformats.org/officeDocument/2006/relationships/hyperlink" Target="https://www.screener.in/people/71941/cowell-lee-investment-mauritius-limited/" TargetMode="External"/><Relationship Id="rId36" Type="http://schemas.openxmlformats.org/officeDocument/2006/relationships/hyperlink" Target="https://www.screener.in/people/42039/belgrave-investment-fund/" TargetMode="External"/><Relationship Id="rId49" Type="http://schemas.openxmlformats.org/officeDocument/2006/relationships/hyperlink" Target="https://www.screener.in/people/71945/family-investment-pvt-ltd-jw-quality-investment-pvt-ltd-jw-kumud-s-shanghviin-the-capacity-of-partners-of-ms-sunrise-associates/" TargetMode="External"/><Relationship Id="rId57" Type="http://schemas.openxmlformats.org/officeDocument/2006/relationships/hyperlink" Target="https://www.screener.in/people/71978/shanghvifinancepvtltdjwadityamedisalesltdjwkumudshanghviincapacityofpartnersofmssunriseassociates/" TargetMode="External"/><Relationship Id="rId10" Type="http://schemas.openxmlformats.org/officeDocument/2006/relationships/hyperlink" Target="https://www.screener.in/people/71953/gita-ttanti/" TargetMode="External"/><Relationship Id="rId31" Type="http://schemas.openxmlformats.org/officeDocument/2006/relationships/hyperlink" Target="https://www.screener.in/people/52764/vanguard-emerging-markets-stock-index-fund-a-seri/" TargetMode="External"/><Relationship Id="rId44" Type="http://schemas.openxmlformats.org/officeDocument/2006/relationships/hyperlink" Target="https://www.screener.in/people/63153/lici-health-plus-non-unit-fund/" TargetMode="External"/><Relationship Id="rId52" Type="http://schemas.openxmlformats.org/officeDocument/2006/relationships/hyperlink" Target="https://www.screener.in/people/71973/shanghvi-finance-pvt-ltd-jw-kumud-s-shanghvi-in-the-capacity-of-partners-of-ms-sunrise-associates/" TargetMode="External"/><Relationship Id="rId60" Type="http://schemas.openxmlformats.org/officeDocument/2006/relationships/hyperlink" Target="https://www.screener.in/people/71975/aditya-medisales-ltd-jw-m-j-pharmaceuticals-pvt-ltd-jw-ms-vidhi-shanghvi-in-the-capacity-of-partners-of-ms-expert-vision/" TargetMode="External"/><Relationship Id="rId65" Type="http://schemas.openxmlformats.org/officeDocument/2006/relationships/hyperlink" Target="https://www.screener.in/people/166297/aditya-thermal-energy-private-limited/" TargetMode="External"/><Relationship Id="rId73" Type="http://schemas.openxmlformats.org/officeDocument/2006/relationships/hyperlink" Target="https://www.screener.in/people/70962/aalok-dilip-shanghvi/" TargetMode="External"/><Relationship Id="rId4" Type="http://schemas.openxmlformats.org/officeDocument/2006/relationships/hyperlink" Target="https://www.screener.in/people/71969/rambhaben-ukabhai/" TargetMode="External"/><Relationship Id="rId9" Type="http://schemas.openxmlformats.org/officeDocument/2006/relationships/hyperlink" Target="https://www.screener.in/people/71956/tulsi-rtanti-as-karta-of-ranchhodbhai-ramjibhai-huf/" TargetMode="External"/><Relationship Id="rId13" Type="http://schemas.openxmlformats.org/officeDocument/2006/relationships/hyperlink" Target="https://www.screener.in/people/71958/brij-jtanti/" TargetMode="External"/><Relationship Id="rId18" Type="http://schemas.openxmlformats.org/officeDocument/2006/relationships/hyperlink" Target="https://www.screener.in/people/71962/rajan-vtanti/" TargetMode="External"/><Relationship Id="rId39" Type="http://schemas.openxmlformats.org/officeDocument/2006/relationships/hyperlink" Target="https://www.screener.in/people/2921/idbi-bank-ltd/" TargetMode="External"/><Relationship Id="rId34" Type="http://schemas.openxmlformats.org/officeDocument/2006/relationships/hyperlink" Target="https://www.screener.in/people/3609/state-bank-of-india/" TargetMode="External"/><Relationship Id="rId50" Type="http://schemas.openxmlformats.org/officeDocument/2006/relationships/hyperlink" Target="https://www.screener.in/people/71971/shanghvi-finance-pvt-ltd-jw-aalok-d-shanghvi-in-the-capacity-of-partners-of-ms-goldenstar-enterprises/" TargetMode="External"/><Relationship Id="rId55" Type="http://schemas.openxmlformats.org/officeDocument/2006/relationships/hyperlink" Target="https://www.screener.in/people/71976/shanghvifinancepvtltdjwadityamedisalesltaalokshanghviincapacityofpartnersofmsgoldenstarenterprises/" TargetMode="External"/><Relationship Id="rId7" Type="http://schemas.openxmlformats.org/officeDocument/2006/relationships/hyperlink" Target="https://www.screener.in/people/71949/lina-jtanti/" TargetMode="External"/><Relationship Id="rId71" Type="http://schemas.openxmlformats.org/officeDocument/2006/relationships/hyperlink" Target="https://www.screener.in/people/71955/aditya-medisales-ltd-jw-unimed-investments-ltd-jw-ms-vidhi-shanghvi-in-the-capacity-of-partners-of-ms-expert-visio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creener.in/company/ENRIN/" TargetMode="External"/><Relationship Id="rId2" Type="http://schemas.openxmlformats.org/officeDocument/2006/relationships/hyperlink" Target="https://www.screener.in/company/GVT&amp;D/" TargetMode="External"/><Relationship Id="rId1" Type="http://schemas.openxmlformats.org/officeDocument/2006/relationships/hyperlink" Target="https://www.screener.in/company/HEROMOTOCO/consolidated/" TargetMode="External"/><Relationship Id="rId5" Type="http://schemas.openxmlformats.org/officeDocument/2006/relationships/hyperlink" Target="https://www.screener.in/company/ABB/" TargetMode="External"/><Relationship Id="rId4" Type="http://schemas.openxmlformats.org/officeDocument/2006/relationships/hyperlink" Target="https://www.screener.in/company/CGPOWER/consolidated/"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screener.in/company/ENRIN/" TargetMode="External"/><Relationship Id="rId2" Type="http://schemas.openxmlformats.org/officeDocument/2006/relationships/hyperlink" Target="https://www.screener.in/company/GVT&amp;D/" TargetMode="External"/><Relationship Id="rId1" Type="http://schemas.openxmlformats.org/officeDocument/2006/relationships/hyperlink" Target="https://www.screener.in/company/HEROMOTOCO/consolidated/" TargetMode="External"/><Relationship Id="rId5" Type="http://schemas.openxmlformats.org/officeDocument/2006/relationships/hyperlink" Target="https://www.screener.in/company/ABB/" TargetMode="External"/><Relationship Id="rId4" Type="http://schemas.openxmlformats.org/officeDocument/2006/relationships/hyperlink" Target="https://www.screener.in/company/CGPOWER/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s>
  <sheetFormatPr defaultRowHeight="14.4"/>
  <sheetData>
    <row r="1" spans="1:1" ht="18" customHeight="1">
      <c r="A1" s="334" t="s">
        <v>43</v>
      </c>
    </row>
    <row r="2" spans="1:1">
      <c r="A2" t="s">
        <v>44</v>
      </c>
    </row>
    <row r="3" spans="1:1">
      <c r="A3" s="335" t="s">
        <v>45</v>
      </c>
    </row>
    <row r="4" spans="1:1">
      <c r="A4" t="s">
        <v>46</v>
      </c>
    </row>
    <row r="5" spans="1:1">
      <c r="A5" t="s">
        <v>47</v>
      </c>
    </row>
    <row r="6" spans="1:1">
      <c r="A6" t="s">
        <v>48</v>
      </c>
    </row>
    <row r="8" spans="1:1">
      <c r="A8" t="s">
        <v>49</v>
      </c>
    </row>
    <row r="9" spans="1:1">
      <c r="A9" t="s">
        <v>50</v>
      </c>
    </row>
    <row r="11" spans="1:1">
      <c r="A11" t="s">
        <v>51</v>
      </c>
    </row>
    <row r="12" spans="1:1">
      <c r="A12" t="s">
        <v>52</v>
      </c>
    </row>
    <row r="13" spans="1:1">
      <c r="A13" t="s">
        <v>53</v>
      </c>
    </row>
    <row r="14" spans="1:1">
      <c r="A14" t="s">
        <v>54</v>
      </c>
    </row>
    <row r="15" spans="1:1">
      <c r="A15" t="s">
        <v>55</v>
      </c>
    </row>
    <row r="17" spans="1:1">
      <c r="A17" t="s">
        <v>56</v>
      </c>
    </row>
    <row r="18" spans="1:1">
      <c r="A18" t="s">
        <v>57</v>
      </c>
    </row>
    <row r="19" spans="1:1">
      <c r="A19" t="s">
        <v>58</v>
      </c>
    </row>
    <row r="20" spans="1:1">
      <c r="A20"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55"/>
  <sheetViews>
    <sheetView showGridLines="0" tabSelected="1" workbookViewId="0">
      <selection activeCell="B5" sqref="B5"/>
    </sheetView>
  </sheetViews>
  <sheetFormatPr defaultRowHeight="14.4"/>
  <cols>
    <col min="10" max="10" width="100" customWidth="1"/>
  </cols>
  <sheetData>
    <row r="2" spans="2:11">
      <c r="B2" s="108"/>
      <c r="J2" s="108"/>
    </row>
    <row r="3" spans="2:11">
      <c r="J3" s="108"/>
    </row>
    <row r="4" spans="2:11">
      <c r="J4" s="108"/>
      <c r="K4" s="111"/>
    </row>
    <row r="5" spans="2:11" ht="100.8" customHeight="1">
      <c r="J5" s="336" t="s">
        <v>60</v>
      </c>
    </row>
    <row r="6" spans="2:11">
      <c r="J6" s="108"/>
    </row>
    <row r="7" spans="2:11">
      <c r="J7" s="108"/>
    </row>
    <row r="8" spans="2:11">
      <c r="J8" s="108"/>
    </row>
    <row r="9" spans="2:11">
      <c r="J9" s="108"/>
    </row>
    <row r="10" spans="2:11">
      <c r="J10" s="108"/>
    </row>
    <row r="11" spans="2:11">
      <c r="J11" s="108"/>
    </row>
    <row r="12" spans="2:11">
      <c r="J12" s="108"/>
    </row>
    <row r="13" spans="2:11">
      <c r="J13" s="108"/>
    </row>
    <row r="14" spans="2:11">
      <c r="J14" s="108"/>
    </row>
    <row r="15" spans="2:11">
      <c r="J15" s="108"/>
    </row>
    <row r="16" spans="2:11">
      <c r="J16" s="108"/>
    </row>
    <row r="17" spans="3:13">
      <c r="J17" s="108"/>
    </row>
    <row r="18" spans="3:13">
      <c r="J18" s="108"/>
    </row>
    <row r="19" spans="3:13">
      <c r="J19" s="108"/>
    </row>
    <row r="20" spans="3:13">
      <c r="J20" s="108"/>
    </row>
    <row r="21" spans="3:13">
      <c r="J21" s="108"/>
    </row>
    <row r="22" spans="3:13">
      <c r="J22" s="108"/>
    </row>
    <row r="23" spans="3:13">
      <c r="J23" s="108"/>
    </row>
    <row r="26" spans="3:13">
      <c r="C26" s="112"/>
      <c r="M26" s="112"/>
    </row>
    <row r="28" spans="3:13">
      <c r="C28" s="113"/>
      <c r="J28" s="109"/>
      <c r="M28" s="113"/>
    </row>
    <row r="29" spans="3:13">
      <c r="C29" s="113"/>
      <c r="J29" s="109"/>
      <c r="M29" s="113"/>
    </row>
    <row r="30" spans="3:13">
      <c r="C30" s="113"/>
      <c r="J30" s="109"/>
      <c r="M30" s="113"/>
    </row>
    <row r="31" spans="3:13">
      <c r="C31" s="113"/>
      <c r="J31" s="109"/>
      <c r="M31" s="113"/>
    </row>
    <row r="32" spans="3:13">
      <c r="C32" s="113"/>
      <c r="J32" s="109"/>
      <c r="M32" s="113"/>
    </row>
    <row r="33" spans="3:13">
      <c r="C33" s="113"/>
      <c r="J33" s="109"/>
      <c r="M33" s="113"/>
    </row>
    <row r="34" spans="3:13">
      <c r="C34" s="113"/>
      <c r="J34" s="109"/>
      <c r="M34" s="113"/>
    </row>
    <row r="35" spans="3:13">
      <c r="C35" s="113"/>
      <c r="J35" s="109"/>
      <c r="M35" s="109"/>
    </row>
    <row r="36" spans="3:13">
      <c r="C36" s="113"/>
      <c r="J36" s="109"/>
    </row>
    <row r="37" spans="3:13">
      <c r="C37" s="113"/>
      <c r="J37" s="109"/>
    </row>
    <row r="38" spans="3:13">
      <c r="C38" s="113"/>
      <c r="J38" s="109"/>
    </row>
    <row r="39" spans="3:13">
      <c r="C39" s="113"/>
      <c r="J39" s="109"/>
    </row>
    <row r="40" spans="3:13">
      <c r="C40" s="113"/>
      <c r="J40" s="109"/>
    </row>
    <row r="41" spans="3:13">
      <c r="C41" s="113"/>
      <c r="J41" s="109"/>
    </row>
    <row r="42" spans="3:13">
      <c r="C42" s="113"/>
      <c r="J42" s="109"/>
    </row>
    <row r="43" spans="3:13">
      <c r="C43" s="113"/>
      <c r="J43" s="109"/>
    </row>
    <row r="44" spans="3:13">
      <c r="C44" s="113"/>
      <c r="J44" s="109"/>
    </row>
    <row r="45" spans="3:13">
      <c r="C45" s="113"/>
      <c r="J45" s="109"/>
    </row>
    <row r="46" spans="3:13">
      <c r="C46" s="113"/>
      <c r="J46" s="109"/>
    </row>
    <row r="47" spans="3:13">
      <c r="C47" s="113"/>
      <c r="J47" s="109"/>
    </row>
    <row r="48" spans="3:13">
      <c r="C48" s="113"/>
      <c r="J48" s="109"/>
    </row>
    <row r="49" spans="3:10">
      <c r="C49" s="113"/>
      <c r="J49" s="109"/>
    </row>
    <row r="50" spans="3:10">
      <c r="C50" s="113"/>
      <c r="J50" s="109"/>
    </row>
    <row r="51" spans="3:10">
      <c r="C51" s="113"/>
      <c r="J51" s="109"/>
    </row>
    <row r="52" spans="3:10">
      <c r="C52" s="113"/>
      <c r="J52" s="109"/>
    </row>
    <row r="53" spans="3:10">
      <c r="C53" s="113"/>
      <c r="J53" s="109"/>
    </row>
    <row r="54" spans="3:10">
      <c r="C54" s="113"/>
      <c r="J54" s="109"/>
    </row>
    <row r="55" spans="3:10">
      <c r="C55" s="113"/>
      <c r="J55" s="10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81"/>
  <sheetViews>
    <sheetView showGridLines="0" workbookViewId="0">
      <selection activeCell="F18" sqref="F18"/>
    </sheetView>
  </sheetViews>
  <sheetFormatPr defaultRowHeight="14.4" outlineLevelRow="2"/>
  <cols>
    <col min="2" max="2" width="49.44140625" bestFit="1" customWidth="1"/>
    <col min="3" max="4" width="9.88671875" bestFit="1" customWidth="1"/>
  </cols>
  <sheetData>
    <row r="2" spans="2:4" ht="15" customHeight="1" thickBot="1">
      <c r="B2" s="2"/>
      <c r="C2" s="114">
        <v>45717</v>
      </c>
      <c r="D2" s="114">
        <v>46082</v>
      </c>
    </row>
    <row r="3" spans="2:4" ht="15" customHeight="1" thickBot="1">
      <c r="B3" s="115" t="s">
        <v>61</v>
      </c>
      <c r="C3" s="116">
        <v>0.13250000000000001</v>
      </c>
      <c r="D3" s="116">
        <v>0.1173</v>
      </c>
    </row>
    <row r="4" spans="2:4" hidden="1" outlineLevel="2">
      <c r="B4" s="117" t="s">
        <v>62</v>
      </c>
      <c r="C4" s="1"/>
      <c r="D4" s="1"/>
    </row>
    <row r="5" spans="2:4" hidden="1" outlineLevel="2">
      <c r="B5" s="117" t="s">
        <v>63</v>
      </c>
      <c r="C5" s="118">
        <v>5.14</v>
      </c>
      <c r="D5" s="118">
        <v>4.63</v>
      </c>
    </row>
    <row r="6" spans="2:4" hidden="1" outlineLevel="2">
      <c r="B6" s="117" t="s">
        <v>64</v>
      </c>
      <c r="C6" s="118">
        <v>2.68</v>
      </c>
      <c r="D6" s="118">
        <v>2.67</v>
      </c>
    </row>
    <row r="7" spans="2:4" hidden="1" outlineLevel="2">
      <c r="B7" s="117" t="s">
        <v>65</v>
      </c>
      <c r="C7" s="118">
        <v>3.47</v>
      </c>
      <c r="D7" s="118">
        <v>3.25</v>
      </c>
    </row>
    <row r="8" spans="2:4" hidden="1" outlineLevel="2">
      <c r="B8" s="117" t="s">
        <v>66</v>
      </c>
      <c r="C8" s="118">
        <v>0.73</v>
      </c>
      <c r="D8" s="118">
        <v>0.73</v>
      </c>
    </row>
    <row r="9" spans="2:4" hidden="1" outlineLevel="2">
      <c r="B9" s="117" t="s">
        <v>67</v>
      </c>
      <c r="C9" s="118">
        <v>0</v>
      </c>
      <c r="D9" s="118">
        <v>0</v>
      </c>
    </row>
    <row r="10" spans="2:4" hidden="1" outlineLevel="2">
      <c r="B10" s="117" t="s">
        <v>68</v>
      </c>
      <c r="C10" s="118">
        <v>0</v>
      </c>
      <c r="D10" s="118">
        <v>0</v>
      </c>
    </row>
    <row r="11" spans="2:4" hidden="1" outlineLevel="2">
      <c r="B11" s="117" t="s">
        <v>69</v>
      </c>
      <c r="C11" s="1"/>
      <c r="D11" s="1"/>
    </row>
    <row r="12" spans="2:4" hidden="1" outlineLevel="2">
      <c r="B12" s="117" t="s">
        <v>70</v>
      </c>
      <c r="C12" s="1"/>
      <c r="D12" s="1"/>
    </row>
    <row r="13" spans="2:4" hidden="1" outlineLevel="2">
      <c r="B13" s="117" t="s">
        <v>71</v>
      </c>
      <c r="C13" s="118">
        <v>0.04</v>
      </c>
      <c r="D13" s="118">
        <v>0.04</v>
      </c>
    </row>
    <row r="14" spans="2:4" hidden="1" outlineLevel="2">
      <c r="B14" s="117" t="s">
        <v>72</v>
      </c>
      <c r="C14" s="118">
        <v>0</v>
      </c>
      <c r="D14" s="118">
        <v>0</v>
      </c>
    </row>
    <row r="15" spans="2:4" hidden="1" outlineLevel="2">
      <c r="B15" s="117" t="s">
        <v>73</v>
      </c>
      <c r="C15" s="1"/>
      <c r="D15" s="1"/>
    </row>
    <row r="16" spans="2:4" hidden="1" outlineLevel="2">
      <c r="B16" s="117" t="s">
        <v>74</v>
      </c>
      <c r="C16" s="118">
        <v>0</v>
      </c>
      <c r="D16" s="118">
        <v>0</v>
      </c>
    </row>
    <row r="17" spans="2:4" hidden="1" outlineLevel="2">
      <c r="B17" s="117" t="s">
        <v>75</v>
      </c>
      <c r="C17" s="118">
        <v>0.39</v>
      </c>
      <c r="D17" s="1"/>
    </row>
    <row r="18" spans="2:4" hidden="1" outlineLevel="2">
      <c r="B18" s="117" t="s">
        <v>76</v>
      </c>
      <c r="C18" s="118">
        <v>0.39</v>
      </c>
      <c r="D18" s="1"/>
    </row>
    <row r="19" spans="2:4" hidden="1" outlineLevel="2">
      <c r="B19" s="117" t="s">
        <v>77</v>
      </c>
      <c r="C19" s="1"/>
      <c r="D19" s="1"/>
    </row>
    <row r="20" spans="2:4" hidden="1" outlineLevel="2">
      <c r="B20" s="117" t="s">
        <v>78</v>
      </c>
      <c r="C20" s="118">
        <v>0.22</v>
      </c>
      <c r="D20" s="118">
        <v>0.22</v>
      </c>
    </row>
    <row r="21" spans="2:4" hidden="1" outlineLevel="2">
      <c r="B21" s="117" t="s">
        <v>79</v>
      </c>
      <c r="C21" s="118">
        <v>0</v>
      </c>
      <c r="D21" s="118">
        <v>0</v>
      </c>
    </row>
    <row r="22" spans="2:4" hidden="1" outlineLevel="2">
      <c r="B22" s="117" t="s">
        <v>80</v>
      </c>
      <c r="C22" s="118">
        <v>7.0000000000000007E-2</v>
      </c>
      <c r="D22" s="118">
        <v>7.0000000000000007E-2</v>
      </c>
    </row>
    <row r="23" spans="2:4" hidden="1" outlineLevel="2">
      <c r="B23" s="117" t="s">
        <v>81</v>
      </c>
      <c r="C23" s="118">
        <v>0</v>
      </c>
      <c r="D23" s="118">
        <v>0</v>
      </c>
    </row>
    <row r="24" spans="2:4" hidden="1" outlineLevel="2">
      <c r="B24" s="117" t="s">
        <v>82</v>
      </c>
      <c r="C24" s="118">
        <v>0</v>
      </c>
      <c r="D24" s="1"/>
    </row>
    <row r="25" spans="2:4" hidden="1" outlineLevel="2">
      <c r="B25" s="117" t="s">
        <v>83</v>
      </c>
      <c r="C25" s="118">
        <v>0</v>
      </c>
      <c r="D25" s="1"/>
    </row>
    <row r="26" spans="2:4" hidden="1" outlineLevel="2">
      <c r="B26" s="117" t="s">
        <v>84</v>
      </c>
      <c r="C26" s="118">
        <v>0.13</v>
      </c>
      <c r="D26" s="118">
        <v>0.13</v>
      </c>
    </row>
    <row r="27" spans="2:4" hidden="1" outlineLevel="2">
      <c r="B27" s="117" t="s">
        <v>85</v>
      </c>
      <c r="C27" s="1"/>
      <c r="D27" s="1"/>
    </row>
    <row r="28" spans="2:4" hidden="1" outlineLevel="2">
      <c r="B28" s="117" t="s">
        <v>86</v>
      </c>
      <c r="C28" s="118">
        <v>0</v>
      </c>
      <c r="D28" s="118">
        <v>0</v>
      </c>
    </row>
    <row r="29" spans="2:4" hidden="1" outlineLevel="2">
      <c r="B29" s="117" t="s">
        <v>87</v>
      </c>
      <c r="C29" s="1"/>
      <c r="D29" s="1"/>
    </row>
    <row r="30" spans="2:4" ht="15" hidden="1" customHeight="1" outlineLevel="2" thickBot="1">
      <c r="B30" s="117" t="s">
        <v>88</v>
      </c>
      <c r="C30" s="118">
        <v>0</v>
      </c>
      <c r="D30" s="1"/>
    </row>
    <row r="31" spans="2:4" ht="15" customHeight="1" collapsed="1" thickBot="1">
      <c r="B31" s="119" t="s">
        <v>89</v>
      </c>
      <c r="C31" s="120">
        <v>0.23039999999999999</v>
      </c>
      <c r="D31" s="120">
        <v>0.23849999999999999</v>
      </c>
    </row>
    <row r="32" spans="2:4" hidden="1" outlineLevel="1">
      <c r="B32" s="121" t="s">
        <v>90</v>
      </c>
      <c r="C32" s="3"/>
      <c r="D32" s="3"/>
    </row>
    <row r="33" spans="2:4" hidden="1" outlineLevel="1">
      <c r="B33" s="121" t="s">
        <v>91</v>
      </c>
      <c r="C33" s="3"/>
      <c r="D33" s="3"/>
    </row>
    <row r="34" spans="2:4" hidden="1" outlineLevel="1">
      <c r="B34" s="121" t="s">
        <v>92</v>
      </c>
      <c r="C34" s="122">
        <v>1.23</v>
      </c>
      <c r="D34" s="122">
        <v>1.1599999999999999</v>
      </c>
    </row>
    <row r="35" spans="2:4" hidden="1" outlineLevel="1">
      <c r="B35" s="121" t="s">
        <v>93</v>
      </c>
      <c r="C35" s="122">
        <v>1.1100000000000001</v>
      </c>
      <c r="D35" s="122">
        <v>1.0900000000000001</v>
      </c>
    </row>
    <row r="36" spans="2:4" hidden="1" outlineLevel="1">
      <c r="B36" s="121" t="s">
        <v>94</v>
      </c>
      <c r="C36" s="3"/>
      <c r="D36" s="3"/>
    </row>
    <row r="37" spans="2:4" ht="15" hidden="1" customHeight="1" outlineLevel="1" thickBot="1">
      <c r="B37" s="121" t="s">
        <v>95</v>
      </c>
      <c r="C37" s="3"/>
      <c r="D37" s="3"/>
    </row>
    <row r="38" spans="2:4" ht="15" customHeight="1" collapsed="1" thickBot="1">
      <c r="B38" s="115" t="s">
        <v>96</v>
      </c>
      <c r="C38" s="116">
        <v>8.7300000000000003E-2</v>
      </c>
      <c r="D38" s="116">
        <v>9.1800000000000007E-2</v>
      </c>
    </row>
    <row r="39" spans="2:4" hidden="1" outlineLevel="1">
      <c r="B39" s="117" t="s">
        <v>97</v>
      </c>
      <c r="C39" s="1"/>
      <c r="D39" s="1"/>
    </row>
    <row r="40" spans="2:4" hidden="1" outlineLevel="1">
      <c r="B40" s="117" t="s">
        <v>98</v>
      </c>
      <c r="C40" s="1"/>
      <c r="D40" s="1"/>
    </row>
    <row r="41" spans="2:4" hidden="1" outlineLevel="1">
      <c r="B41" s="117" t="s">
        <v>99</v>
      </c>
      <c r="C41" s="1"/>
      <c r="D41" s="1"/>
    </row>
    <row r="42" spans="2:4" hidden="1" outlineLevel="1">
      <c r="B42" s="117" t="s">
        <v>100</v>
      </c>
      <c r="C42" s="1"/>
      <c r="D42" s="1"/>
    </row>
    <row r="43" spans="2:4" hidden="1" outlineLevel="1">
      <c r="B43" s="117" t="s">
        <v>101</v>
      </c>
      <c r="C43" s="118">
        <v>1.03</v>
      </c>
      <c r="D43" s="1"/>
    </row>
    <row r="44" spans="2:4" hidden="1" outlineLevel="1">
      <c r="B44" s="117" t="s">
        <v>102</v>
      </c>
      <c r="C44" s="1"/>
      <c r="D44" s="1"/>
    </row>
    <row r="45" spans="2:4" hidden="1" outlineLevel="1">
      <c r="B45" s="117" t="s">
        <v>103</v>
      </c>
      <c r="C45" s="1"/>
      <c r="D45" s="1"/>
    </row>
    <row r="46" spans="2:4" hidden="1" outlineLevel="1">
      <c r="B46" s="117" t="s">
        <v>104</v>
      </c>
      <c r="C46" s="1"/>
      <c r="D46" s="1"/>
    </row>
    <row r="47" spans="2:4" hidden="1" outlineLevel="1">
      <c r="B47" s="117" t="s">
        <v>105</v>
      </c>
      <c r="C47" s="1"/>
      <c r="D47" s="118">
        <v>1.05</v>
      </c>
    </row>
    <row r="48" spans="2:4" hidden="1" outlineLevel="1">
      <c r="B48" s="117" t="s">
        <v>106</v>
      </c>
      <c r="C48" s="1"/>
      <c r="D48" s="1"/>
    </row>
    <row r="49" spans="2:4" ht="15" hidden="1" customHeight="1" outlineLevel="1" thickBot="1">
      <c r="B49" s="117" t="s">
        <v>107</v>
      </c>
      <c r="C49" s="1"/>
      <c r="D49" s="1"/>
    </row>
    <row r="50" spans="2:4" collapsed="1">
      <c r="B50" s="119" t="s">
        <v>108</v>
      </c>
      <c r="C50" s="120">
        <v>0.54979999999999996</v>
      </c>
      <c r="D50" s="120">
        <v>0.55230000000000001</v>
      </c>
    </row>
    <row r="51" spans="2:4" hidden="1" outlineLevel="1">
      <c r="B51" s="121" t="s">
        <v>99</v>
      </c>
      <c r="C51" s="122">
        <v>1.87</v>
      </c>
      <c r="D51" s="122">
        <v>1.86</v>
      </c>
    </row>
    <row r="52" spans="2:4" hidden="1" outlineLevel="1">
      <c r="B52" s="121" t="s">
        <v>109</v>
      </c>
      <c r="C52" s="3"/>
      <c r="D52" s="3"/>
    </row>
    <row r="53" spans="2:4" hidden="1" outlineLevel="1">
      <c r="B53" s="121" t="s">
        <v>110</v>
      </c>
      <c r="C53" s="3"/>
      <c r="D53" s="3"/>
    </row>
    <row r="54" spans="2:4" hidden="1" outlineLevel="1">
      <c r="B54" s="121" t="s">
        <v>111</v>
      </c>
      <c r="C54" s="3"/>
      <c r="D54" s="3"/>
    </row>
    <row r="55" spans="2:4" hidden="1" outlineLevel="1">
      <c r="B55" s="121" t="s">
        <v>112</v>
      </c>
      <c r="C55" s="3"/>
      <c r="D55" s="3"/>
    </row>
    <row r="56" spans="2:4" hidden="1" outlineLevel="1">
      <c r="B56" s="121" t="s">
        <v>113</v>
      </c>
      <c r="C56" s="3"/>
      <c r="D56" s="3"/>
    </row>
    <row r="57" spans="2:4" hidden="1" outlineLevel="1">
      <c r="B57" s="121" t="s">
        <v>114</v>
      </c>
      <c r="C57" s="3"/>
      <c r="D57" s="3"/>
    </row>
    <row r="58" spans="2:4" hidden="1" outlineLevel="1">
      <c r="B58" s="121" t="s">
        <v>115</v>
      </c>
      <c r="C58" s="3"/>
      <c r="D58" s="3"/>
    </row>
    <row r="59" spans="2:4" hidden="1" outlineLevel="1">
      <c r="B59" s="121" t="s">
        <v>116</v>
      </c>
      <c r="C59" s="3"/>
      <c r="D59" s="3"/>
    </row>
    <row r="60" spans="2:4" hidden="1" outlineLevel="1">
      <c r="B60" s="121" t="s">
        <v>117</v>
      </c>
      <c r="C60" s="122">
        <v>1.77</v>
      </c>
      <c r="D60" s="122">
        <v>1.76</v>
      </c>
    </row>
    <row r="61" spans="2:4" hidden="1" outlineLevel="1">
      <c r="B61" s="121" t="s">
        <v>118</v>
      </c>
      <c r="C61" s="3"/>
      <c r="D61" s="3"/>
    </row>
    <row r="62" spans="2:4" hidden="1" outlineLevel="1">
      <c r="B62" s="121" t="s">
        <v>119</v>
      </c>
      <c r="C62" s="3"/>
      <c r="D62" s="3"/>
    </row>
    <row r="63" spans="2:4" hidden="1" outlineLevel="1">
      <c r="B63" s="121" t="s">
        <v>120</v>
      </c>
      <c r="C63" s="3"/>
      <c r="D63" s="3"/>
    </row>
    <row r="64" spans="2:4" hidden="1" outlineLevel="1">
      <c r="B64" s="121" t="s">
        <v>121</v>
      </c>
      <c r="C64" s="3"/>
      <c r="D64" s="3"/>
    </row>
    <row r="65" spans="2:4" hidden="1" outlineLevel="1">
      <c r="B65" s="121" t="s">
        <v>122</v>
      </c>
      <c r="C65" s="3"/>
      <c r="D65" s="3"/>
    </row>
    <row r="66" spans="2:4" hidden="1" outlineLevel="1">
      <c r="B66" s="121" t="s">
        <v>123</v>
      </c>
      <c r="C66" s="3"/>
      <c r="D66" s="3"/>
    </row>
    <row r="67" spans="2:4" hidden="1" outlineLevel="1">
      <c r="B67" s="121" t="s">
        <v>124</v>
      </c>
      <c r="C67" s="3"/>
      <c r="D67" s="3"/>
    </row>
    <row r="68" spans="2:4" hidden="1" outlineLevel="1">
      <c r="B68" s="121" t="s">
        <v>125</v>
      </c>
      <c r="C68" s="3"/>
      <c r="D68" s="3"/>
    </row>
    <row r="69" spans="2:4" hidden="1" outlineLevel="1">
      <c r="B69" s="121" t="s">
        <v>126</v>
      </c>
      <c r="C69" s="3"/>
      <c r="D69" s="3"/>
    </row>
    <row r="70" spans="2:4" hidden="1" outlineLevel="1">
      <c r="B70" s="121" t="s">
        <v>127</v>
      </c>
      <c r="C70" s="3"/>
      <c r="D70" s="3"/>
    </row>
    <row r="71" spans="2:4" hidden="1" outlineLevel="1">
      <c r="B71" s="121" t="s">
        <v>128</v>
      </c>
      <c r="C71" s="122">
        <v>1.29</v>
      </c>
      <c r="D71" s="122">
        <v>1.28</v>
      </c>
    </row>
    <row r="72" spans="2:4" hidden="1" outlineLevel="1">
      <c r="B72" s="121" t="s">
        <v>129</v>
      </c>
      <c r="C72" s="3"/>
      <c r="D72" s="3"/>
    </row>
    <row r="73" spans="2:4" hidden="1" outlineLevel="1">
      <c r="B73" s="121" t="s">
        <v>130</v>
      </c>
      <c r="C73" s="3"/>
      <c r="D73" s="3"/>
    </row>
    <row r="74" spans="2:4" hidden="1" outlineLevel="1">
      <c r="B74" s="121" t="s">
        <v>124</v>
      </c>
      <c r="C74" s="3"/>
      <c r="D74" s="3"/>
    </row>
    <row r="75" spans="2:4" hidden="1" outlineLevel="1">
      <c r="B75" s="121" t="s">
        <v>131</v>
      </c>
      <c r="C75" s="122">
        <v>1.06</v>
      </c>
      <c r="D75" s="122">
        <v>1.05</v>
      </c>
    </row>
    <row r="76" spans="2:4" hidden="1" outlineLevel="1">
      <c r="B76" s="121" t="s">
        <v>132</v>
      </c>
      <c r="C76" s="3"/>
      <c r="D76" s="3"/>
    </row>
    <row r="77" spans="2:4" hidden="1" outlineLevel="1">
      <c r="B77" s="121" t="s">
        <v>133</v>
      </c>
      <c r="C77" s="3"/>
      <c r="D77" s="3"/>
    </row>
    <row r="78" spans="2:4" hidden="1" outlineLevel="1">
      <c r="B78" s="121" t="s">
        <v>134</v>
      </c>
      <c r="C78" s="3"/>
      <c r="D78" s="3"/>
    </row>
    <row r="79" spans="2:4" hidden="1" outlineLevel="1">
      <c r="B79" s="121" t="s">
        <v>135</v>
      </c>
      <c r="C79" s="3"/>
      <c r="D79" s="3"/>
    </row>
    <row r="80" spans="2:4" hidden="1" outlineLevel="1">
      <c r="B80" s="121" t="s">
        <v>136</v>
      </c>
      <c r="C80" s="122">
        <v>1.02</v>
      </c>
      <c r="D80" s="122">
        <v>1.02</v>
      </c>
    </row>
    <row r="81" spans="2:4" collapsed="1">
      <c r="B81" s="123" t="s">
        <v>137</v>
      </c>
      <c r="C81" s="124" t="s">
        <v>138</v>
      </c>
      <c r="D81" s="124" t="s">
        <v>139</v>
      </c>
    </row>
  </sheetData>
  <hyperlinks>
    <hyperlink ref="B4" r:id="rId1" display="https://www.screener.in/people/71939/sugati-holdings-pvt-ltd/" xr:uid="{00000000-0004-0000-0200-000000000000}"/>
    <hyperlink ref="B5" r:id="rId2" display="https://www.screener.in/people/71940/tanti-holdings-private-limited/" xr:uid="{00000000-0004-0000-0200-000001000000}"/>
    <hyperlink ref="B6" r:id="rId3" display="https://www.screener.in/people/71959/samanvaya-holdings-private-limited/" xr:uid="{00000000-0004-0000-0200-000002000000}"/>
    <hyperlink ref="B7" r:id="rId4" display="https://www.screener.in/people/71969/rambhaben-ukabhai/" xr:uid="{00000000-0004-0000-0200-000003000000}"/>
    <hyperlink ref="B8" r:id="rId5" display="https://www.screener.in/people/71946/girish-rtanti/" xr:uid="{00000000-0004-0000-0200-000004000000}"/>
    <hyperlink ref="B9" r:id="rId6" display="https://www.screener.in/people/71948/sangita-vtanti/" xr:uid="{00000000-0004-0000-0200-000005000000}"/>
    <hyperlink ref="B10" r:id="rId7" display="https://www.screener.in/people/71949/lina-jtanti/" xr:uid="{00000000-0004-0000-0200-000006000000}"/>
    <hyperlink ref="B11" r:id="rId8" display="https://www.screener.in/people/71957/tulsi-rtanti-jw-vinod-rtanti-jw-jitendra-rtanti/" xr:uid="{00000000-0004-0000-0200-000007000000}"/>
    <hyperlink ref="B12" r:id="rId9" display="https://www.screener.in/people/71956/tulsi-rtanti-as-karta-of-ranchhodbhai-ramjibhai-huf/" xr:uid="{00000000-0004-0000-0200-000008000000}"/>
    <hyperlink ref="B13" r:id="rId10" display="https://www.screener.in/people/71953/gita-ttanti/" xr:uid="{00000000-0004-0000-0200-000009000000}"/>
    <hyperlink ref="B14" r:id="rId11" display="https://www.screener.in/people/71954/pranav-ttanti/" xr:uid="{00000000-0004-0000-0200-00000A000000}"/>
    <hyperlink ref="B15" r:id="rId12" display="https://www.screener.in/people/71981/tulsi-rtanti-jw-vinod-rtanti-jw-jitendra-rtanti-as-trustees-of-rr-family-trust/" xr:uid="{00000000-0004-0000-0200-00000B000000}"/>
    <hyperlink ref="B16" r:id="rId13" display="https://www.screener.in/people/71958/brij-jtanti/" xr:uid="{00000000-0004-0000-0200-00000C000000}"/>
    <hyperlink ref="B17" r:id="rId14" display="https://www.screener.in/people/126548/vinod-rtanti-as-karta-of-ranchhodbhai-ramjibhai-huf/" xr:uid="{00000000-0004-0000-0200-00000D000000}"/>
    <hyperlink ref="B18" r:id="rId15" display="https://www.screener.in/people/153457/vinod-rtanti-jw-jitendra-rtanti-as-trustees-of-rr-family-trust/" xr:uid="{00000000-0004-0000-0200-00000E000000}"/>
    <hyperlink ref="B19" r:id="rId16" display="https://www.screener.in/people/71961/tulsi-rtanti-as-karta-of-tulsi-ranchhodbhai-huf/" xr:uid="{00000000-0004-0000-0200-00000F000000}"/>
    <hyperlink ref="B20" r:id="rId17" display="https://www.screener.in/people/71966/vinod-rtanti/" xr:uid="{00000000-0004-0000-0200-000010000000}"/>
    <hyperlink ref="B21" r:id="rId18" display="https://www.screener.in/people/71962/rajan-vtanti/" xr:uid="{00000000-0004-0000-0200-000011000000}"/>
    <hyperlink ref="B22" r:id="rId19" display="https://www.screener.in/people/71964/jitendra-rtanti/" xr:uid="{00000000-0004-0000-0200-000012000000}"/>
    <hyperlink ref="B23" r:id="rId20" display="https://www.screener.in/people/71963/trisha-jtanti/" xr:uid="{00000000-0004-0000-0200-000013000000}"/>
    <hyperlink ref="B24" r:id="rId21" display="https://www.screener.in/people/71960/vinod-rtanti-as-karta-of-vinod-ranchhodbhai-huf/" xr:uid="{00000000-0004-0000-0200-000014000000}"/>
    <hyperlink ref="B25" r:id="rId22" display="https://www.screener.in/people/71965/jitendra-rtanti-as-karta-of-jitendra-ranchhodbhai-huf/" xr:uid="{00000000-0004-0000-0200-000015000000}"/>
    <hyperlink ref="B26" r:id="rId23" display="https://www.screener.in/people/126549/pranav-ttanti-as-karta-of-tulsi-ranchhodbhai-huf/" xr:uid="{00000000-0004-0000-0200-000016000000}"/>
    <hyperlink ref="B27" r:id="rId24" display="https://www.screener.in/people/71967/tulsi-rtanti/" xr:uid="{00000000-0004-0000-0200-000017000000}"/>
    <hyperlink ref="B28" r:id="rId25" display="https://www.screener.in/people/71968/nidhi-ttanti/" xr:uid="{00000000-0004-0000-0200-000018000000}"/>
    <hyperlink ref="B29" r:id="rId26" display="https://www.screener.in/people/132391/the-tanti-trust-through-its-trustee-mr-vinod-ranchhodbhai-tanti/" xr:uid="{00000000-0004-0000-0200-000019000000}"/>
    <hyperlink ref="B30" r:id="rId27" display="https://www.screener.in/people/153458/the-tanti-trust-its-trustee-vinod-rtanti-girish-rtanti-and-mr-jitendra-rtanti/" xr:uid="{00000000-0004-0000-0200-00001A000000}"/>
    <hyperlink ref="B32" r:id="rId28" display="https://www.screener.in/people/71941/cowell-lee-investment-mauritius-limited/" xr:uid="{00000000-0004-0000-0200-00001B000000}"/>
    <hyperlink ref="B33" r:id="rId29" display="https://www.screener.in/people/145262/ishares-ii-public-limited-company-ishares-global/" xr:uid="{00000000-0004-0000-0200-00001C000000}"/>
    <hyperlink ref="B34" r:id="rId30" display="https://www.screener.in/people/298/vanguard-total-international-stock-index-fund/" xr:uid="{00000000-0004-0000-0200-00001D000000}"/>
    <hyperlink ref="B35" r:id="rId31" display="https://www.screener.in/people/52764/vanguard-emerging-markets-stock-index-fund-a-seri/" xr:uid="{00000000-0004-0000-0200-00001E000000}"/>
    <hyperlink ref="B36" r:id="rId32" display="https://www.screener.in/people/5839/blackrock-global-funds-asian-dragon-fund/" xr:uid="{00000000-0004-0000-0200-00001F000000}"/>
    <hyperlink ref="B37" r:id="rId33" display="https://www.screener.in/people/826/elm-park-fund-limited/" xr:uid="{00000000-0004-0000-0200-000020000000}"/>
    <hyperlink ref="B39" r:id="rId34" display="https://www.screener.in/people/3609/state-bank-of-india/" xr:uid="{00000000-0004-0000-0200-000021000000}"/>
    <hyperlink ref="B40" r:id="rId35" display="https://www.screener.in/people/41235/tor-asia-credit-master-fund-lp/" xr:uid="{00000000-0004-0000-0200-000022000000}"/>
    <hyperlink ref="B41" r:id="rId36" display="https://www.screener.in/people/42039/belgrave-investment-fund/" xr:uid="{00000000-0004-0000-0200-000023000000}"/>
    <hyperlink ref="B42" r:id="rId37" display="https://www.screener.in/people/3213/bank-of-baroda/" xr:uid="{00000000-0004-0000-0200-000024000000}"/>
    <hyperlink ref="B43" r:id="rId38" display="https://www.screener.in/people/123150/life-insurance-corporation-of-india/" xr:uid="{00000000-0004-0000-0200-000025000000}"/>
    <hyperlink ref="B44" r:id="rId39" display="https://www.screener.in/people/2921/idbi-bank-ltd/" xr:uid="{00000000-0004-0000-0200-000026000000}"/>
    <hyperlink ref="B45" r:id="rId40" display="https://www.screener.in/people/52943/reliance-etf-infra-bees-investment-account/" xr:uid="{00000000-0004-0000-0200-000027000000}"/>
    <hyperlink ref="B46" r:id="rId41" display="https://www.screener.in/people/3211/punjab-national-bank/" xr:uid="{00000000-0004-0000-0200-000028000000}"/>
    <hyperlink ref="B47" r:id="rId42" display="https://www.screener.in/people/185512/motilal-oswal-nifty-india-manufacturing-etf/" xr:uid="{00000000-0004-0000-0200-000029000000}"/>
    <hyperlink ref="B48" r:id="rId43" display="https://www.screener.in/people/1634/kotak-equity-arbitrage-fund/" xr:uid="{00000000-0004-0000-0200-00002A000000}"/>
    <hyperlink ref="B49" r:id="rId44" display="https://www.screener.in/people/63153/lici-health-plus-non-unit-fund/" xr:uid="{00000000-0004-0000-0200-00002B000000}"/>
    <hyperlink ref="B51" r:id="rId45" display="https://www.screener.in/people/42039/belgrave-investment-fund/" xr:uid="{00000000-0004-0000-0200-00002C000000}"/>
    <hyperlink ref="B52" r:id="rId46" display="https://www.screener.in/people/71970/cannon-realty-pvt-ltd-jw-sun-fastfin-services-pvt-ltd-in-the-capacity-of-partners-of-ms-gee-six-enterprises/" xr:uid="{00000000-0004-0000-0200-00002D000000}"/>
    <hyperlink ref="B53" r:id="rId47" display="https://www.screener.in/people/71943/tejaskiran-pharmachem-industries-pvt-ltd-jw-virtuous-finance-pvt-ltd-jw-aalok-d-shanghvi-in-the-capacity-of-partners-of-ms-goldenstar-enterprises/" xr:uid="{00000000-0004-0000-0200-00002E000000}"/>
    <hyperlink ref="B54" r:id="rId48" display="https://www.screener.in/people/71944/viditi-investment-pvt-ltd-jw-virtuous-share-investments-pvt-ltd-jw-vibha-shanghvi-in-the-capacity-of-partners-of-ms-pioneer-resources/" xr:uid="{00000000-0004-0000-0200-00002F000000}"/>
    <hyperlink ref="B55" r:id="rId49" display="https://www.screener.in/people/71945/family-investment-pvt-ltd-jw-quality-investment-pvt-ltd-jw-kumud-s-shanghviin-the-capacity-of-partners-of-ms-sunrise-associates/" xr:uid="{00000000-0004-0000-0200-000030000000}"/>
    <hyperlink ref="B56" r:id="rId50" display="https://www.screener.in/people/71971/shanghvi-finance-pvt-ltd-jw-aalok-d-shanghvi-in-the-capacity-of-partners-of-ms-goldenstar-enterprises/" xr:uid="{00000000-0004-0000-0200-000031000000}"/>
    <hyperlink ref="B57" r:id="rId51" display="https://www.screener.in/people/71972/shanghvi-finance-pvt-ltd-jw-vibha-shanghvi-in-the-capacity-of-partners-of-ms-pioneer-resources/" xr:uid="{00000000-0004-0000-0200-000032000000}"/>
    <hyperlink ref="B58" r:id="rId52" display="https://www.screener.in/people/71973/shanghvi-finance-pvt-ltd-jw-kumud-s-shanghvi-in-the-capacity-of-partners-of-ms-sunrise-associates/" xr:uid="{00000000-0004-0000-0200-000033000000}"/>
    <hyperlink ref="B59" r:id="rId53" display="https://www.screener.in/people/71942/suraksha-buildwell-llp/" xr:uid="{00000000-0004-0000-0200-000034000000}"/>
    <hyperlink ref="B60" r:id="rId54" display="https://www.screener.in/people/166296/cannon-realty-pvt-ltd/" xr:uid="{00000000-0004-0000-0200-000035000000}"/>
    <hyperlink ref="B61" r:id="rId55" display="https://www.screener.in/people/71976/shanghvifinancepvtltdjwadityamedisalesltaalokshanghviincapacityofpartnersofmsgoldenstarenterprises/" xr:uid="{00000000-0004-0000-0200-000036000000}"/>
    <hyperlink ref="B62" r:id="rId56" display="https://www.screener.in/people/71977/shanghvifinancepvtltdjwadityamedisalesltdjwvibhashanghviincapacityofpartnersof-mspioneerresources/" xr:uid="{00000000-0004-0000-0200-000037000000}"/>
    <hyperlink ref="B63" r:id="rId57" display="https://www.screener.in/people/71978/shanghvifinancepvtltdjwadityamedisalesltdjwkumudshanghviincapacityofpartnersofmssunriseassociates/" xr:uid="{00000000-0004-0000-0200-000038000000}"/>
    <hyperlink ref="B64" r:id="rId58" display="https://www.screener.in/people/1748/neostar-developers-llp/" xr:uid="{00000000-0004-0000-0200-000039000000}"/>
    <hyperlink ref="B65" r:id="rId59" display="https://www.screener.in/people/71947/real-gold-developers-llp/" xr:uid="{00000000-0004-0000-0200-00003A000000}"/>
    <hyperlink ref="B66" r:id="rId60" display="https://www.screener.in/people/71975/aditya-medisales-ltd-jw-m-j-pharmaceuticals-pvt-ltd-jw-ms-vidhi-shanghvi-in-the-capacity-of-partners-of-ms-expert-vision/" xr:uid="{00000000-0004-0000-0200-00003B000000}"/>
    <hyperlink ref="B67" r:id="rId61" display="https://www.screener.in/people/124303/sun-petrochemicals-private-limited-jw-aditya-medisales-ltd-jw-aalok-d-shanghvi-in-the-capacity-of-partners-of-ms-goldenstar-enterprises/" xr:uid="{00000000-0004-0000-0200-00003C000000}"/>
    <hyperlink ref="B68" r:id="rId62" display="https://www.screener.in/people/124305/aditya-thermal-energy-private-limited-jw-aditya-medisales-ltd-jw-kumud-s-shanghvi-in-the-capacity-of-partners-of-ms-sunrise-associates/" xr:uid="{00000000-0004-0000-0200-00003D000000}"/>
    <hyperlink ref="B69" r:id="rId63" display="https://www.screener.in/people/71950/vibha-dshanghvi/" xr:uid="{00000000-0004-0000-0200-00003E000000}"/>
    <hyperlink ref="B70" r:id="rId64" display="https://www.screener.in/people/71951/aalok-dilip-shanghvi/" xr:uid="{00000000-0004-0000-0200-00003F000000}"/>
    <hyperlink ref="B71" r:id="rId65" display="https://www.screener.in/people/166297/aditya-thermal-energy-private-limited/" xr:uid="{00000000-0004-0000-0200-000040000000}"/>
    <hyperlink ref="B72" r:id="rId66" display="https://www.screener.in/people/71952/vidhi-dshanghvi/" xr:uid="{00000000-0004-0000-0200-000041000000}"/>
    <hyperlink ref="B73" r:id="rId67" display="https://www.screener.in/people/71982/adityamedisalesltdjwmackinonenterprisespvtltdjwvidhishanghviincapacityofpartnersofexpertvision/" xr:uid="{00000000-0004-0000-0200-000042000000}"/>
    <hyperlink ref="B74" r:id="rId68" display="https://www.screener.in/people/124304/sun-petrochemicals-private-limited-jw-aditya-medisales-ltd-jw-vibha-shanghvi-in-the-capacity-of-partners-of-ms-pioneer-resources/" xr:uid="{00000000-0004-0000-0200-000043000000}"/>
    <hyperlink ref="B75" r:id="rId69" display="https://www.screener.in/people/71979/amrik-singh-and-sons-crane-services-private-limited/" xr:uid="{00000000-0004-0000-0200-000044000000}"/>
    <hyperlink ref="B76" r:id="rId70" display="https://www.screener.in/people/38335/power-finance-corporation-ltd/" xr:uid="{00000000-0004-0000-0200-000045000000}"/>
    <hyperlink ref="B77" r:id="rId71" display="https://www.screener.in/people/71955/aditya-medisales-ltd-jw-unimed-investments-ltd-jw-ms-vidhi-shanghvi-in-the-capacity-of-partners-of-ms-expert-vision/" xr:uid="{00000000-0004-0000-0200-000046000000}"/>
    <hyperlink ref="B78" r:id="rId72" display="https://www.screener.in/people/71980/aditya-medisales-ltd-jw-mackinon-enterprises-pvt-ltd-formerly-m-j-pharmaceuticals-pvt-ltd-jw-ms-vidhi-shanghvi-in-the-capacity-of-partners-of-ms-expert-vision/" xr:uid="{00000000-0004-0000-0200-000047000000}"/>
    <hyperlink ref="B79" r:id="rId73" display="https://www.screener.in/people/70962/aalok-dilip-shanghvi/" xr:uid="{00000000-0004-0000-0200-000048000000}"/>
    <hyperlink ref="B80" r:id="rId74" display="https://www.screener.in/people/70953/aditya-medisales-ltd/" xr:uid="{00000000-0004-0000-0200-00004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V61"/>
  <sheetViews>
    <sheetView showGridLines="0" topLeftCell="B1" zoomScale="95" zoomScaleNormal="95" workbookViewId="0">
      <selection activeCell="F18" sqref="F18"/>
    </sheetView>
  </sheetViews>
  <sheetFormatPr defaultRowHeight="14.4"/>
  <cols>
    <col min="2" max="2" width="44.21875" bestFit="1" customWidth="1"/>
    <col min="3" max="5" width="8" bestFit="1" customWidth="1"/>
    <col min="6" max="6" width="7.88671875" bestFit="1" customWidth="1"/>
    <col min="7" max="7" width="8.5546875" bestFit="1" customWidth="1"/>
    <col min="10" max="10" width="33.88671875" bestFit="1" customWidth="1"/>
    <col min="11" max="12" width="9.33203125" bestFit="1" customWidth="1"/>
    <col min="13" max="14" width="8.6640625" bestFit="1" customWidth="1"/>
    <col min="15" max="15" width="9.77734375" bestFit="1" customWidth="1"/>
    <col min="17" max="17" width="49.109375" bestFit="1" customWidth="1"/>
    <col min="18" max="18" width="9.33203125" bestFit="1" customWidth="1"/>
    <col min="19" max="19" width="8.33203125" bestFit="1" customWidth="1"/>
    <col min="20" max="20" width="9.33203125" bestFit="1" customWidth="1"/>
    <col min="21" max="22" width="8.6640625" bestFit="1" customWidth="1"/>
  </cols>
  <sheetData>
    <row r="2" spans="2:22" ht="21" customHeight="1" thickBot="1">
      <c r="B2" s="125" t="s">
        <v>140</v>
      </c>
      <c r="C2" s="125" t="s">
        <v>141</v>
      </c>
      <c r="D2" s="125" t="s">
        <v>142</v>
      </c>
      <c r="E2" s="125" t="s">
        <v>143</v>
      </c>
      <c r="F2" s="125" t="s">
        <v>144</v>
      </c>
      <c r="G2" s="125" t="s">
        <v>145</v>
      </c>
      <c r="J2" s="126" t="s">
        <v>146</v>
      </c>
      <c r="K2" s="127">
        <v>2021</v>
      </c>
      <c r="L2" s="127">
        <v>2022</v>
      </c>
      <c r="M2" s="127">
        <v>2023</v>
      </c>
      <c r="N2" s="127">
        <v>2024</v>
      </c>
      <c r="O2" s="127">
        <v>2025</v>
      </c>
      <c r="Q2" s="126" t="s">
        <v>147</v>
      </c>
      <c r="R2" s="127">
        <v>2021</v>
      </c>
      <c r="S2" s="127">
        <v>2022</v>
      </c>
      <c r="T2" s="127">
        <v>2023</v>
      </c>
      <c r="U2" s="127">
        <v>2024</v>
      </c>
      <c r="V2" s="127">
        <v>2025</v>
      </c>
    </row>
    <row r="3" spans="2:22" ht="15" customHeight="1" thickBot="1">
      <c r="B3" s="128" t="s">
        <v>148</v>
      </c>
      <c r="C3" s="56"/>
      <c r="D3" s="56"/>
      <c r="E3" s="56"/>
      <c r="F3" s="56"/>
      <c r="G3" s="56"/>
      <c r="J3" s="126" t="s">
        <v>149</v>
      </c>
      <c r="Q3" s="126" t="s">
        <v>150</v>
      </c>
    </row>
    <row r="4" spans="2:22" ht="15" customHeight="1" thickBot="1">
      <c r="B4" s="129" t="s">
        <v>151</v>
      </c>
      <c r="C4" s="130">
        <v>3294.65</v>
      </c>
      <c r="D4" s="130">
        <v>6519.95</v>
      </c>
      <c r="E4" s="130">
        <v>5946.84</v>
      </c>
      <c r="F4" s="130">
        <v>6496.84</v>
      </c>
      <c r="G4" s="130">
        <v>10851.32</v>
      </c>
      <c r="J4" s="126" t="s">
        <v>152</v>
      </c>
      <c r="Q4" s="126" t="s">
        <v>153</v>
      </c>
      <c r="R4" s="131">
        <v>1020.15</v>
      </c>
      <c r="S4" s="127">
        <v>-210.45</v>
      </c>
      <c r="T4" s="131">
        <v>2825.4</v>
      </c>
      <c r="U4" s="131">
        <v>1338.1</v>
      </c>
      <c r="V4" s="131">
        <v>2368.4</v>
      </c>
    </row>
    <row r="5" spans="2:22" ht="15" customHeight="1" thickBot="1">
      <c r="B5" s="129" t="s">
        <v>154</v>
      </c>
      <c r="C5" s="132">
        <v>51.07</v>
      </c>
      <c r="D5" s="132">
        <v>61.83</v>
      </c>
      <c r="E5" s="132">
        <v>23.69</v>
      </c>
      <c r="F5" s="132">
        <v>32.25</v>
      </c>
      <c r="G5" s="132">
        <v>38.42</v>
      </c>
      <c r="J5" s="126" t="s">
        <v>155</v>
      </c>
      <c r="K5" s="131">
        <v>1161.76</v>
      </c>
      <c r="L5" s="127">
        <v>984.71</v>
      </c>
      <c r="M5" s="127">
        <v>943.15</v>
      </c>
      <c r="N5" s="131">
        <v>1021.4</v>
      </c>
      <c r="O5" s="131">
        <v>1451.6</v>
      </c>
      <c r="Q5" s="126" t="s">
        <v>156</v>
      </c>
    </row>
    <row r="6" spans="2:22" ht="15" customHeight="1" thickBot="1">
      <c r="B6" s="129" t="s">
        <v>157</v>
      </c>
      <c r="C6" s="132">
        <v>19.87</v>
      </c>
      <c r="D6" s="132">
        <v>22.19</v>
      </c>
      <c r="E6" s="132">
        <v>19.63</v>
      </c>
      <c r="F6" s="132">
        <v>38.42</v>
      </c>
      <c r="G6" s="132">
        <v>103.39</v>
      </c>
      <c r="J6" s="126" t="s">
        <v>158</v>
      </c>
      <c r="K6" s="127">
        <v>114.5</v>
      </c>
      <c r="L6" s="127">
        <v>85.2</v>
      </c>
      <c r="M6" s="127">
        <v>42.1</v>
      </c>
      <c r="N6" s="127">
        <v>96.3</v>
      </c>
      <c r="O6" s="127">
        <v>110.4</v>
      </c>
      <c r="Q6" s="126" t="s">
        <v>159</v>
      </c>
      <c r="R6" s="127">
        <v>256.39999999999998</v>
      </c>
      <c r="S6" s="127">
        <v>242.15</v>
      </c>
      <c r="T6" s="127">
        <v>254.12</v>
      </c>
      <c r="U6" s="127">
        <v>252.4</v>
      </c>
      <c r="V6" s="127">
        <v>268.14999999999998</v>
      </c>
    </row>
    <row r="7" spans="2:22" ht="15" customHeight="1" thickBot="1">
      <c r="B7" s="128" t="s">
        <v>160</v>
      </c>
      <c r="C7" s="133">
        <v>3365.59</v>
      </c>
      <c r="D7" s="133">
        <v>6603.97</v>
      </c>
      <c r="E7" s="133">
        <v>5990.16</v>
      </c>
      <c r="F7" s="133">
        <v>6567.51</v>
      </c>
      <c r="G7" s="133">
        <v>10993.13</v>
      </c>
      <c r="J7" s="126" t="s">
        <v>161</v>
      </c>
      <c r="K7" s="127">
        <v>11.9</v>
      </c>
      <c r="L7" s="127">
        <v>11.8</v>
      </c>
      <c r="M7" s="127">
        <v>11.5</v>
      </c>
      <c r="N7" s="127">
        <v>11.1</v>
      </c>
      <c r="O7" s="127">
        <v>10.8</v>
      </c>
      <c r="Q7" s="126" t="s">
        <v>162</v>
      </c>
      <c r="R7" s="127">
        <v>410.12</v>
      </c>
      <c r="S7" s="127">
        <v>712.4</v>
      </c>
      <c r="T7" s="127">
        <v>415.16</v>
      </c>
      <c r="U7" s="127">
        <v>128.15</v>
      </c>
      <c r="V7" s="127">
        <v>172.4</v>
      </c>
    </row>
    <row r="8" spans="2:22" ht="15" customHeight="1" thickBot="1">
      <c r="B8" s="56"/>
      <c r="C8" s="56"/>
      <c r="D8" s="56"/>
      <c r="E8" s="56"/>
      <c r="F8" s="56"/>
      <c r="G8" s="56"/>
      <c r="J8" s="126" t="s">
        <v>163</v>
      </c>
      <c r="K8" s="127">
        <v>56.12</v>
      </c>
      <c r="L8" s="127">
        <v>38.450000000000003</v>
      </c>
      <c r="M8" s="127">
        <v>38.450000000000003</v>
      </c>
      <c r="N8" s="127">
        <v>38.450000000000003</v>
      </c>
      <c r="O8" s="127">
        <v>115.6</v>
      </c>
      <c r="Q8" s="126" t="s">
        <v>164</v>
      </c>
      <c r="R8" s="127">
        <v>-18.45</v>
      </c>
      <c r="S8" s="127">
        <v>-24.15</v>
      </c>
      <c r="T8" s="127">
        <v>-31.12</v>
      </c>
      <c r="U8" s="127">
        <v>-45.12</v>
      </c>
      <c r="V8" s="127">
        <v>-58.6</v>
      </c>
    </row>
    <row r="9" spans="2:22" ht="15" customHeight="1" thickBot="1">
      <c r="B9" s="128" t="s">
        <v>165</v>
      </c>
      <c r="C9" s="56"/>
      <c r="D9" s="56"/>
      <c r="E9" s="56"/>
      <c r="F9" s="56"/>
      <c r="G9" s="56"/>
      <c r="J9" s="126" t="s">
        <v>166</v>
      </c>
      <c r="K9" s="127">
        <v>85.4</v>
      </c>
      <c r="L9" s="127">
        <v>76.099999999999994</v>
      </c>
      <c r="M9" s="127">
        <v>69.150000000000006</v>
      </c>
      <c r="N9" s="127">
        <v>106.85</v>
      </c>
      <c r="O9" s="127">
        <v>169.2</v>
      </c>
      <c r="Q9" s="126" t="s">
        <v>167</v>
      </c>
      <c r="R9" s="127">
        <v>-4.1500000000000004</v>
      </c>
      <c r="S9" s="127">
        <v>8.4</v>
      </c>
      <c r="T9" s="127">
        <v>-11.45</v>
      </c>
      <c r="U9" s="127">
        <v>-6.15</v>
      </c>
      <c r="V9" s="127">
        <v>-12.4</v>
      </c>
    </row>
    <row r="10" spans="2:22" ht="15" customHeight="1" thickBot="1">
      <c r="B10" s="129" t="s">
        <v>168</v>
      </c>
      <c r="C10" s="130">
        <v>1610.75</v>
      </c>
      <c r="D10" s="130">
        <v>4091.95</v>
      </c>
      <c r="E10" s="130">
        <v>3626.76</v>
      </c>
      <c r="F10" s="130">
        <v>4018.65</v>
      </c>
      <c r="G10" s="130">
        <v>7139.17</v>
      </c>
      <c r="J10" s="126" t="s">
        <v>169</v>
      </c>
      <c r="K10" s="127">
        <v>6.8</v>
      </c>
      <c r="L10" s="127">
        <v>1.1000000000000001</v>
      </c>
      <c r="M10" s="127">
        <v>0</v>
      </c>
      <c r="N10" s="127">
        <v>12.4</v>
      </c>
      <c r="O10" s="127">
        <v>24.5</v>
      </c>
      <c r="Q10" s="126" t="s">
        <v>170</v>
      </c>
      <c r="R10" s="127">
        <v>-12.1</v>
      </c>
      <c r="S10" s="127">
        <v>31.15</v>
      </c>
      <c r="T10" s="127">
        <v>-42.15</v>
      </c>
      <c r="U10" s="127">
        <v>-12.4</v>
      </c>
      <c r="V10" s="127">
        <v>24.5</v>
      </c>
    </row>
    <row r="11" spans="2:22" ht="15" customHeight="1" thickBot="1">
      <c r="B11" s="129" t="s">
        <v>171</v>
      </c>
      <c r="C11" s="132">
        <v>-33.479999999999997</v>
      </c>
      <c r="D11" s="132">
        <v>239.61</v>
      </c>
      <c r="E11" s="132">
        <v>155.9</v>
      </c>
      <c r="F11" s="132">
        <v>-36.520000000000003</v>
      </c>
      <c r="G11" s="132">
        <v>-252.57</v>
      </c>
      <c r="J11" s="126" t="s">
        <v>172</v>
      </c>
      <c r="Q11" s="126" t="s">
        <v>173</v>
      </c>
      <c r="R11" s="127">
        <v>112.1</v>
      </c>
      <c r="S11" s="127">
        <v>125.4</v>
      </c>
      <c r="T11" s="127">
        <v>98.5</v>
      </c>
      <c r="U11" s="127">
        <v>65.12</v>
      </c>
      <c r="V11" s="127">
        <v>84.15</v>
      </c>
    </row>
    <row r="12" spans="2:22" ht="15" customHeight="1" thickBot="1">
      <c r="B12" s="129" t="s">
        <v>174</v>
      </c>
      <c r="C12" s="132">
        <v>553.21</v>
      </c>
      <c r="D12" s="132">
        <v>545.36</v>
      </c>
      <c r="E12" s="132">
        <v>609.22</v>
      </c>
      <c r="F12" s="132">
        <v>702.9</v>
      </c>
      <c r="G12" s="132">
        <v>941.53</v>
      </c>
      <c r="J12" s="126" t="s">
        <v>175</v>
      </c>
      <c r="K12" s="127">
        <v>240.15</v>
      </c>
      <c r="L12" s="127">
        <v>115.2</v>
      </c>
      <c r="M12" s="127">
        <v>112.45</v>
      </c>
      <c r="N12" s="127">
        <v>145.6</v>
      </c>
      <c r="O12" s="127">
        <v>168.9</v>
      </c>
      <c r="Q12" s="126" t="s">
        <v>176</v>
      </c>
      <c r="R12" s="131">
        <v>-1610.4</v>
      </c>
      <c r="S12" s="127">
        <v>-701.12</v>
      </c>
      <c r="T12" s="131">
        <v>-2674.9</v>
      </c>
      <c r="U12" s="127">
        <v>0</v>
      </c>
      <c r="V12" s="127">
        <v>0</v>
      </c>
    </row>
    <row r="13" spans="2:22" ht="15" customHeight="1" thickBot="1">
      <c r="B13" s="129" t="s">
        <v>162</v>
      </c>
      <c r="C13" s="132">
        <v>996.26</v>
      </c>
      <c r="D13" s="132">
        <v>734.52</v>
      </c>
      <c r="E13" s="132">
        <v>420.76</v>
      </c>
      <c r="F13" s="132">
        <v>164.32</v>
      </c>
      <c r="G13" s="132">
        <v>254.8</v>
      </c>
      <c r="J13" s="126" t="s">
        <v>177</v>
      </c>
      <c r="K13" s="127">
        <v>185.6</v>
      </c>
      <c r="L13" s="127">
        <v>142.1</v>
      </c>
      <c r="M13" s="127">
        <v>120.6</v>
      </c>
      <c r="N13" s="127">
        <v>184.2</v>
      </c>
      <c r="O13" s="127">
        <v>210.5</v>
      </c>
      <c r="Q13" s="126" t="s">
        <v>178</v>
      </c>
      <c r="R13" s="127">
        <v>153.66999999999999</v>
      </c>
      <c r="S13" s="127">
        <v>183.88</v>
      </c>
      <c r="T13" s="127">
        <v>833.56</v>
      </c>
      <c r="U13" s="131">
        <v>1590.1</v>
      </c>
      <c r="V13" s="131">
        <v>2636.6</v>
      </c>
    </row>
    <row r="14" spans="2:22" ht="15" customHeight="1" thickBot="1">
      <c r="B14" s="129" t="s">
        <v>179</v>
      </c>
      <c r="C14" s="132">
        <v>258.38</v>
      </c>
      <c r="D14" s="132">
        <v>259.83999999999997</v>
      </c>
      <c r="E14" s="132">
        <v>259.68</v>
      </c>
      <c r="F14" s="132">
        <v>189.6</v>
      </c>
      <c r="G14" s="132">
        <v>259.19</v>
      </c>
      <c r="J14" s="126" t="s">
        <v>180</v>
      </c>
      <c r="K14" s="127">
        <v>38.5</v>
      </c>
      <c r="L14" s="127">
        <v>24.15</v>
      </c>
      <c r="M14" s="127">
        <v>11.2</v>
      </c>
      <c r="N14" s="127">
        <v>15.6</v>
      </c>
      <c r="O14" s="127">
        <v>18.399999999999999</v>
      </c>
      <c r="Q14" s="126" t="s">
        <v>181</v>
      </c>
    </row>
    <row r="15" spans="2:22" ht="15" customHeight="1" thickBot="1">
      <c r="B15" s="129" t="s">
        <v>182</v>
      </c>
      <c r="C15" s="132">
        <v>680.96</v>
      </c>
      <c r="D15" s="132">
        <v>815.41</v>
      </c>
      <c r="E15" s="132">
        <v>746.73</v>
      </c>
      <c r="F15" s="132">
        <v>815.18</v>
      </c>
      <c r="G15" s="130">
        <v>1204.3800000000001</v>
      </c>
      <c r="J15" s="126" t="s">
        <v>183</v>
      </c>
      <c r="K15" s="127">
        <v>260.39999999999998</v>
      </c>
      <c r="L15" s="127">
        <v>281.3</v>
      </c>
      <c r="M15" s="127">
        <v>298.5</v>
      </c>
      <c r="N15" s="127">
        <v>421.4</v>
      </c>
      <c r="O15" s="127">
        <v>435.1</v>
      </c>
      <c r="Q15" s="126" t="s">
        <v>184</v>
      </c>
      <c r="R15" s="127">
        <v>-35.700000000000003</v>
      </c>
      <c r="S15" s="127">
        <v>-229.6</v>
      </c>
      <c r="T15" s="127">
        <v>-329.72</v>
      </c>
      <c r="U15" s="127">
        <v>-430.38</v>
      </c>
      <c r="V15" s="127">
        <v>-739.9</v>
      </c>
    </row>
    <row r="16" spans="2:22" ht="15" customHeight="1" thickBot="1">
      <c r="B16" s="128" t="s">
        <v>185</v>
      </c>
      <c r="C16" s="133">
        <v>4066.08</v>
      </c>
      <c r="D16" s="133">
        <v>6686.69</v>
      </c>
      <c r="E16" s="133">
        <v>5819.05</v>
      </c>
      <c r="F16" s="133">
        <v>5854.13</v>
      </c>
      <c r="G16" s="133">
        <v>9546.5</v>
      </c>
      <c r="J16" s="126" t="s">
        <v>186</v>
      </c>
      <c r="K16" s="127">
        <v>22.1</v>
      </c>
      <c r="L16" s="127">
        <v>24.5</v>
      </c>
      <c r="M16" s="127">
        <v>28.4</v>
      </c>
      <c r="N16" s="127">
        <v>34.15</v>
      </c>
      <c r="O16" s="127">
        <v>38.200000000000003</v>
      </c>
      <c r="Q16" s="126" t="s">
        <v>187</v>
      </c>
      <c r="R16" s="127">
        <v>95.5</v>
      </c>
      <c r="S16" s="127">
        <v>-165.25</v>
      </c>
      <c r="T16" s="127">
        <v>-170.2</v>
      </c>
      <c r="U16" s="127">
        <v>-230.05</v>
      </c>
      <c r="V16" s="127">
        <v>-559.75</v>
      </c>
    </row>
    <row r="17" spans="2:22" ht="15" customHeight="1" thickBot="1">
      <c r="B17" s="56"/>
      <c r="C17" s="56"/>
      <c r="D17" s="56"/>
      <c r="E17" s="56"/>
      <c r="F17" s="56"/>
      <c r="G17" s="56"/>
      <c r="J17" s="126" t="s">
        <v>188</v>
      </c>
      <c r="K17" s="127">
        <v>38.4</v>
      </c>
      <c r="L17" s="127">
        <v>38.200000000000003</v>
      </c>
      <c r="M17" s="127">
        <v>38.299999999999997</v>
      </c>
      <c r="N17" s="127">
        <v>44.15</v>
      </c>
      <c r="O17" s="127">
        <v>57.2</v>
      </c>
      <c r="Q17" s="126" t="s">
        <v>189</v>
      </c>
      <c r="R17" s="127">
        <v>54.12</v>
      </c>
      <c r="S17" s="127">
        <v>-32.15</v>
      </c>
      <c r="T17" s="127">
        <v>-54.15</v>
      </c>
      <c r="U17" s="127">
        <v>-140.25</v>
      </c>
      <c r="V17" s="127">
        <v>-110.15</v>
      </c>
    </row>
    <row r="18" spans="2:22" ht="15" customHeight="1" thickBot="1">
      <c r="B18" s="128" t="s">
        <v>190</v>
      </c>
      <c r="C18" s="134">
        <v>-700.49</v>
      </c>
      <c r="D18" s="134">
        <v>-82.72</v>
      </c>
      <c r="E18" s="134">
        <v>171.11</v>
      </c>
      <c r="F18" s="134">
        <v>713.38</v>
      </c>
      <c r="G18" s="133">
        <v>1446.63</v>
      </c>
      <c r="J18" s="126" t="s">
        <v>191</v>
      </c>
      <c r="K18" s="131">
        <v>2167.5300000000002</v>
      </c>
      <c r="L18" s="131">
        <v>1793.16</v>
      </c>
      <c r="M18" s="131">
        <v>1712.55</v>
      </c>
      <c r="N18" s="131">
        <v>2065.25</v>
      </c>
      <c r="O18" s="131">
        <v>2714.9</v>
      </c>
      <c r="Q18" s="126" t="s">
        <v>192</v>
      </c>
      <c r="R18" s="127">
        <v>-549.41999999999996</v>
      </c>
      <c r="S18" s="127">
        <v>132.27000000000001</v>
      </c>
      <c r="T18" s="127">
        <v>115.16</v>
      </c>
      <c r="U18" s="127">
        <v>-373.15</v>
      </c>
      <c r="V18" s="127">
        <v>384.5</v>
      </c>
    </row>
    <row r="19" spans="2:22" ht="15" customHeight="1" thickBot="1">
      <c r="B19" s="129" t="s">
        <v>193</v>
      </c>
      <c r="C19" s="132">
        <v>-805.46</v>
      </c>
      <c r="D19" s="132">
        <v>-83.12</v>
      </c>
      <c r="E19" s="130">
        <v>-2720.6</v>
      </c>
      <c r="F19" s="132">
        <v>53.89</v>
      </c>
      <c r="G19" s="129" t="s">
        <v>194</v>
      </c>
      <c r="J19" s="126" t="s">
        <v>195</v>
      </c>
      <c r="Q19" s="126" t="s">
        <v>196</v>
      </c>
      <c r="R19" s="127">
        <v>198.4</v>
      </c>
      <c r="S19" s="127">
        <v>185.15</v>
      </c>
      <c r="T19" s="127">
        <v>31.15</v>
      </c>
      <c r="U19" s="127">
        <v>25.4</v>
      </c>
      <c r="V19" s="127">
        <v>110.25</v>
      </c>
    </row>
    <row r="20" spans="2:22" ht="15" customHeight="1" thickBot="1">
      <c r="B20" s="128" t="s">
        <v>153</v>
      </c>
      <c r="C20" s="134">
        <v>104.97</v>
      </c>
      <c r="D20" s="134">
        <v>0.4</v>
      </c>
      <c r="E20" s="133">
        <v>2891.71</v>
      </c>
      <c r="F20" s="134">
        <v>659.49</v>
      </c>
      <c r="G20" s="133">
        <v>1446.63</v>
      </c>
      <c r="J20" s="126" t="s">
        <v>197</v>
      </c>
      <c r="K20" s="131">
        <v>1420.8</v>
      </c>
      <c r="L20" s="131">
        <v>1650.4</v>
      </c>
      <c r="M20" s="131">
        <v>1980.12</v>
      </c>
      <c r="N20" s="131">
        <v>2410.5</v>
      </c>
      <c r="O20" s="131">
        <v>3150.4</v>
      </c>
      <c r="Q20" s="126" t="s">
        <v>198</v>
      </c>
      <c r="R20" s="127">
        <v>27.15</v>
      </c>
      <c r="S20" s="127">
        <v>34.15</v>
      </c>
      <c r="T20" s="127">
        <v>-4.1500000000000004</v>
      </c>
      <c r="U20" s="127">
        <v>-66.25</v>
      </c>
      <c r="V20" s="127">
        <v>25.1</v>
      </c>
    </row>
    <row r="21" spans="2:22" ht="15" customHeight="1" thickBot="1">
      <c r="B21" s="56"/>
      <c r="C21" s="56"/>
      <c r="D21" s="56"/>
      <c r="E21" s="56"/>
      <c r="F21" s="56"/>
      <c r="G21" s="56"/>
      <c r="J21" s="126" t="s">
        <v>172</v>
      </c>
      <c r="Q21" s="126" t="s">
        <v>199</v>
      </c>
      <c r="R21" s="127">
        <v>-56.28</v>
      </c>
      <c r="S21" s="127">
        <v>308.45</v>
      </c>
      <c r="T21" s="127">
        <v>421.65</v>
      </c>
      <c r="U21" s="127">
        <v>975.42</v>
      </c>
      <c r="V21" s="131">
        <v>1746.65</v>
      </c>
    </row>
    <row r="22" spans="2:22" ht="15" customHeight="1" thickBot="1">
      <c r="B22" s="128" t="s">
        <v>200</v>
      </c>
      <c r="C22" s="56"/>
      <c r="D22" s="56"/>
      <c r="E22" s="56"/>
      <c r="F22" s="56"/>
      <c r="G22" s="56"/>
      <c r="J22" s="126" t="s">
        <v>175</v>
      </c>
      <c r="K22" s="127">
        <v>45.1</v>
      </c>
      <c r="L22" s="127">
        <v>82.3</v>
      </c>
      <c r="M22" s="127">
        <v>124.5</v>
      </c>
      <c r="N22" s="127">
        <v>245.6</v>
      </c>
      <c r="O22" s="127">
        <v>310.2</v>
      </c>
      <c r="Q22" s="126" t="s">
        <v>201</v>
      </c>
      <c r="R22" s="127">
        <v>-5.4</v>
      </c>
      <c r="S22" s="127">
        <v>-18.149999999999999</v>
      </c>
      <c r="T22" s="127">
        <v>-24.5</v>
      </c>
      <c r="U22" s="127">
        <v>-312.39999999999998</v>
      </c>
      <c r="V22" s="127">
        <v>-485.4</v>
      </c>
    </row>
    <row r="23" spans="2:22" ht="15" customHeight="1" thickBot="1">
      <c r="B23" s="129" t="s">
        <v>202</v>
      </c>
      <c r="C23" s="132">
        <v>4.63</v>
      </c>
      <c r="D23" s="132">
        <v>184.07</v>
      </c>
      <c r="E23" s="132">
        <v>4.6100000000000003</v>
      </c>
      <c r="F23" s="132">
        <v>2.9</v>
      </c>
      <c r="G23" s="132">
        <v>14.42</v>
      </c>
      <c r="J23" s="126" t="s">
        <v>177</v>
      </c>
      <c r="K23" s="131">
        <v>1114.9000000000001</v>
      </c>
      <c r="L23" s="131">
        <v>1280.1500000000001</v>
      </c>
      <c r="M23" s="131">
        <v>1450.35</v>
      </c>
      <c r="N23" s="131">
        <v>1680.4</v>
      </c>
      <c r="O23" s="131">
        <v>2240.15</v>
      </c>
      <c r="Q23" s="126" t="s">
        <v>203</v>
      </c>
      <c r="R23" s="127">
        <v>-61.68</v>
      </c>
      <c r="S23" s="127">
        <v>290.3</v>
      </c>
      <c r="T23" s="127">
        <v>397.15</v>
      </c>
      <c r="U23" s="127">
        <v>663.02</v>
      </c>
      <c r="V23" s="131">
        <v>1261.25</v>
      </c>
    </row>
    <row r="24" spans="2:22" ht="15" customHeight="1" thickBot="1">
      <c r="B24" s="129" t="s">
        <v>204</v>
      </c>
      <c r="C24" s="129" t="s">
        <v>194</v>
      </c>
      <c r="D24" s="132">
        <v>-17.48</v>
      </c>
      <c r="E24" s="132">
        <v>-0.19</v>
      </c>
      <c r="F24" s="132">
        <v>-3.76</v>
      </c>
      <c r="G24" s="132">
        <v>-639.41999999999996</v>
      </c>
      <c r="J24" s="126" t="s">
        <v>205</v>
      </c>
      <c r="K24" s="127">
        <v>245.2</v>
      </c>
      <c r="L24" s="127">
        <v>310.12</v>
      </c>
      <c r="M24" s="127">
        <v>520.4</v>
      </c>
      <c r="N24" s="131">
        <v>1150.25</v>
      </c>
      <c r="O24" s="131">
        <v>1850.4</v>
      </c>
    </row>
    <row r="25" spans="2:22" ht="15" customHeight="1" thickBot="1">
      <c r="B25" s="128" t="s">
        <v>206</v>
      </c>
      <c r="C25" s="134">
        <v>4.63</v>
      </c>
      <c r="D25" s="134">
        <v>166.59</v>
      </c>
      <c r="E25" s="134">
        <v>4.42</v>
      </c>
      <c r="F25" s="134">
        <v>-0.86</v>
      </c>
      <c r="G25" s="134">
        <v>-625</v>
      </c>
      <c r="J25" s="126" t="s">
        <v>207</v>
      </c>
      <c r="K25" s="127">
        <v>240.15</v>
      </c>
      <c r="L25" s="127">
        <v>225.4</v>
      </c>
      <c r="M25" s="127">
        <v>312.14999999999998</v>
      </c>
      <c r="N25" s="127">
        <v>485.6</v>
      </c>
      <c r="O25" s="127">
        <v>560.15</v>
      </c>
      <c r="Q25" s="126" t="s">
        <v>208</v>
      </c>
    </row>
    <row r="26" spans="2:22" ht="15" customHeight="1" thickBot="1">
      <c r="B26" s="56"/>
      <c r="C26" s="56"/>
      <c r="D26" s="56"/>
      <c r="E26" s="56"/>
      <c r="F26" s="56"/>
      <c r="G26" s="56"/>
      <c r="J26" s="126" t="s">
        <v>209</v>
      </c>
      <c r="K26" s="127">
        <v>10.5</v>
      </c>
      <c r="L26" s="127">
        <v>8.4</v>
      </c>
      <c r="M26" s="127">
        <v>6.2</v>
      </c>
      <c r="N26" s="127">
        <v>11.4</v>
      </c>
      <c r="O26" s="127">
        <v>15.6</v>
      </c>
      <c r="Q26" s="126" t="s">
        <v>210</v>
      </c>
      <c r="R26" s="127">
        <v>-45.15</v>
      </c>
      <c r="S26" s="127">
        <v>-98.5</v>
      </c>
      <c r="T26" s="127">
        <v>-142.15</v>
      </c>
      <c r="U26" s="127">
        <v>-382.4</v>
      </c>
      <c r="V26" s="127">
        <v>-610.15</v>
      </c>
    </row>
    <row r="27" spans="2:22" ht="15" customHeight="1" thickBot="1">
      <c r="B27" s="128" t="s">
        <v>211</v>
      </c>
      <c r="C27" s="134">
        <v>100.34</v>
      </c>
      <c r="D27" s="134">
        <v>-166.19</v>
      </c>
      <c r="E27" s="133">
        <v>2887.29</v>
      </c>
      <c r="F27" s="134">
        <v>660.35</v>
      </c>
      <c r="G27" s="133">
        <v>2071.63</v>
      </c>
      <c r="J27" s="126" t="s">
        <v>212</v>
      </c>
      <c r="K27" s="127">
        <v>410.15</v>
      </c>
      <c r="L27" s="127">
        <v>452.1</v>
      </c>
      <c r="M27" s="127">
        <v>410.12</v>
      </c>
      <c r="N27" s="127">
        <v>512.4</v>
      </c>
      <c r="O27" s="127">
        <v>618.9</v>
      </c>
      <c r="Q27" s="126" t="s">
        <v>213</v>
      </c>
      <c r="R27" s="127">
        <v>21.4</v>
      </c>
      <c r="S27" s="127">
        <v>14.5</v>
      </c>
      <c r="T27" s="127">
        <v>38.4</v>
      </c>
      <c r="U27" s="127">
        <v>24.15</v>
      </c>
      <c r="V27" s="127">
        <v>18.399999999999999</v>
      </c>
    </row>
    <row r="28" spans="2:22" ht="15" customHeight="1" thickBot="1">
      <c r="B28" s="129" t="s">
        <v>214</v>
      </c>
      <c r="C28" s="132">
        <v>3.25</v>
      </c>
      <c r="D28" s="132">
        <v>-10.36</v>
      </c>
      <c r="E28" s="129" t="s">
        <v>194</v>
      </c>
      <c r="F28" s="129" t="s">
        <v>194</v>
      </c>
      <c r="G28" s="129" t="s">
        <v>194</v>
      </c>
      <c r="J28" s="126" t="s">
        <v>215</v>
      </c>
      <c r="K28" s="127">
        <v>314.14999999999998</v>
      </c>
      <c r="L28" s="127">
        <v>276.5</v>
      </c>
      <c r="M28" s="127">
        <v>361.16</v>
      </c>
      <c r="N28" s="127">
        <v>174.25</v>
      </c>
      <c r="O28" s="127">
        <v>184.2</v>
      </c>
      <c r="Q28" s="126" t="s">
        <v>216</v>
      </c>
      <c r="R28" s="127">
        <v>-38.5</v>
      </c>
      <c r="S28" s="127">
        <v>-76.150000000000006</v>
      </c>
      <c r="T28" s="127">
        <v>-110.25</v>
      </c>
      <c r="U28" s="127">
        <v>-185.6</v>
      </c>
      <c r="V28" s="127">
        <v>-245.12</v>
      </c>
    </row>
    <row r="29" spans="2:22" ht="15" customHeight="1" thickBot="1">
      <c r="B29" s="128" t="s">
        <v>217</v>
      </c>
      <c r="C29" s="134">
        <v>103.59</v>
      </c>
      <c r="D29" s="134">
        <v>-176.55</v>
      </c>
      <c r="E29" s="133">
        <v>2887.29</v>
      </c>
      <c r="F29" s="134">
        <v>660.35</v>
      </c>
      <c r="G29" s="133">
        <v>2071.63</v>
      </c>
      <c r="J29" s="126" t="s">
        <v>218</v>
      </c>
      <c r="K29" s="131">
        <v>3761</v>
      </c>
      <c r="L29" s="131">
        <v>4285.42</v>
      </c>
      <c r="M29" s="131">
        <v>5165.0200000000004</v>
      </c>
      <c r="N29" s="131">
        <v>6664.65</v>
      </c>
      <c r="O29" s="131">
        <v>8930.15</v>
      </c>
      <c r="Q29" s="126" t="s">
        <v>219</v>
      </c>
      <c r="R29" s="127">
        <v>24.15</v>
      </c>
      <c r="S29" s="127">
        <v>45.12</v>
      </c>
      <c r="T29" s="127">
        <v>64.5</v>
      </c>
      <c r="U29" s="127">
        <v>112.4</v>
      </c>
      <c r="V29" s="127">
        <v>184.2</v>
      </c>
    </row>
    <row r="30" spans="2:22" ht="15" customHeight="1" thickBot="1">
      <c r="B30" s="56"/>
      <c r="C30" s="56"/>
      <c r="D30" s="56"/>
      <c r="E30" s="56"/>
      <c r="F30" s="56"/>
      <c r="G30" s="56"/>
      <c r="J30" s="126" t="s">
        <v>220</v>
      </c>
      <c r="K30" s="131">
        <v>5928.53</v>
      </c>
      <c r="L30" s="131">
        <v>6078.58</v>
      </c>
      <c r="M30" s="131">
        <v>6877.57</v>
      </c>
      <c r="N30" s="131">
        <v>8729.9</v>
      </c>
      <c r="O30" s="131">
        <v>11645.05</v>
      </c>
      <c r="Q30" s="126" t="s">
        <v>221</v>
      </c>
      <c r="R30" s="127">
        <v>23.12</v>
      </c>
      <c r="S30" s="127">
        <v>39.799999999999997</v>
      </c>
      <c r="T30" s="127">
        <v>39.85</v>
      </c>
      <c r="U30" s="127">
        <v>85.9</v>
      </c>
      <c r="V30" s="127">
        <v>72.400000000000006</v>
      </c>
    </row>
    <row r="31" spans="2:22" ht="15" customHeight="1" thickBot="1">
      <c r="B31" s="128" t="s">
        <v>222</v>
      </c>
      <c r="C31" s="56"/>
      <c r="D31" s="56"/>
      <c r="E31" s="56"/>
      <c r="F31" s="56"/>
      <c r="G31" s="56"/>
      <c r="Q31" s="126" t="s">
        <v>223</v>
      </c>
      <c r="R31" s="127">
        <v>-14.98</v>
      </c>
      <c r="S31" s="127">
        <v>-75.23</v>
      </c>
      <c r="T31" s="127">
        <v>-109.65</v>
      </c>
      <c r="U31" s="127">
        <v>-345.55</v>
      </c>
      <c r="V31" s="127">
        <v>-580.27</v>
      </c>
    </row>
    <row r="32" spans="2:22" ht="15" customHeight="1" thickBot="1">
      <c r="B32" s="129" t="s">
        <v>224</v>
      </c>
      <c r="C32" s="132">
        <v>-0.38</v>
      </c>
      <c r="D32" s="132">
        <v>3.33</v>
      </c>
      <c r="E32" s="132">
        <v>-9.2200000000000006</v>
      </c>
      <c r="F32" s="132">
        <v>3.17</v>
      </c>
      <c r="G32" s="132">
        <v>6.44</v>
      </c>
      <c r="J32" s="126" t="s">
        <v>225</v>
      </c>
    </row>
    <row r="33" spans="2:22" ht="15" customHeight="1" thickBot="1">
      <c r="B33" s="129" t="s">
        <v>226</v>
      </c>
      <c r="C33" s="132">
        <v>31.62</v>
      </c>
      <c r="D33" s="132">
        <v>-85.16</v>
      </c>
      <c r="E33" s="132">
        <v>-25.66</v>
      </c>
      <c r="F33" s="132">
        <v>63.3</v>
      </c>
      <c r="G33" s="132">
        <v>-29.77</v>
      </c>
      <c r="J33" s="126" t="s">
        <v>227</v>
      </c>
      <c r="Q33" s="126" t="s">
        <v>228</v>
      </c>
    </row>
    <row r="34" spans="2:22" ht="15" customHeight="1" thickBot="1">
      <c r="B34" s="128" t="s">
        <v>229</v>
      </c>
      <c r="C34" s="134">
        <v>31.24</v>
      </c>
      <c r="D34" s="134">
        <v>-81.83</v>
      </c>
      <c r="E34" s="134">
        <v>-34.880000000000003</v>
      </c>
      <c r="F34" s="134">
        <v>66.47</v>
      </c>
      <c r="G34" s="134">
        <v>-23.33</v>
      </c>
      <c r="J34" s="126" t="s">
        <v>230</v>
      </c>
      <c r="K34" s="131">
        <v>1695.12</v>
      </c>
      <c r="L34" s="131">
        <v>1842.15</v>
      </c>
      <c r="M34" s="131">
        <v>2456.12</v>
      </c>
      <c r="N34" s="131">
        <v>2715.6</v>
      </c>
      <c r="O34" s="131">
        <v>2715.6</v>
      </c>
      <c r="Q34" s="126" t="s">
        <v>231</v>
      </c>
      <c r="R34" s="127">
        <v>633.91999999999996</v>
      </c>
      <c r="S34" s="127">
        <v>147.03</v>
      </c>
      <c r="T34" s="127">
        <v>613.97</v>
      </c>
      <c r="U34" s="127">
        <v>259.48</v>
      </c>
      <c r="V34" s="127">
        <v>0</v>
      </c>
    </row>
    <row r="35" spans="2:22" ht="15" customHeight="1" thickBot="1">
      <c r="B35" s="56"/>
      <c r="C35" s="56"/>
      <c r="D35" s="56"/>
      <c r="E35" s="56"/>
      <c r="F35" s="56"/>
      <c r="G35" s="56"/>
      <c r="J35" s="126" t="s">
        <v>232</v>
      </c>
      <c r="K35" s="131">
        <v>-4510.3999999999996</v>
      </c>
      <c r="L35" s="131">
        <v>-3425.1</v>
      </c>
      <c r="M35" s="131">
        <v>1120.1500000000001</v>
      </c>
      <c r="N35" s="131">
        <v>3450.4</v>
      </c>
      <c r="O35" s="131">
        <v>5810.2</v>
      </c>
      <c r="Q35" s="126" t="s">
        <v>233</v>
      </c>
      <c r="R35" s="127">
        <v>412.15</v>
      </c>
      <c r="S35" s="127">
        <v>185.4</v>
      </c>
      <c r="T35" s="127">
        <v>0</v>
      </c>
      <c r="U35" s="127">
        <v>0</v>
      </c>
      <c r="V35" s="127">
        <v>84.15</v>
      </c>
    </row>
    <row r="36" spans="2:22" ht="15" customHeight="1" thickBot="1">
      <c r="B36" s="128" t="s">
        <v>234</v>
      </c>
      <c r="C36" s="134">
        <v>134.83000000000001</v>
      </c>
      <c r="D36" s="134">
        <v>-258.38</v>
      </c>
      <c r="E36" s="133">
        <v>2852.41</v>
      </c>
      <c r="F36" s="134">
        <v>726.82</v>
      </c>
      <c r="G36" s="133">
        <v>2048.3000000000002</v>
      </c>
      <c r="J36" s="126" t="s">
        <v>235</v>
      </c>
      <c r="K36" s="131">
        <v>-2815.28</v>
      </c>
      <c r="L36" s="131">
        <v>-1582.95</v>
      </c>
      <c r="M36" s="131">
        <v>3576.27</v>
      </c>
      <c r="N36" s="131">
        <v>6166</v>
      </c>
      <c r="O36" s="131">
        <v>8525.7999999999993</v>
      </c>
      <c r="Q36" s="126" t="s">
        <v>236</v>
      </c>
      <c r="R36" s="127">
        <v>-615.4</v>
      </c>
      <c r="S36" s="127">
        <v>-452.12</v>
      </c>
      <c r="T36" s="127">
        <v>-210.45</v>
      </c>
      <c r="U36" s="127">
        <v>-80</v>
      </c>
      <c r="V36" s="127">
        <v>-19.12</v>
      </c>
    </row>
    <row r="37" spans="2:22" ht="15" customHeight="1" thickBot="1">
      <c r="B37" s="56"/>
      <c r="C37" s="56"/>
      <c r="D37" s="56"/>
      <c r="E37" s="56"/>
      <c r="F37" s="56"/>
      <c r="G37" s="56"/>
      <c r="J37" s="126" t="s">
        <v>237</v>
      </c>
      <c r="K37" s="127">
        <v>-11.4</v>
      </c>
      <c r="L37" s="127">
        <v>-15.6</v>
      </c>
      <c r="M37" s="127">
        <v>1.1000000000000001</v>
      </c>
      <c r="N37" s="127">
        <v>1.4</v>
      </c>
      <c r="O37" s="127">
        <v>2.4</v>
      </c>
      <c r="Q37" s="126" t="s">
        <v>238</v>
      </c>
      <c r="R37" s="127">
        <v>-110.15</v>
      </c>
      <c r="S37" s="127">
        <v>-125.4</v>
      </c>
      <c r="T37" s="127">
        <v>-52.15</v>
      </c>
      <c r="U37" s="127">
        <v>-12.4</v>
      </c>
      <c r="V37" s="127">
        <v>30.25</v>
      </c>
    </row>
    <row r="38" spans="2:22" ht="15" customHeight="1" thickBot="1">
      <c r="B38" s="128" t="s">
        <v>239</v>
      </c>
      <c r="C38" s="56"/>
      <c r="D38" s="56"/>
      <c r="E38" s="56"/>
      <c r="F38" s="56"/>
      <c r="G38" s="56"/>
      <c r="J38" s="126" t="s">
        <v>240</v>
      </c>
      <c r="K38" s="131">
        <v>-2826.68</v>
      </c>
      <c r="L38" s="131">
        <v>-1598.55</v>
      </c>
      <c r="M38" s="131">
        <v>3577.37</v>
      </c>
      <c r="N38" s="131">
        <v>6167.4</v>
      </c>
      <c r="O38" s="131">
        <v>8528.2000000000007</v>
      </c>
      <c r="Q38" s="126" t="s">
        <v>241</v>
      </c>
      <c r="R38" s="127">
        <v>-12.15</v>
      </c>
      <c r="S38" s="127">
        <v>-16.5</v>
      </c>
      <c r="T38" s="127">
        <v>-14.15</v>
      </c>
      <c r="U38" s="127">
        <v>-11.2</v>
      </c>
      <c r="V38" s="127">
        <v>-14.5</v>
      </c>
    </row>
    <row r="39" spans="2:22" ht="15" customHeight="1" thickBot="1">
      <c r="B39" s="129" t="s">
        <v>242</v>
      </c>
      <c r="C39" s="132">
        <v>104.18</v>
      </c>
      <c r="D39" s="132">
        <v>-199.59</v>
      </c>
      <c r="E39" s="130">
        <v>2849.01</v>
      </c>
      <c r="F39" s="132">
        <v>660.35</v>
      </c>
      <c r="G39" s="130">
        <v>2071.63</v>
      </c>
      <c r="J39" s="126" t="s">
        <v>243</v>
      </c>
      <c r="Q39" s="126" t="s">
        <v>244</v>
      </c>
      <c r="R39" s="127">
        <v>-168.4</v>
      </c>
      <c r="S39" s="127">
        <v>-88.4</v>
      </c>
      <c r="T39" s="127">
        <v>-414.2</v>
      </c>
      <c r="U39" s="127">
        <v>-124.15</v>
      </c>
      <c r="V39" s="127">
        <v>-60.4</v>
      </c>
    </row>
    <row r="40" spans="2:22" ht="15" customHeight="1" thickBot="1">
      <c r="B40" s="129" t="s">
        <v>245</v>
      </c>
      <c r="C40" s="132">
        <v>-0.59</v>
      </c>
      <c r="D40" s="132">
        <v>23.04</v>
      </c>
      <c r="E40" s="132">
        <v>38.28</v>
      </c>
      <c r="F40" s="129" t="s">
        <v>194</v>
      </c>
      <c r="G40" s="129" t="s">
        <v>194</v>
      </c>
      <c r="J40" s="126" t="s">
        <v>246</v>
      </c>
      <c r="Q40" s="126" t="s">
        <v>247</v>
      </c>
      <c r="R40" s="127">
        <v>139.97</v>
      </c>
      <c r="S40" s="127">
        <v>-149.99</v>
      </c>
      <c r="T40" s="127">
        <v>-76.98</v>
      </c>
      <c r="U40" s="127">
        <v>31.73</v>
      </c>
      <c r="V40" s="127">
        <v>20.38</v>
      </c>
    </row>
    <row r="41" spans="2:22" ht="15" customHeight="1" thickBot="1">
      <c r="B41" s="56"/>
      <c r="C41" s="56"/>
      <c r="D41" s="56"/>
      <c r="E41" s="56"/>
      <c r="F41" s="56"/>
      <c r="G41" s="56"/>
      <c r="J41" s="126" t="s">
        <v>248</v>
      </c>
    </row>
    <row r="42" spans="2:22" ht="15" customHeight="1" thickBot="1">
      <c r="B42" s="128" t="s">
        <v>249</v>
      </c>
      <c r="C42" s="56"/>
      <c r="D42" s="56"/>
      <c r="E42" s="56"/>
      <c r="F42" s="56"/>
      <c r="G42" s="56"/>
      <c r="J42" s="126" t="s">
        <v>250</v>
      </c>
      <c r="K42" s="131">
        <v>4850.12</v>
      </c>
      <c r="L42" s="131">
        <v>3910.4</v>
      </c>
      <c r="M42" s="127">
        <v>125.15</v>
      </c>
      <c r="N42" s="127">
        <v>45.12</v>
      </c>
      <c r="O42" s="127">
        <v>110.25</v>
      </c>
      <c r="Q42" s="126" t="s">
        <v>251</v>
      </c>
      <c r="R42" s="127">
        <v>63.31</v>
      </c>
      <c r="S42" s="127">
        <v>65.08</v>
      </c>
      <c r="T42" s="127">
        <v>210.52</v>
      </c>
      <c r="U42" s="127">
        <v>349.2</v>
      </c>
      <c r="V42" s="127">
        <v>701.36</v>
      </c>
    </row>
    <row r="43" spans="2:22" ht="15" customHeight="1" thickBot="1">
      <c r="B43" s="129" t="s">
        <v>252</v>
      </c>
      <c r="C43" s="132">
        <v>0.14000000000000001</v>
      </c>
      <c r="D43" s="132">
        <v>-0.22</v>
      </c>
      <c r="E43" s="132">
        <v>2.64</v>
      </c>
      <c r="F43" s="132">
        <v>0.5</v>
      </c>
      <c r="G43" s="132">
        <v>1.52</v>
      </c>
      <c r="J43" s="126" t="s">
        <v>253</v>
      </c>
      <c r="K43" s="127">
        <v>62.1</v>
      </c>
      <c r="L43" s="127">
        <v>51.4</v>
      </c>
      <c r="M43" s="127">
        <v>41.2</v>
      </c>
      <c r="N43" s="127">
        <v>46.5</v>
      </c>
      <c r="O43" s="127">
        <v>54.12</v>
      </c>
      <c r="Q43" s="126" t="s">
        <v>254</v>
      </c>
      <c r="R43" s="127">
        <v>182.15</v>
      </c>
      <c r="S43" s="127">
        <v>245.2</v>
      </c>
      <c r="T43" s="127">
        <v>310.12</v>
      </c>
      <c r="U43" s="127">
        <v>520.4</v>
      </c>
      <c r="V43" s="131">
        <v>1150.25</v>
      </c>
    </row>
    <row r="44" spans="2:22" ht="15" customHeight="1" thickBot="1">
      <c r="B44" s="129" t="s">
        <v>255</v>
      </c>
      <c r="C44" s="132">
        <v>0.12</v>
      </c>
      <c r="D44" s="132">
        <v>-0.22</v>
      </c>
      <c r="E44" s="132">
        <v>2.64</v>
      </c>
      <c r="F44" s="132">
        <v>0.5</v>
      </c>
      <c r="G44" s="132">
        <v>1.51</v>
      </c>
      <c r="J44" s="126" t="s">
        <v>256</v>
      </c>
      <c r="K44" s="127">
        <v>98.15</v>
      </c>
      <c r="L44" s="127">
        <v>84.12</v>
      </c>
      <c r="M44" s="127">
        <v>76.150000000000006</v>
      </c>
      <c r="N44" s="127">
        <v>85.4</v>
      </c>
      <c r="O44" s="127">
        <v>98.6</v>
      </c>
      <c r="Q44" s="126" t="s">
        <v>257</v>
      </c>
      <c r="R44" s="127">
        <v>-0.26</v>
      </c>
      <c r="S44" s="127">
        <v>-0.16</v>
      </c>
      <c r="T44" s="127">
        <v>-0.24</v>
      </c>
      <c r="U44" s="127">
        <v>20.65</v>
      </c>
      <c r="V44" s="127">
        <v>-1.21</v>
      </c>
    </row>
    <row r="45" spans="2:22">
      <c r="J45" s="126" t="s">
        <v>258</v>
      </c>
      <c r="K45" s="127">
        <v>298.12</v>
      </c>
      <c r="L45" s="127">
        <v>234.15</v>
      </c>
      <c r="M45" s="127">
        <v>210.45</v>
      </c>
      <c r="N45" s="127">
        <v>212.4</v>
      </c>
      <c r="O45" s="127">
        <v>245.15</v>
      </c>
      <c r="Q45" s="126" t="s">
        <v>259</v>
      </c>
      <c r="R45" s="127">
        <v>245.2</v>
      </c>
      <c r="S45" s="127">
        <v>310.12</v>
      </c>
      <c r="T45" s="127">
        <v>520.4</v>
      </c>
      <c r="U45" s="131">
        <v>1150.25</v>
      </c>
      <c r="V45" s="131">
        <v>1850.4</v>
      </c>
    </row>
    <row r="46" spans="2:22">
      <c r="J46" s="126" t="s">
        <v>260</v>
      </c>
      <c r="K46" s="127">
        <v>10.4</v>
      </c>
      <c r="L46" s="127">
        <v>9.5</v>
      </c>
      <c r="M46" s="127">
        <v>11.2</v>
      </c>
      <c r="N46" s="127">
        <v>14.5</v>
      </c>
      <c r="O46" s="127">
        <v>18.399999999999999</v>
      </c>
    </row>
    <row r="47" spans="2:22">
      <c r="J47" s="126" t="s">
        <v>261</v>
      </c>
      <c r="K47" s="127">
        <v>41.2</v>
      </c>
      <c r="L47" s="127">
        <v>41.15</v>
      </c>
      <c r="M47" s="127">
        <v>41.12</v>
      </c>
      <c r="N47" s="127">
        <v>51.1</v>
      </c>
      <c r="O47" s="127">
        <v>78.5</v>
      </c>
    </row>
    <row r="48" spans="2:22">
      <c r="J48" s="126" t="s">
        <v>262</v>
      </c>
      <c r="K48" s="131">
        <v>5360.21</v>
      </c>
      <c r="L48" s="131">
        <v>4330.72</v>
      </c>
      <c r="M48" s="127">
        <v>505.27</v>
      </c>
      <c r="N48" s="127">
        <v>455.02</v>
      </c>
      <c r="O48" s="127">
        <v>605.02</v>
      </c>
    </row>
    <row r="49" spans="10:15">
      <c r="J49" s="126" t="s">
        <v>263</v>
      </c>
    </row>
    <row r="50" spans="10:15">
      <c r="J50" s="126" t="s">
        <v>248</v>
      </c>
    </row>
    <row r="51" spans="10:15">
      <c r="J51" s="126" t="s">
        <v>250</v>
      </c>
      <c r="K51" s="131">
        <v>1420.15</v>
      </c>
      <c r="L51" s="131">
        <v>1150.1199999999999</v>
      </c>
      <c r="M51" s="127">
        <v>250.15</v>
      </c>
      <c r="N51" s="127">
        <v>65.150000000000006</v>
      </c>
      <c r="O51" s="127">
        <v>95.4</v>
      </c>
    </row>
    <row r="52" spans="10:15">
      <c r="J52" s="126" t="s">
        <v>253</v>
      </c>
      <c r="K52" s="127">
        <v>24.15</v>
      </c>
      <c r="L52" s="127">
        <v>21.5</v>
      </c>
      <c r="M52" s="127">
        <v>18.45</v>
      </c>
      <c r="N52" s="127">
        <v>12.4</v>
      </c>
      <c r="O52" s="127">
        <v>18.5</v>
      </c>
    </row>
    <row r="53" spans="10:15">
      <c r="J53" s="126" t="s">
        <v>264</v>
      </c>
    </row>
    <row r="54" spans="10:15">
      <c r="J54" s="126" t="e">
        <f t="array" ref="J54">- Total outstanding dues of MSME</f>
        <v>#NAME?</v>
      </c>
      <c r="K54" s="127">
        <v>142.1</v>
      </c>
      <c r="L54" s="127">
        <v>165.4</v>
      </c>
      <c r="M54" s="127">
        <v>184.2</v>
      </c>
      <c r="N54" s="127">
        <v>142.15</v>
      </c>
      <c r="O54" s="127">
        <v>175.4</v>
      </c>
    </row>
    <row r="55" spans="10:15">
      <c r="J55" s="126" t="e">
        <f t="array" ref="J55">- Total outstanding dues of Other than MSME</f>
        <v>#NAME?</v>
      </c>
      <c r="K55" s="131">
        <v>1708.15</v>
      </c>
      <c r="L55" s="131">
        <v>1815.12</v>
      </c>
      <c r="M55" s="131">
        <v>1925.9</v>
      </c>
      <c r="N55" s="131">
        <v>1538.1</v>
      </c>
      <c r="O55" s="131">
        <v>1835.15</v>
      </c>
    </row>
    <row r="56" spans="10:15">
      <c r="J56" s="126" t="s">
        <v>265</v>
      </c>
      <c r="K56" s="127">
        <v>24.15</v>
      </c>
      <c r="L56" s="127">
        <v>41.15</v>
      </c>
      <c r="M56" s="127">
        <v>85.4</v>
      </c>
      <c r="N56" s="127">
        <v>98.6</v>
      </c>
      <c r="O56" s="127">
        <v>112.45</v>
      </c>
    </row>
    <row r="57" spans="10:15">
      <c r="J57" s="126" t="s">
        <v>266</v>
      </c>
      <c r="K57" s="127">
        <v>51.4</v>
      </c>
      <c r="L57" s="127">
        <v>98.5</v>
      </c>
      <c r="M57" s="127">
        <v>274.5</v>
      </c>
      <c r="N57" s="127">
        <v>210.45</v>
      </c>
      <c r="O57" s="127">
        <v>235.4</v>
      </c>
    </row>
    <row r="58" spans="10:15">
      <c r="J58" s="126" t="s">
        <v>258</v>
      </c>
      <c r="K58" s="127">
        <v>38.119999999999997</v>
      </c>
      <c r="L58" s="127">
        <v>61.15</v>
      </c>
      <c r="M58" s="127">
        <v>76.150000000000006</v>
      </c>
      <c r="N58" s="127">
        <v>41.25</v>
      </c>
      <c r="O58" s="127">
        <v>41.25</v>
      </c>
    </row>
    <row r="59" spans="10:15">
      <c r="J59" s="126" t="s">
        <v>267</v>
      </c>
      <c r="K59" s="127">
        <v>0.72</v>
      </c>
      <c r="L59" s="127">
        <v>0.45</v>
      </c>
      <c r="M59" s="127">
        <v>0.4</v>
      </c>
      <c r="N59" s="127">
        <v>0.98</v>
      </c>
      <c r="O59" s="127">
        <v>1.28</v>
      </c>
    </row>
    <row r="60" spans="10:15">
      <c r="J60" s="126" t="s">
        <v>268</v>
      </c>
      <c r="K60" s="131">
        <v>3395</v>
      </c>
      <c r="L60" s="131">
        <v>3346.41</v>
      </c>
      <c r="M60" s="131">
        <v>2794.93</v>
      </c>
      <c r="N60" s="131">
        <v>2109.48</v>
      </c>
      <c r="O60" s="131">
        <v>2514.83</v>
      </c>
    </row>
    <row r="61" spans="10:15">
      <c r="J61" s="126" t="s">
        <v>269</v>
      </c>
      <c r="K61" s="131">
        <v>5928.53</v>
      </c>
      <c r="L61" s="131">
        <v>6078.58</v>
      </c>
      <c r="M61" s="131">
        <v>6877.57</v>
      </c>
      <c r="N61" s="131">
        <v>8729.9</v>
      </c>
      <c r="O61" s="131">
        <v>11645.05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43"/>
  <sheetViews>
    <sheetView showGridLines="0" topLeftCell="A23" workbookViewId="0">
      <selection activeCell="F18" sqref="F18"/>
    </sheetView>
  </sheetViews>
  <sheetFormatPr defaultRowHeight="14.4"/>
  <cols>
    <col min="2" max="2" width="65" customWidth="1"/>
    <col min="3" max="5" width="25" customWidth="1"/>
  </cols>
  <sheetData>
    <row r="1" spans="2:5" ht="24.6" customHeight="1">
      <c r="B1" s="352" t="s">
        <v>270</v>
      </c>
      <c r="C1" s="353"/>
      <c r="D1" s="353"/>
      <c r="E1" s="353"/>
    </row>
    <row r="2" spans="2:5" ht="16.8" customHeight="1">
      <c r="B2" s="355" t="s">
        <v>271</v>
      </c>
      <c r="C2" s="353"/>
      <c r="D2" s="353"/>
      <c r="E2" s="353"/>
    </row>
    <row r="3" spans="2:5" ht="15" customHeight="1">
      <c r="B3" s="354" t="s">
        <v>272</v>
      </c>
      <c r="C3" s="353"/>
      <c r="D3" s="353"/>
      <c r="E3" s="353"/>
    </row>
    <row r="5" spans="2:5" ht="50.4" customHeight="1">
      <c r="B5" s="135" t="s">
        <v>273</v>
      </c>
      <c r="C5" s="136" t="s">
        <v>274</v>
      </c>
      <c r="D5" s="136" t="s">
        <v>275</v>
      </c>
      <c r="E5" s="136" t="s">
        <v>276</v>
      </c>
    </row>
    <row r="6" spans="2:5" ht="15" customHeight="1">
      <c r="B6" s="137" t="s">
        <v>277</v>
      </c>
      <c r="C6" s="110"/>
      <c r="D6" s="110"/>
      <c r="E6" s="110"/>
    </row>
    <row r="7" spans="2:5" ht="15" customHeight="1">
      <c r="B7" s="138" t="s">
        <v>278</v>
      </c>
      <c r="C7" s="139">
        <v>4228.18</v>
      </c>
      <c r="D7" s="139">
        <v>3865.54</v>
      </c>
      <c r="E7" s="139">
        <v>3117.33</v>
      </c>
    </row>
    <row r="8" spans="2:5" ht="15" customHeight="1">
      <c r="B8" s="140" t="s">
        <v>279</v>
      </c>
      <c r="C8" s="141">
        <v>7.91</v>
      </c>
      <c r="D8" s="141">
        <v>5.24</v>
      </c>
      <c r="E8" s="141">
        <v>14.39</v>
      </c>
    </row>
    <row r="9" spans="2:5" ht="15" customHeight="1">
      <c r="B9" s="138" t="s">
        <v>280</v>
      </c>
      <c r="C9" s="139">
        <v>22.52</v>
      </c>
      <c r="D9" s="139">
        <v>26.55</v>
      </c>
      <c r="E9" s="139">
        <v>33.47</v>
      </c>
    </row>
    <row r="10" spans="2:5" ht="15" customHeight="1">
      <c r="B10" s="142" t="s">
        <v>281</v>
      </c>
      <c r="C10" s="143">
        <v>4258.6099999999997</v>
      </c>
      <c r="D10" s="143">
        <v>3897.33</v>
      </c>
      <c r="E10" s="143">
        <v>3165.19</v>
      </c>
    </row>
    <row r="11" spans="2:5" ht="15" customHeight="1">
      <c r="B11" s="137" t="s">
        <v>282</v>
      </c>
      <c r="C11" s="110"/>
      <c r="D11" s="110"/>
      <c r="E11" s="110"/>
    </row>
    <row r="12" spans="2:5" ht="15" customHeight="1">
      <c r="B12" s="140" t="s">
        <v>283</v>
      </c>
      <c r="C12" s="141">
        <v>3015.66</v>
      </c>
      <c r="D12" s="141">
        <v>2428.27</v>
      </c>
      <c r="E12" s="141">
        <v>2463.6799999999998</v>
      </c>
    </row>
    <row r="13" spans="2:5" ht="15" customHeight="1">
      <c r="B13" s="138" t="s">
        <v>284</v>
      </c>
      <c r="C13" s="139">
        <v>0</v>
      </c>
      <c r="D13" s="139">
        <v>0</v>
      </c>
      <c r="E13" s="139">
        <v>0</v>
      </c>
    </row>
    <row r="14" spans="2:5" ht="15" customHeight="1">
      <c r="B14" s="140" t="s">
        <v>285</v>
      </c>
      <c r="C14" s="141">
        <v>-258.49</v>
      </c>
      <c r="D14" s="141">
        <v>-1.59</v>
      </c>
      <c r="E14" s="141">
        <v>-550</v>
      </c>
    </row>
    <row r="15" spans="2:5" ht="15" customHeight="1">
      <c r="B15" s="138" t="s">
        <v>286</v>
      </c>
      <c r="C15" s="139">
        <v>292.13</v>
      </c>
      <c r="D15" s="139">
        <v>291.33</v>
      </c>
      <c r="E15" s="139">
        <v>254.02</v>
      </c>
    </row>
    <row r="16" spans="2:5" ht="15" customHeight="1">
      <c r="B16" s="140" t="s">
        <v>287</v>
      </c>
      <c r="C16" s="141">
        <v>114.26</v>
      </c>
      <c r="D16" s="141">
        <v>109.66</v>
      </c>
      <c r="E16" s="141">
        <v>103.07</v>
      </c>
    </row>
    <row r="17" spans="2:5" ht="15" customHeight="1">
      <c r="B17" s="138" t="s">
        <v>288</v>
      </c>
      <c r="C17" s="139">
        <v>80</v>
      </c>
      <c r="D17" s="139">
        <v>75.23</v>
      </c>
      <c r="E17" s="139">
        <v>70.239999999999995</v>
      </c>
    </row>
    <row r="18" spans="2:5" ht="15" customHeight="1">
      <c r="B18" s="140" t="s">
        <v>289</v>
      </c>
      <c r="C18" s="141">
        <v>2.65</v>
      </c>
      <c r="D18" s="141">
        <v>6.47</v>
      </c>
      <c r="E18" s="141">
        <v>3.8</v>
      </c>
    </row>
    <row r="19" spans="2:5" ht="15" customHeight="1">
      <c r="B19" s="138" t="s">
        <v>290</v>
      </c>
      <c r="C19" s="139">
        <v>445.65</v>
      </c>
      <c r="D19" s="139">
        <v>425.46</v>
      </c>
      <c r="E19" s="139">
        <v>361.15</v>
      </c>
    </row>
    <row r="20" spans="2:5" ht="15" customHeight="1">
      <c r="B20" s="142" t="s">
        <v>291</v>
      </c>
      <c r="C20" s="143">
        <v>3691.86</v>
      </c>
      <c r="D20" s="143">
        <v>3334.83</v>
      </c>
      <c r="E20" s="143">
        <v>2705.96</v>
      </c>
    </row>
    <row r="21" spans="2:5" ht="15.6" customHeight="1" thickBot="1">
      <c r="B21" s="144" t="s">
        <v>292</v>
      </c>
      <c r="C21" s="145">
        <v>566.75</v>
      </c>
      <c r="D21" s="145">
        <v>562.5</v>
      </c>
      <c r="E21" s="145">
        <v>459.23</v>
      </c>
    </row>
    <row r="22" spans="2:5" ht="15.6" customHeight="1" thickTop="1">
      <c r="B22" s="140" t="s">
        <v>293</v>
      </c>
      <c r="C22" s="141">
        <v>0</v>
      </c>
      <c r="D22" s="141">
        <v>0</v>
      </c>
      <c r="E22" s="141">
        <v>0</v>
      </c>
    </row>
    <row r="23" spans="2:5" ht="15.6" customHeight="1" thickBot="1">
      <c r="B23" s="144" t="s">
        <v>294</v>
      </c>
      <c r="C23" s="145">
        <v>566.75</v>
      </c>
      <c r="D23" s="145">
        <v>562.5</v>
      </c>
      <c r="E23" s="145">
        <v>459.23</v>
      </c>
    </row>
    <row r="24" spans="2:5" ht="15.6" customHeight="1" thickTop="1">
      <c r="B24" s="137" t="s">
        <v>295</v>
      </c>
      <c r="C24" s="110"/>
      <c r="D24" s="110"/>
      <c r="E24" s="110"/>
    </row>
    <row r="25" spans="2:5" ht="15" customHeight="1">
      <c r="B25" s="138" t="s">
        <v>296</v>
      </c>
      <c r="C25" s="139">
        <v>2.2999999999999998</v>
      </c>
      <c r="D25" s="139">
        <v>1.24</v>
      </c>
      <c r="E25" s="139">
        <v>0.81</v>
      </c>
    </row>
    <row r="26" spans="2:5" ht="15" customHeight="1">
      <c r="B26" s="140" t="s">
        <v>297</v>
      </c>
      <c r="C26" s="141">
        <v>119.17</v>
      </c>
      <c r="D26" s="141">
        <v>-718.18</v>
      </c>
      <c r="E26" s="141">
        <v>134.1</v>
      </c>
    </row>
    <row r="27" spans="2:5" ht="15.6" customHeight="1" thickBot="1">
      <c r="B27" s="144" t="s">
        <v>298</v>
      </c>
      <c r="C27" s="145">
        <v>445.28</v>
      </c>
      <c r="D27" s="145">
        <v>1279.44</v>
      </c>
      <c r="E27" s="145">
        <v>324.32</v>
      </c>
    </row>
    <row r="28" spans="2:5" ht="15.6" customHeight="1" thickTop="1">
      <c r="B28" s="140" t="s">
        <v>299</v>
      </c>
      <c r="C28" s="141">
        <v>0</v>
      </c>
      <c r="D28" s="141">
        <v>0</v>
      </c>
      <c r="E28" s="141">
        <v>0</v>
      </c>
    </row>
    <row r="29" spans="2:5" ht="15.6" customHeight="1" thickBot="1">
      <c r="B29" s="144" t="s">
        <v>300</v>
      </c>
      <c r="C29" s="145">
        <v>445.28</v>
      </c>
      <c r="D29" s="145">
        <v>1279.44</v>
      </c>
      <c r="E29" s="145">
        <v>324.32</v>
      </c>
    </row>
    <row r="30" spans="2:5" ht="15.6" customHeight="1" thickTop="1">
      <c r="B30" s="137" t="s">
        <v>301</v>
      </c>
      <c r="C30" s="110"/>
      <c r="D30" s="110"/>
      <c r="E30" s="110"/>
    </row>
    <row r="31" spans="2:5" ht="15" customHeight="1">
      <c r="B31" s="138" t="s">
        <v>302</v>
      </c>
      <c r="C31" s="139">
        <v>-0.49</v>
      </c>
      <c r="D31" s="139">
        <v>-2.16</v>
      </c>
      <c r="E31" s="139">
        <v>-1.1499999999999999</v>
      </c>
    </row>
    <row r="32" spans="2:5" ht="15" customHeight="1">
      <c r="B32" s="140" t="s">
        <v>303</v>
      </c>
      <c r="C32" s="141">
        <v>0.47</v>
      </c>
      <c r="D32" s="141">
        <v>0.38</v>
      </c>
      <c r="E32" s="141">
        <v>6.19</v>
      </c>
    </row>
    <row r="33" spans="2:5" ht="15.6" customHeight="1" thickBot="1">
      <c r="B33" s="144" t="s">
        <v>304</v>
      </c>
      <c r="C33" s="145">
        <v>445.26</v>
      </c>
      <c r="D33" s="145">
        <v>1277.6600000000001</v>
      </c>
      <c r="E33" s="145">
        <v>329.36</v>
      </c>
    </row>
    <row r="34" spans="2:5" ht="15.6" customHeight="1" thickTop="1">
      <c r="B34" s="137" t="s">
        <v>305</v>
      </c>
      <c r="C34" s="110"/>
      <c r="D34" s="110"/>
      <c r="E34" s="110"/>
    </row>
    <row r="35" spans="2:5" ht="15" customHeight="1">
      <c r="B35" s="138" t="s">
        <v>306</v>
      </c>
      <c r="C35" s="139">
        <v>445.28</v>
      </c>
      <c r="D35" s="139">
        <v>1279.44</v>
      </c>
      <c r="E35" s="139">
        <v>324.32</v>
      </c>
    </row>
    <row r="36" spans="2:5" ht="15" customHeight="1">
      <c r="B36" s="140" t="s">
        <v>307</v>
      </c>
      <c r="C36" s="141">
        <v>0</v>
      </c>
      <c r="D36" s="141">
        <v>0</v>
      </c>
      <c r="E36" s="141">
        <v>0</v>
      </c>
    </row>
    <row r="37" spans="2:5" ht="15" customHeight="1">
      <c r="B37" s="137" t="s">
        <v>308</v>
      </c>
      <c r="C37" s="110"/>
      <c r="D37" s="110"/>
      <c r="E37" s="110"/>
    </row>
    <row r="38" spans="2:5" ht="15" customHeight="1">
      <c r="B38" s="140" t="s">
        <v>306</v>
      </c>
      <c r="C38" s="141">
        <v>445.26</v>
      </c>
      <c r="D38" s="141">
        <v>1277.6600000000001</v>
      </c>
      <c r="E38" s="141">
        <v>329.36</v>
      </c>
    </row>
    <row r="39" spans="2:5" ht="15" customHeight="1">
      <c r="B39" s="138" t="s">
        <v>307</v>
      </c>
      <c r="C39" s="139">
        <v>0</v>
      </c>
      <c r="D39" s="139">
        <v>0</v>
      </c>
      <c r="E39" s="139">
        <v>0</v>
      </c>
    </row>
    <row r="40" spans="2:5" ht="15" customHeight="1">
      <c r="B40" s="140" t="s">
        <v>309</v>
      </c>
      <c r="C40" s="141">
        <v>2744.51</v>
      </c>
      <c r="D40" s="141">
        <v>2743.76</v>
      </c>
      <c r="E40" s="141">
        <v>2741.83</v>
      </c>
    </row>
    <row r="41" spans="2:5" ht="15" customHeight="1">
      <c r="B41" s="137" t="s">
        <v>310</v>
      </c>
      <c r="C41" s="110"/>
      <c r="D41" s="110"/>
      <c r="E41" s="110"/>
    </row>
    <row r="42" spans="2:5" ht="15" customHeight="1">
      <c r="B42" s="140" t="s">
        <v>311</v>
      </c>
      <c r="C42" s="141">
        <v>0.32</v>
      </c>
      <c r="D42" s="141">
        <v>0.93</v>
      </c>
      <c r="E42" s="141">
        <v>0.24</v>
      </c>
    </row>
    <row r="43" spans="2:5" ht="15" customHeight="1">
      <c r="B43" s="138" t="s">
        <v>312</v>
      </c>
      <c r="C43" s="139">
        <v>0.32</v>
      </c>
      <c r="D43" s="139">
        <v>0.93</v>
      </c>
      <c r="E43" s="139">
        <v>0.24</v>
      </c>
    </row>
  </sheetData>
  <mergeCells count="3">
    <mergeCell ref="B1:E1"/>
    <mergeCell ref="B3:E3"/>
    <mergeCell ref="B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25"/>
  <sheetViews>
    <sheetView showGridLines="0" workbookViewId="0">
      <selection activeCell="C5" sqref="C5"/>
    </sheetView>
  </sheetViews>
  <sheetFormatPr defaultColWidth="8.6640625" defaultRowHeight="14.4"/>
  <cols>
    <col min="1" max="1" width="1.88671875" customWidth="1"/>
    <col min="2" max="2" width="32" customWidth="1"/>
    <col min="3" max="3" width="16" customWidth="1"/>
    <col min="4" max="4" width="14" customWidth="1"/>
    <col min="5" max="5" width="28" customWidth="1"/>
    <col min="6" max="6" width="14" customWidth="1"/>
  </cols>
  <sheetData>
    <row r="1" spans="2:13" ht="17.399999999999999" customHeight="1">
      <c r="B1" s="146" t="s">
        <v>313</v>
      </c>
      <c r="C1" s="57"/>
      <c r="D1" s="57"/>
      <c r="E1" s="57"/>
      <c r="F1" s="57"/>
      <c r="G1" s="57"/>
      <c r="H1" s="57"/>
      <c r="I1" s="57"/>
      <c r="J1" s="57"/>
      <c r="K1" s="57"/>
      <c r="L1" s="57"/>
      <c r="M1" s="57"/>
    </row>
    <row r="4" spans="2:13" ht="19.5" customHeight="1">
      <c r="B4" s="356" t="s">
        <v>314</v>
      </c>
      <c r="C4" s="357"/>
      <c r="D4" s="58"/>
      <c r="E4" s="58"/>
      <c r="F4" s="58"/>
    </row>
    <row r="5" spans="2:13" ht="15.75" customHeight="1">
      <c r="B5" s="147" t="s">
        <v>315</v>
      </c>
      <c r="C5" s="148">
        <f>'Consolidated FS'!O42</f>
        <v>110.25</v>
      </c>
    </row>
    <row r="6" spans="2:13" ht="15.75" customHeight="1">
      <c r="B6" s="147" t="s">
        <v>316</v>
      </c>
      <c r="C6" s="148">
        <f>'Consolidated FS'!O38</f>
        <v>8528.2000000000007</v>
      </c>
    </row>
    <row r="7" spans="2:13" ht="15.75" customHeight="1">
      <c r="B7" s="149" t="s">
        <v>317</v>
      </c>
      <c r="C7" s="150">
        <f>SUM(C5:C6)</f>
        <v>8638.4500000000007</v>
      </c>
    </row>
    <row r="8" spans="2:13" ht="15.75" customHeight="1">
      <c r="B8" s="151" t="s">
        <v>318</v>
      </c>
      <c r="C8" s="152">
        <f>C5/C7</f>
        <v>1.2762706272537318E-2</v>
      </c>
    </row>
    <row r="9" spans="2:13" ht="15.75" customHeight="1">
      <c r="B9" s="151" t="s">
        <v>319</v>
      </c>
      <c r="C9" s="152">
        <f>C6/C7</f>
        <v>0.98723729372746272</v>
      </c>
      <c r="I9" s="126" t="s">
        <v>320</v>
      </c>
    </row>
    <row r="10" spans="2:13" ht="15.75" customHeight="1">
      <c r="B10" s="153" t="s">
        <v>321</v>
      </c>
      <c r="C10" s="154">
        <f>C5/C6</f>
        <v>1.2927698693745455E-2</v>
      </c>
    </row>
    <row r="11" spans="2:13" ht="15.75" customHeight="1">
      <c r="B11" s="59"/>
      <c r="C11" s="60"/>
    </row>
    <row r="12" spans="2:13" ht="15.75" customHeight="1">
      <c r="B12" s="59"/>
      <c r="C12" s="60"/>
    </row>
    <row r="14" spans="2:13" ht="19.5" customHeight="1">
      <c r="B14" s="356" t="s">
        <v>322</v>
      </c>
      <c r="C14" s="357"/>
      <c r="E14" s="358" t="s">
        <v>323</v>
      </c>
      <c r="F14" s="359"/>
    </row>
    <row r="15" spans="2:13" ht="15.75" customHeight="1">
      <c r="B15" s="151" t="s">
        <v>324</v>
      </c>
      <c r="C15" s="155">
        <v>6.6000000000000003E-2</v>
      </c>
      <c r="E15" s="156" t="s">
        <v>325</v>
      </c>
      <c r="F15" s="157" t="s">
        <v>326</v>
      </c>
    </row>
    <row r="16" spans="2:13" ht="15.75" customHeight="1">
      <c r="B16" s="151" t="s">
        <v>327</v>
      </c>
      <c r="C16" s="158">
        <f>BETA!K4</f>
        <v>0.93650857180990299</v>
      </c>
      <c r="E16" s="151" t="s">
        <v>328</v>
      </c>
      <c r="F16" s="159">
        <f>'Consolidated FS'!G13/('Consolidated FS'!O42+'Consolidated FS'!O43+'Consolidated FS'!O44+'Consolidated FS'!O51+'Consolidated FS'!O56)</f>
        <v>0.54118346714243237</v>
      </c>
    </row>
    <row r="17" spans="2:6" ht="15.75" customHeight="1">
      <c r="B17" s="160" t="s">
        <v>329</v>
      </c>
      <c r="C17" s="155">
        <v>7.0000000000000007E-2</v>
      </c>
      <c r="E17" s="160" t="s">
        <v>330</v>
      </c>
      <c r="F17" s="155">
        <v>0.25</v>
      </c>
    </row>
    <row r="18" spans="2:6" ht="15.75" customHeight="1">
      <c r="B18" s="161" t="s">
        <v>331</v>
      </c>
      <c r="C18" s="162">
        <f>C15+C16*C17</f>
        <v>0.1315556000266932</v>
      </c>
      <c r="E18" s="163" t="s">
        <v>332</v>
      </c>
      <c r="F18" s="164">
        <f>F16*(1+F17)</f>
        <v>0.67647933392804049</v>
      </c>
    </row>
    <row r="19" spans="2:6" ht="15.75" customHeight="1">
      <c r="B19" s="59"/>
      <c r="C19" s="60"/>
      <c r="E19" s="59"/>
      <c r="F19" s="60"/>
    </row>
    <row r="20" spans="2:6" ht="15.75" customHeight="1">
      <c r="B20" s="59"/>
      <c r="C20" s="60"/>
      <c r="E20" s="59"/>
      <c r="F20" s="60"/>
    </row>
    <row r="21" spans="2:6" ht="19.5" customHeight="1">
      <c r="B21" s="360" t="s">
        <v>333</v>
      </c>
      <c r="C21" s="361"/>
      <c r="D21" s="361"/>
      <c r="E21" s="359"/>
      <c r="F21" s="61"/>
    </row>
    <row r="22" spans="2:6">
      <c r="B22" s="165" t="s">
        <v>325</v>
      </c>
      <c r="C22" s="166" t="s">
        <v>334</v>
      </c>
      <c r="D22" s="166" t="s">
        <v>326</v>
      </c>
      <c r="E22" s="167" t="s">
        <v>335</v>
      </c>
      <c r="F22" s="62"/>
    </row>
    <row r="23" spans="2:6" ht="15.75" customHeight="1">
      <c r="B23" s="156" t="s">
        <v>336</v>
      </c>
      <c r="C23" s="152">
        <f>C8</f>
        <v>1.2762706272537318E-2</v>
      </c>
      <c r="D23" s="152">
        <f>F18</f>
        <v>0.67647933392804049</v>
      </c>
      <c r="E23" s="152">
        <f>C23*D23</f>
        <v>8.6337070383652684E-3</v>
      </c>
      <c r="F23" s="60"/>
    </row>
    <row r="24" spans="2:6" ht="15" customHeight="1" thickBot="1">
      <c r="B24" s="156" t="s">
        <v>227</v>
      </c>
      <c r="C24" s="152">
        <f>C9</f>
        <v>0.98723729372746272</v>
      </c>
      <c r="D24" s="152">
        <f>C18</f>
        <v>0.1315556000266932</v>
      </c>
      <c r="E24" s="152">
        <f>C24*D24</f>
        <v>0.1298765945450451</v>
      </c>
      <c r="F24" s="60"/>
    </row>
    <row r="25" spans="2:6" ht="15" customHeight="1" thickBot="1">
      <c r="B25" s="168" t="s">
        <v>333</v>
      </c>
      <c r="C25" s="63"/>
      <c r="D25" s="64"/>
      <c r="E25" s="169">
        <f>SUM(E23:E24)</f>
        <v>0.13851030158341038</v>
      </c>
      <c r="F25" s="65"/>
    </row>
  </sheetData>
  <mergeCells count="4">
    <mergeCell ref="B14:C14"/>
    <mergeCell ref="B4:C4"/>
    <mergeCell ref="E14:F14"/>
    <mergeCell ref="B21:E2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S1485"/>
  <sheetViews>
    <sheetView showGridLines="0" workbookViewId="0">
      <selection activeCell="J6" sqref="J6"/>
    </sheetView>
  </sheetViews>
  <sheetFormatPr defaultRowHeight="14.4"/>
  <cols>
    <col min="2" max="2" width="10.5546875" bestFit="1" customWidth="1"/>
    <col min="3" max="3" width="11.5546875" bestFit="1" customWidth="1"/>
    <col min="4" max="4" width="11.5546875" customWidth="1"/>
    <col min="6" max="6" width="7.77734375" bestFit="1" customWidth="1"/>
    <col min="7" max="7" width="7.109375" bestFit="1" customWidth="1"/>
    <col min="8" max="8" width="5.33203125" bestFit="1" customWidth="1"/>
    <col min="11" max="11" width="20.21875" bestFit="1" customWidth="1"/>
  </cols>
  <sheetData>
    <row r="2" spans="2:12">
      <c r="F2" s="170" t="s">
        <v>337</v>
      </c>
      <c r="G2" s="8"/>
      <c r="H2" s="4"/>
      <c r="K2" s="126" t="s">
        <v>338</v>
      </c>
    </row>
    <row r="3" spans="2:12">
      <c r="B3" s="171" t="s">
        <v>339</v>
      </c>
      <c r="C3" s="172" t="s">
        <v>340</v>
      </c>
      <c r="D3" s="9"/>
      <c r="E3" s="126" t="s">
        <v>320</v>
      </c>
      <c r="F3" s="173" t="s">
        <v>339</v>
      </c>
      <c r="G3" s="174" t="s">
        <v>341</v>
      </c>
      <c r="H3" s="5"/>
    </row>
    <row r="4" spans="2:12">
      <c r="B4" s="175">
        <v>43922</v>
      </c>
      <c r="C4" s="176">
        <v>1.836426973342896</v>
      </c>
      <c r="D4" s="7"/>
      <c r="F4" s="177">
        <v>43922</v>
      </c>
      <c r="G4" s="178">
        <v>8253.7998046875</v>
      </c>
      <c r="H4" s="6"/>
      <c r="K4" s="179">
        <f>SLOPE(D5:D1485,H5:H1485)</f>
        <v>0.93650857180990299</v>
      </c>
    </row>
    <row r="5" spans="2:12">
      <c r="B5" s="175">
        <v>43924</v>
      </c>
      <c r="C5" s="176">
        <v>1.9282490015029909</v>
      </c>
      <c r="D5" s="180">
        <f t="shared" ref="D5:D68" si="0">(C5-C4)/C4</f>
        <v>5.0000370008151732E-2</v>
      </c>
      <c r="F5" s="181">
        <v>43924</v>
      </c>
      <c r="G5" s="182">
        <v>8083.7998046875</v>
      </c>
      <c r="H5" s="183">
        <f t="shared" ref="H5:H68" si="1">(G5-G4)/G4</f>
        <v>-2.0596574186770748E-2</v>
      </c>
    </row>
    <row r="6" spans="2:12">
      <c r="B6" s="175">
        <v>43928</v>
      </c>
      <c r="C6" s="176">
        <v>2.02007007598877</v>
      </c>
      <c r="D6" s="180">
        <f t="shared" si="0"/>
        <v>4.7618888646750637E-2</v>
      </c>
      <c r="F6" s="184">
        <v>43928</v>
      </c>
      <c r="G6" s="185">
        <v>8792.2001953125</v>
      </c>
      <c r="H6" s="186">
        <f t="shared" si="1"/>
        <v>8.7632104671150374E-2</v>
      </c>
      <c r="K6" s="179">
        <f>(_xlfn.COVARIANCE.S(D5:D1485,H5:H1485)/_xlfn.VAR.S(H5:H1485))</f>
        <v>0.93650857180990155</v>
      </c>
    </row>
    <row r="7" spans="2:12">
      <c r="B7" s="175">
        <v>43929</v>
      </c>
      <c r="C7" s="176">
        <v>2.1118919849395752</v>
      </c>
      <c r="D7" s="180">
        <f t="shared" si="0"/>
        <v>4.5454813692966008E-2</v>
      </c>
      <c r="F7" s="181">
        <v>43929</v>
      </c>
      <c r="G7" s="182">
        <v>8748.75</v>
      </c>
      <c r="H7" s="183">
        <f t="shared" si="1"/>
        <v>-4.9419024075071866E-3</v>
      </c>
    </row>
    <row r="8" spans="2:12">
      <c r="B8" s="175">
        <v>43930</v>
      </c>
      <c r="C8" s="176">
        <v>2.203712940216064</v>
      </c>
      <c r="D8" s="180">
        <f t="shared" si="0"/>
        <v>4.3478054716475457E-2</v>
      </c>
      <c r="F8" s="184">
        <v>43930</v>
      </c>
      <c r="G8" s="185">
        <v>9111.900390625</v>
      </c>
      <c r="H8" s="186">
        <f t="shared" si="1"/>
        <v>4.1508831618802686E-2</v>
      </c>
    </row>
    <row r="9" spans="2:12">
      <c r="B9" s="175">
        <v>43934</v>
      </c>
      <c r="C9" s="176">
        <v>2.2955338954925542</v>
      </c>
      <c r="D9" s="180">
        <f t="shared" si="0"/>
        <v>4.1666477335059585E-2</v>
      </c>
      <c r="F9" s="181">
        <v>43934</v>
      </c>
      <c r="G9" s="182">
        <v>8993.849609375</v>
      </c>
      <c r="H9" s="183">
        <f t="shared" si="1"/>
        <v>-1.2955670737079107E-2</v>
      </c>
      <c r="K9" s="126" t="s">
        <v>342</v>
      </c>
    </row>
    <row r="10" spans="2:12" ht="15" customHeight="1" thickBot="1">
      <c r="B10" s="175">
        <v>43936</v>
      </c>
      <c r="C10" s="176">
        <v>2.387356042861938</v>
      </c>
      <c r="D10" s="180">
        <f t="shared" si="0"/>
        <v>4.0000344821604798E-2</v>
      </c>
      <c r="F10" s="184">
        <v>43936</v>
      </c>
      <c r="G10" s="185">
        <v>8925.2998046875</v>
      </c>
      <c r="H10" s="186">
        <f t="shared" si="1"/>
        <v>-7.6218535626885646E-3</v>
      </c>
    </row>
    <row r="11" spans="2:12">
      <c r="B11" s="175">
        <v>43937</v>
      </c>
      <c r="C11" s="176">
        <v>2.4791769981384282</v>
      </c>
      <c r="D11" s="180">
        <f t="shared" si="0"/>
        <v>3.846135793235772E-2</v>
      </c>
      <c r="F11" s="181">
        <v>43937</v>
      </c>
      <c r="G11" s="182">
        <v>8992.7998046875</v>
      </c>
      <c r="H11" s="183">
        <f t="shared" si="1"/>
        <v>7.5627711647903986E-3</v>
      </c>
      <c r="K11" s="187" t="s">
        <v>343</v>
      </c>
      <c r="L11" s="13"/>
    </row>
    <row r="12" spans="2:12">
      <c r="B12" s="175">
        <v>43938</v>
      </c>
      <c r="C12" s="176">
        <v>2.570998907089233</v>
      </c>
      <c r="D12" s="180">
        <f t="shared" si="0"/>
        <v>3.7037254306470369E-2</v>
      </c>
      <c r="F12" s="184">
        <v>43938</v>
      </c>
      <c r="G12" s="185">
        <v>9266.75</v>
      </c>
      <c r="H12" s="186">
        <f t="shared" si="1"/>
        <v>3.0463281876874804E-2</v>
      </c>
      <c r="K12" s="126" t="s">
        <v>344</v>
      </c>
      <c r="L12" s="127">
        <v>0.27467039798996551</v>
      </c>
    </row>
    <row r="13" spans="2:12">
      <c r="B13" s="175">
        <v>43941</v>
      </c>
      <c r="C13" s="176">
        <v>2.6628201007843022</v>
      </c>
      <c r="D13" s="180">
        <f t="shared" si="0"/>
        <v>3.5714209540067439E-2</v>
      </c>
      <c r="F13" s="181">
        <v>43941</v>
      </c>
      <c r="G13" s="182">
        <v>9261.849609375</v>
      </c>
      <c r="H13" s="183">
        <f t="shared" si="1"/>
        <v>-5.2881437666927461E-4</v>
      </c>
      <c r="K13" s="126" t="s">
        <v>345</v>
      </c>
      <c r="L13" s="127">
        <v>7.5443827531966046E-2</v>
      </c>
    </row>
    <row r="14" spans="2:12">
      <c r="B14" s="175">
        <v>43942</v>
      </c>
      <c r="C14" s="176">
        <v>2.754641056060791</v>
      </c>
      <c r="D14" s="180">
        <f t="shared" si="0"/>
        <v>3.4482598073164623E-2</v>
      </c>
      <c r="F14" s="184">
        <v>43942</v>
      </c>
      <c r="G14" s="185">
        <v>8981.4501953125</v>
      </c>
      <c r="H14" s="186">
        <f t="shared" si="1"/>
        <v>-3.0274667144095602E-2</v>
      </c>
      <c r="K14" s="126" t="s">
        <v>346</v>
      </c>
      <c r="L14" s="127">
        <v>7.4818705035368333E-2</v>
      </c>
    </row>
    <row r="15" spans="2:12">
      <c r="B15" s="175">
        <v>43943</v>
      </c>
      <c r="C15" s="176">
        <v>2.6169090270996089</v>
      </c>
      <c r="D15" s="180">
        <f t="shared" si="0"/>
        <v>-4.9999991344840587E-2</v>
      </c>
      <c r="F15" s="181">
        <v>43943</v>
      </c>
      <c r="G15" s="182">
        <v>9187.2998046875</v>
      </c>
      <c r="H15" s="183">
        <f t="shared" si="1"/>
        <v>2.2919417788725787E-2</v>
      </c>
      <c r="K15" s="126" t="s">
        <v>347</v>
      </c>
      <c r="L15" s="127">
        <v>3.2131646370830887E-2</v>
      </c>
    </row>
    <row r="16" spans="2:12" ht="15" customHeight="1" thickBot="1">
      <c r="B16" s="175">
        <v>43944</v>
      </c>
      <c r="C16" s="176">
        <v>2.5250880718231201</v>
      </c>
      <c r="D16" s="180">
        <f t="shared" si="0"/>
        <v>-3.5087561059872402E-2</v>
      </c>
      <c r="F16" s="184">
        <v>43944</v>
      </c>
      <c r="G16" s="185">
        <v>9313.900390625</v>
      </c>
      <c r="H16" s="186">
        <f t="shared" si="1"/>
        <v>1.3779955877014752E-2</v>
      </c>
      <c r="K16" s="188" t="s">
        <v>348</v>
      </c>
      <c r="L16" s="189">
        <v>1481</v>
      </c>
    </row>
    <row r="17" spans="2:19">
      <c r="B17" s="175">
        <v>43945</v>
      </c>
      <c r="C17" s="176">
        <v>2.4332671165466309</v>
      </c>
      <c r="D17" s="180">
        <f t="shared" si="0"/>
        <v>-3.6363466407805051E-2</v>
      </c>
      <c r="F17" s="181">
        <v>43945</v>
      </c>
      <c r="G17" s="182">
        <v>9154.400390625</v>
      </c>
      <c r="H17" s="183">
        <f t="shared" si="1"/>
        <v>-1.7124941572334865E-2</v>
      </c>
    </row>
    <row r="18" spans="2:19" ht="15" customHeight="1" thickBot="1">
      <c r="B18" s="175">
        <v>43948</v>
      </c>
      <c r="C18" s="176">
        <v>2.4332671165466309</v>
      </c>
      <c r="D18" s="180">
        <f t="shared" si="0"/>
        <v>0</v>
      </c>
      <c r="F18" s="184">
        <v>43948</v>
      </c>
      <c r="G18" s="185">
        <v>9282.2998046875</v>
      </c>
      <c r="H18" s="186">
        <f t="shared" si="1"/>
        <v>1.3971358975458566E-2</v>
      </c>
      <c r="K18" s="126" t="s">
        <v>349</v>
      </c>
    </row>
    <row r="19" spans="2:19">
      <c r="B19" s="175">
        <v>43949</v>
      </c>
      <c r="C19" s="176">
        <v>2.4791769981384282</v>
      </c>
      <c r="D19" s="180">
        <f t="shared" si="0"/>
        <v>1.8867588058706052E-2</v>
      </c>
      <c r="F19" s="181">
        <v>43949</v>
      </c>
      <c r="G19" s="182">
        <v>9380.900390625</v>
      </c>
      <c r="H19" s="183">
        <f t="shared" si="1"/>
        <v>1.0622430648890199E-2</v>
      </c>
      <c r="K19" s="12"/>
      <c r="L19" s="190" t="s">
        <v>350</v>
      </c>
      <c r="M19" s="190" t="s">
        <v>351</v>
      </c>
      <c r="N19" s="190" t="s">
        <v>352</v>
      </c>
      <c r="O19" s="190" t="s">
        <v>353</v>
      </c>
      <c r="P19" s="190" t="s">
        <v>354</v>
      </c>
    </row>
    <row r="20" spans="2:19">
      <c r="B20" s="175">
        <v>43950</v>
      </c>
      <c r="C20" s="176">
        <v>2.4332671165466309</v>
      </c>
      <c r="D20" s="180">
        <f t="shared" si="0"/>
        <v>-1.8518194395265149E-2</v>
      </c>
      <c r="F20" s="184">
        <v>43950</v>
      </c>
      <c r="G20" s="185">
        <v>9553.349609375</v>
      </c>
      <c r="H20" s="186">
        <f t="shared" si="1"/>
        <v>1.838301352419654E-2</v>
      </c>
      <c r="K20" s="126" t="s">
        <v>355</v>
      </c>
      <c r="L20" s="127">
        <v>1</v>
      </c>
      <c r="M20" s="127">
        <v>0.1246018649244129</v>
      </c>
      <c r="N20" s="127">
        <v>0.1246018649244129</v>
      </c>
      <c r="O20" s="127">
        <v>120.6864701599682</v>
      </c>
      <c r="P20" s="127">
        <v>4.81089069813945E-27</v>
      </c>
    </row>
    <row r="21" spans="2:19">
      <c r="B21" s="175">
        <v>43951</v>
      </c>
      <c r="C21" s="176">
        <v>2.387356042861938</v>
      </c>
      <c r="D21" s="180">
        <f t="shared" si="0"/>
        <v>-1.8868077973227725E-2</v>
      </c>
      <c r="F21" s="181">
        <v>43951</v>
      </c>
      <c r="G21" s="182">
        <v>9859.900390625</v>
      </c>
      <c r="H21" s="183">
        <f t="shared" si="1"/>
        <v>3.2088303452139151E-2</v>
      </c>
      <c r="K21" s="126" t="s">
        <v>356</v>
      </c>
      <c r="L21" s="127">
        <v>1479</v>
      </c>
      <c r="M21" s="127">
        <v>1.526982751081692</v>
      </c>
      <c r="N21" s="127">
        <v>1.0324426985001301E-3</v>
      </c>
    </row>
    <row r="22" spans="2:19" ht="15" customHeight="1" thickBot="1">
      <c r="B22" s="175">
        <v>43955</v>
      </c>
      <c r="C22" s="176">
        <v>2.2955338954925542</v>
      </c>
      <c r="D22" s="180">
        <f t="shared" si="0"/>
        <v>-3.8461857268389854E-2</v>
      </c>
      <c r="F22" s="184">
        <v>43955</v>
      </c>
      <c r="G22" s="185">
        <v>9293.5</v>
      </c>
      <c r="H22" s="186">
        <f t="shared" si="1"/>
        <v>-5.7444839013134998E-2</v>
      </c>
      <c r="K22" s="188" t="s">
        <v>357</v>
      </c>
      <c r="L22" s="189">
        <v>1480</v>
      </c>
      <c r="M22" s="189">
        <v>1.651584616006105</v>
      </c>
      <c r="N22" s="11"/>
      <c r="O22" s="11"/>
      <c r="P22" s="11"/>
    </row>
    <row r="23" spans="2:19" ht="15" customHeight="1" thickBot="1">
      <c r="B23" s="175">
        <v>43956</v>
      </c>
      <c r="C23" s="176">
        <v>2.2496240139007568</v>
      </c>
      <c r="D23" s="180">
        <f t="shared" si="0"/>
        <v>-1.9999653101156412E-2</v>
      </c>
      <c r="F23" s="181">
        <v>43956</v>
      </c>
      <c r="G23" s="182">
        <v>9205.599609375</v>
      </c>
      <c r="H23" s="183">
        <f t="shared" si="1"/>
        <v>-9.4582655216011186E-3</v>
      </c>
    </row>
    <row r="24" spans="2:19">
      <c r="B24" s="175">
        <v>43957</v>
      </c>
      <c r="C24" s="176">
        <v>2.1578021049499512</v>
      </c>
      <c r="D24" s="180">
        <f t="shared" si="0"/>
        <v>-4.0816557959652201E-2</v>
      </c>
      <c r="F24" s="184">
        <v>43957</v>
      </c>
      <c r="G24" s="185">
        <v>9270.900390625</v>
      </c>
      <c r="H24" s="186">
        <f t="shared" si="1"/>
        <v>7.0935934671216378E-3</v>
      </c>
      <c r="K24" s="12"/>
      <c r="L24" s="190" t="s">
        <v>358</v>
      </c>
      <c r="M24" s="190" t="s">
        <v>347</v>
      </c>
      <c r="N24" s="190" t="s">
        <v>359</v>
      </c>
      <c r="O24" s="190" t="s">
        <v>360</v>
      </c>
      <c r="P24" s="190" t="s">
        <v>361</v>
      </c>
      <c r="Q24" s="190" t="s">
        <v>362</v>
      </c>
      <c r="R24" s="190" t="s">
        <v>363</v>
      </c>
      <c r="S24" s="190" t="s">
        <v>364</v>
      </c>
    </row>
    <row r="25" spans="2:19">
      <c r="B25" s="175">
        <v>43958</v>
      </c>
      <c r="C25" s="176">
        <v>2.2496240139007568</v>
      </c>
      <c r="D25" s="180">
        <f t="shared" si="0"/>
        <v>4.2553443033616564E-2</v>
      </c>
      <c r="F25" s="181">
        <v>43958</v>
      </c>
      <c r="G25" s="182">
        <v>9199.0498046875</v>
      </c>
      <c r="H25" s="183">
        <f t="shared" si="1"/>
        <v>-7.7501195040513404E-3</v>
      </c>
      <c r="K25" s="126" t="s">
        <v>365</v>
      </c>
      <c r="L25" s="127">
        <v>1.949372855816413E-3</v>
      </c>
      <c r="M25" s="127">
        <v>8.371947392146219E-4</v>
      </c>
      <c r="N25" s="127">
        <v>2.3284580809061621</v>
      </c>
      <c r="O25" s="127">
        <v>2.002200148891662E-2</v>
      </c>
      <c r="P25" s="127">
        <v>3.0715740297907851E-4</v>
      </c>
      <c r="Q25" s="127">
        <v>3.5915883086537468E-3</v>
      </c>
      <c r="R25" s="127">
        <v>3.0715740297907851E-4</v>
      </c>
      <c r="S25" s="127">
        <v>3.5915883086537468E-3</v>
      </c>
    </row>
    <row r="26" spans="2:19" ht="15" customHeight="1" thickBot="1">
      <c r="B26" s="175">
        <v>43959</v>
      </c>
      <c r="C26" s="176">
        <v>2.3414449691772461</v>
      </c>
      <c r="D26" s="180">
        <f t="shared" si="0"/>
        <v>4.0816134033560318E-2</v>
      </c>
      <c r="F26" s="184">
        <v>43959</v>
      </c>
      <c r="G26" s="185">
        <v>9251.5</v>
      </c>
      <c r="H26" s="186">
        <f t="shared" si="1"/>
        <v>5.7016970693835461E-3</v>
      </c>
      <c r="K26" s="188" t="s">
        <v>366</v>
      </c>
      <c r="L26" s="189">
        <v>0.93650857180990221</v>
      </c>
      <c r="M26" s="189">
        <v>8.5247659509227594E-2</v>
      </c>
      <c r="N26" s="189">
        <v>10.98573939978411</v>
      </c>
      <c r="O26" s="189">
        <v>4.8108906981377603E-27</v>
      </c>
      <c r="P26" s="189">
        <v>0.76928938467597519</v>
      </c>
      <c r="Q26" s="189">
        <v>1.103727758943829</v>
      </c>
      <c r="R26" s="189">
        <v>0.76928938467597519</v>
      </c>
      <c r="S26" s="189">
        <v>1.103727758943829</v>
      </c>
    </row>
    <row r="27" spans="2:19">
      <c r="B27" s="175">
        <v>43962</v>
      </c>
      <c r="C27" s="176">
        <v>2.387356042861938</v>
      </c>
      <c r="D27" s="180">
        <f t="shared" si="0"/>
        <v>1.9608008853107706E-2</v>
      </c>
      <c r="F27" s="181">
        <v>43962</v>
      </c>
      <c r="G27" s="182">
        <v>9239.2001953125</v>
      </c>
      <c r="H27" s="183">
        <f t="shared" si="1"/>
        <v>-1.3294930214019349E-3</v>
      </c>
    </row>
    <row r="28" spans="2:19">
      <c r="B28" s="175">
        <v>43963</v>
      </c>
      <c r="C28" s="176">
        <v>2.3414449691772461</v>
      </c>
      <c r="D28" s="180">
        <f t="shared" si="0"/>
        <v>-1.9230928634194927E-2</v>
      </c>
      <c r="F28" s="184">
        <v>43963</v>
      </c>
      <c r="G28" s="185">
        <v>9196.5498046875</v>
      </c>
      <c r="H28" s="186">
        <f t="shared" si="1"/>
        <v>-4.6162427183511663E-3</v>
      </c>
    </row>
    <row r="29" spans="2:19">
      <c r="B29" s="175">
        <v>43964</v>
      </c>
      <c r="C29" s="176">
        <v>2.387356042861938</v>
      </c>
      <c r="D29" s="180">
        <f t="shared" si="0"/>
        <v>1.9608008853107706E-2</v>
      </c>
      <c r="F29" s="181">
        <v>43964</v>
      </c>
      <c r="G29" s="182">
        <v>9383.5498046875</v>
      </c>
      <c r="H29" s="183">
        <f t="shared" si="1"/>
        <v>2.0333712530397619E-2</v>
      </c>
    </row>
    <row r="30" spans="2:19">
      <c r="B30" s="175">
        <v>43965</v>
      </c>
      <c r="C30" s="176">
        <v>2.4332671165466309</v>
      </c>
      <c r="D30" s="180">
        <f t="shared" si="0"/>
        <v>1.9230928634195302E-2</v>
      </c>
      <c r="F30" s="184">
        <v>43965</v>
      </c>
      <c r="G30" s="185">
        <v>9142.75</v>
      </c>
      <c r="H30" s="186">
        <f t="shared" si="1"/>
        <v>-2.5661909373274686E-2</v>
      </c>
    </row>
    <row r="31" spans="2:19">
      <c r="B31" s="175">
        <v>43966</v>
      </c>
      <c r="C31" s="176">
        <v>2.387356042861938</v>
      </c>
      <c r="D31" s="180">
        <f t="shared" si="0"/>
        <v>-1.8868077973227725E-2</v>
      </c>
      <c r="F31" s="181">
        <v>43966</v>
      </c>
      <c r="G31" s="182">
        <v>9136.849609375</v>
      </c>
      <c r="H31" s="183">
        <f t="shared" si="1"/>
        <v>-6.453627874545405E-4</v>
      </c>
    </row>
    <row r="32" spans="2:19">
      <c r="B32" s="175">
        <v>43969</v>
      </c>
      <c r="C32" s="176">
        <v>2.2955338954925542</v>
      </c>
      <c r="D32" s="180">
        <f t="shared" si="0"/>
        <v>-3.8461857268389854E-2</v>
      </c>
      <c r="F32" s="184">
        <v>43969</v>
      </c>
      <c r="G32" s="185">
        <v>8823.25</v>
      </c>
      <c r="H32" s="186">
        <f t="shared" si="1"/>
        <v>-3.4322509703259917E-2</v>
      </c>
    </row>
    <row r="33" spans="2:8">
      <c r="B33" s="175">
        <v>43970</v>
      </c>
      <c r="C33" s="176">
        <v>2.387356042861938</v>
      </c>
      <c r="D33" s="180">
        <f t="shared" si="0"/>
        <v>4.0000344821604798E-2</v>
      </c>
      <c r="F33" s="181">
        <v>43970</v>
      </c>
      <c r="G33" s="182">
        <v>8879.099609375</v>
      </c>
      <c r="H33" s="183">
        <f t="shared" si="1"/>
        <v>6.3298228402232735E-3</v>
      </c>
    </row>
    <row r="34" spans="2:8">
      <c r="B34" s="175">
        <v>43971</v>
      </c>
      <c r="C34" s="176">
        <v>2.4791769981384282</v>
      </c>
      <c r="D34" s="180">
        <f t="shared" si="0"/>
        <v>3.846135793235772E-2</v>
      </c>
      <c r="F34" s="184">
        <v>43971</v>
      </c>
      <c r="G34" s="185">
        <v>9066.5498046875</v>
      </c>
      <c r="H34" s="186">
        <f t="shared" si="1"/>
        <v>2.1111396826157987E-2</v>
      </c>
    </row>
    <row r="35" spans="2:8">
      <c r="B35" s="175">
        <v>43972</v>
      </c>
      <c r="C35" s="176">
        <v>2.570998907089233</v>
      </c>
      <c r="D35" s="180">
        <f t="shared" si="0"/>
        <v>3.7037254306470369E-2</v>
      </c>
      <c r="F35" s="181">
        <v>43972</v>
      </c>
      <c r="G35" s="182">
        <v>9106.25</v>
      </c>
      <c r="H35" s="183">
        <f t="shared" si="1"/>
        <v>4.378754451001261E-3</v>
      </c>
    </row>
    <row r="36" spans="2:8">
      <c r="B36" s="175">
        <v>43973</v>
      </c>
      <c r="C36" s="176">
        <v>2.5250880718231201</v>
      </c>
      <c r="D36" s="180">
        <f t="shared" si="0"/>
        <v>-1.7857197503864743E-2</v>
      </c>
      <c r="F36" s="184">
        <v>43973</v>
      </c>
      <c r="G36" s="185">
        <v>9039.25</v>
      </c>
      <c r="H36" s="186">
        <f t="shared" si="1"/>
        <v>-7.3575840768702813E-3</v>
      </c>
    </row>
    <row r="37" spans="2:8">
      <c r="B37" s="175">
        <v>43977</v>
      </c>
      <c r="C37" s="176">
        <v>2.4791769981384282</v>
      </c>
      <c r="D37" s="180">
        <f t="shared" si="0"/>
        <v>-1.8181969253668061E-2</v>
      </c>
      <c r="F37" s="181">
        <v>43977</v>
      </c>
      <c r="G37" s="182">
        <v>9029.0498046875</v>
      </c>
      <c r="H37" s="183">
        <f t="shared" si="1"/>
        <v>-1.1284338094974694E-3</v>
      </c>
    </row>
    <row r="38" spans="2:8">
      <c r="B38" s="175">
        <v>43978</v>
      </c>
      <c r="C38" s="176">
        <v>2.570998907089233</v>
      </c>
      <c r="D38" s="180">
        <f t="shared" si="0"/>
        <v>3.7037254306470369E-2</v>
      </c>
      <c r="F38" s="184">
        <v>43978</v>
      </c>
      <c r="G38" s="185">
        <v>9314.9501953125</v>
      </c>
      <c r="H38" s="186">
        <f t="shared" si="1"/>
        <v>3.1664504771761547E-2</v>
      </c>
    </row>
    <row r="39" spans="2:8">
      <c r="B39" s="175">
        <v>43979</v>
      </c>
      <c r="C39" s="176">
        <v>2.570998907089233</v>
      </c>
      <c r="D39" s="180">
        <f t="shared" si="0"/>
        <v>0</v>
      </c>
      <c r="F39" s="181">
        <v>43979</v>
      </c>
      <c r="G39" s="182">
        <v>9490.099609375</v>
      </c>
      <c r="H39" s="183">
        <f t="shared" si="1"/>
        <v>1.8803043536468854E-2</v>
      </c>
    </row>
    <row r="40" spans="2:8">
      <c r="B40" s="175">
        <v>43980</v>
      </c>
      <c r="C40" s="176">
        <v>2.570998907089233</v>
      </c>
      <c r="D40" s="180">
        <f t="shared" si="0"/>
        <v>0</v>
      </c>
      <c r="F40" s="184">
        <v>43980</v>
      </c>
      <c r="G40" s="185">
        <v>9580.2998046875</v>
      </c>
      <c r="H40" s="186">
        <f t="shared" si="1"/>
        <v>9.5046626511057671E-3</v>
      </c>
    </row>
    <row r="41" spans="2:8">
      <c r="B41" s="175">
        <v>43983</v>
      </c>
      <c r="C41" s="176">
        <v>2.6628201007843022</v>
      </c>
      <c r="D41" s="180">
        <f t="shared" si="0"/>
        <v>3.5714209540067439E-2</v>
      </c>
      <c r="F41" s="181">
        <v>43983</v>
      </c>
      <c r="G41" s="182">
        <v>9826.150390625</v>
      </c>
      <c r="H41" s="183">
        <f t="shared" si="1"/>
        <v>2.5662097319460599E-2</v>
      </c>
    </row>
    <row r="42" spans="2:8">
      <c r="B42" s="175">
        <v>43984</v>
      </c>
      <c r="C42" s="176">
        <v>2.754641056060791</v>
      </c>
      <c r="D42" s="180">
        <f t="shared" si="0"/>
        <v>3.4482598073164623E-2</v>
      </c>
      <c r="F42" s="184">
        <v>43984</v>
      </c>
      <c r="G42" s="185">
        <v>9979.099609375</v>
      </c>
      <c r="H42" s="186">
        <f t="shared" si="1"/>
        <v>1.556552797074293E-2</v>
      </c>
    </row>
    <row r="43" spans="2:8">
      <c r="B43" s="175">
        <v>43985</v>
      </c>
      <c r="C43" s="176">
        <v>2.8923740386962891</v>
      </c>
      <c r="D43" s="180">
        <f t="shared" si="0"/>
        <v>5.0000337551223399E-2</v>
      </c>
      <c r="F43" s="181">
        <v>43985</v>
      </c>
      <c r="G43" s="182">
        <v>10061.5498046875</v>
      </c>
      <c r="H43" s="183">
        <f t="shared" si="1"/>
        <v>8.262288035990847E-3</v>
      </c>
    </row>
    <row r="44" spans="2:8">
      <c r="B44" s="175">
        <v>43986</v>
      </c>
      <c r="C44" s="176">
        <v>3.0301060676574711</v>
      </c>
      <c r="D44" s="180">
        <f t="shared" si="0"/>
        <v>4.761902406760072E-2</v>
      </c>
      <c r="F44" s="184">
        <v>43986</v>
      </c>
      <c r="G44" s="185">
        <v>10029.099609375</v>
      </c>
      <c r="H44" s="186">
        <f t="shared" si="1"/>
        <v>-3.2251686810099594E-3</v>
      </c>
    </row>
    <row r="45" spans="2:8">
      <c r="B45" s="175">
        <v>43987</v>
      </c>
      <c r="C45" s="176">
        <v>3.3055698871612549</v>
      </c>
      <c r="D45" s="180">
        <f t="shared" si="0"/>
        <v>9.0908969307711598E-2</v>
      </c>
      <c r="F45" s="181">
        <v>43987</v>
      </c>
      <c r="G45" s="182">
        <v>10142.150390625</v>
      </c>
      <c r="H45" s="183">
        <f t="shared" si="1"/>
        <v>1.1272276241460641E-2</v>
      </c>
    </row>
    <row r="46" spans="2:8">
      <c r="B46" s="175">
        <v>43990</v>
      </c>
      <c r="C46" s="176">
        <v>3.626945018768311</v>
      </c>
      <c r="D46" s="180">
        <f t="shared" si="0"/>
        <v>9.7222307371345726E-2</v>
      </c>
      <c r="F46" s="184">
        <v>43990</v>
      </c>
      <c r="G46" s="185">
        <v>10167.4501953125</v>
      </c>
      <c r="H46" s="186">
        <f t="shared" si="1"/>
        <v>2.4945207587225419E-3</v>
      </c>
    </row>
    <row r="47" spans="2:8">
      <c r="B47" s="175">
        <v>43991</v>
      </c>
      <c r="C47" s="176">
        <v>3.9483199119567871</v>
      </c>
      <c r="D47" s="180">
        <f t="shared" si="0"/>
        <v>8.8607599929268602E-2</v>
      </c>
      <c r="F47" s="181">
        <v>43991</v>
      </c>
      <c r="G47" s="182">
        <v>10046.650390625</v>
      </c>
      <c r="H47" s="183">
        <f t="shared" si="1"/>
        <v>-1.1881032349997872E-2</v>
      </c>
    </row>
    <row r="48" spans="2:8">
      <c r="B48" s="175">
        <v>43992</v>
      </c>
      <c r="C48" s="176">
        <v>4.1319618225097656</v>
      </c>
      <c r="D48" s="180">
        <f t="shared" si="0"/>
        <v>4.6511406027878219E-2</v>
      </c>
      <c r="F48" s="184">
        <v>43992</v>
      </c>
      <c r="G48" s="185">
        <v>10116.150390625</v>
      </c>
      <c r="H48" s="186">
        <f t="shared" si="1"/>
        <v>6.9177285262014996E-3</v>
      </c>
    </row>
    <row r="49" spans="2:8">
      <c r="B49" s="175">
        <v>43993</v>
      </c>
      <c r="C49" s="176">
        <v>4.3156051635742188</v>
      </c>
      <c r="D49" s="180">
        <f t="shared" si="0"/>
        <v>4.4444588055972796E-2</v>
      </c>
      <c r="F49" s="181">
        <v>43993</v>
      </c>
      <c r="G49" s="182">
        <v>9902</v>
      </c>
      <c r="H49" s="183">
        <f t="shared" si="1"/>
        <v>-2.1169158460066079E-2</v>
      </c>
    </row>
    <row r="50" spans="2:8">
      <c r="B50" s="175">
        <v>43994</v>
      </c>
      <c r="C50" s="176">
        <v>4.1319618225097656</v>
      </c>
      <c r="D50" s="180">
        <f t="shared" si="0"/>
        <v>-4.2553323138662259E-2</v>
      </c>
      <c r="F50" s="184">
        <v>43994</v>
      </c>
      <c r="G50" s="185">
        <v>9972.900390625</v>
      </c>
      <c r="H50" s="186">
        <f t="shared" si="1"/>
        <v>7.1602091117955969E-3</v>
      </c>
    </row>
    <row r="51" spans="2:8">
      <c r="B51" s="175">
        <v>43997</v>
      </c>
      <c r="C51" s="176">
        <v>3.9483199119567871</v>
      </c>
      <c r="D51" s="180">
        <f t="shared" si="0"/>
        <v>-4.4444241849609802E-2</v>
      </c>
      <c r="F51" s="181">
        <v>43997</v>
      </c>
      <c r="G51" s="182">
        <v>9813.7001953125</v>
      </c>
      <c r="H51" s="183">
        <f t="shared" si="1"/>
        <v>-1.5963279394844428E-2</v>
      </c>
    </row>
    <row r="52" spans="2:8">
      <c r="B52" s="175">
        <v>43998</v>
      </c>
      <c r="C52" s="176">
        <v>3.7646770477294922</v>
      </c>
      <c r="D52" s="180">
        <f t="shared" si="0"/>
        <v>-4.6511647567150032E-2</v>
      </c>
      <c r="F52" s="184">
        <v>43998</v>
      </c>
      <c r="G52" s="185">
        <v>9914</v>
      </c>
      <c r="H52" s="186">
        <f t="shared" si="1"/>
        <v>1.0220386061458048E-2</v>
      </c>
    </row>
    <row r="53" spans="2:8">
      <c r="B53" s="175">
        <v>43999</v>
      </c>
      <c r="C53" s="176">
        <v>3.5810339450836182</v>
      </c>
      <c r="D53" s="180">
        <f t="shared" si="0"/>
        <v>-4.878057276031969E-2</v>
      </c>
      <c r="F53" s="181">
        <v>43999</v>
      </c>
      <c r="G53" s="182">
        <v>9881.150390625</v>
      </c>
      <c r="H53" s="183">
        <f t="shared" si="1"/>
        <v>-3.3134566648174301E-3</v>
      </c>
    </row>
    <row r="54" spans="2:8">
      <c r="B54" s="175">
        <v>44000</v>
      </c>
      <c r="C54" s="176">
        <v>3.7187659740447998</v>
      </c>
      <c r="D54" s="180">
        <f t="shared" si="0"/>
        <v>3.8461525658050014E-2</v>
      </c>
      <c r="F54" s="184">
        <v>44000</v>
      </c>
      <c r="G54" s="185">
        <v>10091.650390625</v>
      </c>
      <c r="H54" s="186">
        <f t="shared" si="1"/>
        <v>2.1303187551898549E-2</v>
      </c>
    </row>
    <row r="55" spans="2:8">
      <c r="B55" s="175">
        <v>44001</v>
      </c>
      <c r="C55" s="176">
        <v>3.9024090766906738</v>
      </c>
      <c r="D55" s="180">
        <f t="shared" si="0"/>
        <v>4.9382807072995361E-2</v>
      </c>
      <c r="F55" s="181">
        <v>44001</v>
      </c>
      <c r="G55" s="182">
        <v>10244.400390625</v>
      </c>
      <c r="H55" s="183">
        <f t="shared" si="1"/>
        <v>1.5136275444292302E-2</v>
      </c>
    </row>
    <row r="56" spans="2:8">
      <c r="B56" s="175">
        <v>44004</v>
      </c>
      <c r="C56" s="176">
        <v>4.0860519409179688</v>
      </c>
      <c r="D56" s="180">
        <f t="shared" si="0"/>
        <v>4.7058845092434028E-2</v>
      </c>
      <c r="F56" s="184">
        <v>44004</v>
      </c>
      <c r="G56" s="185">
        <v>10311.2001953125</v>
      </c>
      <c r="H56" s="186">
        <f t="shared" si="1"/>
        <v>6.5206163504338216E-3</v>
      </c>
    </row>
    <row r="57" spans="2:8">
      <c r="B57" s="175">
        <v>44005</v>
      </c>
      <c r="C57" s="176">
        <v>4.2696938514709473</v>
      </c>
      <c r="D57" s="180">
        <f t="shared" si="0"/>
        <v>4.4943606495545844E-2</v>
      </c>
      <c r="F57" s="181">
        <v>44005</v>
      </c>
      <c r="G57" s="182">
        <v>10471</v>
      </c>
      <c r="H57" s="183">
        <f t="shared" si="1"/>
        <v>1.5497691991291706E-2</v>
      </c>
    </row>
    <row r="58" spans="2:8">
      <c r="B58" s="175">
        <v>44006</v>
      </c>
      <c r="C58" s="176">
        <v>4.1778731346130371</v>
      </c>
      <c r="D58" s="180">
        <f t="shared" si="0"/>
        <v>-2.1505222634704151E-2</v>
      </c>
      <c r="F58" s="184">
        <v>44006</v>
      </c>
      <c r="G58" s="185">
        <v>10305.2998046875</v>
      </c>
      <c r="H58" s="186">
        <f t="shared" si="1"/>
        <v>-1.5824677233549803E-2</v>
      </c>
    </row>
    <row r="59" spans="2:8">
      <c r="B59" s="175">
        <v>44007</v>
      </c>
      <c r="C59" s="176">
        <v>4.0860519409179688</v>
      </c>
      <c r="D59" s="180">
        <f t="shared" si="0"/>
        <v>-2.1977975571910949E-2</v>
      </c>
      <c r="F59" s="181">
        <v>44007</v>
      </c>
      <c r="G59" s="182">
        <v>10288.900390625</v>
      </c>
      <c r="H59" s="183">
        <f t="shared" si="1"/>
        <v>-1.5913572989929427E-3</v>
      </c>
    </row>
    <row r="60" spans="2:8">
      <c r="B60" s="175">
        <v>44008</v>
      </c>
      <c r="C60" s="176">
        <v>4.2696938514709473</v>
      </c>
      <c r="D60" s="180">
        <f t="shared" si="0"/>
        <v>4.4943606495545844E-2</v>
      </c>
      <c r="F60" s="184">
        <v>44008</v>
      </c>
      <c r="G60" s="185">
        <v>10383</v>
      </c>
      <c r="H60" s="186">
        <f t="shared" si="1"/>
        <v>9.1457401473865295E-3</v>
      </c>
    </row>
    <row r="61" spans="2:8">
      <c r="B61" s="175">
        <v>44011</v>
      </c>
      <c r="C61" s="176">
        <v>4.4533371925354004</v>
      </c>
      <c r="D61" s="180">
        <f t="shared" si="0"/>
        <v>4.3010891987299363E-2</v>
      </c>
      <c r="F61" s="181">
        <v>44011</v>
      </c>
      <c r="G61" s="182">
        <v>10312.400390625</v>
      </c>
      <c r="H61" s="183">
        <f t="shared" si="1"/>
        <v>-6.7995386087835886E-3</v>
      </c>
    </row>
    <row r="62" spans="2:8">
      <c r="B62" s="175">
        <v>44012</v>
      </c>
      <c r="C62" s="176">
        <v>4.6369800567626953</v>
      </c>
      <c r="D62" s="180">
        <f t="shared" si="0"/>
        <v>4.1237134375342974E-2</v>
      </c>
      <c r="F62" s="184">
        <v>44012</v>
      </c>
      <c r="G62" s="185">
        <v>10302.099609375</v>
      </c>
      <c r="H62" s="186">
        <f t="shared" si="1"/>
        <v>-9.9887328457149869E-4</v>
      </c>
    </row>
    <row r="63" spans="2:8">
      <c r="B63" s="175">
        <v>44013</v>
      </c>
      <c r="C63" s="176">
        <v>4.8665342330932617</v>
      </c>
      <c r="D63" s="180">
        <f t="shared" si="0"/>
        <v>4.9505103218155634E-2</v>
      </c>
      <c r="F63" s="181">
        <v>44013</v>
      </c>
      <c r="G63" s="182">
        <v>10430.0498046875</v>
      </c>
      <c r="H63" s="183">
        <f t="shared" si="1"/>
        <v>1.2419817334717306E-2</v>
      </c>
    </row>
    <row r="64" spans="2:8">
      <c r="B64" s="175">
        <v>44014</v>
      </c>
      <c r="C64" s="176">
        <v>5.0960869789123544</v>
      </c>
      <c r="D64" s="180">
        <f t="shared" si="0"/>
        <v>4.7169656027095198E-2</v>
      </c>
      <c r="F64" s="184">
        <v>44014</v>
      </c>
      <c r="G64" s="185">
        <v>10551.7001953125</v>
      </c>
      <c r="H64" s="186">
        <f t="shared" si="1"/>
        <v>1.1663452514898594E-2</v>
      </c>
    </row>
    <row r="65" spans="2:8">
      <c r="B65" s="175">
        <v>44015</v>
      </c>
      <c r="C65" s="176">
        <v>5.3256411552429199</v>
      </c>
      <c r="D65" s="180">
        <f t="shared" si="0"/>
        <v>4.5045184134506026E-2</v>
      </c>
      <c r="F65" s="181">
        <v>44015</v>
      </c>
      <c r="G65" s="182">
        <v>10607.349609375</v>
      </c>
      <c r="H65" s="183">
        <f t="shared" si="1"/>
        <v>5.2739760448483703E-3</v>
      </c>
    </row>
    <row r="66" spans="2:8">
      <c r="B66" s="175">
        <v>44018</v>
      </c>
      <c r="C66" s="176">
        <v>5.0960869789123544</v>
      </c>
      <c r="D66" s="180">
        <f t="shared" si="0"/>
        <v>-4.3103575633250645E-2</v>
      </c>
      <c r="F66" s="184">
        <v>44018</v>
      </c>
      <c r="G66" s="185">
        <v>10763.650390625</v>
      </c>
      <c r="H66" s="186">
        <f t="shared" si="1"/>
        <v>1.4735139974255027E-2</v>
      </c>
    </row>
    <row r="67" spans="2:8">
      <c r="B67" s="175">
        <v>44019</v>
      </c>
      <c r="C67" s="176">
        <v>4.8665342330932617</v>
      </c>
      <c r="D67" s="180">
        <f t="shared" si="0"/>
        <v>-4.5044903426684754E-2</v>
      </c>
      <c r="F67" s="181">
        <v>44019</v>
      </c>
      <c r="G67" s="182">
        <v>10799.650390625</v>
      </c>
      <c r="H67" s="183">
        <f t="shared" si="1"/>
        <v>3.3445902359812369E-3</v>
      </c>
    </row>
    <row r="68" spans="2:8">
      <c r="B68" s="175">
        <v>44020</v>
      </c>
      <c r="C68" s="176">
        <v>4.6369800567626953</v>
      </c>
      <c r="D68" s="180">
        <f t="shared" si="0"/>
        <v>-4.716994997580802E-2</v>
      </c>
      <c r="F68" s="184">
        <v>44020</v>
      </c>
      <c r="G68" s="185">
        <v>10705.75</v>
      </c>
      <c r="H68" s="186">
        <f t="shared" si="1"/>
        <v>-8.6947620736420681E-3</v>
      </c>
    </row>
    <row r="69" spans="2:8">
      <c r="B69" s="175">
        <v>44021</v>
      </c>
      <c r="C69" s="176">
        <v>4.8665342330932617</v>
      </c>
      <c r="D69" s="180">
        <f t="shared" ref="D69:D132" si="2">(C69-C68)/C68</f>
        <v>4.9505103218155634E-2</v>
      </c>
      <c r="F69" s="181">
        <v>44021</v>
      </c>
      <c r="G69" s="182">
        <v>10813.4501953125</v>
      </c>
      <c r="H69" s="183">
        <f t="shared" ref="H69:H132" si="3">(G69-G68)/G68</f>
        <v>1.0060032721901781E-2</v>
      </c>
    </row>
    <row r="70" spans="2:8">
      <c r="B70" s="175">
        <v>44022</v>
      </c>
      <c r="C70" s="176">
        <v>4.7288007736206046</v>
      </c>
      <c r="D70" s="180">
        <f t="shared" si="2"/>
        <v>-2.8302165951293666E-2</v>
      </c>
      <c r="F70" s="184">
        <v>44022</v>
      </c>
      <c r="G70" s="185">
        <v>10768.0498046875</v>
      </c>
      <c r="H70" s="186">
        <f t="shared" si="3"/>
        <v>-4.198511095439319E-3</v>
      </c>
    </row>
    <row r="71" spans="2:8">
      <c r="B71" s="175">
        <v>44025</v>
      </c>
      <c r="C71" s="176">
        <v>4.4992480278015137</v>
      </c>
      <c r="D71" s="180">
        <f t="shared" si="2"/>
        <v>-4.8543543449671267E-2</v>
      </c>
      <c r="F71" s="181">
        <v>44025</v>
      </c>
      <c r="G71" s="182">
        <v>10802.7001953125</v>
      </c>
      <c r="H71" s="183">
        <f t="shared" si="3"/>
        <v>3.2178891492418752E-3</v>
      </c>
    </row>
    <row r="72" spans="2:8">
      <c r="B72" s="175">
        <v>44026</v>
      </c>
      <c r="C72" s="176">
        <v>4.3156051635742188</v>
      </c>
      <c r="D72" s="180">
        <f t="shared" si="2"/>
        <v>-4.081634599660626E-2</v>
      </c>
      <c r="F72" s="184">
        <v>44026</v>
      </c>
      <c r="G72" s="185">
        <v>10607.349609375</v>
      </c>
      <c r="H72" s="186">
        <f t="shared" si="3"/>
        <v>-1.8083496015400519E-2</v>
      </c>
    </row>
    <row r="73" spans="2:8">
      <c r="B73" s="175">
        <v>44027</v>
      </c>
      <c r="C73" s="176">
        <v>4.1319618225097656</v>
      </c>
      <c r="D73" s="180">
        <f t="shared" si="2"/>
        <v>-4.2553323138662259E-2</v>
      </c>
      <c r="F73" s="181">
        <v>44027</v>
      </c>
      <c r="G73" s="182">
        <v>10618.2001953125</v>
      </c>
      <c r="H73" s="183">
        <f t="shared" si="3"/>
        <v>1.0229309240368605E-3</v>
      </c>
    </row>
    <row r="74" spans="2:8">
      <c r="B74" s="175">
        <v>44028</v>
      </c>
      <c r="C74" s="176">
        <v>3.9483199119567871</v>
      </c>
      <c r="D74" s="180">
        <f t="shared" si="2"/>
        <v>-4.4444241849609802E-2</v>
      </c>
      <c r="F74" s="184">
        <v>44028</v>
      </c>
      <c r="G74" s="185">
        <v>10739.9501953125</v>
      </c>
      <c r="H74" s="186">
        <f t="shared" si="3"/>
        <v>1.1466161662100478E-2</v>
      </c>
    </row>
    <row r="75" spans="2:8">
      <c r="B75" s="175">
        <v>44029</v>
      </c>
      <c r="C75" s="176">
        <v>4.1319618225097656</v>
      </c>
      <c r="D75" s="180">
        <f t="shared" si="2"/>
        <v>4.6511406027878219E-2</v>
      </c>
      <c r="F75" s="181">
        <v>44029</v>
      </c>
      <c r="G75" s="182">
        <v>10901.7001953125</v>
      </c>
      <c r="H75" s="183">
        <f t="shared" si="3"/>
        <v>1.5060591255869745E-2</v>
      </c>
    </row>
    <row r="76" spans="2:8">
      <c r="B76" s="175">
        <v>44032</v>
      </c>
      <c r="C76" s="176">
        <v>4.3156051635742188</v>
      </c>
      <c r="D76" s="180">
        <f t="shared" si="2"/>
        <v>4.4444588055972796E-2</v>
      </c>
      <c r="F76" s="184">
        <v>44032</v>
      </c>
      <c r="G76" s="185">
        <v>11022.2001953125</v>
      </c>
      <c r="H76" s="186">
        <f t="shared" si="3"/>
        <v>1.1053321760931606E-2</v>
      </c>
    </row>
    <row r="77" spans="2:8">
      <c r="B77" s="175">
        <v>44033</v>
      </c>
      <c r="C77" s="176">
        <v>4.4992480278015137</v>
      </c>
      <c r="D77" s="180">
        <f t="shared" si="2"/>
        <v>4.2553212647285003E-2</v>
      </c>
      <c r="F77" s="181">
        <v>44033</v>
      </c>
      <c r="G77" s="182">
        <v>11162.25</v>
      </c>
      <c r="H77" s="183">
        <f t="shared" si="3"/>
        <v>1.2706156865764434E-2</v>
      </c>
    </row>
    <row r="78" spans="2:8">
      <c r="B78" s="175">
        <v>44034</v>
      </c>
      <c r="C78" s="176">
        <v>4.3156051635742188</v>
      </c>
      <c r="D78" s="180">
        <f t="shared" si="2"/>
        <v>-4.081634599660626E-2</v>
      </c>
      <c r="F78" s="184">
        <v>44034</v>
      </c>
      <c r="G78" s="185">
        <v>11132.599609375</v>
      </c>
      <c r="H78" s="186">
        <f t="shared" si="3"/>
        <v>-2.6563094918139263E-3</v>
      </c>
    </row>
    <row r="79" spans="2:8">
      <c r="B79" s="175">
        <v>44035</v>
      </c>
      <c r="C79" s="176">
        <v>4.1319618225097656</v>
      </c>
      <c r="D79" s="180">
        <f t="shared" si="2"/>
        <v>-4.2553323138662259E-2</v>
      </c>
      <c r="F79" s="181">
        <v>44035</v>
      </c>
      <c r="G79" s="182">
        <v>11215.4501953125</v>
      </c>
      <c r="H79" s="183">
        <f t="shared" si="3"/>
        <v>7.4421598588464239E-3</v>
      </c>
    </row>
    <row r="80" spans="2:8">
      <c r="B80" s="175">
        <v>44036</v>
      </c>
      <c r="C80" s="176">
        <v>4.0860519409179688</v>
      </c>
      <c r="D80" s="180">
        <f t="shared" si="2"/>
        <v>-1.1110916209751203E-2</v>
      </c>
      <c r="F80" s="184">
        <v>44036</v>
      </c>
      <c r="G80" s="185">
        <v>11194.150390625</v>
      </c>
      <c r="H80" s="186">
        <f t="shared" si="3"/>
        <v>-1.8991484351116158E-3</v>
      </c>
    </row>
    <row r="81" spans="2:8">
      <c r="B81" s="175">
        <v>44039</v>
      </c>
      <c r="C81" s="176">
        <v>4.0401411056518546</v>
      </c>
      <c r="D81" s="180">
        <f t="shared" si="2"/>
        <v>-1.123598914794996E-2</v>
      </c>
      <c r="F81" s="181">
        <v>44039</v>
      </c>
      <c r="G81" s="182">
        <v>11131.7998046875</v>
      </c>
      <c r="H81" s="183">
        <f t="shared" si="3"/>
        <v>-5.5699256988469672E-3</v>
      </c>
    </row>
    <row r="82" spans="2:8">
      <c r="B82" s="175">
        <v>44040</v>
      </c>
      <c r="C82" s="176">
        <v>3.9483199119567871</v>
      </c>
      <c r="D82" s="180">
        <f t="shared" si="2"/>
        <v>-2.2727224444368168E-2</v>
      </c>
      <c r="F82" s="184">
        <v>44040</v>
      </c>
      <c r="G82" s="185">
        <v>11300.5498046875</v>
      </c>
      <c r="H82" s="186">
        <f t="shared" si="3"/>
        <v>1.515927369884436E-2</v>
      </c>
    </row>
    <row r="83" spans="2:8">
      <c r="B83" s="175">
        <v>44041</v>
      </c>
      <c r="C83" s="176">
        <v>4.1319618225097656</v>
      </c>
      <c r="D83" s="180">
        <f t="shared" si="2"/>
        <v>4.6511406027878219E-2</v>
      </c>
      <c r="F83" s="181">
        <v>44041</v>
      </c>
      <c r="G83" s="182">
        <v>11202.849609375</v>
      </c>
      <c r="H83" s="183">
        <f t="shared" si="3"/>
        <v>-8.6456143286031701E-3</v>
      </c>
    </row>
    <row r="84" spans="2:8">
      <c r="B84" s="175">
        <v>44042</v>
      </c>
      <c r="C84" s="176">
        <v>4.0401411056518546</v>
      </c>
      <c r="D84" s="180">
        <f t="shared" si="2"/>
        <v>-2.2222063223744617E-2</v>
      </c>
      <c r="F84" s="184">
        <v>44042</v>
      </c>
      <c r="G84" s="185">
        <v>11102.150390625</v>
      </c>
      <c r="H84" s="186">
        <f t="shared" si="3"/>
        <v>-8.988714680747906E-3</v>
      </c>
    </row>
    <row r="85" spans="2:8">
      <c r="B85" s="175">
        <v>44043</v>
      </c>
      <c r="C85" s="176">
        <v>3.9483199119567871</v>
      </c>
      <c r="D85" s="180">
        <f t="shared" si="2"/>
        <v>-2.2727224444368168E-2</v>
      </c>
      <c r="F85" s="181">
        <v>44043</v>
      </c>
      <c r="G85" s="182">
        <v>11073.4501953125</v>
      </c>
      <c r="H85" s="183">
        <f t="shared" si="3"/>
        <v>-2.5851023723057593E-3</v>
      </c>
    </row>
    <row r="86" spans="2:8">
      <c r="B86" s="175">
        <v>44046</v>
      </c>
      <c r="C86" s="176">
        <v>3.9942300319671631</v>
      </c>
      <c r="D86" s="180">
        <f t="shared" si="2"/>
        <v>1.1627760929742626E-2</v>
      </c>
      <c r="F86" s="184">
        <v>44046</v>
      </c>
      <c r="G86" s="185">
        <v>10891.599609375</v>
      </c>
      <c r="H86" s="186">
        <f t="shared" si="3"/>
        <v>-1.6422215545294015E-2</v>
      </c>
    </row>
    <row r="87" spans="2:8">
      <c r="B87" s="175">
        <v>44047</v>
      </c>
      <c r="C87" s="176">
        <v>4.1778731346130371</v>
      </c>
      <c r="D87" s="180">
        <f t="shared" si="2"/>
        <v>4.5977097256822128E-2</v>
      </c>
      <c r="F87" s="181">
        <v>44047</v>
      </c>
      <c r="G87" s="182">
        <v>11095.25</v>
      </c>
      <c r="H87" s="183">
        <f t="shared" si="3"/>
        <v>1.8697932161379389E-2</v>
      </c>
    </row>
    <row r="88" spans="2:8">
      <c r="B88" s="175">
        <v>44048</v>
      </c>
      <c r="C88" s="176">
        <v>4.1319618225097656</v>
      </c>
      <c r="D88" s="180">
        <f t="shared" si="2"/>
        <v>-1.098915898687859E-2</v>
      </c>
      <c r="F88" s="184">
        <v>44048</v>
      </c>
      <c r="G88" s="185">
        <v>11101.650390625</v>
      </c>
      <c r="H88" s="186">
        <f t="shared" si="3"/>
        <v>5.7685862193280904E-4</v>
      </c>
    </row>
    <row r="89" spans="2:8">
      <c r="B89" s="175">
        <v>44049</v>
      </c>
      <c r="C89" s="176">
        <v>4.0860519409179688</v>
      </c>
      <c r="D89" s="180">
        <f t="shared" si="2"/>
        <v>-1.1110916209751203E-2</v>
      </c>
      <c r="F89" s="181">
        <v>44049</v>
      </c>
      <c r="G89" s="182">
        <v>11200.150390625</v>
      </c>
      <c r="H89" s="183">
        <f t="shared" si="3"/>
        <v>8.872554668374371E-3</v>
      </c>
    </row>
    <row r="90" spans="2:8">
      <c r="B90" s="175">
        <v>44050</v>
      </c>
      <c r="C90" s="176">
        <v>4.0401411056518546</v>
      </c>
      <c r="D90" s="180">
        <f t="shared" si="2"/>
        <v>-1.123598914794996E-2</v>
      </c>
      <c r="F90" s="184">
        <v>44050</v>
      </c>
      <c r="G90" s="185">
        <v>11214.0498046875</v>
      </c>
      <c r="H90" s="186">
        <f t="shared" si="3"/>
        <v>1.2410024488719721E-3</v>
      </c>
    </row>
    <row r="91" spans="2:8">
      <c r="B91" s="175">
        <v>44053</v>
      </c>
      <c r="C91" s="176">
        <v>4.1319618225097656</v>
      </c>
      <c r="D91" s="180">
        <f t="shared" si="2"/>
        <v>2.2727106419491324E-2</v>
      </c>
      <c r="F91" s="181">
        <v>44053</v>
      </c>
      <c r="G91" s="182">
        <v>11270.150390625</v>
      </c>
      <c r="H91" s="183">
        <f t="shared" si="3"/>
        <v>5.0027052594371233E-3</v>
      </c>
    </row>
    <row r="92" spans="2:8">
      <c r="B92" s="175">
        <v>44054</v>
      </c>
      <c r="C92" s="176">
        <v>3.9483199119567871</v>
      </c>
      <c r="D92" s="180">
        <f t="shared" si="2"/>
        <v>-4.4444241849609802E-2</v>
      </c>
      <c r="F92" s="184">
        <v>44054</v>
      </c>
      <c r="G92" s="185">
        <v>11322.5</v>
      </c>
      <c r="H92" s="186">
        <f t="shared" si="3"/>
        <v>4.6449787767292505E-3</v>
      </c>
    </row>
    <row r="93" spans="2:8">
      <c r="B93" s="175">
        <v>44055</v>
      </c>
      <c r="C93" s="176">
        <v>3.7646770477294922</v>
      </c>
      <c r="D93" s="180">
        <f t="shared" si="2"/>
        <v>-4.6511647567150032E-2</v>
      </c>
      <c r="F93" s="181">
        <v>44055</v>
      </c>
      <c r="G93" s="182">
        <v>11308.400390625</v>
      </c>
      <c r="H93" s="183">
        <f t="shared" si="3"/>
        <v>-1.2452735151247515E-3</v>
      </c>
    </row>
    <row r="94" spans="2:8">
      <c r="B94" s="175">
        <v>44056</v>
      </c>
      <c r="C94" s="176">
        <v>3.5810339450836182</v>
      </c>
      <c r="D94" s="180">
        <f t="shared" si="2"/>
        <v>-4.878057276031969E-2</v>
      </c>
      <c r="F94" s="184">
        <v>44056</v>
      </c>
      <c r="G94" s="185">
        <v>11300.4501953125</v>
      </c>
      <c r="H94" s="186">
        <f t="shared" si="3"/>
        <v>-7.0303447330101151E-4</v>
      </c>
    </row>
    <row r="95" spans="2:8">
      <c r="B95" s="175">
        <v>44057</v>
      </c>
      <c r="C95" s="176">
        <v>3.7187659740447998</v>
      </c>
      <c r="D95" s="180">
        <f t="shared" si="2"/>
        <v>3.8461525658050014E-2</v>
      </c>
      <c r="F95" s="181">
        <v>44057</v>
      </c>
      <c r="G95" s="182">
        <v>11178.400390625</v>
      </c>
      <c r="H95" s="183">
        <f t="shared" si="3"/>
        <v>-1.0800437378868946E-2</v>
      </c>
    </row>
    <row r="96" spans="2:8">
      <c r="B96" s="175">
        <v>44060</v>
      </c>
      <c r="C96" s="176">
        <v>3.7646770477294922</v>
      </c>
      <c r="D96" s="180">
        <f t="shared" si="2"/>
        <v>1.2345781908603451E-2</v>
      </c>
      <c r="F96" s="184">
        <v>44060</v>
      </c>
      <c r="G96" s="185">
        <v>11247.099609375</v>
      </c>
      <c r="H96" s="186">
        <f t="shared" si="3"/>
        <v>6.1457110453492112E-3</v>
      </c>
    </row>
    <row r="97" spans="2:8">
      <c r="B97" s="175">
        <v>44061</v>
      </c>
      <c r="C97" s="176">
        <v>3.672854900360107</v>
      </c>
      <c r="D97" s="180">
        <f t="shared" si="2"/>
        <v>-2.4390444706210299E-2</v>
      </c>
      <c r="F97" s="181">
        <v>44061</v>
      </c>
      <c r="G97" s="182">
        <v>11385.349609375</v>
      </c>
      <c r="H97" s="183">
        <f t="shared" si="3"/>
        <v>1.2292057935075276E-2</v>
      </c>
    </row>
    <row r="98" spans="2:8">
      <c r="B98" s="175">
        <v>44062</v>
      </c>
      <c r="C98" s="176">
        <v>3.626945018768311</v>
      </c>
      <c r="D98" s="180">
        <f t="shared" si="2"/>
        <v>-1.2499780916282515E-2</v>
      </c>
      <c r="F98" s="184">
        <v>44062</v>
      </c>
      <c r="G98" s="185">
        <v>11408.400390625</v>
      </c>
      <c r="H98" s="186">
        <f t="shared" si="3"/>
        <v>2.0246002135076617E-3</v>
      </c>
    </row>
    <row r="99" spans="2:8">
      <c r="B99" s="175">
        <v>44063</v>
      </c>
      <c r="C99" s="176">
        <v>3.5810339450836182</v>
      </c>
      <c r="D99" s="180">
        <f t="shared" si="2"/>
        <v>-1.2658331859765538E-2</v>
      </c>
      <c r="F99" s="181">
        <v>44063</v>
      </c>
      <c r="G99" s="182">
        <v>11312.2001953125</v>
      </c>
      <c r="H99" s="183">
        <f t="shared" si="3"/>
        <v>-8.432399987605076E-3</v>
      </c>
    </row>
    <row r="100" spans="2:8">
      <c r="B100" s="175">
        <v>44064</v>
      </c>
      <c r="C100" s="176">
        <v>3.626945018768311</v>
      </c>
      <c r="D100" s="180">
        <f t="shared" si="2"/>
        <v>1.2820619516250017E-2</v>
      </c>
      <c r="F100" s="184">
        <v>44064</v>
      </c>
      <c r="G100" s="185">
        <v>11371.599609375</v>
      </c>
      <c r="H100" s="186">
        <f t="shared" si="3"/>
        <v>5.2509160938571144E-3</v>
      </c>
    </row>
    <row r="101" spans="2:8">
      <c r="B101" s="175">
        <v>44067</v>
      </c>
      <c r="C101" s="176">
        <v>3.626945018768311</v>
      </c>
      <c r="D101" s="180">
        <f t="shared" si="2"/>
        <v>0</v>
      </c>
      <c r="F101" s="181">
        <v>44067</v>
      </c>
      <c r="G101" s="182">
        <v>11466.4501953125</v>
      </c>
      <c r="H101" s="183">
        <f t="shared" si="3"/>
        <v>8.341006471886599E-3</v>
      </c>
    </row>
    <row r="102" spans="2:8">
      <c r="B102" s="175">
        <v>44068</v>
      </c>
      <c r="C102" s="176">
        <v>3.626945018768311</v>
      </c>
      <c r="D102" s="180">
        <f t="shared" si="2"/>
        <v>0</v>
      </c>
      <c r="F102" s="184">
        <v>44068</v>
      </c>
      <c r="G102" s="185">
        <v>11472.25</v>
      </c>
      <c r="H102" s="186">
        <f t="shared" si="3"/>
        <v>5.0580646919575584E-4</v>
      </c>
    </row>
    <row r="103" spans="2:8">
      <c r="B103" s="175">
        <v>44069</v>
      </c>
      <c r="C103" s="176">
        <v>3.5351231098175049</v>
      </c>
      <c r="D103" s="180">
        <f t="shared" si="2"/>
        <v>-2.5316597984159209E-2</v>
      </c>
      <c r="F103" s="181">
        <v>44069</v>
      </c>
      <c r="G103" s="182">
        <v>11549.599609375</v>
      </c>
      <c r="H103" s="183">
        <f t="shared" si="3"/>
        <v>6.7423225064830354E-3</v>
      </c>
    </row>
    <row r="104" spans="2:8">
      <c r="B104" s="175">
        <v>44070</v>
      </c>
      <c r="C104" s="176">
        <v>3.5810339450836182</v>
      </c>
      <c r="D104" s="180">
        <f t="shared" si="2"/>
        <v>1.2987054153393645E-2</v>
      </c>
      <c r="F104" s="184">
        <v>44070</v>
      </c>
      <c r="G104" s="185">
        <v>11559.25</v>
      </c>
      <c r="H104" s="186">
        <f t="shared" si="3"/>
        <v>8.3556062126747827E-4</v>
      </c>
    </row>
    <row r="105" spans="2:8">
      <c r="B105" s="175">
        <v>44071</v>
      </c>
      <c r="C105" s="176">
        <v>3.5351231098175049</v>
      </c>
      <c r="D105" s="180">
        <f t="shared" si="2"/>
        <v>-1.282055293810996E-2</v>
      </c>
      <c r="F105" s="181">
        <v>44071</v>
      </c>
      <c r="G105" s="182">
        <v>11647.599609375</v>
      </c>
      <c r="H105" s="183">
        <f t="shared" si="3"/>
        <v>7.6431956549949179E-3</v>
      </c>
    </row>
    <row r="106" spans="2:8">
      <c r="B106" s="175">
        <v>44074</v>
      </c>
      <c r="C106" s="176">
        <v>3.443301916122437</v>
      </c>
      <c r="D106" s="180">
        <f t="shared" si="2"/>
        <v>-2.5973973421199479E-2</v>
      </c>
      <c r="F106" s="184">
        <v>44074</v>
      </c>
      <c r="G106" s="185">
        <v>11387.5</v>
      </c>
      <c r="H106" s="186">
        <f t="shared" si="3"/>
        <v>-2.2330747801946185E-2</v>
      </c>
    </row>
    <row r="107" spans="2:8">
      <c r="B107" s="175">
        <v>44075</v>
      </c>
      <c r="C107" s="176">
        <v>3.3514800071716309</v>
      </c>
      <c r="D107" s="180">
        <f t="shared" si="2"/>
        <v>-2.6666818997448931E-2</v>
      </c>
      <c r="F107" s="181">
        <v>44075</v>
      </c>
      <c r="G107" s="182">
        <v>11470.25</v>
      </c>
      <c r="H107" s="183">
        <f t="shared" si="3"/>
        <v>7.2667398463227223E-3</v>
      </c>
    </row>
    <row r="108" spans="2:8">
      <c r="B108" s="175">
        <v>44076</v>
      </c>
      <c r="C108" s="176">
        <v>3.3055698871612549</v>
      </c>
      <c r="D108" s="180">
        <f t="shared" si="2"/>
        <v>-1.3698461548968118E-2</v>
      </c>
      <c r="F108" s="184">
        <v>44076</v>
      </c>
      <c r="G108" s="185">
        <v>11535</v>
      </c>
      <c r="H108" s="186">
        <f t="shared" si="3"/>
        <v>5.6450382511279177E-3</v>
      </c>
    </row>
    <row r="109" spans="2:8">
      <c r="B109" s="175">
        <v>44077</v>
      </c>
      <c r="C109" s="176">
        <v>3.1678380966186519</v>
      </c>
      <c r="D109" s="180">
        <f t="shared" si="2"/>
        <v>-4.166657951403465E-2</v>
      </c>
      <c r="F109" s="181">
        <v>44077</v>
      </c>
      <c r="G109" s="182">
        <v>11527.4501953125</v>
      </c>
      <c r="H109" s="183">
        <f t="shared" si="3"/>
        <v>-6.5451276007802341E-4</v>
      </c>
    </row>
    <row r="110" spans="2:8">
      <c r="B110" s="175">
        <v>44078</v>
      </c>
      <c r="C110" s="176">
        <v>3.076015949249268</v>
      </c>
      <c r="D110" s="180">
        <f t="shared" si="2"/>
        <v>-2.8985745031412675E-2</v>
      </c>
      <c r="F110" s="184">
        <v>44078</v>
      </c>
      <c r="G110" s="185">
        <v>11333.849609375</v>
      </c>
      <c r="H110" s="186">
        <f t="shared" si="3"/>
        <v>-1.6794744948559863E-2</v>
      </c>
    </row>
    <row r="111" spans="2:8">
      <c r="B111" s="175">
        <v>44081</v>
      </c>
      <c r="C111" s="176">
        <v>3.12192702293396</v>
      </c>
      <c r="D111" s="180">
        <f t="shared" si="2"/>
        <v>1.4925499230879147E-2</v>
      </c>
      <c r="F111" s="181">
        <v>44081</v>
      </c>
      <c r="G111" s="182">
        <v>11355.0498046875</v>
      </c>
      <c r="H111" s="183">
        <f t="shared" si="3"/>
        <v>1.870520259503344E-3</v>
      </c>
    </row>
    <row r="112" spans="2:8">
      <c r="B112" s="175">
        <v>44082</v>
      </c>
      <c r="C112" s="176">
        <v>3.076015949249268</v>
      </c>
      <c r="D112" s="180">
        <f t="shared" si="2"/>
        <v>-1.4706004768024689E-2</v>
      </c>
      <c r="F112" s="184">
        <v>44082</v>
      </c>
      <c r="G112" s="185">
        <v>11317.349609375</v>
      </c>
      <c r="H112" s="186">
        <f t="shared" si="3"/>
        <v>-3.3201259317186711E-3</v>
      </c>
    </row>
    <row r="113" spans="2:8">
      <c r="B113" s="175">
        <v>44083</v>
      </c>
      <c r="C113" s="176">
        <v>3.076015949249268</v>
      </c>
      <c r="D113" s="180">
        <f t="shared" si="2"/>
        <v>0</v>
      </c>
      <c r="F113" s="181">
        <v>44083</v>
      </c>
      <c r="G113" s="182">
        <v>11278</v>
      </c>
      <c r="H113" s="183">
        <f t="shared" si="3"/>
        <v>-3.4769279675166877E-3</v>
      </c>
    </row>
    <row r="114" spans="2:8">
      <c r="B114" s="175">
        <v>44084</v>
      </c>
      <c r="C114" s="176">
        <v>3.0301060676574711</v>
      </c>
      <c r="D114" s="180">
        <f t="shared" si="2"/>
        <v>-1.4925111686433757E-2</v>
      </c>
      <c r="F114" s="184">
        <v>44084</v>
      </c>
      <c r="G114" s="185">
        <v>11449.25</v>
      </c>
      <c r="H114" s="186">
        <f t="shared" si="3"/>
        <v>1.5184429863450966E-2</v>
      </c>
    </row>
    <row r="115" spans="2:8">
      <c r="B115" s="175">
        <v>44085</v>
      </c>
      <c r="C115" s="176">
        <v>3.0301060676574711</v>
      </c>
      <c r="D115" s="180">
        <f t="shared" si="2"/>
        <v>0</v>
      </c>
      <c r="F115" s="181">
        <v>44085</v>
      </c>
      <c r="G115" s="182">
        <v>11464.4501953125</v>
      </c>
      <c r="H115" s="183">
        <f t="shared" si="3"/>
        <v>1.3276149365678974E-3</v>
      </c>
    </row>
    <row r="116" spans="2:8">
      <c r="B116" s="175">
        <v>44088</v>
      </c>
      <c r="C116" s="176">
        <v>2.9841949939727779</v>
      </c>
      <c r="D116" s="180">
        <f t="shared" si="2"/>
        <v>-1.5151639137235358E-2</v>
      </c>
      <c r="F116" s="184">
        <v>44088</v>
      </c>
      <c r="G116" s="185">
        <v>11440.0498046875</v>
      </c>
      <c r="H116" s="186">
        <f t="shared" si="3"/>
        <v>-2.1283524468514552E-3</v>
      </c>
    </row>
    <row r="117" spans="2:8">
      <c r="B117" s="175">
        <v>44089</v>
      </c>
      <c r="C117" s="176">
        <v>3.076015949249268</v>
      </c>
      <c r="D117" s="180">
        <f t="shared" si="2"/>
        <v>3.076908696045073E-2</v>
      </c>
      <c r="F117" s="181">
        <v>44089</v>
      </c>
      <c r="G117" s="182">
        <v>11521.7998046875</v>
      </c>
      <c r="H117" s="183">
        <f t="shared" si="3"/>
        <v>7.1459479106903336E-3</v>
      </c>
    </row>
    <row r="118" spans="2:8">
      <c r="B118" s="175">
        <v>44090</v>
      </c>
      <c r="C118" s="176">
        <v>3.0301060676574711</v>
      </c>
      <c r="D118" s="180">
        <f t="shared" si="2"/>
        <v>-1.4925111686433757E-2</v>
      </c>
      <c r="F118" s="184">
        <v>44090</v>
      </c>
      <c r="G118" s="185">
        <v>11604.5498046875</v>
      </c>
      <c r="H118" s="186">
        <f t="shared" si="3"/>
        <v>7.1820376506050903E-3</v>
      </c>
    </row>
    <row r="119" spans="2:8">
      <c r="B119" s="175">
        <v>44091</v>
      </c>
      <c r="C119" s="176">
        <v>2.9841949939727779</v>
      </c>
      <c r="D119" s="180">
        <f t="shared" si="2"/>
        <v>-1.5151639137235358E-2</v>
      </c>
      <c r="F119" s="181">
        <v>44091</v>
      </c>
      <c r="G119" s="182">
        <v>11516.099609375</v>
      </c>
      <c r="H119" s="183">
        <f t="shared" si="3"/>
        <v>-7.6220272911209138E-3</v>
      </c>
    </row>
    <row r="120" spans="2:8">
      <c r="B120" s="175">
        <v>44092</v>
      </c>
      <c r="C120" s="176">
        <v>2.8464629650115971</v>
      </c>
      <c r="D120" s="180">
        <f t="shared" si="2"/>
        <v>-4.6153830175092489E-2</v>
      </c>
      <c r="F120" s="184">
        <v>44092</v>
      </c>
      <c r="G120" s="185">
        <v>11504.9501953125</v>
      </c>
      <c r="H120" s="186">
        <f t="shared" si="3"/>
        <v>-9.6815887676271147E-4</v>
      </c>
    </row>
    <row r="121" spans="2:8">
      <c r="B121" s="175">
        <v>44095</v>
      </c>
      <c r="C121" s="176">
        <v>2.8464629650115971</v>
      </c>
      <c r="D121" s="180">
        <f t="shared" si="2"/>
        <v>0</v>
      </c>
      <c r="F121" s="181">
        <v>44095</v>
      </c>
      <c r="G121" s="182">
        <v>11250.5498046875</v>
      </c>
      <c r="H121" s="183">
        <f t="shared" si="3"/>
        <v>-2.2112254838673809E-2</v>
      </c>
    </row>
    <row r="122" spans="2:8">
      <c r="B122" s="175">
        <v>44096</v>
      </c>
      <c r="C122" s="176">
        <v>2.754641056060791</v>
      </c>
      <c r="D122" s="180">
        <f t="shared" si="2"/>
        <v>-3.2258248246849051E-2</v>
      </c>
      <c r="F122" s="184">
        <v>44096</v>
      </c>
      <c r="G122" s="185">
        <v>11153.650390625</v>
      </c>
      <c r="H122" s="186">
        <f t="shared" si="3"/>
        <v>-8.6128603263573144E-3</v>
      </c>
    </row>
    <row r="123" spans="2:8">
      <c r="B123" s="175">
        <v>44097</v>
      </c>
      <c r="C123" s="176">
        <v>2.708730936050415</v>
      </c>
      <c r="D123" s="180">
        <f t="shared" si="2"/>
        <v>-1.6666461827890073E-2</v>
      </c>
      <c r="F123" s="181">
        <v>44097</v>
      </c>
      <c r="G123" s="182">
        <v>11131.849609375</v>
      </c>
      <c r="H123" s="183">
        <f t="shared" si="3"/>
        <v>-1.9545871070447262E-3</v>
      </c>
    </row>
    <row r="124" spans="2:8">
      <c r="B124" s="175">
        <v>44098</v>
      </c>
      <c r="C124" s="176">
        <v>2.754641056060791</v>
      </c>
      <c r="D124" s="180">
        <f t="shared" si="2"/>
        <v>1.6948940701108268E-2</v>
      </c>
      <c r="F124" s="184">
        <v>44098</v>
      </c>
      <c r="G124" s="185">
        <v>10805.5498046875</v>
      </c>
      <c r="H124" s="186">
        <f t="shared" si="3"/>
        <v>-2.9312272096516417E-2</v>
      </c>
    </row>
    <row r="125" spans="2:8">
      <c r="B125" s="175">
        <v>44099</v>
      </c>
      <c r="C125" s="176">
        <v>2.8005518913269039</v>
      </c>
      <c r="D125" s="180">
        <f t="shared" si="2"/>
        <v>1.6666721482677144E-2</v>
      </c>
      <c r="F125" s="181">
        <v>44099</v>
      </c>
      <c r="G125" s="182">
        <v>11050.25</v>
      </c>
      <c r="H125" s="183">
        <f t="shared" si="3"/>
        <v>2.264578848235449E-2</v>
      </c>
    </row>
    <row r="126" spans="2:8">
      <c r="B126" s="175">
        <v>44102</v>
      </c>
      <c r="C126" s="176">
        <v>2.754641056060791</v>
      </c>
      <c r="D126" s="180">
        <f t="shared" si="2"/>
        <v>-1.6393495656443716E-2</v>
      </c>
      <c r="F126" s="184">
        <v>44102</v>
      </c>
      <c r="G126" s="185">
        <v>11227.5498046875</v>
      </c>
      <c r="H126" s="186">
        <f t="shared" si="3"/>
        <v>1.6044868187371327E-2</v>
      </c>
    </row>
    <row r="127" spans="2:8">
      <c r="B127" s="175">
        <v>44103</v>
      </c>
      <c r="C127" s="176">
        <v>2.754641056060791</v>
      </c>
      <c r="D127" s="180">
        <f t="shared" si="2"/>
        <v>0</v>
      </c>
      <c r="F127" s="181">
        <v>44103</v>
      </c>
      <c r="G127" s="182">
        <v>11222.400390625</v>
      </c>
      <c r="H127" s="183">
        <f t="shared" si="3"/>
        <v>-4.5864094589454597E-4</v>
      </c>
    </row>
    <row r="128" spans="2:8">
      <c r="B128" s="175">
        <v>44104</v>
      </c>
      <c r="C128" s="176">
        <v>2.6628201007843022</v>
      </c>
      <c r="D128" s="180">
        <f t="shared" si="2"/>
        <v>-3.333318331056722E-2</v>
      </c>
      <c r="F128" s="184">
        <v>44104</v>
      </c>
      <c r="G128" s="185">
        <v>11247.5498046875</v>
      </c>
      <c r="H128" s="186">
        <f t="shared" si="3"/>
        <v>2.2410013176422921E-3</v>
      </c>
    </row>
    <row r="129" spans="2:8">
      <c r="B129" s="175">
        <v>44105</v>
      </c>
      <c r="C129" s="176">
        <v>2.6628201007843022</v>
      </c>
      <c r="D129" s="180">
        <f t="shared" si="2"/>
        <v>0</v>
      </c>
      <c r="F129" s="181">
        <v>44105</v>
      </c>
      <c r="G129" s="182">
        <v>11416.9501953125</v>
      </c>
      <c r="H129" s="183">
        <f t="shared" si="3"/>
        <v>1.5061092732783554E-2</v>
      </c>
    </row>
    <row r="130" spans="2:8">
      <c r="B130" s="175">
        <v>44109</v>
      </c>
      <c r="C130" s="176">
        <v>2.754641056060791</v>
      </c>
      <c r="D130" s="180">
        <f t="shared" si="2"/>
        <v>3.4482598073164623E-2</v>
      </c>
      <c r="F130" s="184">
        <v>44109</v>
      </c>
      <c r="G130" s="185">
        <v>11503.349609375</v>
      </c>
      <c r="H130" s="186">
        <f t="shared" si="3"/>
        <v>7.5676439490796176E-3</v>
      </c>
    </row>
    <row r="131" spans="2:8">
      <c r="B131" s="175">
        <v>44110</v>
      </c>
      <c r="C131" s="176">
        <v>2.8005518913269039</v>
      </c>
      <c r="D131" s="180">
        <f t="shared" si="2"/>
        <v>1.6666721482677144E-2</v>
      </c>
      <c r="F131" s="181">
        <v>44110</v>
      </c>
      <c r="G131" s="182">
        <v>11662.400390625</v>
      </c>
      <c r="H131" s="183">
        <f t="shared" si="3"/>
        <v>1.3826475474619739E-2</v>
      </c>
    </row>
    <row r="132" spans="2:8">
      <c r="B132" s="175">
        <v>44111</v>
      </c>
      <c r="C132" s="176">
        <v>2.754641056060791</v>
      </c>
      <c r="D132" s="180">
        <f t="shared" si="2"/>
        <v>-1.6393495656443716E-2</v>
      </c>
      <c r="F132" s="184">
        <v>44111</v>
      </c>
      <c r="G132" s="185">
        <v>11738.849609375</v>
      </c>
      <c r="H132" s="186">
        <f t="shared" si="3"/>
        <v>6.5551872847252682E-3</v>
      </c>
    </row>
    <row r="133" spans="2:8">
      <c r="B133" s="175">
        <v>44112</v>
      </c>
      <c r="C133" s="176">
        <v>2.6628201007843022</v>
      </c>
      <c r="D133" s="180">
        <f t="shared" ref="D133:D196" si="4">(C133-C132)/C132</f>
        <v>-3.333318331056722E-2</v>
      </c>
      <c r="F133" s="181">
        <v>44112</v>
      </c>
      <c r="G133" s="182">
        <v>11834.599609375</v>
      </c>
      <c r="H133" s="183">
        <f t="shared" ref="H133:H196" si="5">(G133-G132)/G132</f>
        <v>8.1566766068398352E-3</v>
      </c>
    </row>
    <row r="134" spans="2:8">
      <c r="B134" s="175">
        <v>44113</v>
      </c>
      <c r="C134" s="176">
        <v>2.708730936050415</v>
      </c>
      <c r="D134" s="180">
        <f t="shared" si="4"/>
        <v>1.7241433340761676E-2</v>
      </c>
      <c r="F134" s="184">
        <v>44113</v>
      </c>
      <c r="G134" s="185">
        <v>11914.2001953125</v>
      </c>
      <c r="H134" s="186">
        <f t="shared" si="5"/>
        <v>6.7260903253915667E-3</v>
      </c>
    </row>
    <row r="135" spans="2:8">
      <c r="B135" s="175">
        <v>44116</v>
      </c>
      <c r="C135" s="176">
        <v>2.6628201007843022</v>
      </c>
      <c r="D135" s="180">
        <f t="shared" si="4"/>
        <v>-1.6949204756768924E-2</v>
      </c>
      <c r="F135" s="181">
        <v>44116</v>
      </c>
      <c r="G135" s="182">
        <v>11930.9501953125</v>
      </c>
      <c r="H135" s="183">
        <f t="shared" si="5"/>
        <v>1.4058853909967107E-3</v>
      </c>
    </row>
    <row r="136" spans="2:8">
      <c r="B136" s="175">
        <v>44117</v>
      </c>
      <c r="C136" s="176">
        <v>2.6169090270996089</v>
      </c>
      <c r="D136" s="180">
        <f t="shared" si="4"/>
        <v>-1.7241522876881809E-2</v>
      </c>
      <c r="F136" s="184">
        <v>44117</v>
      </c>
      <c r="G136" s="185">
        <v>11934.5</v>
      </c>
      <c r="H136" s="186">
        <f t="shared" si="5"/>
        <v>2.9752908438882491E-4</v>
      </c>
    </row>
    <row r="137" spans="2:8">
      <c r="B137" s="175">
        <v>44118</v>
      </c>
      <c r="C137" s="176">
        <v>2.6169090270996089</v>
      </c>
      <c r="D137" s="180">
        <f t="shared" si="4"/>
        <v>0</v>
      </c>
      <c r="F137" s="181">
        <v>44118</v>
      </c>
      <c r="G137" s="182">
        <v>11971.0498046875</v>
      </c>
      <c r="H137" s="183">
        <f t="shared" si="5"/>
        <v>3.0625333853533873E-3</v>
      </c>
    </row>
    <row r="138" spans="2:8">
      <c r="B138" s="175">
        <v>44119</v>
      </c>
      <c r="C138" s="176">
        <v>2.6169090270996089</v>
      </c>
      <c r="D138" s="180">
        <f t="shared" si="4"/>
        <v>0</v>
      </c>
      <c r="F138" s="184">
        <v>44119</v>
      </c>
      <c r="G138" s="185">
        <v>11680.349609375</v>
      </c>
      <c r="H138" s="186">
        <f t="shared" si="5"/>
        <v>-2.4283600858353342E-2</v>
      </c>
    </row>
    <row r="139" spans="2:8">
      <c r="B139" s="175">
        <v>44120</v>
      </c>
      <c r="C139" s="176">
        <v>2.570998907089233</v>
      </c>
      <c r="D139" s="180">
        <f t="shared" si="4"/>
        <v>-1.7543643869523201E-2</v>
      </c>
      <c r="F139" s="181">
        <v>44120</v>
      </c>
      <c r="G139" s="182">
        <v>11762.4501953125</v>
      </c>
      <c r="H139" s="183">
        <f t="shared" si="5"/>
        <v>7.0289493622351512E-3</v>
      </c>
    </row>
    <row r="140" spans="2:8">
      <c r="B140" s="175">
        <v>44123</v>
      </c>
      <c r="C140" s="176">
        <v>2.6628201007843022</v>
      </c>
      <c r="D140" s="180">
        <f t="shared" si="4"/>
        <v>3.5714209540067439E-2</v>
      </c>
      <c r="F140" s="184">
        <v>44123</v>
      </c>
      <c r="G140" s="185">
        <v>11873.0498046875</v>
      </c>
      <c r="H140" s="186">
        <f t="shared" si="5"/>
        <v>9.4027696218493221E-3</v>
      </c>
    </row>
    <row r="141" spans="2:8">
      <c r="B141" s="175">
        <v>44124</v>
      </c>
      <c r="C141" s="176">
        <v>2.6628201007843022</v>
      </c>
      <c r="D141" s="180">
        <f t="shared" si="4"/>
        <v>0</v>
      </c>
      <c r="F141" s="181">
        <v>44124</v>
      </c>
      <c r="G141" s="182">
        <v>11896.7998046875</v>
      </c>
      <c r="H141" s="183">
        <f t="shared" si="5"/>
        <v>2.000328507897226E-3</v>
      </c>
    </row>
    <row r="142" spans="2:8">
      <c r="B142" s="175">
        <v>44125</v>
      </c>
      <c r="C142" s="176">
        <v>2.708730936050415</v>
      </c>
      <c r="D142" s="180">
        <f t="shared" si="4"/>
        <v>1.7241433340761676E-2</v>
      </c>
      <c r="F142" s="184">
        <v>44125</v>
      </c>
      <c r="G142" s="185">
        <v>11937.650390625</v>
      </c>
      <c r="H142" s="186">
        <f t="shared" si="5"/>
        <v>3.4337457642520234E-3</v>
      </c>
    </row>
    <row r="143" spans="2:8">
      <c r="B143" s="175">
        <v>44126</v>
      </c>
      <c r="C143" s="176">
        <v>2.9382839202880859</v>
      </c>
      <c r="D143" s="180">
        <f t="shared" si="4"/>
        <v>8.4745583691077403E-2</v>
      </c>
      <c r="F143" s="181">
        <v>44126</v>
      </c>
      <c r="G143" s="182">
        <v>11896.4501953125</v>
      </c>
      <c r="H143" s="183">
        <f t="shared" si="5"/>
        <v>-3.4512817819539903E-3</v>
      </c>
    </row>
    <row r="144" spans="2:8">
      <c r="B144" s="175">
        <v>44127</v>
      </c>
      <c r="C144" s="176">
        <v>3.2137479782104492</v>
      </c>
      <c r="D144" s="180">
        <f t="shared" si="4"/>
        <v>9.3749979714470619E-2</v>
      </c>
      <c r="F144" s="184">
        <v>44127</v>
      </c>
      <c r="G144" s="185">
        <v>11930.349609375</v>
      </c>
      <c r="H144" s="186">
        <f t="shared" si="5"/>
        <v>2.8495402835256875E-3</v>
      </c>
    </row>
    <row r="145" spans="2:8">
      <c r="B145" s="175">
        <v>44130</v>
      </c>
      <c r="C145" s="176">
        <v>3.3514800071716309</v>
      </c>
      <c r="D145" s="180">
        <f t="shared" si="4"/>
        <v>4.2857134378619405E-2</v>
      </c>
      <c r="F145" s="181">
        <v>44130</v>
      </c>
      <c r="G145" s="182">
        <v>11767.75</v>
      </c>
      <c r="H145" s="183">
        <f t="shared" si="5"/>
        <v>-1.3629073304543183E-2</v>
      </c>
    </row>
    <row r="146" spans="2:8">
      <c r="B146" s="175">
        <v>44131</v>
      </c>
      <c r="C146" s="176">
        <v>3.4892129898071289</v>
      </c>
      <c r="D146" s="180">
        <f t="shared" si="4"/>
        <v>4.1096167168167948E-2</v>
      </c>
      <c r="F146" s="184">
        <v>44131</v>
      </c>
      <c r="G146" s="185">
        <v>11889.400390625</v>
      </c>
      <c r="H146" s="186">
        <f t="shared" si="5"/>
        <v>1.0337608346965222E-2</v>
      </c>
    </row>
    <row r="147" spans="2:8">
      <c r="B147" s="175">
        <v>44132</v>
      </c>
      <c r="C147" s="176">
        <v>3.626945018768311</v>
      </c>
      <c r="D147" s="180">
        <f t="shared" si="4"/>
        <v>3.9473666228898058E-2</v>
      </c>
      <c r="F147" s="181">
        <v>44132</v>
      </c>
      <c r="G147" s="182">
        <v>11729.599609375</v>
      </c>
      <c r="H147" s="183">
        <f t="shared" si="5"/>
        <v>-1.3440608945763632E-2</v>
      </c>
    </row>
    <row r="148" spans="2:8">
      <c r="B148" s="175">
        <v>44133</v>
      </c>
      <c r="C148" s="176">
        <v>3.4892129898071289</v>
      </c>
      <c r="D148" s="180">
        <f t="shared" si="4"/>
        <v>-3.797466690243765E-2</v>
      </c>
      <c r="F148" s="184">
        <v>44133</v>
      </c>
      <c r="G148" s="185">
        <v>11670.7998046875</v>
      </c>
      <c r="H148" s="186">
        <f t="shared" si="5"/>
        <v>-5.012942184360979E-3</v>
      </c>
    </row>
    <row r="149" spans="2:8">
      <c r="B149" s="175">
        <v>44134</v>
      </c>
      <c r="C149" s="176">
        <v>3.3514800071716309</v>
      </c>
      <c r="D149" s="180">
        <f t="shared" si="4"/>
        <v>-3.9473939549649395E-2</v>
      </c>
      <c r="F149" s="181">
        <v>44134</v>
      </c>
      <c r="G149" s="182">
        <v>11642.400390625</v>
      </c>
      <c r="H149" s="183">
        <f t="shared" si="5"/>
        <v>-2.4333734223676395E-3</v>
      </c>
    </row>
    <row r="150" spans="2:8">
      <c r="B150" s="175">
        <v>44137</v>
      </c>
      <c r="C150" s="176">
        <v>3.2137479782104492</v>
      </c>
      <c r="D150" s="180">
        <f t="shared" si="4"/>
        <v>-4.1095882614981184E-2</v>
      </c>
      <c r="F150" s="184">
        <v>44137</v>
      </c>
      <c r="G150" s="185">
        <v>11669.150390625</v>
      </c>
      <c r="H150" s="186">
        <f t="shared" si="5"/>
        <v>2.2976361491175257E-3</v>
      </c>
    </row>
    <row r="151" spans="2:8">
      <c r="B151" s="175">
        <v>44138</v>
      </c>
      <c r="C151" s="176">
        <v>3.076015949249268</v>
      </c>
      <c r="D151" s="180">
        <f t="shared" si="4"/>
        <v>-4.2857134378619266E-2</v>
      </c>
      <c r="F151" s="181">
        <v>44138</v>
      </c>
      <c r="G151" s="182">
        <v>11813.5</v>
      </c>
      <c r="H151" s="183">
        <f t="shared" si="5"/>
        <v>1.2370190163199074E-2</v>
      </c>
    </row>
    <row r="152" spans="2:8">
      <c r="B152" s="175">
        <v>44139</v>
      </c>
      <c r="C152" s="176">
        <v>2.9382839202880859</v>
      </c>
      <c r="D152" s="180">
        <f t="shared" si="4"/>
        <v>-4.477611014819248E-2</v>
      </c>
      <c r="F152" s="184">
        <v>44139</v>
      </c>
      <c r="G152" s="185">
        <v>11908.5</v>
      </c>
      <c r="H152" s="186">
        <f t="shared" si="5"/>
        <v>8.041647267956151E-3</v>
      </c>
    </row>
    <row r="153" spans="2:8">
      <c r="B153" s="175">
        <v>44140</v>
      </c>
      <c r="C153" s="176">
        <v>2.8005518913269039</v>
      </c>
      <c r="D153" s="180">
        <f t="shared" si="4"/>
        <v>-4.6874989857235462E-2</v>
      </c>
      <c r="F153" s="181">
        <v>44140</v>
      </c>
      <c r="G153" s="182">
        <v>12120.2998046875</v>
      </c>
      <c r="H153" s="183">
        <f t="shared" si="5"/>
        <v>1.7785598915690475E-2</v>
      </c>
    </row>
    <row r="154" spans="2:8">
      <c r="B154" s="175">
        <v>44141</v>
      </c>
      <c r="C154" s="176">
        <v>2.708730936050415</v>
      </c>
      <c r="D154" s="180">
        <f t="shared" si="4"/>
        <v>-3.2786735914749988E-2</v>
      </c>
      <c r="F154" s="184">
        <v>44141</v>
      </c>
      <c r="G154" s="185">
        <v>12263.5498046875</v>
      </c>
      <c r="H154" s="186">
        <f t="shared" si="5"/>
        <v>1.1819014571289595E-2</v>
      </c>
    </row>
    <row r="155" spans="2:8">
      <c r="B155" s="175">
        <v>44144</v>
      </c>
      <c r="C155" s="176">
        <v>2.8005518913269039</v>
      </c>
      <c r="D155" s="180">
        <f t="shared" si="4"/>
        <v>3.3898145457877192E-2</v>
      </c>
      <c r="F155" s="181">
        <v>44144</v>
      </c>
      <c r="G155" s="182">
        <v>12461.0498046875</v>
      </c>
      <c r="H155" s="183">
        <f t="shared" si="5"/>
        <v>1.6104635537461554E-2</v>
      </c>
    </row>
    <row r="156" spans="2:8">
      <c r="B156" s="175">
        <v>44145</v>
      </c>
      <c r="C156" s="176">
        <v>2.754641056060791</v>
      </c>
      <c r="D156" s="180">
        <f t="shared" si="4"/>
        <v>-1.6393495656443716E-2</v>
      </c>
      <c r="F156" s="184">
        <v>44145</v>
      </c>
      <c r="G156" s="185">
        <v>12631.099609375</v>
      </c>
      <c r="H156" s="186">
        <f t="shared" si="5"/>
        <v>1.3646507104363872E-2</v>
      </c>
    </row>
    <row r="157" spans="2:8">
      <c r="B157" s="175">
        <v>44146</v>
      </c>
      <c r="C157" s="176">
        <v>2.8923740386962891</v>
      </c>
      <c r="D157" s="180">
        <f t="shared" si="4"/>
        <v>5.0000337551223399E-2</v>
      </c>
      <c r="F157" s="181">
        <v>44146</v>
      </c>
      <c r="G157" s="182">
        <v>12749.150390625</v>
      </c>
      <c r="H157" s="183">
        <f t="shared" si="5"/>
        <v>9.3460415087203378E-3</v>
      </c>
    </row>
    <row r="158" spans="2:8">
      <c r="B158" s="175">
        <v>44147</v>
      </c>
      <c r="C158" s="176">
        <v>3.0301060676574711</v>
      </c>
      <c r="D158" s="180">
        <f t="shared" si="4"/>
        <v>4.761902406760072E-2</v>
      </c>
      <c r="F158" s="184">
        <v>44147</v>
      </c>
      <c r="G158" s="185">
        <v>12690.7998046875</v>
      </c>
      <c r="H158" s="186">
        <f t="shared" si="5"/>
        <v>-4.5768215253314216E-3</v>
      </c>
    </row>
    <row r="159" spans="2:8">
      <c r="B159" s="175">
        <v>44148</v>
      </c>
      <c r="C159" s="176">
        <v>3.1678380966186519</v>
      </c>
      <c r="D159" s="180">
        <f t="shared" si="4"/>
        <v>4.5454523995478245E-2</v>
      </c>
      <c r="F159" s="181">
        <v>44148</v>
      </c>
      <c r="G159" s="182">
        <v>12719.9501953125</v>
      </c>
      <c r="H159" s="183">
        <f t="shared" si="5"/>
        <v>2.2969703307614193E-3</v>
      </c>
    </row>
    <row r="160" spans="2:8">
      <c r="B160" s="175">
        <v>44152</v>
      </c>
      <c r="C160" s="176">
        <v>3.443301916122437</v>
      </c>
      <c r="D160" s="180">
        <f t="shared" si="4"/>
        <v>8.6956407209640846E-2</v>
      </c>
      <c r="F160" s="184">
        <v>44152</v>
      </c>
      <c r="G160" s="185">
        <v>12874.2001953125</v>
      </c>
      <c r="H160" s="186">
        <f t="shared" si="5"/>
        <v>1.2126619808373427E-2</v>
      </c>
    </row>
    <row r="161" spans="2:8">
      <c r="B161" s="175">
        <v>44153</v>
      </c>
      <c r="C161" s="176">
        <v>3.3973910808563228</v>
      </c>
      <c r="D161" s="180">
        <f t="shared" si="4"/>
        <v>-1.3333374878092354E-2</v>
      </c>
      <c r="F161" s="181">
        <v>44153</v>
      </c>
      <c r="G161" s="182">
        <v>12938.25</v>
      </c>
      <c r="H161" s="183">
        <f t="shared" si="5"/>
        <v>4.9750511655722541E-3</v>
      </c>
    </row>
    <row r="162" spans="2:8">
      <c r="B162" s="175">
        <v>44154</v>
      </c>
      <c r="C162" s="176">
        <v>3.259659051895142</v>
      </c>
      <c r="D162" s="180">
        <f t="shared" si="4"/>
        <v>-4.0540528212155362E-2</v>
      </c>
      <c r="F162" s="184">
        <v>44154</v>
      </c>
      <c r="G162" s="185">
        <v>12771.7001953125</v>
      </c>
      <c r="H162" s="186">
        <f t="shared" si="5"/>
        <v>-1.2872668613413716E-2</v>
      </c>
    </row>
    <row r="163" spans="2:8">
      <c r="B163" s="175">
        <v>44155</v>
      </c>
      <c r="C163" s="176">
        <v>3.1678380966186519</v>
      </c>
      <c r="D163" s="180">
        <f t="shared" si="4"/>
        <v>-2.816888325271507E-2</v>
      </c>
      <c r="F163" s="181">
        <v>44155</v>
      </c>
      <c r="G163" s="182">
        <v>12859.0498046875</v>
      </c>
      <c r="H163" s="183">
        <f t="shared" si="5"/>
        <v>6.83930941371919E-3</v>
      </c>
    </row>
    <row r="164" spans="2:8">
      <c r="B164" s="175">
        <v>44158</v>
      </c>
      <c r="C164" s="176">
        <v>3.1678380966186519</v>
      </c>
      <c r="D164" s="180">
        <f t="shared" si="4"/>
        <v>0</v>
      </c>
      <c r="F164" s="184">
        <v>44158</v>
      </c>
      <c r="G164" s="185">
        <v>12926.4501953125</v>
      </c>
      <c r="H164" s="186">
        <f t="shared" si="5"/>
        <v>5.241475198302023E-3</v>
      </c>
    </row>
    <row r="165" spans="2:8">
      <c r="B165" s="175">
        <v>44159</v>
      </c>
      <c r="C165" s="176">
        <v>3.2137479782104492</v>
      </c>
      <c r="D165" s="180">
        <f t="shared" si="4"/>
        <v>1.4492496204525571E-2</v>
      </c>
      <c r="F165" s="181">
        <v>44159</v>
      </c>
      <c r="G165" s="182">
        <v>13055.150390625</v>
      </c>
      <c r="H165" s="183">
        <f t="shared" si="5"/>
        <v>9.9563448098976444E-3</v>
      </c>
    </row>
    <row r="166" spans="2:8">
      <c r="B166" s="175">
        <v>44160</v>
      </c>
      <c r="C166" s="176">
        <v>3.1678380966186519</v>
      </c>
      <c r="D166" s="180">
        <f t="shared" si="4"/>
        <v>-1.4285464169272502E-2</v>
      </c>
      <c r="F166" s="184">
        <v>44160</v>
      </c>
      <c r="G166" s="185">
        <v>12858.400390625</v>
      </c>
      <c r="H166" s="186">
        <f t="shared" si="5"/>
        <v>-1.507068046809232E-2</v>
      </c>
    </row>
    <row r="167" spans="2:8">
      <c r="B167" s="175">
        <v>44161</v>
      </c>
      <c r="C167" s="176">
        <v>3.1678380966186519</v>
      </c>
      <c r="D167" s="180">
        <f t="shared" si="4"/>
        <v>0</v>
      </c>
      <c r="F167" s="181">
        <v>44161</v>
      </c>
      <c r="G167" s="182">
        <v>12987</v>
      </c>
      <c r="H167" s="183">
        <f t="shared" si="5"/>
        <v>1.0001213639976662E-2</v>
      </c>
    </row>
    <row r="168" spans="2:8">
      <c r="B168" s="175">
        <v>44162</v>
      </c>
      <c r="C168" s="176">
        <v>3.1678380966186519</v>
      </c>
      <c r="D168" s="180">
        <f t="shared" si="4"/>
        <v>0</v>
      </c>
      <c r="F168" s="184">
        <v>44162</v>
      </c>
      <c r="G168" s="185">
        <v>12968.9501953125</v>
      </c>
      <c r="H168" s="186">
        <f t="shared" si="5"/>
        <v>-1.3898363507738507E-3</v>
      </c>
    </row>
    <row r="169" spans="2:8">
      <c r="B169" s="175">
        <v>44166</v>
      </c>
      <c r="C169" s="176">
        <v>3.2137479782104492</v>
      </c>
      <c r="D169" s="180">
        <f t="shared" si="4"/>
        <v>1.4492496204525571E-2</v>
      </c>
      <c r="F169" s="181">
        <v>44166</v>
      </c>
      <c r="G169" s="182">
        <v>13109.0498046875</v>
      </c>
      <c r="H169" s="183">
        <f t="shared" si="5"/>
        <v>1.0802694687318455E-2</v>
      </c>
    </row>
    <row r="170" spans="2:8">
      <c r="B170" s="175">
        <v>44167</v>
      </c>
      <c r="C170" s="176">
        <v>3.2137479782104492</v>
      </c>
      <c r="D170" s="180">
        <f t="shared" si="4"/>
        <v>0</v>
      </c>
      <c r="F170" s="184">
        <v>44167</v>
      </c>
      <c r="G170" s="185">
        <v>13113.75</v>
      </c>
      <c r="H170" s="186">
        <f t="shared" si="5"/>
        <v>3.5854584295036521E-4</v>
      </c>
    </row>
    <row r="171" spans="2:8">
      <c r="B171" s="175">
        <v>44168</v>
      </c>
      <c r="C171" s="176">
        <v>3.259659051895142</v>
      </c>
      <c r="D171" s="180">
        <f t="shared" si="4"/>
        <v>1.4285835104673657E-2</v>
      </c>
      <c r="F171" s="181">
        <v>44168</v>
      </c>
      <c r="G171" s="182">
        <v>13133.900390625</v>
      </c>
      <c r="H171" s="183">
        <f t="shared" si="5"/>
        <v>1.5365849299399485E-3</v>
      </c>
    </row>
    <row r="172" spans="2:8">
      <c r="B172" s="175">
        <v>44169</v>
      </c>
      <c r="C172" s="176">
        <v>3.2137479782104492</v>
      </c>
      <c r="D172" s="180">
        <f t="shared" si="4"/>
        <v>-1.4084624481815196E-2</v>
      </c>
      <c r="F172" s="184">
        <v>44169</v>
      </c>
      <c r="G172" s="185">
        <v>13258.5498046875</v>
      </c>
      <c r="H172" s="186">
        <f t="shared" si="5"/>
        <v>9.4906623588736031E-3</v>
      </c>
    </row>
    <row r="173" spans="2:8">
      <c r="B173" s="175">
        <v>44172</v>
      </c>
      <c r="C173" s="176">
        <v>3.259659051895142</v>
      </c>
      <c r="D173" s="180">
        <f t="shared" si="4"/>
        <v>1.4285835104673657E-2</v>
      </c>
      <c r="F173" s="181">
        <v>44172</v>
      </c>
      <c r="G173" s="182">
        <v>13355.75</v>
      </c>
      <c r="H173" s="183">
        <f t="shared" si="5"/>
        <v>7.3311332494399436E-3</v>
      </c>
    </row>
    <row r="174" spans="2:8">
      <c r="B174" s="175">
        <v>44173</v>
      </c>
      <c r="C174" s="176">
        <v>3.259659051895142</v>
      </c>
      <c r="D174" s="180">
        <f t="shared" si="4"/>
        <v>0</v>
      </c>
      <c r="F174" s="184">
        <v>44173</v>
      </c>
      <c r="G174" s="185">
        <v>13392.9501953125</v>
      </c>
      <c r="H174" s="186">
        <f t="shared" si="5"/>
        <v>2.7853318093330587E-3</v>
      </c>
    </row>
    <row r="175" spans="2:8">
      <c r="B175" s="175">
        <v>44174</v>
      </c>
      <c r="C175" s="176">
        <v>3.259659051895142</v>
      </c>
      <c r="D175" s="180">
        <f t="shared" si="4"/>
        <v>0</v>
      </c>
      <c r="F175" s="181">
        <v>44174</v>
      </c>
      <c r="G175" s="182">
        <v>13529.099609375</v>
      </c>
      <c r="H175" s="183">
        <f t="shared" si="5"/>
        <v>1.0165752285866931E-2</v>
      </c>
    </row>
    <row r="176" spans="2:8">
      <c r="B176" s="175">
        <v>44175</v>
      </c>
      <c r="C176" s="176">
        <v>3.3973910808563228</v>
      </c>
      <c r="D176" s="180">
        <f t="shared" si="4"/>
        <v>4.2253507734529586E-2</v>
      </c>
      <c r="F176" s="184">
        <v>44175</v>
      </c>
      <c r="G176" s="185">
        <v>13478.2998046875</v>
      </c>
      <c r="H176" s="186">
        <f t="shared" si="5"/>
        <v>-3.7548548058806688E-3</v>
      </c>
    </row>
    <row r="177" spans="2:8">
      <c r="B177" s="175">
        <v>44176</v>
      </c>
      <c r="C177" s="176">
        <v>3.5351231098175049</v>
      </c>
      <c r="D177" s="180">
        <f t="shared" si="4"/>
        <v>4.0540528212155751E-2</v>
      </c>
      <c r="F177" s="181">
        <v>44176</v>
      </c>
      <c r="G177" s="182">
        <v>13513.849609375</v>
      </c>
      <c r="H177" s="183">
        <f t="shared" si="5"/>
        <v>2.6375585350265351E-3</v>
      </c>
    </row>
    <row r="178" spans="2:8">
      <c r="B178" s="175">
        <v>44179</v>
      </c>
      <c r="C178" s="176">
        <v>3.672854900360107</v>
      </c>
      <c r="D178" s="180">
        <f t="shared" si="4"/>
        <v>3.8960960131799283E-2</v>
      </c>
      <c r="F178" s="184">
        <v>44179</v>
      </c>
      <c r="G178" s="185">
        <v>13558.150390625</v>
      </c>
      <c r="H178" s="186">
        <f t="shared" si="5"/>
        <v>3.2781762806703943E-3</v>
      </c>
    </row>
    <row r="179" spans="2:8">
      <c r="B179" s="175">
        <v>44180</v>
      </c>
      <c r="C179" s="176">
        <v>3.856498003005981</v>
      </c>
      <c r="D179" s="180">
        <f t="shared" si="4"/>
        <v>5.0000097370541001E-2</v>
      </c>
      <c r="F179" s="181">
        <v>44180</v>
      </c>
      <c r="G179" s="182">
        <v>13567.849609375</v>
      </c>
      <c r="H179" s="183">
        <f t="shared" si="5"/>
        <v>7.1537919779284052E-4</v>
      </c>
    </row>
    <row r="180" spans="2:8">
      <c r="B180" s="175">
        <v>44181</v>
      </c>
      <c r="C180" s="176">
        <v>4.0401411056518546</v>
      </c>
      <c r="D180" s="180">
        <f t="shared" si="4"/>
        <v>4.7619135936990339E-2</v>
      </c>
      <c r="F180" s="184">
        <v>44181</v>
      </c>
      <c r="G180" s="185">
        <v>13682.7001953125</v>
      </c>
      <c r="H180" s="186">
        <f t="shared" si="5"/>
        <v>8.4649070592691042E-3</v>
      </c>
    </row>
    <row r="181" spans="2:8">
      <c r="B181" s="175">
        <v>44182</v>
      </c>
      <c r="C181" s="176">
        <v>4.2237839698791504</v>
      </c>
      <c r="D181" s="180">
        <f t="shared" si="4"/>
        <v>4.5454566913614283E-2</v>
      </c>
      <c r="F181" s="181">
        <v>44182</v>
      </c>
      <c r="G181" s="182">
        <v>13740.7001953125</v>
      </c>
      <c r="H181" s="183">
        <f t="shared" si="5"/>
        <v>4.2389293905504104E-3</v>
      </c>
    </row>
    <row r="182" spans="2:8">
      <c r="B182" s="175">
        <v>44183</v>
      </c>
      <c r="C182" s="176">
        <v>4.4074268341064453</v>
      </c>
      <c r="D182" s="180">
        <f t="shared" si="4"/>
        <v>4.3478280503192794E-2</v>
      </c>
      <c r="F182" s="184">
        <v>44183</v>
      </c>
      <c r="G182" s="185">
        <v>13760.5498046875</v>
      </c>
      <c r="H182" s="186">
        <f t="shared" si="5"/>
        <v>1.4445849987885983E-3</v>
      </c>
    </row>
    <row r="183" spans="2:8">
      <c r="B183" s="175">
        <v>44186</v>
      </c>
      <c r="C183" s="176">
        <v>4.4992480278015137</v>
      </c>
      <c r="D183" s="180">
        <f t="shared" si="4"/>
        <v>2.0833288254388922E-2</v>
      </c>
      <c r="F183" s="181">
        <v>44186</v>
      </c>
      <c r="G183" s="182">
        <v>13328.400390625</v>
      </c>
      <c r="H183" s="183">
        <f t="shared" si="5"/>
        <v>-3.1404952577933277E-2</v>
      </c>
    </row>
    <row r="184" spans="2:8">
      <c r="B184" s="175">
        <v>44187</v>
      </c>
      <c r="C184" s="176">
        <v>4.4992480278015137</v>
      </c>
      <c r="D184" s="180">
        <f t="shared" si="4"/>
        <v>0</v>
      </c>
      <c r="F184" s="184">
        <v>44187</v>
      </c>
      <c r="G184" s="185">
        <v>13466.2998046875</v>
      </c>
      <c r="H184" s="186">
        <f t="shared" si="5"/>
        <v>1.034628387660806E-2</v>
      </c>
    </row>
    <row r="185" spans="2:8">
      <c r="B185" s="175">
        <v>44188</v>
      </c>
      <c r="C185" s="176">
        <v>4.6828908920288086</v>
      </c>
      <c r="D185" s="180">
        <f t="shared" si="4"/>
        <v>4.081634599660626E-2</v>
      </c>
      <c r="F185" s="181">
        <v>44188</v>
      </c>
      <c r="G185" s="182">
        <v>13601.099609375</v>
      </c>
      <c r="H185" s="183">
        <f t="shared" si="5"/>
        <v>1.0010159185716136E-2</v>
      </c>
    </row>
    <row r="186" spans="2:8">
      <c r="B186" s="175">
        <v>44189</v>
      </c>
      <c r="C186" s="176">
        <v>4.9124441146850586</v>
      </c>
      <c r="D186" s="180">
        <f t="shared" si="4"/>
        <v>4.9019553935581599E-2</v>
      </c>
      <c r="F186" s="184">
        <v>44189</v>
      </c>
      <c r="G186" s="185">
        <v>13749.25</v>
      </c>
      <c r="H186" s="186">
        <f t="shared" si="5"/>
        <v>1.0892530374741357E-2</v>
      </c>
    </row>
    <row r="187" spans="2:8">
      <c r="B187" s="175">
        <v>44193</v>
      </c>
      <c r="C187" s="176">
        <v>5.1419978141784668</v>
      </c>
      <c r="D187" s="180">
        <f t="shared" si="4"/>
        <v>4.6729020042628029E-2</v>
      </c>
      <c r="F187" s="181">
        <v>44193</v>
      </c>
      <c r="G187" s="182">
        <v>13873.2001953125</v>
      </c>
      <c r="H187" s="183">
        <f t="shared" si="5"/>
        <v>9.0150513891666811E-3</v>
      </c>
    </row>
    <row r="188" spans="2:8">
      <c r="B188" s="175">
        <v>44194</v>
      </c>
      <c r="C188" s="176">
        <v>5.3715510368347168</v>
      </c>
      <c r="D188" s="180">
        <f t="shared" si="4"/>
        <v>4.4642808291999549E-2</v>
      </c>
      <c r="F188" s="184">
        <v>44194</v>
      </c>
      <c r="G188" s="185">
        <v>13932.599609375</v>
      </c>
      <c r="H188" s="186">
        <f t="shared" si="5"/>
        <v>4.281594241144878E-3</v>
      </c>
    </row>
    <row r="189" spans="2:8">
      <c r="B189" s="175">
        <v>44195</v>
      </c>
      <c r="C189" s="176">
        <v>5.6011052131652832</v>
      </c>
      <c r="D189" s="180">
        <f t="shared" si="4"/>
        <v>4.2735175511957033E-2</v>
      </c>
      <c r="F189" s="181">
        <v>44195</v>
      </c>
      <c r="G189" s="182">
        <v>13981.9501953125</v>
      </c>
      <c r="H189" s="183">
        <f t="shared" si="5"/>
        <v>3.542094606974341E-3</v>
      </c>
    </row>
    <row r="190" spans="2:8">
      <c r="B190" s="175">
        <v>44196</v>
      </c>
      <c r="C190" s="176">
        <v>5.8765687942504883</v>
      </c>
      <c r="D190" s="180">
        <f t="shared" si="4"/>
        <v>4.9180219010657673E-2</v>
      </c>
      <c r="F190" s="184">
        <v>44196</v>
      </c>
      <c r="G190" s="185">
        <v>13981.75</v>
      </c>
      <c r="H190" s="186">
        <f t="shared" si="5"/>
        <v>-1.4318125133010144E-5</v>
      </c>
    </row>
    <row r="191" spans="2:8">
      <c r="B191" s="175">
        <v>44197</v>
      </c>
      <c r="C191" s="176">
        <v>6.1520328521728516</v>
      </c>
      <c r="D191" s="180">
        <f t="shared" si="4"/>
        <v>4.6874982250164676E-2</v>
      </c>
      <c r="F191" s="181">
        <v>44197</v>
      </c>
      <c r="G191" s="182">
        <v>14018.5</v>
      </c>
      <c r="H191" s="183">
        <f t="shared" si="5"/>
        <v>2.6284263414808589E-3</v>
      </c>
    </row>
    <row r="192" spans="2:8">
      <c r="B192" s="175">
        <v>44200</v>
      </c>
      <c r="C192" s="176">
        <v>6.4274969100952148</v>
      </c>
      <c r="D192" s="180">
        <f t="shared" si="4"/>
        <v>4.4776103207100307E-2</v>
      </c>
      <c r="F192" s="184">
        <v>44200</v>
      </c>
      <c r="G192" s="185">
        <v>14132.900390625</v>
      </c>
      <c r="H192" s="186">
        <f t="shared" si="5"/>
        <v>8.1606727271106034E-3</v>
      </c>
    </row>
    <row r="193" spans="2:8">
      <c r="B193" s="175">
        <v>44201</v>
      </c>
      <c r="C193" s="176">
        <v>6.7488718032836914</v>
      </c>
      <c r="D193" s="180">
        <f t="shared" si="4"/>
        <v>5.0000007418706922E-2</v>
      </c>
      <c r="F193" s="181">
        <v>44201</v>
      </c>
      <c r="G193" s="182">
        <v>14199.5</v>
      </c>
      <c r="H193" s="183">
        <f t="shared" si="5"/>
        <v>4.7123808655142414E-3</v>
      </c>
    </row>
    <row r="194" spans="2:8">
      <c r="B194" s="175">
        <v>44202</v>
      </c>
      <c r="C194" s="176">
        <v>7.0702471733093262</v>
      </c>
      <c r="D194" s="180">
        <f t="shared" si="4"/>
        <v>4.7619125002384584E-2</v>
      </c>
      <c r="F194" s="184">
        <v>44202</v>
      </c>
      <c r="G194" s="185">
        <v>14146.25</v>
      </c>
      <c r="H194" s="186">
        <f t="shared" si="5"/>
        <v>-3.7501320469030598E-3</v>
      </c>
    </row>
    <row r="195" spans="2:8">
      <c r="B195" s="175">
        <v>44203</v>
      </c>
      <c r="C195" s="176">
        <v>7.3916220664978027</v>
      </c>
      <c r="D195" s="180">
        <f t="shared" si="4"/>
        <v>4.5454548520126578E-2</v>
      </c>
      <c r="F195" s="181">
        <v>44203</v>
      </c>
      <c r="G195" s="182">
        <v>14137.349609375</v>
      </c>
      <c r="H195" s="183">
        <f t="shared" si="5"/>
        <v>-6.2916961208800914E-4</v>
      </c>
    </row>
    <row r="196" spans="2:8">
      <c r="B196" s="175">
        <v>44204</v>
      </c>
      <c r="C196" s="176">
        <v>7.0243358612060547</v>
      </c>
      <c r="D196" s="180">
        <f t="shared" si="4"/>
        <v>-4.9689527141337002E-2</v>
      </c>
      <c r="F196" s="184">
        <v>44204</v>
      </c>
      <c r="G196" s="185">
        <v>14347.25</v>
      </c>
      <c r="H196" s="186">
        <f t="shared" si="5"/>
        <v>1.4847223590326102E-2</v>
      </c>
    </row>
    <row r="197" spans="2:8">
      <c r="B197" s="175">
        <v>44207</v>
      </c>
      <c r="C197" s="176">
        <v>6.7029609680175781</v>
      </c>
      <c r="D197" s="180">
        <f t="shared" ref="D197:D260" si="6">(C197-C196)/C196</f>
        <v>-4.5751641085865956E-2</v>
      </c>
      <c r="F197" s="181">
        <v>44207</v>
      </c>
      <c r="G197" s="182">
        <v>14484.75</v>
      </c>
      <c r="H197" s="183">
        <f t="shared" ref="H197:H260" si="7">(G197-G196)/G196</f>
        <v>9.5837181341372046E-3</v>
      </c>
    </row>
    <row r="198" spans="2:8">
      <c r="B198" s="175">
        <v>44208</v>
      </c>
      <c r="C198" s="176">
        <v>6.381587028503418</v>
      </c>
      <c r="D198" s="180">
        <f t="shared" si="6"/>
        <v>-4.7945070998855525E-2</v>
      </c>
      <c r="F198" s="184">
        <v>44208</v>
      </c>
      <c r="G198" s="185">
        <v>14563.4501953125</v>
      </c>
      <c r="H198" s="186">
        <f t="shared" si="7"/>
        <v>5.4333140242323824E-3</v>
      </c>
    </row>
    <row r="199" spans="2:8">
      <c r="B199" s="175">
        <v>44209</v>
      </c>
      <c r="C199" s="176">
        <v>6.1061220169067383</v>
      </c>
      <c r="D199" s="180">
        <f t="shared" si="6"/>
        <v>-4.3165596640195085E-2</v>
      </c>
      <c r="F199" s="181">
        <v>44209</v>
      </c>
      <c r="G199" s="182">
        <v>14564.849609375</v>
      </c>
      <c r="H199" s="183">
        <f t="shared" si="7"/>
        <v>9.6090833128981056E-5</v>
      </c>
    </row>
    <row r="200" spans="2:8">
      <c r="B200" s="175">
        <v>44210</v>
      </c>
      <c r="C200" s="176">
        <v>5.830657958984375</v>
      </c>
      <c r="D200" s="180">
        <f t="shared" si="6"/>
        <v>-4.5112766688849899E-2</v>
      </c>
      <c r="F200" s="184">
        <v>44210</v>
      </c>
      <c r="G200" s="185">
        <v>14595.599609375</v>
      </c>
      <c r="H200" s="186">
        <f t="shared" si="7"/>
        <v>2.1112473403231747E-3</v>
      </c>
    </row>
    <row r="201" spans="2:8">
      <c r="B201" s="175">
        <v>44211</v>
      </c>
      <c r="C201" s="176">
        <v>6.1061220169067383</v>
      </c>
      <c r="D201" s="180">
        <f t="shared" si="6"/>
        <v>4.7244077745617848E-2</v>
      </c>
      <c r="F201" s="181">
        <v>44211</v>
      </c>
      <c r="G201" s="182">
        <v>14433.7001953125</v>
      </c>
      <c r="H201" s="183">
        <f t="shared" si="7"/>
        <v>-1.1092344158201577E-2</v>
      </c>
    </row>
    <row r="202" spans="2:8">
      <c r="B202" s="175">
        <v>44214</v>
      </c>
      <c r="C202" s="176">
        <v>6.381587028503418</v>
      </c>
      <c r="D202" s="180">
        <f t="shared" si="6"/>
        <v>4.5112922872154751E-2</v>
      </c>
      <c r="F202" s="184">
        <v>44214</v>
      </c>
      <c r="G202" s="185">
        <v>14281.2998046875</v>
      </c>
      <c r="H202" s="186">
        <f t="shared" si="7"/>
        <v>-1.0558650142566607E-2</v>
      </c>
    </row>
    <row r="203" spans="2:8">
      <c r="B203" s="175">
        <v>44215</v>
      </c>
      <c r="C203" s="176">
        <v>6.2438540458679199</v>
      </c>
      <c r="D203" s="180">
        <f t="shared" si="6"/>
        <v>-2.1582873040877196E-2</v>
      </c>
      <c r="F203" s="181">
        <v>44215</v>
      </c>
      <c r="G203" s="182">
        <v>14521.150390625</v>
      </c>
      <c r="H203" s="183">
        <f t="shared" si="7"/>
        <v>1.6794730817062932E-2</v>
      </c>
    </row>
    <row r="204" spans="2:8">
      <c r="B204" s="175">
        <v>44216</v>
      </c>
      <c r="C204" s="176">
        <v>6.0143008232116699</v>
      </c>
      <c r="D204" s="180">
        <f t="shared" si="6"/>
        <v>-3.6764668259368513E-2</v>
      </c>
      <c r="F204" s="184">
        <v>44216</v>
      </c>
      <c r="G204" s="185">
        <v>14644.7001953125</v>
      </c>
      <c r="H204" s="186">
        <f t="shared" si="7"/>
        <v>8.5082656238630369E-3</v>
      </c>
    </row>
    <row r="205" spans="2:8">
      <c r="B205" s="175">
        <v>44217</v>
      </c>
      <c r="C205" s="176">
        <v>6.1061220169067383</v>
      </c>
      <c r="D205" s="180">
        <f t="shared" si="6"/>
        <v>1.5267143495831213E-2</v>
      </c>
      <c r="F205" s="181">
        <v>44217</v>
      </c>
      <c r="G205" s="182">
        <v>14590.349609375</v>
      </c>
      <c r="H205" s="183">
        <f t="shared" si="7"/>
        <v>-3.7112802046228729E-3</v>
      </c>
    </row>
    <row r="206" spans="2:8">
      <c r="B206" s="175">
        <v>44218</v>
      </c>
      <c r="C206" s="176">
        <v>5.830657958984375</v>
      </c>
      <c r="D206" s="180">
        <f t="shared" si="6"/>
        <v>-4.5112766688849899E-2</v>
      </c>
      <c r="F206" s="184">
        <v>44218</v>
      </c>
      <c r="G206" s="185">
        <v>14371.900390625</v>
      </c>
      <c r="H206" s="186">
        <f t="shared" si="7"/>
        <v>-1.4972171647596155E-2</v>
      </c>
    </row>
    <row r="207" spans="2:8">
      <c r="B207" s="175">
        <v>44221</v>
      </c>
      <c r="C207" s="176">
        <v>5.5551939010620117</v>
      </c>
      <c r="D207" s="180">
        <f t="shared" si="6"/>
        <v>-4.7244077745617848E-2</v>
      </c>
      <c r="F207" s="181">
        <v>44221</v>
      </c>
      <c r="G207" s="182">
        <v>14238.900390625</v>
      </c>
      <c r="H207" s="183">
        <f t="shared" si="7"/>
        <v>-9.2541693433081298E-3</v>
      </c>
    </row>
    <row r="208" spans="2:8">
      <c r="B208" s="175">
        <v>44223</v>
      </c>
      <c r="C208" s="176">
        <v>5.5551939010620117</v>
      </c>
      <c r="D208" s="180">
        <f t="shared" si="6"/>
        <v>0</v>
      </c>
      <c r="F208" s="184">
        <v>44223</v>
      </c>
      <c r="G208" s="185">
        <v>13967.5</v>
      </c>
      <c r="H208" s="186">
        <f t="shared" si="7"/>
        <v>-1.9060488041878015E-2</v>
      </c>
    </row>
    <row r="209" spans="2:8">
      <c r="B209" s="175">
        <v>44224</v>
      </c>
      <c r="C209" s="176">
        <v>5.5092830657958984</v>
      </c>
      <c r="D209" s="180">
        <f t="shared" si="6"/>
        <v>-8.2644883479830109E-3</v>
      </c>
      <c r="F209" s="181">
        <v>44224</v>
      </c>
      <c r="G209" s="182">
        <v>13817.5498046875</v>
      </c>
      <c r="H209" s="183">
        <f t="shared" si="7"/>
        <v>-1.0735650281904421E-2</v>
      </c>
    </row>
    <row r="210" spans="2:8">
      <c r="B210" s="175">
        <v>44225</v>
      </c>
      <c r="C210" s="176">
        <v>5.7847480773925781</v>
      </c>
      <c r="D210" s="180">
        <f t="shared" si="6"/>
        <v>5.000015579284537E-2</v>
      </c>
      <c r="F210" s="184">
        <v>44225</v>
      </c>
      <c r="G210" s="185">
        <v>13634.599609375</v>
      </c>
      <c r="H210" s="186">
        <f t="shared" si="7"/>
        <v>-1.3240422354072899E-2</v>
      </c>
    </row>
    <row r="211" spans="2:8">
      <c r="B211" s="175">
        <v>44228</v>
      </c>
      <c r="C211" s="176">
        <v>6.0602121353149414</v>
      </c>
      <c r="D211" s="180">
        <f t="shared" si="6"/>
        <v>4.7619024067600567E-2</v>
      </c>
      <c r="F211" s="181">
        <v>44228</v>
      </c>
      <c r="G211" s="182">
        <v>14281.2001953125</v>
      </c>
      <c r="H211" s="183">
        <f t="shared" si="7"/>
        <v>4.7423511101338432E-2</v>
      </c>
    </row>
    <row r="212" spans="2:8">
      <c r="B212" s="175">
        <v>44229</v>
      </c>
      <c r="C212" s="176">
        <v>6.3356761932373047</v>
      </c>
      <c r="D212" s="180">
        <f t="shared" si="6"/>
        <v>4.5454523995478543E-2</v>
      </c>
      <c r="F212" s="184">
        <v>44229</v>
      </c>
      <c r="G212" s="185">
        <v>14647.849609375</v>
      </c>
      <c r="H212" s="186">
        <f t="shared" si="7"/>
        <v>2.5673571481957438E-2</v>
      </c>
    </row>
    <row r="213" spans="2:8">
      <c r="B213" s="175">
        <v>44230</v>
      </c>
      <c r="C213" s="176">
        <v>6.197944164276123</v>
      </c>
      <c r="D213" s="180">
        <f t="shared" si="6"/>
        <v>-2.173912061796919E-2</v>
      </c>
      <c r="F213" s="181">
        <v>44230</v>
      </c>
      <c r="G213" s="182">
        <v>14789.9501953125</v>
      </c>
      <c r="H213" s="183">
        <f t="shared" si="7"/>
        <v>9.7011226717232252E-3</v>
      </c>
    </row>
    <row r="214" spans="2:8">
      <c r="B214" s="175">
        <v>44231</v>
      </c>
      <c r="C214" s="176">
        <v>6.4274969100952148</v>
      </c>
      <c r="D214" s="180">
        <f t="shared" si="6"/>
        <v>3.7036917360791032E-2</v>
      </c>
      <c r="F214" s="184">
        <v>44231</v>
      </c>
      <c r="G214" s="185">
        <v>14895.650390625</v>
      </c>
      <c r="H214" s="186">
        <f t="shared" si="7"/>
        <v>7.146758029381358E-3</v>
      </c>
    </row>
    <row r="215" spans="2:8">
      <c r="B215" s="175">
        <v>44232</v>
      </c>
      <c r="C215" s="176">
        <v>6.0143008232116699</v>
      </c>
      <c r="D215" s="180">
        <f t="shared" si="6"/>
        <v>-6.4285692029593514E-2</v>
      </c>
      <c r="F215" s="181">
        <v>44232</v>
      </c>
      <c r="G215" s="182">
        <v>14924.25</v>
      </c>
      <c r="H215" s="183">
        <f t="shared" si="7"/>
        <v>1.919997356610892E-3</v>
      </c>
    </row>
    <row r="216" spans="2:8">
      <c r="B216" s="175">
        <v>44235</v>
      </c>
      <c r="C216" s="176">
        <v>6.0143008232116699</v>
      </c>
      <c r="D216" s="180">
        <f t="shared" si="6"/>
        <v>0</v>
      </c>
      <c r="F216" s="184">
        <v>44235</v>
      </c>
      <c r="G216" s="185">
        <v>15115.7998046875</v>
      </c>
      <c r="H216" s="186">
        <f t="shared" si="7"/>
        <v>1.2834802732968156E-2</v>
      </c>
    </row>
    <row r="217" spans="2:8">
      <c r="B217" s="175">
        <v>44236</v>
      </c>
      <c r="C217" s="176">
        <v>5.7388367652893066</v>
      </c>
      <c r="D217" s="180">
        <f t="shared" si="6"/>
        <v>-4.5801509771382524E-2</v>
      </c>
      <c r="F217" s="181">
        <v>44236</v>
      </c>
      <c r="G217" s="182">
        <v>15109.2998046875</v>
      </c>
      <c r="H217" s="183">
        <f t="shared" si="7"/>
        <v>-4.3001363368045607E-4</v>
      </c>
    </row>
    <row r="218" spans="2:8">
      <c r="B218" s="175">
        <v>44237</v>
      </c>
      <c r="C218" s="176">
        <v>5.6011052131652832</v>
      </c>
      <c r="D218" s="180">
        <f t="shared" si="6"/>
        <v>-2.3999907604460344E-2</v>
      </c>
      <c r="F218" s="184">
        <v>44237</v>
      </c>
      <c r="G218" s="185">
        <v>15106.5</v>
      </c>
      <c r="H218" s="186">
        <f t="shared" si="7"/>
        <v>-1.8530340410820298E-4</v>
      </c>
    </row>
    <row r="219" spans="2:8">
      <c r="B219" s="175">
        <v>44238</v>
      </c>
      <c r="C219" s="176">
        <v>5.7388367652893066</v>
      </c>
      <c r="D219" s="180">
        <f t="shared" si="6"/>
        <v>2.4590066938983444E-2</v>
      </c>
      <c r="F219" s="181">
        <v>44238</v>
      </c>
      <c r="G219" s="182">
        <v>15173.2998046875</v>
      </c>
      <c r="H219" s="183">
        <f t="shared" si="7"/>
        <v>4.4219246475027309E-3</v>
      </c>
    </row>
    <row r="220" spans="2:8">
      <c r="B220" s="175">
        <v>44239</v>
      </c>
      <c r="C220" s="176">
        <v>5.6011052131652832</v>
      </c>
      <c r="D220" s="180">
        <f t="shared" si="6"/>
        <v>-2.3999907604460344E-2</v>
      </c>
      <c r="F220" s="184">
        <v>44239</v>
      </c>
      <c r="G220" s="185">
        <v>15163.2998046875</v>
      </c>
      <c r="H220" s="186">
        <f t="shared" si="7"/>
        <v>-6.590524229219205E-4</v>
      </c>
    </row>
    <row r="221" spans="2:8">
      <c r="B221" s="175">
        <v>44242</v>
      </c>
      <c r="C221" s="176">
        <v>5.3715510368347168</v>
      </c>
      <c r="D221" s="180">
        <f t="shared" si="6"/>
        <v>-4.0983728673941712E-2</v>
      </c>
      <c r="F221" s="181">
        <v>44242</v>
      </c>
      <c r="G221" s="182">
        <v>15314.7001953125</v>
      </c>
      <c r="H221" s="183">
        <f t="shared" si="7"/>
        <v>9.984659841533761E-3</v>
      </c>
    </row>
    <row r="222" spans="2:8">
      <c r="B222" s="175">
        <v>44243</v>
      </c>
      <c r="C222" s="176">
        <v>5.1419978141784668</v>
      </c>
      <c r="D222" s="180">
        <f t="shared" si="6"/>
        <v>-4.2734997970254485E-2</v>
      </c>
      <c r="F222" s="184">
        <v>44243</v>
      </c>
      <c r="G222" s="185">
        <v>15313.4501953125</v>
      </c>
      <c r="H222" s="186">
        <f t="shared" si="7"/>
        <v>-8.1620925258634719E-5</v>
      </c>
    </row>
    <row r="223" spans="2:8">
      <c r="B223" s="175">
        <v>44244</v>
      </c>
      <c r="C223" s="176">
        <v>4.8206229209899902</v>
      </c>
      <c r="D223" s="180">
        <f t="shared" si="6"/>
        <v>-6.2500005795864455E-2</v>
      </c>
      <c r="F223" s="181">
        <v>44244</v>
      </c>
      <c r="G223" s="182">
        <v>15208.900390625</v>
      </c>
      <c r="H223" s="183">
        <f t="shared" si="7"/>
        <v>-6.8273186874309392E-3</v>
      </c>
    </row>
    <row r="224" spans="2:8">
      <c r="B224" s="175">
        <v>44245</v>
      </c>
      <c r="C224" s="176">
        <v>4.8206229209899902</v>
      </c>
      <c r="D224" s="180">
        <f t="shared" si="6"/>
        <v>0</v>
      </c>
      <c r="F224" s="184">
        <v>44245</v>
      </c>
      <c r="G224" s="185">
        <v>15118.9501953125</v>
      </c>
      <c r="H224" s="186">
        <f t="shared" si="7"/>
        <v>-5.9143128695843573E-3</v>
      </c>
    </row>
    <row r="225" spans="2:8">
      <c r="B225" s="175">
        <v>44246</v>
      </c>
      <c r="C225" s="176">
        <v>4.774712085723877</v>
      </c>
      <c r="D225" s="180">
        <f t="shared" si="6"/>
        <v>-9.5238387276067576E-3</v>
      </c>
      <c r="F225" s="181">
        <v>44246</v>
      </c>
      <c r="G225" s="182">
        <v>14981.75</v>
      </c>
      <c r="H225" s="183">
        <f t="shared" si="7"/>
        <v>-9.0747170630297962E-3</v>
      </c>
    </row>
    <row r="226" spans="2:8">
      <c r="B226" s="175">
        <v>44249</v>
      </c>
      <c r="C226" s="176">
        <v>4.591069221496582</v>
      </c>
      <c r="D226" s="180">
        <f t="shared" si="6"/>
        <v>-3.8461557666770493E-2</v>
      </c>
      <c r="F226" s="184">
        <v>44249</v>
      </c>
      <c r="G226" s="185">
        <v>14675.7001953125</v>
      </c>
      <c r="H226" s="186">
        <f t="shared" si="7"/>
        <v>-2.0428174591586429E-2</v>
      </c>
    </row>
    <row r="227" spans="2:8">
      <c r="B227" s="175">
        <v>44250</v>
      </c>
      <c r="C227" s="176">
        <v>4.8206229209899902</v>
      </c>
      <c r="D227" s="180">
        <f t="shared" si="6"/>
        <v>5.0000051930948454E-2</v>
      </c>
      <c r="F227" s="181">
        <v>44250</v>
      </c>
      <c r="G227" s="182">
        <v>14707.7998046875</v>
      </c>
      <c r="H227" s="183">
        <f t="shared" si="7"/>
        <v>2.1872625461000351E-3</v>
      </c>
    </row>
    <row r="228" spans="2:8">
      <c r="B228" s="175">
        <v>44251</v>
      </c>
      <c r="C228" s="176">
        <v>5.0501761436462402</v>
      </c>
      <c r="D228" s="180">
        <f t="shared" si="6"/>
        <v>4.7618995805858981E-2</v>
      </c>
      <c r="F228" s="184">
        <v>44251</v>
      </c>
      <c r="G228" s="185">
        <v>14982</v>
      </c>
      <c r="H228" s="186">
        <f t="shared" si="7"/>
        <v>1.8643182457862263E-2</v>
      </c>
    </row>
    <row r="229" spans="2:8">
      <c r="B229" s="175">
        <v>44252</v>
      </c>
      <c r="C229" s="176">
        <v>5.2797298431396484</v>
      </c>
      <c r="D229" s="180">
        <f t="shared" si="6"/>
        <v>4.5454592664498597E-2</v>
      </c>
      <c r="F229" s="181">
        <v>44252</v>
      </c>
      <c r="G229" s="182">
        <v>15097.349609375</v>
      </c>
      <c r="H229" s="183">
        <f t="shared" si="7"/>
        <v>7.6992130139500736E-3</v>
      </c>
    </row>
    <row r="230" spans="2:8">
      <c r="B230" s="175">
        <v>44253</v>
      </c>
      <c r="C230" s="176">
        <v>5.3256411552429199</v>
      </c>
      <c r="D230" s="180">
        <f t="shared" si="6"/>
        <v>8.6957691903360394E-3</v>
      </c>
      <c r="F230" s="184">
        <v>44253</v>
      </c>
      <c r="G230" s="185">
        <v>14529.150390625</v>
      </c>
      <c r="H230" s="186">
        <f t="shared" si="7"/>
        <v>-3.7635693247586012E-2</v>
      </c>
    </row>
    <row r="231" spans="2:8">
      <c r="B231" s="175">
        <v>44256</v>
      </c>
      <c r="C231" s="176">
        <v>5.4174618721008301</v>
      </c>
      <c r="D231" s="180">
        <f t="shared" si="6"/>
        <v>1.7241251181093126E-2</v>
      </c>
      <c r="F231" s="181">
        <v>44256</v>
      </c>
      <c r="G231" s="182">
        <v>14761.5498046875</v>
      </c>
      <c r="H231" s="183">
        <f t="shared" si="7"/>
        <v>1.5995389118723471E-2</v>
      </c>
    </row>
    <row r="232" spans="2:8">
      <c r="B232" s="175">
        <v>44257</v>
      </c>
      <c r="C232" s="176">
        <v>5.4633731842041016</v>
      </c>
      <c r="D232" s="180">
        <f t="shared" si="6"/>
        <v>8.4746903969381508E-3</v>
      </c>
      <c r="F232" s="184">
        <v>44257</v>
      </c>
      <c r="G232" s="185">
        <v>14919.099609375</v>
      </c>
      <c r="H232" s="186">
        <f t="shared" si="7"/>
        <v>1.0672985341787783E-2</v>
      </c>
    </row>
    <row r="233" spans="2:8">
      <c r="B233" s="175">
        <v>44258</v>
      </c>
      <c r="C233" s="176">
        <v>5.2338190078735352</v>
      </c>
      <c r="D233" s="180">
        <f t="shared" si="6"/>
        <v>-4.2016931406820529E-2</v>
      </c>
      <c r="F233" s="181">
        <v>44258</v>
      </c>
      <c r="G233" s="182">
        <v>15245.599609375</v>
      </c>
      <c r="H233" s="183">
        <f t="shared" si="7"/>
        <v>2.1884698711632098E-2</v>
      </c>
    </row>
    <row r="234" spans="2:8">
      <c r="B234" s="175">
        <v>44259</v>
      </c>
      <c r="C234" s="176">
        <v>5.2338190078735352</v>
      </c>
      <c r="D234" s="180">
        <f t="shared" si="6"/>
        <v>0</v>
      </c>
      <c r="F234" s="184">
        <v>44259</v>
      </c>
      <c r="G234" s="185">
        <v>15080.75</v>
      </c>
      <c r="H234" s="186">
        <f t="shared" si="7"/>
        <v>-1.0812930524138177E-2</v>
      </c>
    </row>
    <row r="235" spans="2:8">
      <c r="B235" s="175">
        <v>44260</v>
      </c>
      <c r="C235" s="176">
        <v>5.0960869789123544</v>
      </c>
      <c r="D235" s="180">
        <f t="shared" si="6"/>
        <v>-2.6315779883481362E-2</v>
      </c>
      <c r="F235" s="181">
        <v>44260</v>
      </c>
      <c r="G235" s="182">
        <v>14938.099609375</v>
      </c>
      <c r="H235" s="183">
        <f t="shared" si="7"/>
        <v>-9.4591045289524733E-3</v>
      </c>
    </row>
    <row r="236" spans="2:8">
      <c r="B236" s="175">
        <v>44263</v>
      </c>
      <c r="C236" s="176">
        <v>5.1879081726074219</v>
      </c>
      <c r="D236" s="180">
        <f t="shared" si="6"/>
        <v>1.8017980084528432E-2</v>
      </c>
      <c r="F236" s="184">
        <v>44263</v>
      </c>
      <c r="G236" s="185">
        <v>14956.2001953125</v>
      </c>
      <c r="H236" s="186">
        <f t="shared" si="7"/>
        <v>1.2117060677611399E-3</v>
      </c>
    </row>
    <row r="237" spans="2:8">
      <c r="B237" s="175">
        <v>44264</v>
      </c>
      <c r="C237" s="176">
        <v>5.0960869789123544</v>
      </c>
      <c r="D237" s="180">
        <f t="shared" si="6"/>
        <v>-1.7699078441652236E-2</v>
      </c>
      <c r="F237" s="181">
        <v>44264</v>
      </c>
      <c r="G237" s="182">
        <v>15098.400390625</v>
      </c>
      <c r="H237" s="183">
        <f t="shared" si="7"/>
        <v>9.5077756017914027E-3</v>
      </c>
    </row>
    <row r="238" spans="2:8">
      <c r="B238" s="175">
        <v>44265</v>
      </c>
      <c r="C238" s="176">
        <v>5.1879081726074219</v>
      </c>
      <c r="D238" s="180">
        <f t="shared" si="6"/>
        <v>1.8017980084528432E-2</v>
      </c>
      <c r="F238" s="184">
        <v>44265</v>
      </c>
      <c r="G238" s="185">
        <v>15174.7998046875</v>
      </c>
      <c r="H238" s="186">
        <f t="shared" si="7"/>
        <v>5.0600998838220262E-3</v>
      </c>
    </row>
    <row r="239" spans="2:8">
      <c r="B239" s="175">
        <v>44267</v>
      </c>
      <c r="C239" s="176">
        <v>5.0960869789123544</v>
      </c>
      <c r="D239" s="180">
        <f t="shared" si="6"/>
        <v>-1.7699078441652236E-2</v>
      </c>
      <c r="F239" s="181">
        <v>44267</v>
      </c>
      <c r="G239" s="182">
        <v>15030.9501953125</v>
      </c>
      <c r="H239" s="183">
        <f t="shared" si="7"/>
        <v>-9.4795062357636382E-3</v>
      </c>
    </row>
    <row r="240" spans="2:8">
      <c r="B240" s="175">
        <v>44270</v>
      </c>
      <c r="C240" s="176">
        <v>5.1419978141784668</v>
      </c>
      <c r="D240" s="180">
        <f t="shared" si="6"/>
        <v>9.0090368269010648E-3</v>
      </c>
      <c r="F240" s="184">
        <v>44270</v>
      </c>
      <c r="G240" s="185">
        <v>14929.5</v>
      </c>
      <c r="H240" s="186">
        <f t="shared" si="7"/>
        <v>-6.7494199630930788E-3</v>
      </c>
    </row>
    <row r="241" spans="2:8">
      <c r="B241" s="175">
        <v>44271</v>
      </c>
      <c r="C241" s="176">
        <v>5.2338190078735352</v>
      </c>
      <c r="D241" s="180">
        <f t="shared" si="6"/>
        <v>1.7857104770033546E-2</v>
      </c>
      <c r="F241" s="181">
        <v>44271</v>
      </c>
      <c r="G241" s="182">
        <v>14910.4501953125</v>
      </c>
      <c r="H241" s="183">
        <f t="shared" si="7"/>
        <v>-1.2759841044576174E-3</v>
      </c>
    </row>
    <row r="242" spans="2:8">
      <c r="B242" s="175">
        <v>44272</v>
      </c>
      <c r="C242" s="176">
        <v>5.0501761436462402</v>
      </c>
      <c r="D242" s="180">
        <f t="shared" si="6"/>
        <v>-3.5087736880283861E-2</v>
      </c>
      <c r="F242" s="184">
        <v>44272</v>
      </c>
      <c r="G242" s="185">
        <v>14721.2998046875</v>
      </c>
      <c r="H242" s="186">
        <f t="shared" si="7"/>
        <v>-1.2685759862868828E-2</v>
      </c>
    </row>
    <row r="243" spans="2:8">
      <c r="B243" s="175">
        <v>44273</v>
      </c>
      <c r="C243" s="176">
        <v>4.9124441146850586</v>
      </c>
      <c r="D243" s="180">
        <f t="shared" si="6"/>
        <v>-2.7272717830736645E-2</v>
      </c>
      <c r="F243" s="181">
        <v>44273</v>
      </c>
      <c r="G243" s="182">
        <v>14557.849609375</v>
      </c>
      <c r="H243" s="183">
        <f t="shared" si="7"/>
        <v>-1.1102973071742945E-2</v>
      </c>
    </row>
    <row r="244" spans="2:8">
      <c r="B244" s="175">
        <v>44274</v>
      </c>
      <c r="C244" s="176">
        <v>4.9124441146850586</v>
      </c>
      <c r="D244" s="180">
        <f t="shared" si="6"/>
        <v>0</v>
      </c>
      <c r="F244" s="184">
        <v>44274</v>
      </c>
      <c r="G244" s="185">
        <v>14744</v>
      </c>
      <c r="H244" s="186">
        <f t="shared" si="7"/>
        <v>1.2786942826028538E-2</v>
      </c>
    </row>
    <row r="245" spans="2:8">
      <c r="B245" s="175">
        <v>44277</v>
      </c>
      <c r="C245" s="176">
        <v>5.0960869789123544</v>
      </c>
      <c r="D245" s="180">
        <f t="shared" si="6"/>
        <v>3.7383196620664118E-2</v>
      </c>
      <c r="F245" s="181">
        <v>44277</v>
      </c>
      <c r="G245" s="182">
        <v>14736.400390625</v>
      </c>
      <c r="H245" s="183">
        <f t="shared" si="7"/>
        <v>-5.1543742369777532E-4</v>
      </c>
    </row>
    <row r="246" spans="2:8">
      <c r="B246" s="175">
        <v>44278</v>
      </c>
      <c r="C246" s="176">
        <v>5.0960869789123544</v>
      </c>
      <c r="D246" s="180">
        <f t="shared" si="6"/>
        <v>0</v>
      </c>
      <c r="F246" s="184">
        <v>44278</v>
      </c>
      <c r="G246" s="185">
        <v>14814.75</v>
      </c>
      <c r="H246" s="186">
        <f t="shared" si="7"/>
        <v>5.3167399974314239E-3</v>
      </c>
    </row>
    <row r="247" spans="2:8">
      <c r="B247" s="175">
        <v>44279</v>
      </c>
      <c r="C247" s="176">
        <v>5.1879081726074219</v>
      </c>
      <c r="D247" s="180">
        <f t="shared" si="6"/>
        <v>1.8017980084528432E-2</v>
      </c>
      <c r="F247" s="181">
        <v>44279</v>
      </c>
      <c r="G247" s="182">
        <v>14549.400390625</v>
      </c>
      <c r="H247" s="183">
        <f t="shared" si="7"/>
        <v>-1.7911176994211849E-2</v>
      </c>
    </row>
    <row r="248" spans="2:8">
      <c r="B248" s="175">
        <v>44280</v>
      </c>
      <c r="C248" s="176">
        <v>5.0042657852172852</v>
      </c>
      <c r="D248" s="180">
        <f t="shared" si="6"/>
        <v>-3.5398156883304818E-2</v>
      </c>
      <c r="F248" s="184">
        <v>44280</v>
      </c>
      <c r="G248" s="185">
        <v>14324.900390625</v>
      </c>
      <c r="H248" s="186">
        <f t="shared" si="7"/>
        <v>-1.5430189146808966E-2</v>
      </c>
    </row>
    <row r="249" spans="2:8">
      <c r="B249" s="175">
        <v>44281</v>
      </c>
      <c r="C249" s="176">
        <v>5.0501761436462402</v>
      </c>
      <c r="D249" s="180">
        <f t="shared" si="6"/>
        <v>9.1742446143798593E-3</v>
      </c>
      <c r="F249" s="181">
        <v>44281</v>
      </c>
      <c r="G249" s="182">
        <v>14507.2998046875</v>
      </c>
      <c r="H249" s="183">
        <f t="shared" si="7"/>
        <v>1.2733031929623202E-2</v>
      </c>
    </row>
    <row r="250" spans="2:8">
      <c r="B250" s="175">
        <v>44285</v>
      </c>
      <c r="C250" s="176">
        <v>4.8206229209899902</v>
      </c>
      <c r="D250" s="180">
        <f t="shared" si="6"/>
        <v>-4.5454498244592315E-2</v>
      </c>
      <c r="F250" s="184">
        <v>44285</v>
      </c>
      <c r="G250" s="185">
        <v>14845.099609375</v>
      </c>
      <c r="H250" s="186">
        <f t="shared" si="7"/>
        <v>2.3284815867550514E-2</v>
      </c>
    </row>
    <row r="251" spans="2:8">
      <c r="B251" s="175">
        <v>44286</v>
      </c>
      <c r="C251" s="176">
        <v>4.591069221496582</v>
      </c>
      <c r="D251" s="180">
        <f t="shared" si="6"/>
        <v>-4.7619094721946385E-2</v>
      </c>
      <c r="F251" s="181">
        <v>44286</v>
      </c>
      <c r="G251" s="182">
        <v>14690.7001953125</v>
      </c>
      <c r="H251" s="183">
        <f t="shared" si="7"/>
        <v>-1.0400699094332345E-2</v>
      </c>
    </row>
    <row r="252" spans="2:8">
      <c r="B252" s="175">
        <v>44287</v>
      </c>
      <c r="C252" s="176">
        <v>4.6828908920288086</v>
      </c>
      <c r="D252" s="180">
        <f t="shared" si="6"/>
        <v>2.0000062317138148E-2</v>
      </c>
      <c r="F252" s="184">
        <v>44287</v>
      </c>
      <c r="G252" s="185">
        <v>14867.349609375</v>
      </c>
      <c r="H252" s="186">
        <f t="shared" si="7"/>
        <v>1.2024574166918552E-2</v>
      </c>
    </row>
    <row r="253" spans="2:8">
      <c r="B253" s="175">
        <v>44291</v>
      </c>
      <c r="C253" s="176">
        <v>4.545158863067627</v>
      </c>
      <c r="D253" s="180">
        <f t="shared" si="6"/>
        <v>-2.9411752726425541E-2</v>
      </c>
      <c r="F253" s="181">
        <v>44291</v>
      </c>
      <c r="G253" s="182">
        <v>14637.7998046875</v>
      </c>
      <c r="H253" s="183">
        <f t="shared" si="7"/>
        <v>-1.5439860548026079E-2</v>
      </c>
    </row>
    <row r="254" spans="2:8">
      <c r="B254" s="175">
        <v>44292</v>
      </c>
      <c r="C254" s="176">
        <v>4.6828908920288086</v>
      </c>
      <c r="D254" s="180">
        <f t="shared" si="6"/>
        <v>3.0303017586545543E-2</v>
      </c>
      <c r="F254" s="184">
        <v>44292</v>
      </c>
      <c r="G254" s="185">
        <v>14683.5</v>
      </c>
      <c r="H254" s="186">
        <f t="shared" si="7"/>
        <v>3.1220672452334885E-3</v>
      </c>
    </row>
    <row r="255" spans="2:8">
      <c r="B255" s="175">
        <v>44293</v>
      </c>
      <c r="C255" s="176">
        <v>4.6369800567626953</v>
      </c>
      <c r="D255" s="180">
        <f t="shared" si="6"/>
        <v>-9.8039515172694824E-3</v>
      </c>
      <c r="F255" s="181">
        <v>44293</v>
      </c>
      <c r="G255" s="182">
        <v>14819.0498046875</v>
      </c>
      <c r="H255" s="183">
        <f t="shared" si="7"/>
        <v>9.231436965811966E-3</v>
      </c>
    </row>
    <row r="256" spans="2:8">
      <c r="B256" s="175">
        <v>44294</v>
      </c>
      <c r="C256" s="176">
        <v>4.591069221496582</v>
      </c>
      <c r="D256" s="180">
        <f t="shared" si="6"/>
        <v>-9.9010206436311275E-3</v>
      </c>
      <c r="F256" s="184">
        <v>44294</v>
      </c>
      <c r="G256" s="185">
        <v>14873.7998046875</v>
      </c>
      <c r="H256" s="186">
        <f t="shared" si="7"/>
        <v>3.6945688638337464E-3</v>
      </c>
    </row>
    <row r="257" spans="2:8">
      <c r="B257" s="175">
        <v>44295</v>
      </c>
      <c r="C257" s="176">
        <v>4.6828908920288086</v>
      </c>
      <c r="D257" s="180">
        <f t="shared" si="6"/>
        <v>2.0000062317138148E-2</v>
      </c>
      <c r="F257" s="181">
        <v>44295</v>
      </c>
      <c r="G257" s="182">
        <v>14834.849609375</v>
      </c>
      <c r="H257" s="183">
        <f t="shared" si="7"/>
        <v>-2.6187118170183242E-3</v>
      </c>
    </row>
    <row r="258" spans="2:8">
      <c r="B258" s="175">
        <v>44298</v>
      </c>
      <c r="C258" s="176">
        <v>4.3156051635742188</v>
      </c>
      <c r="D258" s="180">
        <f t="shared" si="6"/>
        <v>-7.8431408487390053E-2</v>
      </c>
      <c r="F258" s="184">
        <v>44298</v>
      </c>
      <c r="G258" s="185">
        <v>14310.7998046875</v>
      </c>
      <c r="H258" s="186">
        <f t="shared" si="7"/>
        <v>-3.5325589304007678E-2</v>
      </c>
    </row>
    <row r="259" spans="2:8">
      <c r="B259" s="175">
        <v>44299</v>
      </c>
      <c r="C259" s="176">
        <v>4.4533371925354004</v>
      </c>
      <c r="D259" s="180">
        <f t="shared" si="6"/>
        <v>3.191488186261944E-2</v>
      </c>
      <c r="F259" s="181">
        <v>44299</v>
      </c>
      <c r="G259" s="182">
        <v>14504.7998046875</v>
      </c>
      <c r="H259" s="183">
        <f t="shared" si="7"/>
        <v>1.3556195506030022E-2</v>
      </c>
    </row>
    <row r="260" spans="2:8">
      <c r="B260" s="175">
        <v>44301</v>
      </c>
      <c r="C260" s="176">
        <v>4.3156051635742188</v>
      </c>
      <c r="D260" s="180">
        <f t="shared" si="6"/>
        <v>-3.0927824012977383E-2</v>
      </c>
      <c r="F260" s="184">
        <v>44301</v>
      </c>
      <c r="G260" s="185">
        <v>14581.4501953125</v>
      </c>
      <c r="H260" s="186">
        <f t="shared" si="7"/>
        <v>5.2844845607747703E-3</v>
      </c>
    </row>
    <row r="261" spans="2:8">
      <c r="B261" s="175">
        <v>44302</v>
      </c>
      <c r="C261" s="176">
        <v>4.361515998840332</v>
      </c>
      <c r="D261" s="180">
        <f t="shared" ref="D261:D324" si="8">(C261-C260)/C260</f>
        <v>1.0638330784665565E-2</v>
      </c>
      <c r="F261" s="181">
        <v>44302</v>
      </c>
      <c r="G261" s="182">
        <v>14617.849609375</v>
      </c>
      <c r="H261" s="183">
        <f t="shared" ref="H261:H324" si="9">(G261-G260)/G260</f>
        <v>2.4962821650072447E-3</v>
      </c>
    </row>
    <row r="262" spans="2:8">
      <c r="B262" s="175">
        <v>44305</v>
      </c>
      <c r="C262" s="176">
        <v>4.0860519409179688</v>
      </c>
      <c r="D262" s="180">
        <f t="shared" si="8"/>
        <v>-6.3157869418707949E-2</v>
      </c>
      <c r="F262" s="184">
        <v>44305</v>
      </c>
      <c r="G262" s="185">
        <v>14359.4501953125</v>
      </c>
      <c r="H262" s="186">
        <f t="shared" si="9"/>
        <v>-1.7676978554819603E-2</v>
      </c>
    </row>
    <row r="263" spans="2:8">
      <c r="B263" s="175">
        <v>44306</v>
      </c>
      <c r="C263" s="176">
        <v>4.1778731346130371</v>
      </c>
      <c r="D263" s="180">
        <f t="shared" si="8"/>
        <v>2.2471861597148441E-2</v>
      </c>
      <c r="F263" s="181">
        <v>44306</v>
      </c>
      <c r="G263" s="182">
        <v>14296.400390625</v>
      </c>
      <c r="H263" s="183">
        <f t="shared" si="9"/>
        <v>-4.390823034999069E-3</v>
      </c>
    </row>
    <row r="264" spans="2:8">
      <c r="B264" s="175">
        <v>44308</v>
      </c>
      <c r="C264" s="176">
        <v>4.1778731346130371</v>
      </c>
      <c r="D264" s="180">
        <f t="shared" si="8"/>
        <v>0</v>
      </c>
      <c r="F264" s="184">
        <v>44308</v>
      </c>
      <c r="G264" s="185">
        <v>14406.150390625</v>
      </c>
      <c r="H264" s="186">
        <f t="shared" si="9"/>
        <v>7.6767575754222439E-3</v>
      </c>
    </row>
    <row r="265" spans="2:8">
      <c r="B265" s="175">
        <v>44309</v>
      </c>
      <c r="C265" s="176">
        <v>4.1319618225097656</v>
      </c>
      <c r="D265" s="180">
        <f t="shared" si="8"/>
        <v>-1.098915898687859E-2</v>
      </c>
      <c r="F265" s="181">
        <v>44309</v>
      </c>
      <c r="G265" s="182">
        <v>14341.349609375</v>
      </c>
      <c r="H265" s="183">
        <f t="shared" si="9"/>
        <v>-4.4981330537941623E-3</v>
      </c>
    </row>
    <row r="266" spans="2:8">
      <c r="B266" s="175">
        <v>44312</v>
      </c>
      <c r="C266" s="176">
        <v>4.3156051635742188</v>
      </c>
      <c r="D266" s="180">
        <f t="shared" si="8"/>
        <v>4.4444588055972796E-2</v>
      </c>
      <c r="F266" s="184">
        <v>44312</v>
      </c>
      <c r="G266" s="185">
        <v>14485</v>
      </c>
      <c r="H266" s="186">
        <f t="shared" si="9"/>
        <v>1.001651828716979E-2</v>
      </c>
    </row>
    <row r="267" spans="2:8">
      <c r="B267" s="175">
        <v>44313</v>
      </c>
      <c r="C267" s="176">
        <v>4.361515998840332</v>
      </c>
      <c r="D267" s="180">
        <f t="shared" si="8"/>
        <v>1.0638330784665565E-2</v>
      </c>
      <c r="F267" s="181">
        <v>44313</v>
      </c>
      <c r="G267" s="182">
        <v>14653.0498046875</v>
      </c>
      <c r="H267" s="183">
        <f t="shared" si="9"/>
        <v>1.1601643402657923E-2</v>
      </c>
    </row>
    <row r="268" spans="2:8">
      <c r="B268" s="175">
        <v>44314</v>
      </c>
      <c r="C268" s="176">
        <v>4.3156051635742188</v>
      </c>
      <c r="D268" s="180">
        <f t="shared" si="8"/>
        <v>-1.0526348012553513E-2</v>
      </c>
      <c r="F268" s="184">
        <v>44314</v>
      </c>
      <c r="G268" s="185">
        <v>14864.5498046875</v>
      </c>
      <c r="H268" s="186">
        <f t="shared" si="9"/>
        <v>1.4433855260107101E-2</v>
      </c>
    </row>
    <row r="269" spans="2:8">
      <c r="B269" s="175">
        <v>44315</v>
      </c>
      <c r="C269" s="176">
        <v>4.2237839698791504</v>
      </c>
      <c r="D269" s="180">
        <f t="shared" si="8"/>
        <v>-2.1276551077953877E-2</v>
      </c>
      <c r="F269" s="181">
        <v>44315</v>
      </c>
      <c r="G269" s="182">
        <v>14894.900390625</v>
      </c>
      <c r="H269" s="183">
        <f t="shared" si="9"/>
        <v>2.0418099664161384E-3</v>
      </c>
    </row>
    <row r="270" spans="2:8">
      <c r="B270" s="175">
        <v>44316</v>
      </c>
      <c r="C270" s="176">
        <v>4.4074268341064453</v>
      </c>
      <c r="D270" s="180">
        <f t="shared" si="8"/>
        <v>4.3478280503192794E-2</v>
      </c>
      <c r="F270" s="184">
        <v>44316</v>
      </c>
      <c r="G270" s="185">
        <v>14631.099609375</v>
      </c>
      <c r="H270" s="186">
        <f t="shared" si="9"/>
        <v>-1.7710812045177479E-2</v>
      </c>
    </row>
    <row r="271" spans="2:8">
      <c r="B271" s="175">
        <v>44319</v>
      </c>
      <c r="C271" s="176">
        <v>4.7288007736206046</v>
      </c>
      <c r="D271" s="180">
        <f t="shared" si="8"/>
        <v>7.2916454795627736E-2</v>
      </c>
      <c r="F271" s="181">
        <v>44319</v>
      </c>
      <c r="G271" s="182">
        <v>14634.150390625</v>
      </c>
      <c r="H271" s="183">
        <f t="shared" si="9"/>
        <v>2.0851346320171222E-4</v>
      </c>
    </row>
    <row r="272" spans="2:8">
      <c r="B272" s="175">
        <v>44320</v>
      </c>
      <c r="C272" s="176">
        <v>4.6369800567626953</v>
      </c>
      <c r="D272" s="180">
        <f t="shared" si="8"/>
        <v>-1.9417336710424948E-2</v>
      </c>
      <c r="F272" s="184">
        <v>44320</v>
      </c>
      <c r="G272" s="185">
        <v>14496.5</v>
      </c>
      <c r="H272" s="186">
        <f t="shared" si="9"/>
        <v>-9.4061074234403283E-3</v>
      </c>
    </row>
    <row r="273" spans="2:8">
      <c r="B273" s="175">
        <v>44321</v>
      </c>
      <c r="C273" s="176">
        <v>4.6369800567626953</v>
      </c>
      <c r="D273" s="180">
        <f t="shared" si="8"/>
        <v>0</v>
      </c>
      <c r="F273" s="181">
        <v>44321</v>
      </c>
      <c r="G273" s="182">
        <v>14617.849609375</v>
      </c>
      <c r="H273" s="183">
        <f t="shared" si="9"/>
        <v>8.3709591539337085E-3</v>
      </c>
    </row>
    <row r="274" spans="2:8">
      <c r="B274" s="175">
        <v>44322</v>
      </c>
      <c r="C274" s="176">
        <v>4.591069221496582</v>
      </c>
      <c r="D274" s="180">
        <f t="shared" si="8"/>
        <v>-9.9010206436311275E-3</v>
      </c>
      <c r="F274" s="184">
        <v>44322</v>
      </c>
      <c r="G274" s="185">
        <v>14724.7998046875</v>
      </c>
      <c r="H274" s="186">
        <f t="shared" si="9"/>
        <v>7.3164109749705355E-3</v>
      </c>
    </row>
    <row r="275" spans="2:8">
      <c r="B275" s="175">
        <v>44323</v>
      </c>
      <c r="C275" s="176">
        <v>4.6828908920288086</v>
      </c>
      <c r="D275" s="180">
        <f t="shared" si="8"/>
        <v>2.0000062317138148E-2</v>
      </c>
      <c r="F275" s="181">
        <v>44323</v>
      </c>
      <c r="G275" s="182">
        <v>14823.150390625</v>
      </c>
      <c r="H275" s="183">
        <f t="shared" si="9"/>
        <v>6.6792477481555316E-3</v>
      </c>
    </row>
    <row r="276" spans="2:8">
      <c r="B276" s="175">
        <v>44326</v>
      </c>
      <c r="C276" s="176">
        <v>5.1419978141784668</v>
      </c>
      <c r="D276" s="180">
        <f t="shared" si="8"/>
        <v>9.8039209696546101E-2</v>
      </c>
      <c r="F276" s="184">
        <v>44326</v>
      </c>
      <c r="G276" s="185">
        <v>14942.349609375</v>
      </c>
      <c r="H276" s="186">
        <f t="shared" si="9"/>
        <v>8.041422748121637E-3</v>
      </c>
    </row>
    <row r="277" spans="2:8">
      <c r="B277" s="175">
        <v>44327</v>
      </c>
      <c r="C277" s="176">
        <v>5.6470150947570801</v>
      </c>
      <c r="D277" s="180">
        <f t="shared" si="8"/>
        <v>9.8214215335931554E-2</v>
      </c>
      <c r="F277" s="181">
        <v>44327</v>
      </c>
      <c r="G277" s="182">
        <v>14850.75</v>
      </c>
      <c r="H277" s="183">
        <f t="shared" si="9"/>
        <v>-6.1302011912189071E-3</v>
      </c>
    </row>
    <row r="278" spans="2:8">
      <c r="B278" s="175">
        <v>44328</v>
      </c>
      <c r="C278" s="176">
        <v>5.2338190078735352</v>
      </c>
      <c r="D278" s="180">
        <f t="shared" si="8"/>
        <v>-7.3170706993004694E-2</v>
      </c>
      <c r="F278" s="184">
        <v>44328</v>
      </c>
      <c r="G278" s="185">
        <v>14696.5</v>
      </c>
      <c r="H278" s="186">
        <f t="shared" si="9"/>
        <v>-1.0386680807366631E-2</v>
      </c>
    </row>
    <row r="279" spans="2:8">
      <c r="B279" s="175">
        <v>44330</v>
      </c>
      <c r="C279" s="176">
        <v>5.1879081726074219</v>
      </c>
      <c r="D279" s="180">
        <f t="shared" si="8"/>
        <v>-8.7719569968023291E-3</v>
      </c>
      <c r="F279" s="181">
        <v>44330</v>
      </c>
      <c r="G279" s="182">
        <v>14677.7998046875</v>
      </c>
      <c r="H279" s="183">
        <f t="shared" si="9"/>
        <v>-1.2724250884564353E-3</v>
      </c>
    </row>
    <row r="280" spans="2:8">
      <c r="B280" s="175">
        <v>44333</v>
      </c>
      <c r="C280" s="176">
        <v>5.0960869789123544</v>
      </c>
      <c r="D280" s="180">
        <f t="shared" si="8"/>
        <v>-1.7699078441652236E-2</v>
      </c>
      <c r="F280" s="184">
        <v>44333</v>
      </c>
      <c r="G280" s="185">
        <v>14923.150390625</v>
      </c>
      <c r="H280" s="186">
        <f t="shared" si="9"/>
        <v>1.6715760481972569E-2</v>
      </c>
    </row>
    <row r="281" spans="2:8">
      <c r="B281" s="175">
        <v>44334</v>
      </c>
      <c r="C281" s="176">
        <v>5.0960869789123544</v>
      </c>
      <c r="D281" s="180">
        <f t="shared" si="8"/>
        <v>0</v>
      </c>
      <c r="F281" s="181">
        <v>44334</v>
      </c>
      <c r="G281" s="182">
        <v>15108.099609375</v>
      </c>
      <c r="H281" s="183">
        <f t="shared" si="9"/>
        <v>1.239344333527514E-2</v>
      </c>
    </row>
    <row r="282" spans="2:8">
      <c r="B282" s="175">
        <v>44335</v>
      </c>
      <c r="C282" s="176">
        <v>5.1419978141784668</v>
      </c>
      <c r="D282" s="180">
        <f t="shared" si="8"/>
        <v>9.0090368269010648E-3</v>
      </c>
      <c r="F282" s="184">
        <v>44335</v>
      </c>
      <c r="G282" s="185">
        <v>15030.150390625</v>
      </c>
      <c r="H282" s="186">
        <f t="shared" si="9"/>
        <v>-5.1594324081388979E-3</v>
      </c>
    </row>
    <row r="283" spans="2:8">
      <c r="B283" s="175">
        <v>44336</v>
      </c>
      <c r="C283" s="176">
        <v>5.0501761436462402</v>
      </c>
      <c r="D283" s="180">
        <f t="shared" si="8"/>
        <v>-1.7857197503864913E-2</v>
      </c>
      <c r="F283" s="181">
        <v>44336</v>
      </c>
      <c r="G283" s="182">
        <v>14906.0498046875</v>
      </c>
      <c r="H283" s="183">
        <f t="shared" si="9"/>
        <v>-8.2567760609306533E-3</v>
      </c>
    </row>
    <row r="284" spans="2:8">
      <c r="B284" s="175">
        <v>44337</v>
      </c>
      <c r="C284" s="176">
        <v>5.0042657852172852</v>
      </c>
      <c r="D284" s="180">
        <f t="shared" si="8"/>
        <v>-9.0908429969746921E-3</v>
      </c>
      <c r="F284" s="184">
        <v>44337</v>
      </c>
      <c r="G284" s="185">
        <v>15175.2998046875</v>
      </c>
      <c r="H284" s="186">
        <f t="shared" si="9"/>
        <v>1.8063135674974671E-2</v>
      </c>
    </row>
    <row r="285" spans="2:8">
      <c r="B285" s="175">
        <v>44340</v>
      </c>
      <c r="C285" s="176">
        <v>5.0042657852172852</v>
      </c>
      <c r="D285" s="180">
        <f t="shared" si="8"/>
        <v>0</v>
      </c>
      <c r="F285" s="181">
        <v>44340</v>
      </c>
      <c r="G285" s="182">
        <v>15197.7001953125</v>
      </c>
      <c r="H285" s="183">
        <f t="shared" si="9"/>
        <v>1.4761086049898495E-3</v>
      </c>
    </row>
    <row r="286" spans="2:8">
      <c r="B286" s="175">
        <v>44341</v>
      </c>
      <c r="C286" s="176">
        <v>4.9583549499511719</v>
      </c>
      <c r="D286" s="180">
        <f t="shared" si="8"/>
        <v>-9.1743399005174611E-3</v>
      </c>
      <c r="F286" s="184">
        <v>44341</v>
      </c>
      <c r="G286" s="185">
        <v>15208.4501953125</v>
      </c>
      <c r="H286" s="186">
        <f t="shared" si="9"/>
        <v>7.0734386531165255E-4</v>
      </c>
    </row>
    <row r="287" spans="2:8">
      <c r="B287" s="175">
        <v>44342</v>
      </c>
      <c r="C287" s="176">
        <v>5.4174618721008301</v>
      </c>
      <c r="D287" s="180">
        <f t="shared" si="8"/>
        <v>9.2592589030799283E-2</v>
      </c>
      <c r="F287" s="181">
        <v>44342</v>
      </c>
      <c r="G287" s="182">
        <v>15301.4501953125</v>
      </c>
      <c r="H287" s="183">
        <f t="shared" si="9"/>
        <v>6.1150215048647203E-3</v>
      </c>
    </row>
    <row r="288" spans="2:8">
      <c r="B288" s="175">
        <v>44343</v>
      </c>
      <c r="C288" s="176">
        <v>5.2797298431396484</v>
      </c>
      <c r="D288" s="180">
        <f t="shared" si="8"/>
        <v>-2.5423719116600026E-2</v>
      </c>
      <c r="F288" s="184">
        <v>44343</v>
      </c>
      <c r="G288" s="185">
        <v>15337.849609375</v>
      </c>
      <c r="H288" s="186">
        <f t="shared" si="9"/>
        <v>2.3788211965458492E-3</v>
      </c>
    </row>
    <row r="289" spans="2:8">
      <c r="B289" s="175">
        <v>44344</v>
      </c>
      <c r="C289" s="176">
        <v>5.2338190078735352</v>
      </c>
      <c r="D289" s="180">
        <f t="shared" si="8"/>
        <v>-8.6956788756471504E-3</v>
      </c>
      <c r="F289" s="181">
        <v>44344</v>
      </c>
      <c r="G289" s="182">
        <v>15435.650390625</v>
      </c>
      <c r="H289" s="183">
        <f t="shared" si="9"/>
        <v>6.3764337075140533E-3</v>
      </c>
    </row>
    <row r="290" spans="2:8">
      <c r="B290" s="175">
        <v>44347</v>
      </c>
      <c r="C290" s="176">
        <v>5.2338190078735352</v>
      </c>
      <c r="D290" s="180">
        <f t="shared" si="8"/>
        <v>0</v>
      </c>
      <c r="F290" s="184">
        <v>44347</v>
      </c>
      <c r="G290" s="185">
        <v>15582.7998046875</v>
      </c>
      <c r="H290" s="186">
        <f t="shared" si="9"/>
        <v>9.5330880357249285E-3</v>
      </c>
    </row>
    <row r="291" spans="2:8">
      <c r="B291" s="175">
        <v>44348</v>
      </c>
      <c r="C291" s="176">
        <v>5.4174618721008301</v>
      </c>
      <c r="D291" s="180">
        <f t="shared" si="8"/>
        <v>3.5087736880283861E-2</v>
      </c>
      <c r="F291" s="181">
        <v>44348</v>
      </c>
      <c r="G291" s="182">
        <v>15574.849609375</v>
      </c>
      <c r="H291" s="183">
        <f t="shared" si="9"/>
        <v>-5.1019042868717874E-4</v>
      </c>
    </row>
    <row r="292" spans="2:8">
      <c r="B292" s="175">
        <v>44349</v>
      </c>
      <c r="C292" s="176">
        <v>5.9224801063537598</v>
      </c>
      <c r="D292" s="180">
        <f t="shared" si="8"/>
        <v>9.322045012512277E-2</v>
      </c>
      <c r="F292" s="184">
        <v>44349</v>
      </c>
      <c r="G292" s="185">
        <v>15576.2001953125</v>
      </c>
      <c r="H292" s="186">
        <f t="shared" si="9"/>
        <v>8.6715825280716621E-5</v>
      </c>
    </row>
    <row r="293" spans="2:8">
      <c r="B293" s="175">
        <v>44350</v>
      </c>
      <c r="C293" s="176">
        <v>6.4734082221984863</v>
      </c>
      <c r="D293" s="180">
        <f t="shared" si="8"/>
        <v>9.3023210876416351E-2</v>
      </c>
      <c r="F293" s="181">
        <v>44350</v>
      </c>
      <c r="G293" s="182">
        <v>15690.349609375</v>
      </c>
      <c r="H293" s="183">
        <f t="shared" si="9"/>
        <v>7.3284506253875779E-3</v>
      </c>
    </row>
    <row r="294" spans="2:8">
      <c r="B294" s="175">
        <v>44351</v>
      </c>
      <c r="C294" s="176">
        <v>6.7488718032836914</v>
      </c>
      <c r="D294" s="180">
        <f t="shared" si="8"/>
        <v>4.2553099021407408E-2</v>
      </c>
      <c r="F294" s="184">
        <v>44351</v>
      </c>
      <c r="G294" s="185">
        <v>15670.25</v>
      </c>
      <c r="H294" s="186">
        <f t="shared" si="9"/>
        <v>-1.2810173052479636E-3</v>
      </c>
    </row>
    <row r="295" spans="2:8">
      <c r="B295" s="175">
        <v>44354</v>
      </c>
      <c r="C295" s="176">
        <v>6.6570510864257813</v>
      </c>
      <c r="D295" s="180">
        <f t="shared" si="8"/>
        <v>-1.360534316465078E-2</v>
      </c>
      <c r="F295" s="181">
        <v>44354</v>
      </c>
      <c r="G295" s="182">
        <v>15751.650390625</v>
      </c>
      <c r="H295" s="183">
        <f t="shared" si="9"/>
        <v>5.1945814919991708E-3</v>
      </c>
    </row>
    <row r="296" spans="2:8">
      <c r="B296" s="175">
        <v>44355</v>
      </c>
      <c r="C296" s="176">
        <v>6.3356761932373047</v>
      </c>
      <c r="D296" s="180">
        <f t="shared" si="8"/>
        <v>-4.8275864044934808E-2</v>
      </c>
      <c r="F296" s="184">
        <v>44355</v>
      </c>
      <c r="G296" s="185">
        <v>15740.099609375</v>
      </c>
      <c r="H296" s="186">
        <f t="shared" si="9"/>
        <v>-7.3330609577741419E-4</v>
      </c>
    </row>
    <row r="297" spans="2:8">
      <c r="B297" s="175">
        <v>44356</v>
      </c>
      <c r="C297" s="176">
        <v>6.5193190574645996</v>
      </c>
      <c r="D297" s="180">
        <f t="shared" si="8"/>
        <v>2.8985519244704324E-2</v>
      </c>
      <c r="F297" s="181">
        <v>44356</v>
      </c>
      <c r="G297" s="182">
        <v>15635.349609375</v>
      </c>
      <c r="H297" s="183">
        <f t="shared" si="9"/>
        <v>-6.6549769442125761E-3</v>
      </c>
    </row>
    <row r="298" spans="2:8">
      <c r="B298" s="175">
        <v>44357</v>
      </c>
      <c r="C298" s="176">
        <v>6.7029609680175781</v>
      </c>
      <c r="D298" s="180">
        <f t="shared" si="8"/>
        <v>2.8168879132048172E-2</v>
      </c>
      <c r="F298" s="184">
        <v>44357</v>
      </c>
      <c r="G298" s="185">
        <v>15737.75</v>
      </c>
      <c r="H298" s="186">
        <f t="shared" si="9"/>
        <v>6.5492869160789623E-3</v>
      </c>
    </row>
    <row r="299" spans="2:8">
      <c r="B299" s="175">
        <v>44358</v>
      </c>
      <c r="C299" s="176">
        <v>6.5193190574645996</v>
      </c>
      <c r="D299" s="180">
        <f t="shared" si="8"/>
        <v>-2.7397132614855609E-2</v>
      </c>
      <c r="F299" s="181">
        <v>44358</v>
      </c>
      <c r="G299" s="182">
        <v>15799.349609375</v>
      </c>
      <c r="H299" s="183">
        <f t="shared" si="9"/>
        <v>3.9141306333497486E-3</v>
      </c>
    </row>
    <row r="300" spans="2:8">
      <c r="B300" s="175">
        <v>44361</v>
      </c>
      <c r="C300" s="176">
        <v>6.4734082221984863</v>
      </c>
      <c r="D300" s="180">
        <f t="shared" si="8"/>
        <v>-7.0422746396413168E-3</v>
      </c>
      <c r="F300" s="184">
        <v>44361</v>
      </c>
      <c r="G300" s="185">
        <v>15811.849609375</v>
      </c>
      <c r="H300" s="186">
        <f t="shared" si="9"/>
        <v>7.9117180827385227E-4</v>
      </c>
    </row>
    <row r="301" spans="2:8">
      <c r="B301" s="175">
        <v>44362</v>
      </c>
      <c r="C301" s="176">
        <v>6.6111397743225098</v>
      </c>
      <c r="D301" s="180">
        <f t="shared" si="8"/>
        <v>2.1276512680247332E-2</v>
      </c>
      <c r="F301" s="181">
        <v>44362</v>
      </c>
      <c r="G301" s="182">
        <v>15869.25</v>
      </c>
      <c r="H301" s="183">
        <f t="shared" si="9"/>
        <v>3.630213545097643E-3</v>
      </c>
    </row>
    <row r="302" spans="2:8">
      <c r="B302" s="175">
        <v>44363</v>
      </c>
      <c r="C302" s="176">
        <v>6.5193190574645996</v>
      </c>
      <c r="D302" s="180">
        <f t="shared" si="8"/>
        <v>-1.3888787711695246E-2</v>
      </c>
      <c r="F302" s="184">
        <v>44363</v>
      </c>
      <c r="G302" s="185">
        <v>15767.5498046875</v>
      </c>
      <c r="H302" s="186">
        <f t="shared" si="9"/>
        <v>-6.4086327528081041E-3</v>
      </c>
    </row>
    <row r="303" spans="2:8">
      <c r="B303" s="175">
        <v>44364</v>
      </c>
      <c r="C303" s="176">
        <v>6.5652289390563956</v>
      </c>
      <c r="D303" s="180">
        <f t="shared" si="8"/>
        <v>7.0421283552964502E-3</v>
      </c>
      <c r="F303" s="181">
        <v>44364</v>
      </c>
      <c r="G303" s="182">
        <v>15691.400390625</v>
      </c>
      <c r="H303" s="183">
        <f t="shared" si="9"/>
        <v>-4.829502047290931E-3</v>
      </c>
    </row>
    <row r="304" spans="2:8">
      <c r="B304" s="175">
        <v>44365</v>
      </c>
      <c r="C304" s="176">
        <v>6.886603832244873</v>
      </c>
      <c r="D304" s="180">
        <f t="shared" si="8"/>
        <v>4.8951056569653741E-2</v>
      </c>
      <c r="F304" s="184">
        <v>44365</v>
      </c>
      <c r="G304" s="185">
        <v>15683.349609375</v>
      </c>
      <c r="H304" s="186">
        <f t="shared" si="9"/>
        <v>-5.1306964640390079E-4</v>
      </c>
    </row>
    <row r="305" spans="2:8">
      <c r="B305" s="175">
        <v>44368</v>
      </c>
      <c r="C305" s="176">
        <v>7.2079792022705078</v>
      </c>
      <c r="D305" s="180">
        <f t="shared" si="8"/>
        <v>4.6666742832057739E-2</v>
      </c>
      <c r="F305" s="181">
        <v>44368</v>
      </c>
      <c r="G305" s="182">
        <v>15746.5</v>
      </c>
      <c r="H305" s="183">
        <f t="shared" si="9"/>
        <v>4.0265882096545708E-3</v>
      </c>
    </row>
    <row r="306" spans="2:8">
      <c r="B306" s="175">
        <v>44369</v>
      </c>
      <c r="C306" s="176">
        <v>7.5293540954589844</v>
      </c>
      <c r="D306" s="180">
        <f t="shared" si="8"/>
        <v>4.4585990632054505E-2</v>
      </c>
      <c r="F306" s="184">
        <v>44369</v>
      </c>
      <c r="G306" s="185">
        <v>15772.75</v>
      </c>
      <c r="H306" s="186">
        <f t="shared" si="9"/>
        <v>1.6670371193598578E-3</v>
      </c>
    </row>
    <row r="307" spans="2:8">
      <c r="B307" s="175">
        <v>44370</v>
      </c>
      <c r="C307" s="176">
        <v>7.1620678901672363</v>
      </c>
      <c r="D307" s="180">
        <f t="shared" si="8"/>
        <v>-4.878057276031969E-2</v>
      </c>
      <c r="F307" s="181">
        <v>44370</v>
      </c>
      <c r="G307" s="182">
        <v>15686.9501953125</v>
      </c>
      <c r="H307" s="183">
        <f t="shared" si="9"/>
        <v>-5.4397492312691191E-3</v>
      </c>
    </row>
    <row r="308" spans="2:8">
      <c r="B308" s="175">
        <v>44371</v>
      </c>
      <c r="C308" s="176">
        <v>6.8406939506530762</v>
      </c>
      <c r="D308" s="180">
        <f t="shared" si="8"/>
        <v>-4.4871668970825125E-2</v>
      </c>
      <c r="F308" s="184">
        <v>44371</v>
      </c>
      <c r="G308" s="185">
        <v>15790.4501953125</v>
      </c>
      <c r="H308" s="186">
        <f t="shared" si="9"/>
        <v>6.5978407983297719E-3</v>
      </c>
    </row>
    <row r="309" spans="2:8">
      <c r="B309" s="175">
        <v>44372</v>
      </c>
      <c r="C309" s="176">
        <v>7.1161580085754386</v>
      </c>
      <c r="D309" s="180">
        <f t="shared" si="8"/>
        <v>4.0268437662828643E-2</v>
      </c>
      <c r="F309" s="181">
        <v>44372</v>
      </c>
      <c r="G309" s="182">
        <v>15860.349609375</v>
      </c>
      <c r="H309" s="183">
        <f t="shared" si="9"/>
        <v>4.4266891189239247E-3</v>
      </c>
    </row>
    <row r="310" spans="2:8">
      <c r="B310" s="175">
        <v>44375</v>
      </c>
      <c r="C310" s="176">
        <v>7.2079792022705078</v>
      </c>
      <c r="D310" s="180">
        <f t="shared" si="8"/>
        <v>1.2903197706461643E-2</v>
      </c>
      <c r="F310" s="184">
        <v>44375</v>
      </c>
      <c r="G310" s="185">
        <v>15814.7001953125</v>
      </c>
      <c r="H310" s="186">
        <f t="shared" si="9"/>
        <v>-2.8782098242977434E-3</v>
      </c>
    </row>
    <row r="311" spans="2:8">
      <c r="B311" s="175">
        <v>44376</v>
      </c>
      <c r="C311" s="176">
        <v>7.0243358612060547</v>
      </c>
      <c r="D311" s="180">
        <f t="shared" si="8"/>
        <v>-2.5477784537253606E-2</v>
      </c>
      <c r="F311" s="181">
        <v>44376</v>
      </c>
      <c r="G311" s="182">
        <v>15748.4501953125</v>
      </c>
      <c r="H311" s="183">
        <f t="shared" si="9"/>
        <v>-4.1891404314851697E-3</v>
      </c>
    </row>
    <row r="312" spans="2:8">
      <c r="B312" s="175">
        <v>44377</v>
      </c>
      <c r="C312" s="176">
        <v>7.3457112312316886</v>
      </c>
      <c r="D312" s="180">
        <f t="shared" si="8"/>
        <v>4.5751708969459043E-2</v>
      </c>
      <c r="F312" s="184">
        <v>44377</v>
      </c>
      <c r="G312" s="185">
        <v>15721.5</v>
      </c>
      <c r="H312" s="186">
        <f t="shared" si="9"/>
        <v>-1.7112919035373831E-3</v>
      </c>
    </row>
    <row r="313" spans="2:8">
      <c r="B313" s="175">
        <v>44378</v>
      </c>
      <c r="C313" s="176">
        <v>7.7129969596862793</v>
      </c>
      <c r="D313" s="180">
        <f t="shared" si="8"/>
        <v>5.0000022719788602E-2</v>
      </c>
      <c r="F313" s="181">
        <v>44378</v>
      </c>
      <c r="G313" s="182">
        <v>15680</v>
      </c>
      <c r="H313" s="183">
        <f t="shared" si="9"/>
        <v>-2.6396972299080877E-3</v>
      </c>
    </row>
    <row r="314" spans="2:8">
      <c r="B314" s="175">
        <v>44379</v>
      </c>
      <c r="C314" s="176">
        <v>8.0802822113037109</v>
      </c>
      <c r="D314" s="180">
        <f t="shared" si="8"/>
        <v>4.7619006404012731E-2</v>
      </c>
      <c r="F314" s="184">
        <v>44379</v>
      </c>
      <c r="G314" s="185">
        <v>15722.2001953125</v>
      </c>
      <c r="H314" s="186">
        <f t="shared" si="9"/>
        <v>2.6913389867665818E-3</v>
      </c>
    </row>
    <row r="315" spans="2:8">
      <c r="B315" s="175">
        <v>44382</v>
      </c>
      <c r="C315" s="176">
        <v>8.4475679397583008</v>
      </c>
      <c r="D315" s="180">
        <f t="shared" si="8"/>
        <v>4.5454566913614054E-2</v>
      </c>
      <c r="F315" s="181">
        <v>44382</v>
      </c>
      <c r="G315" s="182">
        <v>15834.349609375</v>
      </c>
      <c r="H315" s="183">
        <f t="shared" si="9"/>
        <v>7.1331882732250679E-3</v>
      </c>
    </row>
    <row r="316" spans="2:8">
      <c r="B316" s="175">
        <v>44383</v>
      </c>
      <c r="C316" s="176">
        <v>8.0343723297119141</v>
      </c>
      <c r="D316" s="180">
        <f t="shared" si="8"/>
        <v>-4.8912966784403149E-2</v>
      </c>
      <c r="F316" s="184">
        <v>44383</v>
      </c>
      <c r="G316" s="185">
        <v>15818.25</v>
      </c>
      <c r="H316" s="186">
        <f t="shared" si="9"/>
        <v>-1.016752173102705E-3</v>
      </c>
    </row>
    <row r="317" spans="2:8">
      <c r="B317" s="175">
        <v>44384</v>
      </c>
      <c r="C317" s="176">
        <v>7.667086124420166</v>
      </c>
      <c r="D317" s="180">
        <f t="shared" si="8"/>
        <v>-4.5714362020974168E-2</v>
      </c>
      <c r="F317" s="181">
        <v>44384</v>
      </c>
      <c r="G317" s="182">
        <v>15879.650390625</v>
      </c>
      <c r="H317" s="183">
        <f t="shared" si="9"/>
        <v>3.8816171589777632E-3</v>
      </c>
    </row>
    <row r="318" spans="2:8">
      <c r="B318" s="175">
        <v>44385</v>
      </c>
      <c r="C318" s="176">
        <v>7.8507289886474609</v>
      </c>
      <c r="D318" s="180">
        <f t="shared" si="8"/>
        <v>2.3952106608321578E-2</v>
      </c>
      <c r="F318" s="184">
        <v>44385</v>
      </c>
      <c r="G318" s="185">
        <v>15727.900390625</v>
      </c>
      <c r="H318" s="186">
        <f t="shared" si="9"/>
        <v>-9.5562557277451086E-3</v>
      </c>
    </row>
    <row r="319" spans="2:8">
      <c r="B319" s="175">
        <v>44386</v>
      </c>
      <c r="C319" s="176">
        <v>7.8048181533813477</v>
      </c>
      <c r="D319" s="180">
        <f t="shared" si="8"/>
        <v>-5.8479709760077825E-3</v>
      </c>
      <c r="F319" s="181">
        <v>44386</v>
      </c>
      <c r="G319" s="182">
        <v>15689.7998046875</v>
      </c>
      <c r="H319" s="183">
        <f t="shared" si="9"/>
        <v>-2.4224839292732799E-3</v>
      </c>
    </row>
    <row r="320" spans="2:8">
      <c r="B320" s="175">
        <v>44389</v>
      </c>
      <c r="C320" s="176">
        <v>7.6211748123168954</v>
      </c>
      <c r="D320" s="180">
        <f t="shared" si="8"/>
        <v>-2.3529483641446646E-2</v>
      </c>
      <c r="F320" s="184">
        <v>44389</v>
      </c>
      <c r="G320" s="185">
        <v>15692.599609375</v>
      </c>
      <c r="H320" s="186">
        <f t="shared" si="9"/>
        <v>1.7844744498674405E-4</v>
      </c>
    </row>
    <row r="321" spans="2:8">
      <c r="B321" s="175">
        <v>44390</v>
      </c>
      <c r="C321" s="176">
        <v>7.3457112312316886</v>
      </c>
      <c r="D321" s="180">
        <f t="shared" si="8"/>
        <v>-3.6144503684657485E-2</v>
      </c>
      <c r="F321" s="181">
        <v>44390</v>
      </c>
      <c r="G321" s="182">
        <v>15812.349609375</v>
      </c>
      <c r="H321" s="183">
        <f t="shared" si="9"/>
        <v>7.6309854951285136E-3</v>
      </c>
    </row>
    <row r="322" spans="2:8">
      <c r="B322" s="175">
        <v>44391</v>
      </c>
      <c r="C322" s="176">
        <v>7.2538900375366211</v>
      </c>
      <c r="D322" s="180">
        <f t="shared" si="8"/>
        <v>-1.2499973223106321E-2</v>
      </c>
      <c r="F322" s="184">
        <v>44391</v>
      </c>
      <c r="G322" s="185">
        <v>15853.9501953125</v>
      </c>
      <c r="H322" s="186">
        <f t="shared" si="9"/>
        <v>2.6308921169334244E-3</v>
      </c>
    </row>
    <row r="323" spans="2:8">
      <c r="B323" s="175">
        <v>44392</v>
      </c>
      <c r="C323" s="176">
        <v>7.5293540954589844</v>
      </c>
      <c r="D323" s="180">
        <f t="shared" si="8"/>
        <v>3.7974666902437532E-2</v>
      </c>
      <c r="F323" s="181">
        <v>44392</v>
      </c>
      <c r="G323" s="182">
        <v>15924.2001953125</v>
      </c>
      <c r="H323" s="183">
        <f t="shared" si="9"/>
        <v>4.4310723280038215E-3</v>
      </c>
    </row>
    <row r="324" spans="2:8">
      <c r="B324" s="175">
        <v>44393</v>
      </c>
      <c r="C324" s="176">
        <v>7.2998008728027344</v>
      </c>
      <c r="D324" s="180">
        <f t="shared" si="8"/>
        <v>-3.0487770895872124E-2</v>
      </c>
      <c r="F324" s="184">
        <v>44393</v>
      </c>
      <c r="G324" s="185">
        <v>15923.400390625</v>
      </c>
      <c r="H324" s="186">
        <f t="shared" si="9"/>
        <v>-5.0225736783655429E-5</v>
      </c>
    </row>
    <row r="325" spans="2:8">
      <c r="B325" s="175">
        <v>44396</v>
      </c>
      <c r="C325" s="176">
        <v>7.0702471733093262</v>
      </c>
      <c r="D325" s="180">
        <f t="shared" ref="D325:D388" si="10">(C325-C324)/C324</f>
        <v>-3.1446570049419968E-2</v>
      </c>
      <c r="F325" s="181">
        <v>44396</v>
      </c>
      <c r="G325" s="182">
        <v>15752.400390625</v>
      </c>
      <c r="H325" s="183">
        <f t="shared" ref="H325:H388" si="11">(G325-G324)/G324</f>
        <v>-1.0738912280361756E-2</v>
      </c>
    </row>
    <row r="326" spans="2:8">
      <c r="B326" s="175">
        <v>44397</v>
      </c>
      <c r="C326" s="176">
        <v>6.7947831153869629</v>
      </c>
      <c r="D326" s="180">
        <f t="shared" si="10"/>
        <v>-3.8961022319312852E-2</v>
      </c>
      <c r="F326" s="184">
        <v>44397</v>
      </c>
      <c r="G326" s="185">
        <v>15632.099609375</v>
      </c>
      <c r="H326" s="186">
        <f t="shared" si="11"/>
        <v>-7.6369809214344685E-3</v>
      </c>
    </row>
    <row r="327" spans="2:8">
      <c r="B327" s="175">
        <v>44399</v>
      </c>
      <c r="C327" s="176">
        <v>6.9784259796142578</v>
      </c>
      <c r="D327" s="180">
        <f t="shared" si="10"/>
        <v>2.7027038407073052E-2</v>
      </c>
      <c r="F327" s="181">
        <v>44399</v>
      </c>
      <c r="G327" s="182">
        <v>15824.0498046875</v>
      </c>
      <c r="H327" s="183">
        <f t="shared" si="11"/>
        <v>1.2279233123449532E-2</v>
      </c>
    </row>
    <row r="328" spans="2:8">
      <c r="B328" s="175">
        <v>44400</v>
      </c>
      <c r="C328" s="176">
        <v>6.7488718032836914</v>
      </c>
      <c r="D328" s="180">
        <f t="shared" si="10"/>
        <v>-3.2894835741061383E-2</v>
      </c>
      <c r="F328" s="184">
        <v>44400</v>
      </c>
      <c r="G328" s="185">
        <v>15856.0498046875</v>
      </c>
      <c r="H328" s="186">
        <f t="shared" si="11"/>
        <v>2.0222383267853947E-3</v>
      </c>
    </row>
    <row r="329" spans="2:8">
      <c r="B329" s="175">
        <v>44403</v>
      </c>
      <c r="C329" s="176">
        <v>6.7029609680175781</v>
      </c>
      <c r="D329" s="180">
        <f t="shared" si="10"/>
        <v>-6.8027422366765322E-3</v>
      </c>
      <c r="F329" s="181">
        <v>44403</v>
      </c>
      <c r="G329" s="182">
        <v>15824.4501953125</v>
      </c>
      <c r="H329" s="183">
        <f t="shared" si="11"/>
        <v>-1.9929055322251985E-3</v>
      </c>
    </row>
    <row r="330" spans="2:8">
      <c r="B330" s="175">
        <v>44404</v>
      </c>
      <c r="C330" s="176">
        <v>6.381587028503418</v>
      </c>
      <c r="D330" s="180">
        <f t="shared" si="10"/>
        <v>-4.7945070998855525E-2</v>
      </c>
      <c r="F330" s="184">
        <v>44404</v>
      </c>
      <c r="G330" s="185">
        <v>15746.4501953125</v>
      </c>
      <c r="H330" s="186">
        <f t="shared" si="11"/>
        <v>-4.9290812026508866E-3</v>
      </c>
    </row>
    <row r="331" spans="2:8">
      <c r="B331" s="175">
        <v>44405</v>
      </c>
      <c r="C331" s="176">
        <v>6.1061220169067383</v>
      </c>
      <c r="D331" s="180">
        <f t="shared" si="10"/>
        <v>-4.3165596640195085E-2</v>
      </c>
      <c r="F331" s="181">
        <v>44405</v>
      </c>
      <c r="G331" s="182">
        <v>15709.400390625</v>
      </c>
      <c r="H331" s="183">
        <f t="shared" si="11"/>
        <v>-2.3528988583426387E-3</v>
      </c>
    </row>
    <row r="332" spans="2:8">
      <c r="B332" s="175">
        <v>44406</v>
      </c>
      <c r="C332" s="176">
        <v>5.830657958984375</v>
      </c>
      <c r="D332" s="180">
        <f t="shared" si="10"/>
        <v>-4.5112766688849899E-2</v>
      </c>
      <c r="F332" s="184">
        <v>44406</v>
      </c>
      <c r="G332" s="185">
        <v>15778.4501953125</v>
      </c>
      <c r="H332" s="186">
        <f t="shared" si="11"/>
        <v>4.3954449546468556E-3</v>
      </c>
    </row>
    <row r="333" spans="2:8">
      <c r="B333" s="175">
        <v>44407</v>
      </c>
      <c r="C333" s="176">
        <v>5.7847480773925781</v>
      </c>
      <c r="D333" s="180">
        <f t="shared" si="10"/>
        <v>-7.8738766559021036E-3</v>
      </c>
      <c r="F333" s="181">
        <v>44407</v>
      </c>
      <c r="G333" s="182">
        <v>15763.0498046875</v>
      </c>
      <c r="H333" s="183">
        <f t="shared" si="11"/>
        <v>-9.7603949908687388E-4</v>
      </c>
    </row>
    <row r="334" spans="2:8">
      <c r="B334" s="175">
        <v>44410</v>
      </c>
      <c r="C334" s="176">
        <v>6.0602121353149414</v>
      </c>
      <c r="D334" s="180">
        <f t="shared" si="10"/>
        <v>4.7619024067600567E-2</v>
      </c>
      <c r="F334" s="184">
        <v>44410</v>
      </c>
      <c r="G334" s="185">
        <v>15885.150390625</v>
      </c>
      <c r="H334" s="186">
        <f t="shared" si="11"/>
        <v>7.7460001364197065E-3</v>
      </c>
    </row>
    <row r="335" spans="2:8">
      <c r="B335" s="175">
        <v>44411</v>
      </c>
      <c r="C335" s="176">
        <v>6.3356761932373047</v>
      </c>
      <c r="D335" s="180">
        <f t="shared" si="10"/>
        <v>4.5454523995478543E-2</v>
      </c>
      <c r="F335" s="181">
        <v>44411</v>
      </c>
      <c r="G335" s="182">
        <v>16130.75</v>
      </c>
      <c r="H335" s="183">
        <f t="shared" si="11"/>
        <v>1.5460955882416225E-2</v>
      </c>
    </row>
    <row r="336" spans="2:8">
      <c r="B336" s="175">
        <v>44412</v>
      </c>
      <c r="C336" s="176">
        <v>6.197944164276123</v>
      </c>
      <c r="D336" s="180">
        <f t="shared" si="10"/>
        <v>-2.173912061796919E-2</v>
      </c>
      <c r="F336" s="184">
        <v>44412</v>
      </c>
      <c r="G336" s="185">
        <v>16258.7998046875</v>
      </c>
      <c r="H336" s="186">
        <f t="shared" si="11"/>
        <v>7.9382424678021788E-3</v>
      </c>
    </row>
    <row r="337" spans="2:8">
      <c r="B337" s="175">
        <v>44413</v>
      </c>
      <c r="C337" s="176">
        <v>6.381587028503418</v>
      </c>
      <c r="D337" s="180">
        <f t="shared" si="10"/>
        <v>2.962964159725423E-2</v>
      </c>
      <c r="F337" s="181">
        <v>44413</v>
      </c>
      <c r="G337" s="182">
        <v>16294.599609375</v>
      </c>
      <c r="H337" s="183">
        <f t="shared" si="11"/>
        <v>2.2018725316476757E-3</v>
      </c>
    </row>
    <row r="338" spans="2:8">
      <c r="B338" s="175">
        <v>44414</v>
      </c>
      <c r="C338" s="176">
        <v>6.2438540458679199</v>
      </c>
      <c r="D338" s="180">
        <f t="shared" si="10"/>
        <v>-2.1582873040877196E-2</v>
      </c>
      <c r="F338" s="184">
        <v>44414</v>
      </c>
      <c r="G338" s="185">
        <v>16238.2001953125</v>
      </c>
      <c r="H338" s="186">
        <f t="shared" si="11"/>
        <v>-3.4612335015615195E-3</v>
      </c>
    </row>
    <row r="339" spans="2:8">
      <c r="B339" s="175">
        <v>44417</v>
      </c>
      <c r="C339" s="176">
        <v>6.1061220169067383</v>
      </c>
      <c r="D339" s="180">
        <f t="shared" si="10"/>
        <v>-2.2058816229429713E-2</v>
      </c>
      <c r="F339" s="181">
        <v>44417</v>
      </c>
      <c r="G339" s="182">
        <v>16258.25</v>
      </c>
      <c r="H339" s="183">
        <f t="shared" si="11"/>
        <v>1.2347307242392418E-3</v>
      </c>
    </row>
    <row r="340" spans="2:8">
      <c r="B340" s="175">
        <v>44418</v>
      </c>
      <c r="C340" s="176">
        <v>5.9224801063537598</v>
      </c>
      <c r="D340" s="180">
        <f t="shared" si="10"/>
        <v>-3.0075047639812561E-2</v>
      </c>
      <c r="F340" s="184">
        <v>44418</v>
      </c>
      <c r="G340" s="185">
        <v>16280.099609375</v>
      </c>
      <c r="H340" s="186">
        <f t="shared" si="11"/>
        <v>1.3439090538649608E-3</v>
      </c>
    </row>
    <row r="341" spans="2:8">
      <c r="B341" s="175">
        <v>44419</v>
      </c>
      <c r="C341" s="176">
        <v>5.7388367652893066</v>
      </c>
      <c r="D341" s="180">
        <f t="shared" si="10"/>
        <v>-3.1007844309588601E-2</v>
      </c>
      <c r="F341" s="181">
        <v>44419</v>
      </c>
      <c r="G341" s="182">
        <v>16282.25</v>
      </c>
      <c r="H341" s="183">
        <f t="shared" si="11"/>
        <v>1.3208706805219322E-4</v>
      </c>
    </row>
    <row r="342" spans="2:8">
      <c r="B342" s="175">
        <v>44420</v>
      </c>
      <c r="C342" s="176">
        <v>6.0143008232116699</v>
      </c>
      <c r="D342" s="180">
        <f t="shared" si="10"/>
        <v>4.7999981387948844E-2</v>
      </c>
      <c r="F342" s="184">
        <v>44420</v>
      </c>
      <c r="G342" s="185">
        <v>16364.400390625</v>
      </c>
      <c r="H342" s="186">
        <f t="shared" si="11"/>
        <v>5.0453954843464512E-3</v>
      </c>
    </row>
    <row r="343" spans="2:8">
      <c r="B343" s="175">
        <v>44421</v>
      </c>
      <c r="C343" s="176">
        <v>5.9683899879455566</v>
      </c>
      <c r="D343" s="180">
        <f t="shared" si="10"/>
        <v>-7.6336113898600507E-3</v>
      </c>
      <c r="F343" s="181">
        <v>44421</v>
      </c>
      <c r="G343" s="182">
        <v>16529.099609375</v>
      </c>
      <c r="H343" s="183">
        <f t="shared" si="11"/>
        <v>1.0064482340847301E-2</v>
      </c>
    </row>
    <row r="344" spans="2:8">
      <c r="B344" s="175">
        <v>44424</v>
      </c>
      <c r="C344" s="176">
        <v>6.1061220169067383</v>
      </c>
      <c r="D344" s="180">
        <f t="shared" si="10"/>
        <v>2.307691508754639E-2</v>
      </c>
      <c r="F344" s="184">
        <v>44424</v>
      </c>
      <c r="G344" s="185">
        <v>16563.05078125</v>
      </c>
      <c r="H344" s="186">
        <f t="shared" si="11"/>
        <v>2.0540242770237479E-3</v>
      </c>
    </row>
    <row r="345" spans="2:8">
      <c r="B345" s="175">
        <v>44425</v>
      </c>
      <c r="C345" s="176">
        <v>5.830657958984375</v>
      </c>
      <c r="D345" s="180">
        <f t="shared" si="10"/>
        <v>-4.5112766688849899E-2</v>
      </c>
      <c r="F345" s="181">
        <v>44425</v>
      </c>
      <c r="G345" s="182">
        <v>16614.599609375</v>
      </c>
      <c r="H345" s="183">
        <f t="shared" si="11"/>
        <v>3.1122785775284361E-3</v>
      </c>
    </row>
    <row r="346" spans="2:8">
      <c r="B346" s="175">
        <v>44426</v>
      </c>
      <c r="C346" s="176">
        <v>5.5551939010620117</v>
      </c>
      <c r="D346" s="180">
        <f t="shared" si="10"/>
        <v>-4.7244077745617848E-2</v>
      </c>
      <c r="F346" s="184">
        <v>44426</v>
      </c>
      <c r="G346" s="185">
        <v>16568.849609375</v>
      </c>
      <c r="H346" s="186">
        <f t="shared" si="11"/>
        <v>-2.7536023181795473E-3</v>
      </c>
    </row>
    <row r="347" spans="2:8">
      <c r="B347" s="175">
        <v>44428</v>
      </c>
      <c r="C347" s="176">
        <v>5.3256411552429199</v>
      </c>
      <c r="D347" s="180">
        <f t="shared" si="10"/>
        <v>-4.1322184231086363E-2</v>
      </c>
      <c r="F347" s="181">
        <v>44428</v>
      </c>
      <c r="G347" s="182">
        <v>16450.5</v>
      </c>
      <c r="H347" s="183">
        <f t="shared" si="11"/>
        <v>-7.142898400624949E-3</v>
      </c>
    </row>
    <row r="348" spans="2:8">
      <c r="B348" s="175">
        <v>44431</v>
      </c>
      <c r="C348" s="176">
        <v>5.4174618721008301</v>
      </c>
      <c r="D348" s="180">
        <f t="shared" si="10"/>
        <v>1.7241251181093126E-2</v>
      </c>
      <c r="F348" s="184">
        <v>44431</v>
      </c>
      <c r="G348" s="185">
        <v>16496.44921875</v>
      </c>
      <c r="H348" s="186">
        <f t="shared" si="11"/>
        <v>2.7931806783988329E-3</v>
      </c>
    </row>
    <row r="349" spans="2:8">
      <c r="B349" s="175">
        <v>44432</v>
      </c>
      <c r="C349" s="176">
        <v>5.5092830657958984</v>
      </c>
      <c r="D349" s="180">
        <f t="shared" si="10"/>
        <v>1.6949116738215482E-2</v>
      </c>
      <c r="F349" s="181">
        <v>44432</v>
      </c>
      <c r="G349" s="182">
        <v>16624.599609375</v>
      </c>
      <c r="H349" s="183">
        <f t="shared" si="11"/>
        <v>7.7683620836017982E-3</v>
      </c>
    </row>
    <row r="350" spans="2:8">
      <c r="B350" s="175">
        <v>44433</v>
      </c>
      <c r="C350" s="176">
        <v>5.6011052131652832</v>
      </c>
      <c r="D350" s="180">
        <f t="shared" si="10"/>
        <v>1.6666805149195885E-2</v>
      </c>
      <c r="F350" s="184">
        <v>44433</v>
      </c>
      <c r="G350" s="185">
        <v>16634.650390625</v>
      </c>
      <c r="H350" s="186">
        <f t="shared" si="11"/>
        <v>6.0457283099510741E-4</v>
      </c>
    </row>
    <row r="351" spans="2:8">
      <c r="B351" s="175">
        <v>44434</v>
      </c>
      <c r="C351" s="176">
        <v>5.5092830657958984</v>
      </c>
      <c r="D351" s="180">
        <f t="shared" si="10"/>
        <v>-1.6393576602267475E-2</v>
      </c>
      <c r="F351" s="181">
        <v>44434</v>
      </c>
      <c r="G351" s="182">
        <v>16636.900390625</v>
      </c>
      <c r="H351" s="183">
        <f t="shared" si="11"/>
        <v>1.3525983096513173E-4</v>
      </c>
    </row>
    <row r="352" spans="2:8">
      <c r="B352" s="175">
        <v>44435</v>
      </c>
      <c r="C352" s="176">
        <v>5.5092830657958984</v>
      </c>
      <c r="D352" s="180">
        <f t="shared" si="10"/>
        <v>0</v>
      </c>
      <c r="F352" s="184">
        <v>44435</v>
      </c>
      <c r="G352" s="185">
        <v>16705.19921875</v>
      </c>
      <c r="H352" s="186">
        <f t="shared" si="11"/>
        <v>4.1052615884799564E-3</v>
      </c>
    </row>
    <row r="353" spans="2:8">
      <c r="B353" s="175">
        <v>44438</v>
      </c>
      <c r="C353" s="176">
        <v>5.6929259300231934</v>
      </c>
      <c r="D353" s="180">
        <f t="shared" si="10"/>
        <v>3.3333350643649486E-2</v>
      </c>
      <c r="F353" s="181">
        <v>44438</v>
      </c>
      <c r="G353" s="182">
        <v>16931.05078125</v>
      </c>
      <c r="H353" s="183">
        <f t="shared" si="11"/>
        <v>1.3519836521704158E-2</v>
      </c>
    </row>
    <row r="354" spans="2:8">
      <c r="B354" s="175">
        <v>44439</v>
      </c>
      <c r="C354" s="176">
        <v>5.5551939010620117</v>
      </c>
      <c r="D354" s="180">
        <f t="shared" si="10"/>
        <v>-2.4193539605849135E-2</v>
      </c>
      <c r="F354" s="184">
        <v>44439</v>
      </c>
      <c r="G354" s="185">
        <v>17132.19921875</v>
      </c>
      <c r="H354" s="186">
        <f t="shared" si="11"/>
        <v>1.1880446175423345E-2</v>
      </c>
    </row>
    <row r="355" spans="2:8">
      <c r="B355" s="175">
        <v>44440</v>
      </c>
      <c r="C355" s="176">
        <v>5.5551939010620117</v>
      </c>
      <c r="D355" s="180">
        <f t="shared" si="10"/>
        <v>0</v>
      </c>
      <c r="F355" s="181">
        <v>44440</v>
      </c>
      <c r="G355" s="182">
        <v>17076.25</v>
      </c>
      <c r="H355" s="183">
        <f t="shared" si="11"/>
        <v>-3.2657347743637881E-3</v>
      </c>
    </row>
    <row r="356" spans="2:8">
      <c r="B356" s="175">
        <v>44441</v>
      </c>
      <c r="C356" s="176">
        <v>5.7388367652893066</v>
      </c>
      <c r="D356" s="180">
        <f t="shared" si="10"/>
        <v>3.3057867555655811E-2</v>
      </c>
      <c r="F356" s="184">
        <v>44441</v>
      </c>
      <c r="G356" s="185">
        <v>17234.150390625</v>
      </c>
      <c r="H356" s="186">
        <f t="shared" si="11"/>
        <v>9.2467837273991649E-3</v>
      </c>
    </row>
    <row r="357" spans="2:8">
      <c r="B357" s="175">
        <v>44442</v>
      </c>
      <c r="C357" s="176">
        <v>5.6470150947570801</v>
      </c>
      <c r="D357" s="180">
        <f t="shared" si="10"/>
        <v>-1.6000049188992334E-2</v>
      </c>
      <c r="F357" s="181">
        <v>44442</v>
      </c>
      <c r="G357" s="182">
        <v>17323.599609375</v>
      </c>
      <c r="H357" s="183">
        <f t="shared" si="11"/>
        <v>5.1902308336974016E-3</v>
      </c>
    </row>
    <row r="358" spans="2:8">
      <c r="B358" s="175">
        <v>44445</v>
      </c>
      <c r="C358" s="176">
        <v>5.6011052131652832</v>
      </c>
      <c r="D358" s="180">
        <f t="shared" si="10"/>
        <v>-8.1299378204994499E-3</v>
      </c>
      <c r="F358" s="184">
        <v>44445</v>
      </c>
      <c r="G358" s="185">
        <v>17377.80078125</v>
      </c>
      <c r="H358" s="186">
        <f t="shared" si="11"/>
        <v>3.1287476677576867E-3</v>
      </c>
    </row>
    <row r="359" spans="2:8">
      <c r="B359" s="175">
        <v>44446</v>
      </c>
      <c r="C359" s="176">
        <v>5.5551939010620117</v>
      </c>
      <c r="D359" s="180">
        <f t="shared" si="10"/>
        <v>-8.1968308674791341E-3</v>
      </c>
      <c r="F359" s="181">
        <v>44446</v>
      </c>
      <c r="G359" s="182">
        <v>17362.099609375</v>
      </c>
      <c r="H359" s="183">
        <f t="shared" si="11"/>
        <v>-9.0351892466974189E-4</v>
      </c>
    </row>
    <row r="360" spans="2:8">
      <c r="B360" s="175">
        <v>44447</v>
      </c>
      <c r="C360" s="176">
        <v>5.6011052131652832</v>
      </c>
      <c r="D360" s="180">
        <f t="shared" si="10"/>
        <v>8.26457418425924E-3</v>
      </c>
      <c r="F360" s="184">
        <v>44447</v>
      </c>
      <c r="G360" s="185">
        <v>17353.5</v>
      </c>
      <c r="H360" s="186">
        <f t="shared" si="11"/>
        <v>-4.9530929832682655E-4</v>
      </c>
    </row>
    <row r="361" spans="2:8">
      <c r="B361" s="175">
        <v>44448</v>
      </c>
      <c r="C361" s="176">
        <v>5.7388367652893066</v>
      </c>
      <c r="D361" s="180">
        <f t="shared" si="10"/>
        <v>2.4590066938983444E-2</v>
      </c>
      <c r="F361" s="181">
        <v>44448</v>
      </c>
      <c r="G361" s="182">
        <v>17369.25</v>
      </c>
      <c r="H361" s="183">
        <f t="shared" si="11"/>
        <v>9.0759789091537728E-4</v>
      </c>
    </row>
    <row r="362" spans="2:8">
      <c r="B362" s="175">
        <v>44452</v>
      </c>
      <c r="C362" s="176">
        <v>5.7388367652893066</v>
      </c>
      <c r="D362" s="180">
        <f t="shared" si="10"/>
        <v>0</v>
      </c>
      <c r="F362" s="184">
        <v>44452</v>
      </c>
      <c r="G362" s="185">
        <v>17355.30078125</v>
      </c>
      <c r="H362" s="186">
        <f t="shared" si="11"/>
        <v>-8.0309850741972161E-4</v>
      </c>
    </row>
    <row r="363" spans="2:8">
      <c r="B363" s="175">
        <v>44453</v>
      </c>
      <c r="C363" s="176">
        <v>5.9683899879455566</v>
      </c>
      <c r="D363" s="180">
        <f t="shared" si="10"/>
        <v>3.9999956793452682E-2</v>
      </c>
      <c r="F363" s="181">
        <v>44453</v>
      </c>
      <c r="G363" s="182">
        <v>17380</v>
      </c>
      <c r="H363" s="183">
        <f t="shared" si="11"/>
        <v>1.4231512931590379E-3</v>
      </c>
    </row>
    <row r="364" spans="2:8">
      <c r="B364" s="175">
        <v>44454</v>
      </c>
      <c r="C364" s="176">
        <v>6.0143008232116699</v>
      </c>
      <c r="D364" s="180">
        <f t="shared" si="10"/>
        <v>7.6923316604377489E-3</v>
      </c>
      <c r="F364" s="184">
        <v>44454</v>
      </c>
      <c r="G364" s="185">
        <v>17519.44921875</v>
      </c>
      <c r="H364" s="186">
        <f t="shared" si="11"/>
        <v>8.0235453826237053E-3</v>
      </c>
    </row>
    <row r="365" spans="2:8">
      <c r="B365" s="175">
        <v>44455</v>
      </c>
      <c r="C365" s="176">
        <v>5.9683899879455566</v>
      </c>
      <c r="D365" s="180">
        <f t="shared" si="10"/>
        <v>-7.6336113898600507E-3</v>
      </c>
      <c r="F365" s="181">
        <v>44455</v>
      </c>
      <c r="G365" s="182">
        <v>17629.5</v>
      </c>
      <c r="H365" s="183">
        <f t="shared" si="11"/>
        <v>6.2816347635072543E-3</v>
      </c>
    </row>
    <row r="366" spans="2:8">
      <c r="B366" s="175">
        <v>44456</v>
      </c>
      <c r="C366" s="176">
        <v>5.9224801063537598</v>
      </c>
      <c r="D366" s="180">
        <f t="shared" si="10"/>
        <v>-7.6921718729040366E-3</v>
      </c>
      <c r="F366" s="184">
        <v>44456</v>
      </c>
      <c r="G366" s="185">
        <v>17585.150390625</v>
      </c>
      <c r="H366" s="186">
        <f t="shared" si="11"/>
        <v>-2.5156476006126098E-3</v>
      </c>
    </row>
    <row r="367" spans="2:8">
      <c r="B367" s="175">
        <v>44459</v>
      </c>
      <c r="C367" s="176">
        <v>5.9683899879455566</v>
      </c>
      <c r="D367" s="180">
        <f t="shared" si="10"/>
        <v>7.7518000512224261E-3</v>
      </c>
      <c r="F367" s="181">
        <v>44459</v>
      </c>
      <c r="G367" s="182">
        <v>17396.900390625</v>
      </c>
      <c r="H367" s="183">
        <f t="shared" si="11"/>
        <v>-1.0705054879733066E-2</v>
      </c>
    </row>
    <row r="368" spans="2:8">
      <c r="B368" s="175">
        <v>44460</v>
      </c>
      <c r="C368" s="176">
        <v>5.8765687942504883</v>
      </c>
      <c r="D368" s="180">
        <f t="shared" si="10"/>
        <v>-1.5384583427108642E-2</v>
      </c>
      <c r="F368" s="184">
        <v>44460</v>
      </c>
      <c r="G368" s="185">
        <v>17562</v>
      </c>
      <c r="H368" s="186">
        <f t="shared" si="11"/>
        <v>9.4901738624640509E-3</v>
      </c>
    </row>
    <row r="369" spans="2:8">
      <c r="B369" s="175">
        <v>44461</v>
      </c>
      <c r="C369" s="176">
        <v>5.8765687942504883</v>
      </c>
      <c r="D369" s="180">
        <f t="shared" si="10"/>
        <v>0</v>
      </c>
      <c r="F369" s="181">
        <v>44461</v>
      </c>
      <c r="G369" s="182">
        <v>17546.650390625</v>
      </c>
      <c r="H369" s="183">
        <f t="shared" si="11"/>
        <v>-8.7402399356565307E-4</v>
      </c>
    </row>
    <row r="370" spans="2:8">
      <c r="B370" s="175">
        <v>44462</v>
      </c>
      <c r="C370" s="176">
        <v>5.830657958984375</v>
      </c>
      <c r="D370" s="180">
        <f t="shared" si="10"/>
        <v>-7.8125240890622224E-3</v>
      </c>
      <c r="F370" s="184">
        <v>44462</v>
      </c>
      <c r="G370" s="185">
        <v>17822.94921875</v>
      </c>
      <c r="H370" s="186">
        <f t="shared" si="11"/>
        <v>1.5746528367181906E-2</v>
      </c>
    </row>
    <row r="371" spans="2:8">
      <c r="B371" s="175">
        <v>44463</v>
      </c>
      <c r="C371" s="176">
        <v>5.7847480773925781</v>
      </c>
      <c r="D371" s="180">
        <f t="shared" si="10"/>
        <v>-7.8738766559021036E-3</v>
      </c>
      <c r="F371" s="181">
        <v>44463</v>
      </c>
      <c r="G371" s="182">
        <v>17853.19921875</v>
      </c>
      <c r="H371" s="183">
        <f t="shared" si="11"/>
        <v>1.6972499684943592E-3</v>
      </c>
    </row>
    <row r="372" spans="2:8">
      <c r="B372" s="175">
        <v>44466</v>
      </c>
      <c r="C372" s="176">
        <v>5.7847480773925781</v>
      </c>
      <c r="D372" s="180">
        <f t="shared" si="10"/>
        <v>0</v>
      </c>
      <c r="F372" s="184">
        <v>44466</v>
      </c>
      <c r="G372" s="185">
        <v>17855.099609375</v>
      </c>
      <c r="H372" s="186">
        <f t="shared" si="11"/>
        <v>1.0644538279750718E-4</v>
      </c>
    </row>
    <row r="373" spans="2:8">
      <c r="B373" s="175">
        <v>44467</v>
      </c>
      <c r="C373" s="176">
        <v>5.6929259300231934</v>
      </c>
      <c r="D373" s="180">
        <f t="shared" si="10"/>
        <v>-1.5873145405974662E-2</v>
      </c>
      <c r="F373" s="181">
        <v>44467</v>
      </c>
      <c r="G373" s="182">
        <v>17748.599609375</v>
      </c>
      <c r="H373" s="183">
        <f t="shared" si="11"/>
        <v>-5.9646824901543032E-3</v>
      </c>
    </row>
    <row r="374" spans="2:8">
      <c r="B374" s="175">
        <v>44468</v>
      </c>
      <c r="C374" s="176">
        <v>5.9224801063537598</v>
      </c>
      <c r="D374" s="180">
        <f t="shared" si="10"/>
        <v>4.0322705609070024E-2</v>
      </c>
      <c r="F374" s="184">
        <v>44468</v>
      </c>
      <c r="G374" s="185">
        <v>17711.30078125</v>
      </c>
      <c r="H374" s="186">
        <f t="shared" si="11"/>
        <v>-2.1015082285871364E-3</v>
      </c>
    </row>
    <row r="375" spans="2:8">
      <c r="B375" s="175">
        <v>44469</v>
      </c>
      <c r="C375" s="176">
        <v>5.9224801063537598</v>
      </c>
      <c r="D375" s="180">
        <f t="shared" si="10"/>
        <v>0</v>
      </c>
      <c r="F375" s="181">
        <v>44469</v>
      </c>
      <c r="G375" s="182">
        <v>17618.150390625</v>
      </c>
      <c r="H375" s="183">
        <f t="shared" si="11"/>
        <v>-5.2593760207388773E-3</v>
      </c>
    </row>
    <row r="376" spans="2:8">
      <c r="B376" s="175">
        <v>44470</v>
      </c>
      <c r="C376" s="176">
        <v>5.9683899879455566</v>
      </c>
      <c r="D376" s="180">
        <f t="shared" si="10"/>
        <v>7.7518000512224261E-3</v>
      </c>
      <c r="F376" s="184">
        <v>44470</v>
      </c>
      <c r="G376" s="185">
        <v>17532.05078125</v>
      </c>
      <c r="H376" s="186">
        <f t="shared" si="11"/>
        <v>-4.8869834497959255E-3</v>
      </c>
    </row>
    <row r="377" spans="2:8">
      <c r="B377" s="175">
        <v>44473</v>
      </c>
      <c r="C377" s="176">
        <v>6.2438540458679199</v>
      </c>
      <c r="D377" s="180">
        <f t="shared" si="10"/>
        <v>4.615383017509278E-2</v>
      </c>
      <c r="F377" s="181">
        <v>44473</v>
      </c>
      <c r="G377" s="182">
        <v>17691.25</v>
      </c>
      <c r="H377" s="183">
        <f t="shared" si="11"/>
        <v>9.080467581137671E-3</v>
      </c>
    </row>
    <row r="378" spans="2:8">
      <c r="B378" s="175">
        <v>44474</v>
      </c>
      <c r="C378" s="176">
        <v>6.5193190574645996</v>
      </c>
      <c r="D378" s="180">
        <f t="shared" si="10"/>
        <v>4.4117785196945453E-2</v>
      </c>
      <c r="F378" s="184">
        <v>44474</v>
      </c>
      <c r="G378" s="185">
        <v>17822.30078125</v>
      </c>
      <c r="H378" s="186">
        <f t="shared" si="11"/>
        <v>7.4076609199463014E-3</v>
      </c>
    </row>
    <row r="379" spans="2:8">
      <c r="B379" s="175">
        <v>44475</v>
      </c>
      <c r="C379" s="176">
        <v>6.2897648811340332</v>
      </c>
      <c r="D379" s="180">
        <f t="shared" si="10"/>
        <v>-3.521137319820658E-2</v>
      </c>
      <c r="F379" s="181">
        <v>44475</v>
      </c>
      <c r="G379" s="182">
        <v>17646</v>
      </c>
      <c r="H379" s="183">
        <f t="shared" si="11"/>
        <v>-9.8921448702895716E-3</v>
      </c>
    </row>
    <row r="380" spans="2:8">
      <c r="B380" s="175">
        <v>44476</v>
      </c>
      <c r="C380" s="176">
        <v>6.5193190574645996</v>
      </c>
      <c r="D380" s="180">
        <f t="shared" si="10"/>
        <v>3.6496463805683339E-2</v>
      </c>
      <c r="F380" s="184">
        <v>44476</v>
      </c>
      <c r="G380" s="185">
        <v>17790.349609375</v>
      </c>
      <c r="H380" s="186">
        <f t="shared" si="11"/>
        <v>8.1803020160376282E-3</v>
      </c>
    </row>
    <row r="381" spans="2:8">
      <c r="B381" s="175">
        <v>44477</v>
      </c>
      <c r="C381" s="176">
        <v>6.7029609680175781</v>
      </c>
      <c r="D381" s="180">
        <f t="shared" si="10"/>
        <v>2.8168879132048172E-2</v>
      </c>
      <c r="F381" s="181">
        <v>44477</v>
      </c>
      <c r="G381" s="182">
        <v>17895.19921875</v>
      </c>
      <c r="H381" s="183">
        <f t="shared" si="11"/>
        <v>5.8936227604963589E-3</v>
      </c>
    </row>
    <row r="382" spans="2:8">
      <c r="B382" s="175">
        <v>44480</v>
      </c>
      <c r="C382" s="176">
        <v>7.0243358612060547</v>
      </c>
      <c r="D382" s="180">
        <f t="shared" si="10"/>
        <v>4.7945213275428666E-2</v>
      </c>
      <c r="F382" s="184">
        <v>44480</v>
      </c>
      <c r="G382" s="185">
        <v>17945.94921875</v>
      </c>
      <c r="H382" s="186">
        <f t="shared" si="11"/>
        <v>2.8359561343595336E-3</v>
      </c>
    </row>
    <row r="383" spans="2:8">
      <c r="B383" s="175">
        <v>44481</v>
      </c>
      <c r="C383" s="176">
        <v>6.7488718032836914</v>
      </c>
      <c r="D383" s="180">
        <f t="shared" si="10"/>
        <v>-3.921567296400133E-2</v>
      </c>
      <c r="F383" s="181">
        <v>44481</v>
      </c>
      <c r="G383" s="182">
        <v>17991.94921875</v>
      </c>
      <c r="H383" s="183">
        <f t="shared" si="11"/>
        <v>2.5632525445875558E-3</v>
      </c>
    </row>
    <row r="384" spans="2:8">
      <c r="B384" s="175">
        <v>44482</v>
      </c>
      <c r="C384" s="176">
        <v>6.5193190574645996</v>
      </c>
      <c r="D384" s="180">
        <f t="shared" si="10"/>
        <v>-3.4013499220329237E-2</v>
      </c>
      <c r="F384" s="184">
        <v>44482</v>
      </c>
      <c r="G384" s="185">
        <v>18161.75</v>
      </c>
      <c r="H384" s="186">
        <f t="shared" si="11"/>
        <v>9.4375978492116375E-3</v>
      </c>
    </row>
    <row r="385" spans="2:8">
      <c r="B385" s="175">
        <v>44483</v>
      </c>
      <c r="C385" s="176">
        <v>6.4734082221984863</v>
      </c>
      <c r="D385" s="180">
        <f t="shared" si="10"/>
        <v>-7.0422746396413168E-3</v>
      </c>
      <c r="F385" s="181">
        <v>44483</v>
      </c>
      <c r="G385" s="182">
        <v>18338.55078125</v>
      </c>
      <c r="H385" s="183">
        <f t="shared" si="11"/>
        <v>9.7347877407188178E-3</v>
      </c>
    </row>
    <row r="386" spans="2:8">
      <c r="B386" s="175">
        <v>44487</v>
      </c>
      <c r="C386" s="176">
        <v>6.7947831153869629</v>
      </c>
      <c r="D386" s="180">
        <f t="shared" si="10"/>
        <v>4.9645392683011089E-2</v>
      </c>
      <c r="F386" s="184">
        <v>44487</v>
      </c>
      <c r="G386" s="185">
        <v>18477.05078125</v>
      </c>
      <c r="H386" s="186">
        <f t="shared" si="11"/>
        <v>7.5523961327198996E-3</v>
      </c>
    </row>
    <row r="387" spans="2:8">
      <c r="B387" s="175">
        <v>44488</v>
      </c>
      <c r="C387" s="176">
        <v>6.5652289390563956</v>
      </c>
      <c r="D387" s="180">
        <f t="shared" si="10"/>
        <v>-3.3783885730029543E-2</v>
      </c>
      <c r="F387" s="181">
        <v>44488</v>
      </c>
      <c r="G387" s="182">
        <v>18418.75</v>
      </c>
      <c r="H387" s="183">
        <f t="shared" si="11"/>
        <v>-3.1553077349964326E-3</v>
      </c>
    </row>
    <row r="388" spans="2:8">
      <c r="B388" s="175">
        <v>44489</v>
      </c>
      <c r="C388" s="176">
        <v>6.4274969100952148</v>
      </c>
      <c r="D388" s="180">
        <f t="shared" si="10"/>
        <v>-2.0979013868323172E-2</v>
      </c>
      <c r="F388" s="184">
        <v>44489</v>
      </c>
      <c r="G388" s="185">
        <v>18266.599609375</v>
      </c>
      <c r="H388" s="186">
        <f t="shared" si="11"/>
        <v>-8.2606252120800815E-3</v>
      </c>
    </row>
    <row r="389" spans="2:8">
      <c r="B389" s="175">
        <v>44490</v>
      </c>
      <c r="C389" s="176">
        <v>6.5193190574645996</v>
      </c>
      <c r="D389" s="180">
        <f t="shared" ref="D389:D452" si="12">(C389-C388)/C388</f>
        <v>1.4285832985025042E-2</v>
      </c>
      <c r="F389" s="181">
        <v>44490</v>
      </c>
      <c r="G389" s="182">
        <v>18178.099609375</v>
      </c>
      <c r="H389" s="183">
        <f t="shared" ref="H389:H452" si="13">(G389-G388)/G388</f>
        <v>-4.8449082967023036E-3</v>
      </c>
    </row>
    <row r="390" spans="2:8">
      <c r="B390" s="175">
        <v>44491</v>
      </c>
      <c r="C390" s="176">
        <v>6.4734082221984863</v>
      </c>
      <c r="D390" s="180">
        <f t="shared" si="12"/>
        <v>-7.0422746396413168E-3</v>
      </c>
      <c r="F390" s="184">
        <v>44491</v>
      </c>
      <c r="G390" s="185">
        <v>18114.900390625</v>
      </c>
      <c r="H390" s="186">
        <f t="shared" si="13"/>
        <v>-3.4766680845673349E-3</v>
      </c>
    </row>
    <row r="391" spans="2:8">
      <c r="B391" s="175">
        <v>44494</v>
      </c>
      <c r="C391" s="176">
        <v>6.3356761932373047</v>
      </c>
      <c r="D391" s="180">
        <f t="shared" si="12"/>
        <v>-2.1276586341160076E-2</v>
      </c>
      <c r="F391" s="181">
        <v>44494</v>
      </c>
      <c r="G391" s="182">
        <v>18125.400390625</v>
      </c>
      <c r="H391" s="183">
        <f t="shared" si="13"/>
        <v>5.7963332801068358E-4</v>
      </c>
    </row>
    <row r="392" spans="2:8">
      <c r="B392" s="175">
        <v>44495</v>
      </c>
      <c r="C392" s="176">
        <v>6.4734082221984863</v>
      </c>
      <c r="D392" s="180">
        <f t="shared" si="12"/>
        <v>2.173912061796919E-2</v>
      </c>
      <c r="F392" s="184">
        <v>44495</v>
      </c>
      <c r="G392" s="185">
        <v>18268.400390625</v>
      </c>
      <c r="H392" s="186">
        <f t="shared" si="13"/>
        <v>7.8894808897001737E-3</v>
      </c>
    </row>
    <row r="393" spans="2:8">
      <c r="B393" s="175">
        <v>44496</v>
      </c>
      <c r="C393" s="176">
        <v>6.381587028503418</v>
      </c>
      <c r="D393" s="180">
        <f t="shared" si="12"/>
        <v>-1.4184366340469136E-2</v>
      </c>
      <c r="F393" s="181">
        <v>44496</v>
      </c>
      <c r="G393" s="182">
        <v>18210.94921875</v>
      </c>
      <c r="H393" s="183">
        <f t="shared" si="13"/>
        <v>-3.144838663842887E-3</v>
      </c>
    </row>
    <row r="394" spans="2:8">
      <c r="B394" s="175">
        <v>44497</v>
      </c>
      <c r="C394" s="176">
        <v>6.197944164276123</v>
      </c>
      <c r="D394" s="180">
        <f t="shared" si="12"/>
        <v>-2.8776989706017071E-2</v>
      </c>
      <c r="F394" s="184">
        <v>44497</v>
      </c>
      <c r="G394" s="185">
        <v>17857.25</v>
      </c>
      <c r="H394" s="186">
        <f t="shared" si="13"/>
        <v>-1.942233842406365E-2</v>
      </c>
    </row>
    <row r="395" spans="2:8">
      <c r="B395" s="175">
        <v>44498</v>
      </c>
      <c r="C395" s="176">
        <v>6.197944164276123</v>
      </c>
      <c r="D395" s="180">
        <f t="shared" si="12"/>
        <v>0</v>
      </c>
      <c r="F395" s="181">
        <v>44498</v>
      </c>
      <c r="G395" s="182">
        <v>17671.650390625</v>
      </c>
      <c r="H395" s="183">
        <f t="shared" si="13"/>
        <v>-1.0393515763905417E-2</v>
      </c>
    </row>
    <row r="396" spans="2:8">
      <c r="B396" s="175">
        <v>44501</v>
      </c>
      <c r="C396" s="176">
        <v>6.4734082221984863</v>
      </c>
      <c r="D396" s="180">
        <f t="shared" si="12"/>
        <v>4.4444423928516559E-2</v>
      </c>
      <c r="F396" s="184">
        <v>44501</v>
      </c>
      <c r="G396" s="185">
        <v>17929.650390625</v>
      </c>
      <c r="H396" s="186">
        <f t="shared" si="13"/>
        <v>1.4599655057507915E-2</v>
      </c>
    </row>
    <row r="397" spans="2:8">
      <c r="B397" s="175">
        <v>44502</v>
      </c>
      <c r="C397" s="176">
        <v>6.4274969100952148</v>
      </c>
      <c r="D397" s="180">
        <f t="shared" si="12"/>
        <v>-7.0922936616036819E-3</v>
      </c>
      <c r="F397" s="181">
        <v>44502</v>
      </c>
      <c r="G397" s="182">
        <v>17888.94921875</v>
      </c>
      <c r="H397" s="183">
        <f t="shared" si="13"/>
        <v>-2.2700482713417379E-3</v>
      </c>
    </row>
    <row r="398" spans="2:8">
      <c r="B398" s="175">
        <v>44503</v>
      </c>
      <c r="C398" s="176">
        <v>6.381587028503418</v>
      </c>
      <c r="D398" s="180">
        <f t="shared" si="12"/>
        <v>-7.1427310248394632E-3</v>
      </c>
      <c r="F398" s="184">
        <v>44503</v>
      </c>
      <c r="G398" s="185">
        <v>17829.19921875</v>
      </c>
      <c r="H398" s="186">
        <f t="shared" si="13"/>
        <v>-3.3400508475575552E-3</v>
      </c>
    </row>
    <row r="399" spans="2:8">
      <c r="B399" s="175">
        <v>44504</v>
      </c>
      <c r="C399" s="176">
        <v>6.5193190574645996</v>
      </c>
      <c r="D399" s="180">
        <f t="shared" si="12"/>
        <v>2.1582723599317889E-2</v>
      </c>
      <c r="F399" s="181">
        <v>44504</v>
      </c>
      <c r="G399" s="182">
        <v>17916.80078125</v>
      </c>
      <c r="H399" s="183">
        <f t="shared" si="13"/>
        <v>4.9133761659847404E-3</v>
      </c>
    </row>
    <row r="400" spans="2:8">
      <c r="B400" s="175">
        <v>44508</v>
      </c>
      <c r="C400" s="176">
        <v>6.6111397743225098</v>
      </c>
      <c r="D400" s="180">
        <f t="shared" si="12"/>
        <v>1.4084402994937904E-2</v>
      </c>
      <c r="F400" s="184">
        <v>44508</v>
      </c>
      <c r="G400" s="185">
        <v>18068.55078125</v>
      </c>
      <c r="H400" s="186">
        <f t="shared" si="13"/>
        <v>8.4697040421863115E-3</v>
      </c>
    </row>
    <row r="401" spans="2:8">
      <c r="B401" s="175">
        <v>44509</v>
      </c>
      <c r="C401" s="176">
        <v>6.5193190574645996</v>
      </c>
      <c r="D401" s="180">
        <f t="shared" si="12"/>
        <v>-1.3888787711695246E-2</v>
      </c>
      <c r="F401" s="181">
        <v>44509</v>
      </c>
      <c r="G401" s="182">
        <v>18044.25</v>
      </c>
      <c r="H401" s="183">
        <f t="shared" si="13"/>
        <v>-1.3449214352717915E-3</v>
      </c>
    </row>
    <row r="402" spans="2:8">
      <c r="B402" s="175">
        <v>44510</v>
      </c>
      <c r="C402" s="176">
        <v>6.4274969100952148</v>
      </c>
      <c r="D402" s="180">
        <f t="shared" si="12"/>
        <v>-1.4084622421454997E-2</v>
      </c>
      <c r="F402" s="184">
        <v>44510</v>
      </c>
      <c r="G402" s="185">
        <v>18017.19921875</v>
      </c>
      <c r="H402" s="186">
        <f t="shared" si="13"/>
        <v>-1.499135805034845E-3</v>
      </c>
    </row>
    <row r="403" spans="2:8">
      <c r="B403" s="175">
        <v>44511</v>
      </c>
      <c r="C403" s="176">
        <v>6.5193190574645996</v>
      </c>
      <c r="D403" s="180">
        <f t="shared" si="12"/>
        <v>1.4285832985025042E-2</v>
      </c>
      <c r="F403" s="181">
        <v>44511</v>
      </c>
      <c r="G403" s="182">
        <v>17873.599609375</v>
      </c>
      <c r="H403" s="183">
        <f t="shared" si="13"/>
        <v>-7.970140510271978E-3</v>
      </c>
    </row>
    <row r="404" spans="2:8">
      <c r="B404" s="175">
        <v>44512</v>
      </c>
      <c r="C404" s="176">
        <v>6.5193190574645996</v>
      </c>
      <c r="D404" s="180">
        <f t="shared" si="12"/>
        <v>0</v>
      </c>
      <c r="F404" s="184">
        <v>44512</v>
      </c>
      <c r="G404" s="185">
        <v>18102.75</v>
      </c>
      <c r="H404" s="186">
        <f t="shared" si="13"/>
        <v>1.2820606684330492E-2</v>
      </c>
    </row>
    <row r="405" spans="2:8">
      <c r="B405" s="175">
        <v>44515</v>
      </c>
      <c r="C405" s="176">
        <v>6.381587028503418</v>
      </c>
      <c r="D405" s="180">
        <f t="shared" si="12"/>
        <v>-2.1126750776751586E-2</v>
      </c>
      <c r="F405" s="181">
        <v>44515</v>
      </c>
      <c r="G405" s="182">
        <v>18109.44921875</v>
      </c>
      <c r="H405" s="183">
        <f t="shared" si="13"/>
        <v>3.7006635732140142E-4</v>
      </c>
    </row>
    <row r="406" spans="2:8">
      <c r="B406" s="175">
        <v>44516</v>
      </c>
      <c r="C406" s="176">
        <v>6.4274969100952148</v>
      </c>
      <c r="D406" s="180">
        <f t="shared" si="12"/>
        <v>7.1941166651398724E-3</v>
      </c>
      <c r="F406" s="184">
        <v>44516</v>
      </c>
      <c r="G406" s="185">
        <v>17999.19921875</v>
      </c>
      <c r="H406" s="186">
        <f t="shared" si="13"/>
        <v>-6.0879819517564533E-3</v>
      </c>
    </row>
    <row r="407" spans="2:8">
      <c r="B407" s="175">
        <v>44517</v>
      </c>
      <c r="C407" s="176">
        <v>6.381587028503418</v>
      </c>
      <c r="D407" s="180">
        <f t="shared" si="12"/>
        <v>-7.1427310248394632E-3</v>
      </c>
      <c r="F407" s="181">
        <v>44517</v>
      </c>
      <c r="G407" s="182">
        <v>17898.650390625</v>
      </c>
      <c r="H407" s="183">
        <f t="shared" si="13"/>
        <v>-5.5862945291619958E-3</v>
      </c>
    </row>
    <row r="408" spans="2:8">
      <c r="B408" s="175">
        <v>44518</v>
      </c>
      <c r="C408" s="176">
        <v>6.3356761932373047</v>
      </c>
      <c r="D408" s="180">
        <f t="shared" si="12"/>
        <v>-7.1942661066991811E-3</v>
      </c>
      <c r="F408" s="184">
        <v>44518</v>
      </c>
      <c r="G408" s="185">
        <v>17764.80078125</v>
      </c>
      <c r="H408" s="186">
        <f t="shared" si="13"/>
        <v>-7.4781956434608098E-3</v>
      </c>
    </row>
    <row r="409" spans="2:8">
      <c r="B409" s="175">
        <v>44522</v>
      </c>
      <c r="C409" s="176">
        <v>6.2897648811340332</v>
      </c>
      <c r="D409" s="180">
        <f t="shared" si="12"/>
        <v>-7.2464738889713425E-3</v>
      </c>
      <c r="F409" s="181">
        <v>44522</v>
      </c>
      <c r="G409" s="182">
        <v>17416.55078125</v>
      </c>
      <c r="H409" s="183">
        <f t="shared" si="13"/>
        <v>-1.96033721001568E-2</v>
      </c>
    </row>
    <row r="410" spans="2:8">
      <c r="B410" s="175">
        <v>44523</v>
      </c>
      <c r="C410" s="176">
        <v>6.3356761932373047</v>
      </c>
      <c r="D410" s="180">
        <f t="shared" si="12"/>
        <v>7.2993685727396791E-3</v>
      </c>
      <c r="F410" s="184">
        <v>44523</v>
      </c>
      <c r="G410" s="185">
        <v>17503.349609375</v>
      </c>
      <c r="H410" s="186">
        <f t="shared" si="13"/>
        <v>4.9836979327987458E-3</v>
      </c>
    </row>
    <row r="411" spans="2:8">
      <c r="B411" s="175">
        <v>44524</v>
      </c>
      <c r="C411" s="176">
        <v>6.381587028503418</v>
      </c>
      <c r="D411" s="180">
        <f t="shared" si="12"/>
        <v>7.2463986267351337E-3</v>
      </c>
      <c r="F411" s="181">
        <v>44524</v>
      </c>
      <c r="G411" s="182">
        <v>17415.05078125</v>
      </c>
      <c r="H411" s="183">
        <f t="shared" si="13"/>
        <v>-5.0446817378146927E-3</v>
      </c>
    </row>
    <row r="412" spans="2:8">
      <c r="B412" s="175">
        <v>44525</v>
      </c>
      <c r="C412" s="176">
        <v>6.4734082221984863</v>
      </c>
      <c r="D412" s="180">
        <f t="shared" si="12"/>
        <v>1.4388457492618708E-2</v>
      </c>
      <c r="F412" s="184">
        <v>44525</v>
      </c>
      <c r="G412" s="185">
        <v>17536.25</v>
      </c>
      <c r="H412" s="186">
        <f t="shared" si="13"/>
        <v>6.9594525030320176E-3</v>
      </c>
    </row>
    <row r="413" spans="2:8">
      <c r="B413" s="175">
        <v>44526</v>
      </c>
      <c r="C413" s="176">
        <v>6.2897648811340332</v>
      </c>
      <c r="D413" s="180">
        <f t="shared" si="12"/>
        <v>-2.8368880002763757E-2</v>
      </c>
      <c r="F413" s="181">
        <v>44526</v>
      </c>
      <c r="G413" s="182">
        <v>17026.44921875</v>
      </c>
      <c r="H413" s="183">
        <f t="shared" si="13"/>
        <v>-2.9071254187753939E-2</v>
      </c>
    </row>
    <row r="414" spans="2:8">
      <c r="B414" s="175">
        <v>44529</v>
      </c>
      <c r="C414" s="176">
        <v>6.0602121353149414</v>
      </c>
      <c r="D414" s="180">
        <f t="shared" si="12"/>
        <v>-3.6496236370874305E-2</v>
      </c>
      <c r="F414" s="184">
        <v>44529</v>
      </c>
      <c r="G414" s="185">
        <v>17053.94921875</v>
      </c>
      <c r="H414" s="186">
        <f t="shared" si="13"/>
        <v>1.615134174289037E-3</v>
      </c>
    </row>
    <row r="415" spans="2:8">
      <c r="B415" s="175">
        <v>44530</v>
      </c>
      <c r="C415" s="176">
        <v>6.2897648811340332</v>
      </c>
      <c r="D415" s="180">
        <f t="shared" si="12"/>
        <v>3.787866508523835E-2</v>
      </c>
      <c r="F415" s="181">
        <v>44530</v>
      </c>
      <c r="G415" s="182">
        <v>16983.19921875</v>
      </c>
      <c r="H415" s="183">
        <f t="shared" si="13"/>
        <v>-4.1485991949720222E-3</v>
      </c>
    </row>
    <row r="416" spans="2:8">
      <c r="B416" s="175">
        <v>44531</v>
      </c>
      <c r="C416" s="176">
        <v>6.5652289390563956</v>
      </c>
      <c r="D416" s="180">
        <f t="shared" si="12"/>
        <v>4.3795604943613842E-2</v>
      </c>
      <c r="F416" s="184">
        <v>44531</v>
      </c>
      <c r="G416" s="185">
        <v>17166.900390625</v>
      </c>
      <c r="H416" s="186">
        <f t="shared" si="13"/>
        <v>1.0816641170421411E-2</v>
      </c>
    </row>
    <row r="417" spans="2:8">
      <c r="B417" s="175">
        <v>44532</v>
      </c>
      <c r="C417" s="176">
        <v>6.4734082221984863</v>
      </c>
      <c r="D417" s="180">
        <f t="shared" si="12"/>
        <v>-1.398591240461851E-2</v>
      </c>
      <c r="F417" s="181">
        <v>44532</v>
      </c>
      <c r="G417" s="182">
        <v>17401.650390625</v>
      </c>
      <c r="H417" s="183">
        <f t="shared" si="13"/>
        <v>1.3674571102433792E-2</v>
      </c>
    </row>
    <row r="418" spans="2:8">
      <c r="B418" s="175">
        <v>44533</v>
      </c>
      <c r="C418" s="176">
        <v>6.4274969100952148</v>
      </c>
      <c r="D418" s="180">
        <f t="shared" si="12"/>
        <v>-7.0922936616036819E-3</v>
      </c>
      <c r="F418" s="184">
        <v>44533</v>
      </c>
      <c r="G418" s="185">
        <v>17196.69921875</v>
      </c>
      <c r="H418" s="186">
        <f t="shared" si="13"/>
        <v>-1.1777685867394267E-2</v>
      </c>
    </row>
    <row r="419" spans="2:8">
      <c r="B419" s="175">
        <v>44536</v>
      </c>
      <c r="C419" s="176">
        <v>6.4274969100952148</v>
      </c>
      <c r="D419" s="180">
        <f t="shared" si="12"/>
        <v>0</v>
      </c>
      <c r="F419" s="181">
        <v>44536</v>
      </c>
      <c r="G419" s="182">
        <v>16912.25</v>
      </c>
      <c r="H419" s="183">
        <f t="shared" si="13"/>
        <v>-1.6540919575999662E-2</v>
      </c>
    </row>
    <row r="420" spans="2:8">
      <c r="B420" s="175">
        <v>44537</v>
      </c>
      <c r="C420" s="176">
        <v>6.4274969100952148</v>
      </c>
      <c r="D420" s="180">
        <f t="shared" si="12"/>
        <v>0</v>
      </c>
      <c r="F420" s="184">
        <v>44537</v>
      </c>
      <c r="G420" s="185">
        <v>17176.69921875</v>
      </c>
      <c r="H420" s="186">
        <f t="shared" si="13"/>
        <v>1.5636548581649395E-2</v>
      </c>
    </row>
    <row r="421" spans="2:8">
      <c r="B421" s="175">
        <v>44538</v>
      </c>
      <c r="C421" s="176">
        <v>6.5652289390563956</v>
      </c>
      <c r="D421" s="180">
        <f t="shared" si="12"/>
        <v>2.1428564009864367E-2</v>
      </c>
      <c r="F421" s="181">
        <v>44538</v>
      </c>
      <c r="G421" s="182">
        <v>17469.75</v>
      </c>
      <c r="H421" s="183">
        <f t="shared" si="13"/>
        <v>1.7060948527881727E-2</v>
      </c>
    </row>
    <row r="422" spans="2:8">
      <c r="B422" s="175">
        <v>44539</v>
      </c>
      <c r="C422" s="176">
        <v>6.886603832244873</v>
      </c>
      <c r="D422" s="180">
        <f t="shared" si="12"/>
        <v>4.8951056569653741E-2</v>
      </c>
      <c r="F422" s="184">
        <v>44539</v>
      </c>
      <c r="G422" s="185">
        <v>17516.849609375</v>
      </c>
      <c r="H422" s="186">
        <f t="shared" si="13"/>
        <v>2.6960665936833668E-3</v>
      </c>
    </row>
    <row r="423" spans="2:8">
      <c r="B423" s="175">
        <v>44540</v>
      </c>
      <c r="C423" s="176">
        <v>7.2079792022705078</v>
      </c>
      <c r="D423" s="180">
        <f t="shared" si="12"/>
        <v>4.6666742832057739E-2</v>
      </c>
      <c r="F423" s="181">
        <v>44540</v>
      </c>
      <c r="G423" s="182">
        <v>17511.30078125</v>
      </c>
      <c r="H423" s="183">
        <f t="shared" si="13"/>
        <v>-3.1677089480920548E-4</v>
      </c>
    </row>
    <row r="424" spans="2:8">
      <c r="B424" s="175">
        <v>44543</v>
      </c>
      <c r="C424" s="176">
        <v>6.886603832244873</v>
      </c>
      <c r="D424" s="180">
        <f t="shared" si="12"/>
        <v>-4.4586056786124158E-2</v>
      </c>
      <c r="F424" s="184">
        <v>44543</v>
      </c>
      <c r="G424" s="185">
        <v>17368.25</v>
      </c>
      <c r="H424" s="186">
        <f t="shared" si="13"/>
        <v>-8.1690551168631508E-3</v>
      </c>
    </row>
    <row r="425" spans="2:8">
      <c r="B425" s="175">
        <v>44544</v>
      </c>
      <c r="C425" s="176">
        <v>6.7029609680175781</v>
      </c>
      <c r="D425" s="180">
        <f t="shared" si="12"/>
        <v>-2.6666680514919588E-2</v>
      </c>
      <c r="F425" s="181">
        <v>44544</v>
      </c>
      <c r="G425" s="182">
        <v>17324.900390625</v>
      </c>
      <c r="H425" s="183">
        <f t="shared" si="13"/>
        <v>-2.4959111813222402E-3</v>
      </c>
    </row>
    <row r="426" spans="2:8">
      <c r="B426" s="175">
        <v>44545</v>
      </c>
      <c r="C426" s="176">
        <v>6.7029609680175781</v>
      </c>
      <c r="D426" s="180">
        <f t="shared" si="12"/>
        <v>0</v>
      </c>
      <c r="F426" s="184">
        <v>44545</v>
      </c>
      <c r="G426" s="185">
        <v>17221.400390625</v>
      </c>
      <c r="H426" s="186">
        <f t="shared" si="13"/>
        <v>-5.9740603216401067E-3</v>
      </c>
    </row>
    <row r="427" spans="2:8">
      <c r="B427" s="175">
        <v>44546</v>
      </c>
      <c r="C427" s="176">
        <v>6.4734082221984863</v>
      </c>
      <c r="D427" s="180">
        <f t="shared" si="12"/>
        <v>-3.4246469122284441E-2</v>
      </c>
      <c r="F427" s="181">
        <v>44546</v>
      </c>
      <c r="G427" s="182">
        <v>17248.400390625</v>
      </c>
      <c r="H427" s="183">
        <f t="shared" si="13"/>
        <v>1.5678167505296654E-3</v>
      </c>
    </row>
    <row r="428" spans="2:8">
      <c r="B428" s="175">
        <v>44547</v>
      </c>
      <c r="C428" s="176">
        <v>6.2438540458679199</v>
      </c>
      <c r="D428" s="180">
        <f t="shared" si="12"/>
        <v>-3.5461100003454697E-2</v>
      </c>
      <c r="F428" s="184">
        <v>44547</v>
      </c>
      <c r="G428" s="185">
        <v>16985.19921875</v>
      </c>
      <c r="H428" s="186">
        <f t="shared" si="13"/>
        <v>-1.525945397337004E-2</v>
      </c>
    </row>
    <row r="429" spans="2:8">
      <c r="B429" s="175">
        <v>44550</v>
      </c>
      <c r="C429" s="176">
        <v>6.5193190574645996</v>
      </c>
      <c r="D429" s="180">
        <f t="shared" si="12"/>
        <v>4.4117785196945453E-2</v>
      </c>
      <c r="F429" s="181">
        <v>44550</v>
      </c>
      <c r="G429" s="182">
        <v>16614.19921875</v>
      </c>
      <c r="H429" s="183">
        <f t="shared" si="13"/>
        <v>-2.1842546279377886E-2</v>
      </c>
    </row>
    <row r="430" spans="2:8">
      <c r="B430" s="175">
        <v>44551</v>
      </c>
      <c r="C430" s="176">
        <v>6.8406939506530762</v>
      </c>
      <c r="D430" s="180">
        <f t="shared" si="12"/>
        <v>4.9295776193144486E-2</v>
      </c>
      <c r="F430" s="184">
        <v>44551</v>
      </c>
      <c r="G430" s="185">
        <v>16770.849609375</v>
      </c>
      <c r="H430" s="186">
        <f t="shared" si="13"/>
        <v>9.4287054442089378E-3</v>
      </c>
    </row>
    <row r="431" spans="2:8">
      <c r="B431" s="175">
        <v>44552</v>
      </c>
      <c r="C431" s="176">
        <v>7.1620678901672363</v>
      </c>
      <c r="D431" s="180">
        <f t="shared" si="12"/>
        <v>4.6979727763362199E-2</v>
      </c>
      <c r="F431" s="181">
        <v>44552</v>
      </c>
      <c r="G431" s="182">
        <v>16955.44921875</v>
      </c>
      <c r="H431" s="183">
        <f t="shared" si="13"/>
        <v>1.1007170994593368E-2</v>
      </c>
    </row>
    <row r="432" spans="2:8">
      <c r="B432" s="175">
        <v>44553</v>
      </c>
      <c r="C432" s="176">
        <v>7.1161580085754386</v>
      </c>
      <c r="D432" s="180">
        <f t="shared" si="12"/>
        <v>-6.4101433127752372E-3</v>
      </c>
      <c r="F432" s="184">
        <v>44553</v>
      </c>
      <c r="G432" s="185">
        <v>17072.599609375</v>
      </c>
      <c r="H432" s="186">
        <f t="shared" si="13"/>
        <v>6.9093062126275315E-3</v>
      </c>
    </row>
    <row r="433" spans="2:8">
      <c r="B433" s="175">
        <v>44554</v>
      </c>
      <c r="C433" s="176">
        <v>7.437532901763916</v>
      </c>
      <c r="D433" s="180">
        <f t="shared" si="12"/>
        <v>4.5161292484118473E-2</v>
      </c>
      <c r="F433" s="181">
        <v>44554</v>
      </c>
      <c r="G433" s="182">
        <v>17003.75</v>
      </c>
      <c r="H433" s="183">
        <f t="shared" si="13"/>
        <v>-4.0327548791803756E-3</v>
      </c>
    </row>
    <row r="434" spans="2:8">
      <c r="B434" s="175">
        <v>44557</v>
      </c>
      <c r="C434" s="176">
        <v>7.8048181533813477</v>
      </c>
      <c r="D434" s="180">
        <f t="shared" si="12"/>
        <v>4.9382672516356162E-2</v>
      </c>
      <c r="F434" s="184">
        <v>44557</v>
      </c>
      <c r="G434" s="185">
        <v>17086.25</v>
      </c>
      <c r="H434" s="186">
        <f t="shared" si="13"/>
        <v>4.8518709108284937E-3</v>
      </c>
    </row>
    <row r="435" spans="2:8">
      <c r="B435" s="175">
        <v>44558</v>
      </c>
      <c r="C435" s="176">
        <v>8.1721038818359375</v>
      </c>
      <c r="D435" s="180">
        <f t="shared" si="12"/>
        <v>4.7058845092434028E-2</v>
      </c>
      <c r="F435" s="181">
        <v>44558</v>
      </c>
      <c r="G435" s="182">
        <v>17233.25</v>
      </c>
      <c r="H435" s="183">
        <f t="shared" si="13"/>
        <v>8.6034091740434561E-3</v>
      </c>
    </row>
    <row r="436" spans="2:8">
      <c r="B436" s="175">
        <v>44559</v>
      </c>
      <c r="C436" s="176">
        <v>8.5393886566162109</v>
      </c>
      <c r="D436" s="180">
        <f t="shared" si="12"/>
        <v>4.4943723194296882E-2</v>
      </c>
      <c r="F436" s="184">
        <v>44559</v>
      </c>
      <c r="G436" s="185">
        <v>17213.599609375</v>
      </c>
      <c r="H436" s="186">
        <f t="shared" si="13"/>
        <v>-1.1402602889762524E-3</v>
      </c>
    </row>
    <row r="437" spans="2:8">
      <c r="B437" s="175">
        <v>44560</v>
      </c>
      <c r="C437" s="176">
        <v>8.9525861740112305</v>
      </c>
      <c r="D437" s="180">
        <f t="shared" si="12"/>
        <v>4.8387248081849431E-2</v>
      </c>
      <c r="F437" s="181">
        <v>44560</v>
      </c>
      <c r="G437" s="182">
        <v>17203.94921875</v>
      </c>
      <c r="H437" s="183">
        <f t="shared" si="13"/>
        <v>-5.606259494814862E-4</v>
      </c>
    </row>
    <row r="438" spans="2:8">
      <c r="B438" s="175">
        <v>44561</v>
      </c>
      <c r="C438" s="176">
        <v>9.3657817840576172</v>
      </c>
      <c r="D438" s="180">
        <f t="shared" si="12"/>
        <v>4.6153770766917207E-2</v>
      </c>
      <c r="F438" s="184">
        <v>44561</v>
      </c>
      <c r="G438" s="185">
        <v>17354.05078125</v>
      </c>
      <c r="H438" s="186">
        <f t="shared" si="13"/>
        <v>8.7248317576065267E-3</v>
      </c>
    </row>
    <row r="439" spans="2:8">
      <c r="B439" s="175">
        <v>44564</v>
      </c>
      <c r="C439" s="176">
        <v>9.8248891830444336</v>
      </c>
      <c r="D439" s="180">
        <f t="shared" si="12"/>
        <v>4.9019655760964509E-2</v>
      </c>
      <c r="F439" s="181">
        <v>44564</v>
      </c>
      <c r="G439" s="182">
        <v>17625.69921875</v>
      </c>
      <c r="H439" s="183">
        <f t="shared" si="13"/>
        <v>1.565331581220793E-2</v>
      </c>
    </row>
    <row r="440" spans="2:8">
      <c r="B440" s="175">
        <v>44565</v>
      </c>
      <c r="C440" s="176">
        <v>9.3657817840576172</v>
      </c>
      <c r="D440" s="180">
        <f t="shared" si="12"/>
        <v>-4.6729015506773691E-2</v>
      </c>
      <c r="F440" s="184">
        <v>44565</v>
      </c>
      <c r="G440" s="185">
        <v>17805.25</v>
      </c>
      <c r="H440" s="186">
        <f t="shared" si="13"/>
        <v>1.0186874235264159E-2</v>
      </c>
    </row>
    <row r="441" spans="2:8">
      <c r="B441" s="175">
        <v>44566</v>
      </c>
      <c r="C441" s="176">
        <v>8.9066753387451172</v>
      </c>
      <c r="D441" s="180">
        <f t="shared" si="12"/>
        <v>-4.9019553935581599E-2</v>
      </c>
      <c r="F441" s="181">
        <v>44566</v>
      </c>
      <c r="G441" s="182">
        <v>17925.25</v>
      </c>
      <c r="H441" s="183">
        <f t="shared" si="13"/>
        <v>6.7395852346920151E-3</v>
      </c>
    </row>
    <row r="442" spans="2:8">
      <c r="B442" s="175">
        <v>44567</v>
      </c>
      <c r="C442" s="176">
        <v>9.3198709487915039</v>
      </c>
      <c r="D442" s="180">
        <f t="shared" si="12"/>
        <v>4.639167751505837E-2</v>
      </c>
      <c r="F442" s="184">
        <v>44567</v>
      </c>
      <c r="G442" s="185">
        <v>17745.900390625</v>
      </c>
      <c r="H442" s="186">
        <f t="shared" si="13"/>
        <v>-1.0005417462796892E-2</v>
      </c>
    </row>
    <row r="443" spans="2:8">
      <c r="B443" s="175">
        <v>44568</v>
      </c>
      <c r="C443" s="176">
        <v>9.7789783477783203</v>
      </c>
      <c r="D443" s="180">
        <f t="shared" si="12"/>
        <v>4.9261132639003793E-2</v>
      </c>
      <c r="F443" s="181">
        <v>44568</v>
      </c>
      <c r="G443" s="182">
        <v>17812.69921875</v>
      </c>
      <c r="H443" s="183">
        <f t="shared" si="13"/>
        <v>3.7641836511315718E-3</v>
      </c>
    </row>
    <row r="444" spans="2:8">
      <c r="B444" s="175">
        <v>44571</v>
      </c>
      <c r="C444" s="176">
        <v>10.23808479309082</v>
      </c>
      <c r="D444" s="180">
        <f t="shared" si="12"/>
        <v>4.6948303696449444E-2</v>
      </c>
      <c r="F444" s="184">
        <v>44571</v>
      </c>
      <c r="G444" s="185">
        <v>18003.30078125</v>
      </c>
      <c r="H444" s="186">
        <f t="shared" si="13"/>
        <v>1.0700318921871708E-2</v>
      </c>
    </row>
    <row r="445" spans="2:8">
      <c r="B445" s="175">
        <v>44572</v>
      </c>
      <c r="C445" s="176">
        <v>10.74310302734375</v>
      </c>
      <c r="D445" s="180">
        <f t="shared" si="12"/>
        <v>4.9327412739709059E-2</v>
      </c>
      <c r="F445" s="181">
        <v>44572</v>
      </c>
      <c r="G445" s="182">
        <v>18055.75</v>
      </c>
      <c r="H445" s="183">
        <f t="shared" si="13"/>
        <v>2.9133112526023332E-3</v>
      </c>
    </row>
    <row r="446" spans="2:8">
      <c r="B446" s="175">
        <v>44573</v>
      </c>
      <c r="C446" s="176">
        <v>11.24812126159668</v>
      </c>
      <c r="D446" s="180">
        <f t="shared" si="12"/>
        <v>4.7008600119308012E-2</v>
      </c>
      <c r="F446" s="184">
        <v>44573</v>
      </c>
      <c r="G446" s="185">
        <v>18212.349609375</v>
      </c>
      <c r="H446" s="186">
        <f t="shared" si="13"/>
        <v>8.6731157318305808E-3</v>
      </c>
    </row>
    <row r="447" spans="2:8">
      <c r="B447" s="175">
        <v>44574</v>
      </c>
      <c r="C447" s="176">
        <v>10.69719219207764</v>
      </c>
      <c r="D447" s="180">
        <f t="shared" si="12"/>
        <v>-4.8979652397598231E-2</v>
      </c>
      <c r="F447" s="181">
        <v>44574</v>
      </c>
      <c r="G447" s="182">
        <v>18257.80078125</v>
      </c>
      <c r="H447" s="183">
        <f t="shared" si="13"/>
        <v>2.495623730592319E-3</v>
      </c>
    </row>
    <row r="448" spans="2:8">
      <c r="B448" s="175">
        <v>44575</v>
      </c>
      <c r="C448" s="176">
        <v>11.20221042633057</v>
      </c>
      <c r="D448" s="180">
        <f t="shared" si="12"/>
        <v>4.7210354379436791E-2</v>
      </c>
      <c r="F448" s="184">
        <v>44575</v>
      </c>
      <c r="G448" s="185">
        <v>18255.75</v>
      </c>
      <c r="H448" s="186">
        <f t="shared" si="13"/>
        <v>-1.1232356375068276E-4</v>
      </c>
    </row>
    <row r="449" spans="2:8">
      <c r="B449" s="175">
        <v>44578</v>
      </c>
      <c r="C449" s="176">
        <v>11.75313758850098</v>
      </c>
      <c r="D449" s="180">
        <f t="shared" si="12"/>
        <v>4.9180219010657659E-2</v>
      </c>
      <c r="F449" s="181">
        <v>44578</v>
      </c>
      <c r="G449" s="182">
        <v>18308.099609375</v>
      </c>
      <c r="H449" s="183">
        <f t="shared" si="13"/>
        <v>2.867568266162716E-3</v>
      </c>
    </row>
    <row r="450" spans="2:8">
      <c r="B450" s="175">
        <v>44579</v>
      </c>
      <c r="C450" s="176">
        <v>11.20221042633057</v>
      </c>
      <c r="D450" s="180">
        <f t="shared" si="12"/>
        <v>-4.6874901108060335E-2</v>
      </c>
      <c r="F450" s="184">
        <v>44579</v>
      </c>
      <c r="G450" s="185">
        <v>18113.05078125</v>
      </c>
      <c r="H450" s="186">
        <f t="shared" si="13"/>
        <v>-1.0653690567923372E-2</v>
      </c>
    </row>
    <row r="451" spans="2:8">
      <c r="B451" s="175">
        <v>44580</v>
      </c>
      <c r="C451" s="176">
        <v>10.65128231048584</v>
      </c>
      <c r="D451" s="180">
        <f t="shared" si="12"/>
        <v>-4.9180304143348771E-2</v>
      </c>
      <c r="F451" s="181">
        <v>44580</v>
      </c>
      <c r="G451" s="182">
        <v>17938.400390625</v>
      </c>
      <c r="H451" s="183">
        <f t="shared" si="13"/>
        <v>-9.642240433941256E-3</v>
      </c>
    </row>
    <row r="452" spans="2:8">
      <c r="B452" s="175">
        <v>44581</v>
      </c>
      <c r="C452" s="176">
        <v>11.15629863739014</v>
      </c>
      <c r="D452" s="180">
        <f t="shared" si="12"/>
        <v>4.7413664588265431E-2</v>
      </c>
      <c r="F452" s="184">
        <v>44581</v>
      </c>
      <c r="G452" s="185">
        <v>17757</v>
      </c>
      <c r="H452" s="186">
        <f t="shared" si="13"/>
        <v>-1.0112406160797024E-2</v>
      </c>
    </row>
    <row r="453" spans="2:8">
      <c r="B453" s="175">
        <v>44582</v>
      </c>
      <c r="C453" s="176">
        <v>10.69719219207764</v>
      </c>
      <c r="D453" s="180">
        <f t="shared" ref="D453:D516" si="14">(C453-C452)/C452</f>
        <v>-4.1152219049946613E-2</v>
      </c>
      <c r="F453" s="181">
        <v>44582</v>
      </c>
      <c r="G453" s="182">
        <v>17617.150390625</v>
      </c>
      <c r="H453" s="183">
        <f t="shared" ref="H453:H516" si="15">(G453-G452)/G452</f>
        <v>-7.875745304668582E-3</v>
      </c>
    </row>
    <row r="454" spans="2:8">
      <c r="B454" s="175">
        <v>44585</v>
      </c>
      <c r="C454" s="176">
        <v>10.19217491149902</v>
      </c>
      <c r="D454" s="180">
        <f t="shared" si="14"/>
        <v>-4.7210265227602161E-2</v>
      </c>
      <c r="F454" s="184">
        <v>44585</v>
      </c>
      <c r="G454" s="185">
        <v>17149.099609375</v>
      </c>
      <c r="H454" s="186">
        <f t="shared" si="15"/>
        <v>-2.6567905187383431E-2</v>
      </c>
    </row>
    <row r="455" spans="2:8">
      <c r="B455" s="175">
        <v>44586</v>
      </c>
      <c r="C455" s="176">
        <v>10.1003532409668</v>
      </c>
      <c r="D455" s="180">
        <f t="shared" si="14"/>
        <v>-9.009035983931591E-3</v>
      </c>
      <c r="F455" s="181">
        <v>44586</v>
      </c>
      <c r="G455" s="182">
        <v>17277.94921875</v>
      </c>
      <c r="H455" s="183">
        <f t="shared" si="15"/>
        <v>7.5134912216942877E-3</v>
      </c>
    </row>
    <row r="456" spans="2:8">
      <c r="B456" s="175">
        <v>44588</v>
      </c>
      <c r="C456" s="176">
        <v>10.60537147521973</v>
      </c>
      <c r="D456" s="180">
        <f t="shared" si="14"/>
        <v>5.0000056651938407E-2</v>
      </c>
      <c r="F456" s="184">
        <v>44588</v>
      </c>
      <c r="G456" s="185">
        <v>17110.150390625</v>
      </c>
      <c r="H456" s="186">
        <f t="shared" si="15"/>
        <v>-9.7117329146276816E-3</v>
      </c>
    </row>
    <row r="457" spans="2:8">
      <c r="B457" s="175">
        <v>44589</v>
      </c>
      <c r="C457" s="176">
        <v>10.46763896942139</v>
      </c>
      <c r="D457" s="180">
        <f t="shared" si="14"/>
        <v>-1.2987051525744524E-2</v>
      </c>
      <c r="F457" s="181">
        <v>44589</v>
      </c>
      <c r="G457" s="182">
        <v>17101.94921875</v>
      </c>
      <c r="H457" s="183">
        <f t="shared" si="15"/>
        <v>-4.7931617710932507E-4</v>
      </c>
    </row>
    <row r="458" spans="2:8">
      <c r="B458" s="175">
        <v>44592</v>
      </c>
      <c r="C458" s="176">
        <v>10.97265625</v>
      </c>
      <c r="D458" s="180">
        <f t="shared" si="14"/>
        <v>4.8245576873055362E-2</v>
      </c>
      <c r="F458" s="184">
        <v>44592</v>
      </c>
      <c r="G458" s="185">
        <v>17339.849609375</v>
      </c>
      <c r="H458" s="186">
        <f t="shared" si="15"/>
        <v>1.3910717870929826E-2</v>
      </c>
    </row>
    <row r="459" spans="2:8">
      <c r="B459" s="175">
        <v>44593</v>
      </c>
      <c r="C459" s="176">
        <v>11.29403114318848</v>
      </c>
      <c r="D459" s="180">
        <f t="shared" si="14"/>
        <v>2.9288705110804881E-2</v>
      </c>
      <c r="F459" s="181">
        <v>44593</v>
      </c>
      <c r="G459" s="182">
        <v>17576.849609375</v>
      </c>
      <c r="H459" s="183">
        <f t="shared" si="15"/>
        <v>1.366793861187026E-2</v>
      </c>
    </row>
    <row r="460" spans="2:8">
      <c r="B460" s="175">
        <v>44594</v>
      </c>
      <c r="C460" s="176">
        <v>10.9267463684082</v>
      </c>
      <c r="D460" s="180">
        <f t="shared" si="14"/>
        <v>-3.2520255179373479E-2</v>
      </c>
      <c r="F460" s="184">
        <v>44594</v>
      </c>
      <c r="G460" s="185">
        <v>17780</v>
      </c>
      <c r="H460" s="186">
        <f t="shared" si="15"/>
        <v>1.1557838585399586E-2</v>
      </c>
    </row>
    <row r="461" spans="2:8">
      <c r="B461" s="175">
        <v>44595</v>
      </c>
      <c r="C461" s="176">
        <v>10.83492374420166</v>
      </c>
      <c r="D461" s="180">
        <f t="shared" si="14"/>
        <v>-8.4034735602558034E-3</v>
      </c>
      <c r="F461" s="181">
        <v>44595</v>
      </c>
      <c r="G461" s="182">
        <v>17560.19921875</v>
      </c>
      <c r="H461" s="183">
        <f t="shared" si="15"/>
        <v>-1.2362248664229471E-2</v>
      </c>
    </row>
    <row r="462" spans="2:8">
      <c r="B462" s="175">
        <v>44596</v>
      </c>
      <c r="C462" s="176">
        <v>10.65128231048584</v>
      </c>
      <c r="D462" s="180">
        <f t="shared" si="14"/>
        <v>-1.6949028719661877E-2</v>
      </c>
      <c r="F462" s="184">
        <v>44596</v>
      </c>
      <c r="G462" s="185">
        <v>17516.30078125</v>
      </c>
      <c r="H462" s="186">
        <f t="shared" si="15"/>
        <v>-2.4998826581151311E-3</v>
      </c>
    </row>
    <row r="463" spans="2:8">
      <c r="B463" s="175">
        <v>44599</v>
      </c>
      <c r="C463" s="176">
        <v>10.19217491149902</v>
      </c>
      <c r="D463" s="180">
        <f t="shared" si="14"/>
        <v>-4.3103486097147543E-2</v>
      </c>
      <c r="F463" s="181">
        <v>44599</v>
      </c>
      <c r="G463" s="182">
        <v>17213.599609375</v>
      </c>
      <c r="H463" s="183">
        <f t="shared" si="15"/>
        <v>-1.7281112927623445E-2</v>
      </c>
    </row>
    <row r="464" spans="2:8">
      <c r="B464" s="175">
        <v>44600</v>
      </c>
      <c r="C464" s="176">
        <v>9.6871566772460938</v>
      </c>
      <c r="D464" s="180">
        <f t="shared" si="14"/>
        <v>-4.9549604342362122E-2</v>
      </c>
      <c r="F464" s="184">
        <v>44600</v>
      </c>
      <c r="G464" s="185">
        <v>17266.75</v>
      </c>
      <c r="H464" s="186">
        <f t="shared" si="15"/>
        <v>3.0876976246184346E-3</v>
      </c>
    </row>
    <row r="465" spans="2:8">
      <c r="B465" s="175">
        <v>44601</v>
      </c>
      <c r="C465" s="176">
        <v>9.7330684661865234</v>
      </c>
      <c r="D465" s="180">
        <f t="shared" si="14"/>
        <v>4.73944940400011E-3</v>
      </c>
      <c r="F465" s="181">
        <v>44601</v>
      </c>
      <c r="G465" s="182">
        <v>17463.80078125</v>
      </c>
      <c r="H465" s="183">
        <f t="shared" si="15"/>
        <v>1.1412152330345897E-2</v>
      </c>
    </row>
    <row r="466" spans="2:8">
      <c r="B466" s="175">
        <v>44602</v>
      </c>
      <c r="C466" s="176">
        <v>9.6871566772460938</v>
      </c>
      <c r="D466" s="180">
        <f t="shared" si="14"/>
        <v>-4.7170929804851366E-3</v>
      </c>
      <c r="F466" s="184">
        <v>44602</v>
      </c>
      <c r="G466" s="185">
        <v>17605.849609375</v>
      </c>
      <c r="H466" s="186">
        <f t="shared" si="15"/>
        <v>8.1339010851240717E-3</v>
      </c>
    </row>
    <row r="467" spans="2:8">
      <c r="B467" s="175">
        <v>44603</v>
      </c>
      <c r="C467" s="176">
        <v>9.503514289855957</v>
      </c>
      <c r="D467" s="180">
        <f t="shared" si="14"/>
        <v>-1.8957305379553681E-2</v>
      </c>
      <c r="F467" s="181">
        <v>44603</v>
      </c>
      <c r="G467" s="182">
        <v>17374.75</v>
      </c>
      <c r="H467" s="183">
        <f t="shared" si="15"/>
        <v>-1.3126296912813624E-2</v>
      </c>
    </row>
    <row r="468" spans="2:8">
      <c r="B468" s="175">
        <v>44606</v>
      </c>
      <c r="C468" s="176">
        <v>9.0444068908691406</v>
      </c>
      <c r="D468" s="180">
        <f t="shared" si="14"/>
        <v>-4.8309223828585941E-2</v>
      </c>
      <c r="F468" s="184">
        <v>44606</v>
      </c>
      <c r="G468" s="185">
        <v>16842.80078125</v>
      </c>
      <c r="H468" s="186">
        <f t="shared" si="15"/>
        <v>-3.0616222895293456E-2</v>
      </c>
    </row>
    <row r="469" spans="2:8">
      <c r="B469" s="175">
        <v>44607</v>
      </c>
      <c r="C469" s="176">
        <v>8.9066753387451172</v>
      </c>
      <c r="D469" s="180">
        <f t="shared" si="14"/>
        <v>-1.5228367518833271E-2</v>
      </c>
      <c r="F469" s="181">
        <v>44607</v>
      </c>
      <c r="G469" s="182">
        <v>17352.44921875</v>
      </c>
      <c r="H469" s="183">
        <f t="shared" si="15"/>
        <v>3.0259126383977576E-2</v>
      </c>
    </row>
    <row r="470" spans="2:8">
      <c r="B470" s="175">
        <v>44608</v>
      </c>
      <c r="C470" s="176">
        <v>9.3198709487915039</v>
      </c>
      <c r="D470" s="180">
        <f t="shared" si="14"/>
        <v>4.639167751505837E-2</v>
      </c>
      <c r="F470" s="184">
        <v>44608</v>
      </c>
      <c r="G470" s="185">
        <v>17322.19921875</v>
      </c>
      <c r="H470" s="186">
        <f t="shared" si="15"/>
        <v>-1.7432697608654399E-3</v>
      </c>
    </row>
    <row r="471" spans="2:8">
      <c r="B471" s="175">
        <v>44609</v>
      </c>
      <c r="C471" s="176">
        <v>9.7789783477783203</v>
      </c>
      <c r="D471" s="180">
        <f t="shared" si="14"/>
        <v>4.9261132639003793E-2</v>
      </c>
      <c r="F471" s="181">
        <v>44609</v>
      </c>
      <c r="G471" s="182">
        <v>17304.599609375</v>
      </c>
      <c r="H471" s="183">
        <f t="shared" si="15"/>
        <v>-1.0160147191904897E-3</v>
      </c>
    </row>
    <row r="472" spans="2:8">
      <c r="B472" s="175">
        <v>44610</v>
      </c>
      <c r="C472" s="176">
        <v>9.3198709487915039</v>
      </c>
      <c r="D472" s="180">
        <f t="shared" si="14"/>
        <v>-4.6948401219348311E-2</v>
      </c>
      <c r="F472" s="184">
        <v>44610</v>
      </c>
      <c r="G472" s="185">
        <v>17276.30078125</v>
      </c>
      <c r="H472" s="186">
        <f t="shared" si="15"/>
        <v>-1.6353356196504385E-3</v>
      </c>
    </row>
    <row r="473" spans="2:8">
      <c r="B473" s="175">
        <v>44613</v>
      </c>
      <c r="C473" s="176">
        <v>8.8607635498046875</v>
      </c>
      <c r="D473" s="180">
        <f t="shared" si="14"/>
        <v>-4.9261132639003793E-2</v>
      </c>
      <c r="F473" s="181">
        <v>44613</v>
      </c>
      <c r="G473" s="182">
        <v>17206.650390625</v>
      </c>
      <c r="H473" s="183">
        <f t="shared" si="15"/>
        <v>-4.0315569581071253E-3</v>
      </c>
    </row>
    <row r="474" spans="2:8">
      <c r="B474" s="175">
        <v>44614</v>
      </c>
      <c r="C474" s="176">
        <v>8.4475679397583008</v>
      </c>
      <c r="D474" s="180">
        <f t="shared" si="14"/>
        <v>-4.6632054644488795E-2</v>
      </c>
      <c r="F474" s="184">
        <v>44614</v>
      </c>
      <c r="G474" s="185">
        <v>17092.19921875</v>
      </c>
      <c r="H474" s="186">
        <f t="shared" si="15"/>
        <v>-6.6515660675803834E-3</v>
      </c>
    </row>
    <row r="475" spans="2:8">
      <c r="B475" s="175">
        <v>44615</v>
      </c>
      <c r="C475" s="176">
        <v>8.7230319976806641</v>
      </c>
      <c r="D475" s="180">
        <f t="shared" si="14"/>
        <v>3.2608682154054956E-2</v>
      </c>
      <c r="F475" s="181">
        <v>44615</v>
      </c>
      <c r="G475" s="182">
        <v>17063.25</v>
      </c>
      <c r="H475" s="183">
        <f t="shared" si="15"/>
        <v>-1.6937094155936908E-3</v>
      </c>
    </row>
    <row r="476" spans="2:8">
      <c r="B476" s="175">
        <v>44616</v>
      </c>
      <c r="C476" s="176">
        <v>8.3098363876342773</v>
      </c>
      <c r="D476" s="180">
        <f t="shared" si="14"/>
        <v>-4.7368347399877685E-2</v>
      </c>
      <c r="F476" s="184">
        <v>44616</v>
      </c>
      <c r="G476" s="185">
        <v>16247.9501953125</v>
      </c>
      <c r="H476" s="186">
        <f t="shared" si="15"/>
        <v>-4.7781038470836444E-2</v>
      </c>
    </row>
    <row r="477" spans="2:8">
      <c r="B477" s="175">
        <v>44617</v>
      </c>
      <c r="C477" s="176">
        <v>8.2639245986938477</v>
      </c>
      <c r="D477" s="180">
        <f t="shared" si="14"/>
        <v>-5.5249931284748546E-3</v>
      </c>
      <c r="F477" s="181">
        <v>44617</v>
      </c>
      <c r="G477" s="182">
        <v>16658.400390625</v>
      </c>
      <c r="H477" s="183">
        <f t="shared" si="15"/>
        <v>2.5261660109649649E-2</v>
      </c>
    </row>
    <row r="478" spans="2:8">
      <c r="B478" s="175">
        <v>44620</v>
      </c>
      <c r="C478" s="176">
        <v>8.6312112808227539</v>
      </c>
      <c r="D478" s="180">
        <f t="shared" si="14"/>
        <v>4.4444582926973661E-2</v>
      </c>
      <c r="F478" s="184">
        <v>44620</v>
      </c>
      <c r="G478" s="185">
        <v>16793.900390625</v>
      </c>
      <c r="H478" s="186">
        <f t="shared" si="15"/>
        <v>8.1340342903665937E-3</v>
      </c>
    </row>
    <row r="479" spans="2:8">
      <c r="B479" s="175">
        <v>44622</v>
      </c>
      <c r="C479" s="176">
        <v>8.9525861740112305</v>
      </c>
      <c r="D479" s="180">
        <f t="shared" si="14"/>
        <v>3.7234043140911513E-2</v>
      </c>
      <c r="F479" s="181">
        <v>44622</v>
      </c>
      <c r="G479" s="182">
        <v>16605.94921875</v>
      </c>
      <c r="H479" s="183">
        <f t="shared" si="15"/>
        <v>-1.1191633122935609E-2</v>
      </c>
    </row>
    <row r="480" spans="2:8">
      <c r="B480" s="175">
        <v>44623</v>
      </c>
      <c r="C480" s="176">
        <v>9.0903177261352539</v>
      </c>
      <c r="D480" s="180">
        <f t="shared" si="14"/>
        <v>1.5384554747302973E-2</v>
      </c>
      <c r="F480" s="184">
        <v>44623</v>
      </c>
      <c r="G480" s="185">
        <v>16498.05078125</v>
      </c>
      <c r="H480" s="186">
        <f t="shared" si="15"/>
        <v>-6.4975772284170561E-3</v>
      </c>
    </row>
    <row r="481" spans="2:8">
      <c r="B481" s="175">
        <v>44624</v>
      </c>
      <c r="C481" s="176">
        <v>9.3198709487915039</v>
      </c>
      <c r="D481" s="180">
        <f t="shared" si="14"/>
        <v>2.5252497170288071E-2</v>
      </c>
      <c r="F481" s="181">
        <v>44624</v>
      </c>
      <c r="G481" s="182">
        <v>16245.349609375</v>
      </c>
      <c r="H481" s="183">
        <f t="shared" si="15"/>
        <v>-1.5317032007332306E-2</v>
      </c>
    </row>
    <row r="482" spans="2:8">
      <c r="B482" s="175">
        <v>44627</v>
      </c>
      <c r="C482" s="176">
        <v>8.8607635498046875</v>
      </c>
      <c r="D482" s="180">
        <f t="shared" si="14"/>
        <v>-4.9261132639003793E-2</v>
      </c>
      <c r="F482" s="184">
        <v>44627</v>
      </c>
      <c r="G482" s="185">
        <v>15863.150390625</v>
      </c>
      <c r="H482" s="186">
        <f t="shared" si="15"/>
        <v>-2.3526684739947814E-2</v>
      </c>
    </row>
    <row r="483" spans="2:8">
      <c r="B483" s="175">
        <v>44628</v>
      </c>
      <c r="C483" s="176">
        <v>8.9066753387451172</v>
      </c>
      <c r="D483" s="180">
        <f t="shared" si="14"/>
        <v>5.1814709513878961E-3</v>
      </c>
      <c r="F483" s="181">
        <v>44628</v>
      </c>
      <c r="G483" s="182">
        <v>16013.4501953125</v>
      </c>
      <c r="H483" s="183">
        <f t="shared" si="15"/>
        <v>9.4747765094836418E-3</v>
      </c>
    </row>
    <row r="484" spans="2:8">
      <c r="B484" s="175">
        <v>44629</v>
      </c>
      <c r="C484" s="176">
        <v>9.1362285614013672</v>
      </c>
      <c r="D484" s="180">
        <f t="shared" si="14"/>
        <v>2.5773166072155528E-2</v>
      </c>
      <c r="F484" s="184">
        <v>44629</v>
      </c>
      <c r="G484" s="185">
        <v>16345.349609375</v>
      </c>
      <c r="H484" s="186">
        <f t="shared" si="15"/>
        <v>2.0726290088294307E-2</v>
      </c>
    </row>
    <row r="485" spans="2:8">
      <c r="B485" s="175">
        <v>44630</v>
      </c>
      <c r="C485" s="176">
        <v>9.2280502319335938</v>
      </c>
      <c r="D485" s="180">
        <f t="shared" si="14"/>
        <v>1.0050281679702464E-2</v>
      </c>
      <c r="F485" s="181">
        <v>44630</v>
      </c>
      <c r="G485" s="182">
        <v>16594.900390625</v>
      </c>
      <c r="H485" s="183">
        <f t="shared" si="15"/>
        <v>1.5267387190474546E-2</v>
      </c>
    </row>
    <row r="486" spans="2:8">
      <c r="B486" s="175">
        <v>44631</v>
      </c>
      <c r="C486" s="176">
        <v>9.1362285614013672</v>
      </c>
      <c r="D486" s="180">
        <f t="shared" si="14"/>
        <v>-9.950278577209995E-3</v>
      </c>
      <c r="F486" s="184">
        <v>44631</v>
      </c>
      <c r="G486" s="185">
        <v>16630.44921875</v>
      </c>
      <c r="H486" s="186">
        <f t="shared" si="15"/>
        <v>2.14215375134657E-3</v>
      </c>
    </row>
    <row r="487" spans="2:8">
      <c r="B487" s="175">
        <v>44634</v>
      </c>
      <c r="C487" s="176">
        <v>8.9525861740112305</v>
      </c>
      <c r="D487" s="180">
        <f t="shared" si="14"/>
        <v>-2.0100458975598198E-2</v>
      </c>
      <c r="F487" s="181">
        <v>44634</v>
      </c>
      <c r="G487" s="182">
        <v>16871.30078125</v>
      </c>
      <c r="H487" s="183">
        <f t="shared" si="15"/>
        <v>1.4482565042708041E-2</v>
      </c>
    </row>
    <row r="488" spans="2:8">
      <c r="B488" s="175">
        <v>44635</v>
      </c>
      <c r="C488" s="176">
        <v>8.9984960556030273</v>
      </c>
      <c r="D488" s="180">
        <f t="shared" si="14"/>
        <v>5.128113899095464E-3</v>
      </c>
      <c r="F488" s="184">
        <v>44635</v>
      </c>
      <c r="G488" s="185">
        <v>16663</v>
      </c>
      <c r="H488" s="186">
        <f t="shared" si="15"/>
        <v>-1.2346456503312184E-2</v>
      </c>
    </row>
    <row r="489" spans="2:8">
      <c r="B489" s="175">
        <v>44636</v>
      </c>
      <c r="C489" s="176">
        <v>9.1821393966674805</v>
      </c>
      <c r="D489" s="180">
        <f t="shared" si="14"/>
        <v>2.0408225989064614E-2</v>
      </c>
      <c r="F489" s="181">
        <v>44636</v>
      </c>
      <c r="G489" s="182">
        <v>16975.349609375</v>
      </c>
      <c r="H489" s="183">
        <f t="shared" si="15"/>
        <v>1.8745100484606612E-2</v>
      </c>
    </row>
    <row r="490" spans="2:8">
      <c r="B490" s="175">
        <v>44637</v>
      </c>
      <c r="C490" s="176">
        <v>8.9525861740112305</v>
      </c>
      <c r="D490" s="180">
        <f t="shared" si="14"/>
        <v>-2.4999971437981317E-2</v>
      </c>
      <c r="F490" s="184">
        <v>44637</v>
      </c>
      <c r="G490" s="185">
        <v>17287.05078125</v>
      </c>
      <c r="H490" s="186">
        <f t="shared" si="15"/>
        <v>1.8361988356508215E-2</v>
      </c>
    </row>
    <row r="491" spans="2:8">
      <c r="B491" s="175">
        <v>44641</v>
      </c>
      <c r="C491" s="176">
        <v>8.8148536682128906</v>
      </c>
      <c r="D491" s="180">
        <f t="shared" si="14"/>
        <v>-1.5384661272311263E-2</v>
      </c>
      <c r="F491" s="181">
        <v>44641</v>
      </c>
      <c r="G491" s="182">
        <v>17117.599609375</v>
      </c>
      <c r="H491" s="183">
        <f t="shared" si="15"/>
        <v>-9.80220247046369E-3</v>
      </c>
    </row>
    <row r="492" spans="2:8">
      <c r="B492" s="175">
        <v>44642</v>
      </c>
      <c r="C492" s="176">
        <v>8.7230319976806641</v>
      </c>
      <c r="D492" s="180">
        <f t="shared" si="14"/>
        <v>-1.0416698221927754E-2</v>
      </c>
      <c r="F492" s="184">
        <v>44642</v>
      </c>
      <c r="G492" s="185">
        <v>17315.5</v>
      </c>
      <c r="H492" s="186">
        <f t="shared" si="15"/>
        <v>1.1561223252155842E-2</v>
      </c>
    </row>
    <row r="493" spans="2:8">
      <c r="B493" s="175">
        <v>44643</v>
      </c>
      <c r="C493" s="176">
        <v>8.6771221160888672</v>
      </c>
      <c r="D493" s="180">
        <f t="shared" si="14"/>
        <v>-5.2630646779701935E-3</v>
      </c>
      <c r="F493" s="181">
        <v>44643</v>
      </c>
      <c r="G493" s="182">
        <v>17245.650390625</v>
      </c>
      <c r="H493" s="183">
        <f t="shared" si="15"/>
        <v>-4.0339354552279749E-3</v>
      </c>
    </row>
    <row r="494" spans="2:8">
      <c r="B494" s="175">
        <v>44644</v>
      </c>
      <c r="C494" s="176">
        <v>8.5393886566162109</v>
      </c>
      <c r="D494" s="180">
        <f t="shared" si="14"/>
        <v>-1.5873172882662892E-2</v>
      </c>
      <c r="F494" s="184">
        <v>44644</v>
      </c>
      <c r="G494" s="185">
        <v>17222.75</v>
      </c>
      <c r="H494" s="186">
        <f t="shared" si="15"/>
        <v>-1.3278937068937106E-3</v>
      </c>
    </row>
    <row r="495" spans="2:8">
      <c r="B495" s="175">
        <v>44645</v>
      </c>
      <c r="C495" s="176">
        <v>8.5853004455566406</v>
      </c>
      <c r="D495" s="180">
        <f t="shared" si="14"/>
        <v>5.3764725774435636E-3</v>
      </c>
      <c r="F495" s="181">
        <v>44645</v>
      </c>
      <c r="G495" s="182">
        <v>17153</v>
      </c>
      <c r="H495" s="183">
        <f t="shared" si="15"/>
        <v>-4.0498758909001172E-3</v>
      </c>
    </row>
    <row r="496" spans="2:8">
      <c r="B496" s="175">
        <v>44648</v>
      </c>
      <c r="C496" s="176">
        <v>8.3557472229003906</v>
      </c>
      <c r="D496" s="180">
        <f t="shared" si="14"/>
        <v>-2.673793702526232E-2</v>
      </c>
      <c r="F496" s="184">
        <v>44648</v>
      </c>
      <c r="G496" s="185">
        <v>17222</v>
      </c>
      <c r="H496" s="186">
        <f t="shared" si="15"/>
        <v>4.022619949862998E-3</v>
      </c>
    </row>
    <row r="497" spans="2:8">
      <c r="B497" s="175">
        <v>44649</v>
      </c>
      <c r="C497" s="176">
        <v>8.4934787750244141</v>
      </c>
      <c r="D497" s="180">
        <f t="shared" si="14"/>
        <v>1.6483451264124645E-2</v>
      </c>
      <c r="F497" s="181">
        <v>44649</v>
      </c>
      <c r="G497" s="182">
        <v>17325.30078125</v>
      </c>
      <c r="H497" s="183">
        <f t="shared" si="15"/>
        <v>5.9981872749970966E-3</v>
      </c>
    </row>
    <row r="498" spans="2:8">
      <c r="B498" s="175">
        <v>44650</v>
      </c>
      <c r="C498" s="176">
        <v>8.5853004455566406</v>
      </c>
      <c r="D498" s="180">
        <f t="shared" si="14"/>
        <v>1.0810843585343819E-2</v>
      </c>
      <c r="F498" s="184">
        <v>44650</v>
      </c>
      <c r="G498" s="185">
        <v>17498.25</v>
      </c>
      <c r="H498" s="186">
        <f t="shared" si="15"/>
        <v>9.9824655821947536E-3</v>
      </c>
    </row>
    <row r="499" spans="2:8">
      <c r="B499" s="175">
        <v>44651</v>
      </c>
      <c r="C499" s="176">
        <v>8.4016571044921875</v>
      </c>
      <c r="D499" s="180">
        <f t="shared" si="14"/>
        <v>-2.1390438485993642E-2</v>
      </c>
      <c r="F499" s="181">
        <v>44651</v>
      </c>
      <c r="G499" s="182">
        <v>17464.75</v>
      </c>
      <c r="H499" s="183">
        <f t="shared" si="15"/>
        <v>-1.9144771620019144E-3</v>
      </c>
    </row>
    <row r="500" spans="2:8">
      <c r="B500" s="175">
        <v>44652</v>
      </c>
      <c r="C500" s="176">
        <v>8.6771221160888672</v>
      </c>
      <c r="D500" s="180">
        <f t="shared" si="14"/>
        <v>3.2786985730397684E-2</v>
      </c>
      <c r="F500" s="184">
        <v>44652</v>
      </c>
      <c r="G500" s="185">
        <v>17670.44921875</v>
      </c>
      <c r="H500" s="186">
        <f t="shared" si="15"/>
        <v>1.1777965258592307E-2</v>
      </c>
    </row>
    <row r="501" spans="2:8">
      <c r="B501" s="175">
        <v>44655</v>
      </c>
      <c r="C501" s="176">
        <v>9.0903177261352539</v>
      </c>
      <c r="D501" s="180">
        <f t="shared" si="14"/>
        <v>4.7618969114224113E-2</v>
      </c>
      <c r="F501" s="181">
        <v>44655</v>
      </c>
      <c r="G501" s="182">
        <v>18053.400390625</v>
      </c>
      <c r="H501" s="183">
        <f t="shared" si="15"/>
        <v>2.1671841339984326E-2</v>
      </c>
    </row>
    <row r="502" spans="2:8">
      <c r="B502" s="175">
        <v>44656</v>
      </c>
      <c r="C502" s="176">
        <v>9.503514289855957</v>
      </c>
      <c r="D502" s="180">
        <f t="shared" si="14"/>
        <v>4.5454578835317949E-2</v>
      </c>
      <c r="F502" s="184">
        <v>44656</v>
      </c>
      <c r="G502" s="185">
        <v>17957.400390625</v>
      </c>
      <c r="H502" s="186">
        <f t="shared" si="15"/>
        <v>-5.3175577964720763E-3</v>
      </c>
    </row>
    <row r="503" spans="2:8">
      <c r="B503" s="175">
        <v>44657</v>
      </c>
      <c r="C503" s="176">
        <v>9.962620735168457</v>
      </c>
      <c r="D503" s="180">
        <f t="shared" si="14"/>
        <v>4.8309123478937663E-2</v>
      </c>
      <c r="F503" s="181">
        <v>44657</v>
      </c>
      <c r="G503" s="182">
        <v>17807.650390625</v>
      </c>
      <c r="H503" s="183">
        <f t="shared" si="15"/>
        <v>-8.3391803235717699E-3</v>
      </c>
    </row>
    <row r="504" spans="2:8">
      <c r="B504" s="175">
        <v>44658</v>
      </c>
      <c r="C504" s="176">
        <v>10.78901386260986</v>
      </c>
      <c r="D504" s="180">
        <f t="shared" si="14"/>
        <v>8.2949371396243282E-2</v>
      </c>
      <c r="F504" s="184">
        <v>44658</v>
      </c>
      <c r="G504" s="185">
        <v>17639.55078125</v>
      </c>
      <c r="H504" s="186">
        <f t="shared" si="15"/>
        <v>-9.4397411049521492E-3</v>
      </c>
    </row>
    <row r="505" spans="2:8">
      <c r="B505" s="175">
        <v>44659</v>
      </c>
      <c r="C505" s="176">
        <v>10.97265625</v>
      </c>
      <c r="D505" s="180">
        <f t="shared" si="14"/>
        <v>1.7021239357803294E-2</v>
      </c>
      <c r="F505" s="181">
        <v>44659</v>
      </c>
      <c r="G505" s="182">
        <v>17784.349609375</v>
      </c>
      <c r="H505" s="183">
        <f t="shared" si="15"/>
        <v>8.2087593907954979E-3</v>
      </c>
    </row>
    <row r="506" spans="2:8">
      <c r="B506" s="175">
        <v>44662</v>
      </c>
      <c r="C506" s="176">
        <v>10.19217491149902</v>
      </c>
      <c r="D506" s="180">
        <f t="shared" si="14"/>
        <v>-7.112966274697434E-2</v>
      </c>
      <c r="F506" s="184">
        <v>44662</v>
      </c>
      <c r="G506" s="185">
        <v>17674.94921875</v>
      </c>
      <c r="H506" s="186">
        <f t="shared" si="15"/>
        <v>-6.1514979759130298E-3</v>
      </c>
    </row>
    <row r="507" spans="2:8">
      <c r="B507" s="175">
        <v>44663</v>
      </c>
      <c r="C507" s="176">
        <v>10.42172813415527</v>
      </c>
      <c r="D507" s="180">
        <f t="shared" si="14"/>
        <v>2.2522496390565607E-2</v>
      </c>
      <c r="F507" s="181">
        <v>44663</v>
      </c>
      <c r="G507" s="182">
        <v>17530.30078125</v>
      </c>
      <c r="H507" s="183">
        <f t="shared" si="15"/>
        <v>-8.1838106412522836E-3</v>
      </c>
    </row>
    <row r="508" spans="2:8">
      <c r="B508" s="175">
        <v>44664</v>
      </c>
      <c r="C508" s="176">
        <v>10.28399562835693</v>
      </c>
      <c r="D508" s="180">
        <f t="shared" si="14"/>
        <v>-1.3215898939730278E-2</v>
      </c>
      <c r="F508" s="184">
        <v>44664</v>
      </c>
      <c r="G508" s="185">
        <v>17475.650390625</v>
      </c>
      <c r="H508" s="186">
        <f t="shared" si="15"/>
        <v>-3.1174816283501979E-3</v>
      </c>
    </row>
    <row r="509" spans="2:8">
      <c r="B509" s="175">
        <v>44669</v>
      </c>
      <c r="C509" s="176">
        <v>10.1003532409668</v>
      </c>
      <c r="D509" s="180">
        <f t="shared" si="14"/>
        <v>-1.7857104770032859E-2</v>
      </c>
      <c r="F509" s="181">
        <v>44669</v>
      </c>
      <c r="G509" s="182">
        <v>17173.650390625</v>
      </c>
      <c r="H509" s="183">
        <f t="shared" si="15"/>
        <v>-1.7281188010147601E-2</v>
      </c>
    </row>
    <row r="510" spans="2:8">
      <c r="B510" s="175">
        <v>44670</v>
      </c>
      <c r="C510" s="176">
        <v>9.7789783477783203</v>
      </c>
      <c r="D510" s="180">
        <f t="shared" si="14"/>
        <v>-3.1818183534907563E-2</v>
      </c>
      <c r="F510" s="184">
        <v>44670</v>
      </c>
      <c r="G510" s="185">
        <v>16958.650390625</v>
      </c>
      <c r="H510" s="186">
        <f t="shared" si="15"/>
        <v>-1.2519178806467803E-2</v>
      </c>
    </row>
    <row r="511" spans="2:8">
      <c r="B511" s="175">
        <v>44671</v>
      </c>
      <c r="C511" s="176">
        <v>9.8708000183105469</v>
      </c>
      <c r="D511" s="180">
        <f t="shared" si="14"/>
        <v>9.389699748449434E-3</v>
      </c>
      <c r="F511" s="181">
        <v>44671</v>
      </c>
      <c r="G511" s="182">
        <v>17136.55078125</v>
      </c>
      <c r="H511" s="183">
        <f t="shared" si="15"/>
        <v>1.0490244596547968E-2</v>
      </c>
    </row>
    <row r="512" spans="2:8">
      <c r="B512" s="175">
        <v>44672</v>
      </c>
      <c r="C512" s="176">
        <v>10.19217491149902</v>
      </c>
      <c r="D512" s="180">
        <f t="shared" si="14"/>
        <v>3.2558140433634121E-2</v>
      </c>
      <c r="F512" s="184">
        <v>44672</v>
      </c>
      <c r="G512" s="185">
        <v>17392.599609375</v>
      </c>
      <c r="H512" s="186">
        <f t="shared" si="15"/>
        <v>1.4941678252146078E-2</v>
      </c>
    </row>
    <row r="513" spans="2:8">
      <c r="B513" s="175">
        <v>44673</v>
      </c>
      <c r="C513" s="176">
        <v>10.1003532409668</v>
      </c>
      <c r="D513" s="180">
        <f t="shared" si="14"/>
        <v>-9.009035983931591E-3</v>
      </c>
      <c r="F513" s="181">
        <v>44673</v>
      </c>
      <c r="G513" s="182">
        <v>17171.94921875</v>
      </c>
      <c r="H513" s="183">
        <f t="shared" si="15"/>
        <v>-1.2686452605168035E-2</v>
      </c>
    </row>
    <row r="514" spans="2:8">
      <c r="B514" s="175">
        <v>44676</v>
      </c>
      <c r="C514" s="176">
        <v>9.7789783477783203</v>
      </c>
      <c r="D514" s="180">
        <f t="shared" si="14"/>
        <v>-3.1818183534907563E-2</v>
      </c>
      <c r="F514" s="184">
        <v>44676</v>
      </c>
      <c r="G514" s="185">
        <v>16953.94921875</v>
      </c>
      <c r="H514" s="186">
        <f t="shared" si="15"/>
        <v>-1.2695122564301929E-2</v>
      </c>
    </row>
    <row r="515" spans="2:8">
      <c r="B515" s="175">
        <v>44677</v>
      </c>
      <c r="C515" s="176">
        <v>9.8248891830444336</v>
      </c>
      <c r="D515" s="180">
        <f t="shared" si="14"/>
        <v>4.694849874224717E-3</v>
      </c>
      <c r="F515" s="181">
        <v>44677</v>
      </c>
      <c r="G515" s="182">
        <v>17200.80078125</v>
      </c>
      <c r="H515" s="183">
        <f t="shared" si="15"/>
        <v>1.4560121616207138E-2</v>
      </c>
    </row>
    <row r="516" spans="2:8">
      <c r="B516" s="175">
        <v>44678</v>
      </c>
      <c r="C516" s="176">
        <v>9.4576034545898438</v>
      </c>
      <c r="D516" s="180">
        <f t="shared" si="14"/>
        <v>-3.7383192991982346E-2</v>
      </c>
      <c r="F516" s="184">
        <v>44678</v>
      </c>
      <c r="G516" s="185">
        <v>17038.400390625</v>
      </c>
      <c r="H516" s="186">
        <f t="shared" si="15"/>
        <v>-9.4414436101153531E-3</v>
      </c>
    </row>
    <row r="517" spans="2:8">
      <c r="B517" s="175">
        <v>44679</v>
      </c>
      <c r="C517" s="176">
        <v>9.2280502319335938</v>
      </c>
      <c r="D517" s="180">
        <f t="shared" ref="D517:D580" si="16">(C517-C516)/C516</f>
        <v>-2.4271817248252902E-2</v>
      </c>
      <c r="F517" s="181">
        <v>44679</v>
      </c>
      <c r="G517" s="182">
        <v>17245.05078125</v>
      </c>
      <c r="H517" s="183">
        <f t="shared" ref="H517:H580" si="17">(G517-G516)/G516</f>
        <v>1.2128508890934666E-2</v>
      </c>
    </row>
    <row r="518" spans="2:8">
      <c r="B518" s="175">
        <v>44680</v>
      </c>
      <c r="C518" s="176">
        <v>9.1821393966674805</v>
      </c>
      <c r="D518" s="180">
        <f t="shared" si="16"/>
        <v>-4.9751392886049975E-3</v>
      </c>
      <c r="F518" s="184">
        <v>44680</v>
      </c>
      <c r="G518" s="185">
        <v>17102.55078125</v>
      </c>
      <c r="H518" s="186">
        <f t="shared" si="17"/>
        <v>-8.2632403816946566E-3</v>
      </c>
    </row>
    <row r="519" spans="2:8">
      <c r="B519" s="175">
        <v>44683</v>
      </c>
      <c r="C519" s="176">
        <v>9.1821393966674805</v>
      </c>
      <c r="D519" s="180">
        <f t="shared" si="16"/>
        <v>0</v>
      </c>
      <c r="F519" s="181">
        <v>44683</v>
      </c>
      <c r="G519" s="182">
        <v>17069.099609375</v>
      </c>
      <c r="H519" s="183">
        <f t="shared" si="17"/>
        <v>-1.9559171203674158E-3</v>
      </c>
    </row>
    <row r="520" spans="2:8">
      <c r="B520" s="175">
        <v>44685</v>
      </c>
      <c r="C520" s="176">
        <v>8.9984960556030273</v>
      </c>
      <c r="D520" s="180">
        <f t="shared" si="16"/>
        <v>-2.0000060239893952E-2</v>
      </c>
      <c r="F520" s="184">
        <v>44685</v>
      </c>
      <c r="G520" s="185">
        <v>16677.599609375</v>
      </c>
      <c r="H520" s="186">
        <f t="shared" si="17"/>
        <v>-2.2936183451936345E-2</v>
      </c>
    </row>
    <row r="521" spans="2:8">
      <c r="B521" s="175">
        <v>44686</v>
      </c>
      <c r="C521" s="176">
        <v>8.9525861740112305</v>
      </c>
      <c r="D521" s="180">
        <f t="shared" si="16"/>
        <v>-5.1019505157431843E-3</v>
      </c>
      <c r="F521" s="181">
        <v>44686</v>
      </c>
      <c r="G521" s="182">
        <v>16682.650390625</v>
      </c>
      <c r="H521" s="183">
        <f t="shared" si="17"/>
        <v>3.0284821366983761E-4</v>
      </c>
    </row>
    <row r="522" spans="2:8">
      <c r="B522" s="175">
        <v>44687</v>
      </c>
      <c r="C522" s="176">
        <v>8.9525861740112305</v>
      </c>
      <c r="D522" s="180">
        <f t="shared" si="16"/>
        <v>0</v>
      </c>
      <c r="F522" s="184">
        <v>44687</v>
      </c>
      <c r="G522" s="185">
        <v>16411.25</v>
      </c>
      <c r="H522" s="186">
        <f t="shared" si="17"/>
        <v>-1.6268421639856246E-2</v>
      </c>
    </row>
    <row r="523" spans="2:8">
      <c r="B523" s="175">
        <v>44690</v>
      </c>
      <c r="C523" s="176">
        <v>8.9066753387451172</v>
      </c>
      <c r="D523" s="180">
        <f t="shared" si="16"/>
        <v>-5.1282204241037549E-3</v>
      </c>
      <c r="F523" s="181">
        <v>44690</v>
      </c>
      <c r="G523" s="182">
        <v>16301.849609375</v>
      </c>
      <c r="H523" s="183">
        <f t="shared" si="17"/>
        <v>-6.6661826871810496E-3</v>
      </c>
    </row>
    <row r="524" spans="2:8">
      <c r="B524" s="175">
        <v>44691</v>
      </c>
      <c r="C524" s="176">
        <v>8.7230319976806641</v>
      </c>
      <c r="D524" s="180">
        <f t="shared" si="16"/>
        <v>-2.0618618517010755E-2</v>
      </c>
      <c r="F524" s="184">
        <v>44691</v>
      </c>
      <c r="G524" s="185">
        <v>16240.0498046875</v>
      </c>
      <c r="H524" s="186">
        <f t="shared" si="17"/>
        <v>-3.7909688880922855E-3</v>
      </c>
    </row>
    <row r="525" spans="2:8">
      <c r="B525" s="175">
        <v>44692</v>
      </c>
      <c r="C525" s="176">
        <v>8.4475679397583008</v>
      </c>
      <c r="D525" s="180">
        <f t="shared" si="16"/>
        <v>-3.1578934709353974E-2</v>
      </c>
      <c r="F525" s="181">
        <v>44692</v>
      </c>
      <c r="G525" s="182">
        <v>16167.099609375</v>
      </c>
      <c r="H525" s="183">
        <f t="shared" si="17"/>
        <v>-4.4919933245182401E-3</v>
      </c>
    </row>
    <row r="526" spans="2:8">
      <c r="B526" s="175">
        <v>44693</v>
      </c>
      <c r="C526" s="176">
        <v>7.8966398239135742</v>
      </c>
      <c r="D526" s="180">
        <f t="shared" si="16"/>
        <v>-6.5217364308109912E-2</v>
      </c>
      <c r="F526" s="184">
        <v>44693</v>
      </c>
      <c r="G526" s="185">
        <v>15808</v>
      </c>
      <c r="H526" s="186">
        <f t="shared" si="17"/>
        <v>-2.2211752141785831E-2</v>
      </c>
    </row>
    <row r="527" spans="2:8">
      <c r="B527" s="175">
        <v>44694</v>
      </c>
      <c r="C527" s="176">
        <v>8.0802822113037109</v>
      </c>
      <c r="D527" s="180">
        <f t="shared" si="16"/>
        <v>2.3255763398757064E-2</v>
      </c>
      <c r="F527" s="181">
        <v>44694</v>
      </c>
      <c r="G527" s="182">
        <v>15782.150390625</v>
      </c>
      <c r="H527" s="183">
        <f t="shared" si="17"/>
        <v>-1.6352232651189271E-3</v>
      </c>
    </row>
    <row r="528" spans="2:8">
      <c r="B528" s="175">
        <v>44697</v>
      </c>
      <c r="C528" s="176">
        <v>8.2180147171020508</v>
      </c>
      <c r="D528" s="180">
        <f t="shared" si="16"/>
        <v>1.7045506851934251E-2</v>
      </c>
      <c r="F528" s="184">
        <v>44697</v>
      </c>
      <c r="G528" s="185">
        <v>15842.2998046875</v>
      </c>
      <c r="H528" s="186">
        <f t="shared" si="17"/>
        <v>3.8112305721171107E-3</v>
      </c>
    </row>
    <row r="529" spans="2:8">
      <c r="B529" s="175">
        <v>44698</v>
      </c>
      <c r="C529" s="176">
        <v>8.7230319976806641</v>
      </c>
      <c r="D529" s="180">
        <f t="shared" si="16"/>
        <v>6.1452467288437687E-2</v>
      </c>
      <c r="F529" s="181">
        <v>44698</v>
      </c>
      <c r="G529" s="182">
        <v>16259.2998046875</v>
      </c>
      <c r="H529" s="183">
        <f t="shared" si="17"/>
        <v>2.6321935902047247E-2</v>
      </c>
    </row>
    <row r="530" spans="2:8">
      <c r="B530" s="175">
        <v>44699</v>
      </c>
      <c r="C530" s="176">
        <v>8.5853004455566406</v>
      </c>
      <c r="D530" s="180">
        <f t="shared" si="16"/>
        <v>-1.5789412690523707E-2</v>
      </c>
      <c r="F530" s="184">
        <v>44699</v>
      </c>
      <c r="G530" s="185">
        <v>16240.2998046875</v>
      </c>
      <c r="H530" s="186">
        <f t="shared" si="17"/>
        <v>-1.1685620062508698E-3</v>
      </c>
    </row>
    <row r="531" spans="2:8">
      <c r="B531" s="175">
        <v>44700</v>
      </c>
      <c r="C531" s="176">
        <v>8.1721038818359375</v>
      </c>
      <c r="D531" s="180">
        <f t="shared" si="16"/>
        <v>-4.8128375511255962E-2</v>
      </c>
      <c r="F531" s="181">
        <v>44700</v>
      </c>
      <c r="G531" s="182">
        <v>15809.400390625</v>
      </c>
      <c r="H531" s="183">
        <f t="shared" si="17"/>
        <v>-2.6532725334179351E-2</v>
      </c>
    </row>
    <row r="532" spans="2:8">
      <c r="B532" s="175">
        <v>44701</v>
      </c>
      <c r="C532" s="176">
        <v>8.4016571044921875</v>
      </c>
      <c r="D532" s="180">
        <f t="shared" si="16"/>
        <v>2.8089856171123313E-2</v>
      </c>
      <c r="F532" s="184">
        <v>44701</v>
      </c>
      <c r="G532" s="185">
        <v>16266.150390625</v>
      </c>
      <c r="H532" s="186">
        <f t="shared" si="17"/>
        <v>2.8891038794289343E-2</v>
      </c>
    </row>
    <row r="533" spans="2:8">
      <c r="B533" s="175">
        <v>44704</v>
      </c>
      <c r="C533" s="176">
        <v>8.3098363876342773</v>
      </c>
      <c r="D533" s="180">
        <f t="shared" si="16"/>
        <v>-1.0928881733201843E-2</v>
      </c>
      <c r="F533" s="181">
        <v>44704</v>
      </c>
      <c r="G533" s="182">
        <v>16214.7001953125</v>
      </c>
      <c r="H533" s="183">
        <f t="shared" si="17"/>
        <v>-3.1630222318707523E-3</v>
      </c>
    </row>
    <row r="534" spans="2:8">
      <c r="B534" s="175">
        <v>44705</v>
      </c>
      <c r="C534" s="176">
        <v>8.3098363876342773</v>
      </c>
      <c r="D534" s="180">
        <f t="shared" si="16"/>
        <v>0</v>
      </c>
      <c r="F534" s="184">
        <v>44705</v>
      </c>
      <c r="G534" s="185">
        <v>16125.150390625</v>
      </c>
      <c r="H534" s="186">
        <f t="shared" si="17"/>
        <v>-5.5227542667355585E-3</v>
      </c>
    </row>
    <row r="535" spans="2:8">
      <c r="B535" s="175">
        <v>44706</v>
      </c>
      <c r="C535" s="176">
        <v>7.9884610176086426</v>
      </c>
      <c r="D535" s="180">
        <f t="shared" si="16"/>
        <v>-3.8674091165485265E-2</v>
      </c>
      <c r="F535" s="181">
        <v>44706</v>
      </c>
      <c r="G535" s="182">
        <v>16025.7998046875</v>
      </c>
      <c r="H535" s="183">
        <f t="shared" si="17"/>
        <v>-6.1612191843656494E-3</v>
      </c>
    </row>
    <row r="536" spans="2:8">
      <c r="B536" s="175">
        <v>44707</v>
      </c>
      <c r="C536" s="176">
        <v>7.2079792022705078</v>
      </c>
      <c r="D536" s="180">
        <f t="shared" si="16"/>
        <v>-9.7701148396136653E-2</v>
      </c>
      <c r="F536" s="184">
        <v>44707</v>
      </c>
      <c r="G536" s="185">
        <v>16170.150390625</v>
      </c>
      <c r="H536" s="186">
        <f t="shared" si="17"/>
        <v>9.0073873189953288E-3</v>
      </c>
    </row>
    <row r="537" spans="2:8">
      <c r="B537" s="175">
        <v>44708</v>
      </c>
      <c r="C537" s="176">
        <v>7.0702471733093262</v>
      </c>
      <c r="D537" s="180">
        <f t="shared" si="16"/>
        <v>-1.9108272248870552E-2</v>
      </c>
      <c r="F537" s="181">
        <v>44708</v>
      </c>
      <c r="G537" s="182">
        <v>16352.4501953125</v>
      </c>
      <c r="H537" s="183">
        <f t="shared" si="17"/>
        <v>1.1273847198922301E-2</v>
      </c>
    </row>
    <row r="538" spans="2:8">
      <c r="B538" s="175">
        <v>44711</v>
      </c>
      <c r="C538" s="176">
        <v>7.2998008728027344</v>
      </c>
      <c r="D538" s="180">
        <f t="shared" si="16"/>
        <v>3.2467563561283878E-2</v>
      </c>
      <c r="F538" s="184">
        <v>44711</v>
      </c>
      <c r="G538" s="185">
        <v>16661.400390625</v>
      </c>
      <c r="H538" s="186">
        <f t="shared" si="17"/>
        <v>1.8893205092962884E-2</v>
      </c>
    </row>
    <row r="539" spans="2:8">
      <c r="B539" s="175">
        <v>44712</v>
      </c>
      <c r="C539" s="176">
        <v>7.8507289886474609</v>
      </c>
      <c r="D539" s="180">
        <f t="shared" si="16"/>
        <v>7.5471663603503131E-2</v>
      </c>
      <c r="F539" s="181">
        <v>44712</v>
      </c>
      <c r="G539" s="182">
        <v>16584.55078125</v>
      </c>
      <c r="H539" s="183">
        <f t="shared" si="17"/>
        <v>-4.6124339835348759E-3</v>
      </c>
    </row>
    <row r="540" spans="2:8">
      <c r="B540" s="175">
        <v>44713</v>
      </c>
      <c r="C540" s="176">
        <v>8.6312112808227539</v>
      </c>
      <c r="D540" s="180">
        <f t="shared" si="16"/>
        <v>9.9415263640345836E-2</v>
      </c>
      <c r="F540" s="184">
        <v>44713</v>
      </c>
      <c r="G540" s="185">
        <v>16522.75</v>
      </c>
      <c r="H540" s="186">
        <f t="shared" si="17"/>
        <v>-3.7264067061659654E-3</v>
      </c>
    </row>
    <row r="541" spans="2:8">
      <c r="B541" s="175">
        <v>44714</v>
      </c>
      <c r="C541" s="176">
        <v>8.9984960556030273</v>
      </c>
      <c r="D541" s="180">
        <f t="shared" si="16"/>
        <v>4.2553097454157411E-2</v>
      </c>
      <c r="F541" s="181">
        <v>44714</v>
      </c>
      <c r="G541" s="182">
        <v>16628</v>
      </c>
      <c r="H541" s="183">
        <f t="shared" si="17"/>
        <v>6.3700049931155528E-3</v>
      </c>
    </row>
    <row r="542" spans="2:8">
      <c r="B542" s="175">
        <v>44715</v>
      </c>
      <c r="C542" s="176">
        <v>8.3557472229003906</v>
      </c>
      <c r="D542" s="180">
        <f t="shared" si="16"/>
        <v>-7.142847301715724E-2</v>
      </c>
      <c r="F542" s="184">
        <v>44715</v>
      </c>
      <c r="G542" s="185">
        <v>16584.30078125</v>
      </c>
      <c r="H542" s="186">
        <f t="shared" si="17"/>
        <v>-2.6280502014674042E-3</v>
      </c>
    </row>
    <row r="543" spans="2:8">
      <c r="B543" s="175">
        <v>44718</v>
      </c>
      <c r="C543" s="176">
        <v>7.5752649307250977</v>
      </c>
      <c r="D543" s="180">
        <f t="shared" si="16"/>
        <v>-9.3406642321137281E-2</v>
      </c>
      <c r="F543" s="181">
        <v>44718</v>
      </c>
      <c r="G543" s="182">
        <v>16569.55078125</v>
      </c>
      <c r="H543" s="183">
        <f t="shared" si="17"/>
        <v>-8.893953501299351E-4</v>
      </c>
    </row>
    <row r="544" spans="2:8">
      <c r="B544" s="175">
        <v>44719</v>
      </c>
      <c r="C544" s="176">
        <v>7.437532901763916</v>
      </c>
      <c r="D544" s="180">
        <f t="shared" si="16"/>
        <v>-1.8181810170432952E-2</v>
      </c>
      <c r="F544" s="184">
        <v>44719</v>
      </c>
      <c r="G544" s="185">
        <v>16416.349609375</v>
      </c>
      <c r="H544" s="186">
        <f t="shared" si="17"/>
        <v>-9.2459460064760173E-3</v>
      </c>
    </row>
    <row r="545" spans="2:8">
      <c r="B545" s="175">
        <v>44720</v>
      </c>
      <c r="C545" s="176">
        <v>7.4834427833557129</v>
      </c>
      <c r="D545" s="180">
        <f t="shared" si="16"/>
        <v>6.1727298820968843E-3</v>
      </c>
      <c r="F545" s="181">
        <v>44720</v>
      </c>
      <c r="G545" s="182">
        <v>16356.25</v>
      </c>
      <c r="H545" s="183">
        <f t="shared" si="17"/>
        <v>-3.6609606157923498E-3</v>
      </c>
    </row>
    <row r="546" spans="2:8">
      <c r="B546" s="175">
        <v>44721</v>
      </c>
      <c r="C546" s="176">
        <v>8.1721038818359375</v>
      </c>
      <c r="D546" s="180">
        <f t="shared" si="16"/>
        <v>9.2024636042104715E-2</v>
      </c>
      <c r="F546" s="184">
        <v>44721</v>
      </c>
      <c r="G546" s="185">
        <v>16478.099609375</v>
      </c>
      <c r="H546" s="186">
        <f t="shared" si="17"/>
        <v>7.4497277416889565E-3</v>
      </c>
    </row>
    <row r="547" spans="2:8">
      <c r="B547" s="175">
        <v>44722</v>
      </c>
      <c r="C547" s="176">
        <v>7.8966398239135742</v>
      </c>
      <c r="D547" s="180">
        <f t="shared" si="16"/>
        <v>-3.3707850745098189E-2</v>
      </c>
      <c r="F547" s="181">
        <v>44722</v>
      </c>
      <c r="G547" s="182">
        <v>16201.7998046875</v>
      </c>
      <c r="H547" s="183">
        <f t="shared" si="17"/>
        <v>-1.6767698414100061E-2</v>
      </c>
    </row>
    <row r="548" spans="2:8">
      <c r="B548" s="175">
        <v>44725</v>
      </c>
      <c r="C548" s="176">
        <v>7.4834427833557129</v>
      </c>
      <c r="D548" s="180">
        <f t="shared" si="16"/>
        <v>-5.2325678994066226E-2</v>
      </c>
      <c r="F548" s="184">
        <v>44725</v>
      </c>
      <c r="G548" s="185">
        <v>15774.400390625</v>
      </c>
      <c r="H548" s="186">
        <f t="shared" si="17"/>
        <v>-2.6379749115209097E-2</v>
      </c>
    </row>
    <row r="549" spans="2:8">
      <c r="B549" s="175">
        <v>44726</v>
      </c>
      <c r="C549" s="176">
        <v>7.6211748123168954</v>
      </c>
      <c r="D549" s="180">
        <f t="shared" si="16"/>
        <v>1.8404901720838834E-2</v>
      </c>
      <c r="F549" s="181">
        <v>44726</v>
      </c>
      <c r="G549" s="182">
        <v>15732.099609375</v>
      </c>
      <c r="H549" s="183">
        <f t="shared" si="17"/>
        <v>-2.6816094559854137E-3</v>
      </c>
    </row>
    <row r="550" spans="2:8">
      <c r="B550" s="175">
        <v>44727</v>
      </c>
      <c r="C550" s="176">
        <v>7.437532901763916</v>
      </c>
      <c r="D550" s="180">
        <f t="shared" si="16"/>
        <v>-2.4096273222363056E-2</v>
      </c>
      <c r="F550" s="184">
        <v>44727</v>
      </c>
      <c r="G550" s="185">
        <v>15692.150390625</v>
      </c>
      <c r="H550" s="186">
        <f t="shared" si="17"/>
        <v>-2.5393443813560425E-3</v>
      </c>
    </row>
    <row r="551" spans="2:8">
      <c r="B551" s="175">
        <v>44728</v>
      </c>
      <c r="C551" s="176">
        <v>7.1161580085754386</v>
      </c>
      <c r="D551" s="180">
        <f t="shared" si="16"/>
        <v>-4.3209878521983928E-2</v>
      </c>
      <c r="F551" s="181">
        <v>44728</v>
      </c>
      <c r="G551" s="182">
        <v>15360.599609375</v>
      </c>
      <c r="H551" s="183">
        <f t="shared" si="17"/>
        <v>-2.1128447854290206E-2</v>
      </c>
    </row>
    <row r="552" spans="2:8">
      <c r="B552" s="175">
        <v>44729</v>
      </c>
      <c r="C552" s="176">
        <v>7.0702471733093262</v>
      </c>
      <c r="D552" s="180">
        <f t="shared" si="16"/>
        <v>-6.4516323570649806E-3</v>
      </c>
      <c r="F552" s="184">
        <v>44729</v>
      </c>
      <c r="G552" s="185">
        <v>15293.5</v>
      </c>
      <c r="H552" s="186">
        <f t="shared" si="17"/>
        <v>-4.3682936266398898E-3</v>
      </c>
    </row>
    <row r="553" spans="2:8">
      <c r="B553" s="175">
        <v>44732</v>
      </c>
      <c r="C553" s="176">
        <v>6.5193190574645996</v>
      </c>
      <c r="D553" s="180">
        <f t="shared" si="16"/>
        <v>-7.7922044638625704E-2</v>
      </c>
      <c r="F553" s="181">
        <v>44732</v>
      </c>
      <c r="G553" s="182">
        <v>15350.150390625</v>
      </c>
      <c r="H553" s="183">
        <f t="shared" si="17"/>
        <v>3.7042135956452085E-3</v>
      </c>
    </row>
    <row r="554" spans="2:8">
      <c r="B554" s="175">
        <v>44733</v>
      </c>
      <c r="C554" s="176">
        <v>6.8406939506530762</v>
      </c>
      <c r="D554" s="180">
        <f t="shared" si="16"/>
        <v>4.9295776193144486E-2</v>
      </c>
      <c r="F554" s="184">
        <v>44733</v>
      </c>
      <c r="G554" s="185">
        <v>15638.7998046875</v>
      </c>
      <c r="H554" s="186">
        <f t="shared" si="17"/>
        <v>1.8804337854487124E-2</v>
      </c>
    </row>
    <row r="555" spans="2:8">
      <c r="B555" s="175">
        <v>44734</v>
      </c>
      <c r="C555" s="176">
        <v>6.5652289390563956</v>
      </c>
      <c r="D555" s="180">
        <f t="shared" si="16"/>
        <v>-4.026857707475455E-2</v>
      </c>
      <c r="F555" s="181">
        <v>44734</v>
      </c>
      <c r="G555" s="182">
        <v>15413.2998046875</v>
      </c>
      <c r="H555" s="183">
        <f t="shared" si="17"/>
        <v>-1.4419265085317462E-2</v>
      </c>
    </row>
    <row r="556" spans="2:8">
      <c r="B556" s="175">
        <v>44735</v>
      </c>
      <c r="C556" s="176">
        <v>6.6111397743225098</v>
      </c>
      <c r="D556" s="180">
        <f t="shared" si="16"/>
        <v>6.9930288330071278E-3</v>
      </c>
      <c r="F556" s="184">
        <v>44735</v>
      </c>
      <c r="G556" s="185">
        <v>15556.650390625</v>
      </c>
      <c r="H556" s="186">
        <f t="shared" si="17"/>
        <v>9.3004475196092756E-3</v>
      </c>
    </row>
    <row r="557" spans="2:8">
      <c r="B557" s="175">
        <v>44736</v>
      </c>
      <c r="C557" s="176">
        <v>6.6111397743225098</v>
      </c>
      <c r="D557" s="180">
        <f t="shared" si="16"/>
        <v>0</v>
      </c>
      <c r="F557" s="181">
        <v>44736</v>
      </c>
      <c r="G557" s="182">
        <v>15699.25</v>
      </c>
      <c r="H557" s="183">
        <f t="shared" si="17"/>
        <v>9.1664725885294493E-3</v>
      </c>
    </row>
    <row r="558" spans="2:8">
      <c r="B558" s="175">
        <v>44739</v>
      </c>
      <c r="C558" s="176">
        <v>6.5652289390563956</v>
      </c>
      <c r="D558" s="180">
        <f t="shared" si="16"/>
        <v>-6.944465982164018E-3</v>
      </c>
      <c r="F558" s="184">
        <v>44739</v>
      </c>
      <c r="G558" s="185">
        <v>15832.0498046875</v>
      </c>
      <c r="H558" s="186">
        <f t="shared" si="17"/>
        <v>8.4589903777250505E-3</v>
      </c>
    </row>
    <row r="559" spans="2:8">
      <c r="B559" s="175">
        <v>44740</v>
      </c>
      <c r="C559" s="176">
        <v>6.4734082221984863</v>
      </c>
      <c r="D559" s="180">
        <f t="shared" si="16"/>
        <v>-1.398591240461851E-2</v>
      </c>
      <c r="F559" s="181">
        <v>44740</v>
      </c>
      <c r="G559" s="182">
        <v>15850.2001953125</v>
      </c>
      <c r="H559" s="183">
        <f t="shared" si="17"/>
        <v>1.14643339611186E-3</v>
      </c>
    </row>
    <row r="560" spans="2:8">
      <c r="B560" s="175">
        <v>44741</v>
      </c>
      <c r="C560" s="176">
        <v>6.381587028503418</v>
      </c>
      <c r="D560" s="180">
        <f t="shared" si="16"/>
        <v>-1.4184366340469136E-2</v>
      </c>
      <c r="F560" s="184">
        <v>44741</v>
      </c>
      <c r="G560" s="185">
        <v>15799.099609375</v>
      </c>
      <c r="H560" s="186">
        <f t="shared" si="17"/>
        <v>-3.2239710103227821E-3</v>
      </c>
    </row>
    <row r="561" spans="2:8">
      <c r="B561" s="175">
        <v>44742</v>
      </c>
      <c r="C561" s="176">
        <v>6.2897648811340332</v>
      </c>
      <c r="D561" s="180">
        <f t="shared" si="16"/>
        <v>-1.4388606934178016E-2</v>
      </c>
      <c r="F561" s="181">
        <v>44742</v>
      </c>
      <c r="G561" s="182">
        <v>15780.25</v>
      </c>
      <c r="H561" s="183">
        <f t="shared" si="17"/>
        <v>-1.1930812414028243E-3</v>
      </c>
    </row>
    <row r="562" spans="2:8">
      <c r="B562" s="175">
        <v>44743</v>
      </c>
      <c r="C562" s="176">
        <v>6.197944164276123</v>
      </c>
      <c r="D562" s="180">
        <f t="shared" si="16"/>
        <v>-1.4598433899067313E-2</v>
      </c>
      <c r="F562" s="184">
        <v>44743</v>
      </c>
      <c r="G562" s="185">
        <v>15752.0498046875</v>
      </c>
      <c r="H562" s="186">
        <f t="shared" si="17"/>
        <v>-1.7870563085185596E-3</v>
      </c>
    </row>
    <row r="563" spans="2:8">
      <c r="B563" s="175">
        <v>44746</v>
      </c>
      <c r="C563" s="176">
        <v>6.1061220169067383</v>
      </c>
      <c r="D563" s="180">
        <f t="shared" si="16"/>
        <v>-1.4814936200721478E-2</v>
      </c>
      <c r="F563" s="181">
        <v>44746</v>
      </c>
      <c r="G563" s="182">
        <v>15835.349609375</v>
      </c>
      <c r="H563" s="183">
        <f t="shared" si="17"/>
        <v>5.288188249805534E-3</v>
      </c>
    </row>
    <row r="564" spans="2:8">
      <c r="B564" s="175">
        <v>44747</v>
      </c>
      <c r="C564" s="176">
        <v>6.1061220169067383</v>
      </c>
      <c r="D564" s="180">
        <f t="shared" si="16"/>
        <v>0</v>
      </c>
      <c r="F564" s="184">
        <v>44747</v>
      </c>
      <c r="G564" s="185">
        <v>15810.849609375</v>
      </c>
      <c r="H564" s="186">
        <f t="shared" si="17"/>
        <v>-1.5471713984448608E-3</v>
      </c>
    </row>
    <row r="565" spans="2:8">
      <c r="B565" s="175">
        <v>44748</v>
      </c>
      <c r="C565" s="176">
        <v>6.0602121353149414</v>
      </c>
      <c r="D565" s="180">
        <f t="shared" si="16"/>
        <v>-7.5186642953876106E-3</v>
      </c>
      <c r="F565" s="181">
        <v>44748</v>
      </c>
      <c r="G565" s="182">
        <v>15989.7998046875</v>
      </c>
      <c r="H565" s="183">
        <f t="shared" si="17"/>
        <v>1.1318189707300232E-2</v>
      </c>
    </row>
    <row r="566" spans="2:8">
      <c r="B566" s="175">
        <v>44749</v>
      </c>
      <c r="C566" s="176">
        <v>6.0602121353149414</v>
      </c>
      <c r="D566" s="180">
        <f t="shared" si="16"/>
        <v>0</v>
      </c>
      <c r="F566" s="184">
        <v>44749</v>
      </c>
      <c r="G566" s="185">
        <v>16132.900390625</v>
      </c>
      <c r="H566" s="186">
        <f t="shared" si="17"/>
        <v>8.9494920315105666E-3</v>
      </c>
    </row>
    <row r="567" spans="2:8">
      <c r="B567" s="175">
        <v>44750</v>
      </c>
      <c r="C567" s="176">
        <v>6.1061220169067383</v>
      </c>
      <c r="D567" s="180">
        <f t="shared" si="16"/>
        <v>7.575622860504205E-3</v>
      </c>
      <c r="F567" s="181">
        <v>44750</v>
      </c>
      <c r="G567" s="182">
        <v>16220.599609375</v>
      </c>
      <c r="H567" s="183">
        <f t="shared" si="17"/>
        <v>5.436047866567313E-3</v>
      </c>
    </row>
    <row r="568" spans="2:8">
      <c r="B568" s="175">
        <v>44753</v>
      </c>
      <c r="C568" s="176">
        <v>6.1520328521728516</v>
      </c>
      <c r="D568" s="180">
        <f t="shared" si="16"/>
        <v>7.5188204786924588E-3</v>
      </c>
      <c r="F568" s="184">
        <v>44753</v>
      </c>
      <c r="G568" s="185">
        <v>16216</v>
      </c>
      <c r="H568" s="186">
        <f t="shared" si="17"/>
        <v>-2.8356592763325282E-4</v>
      </c>
    </row>
    <row r="569" spans="2:8">
      <c r="B569" s="175">
        <v>44754</v>
      </c>
      <c r="C569" s="176">
        <v>6.197944164276123</v>
      </c>
      <c r="D569" s="180">
        <f t="shared" si="16"/>
        <v>7.4627872130195068E-3</v>
      </c>
      <c r="F569" s="181">
        <v>44754</v>
      </c>
      <c r="G569" s="182">
        <v>16058.2998046875</v>
      </c>
      <c r="H569" s="183">
        <f t="shared" si="17"/>
        <v>-9.7249750439380861E-3</v>
      </c>
    </row>
    <row r="570" spans="2:8">
      <c r="B570" s="175">
        <v>44755</v>
      </c>
      <c r="C570" s="176">
        <v>5.9224801063537598</v>
      </c>
      <c r="D570" s="180">
        <f t="shared" si="16"/>
        <v>-4.4444423928516559E-2</v>
      </c>
      <c r="F570" s="184">
        <v>44755</v>
      </c>
      <c r="G570" s="185">
        <v>15966.650390625</v>
      </c>
      <c r="H570" s="186">
        <f t="shared" si="17"/>
        <v>-5.707292501522924E-3</v>
      </c>
    </row>
    <row r="571" spans="2:8">
      <c r="B571" s="175">
        <v>44756</v>
      </c>
      <c r="C571" s="176">
        <v>5.830657958984375</v>
      </c>
      <c r="D571" s="180">
        <f t="shared" si="16"/>
        <v>-1.5504002667881663E-2</v>
      </c>
      <c r="F571" s="181">
        <v>44756</v>
      </c>
      <c r="G571" s="182">
        <v>15938.650390625</v>
      </c>
      <c r="H571" s="183">
        <f t="shared" si="17"/>
        <v>-1.7536552323109999E-3</v>
      </c>
    </row>
    <row r="572" spans="2:8">
      <c r="B572" s="175">
        <v>44757</v>
      </c>
      <c r="C572" s="176">
        <v>5.830657958984375</v>
      </c>
      <c r="D572" s="180">
        <f t="shared" si="16"/>
        <v>0</v>
      </c>
      <c r="F572" s="184">
        <v>44757</v>
      </c>
      <c r="G572" s="185">
        <v>16049.2001953125</v>
      </c>
      <c r="H572" s="186">
        <f t="shared" si="17"/>
        <v>6.9359576863875878E-3</v>
      </c>
    </row>
    <row r="573" spans="2:8">
      <c r="B573" s="175">
        <v>44760</v>
      </c>
      <c r="C573" s="176">
        <v>5.830657958984375</v>
      </c>
      <c r="D573" s="180">
        <f t="shared" si="16"/>
        <v>0</v>
      </c>
      <c r="F573" s="181">
        <v>44760</v>
      </c>
      <c r="G573" s="182">
        <v>16278.5</v>
      </c>
      <c r="H573" s="183">
        <f t="shared" si="17"/>
        <v>1.4287304158276481E-2</v>
      </c>
    </row>
    <row r="574" spans="2:8">
      <c r="B574" s="175">
        <v>44761</v>
      </c>
      <c r="C574" s="176">
        <v>6.0143008232116699</v>
      </c>
      <c r="D574" s="180">
        <f t="shared" si="16"/>
        <v>3.1496079090752069E-2</v>
      </c>
      <c r="F574" s="184">
        <v>44761</v>
      </c>
      <c r="G574" s="185">
        <v>16340.5498046875</v>
      </c>
      <c r="H574" s="186">
        <f t="shared" si="17"/>
        <v>3.8117642711244892E-3</v>
      </c>
    </row>
    <row r="575" spans="2:8">
      <c r="B575" s="175">
        <v>44762</v>
      </c>
      <c r="C575" s="176">
        <v>6.0602121353149414</v>
      </c>
      <c r="D575" s="180">
        <f t="shared" si="16"/>
        <v>7.633690673748938E-3</v>
      </c>
      <c r="F575" s="181">
        <v>44762</v>
      </c>
      <c r="G575" s="182">
        <v>16520.849609375</v>
      </c>
      <c r="H575" s="183">
        <f t="shared" si="17"/>
        <v>1.1033888506969248E-2</v>
      </c>
    </row>
    <row r="576" spans="2:8">
      <c r="B576" s="175">
        <v>44763</v>
      </c>
      <c r="C576" s="176">
        <v>6.1061220169067383</v>
      </c>
      <c r="D576" s="180">
        <f t="shared" si="16"/>
        <v>7.575622860504205E-3</v>
      </c>
      <c r="F576" s="184">
        <v>44763</v>
      </c>
      <c r="G576" s="185">
        <v>16605.25</v>
      </c>
      <c r="H576" s="186">
        <f t="shared" si="17"/>
        <v>5.1087197462959628E-3</v>
      </c>
    </row>
    <row r="577" spans="2:8">
      <c r="B577" s="175">
        <v>44764</v>
      </c>
      <c r="C577" s="176">
        <v>6.1061220169067383</v>
      </c>
      <c r="D577" s="180">
        <f t="shared" si="16"/>
        <v>0</v>
      </c>
      <c r="F577" s="181">
        <v>44764</v>
      </c>
      <c r="G577" s="182">
        <v>16719.44921875</v>
      </c>
      <c r="H577" s="183">
        <f t="shared" si="17"/>
        <v>6.8772959606148657E-3</v>
      </c>
    </row>
    <row r="578" spans="2:8">
      <c r="B578" s="175">
        <v>44767</v>
      </c>
      <c r="C578" s="176">
        <v>5.8765687942504883</v>
      </c>
      <c r="D578" s="180">
        <f t="shared" si="16"/>
        <v>-3.7593946210157443E-2</v>
      </c>
      <c r="F578" s="184">
        <v>44767</v>
      </c>
      <c r="G578" s="185">
        <v>16631</v>
      </c>
      <c r="H578" s="186">
        <f t="shared" si="17"/>
        <v>-5.2901993117577557E-3</v>
      </c>
    </row>
    <row r="579" spans="2:8">
      <c r="B579" s="175">
        <v>44768</v>
      </c>
      <c r="C579" s="176">
        <v>5.7388367652893066</v>
      </c>
      <c r="D579" s="180">
        <f t="shared" si="16"/>
        <v>-2.3437491125082338E-2</v>
      </c>
      <c r="F579" s="181">
        <v>44768</v>
      </c>
      <c r="G579" s="182">
        <v>16483.849609375</v>
      </c>
      <c r="H579" s="183">
        <f t="shared" si="17"/>
        <v>-8.8479580677650171E-3</v>
      </c>
    </row>
    <row r="580" spans="2:8">
      <c r="B580" s="175">
        <v>44769</v>
      </c>
      <c r="C580" s="176">
        <v>5.6929259300231934</v>
      </c>
      <c r="D580" s="180">
        <f t="shared" si="16"/>
        <v>-8.0000245944961672E-3</v>
      </c>
      <c r="F580" s="184">
        <v>44769</v>
      </c>
      <c r="G580" s="185">
        <v>16641.80078125</v>
      </c>
      <c r="H580" s="186">
        <f t="shared" si="17"/>
        <v>9.5821774414374099E-3</v>
      </c>
    </row>
    <row r="581" spans="2:8">
      <c r="B581" s="175">
        <v>44770</v>
      </c>
      <c r="C581" s="176">
        <v>5.6011052131652832</v>
      </c>
      <c r="D581" s="180">
        <f t="shared" ref="D581:D644" si="18">(C581-C580)/C580</f>
        <v>-1.6128914724442247E-2</v>
      </c>
      <c r="F581" s="181">
        <v>44770</v>
      </c>
      <c r="G581" s="182">
        <v>16929.599609375</v>
      </c>
      <c r="H581" s="183">
        <f t="shared" ref="H581:H644" si="19">(G581-G580)/G580</f>
        <v>1.7293731123692903E-2</v>
      </c>
    </row>
    <row r="582" spans="2:8">
      <c r="B582" s="175">
        <v>44771</v>
      </c>
      <c r="C582" s="176">
        <v>6.0602121353149414</v>
      </c>
      <c r="D582" s="180">
        <f t="shared" si="18"/>
        <v>8.1967201949811039E-2</v>
      </c>
      <c r="F582" s="184">
        <v>44771</v>
      </c>
      <c r="G582" s="185">
        <v>17158.25</v>
      </c>
      <c r="H582" s="186">
        <f t="shared" si="19"/>
        <v>1.3505953826479256E-2</v>
      </c>
    </row>
    <row r="583" spans="2:8">
      <c r="B583" s="175">
        <v>44774</v>
      </c>
      <c r="C583" s="176">
        <v>6.3356761932373047</v>
      </c>
      <c r="D583" s="180">
        <f t="shared" si="18"/>
        <v>4.5454523995478543E-2</v>
      </c>
      <c r="F583" s="181">
        <v>44774</v>
      </c>
      <c r="G583" s="182">
        <v>17340.05078125</v>
      </c>
      <c r="H583" s="183">
        <f t="shared" si="19"/>
        <v>1.059553166843938E-2</v>
      </c>
    </row>
    <row r="584" spans="2:8">
      <c r="B584" s="175">
        <v>44775</v>
      </c>
      <c r="C584" s="176">
        <v>6.6570510864257813</v>
      </c>
      <c r="D584" s="180">
        <f t="shared" si="18"/>
        <v>5.0724639862673511E-2</v>
      </c>
      <c r="F584" s="184">
        <v>44775</v>
      </c>
      <c r="G584" s="185">
        <v>17345.44921875</v>
      </c>
      <c r="H584" s="186">
        <f t="shared" si="19"/>
        <v>3.1132766380577117E-4</v>
      </c>
    </row>
    <row r="585" spans="2:8">
      <c r="B585" s="175">
        <v>44776</v>
      </c>
      <c r="C585" s="176">
        <v>6.5193190574645996</v>
      </c>
      <c r="D585" s="180">
        <f t="shared" si="18"/>
        <v>-2.0689645786559671E-2</v>
      </c>
      <c r="F585" s="181">
        <v>44776</v>
      </c>
      <c r="G585" s="182">
        <v>17388.150390625</v>
      </c>
      <c r="H585" s="183">
        <f t="shared" si="19"/>
        <v>2.4618083588657416E-3</v>
      </c>
    </row>
    <row r="586" spans="2:8">
      <c r="B586" s="175">
        <v>44777</v>
      </c>
      <c r="C586" s="176">
        <v>6.5193190574645996</v>
      </c>
      <c r="D586" s="180">
        <f t="shared" si="18"/>
        <v>0</v>
      </c>
      <c r="F586" s="184">
        <v>44777</v>
      </c>
      <c r="G586" s="185">
        <v>17382</v>
      </c>
      <c r="H586" s="186">
        <f t="shared" si="19"/>
        <v>-3.537116074356043E-4</v>
      </c>
    </row>
    <row r="587" spans="2:8">
      <c r="B587" s="175">
        <v>44778</v>
      </c>
      <c r="C587" s="176">
        <v>6.8406939506530762</v>
      </c>
      <c r="D587" s="180">
        <f t="shared" si="18"/>
        <v>4.9295776193144486E-2</v>
      </c>
      <c r="F587" s="181">
        <v>44778</v>
      </c>
      <c r="G587" s="182">
        <v>17397.5</v>
      </c>
      <c r="H587" s="183">
        <f t="shared" si="19"/>
        <v>8.9172707398458174E-4</v>
      </c>
    </row>
    <row r="588" spans="2:8">
      <c r="B588" s="175">
        <v>44781</v>
      </c>
      <c r="C588" s="176">
        <v>7.0702471733093262</v>
      </c>
      <c r="D588" s="180">
        <f t="shared" si="18"/>
        <v>3.3557008150369702E-2</v>
      </c>
      <c r="F588" s="184">
        <v>44781</v>
      </c>
      <c r="G588" s="185">
        <v>17525.099609375</v>
      </c>
      <c r="H588" s="186">
        <f t="shared" si="19"/>
        <v>7.3343646716482252E-3</v>
      </c>
    </row>
    <row r="589" spans="2:8">
      <c r="B589" s="175">
        <v>44783</v>
      </c>
      <c r="C589" s="176">
        <v>6.7947831153869629</v>
      </c>
      <c r="D589" s="180">
        <f t="shared" si="18"/>
        <v>-3.8961022319312852E-2</v>
      </c>
      <c r="F589" s="181">
        <v>44783</v>
      </c>
      <c r="G589" s="182">
        <v>17534.75</v>
      </c>
      <c r="H589" s="183">
        <f t="shared" si="19"/>
        <v>5.5066109979982946E-4</v>
      </c>
    </row>
    <row r="590" spans="2:8">
      <c r="B590" s="175">
        <v>44784</v>
      </c>
      <c r="C590" s="176">
        <v>7.0702471733093262</v>
      </c>
      <c r="D590" s="180">
        <f t="shared" si="18"/>
        <v>4.0540522522134338E-2</v>
      </c>
      <c r="F590" s="184">
        <v>44784</v>
      </c>
      <c r="G590" s="185">
        <v>17659</v>
      </c>
      <c r="H590" s="186">
        <f t="shared" si="19"/>
        <v>7.0859293688247619E-3</v>
      </c>
    </row>
    <row r="591" spans="2:8">
      <c r="B591" s="175">
        <v>44785</v>
      </c>
      <c r="C591" s="176">
        <v>6.9325151443481454</v>
      </c>
      <c r="D591" s="180">
        <f t="shared" si="18"/>
        <v>-1.9480511159656301E-2</v>
      </c>
      <c r="F591" s="181">
        <v>44785</v>
      </c>
      <c r="G591" s="182">
        <v>17698.150390625</v>
      </c>
      <c r="H591" s="183">
        <f t="shared" si="19"/>
        <v>2.2170219505634522E-3</v>
      </c>
    </row>
    <row r="592" spans="2:8">
      <c r="B592" s="175">
        <v>44789</v>
      </c>
      <c r="C592" s="176">
        <v>7.0702471733093262</v>
      </c>
      <c r="D592" s="180">
        <f t="shared" si="18"/>
        <v>1.9867541014096334E-2</v>
      </c>
      <c r="F592" s="184">
        <v>44789</v>
      </c>
      <c r="G592" s="185">
        <v>17825.25</v>
      </c>
      <c r="H592" s="186">
        <f t="shared" si="19"/>
        <v>7.18151934353133E-3</v>
      </c>
    </row>
    <row r="593" spans="2:8">
      <c r="B593" s="175">
        <v>44790</v>
      </c>
      <c r="C593" s="176">
        <v>6.9784259796142578</v>
      </c>
      <c r="D593" s="180">
        <f t="shared" si="18"/>
        <v>-1.2986984958842703E-2</v>
      </c>
      <c r="F593" s="181">
        <v>44790</v>
      </c>
      <c r="G593" s="182">
        <v>17944.25</v>
      </c>
      <c r="H593" s="183">
        <f t="shared" si="19"/>
        <v>6.675923198833116E-3</v>
      </c>
    </row>
    <row r="594" spans="2:8">
      <c r="B594" s="175">
        <v>44791</v>
      </c>
      <c r="C594" s="176">
        <v>7.0702471733093262</v>
      </c>
      <c r="D594" s="180">
        <f t="shared" si="18"/>
        <v>1.3157865966236687E-2</v>
      </c>
      <c r="F594" s="184">
        <v>44791</v>
      </c>
      <c r="G594" s="185">
        <v>17956.5</v>
      </c>
      <c r="H594" s="186">
        <f t="shared" si="19"/>
        <v>6.8266993605193866E-4</v>
      </c>
    </row>
    <row r="595" spans="2:8">
      <c r="B595" s="175">
        <v>44792</v>
      </c>
      <c r="C595" s="176">
        <v>7.0702471733093262</v>
      </c>
      <c r="D595" s="180">
        <f t="shared" si="18"/>
        <v>0</v>
      </c>
      <c r="F595" s="181">
        <v>44792</v>
      </c>
      <c r="G595" s="182">
        <v>17758.44921875</v>
      </c>
      <c r="H595" s="183">
        <f t="shared" si="19"/>
        <v>-1.1029475746944004E-2</v>
      </c>
    </row>
    <row r="596" spans="2:8">
      <c r="B596" s="175">
        <v>44795</v>
      </c>
      <c r="C596" s="176">
        <v>7.8966398239135742</v>
      </c>
      <c r="D596" s="180">
        <f t="shared" si="18"/>
        <v>0.11688313440072332</v>
      </c>
      <c r="F596" s="184">
        <v>44795</v>
      </c>
      <c r="G596" s="185">
        <v>17490.69921875</v>
      </c>
      <c r="H596" s="186">
        <f t="shared" si="19"/>
        <v>-1.5077330047338822E-2</v>
      </c>
    </row>
    <row r="597" spans="2:8">
      <c r="B597" s="175">
        <v>44796</v>
      </c>
      <c r="C597" s="176">
        <v>8.2180147171020508</v>
      </c>
      <c r="D597" s="180">
        <f t="shared" si="18"/>
        <v>4.0697676525051789E-2</v>
      </c>
      <c r="F597" s="181">
        <v>44796</v>
      </c>
      <c r="G597" s="182">
        <v>17577.5</v>
      </c>
      <c r="H597" s="183">
        <f t="shared" si="19"/>
        <v>4.9626821755044369E-3</v>
      </c>
    </row>
    <row r="598" spans="2:8">
      <c r="B598" s="175">
        <v>44797</v>
      </c>
      <c r="C598" s="176">
        <v>8.0343723297119141</v>
      </c>
      <c r="D598" s="180">
        <f t="shared" si="18"/>
        <v>-2.2346320092122594E-2</v>
      </c>
      <c r="F598" s="184">
        <v>44797</v>
      </c>
      <c r="G598" s="185">
        <v>17604.94921875</v>
      </c>
      <c r="H598" s="186">
        <f t="shared" si="19"/>
        <v>1.5616110795050491E-3</v>
      </c>
    </row>
    <row r="599" spans="2:8">
      <c r="B599" s="175">
        <v>44798</v>
      </c>
      <c r="C599" s="176">
        <v>7.7589077949523926</v>
      </c>
      <c r="D599" s="180">
        <f t="shared" si="18"/>
        <v>-3.4285756678318978E-2</v>
      </c>
      <c r="F599" s="181">
        <v>44798</v>
      </c>
      <c r="G599" s="182">
        <v>17522.44921875</v>
      </c>
      <c r="H599" s="183">
        <f t="shared" si="19"/>
        <v>-4.686182219266732E-3</v>
      </c>
    </row>
    <row r="600" spans="2:8">
      <c r="B600" s="175">
        <v>44799</v>
      </c>
      <c r="C600" s="176">
        <v>7.5293540954589844</v>
      </c>
      <c r="D600" s="180">
        <f t="shared" si="18"/>
        <v>-2.9585826453917372E-2</v>
      </c>
      <c r="F600" s="184">
        <v>44799</v>
      </c>
      <c r="G600" s="185">
        <v>17558.900390625</v>
      </c>
      <c r="H600" s="186">
        <f t="shared" si="19"/>
        <v>2.0802555293466174E-3</v>
      </c>
    </row>
    <row r="601" spans="2:8">
      <c r="B601" s="175">
        <v>44802</v>
      </c>
      <c r="C601" s="176">
        <v>7.3916220664978027</v>
      </c>
      <c r="D601" s="180">
        <f t="shared" si="18"/>
        <v>-1.8292675203607302E-2</v>
      </c>
      <c r="F601" s="181">
        <v>44802</v>
      </c>
      <c r="G601" s="182">
        <v>17312.900390625</v>
      </c>
      <c r="H601" s="183">
        <f t="shared" si="19"/>
        <v>-1.400998892455382E-2</v>
      </c>
    </row>
    <row r="602" spans="2:8">
      <c r="B602" s="175">
        <v>44803</v>
      </c>
      <c r="C602" s="176">
        <v>7.5293540954589844</v>
      </c>
      <c r="D602" s="180">
        <f t="shared" si="18"/>
        <v>1.8633532358945396E-2</v>
      </c>
      <c r="F602" s="184">
        <v>44803</v>
      </c>
      <c r="G602" s="185">
        <v>17759.30078125</v>
      </c>
      <c r="H602" s="186">
        <f t="shared" si="19"/>
        <v>2.5784263789025638E-2</v>
      </c>
    </row>
    <row r="603" spans="2:8">
      <c r="B603" s="175">
        <v>44805</v>
      </c>
      <c r="C603" s="176">
        <v>8.0802822113037109</v>
      </c>
      <c r="D603" s="180">
        <f t="shared" si="18"/>
        <v>7.317070081442921E-2</v>
      </c>
      <c r="F603" s="181">
        <v>44805</v>
      </c>
      <c r="G603" s="182">
        <v>17542.80078125</v>
      </c>
      <c r="H603" s="183">
        <f t="shared" si="19"/>
        <v>-1.2190795272107639E-2</v>
      </c>
    </row>
    <row r="604" spans="2:8">
      <c r="B604" s="175">
        <v>44806</v>
      </c>
      <c r="C604" s="176">
        <v>8.0802822113037109</v>
      </c>
      <c r="D604" s="180">
        <f t="shared" si="18"/>
        <v>0</v>
      </c>
      <c r="F604" s="184">
        <v>44806</v>
      </c>
      <c r="G604" s="185">
        <v>17539.44921875</v>
      </c>
      <c r="H604" s="186">
        <f t="shared" si="19"/>
        <v>-1.9105059344812252E-4</v>
      </c>
    </row>
    <row r="605" spans="2:8">
      <c r="B605" s="175">
        <v>44809</v>
      </c>
      <c r="C605" s="176">
        <v>9.6871566772460938</v>
      </c>
      <c r="D605" s="180">
        <f t="shared" si="18"/>
        <v>0.19886365648151316</v>
      </c>
      <c r="F605" s="181">
        <v>44809</v>
      </c>
      <c r="G605" s="182">
        <v>17665.80078125</v>
      </c>
      <c r="H605" s="183">
        <f t="shared" si="19"/>
        <v>7.2038500710117975E-3</v>
      </c>
    </row>
    <row r="606" spans="2:8">
      <c r="B606" s="175">
        <v>44810</v>
      </c>
      <c r="C606" s="176">
        <v>9.8248891830444336</v>
      </c>
      <c r="D606" s="180">
        <f t="shared" si="18"/>
        <v>1.4218052870132274E-2</v>
      </c>
      <c r="F606" s="184">
        <v>44810</v>
      </c>
      <c r="G606" s="185">
        <v>17655.599609375</v>
      </c>
      <c r="H606" s="186">
        <f t="shared" si="19"/>
        <v>-5.7745312546642362E-4</v>
      </c>
    </row>
    <row r="607" spans="2:8">
      <c r="B607" s="175">
        <v>44811</v>
      </c>
      <c r="C607" s="176">
        <v>9.5953350067138672</v>
      </c>
      <c r="D607" s="180">
        <f t="shared" si="18"/>
        <v>-2.3364556286978349E-2</v>
      </c>
      <c r="F607" s="181">
        <v>44811</v>
      </c>
      <c r="G607" s="182">
        <v>17624.400390625</v>
      </c>
      <c r="H607" s="183">
        <f t="shared" si="19"/>
        <v>-1.7671004916442166E-3</v>
      </c>
    </row>
    <row r="608" spans="2:8">
      <c r="B608" s="175">
        <v>44812</v>
      </c>
      <c r="C608" s="176">
        <v>9.3198709487915039</v>
      </c>
      <c r="D608" s="180">
        <f t="shared" si="18"/>
        <v>-2.870812303370552E-2</v>
      </c>
      <c r="F608" s="184">
        <v>44812</v>
      </c>
      <c r="G608" s="185">
        <v>17798.75</v>
      </c>
      <c r="H608" s="186">
        <f t="shared" si="19"/>
        <v>9.8925129655895866E-3</v>
      </c>
    </row>
    <row r="609" spans="2:8">
      <c r="B609" s="175">
        <v>44813</v>
      </c>
      <c r="C609" s="176">
        <v>8.8148536682128906</v>
      </c>
      <c r="D609" s="180">
        <f t="shared" si="18"/>
        <v>-5.4187153808615586E-2</v>
      </c>
      <c r="F609" s="181">
        <v>44813</v>
      </c>
      <c r="G609" s="182">
        <v>17833.349609375</v>
      </c>
      <c r="H609" s="183">
        <f t="shared" si="19"/>
        <v>1.943934791769085E-3</v>
      </c>
    </row>
    <row r="610" spans="2:8">
      <c r="B610" s="175">
        <v>44816</v>
      </c>
      <c r="C610" s="176">
        <v>9.0444068908691406</v>
      </c>
      <c r="D610" s="180">
        <f t="shared" si="18"/>
        <v>2.60416373653528E-2</v>
      </c>
      <c r="F610" s="184">
        <v>44816</v>
      </c>
      <c r="G610" s="185">
        <v>17936.349609375</v>
      </c>
      <c r="H610" s="186">
        <f t="shared" si="19"/>
        <v>5.77569566324505E-3</v>
      </c>
    </row>
    <row r="611" spans="2:8">
      <c r="B611" s="175">
        <v>44817</v>
      </c>
      <c r="C611" s="176">
        <v>8.7689428329467773</v>
      </c>
      <c r="D611" s="180">
        <f t="shared" si="18"/>
        <v>-3.0456840481210595E-2</v>
      </c>
      <c r="F611" s="181">
        <v>44817</v>
      </c>
      <c r="G611" s="182">
        <v>18070.05078125</v>
      </c>
      <c r="H611" s="183">
        <f t="shared" si="19"/>
        <v>7.4542019299800475E-3</v>
      </c>
    </row>
    <row r="612" spans="2:8">
      <c r="B612" s="175">
        <v>44818</v>
      </c>
      <c r="C612" s="176">
        <v>8.4016571044921875</v>
      </c>
      <c r="D612" s="180">
        <f t="shared" si="18"/>
        <v>-4.1884835544214009E-2</v>
      </c>
      <c r="F612" s="184">
        <v>44818</v>
      </c>
      <c r="G612" s="185">
        <v>18003.75</v>
      </c>
      <c r="H612" s="186">
        <f t="shared" si="19"/>
        <v>-3.6690976717561625E-3</v>
      </c>
    </row>
    <row r="613" spans="2:8">
      <c r="B613" s="175">
        <v>44819</v>
      </c>
      <c r="C613" s="176">
        <v>8.4016571044921875</v>
      </c>
      <c r="D613" s="180">
        <f t="shared" si="18"/>
        <v>0</v>
      </c>
      <c r="F613" s="181">
        <v>44819</v>
      </c>
      <c r="G613" s="182">
        <v>17877.400390625</v>
      </c>
      <c r="H613" s="183">
        <f t="shared" si="19"/>
        <v>-7.0179606679164064E-3</v>
      </c>
    </row>
    <row r="614" spans="2:8">
      <c r="B614" s="175">
        <v>44820</v>
      </c>
      <c r="C614" s="176">
        <v>8.3098363876342773</v>
      </c>
      <c r="D614" s="180">
        <f t="shared" si="18"/>
        <v>-1.0928881733201843E-2</v>
      </c>
      <c r="F614" s="184">
        <v>44820</v>
      </c>
      <c r="G614" s="185">
        <v>17530.849609375</v>
      </c>
      <c r="H614" s="186">
        <f t="shared" si="19"/>
        <v>-1.9384853148544628E-2</v>
      </c>
    </row>
    <row r="615" spans="2:8">
      <c r="B615" s="175">
        <v>44823</v>
      </c>
      <c r="C615" s="176">
        <v>8.1261930465698242</v>
      </c>
      <c r="D615" s="180">
        <f t="shared" si="18"/>
        <v>-2.20995134558521E-2</v>
      </c>
      <c r="F615" s="181">
        <v>44823</v>
      </c>
      <c r="G615" s="182">
        <v>17622.25</v>
      </c>
      <c r="H615" s="183">
        <f t="shared" si="19"/>
        <v>5.2136885924867933E-3</v>
      </c>
    </row>
    <row r="616" spans="2:8">
      <c r="B616" s="175">
        <v>44824</v>
      </c>
      <c r="C616" s="176">
        <v>7.9425501823425293</v>
      </c>
      <c r="D616" s="180">
        <f t="shared" si="18"/>
        <v>-2.2598880333616126E-2</v>
      </c>
      <c r="F616" s="184">
        <v>44824</v>
      </c>
      <c r="G616" s="185">
        <v>17816.25</v>
      </c>
      <c r="H616" s="186">
        <f t="shared" si="19"/>
        <v>1.1008809885230319E-2</v>
      </c>
    </row>
    <row r="617" spans="2:8">
      <c r="B617" s="175">
        <v>44825</v>
      </c>
      <c r="C617" s="176">
        <v>7.8507289886474609</v>
      </c>
      <c r="D617" s="180">
        <f t="shared" si="18"/>
        <v>-1.1560669002658685E-2</v>
      </c>
      <c r="F617" s="181">
        <v>44825</v>
      </c>
      <c r="G617" s="182">
        <v>17718.349609375</v>
      </c>
      <c r="H617" s="183">
        <f t="shared" si="19"/>
        <v>-5.4950054374517648E-3</v>
      </c>
    </row>
    <row r="618" spans="2:8">
      <c r="B618" s="175">
        <v>44826</v>
      </c>
      <c r="C618" s="176">
        <v>8.8148536682128906</v>
      </c>
      <c r="D618" s="180">
        <f t="shared" si="18"/>
        <v>0.12280702606848373</v>
      </c>
      <c r="F618" s="184">
        <v>44826</v>
      </c>
      <c r="G618" s="185">
        <v>17629.80078125</v>
      </c>
      <c r="H618" s="186">
        <f t="shared" si="19"/>
        <v>-4.9975776569025207E-3</v>
      </c>
    </row>
    <row r="619" spans="2:8">
      <c r="B619" s="175">
        <v>44827</v>
      </c>
      <c r="C619" s="176">
        <v>8.3557472229003906</v>
      </c>
      <c r="D619" s="180">
        <f t="shared" si="18"/>
        <v>-5.2083274730705599E-2</v>
      </c>
      <c r="F619" s="181">
        <v>44827</v>
      </c>
      <c r="G619" s="182">
        <v>17327.349609375</v>
      </c>
      <c r="H619" s="183">
        <f t="shared" si="19"/>
        <v>-1.7155677232420515E-2</v>
      </c>
    </row>
    <row r="620" spans="2:8">
      <c r="B620" s="175">
        <v>44830</v>
      </c>
      <c r="C620" s="176">
        <v>7.8507289886474609</v>
      </c>
      <c r="D620" s="180">
        <f t="shared" si="18"/>
        <v>-6.0439625658952278E-2</v>
      </c>
      <c r="F620" s="184">
        <v>44830</v>
      </c>
      <c r="G620" s="185">
        <v>17016.30078125</v>
      </c>
      <c r="H620" s="186">
        <f t="shared" si="19"/>
        <v>-1.7951321762256493E-2</v>
      </c>
    </row>
    <row r="621" spans="2:8">
      <c r="B621" s="175">
        <v>44831</v>
      </c>
      <c r="C621" s="176">
        <v>7.667086124420166</v>
      </c>
      <c r="D621" s="180">
        <f t="shared" si="18"/>
        <v>-2.3391823166084513E-2</v>
      </c>
      <c r="F621" s="181">
        <v>44831</v>
      </c>
      <c r="G621" s="182">
        <v>17007.400390625</v>
      </c>
      <c r="H621" s="183">
        <f t="shared" si="19"/>
        <v>-5.2305085220444639E-4</v>
      </c>
    </row>
    <row r="622" spans="2:8">
      <c r="B622" s="175">
        <v>44832</v>
      </c>
      <c r="C622" s="176">
        <v>7.437532901763916</v>
      </c>
      <c r="D622" s="180">
        <f t="shared" si="18"/>
        <v>-2.9940086615840678E-2</v>
      </c>
      <c r="F622" s="184">
        <v>44832</v>
      </c>
      <c r="G622" s="185">
        <v>16858.599609375</v>
      </c>
      <c r="H622" s="186">
        <f t="shared" si="19"/>
        <v>-8.7491784653946029E-3</v>
      </c>
    </row>
    <row r="623" spans="2:8">
      <c r="B623" s="175">
        <v>44833</v>
      </c>
      <c r="C623" s="176">
        <v>7.7589077949523926</v>
      </c>
      <c r="D623" s="180">
        <f t="shared" si="18"/>
        <v>4.3209878521983811E-2</v>
      </c>
      <c r="F623" s="181">
        <v>44833</v>
      </c>
      <c r="G623" s="182">
        <v>16818.099609375</v>
      </c>
      <c r="H623" s="183">
        <f t="shared" si="19"/>
        <v>-2.4023347691037229E-3</v>
      </c>
    </row>
    <row r="624" spans="2:8">
      <c r="B624" s="175">
        <v>44834</v>
      </c>
      <c r="C624" s="176">
        <v>7.9884610176086426</v>
      </c>
      <c r="D624" s="180">
        <f t="shared" si="18"/>
        <v>2.9585764997180058E-2</v>
      </c>
      <c r="F624" s="184">
        <v>44834</v>
      </c>
      <c r="G624" s="185">
        <v>17094.349609375</v>
      </c>
      <c r="H624" s="186">
        <f t="shared" si="19"/>
        <v>1.6425755966269134E-2</v>
      </c>
    </row>
    <row r="625" spans="2:8">
      <c r="B625" s="175">
        <v>44837</v>
      </c>
      <c r="C625" s="176">
        <v>7.9000000953674316</v>
      </c>
      <c r="D625" s="180">
        <f t="shared" si="18"/>
        <v>-1.1073587521578949E-2</v>
      </c>
      <c r="F625" s="181">
        <v>44837</v>
      </c>
      <c r="G625" s="182">
        <v>16887.349609375</v>
      </c>
      <c r="H625" s="183">
        <f t="shared" si="19"/>
        <v>-1.2109264448790473E-2</v>
      </c>
    </row>
    <row r="626" spans="2:8">
      <c r="B626" s="175">
        <v>44838</v>
      </c>
      <c r="C626" s="176">
        <v>7.9000000953674316</v>
      </c>
      <c r="D626" s="180">
        <f t="shared" si="18"/>
        <v>0</v>
      </c>
      <c r="F626" s="184">
        <v>44838</v>
      </c>
      <c r="G626" s="185">
        <v>17274.30078125</v>
      </c>
      <c r="H626" s="186">
        <f t="shared" si="19"/>
        <v>2.2913670932719031E-2</v>
      </c>
    </row>
    <row r="627" spans="2:8">
      <c r="B627" s="175">
        <v>44840</v>
      </c>
      <c r="C627" s="176">
        <v>7.6500000953674316</v>
      </c>
      <c r="D627" s="180">
        <f t="shared" si="18"/>
        <v>-3.1645569238233334E-2</v>
      </c>
      <c r="F627" s="181">
        <v>44840</v>
      </c>
      <c r="G627" s="182">
        <v>17331.80078125</v>
      </c>
      <c r="H627" s="183">
        <f t="shared" si="19"/>
        <v>3.3286441360574244E-3</v>
      </c>
    </row>
    <row r="628" spans="2:8">
      <c r="B628" s="175">
        <v>44841</v>
      </c>
      <c r="C628" s="176">
        <v>7.6500000953674316</v>
      </c>
      <c r="D628" s="180">
        <f t="shared" si="18"/>
        <v>0</v>
      </c>
      <c r="F628" s="184">
        <v>44841</v>
      </c>
      <c r="G628" s="185">
        <v>17314.650390625</v>
      </c>
      <c r="H628" s="186">
        <f t="shared" si="19"/>
        <v>-9.8953310400115763E-4</v>
      </c>
    </row>
    <row r="629" spans="2:8">
      <c r="B629" s="175">
        <v>44844</v>
      </c>
      <c r="C629" s="176">
        <v>7.6500000953674316</v>
      </c>
      <c r="D629" s="180">
        <f t="shared" si="18"/>
        <v>0</v>
      </c>
      <c r="F629" s="181">
        <v>44844</v>
      </c>
      <c r="G629" s="182">
        <v>17241</v>
      </c>
      <c r="H629" s="183">
        <f t="shared" si="19"/>
        <v>-4.253645841147213E-3</v>
      </c>
    </row>
    <row r="630" spans="2:8">
      <c r="B630" s="175">
        <v>44845</v>
      </c>
      <c r="C630" s="176">
        <v>7.0999999046325684</v>
      </c>
      <c r="D630" s="180">
        <f t="shared" si="18"/>
        <v>-7.1895448872990722E-2</v>
      </c>
      <c r="F630" s="184">
        <v>44845</v>
      </c>
      <c r="G630" s="185">
        <v>16983.55078125</v>
      </c>
      <c r="H630" s="186">
        <f t="shared" si="19"/>
        <v>-1.4932383199930399E-2</v>
      </c>
    </row>
    <row r="631" spans="2:8">
      <c r="B631" s="175">
        <v>44846</v>
      </c>
      <c r="C631" s="176">
        <v>6.9499998092651367</v>
      </c>
      <c r="D631" s="180">
        <f t="shared" si="18"/>
        <v>-2.1126774279188427E-2</v>
      </c>
      <c r="F631" s="181">
        <v>44846</v>
      </c>
      <c r="G631" s="182">
        <v>17123.599609375</v>
      </c>
      <c r="H631" s="183">
        <f t="shared" si="19"/>
        <v>8.2461453396197471E-3</v>
      </c>
    </row>
    <row r="632" spans="2:8">
      <c r="B632" s="175">
        <v>44847</v>
      </c>
      <c r="C632" s="176">
        <v>6.8000001907348633</v>
      </c>
      <c r="D632" s="180">
        <f t="shared" si="18"/>
        <v>-2.1582679517531348E-2</v>
      </c>
      <c r="F632" s="184">
        <v>44847</v>
      </c>
      <c r="G632" s="185">
        <v>17014.349609375</v>
      </c>
      <c r="H632" s="186">
        <f t="shared" si="19"/>
        <v>-6.3800837728176449E-3</v>
      </c>
    </row>
    <row r="633" spans="2:8">
      <c r="B633" s="175">
        <v>44848</v>
      </c>
      <c r="C633" s="176">
        <v>6.6999998092651367</v>
      </c>
      <c r="D633" s="180">
        <f t="shared" si="18"/>
        <v>-1.4705938038939924E-2</v>
      </c>
      <c r="F633" s="181">
        <v>44848</v>
      </c>
      <c r="G633" s="182">
        <v>17185.69921875</v>
      </c>
      <c r="H633" s="183">
        <f t="shared" si="19"/>
        <v>1.0070888003887344E-2</v>
      </c>
    </row>
    <row r="634" spans="2:8">
      <c r="B634" s="175">
        <v>44851</v>
      </c>
      <c r="C634" s="176">
        <v>7.4499998092651367</v>
      </c>
      <c r="D634" s="180">
        <f t="shared" si="18"/>
        <v>0.11194030169416688</v>
      </c>
      <c r="F634" s="184">
        <v>44851</v>
      </c>
      <c r="G634" s="185">
        <v>17311.80078125</v>
      </c>
      <c r="H634" s="186">
        <f t="shared" si="19"/>
        <v>7.3375869608156676E-3</v>
      </c>
    </row>
    <row r="635" spans="2:8">
      <c r="B635" s="175">
        <v>44852</v>
      </c>
      <c r="C635" s="176">
        <v>7.75</v>
      </c>
      <c r="D635" s="180">
        <f t="shared" si="18"/>
        <v>4.0268483008787499E-2</v>
      </c>
      <c r="F635" s="181">
        <v>44852</v>
      </c>
      <c r="G635" s="182">
        <v>17486.94921875</v>
      </c>
      <c r="H635" s="183">
        <f t="shared" si="19"/>
        <v>1.0117285874136163E-2</v>
      </c>
    </row>
    <row r="636" spans="2:8">
      <c r="B636" s="175">
        <v>44853</v>
      </c>
      <c r="C636" s="176">
        <v>9.25</v>
      </c>
      <c r="D636" s="180">
        <f t="shared" si="18"/>
        <v>0.19354838709677419</v>
      </c>
      <c r="F636" s="184">
        <v>44853</v>
      </c>
      <c r="G636" s="185">
        <v>17512.25</v>
      </c>
      <c r="H636" s="186">
        <f t="shared" si="19"/>
        <v>1.4468379208691124E-3</v>
      </c>
    </row>
    <row r="637" spans="2:8">
      <c r="B637" s="175">
        <v>44854</v>
      </c>
      <c r="C637" s="176">
        <v>8.8999996185302734</v>
      </c>
      <c r="D637" s="180">
        <f t="shared" si="18"/>
        <v>-3.7837879077808279E-2</v>
      </c>
      <c r="F637" s="181">
        <v>44854</v>
      </c>
      <c r="G637" s="182">
        <v>17563.94921875</v>
      </c>
      <c r="H637" s="183">
        <f t="shared" si="19"/>
        <v>2.9521745492441004E-3</v>
      </c>
    </row>
    <row r="638" spans="2:8">
      <c r="B638" s="175">
        <v>44855</v>
      </c>
      <c r="C638" s="176">
        <v>8.6499996185302734</v>
      </c>
      <c r="D638" s="180">
        <f t="shared" si="18"/>
        <v>-2.8089888844431709E-2</v>
      </c>
      <c r="F638" s="184">
        <v>44855</v>
      </c>
      <c r="G638" s="185">
        <v>17576.30078125</v>
      </c>
      <c r="H638" s="186">
        <f t="shared" si="19"/>
        <v>7.0323378564624668E-4</v>
      </c>
    </row>
    <row r="639" spans="2:8">
      <c r="B639" s="175">
        <v>44858</v>
      </c>
      <c r="C639" s="176">
        <v>8.8000001907348633</v>
      </c>
      <c r="D639" s="180">
        <f t="shared" si="18"/>
        <v>1.7341107377999692E-2</v>
      </c>
      <c r="F639" s="181">
        <v>44858</v>
      </c>
      <c r="G639" s="182">
        <v>17730.75</v>
      </c>
      <c r="H639" s="183">
        <f t="shared" si="19"/>
        <v>8.7873563767617655E-3</v>
      </c>
    </row>
    <row r="640" spans="2:8">
      <c r="B640" s="175">
        <v>44859</v>
      </c>
      <c r="C640" s="176">
        <v>8.3999996185302734</v>
      </c>
      <c r="D640" s="180">
        <f t="shared" si="18"/>
        <v>-4.5454609492592175E-2</v>
      </c>
      <c r="F640" s="184">
        <v>44859</v>
      </c>
      <c r="G640" s="185">
        <v>17656.349609375</v>
      </c>
      <c r="H640" s="186">
        <f t="shared" si="19"/>
        <v>-4.1961220267050185E-3</v>
      </c>
    </row>
    <row r="641" spans="2:8">
      <c r="B641" s="175">
        <v>44861</v>
      </c>
      <c r="C641" s="176">
        <v>8.1499996185302734</v>
      </c>
      <c r="D641" s="180">
        <f t="shared" si="18"/>
        <v>-2.9761906113484071E-2</v>
      </c>
      <c r="F641" s="181">
        <v>44861</v>
      </c>
      <c r="G641" s="182">
        <v>17736.94921875</v>
      </c>
      <c r="H641" s="183">
        <f t="shared" si="19"/>
        <v>4.5649078749666347E-3</v>
      </c>
    </row>
    <row r="642" spans="2:8">
      <c r="B642" s="175">
        <v>44862</v>
      </c>
      <c r="C642" s="176">
        <v>8.1000003814697266</v>
      </c>
      <c r="D642" s="180">
        <f t="shared" si="18"/>
        <v>-6.1348760001001647E-3</v>
      </c>
      <c r="F642" s="184">
        <v>44862</v>
      </c>
      <c r="G642" s="185">
        <v>17786.80078125</v>
      </c>
      <c r="H642" s="186">
        <f t="shared" si="19"/>
        <v>2.8106052447453111E-3</v>
      </c>
    </row>
    <row r="643" spans="2:8">
      <c r="B643" s="175">
        <v>44865</v>
      </c>
      <c r="C643" s="176">
        <v>7.9499998092651367</v>
      </c>
      <c r="D643" s="180">
        <f t="shared" si="18"/>
        <v>-1.8518588288927041E-2</v>
      </c>
      <c r="F643" s="181">
        <v>44865</v>
      </c>
      <c r="G643" s="182">
        <v>18012.19921875</v>
      </c>
      <c r="H643" s="183">
        <f t="shared" si="19"/>
        <v>1.2672230395564126E-2</v>
      </c>
    </row>
    <row r="644" spans="2:8">
      <c r="B644" s="175">
        <v>44866</v>
      </c>
      <c r="C644" s="176">
        <v>8.1999998092651367</v>
      </c>
      <c r="D644" s="180">
        <f t="shared" si="18"/>
        <v>3.1446541634962494E-2</v>
      </c>
      <c r="F644" s="184">
        <v>44866</v>
      </c>
      <c r="G644" s="185">
        <v>18145.400390625</v>
      </c>
      <c r="H644" s="186">
        <f t="shared" si="19"/>
        <v>7.3950532223928962E-3</v>
      </c>
    </row>
    <row r="645" spans="2:8">
      <c r="B645" s="175">
        <v>44867</v>
      </c>
      <c r="C645" s="176">
        <v>8</v>
      </c>
      <c r="D645" s="180">
        <f t="shared" ref="D645:D708" si="20">(C645-C644)/C644</f>
        <v>-2.4390221209414906E-2</v>
      </c>
      <c r="F645" s="181">
        <v>44867</v>
      </c>
      <c r="G645" s="182">
        <v>18082.849609375</v>
      </c>
      <c r="H645" s="183">
        <f t="shared" ref="H645:H708" si="21">(G645-G644)/G644</f>
        <v>-3.4471976315450983E-3</v>
      </c>
    </row>
    <row r="646" spans="2:8">
      <c r="B646" s="175">
        <v>44868</v>
      </c>
      <c r="C646" s="176">
        <v>8.0500001907348633</v>
      </c>
      <c r="D646" s="180">
        <f t="shared" si="20"/>
        <v>6.2500238418579102E-3</v>
      </c>
      <c r="F646" s="184">
        <v>44868</v>
      </c>
      <c r="G646" s="185">
        <v>18052.69921875</v>
      </c>
      <c r="H646" s="186">
        <f t="shared" si="21"/>
        <v>-1.6673473084335456E-3</v>
      </c>
    </row>
    <row r="647" spans="2:8">
      <c r="B647" s="175">
        <v>44869</v>
      </c>
      <c r="C647" s="176">
        <v>8.1499996185302734</v>
      </c>
      <c r="D647" s="180">
        <f t="shared" si="20"/>
        <v>1.2422288872800818E-2</v>
      </c>
      <c r="F647" s="181">
        <v>44869</v>
      </c>
      <c r="G647" s="182">
        <v>18117.150390625</v>
      </c>
      <c r="H647" s="183">
        <f t="shared" si="21"/>
        <v>3.5701681556882833E-3</v>
      </c>
    </row>
    <row r="648" spans="2:8">
      <c r="B648" s="175">
        <v>44872</v>
      </c>
      <c r="C648" s="176">
        <v>8.1499996185302734</v>
      </c>
      <c r="D648" s="180">
        <f t="shared" si="20"/>
        <v>0</v>
      </c>
      <c r="F648" s="184">
        <v>44872</v>
      </c>
      <c r="G648" s="185">
        <v>18202.80078125</v>
      </c>
      <c r="H648" s="186">
        <f t="shared" si="21"/>
        <v>4.7275862251119315E-3</v>
      </c>
    </row>
    <row r="649" spans="2:8">
      <c r="B649" s="175">
        <v>44874</v>
      </c>
      <c r="C649" s="176">
        <v>8.25</v>
      </c>
      <c r="D649" s="180">
        <f t="shared" si="20"/>
        <v>1.2269986030718378E-2</v>
      </c>
      <c r="F649" s="181">
        <v>44874</v>
      </c>
      <c r="G649" s="182">
        <v>18157</v>
      </c>
      <c r="H649" s="183">
        <f t="shared" si="21"/>
        <v>-2.5161392359563488E-3</v>
      </c>
    </row>
    <row r="650" spans="2:8">
      <c r="B650" s="175">
        <v>44875</v>
      </c>
      <c r="C650" s="176">
        <v>8.3000001907348633</v>
      </c>
      <c r="D650" s="180">
        <f t="shared" si="20"/>
        <v>6.060629179983428E-3</v>
      </c>
      <c r="F650" s="184">
        <v>44875</v>
      </c>
      <c r="G650" s="185">
        <v>18028.19921875</v>
      </c>
      <c r="H650" s="186">
        <f t="shared" si="21"/>
        <v>-7.093725904609792E-3</v>
      </c>
    </row>
    <row r="651" spans="2:8">
      <c r="B651" s="175">
        <v>44876</v>
      </c>
      <c r="C651" s="176">
        <v>8.1999998092651367</v>
      </c>
      <c r="D651" s="180">
        <f t="shared" si="20"/>
        <v>-1.2048238454422584E-2</v>
      </c>
      <c r="F651" s="181">
        <v>44876</v>
      </c>
      <c r="G651" s="182">
        <v>18349.69921875</v>
      </c>
      <c r="H651" s="183">
        <f t="shared" si="21"/>
        <v>1.7833173247033349E-2</v>
      </c>
    </row>
    <row r="652" spans="2:8">
      <c r="B652" s="175">
        <v>44879</v>
      </c>
      <c r="C652" s="176">
        <v>8.25</v>
      </c>
      <c r="D652" s="180">
        <f t="shared" si="20"/>
        <v>6.097584377790879E-3</v>
      </c>
      <c r="F652" s="184">
        <v>44879</v>
      </c>
      <c r="G652" s="185">
        <v>18329.150390625</v>
      </c>
      <c r="H652" s="186">
        <f t="shared" si="21"/>
        <v>-1.1198455015547556E-3</v>
      </c>
    </row>
    <row r="653" spans="2:8">
      <c r="B653" s="175">
        <v>44880</v>
      </c>
      <c r="C653" s="176">
        <v>8.1999998092651367</v>
      </c>
      <c r="D653" s="180">
        <f t="shared" si="20"/>
        <v>-6.060629179983428E-3</v>
      </c>
      <c r="F653" s="181">
        <v>44880</v>
      </c>
      <c r="G653" s="182">
        <v>18403.400390625</v>
      </c>
      <c r="H653" s="183">
        <f t="shared" si="21"/>
        <v>4.0509242609508738E-3</v>
      </c>
    </row>
    <row r="654" spans="2:8">
      <c r="B654" s="175">
        <v>44881</v>
      </c>
      <c r="C654" s="176">
        <v>8.1000003814697266</v>
      </c>
      <c r="D654" s="180">
        <f t="shared" si="20"/>
        <v>-1.2195052453833148E-2</v>
      </c>
      <c r="F654" s="184">
        <v>44881</v>
      </c>
      <c r="G654" s="185">
        <v>18409.650390625</v>
      </c>
      <c r="H654" s="186">
        <f t="shared" si="21"/>
        <v>3.3961115159912808E-4</v>
      </c>
    </row>
    <row r="655" spans="2:8">
      <c r="B655" s="175">
        <v>44882</v>
      </c>
      <c r="C655" s="176">
        <v>8</v>
      </c>
      <c r="D655" s="180">
        <f t="shared" si="20"/>
        <v>-1.2345725525951361E-2</v>
      </c>
      <c r="F655" s="181">
        <v>44882</v>
      </c>
      <c r="G655" s="182">
        <v>18343.900390625</v>
      </c>
      <c r="H655" s="183">
        <f t="shared" si="21"/>
        <v>-3.5714963948192506E-3</v>
      </c>
    </row>
    <row r="656" spans="2:8">
      <c r="B656" s="175">
        <v>44883</v>
      </c>
      <c r="C656" s="176">
        <v>8.1000003814697266</v>
      </c>
      <c r="D656" s="180">
        <f t="shared" si="20"/>
        <v>1.250004768371582E-2</v>
      </c>
      <c r="F656" s="184">
        <v>44883</v>
      </c>
      <c r="G656" s="185">
        <v>18307.650390625</v>
      </c>
      <c r="H656" s="186">
        <f t="shared" si="21"/>
        <v>-1.9761337135545203E-3</v>
      </c>
    </row>
    <row r="657" spans="2:8">
      <c r="B657" s="175">
        <v>44886</v>
      </c>
      <c r="C657" s="176">
        <v>8.0500001907348633</v>
      </c>
      <c r="D657" s="180">
        <f t="shared" si="20"/>
        <v>-6.1728627629756803E-3</v>
      </c>
      <c r="F657" s="181">
        <v>44886</v>
      </c>
      <c r="G657" s="182">
        <v>18159.94921875</v>
      </c>
      <c r="H657" s="183">
        <f t="shared" si="21"/>
        <v>-8.0677295405769262E-3</v>
      </c>
    </row>
    <row r="658" spans="2:8">
      <c r="B658" s="175">
        <v>44887</v>
      </c>
      <c r="C658" s="176">
        <v>8</v>
      </c>
      <c r="D658" s="180">
        <f t="shared" si="20"/>
        <v>-6.211203670828596E-3</v>
      </c>
      <c r="F658" s="184">
        <v>44887</v>
      </c>
      <c r="G658" s="185">
        <v>18244.19921875</v>
      </c>
      <c r="H658" s="186">
        <f t="shared" si="21"/>
        <v>4.6393301536885668E-3</v>
      </c>
    </row>
    <row r="659" spans="2:8">
      <c r="B659" s="175">
        <v>44888</v>
      </c>
      <c r="C659" s="176">
        <v>7.9000000953674316</v>
      </c>
      <c r="D659" s="180">
        <f t="shared" si="20"/>
        <v>-1.2499988079071045E-2</v>
      </c>
      <c r="F659" s="181">
        <v>44888</v>
      </c>
      <c r="G659" s="182">
        <v>18267.25</v>
      </c>
      <c r="H659" s="183">
        <f t="shared" si="21"/>
        <v>1.2634580983039343E-3</v>
      </c>
    </row>
    <row r="660" spans="2:8">
      <c r="B660" s="175">
        <v>44889</v>
      </c>
      <c r="C660" s="176">
        <v>7.9000000953674316</v>
      </c>
      <c r="D660" s="180">
        <f t="shared" si="20"/>
        <v>0</v>
      </c>
      <c r="F660" s="184">
        <v>44889</v>
      </c>
      <c r="G660" s="185">
        <v>18484.099609375</v>
      </c>
      <c r="H660" s="186">
        <f t="shared" si="21"/>
        <v>1.1870949889830161E-2</v>
      </c>
    </row>
    <row r="661" spans="2:8">
      <c r="B661" s="175">
        <v>44890</v>
      </c>
      <c r="C661" s="176">
        <v>8.4499998092651367</v>
      </c>
      <c r="D661" s="180">
        <f t="shared" si="20"/>
        <v>6.9620216108633406E-2</v>
      </c>
      <c r="F661" s="181">
        <v>44890</v>
      </c>
      <c r="G661" s="182">
        <v>18512.75</v>
      </c>
      <c r="H661" s="183">
        <f t="shared" si="21"/>
        <v>1.5500019600883741E-3</v>
      </c>
    </row>
    <row r="662" spans="2:8">
      <c r="B662" s="175">
        <v>44893</v>
      </c>
      <c r="C662" s="176">
        <v>8.8000001907348633</v>
      </c>
      <c r="D662" s="180">
        <f t="shared" si="20"/>
        <v>4.142016442248473E-2</v>
      </c>
      <c r="F662" s="184">
        <v>44893</v>
      </c>
      <c r="G662" s="185">
        <v>18562.75</v>
      </c>
      <c r="H662" s="186">
        <f t="shared" si="21"/>
        <v>2.7008413120687092E-3</v>
      </c>
    </row>
    <row r="663" spans="2:8">
      <c r="B663" s="175">
        <v>44894</v>
      </c>
      <c r="C663" s="176">
        <v>8.75</v>
      </c>
      <c r="D663" s="180">
        <f t="shared" si="20"/>
        <v>-5.6818397330839045E-3</v>
      </c>
      <c r="F663" s="181">
        <v>44894</v>
      </c>
      <c r="G663" s="182">
        <v>18618.05078125</v>
      </c>
      <c r="H663" s="183">
        <f t="shared" si="21"/>
        <v>2.9791265437502526E-3</v>
      </c>
    </row>
    <row r="664" spans="2:8">
      <c r="B664" s="175">
        <v>44895</v>
      </c>
      <c r="C664" s="176">
        <v>9.25</v>
      </c>
      <c r="D664" s="180">
        <f t="shared" si="20"/>
        <v>5.7142857142857141E-2</v>
      </c>
      <c r="F664" s="184">
        <v>44895</v>
      </c>
      <c r="G664" s="185">
        <v>18758.349609375</v>
      </c>
      <c r="H664" s="186">
        <f t="shared" si="21"/>
        <v>7.5356346254191742E-3</v>
      </c>
    </row>
    <row r="665" spans="2:8">
      <c r="B665" s="175">
        <v>44896</v>
      </c>
      <c r="C665" s="176">
        <v>9.0500001907348633</v>
      </c>
      <c r="D665" s="180">
        <f t="shared" si="20"/>
        <v>-2.1621601001636404E-2</v>
      </c>
      <c r="F665" s="181">
        <v>44896</v>
      </c>
      <c r="G665" s="182">
        <v>18812.5</v>
      </c>
      <c r="H665" s="183">
        <f t="shared" si="21"/>
        <v>2.8867353340049093E-3</v>
      </c>
    </row>
    <row r="666" spans="2:8">
      <c r="B666" s="175">
        <v>44897</v>
      </c>
      <c r="C666" s="176">
        <v>9.4499998092651367</v>
      </c>
      <c r="D666" s="180">
        <f t="shared" si="20"/>
        <v>4.4198851944752648E-2</v>
      </c>
      <c r="F666" s="184">
        <v>44897</v>
      </c>
      <c r="G666" s="185">
        <v>18696.099609375</v>
      </c>
      <c r="H666" s="186">
        <f t="shared" si="21"/>
        <v>-6.1873961794019936E-3</v>
      </c>
    </row>
    <row r="667" spans="2:8">
      <c r="B667" s="175">
        <v>44900</v>
      </c>
      <c r="C667" s="176">
        <v>10</v>
      </c>
      <c r="D667" s="180">
        <f t="shared" si="20"/>
        <v>5.820107955934796E-2</v>
      </c>
      <c r="F667" s="181">
        <v>44900</v>
      </c>
      <c r="G667" s="182">
        <v>18701.05078125</v>
      </c>
      <c r="H667" s="183">
        <f t="shared" si="21"/>
        <v>2.6482378562624241E-4</v>
      </c>
    </row>
    <row r="668" spans="2:8">
      <c r="B668" s="175">
        <v>44901</v>
      </c>
      <c r="C668" s="176">
        <v>10.19999980926514</v>
      </c>
      <c r="D668" s="180">
        <f t="shared" si="20"/>
        <v>1.9999980926514026E-2</v>
      </c>
      <c r="F668" s="184">
        <v>44901</v>
      </c>
      <c r="G668" s="185">
        <v>18642.75</v>
      </c>
      <c r="H668" s="186">
        <f t="shared" si="21"/>
        <v>-3.1175136590962781E-3</v>
      </c>
    </row>
    <row r="669" spans="2:8">
      <c r="B669" s="175">
        <v>44902</v>
      </c>
      <c r="C669" s="176">
        <v>9.8500003814697266</v>
      </c>
      <c r="D669" s="180">
        <f t="shared" si="20"/>
        <v>-3.4313670033355566E-2</v>
      </c>
      <c r="F669" s="181">
        <v>44902</v>
      </c>
      <c r="G669" s="182">
        <v>18560.5</v>
      </c>
      <c r="H669" s="183">
        <f t="shared" si="21"/>
        <v>-4.4119027503989484E-3</v>
      </c>
    </row>
    <row r="670" spans="2:8">
      <c r="B670" s="175">
        <v>44903</v>
      </c>
      <c r="C670" s="176">
        <v>9.8000001907348633</v>
      </c>
      <c r="D670" s="180">
        <f t="shared" si="20"/>
        <v>-5.0761612993361844E-3</v>
      </c>
      <c r="F670" s="184">
        <v>44903</v>
      </c>
      <c r="G670" s="185">
        <v>18609.349609375</v>
      </c>
      <c r="H670" s="186">
        <f t="shared" si="21"/>
        <v>2.6319123609277765E-3</v>
      </c>
    </row>
    <row r="671" spans="2:8">
      <c r="B671" s="175">
        <v>44904</v>
      </c>
      <c r="C671" s="176">
        <v>9.3000001907348633</v>
      </c>
      <c r="D671" s="180">
        <f t="shared" si="20"/>
        <v>-5.1020407170268331E-2</v>
      </c>
      <c r="F671" s="181">
        <v>44904</v>
      </c>
      <c r="G671" s="182">
        <v>18496.599609375</v>
      </c>
      <c r="H671" s="183">
        <f t="shared" si="21"/>
        <v>-6.058782405979353E-3</v>
      </c>
    </row>
    <row r="672" spans="2:8">
      <c r="B672" s="175">
        <v>44907</v>
      </c>
      <c r="C672" s="176">
        <v>10.25</v>
      </c>
      <c r="D672" s="180">
        <f t="shared" si="20"/>
        <v>0.10215051503026583</v>
      </c>
      <c r="F672" s="184">
        <v>44907</v>
      </c>
      <c r="G672" s="185">
        <v>18497.150390625</v>
      </c>
      <c r="H672" s="186">
        <f t="shared" si="21"/>
        <v>2.9777432697458433E-5</v>
      </c>
    </row>
    <row r="673" spans="2:8">
      <c r="B673" s="175">
        <v>44908</v>
      </c>
      <c r="C673" s="176">
        <v>10.10000038146973</v>
      </c>
      <c r="D673" s="180">
        <f t="shared" si="20"/>
        <v>-1.463410912490438E-2</v>
      </c>
      <c r="F673" s="181">
        <v>44908</v>
      </c>
      <c r="G673" s="182">
        <v>18608</v>
      </c>
      <c r="H673" s="183">
        <f t="shared" si="21"/>
        <v>5.9927938646799584E-3</v>
      </c>
    </row>
    <row r="674" spans="2:8">
      <c r="B674" s="175">
        <v>44909</v>
      </c>
      <c r="C674" s="176">
        <v>10.89999961853027</v>
      </c>
      <c r="D674" s="180">
        <f t="shared" si="20"/>
        <v>7.9207842261895603E-2</v>
      </c>
      <c r="F674" s="184">
        <v>44909</v>
      </c>
      <c r="G674" s="185">
        <v>18660.30078125</v>
      </c>
      <c r="H674" s="186">
        <f t="shared" si="21"/>
        <v>2.8106610731943251E-3</v>
      </c>
    </row>
    <row r="675" spans="2:8">
      <c r="B675" s="175">
        <v>44910</v>
      </c>
      <c r="C675" s="176">
        <v>10.94999980926514</v>
      </c>
      <c r="D675" s="180">
        <f t="shared" si="20"/>
        <v>4.5871736224530526E-3</v>
      </c>
      <c r="F675" s="181">
        <v>44910</v>
      </c>
      <c r="G675" s="182">
        <v>18414.900390625</v>
      </c>
      <c r="H675" s="183">
        <f t="shared" si="21"/>
        <v>-1.3150934355333651E-2</v>
      </c>
    </row>
    <row r="676" spans="2:8">
      <c r="B676" s="175">
        <v>44911</v>
      </c>
      <c r="C676" s="176">
        <v>10.75</v>
      </c>
      <c r="D676" s="180">
        <f t="shared" si="20"/>
        <v>-1.8264823082089383E-2</v>
      </c>
      <c r="F676" s="184">
        <v>44911</v>
      </c>
      <c r="G676" s="185">
        <v>18269</v>
      </c>
      <c r="H676" s="186">
        <f t="shared" si="21"/>
        <v>-7.9229530179418008E-3</v>
      </c>
    </row>
    <row r="677" spans="2:8">
      <c r="B677" s="175">
        <v>44914</v>
      </c>
      <c r="C677" s="176">
        <v>11.64999961853027</v>
      </c>
      <c r="D677" s="180">
        <f t="shared" si="20"/>
        <v>8.3720894747001853E-2</v>
      </c>
      <c r="F677" s="181">
        <v>44914</v>
      </c>
      <c r="G677" s="182">
        <v>18420.44921875</v>
      </c>
      <c r="H677" s="183">
        <f t="shared" si="21"/>
        <v>8.2899566889265974E-3</v>
      </c>
    </row>
    <row r="678" spans="2:8">
      <c r="B678" s="175">
        <v>44915</v>
      </c>
      <c r="C678" s="176">
        <v>11.5</v>
      </c>
      <c r="D678" s="180">
        <f t="shared" si="20"/>
        <v>-1.2875504158101715E-2</v>
      </c>
      <c r="F678" s="184">
        <v>44915</v>
      </c>
      <c r="G678" s="185">
        <v>18385.30078125</v>
      </c>
      <c r="H678" s="186">
        <f t="shared" si="21"/>
        <v>-1.9081205394395452E-3</v>
      </c>
    </row>
    <row r="679" spans="2:8">
      <c r="B679" s="175">
        <v>44916</v>
      </c>
      <c r="C679" s="176">
        <v>10.19999980926514</v>
      </c>
      <c r="D679" s="180">
        <f t="shared" si="20"/>
        <v>-0.11304349484650954</v>
      </c>
      <c r="F679" s="181">
        <v>44916</v>
      </c>
      <c r="G679" s="182">
        <v>18199.099609375</v>
      </c>
      <c r="H679" s="183">
        <f t="shared" si="21"/>
        <v>-1.012771964355866E-2</v>
      </c>
    </row>
    <row r="680" spans="2:8">
      <c r="B680" s="175">
        <v>44917</v>
      </c>
      <c r="C680" s="176">
        <v>9.9499998092651367</v>
      </c>
      <c r="D680" s="180">
        <f t="shared" si="20"/>
        <v>-2.4509804379889966E-2</v>
      </c>
      <c r="F680" s="184">
        <v>44917</v>
      </c>
      <c r="G680" s="185">
        <v>18127.349609375</v>
      </c>
      <c r="H680" s="186">
        <f t="shared" si="21"/>
        <v>-3.9425027358517802E-3</v>
      </c>
    </row>
    <row r="681" spans="2:8">
      <c r="B681" s="175">
        <v>44918</v>
      </c>
      <c r="C681" s="176">
        <v>9</v>
      </c>
      <c r="D681" s="180">
        <f t="shared" si="20"/>
        <v>-9.5477369595577871E-2</v>
      </c>
      <c r="F681" s="181">
        <v>44918</v>
      </c>
      <c r="G681" s="182">
        <v>17806.80078125</v>
      </c>
      <c r="H681" s="183">
        <f t="shared" si="21"/>
        <v>-1.7683160254117921E-2</v>
      </c>
    </row>
    <row r="682" spans="2:8">
      <c r="B682" s="175">
        <v>44921</v>
      </c>
      <c r="C682" s="176">
        <v>9.8000001907348633</v>
      </c>
      <c r="D682" s="180">
        <f t="shared" si="20"/>
        <v>8.8888910081651479E-2</v>
      </c>
      <c r="F682" s="184">
        <v>44921</v>
      </c>
      <c r="G682" s="185">
        <v>18014.599609375</v>
      </c>
      <c r="H682" s="186">
        <f t="shared" si="21"/>
        <v>1.1669632893506936E-2</v>
      </c>
    </row>
    <row r="683" spans="2:8">
      <c r="B683" s="175">
        <v>44922</v>
      </c>
      <c r="C683" s="176">
        <v>10.19999980926514</v>
      </c>
      <c r="D683" s="180">
        <f t="shared" si="20"/>
        <v>4.0816286810733481E-2</v>
      </c>
      <c r="F683" s="181">
        <v>44922</v>
      </c>
      <c r="G683" s="182">
        <v>18132.30078125</v>
      </c>
      <c r="H683" s="183">
        <f t="shared" si="21"/>
        <v>6.533654614990554E-3</v>
      </c>
    </row>
    <row r="684" spans="2:8">
      <c r="B684" s="175">
        <v>44923</v>
      </c>
      <c r="C684" s="176">
        <v>10.05000019073486</v>
      </c>
      <c r="D684" s="180">
        <f t="shared" si="20"/>
        <v>-1.4705845228940967E-2</v>
      </c>
      <c r="F684" s="184">
        <v>44923</v>
      </c>
      <c r="G684" s="185">
        <v>18122.5</v>
      </c>
      <c r="H684" s="186">
        <f t="shared" si="21"/>
        <v>-5.405150382313676E-4</v>
      </c>
    </row>
    <row r="685" spans="2:8">
      <c r="B685" s="175">
        <v>44924</v>
      </c>
      <c r="C685" s="176">
        <v>10.14999961853027</v>
      </c>
      <c r="D685" s="180">
        <f t="shared" si="20"/>
        <v>9.9501916315981841E-3</v>
      </c>
      <c r="F685" s="181">
        <v>44924</v>
      </c>
      <c r="G685" s="182">
        <v>18191</v>
      </c>
      <c r="H685" s="183">
        <f t="shared" si="21"/>
        <v>3.7798317009242652E-3</v>
      </c>
    </row>
    <row r="686" spans="2:8">
      <c r="B686" s="175">
        <v>44925</v>
      </c>
      <c r="C686" s="176">
        <v>10.60000038146973</v>
      </c>
      <c r="D686" s="180">
        <f t="shared" si="20"/>
        <v>4.4335052202161641E-2</v>
      </c>
      <c r="F686" s="184">
        <v>44925</v>
      </c>
      <c r="G686" s="185">
        <v>18105.30078125</v>
      </c>
      <c r="H686" s="186">
        <f t="shared" si="21"/>
        <v>-4.7110779368918698E-3</v>
      </c>
    </row>
    <row r="687" spans="2:8">
      <c r="B687" s="175">
        <v>44928</v>
      </c>
      <c r="C687" s="176">
        <v>10.69999980926514</v>
      </c>
      <c r="D687" s="180">
        <f t="shared" si="20"/>
        <v>9.4339079430811167E-3</v>
      </c>
      <c r="F687" s="181">
        <v>44928</v>
      </c>
      <c r="G687" s="182">
        <v>18197.44921875</v>
      </c>
      <c r="H687" s="183">
        <f t="shared" si="21"/>
        <v>5.0895833553579895E-3</v>
      </c>
    </row>
    <row r="688" spans="2:8">
      <c r="B688" s="175">
        <v>44929</v>
      </c>
      <c r="C688" s="176">
        <v>10.75</v>
      </c>
      <c r="D688" s="180">
        <f t="shared" si="20"/>
        <v>4.6729151052474329E-3</v>
      </c>
      <c r="F688" s="184">
        <v>44929</v>
      </c>
      <c r="G688" s="185">
        <v>18232.55078125</v>
      </c>
      <c r="H688" s="186">
        <f t="shared" si="21"/>
        <v>1.928927624858137E-3</v>
      </c>
    </row>
    <row r="689" spans="2:8">
      <c r="B689" s="175">
        <v>44930</v>
      </c>
      <c r="C689" s="176">
        <v>10.39999961853027</v>
      </c>
      <c r="D689" s="180">
        <f t="shared" si="20"/>
        <v>-3.2558175020440012E-2</v>
      </c>
      <c r="F689" s="181">
        <v>44930</v>
      </c>
      <c r="G689" s="182">
        <v>18042.94921875</v>
      </c>
      <c r="H689" s="183">
        <f t="shared" si="21"/>
        <v>-1.0399069487028801E-2</v>
      </c>
    </row>
    <row r="690" spans="2:8">
      <c r="B690" s="175">
        <v>44931</v>
      </c>
      <c r="C690" s="176">
        <v>10.25</v>
      </c>
      <c r="D690" s="180">
        <f t="shared" si="20"/>
        <v>-1.4423040772329169E-2</v>
      </c>
      <c r="F690" s="184">
        <v>44931</v>
      </c>
      <c r="G690" s="185">
        <v>17992.150390625</v>
      </c>
      <c r="H690" s="186">
        <f t="shared" si="21"/>
        <v>-2.8154392892826255E-3</v>
      </c>
    </row>
    <row r="691" spans="2:8">
      <c r="B691" s="175">
        <v>44932</v>
      </c>
      <c r="C691" s="176">
        <v>10.19999980926514</v>
      </c>
      <c r="D691" s="180">
        <f t="shared" si="20"/>
        <v>-4.8780673887668024E-3</v>
      </c>
      <c r="F691" s="181">
        <v>44932</v>
      </c>
      <c r="G691" s="182">
        <v>17859.44921875</v>
      </c>
      <c r="H691" s="183">
        <f t="shared" si="21"/>
        <v>-7.3755037054462009E-3</v>
      </c>
    </row>
    <row r="692" spans="2:8">
      <c r="B692" s="175">
        <v>44935</v>
      </c>
      <c r="C692" s="176">
        <v>10.19999980926514</v>
      </c>
      <c r="D692" s="180">
        <f t="shared" si="20"/>
        <v>0</v>
      </c>
      <c r="F692" s="184">
        <v>44935</v>
      </c>
      <c r="G692" s="185">
        <v>18101.19921875</v>
      </c>
      <c r="H692" s="186">
        <f t="shared" si="21"/>
        <v>1.3536251708490276E-2</v>
      </c>
    </row>
    <row r="693" spans="2:8">
      <c r="B693" s="175">
        <v>44936</v>
      </c>
      <c r="C693" s="176">
        <v>10.05000019073486</v>
      </c>
      <c r="D693" s="180">
        <f t="shared" si="20"/>
        <v>-1.4705845228940967E-2</v>
      </c>
      <c r="F693" s="181">
        <v>44936</v>
      </c>
      <c r="G693" s="182">
        <v>17914.150390625</v>
      </c>
      <c r="H693" s="183">
        <f t="shared" si="21"/>
        <v>-1.0333504750958532E-2</v>
      </c>
    </row>
    <row r="694" spans="2:8">
      <c r="B694" s="175">
        <v>44937</v>
      </c>
      <c r="C694" s="176">
        <v>10.10000038146973</v>
      </c>
      <c r="D694" s="180">
        <f t="shared" si="20"/>
        <v>4.9751432622823022E-3</v>
      </c>
      <c r="F694" s="184">
        <v>44937</v>
      </c>
      <c r="G694" s="185">
        <v>17895.69921875</v>
      </c>
      <c r="H694" s="186">
        <f t="shared" si="21"/>
        <v>-1.0299775022909285E-3</v>
      </c>
    </row>
    <row r="695" spans="2:8">
      <c r="B695" s="175">
        <v>44938</v>
      </c>
      <c r="C695" s="176">
        <v>10</v>
      </c>
      <c r="D695" s="180">
        <f t="shared" si="20"/>
        <v>-9.9010274943354282E-3</v>
      </c>
      <c r="F695" s="181">
        <v>44938</v>
      </c>
      <c r="G695" s="182">
        <v>17858.19921875</v>
      </c>
      <c r="H695" s="183">
        <f t="shared" si="21"/>
        <v>-2.0954755408891671E-3</v>
      </c>
    </row>
    <row r="696" spans="2:8">
      <c r="B696" s="175">
        <v>44939</v>
      </c>
      <c r="C696" s="176">
        <v>10.05000019073486</v>
      </c>
      <c r="D696" s="180">
        <f t="shared" si="20"/>
        <v>5.000019073485973E-3</v>
      </c>
      <c r="F696" s="184">
        <v>44939</v>
      </c>
      <c r="G696" s="185">
        <v>17956.599609375</v>
      </c>
      <c r="H696" s="186">
        <f t="shared" si="21"/>
        <v>5.5100959183883276E-3</v>
      </c>
    </row>
    <row r="697" spans="2:8">
      <c r="B697" s="175">
        <v>44942</v>
      </c>
      <c r="C697" s="176">
        <v>10</v>
      </c>
      <c r="D697" s="180">
        <f t="shared" si="20"/>
        <v>-4.9751432622812414E-3</v>
      </c>
      <c r="F697" s="181">
        <v>44942</v>
      </c>
      <c r="G697" s="182">
        <v>17894.849609375</v>
      </c>
      <c r="H697" s="183">
        <f t="shared" si="21"/>
        <v>-3.4388470725693972E-3</v>
      </c>
    </row>
    <row r="698" spans="2:8">
      <c r="B698" s="175">
        <v>44943</v>
      </c>
      <c r="C698" s="176">
        <v>10</v>
      </c>
      <c r="D698" s="180">
        <f t="shared" si="20"/>
        <v>0</v>
      </c>
      <c r="F698" s="184">
        <v>44943</v>
      </c>
      <c r="G698" s="185">
        <v>18053.30078125</v>
      </c>
      <c r="H698" s="186">
        <f t="shared" si="21"/>
        <v>8.854568511824118E-3</v>
      </c>
    </row>
    <row r="699" spans="2:8">
      <c r="B699" s="175">
        <v>44944</v>
      </c>
      <c r="C699" s="176">
        <v>9.8000001907348633</v>
      </c>
      <c r="D699" s="180">
        <f t="shared" si="20"/>
        <v>-1.9999980926513672E-2</v>
      </c>
      <c r="F699" s="181">
        <v>44944</v>
      </c>
      <c r="G699" s="182">
        <v>18165.349609375</v>
      </c>
      <c r="H699" s="183">
        <f t="shared" si="21"/>
        <v>6.2065563235601173E-3</v>
      </c>
    </row>
    <row r="700" spans="2:8">
      <c r="B700" s="175">
        <v>44945</v>
      </c>
      <c r="C700" s="176">
        <v>9.6499996185302734</v>
      </c>
      <c r="D700" s="180">
        <f t="shared" si="20"/>
        <v>-1.5306180539302815E-2</v>
      </c>
      <c r="F700" s="184">
        <v>44945</v>
      </c>
      <c r="G700" s="185">
        <v>18107.849609375</v>
      </c>
      <c r="H700" s="186">
        <f t="shared" si="21"/>
        <v>-3.1653670992560848E-3</v>
      </c>
    </row>
    <row r="701" spans="2:8">
      <c r="B701" s="175">
        <v>44946</v>
      </c>
      <c r="C701" s="176">
        <v>10</v>
      </c>
      <c r="D701" s="180">
        <f t="shared" si="20"/>
        <v>3.6269471016106919E-2</v>
      </c>
      <c r="F701" s="181">
        <v>44946</v>
      </c>
      <c r="G701" s="182">
        <v>18027.650390625</v>
      </c>
      <c r="H701" s="183">
        <f t="shared" si="21"/>
        <v>-4.4289753051891022E-3</v>
      </c>
    </row>
    <row r="702" spans="2:8">
      <c r="B702" s="175">
        <v>44949</v>
      </c>
      <c r="C702" s="176">
        <v>9.75</v>
      </c>
      <c r="D702" s="180">
        <f t="shared" si="20"/>
        <v>-2.5000000000000001E-2</v>
      </c>
      <c r="F702" s="184">
        <v>44949</v>
      </c>
      <c r="G702" s="185">
        <v>18118.55078125</v>
      </c>
      <c r="H702" s="186">
        <f t="shared" si="21"/>
        <v>5.042276095628709E-3</v>
      </c>
    </row>
    <row r="703" spans="2:8">
      <c r="B703" s="175">
        <v>44950</v>
      </c>
      <c r="C703" s="176">
        <v>9.6499996185302734</v>
      </c>
      <c r="D703" s="180">
        <f t="shared" si="20"/>
        <v>-1.0256449381510416E-2</v>
      </c>
      <c r="F703" s="181">
        <v>44950</v>
      </c>
      <c r="G703" s="182">
        <v>18118.30078125</v>
      </c>
      <c r="H703" s="183">
        <f t="shared" si="21"/>
        <v>-1.3798013043003017E-5</v>
      </c>
    </row>
    <row r="704" spans="2:8">
      <c r="B704" s="175">
        <v>44951</v>
      </c>
      <c r="C704" s="176">
        <v>9.5</v>
      </c>
      <c r="D704" s="180">
        <f t="shared" si="20"/>
        <v>-1.5544002534698429E-2</v>
      </c>
      <c r="F704" s="184">
        <v>44951</v>
      </c>
      <c r="G704" s="185">
        <v>17891.94921875</v>
      </c>
      <c r="H704" s="186">
        <f t="shared" si="21"/>
        <v>-1.2492979625012262E-2</v>
      </c>
    </row>
    <row r="705" spans="2:8">
      <c r="B705" s="175">
        <v>44953</v>
      </c>
      <c r="C705" s="176">
        <v>9.1000003814697266</v>
      </c>
      <c r="D705" s="180">
        <f t="shared" si="20"/>
        <v>-4.2105223003186677E-2</v>
      </c>
      <c r="F705" s="181">
        <v>44953</v>
      </c>
      <c r="G705" s="182">
        <v>17604.349609375</v>
      </c>
      <c r="H705" s="183">
        <f t="shared" si="21"/>
        <v>-1.6074246906178778E-2</v>
      </c>
    </row>
    <row r="706" spans="2:8">
      <c r="B706" s="175">
        <v>44956</v>
      </c>
      <c r="C706" s="176">
        <v>8.9499998092651367</v>
      </c>
      <c r="D706" s="180">
        <f t="shared" si="20"/>
        <v>-1.6483578672154241E-2</v>
      </c>
      <c r="F706" s="184">
        <v>44956</v>
      </c>
      <c r="G706" s="185">
        <v>17648.94921875</v>
      </c>
      <c r="H706" s="186">
        <f t="shared" si="21"/>
        <v>2.5334426073456854E-3</v>
      </c>
    </row>
    <row r="707" spans="2:8">
      <c r="B707" s="175">
        <v>44957</v>
      </c>
      <c r="C707" s="176">
        <v>9.8000001907348633</v>
      </c>
      <c r="D707" s="180">
        <f t="shared" si="20"/>
        <v>9.4972111685387633E-2</v>
      </c>
      <c r="F707" s="181">
        <v>44957</v>
      </c>
      <c r="G707" s="182">
        <v>17662.150390625</v>
      </c>
      <c r="H707" s="183">
        <f t="shared" si="21"/>
        <v>7.4798628016761802E-4</v>
      </c>
    </row>
    <row r="708" spans="2:8">
      <c r="B708" s="175">
        <v>44958</v>
      </c>
      <c r="C708" s="176">
        <v>9.1999998092651367</v>
      </c>
      <c r="D708" s="180">
        <f t="shared" si="20"/>
        <v>-6.1224527529803535E-2</v>
      </c>
      <c r="F708" s="184">
        <v>44958</v>
      </c>
      <c r="G708" s="185">
        <v>17616.30078125</v>
      </c>
      <c r="H708" s="186">
        <f t="shared" si="21"/>
        <v>-2.5959245256645981E-3</v>
      </c>
    </row>
    <row r="709" spans="2:8">
      <c r="B709" s="175">
        <v>44959</v>
      </c>
      <c r="C709" s="176">
        <v>9.1999998092651367</v>
      </c>
      <c r="D709" s="180">
        <f t="shared" ref="D709:D772" si="22">(C709-C708)/C708</f>
        <v>0</v>
      </c>
      <c r="F709" s="181">
        <v>44959</v>
      </c>
      <c r="G709" s="182">
        <v>17610.400390625</v>
      </c>
      <c r="H709" s="183">
        <f t="shared" ref="H709:H772" si="23">(G709-G708)/G708</f>
        <v>-3.3493925304000889E-4</v>
      </c>
    </row>
    <row r="710" spans="2:8">
      <c r="B710" s="175">
        <v>44960</v>
      </c>
      <c r="C710" s="176">
        <v>9.0500001907348633</v>
      </c>
      <c r="D710" s="180">
        <f t="shared" si="22"/>
        <v>-1.6304306700007952E-2</v>
      </c>
      <c r="F710" s="184">
        <v>44960</v>
      </c>
      <c r="G710" s="185">
        <v>17854.05078125</v>
      </c>
      <c r="H710" s="186">
        <f t="shared" si="23"/>
        <v>1.3835596307890234E-2</v>
      </c>
    </row>
    <row r="711" spans="2:8">
      <c r="B711" s="175">
        <v>44963</v>
      </c>
      <c r="C711" s="176">
        <v>9.0500001907348633</v>
      </c>
      <c r="D711" s="180">
        <f t="shared" si="22"/>
        <v>0</v>
      </c>
      <c r="F711" s="181">
        <v>44963</v>
      </c>
      <c r="G711" s="182">
        <v>17764.599609375</v>
      </c>
      <c r="H711" s="183">
        <f t="shared" si="23"/>
        <v>-5.0101331608701366E-3</v>
      </c>
    </row>
    <row r="712" spans="2:8">
      <c r="B712" s="175">
        <v>44964</v>
      </c>
      <c r="C712" s="176">
        <v>8.9499998092651367</v>
      </c>
      <c r="D712" s="180">
        <f t="shared" si="22"/>
        <v>-1.1049765675375803E-2</v>
      </c>
      <c r="F712" s="184">
        <v>44964</v>
      </c>
      <c r="G712" s="185">
        <v>17721.5</v>
      </c>
      <c r="H712" s="186">
        <f t="shared" si="23"/>
        <v>-2.4261514654264895E-3</v>
      </c>
    </row>
    <row r="713" spans="2:8">
      <c r="B713" s="175">
        <v>44965</v>
      </c>
      <c r="C713" s="176">
        <v>9</v>
      </c>
      <c r="D713" s="180">
        <f t="shared" si="22"/>
        <v>5.5866136089860628E-3</v>
      </c>
      <c r="F713" s="181">
        <v>44965</v>
      </c>
      <c r="G713" s="182">
        <v>17871.69921875</v>
      </c>
      <c r="H713" s="183">
        <f t="shared" si="23"/>
        <v>8.4755364246818839E-3</v>
      </c>
    </row>
    <row r="714" spans="2:8">
      <c r="B714" s="175">
        <v>44966</v>
      </c>
      <c r="C714" s="176">
        <v>9.1999998092651367</v>
      </c>
      <c r="D714" s="180">
        <f t="shared" si="22"/>
        <v>2.2222201029459637E-2</v>
      </c>
      <c r="F714" s="184">
        <v>44966</v>
      </c>
      <c r="G714" s="185">
        <v>17893.44921875</v>
      </c>
      <c r="H714" s="186">
        <f t="shared" si="23"/>
        <v>1.2170079483645908E-3</v>
      </c>
    </row>
    <row r="715" spans="2:8">
      <c r="B715" s="175">
        <v>44967</v>
      </c>
      <c r="C715" s="176">
        <v>9.1499996185302734</v>
      </c>
      <c r="D715" s="180">
        <f t="shared" si="22"/>
        <v>-5.4348034534206276E-3</v>
      </c>
      <c r="F715" s="181">
        <v>44967</v>
      </c>
      <c r="G715" s="182">
        <v>17856.5</v>
      </c>
      <c r="H715" s="183">
        <f t="shared" si="23"/>
        <v>-2.0649578680046795E-3</v>
      </c>
    </row>
    <row r="716" spans="2:8">
      <c r="B716" s="175">
        <v>44970</v>
      </c>
      <c r="C716" s="176">
        <v>9.0500001907348633</v>
      </c>
      <c r="D716" s="180">
        <f t="shared" si="22"/>
        <v>-1.0928899668246396E-2</v>
      </c>
      <c r="F716" s="184">
        <v>44970</v>
      </c>
      <c r="G716" s="185">
        <v>17770.900390625</v>
      </c>
      <c r="H716" s="186">
        <f t="shared" si="23"/>
        <v>-4.7937507000252013E-3</v>
      </c>
    </row>
    <row r="717" spans="2:8">
      <c r="B717" s="175">
        <v>44971</v>
      </c>
      <c r="C717" s="176">
        <v>8.8000001907348633</v>
      </c>
      <c r="D717" s="180">
        <f t="shared" si="22"/>
        <v>-2.7624308810064224E-2</v>
      </c>
      <c r="F717" s="181">
        <v>44971</v>
      </c>
      <c r="G717" s="182">
        <v>17929.849609375</v>
      </c>
      <c r="H717" s="183">
        <f t="shared" si="23"/>
        <v>8.944353704995911E-3</v>
      </c>
    </row>
    <row r="718" spans="2:8">
      <c r="B718" s="175">
        <v>44972</v>
      </c>
      <c r="C718" s="176">
        <v>9</v>
      </c>
      <c r="D718" s="180">
        <f t="shared" si="22"/>
        <v>2.2727250560256557E-2</v>
      </c>
      <c r="F718" s="184">
        <v>44972</v>
      </c>
      <c r="G718" s="185">
        <v>18015.849609375</v>
      </c>
      <c r="H718" s="186">
        <f t="shared" si="23"/>
        <v>4.796470794436172E-3</v>
      </c>
    </row>
    <row r="719" spans="2:8">
      <c r="B719" s="175">
        <v>44973</v>
      </c>
      <c r="C719" s="176">
        <v>8.8999996185302734</v>
      </c>
      <c r="D719" s="180">
        <f t="shared" si="22"/>
        <v>-1.1111153496636285E-2</v>
      </c>
      <c r="F719" s="181">
        <v>44973</v>
      </c>
      <c r="G719" s="182">
        <v>18035.849609375</v>
      </c>
      <c r="H719" s="183">
        <f t="shared" si="23"/>
        <v>1.110133600892877E-3</v>
      </c>
    </row>
    <row r="720" spans="2:8">
      <c r="B720" s="175">
        <v>44974</v>
      </c>
      <c r="C720" s="176">
        <v>8.8999996185302734</v>
      </c>
      <c r="D720" s="180">
        <f t="shared" si="22"/>
        <v>0</v>
      </c>
      <c r="F720" s="184">
        <v>44974</v>
      </c>
      <c r="G720" s="185">
        <v>17944.19921875</v>
      </c>
      <c r="H720" s="186">
        <f t="shared" si="23"/>
        <v>-5.0815676893513411E-3</v>
      </c>
    </row>
    <row r="721" spans="2:8">
      <c r="B721" s="175">
        <v>44977</v>
      </c>
      <c r="C721" s="176">
        <v>8.5500001907348633</v>
      </c>
      <c r="D721" s="180">
        <f t="shared" si="22"/>
        <v>-3.9325780089551093E-2</v>
      </c>
      <c r="F721" s="181">
        <v>44977</v>
      </c>
      <c r="G721" s="182">
        <v>17844.599609375</v>
      </c>
      <c r="H721" s="183">
        <f t="shared" si="23"/>
        <v>-5.5505184801408012E-3</v>
      </c>
    </row>
    <row r="722" spans="2:8">
      <c r="B722" s="175">
        <v>44978</v>
      </c>
      <c r="C722" s="176">
        <v>8.3999996185302734</v>
      </c>
      <c r="D722" s="180">
        <f t="shared" si="22"/>
        <v>-1.7543926182263331E-2</v>
      </c>
      <c r="F722" s="184">
        <v>44978</v>
      </c>
      <c r="G722" s="185">
        <v>17826.69921875</v>
      </c>
      <c r="H722" s="186">
        <f t="shared" si="23"/>
        <v>-1.0031264929920697E-3</v>
      </c>
    </row>
    <row r="723" spans="2:8">
      <c r="B723" s="175">
        <v>44979</v>
      </c>
      <c r="C723" s="176">
        <v>8.3000001907348633</v>
      </c>
      <c r="D723" s="180">
        <f t="shared" si="22"/>
        <v>-1.1904694325796505E-2</v>
      </c>
      <c r="F723" s="181">
        <v>44979</v>
      </c>
      <c r="G723" s="182">
        <v>17554.30078125</v>
      </c>
      <c r="H723" s="183">
        <f t="shared" si="23"/>
        <v>-1.5280363131582609E-2</v>
      </c>
    </row>
    <row r="724" spans="2:8">
      <c r="B724" s="175">
        <v>44980</v>
      </c>
      <c r="C724" s="176">
        <v>8.1499996185302734</v>
      </c>
      <c r="D724" s="180">
        <f t="shared" si="22"/>
        <v>-1.8072357681633875E-2</v>
      </c>
      <c r="F724" s="184">
        <v>44980</v>
      </c>
      <c r="G724" s="185">
        <v>17511.25</v>
      </c>
      <c r="H724" s="186">
        <f t="shared" si="23"/>
        <v>-2.4524349779846064E-3</v>
      </c>
    </row>
    <row r="725" spans="2:8">
      <c r="B725" s="175">
        <v>44981</v>
      </c>
      <c r="C725" s="176">
        <v>8.3999996185302734</v>
      </c>
      <c r="D725" s="180">
        <f t="shared" si="22"/>
        <v>3.0674848061536919E-2</v>
      </c>
      <c r="F725" s="181">
        <v>44981</v>
      </c>
      <c r="G725" s="182">
        <v>17465.80078125</v>
      </c>
      <c r="H725" s="183">
        <f t="shared" si="23"/>
        <v>-2.5954297237490184E-3</v>
      </c>
    </row>
    <row r="726" spans="2:8">
      <c r="B726" s="175">
        <v>44984</v>
      </c>
      <c r="C726" s="176">
        <v>8.1000003814697266</v>
      </c>
      <c r="D726" s="180">
        <f t="shared" si="22"/>
        <v>-3.5714196510051387E-2</v>
      </c>
      <c r="F726" s="184">
        <v>44984</v>
      </c>
      <c r="G726" s="185">
        <v>17392.69921875</v>
      </c>
      <c r="H726" s="186">
        <f t="shared" si="23"/>
        <v>-4.1854114458053631E-3</v>
      </c>
    </row>
    <row r="727" spans="2:8">
      <c r="B727" s="175">
        <v>44985</v>
      </c>
      <c r="C727" s="176">
        <v>8.1999998092651367</v>
      </c>
      <c r="D727" s="180">
        <f t="shared" si="22"/>
        <v>1.2345607788386979E-2</v>
      </c>
      <c r="F727" s="181">
        <v>44985</v>
      </c>
      <c r="G727" s="182">
        <v>17303.94921875</v>
      </c>
      <c r="H727" s="183">
        <f t="shared" si="23"/>
        <v>-5.1027157362857215E-3</v>
      </c>
    </row>
    <row r="728" spans="2:8">
      <c r="B728" s="175">
        <v>44986</v>
      </c>
      <c r="C728" s="176">
        <v>8.3999996185302734</v>
      </c>
      <c r="D728" s="180">
        <f t="shared" si="22"/>
        <v>2.4390221209414906E-2</v>
      </c>
      <c r="F728" s="184">
        <v>44986</v>
      </c>
      <c r="G728" s="185">
        <v>17450.900390625</v>
      </c>
      <c r="H728" s="186">
        <f t="shared" si="23"/>
        <v>8.4923487706360379E-3</v>
      </c>
    </row>
    <row r="729" spans="2:8">
      <c r="B729" s="175">
        <v>44987</v>
      </c>
      <c r="C729" s="176">
        <v>8.25</v>
      </c>
      <c r="D729" s="180">
        <f t="shared" si="22"/>
        <v>-1.7857098255025693E-2</v>
      </c>
      <c r="F729" s="181">
        <v>44987</v>
      </c>
      <c r="G729" s="182">
        <v>17321.900390625</v>
      </c>
      <c r="H729" s="183">
        <f t="shared" si="23"/>
        <v>-7.3921687198043708E-3</v>
      </c>
    </row>
    <row r="730" spans="2:8">
      <c r="B730" s="175">
        <v>44988</v>
      </c>
      <c r="C730" s="176">
        <v>8.5</v>
      </c>
      <c r="D730" s="180">
        <f t="shared" si="22"/>
        <v>3.0303030303030304E-2</v>
      </c>
      <c r="F730" s="184">
        <v>44988</v>
      </c>
      <c r="G730" s="185">
        <v>17594.349609375</v>
      </c>
      <c r="H730" s="186">
        <f t="shared" si="23"/>
        <v>1.5728598629827915E-2</v>
      </c>
    </row>
    <row r="731" spans="2:8">
      <c r="B731" s="175">
        <v>44991</v>
      </c>
      <c r="C731" s="176">
        <v>8.6000003814697266</v>
      </c>
      <c r="D731" s="180">
        <f t="shared" si="22"/>
        <v>1.1764750761144301E-2</v>
      </c>
      <c r="F731" s="181">
        <v>44991</v>
      </c>
      <c r="G731" s="182">
        <v>17711.44921875</v>
      </c>
      <c r="H731" s="183">
        <f t="shared" si="23"/>
        <v>6.6555236183669141E-3</v>
      </c>
    </row>
    <row r="732" spans="2:8">
      <c r="B732" s="175">
        <v>44993</v>
      </c>
      <c r="C732" s="176">
        <v>8.6000003814697266</v>
      </c>
      <c r="D732" s="180">
        <f t="shared" si="22"/>
        <v>0</v>
      </c>
      <c r="F732" s="184">
        <v>44993</v>
      </c>
      <c r="G732" s="185">
        <v>17754.400390625</v>
      </c>
      <c r="H732" s="186">
        <f t="shared" si="23"/>
        <v>2.4250512391459354E-3</v>
      </c>
    </row>
    <row r="733" spans="2:8">
      <c r="B733" s="175">
        <v>44994</v>
      </c>
      <c r="C733" s="176">
        <v>8.6999998092651367</v>
      </c>
      <c r="D733" s="180">
        <f t="shared" si="22"/>
        <v>1.1627839925551307E-2</v>
      </c>
      <c r="F733" s="181">
        <v>44994</v>
      </c>
      <c r="G733" s="182">
        <v>17589.599609375</v>
      </c>
      <c r="H733" s="183">
        <f t="shared" si="23"/>
        <v>-9.2822498999752812E-3</v>
      </c>
    </row>
    <row r="734" spans="2:8">
      <c r="B734" s="175">
        <v>44995</v>
      </c>
      <c r="C734" s="176">
        <v>8.3999996185302734</v>
      </c>
      <c r="D734" s="180">
        <f t="shared" si="22"/>
        <v>-3.4482781300222053E-2</v>
      </c>
      <c r="F734" s="184">
        <v>44995</v>
      </c>
      <c r="G734" s="185">
        <v>17412.900390625</v>
      </c>
      <c r="H734" s="186">
        <f t="shared" si="23"/>
        <v>-1.0045664635585105E-2</v>
      </c>
    </row>
    <row r="735" spans="2:8">
      <c r="B735" s="175">
        <v>44998</v>
      </c>
      <c r="C735" s="176">
        <v>8.1000003814697266</v>
      </c>
      <c r="D735" s="180">
        <f t="shared" si="22"/>
        <v>-3.5714196510051387E-2</v>
      </c>
      <c r="F735" s="181">
        <v>44998</v>
      </c>
      <c r="G735" s="182">
        <v>17154.30078125</v>
      </c>
      <c r="H735" s="183">
        <f t="shared" si="23"/>
        <v>-1.4851035931626214E-2</v>
      </c>
    </row>
    <row r="736" spans="2:8">
      <c r="B736" s="175">
        <v>44999</v>
      </c>
      <c r="C736" s="176">
        <v>7.9499998092651367</v>
      </c>
      <c r="D736" s="180">
        <f t="shared" si="22"/>
        <v>-1.8518588288927041E-2</v>
      </c>
      <c r="F736" s="184">
        <v>44999</v>
      </c>
      <c r="G736" s="185">
        <v>17043.30078125</v>
      </c>
      <c r="H736" s="186">
        <f t="shared" si="23"/>
        <v>-6.470680525861203E-3</v>
      </c>
    </row>
    <row r="737" spans="2:8">
      <c r="B737" s="175">
        <v>45000</v>
      </c>
      <c r="C737" s="176">
        <v>7.9499998092651367</v>
      </c>
      <c r="D737" s="180">
        <f t="shared" si="22"/>
        <v>0</v>
      </c>
      <c r="F737" s="181">
        <v>45000</v>
      </c>
      <c r="G737" s="182">
        <v>16972.150390625</v>
      </c>
      <c r="H737" s="183">
        <f t="shared" si="23"/>
        <v>-4.1746837386848982E-3</v>
      </c>
    </row>
    <row r="738" spans="2:8">
      <c r="B738" s="175">
        <v>45001</v>
      </c>
      <c r="C738" s="176">
        <v>7.9000000953674316</v>
      </c>
      <c r="D738" s="180">
        <f t="shared" si="22"/>
        <v>-6.2892723392815823E-3</v>
      </c>
      <c r="F738" s="184">
        <v>45001</v>
      </c>
      <c r="G738" s="185">
        <v>16985.599609375</v>
      </c>
      <c r="H738" s="186">
        <f t="shared" si="23"/>
        <v>7.9242868113100259E-4</v>
      </c>
    </row>
    <row r="739" spans="2:8">
      <c r="B739" s="175">
        <v>45002</v>
      </c>
      <c r="C739" s="176">
        <v>8</v>
      </c>
      <c r="D739" s="180">
        <f t="shared" si="22"/>
        <v>1.265821562346669E-2</v>
      </c>
      <c r="F739" s="181">
        <v>45002</v>
      </c>
      <c r="G739" s="182">
        <v>17100.05078125</v>
      </c>
      <c r="H739" s="183">
        <f t="shared" si="23"/>
        <v>6.7381296219787279E-3</v>
      </c>
    </row>
    <row r="740" spans="2:8">
      <c r="B740" s="175">
        <v>45005</v>
      </c>
      <c r="C740" s="176">
        <v>7.75</v>
      </c>
      <c r="D740" s="180">
        <f t="shared" si="22"/>
        <v>-3.125E-2</v>
      </c>
      <c r="F740" s="184">
        <v>45005</v>
      </c>
      <c r="G740" s="185">
        <v>16988.400390625</v>
      </c>
      <c r="H740" s="186">
        <f t="shared" si="23"/>
        <v>-6.5292432199922654E-3</v>
      </c>
    </row>
    <row r="741" spans="2:8">
      <c r="B741" s="175">
        <v>45006</v>
      </c>
      <c r="C741" s="176">
        <v>7.8000001907348633</v>
      </c>
      <c r="D741" s="180">
        <f t="shared" si="22"/>
        <v>6.4516375141759072E-3</v>
      </c>
      <c r="F741" s="181">
        <v>45006</v>
      </c>
      <c r="G741" s="182">
        <v>17107.5</v>
      </c>
      <c r="H741" s="183">
        <f t="shared" si="23"/>
        <v>7.0106429467441077E-3</v>
      </c>
    </row>
    <row r="742" spans="2:8">
      <c r="B742" s="175">
        <v>45007</v>
      </c>
      <c r="C742" s="176">
        <v>7.8000001907348633</v>
      </c>
      <c r="D742" s="180">
        <f t="shared" si="22"/>
        <v>0</v>
      </c>
      <c r="F742" s="184">
        <v>45007</v>
      </c>
      <c r="G742" s="185">
        <v>17151.900390625</v>
      </c>
      <c r="H742" s="186">
        <f t="shared" si="23"/>
        <v>2.5953757489405233E-3</v>
      </c>
    </row>
    <row r="743" spans="2:8">
      <c r="B743" s="175">
        <v>45008</v>
      </c>
      <c r="C743" s="176">
        <v>7.75</v>
      </c>
      <c r="D743" s="180">
        <f t="shared" si="22"/>
        <v>-6.4102807066922134E-3</v>
      </c>
      <c r="F743" s="181">
        <v>45008</v>
      </c>
      <c r="G743" s="182">
        <v>17076.900390625</v>
      </c>
      <c r="H743" s="183">
        <f t="shared" si="23"/>
        <v>-4.3726933046436068E-3</v>
      </c>
    </row>
    <row r="744" spans="2:8">
      <c r="B744" s="175">
        <v>45009</v>
      </c>
      <c r="C744" s="176">
        <v>7.5500001907348633</v>
      </c>
      <c r="D744" s="180">
        <f t="shared" si="22"/>
        <v>-2.5806427001953125E-2</v>
      </c>
      <c r="F744" s="184">
        <v>45009</v>
      </c>
      <c r="G744" s="185">
        <v>16945.05078125</v>
      </c>
      <c r="H744" s="186">
        <f t="shared" si="23"/>
        <v>-7.7209333285906939E-3</v>
      </c>
    </row>
    <row r="745" spans="2:8">
      <c r="B745" s="175">
        <v>45012</v>
      </c>
      <c r="C745" s="176">
        <v>7.1999998092651367</v>
      </c>
      <c r="D745" s="180">
        <f t="shared" si="22"/>
        <v>-4.6357665248702468E-2</v>
      </c>
      <c r="F745" s="181">
        <v>45012</v>
      </c>
      <c r="G745" s="182">
        <v>16985.69921875</v>
      </c>
      <c r="H745" s="183">
        <f t="shared" si="23"/>
        <v>2.3988383407489234E-3</v>
      </c>
    </row>
    <row r="746" spans="2:8">
      <c r="B746" s="175">
        <v>45013</v>
      </c>
      <c r="C746" s="176">
        <v>7.0500001907348633</v>
      </c>
      <c r="D746" s="180">
        <f t="shared" si="22"/>
        <v>-2.0833280903320338E-2</v>
      </c>
      <c r="F746" s="184">
        <v>45013</v>
      </c>
      <c r="G746" s="185">
        <v>16951.69921875</v>
      </c>
      <c r="H746" s="186">
        <f t="shared" si="23"/>
        <v>-2.0016838613548761E-3</v>
      </c>
    </row>
    <row r="747" spans="2:8">
      <c r="B747" s="175">
        <v>45014</v>
      </c>
      <c r="C747" s="176">
        <v>7.9499998092651367</v>
      </c>
      <c r="D747" s="180">
        <f t="shared" si="22"/>
        <v>0.12765951690512808</v>
      </c>
      <c r="F747" s="181">
        <v>45014</v>
      </c>
      <c r="G747" s="182">
        <v>17080.69921875</v>
      </c>
      <c r="H747" s="183">
        <f t="shared" si="23"/>
        <v>7.6098565893214518E-3</v>
      </c>
    </row>
    <row r="748" spans="2:8">
      <c r="B748" s="175">
        <v>45016</v>
      </c>
      <c r="C748" s="176">
        <v>7.9000000953674316</v>
      </c>
      <c r="D748" s="180">
        <f t="shared" si="22"/>
        <v>-6.2892723392815823E-3</v>
      </c>
      <c r="F748" s="184">
        <v>45016</v>
      </c>
      <c r="G748" s="185">
        <v>17359.75</v>
      </c>
      <c r="H748" s="186">
        <f t="shared" si="23"/>
        <v>1.6337198944623856E-2</v>
      </c>
    </row>
    <row r="749" spans="2:8">
      <c r="B749" s="175">
        <v>45019</v>
      </c>
      <c r="C749" s="176">
        <v>8.1000003814697266</v>
      </c>
      <c r="D749" s="180">
        <f t="shared" si="22"/>
        <v>2.53164916060666E-2</v>
      </c>
      <c r="F749" s="181">
        <v>45019</v>
      </c>
      <c r="G749" s="182">
        <v>17398.05078125</v>
      </c>
      <c r="H749" s="183">
        <f t="shared" si="23"/>
        <v>2.2062979737611428E-3</v>
      </c>
    </row>
    <row r="750" spans="2:8">
      <c r="B750" s="175">
        <v>45021</v>
      </c>
      <c r="C750" s="176">
        <v>8.1000003814697266</v>
      </c>
      <c r="D750" s="180">
        <f t="shared" si="22"/>
        <v>0</v>
      </c>
      <c r="F750" s="184">
        <v>45021</v>
      </c>
      <c r="G750" s="185">
        <v>17557.05078125</v>
      </c>
      <c r="H750" s="186">
        <f t="shared" si="23"/>
        <v>9.1389548173612303E-3</v>
      </c>
    </row>
    <row r="751" spans="2:8">
      <c r="B751" s="175">
        <v>45022</v>
      </c>
      <c r="C751" s="176">
        <v>8.1499996185302734</v>
      </c>
      <c r="D751" s="180">
        <f t="shared" si="22"/>
        <v>6.1727450254112984E-3</v>
      </c>
      <c r="F751" s="181">
        <v>45022</v>
      </c>
      <c r="G751" s="182">
        <v>17599.150390625</v>
      </c>
      <c r="H751" s="183">
        <f t="shared" si="23"/>
        <v>2.3978747854372074E-3</v>
      </c>
    </row>
    <row r="752" spans="2:8">
      <c r="B752" s="175">
        <v>45026</v>
      </c>
      <c r="C752" s="176">
        <v>8.0500001907348633</v>
      </c>
      <c r="D752" s="180">
        <f t="shared" si="22"/>
        <v>-1.2269869015459354E-2</v>
      </c>
      <c r="F752" s="184">
        <v>45026</v>
      </c>
      <c r="G752" s="185">
        <v>17624.05078125</v>
      </c>
      <c r="H752" s="186">
        <f t="shared" si="23"/>
        <v>1.4148632219350965E-3</v>
      </c>
    </row>
    <row r="753" spans="2:8">
      <c r="B753" s="175">
        <v>45027</v>
      </c>
      <c r="C753" s="176">
        <v>8.1499996185302734</v>
      </c>
      <c r="D753" s="180">
        <f t="shared" si="22"/>
        <v>1.2422288872800818E-2</v>
      </c>
      <c r="F753" s="181">
        <v>45027</v>
      </c>
      <c r="G753" s="182">
        <v>17722.30078125</v>
      </c>
      <c r="H753" s="183">
        <f t="shared" si="23"/>
        <v>5.574768321964148E-3</v>
      </c>
    </row>
    <row r="754" spans="2:8">
      <c r="B754" s="175">
        <v>45028</v>
      </c>
      <c r="C754" s="176">
        <v>8.1000003814697266</v>
      </c>
      <c r="D754" s="180">
        <f t="shared" si="22"/>
        <v>-6.1348760001001647E-3</v>
      </c>
      <c r="F754" s="184">
        <v>45028</v>
      </c>
      <c r="G754" s="185">
        <v>17812.400390625</v>
      </c>
      <c r="H754" s="186">
        <f t="shared" si="23"/>
        <v>5.0839679614468796E-3</v>
      </c>
    </row>
    <row r="755" spans="2:8">
      <c r="B755" s="175">
        <v>45029</v>
      </c>
      <c r="C755" s="176">
        <v>8.0500001907348633</v>
      </c>
      <c r="D755" s="180">
        <f t="shared" si="22"/>
        <v>-6.1728627629756803E-3</v>
      </c>
      <c r="F755" s="181">
        <v>45029</v>
      </c>
      <c r="G755" s="182">
        <v>17828</v>
      </c>
      <c r="H755" s="183">
        <f t="shared" si="23"/>
        <v>8.7577244127132723E-4</v>
      </c>
    </row>
    <row r="756" spans="2:8">
      <c r="B756" s="175">
        <v>45033</v>
      </c>
      <c r="C756" s="176">
        <v>8.1499996185302734</v>
      </c>
      <c r="D756" s="180">
        <f t="shared" si="22"/>
        <v>1.2422288872800818E-2</v>
      </c>
      <c r="F756" s="184">
        <v>45033</v>
      </c>
      <c r="G756" s="185">
        <v>17706.849609375</v>
      </c>
      <c r="H756" s="186">
        <f t="shared" si="23"/>
        <v>-6.7955121508301549E-3</v>
      </c>
    </row>
    <row r="757" spans="2:8">
      <c r="B757" s="175">
        <v>45034</v>
      </c>
      <c r="C757" s="176">
        <v>8.0500001907348633</v>
      </c>
      <c r="D757" s="180">
        <f t="shared" si="22"/>
        <v>-1.2269869015459354E-2</v>
      </c>
      <c r="F757" s="181">
        <v>45034</v>
      </c>
      <c r="G757" s="182">
        <v>17660.150390625</v>
      </c>
      <c r="H757" s="183">
        <f t="shared" si="23"/>
        <v>-2.6373533282439362E-3</v>
      </c>
    </row>
    <row r="758" spans="2:8">
      <c r="B758" s="175">
        <v>45035</v>
      </c>
      <c r="C758" s="176">
        <v>8</v>
      </c>
      <c r="D758" s="180">
        <f t="shared" si="22"/>
        <v>-6.211203670828596E-3</v>
      </c>
      <c r="F758" s="184">
        <v>45035</v>
      </c>
      <c r="G758" s="185">
        <v>17618.75</v>
      </c>
      <c r="H758" s="186">
        <f t="shared" si="23"/>
        <v>-2.3442830162407708E-3</v>
      </c>
    </row>
    <row r="759" spans="2:8">
      <c r="B759" s="175">
        <v>45036</v>
      </c>
      <c r="C759" s="176">
        <v>7.9499998092651367</v>
      </c>
      <c r="D759" s="180">
        <f t="shared" si="22"/>
        <v>-6.2500238418579102E-3</v>
      </c>
      <c r="F759" s="181">
        <v>45036</v>
      </c>
      <c r="G759" s="182">
        <v>17624.44921875</v>
      </c>
      <c r="H759" s="183">
        <f t="shared" si="23"/>
        <v>3.2347463639588507E-4</v>
      </c>
    </row>
    <row r="760" spans="2:8">
      <c r="B760" s="175">
        <v>45037</v>
      </c>
      <c r="C760" s="176">
        <v>7.9499998092651367</v>
      </c>
      <c r="D760" s="180">
        <f t="shared" si="22"/>
        <v>0</v>
      </c>
      <c r="F760" s="184">
        <v>45037</v>
      </c>
      <c r="G760" s="185">
        <v>17624.05078125</v>
      </c>
      <c r="H760" s="186">
        <f t="shared" si="23"/>
        <v>-2.2607089450268724E-5</v>
      </c>
    </row>
    <row r="761" spans="2:8">
      <c r="B761" s="175">
        <v>45040</v>
      </c>
      <c r="C761" s="176">
        <v>7.9499998092651367</v>
      </c>
      <c r="D761" s="180">
        <f t="shared" si="22"/>
        <v>0</v>
      </c>
      <c r="F761" s="181">
        <v>45040</v>
      </c>
      <c r="G761" s="182">
        <v>17743.400390625</v>
      </c>
      <c r="H761" s="183">
        <f t="shared" si="23"/>
        <v>6.7719737565653465E-3</v>
      </c>
    </row>
    <row r="762" spans="2:8">
      <c r="B762" s="175">
        <v>45041</v>
      </c>
      <c r="C762" s="176">
        <v>8.1499996185302734</v>
      </c>
      <c r="D762" s="180">
        <f t="shared" si="22"/>
        <v>2.5157209316162717E-2</v>
      </c>
      <c r="F762" s="184">
        <v>45041</v>
      </c>
      <c r="G762" s="185">
        <v>17769.25</v>
      </c>
      <c r="H762" s="186">
        <f t="shared" si="23"/>
        <v>1.4568576938982925E-3</v>
      </c>
    </row>
    <row r="763" spans="2:8">
      <c r="B763" s="175">
        <v>45042</v>
      </c>
      <c r="C763" s="176">
        <v>8.1999998092651367</v>
      </c>
      <c r="D763" s="180">
        <f t="shared" si="22"/>
        <v>6.1349930153591888E-3</v>
      </c>
      <c r="F763" s="181">
        <v>45042</v>
      </c>
      <c r="G763" s="182">
        <v>17813.599609375</v>
      </c>
      <c r="H763" s="183">
        <f t="shared" si="23"/>
        <v>2.495862761512163E-3</v>
      </c>
    </row>
    <row r="764" spans="2:8">
      <c r="B764" s="175">
        <v>45043</v>
      </c>
      <c r="C764" s="176">
        <v>8.1999998092651367</v>
      </c>
      <c r="D764" s="180">
        <f t="shared" si="22"/>
        <v>0</v>
      </c>
      <c r="F764" s="184">
        <v>45043</v>
      </c>
      <c r="G764" s="185">
        <v>17915.05078125</v>
      </c>
      <c r="H764" s="186">
        <f t="shared" si="23"/>
        <v>5.6951528101938445E-3</v>
      </c>
    </row>
    <row r="765" spans="2:8">
      <c r="B765" s="175">
        <v>45044</v>
      </c>
      <c r="C765" s="176">
        <v>8.3000001907348633</v>
      </c>
      <c r="D765" s="180">
        <f t="shared" si="22"/>
        <v>1.2195168755581758E-2</v>
      </c>
      <c r="F765" s="181">
        <v>45044</v>
      </c>
      <c r="G765" s="182">
        <v>18065</v>
      </c>
      <c r="H765" s="183">
        <f t="shared" si="23"/>
        <v>8.3700136036978338E-3</v>
      </c>
    </row>
    <row r="766" spans="2:8">
      <c r="B766" s="175">
        <v>45048</v>
      </c>
      <c r="C766" s="176">
        <v>8.1000003814697266</v>
      </c>
      <c r="D766" s="180">
        <f t="shared" si="22"/>
        <v>-2.4096362008327758E-2</v>
      </c>
      <c r="F766" s="184">
        <v>45048</v>
      </c>
      <c r="G766" s="185">
        <v>18147.650390625</v>
      </c>
      <c r="H766" s="186">
        <f t="shared" si="23"/>
        <v>4.5751669319125379E-3</v>
      </c>
    </row>
    <row r="767" spans="2:8">
      <c r="B767" s="175">
        <v>45049</v>
      </c>
      <c r="C767" s="176">
        <v>8.1000003814697266</v>
      </c>
      <c r="D767" s="180">
        <f t="shared" si="22"/>
        <v>0</v>
      </c>
      <c r="F767" s="181">
        <v>45049</v>
      </c>
      <c r="G767" s="182">
        <v>18089.849609375</v>
      </c>
      <c r="H767" s="183">
        <f t="shared" si="23"/>
        <v>-3.18502836487635E-3</v>
      </c>
    </row>
    <row r="768" spans="2:8">
      <c r="B768" s="175">
        <v>45050</v>
      </c>
      <c r="C768" s="176">
        <v>8.6000003814697266</v>
      </c>
      <c r="D768" s="180">
        <f t="shared" si="22"/>
        <v>6.172839215462804E-2</v>
      </c>
      <c r="F768" s="184">
        <v>45050</v>
      </c>
      <c r="G768" s="185">
        <v>18255.80078125</v>
      </c>
      <c r="H768" s="186">
        <f t="shared" si="23"/>
        <v>9.173717607303733E-3</v>
      </c>
    </row>
    <row r="769" spans="2:8">
      <c r="B769" s="175">
        <v>45051</v>
      </c>
      <c r="C769" s="176">
        <v>8.6499996185302734</v>
      </c>
      <c r="D769" s="180">
        <f t="shared" si="22"/>
        <v>5.8138645165969269E-3</v>
      </c>
      <c r="F769" s="181">
        <v>45051</v>
      </c>
      <c r="G769" s="182">
        <v>18069</v>
      </c>
      <c r="H769" s="183">
        <f t="shared" si="23"/>
        <v>-1.0232406865540384E-2</v>
      </c>
    </row>
    <row r="770" spans="2:8">
      <c r="B770" s="175">
        <v>45054</v>
      </c>
      <c r="C770" s="176">
        <v>8.5500001907348633</v>
      </c>
      <c r="D770" s="180">
        <f t="shared" si="22"/>
        <v>-1.1560628000628874E-2</v>
      </c>
      <c r="F770" s="184">
        <v>45054</v>
      </c>
      <c r="G770" s="185">
        <v>18264.400390625</v>
      </c>
      <c r="H770" s="186">
        <f t="shared" si="23"/>
        <v>1.0814123118324201E-2</v>
      </c>
    </row>
    <row r="771" spans="2:8">
      <c r="B771" s="175">
        <v>45055</v>
      </c>
      <c r="C771" s="176">
        <v>8.3999996185302734</v>
      </c>
      <c r="D771" s="180">
        <f t="shared" si="22"/>
        <v>-1.7543926182263331E-2</v>
      </c>
      <c r="F771" s="181">
        <v>45055</v>
      </c>
      <c r="G771" s="182">
        <v>18265.94921875</v>
      </c>
      <c r="H771" s="183">
        <f t="shared" si="23"/>
        <v>8.4800381719347525E-5</v>
      </c>
    </row>
    <row r="772" spans="2:8">
      <c r="B772" s="175">
        <v>45056</v>
      </c>
      <c r="C772" s="176">
        <v>8.3500003814697266</v>
      </c>
      <c r="D772" s="180">
        <f t="shared" si="22"/>
        <v>-5.952290396567317E-3</v>
      </c>
      <c r="F772" s="184">
        <v>45056</v>
      </c>
      <c r="G772" s="185">
        <v>18315.099609375</v>
      </c>
      <c r="H772" s="186">
        <f t="shared" si="23"/>
        <v>2.6908205008337105E-3</v>
      </c>
    </row>
    <row r="773" spans="2:8">
      <c r="B773" s="175">
        <v>45057</v>
      </c>
      <c r="C773" s="176">
        <v>8.3500003814697266</v>
      </c>
      <c r="D773" s="180">
        <f t="shared" ref="D773:D836" si="24">(C773-C772)/C772</f>
        <v>0</v>
      </c>
      <c r="F773" s="181">
        <v>45057</v>
      </c>
      <c r="G773" s="182">
        <v>18297</v>
      </c>
      <c r="H773" s="183">
        <f t="shared" ref="H773:H836" si="25">(G773-G772)/G772</f>
        <v>-9.8823428542727139E-4</v>
      </c>
    </row>
    <row r="774" spans="2:8">
      <c r="B774" s="175">
        <v>45058</v>
      </c>
      <c r="C774" s="176">
        <v>8.25</v>
      </c>
      <c r="D774" s="180">
        <f t="shared" si="24"/>
        <v>-1.1976093042061034E-2</v>
      </c>
      <c r="F774" s="184">
        <v>45058</v>
      </c>
      <c r="G774" s="185">
        <v>18314.80078125</v>
      </c>
      <c r="H774" s="186">
        <f t="shared" si="25"/>
        <v>9.7287977537301195E-4</v>
      </c>
    </row>
    <row r="775" spans="2:8">
      <c r="B775" s="175">
        <v>45061</v>
      </c>
      <c r="C775" s="176">
        <v>8.25</v>
      </c>
      <c r="D775" s="180">
        <f t="shared" si="24"/>
        <v>0</v>
      </c>
      <c r="F775" s="181">
        <v>45061</v>
      </c>
      <c r="G775" s="182">
        <v>18398.849609375</v>
      </c>
      <c r="H775" s="183">
        <f t="shared" si="25"/>
        <v>4.589120522186952E-3</v>
      </c>
    </row>
    <row r="776" spans="2:8">
      <c r="B776" s="175">
        <v>45062</v>
      </c>
      <c r="C776" s="176">
        <v>8.1999998092651367</v>
      </c>
      <c r="D776" s="180">
        <f t="shared" si="24"/>
        <v>-6.060629179983428E-3</v>
      </c>
      <c r="F776" s="184">
        <v>45062</v>
      </c>
      <c r="G776" s="185">
        <v>18286.5</v>
      </c>
      <c r="H776" s="186">
        <f t="shared" si="25"/>
        <v>-6.1063388070606911E-3</v>
      </c>
    </row>
    <row r="777" spans="2:8">
      <c r="B777" s="175">
        <v>45063</v>
      </c>
      <c r="C777" s="176">
        <v>8.6499996185302734</v>
      </c>
      <c r="D777" s="180">
        <f t="shared" si="24"/>
        <v>5.4878026796620689E-2</v>
      </c>
      <c r="F777" s="181">
        <v>45063</v>
      </c>
      <c r="G777" s="182">
        <v>18181.75</v>
      </c>
      <c r="H777" s="183">
        <f t="shared" si="25"/>
        <v>-5.7282694884204198E-3</v>
      </c>
    </row>
    <row r="778" spans="2:8">
      <c r="B778" s="175">
        <v>45064</v>
      </c>
      <c r="C778" s="176">
        <v>8.5</v>
      </c>
      <c r="D778" s="180">
        <f t="shared" si="24"/>
        <v>-1.734099712662877E-2</v>
      </c>
      <c r="F778" s="184">
        <v>45064</v>
      </c>
      <c r="G778" s="185">
        <v>18129.94921875</v>
      </c>
      <c r="H778" s="186">
        <f t="shared" si="25"/>
        <v>-2.8490536527011976E-3</v>
      </c>
    </row>
    <row r="779" spans="2:8">
      <c r="B779" s="175">
        <v>45065</v>
      </c>
      <c r="C779" s="176">
        <v>8.5</v>
      </c>
      <c r="D779" s="180">
        <f t="shared" si="24"/>
        <v>0</v>
      </c>
      <c r="F779" s="181">
        <v>45065</v>
      </c>
      <c r="G779" s="182">
        <v>18203.400390625</v>
      </c>
      <c r="H779" s="183">
        <f t="shared" si="25"/>
        <v>4.051372179191587E-3</v>
      </c>
    </row>
    <row r="780" spans="2:8">
      <c r="B780" s="175">
        <v>45068</v>
      </c>
      <c r="C780" s="176">
        <v>9.25</v>
      </c>
      <c r="D780" s="180">
        <f t="shared" si="24"/>
        <v>8.8235294117647065E-2</v>
      </c>
      <c r="F780" s="184">
        <v>45068</v>
      </c>
      <c r="G780" s="185">
        <v>18314.400390625</v>
      </c>
      <c r="H780" s="186">
        <f t="shared" si="25"/>
        <v>6.0977618257062847E-3</v>
      </c>
    </row>
    <row r="781" spans="2:8">
      <c r="B781" s="175">
        <v>45069</v>
      </c>
      <c r="C781" s="176">
        <v>9.4499998092651367</v>
      </c>
      <c r="D781" s="180">
        <f t="shared" si="24"/>
        <v>2.1621601001636404E-2</v>
      </c>
      <c r="F781" s="181">
        <v>45069</v>
      </c>
      <c r="G781" s="182">
        <v>18348</v>
      </c>
      <c r="H781" s="183">
        <f t="shared" si="25"/>
        <v>1.8346005688616145E-3</v>
      </c>
    </row>
    <row r="782" spans="2:8">
      <c r="B782" s="175">
        <v>45070</v>
      </c>
      <c r="C782" s="176">
        <v>10.05000019073486</v>
      </c>
      <c r="D782" s="180">
        <f t="shared" si="24"/>
        <v>6.3492105140728144E-2</v>
      </c>
      <c r="F782" s="184">
        <v>45070</v>
      </c>
      <c r="G782" s="185">
        <v>18285.400390625</v>
      </c>
      <c r="H782" s="186">
        <f t="shared" si="25"/>
        <v>-3.4117947119577064E-3</v>
      </c>
    </row>
    <row r="783" spans="2:8">
      <c r="B783" s="175">
        <v>45071</v>
      </c>
      <c r="C783" s="176">
        <v>9.8000001907348633</v>
      </c>
      <c r="D783" s="180">
        <f t="shared" si="24"/>
        <v>-2.4875621418442614E-2</v>
      </c>
      <c r="F783" s="181">
        <v>45071</v>
      </c>
      <c r="G783" s="182">
        <v>18321.150390625</v>
      </c>
      <c r="H783" s="183">
        <f t="shared" si="25"/>
        <v>1.955111686716424E-3</v>
      </c>
    </row>
    <row r="784" spans="2:8">
      <c r="B784" s="175">
        <v>45072</v>
      </c>
      <c r="C784" s="176">
        <v>10</v>
      </c>
      <c r="D784" s="180">
        <f t="shared" si="24"/>
        <v>2.040814340536656E-2</v>
      </c>
      <c r="F784" s="184">
        <v>45072</v>
      </c>
      <c r="G784" s="185">
        <v>18499.349609375</v>
      </c>
      <c r="H784" s="186">
        <f t="shared" si="25"/>
        <v>9.7264208278747162E-3</v>
      </c>
    </row>
    <row r="785" spans="2:8">
      <c r="B785" s="175">
        <v>45075</v>
      </c>
      <c r="C785" s="176">
        <v>10.35000038146973</v>
      </c>
      <c r="D785" s="180">
        <f t="shared" si="24"/>
        <v>3.5000038146973014E-2</v>
      </c>
      <c r="F785" s="181">
        <v>45075</v>
      </c>
      <c r="G785" s="182">
        <v>18598.650390625</v>
      </c>
      <c r="H785" s="183">
        <f t="shared" si="25"/>
        <v>5.3677985089636282E-3</v>
      </c>
    </row>
    <row r="786" spans="2:8">
      <c r="B786" s="175">
        <v>45076</v>
      </c>
      <c r="C786" s="176">
        <v>10.64999961853027</v>
      </c>
      <c r="D786" s="180">
        <f t="shared" si="24"/>
        <v>2.8985432464103834E-2</v>
      </c>
      <c r="F786" s="184">
        <v>45076</v>
      </c>
      <c r="G786" s="185">
        <v>18633.849609375</v>
      </c>
      <c r="H786" s="186">
        <f t="shared" si="25"/>
        <v>1.892568439683281E-3</v>
      </c>
    </row>
    <row r="787" spans="2:8">
      <c r="B787" s="175">
        <v>45077</v>
      </c>
      <c r="C787" s="176">
        <v>11.75</v>
      </c>
      <c r="D787" s="180">
        <f t="shared" si="24"/>
        <v>0.10328642449487085</v>
      </c>
      <c r="F787" s="181">
        <v>45077</v>
      </c>
      <c r="G787" s="182">
        <v>18534.400390625</v>
      </c>
      <c r="H787" s="183">
        <f t="shared" si="25"/>
        <v>-5.33701950132545E-3</v>
      </c>
    </row>
    <row r="788" spans="2:8">
      <c r="B788" s="175">
        <v>45078</v>
      </c>
      <c r="C788" s="176">
        <v>11.14999961853027</v>
      </c>
      <c r="D788" s="180">
        <f t="shared" si="24"/>
        <v>-5.1063862252742988E-2</v>
      </c>
      <c r="F788" s="184">
        <v>45078</v>
      </c>
      <c r="G788" s="185">
        <v>18487.75</v>
      </c>
      <c r="H788" s="186">
        <f t="shared" si="25"/>
        <v>-2.5169624936232909E-3</v>
      </c>
    </row>
    <row r="789" spans="2:8">
      <c r="B789" s="175">
        <v>45079</v>
      </c>
      <c r="C789" s="176">
        <v>11</v>
      </c>
      <c r="D789" s="180">
        <f t="shared" si="24"/>
        <v>-1.345288104593155E-2</v>
      </c>
      <c r="F789" s="181">
        <v>45079</v>
      </c>
      <c r="G789" s="182">
        <v>18534.099609375</v>
      </c>
      <c r="H789" s="183">
        <f t="shared" si="25"/>
        <v>2.5070443604548959E-3</v>
      </c>
    </row>
    <row r="790" spans="2:8">
      <c r="B790" s="175">
        <v>45082</v>
      </c>
      <c r="C790" s="176">
        <v>11.39999961853027</v>
      </c>
      <c r="D790" s="180">
        <f t="shared" si="24"/>
        <v>3.6363601684569986E-2</v>
      </c>
      <c r="F790" s="184">
        <v>45082</v>
      </c>
      <c r="G790" s="185">
        <v>18593.849609375</v>
      </c>
      <c r="H790" s="186">
        <f t="shared" si="25"/>
        <v>3.2237875731377309E-3</v>
      </c>
    </row>
    <row r="791" spans="2:8">
      <c r="B791" s="175">
        <v>45083</v>
      </c>
      <c r="C791" s="176">
        <v>12.19999980926514</v>
      </c>
      <c r="D791" s="180">
        <f t="shared" si="24"/>
        <v>7.0175457675849415E-2</v>
      </c>
      <c r="F791" s="181">
        <v>45083</v>
      </c>
      <c r="G791" s="182">
        <v>18599</v>
      </c>
      <c r="H791" s="183">
        <f t="shared" si="25"/>
        <v>2.7699431442121478E-4</v>
      </c>
    </row>
    <row r="792" spans="2:8">
      <c r="B792" s="175">
        <v>45084</v>
      </c>
      <c r="C792" s="176">
        <v>14.44999980926514</v>
      </c>
      <c r="D792" s="180">
        <f t="shared" si="24"/>
        <v>0.18442623239151734</v>
      </c>
      <c r="F792" s="184">
        <v>45084</v>
      </c>
      <c r="G792" s="185">
        <v>18726.400390625</v>
      </c>
      <c r="H792" s="186">
        <f t="shared" si="25"/>
        <v>6.8498516385289534E-3</v>
      </c>
    </row>
    <row r="793" spans="2:8">
      <c r="B793" s="175">
        <v>45085</v>
      </c>
      <c r="C793" s="176">
        <v>13.35000038146973</v>
      </c>
      <c r="D793" s="180">
        <f t="shared" si="24"/>
        <v>-7.6124528879931597E-2</v>
      </c>
      <c r="F793" s="181">
        <v>45085</v>
      </c>
      <c r="G793" s="182">
        <v>18634.55078125</v>
      </c>
      <c r="H793" s="183">
        <f t="shared" si="25"/>
        <v>-4.904819263662796E-3</v>
      </c>
    </row>
    <row r="794" spans="2:8">
      <c r="B794" s="175">
        <v>45086</v>
      </c>
      <c r="C794" s="176">
        <v>14</v>
      </c>
      <c r="D794" s="180">
        <f t="shared" si="24"/>
        <v>4.8689108610999905E-2</v>
      </c>
      <c r="F794" s="184">
        <v>45086</v>
      </c>
      <c r="G794" s="185">
        <v>18563.400390625</v>
      </c>
      <c r="H794" s="186">
        <f t="shared" si="25"/>
        <v>-3.8181972541345725E-3</v>
      </c>
    </row>
    <row r="795" spans="2:8">
      <c r="B795" s="175">
        <v>45089</v>
      </c>
      <c r="C795" s="176">
        <v>15.30000019073486</v>
      </c>
      <c r="D795" s="180">
        <f t="shared" si="24"/>
        <v>9.2857156481061409E-2</v>
      </c>
      <c r="F795" s="181">
        <v>45089</v>
      </c>
      <c r="G795" s="182">
        <v>18601.5</v>
      </c>
      <c r="H795" s="183">
        <f t="shared" si="25"/>
        <v>2.0524046550351462E-3</v>
      </c>
    </row>
    <row r="796" spans="2:8">
      <c r="B796" s="175">
        <v>45090</v>
      </c>
      <c r="C796" s="176">
        <v>15.10000038146973</v>
      </c>
      <c r="D796" s="180">
        <f t="shared" si="24"/>
        <v>-1.307188279554679E-2</v>
      </c>
      <c r="F796" s="184">
        <v>45090</v>
      </c>
      <c r="G796" s="185">
        <v>18716.150390625</v>
      </c>
      <c r="H796" s="186">
        <f t="shared" si="25"/>
        <v>6.1635024393194094E-3</v>
      </c>
    </row>
    <row r="797" spans="2:8">
      <c r="B797" s="175">
        <v>45091</v>
      </c>
      <c r="C797" s="176">
        <v>14.39999961853027</v>
      </c>
      <c r="D797" s="180">
        <f t="shared" si="24"/>
        <v>-4.6357665248702926E-2</v>
      </c>
      <c r="F797" s="181">
        <v>45091</v>
      </c>
      <c r="G797" s="182">
        <v>18755.900390625</v>
      </c>
      <c r="H797" s="183">
        <f t="shared" si="25"/>
        <v>2.1238341844010264E-3</v>
      </c>
    </row>
    <row r="798" spans="2:8">
      <c r="B798" s="175">
        <v>45092</v>
      </c>
      <c r="C798" s="176">
        <v>14.44999980926514</v>
      </c>
      <c r="D798" s="180">
        <f t="shared" si="24"/>
        <v>3.4722355596821632E-3</v>
      </c>
      <c r="F798" s="184">
        <v>45092</v>
      </c>
      <c r="G798" s="185">
        <v>18688.099609375</v>
      </c>
      <c r="H798" s="186">
        <f t="shared" si="25"/>
        <v>-3.6149041015322157E-3</v>
      </c>
    </row>
    <row r="799" spans="2:8">
      <c r="B799" s="175">
        <v>45093</v>
      </c>
      <c r="C799" s="176">
        <v>14.75</v>
      </c>
      <c r="D799" s="180">
        <f t="shared" si="24"/>
        <v>2.0761259148425991E-2</v>
      </c>
      <c r="F799" s="181">
        <v>45093</v>
      </c>
      <c r="G799" s="182">
        <v>18826</v>
      </c>
      <c r="H799" s="183">
        <f t="shared" si="25"/>
        <v>7.3790483520229863E-3</v>
      </c>
    </row>
    <row r="800" spans="2:8">
      <c r="B800" s="175">
        <v>45096</v>
      </c>
      <c r="C800" s="176">
        <v>14.55000019073486</v>
      </c>
      <c r="D800" s="180">
        <f t="shared" si="24"/>
        <v>-1.3559309102721375E-2</v>
      </c>
      <c r="F800" s="184">
        <v>45096</v>
      </c>
      <c r="G800" s="185">
        <v>18755.44921875</v>
      </c>
      <c r="H800" s="186">
        <f t="shared" si="25"/>
        <v>-3.7475183921172844E-3</v>
      </c>
    </row>
    <row r="801" spans="2:8">
      <c r="B801" s="175">
        <v>45097</v>
      </c>
      <c r="C801" s="176">
        <v>14.25</v>
      </c>
      <c r="D801" s="180">
        <f t="shared" si="24"/>
        <v>-2.0618569539668712E-2</v>
      </c>
      <c r="F801" s="181">
        <v>45097</v>
      </c>
      <c r="G801" s="182">
        <v>18816.69921875</v>
      </c>
      <c r="H801" s="183">
        <f t="shared" si="25"/>
        <v>3.2657175674986124E-3</v>
      </c>
    </row>
    <row r="802" spans="2:8">
      <c r="B802" s="175">
        <v>45098</v>
      </c>
      <c r="C802" s="176">
        <v>14</v>
      </c>
      <c r="D802" s="180">
        <f t="shared" si="24"/>
        <v>-1.7543859649122806E-2</v>
      </c>
      <c r="F802" s="184">
        <v>45098</v>
      </c>
      <c r="G802" s="185">
        <v>18856.849609375</v>
      </c>
      <c r="H802" s="186">
        <f t="shared" si="25"/>
        <v>2.133763746671995E-3</v>
      </c>
    </row>
    <row r="803" spans="2:8">
      <c r="B803" s="175">
        <v>45099</v>
      </c>
      <c r="C803" s="176">
        <v>13.60000038146973</v>
      </c>
      <c r="D803" s="180">
        <f t="shared" si="24"/>
        <v>-2.8571401323590706E-2</v>
      </c>
      <c r="F803" s="181">
        <v>45099</v>
      </c>
      <c r="G803" s="182">
        <v>18771.25</v>
      </c>
      <c r="H803" s="183">
        <f t="shared" si="25"/>
        <v>-4.5394438174042985E-3</v>
      </c>
    </row>
    <row r="804" spans="2:8">
      <c r="B804" s="175">
        <v>45100</v>
      </c>
      <c r="C804" s="176">
        <v>13.85000038146973</v>
      </c>
      <c r="D804" s="180">
        <f t="shared" si="24"/>
        <v>1.8382352425565365E-2</v>
      </c>
      <c r="F804" s="184">
        <v>45100</v>
      </c>
      <c r="G804" s="185">
        <v>18665.5</v>
      </c>
      <c r="H804" s="186">
        <f t="shared" si="25"/>
        <v>-5.6336152360657917E-3</v>
      </c>
    </row>
    <row r="805" spans="2:8">
      <c r="B805" s="175">
        <v>45103</v>
      </c>
      <c r="C805" s="176">
        <v>14</v>
      </c>
      <c r="D805" s="180">
        <f t="shared" si="24"/>
        <v>1.0830297068508259E-2</v>
      </c>
      <c r="F805" s="181">
        <v>45103</v>
      </c>
      <c r="G805" s="182">
        <v>18691.19921875</v>
      </c>
      <c r="H805" s="183">
        <f t="shared" si="25"/>
        <v>1.3768299134767352E-3</v>
      </c>
    </row>
    <row r="806" spans="2:8">
      <c r="B806" s="175">
        <v>45104</v>
      </c>
      <c r="C806" s="176">
        <v>14.10000038146973</v>
      </c>
      <c r="D806" s="180">
        <f t="shared" si="24"/>
        <v>7.142884390695008E-3</v>
      </c>
      <c r="F806" s="184">
        <v>45104</v>
      </c>
      <c r="G806" s="185">
        <v>18817.400390625</v>
      </c>
      <c r="H806" s="186">
        <f t="shared" si="25"/>
        <v>6.7519034171120394E-3</v>
      </c>
    </row>
    <row r="807" spans="2:8">
      <c r="B807" s="175">
        <v>45105</v>
      </c>
      <c r="C807" s="176">
        <v>14.75</v>
      </c>
      <c r="D807" s="180">
        <f t="shared" si="24"/>
        <v>4.6099262478354372E-2</v>
      </c>
      <c r="F807" s="181">
        <v>45105</v>
      </c>
      <c r="G807" s="182">
        <v>18972.099609375</v>
      </c>
      <c r="H807" s="183">
        <f t="shared" si="25"/>
        <v>8.2210728123249463E-3</v>
      </c>
    </row>
    <row r="808" spans="2:8">
      <c r="B808" s="175">
        <v>45107</v>
      </c>
      <c r="C808" s="176">
        <v>15.30000019073486</v>
      </c>
      <c r="D808" s="180">
        <f t="shared" si="24"/>
        <v>3.7288148524397269E-2</v>
      </c>
      <c r="F808" s="184">
        <v>45107</v>
      </c>
      <c r="G808" s="185">
        <v>19189.05078125</v>
      </c>
      <c r="H808" s="186">
        <f t="shared" si="25"/>
        <v>1.143527476356883E-2</v>
      </c>
    </row>
    <row r="809" spans="2:8">
      <c r="B809" s="175">
        <v>45110</v>
      </c>
      <c r="C809" s="176">
        <v>16.79999923706055</v>
      </c>
      <c r="D809" s="180">
        <f t="shared" si="24"/>
        <v>9.803915213243182E-2</v>
      </c>
      <c r="F809" s="181">
        <v>45110</v>
      </c>
      <c r="G809" s="182">
        <v>19322.55078125</v>
      </c>
      <c r="H809" s="183">
        <f t="shared" si="25"/>
        <v>6.9570924336937751E-3</v>
      </c>
    </row>
    <row r="810" spans="2:8">
      <c r="B810" s="175">
        <v>45111</v>
      </c>
      <c r="C810" s="176">
        <v>18.29999923706055</v>
      </c>
      <c r="D810" s="180">
        <f t="shared" si="24"/>
        <v>8.9285718340452194E-2</v>
      </c>
      <c r="F810" s="184">
        <v>45111</v>
      </c>
      <c r="G810" s="185">
        <v>19389</v>
      </c>
      <c r="H810" s="186">
        <f t="shared" si="25"/>
        <v>3.4389465191355714E-3</v>
      </c>
    </row>
    <row r="811" spans="2:8">
      <c r="B811" s="175">
        <v>45112</v>
      </c>
      <c r="C811" s="176">
        <v>17.39999961853027</v>
      </c>
      <c r="D811" s="180">
        <f t="shared" si="24"/>
        <v>-4.9180309073873142E-2</v>
      </c>
      <c r="F811" s="181">
        <v>45112</v>
      </c>
      <c r="G811" s="182">
        <v>19398.5</v>
      </c>
      <c r="H811" s="183">
        <f t="shared" si="25"/>
        <v>4.8996853886224153E-4</v>
      </c>
    </row>
    <row r="812" spans="2:8">
      <c r="B812" s="175">
        <v>45113</v>
      </c>
      <c r="C812" s="176">
        <v>17.64999961853027</v>
      </c>
      <c r="D812" s="180">
        <f t="shared" si="24"/>
        <v>1.4367816406947531E-2</v>
      </c>
      <c r="F812" s="184">
        <v>45113</v>
      </c>
      <c r="G812" s="185">
        <v>19497.30078125</v>
      </c>
      <c r="H812" s="186">
        <f t="shared" si="25"/>
        <v>5.0932175812562824E-3</v>
      </c>
    </row>
    <row r="813" spans="2:8">
      <c r="B813" s="175">
        <v>45114</v>
      </c>
      <c r="C813" s="176">
        <v>17.85000038146973</v>
      </c>
      <c r="D813" s="180">
        <f t="shared" si="24"/>
        <v>1.1331488230146175E-2</v>
      </c>
      <c r="F813" s="181">
        <v>45114</v>
      </c>
      <c r="G813" s="182">
        <v>19331.80078125</v>
      </c>
      <c r="H813" s="183">
        <f t="shared" si="25"/>
        <v>-8.4883544577184066E-3</v>
      </c>
    </row>
    <row r="814" spans="2:8">
      <c r="B814" s="175">
        <v>45117</v>
      </c>
      <c r="C814" s="176">
        <v>17.35000038146973</v>
      </c>
      <c r="D814" s="180">
        <f t="shared" si="24"/>
        <v>-2.801120388316939E-2</v>
      </c>
      <c r="F814" s="184">
        <v>45117</v>
      </c>
      <c r="G814" s="185">
        <v>19355.900390625</v>
      </c>
      <c r="H814" s="186">
        <f t="shared" si="25"/>
        <v>1.2466303397029789E-3</v>
      </c>
    </row>
    <row r="815" spans="2:8">
      <c r="B815" s="175">
        <v>45118</v>
      </c>
      <c r="C815" s="176">
        <v>17.95000076293945</v>
      </c>
      <c r="D815" s="180">
        <f t="shared" si="24"/>
        <v>3.4582153791220434E-2</v>
      </c>
      <c r="F815" s="181">
        <v>45118</v>
      </c>
      <c r="G815" s="182">
        <v>19439.400390625</v>
      </c>
      <c r="H815" s="183">
        <f t="shared" si="25"/>
        <v>4.3139300324382271E-3</v>
      </c>
    </row>
    <row r="816" spans="2:8">
      <c r="B816" s="175">
        <v>45119</v>
      </c>
      <c r="C816" s="176">
        <v>18</v>
      </c>
      <c r="D816" s="180">
        <f t="shared" si="24"/>
        <v>2.7854726983511653E-3</v>
      </c>
      <c r="F816" s="184">
        <v>45119</v>
      </c>
      <c r="G816" s="185">
        <v>19384.30078125</v>
      </c>
      <c r="H816" s="186">
        <f t="shared" si="25"/>
        <v>-2.8344294714755078E-3</v>
      </c>
    </row>
    <row r="817" spans="2:8">
      <c r="B817" s="175">
        <v>45120</v>
      </c>
      <c r="C817" s="176">
        <v>17.54999923706055</v>
      </c>
      <c r="D817" s="180">
        <f t="shared" si="24"/>
        <v>-2.5000042385524977E-2</v>
      </c>
      <c r="F817" s="181">
        <v>45120</v>
      </c>
      <c r="G817" s="182">
        <v>19413.75</v>
      </c>
      <c r="H817" s="183">
        <f t="shared" si="25"/>
        <v>1.5192303855749891E-3</v>
      </c>
    </row>
    <row r="818" spans="2:8">
      <c r="B818" s="175">
        <v>45121</v>
      </c>
      <c r="C818" s="176">
        <v>17.70000076293945</v>
      </c>
      <c r="D818" s="180">
        <f t="shared" si="24"/>
        <v>8.5470958632373646E-3</v>
      </c>
      <c r="F818" s="184">
        <v>45121</v>
      </c>
      <c r="G818" s="185">
        <v>19564.5</v>
      </c>
      <c r="H818" s="186">
        <f t="shared" si="25"/>
        <v>7.7651149314274673E-3</v>
      </c>
    </row>
    <row r="819" spans="2:8">
      <c r="B819" s="175">
        <v>45124</v>
      </c>
      <c r="C819" s="176">
        <v>18.20000076293945</v>
      </c>
      <c r="D819" s="180">
        <f t="shared" si="24"/>
        <v>2.8248586352996558E-2</v>
      </c>
      <c r="F819" s="181">
        <v>45124</v>
      </c>
      <c r="G819" s="182">
        <v>19711.44921875</v>
      </c>
      <c r="H819" s="183">
        <f t="shared" si="25"/>
        <v>7.5110132510414268E-3</v>
      </c>
    </row>
    <row r="820" spans="2:8">
      <c r="B820" s="175">
        <v>45125</v>
      </c>
      <c r="C820" s="176">
        <v>17.89999961853027</v>
      </c>
      <c r="D820" s="180">
        <f t="shared" si="24"/>
        <v>-1.6483578672154244E-2</v>
      </c>
      <c r="F820" s="184">
        <v>45125</v>
      </c>
      <c r="G820" s="185">
        <v>19749.25</v>
      </c>
      <c r="H820" s="186">
        <f t="shared" si="25"/>
        <v>1.917706853032551E-3</v>
      </c>
    </row>
    <row r="821" spans="2:8">
      <c r="B821" s="175">
        <v>45126</v>
      </c>
      <c r="C821" s="176">
        <v>17.85000038146973</v>
      </c>
      <c r="D821" s="180">
        <f t="shared" si="24"/>
        <v>-2.7932535265967283E-3</v>
      </c>
      <c r="F821" s="181">
        <v>45126</v>
      </c>
      <c r="G821" s="182">
        <v>19833.150390625</v>
      </c>
      <c r="H821" s="183">
        <f t="shared" si="25"/>
        <v>4.248282371482461E-3</v>
      </c>
    </row>
    <row r="822" spans="2:8">
      <c r="B822" s="175">
        <v>45127</v>
      </c>
      <c r="C822" s="176">
        <v>18.70000076293945</v>
      </c>
      <c r="D822" s="180">
        <f t="shared" si="24"/>
        <v>4.7619067972240137E-2</v>
      </c>
      <c r="F822" s="184">
        <v>45127</v>
      </c>
      <c r="G822" s="185">
        <v>19979.150390625</v>
      </c>
      <c r="H822" s="186">
        <f t="shared" si="25"/>
        <v>7.3614124394989332E-3</v>
      </c>
    </row>
    <row r="823" spans="2:8">
      <c r="B823" s="175">
        <v>45128</v>
      </c>
      <c r="C823" s="176">
        <v>19.60000038146973</v>
      </c>
      <c r="D823" s="180">
        <f t="shared" si="24"/>
        <v>4.8128319882956509E-2</v>
      </c>
      <c r="F823" s="181">
        <v>45128</v>
      </c>
      <c r="G823" s="182">
        <v>19745</v>
      </c>
      <c r="H823" s="183">
        <f t="shared" si="25"/>
        <v>-1.1719737128305142E-2</v>
      </c>
    </row>
    <row r="824" spans="2:8">
      <c r="B824" s="175">
        <v>45131</v>
      </c>
      <c r="C824" s="176">
        <v>20</v>
      </c>
      <c r="D824" s="180">
        <f t="shared" si="24"/>
        <v>2.0408143405366373E-2</v>
      </c>
      <c r="F824" s="184">
        <v>45131</v>
      </c>
      <c r="G824" s="185">
        <v>19672.349609375</v>
      </c>
      <c r="H824" s="186">
        <f t="shared" si="25"/>
        <v>-3.6794322929855658E-3</v>
      </c>
    </row>
    <row r="825" spans="2:8">
      <c r="B825" s="175">
        <v>45132</v>
      </c>
      <c r="C825" s="176">
        <v>19</v>
      </c>
      <c r="D825" s="180">
        <f t="shared" si="24"/>
        <v>-0.05</v>
      </c>
      <c r="F825" s="181">
        <v>45132</v>
      </c>
      <c r="G825" s="182">
        <v>19680.599609375</v>
      </c>
      <c r="H825" s="183">
        <f t="shared" si="25"/>
        <v>4.193703428322768E-4</v>
      </c>
    </row>
    <row r="826" spans="2:8">
      <c r="B826" s="175">
        <v>45133</v>
      </c>
      <c r="C826" s="176">
        <v>18.04999923706055</v>
      </c>
      <c r="D826" s="180">
        <f t="shared" si="24"/>
        <v>-5.0000040154707874E-2</v>
      </c>
      <c r="F826" s="184">
        <v>45133</v>
      </c>
      <c r="G826" s="185">
        <v>19778.30078125</v>
      </c>
      <c r="H826" s="186">
        <f t="shared" si="25"/>
        <v>4.9643391875346787E-3</v>
      </c>
    </row>
    <row r="827" spans="2:8">
      <c r="B827" s="175">
        <v>45134</v>
      </c>
      <c r="C827" s="176">
        <v>17.85000038146973</v>
      </c>
      <c r="D827" s="180">
        <f t="shared" si="24"/>
        <v>-1.1080269476143767E-2</v>
      </c>
      <c r="F827" s="181">
        <v>45134</v>
      </c>
      <c r="G827" s="182">
        <v>19659.900390625</v>
      </c>
      <c r="H827" s="183">
        <f t="shared" si="25"/>
        <v>-5.9863783008722669E-3</v>
      </c>
    </row>
    <row r="828" spans="2:8">
      <c r="B828" s="175">
        <v>45135</v>
      </c>
      <c r="C828" s="176">
        <v>18.04999923706055</v>
      </c>
      <c r="D828" s="180">
        <f t="shared" si="24"/>
        <v>1.1204417440710041E-2</v>
      </c>
      <c r="F828" s="184">
        <v>45135</v>
      </c>
      <c r="G828" s="185">
        <v>19646.05078125</v>
      </c>
      <c r="H828" s="186">
        <f t="shared" si="25"/>
        <v>-7.0445979378432207E-4</v>
      </c>
    </row>
    <row r="829" spans="2:8">
      <c r="B829" s="175">
        <v>45138</v>
      </c>
      <c r="C829" s="176">
        <v>18.95000076293945</v>
      </c>
      <c r="D829" s="180">
        <f t="shared" si="24"/>
        <v>4.9861582488657477E-2</v>
      </c>
      <c r="F829" s="181">
        <v>45138</v>
      </c>
      <c r="G829" s="182">
        <v>19753.80078125</v>
      </c>
      <c r="H829" s="183">
        <f t="shared" si="25"/>
        <v>5.4845628365592716E-3</v>
      </c>
    </row>
    <row r="830" spans="2:8">
      <c r="B830" s="175">
        <v>45139</v>
      </c>
      <c r="C830" s="176">
        <v>19.29999923706055</v>
      </c>
      <c r="D830" s="180">
        <f t="shared" si="24"/>
        <v>1.846957572717324E-2</v>
      </c>
      <c r="F830" s="184">
        <v>45139</v>
      </c>
      <c r="G830" s="185">
        <v>19733.55078125</v>
      </c>
      <c r="H830" s="186">
        <f t="shared" si="25"/>
        <v>-1.0251191770254656E-3</v>
      </c>
    </row>
    <row r="831" spans="2:8">
      <c r="B831" s="175">
        <v>45140</v>
      </c>
      <c r="C831" s="176">
        <v>18.5</v>
      </c>
      <c r="D831" s="180">
        <f t="shared" si="24"/>
        <v>-4.1450739310101278E-2</v>
      </c>
      <c r="F831" s="181">
        <v>45140</v>
      </c>
      <c r="G831" s="182">
        <v>19526.55078125</v>
      </c>
      <c r="H831" s="183">
        <f t="shared" si="25"/>
        <v>-1.0489749274959822E-2</v>
      </c>
    </row>
    <row r="832" spans="2:8">
      <c r="B832" s="175">
        <v>45141</v>
      </c>
      <c r="C832" s="176">
        <v>17.95000076293945</v>
      </c>
      <c r="D832" s="180">
        <f t="shared" si="24"/>
        <v>-2.9729688489759484E-2</v>
      </c>
      <c r="F832" s="184">
        <v>45141</v>
      </c>
      <c r="G832" s="185">
        <v>19381.650390625</v>
      </c>
      <c r="H832" s="186">
        <f t="shared" si="25"/>
        <v>-7.4206854169113091E-3</v>
      </c>
    </row>
    <row r="833" spans="2:8">
      <c r="B833" s="175">
        <v>45142</v>
      </c>
      <c r="C833" s="176">
        <v>18.39999961853027</v>
      </c>
      <c r="D833" s="180">
        <f t="shared" si="24"/>
        <v>2.5069573062075433E-2</v>
      </c>
      <c r="F833" s="181">
        <v>45142</v>
      </c>
      <c r="G833" s="182">
        <v>19517</v>
      </c>
      <c r="H833" s="183">
        <f t="shared" si="25"/>
        <v>6.9833892701144417E-3</v>
      </c>
    </row>
    <row r="834" spans="2:8">
      <c r="B834" s="175">
        <v>45145</v>
      </c>
      <c r="C834" s="176">
        <v>18.64999961853027</v>
      </c>
      <c r="D834" s="180">
        <f t="shared" si="24"/>
        <v>1.3586956803424605E-2</v>
      </c>
      <c r="F834" s="184">
        <v>45145</v>
      </c>
      <c r="G834" s="185">
        <v>19597.30078125</v>
      </c>
      <c r="H834" s="186">
        <f t="shared" si="25"/>
        <v>4.1144018676026028E-3</v>
      </c>
    </row>
    <row r="835" spans="2:8">
      <c r="B835" s="175">
        <v>45146</v>
      </c>
      <c r="C835" s="176">
        <v>18.60000038146973</v>
      </c>
      <c r="D835" s="180">
        <f t="shared" si="24"/>
        <v>-2.6809242940070369E-3</v>
      </c>
      <c r="F835" s="181">
        <v>45146</v>
      </c>
      <c r="G835" s="182">
        <v>19570.849609375</v>
      </c>
      <c r="H835" s="183">
        <f t="shared" si="25"/>
        <v>-1.349735464605796E-3</v>
      </c>
    </row>
    <row r="836" spans="2:8">
      <c r="B836" s="175">
        <v>45147</v>
      </c>
      <c r="C836" s="176">
        <v>19.5</v>
      </c>
      <c r="D836" s="180">
        <f t="shared" si="24"/>
        <v>4.8387075272691683E-2</v>
      </c>
      <c r="F836" s="184">
        <v>45147</v>
      </c>
      <c r="G836" s="185">
        <v>19632.55078125</v>
      </c>
      <c r="H836" s="186">
        <f t="shared" si="25"/>
        <v>3.1527078847636415E-3</v>
      </c>
    </row>
    <row r="837" spans="2:8">
      <c r="B837" s="175">
        <v>45148</v>
      </c>
      <c r="C837" s="176">
        <v>20.45000076293945</v>
      </c>
      <c r="D837" s="180">
        <f t="shared" ref="D837:D900" si="26">(C837-C836)/C836</f>
        <v>4.8717987843048698E-2</v>
      </c>
      <c r="F837" s="181">
        <v>45148</v>
      </c>
      <c r="G837" s="182">
        <v>19543.099609375</v>
      </c>
      <c r="H837" s="183">
        <f t="shared" ref="H837:H900" si="27">(G837-G836)/G836</f>
        <v>-4.5562684580156563E-3</v>
      </c>
    </row>
    <row r="838" spans="2:8">
      <c r="B838" s="175">
        <v>45149</v>
      </c>
      <c r="C838" s="176">
        <v>20.20000076293945</v>
      </c>
      <c r="D838" s="180">
        <f t="shared" si="26"/>
        <v>-1.2224938419223091E-2</v>
      </c>
      <c r="F838" s="184">
        <v>45149</v>
      </c>
      <c r="G838" s="185">
        <v>19428.30078125</v>
      </c>
      <c r="H838" s="186">
        <f t="shared" si="27"/>
        <v>-5.8741361615907628E-3</v>
      </c>
    </row>
    <row r="839" spans="2:8">
      <c r="B839" s="175">
        <v>45152</v>
      </c>
      <c r="C839" s="176">
        <v>20.04999923706055</v>
      </c>
      <c r="D839" s="180">
        <f t="shared" si="26"/>
        <v>-7.4258178323489991E-3</v>
      </c>
      <c r="F839" s="181">
        <v>45152</v>
      </c>
      <c r="G839" s="182">
        <v>19434.55078125</v>
      </c>
      <c r="H839" s="183">
        <f t="shared" si="27"/>
        <v>3.2169565781232879E-4</v>
      </c>
    </row>
    <row r="840" spans="2:8">
      <c r="B840" s="175">
        <v>45154</v>
      </c>
      <c r="C840" s="176">
        <v>20.25</v>
      </c>
      <c r="D840" s="180">
        <f t="shared" si="26"/>
        <v>9.9751007755534901E-3</v>
      </c>
      <c r="F840" s="184">
        <v>45154</v>
      </c>
      <c r="G840" s="185">
        <v>19465</v>
      </c>
      <c r="H840" s="186">
        <f t="shared" si="27"/>
        <v>1.5667570139761961E-3</v>
      </c>
    </row>
    <row r="841" spans="2:8">
      <c r="B841" s="175">
        <v>45155</v>
      </c>
      <c r="C841" s="176">
        <v>19.70000076293945</v>
      </c>
      <c r="D841" s="180">
        <f t="shared" si="26"/>
        <v>-2.7160456151138292E-2</v>
      </c>
      <c r="F841" s="181">
        <v>45155</v>
      </c>
      <c r="G841" s="182">
        <v>19365.25</v>
      </c>
      <c r="H841" s="183">
        <f t="shared" si="27"/>
        <v>-5.124582584125353E-3</v>
      </c>
    </row>
    <row r="842" spans="2:8">
      <c r="B842" s="175">
        <v>45156</v>
      </c>
      <c r="C842" s="176">
        <v>19.79999923706055</v>
      </c>
      <c r="D842" s="180">
        <f t="shared" si="26"/>
        <v>5.0760644796127418E-3</v>
      </c>
      <c r="F842" s="184">
        <v>45156</v>
      </c>
      <c r="G842" s="185">
        <v>19310.150390625</v>
      </c>
      <c r="H842" s="186">
        <f t="shared" si="27"/>
        <v>-2.8452826260957128E-3</v>
      </c>
    </row>
    <row r="843" spans="2:8">
      <c r="B843" s="175">
        <v>45159</v>
      </c>
      <c r="C843" s="176">
        <v>19.89999961853027</v>
      </c>
      <c r="D843" s="180">
        <f t="shared" si="26"/>
        <v>5.0505245112608E-3</v>
      </c>
      <c r="F843" s="181">
        <v>45159</v>
      </c>
      <c r="G843" s="182">
        <v>19393.599609375</v>
      </c>
      <c r="H843" s="183">
        <f t="shared" si="27"/>
        <v>4.3215209131936255E-3</v>
      </c>
    </row>
    <row r="844" spans="2:8">
      <c r="B844" s="175">
        <v>45160</v>
      </c>
      <c r="C844" s="176">
        <v>20.85000038146973</v>
      </c>
      <c r="D844" s="180">
        <f t="shared" si="26"/>
        <v>4.7738732721122702E-2</v>
      </c>
      <c r="F844" s="184">
        <v>45160</v>
      </c>
      <c r="G844" s="185">
        <v>19396.44921875</v>
      </c>
      <c r="H844" s="186">
        <f t="shared" si="27"/>
        <v>1.4693555773021523E-4</v>
      </c>
    </row>
    <row r="845" spans="2:8">
      <c r="B845" s="175">
        <v>45161</v>
      </c>
      <c r="C845" s="176">
        <v>21.85000038146973</v>
      </c>
      <c r="D845" s="180">
        <f t="shared" si="26"/>
        <v>4.796162981794197E-2</v>
      </c>
      <c r="F845" s="181">
        <v>45161</v>
      </c>
      <c r="G845" s="182">
        <v>19444</v>
      </c>
      <c r="H845" s="183">
        <f t="shared" si="27"/>
        <v>2.4515199000461384E-3</v>
      </c>
    </row>
    <row r="846" spans="2:8">
      <c r="B846" s="175">
        <v>45162</v>
      </c>
      <c r="C846" s="176">
        <v>21.5</v>
      </c>
      <c r="D846" s="180">
        <f t="shared" si="26"/>
        <v>-1.601832381506748E-2</v>
      </c>
      <c r="F846" s="184">
        <v>45162</v>
      </c>
      <c r="G846" s="185">
        <v>19386.69921875</v>
      </c>
      <c r="H846" s="186">
        <f t="shared" si="27"/>
        <v>-2.9469646806212714E-3</v>
      </c>
    </row>
    <row r="847" spans="2:8">
      <c r="B847" s="175">
        <v>45163</v>
      </c>
      <c r="C847" s="176">
        <v>22.39999961853027</v>
      </c>
      <c r="D847" s="180">
        <f t="shared" si="26"/>
        <v>4.1860447373500927E-2</v>
      </c>
      <c r="F847" s="181">
        <v>45163</v>
      </c>
      <c r="G847" s="182">
        <v>19265.80078125</v>
      </c>
      <c r="H847" s="183">
        <f t="shared" si="27"/>
        <v>-6.2361537740819812E-3</v>
      </c>
    </row>
    <row r="848" spans="2:8">
      <c r="B848" s="175">
        <v>45166</v>
      </c>
      <c r="C848" s="176">
        <v>23.5</v>
      </c>
      <c r="D848" s="180">
        <f t="shared" si="26"/>
        <v>4.9107160723331496E-2</v>
      </c>
      <c r="F848" s="184">
        <v>45166</v>
      </c>
      <c r="G848" s="185">
        <v>19306.05078125</v>
      </c>
      <c r="H848" s="186">
        <f t="shared" si="27"/>
        <v>2.089194238900902E-3</v>
      </c>
    </row>
    <row r="849" spans="2:8">
      <c r="B849" s="175">
        <v>45167</v>
      </c>
      <c r="C849" s="176">
        <v>24.64999961853027</v>
      </c>
      <c r="D849" s="180">
        <f t="shared" si="26"/>
        <v>4.8936153980011485E-2</v>
      </c>
      <c r="F849" s="181">
        <v>45167</v>
      </c>
      <c r="G849" s="182">
        <v>19342.650390625</v>
      </c>
      <c r="H849" s="183">
        <f t="shared" si="27"/>
        <v>1.8957584743610782E-3</v>
      </c>
    </row>
    <row r="850" spans="2:8">
      <c r="B850" s="175">
        <v>45168</v>
      </c>
      <c r="C850" s="176">
        <v>25.85000038146973</v>
      </c>
      <c r="D850" s="180">
        <f t="shared" si="26"/>
        <v>4.8681573286410013E-2</v>
      </c>
      <c r="F850" s="184">
        <v>45168</v>
      </c>
      <c r="G850" s="185">
        <v>19347.44921875</v>
      </c>
      <c r="H850" s="186">
        <f t="shared" si="27"/>
        <v>2.4809568637635602E-4</v>
      </c>
    </row>
    <row r="851" spans="2:8">
      <c r="B851" s="175">
        <v>45169</v>
      </c>
      <c r="C851" s="176">
        <v>24.54999923706055</v>
      </c>
      <c r="D851" s="180">
        <f t="shared" si="26"/>
        <v>-5.0290178925531864E-2</v>
      </c>
      <c r="F851" s="181">
        <v>45169</v>
      </c>
      <c r="G851" s="182">
        <v>19253.80078125</v>
      </c>
      <c r="H851" s="183">
        <f t="shared" si="27"/>
        <v>-4.8403506033882458E-3</v>
      </c>
    </row>
    <row r="852" spans="2:8">
      <c r="B852" s="175">
        <v>45170</v>
      </c>
      <c r="C852" s="176">
        <v>25</v>
      </c>
      <c r="D852" s="180">
        <f t="shared" si="26"/>
        <v>1.8329970546806813E-2</v>
      </c>
      <c r="F852" s="184">
        <v>45170</v>
      </c>
      <c r="G852" s="185">
        <v>19435.30078125</v>
      </c>
      <c r="H852" s="186">
        <f t="shared" si="27"/>
        <v>9.4267101889176502E-3</v>
      </c>
    </row>
    <row r="853" spans="2:8">
      <c r="B853" s="175">
        <v>45173</v>
      </c>
      <c r="C853" s="176">
        <v>24.10000038146973</v>
      </c>
      <c r="D853" s="180">
        <f t="shared" si="26"/>
        <v>-3.5999984741210793E-2</v>
      </c>
      <c r="F853" s="181">
        <v>45173</v>
      </c>
      <c r="G853" s="182">
        <v>19528.80078125</v>
      </c>
      <c r="H853" s="183">
        <f t="shared" si="27"/>
        <v>4.8108337016426897E-3</v>
      </c>
    </row>
    <row r="854" spans="2:8">
      <c r="B854" s="175">
        <v>45174</v>
      </c>
      <c r="C854" s="176">
        <v>23.60000038146973</v>
      </c>
      <c r="D854" s="180">
        <f t="shared" si="26"/>
        <v>-2.0746887638410389E-2</v>
      </c>
      <c r="F854" s="184">
        <v>45174</v>
      </c>
      <c r="G854" s="185">
        <v>19574.900390625</v>
      </c>
      <c r="H854" s="186">
        <f t="shared" si="27"/>
        <v>2.3605960187407502E-3</v>
      </c>
    </row>
    <row r="855" spans="2:8">
      <c r="B855" s="175">
        <v>45175</v>
      </c>
      <c r="C855" s="176">
        <v>23.79999923706055</v>
      </c>
      <c r="D855" s="180">
        <f t="shared" si="26"/>
        <v>8.4745276422900223E-3</v>
      </c>
      <c r="F855" s="181">
        <v>45175</v>
      </c>
      <c r="G855" s="182">
        <v>19611.05078125</v>
      </c>
      <c r="H855" s="183">
        <f t="shared" si="27"/>
        <v>1.8467726478094107E-3</v>
      </c>
    </row>
    <row r="856" spans="2:8">
      <c r="B856" s="175">
        <v>45176</v>
      </c>
      <c r="C856" s="176">
        <v>24.10000038146973</v>
      </c>
      <c r="D856" s="180">
        <f t="shared" si="26"/>
        <v>1.2605090505298341E-2</v>
      </c>
      <c r="F856" s="184">
        <v>45176</v>
      </c>
      <c r="G856" s="185">
        <v>19727.05078125</v>
      </c>
      <c r="H856" s="186">
        <f t="shared" si="27"/>
        <v>5.9150323607803238E-3</v>
      </c>
    </row>
    <row r="857" spans="2:8">
      <c r="B857" s="175">
        <v>45177</v>
      </c>
      <c r="C857" s="176">
        <v>24.04999923706055</v>
      </c>
      <c r="D857" s="180">
        <f t="shared" si="26"/>
        <v>-2.0747362496983655E-3</v>
      </c>
      <c r="F857" s="181">
        <v>45177</v>
      </c>
      <c r="G857" s="182">
        <v>19819.94921875</v>
      </c>
      <c r="H857" s="183">
        <f t="shared" si="27"/>
        <v>4.7091903665750848E-3</v>
      </c>
    </row>
    <row r="858" spans="2:8">
      <c r="B858" s="175">
        <v>45180</v>
      </c>
      <c r="C858" s="176">
        <v>24</v>
      </c>
      <c r="D858" s="180">
        <f t="shared" si="26"/>
        <v>-2.0789704218993339E-3</v>
      </c>
      <c r="F858" s="184">
        <v>45180</v>
      </c>
      <c r="G858" s="185">
        <v>19996.349609375</v>
      </c>
      <c r="H858" s="186">
        <f t="shared" si="27"/>
        <v>8.9001434200508597E-3</v>
      </c>
    </row>
    <row r="859" spans="2:8">
      <c r="B859" s="175">
        <v>45181</v>
      </c>
      <c r="C859" s="176">
        <v>22.79999923706055</v>
      </c>
      <c r="D859" s="180">
        <f t="shared" si="26"/>
        <v>-5.000003178914373E-2</v>
      </c>
      <c r="F859" s="181">
        <v>45181</v>
      </c>
      <c r="G859" s="182">
        <v>19993.19921875</v>
      </c>
      <c r="H859" s="183">
        <f t="shared" si="27"/>
        <v>-1.5754828688947231E-4</v>
      </c>
    </row>
    <row r="860" spans="2:8">
      <c r="B860" s="175">
        <v>45182</v>
      </c>
      <c r="C860" s="176">
        <v>22.14999961853027</v>
      </c>
      <c r="D860" s="180">
        <f t="shared" si="26"/>
        <v>-2.8508756152663829E-2</v>
      </c>
      <c r="F860" s="184">
        <v>45182</v>
      </c>
      <c r="G860" s="185">
        <v>20070</v>
      </c>
      <c r="H860" s="186">
        <f t="shared" si="27"/>
        <v>3.8413452699443307E-3</v>
      </c>
    </row>
    <row r="861" spans="2:8">
      <c r="B861" s="175">
        <v>45183</v>
      </c>
      <c r="C861" s="176">
        <v>23.25</v>
      </c>
      <c r="D861" s="180">
        <f t="shared" si="26"/>
        <v>4.9661417625916825E-2</v>
      </c>
      <c r="F861" s="181">
        <v>45183</v>
      </c>
      <c r="G861" s="182">
        <v>20103.099609375</v>
      </c>
      <c r="H861" s="183">
        <f t="shared" si="27"/>
        <v>1.6492082399103139E-3</v>
      </c>
    </row>
    <row r="862" spans="2:8">
      <c r="B862" s="175">
        <v>45184</v>
      </c>
      <c r="C862" s="176">
        <v>24.20000076293945</v>
      </c>
      <c r="D862" s="180">
        <f t="shared" si="26"/>
        <v>4.0860247868363425E-2</v>
      </c>
      <c r="F862" s="184">
        <v>45184</v>
      </c>
      <c r="G862" s="185">
        <v>20192.349609375</v>
      </c>
      <c r="H862" s="186">
        <f t="shared" si="27"/>
        <v>4.439613877174375E-3</v>
      </c>
    </row>
    <row r="863" spans="2:8">
      <c r="B863" s="175">
        <v>45187</v>
      </c>
      <c r="C863" s="176">
        <v>24.75</v>
      </c>
      <c r="D863" s="180">
        <f t="shared" si="26"/>
        <v>2.2727240484340581E-2</v>
      </c>
      <c r="F863" s="181">
        <v>45187</v>
      </c>
      <c r="G863" s="182">
        <v>20133.30078125</v>
      </c>
      <c r="H863" s="183">
        <f t="shared" si="27"/>
        <v>-2.9243168460982138E-3</v>
      </c>
    </row>
    <row r="864" spans="2:8">
      <c r="B864" s="175">
        <v>45189</v>
      </c>
      <c r="C864" s="176">
        <v>25.85000038146973</v>
      </c>
      <c r="D864" s="180">
        <f t="shared" si="26"/>
        <v>4.4444459857362832E-2</v>
      </c>
      <c r="F864" s="184">
        <v>45189</v>
      </c>
      <c r="G864" s="185">
        <v>19901.400390625</v>
      </c>
      <c r="H864" s="186">
        <f t="shared" si="27"/>
        <v>-1.1518249945432057E-2</v>
      </c>
    </row>
    <row r="865" spans="2:8">
      <c r="B865" s="175">
        <v>45190</v>
      </c>
      <c r="C865" s="176">
        <v>25.5</v>
      </c>
      <c r="D865" s="180">
        <f t="shared" si="26"/>
        <v>-1.3539666394768172E-2</v>
      </c>
      <c r="F865" s="181">
        <v>45190</v>
      </c>
      <c r="G865" s="182">
        <v>19742.349609375</v>
      </c>
      <c r="H865" s="183">
        <f t="shared" si="27"/>
        <v>-7.9919391664982752E-3</v>
      </c>
    </row>
    <row r="866" spans="2:8">
      <c r="B866" s="175">
        <v>45191</v>
      </c>
      <c r="C866" s="176">
        <v>25.04999923706055</v>
      </c>
      <c r="D866" s="180">
        <f t="shared" si="26"/>
        <v>-1.7647088742723513E-2</v>
      </c>
      <c r="F866" s="184">
        <v>45191</v>
      </c>
      <c r="G866" s="185">
        <v>19674.25</v>
      </c>
      <c r="H866" s="186">
        <f t="shared" si="27"/>
        <v>-3.4494176591149876E-3</v>
      </c>
    </row>
    <row r="867" spans="2:8">
      <c r="B867" s="175">
        <v>45194</v>
      </c>
      <c r="C867" s="176">
        <v>25.5</v>
      </c>
      <c r="D867" s="180">
        <f t="shared" si="26"/>
        <v>1.7964102860078737E-2</v>
      </c>
      <c r="F867" s="181">
        <v>45194</v>
      </c>
      <c r="G867" s="182">
        <v>19674.55078125</v>
      </c>
      <c r="H867" s="183">
        <f t="shared" si="27"/>
        <v>1.5288066889462116E-5</v>
      </c>
    </row>
    <row r="868" spans="2:8">
      <c r="B868" s="175">
        <v>45195</v>
      </c>
      <c r="C868" s="176">
        <v>26</v>
      </c>
      <c r="D868" s="180">
        <f t="shared" si="26"/>
        <v>1.9607843137254902E-2</v>
      </c>
      <c r="F868" s="184">
        <v>45195</v>
      </c>
      <c r="G868" s="185">
        <v>19664.69921875</v>
      </c>
      <c r="H868" s="186">
        <f t="shared" si="27"/>
        <v>-5.0072617207548218E-4</v>
      </c>
    </row>
    <row r="869" spans="2:8">
      <c r="B869" s="175">
        <v>45196</v>
      </c>
      <c r="C869" s="176">
        <v>25.64999961853027</v>
      </c>
      <c r="D869" s="180">
        <f t="shared" si="26"/>
        <v>-1.3461553133451157E-2</v>
      </c>
      <c r="F869" s="181">
        <v>45196</v>
      </c>
      <c r="G869" s="182">
        <v>19716.44921875</v>
      </c>
      <c r="H869" s="183">
        <f t="shared" si="27"/>
        <v>2.6316191986632139E-3</v>
      </c>
    </row>
    <row r="870" spans="2:8">
      <c r="B870" s="175">
        <v>45197</v>
      </c>
      <c r="C870" s="176">
        <v>25.64999961853027</v>
      </c>
      <c r="D870" s="180">
        <f t="shared" si="26"/>
        <v>0</v>
      </c>
      <c r="F870" s="184">
        <v>45197</v>
      </c>
      <c r="G870" s="185">
        <v>19523.55078125</v>
      </c>
      <c r="H870" s="186">
        <f t="shared" si="27"/>
        <v>-9.7836296667737181E-3</v>
      </c>
    </row>
    <row r="871" spans="2:8">
      <c r="B871" s="175">
        <v>45198</v>
      </c>
      <c r="C871" s="176">
        <v>25.79999923706055</v>
      </c>
      <c r="D871" s="180">
        <f t="shared" si="26"/>
        <v>5.8479384312316585E-3</v>
      </c>
      <c r="F871" s="181">
        <v>45198</v>
      </c>
      <c r="G871" s="182">
        <v>19638.30078125</v>
      </c>
      <c r="H871" s="183">
        <f t="shared" si="27"/>
        <v>5.8775169171687482E-3</v>
      </c>
    </row>
    <row r="872" spans="2:8">
      <c r="B872" s="175">
        <v>45202</v>
      </c>
      <c r="C872" s="176">
        <v>26.95000076293945</v>
      </c>
      <c r="D872" s="180">
        <f t="shared" si="26"/>
        <v>4.4573703871547916E-2</v>
      </c>
      <c r="F872" s="184">
        <v>45202</v>
      </c>
      <c r="G872" s="185">
        <v>19528.75</v>
      </c>
      <c r="H872" s="186">
        <f t="shared" si="27"/>
        <v>-5.5784246544688561E-3</v>
      </c>
    </row>
    <row r="873" spans="2:8">
      <c r="B873" s="175">
        <v>45203</v>
      </c>
      <c r="C873" s="176">
        <v>28.10000038146973</v>
      </c>
      <c r="D873" s="180">
        <f t="shared" si="26"/>
        <v>4.2671598737455824E-2</v>
      </c>
      <c r="F873" s="181">
        <v>45203</v>
      </c>
      <c r="G873" s="182">
        <v>19436.099609375</v>
      </c>
      <c r="H873" s="183">
        <f t="shared" si="27"/>
        <v>-4.7443072713307301E-3</v>
      </c>
    </row>
    <row r="874" spans="2:8">
      <c r="B874" s="175">
        <v>45204</v>
      </c>
      <c r="C874" s="176">
        <v>29.5</v>
      </c>
      <c r="D874" s="180">
        <f t="shared" si="26"/>
        <v>4.9822049805148254E-2</v>
      </c>
      <c r="F874" s="184">
        <v>45204</v>
      </c>
      <c r="G874" s="185">
        <v>19545.75</v>
      </c>
      <c r="H874" s="186">
        <f t="shared" si="27"/>
        <v>5.6415841052857201E-3</v>
      </c>
    </row>
    <row r="875" spans="2:8">
      <c r="B875" s="175">
        <v>45205</v>
      </c>
      <c r="C875" s="176">
        <v>29.10000038146973</v>
      </c>
      <c r="D875" s="180">
        <f t="shared" si="26"/>
        <v>-1.3559309102721013E-2</v>
      </c>
      <c r="F875" s="181">
        <v>45205</v>
      </c>
      <c r="G875" s="182">
        <v>19653.5</v>
      </c>
      <c r="H875" s="183">
        <f t="shared" si="27"/>
        <v>5.512707366051443E-3</v>
      </c>
    </row>
    <row r="876" spans="2:8">
      <c r="B876" s="175">
        <v>45208</v>
      </c>
      <c r="C876" s="176">
        <v>27.64999961853027</v>
      </c>
      <c r="D876" s="180">
        <f t="shared" si="26"/>
        <v>-4.9828204258814728E-2</v>
      </c>
      <c r="F876" s="184">
        <v>45208</v>
      </c>
      <c r="G876" s="185">
        <v>19512.349609375</v>
      </c>
      <c r="H876" s="186">
        <f t="shared" si="27"/>
        <v>-7.181946758847025E-3</v>
      </c>
    </row>
    <row r="877" spans="2:8">
      <c r="B877" s="175">
        <v>45209</v>
      </c>
      <c r="C877" s="176">
        <v>26.35000038146973</v>
      </c>
      <c r="D877" s="180">
        <f t="shared" si="26"/>
        <v>-4.7016247920282646E-2</v>
      </c>
      <c r="F877" s="181">
        <v>45209</v>
      </c>
      <c r="G877" s="182">
        <v>19689.849609375</v>
      </c>
      <c r="H877" s="183">
        <f t="shared" si="27"/>
        <v>9.0968029762401072E-3</v>
      </c>
    </row>
    <row r="878" spans="2:8">
      <c r="B878" s="175">
        <v>45210</v>
      </c>
      <c r="C878" s="176">
        <v>27.64999961853027</v>
      </c>
      <c r="D878" s="180">
        <f t="shared" si="26"/>
        <v>4.9335833709313569E-2</v>
      </c>
      <c r="F878" s="184">
        <v>45210</v>
      </c>
      <c r="G878" s="185">
        <v>19811.349609375</v>
      </c>
      <c r="H878" s="186">
        <f t="shared" si="27"/>
        <v>6.1706921287072586E-3</v>
      </c>
    </row>
    <row r="879" spans="2:8">
      <c r="B879" s="175">
        <v>45211</v>
      </c>
      <c r="C879" s="176">
        <v>27.14999961853027</v>
      </c>
      <c r="D879" s="180">
        <f t="shared" si="26"/>
        <v>-1.8083182889627014E-2</v>
      </c>
      <c r="F879" s="181">
        <v>45211</v>
      </c>
      <c r="G879" s="182">
        <v>19794</v>
      </c>
      <c r="H879" s="183">
        <f t="shared" si="27"/>
        <v>-8.7574091200681898E-4</v>
      </c>
    </row>
    <row r="880" spans="2:8">
      <c r="B880" s="175">
        <v>45212</v>
      </c>
      <c r="C880" s="176">
        <v>26.79999923706055</v>
      </c>
      <c r="D880" s="180">
        <f t="shared" si="26"/>
        <v>-1.2891358614636557E-2</v>
      </c>
      <c r="F880" s="184">
        <v>45212</v>
      </c>
      <c r="G880" s="185">
        <v>19751.05078125</v>
      </c>
      <c r="H880" s="186">
        <f t="shared" si="27"/>
        <v>-2.1698099802970596E-3</v>
      </c>
    </row>
    <row r="881" spans="2:8">
      <c r="B881" s="175">
        <v>45215</v>
      </c>
      <c r="C881" s="176">
        <v>28.10000038146973</v>
      </c>
      <c r="D881" s="180">
        <f t="shared" si="26"/>
        <v>4.8507506769308588E-2</v>
      </c>
      <c r="F881" s="181">
        <v>45215</v>
      </c>
      <c r="G881" s="182">
        <v>19731.75</v>
      </c>
      <c r="H881" s="183">
        <f t="shared" si="27"/>
        <v>-9.7720275562870559E-4</v>
      </c>
    </row>
    <row r="882" spans="2:8">
      <c r="B882" s="175">
        <v>45216</v>
      </c>
      <c r="C882" s="176">
        <v>29.5</v>
      </c>
      <c r="D882" s="180">
        <f t="shared" si="26"/>
        <v>4.9822049805148254E-2</v>
      </c>
      <c r="F882" s="184">
        <v>45216</v>
      </c>
      <c r="G882" s="185">
        <v>19811.5</v>
      </c>
      <c r="H882" s="186">
        <f t="shared" si="27"/>
        <v>4.0417094276990126E-3</v>
      </c>
    </row>
    <row r="883" spans="2:8">
      <c r="B883" s="175">
        <v>45217</v>
      </c>
      <c r="C883" s="176">
        <v>30.95000076293945</v>
      </c>
      <c r="D883" s="180">
        <f t="shared" si="26"/>
        <v>4.9152568235235582E-2</v>
      </c>
      <c r="F883" s="181">
        <v>45217</v>
      </c>
      <c r="G883" s="182">
        <v>19671.099609375</v>
      </c>
      <c r="H883" s="183">
        <f t="shared" si="27"/>
        <v>-7.0868127413371024E-3</v>
      </c>
    </row>
    <row r="884" spans="2:8">
      <c r="B884" s="175">
        <v>45218</v>
      </c>
      <c r="C884" s="176">
        <v>31.60000038146973</v>
      </c>
      <c r="D884" s="180">
        <f t="shared" si="26"/>
        <v>2.1001602665826475E-2</v>
      </c>
      <c r="F884" s="184">
        <v>45218</v>
      </c>
      <c r="G884" s="185">
        <v>19624.69921875</v>
      </c>
      <c r="H884" s="186">
        <f t="shared" si="27"/>
        <v>-2.3588102112444267E-3</v>
      </c>
    </row>
    <row r="885" spans="2:8">
      <c r="B885" s="175">
        <v>45219</v>
      </c>
      <c r="C885" s="176">
        <v>32.5</v>
      </c>
      <c r="D885" s="180">
        <f t="shared" si="26"/>
        <v>2.8481000242583241E-2</v>
      </c>
      <c r="F885" s="181">
        <v>45219</v>
      </c>
      <c r="G885" s="182">
        <v>19542.650390625</v>
      </c>
      <c r="H885" s="183">
        <f t="shared" si="27"/>
        <v>-4.1808960845936532E-3</v>
      </c>
    </row>
    <row r="886" spans="2:8">
      <c r="B886" s="175">
        <v>45222</v>
      </c>
      <c r="C886" s="176">
        <v>31.79999923706055</v>
      </c>
      <c r="D886" s="180">
        <f t="shared" si="26"/>
        <v>-2.1538485013521524E-2</v>
      </c>
      <c r="F886" s="184">
        <v>45222</v>
      </c>
      <c r="G886" s="185">
        <v>19281.75</v>
      </c>
      <c r="H886" s="186">
        <f t="shared" si="27"/>
        <v>-1.3350307425555702E-2</v>
      </c>
    </row>
    <row r="887" spans="2:8">
      <c r="B887" s="175">
        <v>45224</v>
      </c>
      <c r="C887" s="176">
        <v>31.89999961853027</v>
      </c>
      <c r="D887" s="180">
        <f t="shared" si="26"/>
        <v>3.1446661593996644E-3</v>
      </c>
      <c r="F887" s="181">
        <v>45224</v>
      </c>
      <c r="G887" s="182">
        <v>19122.150390625</v>
      </c>
      <c r="H887" s="183">
        <f t="shared" si="27"/>
        <v>-8.2772367329210263E-3</v>
      </c>
    </row>
    <row r="888" spans="2:8">
      <c r="B888" s="175">
        <v>45225</v>
      </c>
      <c r="C888" s="176">
        <v>31.39999961853027</v>
      </c>
      <c r="D888" s="180">
        <f t="shared" si="26"/>
        <v>-1.5673981378656724E-2</v>
      </c>
      <c r="F888" s="184">
        <v>45225</v>
      </c>
      <c r="G888" s="185">
        <v>18857.25</v>
      </c>
      <c r="H888" s="186">
        <f t="shared" si="27"/>
        <v>-1.385306491234754E-2</v>
      </c>
    </row>
    <row r="889" spans="2:8">
      <c r="B889" s="175">
        <v>45226</v>
      </c>
      <c r="C889" s="176">
        <v>32.099998474121087</v>
      </c>
      <c r="D889" s="180">
        <f t="shared" si="26"/>
        <v>2.2292957455251759E-2</v>
      </c>
      <c r="F889" s="181">
        <v>45226</v>
      </c>
      <c r="G889" s="182">
        <v>19047.25</v>
      </c>
      <c r="H889" s="183">
        <f t="shared" si="27"/>
        <v>1.007570032746026E-2</v>
      </c>
    </row>
    <row r="890" spans="2:8">
      <c r="B890" s="175">
        <v>45229</v>
      </c>
      <c r="C890" s="176">
        <v>31.54999923706055</v>
      </c>
      <c r="D890" s="180">
        <f t="shared" si="26"/>
        <v>-1.713393343317271E-2</v>
      </c>
      <c r="F890" s="184">
        <v>45229</v>
      </c>
      <c r="G890" s="185">
        <v>19140.900390625</v>
      </c>
      <c r="H890" s="186">
        <f t="shared" si="27"/>
        <v>4.9167407696649118E-3</v>
      </c>
    </row>
    <row r="891" spans="2:8">
      <c r="B891" s="175">
        <v>45230</v>
      </c>
      <c r="C891" s="176">
        <v>30.60000038146973</v>
      </c>
      <c r="D891" s="180">
        <f t="shared" si="26"/>
        <v>-3.0110899479036873E-2</v>
      </c>
      <c r="F891" s="181">
        <v>45230</v>
      </c>
      <c r="G891" s="182">
        <v>19079.599609375</v>
      </c>
      <c r="H891" s="183">
        <f t="shared" si="27"/>
        <v>-3.2026069828995319E-3</v>
      </c>
    </row>
    <row r="892" spans="2:8">
      <c r="B892" s="175">
        <v>45231</v>
      </c>
      <c r="C892" s="176">
        <v>31.29999923706055</v>
      </c>
      <c r="D892" s="180">
        <f t="shared" si="26"/>
        <v>2.2875779309294214E-2</v>
      </c>
      <c r="F892" s="184">
        <v>45231</v>
      </c>
      <c r="G892" s="185">
        <v>18989.150390625</v>
      </c>
      <c r="H892" s="186">
        <f t="shared" si="27"/>
        <v>-4.7406245729368791E-3</v>
      </c>
    </row>
    <row r="893" spans="2:8">
      <c r="B893" s="175">
        <v>45232</v>
      </c>
      <c r="C893" s="176">
        <v>32.650001525878913</v>
      </c>
      <c r="D893" s="180">
        <f t="shared" si="26"/>
        <v>4.313106459184516E-2</v>
      </c>
      <c r="F893" s="181">
        <v>45232</v>
      </c>
      <c r="G893" s="182">
        <v>19133.25</v>
      </c>
      <c r="H893" s="183">
        <f t="shared" si="27"/>
        <v>7.5885232572670764E-3</v>
      </c>
    </row>
    <row r="894" spans="2:8">
      <c r="B894" s="175">
        <v>45233</v>
      </c>
      <c r="C894" s="176">
        <v>34.25</v>
      </c>
      <c r="D894" s="180">
        <f t="shared" si="26"/>
        <v>4.900454515608222E-2</v>
      </c>
      <c r="F894" s="184">
        <v>45233</v>
      </c>
      <c r="G894" s="185">
        <v>19230.599609375</v>
      </c>
      <c r="H894" s="186">
        <f t="shared" si="27"/>
        <v>5.0879808383311777E-3</v>
      </c>
    </row>
    <row r="895" spans="2:8">
      <c r="B895" s="175">
        <v>45236</v>
      </c>
      <c r="C895" s="176">
        <v>35.950000762939453</v>
      </c>
      <c r="D895" s="180">
        <f t="shared" si="26"/>
        <v>4.9635058771954836E-2</v>
      </c>
      <c r="F895" s="181">
        <v>45236</v>
      </c>
      <c r="G895" s="182">
        <v>19411.75</v>
      </c>
      <c r="H895" s="183">
        <f t="shared" si="27"/>
        <v>9.4199033989916994E-3</v>
      </c>
    </row>
    <row r="896" spans="2:8">
      <c r="B896" s="175">
        <v>45237</v>
      </c>
      <c r="C896" s="176">
        <v>37.349998474121087</v>
      </c>
      <c r="D896" s="180">
        <f t="shared" si="26"/>
        <v>3.8942911862880382E-2</v>
      </c>
      <c r="F896" s="184">
        <v>45237</v>
      </c>
      <c r="G896" s="185">
        <v>19406.69921875</v>
      </c>
      <c r="H896" s="186">
        <f t="shared" si="27"/>
        <v>-2.6019195847875644E-4</v>
      </c>
    </row>
    <row r="897" spans="2:8">
      <c r="B897" s="175">
        <v>45238</v>
      </c>
      <c r="C897" s="176">
        <v>37.400001525878913</v>
      </c>
      <c r="D897" s="180">
        <f t="shared" si="26"/>
        <v>1.3387698474063559E-3</v>
      </c>
      <c r="F897" s="181">
        <v>45238</v>
      </c>
      <c r="G897" s="182">
        <v>19443.5</v>
      </c>
      <c r="H897" s="183">
        <f t="shared" si="27"/>
        <v>1.8962926582818634E-3</v>
      </c>
    </row>
    <row r="898" spans="2:8">
      <c r="B898" s="175">
        <v>45239</v>
      </c>
      <c r="C898" s="176">
        <v>37.299999237060547</v>
      </c>
      <c r="D898" s="180">
        <f t="shared" si="26"/>
        <v>-2.6738578807054313E-3</v>
      </c>
      <c r="F898" s="184">
        <v>45239</v>
      </c>
      <c r="G898" s="185">
        <v>19395.30078125</v>
      </c>
      <c r="H898" s="186">
        <f t="shared" si="27"/>
        <v>-2.4789373698151053E-3</v>
      </c>
    </row>
    <row r="899" spans="2:8">
      <c r="B899" s="175">
        <v>45240</v>
      </c>
      <c r="C899" s="176">
        <v>37.900001525878913</v>
      </c>
      <c r="D899" s="180">
        <f t="shared" si="26"/>
        <v>1.6085852576163486E-2</v>
      </c>
      <c r="F899" s="181">
        <v>45240</v>
      </c>
      <c r="G899" s="182">
        <v>19425.349609375</v>
      </c>
      <c r="H899" s="183">
        <f t="shared" si="27"/>
        <v>1.5492839458333678E-3</v>
      </c>
    </row>
    <row r="900" spans="2:8">
      <c r="B900" s="175">
        <v>45243</v>
      </c>
      <c r="C900" s="176">
        <v>38.650001525878913</v>
      </c>
      <c r="D900" s="180">
        <f t="shared" si="26"/>
        <v>1.9788917409089925E-2</v>
      </c>
      <c r="F900" s="184">
        <v>45243</v>
      </c>
      <c r="G900" s="185">
        <v>19443.55078125</v>
      </c>
      <c r="H900" s="186">
        <f t="shared" si="27"/>
        <v>9.3698040143461864E-4</v>
      </c>
    </row>
    <row r="901" spans="2:8">
      <c r="B901" s="175">
        <v>45245</v>
      </c>
      <c r="C901" s="176">
        <v>40.5</v>
      </c>
      <c r="D901" s="180">
        <f t="shared" ref="D901:D964" si="28">(C901-C900)/C900</f>
        <v>4.7865417880575807E-2</v>
      </c>
      <c r="F901" s="181">
        <v>45245</v>
      </c>
      <c r="G901" s="182">
        <v>19675.44921875</v>
      </c>
      <c r="H901" s="183">
        <f t="shared" ref="H901:H964" si="29">(G901-G900)/G900</f>
        <v>1.1926753508604336E-2</v>
      </c>
    </row>
    <row r="902" spans="2:8">
      <c r="B902" s="175">
        <v>45246</v>
      </c>
      <c r="C902" s="176">
        <v>42.099998474121087</v>
      </c>
      <c r="D902" s="180">
        <f t="shared" si="28"/>
        <v>3.950613516348362E-2</v>
      </c>
      <c r="F902" s="184">
        <v>45246</v>
      </c>
      <c r="G902" s="185">
        <v>19765.19921875</v>
      </c>
      <c r="H902" s="186">
        <f t="shared" si="29"/>
        <v>4.5615222809993819E-3</v>
      </c>
    </row>
    <row r="903" spans="2:8">
      <c r="B903" s="175">
        <v>45247</v>
      </c>
      <c r="C903" s="176">
        <v>42.299999237060547</v>
      </c>
      <c r="D903" s="180">
        <f t="shared" si="28"/>
        <v>4.7506121184873896E-3</v>
      </c>
      <c r="F903" s="181">
        <v>45247</v>
      </c>
      <c r="G903" s="182">
        <v>19731.80078125</v>
      </c>
      <c r="H903" s="183">
        <f t="shared" si="29"/>
        <v>-1.6897597201204532E-3</v>
      </c>
    </row>
    <row r="904" spans="2:8">
      <c r="B904" s="175">
        <v>45250</v>
      </c>
      <c r="C904" s="176">
        <v>41.349998474121087</v>
      </c>
      <c r="D904" s="180">
        <f t="shared" si="28"/>
        <v>-2.2458647283074427E-2</v>
      </c>
      <c r="F904" s="184">
        <v>45250</v>
      </c>
      <c r="G904" s="185">
        <v>19694</v>
      </c>
      <c r="H904" s="186">
        <f t="shared" si="29"/>
        <v>-1.9157289123818803E-3</v>
      </c>
    </row>
    <row r="905" spans="2:8">
      <c r="B905" s="175">
        <v>45251</v>
      </c>
      <c r="C905" s="176">
        <v>39.299999237060547</v>
      </c>
      <c r="D905" s="180">
        <f t="shared" si="28"/>
        <v>-4.9576766933704546E-2</v>
      </c>
      <c r="F905" s="181">
        <v>45251</v>
      </c>
      <c r="G905" s="182">
        <v>19783.400390625</v>
      </c>
      <c r="H905" s="183">
        <f t="shared" si="29"/>
        <v>4.5394734754239871E-3</v>
      </c>
    </row>
    <row r="906" spans="2:8">
      <c r="B906" s="175">
        <v>45252</v>
      </c>
      <c r="C906" s="176">
        <v>37.349998474121087</v>
      </c>
      <c r="D906" s="180">
        <f t="shared" si="28"/>
        <v>-4.9618340987156492E-2</v>
      </c>
      <c r="F906" s="184">
        <v>45252</v>
      </c>
      <c r="G906" s="185">
        <v>19811.849609375</v>
      </c>
      <c r="H906" s="186">
        <f t="shared" si="29"/>
        <v>1.438034826585301E-3</v>
      </c>
    </row>
    <row r="907" spans="2:8">
      <c r="B907" s="175">
        <v>45253</v>
      </c>
      <c r="C907" s="176">
        <v>39.200000762939453</v>
      </c>
      <c r="D907" s="180">
        <f t="shared" si="28"/>
        <v>4.9531522473827902E-2</v>
      </c>
      <c r="F907" s="181">
        <v>45253</v>
      </c>
      <c r="G907" s="182">
        <v>19802</v>
      </c>
      <c r="H907" s="183">
        <f t="shared" si="29"/>
        <v>-4.9715748752398909E-4</v>
      </c>
    </row>
    <row r="908" spans="2:8">
      <c r="B908" s="175">
        <v>45254</v>
      </c>
      <c r="C908" s="176">
        <v>40.599998474121087</v>
      </c>
      <c r="D908" s="180">
        <f t="shared" si="28"/>
        <v>3.571422663096533E-2</v>
      </c>
      <c r="F908" s="184">
        <v>45254</v>
      </c>
      <c r="G908" s="185">
        <v>19794.69921875</v>
      </c>
      <c r="H908" s="186">
        <f t="shared" si="29"/>
        <v>-3.6868908443591557E-4</v>
      </c>
    </row>
    <row r="909" spans="2:8">
      <c r="B909" s="175">
        <v>45258</v>
      </c>
      <c r="C909" s="176">
        <v>38.950000762939453</v>
      </c>
      <c r="D909" s="180">
        <f t="shared" si="28"/>
        <v>-4.0640339241228333E-2</v>
      </c>
      <c r="F909" s="181">
        <v>45258</v>
      </c>
      <c r="G909" s="182">
        <v>19889.69921875</v>
      </c>
      <c r="H909" s="183">
        <f t="shared" si="29"/>
        <v>4.7992646389905125E-3</v>
      </c>
    </row>
    <row r="910" spans="2:8">
      <c r="B910" s="175">
        <v>45259</v>
      </c>
      <c r="C910" s="176">
        <v>39.599998474121087</v>
      </c>
      <c r="D910" s="180">
        <f t="shared" si="28"/>
        <v>1.6688002527591735E-2</v>
      </c>
      <c r="F910" s="184">
        <v>45259</v>
      </c>
      <c r="G910" s="185">
        <v>20096.599609375</v>
      </c>
      <c r="H910" s="186">
        <f t="shared" si="29"/>
        <v>1.0402389113554579E-2</v>
      </c>
    </row>
    <row r="911" spans="2:8">
      <c r="B911" s="175">
        <v>45260</v>
      </c>
      <c r="C911" s="176">
        <v>40.75</v>
      </c>
      <c r="D911" s="180">
        <f t="shared" si="28"/>
        <v>2.9040443691694798E-2</v>
      </c>
      <c r="F911" s="181">
        <v>45260</v>
      </c>
      <c r="G911" s="182">
        <v>20133.150390625</v>
      </c>
      <c r="H911" s="183">
        <f t="shared" si="29"/>
        <v>1.8187545137212753E-3</v>
      </c>
    </row>
    <row r="912" spans="2:8">
      <c r="B912" s="175">
        <v>45261</v>
      </c>
      <c r="C912" s="176">
        <v>39.400001525878913</v>
      </c>
      <c r="D912" s="180">
        <f t="shared" si="28"/>
        <v>-3.312879691094691E-2</v>
      </c>
      <c r="F912" s="184">
        <v>45261</v>
      </c>
      <c r="G912" s="185">
        <v>20267.900390625</v>
      </c>
      <c r="H912" s="186">
        <f t="shared" si="29"/>
        <v>6.6929416105065368E-3</v>
      </c>
    </row>
    <row r="913" spans="2:8">
      <c r="B913" s="175">
        <v>45264</v>
      </c>
      <c r="C913" s="176">
        <v>40.099998474121087</v>
      </c>
      <c r="D913" s="180">
        <f t="shared" si="28"/>
        <v>1.7766419318090577E-2</v>
      </c>
      <c r="F913" s="181">
        <v>45264</v>
      </c>
      <c r="G913" s="182">
        <v>20686.80078125</v>
      </c>
      <c r="H913" s="183">
        <f t="shared" si="29"/>
        <v>2.0668169003769332E-2</v>
      </c>
    </row>
    <row r="914" spans="2:8">
      <c r="B914" s="175">
        <v>45265</v>
      </c>
      <c r="C914" s="176">
        <v>39.650001525878913</v>
      </c>
      <c r="D914" s="180">
        <f t="shared" si="28"/>
        <v>-1.1221869460483473E-2</v>
      </c>
      <c r="F914" s="184">
        <v>45265</v>
      </c>
      <c r="G914" s="185">
        <v>20855.099609375</v>
      </c>
      <c r="H914" s="186">
        <f t="shared" si="29"/>
        <v>8.1355657602475619E-3</v>
      </c>
    </row>
    <row r="915" spans="2:8">
      <c r="B915" s="175">
        <v>45266</v>
      </c>
      <c r="C915" s="176">
        <v>38.950000762939453</v>
      </c>
      <c r="D915" s="180">
        <f t="shared" si="28"/>
        <v>-1.7654495233312438E-2</v>
      </c>
      <c r="F915" s="181">
        <v>45266</v>
      </c>
      <c r="G915" s="182">
        <v>20937.69921875</v>
      </c>
      <c r="H915" s="183">
        <f t="shared" si="29"/>
        <v>3.9606432442005199E-3</v>
      </c>
    </row>
    <row r="916" spans="2:8">
      <c r="B916" s="175">
        <v>45267</v>
      </c>
      <c r="C916" s="176">
        <v>39.049999237060547</v>
      </c>
      <c r="D916" s="180">
        <f t="shared" si="28"/>
        <v>2.5673548693801651E-3</v>
      </c>
      <c r="F916" s="184">
        <v>45267</v>
      </c>
      <c r="G916" s="185">
        <v>20901.150390625</v>
      </c>
      <c r="H916" s="186">
        <f t="shared" si="29"/>
        <v>-1.7455990623969808E-3</v>
      </c>
    </row>
    <row r="917" spans="2:8">
      <c r="B917" s="175">
        <v>45268</v>
      </c>
      <c r="C917" s="176">
        <v>38.75</v>
      </c>
      <c r="D917" s="180">
        <f t="shared" si="28"/>
        <v>-7.6824389992774054E-3</v>
      </c>
      <c r="F917" s="181">
        <v>45268</v>
      </c>
      <c r="G917" s="182">
        <v>20969.400390625</v>
      </c>
      <c r="H917" s="183">
        <f t="shared" si="29"/>
        <v>3.2653705047073797E-3</v>
      </c>
    </row>
    <row r="918" spans="2:8">
      <c r="B918" s="175">
        <v>45271</v>
      </c>
      <c r="C918" s="176">
        <v>39.200000762939453</v>
      </c>
      <c r="D918" s="180">
        <f t="shared" si="28"/>
        <v>1.1612922914566533E-2</v>
      </c>
      <c r="F918" s="184">
        <v>45271</v>
      </c>
      <c r="G918" s="185">
        <v>20997.099609375</v>
      </c>
      <c r="H918" s="186">
        <f t="shared" si="29"/>
        <v>1.3209351833628857E-3</v>
      </c>
    </row>
    <row r="919" spans="2:8">
      <c r="B919" s="175">
        <v>45272</v>
      </c>
      <c r="C919" s="176">
        <v>38.5</v>
      </c>
      <c r="D919" s="180">
        <f t="shared" si="28"/>
        <v>-1.7857161972334688E-2</v>
      </c>
      <c r="F919" s="181">
        <v>45272</v>
      </c>
      <c r="G919" s="182">
        <v>20906.400390625</v>
      </c>
      <c r="H919" s="183">
        <f t="shared" si="29"/>
        <v>-4.3196070141755995E-3</v>
      </c>
    </row>
    <row r="920" spans="2:8">
      <c r="B920" s="175">
        <v>45273</v>
      </c>
      <c r="C920" s="176">
        <v>38.200000762939453</v>
      </c>
      <c r="D920" s="180">
        <f t="shared" si="28"/>
        <v>-7.79218797559862E-3</v>
      </c>
      <c r="F920" s="184">
        <v>45273</v>
      </c>
      <c r="G920" s="185">
        <v>20926.349609375</v>
      </c>
      <c r="H920" s="186">
        <f t="shared" si="29"/>
        <v>9.5421585625738684E-4</v>
      </c>
    </row>
    <row r="921" spans="2:8">
      <c r="B921" s="175">
        <v>45274</v>
      </c>
      <c r="C921" s="176">
        <v>37.349998474121087</v>
      </c>
      <c r="D921" s="180">
        <f t="shared" si="28"/>
        <v>-2.2251368372825122E-2</v>
      </c>
      <c r="F921" s="181">
        <v>45274</v>
      </c>
      <c r="G921" s="182">
        <v>21182.69921875</v>
      </c>
      <c r="H921" s="183">
        <f t="shared" si="29"/>
        <v>1.2250087289956937E-2</v>
      </c>
    </row>
    <row r="922" spans="2:8">
      <c r="B922" s="175">
        <v>45275</v>
      </c>
      <c r="C922" s="176">
        <v>38.549999237060547</v>
      </c>
      <c r="D922" s="180">
        <f t="shared" si="28"/>
        <v>3.212853579554794E-2</v>
      </c>
      <c r="F922" s="184">
        <v>45275</v>
      </c>
      <c r="G922" s="185">
        <v>21456.650390625</v>
      </c>
      <c r="H922" s="186">
        <f t="shared" si="29"/>
        <v>1.2932779200891942E-2</v>
      </c>
    </row>
    <row r="923" spans="2:8">
      <c r="B923" s="175">
        <v>45278</v>
      </c>
      <c r="C923" s="176">
        <v>37.849998474121087</v>
      </c>
      <c r="D923" s="180">
        <f t="shared" si="28"/>
        <v>-1.8158256207343976E-2</v>
      </c>
      <c r="F923" s="181">
        <v>45278</v>
      </c>
      <c r="G923" s="182">
        <v>21418.650390625</v>
      </c>
      <c r="H923" s="183">
        <f t="shared" si="29"/>
        <v>-1.7710126840955215E-3</v>
      </c>
    </row>
    <row r="924" spans="2:8">
      <c r="B924" s="175">
        <v>45279</v>
      </c>
      <c r="C924" s="176">
        <v>37.5</v>
      </c>
      <c r="D924" s="180">
        <f t="shared" si="28"/>
        <v>-9.2469878000229939E-3</v>
      </c>
      <c r="F924" s="184">
        <v>45279</v>
      </c>
      <c r="G924" s="185">
        <v>21453.099609375</v>
      </c>
      <c r="H924" s="186">
        <f t="shared" si="29"/>
        <v>1.6083748565725931E-3</v>
      </c>
    </row>
    <row r="925" spans="2:8">
      <c r="B925" s="175">
        <v>45280</v>
      </c>
      <c r="C925" s="176">
        <v>35.650001525878913</v>
      </c>
      <c r="D925" s="180">
        <f t="shared" si="28"/>
        <v>-4.9333292643228978E-2</v>
      </c>
      <c r="F925" s="181">
        <v>45280</v>
      </c>
      <c r="G925" s="182">
        <v>21150.150390625</v>
      </c>
      <c r="H925" s="183">
        <f t="shared" si="29"/>
        <v>-1.412146609423336E-2</v>
      </c>
    </row>
    <row r="926" spans="2:8">
      <c r="B926" s="175">
        <v>45281</v>
      </c>
      <c r="C926" s="176">
        <v>37.099998474121087</v>
      </c>
      <c r="D926" s="180">
        <f t="shared" si="28"/>
        <v>4.0673124437024137E-2</v>
      </c>
      <c r="F926" s="184">
        <v>45281</v>
      </c>
      <c r="G926" s="185">
        <v>21255.05078125</v>
      </c>
      <c r="H926" s="186">
        <f t="shared" si="29"/>
        <v>4.9597940765233554E-3</v>
      </c>
    </row>
    <row r="927" spans="2:8">
      <c r="B927" s="175">
        <v>45282</v>
      </c>
      <c r="C927" s="176">
        <v>37.25</v>
      </c>
      <c r="D927" s="180">
        <f t="shared" si="28"/>
        <v>4.0431679797384937E-3</v>
      </c>
      <c r="F927" s="181">
        <v>45282</v>
      </c>
      <c r="G927" s="182">
        <v>21349.400390625</v>
      </c>
      <c r="H927" s="183">
        <f t="shared" si="29"/>
        <v>4.4389265566107177E-3</v>
      </c>
    </row>
    <row r="928" spans="2:8">
      <c r="B928" s="175">
        <v>45286</v>
      </c>
      <c r="C928" s="176">
        <v>36.900001525878913</v>
      </c>
      <c r="D928" s="180">
        <f t="shared" si="28"/>
        <v>-9.3959321911701119E-3</v>
      </c>
      <c r="F928" s="184">
        <v>45286</v>
      </c>
      <c r="G928" s="185">
        <v>21441.349609375</v>
      </c>
      <c r="H928" s="186">
        <f t="shared" si="29"/>
        <v>4.3068759341071223E-3</v>
      </c>
    </row>
    <row r="929" spans="2:8">
      <c r="B929" s="175">
        <v>45287</v>
      </c>
      <c r="C929" s="176">
        <v>37.049999237060547</v>
      </c>
      <c r="D929" s="180">
        <f t="shared" si="28"/>
        <v>4.0649784547145962E-3</v>
      </c>
      <c r="F929" s="181">
        <v>45287</v>
      </c>
      <c r="G929" s="182">
        <v>21654.75</v>
      </c>
      <c r="H929" s="183">
        <f t="shared" si="29"/>
        <v>9.9527499207276091E-3</v>
      </c>
    </row>
    <row r="930" spans="2:8">
      <c r="B930" s="175">
        <v>45288</v>
      </c>
      <c r="C930" s="176">
        <v>38.150001525878913</v>
      </c>
      <c r="D930" s="180">
        <f t="shared" si="28"/>
        <v>2.9689671024825583E-2</v>
      </c>
      <c r="F930" s="184">
        <v>45288</v>
      </c>
      <c r="G930" s="185">
        <v>21778.69921875</v>
      </c>
      <c r="H930" s="186">
        <f t="shared" si="29"/>
        <v>5.7238813077962114E-3</v>
      </c>
    </row>
    <row r="931" spans="2:8">
      <c r="B931" s="175">
        <v>45289</v>
      </c>
      <c r="C931" s="176">
        <v>38.200000762939453</v>
      </c>
      <c r="D931" s="180">
        <f t="shared" si="28"/>
        <v>1.3105959386822822E-3</v>
      </c>
      <c r="F931" s="181">
        <v>45289</v>
      </c>
      <c r="G931" s="182">
        <v>21731.400390625</v>
      </c>
      <c r="H931" s="183">
        <f t="shared" si="29"/>
        <v>-2.171793074045436E-3</v>
      </c>
    </row>
    <row r="932" spans="2:8">
      <c r="B932" s="175">
        <v>45292</v>
      </c>
      <c r="C932" s="176">
        <v>38.5</v>
      </c>
      <c r="D932" s="180">
        <f t="shared" si="28"/>
        <v>7.8533830122746364E-3</v>
      </c>
      <c r="F932" s="184">
        <v>45292</v>
      </c>
      <c r="G932" s="185">
        <v>21741.900390625</v>
      </c>
      <c r="H932" s="186">
        <f t="shared" si="29"/>
        <v>4.8317180721265139E-4</v>
      </c>
    </row>
    <row r="933" spans="2:8">
      <c r="B933" s="175">
        <v>45293</v>
      </c>
      <c r="C933" s="176">
        <v>38.25</v>
      </c>
      <c r="D933" s="180">
        <f t="shared" si="28"/>
        <v>-6.4935064935064939E-3</v>
      </c>
      <c r="F933" s="181">
        <v>45293</v>
      </c>
      <c r="G933" s="182">
        <v>21665.80078125</v>
      </c>
      <c r="H933" s="183">
        <f t="shared" si="29"/>
        <v>-3.5001360510240297E-3</v>
      </c>
    </row>
    <row r="934" spans="2:8">
      <c r="B934" s="175">
        <v>45294</v>
      </c>
      <c r="C934" s="176">
        <v>37.799999237060547</v>
      </c>
      <c r="D934" s="180">
        <f t="shared" si="28"/>
        <v>-1.1764725828482434E-2</v>
      </c>
      <c r="F934" s="184">
        <v>45294</v>
      </c>
      <c r="G934" s="185">
        <v>21517.349609375</v>
      </c>
      <c r="H934" s="186">
        <f t="shared" si="29"/>
        <v>-6.8518663756694607E-3</v>
      </c>
    </row>
    <row r="935" spans="2:8">
      <c r="B935" s="175">
        <v>45295</v>
      </c>
      <c r="C935" s="176">
        <v>38.700000762939453</v>
      </c>
      <c r="D935" s="180">
        <f t="shared" si="28"/>
        <v>2.3809564657252976E-2</v>
      </c>
      <c r="F935" s="181">
        <v>45295</v>
      </c>
      <c r="G935" s="182">
        <v>21658.599609375</v>
      </c>
      <c r="H935" s="183">
        <f t="shared" si="29"/>
        <v>6.5644701863494422E-3</v>
      </c>
    </row>
    <row r="936" spans="2:8">
      <c r="B936" s="175">
        <v>45296</v>
      </c>
      <c r="C936" s="176">
        <v>40.599998474121087</v>
      </c>
      <c r="D936" s="180">
        <f t="shared" si="28"/>
        <v>4.9095547124669348E-2</v>
      </c>
      <c r="F936" s="184">
        <v>45296</v>
      </c>
      <c r="G936" s="185">
        <v>21710.80078125</v>
      </c>
      <c r="H936" s="186">
        <f t="shared" si="29"/>
        <v>2.4101822286056087E-3</v>
      </c>
    </row>
    <row r="937" spans="2:8">
      <c r="B937" s="175">
        <v>45299</v>
      </c>
      <c r="C937" s="176">
        <v>42.599998474121087</v>
      </c>
      <c r="D937" s="180">
        <f t="shared" si="28"/>
        <v>4.9261085595232804E-2</v>
      </c>
      <c r="F937" s="181">
        <v>45299</v>
      </c>
      <c r="G937" s="182">
        <v>21513</v>
      </c>
      <c r="H937" s="183">
        <f t="shared" si="29"/>
        <v>-9.1107086856430358E-3</v>
      </c>
    </row>
    <row r="938" spans="2:8">
      <c r="B938" s="175">
        <v>45300</v>
      </c>
      <c r="C938" s="176">
        <v>43.549999237060547</v>
      </c>
      <c r="D938" s="180">
        <f t="shared" si="28"/>
        <v>2.2300488191720771E-2</v>
      </c>
      <c r="F938" s="184">
        <v>45300</v>
      </c>
      <c r="G938" s="185">
        <v>21544.849609375</v>
      </c>
      <c r="H938" s="186">
        <f t="shared" si="29"/>
        <v>1.4804820050667038E-3</v>
      </c>
    </row>
    <row r="939" spans="2:8">
      <c r="B939" s="175">
        <v>45301</v>
      </c>
      <c r="C939" s="176">
        <v>43.549999237060547</v>
      </c>
      <c r="D939" s="180">
        <f t="shared" si="28"/>
        <v>0</v>
      </c>
      <c r="F939" s="181">
        <v>45301</v>
      </c>
      <c r="G939" s="182">
        <v>21618.69921875</v>
      </c>
      <c r="H939" s="183">
        <f t="shared" si="29"/>
        <v>3.4277152411806657E-3</v>
      </c>
    </row>
    <row r="940" spans="2:8">
      <c r="B940" s="175">
        <v>45302</v>
      </c>
      <c r="C940" s="176">
        <v>43.599998474121087</v>
      </c>
      <c r="D940" s="180">
        <f t="shared" si="28"/>
        <v>1.1480881271288517E-3</v>
      </c>
      <c r="F940" s="184">
        <v>45302</v>
      </c>
      <c r="G940" s="185">
        <v>21647.19921875</v>
      </c>
      <c r="H940" s="186">
        <f t="shared" si="29"/>
        <v>1.3183031833516521E-3</v>
      </c>
    </row>
    <row r="941" spans="2:8">
      <c r="B941" s="175">
        <v>45303</v>
      </c>
      <c r="C941" s="176">
        <v>44.900001525878913</v>
      </c>
      <c r="D941" s="180">
        <f t="shared" si="28"/>
        <v>2.9816584799411117E-2</v>
      </c>
      <c r="F941" s="181">
        <v>45303</v>
      </c>
      <c r="G941" s="182">
        <v>21894.55078125</v>
      </c>
      <c r="H941" s="183">
        <f t="shared" si="29"/>
        <v>1.1426492637705911E-2</v>
      </c>
    </row>
    <row r="942" spans="2:8">
      <c r="B942" s="175">
        <v>45306</v>
      </c>
      <c r="C942" s="176">
        <v>43.849998474121087</v>
      </c>
      <c r="D942" s="180">
        <f t="shared" si="28"/>
        <v>-2.3385367841304835E-2</v>
      </c>
      <c r="F942" s="184">
        <v>45306</v>
      </c>
      <c r="G942" s="185">
        <v>22097.44921875</v>
      </c>
      <c r="H942" s="186">
        <f t="shared" si="29"/>
        <v>9.2670746948486215E-3</v>
      </c>
    </row>
    <row r="943" spans="2:8">
      <c r="B943" s="175">
        <v>45307</v>
      </c>
      <c r="C943" s="176">
        <v>42.049999237060547</v>
      </c>
      <c r="D943" s="180">
        <f t="shared" si="28"/>
        <v>-4.1049014816336736E-2</v>
      </c>
      <c r="F943" s="181">
        <v>45307</v>
      </c>
      <c r="G943" s="182">
        <v>22032.30078125</v>
      </c>
      <c r="H943" s="183">
        <f t="shared" si="29"/>
        <v>-2.9482333845447023E-3</v>
      </c>
    </row>
    <row r="944" spans="2:8">
      <c r="B944" s="175">
        <v>45308</v>
      </c>
      <c r="C944" s="176">
        <v>40.900001525878913</v>
      </c>
      <c r="D944" s="180">
        <f t="shared" si="28"/>
        <v>-2.7348340833454499E-2</v>
      </c>
      <c r="F944" s="184">
        <v>45308</v>
      </c>
      <c r="G944" s="185">
        <v>21571.94921875</v>
      </c>
      <c r="H944" s="186">
        <f t="shared" si="29"/>
        <v>-2.0894393512082492E-2</v>
      </c>
    </row>
    <row r="945" spans="2:8">
      <c r="B945" s="175">
        <v>45309</v>
      </c>
      <c r="C945" s="176">
        <v>42.900001525878913</v>
      </c>
      <c r="D945" s="180">
        <f t="shared" si="28"/>
        <v>4.8899753676892345E-2</v>
      </c>
      <c r="F945" s="181">
        <v>45309</v>
      </c>
      <c r="G945" s="182">
        <v>21462.25</v>
      </c>
      <c r="H945" s="183">
        <f t="shared" si="29"/>
        <v>-5.0852715087355742E-3</v>
      </c>
    </row>
    <row r="946" spans="2:8">
      <c r="B946" s="175">
        <v>45310</v>
      </c>
      <c r="C946" s="176">
        <v>41.849998474121087</v>
      </c>
      <c r="D946" s="180">
        <f t="shared" si="28"/>
        <v>-2.4475594741515914E-2</v>
      </c>
      <c r="F946" s="184">
        <v>45310</v>
      </c>
      <c r="G946" s="185">
        <v>21622.400390625</v>
      </c>
      <c r="H946" s="186">
        <f t="shared" si="29"/>
        <v>7.4619571864552878E-3</v>
      </c>
    </row>
    <row r="947" spans="2:8">
      <c r="B947" s="175">
        <v>45314</v>
      </c>
      <c r="C947" s="176">
        <v>41.150001525878913</v>
      </c>
      <c r="D947" s="180">
        <f t="shared" si="28"/>
        <v>-1.6726331511697248E-2</v>
      </c>
      <c r="F947" s="181">
        <v>45314</v>
      </c>
      <c r="G947" s="182">
        <v>21238.80078125</v>
      </c>
      <c r="H947" s="183">
        <f t="shared" si="29"/>
        <v>-1.7740842942734536E-2</v>
      </c>
    </row>
    <row r="948" spans="2:8">
      <c r="B948" s="175">
        <v>45315</v>
      </c>
      <c r="C948" s="176">
        <v>41.200000762939453</v>
      </c>
      <c r="D948" s="180">
        <f t="shared" si="28"/>
        <v>1.21504824317189E-3</v>
      </c>
      <c r="F948" s="184">
        <v>45315</v>
      </c>
      <c r="G948" s="185">
        <v>21453.94921875</v>
      </c>
      <c r="H948" s="186">
        <f t="shared" si="29"/>
        <v>1.0129971071150917E-2</v>
      </c>
    </row>
    <row r="949" spans="2:8">
      <c r="B949" s="175">
        <v>45316</v>
      </c>
      <c r="C949" s="176">
        <v>42.549999237060547</v>
      </c>
      <c r="D949" s="180">
        <f t="shared" si="28"/>
        <v>3.2766952648589628E-2</v>
      </c>
      <c r="F949" s="181">
        <v>45316</v>
      </c>
      <c r="G949" s="182">
        <v>21352.599609375</v>
      </c>
      <c r="H949" s="183">
        <f t="shared" si="29"/>
        <v>-4.7240537554001476E-3</v>
      </c>
    </row>
    <row r="950" spans="2:8">
      <c r="B950" s="175">
        <v>45320</v>
      </c>
      <c r="C950" s="176">
        <v>43.25</v>
      </c>
      <c r="D950" s="180">
        <f t="shared" si="28"/>
        <v>1.6451252067938012E-2</v>
      </c>
      <c r="F950" s="184">
        <v>45320</v>
      </c>
      <c r="G950" s="185">
        <v>21737.599609375</v>
      </c>
      <c r="H950" s="186">
        <f t="shared" si="29"/>
        <v>1.8030591452244681E-2</v>
      </c>
    </row>
    <row r="951" spans="2:8">
      <c r="B951" s="175">
        <v>45321</v>
      </c>
      <c r="C951" s="176">
        <v>43.799999237060547</v>
      </c>
      <c r="D951" s="180">
        <f t="shared" si="28"/>
        <v>1.2716745365561777E-2</v>
      </c>
      <c r="F951" s="181">
        <v>45321</v>
      </c>
      <c r="G951" s="182">
        <v>21522.099609375</v>
      </c>
      <c r="H951" s="183">
        <f t="shared" si="29"/>
        <v>-9.9136981024831768E-3</v>
      </c>
    </row>
    <row r="952" spans="2:8">
      <c r="B952" s="175">
        <v>45322</v>
      </c>
      <c r="C952" s="176">
        <v>45.950000762939453</v>
      </c>
      <c r="D952" s="180">
        <f t="shared" si="28"/>
        <v>4.9086793683314103E-2</v>
      </c>
      <c r="F952" s="184">
        <v>45322</v>
      </c>
      <c r="G952" s="185">
        <v>21725.69921875</v>
      </c>
      <c r="H952" s="186">
        <f t="shared" si="29"/>
        <v>9.4600254190029057E-3</v>
      </c>
    </row>
    <row r="953" spans="2:8">
      <c r="B953" s="175">
        <v>45323</v>
      </c>
      <c r="C953" s="176">
        <v>48.200000762939453</v>
      </c>
      <c r="D953" s="180">
        <f t="shared" si="28"/>
        <v>4.8966266869242721E-2</v>
      </c>
      <c r="F953" s="181">
        <v>45323</v>
      </c>
      <c r="G953" s="182">
        <v>21697.44921875</v>
      </c>
      <c r="H953" s="183">
        <f t="shared" si="29"/>
        <v>-1.3003033741542051E-3</v>
      </c>
    </row>
    <row r="954" spans="2:8">
      <c r="B954" s="175">
        <v>45324</v>
      </c>
      <c r="C954" s="176">
        <v>48.599998474121087</v>
      </c>
      <c r="D954" s="180">
        <f t="shared" si="28"/>
        <v>8.298707569506682E-3</v>
      </c>
      <c r="F954" s="184">
        <v>45324</v>
      </c>
      <c r="G954" s="185">
        <v>21853.80078125</v>
      </c>
      <c r="H954" s="186">
        <f t="shared" si="29"/>
        <v>7.2059881750933062E-3</v>
      </c>
    </row>
    <row r="955" spans="2:8">
      <c r="B955" s="175">
        <v>45327</v>
      </c>
      <c r="C955" s="176">
        <v>48.25</v>
      </c>
      <c r="D955" s="180">
        <f t="shared" si="28"/>
        <v>-7.2016149199563579E-3</v>
      </c>
      <c r="F955" s="181">
        <v>45327</v>
      </c>
      <c r="G955" s="182">
        <v>21771.69921875</v>
      </c>
      <c r="H955" s="183">
        <f t="shared" si="29"/>
        <v>-3.7568550808077758E-3</v>
      </c>
    </row>
    <row r="956" spans="2:8">
      <c r="B956" s="175">
        <v>45328</v>
      </c>
      <c r="C956" s="176">
        <v>48</v>
      </c>
      <c r="D956" s="180">
        <f t="shared" si="28"/>
        <v>-5.1813471502590676E-3</v>
      </c>
      <c r="F956" s="184">
        <v>45328</v>
      </c>
      <c r="G956" s="185">
        <v>21929.400390625</v>
      </c>
      <c r="H956" s="186">
        <f t="shared" si="29"/>
        <v>7.243402101531249E-3</v>
      </c>
    </row>
    <row r="957" spans="2:8">
      <c r="B957" s="175">
        <v>45329</v>
      </c>
      <c r="C957" s="176">
        <v>49.25</v>
      </c>
      <c r="D957" s="180">
        <f t="shared" si="28"/>
        <v>2.6041666666666668E-2</v>
      </c>
      <c r="F957" s="181">
        <v>45329</v>
      </c>
      <c r="G957" s="182">
        <v>21930.5</v>
      </c>
      <c r="H957" s="183">
        <f t="shared" si="29"/>
        <v>5.0143157378351857E-5</v>
      </c>
    </row>
    <row r="958" spans="2:8">
      <c r="B958" s="175">
        <v>45330</v>
      </c>
      <c r="C958" s="176">
        <v>49.349998474121087</v>
      </c>
      <c r="D958" s="180">
        <f t="shared" si="28"/>
        <v>2.0304258704789166E-3</v>
      </c>
      <c r="F958" s="184">
        <v>45330</v>
      </c>
      <c r="G958" s="185">
        <v>21717.94921875</v>
      </c>
      <c r="H958" s="186">
        <f t="shared" si="29"/>
        <v>-9.6920171108729851E-3</v>
      </c>
    </row>
    <row r="959" spans="2:8">
      <c r="B959" s="175">
        <v>45331</v>
      </c>
      <c r="C959" s="176">
        <v>47.349998474121087</v>
      </c>
      <c r="D959" s="180">
        <f t="shared" si="28"/>
        <v>-4.0526850290558587E-2</v>
      </c>
      <c r="F959" s="181">
        <v>45331</v>
      </c>
      <c r="G959" s="182">
        <v>21782.5</v>
      </c>
      <c r="H959" s="183">
        <f t="shared" si="29"/>
        <v>2.9722318898448593E-3</v>
      </c>
    </row>
    <row r="960" spans="2:8">
      <c r="B960" s="175">
        <v>45334</v>
      </c>
      <c r="C960" s="176">
        <v>45</v>
      </c>
      <c r="D960" s="180">
        <f t="shared" si="28"/>
        <v>-4.9630381200655521E-2</v>
      </c>
      <c r="F960" s="184">
        <v>45334</v>
      </c>
      <c r="G960" s="185">
        <v>21616.05078125</v>
      </c>
      <c r="H960" s="186">
        <f t="shared" si="29"/>
        <v>-7.6414194307356824E-3</v>
      </c>
    </row>
    <row r="961" spans="2:8">
      <c r="B961" s="175">
        <v>45335</v>
      </c>
      <c r="C961" s="176">
        <v>43.900001525878913</v>
      </c>
      <c r="D961" s="180">
        <f t="shared" si="28"/>
        <v>-2.4444410536024148E-2</v>
      </c>
      <c r="F961" s="181">
        <v>45335</v>
      </c>
      <c r="G961" s="182">
        <v>21743.25</v>
      </c>
      <c r="H961" s="183">
        <f t="shared" si="29"/>
        <v>5.8844800115076526E-3</v>
      </c>
    </row>
    <row r="962" spans="2:8">
      <c r="B962" s="175">
        <v>45336</v>
      </c>
      <c r="C962" s="176">
        <v>46.049999237060547</v>
      </c>
      <c r="D962" s="180">
        <f t="shared" si="28"/>
        <v>4.8974889213026944E-2</v>
      </c>
      <c r="F962" s="184">
        <v>45336</v>
      </c>
      <c r="G962" s="185">
        <v>21840.05078125</v>
      </c>
      <c r="H962" s="186">
        <f t="shared" si="29"/>
        <v>4.4519922849619994E-3</v>
      </c>
    </row>
    <row r="963" spans="2:8">
      <c r="B963" s="175">
        <v>45337</v>
      </c>
      <c r="C963" s="176">
        <v>47.049999237060547</v>
      </c>
      <c r="D963" s="180">
        <f t="shared" si="28"/>
        <v>2.1715526961294945E-2</v>
      </c>
      <c r="F963" s="181">
        <v>45337</v>
      </c>
      <c r="G963" s="182">
        <v>21910.75</v>
      </c>
      <c r="H963" s="183">
        <f t="shared" si="29"/>
        <v>3.2371361888359849E-3</v>
      </c>
    </row>
    <row r="964" spans="2:8">
      <c r="B964" s="175">
        <v>45338</v>
      </c>
      <c r="C964" s="176">
        <v>46.849998474121087</v>
      </c>
      <c r="D964" s="180">
        <f t="shared" si="28"/>
        <v>-4.2508133088750991E-3</v>
      </c>
      <c r="F964" s="184">
        <v>45338</v>
      </c>
      <c r="G964" s="185">
        <v>22040.69921875</v>
      </c>
      <c r="H964" s="186">
        <f t="shared" si="29"/>
        <v>5.9308430222607626E-3</v>
      </c>
    </row>
    <row r="965" spans="2:8">
      <c r="B965" s="175">
        <v>45341</v>
      </c>
      <c r="C965" s="176">
        <v>46.150001525878913</v>
      </c>
      <c r="D965" s="180">
        <f t="shared" ref="D965:D1028" si="30">(C965-C964)/C964</f>
        <v>-1.4941237375468354E-2</v>
      </c>
      <c r="F965" s="181">
        <v>45341</v>
      </c>
      <c r="G965" s="182">
        <v>22122.25</v>
      </c>
      <c r="H965" s="183">
        <f t="shared" ref="H965:H1028" si="31">(G965-G964)/G964</f>
        <v>3.7000088082788604E-3</v>
      </c>
    </row>
    <row r="966" spans="2:8">
      <c r="B966" s="175">
        <v>45342</v>
      </c>
      <c r="C966" s="176">
        <v>45.799999237060547</v>
      </c>
      <c r="D966" s="180">
        <f t="shared" si="30"/>
        <v>-7.5840146748879398E-3</v>
      </c>
      <c r="F966" s="184">
        <v>45342</v>
      </c>
      <c r="G966" s="185">
        <v>22196.94921875</v>
      </c>
      <c r="H966" s="186">
        <f t="shared" si="31"/>
        <v>3.3766555730090748E-3</v>
      </c>
    </row>
    <row r="967" spans="2:8">
      <c r="B967" s="175">
        <v>45343</v>
      </c>
      <c r="C967" s="176">
        <v>44.75</v>
      </c>
      <c r="D967" s="180">
        <f t="shared" si="30"/>
        <v>-2.2925747915971711E-2</v>
      </c>
      <c r="F967" s="181">
        <v>45343</v>
      </c>
      <c r="G967" s="182">
        <v>22055.05078125</v>
      </c>
      <c r="H967" s="183">
        <f t="shared" si="31"/>
        <v>-6.3927000103301077E-3</v>
      </c>
    </row>
    <row r="968" spans="2:8">
      <c r="B968" s="175">
        <v>45344</v>
      </c>
      <c r="C968" s="176">
        <v>44.799999237060547</v>
      </c>
      <c r="D968" s="180">
        <f t="shared" si="30"/>
        <v>1.1173013868278632E-3</v>
      </c>
      <c r="F968" s="184">
        <v>45344</v>
      </c>
      <c r="G968" s="185">
        <v>22217.44921875</v>
      </c>
      <c r="H968" s="186">
        <f t="shared" si="31"/>
        <v>7.3633218581415499E-3</v>
      </c>
    </row>
    <row r="969" spans="2:8">
      <c r="B969" s="175">
        <v>45345</v>
      </c>
      <c r="C969" s="176">
        <v>44.900001525878913</v>
      </c>
      <c r="D969" s="180">
        <f t="shared" si="30"/>
        <v>2.2321939848525744E-3</v>
      </c>
      <c r="F969" s="181">
        <v>45345</v>
      </c>
      <c r="G969" s="182">
        <v>22212.69921875</v>
      </c>
      <c r="H969" s="183">
        <f t="shared" si="31"/>
        <v>-2.1379592019012364E-4</v>
      </c>
    </row>
    <row r="970" spans="2:8">
      <c r="B970" s="175">
        <v>45348</v>
      </c>
      <c r="C970" s="176">
        <v>43.75</v>
      </c>
      <c r="D970" s="180">
        <f t="shared" si="30"/>
        <v>-2.5612505273882664E-2</v>
      </c>
      <c r="F970" s="184">
        <v>45348</v>
      </c>
      <c r="G970" s="185">
        <v>22122.05078125</v>
      </c>
      <c r="H970" s="186">
        <f t="shared" si="31"/>
        <v>-4.0809285088361791E-3</v>
      </c>
    </row>
    <row r="971" spans="2:8">
      <c r="B971" s="175">
        <v>45349</v>
      </c>
      <c r="C971" s="176">
        <v>44.549999237060547</v>
      </c>
      <c r="D971" s="180">
        <f t="shared" si="30"/>
        <v>1.8285696847098215E-2</v>
      </c>
      <c r="F971" s="181">
        <v>45349</v>
      </c>
      <c r="G971" s="182">
        <v>22198.349609375</v>
      </c>
      <c r="H971" s="183">
        <f t="shared" si="31"/>
        <v>3.4489943486464033E-3</v>
      </c>
    </row>
    <row r="972" spans="2:8">
      <c r="B972" s="175">
        <v>45350</v>
      </c>
      <c r="C972" s="176">
        <v>43.200000762939453</v>
      </c>
      <c r="D972" s="180">
        <f t="shared" si="30"/>
        <v>-3.0302996571053769E-2</v>
      </c>
      <c r="F972" s="184">
        <v>45350</v>
      </c>
      <c r="G972" s="185">
        <v>21951.150390625</v>
      </c>
      <c r="H972" s="186">
        <f t="shared" si="31"/>
        <v>-1.1135927809948569E-2</v>
      </c>
    </row>
    <row r="973" spans="2:8">
      <c r="B973" s="175">
        <v>45351</v>
      </c>
      <c r="C973" s="176">
        <v>45.25</v>
      </c>
      <c r="D973" s="180">
        <f t="shared" si="30"/>
        <v>4.745368520500598E-2</v>
      </c>
      <c r="F973" s="181">
        <v>45351</v>
      </c>
      <c r="G973" s="182">
        <v>21982.80078125</v>
      </c>
      <c r="H973" s="183">
        <f t="shared" si="31"/>
        <v>1.4418556686904846E-3</v>
      </c>
    </row>
    <row r="974" spans="2:8">
      <c r="B974" s="175">
        <v>45352</v>
      </c>
      <c r="C974" s="176">
        <v>44.299999237060547</v>
      </c>
      <c r="D974" s="180">
        <f t="shared" si="30"/>
        <v>-2.0994491998661949E-2</v>
      </c>
      <c r="F974" s="184">
        <v>45352</v>
      </c>
      <c r="G974" s="185">
        <v>22338.75</v>
      </c>
      <c r="H974" s="186">
        <f t="shared" si="31"/>
        <v>1.6192168700068607E-2</v>
      </c>
    </row>
    <row r="975" spans="2:8">
      <c r="B975" s="175">
        <v>45355</v>
      </c>
      <c r="C975" s="176">
        <v>42.799999237060547</v>
      </c>
      <c r="D975" s="180">
        <f t="shared" si="30"/>
        <v>-3.3860045729868282E-2</v>
      </c>
      <c r="F975" s="181">
        <v>45355</v>
      </c>
      <c r="G975" s="182">
        <v>22405.599609375</v>
      </c>
      <c r="H975" s="183">
        <f t="shared" si="31"/>
        <v>2.9925402887359411E-3</v>
      </c>
    </row>
    <row r="976" spans="2:8">
      <c r="B976" s="175">
        <v>45356</v>
      </c>
      <c r="C976" s="176">
        <v>40.700000762939453</v>
      </c>
      <c r="D976" s="180">
        <f t="shared" si="30"/>
        <v>-4.9065385783995615E-2</v>
      </c>
      <c r="F976" s="184">
        <v>45356</v>
      </c>
      <c r="G976" s="185">
        <v>22356.30078125</v>
      </c>
      <c r="H976" s="186">
        <f t="shared" si="31"/>
        <v>-2.2002905070379049E-3</v>
      </c>
    </row>
    <row r="977" spans="2:8">
      <c r="B977" s="175">
        <v>45357</v>
      </c>
      <c r="C977" s="176">
        <v>38.700000762939453</v>
      </c>
      <c r="D977" s="180">
        <f t="shared" si="30"/>
        <v>-4.914004821889726E-2</v>
      </c>
      <c r="F977" s="181">
        <v>45357</v>
      </c>
      <c r="G977" s="182">
        <v>22474.05078125</v>
      </c>
      <c r="H977" s="183">
        <f t="shared" si="31"/>
        <v>5.2669715420341689E-3</v>
      </c>
    </row>
    <row r="978" spans="2:8">
      <c r="B978" s="175">
        <v>45358</v>
      </c>
      <c r="C978" s="176">
        <v>40.599998474121087</v>
      </c>
      <c r="D978" s="180">
        <f t="shared" si="30"/>
        <v>4.9095547124669348E-2</v>
      </c>
      <c r="F978" s="184">
        <v>45358</v>
      </c>
      <c r="G978" s="185">
        <v>22493.55078125</v>
      </c>
      <c r="H978" s="186">
        <f t="shared" si="31"/>
        <v>8.6766734621195941E-4</v>
      </c>
    </row>
    <row r="979" spans="2:8">
      <c r="B979" s="175">
        <v>45362</v>
      </c>
      <c r="C979" s="176">
        <v>39.349998474121087</v>
      </c>
      <c r="D979" s="180">
        <f t="shared" si="30"/>
        <v>-3.0788178497020501E-2</v>
      </c>
      <c r="F979" s="181">
        <v>45362</v>
      </c>
      <c r="G979" s="182">
        <v>22332.650390625</v>
      </c>
      <c r="H979" s="183">
        <f t="shared" si="31"/>
        <v>-7.1531788017711326E-3</v>
      </c>
    </row>
    <row r="980" spans="2:8">
      <c r="B980" s="175">
        <v>45363</v>
      </c>
      <c r="C980" s="176">
        <v>39.299999237060547</v>
      </c>
      <c r="D980" s="180">
        <f t="shared" si="30"/>
        <v>-1.2706286912163988E-3</v>
      </c>
      <c r="F980" s="184">
        <v>45363</v>
      </c>
      <c r="G980" s="185">
        <v>22335.69921875</v>
      </c>
      <c r="H980" s="186">
        <f t="shared" si="31"/>
        <v>1.3651886684617893E-4</v>
      </c>
    </row>
    <row r="981" spans="2:8">
      <c r="B981" s="175">
        <v>45364</v>
      </c>
      <c r="C981" s="176">
        <v>37.349998474121087</v>
      </c>
      <c r="D981" s="180">
        <f t="shared" si="30"/>
        <v>-4.9618340987156492E-2</v>
      </c>
      <c r="F981" s="181">
        <v>45364</v>
      </c>
      <c r="G981" s="182">
        <v>21997.69921875</v>
      </c>
      <c r="H981" s="183">
        <f t="shared" si="31"/>
        <v>-1.5132725270416491E-2</v>
      </c>
    </row>
    <row r="982" spans="2:8">
      <c r="B982" s="175">
        <v>45365</v>
      </c>
      <c r="C982" s="176">
        <v>39.049999237060547</v>
      </c>
      <c r="D982" s="180">
        <f t="shared" si="30"/>
        <v>4.5515417199209519E-2</v>
      </c>
      <c r="F982" s="184">
        <v>45365</v>
      </c>
      <c r="G982" s="185">
        <v>22146.650390625</v>
      </c>
      <c r="H982" s="186">
        <f t="shared" si="31"/>
        <v>6.7712159528047237E-3</v>
      </c>
    </row>
    <row r="983" spans="2:8">
      <c r="B983" s="175">
        <v>45366</v>
      </c>
      <c r="C983" s="176">
        <v>39.400001525878913</v>
      </c>
      <c r="D983" s="180">
        <f t="shared" si="30"/>
        <v>8.9629269054170811E-3</v>
      </c>
      <c r="F983" s="181">
        <v>45366</v>
      </c>
      <c r="G983" s="182">
        <v>22023.349609375</v>
      </c>
      <c r="H983" s="183">
        <f t="shared" si="31"/>
        <v>-5.5674686273186943E-3</v>
      </c>
    </row>
    <row r="984" spans="2:8">
      <c r="B984" s="175">
        <v>45369</v>
      </c>
      <c r="C984" s="176">
        <v>38.549999237060547</v>
      </c>
      <c r="D984" s="180">
        <f t="shared" si="30"/>
        <v>-2.157366131724801E-2</v>
      </c>
      <c r="F984" s="184">
        <v>45369</v>
      </c>
      <c r="G984" s="185">
        <v>22055.69921875</v>
      </c>
      <c r="H984" s="186">
        <f t="shared" si="31"/>
        <v>1.4688778023679591E-3</v>
      </c>
    </row>
    <row r="985" spans="2:8">
      <c r="B985" s="175">
        <v>45370</v>
      </c>
      <c r="C985" s="176">
        <v>37.150001525878913</v>
      </c>
      <c r="D985" s="180">
        <f t="shared" si="30"/>
        <v>-3.6316413460151964E-2</v>
      </c>
      <c r="F985" s="181">
        <v>45370</v>
      </c>
      <c r="G985" s="182">
        <v>21817.44921875</v>
      </c>
      <c r="H985" s="183">
        <f t="shared" si="31"/>
        <v>-1.080219664028873E-2</v>
      </c>
    </row>
    <row r="986" spans="2:8">
      <c r="B986" s="175">
        <v>45371</v>
      </c>
      <c r="C986" s="176">
        <v>36.299999237060547</v>
      </c>
      <c r="D986" s="180">
        <f t="shared" si="30"/>
        <v>-2.2880276013616037E-2</v>
      </c>
      <c r="F986" s="184">
        <v>45371</v>
      </c>
      <c r="G986" s="185">
        <v>21839.099609375</v>
      </c>
      <c r="H986" s="186">
        <f t="shared" si="31"/>
        <v>9.9234289068006964E-4</v>
      </c>
    </row>
    <row r="987" spans="2:8">
      <c r="B987" s="175">
        <v>45372</v>
      </c>
      <c r="C987" s="176">
        <v>37.299999237060547</v>
      </c>
      <c r="D987" s="180">
        <f t="shared" si="30"/>
        <v>2.7548209945388875E-2</v>
      </c>
      <c r="F987" s="181">
        <v>45372</v>
      </c>
      <c r="G987" s="182">
        <v>22011.94921875</v>
      </c>
      <c r="H987" s="183">
        <f t="shared" si="31"/>
        <v>7.9146856998078725E-3</v>
      </c>
    </row>
    <row r="988" spans="2:8">
      <c r="B988" s="175">
        <v>45373</v>
      </c>
      <c r="C988" s="176">
        <v>37.349998474121087</v>
      </c>
      <c r="D988" s="180">
        <f t="shared" si="30"/>
        <v>1.3404621470035182E-3</v>
      </c>
      <c r="F988" s="184">
        <v>45373</v>
      </c>
      <c r="G988" s="185">
        <v>22096.75</v>
      </c>
      <c r="H988" s="186">
        <f t="shared" si="31"/>
        <v>3.8524885010077091E-3</v>
      </c>
    </row>
    <row r="989" spans="2:8">
      <c r="B989" s="175">
        <v>45377</v>
      </c>
      <c r="C989" s="176">
        <v>37.099998474121087</v>
      </c>
      <c r="D989" s="180">
        <f t="shared" si="30"/>
        <v>-6.6934407018307907E-3</v>
      </c>
      <c r="F989" s="181">
        <v>45377</v>
      </c>
      <c r="G989" s="182">
        <v>22004.69921875</v>
      </c>
      <c r="H989" s="183">
        <f t="shared" si="31"/>
        <v>-4.1658063402989125E-3</v>
      </c>
    </row>
    <row r="990" spans="2:8">
      <c r="B990" s="175">
        <v>45378</v>
      </c>
      <c r="C990" s="176">
        <v>38.5</v>
      </c>
      <c r="D990" s="180">
        <f t="shared" si="30"/>
        <v>3.7735891737447839E-2</v>
      </c>
      <c r="F990" s="184">
        <v>45378</v>
      </c>
      <c r="G990" s="185">
        <v>22123.650390625</v>
      </c>
      <c r="H990" s="186">
        <f t="shared" si="31"/>
        <v>5.40571678315161E-3</v>
      </c>
    </row>
    <row r="991" spans="2:8">
      <c r="B991" s="175">
        <v>45379</v>
      </c>
      <c r="C991" s="176">
        <v>40.400001525878913</v>
      </c>
      <c r="D991" s="180">
        <f t="shared" si="30"/>
        <v>4.935068898386788E-2</v>
      </c>
      <c r="F991" s="181">
        <v>45379</v>
      </c>
      <c r="G991" s="182">
        <v>22326.900390625</v>
      </c>
      <c r="H991" s="183">
        <f t="shared" si="31"/>
        <v>9.1870010785438973E-3</v>
      </c>
    </row>
    <row r="992" spans="2:8">
      <c r="B992" s="175">
        <v>45383</v>
      </c>
      <c r="C992" s="176">
        <v>41.349998474121087</v>
      </c>
      <c r="D992" s="180">
        <f t="shared" si="30"/>
        <v>2.3514775058452324E-2</v>
      </c>
      <c r="F992" s="184">
        <v>45383</v>
      </c>
      <c r="G992" s="185">
        <v>22462</v>
      </c>
      <c r="H992" s="186">
        <f t="shared" si="31"/>
        <v>6.0509791780917303E-3</v>
      </c>
    </row>
    <row r="993" spans="2:8">
      <c r="B993" s="175">
        <v>45384</v>
      </c>
      <c r="C993" s="176">
        <v>42.5</v>
      </c>
      <c r="D993" s="180">
        <f t="shared" si="30"/>
        <v>2.7811404312351844E-2</v>
      </c>
      <c r="F993" s="181">
        <v>45384</v>
      </c>
      <c r="G993" s="182">
        <v>22453.30078125</v>
      </c>
      <c r="H993" s="183">
        <f t="shared" si="31"/>
        <v>-3.872860275131333E-4</v>
      </c>
    </row>
    <row r="994" spans="2:8">
      <c r="B994" s="175">
        <v>45385</v>
      </c>
      <c r="C994" s="176">
        <v>43.5</v>
      </c>
      <c r="D994" s="180">
        <f t="shared" si="30"/>
        <v>2.3529411764705882E-2</v>
      </c>
      <c r="F994" s="184">
        <v>45385</v>
      </c>
      <c r="G994" s="185">
        <v>22434.650390625</v>
      </c>
      <c r="H994" s="186">
        <f t="shared" si="31"/>
        <v>-8.3063024036868183E-4</v>
      </c>
    </row>
    <row r="995" spans="2:8">
      <c r="B995" s="175">
        <v>45386</v>
      </c>
      <c r="C995" s="176">
        <v>42.950000762939453</v>
      </c>
      <c r="D995" s="180">
        <f t="shared" si="30"/>
        <v>-1.2643660622081537E-2</v>
      </c>
      <c r="F995" s="181">
        <v>45386</v>
      </c>
      <c r="G995" s="182">
        <v>22514.650390625</v>
      </c>
      <c r="H995" s="183">
        <f t="shared" si="31"/>
        <v>3.5659124883635554E-3</v>
      </c>
    </row>
    <row r="996" spans="2:8">
      <c r="B996" s="175">
        <v>45387</v>
      </c>
      <c r="C996" s="176">
        <v>42.650001525878913</v>
      </c>
      <c r="D996" s="180">
        <f t="shared" si="30"/>
        <v>-6.9848482358911166E-3</v>
      </c>
      <c r="F996" s="184">
        <v>45387</v>
      </c>
      <c r="G996" s="185">
        <v>22513.69921875</v>
      </c>
      <c r="H996" s="186">
        <f t="shared" si="31"/>
        <v>-4.2246797462867275E-5</v>
      </c>
    </row>
    <row r="997" spans="2:8">
      <c r="B997" s="175">
        <v>45390</v>
      </c>
      <c r="C997" s="176">
        <v>41.5</v>
      </c>
      <c r="D997" s="180">
        <f t="shared" si="30"/>
        <v>-2.6963692490869485E-2</v>
      </c>
      <c r="F997" s="181">
        <v>45390</v>
      </c>
      <c r="G997" s="182">
        <v>22666.30078125</v>
      </c>
      <c r="H997" s="183">
        <f t="shared" si="31"/>
        <v>6.7781647528145621E-3</v>
      </c>
    </row>
    <row r="998" spans="2:8">
      <c r="B998" s="175">
        <v>45391</v>
      </c>
      <c r="C998" s="176">
        <v>40.900001525878913</v>
      </c>
      <c r="D998" s="180">
        <f t="shared" si="30"/>
        <v>-1.4457794557134617E-2</v>
      </c>
      <c r="F998" s="184">
        <v>45391</v>
      </c>
      <c r="G998" s="185">
        <v>22642.75</v>
      </c>
      <c r="H998" s="186">
        <f t="shared" si="31"/>
        <v>-1.0390218270412109E-3</v>
      </c>
    </row>
    <row r="999" spans="2:8">
      <c r="B999" s="175">
        <v>45392</v>
      </c>
      <c r="C999" s="176">
        <v>42.150001525878913</v>
      </c>
      <c r="D999" s="180">
        <f t="shared" si="30"/>
        <v>3.0562346048057718E-2</v>
      </c>
      <c r="F999" s="181">
        <v>45392</v>
      </c>
      <c r="G999" s="182">
        <v>22753.80078125</v>
      </c>
      <c r="H999" s="183">
        <f t="shared" si="31"/>
        <v>4.9044741142308243E-3</v>
      </c>
    </row>
    <row r="1000" spans="2:8">
      <c r="B1000" s="175">
        <v>45394</v>
      </c>
      <c r="C1000" s="176">
        <v>42.150001525878913</v>
      </c>
      <c r="D1000" s="180">
        <f t="shared" si="30"/>
        <v>0</v>
      </c>
      <c r="F1000" s="184">
        <v>45394</v>
      </c>
      <c r="G1000" s="185">
        <v>22519.400390625</v>
      </c>
      <c r="H1000" s="186">
        <f t="shared" si="31"/>
        <v>-1.0301592814249954E-2</v>
      </c>
    </row>
    <row r="1001" spans="2:8">
      <c r="B1001" s="175">
        <v>45397</v>
      </c>
      <c r="C1001" s="176">
        <v>40.75</v>
      </c>
      <c r="D1001" s="180">
        <f t="shared" si="30"/>
        <v>-3.3214744370041169E-2</v>
      </c>
      <c r="F1001" s="181">
        <v>45397</v>
      </c>
      <c r="G1001" s="182">
        <v>22272.5</v>
      </c>
      <c r="H1001" s="183">
        <f t="shared" si="31"/>
        <v>-1.0963897188301094E-2</v>
      </c>
    </row>
    <row r="1002" spans="2:8">
      <c r="B1002" s="175">
        <v>45398</v>
      </c>
      <c r="C1002" s="176">
        <v>40.5</v>
      </c>
      <c r="D1002" s="180">
        <f t="shared" si="30"/>
        <v>-6.1349693251533744E-3</v>
      </c>
      <c r="F1002" s="184">
        <v>45398</v>
      </c>
      <c r="G1002" s="185">
        <v>22147.900390625</v>
      </c>
      <c r="H1002" s="186">
        <f t="shared" si="31"/>
        <v>-5.5943252609720511E-3</v>
      </c>
    </row>
    <row r="1003" spans="2:8">
      <c r="B1003" s="175">
        <v>45400</v>
      </c>
      <c r="C1003" s="176">
        <v>41.150001525878913</v>
      </c>
      <c r="D1003" s="180">
        <f t="shared" si="30"/>
        <v>1.6049420392071936E-2</v>
      </c>
      <c r="F1003" s="181">
        <v>45400</v>
      </c>
      <c r="G1003" s="182">
        <v>21995.849609375</v>
      </c>
      <c r="H1003" s="183">
        <f t="shared" si="31"/>
        <v>-6.8652458503182393E-3</v>
      </c>
    </row>
    <row r="1004" spans="2:8">
      <c r="B1004" s="175">
        <v>45401</v>
      </c>
      <c r="C1004" s="176">
        <v>39.349998474121087</v>
      </c>
      <c r="D1004" s="180">
        <f t="shared" si="30"/>
        <v>-4.3742478372104529E-2</v>
      </c>
      <c r="F1004" s="184">
        <v>45401</v>
      </c>
      <c r="G1004" s="185">
        <v>22147</v>
      </c>
      <c r="H1004" s="186">
        <f t="shared" si="31"/>
        <v>6.8717686886064708E-3</v>
      </c>
    </row>
    <row r="1005" spans="2:8">
      <c r="B1005" s="175">
        <v>45404</v>
      </c>
      <c r="C1005" s="176">
        <v>40.849998474121087</v>
      </c>
      <c r="D1005" s="180">
        <f t="shared" si="30"/>
        <v>3.8119442393028037E-2</v>
      </c>
      <c r="F1005" s="181">
        <v>45404</v>
      </c>
      <c r="G1005" s="182">
        <v>22336.400390625</v>
      </c>
      <c r="H1005" s="183">
        <f t="shared" si="31"/>
        <v>8.5519659829773782E-3</v>
      </c>
    </row>
    <row r="1006" spans="2:8">
      <c r="B1006" s="175">
        <v>45405</v>
      </c>
      <c r="C1006" s="176">
        <v>41.849998474121087</v>
      </c>
      <c r="D1006" s="180">
        <f t="shared" si="30"/>
        <v>2.4479805075966178E-2</v>
      </c>
      <c r="F1006" s="184">
        <v>45405</v>
      </c>
      <c r="G1006" s="185">
        <v>22368</v>
      </c>
      <c r="H1006" s="186">
        <f t="shared" si="31"/>
        <v>1.4147135985377009E-3</v>
      </c>
    </row>
    <row r="1007" spans="2:8">
      <c r="B1007" s="175">
        <v>45406</v>
      </c>
      <c r="C1007" s="176">
        <v>41.799999237060547</v>
      </c>
      <c r="D1007" s="180">
        <f t="shared" si="30"/>
        <v>-1.1947249434538917E-3</v>
      </c>
      <c r="F1007" s="181">
        <v>45406</v>
      </c>
      <c r="G1007" s="182">
        <v>22402.400390625</v>
      </c>
      <c r="H1007" s="183">
        <f t="shared" si="31"/>
        <v>1.5379287654238199E-3</v>
      </c>
    </row>
    <row r="1008" spans="2:8">
      <c r="B1008" s="175">
        <v>45407</v>
      </c>
      <c r="C1008" s="176">
        <v>42.150001525878913</v>
      </c>
      <c r="D1008" s="180">
        <f t="shared" si="30"/>
        <v>8.3732606508769708E-3</v>
      </c>
      <c r="F1008" s="184">
        <v>45407</v>
      </c>
      <c r="G1008" s="185">
        <v>22570.349609375</v>
      </c>
      <c r="H1008" s="186">
        <f t="shared" si="31"/>
        <v>7.4969296067167743E-3</v>
      </c>
    </row>
    <row r="1009" spans="2:8">
      <c r="B1009" s="175">
        <v>45408</v>
      </c>
      <c r="C1009" s="176">
        <v>41.650001525878913</v>
      </c>
      <c r="D1009" s="180">
        <f t="shared" si="30"/>
        <v>-1.1862395774600722E-2</v>
      </c>
      <c r="F1009" s="181">
        <v>45408</v>
      </c>
      <c r="G1009" s="182">
        <v>22419.94921875</v>
      </c>
      <c r="H1009" s="183">
        <f t="shared" si="31"/>
        <v>-6.6636269808832953E-3</v>
      </c>
    </row>
    <row r="1010" spans="2:8">
      <c r="B1010" s="175">
        <v>45411</v>
      </c>
      <c r="C1010" s="176">
        <v>41.599998474121087</v>
      </c>
      <c r="D1010" s="180">
        <f t="shared" si="30"/>
        <v>-1.2005534195900975E-3</v>
      </c>
      <c r="F1010" s="184">
        <v>45411</v>
      </c>
      <c r="G1010" s="185">
        <v>22643.400390625</v>
      </c>
      <c r="H1010" s="186">
        <f t="shared" si="31"/>
        <v>9.9666225688025117E-3</v>
      </c>
    </row>
    <row r="1011" spans="2:8">
      <c r="B1011" s="175">
        <v>45412</v>
      </c>
      <c r="C1011" s="176">
        <v>41.599998474121087</v>
      </c>
      <c r="D1011" s="180">
        <f t="shared" si="30"/>
        <v>0</v>
      </c>
      <c r="F1011" s="181">
        <v>45412</v>
      </c>
      <c r="G1011" s="182">
        <v>22604.849609375</v>
      </c>
      <c r="H1011" s="183">
        <f t="shared" si="31"/>
        <v>-1.7025173156396201E-3</v>
      </c>
    </row>
    <row r="1012" spans="2:8">
      <c r="B1012" s="175">
        <v>45414</v>
      </c>
      <c r="C1012" s="176">
        <v>41.700000762939453</v>
      </c>
      <c r="D1012" s="180">
        <f t="shared" si="30"/>
        <v>2.4039012616929984E-3</v>
      </c>
      <c r="F1012" s="184">
        <v>45414</v>
      </c>
      <c r="G1012" s="185">
        <v>22648.19921875</v>
      </c>
      <c r="H1012" s="186">
        <f t="shared" si="31"/>
        <v>1.9177127972141625E-3</v>
      </c>
    </row>
    <row r="1013" spans="2:8">
      <c r="B1013" s="175">
        <v>45415</v>
      </c>
      <c r="C1013" s="176">
        <v>41.349998474121087</v>
      </c>
      <c r="D1013" s="180">
        <f t="shared" si="30"/>
        <v>-8.393340105869453E-3</v>
      </c>
      <c r="F1013" s="181">
        <v>45415</v>
      </c>
      <c r="G1013" s="182">
        <v>22475.849609375</v>
      </c>
      <c r="H1013" s="183">
        <f t="shared" si="31"/>
        <v>-7.6098592965534824E-3</v>
      </c>
    </row>
    <row r="1014" spans="2:8">
      <c r="B1014" s="175">
        <v>45418</v>
      </c>
      <c r="C1014" s="176">
        <v>40.799999237060547</v>
      </c>
      <c r="D1014" s="180">
        <f t="shared" si="30"/>
        <v>-1.3301070310915658E-2</v>
      </c>
      <c r="F1014" s="184">
        <v>45418</v>
      </c>
      <c r="G1014" s="185">
        <v>22442.69921875</v>
      </c>
      <c r="H1014" s="186">
        <f t="shared" si="31"/>
        <v>-1.4749338156797639E-3</v>
      </c>
    </row>
    <row r="1015" spans="2:8">
      <c r="B1015" s="175">
        <v>45419</v>
      </c>
      <c r="C1015" s="176">
        <v>39.75</v>
      </c>
      <c r="D1015" s="180">
        <f t="shared" si="30"/>
        <v>-2.5735275899387358E-2</v>
      </c>
      <c r="F1015" s="181">
        <v>45419</v>
      </c>
      <c r="G1015" s="182">
        <v>22302.5</v>
      </c>
      <c r="H1015" s="183">
        <f t="shared" si="31"/>
        <v>-6.2469855957820357E-3</v>
      </c>
    </row>
    <row r="1016" spans="2:8">
      <c r="B1016" s="175">
        <v>45420</v>
      </c>
      <c r="C1016" s="176">
        <v>39.950000762939453</v>
      </c>
      <c r="D1016" s="180">
        <f t="shared" si="30"/>
        <v>5.0314657343258646E-3</v>
      </c>
      <c r="F1016" s="184">
        <v>45420</v>
      </c>
      <c r="G1016" s="185">
        <v>22302.5</v>
      </c>
      <c r="H1016" s="186">
        <f t="shared" si="31"/>
        <v>0</v>
      </c>
    </row>
    <row r="1017" spans="2:8">
      <c r="B1017" s="175">
        <v>45421</v>
      </c>
      <c r="C1017" s="176">
        <v>39.599998474121087</v>
      </c>
      <c r="D1017" s="180">
        <f t="shared" si="30"/>
        <v>-8.7610083137483752E-3</v>
      </c>
      <c r="F1017" s="181">
        <v>45421</v>
      </c>
      <c r="G1017" s="182">
        <v>21957.5</v>
      </c>
      <c r="H1017" s="183">
        <f t="shared" si="31"/>
        <v>-1.5469117811904494E-2</v>
      </c>
    </row>
    <row r="1018" spans="2:8">
      <c r="B1018" s="175">
        <v>45422</v>
      </c>
      <c r="C1018" s="176">
        <v>39.900001525878913</v>
      </c>
      <c r="D1018" s="180">
        <f t="shared" si="30"/>
        <v>7.5758349322634722E-3</v>
      </c>
      <c r="F1018" s="184">
        <v>45422</v>
      </c>
      <c r="G1018" s="185">
        <v>22055.19921875</v>
      </c>
      <c r="H1018" s="186">
        <f t="shared" si="31"/>
        <v>4.4494691449390869E-3</v>
      </c>
    </row>
    <row r="1019" spans="2:8">
      <c r="B1019" s="175">
        <v>45425</v>
      </c>
      <c r="C1019" s="176">
        <v>39</v>
      </c>
      <c r="D1019" s="180">
        <f t="shared" si="30"/>
        <v>-2.2556428357406892E-2</v>
      </c>
      <c r="F1019" s="181">
        <v>45425</v>
      </c>
      <c r="G1019" s="182">
        <v>22104.05078125</v>
      </c>
      <c r="H1019" s="183">
        <f t="shared" si="31"/>
        <v>2.214968090538459E-3</v>
      </c>
    </row>
    <row r="1020" spans="2:8">
      <c r="B1020" s="175">
        <v>45426</v>
      </c>
      <c r="C1020" s="176">
        <v>40.200000762939453</v>
      </c>
      <c r="D1020" s="180">
        <f t="shared" si="30"/>
        <v>3.0769250331780851E-2</v>
      </c>
      <c r="F1020" s="184">
        <v>45426</v>
      </c>
      <c r="G1020" s="185">
        <v>22217.849609375</v>
      </c>
      <c r="H1020" s="186">
        <f t="shared" si="31"/>
        <v>5.1483245877054842E-3</v>
      </c>
    </row>
    <row r="1021" spans="2:8">
      <c r="B1021" s="175">
        <v>45427</v>
      </c>
      <c r="C1021" s="176">
        <v>42.200000762939453</v>
      </c>
      <c r="D1021" s="180">
        <f t="shared" si="30"/>
        <v>4.9751242836885923E-2</v>
      </c>
      <c r="F1021" s="181">
        <v>45427</v>
      </c>
      <c r="G1021" s="182">
        <v>22200.55078125</v>
      </c>
      <c r="H1021" s="183">
        <f t="shared" si="31"/>
        <v>-7.7860046895360301E-4</v>
      </c>
    </row>
    <row r="1022" spans="2:8">
      <c r="B1022" s="175">
        <v>45428</v>
      </c>
      <c r="C1022" s="176">
        <v>42.799999237060547</v>
      </c>
      <c r="D1022" s="180">
        <f t="shared" si="30"/>
        <v>1.4217973063356426E-2</v>
      </c>
      <c r="F1022" s="184">
        <v>45428</v>
      </c>
      <c r="G1022" s="185">
        <v>22403.849609375</v>
      </c>
      <c r="H1022" s="186">
        <f t="shared" si="31"/>
        <v>9.1573776762647191E-3</v>
      </c>
    </row>
    <row r="1023" spans="2:8">
      <c r="B1023" s="175">
        <v>45429</v>
      </c>
      <c r="C1023" s="176">
        <v>42.599998474121087</v>
      </c>
      <c r="D1023" s="180">
        <f t="shared" si="30"/>
        <v>-4.6729151052479325E-3</v>
      </c>
      <c r="F1023" s="181">
        <v>45429</v>
      </c>
      <c r="G1023" s="182">
        <v>22466.099609375</v>
      </c>
      <c r="H1023" s="183">
        <f t="shared" si="31"/>
        <v>2.7785403439751347E-3</v>
      </c>
    </row>
    <row r="1024" spans="2:8">
      <c r="B1024" s="175">
        <v>45433</v>
      </c>
      <c r="C1024" s="176">
        <v>44.049999237060547</v>
      </c>
      <c r="D1024" s="180">
        <f t="shared" si="30"/>
        <v>3.4037577814006632E-2</v>
      </c>
      <c r="F1024" s="184">
        <v>45433</v>
      </c>
      <c r="G1024" s="185">
        <v>22529.05078125</v>
      </c>
      <c r="H1024" s="186">
        <f t="shared" si="31"/>
        <v>2.8020516676036979E-3</v>
      </c>
    </row>
    <row r="1025" spans="2:8">
      <c r="B1025" s="175">
        <v>45434</v>
      </c>
      <c r="C1025" s="176">
        <v>46</v>
      </c>
      <c r="D1025" s="180">
        <f t="shared" si="30"/>
        <v>4.4267895498596527E-2</v>
      </c>
      <c r="F1025" s="181">
        <v>45434</v>
      </c>
      <c r="G1025" s="182">
        <v>22597.80078125</v>
      </c>
      <c r="H1025" s="183">
        <f t="shared" si="31"/>
        <v>3.051615474950138E-3</v>
      </c>
    </row>
    <row r="1026" spans="2:8">
      <c r="B1026" s="175">
        <v>45435</v>
      </c>
      <c r="C1026" s="176">
        <v>48.299999237060547</v>
      </c>
      <c r="D1026" s="180">
        <f t="shared" si="30"/>
        <v>4.9999983414359718E-2</v>
      </c>
      <c r="F1026" s="184">
        <v>45435</v>
      </c>
      <c r="G1026" s="185">
        <v>22967.650390625</v>
      </c>
      <c r="H1026" s="186">
        <f t="shared" si="31"/>
        <v>1.6366619608483058E-2</v>
      </c>
    </row>
    <row r="1027" spans="2:8">
      <c r="B1027" s="175">
        <v>45436</v>
      </c>
      <c r="C1027" s="176">
        <v>45.950000762939453</v>
      </c>
      <c r="D1027" s="180">
        <f t="shared" si="30"/>
        <v>-4.8654213483256992E-2</v>
      </c>
      <c r="F1027" s="181">
        <v>45436</v>
      </c>
      <c r="G1027" s="182">
        <v>22957.099609375</v>
      </c>
      <c r="H1027" s="183">
        <f t="shared" si="31"/>
        <v>-4.5937573371922485E-4</v>
      </c>
    </row>
    <row r="1028" spans="2:8">
      <c r="B1028" s="175">
        <v>45439</v>
      </c>
      <c r="C1028" s="176">
        <v>45.200000762939453</v>
      </c>
      <c r="D1028" s="180">
        <f t="shared" si="30"/>
        <v>-1.6322088956414241E-2</v>
      </c>
      <c r="F1028" s="184">
        <v>45439</v>
      </c>
      <c r="G1028" s="185">
        <v>22932.44921875</v>
      </c>
      <c r="H1028" s="186">
        <f t="shared" si="31"/>
        <v>-1.0737589261900274E-3</v>
      </c>
    </row>
    <row r="1029" spans="2:8">
      <c r="B1029" s="175">
        <v>45440</v>
      </c>
      <c r="C1029" s="176">
        <v>43.950000762939453</v>
      </c>
      <c r="D1029" s="180">
        <f t="shared" ref="D1029:D1092" si="32">(C1029-C1028)/C1028</f>
        <v>-2.7654866789845377E-2</v>
      </c>
      <c r="F1029" s="181">
        <v>45440</v>
      </c>
      <c r="G1029" s="182">
        <v>22888.150390625</v>
      </c>
      <c r="H1029" s="183">
        <f t="shared" ref="H1029:H1092" si="33">(G1029-G1028)/G1028</f>
        <v>-1.9317094176221025E-3</v>
      </c>
    </row>
    <row r="1030" spans="2:8">
      <c r="B1030" s="175">
        <v>45441</v>
      </c>
      <c r="C1030" s="176">
        <v>46.099998474121087</v>
      </c>
      <c r="D1030" s="180">
        <f t="shared" si="32"/>
        <v>4.8919173466649965E-2</v>
      </c>
      <c r="F1030" s="184">
        <v>45441</v>
      </c>
      <c r="G1030" s="185">
        <v>22704.69921875</v>
      </c>
      <c r="H1030" s="186">
        <f t="shared" si="33"/>
        <v>-8.0151156272610692E-3</v>
      </c>
    </row>
    <row r="1031" spans="2:8">
      <c r="B1031" s="175">
        <v>45442</v>
      </c>
      <c r="C1031" s="176">
        <v>45.400001525878913</v>
      </c>
      <c r="D1031" s="180">
        <f t="shared" si="32"/>
        <v>-1.518431608268115E-2</v>
      </c>
      <c r="F1031" s="181">
        <v>45442</v>
      </c>
      <c r="G1031" s="182">
        <v>22488.650390625</v>
      </c>
      <c r="H1031" s="183">
        <f t="shared" si="33"/>
        <v>-9.5155996581792416E-3</v>
      </c>
    </row>
    <row r="1032" spans="2:8">
      <c r="B1032" s="175">
        <v>45443</v>
      </c>
      <c r="C1032" s="176">
        <v>47.650001525878913</v>
      </c>
      <c r="D1032" s="180">
        <f t="shared" si="32"/>
        <v>4.9559469699961459E-2</v>
      </c>
      <c r="F1032" s="184">
        <v>45443</v>
      </c>
      <c r="G1032" s="185">
        <v>22530.69921875</v>
      </c>
      <c r="H1032" s="186">
        <f t="shared" si="33"/>
        <v>1.869779973213919E-3</v>
      </c>
    </row>
    <row r="1033" spans="2:8">
      <c r="B1033" s="175">
        <v>45446</v>
      </c>
      <c r="C1033" s="176">
        <v>50</v>
      </c>
      <c r="D1033" s="180">
        <f t="shared" si="32"/>
        <v>4.9317909734898809E-2</v>
      </c>
      <c r="F1033" s="181">
        <v>45446</v>
      </c>
      <c r="G1033" s="182">
        <v>23263.900390625</v>
      </c>
      <c r="H1033" s="183">
        <f t="shared" si="33"/>
        <v>3.2542317695352818E-2</v>
      </c>
    </row>
    <row r="1034" spans="2:8">
      <c r="B1034" s="175">
        <v>45447</v>
      </c>
      <c r="C1034" s="176">
        <v>47.5</v>
      </c>
      <c r="D1034" s="180">
        <f t="shared" si="32"/>
        <v>-0.05</v>
      </c>
      <c r="F1034" s="184">
        <v>45447</v>
      </c>
      <c r="G1034" s="185">
        <v>21884.5</v>
      </c>
      <c r="H1034" s="186">
        <f t="shared" si="33"/>
        <v>-5.9293599416410735E-2</v>
      </c>
    </row>
    <row r="1035" spans="2:8">
      <c r="B1035" s="175">
        <v>45448</v>
      </c>
      <c r="C1035" s="176">
        <v>48.450000762939453</v>
      </c>
      <c r="D1035" s="180">
        <f t="shared" si="32"/>
        <v>2.0000016061883223E-2</v>
      </c>
      <c r="F1035" s="181">
        <v>45448</v>
      </c>
      <c r="G1035" s="182">
        <v>22620.349609375</v>
      </c>
      <c r="H1035" s="183">
        <f t="shared" si="33"/>
        <v>3.362423676003564E-2</v>
      </c>
    </row>
    <row r="1036" spans="2:8">
      <c r="B1036" s="175">
        <v>45449</v>
      </c>
      <c r="C1036" s="176">
        <v>49.799999237060547</v>
      </c>
      <c r="D1036" s="180">
        <f t="shared" si="32"/>
        <v>2.7863745157125763E-2</v>
      </c>
      <c r="F1036" s="184">
        <v>45449</v>
      </c>
      <c r="G1036" s="185">
        <v>22821.400390625</v>
      </c>
      <c r="H1036" s="186">
        <f t="shared" si="33"/>
        <v>8.8880492442377883E-3</v>
      </c>
    </row>
    <row r="1037" spans="2:8">
      <c r="B1037" s="175">
        <v>45450</v>
      </c>
      <c r="C1037" s="176">
        <v>49.900001525878913</v>
      </c>
      <c r="D1037" s="180">
        <f t="shared" si="32"/>
        <v>2.0080781194861145E-3</v>
      </c>
      <c r="F1037" s="181">
        <v>45450</v>
      </c>
      <c r="G1037" s="182">
        <v>23290.150390625</v>
      </c>
      <c r="H1037" s="183">
        <f t="shared" si="33"/>
        <v>2.0539931466807E-2</v>
      </c>
    </row>
    <row r="1038" spans="2:8">
      <c r="B1038" s="175">
        <v>45453</v>
      </c>
      <c r="C1038" s="176">
        <v>47.400001525878913</v>
      </c>
      <c r="D1038" s="180">
        <f t="shared" si="32"/>
        <v>-5.0100198868800863E-2</v>
      </c>
      <c r="F1038" s="184">
        <v>45453</v>
      </c>
      <c r="G1038" s="185">
        <v>23259.19921875</v>
      </c>
      <c r="H1038" s="186">
        <f t="shared" si="33"/>
        <v>-1.328938257412833E-3</v>
      </c>
    </row>
    <row r="1039" spans="2:8">
      <c r="B1039" s="175">
        <v>45454</v>
      </c>
      <c r="C1039" s="176">
        <v>48.259998321533203</v>
      </c>
      <c r="D1039" s="180">
        <f t="shared" si="32"/>
        <v>1.8143391729317952E-2</v>
      </c>
      <c r="F1039" s="181">
        <v>45454</v>
      </c>
      <c r="G1039" s="182">
        <v>23264.849609375</v>
      </c>
      <c r="H1039" s="183">
        <f t="shared" si="33"/>
        <v>2.4293143421915555E-4</v>
      </c>
    </row>
    <row r="1040" spans="2:8">
      <c r="B1040" s="175">
        <v>45455</v>
      </c>
      <c r="C1040" s="176">
        <v>50.279998779296882</v>
      </c>
      <c r="D1040" s="180">
        <f t="shared" si="32"/>
        <v>4.1856620970133186E-2</v>
      </c>
      <c r="F1040" s="184">
        <v>45455</v>
      </c>
      <c r="G1040" s="185">
        <v>23322.94921875</v>
      </c>
      <c r="H1040" s="186">
        <f t="shared" si="33"/>
        <v>2.4973129141392641E-3</v>
      </c>
    </row>
    <row r="1041" spans="2:8">
      <c r="B1041" s="175">
        <v>45456</v>
      </c>
      <c r="C1041" s="176">
        <v>49.869998931884773</v>
      </c>
      <c r="D1041" s="180">
        <f t="shared" si="32"/>
        <v>-8.1543328831767889E-3</v>
      </c>
      <c r="F1041" s="181">
        <v>45456</v>
      </c>
      <c r="G1041" s="182">
        <v>23398.900390625</v>
      </c>
      <c r="H1041" s="183">
        <f t="shared" si="33"/>
        <v>3.2564994745150257E-3</v>
      </c>
    </row>
    <row r="1042" spans="2:8">
      <c r="B1042" s="175">
        <v>45457</v>
      </c>
      <c r="C1042" s="176">
        <v>49.479999542236328</v>
      </c>
      <c r="D1042" s="180">
        <f t="shared" si="32"/>
        <v>-7.8203207940936107E-3</v>
      </c>
      <c r="F1042" s="184">
        <v>45457</v>
      </c>
      <c r="G1042" s="185">
        <v>23465.599609375</v>
      </c>
      <c r="H1042" s="186">
        <f t="shared" si="33"/>
        <v>2.8505279152657831E-3</v>
      </c>
    </row>
    <row r="1043" spans="2:8">
      <c r="B1043" s="175">
        <v>45461</v>
      </c>
      <c r="C1043" s="176">
        <v>49.959999084472663</v>
      </c>
      <c r="D1043" s="180">
        <f t="shared" si="32"/>
        <v>9.7008800864398885E-3</v>
      </c>
      <c r="F1043" s="181">
        <v>45461</v>
      </c>
      <c r="G1043" s="182">
        <v>23557.900390625</v>
      </c>
      <c r="H1043" s="183">
        <f t="shared" si="33"/>
        <v>3.9334507869606666E-3</v>
      </c>
    </row>
    <row r="1044" spans="2:8">
      <c r="B1044" s="175">
        <v>45462</v>
      </c>
      <c r="C1044" s="176">
        <v>48.900001525878913</v>
      </c>
      <c r="D1044" s="180">
        <f t="shared" si="32"/>
        <v>-2.1216925100448859E-2</v>
      </c>
      <c r="F1044" s="184">
        <v>45462</v>
      </c>
      <c r="G1044" s="185">
        <v>23516</v>
      </c>
      <c r="H1044" s="186">
        <f t="shared" si="33"/>
        <v>-1.7786131162042989E-3</v>
      </c>
    </row>
    <row r="1045" spans="2:8">
      <c r="B1045" s="175">
        <v>45463</v>
      </c>
      <c r="C1045" s="176">
        <v>50.529998779296882</v>
      </c>
      <c r="D1045" s="180">
        <f t="shared" si="32"/>
        <v>3.3333276125877824E-2</v>
      </c>
      <c r="F1045" s="181">
        <v>45463</v>
      </c>
      <c r="G1045" s="182">
        <v>23567</v>
      </c>
      <c r="H1045" s="183">
        <f t="shared" si="33"/>
        <v>2.1687361796223848E-3</v>
      </c>
    </row>
    <row r="1046" spans="2:8">
      <c r="B1046" s="175">
        <v>45464</v>
      </c>
      <c r="C1046" s="176">
        <v>53.049999237060547</v>
      </c>
      <c r="D1046" s="180">
        <f t="shared" si="32"/>
        <v>4.9871373810445402E-2</v>
      </c>
      <c r="F1046" s="184">
        <v>45464</v>
      </c>
      <c r="G1046" s="185">
        <v>23501.099609375</v>
      </c>
      <c r="H1046" s="186">
        <f t="shared" si="33"/>
        <v>-2.7962995130903384E-3</v>
      </c>
    </row>
    <row r="1047" spans="2:8">
      <c r="B1047" s="175">
        <v>45467</v>
      </c>
      <c r="C1047" s="176">
        <v>54.700000762939453</v>
      </c>
      <c r="D1047" s="180">
        <f t="shared" si="32"/>
        <v>3.1102762480837529E-2</v>
      </c>
      <c r="F1047" s="181">
        <v>45467</v>
      </c>
      <c r="G1047" s="182">
        <v>23537.849609375</v>
      </c>
      <c r="H1047" s="183">
        <f t="shared" si="33"/>
        <v>1.5637566161091365E-3</v>
      </c>
    </row>
    <row r="1048" spans="2:8">
      <c r="B1048" s="175">
        <v>45468</v>
      </c>
      <c r="C1048" s="176">
        <v>53.599998474121087</v>
      </c>
      <c r="D1048" s="180">
        <f t="shared" si="32"/>
        <v>-2.0109730776523938E-2</v>
      </c>
      <c r="F1048" s="184">
        <v>45468</v>
      </c>
      <c r="G1048" s="185">
        <v>23721.30078125</v>
      </c>
      <c r="H1048" s="186">
        <f t="shared" si="33"/>
        <v>7.7938798539154731E-3</v>
      </c>
    </row>
    <row r="1049" spans="2:8">
      <c r="B1049" s="175">
        <v>45469</v>
      </c>
      <c r="C1049" s="176">
        <v>52.759998321533203</v>
      </c>
      <c r="D1049" s="180">
        <f t="shared" si="32"/>
        <v>-1.567164508397232E-2</v>
      </c>
      <c r="F1049" s="181">
        <v>45469</v>
      </c>
      <c r="G1049" s="182">
        <v>23868.80078125</v>
      </c>
      <c r="H1049" s="183">
        <f t="shared" si="33"/>
        <v>6.2180401218380173E-3</v>
      </c>
    </row>
    <row r="1050" spans="2:8">
      <c r="B1050" s="175">
        <v>45470</v>
      </c>
      <c r="C1050" s="176">
        <v>53.279998779296882</v>
      </c>
      <c r="D1050" s="180">
        <f t="shared" si="32"/>
        <v>9.8559604682824375E-3</v>
      </c>
      <c r="F1050" s="184">
        <v>45470</v>
      </c>
      <c r="G1050" s="185">
        <v>24044.5</v>
      </c>
      <c r="H1050" s="186">
        <f t="shared" si="33"/>
        <v>7.3610408985448281E-3</v>
      </c>
    </row>
    <row r="1051" spans="2:8">
      <c r="B1051" s="175">
        <v>45471</v>
      </c>
      <c r="C1051" s="176">
        <v>52.860000610351563</v>
      </c>
      <c r="D1051" s="180">
        <f t="shared" si="32"/>
        <v>-7.8828486968456762E-3</v>
      </c>
      <c r="F1051" s="181">
        <v>45471</v>
      </c>
      <c r="G1051" s="182">
        <v>24010.599609375</v>
      </c>
      <c r="H1051" s="183">
        <f t="shared" si="33"/>
        <v>-1.4099020825968517E-3</v>
      </c>
    </row>
    <row r="1052" spans="2:8">
      <c r="B1052" s="175">
        <v>45474</v>
      </c>
      <c r="C1052" s="176">
        <v>52.930000305175781</v>
      </c>
      <c r="D1052" s="180">
        <f t="shared" si="32"/>
        <v>1.3242469545206687E-3</v>
      </c>
      <c r="F1052" s="184">
        <v>45474</v>
      </c>
      <c r="G1052" s="185">
        <v>24141.94921875</v>
      </c>
      <c r="H1052" s="186">
        <f t="shared" si="33"/>
        <v>5.4704843490753228E-3</v>
      </c>
    </row>
    <row r="1053" spans="2:8">
      <c r="B1053" s="175">
        <v>45475</v>
      </c>
      <c r="C1053" s="176">
        <v>53.029998779296882</v>
      </c>
      <c r="D1053" s="180">
        <f t="shared" si="32"/>
        <v>1.8892588993868278E-3</v>
      </c>
      <c r="F1053" s="181">
        <v>45475</v>
      </c>
      <c r="G1053" s="182">
        <v>24123.849609375</v>
      </c>
      <c r="H1053" s="183">
        <f t="shared" si="33"/>
        <v>-7.4971615634676354E-4</v>
      </c>
    </row>
    <row r="1054" spans="2:8">
      <c r="B1054" s="175">
        <v>45476</v>
      </c>
      <c r="C1054" s="176">
        <v>53.529998779296882</v>
      </c>
      <c r="D1054" s="180">
        <f t="shared" si="32"/>
        <v>9.428625523468839E-3</v>
      </c>
      <c r="F1054" s="184">
        <v>45476</v>
      </c>
      <c r="G1054" s="185">
        <v>24286.5</v>
      </c>
      <c r="H1054" s="186">
        <f t="shared" si="33"/>
        <v>6.742306607722794E-3</v>
      </c>
    </row>
    <row r="1055" spans="2:8">
      <c r="B1055" s="175">
        <v>45477</v>
      </c>
      <c r="C1055" s="176">
        <v>54.029998779296882</v>
      </c>
      <c r="D1055" s="180">
        <f t="shared" si="32"/>
        <v>9.3405569101820841E-3</v>
      </c>
      <c r="F1055" s="181">
        <v>45477</v>
      </c>
      <c r="G1055" s="182">
        <v>24302.150390625</v>
      </c>
      <c r="H1055" s="183">
        <f t="shared" si="33"/>
        <v>6.4440700080291519E-4</v>
      </c>
    </row>
    <row r="1056" spans="2:8">
      <c r="B1056" s="175">
        <v>45478</v>
      </c>
      <c r="C1056" s="176">
        <v>55.490001678466797</v>
      </c>
      <c r="D1056" s="180">
        <f t="shared" si="32"/>
        <v>2.7022079070069423E-2</v>
      </c>
      <c r="F1056" s="184">
        <v>45478</v>
      </c>
      <c r="G1056" s="185">
        <v>24323.849609375</v>
      </c>
      <c r="H1056" s="186">
        <f t="shared" si="33"/>
        <v>8.928929498506795E-4</v>
      </c>
    </row>
    <row r="1057" spans="2:8">
      <c r="B1057" s="175">
        <v>45481</v>
      </c>
      <c r="C1057" s="176">
        <v>55.200000762939453</v>
      </c>
      <c r="D1057" s="180">
        <f t="shared" si="32"/>
        <v>-5.2261832177936335E-3</v>
      </c>
      <c r="F1057" s="181">
        <v>45481</v>
      </c>
      <c r="G1057" s="182">
        <v>24320.55078125</v>
      </c>
      <c r="H1057" s="183">
        <f t="shared" si="33"/>
        <v>-1.3562113637343622E-4</v>
      </c>
    </row>
    <row r="1058" spans="2:8">
      <c r="B1058" s="175">
        <v>45482</v>
      </c>
      <c r="C1058" s="176">
        <v>55.369998931884773</v>
      </c>
      <c r="D1058" s="180">
        <f t="shared" si="32"/>
        <v>3.0796769310817494E-3</v>
      </c>
      <c r="F1058" s="184">
        <v>45482</v>
      </c>
      <c r="G1058" s="185">
        <v>24433.19921875</v>
      </c>
      <c r="H1058" s="186">
        <f t="shared" si="33"/>
        <v>4.631820986013468E-3</v>
      </c>
    </row>
    <row r="1059" spans="2:8">
      <c r="B1059" s="175">
        <v>45483</v>
      </c>
      <c r="C1059" s="176">
        <v>54.889999389648438</v>
      </c>
      <c r="D1059" s="180">
        <f t="shared" si="32"/>
        <v>-8.668946207256072E-3</v>
      </c>
      <c r="F1059" s="181">
        <v>45483</v>
      </c>
      <c r="G1059" s="182">
        <v>24324.44921875</v>
      </c>
      <c r="H1059" s="183">
        <f t="shared" si="33"/>
        <v>-4.4509111977667423E-3</v>
      </c>
    </row>
    <row r="1060" spans="2:8">
      <c r="B1060" s="175">
        <v>45484</v>
      </c>
      <c r="C1060" s="176">
        <v>54.720001220703118</v>
      </c>
      <c r="D1060" s="180">
        <f t="shared" si="32"/>
        <v>-3.0970699733215722E-3</v>
      </c>
      <c r="F1060" s="184">
        <v>45484</v>
      </c>
      <c r="G1060" s="185">
        <v>24315.94921875</v>
      </c>
      <c r="H1060" s="186">
        <f t="shared" si="33"/>
        <v>-3.4944265021417015E-4</v>
      </c>
    </row>
    <row r="1061" spans="2:8">
      <c r="B1061" s="175">
        <v>45485</v>
      </c>
      <c r="C1061" s="176">
        <v>54.630001068115227</v>
      </c>
      <c r="D1061" s="180">
        <f t="shared" si="32"/>
        <v>-1.6447395939355241E-3</v>
      </c>
      <c r="F1061" s="181">
        <v>45485</v>
      </c>
      <c r="G1061" s="182">
        <v>24502.150390625</v>
      </c>
      <c r="H1061" s="183">
        <f t="shared" si="33"/>
        <v>7.6575736443560468E-3</v>
      </c>
    </row>
    <row r="1062" spans="2:8">
      <c r="B1062" s="175">
        <v>45488</v>
      </c>
      <c r="C1062" s="176">
        <v>54.619998931884773</v>
      </c>
      <c r="D1062" s="180">
        <f t="shared" si="32"/>
        <v>-1.8308870647802862E-4</v>
      </c>
      <c r="F1062" s="184">
        <v>45488</v>
      </c>
      <c r="G1062" s="185">
        <v>24586.69921875</v>
      </c>
      <c r="H1062" s="186">
        <f t="shared" si="33"/>
        <v>3.4506697076412537E-3</v>
      </c>
    </row>
    <row r="1063" spans="2:8">
      <c r="B1063" s="175">
        <v>45489</v>
      </c>
      <c r="C1063" s="176">
        <v>55.880001068115227</v>
      </c>
      <c r="D1063" s="180">
        <f t="shared" si="32"/>
        <v>2.3068512648668694E-2</v>
      </c>
      <c r="F1063" s="181">
        <v>45489</v>
      </c>
      <c r="G1063" s="182">
        <v>24613</v>
      </c>
      <c r="H1063" s="183">
        <f t="shared" si="33"/>
        <v>1.0697158254550424E-3</v>
      </c>
    </row>
    <row r="1064" spans="2:8">
      <c r="B1064" s="175">
        <v>45491</v>
      </c>
      <c r="C1064" s="176">
        <v>55.389999389648438</v>
      </c>
      <c r="D1064" s="180">
        <f t="shared" si="32"/>
        <v>-8.7688201342283369E-3</v>
      </c>
      <c r="F1064" s="184">
        <v>45491</v>
      </c>
      <c r="G1064" s="185">
        <v>24800.849609375</v>
      </c>
      <c r="H1064" s="186">
        <f t="shared" si="33"/>
        <v>7.63212974342827E-3</v>
      </c>
    </row>
    <row r="1065" spans="2:8">
      <c r="B1065" s="175">
        <v>45492</v>
      </c>
      <c r="C1065" s="176">
        <v>54.549999237060547</v>
      </c>
      <c r="D1065" s="180">
        <f t="shared" si="32"/>
        <v>-1.5165195194872562E-2</v>
      </c>
      <c r="F1065" s="181">
        <v>45492</v>
      </c>
      <c r="G1065" s="182">
        <v>24530.900390625</v>
      </c>
      <c r="H1065" s="183">
        <f t="shared" si="33"/>
        <v>-1.0884676251089243E-2</v>
      </c>
    </row>
    <row r="1066" spans="2:8">
      <c r="B1066" s="175">
        <v>45495</v>
      </c>
      <c r="C1066" s="176">
        <v>55.080001831054688</v>
      </c>
      <c r="D1066" s="180">
        <f t="shared" si="32"/>
        <v>9.715904700399406E-3</v>
      </c>
      <c r="F1066" s="184">
        <v>45495</v>
      </c>
      <c r="G1066" s="185">
        <v>24509.25</v>
      </c>
      <c r="H1066" s="186">
        <f t="shared" si="33"/>
        <v>-8.8257627238477363E-4</v>
      </c>
    </row>
    <row r="1067" spans="2:8">
      <c r="B1067" s="175">
        <v>45496</v>
      </c>
      <c r="C1067" s="176">
        <v>57.830001831054688</v>
      </c>
      <c r="D1067" s="180">
        <f t="shared" si="32"/>
        <v>4.9927376698987704E-2</v>
      </c>
      <c r="F1067" s="181">
        <v>45496</v>
      </c>
      <c r="G1067" s="182">
        <v>24479.05078125</v>
      </c>
      <c r="H1067" s="183">
        <f t="shared" si="33"/>
        <v>-1.2321559717249609E-3</v>
      </c>
    </row>
    <row r="1068" spans="2:8">
      <c r="B1068" s="175">
        <v>45497</v>
      </c>
      <c r="C1068" s="176">
        <v>60.720001220703118</v>
      </c>
      <c r="D1068" s="180">
        <f t="shared" si="32"/>
        <v>4.9974049769033586E-2</v>
      </c>
      <c r="F1068" s="184">
        <v>45497</v>
      </c>
      <c r="G1068" s="185">
        <v>24413.5</v>
      </c>
      <c r="H1068" s="186">
        <f t="shared" si="33"/>
        <v>-2.6778318259059845E-3</v>
      </c>
    </row>
    <row r="1069" spans="2:8">
      <c r="B1069" s="175">
        <v>45498</v>
      </c>
      <c r="C1069" s="176">
        <v>61.470001220703118</v>
      </c>
      <c r="D1069" s="180">
        <f t="shared" si="32"/>
        <v>1.2351778407808722E-2</v>
      </c>
      <c r="F1069" s="181">
        <v>45498</v>
      </c>
      <c r="G1069" s="182">
        <v>24406.099609375</v>
      </c>
      <c r="H1069" s="183">
        <f t="shared" si="33"/>
        <v>-3.031269840457124E-4</v>
      </c>
    </row>
    <row r="1070" spans="2:8">
      <c r="B1070" s="175">
        <v>45499</v>
      </c>
      <c r="C1070" s="176">
        <v>61.889999389648438</v>
      </c>
      <c r="D1070" s="180">
        <f t="shared" si="32"/>
        <v>6.8325713454494624E-3</v>
      </c>
      <c r="F1070" s="184">
        <v>45499</v>
      </c>
      <c r="G1070" s="185">
        <v>24834.849609375</v>
      </c>
      <c r="H1070" s="186">
        <f t="shared" si="33"/>
        <v>1.756732976027461E-2</v>
      </c>
    </row>
    <row r="1071" spans="2:8">
      <c r="B1071" s="175">
        <v>45502</v>
      </c>
      <c r="C1071" s="176">
        <v>64.980003356933594</v>
      </c>
      <c r="D1071" s="180">
        <f t="shared" si="32"/>
        <v>4.9927354948431014E-2</v>
      </c>
      <c r="F1071" s="181">
        <v>45502</v>
      </c>
      <c r="G1071" s="182">
        <v>24836.099609375</v>
      </c>
      <c r="H1071" s="183">
        <f t="shared" si="33"/>
        <v>5.0332497263367071E-5</v>
      </c>
    </row>
    <row r="1072" spans="2:8">
      <c r="B1072" s="175">
        <v>45503</v>
      </c>
      <c r="C1072" s="176">
        <v>68.220001220703125</v>
      </c>
      <c r="D1072" s="180">
        <f t="shared" si="32"/>
        <v>4.9861460393781469E-2</v>
      </c>
      <c r="F1072" s="184">
        <v>45503</v>
      </c>
      <c r="G1072" s="185">
        <v>24857.30078125</v>
      </c>
      <c r="H1072" s="186">
        <f t="shared" si="33"/>
        <v>8.5364337430008915E-4</v>
      </c>
    </row>
    <row r="1073" spans="2:8">
      <c r="B1073" s="175">
        <v>45504</v>
      </c>
      <c r="C1073" s="176">
        <v>69.379997253417969</v>
      </c>
      <c r="D1073" s="180">
        <f t="shared" si="32"/>
        <v>1.7003752740520517E-2</v>
      </c>
      <c r="F1073" s="181">
        <v>45504</v>
      </c>
      <c r="G1073" s="182">
        <v>24951.150390625</v>
      </c>
      <c r="H1073" s="183">
        <f t="shared" si="33"/>
        <v>3.7755350108564997E-3</v>
      </c>
    </row>
    <row r="1074" spans="2:8">
      <c r="B1074" s="175">
        <v>45505</v>
      </c>
      <c r="C1074" s="176">
        <v>67.980003356933594</v>
      </c>
      <c r="D1074" s="180">
        <f t="shared" si="32"/>
        <v>-2.0178638684154822E-2</v>
      </c>
      <c r="F1074" s="184">
        <v>45505</v>
      </c>
      <c r="G1074" s="185">
        <v>25010.900390625</v>
      </c>
      <c r="H1074" s="186">
        <f t="shared" si="33"/>
        <v>2.3946791656728628E-3</v>
      </c>
    </row>
    <row r="1075" spans="2:8">
      <c r="B1075" s="175">
        <v>45506</v>
      </c>
      <c r="C1075" s="176">
        <v>71.349998474121094</v>
      </c>
      <c r="D1075" s="180">
        <f t="shared" si="32"/>
        <v>4.9573329667153929E-2</v>
      </c>
      <c r="F1075" s="181">
        <v>45506</v>
      </c>
      <c r="G1075" s="182">
        <v>24717.69921875</v>
      </c>
      <c r="H1075" s="183">
        <f t="shared" si="33"/>
        <v>-1.1722935491954641E-2</v>
      </c>
    </row>
    <row r="1076" spans="2:8">
      <c r="B1076" s="175">
        <v>45509</v>
      </c>
      <c r="C1076" s="176">
        <v>67.849998474121094</v>
      </c>
      <c r="D1076" s="180">
        <f t="shared" si="32"/>
        <v>-4.9053960404350436E-2</v>
      </c>
      <c r="F1076" s="184">
        <v>45509</v>
      </c>
      <c r="G1076" s="185">
        <v>24055.599609375</v>
      </c>
      <c r="H1076" s="186">
        <f t="shared" si="33"/>
        <v>-2.6786457894622889E-2</v>
      </c>
    </row>
    <row r="1077" spans="2:8">
      <c r="B1077" s="175">
        <v>45510</v>
      </c>
      <c r="C1077" s="176">
        <v>66.269996643066406</v>
      </c>
      <c r="D1077" s="180">
        <f t="shared" si="32"/>
        <v>-2.3286689264367805E-2</v>
      </c>
      <c r="F1077" s="181">
        <v>45510</v>
      </c>
      <c r="G1077" s="182">
        <v>23992.55078125</v>
      </c>
      <c r="H1077" s="183">
        <f t="shared" si="33"/>
        <v>-2.6209626510589443E-3</v>
      </c>
    </row>
    <row r="1078" spans="2:8">
      <c r="B1078" s="175">
        <v>45511</v>
      </c>
      <c r="C1078" s="176">
        <v>69.580001831054688</v>
      </c>
      <c r="D1078" s="180">
        <f t="shared" si="32"/>
        <v>4.9947266570966327E-2</v>
      </c>
      <c r="F1078" s="184">
        <v>45511</v>
      </c>
      <c r="G1078" s="185">
        <v>24297.5</v>
      </c>
      <c r="H1078" s="186">
        <f t="shared" si="33"/>
        <v>1.2710162480444369E-2</v>
      </c>
    </row>
    <row r="1079" spans="2:8">
      <c r="B1079" s="175">
        <v>45512</v>
      </c>
      <c r="C1079" s="176">
        <v>72.919998168945313</v>
      </c>
      <c r="D1079" s="180">
        <f t="shared" si="32"/>
        <v>4.8002245616497387E-2</v>
      </c>
      <c r="F1079" s="181">
        <v>45512</v>
      </c>
      <c r="G1079" s="182">
        <v>24117</v>
      </c>
      <c r="H1079" s="183">
        <f t="shared" si="33"/>
        <v>-7.428747813561066E-3</v>
      </c>
    </row>
    <row r="1080" spans="2:8">
      <c r="B1080" s="175">
        <v>45513</v>
      </c>
      <c r="C1080" s="176">
        <v>76.540000915527344</v>
      </c>
      <c r="D1080" s="180">
        <f t="shared" si="32"/>
        <v>4.9643483783351136E-2</v>
      </c>
      <c r="F1080" s="184">
        <v>45513</v>
      </c>
      <c r="G1080" s="185">
        <v>24367.5</v>
      </c>
      <c r="H1080" s="186">
        <f t="shared" si="33"/>
        <v>1.0386864037815649E-2</v>
      </c>
    </row>
    <row r="1081" spans="2:8">
      <c r="B1081" s="175">
        <v>45516</v>
      </c>
      <c r="C1081" s="176">
        <v>80.360000610351563</v>
      </c>
      <c r="D1081" s="180">
        <f t="shared" si="32"/>
        <v>4.9908539967750007E-2</v>
      </c>
      <c r="F1081" s="181">
        <v>45516</v>
      </c>
      <c r="G1081" s="182">
        <v>24347</v>
      </c>
      <c r="H1081" s="183">
        <f t="shared" si="33"/>
        <v>-8.412844977941931E-4</v>
      </c>
    </row>
    <row r="1082" spans="2:8">
      <c r="B1082" s="175">
        <v>45517</v>
      </c>
      <c r="C1082" s="176">
        <v>80.790000915527344</v>
      </c>
      <c r="D1082" s="180">
        <f t="shared" si="32"/>
        <v>5.350924613113938E-3</v>
      </c>
      <c r="F1082" s="184">
        <v>45517</v>
      </c>
      <c r="G1082" s="185">
        <v>24139</v>
      </c>
      <c r="H1082" s="186">
        <f t="shared" si="33"/>
        <v>-8.5431469996303452E-3</v>
      </c>
    </row>
    <row r="1083" spans="2:8">
      <c r="B1083" s="175">
        <v>45518</v>
      </c>
      <c r="C1083" s="176">
        <v>76.769996643066406</v>
      </c>
      <c r="D1083" s="180">
        <f t="shared" si="32"/>
        <v>-4.9758685813906425E-2</v>
      </c>
      <c r="F1083" s="181">
        <v>45518</v>
      </c>
      <c r="G1083" s="182">
        <v>24143.75</v>
      </c>
      <c r="H1083" s="183">
        <f t="shared" si="33"/>
        <v>1.9677699987571978E-4</v>
      </c>
    </row>
    <row r="1084" spans="2:8">
      <c r="B1084" s="175">
        <v>45520</v>
      </c>
      <c r="C1084" s="176">
        <v>79.949996948242188</v>
      </c>
      <c r="D1084" s="180">
        <f t="shared" si="32"/>
        <v>4.1422436423448609E-2</v>
      </c>
      <c r="F1084" s="184">
        <v>45520</v>
      </c>
      <c r="G1084" s="185">
        <v>24541.150390625</v>
      </c>
      <c r="H1084" s="186">
        <f t="shared" si="33"/>
        <v>1.6459762490292518E-2</v>
      </c>
    </row>
    <row r="1085" spans="2:8">
      <c r="B1085" s="175">
        <v>45523</v>
      </c>
      <c r="C1085" s="176">
        <v>80.709999084472656</v>
      </c>
      <c r="D1085" s="180">
        <f t="shared" si="32"/>
        <v>9.5059682956895788E-3</v>
      </c>
      <c r="F1085" s="181">
        <v>45523</v>
      </c>
      <c r="G1085" s="182">
        <v>24572.650390625</v>
      </c>
      <c r="H1085" s="183">
        <f t="shared" si="33"/>
        <v>1.2835584110202657E-3</v>
      </c>
    </row>
    <row r="1086" spans="2:8">
      <c r="B1086" s="175">
        <v>45524</v>
      </c>
      <c r="C1086" s="176">
        <v>79.430000305175781</v>
      </c>
      <c r="D1086" s="180">
        <f t="shared" si="32"/>
        <v>-1.5859234219011739E-2</v>
      </c>
      <c r="F1086" s="184">
        <v>45524</v>
      </c>
      <c r="G1086" s="185">
        <v>24698.849609375</v>
      </c>
      <c r="H1086" s="186">
        <f t="shared" si="33"/>
        <v>5.1357593399101852E-3</v>
      </c>
    </row>
    <row r="1087" spans="2:8">
      <c r="B1087" s="175">
        <v>45525</v>
      </c>
      <c r="C1087" s="176">
        <v>78.849998474121094</v>
      </c>
      <c r="D1087" s="180">
        <f t="shared" si="32"/>
        <v>-7.3020499663386468E-3</v>
      </c>
      <c r="F1087" s="181">
        <v>45525</v>
      </c>
      <c r="G1087" s="182">
        <v>24770.19921875</v>
      </c>
      <c r="H1087" s="183">
        <f t="shared" si="33"/>
        <v>2.8887826964992596E-3</v>
      </c>
    </row>
    <row r="1088" spans="2:8">
      <c r="B1088" s="175">
        <v>45526</v>
      </c>
      <c r="C1088" s="176">
        <v>77.569999694824219</v>
      </c>
      <c r="D1088" s="180">
        <f t="shared" si="32"/>
        <v>-1.6233339303322575E-2</v>
      </c>
      <c r="F1088" s="184">
        <v>45526</v>
      </c>
      <c r="G1088" s="185">
        <v>24811.5</v>
      </c>
      <c r="H1088" s="186">
        <f t="shared" si="33"/>
        <v>1.667357653657345E-3</v>
      </c>
    </row>
    <row r="1089" spans="2:8">
      <c r="B1089" s="175">
        <v>45527</v>
      </c>
      <c r="C1089" s="176">
        <v>78.839996337890625</v>
      </c>
      <c r="D1089" s="180">
        <f t="shared" si="32"/>
        <v>1.6372265670527592E-2</v>
      </c>
      <c r="F1089" s="181">
        <v>45527</v>
      </c>
      <c r="G1089" s="182">
        <v>24823.150390625</v>
      </c>
      <c r="H1089" s="183">
        <f t="shared" si="33"/>
        <v>4.6955607782681415E-4</v>
      </c>
    </row>
    <row r="1090" spans="2:8">
      <c r="B1090" s="175">
        <v>45530</v>
      </c>
      <c r="C1090" s="176">
        <v>76.400001525878906</v>
      </c>
      <c r="D1090" s="180">
        <f t="shared" si="32"/>
        <v>-3.0948692609705938E-2</v>
      </c>
      <c r="F1090" s="184">
        <v>45530</v>
      </c>
      <c r="G1090" s="185">
        <v>25010.599609375</v>
      </c>
      <c r="H1090" s="186">
        <f t="shared" si="33"/>
        <v>7.551387144670978E-3</v>
      </c>
    </row>
    <row r="1091" spans="2:8">
      <c r="B1091" s="175">
        <v>45531</v>
      </c>
      <c r="C1091" s="176">
        <v>77.5</v>
      </c>
      <c r="D1091" s="180">
        <f t="shared" si="32"/>
        <v>1.439788549936733E-2</v>
      </c>
      <c r="F1091" s="181">
        <v>45531</v>
      </c>
      <c r="G1091" s="182">
        <v>25017.75</v>
      </c>
      <c r="H1091" s="183">
        <f t="shared" si="33"/>
        <v>2.8589441023715959E-4</v>
      </c>
    </row>
    <row r="1092" spans="2:8">
      <c r="B1092" s="175">
        <v>45532</v>
      </c>
      <c r="C1092" s="176">
        <v>78.959999084472656</v>
      </c>
      <c r="D1092" s="180">
        <f t="shared" si="32"/>
        <v>1.8838697864163305E-2</v>
      </c>
      <c r="F1092" s="184">
        <v>45532</v>
      </c>
      <c r="G1092" s="185">
        <v>25052.349609375</v>
      </c>
      <c r="H1092" s="186">
        <f t="shared" si="33"/>
        <v>1.3830024432652816E-3</v>
      </c>
    </row>
    <row r="1093" spans="2:8">
      <c r="B1093" s="175">
        <v>45533</v>
      </c>
      <c r="C1093" s="176">
        <v>77</v>
      </c>
      <c r="D1093" s="180">
        <f t="shared" ref="D1093:D1156" si="34">(C1093-C1092)/C1092</f>
        <v>-2.4822683728451138E-2</v>
      </c>
      <c r="F1093" s="181">
        <v>45533</v>
      </c>
      <c r="G1093" s="182">
        <v>25151.94921875</v>
      </c>
      <c r="H1093" s="183">
        <f t="shared" ref="H1093:H1156" si="35">(G1093-G1092)/G1092</f>
        <v>3.9756594063228385E-3</v>
      </c>
    </row>
    <row r="1094" spans="2:8">
      <c r="B1094" s="175">
        <v>45534</v>
      </c>
      <c r="C1094" s="176">
        <v>75.839996337890625</v>
      </c>
      <c r="D1094" s="180">
        <f t="shared" si="34"/>
        <v>-1.5064982624797078E-2</v>
      </c>
      <c r="F1094" s="184">
        <v>45534</v>
      </c>
      <c r="G1094" s="185">
        <v>25235.900390625</v>
      </c>
      <c r="H1094" s="186">
        <f t="shared" si="35"/>
        <v>3.3377600735777966E-3</v>
      </c>
    </row>
    <row r="1095" spans="2:8">
      <c r="B1095" s="175">
        <v>45537</v>
      </c>
      <c r="C1095" s="176">
        <v>73.80999755859375</v>
      </c>
      <c r="D1095" s="180">
        <f t="shared" si="34"/>
        <v>-2.6766862833861475E-2</v>
      </c>
      <c r="F1095" s="181">
        <v>45537</v>
      </c>
      <c r="G1095" s="182">
        <v>25278.69921875</v>
      </c>
      <c r="H1095" s="183">
        <f t="shared" si="35"/>
        <v>1.6959501132323192E-3</v>
      </c>
    </row>
    <row r="1096" spans="2:8">
      <c r="B1096" s="175">
        <v>45538</v>
      </c>
      <c r="C1096" s="176">
        <v>74.470001220703125</v>
      </c>
      <c r="D1096" s="180">
        <f t="shared" si="34"/>
        <v>8.9419277054633949E-3</v>
      </c>
      <c r="F1096" s="184">
        <v>45538</v>
      </c>
      <c r="G1096" s="185">
        <v>25279.849609375</v>
      </c>
      <c r="H1096" s="186">
        <f t="shared" si="35"/>
        <v>4.5508299894905958E-5</v>
      </c>
    </row>
    <row r="1097" spans="2:8">
      <c r="B1097" s="175">
        <v>45539</v>
      </c>
      <c r="C1097" s="176">
        <v>74.160003662109375</v>
      </c>
      <c r="D1097" s="180">
        <f t="shared" si="34"/>
        <v>-4.1627172487217409E-3</v>
      </c>
      <c r="F1097" s="181">
        <v>45539</v>
      </c>
      <c r="G1097" s="182">
        <v>25198.69921875</v>
      </c>
      <c r="H1097" s="183">
        <f t="shared" si="35"/>
        <v>-3.2100820170585776E-3</v>
      </c>
    </row>
    <row r="1098" spans="2:8">
      <c r="B1098" s="175">
        <v>45540</v>
      </c>
      <c r="C1098" s="176">
        <v>76</v>
      </c>
      <c r="D1098" s="180">
        <f t="shared" si="34"/>
        <v>2.481116837957676E-2</v>
      </c>
      <c r="F1098" s="184">
        <v>45540</v>
      </c>
      <c r="G1098" s="185">
        <v>25145.099609375</v>
      </c>
      <c r="H1098" s="186">
        <f t="shared" si="35"/>
        <v>-2.1270784221717794E-3</v>
      </c>
    </row>
    <row r="1099" spans="2:8">
      <c r="B1099" s="175">
        <v>45541</v>
      </c>
      <c r="C1099" s="176">
        <v>74.720001220703125</v>
      </c>
      <c r="D1099" s="180">
        <f t="shared" si="34"/>
        <v>-1.6842089201274672E-2</v>
      </c>
      <c r="F1099" s="181">
        <v>45541</v>
      </c>
      <c r="G1099" s="182">
        <v>24852.150390625</v>
      </c>
      <c r="H1099" s="183">
        <f t="shared" si="35"/>
        <v>-1.1650350298901897E-2</v>
      </c>
    </row>
    <row r="1100" spans="2:8">
      <c r="B1100" s="175">
        <v>45544</v>
      </c>
      <c r="C1100" s="176">
        <v>74.339996337890625</v>
      </c>
      <c r="D1100" s="180">
        <f t="shared" si="34"/>
        <v>-5.085718369972533E-3</v>
      </c>
      <c r="F1100" s="184">
        <v>45544</v>
      </c>
      <c r="G1100" s="185">
        <v>24936.400390625</v>
      </c>
      <c r="H1100" s="186">
        <f t="shared" si="35"/>
        <v>3.3900486950127948E-3</v>
      </c>
    </row>
    <row r="1101" spans="2:8">
      <c r="B1101" s="175">
        <v>45545</v>
      </c>
      <c r="C1101" s="176">
        <v>78.050003051757813</v>
      </c>
      <c r="D1101" s="180">
        <f t="shared" si="34"/>
        <v>4.990593081286205E-2</v>
      </c>
      <c r="F1101" s="181">
        <v>45545</v>
      </c>
      <c r="G1101" s="182">
        <v>25041.099609375</v>
      </c>
      <c r="H1101" s="183">
        <f t="shared" si="35"/>
        <v>4.1986500501236075E-3</v>
      </c>
    </row>
    <row r="1102" spans="2:8">
      <c r="B1102" s="175">
        <v>45546</v>
      </c>
      <c r="C1102" s="176">
        <v>81.949996948242188</v>
      </c>
      <c r="D1102" s="180">
        <f t="shared" si="34"/>
        <v>4.9967889096662131E-2</v>
      </c>
      <c r="F1102" s="184">
        <v>45546</v>
      </c>
      <c r="G1102" s="185">
        <v>24918.44921875</v>
      </c>
      <c r="H1102" s="186">
        <f t="shared" si="35"/>
        <v>-4.8979634496195048E-3</v>
      </c>
    </row>
    <row r="1103" spans="2:8">
      <c r="B1103" s="175">
        <v>45547</v>
      </c>
      <c r="C1103" s="176">
        <v>81.699996948242188</v>
      </c>
      <c r="D1103" s="180">
        <f t="shared" si="34"/>
        <v>-3.0506407481368731E-3</v>
      </c>
      <c r="F1103" s="181">
        <v>45547</v>
      </c>
      <c r="G1103" s="182">
        <v>25388.900390625</v>
      </c>
      <c r="H1103" s="183">
        <f t="shared" si="35"/>
        <v>1.8879632827271085E-2</v>
      </c>
    </row>
    <row r="1104" spans="2:8">
      <c r="B1104" s="175">
        <v>45548</v>
      </c>
      <c r="C1104" s="176">
        <v>83.110000610351563</v>
      </c>
      <c r="D1104" s="180">
        <f t="shared" si="34"/>
        <v>1.7258307402417985E-2</v>
      </c>
      <c r="F1104" s="184">
        <v>45548</v>
      </c>
      <c r="G1104" s="185">
        <v>25356.5</v>
      </c>
      <c r="H1104" s="186">
        <f t="shared" si="35"/>
        <v>-1.2761636040355664E-3</v>
      </c>
    </row>
    <row r="1105" spans="2:8">
      <c r="B1105" s="175">
        <v>45551</v>
      </c>
      <c r="C1105" s="176">
        <v>84.699996948242188</v>
      </c>
      <c r="D1105" s="180">
        <f t="shared" si="34"/>
        <v>1.9131227604546389E-2</v>
      </c>
      <c r="F1105" s="181">
        <v>45551</v>
      </c>
      <c r="G1105" s="182">
        <v>25383.75</v>
      </c>
      <c r="H1105" s="183">
        <f t="shared" si="35"/>
        <v>1.0746751326089958E-3</v>
      </c>
    </row>
    <row r="1106" spans="2:8">
      <c r="B1106" s="175">
        <v>45552</v>
      </c>
      <c r="C1106" s="176">
        <v>82</v>
      </c>
      <c r="D1106" s="180">
        <f t="shared" si="34"/>
        <v>-3.1877178813738097E-2</v>
      </c>
      <c r="F1106" s="184">
        <v>45552</v>
      </c>
      <c r="G1106" s="185">
        <v>25418.55078125</v>
      </c>
      <c r="H1106" s="186">
        <f t="shared" si="35"/>
        <v>1.3709866056039789E-3</v>
      </c>
    </row>
    <row r="1107" spans="2:8">
      <c r="B1107" s="175">
        <v>45553</v>
      </c>
      <c r="C1107" s="176">
        <v>80.819999694824219</v>
      </c>
      <c r="D1107" s="180">
        <f t="shared" si="34"/>
        <v>-1.4390247624094894E-2</v>
      </c>
      <c r="F1107" s="181">
        <v>45553</v>
      </c>
      <c r="G1107" s="182">
        <v>25377.55078125</v>
      </c>
      <c r="H1107" s="183">
        <f t="shared" si="35"/>
        <v>-1.6129951842196943E-3</v>
      </c>
    </row>
    <row r="1108" spans="2:8">
      <c r="B1108" s="175">
        <v>45554</v>
      </c>
      <c r="C1108" s="176">
        <v>80.970001220703125</v>
      </c>
      <c r="D1108" s="180">
        <f t="shared" si="34"/>
        <v>1.8559951304789781E-3</v>
      </c>
      <c r="F1108" s="184">
        <v>45554</v>
      </c>
      <c r="G1108" s="185">
        <v>25415.80078125</v>
      </c>
      <c r="H1108" s="186">
        <f t="shared" si="35"/>
        <v>1.5072376499098844E-3</v>
      </c>
    </row>
    <row r="1109" spans="2:8">
      <c r="B1109" s="175">
        <v>45555</v>
      </c>
      <c r="C1109" s="176">
        <v>83.449996948242188</v>
      </c>
      <c r="D1109" s="180">
        <f t="shared" si="34"/>
        <v>3.0628574659141233E-2</v>
      </c>
      <c r="F1109" s="181">
        <v>45555</v>
      </c>
      <c r="G1109" s="182">
        <v>25790.94921875</v>
      </c>
      <c r="H1109" s="183">
        <f t="shared" si="35"/>
        <v>1.4760441377741608E-2</v>
      </c>
    </row>
    <row r="1110" spans="2:8">
      <c r="B1110" s="175">
        <v>45558</v>
      </c>
      <c r="C1110" s="176">
        <v>82.889999389648438</v>
      </c>
      <c r="D1110" s="180">
        <f t="shared" si="34"/>
        <v>-6.7105761422744537E-3</v>
      </c>
      <c r="F1110" s="184">
        <v>45558</v>
      </c>
      <c r="G1110" s="185">
        <v>25939.05078125</v>
      </c>
      <c r="H1110" s="186">
        <f t="shared" si="35"/>
        <v>5.7423850996662926E-3</v>
      </c>
    </row>
    <row r="1111" spans="2:8">
      <c r="B1111" s="175">
        <v>45559</v>
      </c>
      <c r="C1111" s="176">
        <v>83.790000915527344</v>
      </c>
      <c r="D1111" s="180">
        <f t="shared" si="34"/>
        <v>1.0857781789190135E-2</v>
      </c>
      <c r="F1111" s="181">
        <v>45559</v>
      </c>
      <c r="G1111" s="182">
        <v>25940.400390625</v>
      </c>
      <c r="H1111" s="183">
        <f t="shared" si="35"/>
        <v>5.2030021699003842E-5</v>
      </c>
    </row>
    <row r="1112" spans="2:8">
      <c r="B1112" s="175">
        <v>45560</v>
      </c>
      <c r="C1112" s="176">
        <v>82.959999084472656</v>
      </c>
      <c r="D1112" s="180">
        <f t="shared" si="34"/>
        <v>-9.9057384173017442E-3</v>
      </c>
      <c r="F1112" s="184">
        <v>45560</v>
      </c>
      <c r="G1112" s="185">
        <v>26004.150390625</v>
      </c>
      <c r="H1112" s="186">
        <f t="shared" si="35"/>
        <v>2.4575565157058869E-3</v>
      </c>
    </row>
    <row r="1113" spans="2:8">
      <c r="B1113" s="175">
        <v>45561</v>
      </c>
      <c r="C1113" s="176">
        <v>81.839996337890625</v>
      </c>
      <c r="D1113" s="180">
        <f t="shared" si="34"/>
        <v>-1.3500515416370809E-2</v>
      </c>
      <c r="F1113" s="181">
        <v>45561</v>
      </c>
      <c r="G1113" s="182">
        <v>26216.05078125</v>
      </c>
      <c r="H1113" s="183">
        <f t="shared" si="35"/>
        <v>8.1487142414540942E-3</v>
      </c>
    </row>
    <row r="1114" spans="2:8">
      <c r="B1114" s="175">
        <v>45562</v>
      </c>
      <c r="C1114" s="176">
        <v>81.089996337890625</v>
      </c>
      <c r="D1114" s="180">
        <f t="shared" si="34"/>
        <v>-9.1642232839734602E-3</v>
      </c>
      <c r="F1114" s="184">
        <v>45562</v>
      </c>
      <c r="G1114" s="185">
        <v>26178.94921875</v>
      </c>
      <c r="H1114" s="186">
        <f t="shared" si="35"/>
        <v>-1.4152231703234049E-3</v>
      </c>
    </row>
    <row r="1115" spans="2:8">
      <c r="B1115" s="175">
        <v>45565</v>
      </c>
      <c r="C1115" s="176">
        <v>80.050003051757813</v>
      </c>
      <c r="D1115" s="180">
        <f t="shared" si="34"/>
        <v>-1.2825173672462711E-2</v>
      </c>
      <c r="F1115" s="181">
        <v>45565</v>
      </c>
      <c r="G1115" s="182">
        <v>25810.849609375</v>
      </c>
      <c r="H1115" s="183">
        <f t="shared" si="35"/>
        <v>-1.406090085202343E-2</v>
      </c>
    </row>
    <row r="1116" spans="2:8">
      <c r="B1116" s="175">
        <v>45566</v>
      </c>
      <c r="C1116" s="176">
        <v>79.739997863769531</v>
      </c>
      <c r="D1116" s="180">
        <f t="shared" si="34"/>
        <v>-3.8726442994367113E-3</v>
      </c>
      <c r="F1116" s="184">
        <v>45566</v>
      </c>
      <c r="G1116" s="185">
        <v>25796.900390625</v>
      </c>
      <c r="H1116" s="186">
        <f t="shared" si="35"/>
        <v>-5.4044012347944466E-4</v>
      </c>
    </row>
    <row r="1117" spans="2:8">
      <c r="B1117" s="175">
        <v>45568</v>
      </c>
      <c r="C1117" s="176">
        <v>75.75</v>
      </c>
      <c r="D1117" s="180">
        <f t="shared" si="34"/>
        <v>-5.0037596822941691E-2</v>
      </c>
      <c r="F1117" s="181">
        <v>45568</v>
      </c>
      <c r="G1117" s="182">
        <v>25250.099609375</v>
      </c>
      <c r="H1117" s="183">
        <f t="shared" si="35"/>
        <v>-2.1196375260987402E-2</v>
      </c>
    </row>
    <row r="1118" spans="2:8">
      <c r="B1118" s="175">
        <v>45569</v>
      </c>
      <c r="C1118" s="176">
        <v>74.669998168945313</v>
      </c>
      <c r="D1118" s="180">
        <f t="shared" si="34"/>
        <v>-1.4257449914913366E-2</v>
      </c>
      <c r="F1118" s="184">
        <v>45569</v>
      </c>
      <c r="G1118" s="185">
        <v>25014.599609375</v>
      </c>
      <c r="H1118" s="186">
        <f t="shared" si="35"/>
        <v>-9.3266958801446562E-3</v>
      </c>
    </row>
    <row r="1119" spans="2:8">
      <c r="B1119" s="175">
        <v>45572</v>
      </c>
      <c r="C1119" s="176">
        <v>70.930000305175781</v>
      </c>
      <c r="D1119" s="180">
        <f t="shared" si="34"/>
        <v>-5.0087022304561517E-2</v>
      </c>
      <c r="F1119" s="181">
        <v>45572</v>
      </c>
      <c r="G1119" s="182">
        <v>24795.75</v>
      </c>
      <c r="H1119" s="183">
        <f t="shared" si="35"/>
        <v>-8.7488751686027114E-3</v>
      </c>
    </row>
    <row r="1120" spans="2:8">
      <c r="B1120" s="175">
        <v>45573</v>
      </c>
      <c r="C1120" s="176">
        <v>73.639999389648438</v>
      </c>
      <c r="D1120" s="180">
        <f t="shared" si="34"/>
        <v>3.8206669573000222E-2</v>
      </c>
      <c r="F1120" s="184">
        <v>45573</v>
      </c>
      <c r="G1120" s="185">
        <v>25013.150390625</v>
      </c>
      <c r="H1120" s="186">
        <f t="shared" si="35"/>
        <v>8.7676473034693451E-3</v>
      </c>
    </row>
    <row r="1121" spans="2:8">
      <c r="B1121" s="175">
        <v>45574</v>
      </c>
      <c r="C1121" s="176">
        <v>76.69000244140625</v>
      </c>
      <c r="D1121" s="180">
        <f t="shared" si="34"/>
        <v>4.1417749552379153E-2</v>
      </c>
      <c r="F1121" s="181">
        <v>45574</v>
      </c>
      <c r="G1121" s="182">
        <v>24981.94921875</v>
      </c>
      <c r="H1121" s="183">
        <f t="shared" si="35"/>
        <v>-1.2473907279865989E-3</v>
      </c>
    </row>
    <row r="1122" spans="2:8">
      <c r="B1122" s="175">
        <v>45575</v>
      </c>
      <c r="C1122" s="176">
        <v>75.44000244140625</v>
      </c>
      <c r="D1122" s="180">
        <f t="shared" si="34"/>
        <v>-1.6299386624156677E-2</v>
      </c>
      <c r="F1122" s="184">
        <v>45575</v>
      </c>
      <c r="G1122" s="185">
        <v>24998.44921875</v>
      </c>
      <c r="H1122" s="186">
        <f t="shared" si="35"/>
        <v>6.6047688495083712E-4</v>
      </c>
    </row>
    <row r="1123" spans="2:8">
      <c r="B1123" s="175">
        <v>45576</v>
      </c>
      <c r="C1123" s="176">
        <v>74.389999389648438</v>
      </c>
      <c r="D1123" s="180">
        <f t="shared" si="34"/>
        <v>-1.3918385707547437E-2</v>
      </c>
      <c r="F1123" s="181">
        <v>45576</v>
      </c>
      <c r="G1123" s="182">
        <v>24964.25</v>
      </c>
      <c r="H1123" s="183">
        <f t="shared" si="35"/>
        <v>-1.3680536120756241E-3</v>
      </c>
    </row>
    <row r="1124" spans="2:8">
      <c r="B1124" s="175">
        <v>45579</v>
      </c>
      <c r="C1124" s="176">
        <v>74.010002136230469</v>
      </c>
      <c r="D1124" s="180">
        <f t="shared" si="34"/>
        <v>-5.1081765900759819E-3</v>
      </c>
      <c r="F1124" s="184">
        <v>45579</v>
      </c>
      <c r="G1124" s="185">
        <v>25127.94921875</v>
      </c>
      <c r="H1124" s="186">
        <f t="shared" si="35"/>
        <v>6.5573457544288337E-3</v>
      </c>
    </row>
    <row r="1125" spans="2:8">
      <c r="B1125" s="175">
        <v>45580</v>
      </c>
      <c r="C1125" s="176">
        <v>73.709999084472656</v>
      </c>
      <c r="D1125" s="180">
        <f t="shared" si="34"/>
        <v>-4.0535474003310507E-3</v>
      </c>
      <c r="F1125" s="181">
        <v>45580</v>
      </c>
      <c r="G1125" s="182">
        <v>25057.349609375</v>
      </c>
      <c r="H1125" s="183">
        <f t="shared" si="35"/>
        <v>-2.8096049048968912E-3</v>
      </c>
    </row>
    <row r="1126" spans="2:8">
      <c r="B1126" s="175">
        <v>45581</v>
      </c>
      <c r="C1126" s="176">
        <v>75.050003051757813</v>
      </c>
      <c r="D1126" s="180">
        <f t="shared" si="34"/>
        <v>1.8179405561374293E-2</v>
      </c>
      <c r="F1126" s="184">
        <v>45581</v>
      </c>
      <c r="G1126" s="185">
        <v>24971.30078125</v>
      </c>
      <c r="H1126" s="186">
        <f t="shared" si="35"/>
        <v>-3.4340754096676505E-3</v>
      </c>
    </row>
    <row r="1127" spans="2:8">
      <c r="B1127" s="175">
        <v>45582</v>
      </c>
      <c r="C1127" s="176">
        <v>73.010002136230469</v>
      </c>
      <c r="D1127" s="180">
        <f t="shared" si="34"/>
        <v>-2.7181889841103254E-2</v>
      </c>
      <c r="F1127" s="181">
        <v>45582</v>
      </c>
      <c r="G1127" s="182">
        <v>24749.849609375</v>
      </c>
      <c r="H1127" s="183">
        <f t="shared" si="35"/>
        <v>-8.8682273228345102E-3</v>
      </c>
    </row>
    <row r="1128" spans="2:8">
      <c r="B1128" s="175">
        <v>45583</v>
      </c>
      <c r="C1128" s="176">
        <v>72.19000244140625</v>
      </c>
      <c r="D1128" s="180">
        <f t="shared" si="34"/>
        <v>-1.123133366431313E-2</v>
      </c>
      <c r="F1128" s="184">
        <v>45583</v>
      </c>
      <c r="G1128" s="185">
        <v>24854.05078125</v>
      </c>
      <c r="H1128" s="186">
        <f t="shared" si="35"/>
        <v>4.2101739412400158E-3</v>
      </c>
    </row>
    <row r="1129" spans="2:8">
      <c r="B1129" s="175">
        <v>45586</v>
      </c>
      <c r="C1129" s="176">
        <v>70.629997253417969</v>
      </c>
      <c r="D1129" s="180">
        <f t="shared" si="34"/>
        <v>-2.1609712359470765E-2</v>
      </c>
      <c r="F1129" s="181">
        <v>45586</v>
      </c>
      <c r="G1129" s="182">
        <v>24781.099609375</v>
      </c>
      <c r="H1129" s="183">
        <f t="shared" si="35"/>
        <v>-2.9351823779983047E-3</v>
      </c>
    </row>
    <row r="1130" spans="2:8">
      <c r="B1130" s="175">
        <v>45587</v>
      </c>
      <c r="C1130" s="176">
        <v>68.55999755859375</v>
      </c>
      <c r="D1130" s="180">
        <f t="shared" si="34"/>
        <v>-2.9307656453633035E-2</v>
      </c>
      <c r="F1130" s="184">
        <v>45587</v>
      </c>
      <c r="G1130" s="185">
        <v>24472.099609375</v>
      </c>
      <c r="H1130" s="186">
        <f t="shared" si="35"/>
        <v>-1.2469180337869326E-2</v>
      </c>
    </row>
    <row r="1131" spans="2:8">
      <c r="B1131" s="175">
        <v>45588</v>
      </c>
      <c r="C1131" s="176">
        <v>68.849998474121094</v>
      </c>
      <c r="D1131" s="180">
        <f t="shared" si="34"/>
        <v>4.2298851495655163E-3</v>
      </c>
      <c r="F1131" s="181">
        <v>45588</v>
      </c>
      <c r="G1131" s="182">
        <v>24435.5</v>
      </c>
      <c r="H1131" s="183">
        <f t="shared" si="35"/>
        <v>-1.4955647434917714E-3</v>
      </c>
    </row>
    <row r="1132" spans="2:8">
      <c r="B1132" s="175">
        <v>45589</v>
      </c>
      <c r="C1132" s="176">
        <v>69.150001525878906</v>
      </c>
      <c r="D1132" s="180">
        <f t="shared" si="34"/>
        <v>4.3573428962467697E-3</v>
      </c>
      <c r="F1132" s="184">
        <v>45589</v>
      </c>
      <c r="G1132" s="185">
        <v>24399.400390625</v>
      </c>
      <c r="H1132" s="186">
        <f t="shared" si="35"/>
        <v>-1.4773427748562542E-3</v>
      </c>
    </row>
    <row r="1133" spans="2:8">
      <c r="B1133" s="175">
        <v>45590</v>
      </c>
      <c r="C1133" s="176">
        <v>67.470001220703125</v>
      </c>
      <c r="D1133" s="180">
        <f t="shared" si="34"/>
        <v>-2.4295014723131319E-2</v>
      </c>
      <c r="F1133" s="181">
        <v>45590</v>
      </c>
      <c r="G1133" s="182">
        <v>24180.80078125</v>
      </c>
      <c r="H1133" s="183">
        <f t="shared" si="35"/>
        <v>-8.9592205494932031E-3</v>
      </c>
    </row>
    <row r="1134" spans="2:8">
      <c r="B1134" s="175">
        <v>45593</v>
      </c>
      <c r="C1134" s="176">
        <v>70.839996337890625</v>
      </c>
      <c r="D1134" s="180">
        <f t="shared" si="34"/>
        <v>4.9948051818819582E-2</v>
      </c>
      <c r="F1134" s="184">
        <v>45593</v>
      </c>
      <c r="G1134" s="185">
        <v>24339.150390625</v>
      </c>
      <c r="H1134" s="186">
        <f t="shared" si="35"/>
        <v>6.5485676346080995E-3</v>
      </c>
    </row>
    <row r="1135" spans="2:8">
      <c r="B1135" s="175">
        <v>45594</v>
      </c>
      <c r="C1135" s="176">
        <v>68.870002746582031</v>
      </c>
      <c r="D1135" s="180">
        <f t="shared" si="34"/>
        <v>-2.7809058344839172E-2</v>
      </c>
      <c r="F1135" s="181">
        <v>45594</v>
      </c>
      <c r="G1135" s="182">
        <v>24466.849609375</v>
      </c>
      <c r="H1135" s="183">
        <f t="shared" si="35"/>
        <v>5.2466588480092318E-3</v>
      </c>
    </row>
    <row r="1136" spans="2:8">
      <c r="B1136" s="175">
        <v>45595</v>
      </c>
      <c r="C1136" s="176">
        <v>68.129997253417969</v>
      </c>
      <c r="D1136" s="180">
        <f t="shared" si="34"/>
        <v>-1.074496099393271E-2</v>
      </c>
      <c r="F1136" s="184">
        <v>45595</v>
      </c>
      <c r="G1136" s="185">
        <v>24340.849609375</v>
      </c>
      <c r="H1136" s="186">
        <f t="shared" si="35"/>
        <v>-5.149825253829181E-3</v>
      </c>
    </row>
    <row r="1137" spans="2:8">
      <c r="B1137" s="175">
        <v>45596</v>
      </c>
      <c r="C1137" s="176">
        <v>66.949996948242188</v>
      </c>
      <c r="D1137" s="180">
        <f t="shared" si="34"/>
        <v>-1.7319834914811809E-2</v>
      </c>
      <c r="F1137" s="181">
        <v>45596</v>
      </c>
      <c r="G1137" s="182">
        <v>24205.349609375</v>
      </c>
      <c r="H1137" s="183">
        <f t="shared" si="35"/>
        <v>-5.566773640794013E-3</v>
      </c>
    </row>
    <row r="1138" spans="2:8">
      <c r="B1138" s="175">
        <v>45597</v>
      </c>
      <c r="C1138" s="176">
        <v>68.139999389648438</v>
      </c>
      <c r="D1138" s="180">
        <f t="shared" si="34"/>
        <v>1.7774495827478812E-2</v>
      </c>
      <c r="F1138" s="184">
        <v>45597</v>
      </c>
      <c r="G1138" s="185">
        <v>24304.349609375</v>
      </c>
      <c r="H1138" s="186">
        <f t="shared" si="35"/>
        <v>4.0900049616162618E-3</v>
      </c>
    </row>
    <row r="1139" spans="2:8">
      <c r="B1139" s="175">
        <v>45600</v>
      </c>
      <c r="C1139" s="176">
        <v>66.319999694824219</v>
      </c>
      <c r="D1139" s="180">
        <f t="shared" si="34"/>
        <v>-2.6709711052634762E-2</v>
      </c>
      <c r="F1139" s="181">
        <v>45600</v>
      </c>
      <c r="G1139" s="182">
        <v>23995.349609375</v>
      </c>
      <c r="H1139" s="183">
        <f t="shared" si="35"/>
        <v>-1.2713773664645128E-2</v>
      </c>
    </row>
    <row r="1140" spans="2:8">
      <c r="B1140" s="175">
        <v>45601</v>
      </c>
      <c r="C1140" s="176">
        <v>67.370002746582031</v>
      </c>
      <c r="D1140" s="180">
        <f t="shared" si="34"/>
        <v>1.5832374194654247E-2</v>
      </c>
      <c r="F1140" s="184">
        <v>45601</v>
      </c>
      <c r="G1140" s="185">
        <v>24213.30078125</v>
      </c>
      <c r="H1140" s="186">
        <f t="shared" si="35"/>
        <v>9.0830588186073483E-3</v>
      </c>
    </row>
    <row r="1141" spans="2:8">
      <c r="B1141" s="175">
        <v>45602</v>
      </c>
      <c r="C1141" s="176">
        <v>69.319999694824219</v>
      </c>
      <c r="D1141" s="180">
        <f t="shared" si="34"/>
        <v>2.8944587631638759E-2</v>
      </c>
      <c r="F1141" s="181">
        <v>45602</v>
      </c>
      <c r="G1141" s="182">
        <v>24484.05078125</v>
      </c>
      <c r="H1141" s="183">
        <f t="shared" si="35"/>
        <v>1.1181870759630595E-2</v>
      </c>
    </row>
    <row r="1142" spans="2:8">
      <c r="B1142" s="175">
        <v>45603</v>
      </c>
      <c r="C1142" s="176">
        <v>66.800003051757813</v>
      </c>
      <c r="D1142" s="180">
        <f t="shared" si="34"/>
        <v>-3.6353096568962649E-2</v>
      </c>
      <c r="F1142" s="184">
        <v>45603</v>
      </c>
      <c r="G1142" s="185">
        <v>24199.349609375</v>
      </c>
      <c r="H1142" s="186">
        <f t="shared" si="35"/>
        <v>-1.1628025706147672E-2</v>
      </c>
    </row>
    <row r="1143" spans="2:8">
      <c r="B1143" s="175">
        <v>45604</v>
      </c>
      <c r="C1143" s="176">
        <v>62.5</v>
      </c>
      <c r="D1143" s="180">
        <f t="shared" si="34"/>
        <v>-6.4371300229224465E-2</v>
      </c>
      <c r="F1143" s="181">
        <v>45604</v>
      </c>
      <c r="G1143" s="182">
        <v>24148.19921875</v>
      </c>
      <c r="H1143" s="183">
        <f t="shared" si="35"/>
        <v>-2.1137093124678017E-3</v>
      </c>
    </row>
    <row r="1144" spans="2:8">
      <c r="B1144" s="175">
        <v>45607</v>
      </c>
      <c r="C1144" s="176">
        <v>62.159999847412109</v>
      </c>
      <c r="D1144" s="180">
        <f t="shared" si="34"/>
        <v>-5.4400024414062503E-3</v>
      </c>
      <c r="F1144" s="184">
        <v>45607</v>
      </c>
      <c r="G1144" s="185">
        <v>24141.30078125</v>
      </c>
      <c r="H1144" s="186">
        <f t="shared" si="35"/>
        <v>-2.8567088740280355E-4</v>
      </c>
    </row>
    <row r="1145" spans="2:8">
      <c r="B1145" s="175">
        <v>45608</v>
      </c>
      <c r="C1145" s="176">
        <v>59.389999389648438</v>
      </c>
      <c r="D1145" s="180">
        <f t="shared" si="34"/>
        <v>-4.456242703609007E-2</v>
      </c>
      <c r="F1145" s="181">
        <v>45608</v>
      </c>
      <c r="G1145" s="182">
        <v>23883.44921875</v>
      </c>
      <c r="H1145" s="183">
        <f t="shared" si="35"/>
        <v>-1.0680930776533279E-2</v>
      </c>
    </row>
    <row r="1146" spans="2:8">
      <c r="B1146" s="175">
        <v>45609</v>
      </c>
      <c r="C1146" s="176">
        <v>54.029998779296882</v>
      </c>
      <c r="D1146" s="180">
        <f t="shared" si="34"/>
        <v>-9.0250895191721345E-2</v>
      </c>
      <c r="F1146" s="184">
        <v>45609</v>
      </c>
      <c r="G1146" s="185">
        <v>23559.05078125</v>
      </c>
      <c r="H1146" s="186">
        <f t="shared" si="35"/>
        <v>-1.3582562322921387E-2</v>
      </c>
    </row>
    <row r="1147" spans="2:8">
      <c r="B1147" s="175">
        <v>45610</v>
      </c>
      <c r="C1147" s="176">
        <v>56.729999542236328</v>
      </c>
      <c r="D1147" s="180">
        <f t="shared" si="34"/>
        <v>4.9972252895441993E-2</v>
      </c>
      <c r="F1147" s="181">
        <v>45610</v>
      </c>
      <c r="G1147" s="182">
        <v>23532.69921875</v>
      </c>
      <c r="H1147" s="183">
        <f t="shared" si="35"/>
        <v>-1.1185324376894032E-3</v>
      </c>
    </row>
    <row r="1148" spans="2:8">
      <c r="B1148" s="175">
        <v>45614</v>
      </c>
      <c r="C1148" s="176">
        <v>59.259998321533203</v>
      </c>
      <c r="D1148" s="180">
        <f t="shared" si="34"/>
        <v>4.4597193719581353E-2</v>
      </c>
      <c r="F1148" s="184">
        <v>45614</v>
      </c>
      <c r="G1148" s="185">
        <v>23453.80078125</v>
      </c>
      <c r="H1148" s="186">
        <f t="shared" si="35"/>
        <v>-3.3527151631265739E-3</v>
      </c>
    </row>
    <row r="1149" spans="2:8">
      <c r="B1149" s="175">
        <v>45615</v>
      </c>
      <c r="C1149" s="176">
        <v>62.220001220703118</v>
      </c>
      <c r="D1149" s="180">
        <f t="shared" si="34"/>
        <v>4.9949425970441573E-2</v>
      </c>
      <c r="F1149" s="181">
        <v>45615</v>
      </c>
      <c r="G1149" s="182">
        <v>23518.5</v>
      </c>
      <c r="H1149" s="183">
        <f t="shared" si="35"/>
        <v>2.7585814066316875E-3</v>
      </c>
    </row>
    <row r="1150" spans="2:8">
      <c r="B1150" s="175">
        <v>45617</v>
      </c>
      <c r="C1150" s="176">
        <v>65.330001831054688</v>
      </c>
      <c r="D1150" s="180">
        <f t="shared" si="34"/>
        <v>4.998393682635844E-2</v>
      </c>
      <c r="F1150" s="184">
        <v>45617</v>
      </c>
      <c r="G1150" s="185">
        <v>23349.900390625</v>
      </c>
      <c r="H1150" s="186">
        <f t="shared" si="35"/>
        <v>-7.1688079331164827E-3</v>
      </c>
    </row>
    <row r="1151" spans="2:8">
      <c r="B1151" s="175">
        <v>45618</v>
      </c>
      <c r="C1151" s="176">
        <v>65.220001220703125</v>
      </c>
      <c r="D1151" s="180">
        <f t="shared" si="34"/>
        <v>-1.683768670878463E-3</v>
      </c>
      <c r="F1151" s="181">
        <v>45618</v>
      </c>
      <c r="G1151" s="182">
        <v>23907.25</v>
      </c>
      <c r="H1151" s="183">
        <f t="shared" si="35"/>
        <v>2.3869464111237762E-2</v>
      </c>
    </row>
    <row r="1152" spans="2:8">
      <c r="B1152" s="175">
        <v>45621</v>
      </c>
      <c r="C1152" s="176">
        <v>64.230003356933594</v>
      </c>
      <c r="D1152" s="180">
        <f t="shared" si="34"/>
        <v>-1.5179359785955832E-2</v>
      </c>
      <c r="F1152" s="184">
        <v>45621</v>
      </c>
      <c r="G1152" s="185">
        <v>24221.900390625</v>
      </c>
      <c r="H1152" s="186">
        <f t="shared" si="35"/>
        <v>1.3161295867362411E-2</v>
      </c>
    </row>
    <row r="1153" spans="2:8">
      <c r="B1153" s="175">
        <v>45622</v>
      </c>
      <c r="C1153" s="176">
        <v>63.569999694824219</v>
      </c>
      <c r="D1153" s="180">
        <f t="shared" si="34"/>
        <v>-1.0275628641052033E-2</v>
      </c>
      <c r="F1153" s="181">
        <v>45622</v>
      </c>
      <c r="G1153" s="182">
        <v>24194.5</v>
      </c>
      <c r="H1153" s="183">
        <f t="shared" si="35"/>
        <v>-1.1312238174179439E-3</v>
      </c>
    </row>
    <row r="1154" spans="2:8">
      <c r="B1154" s="175">
        <v>45623</v>
      </c>
      <c r="C1154" s="176">
        <v>63.590000152587891</v>
      </c>
      <c r="D1154" s="180">
        <f t="shared" si="34"/>
        <v>3.1462101399538445E-4</v>
      </c>
      <c r="F1154" s="184">
        <v>45623</v>
      </c>
      <c r="G1154" s="185">
        <v>24274.900390625</v>
      </c>
      <c r="H1154" s="186">
        <f t="shared" si="35"/>
        <v>3.3230854378061129E-3</v>
      </c>
    </row>
    <row r="1155" spans="2:8">
      <c r="B1155" s="175">
        <v>45624</v>
      </c>
      <c r="C1155" s="176">
        <v>63.729999542236328</v>
      </c>
      <c r="D1155" s="180">
        <f t="shared" si="34"/>
        <v>2.2015944222755282E-3</v>
      </c>
      <c r="F1155" s="181">
        <v>45624</v>
      </c>
      <c r="G1155" s="182">
        <v>23914.150390625</v>
      </c>
      <c r="H1155" s="183">
        <f t="shared" si="35"/>
        <v>-1.4861029054492934E-2</v>
      </c>
    </row>
    <row r="1156" spans="2:8">
      <c r="B1156" s="175">
        <v>45625</v>
      </c>
      <c r="C1156" s="176">
        <v>62.979999542236328</v>
      </c>
      <c r="D1156" s="180">
        <f t="shared" si="34"/>
        <v>-1.176839801329272E-2</v>
      </c>
      <c r="F1156" s="184">
        <v>45625</v>
      </c>
      <c r="G1156" s="185">
        <v>24131.099609375</v>
      </c>
      <c r="H1156" s="186">
        <f t="shared" si="35"/>
        <v>9.0720019405351737E-3</v>
      </c>
    </row>
    <row r="1157" spans="2:8">
      <c r="B1157" s="175">
        <v>45628</v>
      </c>
      <c r="C1157" s="176">
        <v>66.120002746582031</v>
      </c>
      <c r="D1157" s="180">
        <f t="shared" ref="D1157:D1220" si="36">(C1157-C1156)/C1156</f>
        <v>4.9857148732430842E-2</v>
      </c>
      <c r="F1157" s="181">
        <v>45628</v>
      </c>
      <c r="G1157" s="182">
        <v>24276.05078125</v>
      </c>
      <c r="H1157" s="183">
        <f t="shared" ref="H1157:H1220" si="37">(G1157-G1156)/G1156</f>
        <v>6.0068200049485541E-3</v>
      </c>
    </row>
    <row r="1158" spans="2:8">
      <c r="B1158" s="175">
        <v>45629</v>
      </c>
      <c r="C1158" s="176">
        <v>65.400001525878906</v>
      </c>
      <c r="D1158" s="180">
        <f t="shared" si="36"/>
        <v>-1.0889310205607097E-2</v>
      </c>
      <c r="F1158" s="184">
        <v>45629</v>
      </c>
      <c r="G1158" s="185">
        <v>24457.150390625</v>
      </c>
      <c r="H1158" s="186">
        <f t="shared" si="37"/>
        <v>7.4600111445999777E-3</v>
      </c>
    </row>
    <row r="1159" spans="2:8">
      <c r="B1159" s="175">
        <v>45630</v>
      </c>
      <c r="C1159" s="176">
        <v>67.720001220703125</v>
      </c>
      <c r="D1159" s="180">
        <f t="shared" si="36"/>
        <v>3.5474000622250604E-2</v>
      </c>
      <c r="F1159" s="181">
        <v>45630</v>
      </c>
      <c r="G1159" s="182">
        <v>24467.44921875</v>
      </c>
      <c r="H1159" s="183">
        <f t="shared" si="37"/>
        <v>4.2109681465375389E-4</v>
      </c>
    </row>
    <row r="1160" spans="2:8">
      <c r="B1160" s="175">
        <v>45631</v>
      </c>
      <c r="C1160" s="176">
        <v>68.260002136230469</v>
      </c>
      <c r="D1160" s="180">
        <f t="shared" si="36"/>
        <v>7.974024007581626E-3</v>
      </c>
      <c r="F1160" s="184">
        <v>45631</v>
      </c>
      <c r="G1160" s="185">
        <v>24708.400390625</v>
      </c>
      <c r="H1160" s="186">
        <f t="shared" si="37"/>
        <v>9.8478255628851284E-3</v>
      </c>
    </row>
    <row r="1161" spans="2:8">
      <c r="B1161" s="175">
        <v>45632</v>
      </c>
      <c r="C1161" s="176">
        <v>67.389999389648438</v>
      </c>
      <c r="D1161" s="180">
        <f t="shared" si="36"/>
        <v>-1.2745425129722616E-2</v>
      </c>
      <c r="F1161" s="181">
        <v>45632</v>
      </c>
      <c r="G1161" s="182">
        <v>24677.80078125</v>
      </c>
      <c r="H1161" s="183">
        <f t="shared" si="37"/>
        <v>-1.2384293961259537E-3</v>
      </c>
    </row>
    <row r="1162" spans="2:8">
      <c r="B1162" s="175">
        <v>45635</v>
      </c>
      <c r="C1162" s="176">
        <v>67.360000610351563</v>
      </c>
      <c r="D1162" s="180">
        <f t="shared" si="36"/>
        <v>-4.4515179653619374E-4</v>
      </c>
      <c r="F1162" s="184">
        <v>45635</v>
      </c>
      <c r="G1162" s="185">
        <v>24619</v>
      </c>
      <c r="H1162" s="186">
        <f t="shared" si="37"/>
        <v>-2.3827399277279349E-3</v>
      </c>
    </row>
    <row r="1163" spans="2:8">
      <c r="B1163" s="175">
        <v>45636</v>
      </c>
      <c r="C1163" s="176">
        <v>66.550003051757813</v>
      </c>
      <c r="D1163" s="180">
        <f t="shared" si="36"/>
        <v>-1.2024904264464533E-2</v>
      </c>
      <c r="F1163" s="181">
        <v>45636</v>
      </c>
      <c r="G1163" s="182">
        <v>24610.05078125</v>
      </c>
      <c r="H1163" s="183">
        <f t="shared" si="37"/>
        <v>-3.6350862138998332E-4</v>
      </c>
    </row>
    <row r="1164" spans="2:8">
      <c r="B1164" s="175">
        <v>45637</v>
      </c>
      <c r="C1164" s="176">
        <v>66.120002746582031</v>
      </c>
      <c r="D1164" s="180">
        <f t="shared" si="36"/>
        <v>-6.4613115771213099E-3</v>
      </c>
      <c r="F1164" s="184">
        <v>45637</v>
      </c>
      <c r="G1164" s="185">
        <v>24641.80078125</v>
      </c>
      <c r="H1164" s="186">
        <f t="shared" si="37"/>
        <v>1.2901233029632678E-3</v>
      </c>
    </row>
    <row r="1165" spans="2:8">
      <c r="B1165" s="175">
        <v>45638</v>
      </c>
      <c r="C1165" s="176">
        <v>65.699996948242188</v>
      </c>
      <c r="D1165" s="180">
        <f t="shared" si="36"/>
        <v>-6.3521745446623607E-3</v>
      </c>
      <c r="F1165" s="181">
        <v>45638</v>
      </c>
      <c r="G1165" s="182">
        <v>24548.69921875</v>
      </c>
      <c r="H1165" s="183">
        <f t="shared" si="37"/>
        <v>-3.778196379659119E-3</v>
      </c>
    </row>
    <row r="1166" spans="2:8">
      <c r="B1166" s="175">
        <v>45639</v>
      </c>
      <c r="C1166" s="176">
        <v>66.199996948242188</v>
      </c>
      <c r="D1166" s="180">
        <f t="shared" si="36"/>
        <v>7.6103504296034458E-3</v>
      </c>
      <c r="F1166" s="184">
        <v>45639</v>
      </c>
      <c r="G1166" s="185">
        <v>24768.30078125</v>
      </c>
      <c r="H1166" s="186">
        <f t="shared" si="37"/>
        <v>8.9455478085890185E-3</v>
      </c>
    </row>
    <row r="1167" spans="2:8">
      <c r="B1167" s="175">
        <v>45642</v>
      </c>
      <c r="C1167" s="176">
        <v>66.360000610351563</v>
      </c>
      <c r="D1167" s="180">
        <f t="shared" si="36"/>
        <v>2.4169738592959796E-3</v>
      </c>
      <c r="F1167" s="181">
        <v>45642</v>
      </c>
      <c r="G1167" s="182">
        <v>24668.25</v>
      </c>
      <c r="H1167" s="183">
        <f t="shared" si="37"/>
        <v>-4.0394689217332193E-3</v>
      </c>
    </row>
    <row r="1168" spans="2:8">
      <c r="B1168" s="175">
        <v>45643</v>
      </c>
      <c r="C1168" s="176">
        <v>69.55999755859375</v>
      </c>
      <c r="D1168" s="180">
        <f t="shared" si="36"/>
        <v>4.8221773942283795E-2</v>
      </c>
      <c r="F1168" s="184">
        <v>45643</v>
      </c>
      <c r="G1168" s="185">
        <v>24336</v>
      </c>
      <c r="H1168" s="186">
        <f t="shared" si="37"/>
        <v>-1.3468730047733423E-2</v>
      </c>
    </row>
    <row r="1169" spans="2:8">
      <c r="B1169" s="175">
        <v>45644</v>
      </c>
      <c r="C1169" s="176">
        <v>67.949996948242188</v>
      </c>
      <c r="D1169" s="180">
        <f t="shared" si="36"/>
        <v>-2.3145495498262218E-2</v>
      </c>
      <c r="F1169" s="181">
        <v>45644</v>
      </c>
      <c r="G1169" s="182">
        <v>24198.849609375</v>
      </c>
      <c r="H1169" s="183">
        <f t="shared" si="37"/>
        <v>-5.6356998120069036E-3</v>
      </c>
    </row>
    <row r="1170" spans="2:8">
      <c r="B1170" s="175">
        <v>45645</v>
      </c>
      <c r="C1170" s="176">
        <v>67.050003051757813</v>
      </c>
      <c r="D1170" s="180">
        <f t="shared" si="36"/>
        <v>-1.3244943883807741E-2</v>
      </c>
      <c r="F1170" s="184">
        <v>45645</v>
      </c>
      <c r="G1170" s="185">
        <v>23951.69921875</v>
      </c>
      <c r="H1170" s="186">
        <f t="shared" si="37"/>
        <v>-1.0213311567061031E-2</v>
      </c>
    </row>
    <row r="1171" spans="2:8">
      <c r="B1171" s="175">
        <v>45646</v>
      </c>
      <c r="C1171" s="176">
        <v>64.129997253417969</v>
      </c>
      <c r="D1171" s="180">
        <f t="shared" si="36"/>
        <v>-4.3549674354016181E-2</v>
      </c>
      <c r="F1171" s="181">
        <v>45646</v>
      </c>
      <c r="G1171" s="182">
        <v>23587.5</v>
      </c>
      <c r="H1171" s="183">
        <f t="shared" si="37"/>
        <v>-1.5205569150805617E-2</v>
      </c>
    </row>
    <row r="1172" spans="2:8">
      <c r="B1172" s="175">
        <v>45649</v>
      </c>
      <c r="C1172" s="176">
        <v>63.860000610351563</v>
      </c>
      <c r="D1172" s="180">
        <f t="shared" si="36"/>
        <v>-4.2101458697944372E-3</v>
      </c>
      <c r="F1172" s="184">
        <v>45649</v>
      </c>
      <c r="G1172" s="185">
        <v>23753.44921875</v>
      </c>
      <c r="H1172" s="186">
        <f t="shared" si="37"/>
        <v>7.0354729729729731E-3</v>
      </c>
    </row>
    <row r="1173" spans="2:8">
      <c r="B1173" s="175">
        <v>45650</v>
      </c>
      <c r="C1173" s="176">
        <v>64.870002746582031</v>
      </c>
      <c r="D1173" s="180">
        <f t="shared" si="36"/>
        <v>1.5815880466289092E-2</v>
      </c>
      <c r="F1173" s="181">
        <v>45650</v>
      </c>
      <c r="G1173" s="182">
        <v>23727.650390625</v>
      </c>
      <c r="H1173" s="183">
        <f t="shared" si="37"/>
        <v>-1.0861087115144297E-3</v>
      </c>
    </row>
    <row r="1174" spans="2:8">
      <c r="B1174" s="175">
        <v>45652</v>
      </c>
      <c r="C1174" s="176">
        <v>64.339996337890625</v>
      </c>
      <c r="D1174" s="180">
        <f t="shared" si="36"/>
        <v>-8.1702849738099024E-3</v>
      </c>
      <c r="F1174" s="184">
        <v>45652</v>
      </c>
      <c r="G1174" s="185">
        <v>23750.19921875</v>
      </c>
      <c r="H1174" s="186">
        <f t="shared" si="37"/>
        <v>9.5031862631915877E-4</v>
      </c>
    </row>
    <row r="1175" spans="2:8">
      <c r="B1175" s="175">
        <v>45653</v>
      </c>
      <c r="C1175" s="176">
        <v>63.25</v>
      </c>
      <c r="D1175" s="180">
        <f t="shared" si="36"/>
        <v>-1.6941193657617797E-2</v>
      </c>
      <c r="F1175" s="181">
        <v>45653</v>
      </c>
      <c r="G1175" s="182">
        <v>23813.400390625</v>
      </c>
      <c r="H1175" s="183">
        <f t="shared" si="37"/>
        <v>2.6610796521279179E-3</v>
      </c>
    </row>
    <row r="1176" spans="2:8">
      <c r="B1176" s="175">
        <v>45656</v>
      </c>
      <c r="C1176" s="176">
        <v>61.419998168945313</v>
      </c>
      <c r="D1176" s="180">
        <f t="shared" si="36"/>
        <v>-2.8932835273591896E-2</v>
      </c>
      <c r="F1176" s="184">
        <v>45656</v>
      </c>
      <c r="G1176" s="185">
        <v>23644.900390625</v>
      </c>
      <c r="H1176" s="186">
        <f t="shared" si="37"/>
        <v>-7.0758479358679106E-3</v>
      </c>
    </row>
    <row r="1177" spans="2:8">
      <c r="B1177" s="175">
        <v>45657</v>
      </c>
      <c r="C1177" s="176">
        <v>62.220001220703118</v>
      </c>
      <c r="D1177" s="180">
        <f t="shared" si="36"/>
        <v>1.3025123341053704E-2</v>
      </c>
      <c r="F1177" s="181">
        <v>45657</v>
      </c>
      <c r="G1177" s="182">
        <v>23644.80078125</v>
      </c>
      <c r="H1177" s="183">
        <f t="shared" si="37"/>
        <v>-4.2127212783477941E-6</v>
      </c>
    </row>
    <row r="1178" spans="2:8">
      <c r="B1178" s="175">
        <v>45658</v>
      </c>
      <c r="C1178" s="176">
        <v>65.330001831054688</v>
      </c>
      <c r="D1178" s="180">
        <f t="shared" si="36"/>
        <v>4.998393682635844E-2</v>
      </c>
      <c r="F1178" s="184">
        <v>45658</v>
      </c>
      <c r="G1178" s="185">
        <v>23742.900390625</v>
      </c>
      <c r="H1178" s="186">
        <f t="shared" si="37"/>
        <v>4.1488871182535671E-3</v>
      </c>
    </row>
    <row r="1179" spans="2:8">
      <c r="B1179" s="175">
        <v>45659</v>
      </c>
      <c r="C1179" s="176">
        <v>62.919998168945313</v>
      </c>
      <c r="D1179" s="180">
        <f t="shared" si="36"/>
        <v>-3.6889692248007519E-2</v>
      </c>
      <c r="F1179" s="181">
        <v>45659</v>
      </c>
      <c r="G1179" s="182">
        <v>24188.650390625</v>
      </c>
      <c r="H1179" s="183">
        <f t="shared" si="37"/>
        <v>1.8774033191665436E-2</v>
      </c>
    </row>
    <row r="1180" spans="2:8">
      <c r="B1180" s="175">
        <v>45660</v>
      </c>
      <c r="C1180" s="176">
        <v>61.950000762939453</v>
      </c>
      <c r="D1180" s="180">
        <f t="shared" si="36"/>
        <v>-1.5416361001812769E-2</v>
      </c>
      <c r="F1180" s="184">
        <v>45660</v>
      </c>
      <c r="G1180" s="185">
        <v>24004.75</v>
      </c>
      <c r="H1180" s="186">
        <f t="shared" si="37"/>
        <v>-7.602755327609176E-3</v>
      </c>
    </row>
    <row r="1181" spans="2:8">
      <c r="B1181" s="175">
        <v>45663</v>
      </c>
      <c r="C1181" s="176">
        <v>58.849998474121087</v>
      </c>
      <c r="D1181" s="180">
        <f t="shared" si="36"/>
        <v>-5.0040391455053713E-2</v>
      </c>
      <c r="F1181" s="181">
        <v>45663</v>
      </c>
      <c r="G1181" s="182">
        <v>23616.05078125</v>
      </c>
      <c r="H1181" s="183">
        <f t="shared" si="37"/>
        <v>-1.6192595996625668E-2</v>
      </c>
    </row>
    <row r="1182" spans="2:8">
      <c r="B1182" s="175">
        <v>45664</v>
      </c>
      <c r="C1182" s="176">
        <v>60.880001068115227</v>
      </c>
      <c r="D1182" s="180">
        <f t="shared" si="36"/>
        <v>3.4494522457580376E-2</v>
      </c>
      <c r="F1182" s="184">
        <v>45664</v>
      </c>
      <c r="G1182" s="185">
        <v>23707.900390625</v>
      </c>
      <c r="H1182" s="186">
        <f t="shared" si="37"/>
        <v>3.8892874268344705E-3</v>
      </c>
    </row>
    <row r="1183" spans="2:8">
      <c r="B1183" s="175">
        <v>45665</v>
      </c>
      <c r="C1183" s="176">
        <v>60.029998779296882</v>
      </c>
      <c r="D1183" s="180">
        <f t="shared" si="36"/>
        <v>-1.3961929597657614E-2</v>
      </c>
      <c r="F1183" s="181">
        <v>45665</v>
      </c>
      <c r="G1183" s="182">
        <v>23688.94921875</v>
      </c>
      <c r="H1183" s="183">
        <f t="shared" si="37"/>
        <v>-7.9936103841966573E-4</v>
      </c>
    </row>
    <row r="1184" spans="2:8">
      <c r="B1184" s="175">
        <v>45666</v>
      </c>
      <c r="C1184" s="176">
        <v>57.880001068115227</v>
      </c>
      <c r="D1184" s="180">
        <f t="shared" si="36"/>
        <v>-3.5815388220916393E-2</v>
      </c>
      <c r="F1184" s="184">
        <v>45666</v>
      </c>
      <c r="G1184" s="185">
        <v>23526.5</v>
      </c>
      <c r="H1184" s="186">
        <f t="shared" si="37"/>
        <v>-6.8575949591474531E-3</v>
      </c>
    </row>
    <row r="1185" spans="2:8">
      <c r="B1185" s="175">
        <v>45667</v>
      </c>
      <c r="C1185" s="176">
        <v>55.569999694824219</v>
      </c>
      <c r="D1185" s="180">
        <f t="shared" si="36"/>
        <v>-3.991018193957041E-2</v>
      </c>
      <c r="F1185" s="181">
        <v>45667</v>
      </c>
      <c r="G1185" s="182">
        <v>23431.5</v>
      </c>
      <c r="H1185" s="183">
        <f t="shared" si="37"/>
        <v>-4.0379997024631801E-3</v>
      </c>
    </row>
    <row r="1186" spans="2:8">
      <c r="B1186" s="175">
        <v>45670</v>
      </c>
      <c r="C1186" s="176">
        <v>54.450000762939453</v>
      </c>
      <c r="D1186" s="180">
        <f t="shared" si="36"/>
        <v>-2.0154740652069542E-2</v>
      </c>
      <c r="F1186" s="184">
        <v>45670</v>
      </c>
      <c r="G1186" s="185">
        <v>23085.94921875</v>
      </c>
      <c r="H1186" s="186">
        <f t="shared" si="37"/>
        <v>-1.4747275302477434E-2</v>
      </c>
    </row>
    <row r="1187" spans="2:8">
      <c r="B1187" s="175">
        <v>45671</v>
      </c>
      <c r="C1187" s="176">
        <v>57.169998168945313</v>
      </c>
      <c r="D1187" s="180">
        <f t="shared" si="36"/>
        <v>4.9954037977850377E-2</v>
      </c>
      <c r="F1187" s="181">
        <v>45671</v>
      </c>
      <c r="G1187" s="182">
        <v>23176.05078125</v>
      </c>
      <c r="H1187" s="183">
        <f t="shared" si="37"/>
        <v>3.9028744993868871E-3</v>
      </c>
    </row>
    <row r="1188" spans="2:8">
      <c r="B1188" s="175">
        <v>45672</v>
      </c>
      <c r="C1188" s="176">
        <v>57.259998321533203</v>
      </c>
      <c r="D1188" s="180">
        <f t="shared" si="36"/>
        <v>1.5742549496315817E-3</v>
      </c>
      <c r="F1188" s="184">
        <v>45672</v>
      </c>
      <c r="G1188" s="185">
        <v>23213.19921875</v>
      </c>
      <c r="H1188" s="186">
        <f t="shared" si="37"/>
        <v>1.6028803979862699E-3</v>
      </c>
    </row>
    <row r="1189" spans="2:8">
      <c r="B1189" s="175">
        <v>45673</v>
      </c>
      <c r="C1189" s="176">
        <v>56.869998931884773</v>
      </c>
      <c r="D1189" s="180">
        <f t="shared" si="36"/>
        <v>-6.8110269137358175E-3</v>
      </c>
      <c r="F1189" s="181">
        <v>45673</v>
      </c>
      <c r="G1189" s="182">
        <v>23311.80078125</v>
      </c>
      <c r="H1189" s="183">
        <f t="shared" si="37"/>
        <v>4.2476507253837101E-3</v>
      </c>
    </row>
    <row r="1190" spans="2:8">
      <c r="B1190" s="175">
        <v>45674</v>
      </c>
      <c r="C1190" s="176">
        <v>56.840000152587891</v>
      </c>
      <c r="D1190" s="180">
        <f t="shared" si="36"/>
        <v>-5.2749744786900234E-4</v>
      </c>
      <c r="F1190" s="184">
        <v>45674</v>
      </c>
      <c r="G1190" s="185">
        <v>23203.19921875</v>
      </c>
      <c r="H1190" s="186">
        <f t="shared" si="37"/>
        <v>-4.6586517926727362E-3</v>
      </c>
    </row>
    <row r="1191" spans="2:8">
      <c r="B1191" s="175">
        <v>45677</v>
      </c>
      <c r="C1191" s="176">
        <v>58.090000152587891</v>
      </c>
      <c r="D1191" s="180">
        <f t="shared" si="36"/>
        <v>2.1991555183750087E-2</v>
      </c>
      <c r="F1191" s="181">
        <v>45677</v>
      </c>
      <c r="G1191" s="182">
        <v>23344.75</v>
      </c>
      <c r="H1191" s="183">
        <f t="shared" si="37"/>
        <v>6.1004855371674738E-3</v>
      </c>
    </row>
    <row r="1192" spans="2:8">
      <c r="B1192" s="175">
        <v>45678</v>
      </c>
      <c r="C1192" s="176">
        <v>57.430000305175781</v>
      </c>
      <c r="D1192" s="180">
        <f t="shared" si="36"/>
        <v>-1.1361677494895077E-2</v>
      </c>
      <c r="F1192" s="184">
        <v>45678</v>
      </c>
      <c r="G1192" s="185">
        <v>23024.650390625</v>
      </c>
      <c r="H1192" s="186">
        <f t="shared" si="37"/>
        <v>-1.371184567729361E-2</v>
      </c>
    </row>
    <row r="1193" spans="2:8">
      <c r="B1193" s="175">
        <v>45679</v>
      </c>
      <c r="C1193" s="176">
        <v>55.119998931884773</v>
      </c>
      <c r="D1193" s="180">
        <f t="shared" si="36"/>
        <v>-4.0222903726553239E-2</v>
      </c>
      <c r="F1193" s="181">
        <v>45679</v>
      </c>
      <c r="G1193" s="182">
        <v>23155.349609375</v>
      </c>
      <c r="H1193" s="183">
        <f t="shared" si="37"/>
        <v>5.6764909144165375E-3</v>
      </c>
    </row>
    <row r="1194" spans="2:8">
      <c r="B1194" s="175">
        <v>45680</v>
      </c>
      <c r="C1194" s="176">
        <v>54.310001373291023</v>
      </c>
      <c r="D1194" s="180">
        <f t="shared" si="36"/>
        <v>-1.4695166442124112E-2</v>
      </c>
      <c r="F1194" s="184">
        <v>45680</v>
      </c>
      <c r="G1194" s="185">
        <v>23205.349609375</v>
      </c>
      <c r="H1194" s="186">
        <f t="shared" si="37"/>
        <v>2.1593282262409156E-3</v>
      </c>
    </row>
    <row r="1195" spans="2:8">
      <c r="B1195" s="175">
        <v>45681</v>
      </c>
      <c r="C1195" s="176">
        <v>52.540000915527337</v>
      </c>
      <c r="D1195" s="180">
        <f t="shared" si="36"/>
        <v>-3.259069072007334E-2</v>
      </c>
      <c r="F1195" s="181">
        <v>45681</v>
      </c>
      <c r="G1195" s="182">
        <v>23092.19921875</v>
      </c>
      <c r="H1195" s="183">
        <f t="shared" si="37"/>
        <v>-4.8760476583936943E-3</v>
      </c>
    </row>
    <row r="1196" spans="2:8">
      <c r="B1196" s="175">
        <v>45684</v>
      </c>
      <c r="C1196" s="176">
        <v>50.229999542236328</v>
      </c>
      <c r="D1196" s="180">
        <f t="shared" si="36"/>
        <v>-4.3966527084858223E-2</v>
      </c>
      <c r="F1196" s="184">
        <v>45684</v>
      </c>
      <c r="G1196" s="185">
        <v>22829.150390625</v>
      </c>
      <c r="H1196" s="186">
        <f t="shared" si="37"/>
        <v>-1.1391241935562993E-2</v>
      </c>
    </row>
    <row r="1197" spans="2:8">
      <c r="B1197" s="175">
        <v>45685</v>
      </c>
      <c r="C1197" s="176">
        <v>50.259998321533203</v>
      </c>
      <c r="D1197" s="180">
        <f t="shared" si="36"/>
        <v>5.9722834103652074E-4</v>
      </c>
      <c r="F1197" s="181">
        <v>45685</v>
      </c>
      <c r="G1197" s="182">
        <v>22957.25</v>
      </c>
      <c r="H1197" s="183">
        <f t="shared" si="37"/>
        <v>5.6112298172780566E-3</v>
      </c>
    </row>
    <row r="1198" spans="2:8">
      <c r="B1198" s="175">
        <v>45686</v>
      </c>
      <c r="C1198" s="176">
        <v>52.770000457763672</v>
      </c>
      <c r="D1198" s="180">
        <f t="shared" si="36"/>
        <v>4.9940354557375562E-2</v>
      </c>
      <c r="F1198" s="184">
        <v>45686</v>
      </c>
      <c r="G1198" s="185">
        <v>23163.099609375</v>
      </c>
      <c r="H1198" s="186">
        <f t="shared" si="37"/>
        <v>8.9666492883511747E-3</v>
      </c>
    </row>
    <row r="1199" spans="2:8">
      <c r="B1199" s="175">
        <v>45687</v>
      </c>
      <c r="C1199" s="176">
        <v>55.400001525878913</v>
      </c>
      <c r="D1199" s="180">
        <f t="shared" si="36"/>
        <v>4.983894343946909E-2</v>
      </c>
      <c r="F1199" s="181">
        <v>45687</v>
      </c>
      <c r="G1199" s="182">
        <v>23249.5</v>
      </c>
      <c r="H1199" s="183">
        <f t="shared" si="37"/>
        <v>3.7300875997627893E-3</v>
      </c>
    </row>
    <row r="1200" spans="2:8">
      <c r="B1200" s="175">
        <v>45688</v>
      </c>
      <c r="C1200" s="176">
        <v>58.169998168945313</v>
      </c>
      <c r="D1200" s="180">
        <f t="shared" si="36"/>
        <v>4.9999938028385343E-2</v>
      </c>
      <c r="F1200" s="184">
        <v>45688</v>
      </c>
      <c r="G1200" s="185">
        <v>23508.400390625</v>
      </c>
      <c r="H1200" s="186">
        <f t="shared" si="37"/>
        <v>1.1135740150325814E-2</v>
      </c>
    </row>
    <row r="1201" spans="2:8">
      <c r="B1201" s="175">
        <v>45689</v>
      </c>
      <c r="C1201" s="176">
        <v>58.159999847412109</v>
      </c>
      <c r="D1201" s="180">
        <f t="shared" si="36"/>
        <v>-1.7188107010360606E-4</v>
      </c>
      <c r="F1201" s="181">
        <v>45689</v>
      </c>
      <c r="G1201" s="182">
        <v>23482.150390625</v>
      </c>
      <c r="H1201" s="183">
        <f t="shared" si="37"/>
        <v>-1.1166221250199708E-3</v>
      </c>
    </row>
    <row r="1202" spans="2:8">
      <c r="B1202" s="175">
        <v>45691</v>
      </c>
      <c r="C1202" s="176">
        <v>56.369998931884773</v>
      </c>
      <c r="D1202" s="180">
        <f t="shared" si="36"/>
        <v>-3.0777182259689857E-2</v>
      </c>
      <c r="F1202" s="184">
        <v>45691</v>
      </c>
      <c r="G1202" s="185">
        <v>23361.05078125</v>
      </c>
      <c r="H1202" s="186">
        <f t="shared" si="37"/>
        <v>-5.1570919766934014E-3</v>
      </c>
    </row>
    <row r="1203" spans="2:8">
      <c r="B1203" s="175">
        <v>45692</v>
      </c>
      <c r="C1203" s="176">
        <v>56.919998168945313</v>
      </c>
      <c r="D1203" s="180">
        <f t="shared" si="36"/>
        <v>9.7569495739238277E-3</v>
      </c>
      <c r="F1203" s="181">
        <v>45692</v>
      </c>
      <c r="G1203" s="182">
        <v>23739.25</v>
      </c>
      <c r="H1203" s="183">
        <f t="shared" si="37"/>
        <v>1.6189306820631095E-2</v>
      </c>
    </row>
    <row r="1204" spans="2:8">
      <c r="B1204" s="175">
        <v>45693</v>
      </c>
      <c r="C1204" s="176">
        <v>55.900001525878913</v>
      </c>
      <c r="D1204" s="180">
        <f t="shared" si="36"/>
        <v>-1.7919829161605522E-2</v>
      </c>
      <c r="F1204" s="184">
        <v>45693</v>
      </c>
      <c r="G1204" s="185">
        <v>23696.30078125</v>
      </c>
      <c r="H1204" s="186">
        <f t="shared" si="37"/>
        <v>-1.8092070621439178E-3</v>
      </c>
    </row>
    <row r="1205" spans="2:8">
      <c r="B1205" s="175">
        <v>45694</v>
      </c>
      <c r="C1205" s="176">
        <v>54.919998168945313</v>
      </c>
      <c r="D1205" s="180">
        <f t="shared" si="36"/>
        <v>-1.7531365477332021E-2</v>
      </c>
      <c r="F1205" s="181">
        <v>45694</v>
      </c>
      <c r="G1205" s="182">
        <v>23603.349609375</v>
      </c>
      <c r="H1205" s="183">
        <f t="shared" si="37"/>
        <v>-3.9226026346082174E-3</v>
      </c>
    </row>
    <row r="1206" spans="2:8">
      <c r="B1206" s="175">
        <v>45695</v>
      </c>
      <c r="C1206" s="176">
        <v>53.610000610351563</v>
      </c>
      <c r="D1206" s="180">
        <f t="shared" si="36"/>
        <v>-2.3852833253270068E-2</v>
      </c>
      <c r="F1206" s="184">
        <v>45695</v>
      </c>
      <c r="G1206" s="185">
        <v>23559.94921875</v>
      </c>
      <c r="H1206" s="186">
        <f t="shared" si="37"/>
        <v>-1.8387386257991884E-3</v>
      </c>
    </row>
    <row r="1207" spans="2:8">
      <c r="B1207" s="175">
        <v>45698</v>
      </c>
      <c r="C1207" s="176">
        <v>52.720001220703118</v>
      </c>
      <c r="D1207" s="180">
        <f t="shared" si="36"/>
        <v>-1.6601368765449976E-2</v>
      </c>
      <c r="F1207" s="181">
        <v>45698</v>
      </c>
      <c r="G1207" s="182">
        <v>23381.599609375</v>
      </c>
      <c r="H1207" s="183">
        <f t="shared" si="37"/>
        <v>-7.5700336923078711E-3</v>
      </c>
    </row>
    <row r="1208" spans="2:8">
      <c r="B1208" s="175">
        <v>45699</v>
      </c>
      <c r="C1208" s="176">
        <v>51.990001678466797</v>
      </c>
      <c r="D1208" s="180">
        <f t="shared" si="36"/>
        <v>-1.3846728477495759E-2</v>
      </c>
      <c r="F1208" s="184">
        <v>45699</v>
      </c>
      <c r="G1208" s="185">
        <v>23071.80078125</v>
      </c>
      <c r="H1208" s="186">
        <f t="shared" si="37"/>
        <v>-1.3249684936046216E-2</v>
      </c>
    </row>
    <row r="1209" spans="2:8">
      <c r="B1209" s="175">
        <v>45700</v>
      </c>
      <c r="C1209" s="176">
        <v>52.400001525878913</v>
      </c>
      <c r="D1209" s="180">
        <f t="shared" si="36"/>
        <v>7.8861287589057742E-3</v>
      </c>
      <c r="F1209" s="181">
        <v>45700</v>
      </c>
      <c r="G1209" s="182">
        <v>23045.25</v>
      </c>
      <c r="H1209" s="183">
        <f t="shared" si="37"/>
        <v>-1.1507892904301298E-3</v>
      </c>
    </row>
    <row r="1210" spans="2:8">
      <c r="B1210" s="175">
        <v>45701</v>
      </c>
      <c r="C1210" s="176">
        <v>53.349998474121087</v>
      </c>
      <c r="D1210" s="180">
        <f t="shared" si="36"/>
        <v>1.8129712224779156E-2</v>
      </c>
      <c r="F1210" s="184">
        <v>45701</v>
      </c>
      <c r="G1210" s="185">
        <v>23031.400390625</v>
      </c>
      <c r="H1210" s="186">
        <f t="shared" si="37"/>
        <v>-6.0097457719052736E-4</v>
      </c>
    </row>
    <row r="1211" spans="2:8">
      <c r="B1211" s="175">
        <v>45702</v>
      </c>
      <c r="C1211" s="176">
        <v>51.139999389648438</v>
      </c>
      <c r="D1211" s="180">
        <f t="shared" si="36"/>
        <v>-4.1424538850636919E-2</v>
      </c>
      <c r="F1211" s="181">
        <v>45702</v>
      </c>
      <c r="G1211" s="182">
        <v>22929.25</v>
      </c>
      <c r="H1211" s="183">
        <f t="shared" si="37"/>
        <v>-4.4352661537064254E-3</v>
      </c>
    </row>
    <row r="1212" spans="2:8">
      <c r="B1212" s="175">
        <v>45705</v>
      </c>
      <c r="C1212" s="176">
        <v>51.419998168945313</v>
      </c>
      <c r="D1212" s="180">
        <f t="shared" si="36"/>
        <v>5.4751424059178086E-3</v>
      </c>
      <c r="F1212" s="184">
        <v>45705</v>
      </c>
      <c r="G1212" s="185">
        <v>22959.5</v>
      </c>
      <c r="H1212" s="186">
        <f t="shared" si="37"/>
        <v>1.3192755977626831E-3</v>
      </c>
    </row>
    <row r="1213" spans="2:8">
      <c r="B1213" s="175">
        <v>45706</v>
      </c>
      <c r="C1213" s="176">
        <v>50.639999389648438</v>
      </c>
      <c r="D1213" s="180">
        <f t="shared" si="36"/>
        <v>-1.5169171666131036E-2</v>
      </c>
      <c r="F1213" s="181">
        <v>45706</v>
      </c>
      <c r="G1213" s="182">
        <v>22945.30078125</v>
      </c>
      <c r="H1213" s="183">
        <f t="shared" si="37"/>
        <v>-6.1844634029486708E-4</v>
      </c>
    </row>
    <row r="1214" spans="2:8">
      <c r="B1214" s="175">
        <v>45707</v>
      </c>
      <c r="C1214" s="176">
        <v>54.159999847412109</v>
      </c>
      <c r="D1214" s="180">
        <f t="shared" si="36"/>
        <v>6.9510278439758669E-2</v>
      </c>
      <c r="F1214" s="184">
        <v>45707</v>
      </c>
      <c r="G1214" s="185">
        <v>22932.900390625</v>
      </c>
      <c r="H1214" s="186">
        <f t="shared" si="37"/>
        <v>-5.4043269004052947E-4</v>
      </c>
    </row>
    <row r="1215" spans="2:8">
      <c r="B1215" s="175">
        <v>45708</v>
      </c>
      <c r="C1215" s="176">
        <v>54.880001068115227</v>
      </c>
      <c r="D1215" s="180">
        <f t="shared" si="36"/>
        <v>1.329396644630015E-2</v>
      </c>
      <c r="F1215" s="181">
        <v>45708</v>
      </c>
      <c r="G1215" s="182">
        <v>22913.150390625</v>
      </c>
      <c r="H1215" s="183">
        <f t="shared" si="37"/>
        <v>-8.6120811862392364E-4</v>
      </c>
    </row>
    <row r="1216" spans="2:8">
      <c r="B1216" s="175">
        <v>45709</v>
      </c>
      <c r="C1216" s="176">
        <v>55.169998168945313</v>
      </c>
      <c r="D1216" s="180">
        <f t="shared" si="36"/>
        <v>5.2842036294815393E-3</v>
      </c>
      <c r="F1216" s="184">
        <v>45709</v>
      </c>
      <c r="G1216" s="185">
        <v>22795.900390625</v>
      </c>
      <c r="H1216" s="186">
        <f t="shared" si="37"/>
        <v>-5.1171487988824647E-3</v>
      </c>
    </row>
    <row r="1217" spans="2:8">
      <c r="B1217" s="175">
        <v>45712</v>
      </c>
      <c r="C1217" s="176">
        <v>54.290000915527337</v>
      </c>
      <c r="D1217" s="180">
        <f t="shared" si="36"/>
        <v>-1.5950648588444548E-2</v>
      </c>
      <c r="F1217" s="181">
        <v>45712</v>
      </c>
      <c r="G1217" s="182">
        <v>22553.349609375</v>
      </c>
      <c r="H1217" s="183">
        <f t="shared" si="37"/>
        <v>-1.0640105330068515E-2</v>
      </c>
    </row>
    <row r="1218" spans="2:8">
      <c r="B1218" s="175">
        <v>45713</v>
      </c>
      <c r="C1218" s="176">
        <v>54.580001831054688</v>
      </c>
      <c r="D1218" s="180">
        <f t="shared" si="36"/>
        <v>5.3417003248642141E-3</v>
      </c>
      <c r="F1218" s="184">
        <v>45713</v>
      </c>
      <c r="G1218" s="185">
        <v>22547.55078125</v>
      </c>
      <c r="H1218" s="186">
        <f t="shared" si="37"/>
        <v>-2.5711604818955748E-4</v>
      </c>
    </row>
    <row r="1219" spans="2:8">
      <c r="B1219" s="175">
        <v>45715</v>
      </c>
      <c r="C1219" s="176">
        <v>52.130001068115227</v>
      </c>
      <c r="D1219" s="180">
        <f t="shared" si="36"/>
        <v>-4.4888249922070717E-2</v>
      </c>
      <c r="F1219" s="181">
        <v>45715</v>
      </c>
      <c r="G1219" s="182">
        <v>22545.05078125</v>
      </c>
      <c r="H1219" s="183">
        <f t="shared" si="37"/>
        <v>-1.1087678764998901E-4</v>
      </c>
    </row>
    <row r="1220" spans="2:8">
      <c r="B1220" s="175">
        <v>45716</v>
      </c>
      <c r="C1220" s="176">
        <v>49.709999084472663</v>
      </c>
      <c r="D1220" s="180">
        <f t="shared" si="36"/>
        <v>-4.6422442625322198E-2</v>
      </c>
      <c r="F1220" s="184">
        <v>45716</v>
      </c>
      <c r="G1220" s="185">
        <v>22124.69921875</v>
      </c>
      <c r="H1220" s="186">
        <f t="shared" si="37"/>
        <v>-1.8644959666695139E-2</v>
      </c>
    </row>
    <row r="1221" spans="2:8">
      <c r="B1221" s="175">
        <v>45719</v>
      </c>
      <c r="C1221" s="176">
        <v>49.779998779296882</v>
      </c>
      <c r="D1221" s="180">
        <f t="shared" ref="D1221:D1284" si="38">(C1221-C1220)/C1220</f>
        <v>1.4081612575624397E-3</v>
      </c>
      <c r="F1221" s="181">
        <v>45719</v>
      </c>
      <c r="G1221" s="182">
        <v>22119.30078125</v>
      </c>
      <c r="H1221" s="183">
        <f t="shared" ref="H1221:H1284" si="39">(G1221-G1220)/G1220</f>
        <v>-2.4400049223833022E-4</v>
      </c>
    </row>
    <row r="1222" spans="2:8">
      <c r="B1222" s="175">
        <v>45720</v>
      </c>
      <c r="C1222" s="176">
        <v>50.110000610351563</v>
      </c>
      <c r="D1222" s="180">
        <f t="shared" si="38"/>
        <v>6.6292052861987132E-3</v>
      </c>
      <c r="F1222" s="184">
        <v>45720</v>
      </c>
      <c r="G1222" s="185">
        <v>22082.650390625</v>
      </c>
      <c r="H1222" s="186">
        <f t="shared" si="39"/>
        <v>-1.6569416451024373E-3</v>
      </c>
    </row>
    <row r="1223" spans="2:8">
      <c r="B1223" s="175">
        <v>45721</v>
      </c>
      <c r="C1223" s="176">
        <v>51.490001678466797</v>
      </c>
      <c r="D1223" s="180">
        <f t="shared" si="38"/>
        <v>2.7539434270734336E-2</v>
      </c>
      <c r="F1223" s="181">
        <v>45721</v>
      </c>
      <c r="G1223" s="182">
        <v>22337.30078125</v>
      </c>
      <c r="H1223" s="183">
        <f t="shared" si="39"/>
        <v>1.153169506922546E-2</v>
      </c>
    </row>
    <row r="1224" spans="2:8">
      <c r="B1224" s="175">
        <v>45722</v>
      </c>
      <c r="C1224" s="176">
        <v>52.099998474121087</v>
      </c>
      <c r="D1224" s="180">
        <f t="shared" si="38"/>
        <v>1.1846897956295687E-2</v>
      </c>
      <c r="F1224" s="184">
        <v>45722</v>
      </c>
      <c r="G1224" s="185">
        <v>22544.69921875</v>
      </c>
      <c r="H1224" s="186">
        <f t="shared" si="39"/>
        <v>9.2848477768670643E-3</v>
      </c>
    </row>
    <row r="1225" spans="2:8">
      <c r="B1225" s="175">
        <v>45723</v>
      </c>
      <c r="C1225" s="176">
        <v>54.919998168945313</v>
      </c>
      <c r="D1225" s="180">
        <f t="shared" si="38"/>
        <v>5.4126675190306686E-2</v>
      </c>
      <c r="F1225" s="181">
        <v>45723</v>
      </c>
      <c r="G1225" s="182">
        <v>22552.5</v>
      </c>
      <c r="H1225" s="183">
        <f t="shared" si="39"/>
        <v>3.4601398645018238E-4</v>
      </c>
    </row>
    <row r="1226" spans="2:8">
      <c r="B1226" s="175">
        <v>45726</v>
      </c>
      <c r="C1226" s="176">
        <v>53.240001678466797</v>
      </c>
      <c r="D1226" s="180">
        <f t="shared" si="38"/>
        <v>-3.058988613420011E-2</v>
      </c>
      <c r="F1226" s="184">
        <v>45726</v>
      </c>
      <c r="G1226" s="185">
        <v>22460.30078125</v>
      </c>
      <c r="H1226" s="186">
        <f t="shared" si="39"/>
        <v>-4.0882039130916746E-3</v>
      </c>
    </row>
    <row r="1227" spans="2:8">
      <c r="B1227" s="175">
        <v>45727</v>
      </c>
      <c r="C1227" s="176">
        <v>53.759998321533203</v>
      </c>
      <c r="D1227" s="180">
        <f t="shared" si="38"/>
        <v>9.7670290509536493E-3</v>
      </c>
      <c r="F1227" s="181">
        <v>45727</v>
      </c>
      <c r="G1227" s="182">
        <v>22497.900390625</v>
      </c>
      <c r="H1227" s="183">
        <f t="shared" si="39"/>
        <v>1.6740474556061328E-3</v>
      </c>
    </row>
    <row r="1228" spans="2:8">
      <c r="B1228" s="175">
        <v>45728</v>
      </c>
      <c r="C1228" s="176">
        <v>53.849998474121087</v>
      </c>
      <c r="D1228" s="180">
        <f t="shared" si="38"/>
        <v>1.6741100334416224E-3</v>
      </c>
      <c r="F1228" s="184">
        <v>45728</v>
      </c>
      <c r="G1228" s="185">
        <v>22470.5</v>
      </c>
      <c r="H1228" s="186">
        <f t="shared" si="39"/>
        <v>-1.217908789231634E-3</v>
      </c>
    </row>
    <row r="1229" spans="2:8">
      <c r="B1229" s="175">
        <v>45729</v>
      </c>
      <c r="C1229" s="176">
        <v>54.580001831054688</v>
      </c>
      <c r="D1229" s="180">
        <f t="shared" si="38"/>
        <v>1.3556237281685746E-2</v>
      </c>
      <c r="F1229" s="181">
        <v>45729</v>
      </c>
      <c r="G1229" s="182">
        <v>22397.19921875</v>
      </c>
      <c r="H1229" s="183">
        <f t="shared" si="39"/>
        <v>-3.2620894617387242E-3</v>
      </c>
    </row>
    <row r="1230" spans="2:8">
      <c r="B1230" s="175">
        <v>45733</v>
      </c>
      <c r="C1230" s="176">
        <v>54.5</v>
      </c>
      <c r="D1230" s="180">
        <f t="shared" si="38"/>
        <v>-1.4657718646166921E-3</v>
      </c>
      <c r="F1230" s="184">
        <v>45733</v>
      </c>
      <c r="G1230" s="185">
        <v>22508.75</v>
      </c>
      <c r="H1230" s="186">
        <f t="shared" si="39"/>
        <v>4.9805683362683286E-3</v>
      </c>
    </row>
    <row r="1231" spans="2:8">
      <c r="B1231" s="175">
        <v>45734</v>
      </c>
      <c r="C1231" s="176">
        <v>54.5</v>
      </c>
      <c r="D1231" s="180">
        <f t="shared" si="38"/>
        <v>0</v>
      </c>
      <c r="F1231" s="181">
        <v>45734</v>
      </c>
      <c r="G1231" s="182">
        <v>22834.30078125</v>
      </c>
      <c r="H1231" s="183">
        <f t="shared" si="39"/>
        <v>1.4463298994835342E-2</v>
      </c>
    </row>
    <row r="1232" spans="2:8">
      <c r="B1232" s="175">
        <v>45735</v>
      </c>
      <c r="C1232" s="176">
        <v>57.759998321533203</v>
      </c>
      <c r="D1232" s="180">
        <f t="shared" si="38"/>
        <v>5.9816482963911982E-2</v>
      </c>
      <c r="F1232" s="184">
        <v>45735</v>
      </c>
      <c r="G1232" s="185">
        <v>22907.599609375</v>
      </c>
      <c r="H1232" s="186">
        <f t="shared" si="39"/>
        <v>3.2100316461272198E-3</v>
      </c>
    </row>
    <row r="1233" spans="2:8">
      <c r="B1233" s="175">
        <v>45736</v>
      </c>
      <c r="C1233" s="176">
        <v>58.389999389648438</v>
      </c>
      <c r="D1233" s="180">
        <f t="shared" si="38"/>
        <v>1.0907221025322761E-2</v>
      </c>
      <c r="F1233" s="181">
        <v>45736</v>
      </c>
      <c r="G1233" s="182">
        <v>23190.650390625</v>
      </c>
      <c r="H1233" s="183">
        <f t="shared" si="39"/>
        <v>1.2356195589090036E-2</v>
      </c>
    </row>
    <row r="1234" spans="2:8">
      <c r="B1234" s="175">
        <v>45737</v>
      </c>
      <c r="C1234" s="176">
        <v>56.5</v>
      </c>
      <c r="D1234" s="180">
        <f t="shared" si="38"/>
        <v>-3.236854614496712E-2</v>
      </c>
      <c r="F1234" s="184">
        <v>45737</v>
      </c>
      <c r="G1234" s="185">
        <v>23350.400390625</v>
      </c>
      <c r="H1234" s="186">
        <f t="shared" si="39"/>
        <v>6.8885519512889631E-3</v>
      </c>
    </row>
    <row r="1235" spans="2:8">
      <c r="B1235" s="175">
        <v>45740</v>
      </c>
      <c r="C1235" s="176">
        <v>57.909999847412109</v>
      </c>
      <c r="D1235" s="180">
        <f t="shared" si="38"/>
        <v>2.495574951171875E-2</v>
      </c>
      <c r="F1235" s="181">
        <v>45740</v>
      </c>
      <c r="G1235" s="182">
        <v>23658.349609375</v>
      </c>
      <c r="H1235" s="183">
        <f t="shared" si="39"/>
        <v>1.3188177230298765E-2</v>
      </c>
    </row>
    <row r="1236" spans="2:8">
      <c r="B1236" s="175">
        <v>45741</v>
      </c>
      <c r="C1236" s="176">
        <v>57.650001525878913</v>
      </c>
      <c r="D1236" s="180">
        <f t="shared" si="38"/>
        <v>-4.4896964637932881E-3</v>
      </c>
      <c r="F1236" s="184">
        <v>45741</v>
      </c>
      <c r="G1236" s="185">
        <v>23668.650390625</v>
      </c>
      <c r="H1236" s="186">
        <f t="shared" si="39"/>
        <v>4.3539728764165997E-4</v>
      </c>
    </row>
    <row r="1237" spans="2:8">
      <c r="B1237" s="175">
        <v>45742</v>
      </c>
      <c r="C1237" s="176">
        <v>57.430000305175781</v>
      </c>
      <c r="D1237" s="180">
        <f t="shared" si="38"/>
        <v>-3.8161529033849933E-3</v>
      </c>
      <c r="F1237" s="181">
        <v>45742</v>
      </c>
      <c r="G1237" s="182">
        <v>23486.849609375</v>
      </c>
      <c r="H1237" s="183">
        <f t="shared" si="39"/>
        <v>-7.6810793285454976E-3</v>
      </c>
    </row>
    <row r="1238" spans="2:8">
      <c r="B1238" s="175">
        <v>45743</v>
      </c>
      <c r="C1238" s="176">
        <v>57.009998321533203</v>
      </c>
      <c r="D1238" s="180">
        <f t="shared" si="38"/>
        <v>-7.3132854154751969E-3</v>
      </c>
      <c r="F1238" s="184">
        <v>45743</v>
      </c>
      <c r="G1238" s="185">
        <v>23591.94921875</v>
      </c>
      <c r="H1238" s="186">
        <f t="shared" si="39"/>
        <v>4.4748278770026483E-3</v>
      </c>
    </row>
    <row r="1239" spans="2:8">
      <c r="B1239" s="175">
        <v>45744</v>
      </c>
      <c r="C1239" s="176">
        <v>56.659999847412109</v>
      </c>
      <c r="D1239" s="180">
        <f t="shared" si="38"/>
        <v>-6.1392472272516468E-3</v>
      </c>
      <c r="F1239" s="181">
        <v>45744</v>
      </c>
      <c r="G1239" s="182">
        <v>23519.349609375</v>
      </c>
      <c r="H1239" s="183">
        <f t="shared" si="39"/>
        <v>-3.0773044101544836E-3</v>
      </c>
    </row>
    <row r="1240" spans="2:8">
      <c r="B1240" s="175">
        <v>45748</v>
      </c>
      <c r="C1240" s="176">
        <v>55.75</v>
      </c>
      <c r="D1240" s="180">
        <f t="shared" si="38"/>
        <v>-1.6060710375269665E-2</v>
      </c>
      <c r="F1240" s="184">
        <v>45748</v>
      </c>
      <c r="G1240" s="185">
        <v>23165.69921875</v>
      </c>
      <c r="H1240" s="186">
        <f t="shared" si="39"/>
        <v>-1.5036571865236959E-2</v>
      </c>
    </row>
    <row r="1241" spans="2:8">
      <c r="B1241" s="175">
        <v>45749</v>
      </c>
      <c r="C1241" s="176">
        <v>57.430000305175781</v>
      </c>
      <c r="D1241" s="180">
        <f t="shared" si="38"/>
        <v>3.0134534621987109E-2</v>
      </c>
      <c r="F1241" s="181">
        <v>45749</v>
      </c>
      <c r="G1241" s="182">
        <v>23332.349609375</v>
      </c>
      <c r="H1241" s="183">
        <f t="shared" si="39"/>
        <v>7.1938424586863083E-3</v>
      </c>
    </row>
    <row r="1242" spans="2:8">
      <c r="B1242" s="175">
        <v>45750</v>
      </c>
      <c r="C1242" s="176">
        <v>57.490001678466797</v>
      </c>
      <c r="D1242" s="180">
        <f t="shared" si="38"/>
        <v>1.0447740374747675E-3</v>
      </c>
      <c r="F1242" s="184">
        <v>45750</v>
      </c>
      <c r="G1242" s="185">
        <v>23250.099609375</v>
      </c>
      <c r="H1242" s="186">
        <f t="shared" si="39"/>
        <v>-3.5251486188494162E-3</v>
      </c>
    </row>
    <row r="1243" spans="2:8">
      <c r="B1243" s="175">
        <v>45751</v>
      </c>
      <c r="C1243" s="176">
        <v>55.360000610351563</v>
      </c>
      <c r="D1243" s="180">
        <f t="shared" si="38"/>
        <v>-3.7049939222962978E-2</v>
      </c>
      <c r="F1243" s="181">
        <v>45751</v>
      </c>
      <c r="G1243" s="182">
        <v>22904.44921875</v>
      </c>
      <c r="H1243" s="183">
        <f t="shared" si="39"/>
        <v>-1.4866619775066488E-2</v>
      </c>
    </row>
    <row r="1244" spans="2:8">
      <c r="B1244" s="175">
        <v>45754</v>
      </c>
      <c r="C1244" s="176">
        <v>52.119998931884773</v>
      </c>
      <c r="D1244" s="180">
        <f t="shared" si="38"/>
        <v>-5.8526041234561579E-2</v>
      </c>
      <c r="F1244" s="184">
        <v>45754</v>
      </c>
      <c r="G1244" s="185">
        <v>22161.599609375</v>
      </c>
      <c r="H1244" s="186">
        <f t="shared" si="39"/>
        <v>-3.2432546283055336E-2</v>
      </c>
    </row>
    <row r="1245" spans="2:8">
      <c r="B1245" s="175">
        <v>45755</v>
      </c>
      <c r="C1245" s="176">
        <v>53.080001831054688</v>
      </c>
      <c r="D1245" s="180">
        <f t="shared" si="38"/>
        <v>1.8419089003139374E-2</v>
      </c>
      <c r="F1245" s="181">
        <v>45755</v>
      </c>
      <c r="G1245" s="182">
        <v>22535.849609375</v>
      </c>
      <c r="H1245" s="183">
        <f t="shared" si="39"/>
        <v>1.688731890281428E-2</v>
      </c>
    </row>
    <row r="1246" spans="2:8">
      <c r="B1246" s="175">
        <v>45756</v>
      </c>
      <c r="C1246" s="176">
        <v>51.209999084472663</v>
      </c>
      <c r="D1246" s="180">
        <f t="shared" si="38"/>
        <v>-3.5229892277207325E-2</v>
      </c>
      <c r="F1246" s="184">
        <v>45756</v>
      </c>
      <c r="G1246" s="185">
        <v>22399.150390625</v>
      </c>
      <c r="H1246" s="186">
        <f t="shared" si="39"/>
        <v>-6.0658560080704745E-3</v>
      </c>
    </row>
    <row r="1247" spans="2:8">
      <c r="B1247" s="175">
        <v>45758</v>
      </c>
      <c r="C1247" s="176">
        <v>53</v>
      </c>
      <c r="D1247" s="180">
        <f t="shared" si="38"/>
        <v>3.4954129028096019E-2</v>
      </c>
      <c r="F1247" s="181">
        <v>45758</v>
      </c>
      <c r="G1247" s="182">
        <v>22828.55078125</v>
      </c>
      <c r="H1247" s="183">
        <f t="shared" si="39"/>
        <v>1.9170387409190411E-2</v>
      </c>
    </row>
    <row r="1248" spans="2:8">
      <c r="B1248" s="175">
        <v>45762</v>
      </c>
      <c r="C1248" s="176">
        <v>54.369998931884773</v>
      </c>
      <c r="D1248" s="180">
        <f t="shared" si="38"/>
        <v>2.5849036450656088E-2</v>
      </c>
      <c r="F1248" s="184">
        <v>45762</v>
      </c>
      <c r="G1248" s="185">
        <v>23328.55078125</v>
      </c>
      <c r="H1248" s="186">
        <f t="shared" si="39"/>
        <v>2.1902397782108445E-2</v>
      </c>
    </row>
    <row r="1249" spans="2:8">
      <c r="B1249" s="175">
        <v>45763</v>
      </c>
      <c r="C1249" s="176">
        <v>54.340000152587891</v>
      </c>
      <c r="D1249" s="180">
        <f t="shared" si="38"/>
        <v>-5.517524349129535E-4</v>
      </c>
      <c r="F1249" s="181">
        <v>45763</v>
      </c>
      <c r="G1249" s="182">
        <v>23437.19921875</v>
      </c>
      <c r="H1249" s="183">
        <f t="shared" si="39"/>
        <v>4.657316201027141E-3</v>
      </c>
    </row>
    <row r="1250" spans="2:8">
      <c r="B1250" s="175">
        <v>45764</v>
      </c>
      <c r="C1250" s="176">
        <v>55.069999694824219</v>
      </c>
      <c r="D1250" s="180">
        <f t="shared" si="38"/>
        <v>1.3433926024778685E-2</v>
      </c>
      <c r="F1250" s="184">
        <v>45764</v>
      </c>
      <c r="G1250" s="185">
        <v>23851.650390625</v>
      </c>
      <c r="H1250" s="186">
        <f t="shared" si="39"/>
        <v>1.7683476937954037E-2</v>
      </c>
    </row>
    <row r="1251" spans="2:8">
      <c r="B1251" s="175">
        <v>45768</v>
      </c>
      <c r="C1251" s="176">
        <v>60.290000915527337</v>
      </c>
      <c r="D1251" s="180">
        <f t="shared" si="38"/>
        <v>9.4788473753954314E-2</v>
      </c>
      <c r="F1251" s="181">
        <v>45768</v>
      </c>
      <c r="G1251" s="182">
        <v>24125.55078125</v>
      </c>
      <c r="H1251" s="183">
        <f t="shared" si="39"/>
        <v>1.1483498464016469E-2</v>
      </c>
    </row>
    <row r="1252" spans="2:8">
      <c r="B1252" s="175">
        <v>45769</v>
      </c>
      <c r="C1252" s="176">
        <v>59.270000457763672</v>
      </c>
      <c r="D1252" s="180">
        <f t="shared" si="38"/>
        <v>-1.6918235897736892E-2</v>
      </c>
      <c r="F1252" s="184">
        <v>45769</v>
      </c>
      <c r="G1252" s="185">
        <v>24167.25</v>
      </c>
      <c r="H1252" s="186">
        <f t="shared" si="39"/>
        <v>1.728425565413743E-3</v>
      </c>
    </row>
    <row r="1253" spans="2:8">
      <c r="B1253" s="175">
        <v>45770</v>
      </c>
      <c r="C1253" s="176">
        <v>59.990001678466797</v>
      </c>
      <c r="D1253" s="180">
        <f t="shared" si="38"/>
        <v>1.2147818713384426E-2</v>
      </c>
      <c r="F1253" s="181">
        <v>45770</v>
      </c>
      <c r="G1253" s="182">
        <v>24328.94921875</v>
      </c>
      <c r="H1253" s="183">
        <f t="shared" si="39"/>
        <v>6.6908406521221904E-3</v>
      </c>
    </row>
    <row r="1254" spans="2:8">
      <c r="B1254" s="175">
        <v>45771</v>
      </c>
      <c r="C1254" s="176">
        <v>60.110000610351563</v>
      </c>
      <c r="D1254" s="180">
        <f t="shared" si="38"/>
        <v>2.0003155280430476E-3</v>
      </c>
      <c r="F1254" s="184">
        <v>45771</v>
      </c>
      <c r="G1254" s="185">
        <v>24246.69921875</v>
      </c>
      <c r="H1254" s="186">
        <f t="shared" si="39"/>
        <v>-3.3807460922566689E-3</v>
      </c>
    </row>
    <row r="1255" spans="2:8">
      <c r="B1255" s="175">
        <v>45772</v>
      </c>
      <c r="C1255" s="176">
        <v>58.299999237060547</v>
      </c>
      <c r="D1255" s="180">
        <f t="shared" si="38"/>
        <v>-3.0111484859631072E-2</v>
      </c>
      <c r="F1255" s="181">
        <v>45772</v>
      </c>
      <c r="G1255" s="182">
        <v>24039.349609375</v>
      </c>
      <c r="H1255" s="183">
        <f t="shared" si="39"/>
        <v>-8.5516633626838701E-3</v>
      </c>
    </row>
    <row r="1256" spans="2:8">
      <c r="B1256" s="175">
        <v>45775</v>
      </c>
      <c r="C1256" s="176">
        <v>57.779998779296882</v>
      </c>
      <c r="D1256" s="180">
        <f t="shared" si="38"/>
        <v>-8.919390472875122E-3</v>
      </c>
      <c r="F1256" s="184">
        <v>45775</v>
      </c>
      <c r="G1256" s="185">
        <v>24328.5</v>
      </c>
      <c r="H1256" s="186">
        <f t="shared" si="39"/>
        <v>1.2028211882747256E-2</v>
      </c>
    </row>
    <row r="1257" spans="2:8">
      <c r="B1257" s="175">
        <v>45776</v>
      </c>
      <c r="C1257" s="176">
        <v>57.700000762939453</v>
      </c>
      <c r="D1257" s="180">
        <f t="shared" si="38"/>
        <v>-1.3845278305213988E-3</v>
      </c>
      <c r="F1257" s="181">
        <v>45776</v>
      </c>
      <c r="G1257" s="182">
        <v>24335.94921875</v>
      </c>
      <c r="H1257" s="183">
        <f t="shared" si="39"/>
        <v>3.0619309657397702E-4</v>
      </c>
    </row>
    <row r="1258" spans="2:8">
      <c r="B1258" s="175">
        <v>45777</v>
      </c>
      <c r="C1258" s="176">
        <v>56.400001525878913</v>
      </c>
      <c r="D1258" s="180">
        <f t="shared" si="38"/>
        <v>-2.2530315768999533E-2</v>
      </c>
      <c r="F1258" s="184">
        <v>45777</v>
      </c>
      <c r="G1258" s="185">
        <v>24334.19921875</v>
      </c>
      <c r="H1258" s="186">
        <f t="shared" si="39"/>
        <v>-7.1910077731904783E-5</v>
      </c>
    </row>
    <row r="1259" spans="2:8">
      <c r="B1259" s="175">
        <v>45779</v>
      </c>
      <c r="C1259" s="176">
        <v>56.130001068115227</v>
      </c>
      <c r="D1259" s="180">
        <f t="shared" si="38"/>
        <v>-4.7872420294137307E-3</v>
      </c>
      <c r="F1259" s="181">
        <v>45779</v>
      </c>
      <c r="G1259" s="182">
        <v>24346.69921875</v>
      </c>
      <c r="H1259" s="183">
        <f t="shared" si="39"/>
        <v>5.1368035116473008E-4</v>
      </c>
    </row>
    <row r="1260" spans="2:8">
      <c r="B1260" s="175">
        <v>45782</v>
      </c>
      <c r="C1260" s="176">
        <v>56.919998168945313</v>
      </c>
      <c r="D1260" s="180">
        <f t="shared" si="38"/>
        <v>1.4074418061588901E-2</v>
      </c>
      <c r="F1260" s="184">
        <v>45782</v>
      </c>
      <c r="G1260" s="185">
        <v>24461.150390625</v>
      </c>
      <c r="H1260" s="186">
        <f t="shared" si="39"/>
        <v>4.700890697612853E-3</v>
      </c>
    </row>
    <row r="1261" spans="2:8">
      <c r="B1261" s="175">
        <v>45783</v>
      </c>
      <c r="C1261" s="176">
        <v>53.740001678466797</v>
      </c>
      <c r="D1261" s="180">
        <f t="shared" si="38"/>
        <v>-5.586782489064579E-2</v>
      </c>
      <c r="F1261" s="181">
        <v>45783</v>
      </c>
      <c r="G1261" s="182">
        <v>24379.599609375</v>
      </c>
      <c r="H1261" s="183">
        <f t="shared" si="39"/>
        <v>-3.3338898599493184E-3</v>
      </c>
    </row>
    <row r="1262" spans="2:8">
      <c r="B1262" s="175">
        <v>45784</v>
      </c>
      <c r="C1262" s="176">
        <v>54.700000762939453</v>
      </c>
      <c r="D1262" s="180">
        <f t="shared" si="38"/>
        <v>1.7863771017657421E-2</v>
      </c>
      <c r="F1262" s="184">
        <v>45784</v>
      </c>
      <c r="G1262" s="185">
        <v>24414.400390625</v>
      </c>
      <c r="H1262" s="186">
        <f t="shared" si="39"/>
        <v>1.4274549954716078E-3</v>
      </c>
    </row>
    <row r="1263" spans="2:8">
      <c r="B1263" s="175">
        <v>45785</v>
      </c>
      <c r="C1263" s="176">
        <v>53.150001525878913</v>
      </c>
      <c r="D1263" s="180">
        <f t="shared" si="38"/>
        <v>-2.8336365913009292E-2</v>
      </c>
      <c r="F1263" s="181">
        <v>45785</v>
      </c>
      <c r="G1263" s="182">
        <v>24273.80078125</v>
      </c>
      <c r="H1263" s="183">
        <f t="shared" si="39"/>
        <v>-5.7588802970966885E-3</v>
      </c>
    </row>
    <row r="1264" spans="2:8">
      <c r="B1264" s="175">
        <v>45786</v>
      </c>
      <c r="C1264" s="176">
        <v>52.669998168945313</v>
      </c>
      <c r="D1264" s="180">
        <f t="shared" si="38"/>
        <v>-9.0311071148301957E-3</v>
      </c>
      <c r="F1264" s="184">
        <v>45786</v>
      </c>
      <c r="G1264" s="185">
        <v>24008</v>
      </c>
      <c r="H1264" s="186">
        <f t="shared" si="39"/>
        <v>-1.0950109694206379E-2</v>
      </c>
    </row>
    <row r="1265" spans="2:8">
      <c r="B1265" s="175">
        <v>45789</v>
      </c>
      <c r="C1265" s="176">
        <v>56.950000762939453</v>
      </c>
      <c r="D1265" s="180">
        <f t="shared" si="38"/>
        <v>8.1260731778754217E-2</v>
      </c>
      <c r="F1265" s="181">
        <v>45789</v>
      </c>
      <c r="G1265" s="182">
        <v>24924.69921875</v>
      </c>
      <c r="H1265" s="183">
        <f t="shared" si="39"/>
        <v>3.8183073090219927E-2</v>
      </c>
    </row>
    <row r="1266" spans="2:8">
      <c r="B1266" s="175">
        <v>45790</v>
      </c>
      <c r="C1266" s="176">
        <v>57.599998474121087</v>
      </c>
      <c r="D1266" s="180">
        <f t="shared" si="38"/>
        <v>1.1413480289268465E-2</v>
      </c>
      <c r="F1266" s="184">
        <v>45790</v>
      </c>
      <c r="G1266" s="185">
        <v>24578.349609375</v>
      </c>
      <c r="H1266" s="186">
        <f t="shared" si="39"/>
        <v>-1.389583907654352E-2</v>
      </c>
    </row>
    <row r="1267" spans="2:8">
      <c r="B1267" s="175">
        <v>45791</v>
      </c>
      <c r="C1267" s="176">
        <v>59.919998168945313</v>
      </c>
      <c r="D1267" s="180">
        <f t="shared" si="38"/>
        <v>4.0277773546583878E-2</v>
      </c>
      <c r="F1267" s="181">
        <v>45791</v>
      </c>
      <c r="G1267" s="182">
        <v>24666.900390625</v>
      </c>
      <c r="H1267" s="183">
        <f t="shared" si="39"/>
        <v>3.6027960647212775E-3</v>
      </c>
    </row>
    <row r="1268" spans="2:8">
      <c r="B1268" s="175">
        <v>45792</v>
      </c>
      <c r="C1268" s="176">
        <v>61.220001220703118</v>
      </c>
      <c r="D1268" s="180">
        <f t="shared" si="38"/>
        <v>2.1695645719020679E-2</v>
      </c>
      <c r="F1268" s="184">
        <v>45792</v>
      </c>
      <c r="G1268" s="185">
        <v>25062.099609375</v>
      </c>
      <c r="H1268" s="186">
        <f t="shared" si="39"/>
        <v>1.6021438141461865E-2</v>
      </c>
    </row>
    <row r="1269" spans="2:8">
      <c r="B1269" s="175">
        <v>45793</v>
      </c>
      <c r="C1269" s="176">
        <v>61.080001831054688</v>
      </c>
      <c r="D1269" s="180">
        <f t="shared" si="38"/>
        <v>-2.2868243524484938E-3</v>
      </c>
      <c r="F1269" s="181">
        <v>45793</v>
      </c>
      <c r="G1269" s="182">
        <v>25019.80078125</v>
      </c>
      <c r="H1269" s="183">
        <f t="shared" si="39"/>
        <v>-1.6877607536591724E-3</v>
      </c>
    </row>
    <row r="1270" spans="2:8">
      <c r="B1270" s="175">
        <v>45796</v>
      </c>
      <c r="C1270" s="176">
        <v>61.529998779296882</v>
      </c>
      <c r="D1270" s="180">
        <f t="shared" si="38"/>
        <v>7.3673368492501298E-3</v>
      </c>
      <c r="F1270" s="184">
        <v>45796</v>
      </c>
      <c r="G1270" s="185">
        <v>24945.44921875</v>
      </c>
      <c r="H1270" s="186">
        <f t="shared" si="39"/>
        <v>-2.9717088137536066E-3</v>
      </c>
    </row>
    <row r="1271" spans="2:8">
      <c r="B1271" s="175">
        <v>45797</v>
      </c>
      <c r="C1271" s="176">
        <v>60.349998474121087</v>
      </c>
      <c r="D1271" s="180">
        <f t="shared" si="38"/>
        <v>-1.9177642265334034E-2</v>
      </c>
      <c r="F1271" s="181">
        <v>45797</v>
      </c>
      <c r="G1271" s="182">
        <v>24683.900390625</v>
      </c>
      <c r="H1271" s="183">
        <f t="shared" si="39"/>
        <v>-1.0484831354666864E-2</v>
      </c>
    </row>
    <row r="1272" spans="2:8">
      <c r="B1272" s="175">
        <v>45798</v>
      </c>
      <c r="C1272" s="176">
        <v>61.279998779296882</v>
      </c>
      <c r="D1272" s="180">
        <f t="shared" si="38"/>
        <v>1.5410113151445935E-2</v>
      </c>
      <c r="F1272" s="184">
        <v>45798</v>
      </c>
      <c r="G1272" s="185">
        <v>24813.44921875</v>
      </c>
      <c r="H1272" s="186">
        <f t="shared" si="39"/>
        <v>5.2483127088862724E-3</v>
      </c>
    </row>
    <row r="1273" spans="2:8">
      <c r="B1273" s="175">
        <v>45799</v>
      </c>
      <c r="C1273" s="176">
        <v>61.009998321533203</v>
      </c>
      <c r="D1273" s="180">
        <f t="shared" si="38"/>
        <v>-4.406012779734212E-3</v>
      </c>
      <c r="F1273" s="181">
        <v>45799</v>
      </c>
      <c r="G1273" s="182">
        <v>24609.69921875</v>
      </c>
      <c r="H1273" s="183">
        <f t="shared" si="39"/>
        <v>-8.2112727740421762E-3</v>
      </c>
    </row>
    <row r="1274" spans="2:8">
      <c r="B1274" s="175">
        <v>45800</v>
      </c>
      <c r="C1274" s="176">
        <v>62.209999084472663</v>
      </c>
      <c r="D1274" s="180">
        <f t="shared" si="38"/>
        <v>1.966891978287312E-2</v>
      </c>
      <c r="F1274" s="184">
        <v>45800</v>
      </c>
      <c r="G1274" s="185">
        <v>24853.150390625</v>
      </c>
      <c r="H1274" s="186">
        <f t="shared" si="39"/>
        <v>9.8924887180057795E-3</v>
      </c>
    </row>
    <row r="1275" spans="2:8">
      <c r="B1275" s="175">
        <v>45803</v>
      </c>
      <c r="C1275" s="176">
        <v>64.370002746582031</v>
      </c>
      <c r="D1275" s="180">
        <f t="shared" si="38"/>
        <v>3.4721165309396299E-2</v>
      </c>
      <c r="F1275" s="181">
        <v>45803</v>
      </c>
      <c r="G1275" s="182">
        <v>25001.150390625</v>
      </c>
      <c r="H1275" s="183">
        <f t="shared" si="39"/>
        <v>5.9549794562796321E-3</v>
      </c>
    </row>
    <row r="1276" spans="2:8">
      <c r="B1276" s="175">
        <v>45804</v>
      </c>
      <c r="C1276" s="176">
        <v>65.389999389648438</v>
      </c>
      <c r="D1276" s="180">
        <f t="shared" si="38"/>
        <v>1.5845838116273294E-2</v>
      </c>
      <c r="F1276" s="184">
        <v>45804</v>
      </c>
      <c r="G1276" s="185">
        <v>24826.19921875</v>
      </c>
      <c r="H1276" s="186">
        <f t="shared" si="39"/>
        <v>-6.9977248703165145E-3</v>
      </c>
    </row>
    <row r="1277" spans="2:8">
      <c r="B1277" s="175">
        <v>45805</v>
      </c>
      <c r="C1277" s="176">
        <v>66.319999694824219</v>
      </c>
      <c r="D1277" s="180">
        <f t="shared" si="38"/>
        <v>1.4222362958501647E-2</v>
      </c>
      <c r="F1277" s="181">
        <v>45805</v>
      </c>
      <c r="G1277" s="182">
        <v>24752.44921875</v>
      </c>
      <c r="H1277" s="183">
        <f t="shared" si="39"/>
        <v>-2.9706520659956788E-3</v>
      </c>
    </row>
    <row r="1278" spans="2:8">
      <c r="B1278" s="175">
        <v>45806</v>
      </c>
      <c r="C1278" s="176">
        <v>65.419998168945313</v>
      </c>
      <c r="D1278" s="180">
        <f t="shared" si="38"/>
        <v>-1.3570590018400507E-2</v>
      </c>
      <c r="F1278" s="184">
        <v>45806</v>
      </c>
      <c r="G1278" s="185">
        <v>24833.599609375</v>
      </c>
      <c r="H1278" s="186">
        <f t="shared" si="39"/>
        <v>3.2784792287758142E-3</v>
      </c>
    </row>
    <row r="1279" spans="2:8">
      <c r="B1279" s="175">
        <v>45807</v>
      </c>
      <c r="C1279" s="176">
        <v>71.480003356933594</v>
      </c>
      <c r="D1279" s="180">
        <f t="shared" si="38"/>
        <v>9.2632304457399825E-2</v>
      </c>
      <c r="F1279" s="181">
        <v>45807</v>
      </c>
      <c r="G1279" s="182">
        <v>24750.69921875</v>
      </c>
      <c r="H1279" s="183">
        <f t="shared" si="39"/>
        <v>-3.3382349691143463E-3</v>
      </c>
    </row>
    <row r="1280" spans="2:8">
      <c r="B1280" s="175">
        <v>45810</v>
      </c>
      <c r="C1280" s="176">
        <v>71.19000244140625</v>
      </c>
      <c r="D1280" s="180">
        <f t="shared" si="38"/>
        <v>-4.0570915208164096E-3</v>
      </c>
      <c r="F1280" s="184">
        <v>45810</v>
      </c>
      <c r="G1280" s="185">
        <v>24716.599609375</v>
      </c>
      <c r="H1280" s="186">
        <f t="shared" si="39"/>
        <v>-1.3777230725331466E-3</v>
      </c>
    </row>
    <row r="1281" spans="2:8">
      <c r="B1281" s="175">
        <v>45811</v>
      </c>
      <c r="C1281" s="176">
        <v>68.150001525878906</v>
      </c>
      <c r="D1281" s="180">
        <f t="shared" si="38"/>
        <v>-4.2702638169305467E-2</v>
      </c>
      <c r="F1281" s="181">
        <v>45811</v>
      </c>
      <c r="G1281" s="182">
        <v>24542.5</v>
      </c>
      <c r="H1281" s="183">
        <f t="shared" si="39"/>
        <v>-7.0438333802585072E-3</v>
      </c>
    </row>
    <row r="1282" spans="2:8">
      <c r="B1282" s="175">
        <v>45812</v>
      </c>
      <c r="C1282" s="176">
        <v>66.720001220703125</v>
      </c>
      <c r="D1282" s="180">
        <f t="shared" si="38"/>
        <v>-2.0983129466736122E-2</v>
      </c>
      <c r="F1282" s="184">
        <v>45812</v>
      </c>
      <c r="G1282" s="185">
        <v>24620.19921875</v>
      </c>
      <c r="H1282" s="186">
        <f t="shared" si="39"/>
        <v>3.1659048079861465E-3</v>
      </c>
    </row>
    <row r="1283" spans="2:8">
      <c r="B1283" s="175">
        <v>45813</v>
      </c>
      <c r="C1283" s="176">
        <v>66.769996643066406</v>
      </c>
      <c r="D1283" s="180">
        <f t="shared" si="38"/>
        <v>7.4933185624354785E-4</v>
      </c>
      <c r="F1283" s="181">
        <v>45813</v>
      </c>
      <c r="G1283" s="182">
        <v>24750.900390625</v>
      </c>
      <c r="H1283" s="183">
        <f t="shared" si="39"/>
        <v>5.3086967621066988E-3</v>
      </c>
    </row>
    <row r="1284" spans="2:8">
      <c r="B1284" s="175">
        <v>45814</v>
      </c>
      <c r="C1284" s="176">
        <v>66.709999084472656</v>
      </c>
      <c r="D1284" s="180">
        <f t="shared" si="38"/>
        <v>-8.9857063966140437E-4</v>
      </c>
      <c r="F1284" s="184">
        <v>45814</v>
      </c>
      <c r="G1284" s="185">
        <v>25003.05078125</v>
      </c>
      <c r="H1284" s="186">
        <f t="shared" si="39"/>
        <v>1.0187523954502602E-2</v>
      </c>
    </row>
    <row r="1285" spans="2:8">
      <c r="B1285" s="175">
        <v>45817</v>
      </c>
      <c r="C1285" s="176">
        <v>67.129997253417969</v>
      </c>
      <c r="D1285" s="180">
        <f t="shared" ref="D1285:D1348" si="40">(C1285-C1284)/C1284</f>
        <v>6.2958802984464561E-3</v>
      </c>
      <c r="F1285" s="181">
        <v>45817</v>
      </c>
      <c r="G1285" s="182">
        <v>25103.19921875</v>
      </c>
      <c r="H1285" s="183">
        <f t="shared" ref="H1285:H1348" si="41">(G1285-G1284)/G1284</f>
        <v>4.0054487100870968E-3</v>
      </c>
    </row>
    <row r="1286" spans="2:8">
      <c r="B1286" s="175">
        <v>45818</v>
      </c>
      <c r="C1286" s="176">
        <v>68.290000915527344</v>
      </c>
      <c r="D1286" s="180">
        <f t="shared" si="40"/>
        <v>1.7279959922094478E-2</v>
      </c>
      <c r="F1286" s="184">
        <v>45818</v>
      </c>
      <c r="G1286" s="185">
        <v>25104.25</v>
      </c>
      <c r="H1286" s="186">
        <f t="shared" si="41"/>
        <v>4.185845958690213E-5</v>
      </c>
    </row>
    <row r="1287" spans="2:8">
      <c r="B1287" s="175">
        <v>45819</v>
      </c>
      <c r="C1287" s="176">
        <v>67.589996337890625</v>
      </c>
      <c r="D1287" s="180">
        <f t="shared" si="40"/>
        <v>-1.0250469589282963E-2</v>
      </c>
      <c r="F1287" s="181">
        <v>45819</v>
      </c>
      <c r="G1287" s="182">
        <v>25141.400390625</v>
      </c>
      <c r="H1287" s="183">
        <f t="shared" si="41"/>
        <v>1.4798446727147794E-3</v>
      </c>
    </row>
    <row r="1288" spans="2:8">
      <c r="B1288" s="175">
        <v>45820</v>
      </c>
      <c r="C1288" s="176">
        <v>65.680000305175781</v>
      </c>
      <c r="D1288" s="180">
        <f t="shared" si="40"/>
        <v>-2.8258560973528402E-2</v>
      </c>
      <c r="F1288" s="184">
        <v>45820</v>
      </c>
      <c r="G1288" s="185">
        <v>24888.19921875</v>
      </c>
      <c r="H1288" s="186">
        <f t="shared" si="41"/>
        <v>-1.0071084662786582E-2</v>
      </c>
    </row>
    <row r="1289" spans="2:8">
      <c r="B1289" s="175">
        <v>45821</v>
      </c>
      <c r="C1289" s="176">
        <v>64.730003356933594</v>
      </c>
      <c r="D1289" s="180">
        <f t="shared" si="40"/>
        <v>-1.4464021678260023E-2</v>
      </c>
      <c r="F1289" s="181">
        <v>45821</v>
      </c>
      <c r="G1289" s="182">
        <v>24718.599609375</v>
      </c>
      <c r="H1289" s="183">
        <f t="shared" si="41"/>
        <v>-6.814458847919736E-3</v>
      </c>
    </row>
    <row r="1290" spans="2:8">
      <c r="B1290" s="175">
        <v>45824</v>
      </c>
      <c r="C1290" s="176">
        <v>65.410003662109375</v>
      </c>
      <c r="D1290" s="180">
        <f t="shared" si="40"/>
        <v>1.0505179513526823E-2</v>
      </c>
      <c r="F1290" s="184">
        <v>45824</v>
      </c>
      <c r="G1290" s="185">
        <v>24946.5</v>
      </c>
      <c r="H1290" s="186">
        <f t="shared" si="41"/>
        <v>9.2197937677086055E-3</v>
      </c>
    </row>
    <row r="1291" spans="2:8">
      <c r="B1291" s="175">
        <v>45825</v>
      </c>
      <c r="C1291" s="176">
        <v>64.519996643066406</v>
      </c>
      <c r="D1291" s="180">
        <f t="shared" si="40"/>
        <v>-1.3606588735883697E-2</v>
      </c>
      <c r="F1291" s="181">
        <v>45825</v>
      </c>
      <c r="G1291" s="182">
        <v>24853.400390625</v>
      </c>
      <c r="H1291" s="183">
        <f t="shared" si="41"/>
        <v>-3.7319707924959415E-3</v>
      </c>
    </row>
    <row r="1292" spans="2:8">
      <c r="B1292" s="175">
        <v>45826</v>
      </c>
      <c r="C1292" s="176">
        <v>64.069999694824219</v>
      </c>
      <c r="D1292" s="180">
        <f t="shared" si="40"/>
        <v>-6.9745345885808578E-3</v>
      </c>
      <c r="F1292" s="184">
        <v>45826</v>
      </c>
      <c r="G1292" s="185">
        <v>24812.05078125</v>
      </c>
      <c r="H1292" s="186">
        <f t="shared" si="41"/>
        <v>-1.6637405234334682E-3</v>
      </c>
    </row>
    <row r="1293" spans="2:8">
      <c r="B1293" s="175">
        <v>45827</v>
      </c>
      <c r="C1293" s="176">
        <v>62.529998779296882</v>
      </c>
      <c r="D1293" s="180">
        <f t="shared" si="40"/>
        <v>-2.403622479885454E-2</v>
      </c>
      <c r="F1293" s="181">
        <v>45827</v>
      </c>
      <c r="G1293" s="182">
        <v>24793.25</v>
      </c>
      <c r="H1293" s="183">
        <f t="shared" si="41"/>
        <v>-7.5772782410260889E-4</v>
      </c>
    </row>
    <row r="1294" spans="2:8">
      <c r="B1294" s="175">
        <v>45828</v>
      </c>
      <c r="C1294" s="176">
        <v>63.229999542236328</v>
      </c>
      <c r="D1294" s="180">
        <f t="shared" si="40"/>
        <v>1.1194638998956929E-2</v>
      </c>
      <c r="F1294" s="184">
        <v>45828</v>
      </c>
      <c r="G1294" s="185">
        <v>25112.400390625</v>
      </c>
      <c r="H1294" s="186">
        <f t="shared" si="41"/>
        <v>1.2872470959837859E-2</v>
      </c>
    </row>
    <row r="1295" spans="2:8">
      <c r="B1295" s="175">
        <v>45831</v>
      </c>
      <c r="C1295" s="176">
        <v>62.790000915527337</v>
      </c>
      <c r="D1295" s="180">
        <f t="shared" si="40"/>
        <v>-6.9587004569734582E-3</v>
      </c>
      <c r="F1295" s="181">
        <v>45831</v>
      </c>
      <c r="G1295" s="182">
        <v>24971.900390625</v>
      </c>
      <c r="H1295" s="183">
        <f t="shared" si="41"/>
        <v>-5.5948454872697742E-3</v>
      </c>
    </row>
    <row r="1296" spans="2:8">
      <c r="B1296" s="175">
        <v>45832</v>
      </c>
      <c r="C1296" s="176">
        <v>64.389999389648438</v>
      </c>
      <c r="D1296" s="180">
        <f t="shared" si="40"/>
        <v>2.548173993935135E-2</v>
      </c>
      <c r="F1296" s="184">
        <v>45832</v>
      </c>
      <c r="G1296" s="185">
        <v>25044.349609375</v>
      </c>
      <c r="H1296" s="186">
        <f t="shared" si="41"/>
        <v>2.9012296868362901E-3</v>
      </c>
    </row>
    <row r="1297" spans="2:8">
      <c r="B1297" s="175">
        <v>45833</v>
      </c>
      <c r="C1297" s="176">
        <v>64.319999694824219</v>
      </c>
      <c r="D1297" s="180">
        <f t="shared" si="40"/>
        <v>-1.0871206008346717E-3</v>
      </c>
      <c r="F1297" s="181">
        <v>45833</v>
      </c>
      <c r="G1297" s="182">
        <v>25244.75</v>
      </c>
      <c r="H1297" s="183">
        <f t="shared" si="41"/>
        <v>8.0018205204252114E-3</v>
      </c>
    </row>
    <row r="1298" spans="2:8">
      <c r="B1298" s="175">
        <v>45834</v>
      </c>
      <c r="C1298" s="176">
        <v>64.529998779296875</v>
      </c>
      <c r="D1298" s="180">
        <f t="shared" si="40"/>
        <v>3.2649111546801625E-3</v>
      </c>
      <c r="F1298" s="184">
        <v>45834</v>
      </c>
      <c r="G1298" s="185">
        <v>25549</v>
      </c>
      <c r="H1298" s="186">
        <f t="shared" si="41"/>
        <v>1.205201081412967E-2</v>
      </c>
    </row>
    <row r="1299" spans="2:8">
      <c r="B1299" s="175">
        <v>45835</v>
      </c>
      <c r="C1299" s="176">
        <v>67.319999694824219</v>
      </c>
      <c r="D1299" s="180">
        <f t="shared" si="40"/>
        <v>4.323571932907673E-2</v>
      </c>
      <c r="F1299" s="181">
        <v>45835</v>
      </c>
      <c r="G1299" s="182">
        <v>25637.80078125</v>
      </c>
      <c r="H1299" s="183">
        <f t="shared" si="41"/>
        <v>3.4757047731809464E-3</v>
      </c>
    </row>
    <row r="1300" spans="2:8">
      <c r="B1300" s="175">
        <v>45838</v>
      </c>
      <c r="C1300" s="176">
        <v>67.720001220703125</v>
      </c>
      <c r="D1300" s="180">
        <f t="shared" si="40"/>
        <v>5.9417933406446478E-3</v>
      </c>
      <c r="F1300" s="184">
        <v>45838</v>
      </c>
      <c r="G1300" s="185">
        <v>25517.05078125</v>
      </c>
      <c r="H1300" s="186">
        <f t="shared" si="41"/>
        <v>-4.7098423546652075E-3</v>
      </c>
    </row>
    <row r="1301" spans="2:8">
      <c r="B1301" s="175">
        <v>45839</v>
      </c>
      <c r="C1301" s="176">
        <v>67.199996948242188</v>
      </c>
      <c r="D1301" s="180">
        <f t="shared" si="40"/>
        <v>-7.6787398565782011E-3</v>
      </c>
      <c r="F1301" s="181">
        <v>45839</v>
      </c>
      <c r="G1301" s="182">
        <v>25541.80078125</v>
      </c>
      <c r="H1301" s="183">
        <f t="shared" si="41"/>
        <v>9.6993967728380148E-4</v>
      </c>
    </row>
    <row r="1302" spans="2:8">
      <c r="B1302" s="175">
        <v>45840</v>
      </c>
      <c r="C1302" s="176">
        <v>64.790000915527344</v>
      </c>
      <c r="D1302" s="180">
        <f t="shared" si="40"/>
        <v>-3.5863037829764133E-2</v>
      </c>
      <c r="F1302" s="184">
        <v>45840</v>
      </c>
      <c r="G1302" s="185">
        <v>25453.400390625</v>
      </c>
      <c r="H1302" s="186">
        <f t="shared" si="41"/>
        <v>-3.4610085397695964E-3</v>
      </c>
    </row>
    <row r="1303" spans="2:8">
      <c r="B1303" s="175">
        <v>45841</v>
      </c>
      <c r="C1303" s="176">
        <v>65.269996643066406</v>
      </c>
      <c r="D1303" s="180">
        <f t="shared" si="40"/>
        <v>7.4084846543662946E-3</v>
      </c>
      <c r="F1303" s="181">
        <v>45841</v>
      </c>
      <c r="G1303" s="182">
        <v>25405.30078125</v>
      </c>
      <c r="H1303" s="183">
        <f t="shared" si="41"/>
        <v>-1.8897125192245848E-3</v>
      </c>
    </row>
    <row r="1304" spans="2:8">
      <c r="B1304" s="175">
        <v>45842</v>
      </c>
      <c r="C1304" s="176">
        <v>65.529998779296875</v>
      </c>
      <c r="D1304" s="180">
        <f t="shared" si="40"/>
        <v>3.9834862816419134E-3</v>
      </c>
      <c r="F1304" s="184">
        <v>45842</v>
      </c>
      <c r="G1304" s="185">
        <v>25461</v>
      </c>
      <c r="H1304" s="186">
        <f t="shared" si="41"/>
        <v>2.1924250859926041E-3</v>
      </c>
    </row>
    <row r="1305" spans="2:8">
      <c r="B1305" s="175">
        <v>45845</v>
      </c>
      <c r="C1305" s="176">
        <v>65.879997253417969</v>
      </c>
      <c r="D1305" s="180">
        <f t="shared" si="40"/>
        <v>5.3410419752925433E-3</v>
      </c>
      <c r="F1305" s="181">
        <v>45845</v>
      </c>
      <c r="G1305" s="182">
        <v>25461.30078125</v>
      </c>
      <c r="H1305" s="183">
        <f t="shared" si="41"/>
        <v>1.1813410706570834E-5</v>
      </c>
    </row>
    <row r="1306" spans="2:8">
      <c r="B1306" s="175">
        <v>45846</v>
      </c>
      <c r="C1306" s="176">
        <v>66.260002136230469</v>
      </c>
      <c r="D1306" s="180">
        <f t="shared" si="40"/>
        <v>5.7681375023552342E-3</v>
      </c>
      <c r="F1306" s="184">
        <v>45846</v>
      </c>
      <c r="G1306" s="185">
        <v>25522.5</v>
      </c>
      <c r="H1306" s="186">
        <f t="shared" si="41"/>
        <v>2.4036171315751404E-3</v>
      </c>
    </row>
    <row r="1307" spans="2:8">
      <c r="B1307" s="175">
        <v>45847</v>
      </c>
      <c r="C1307" s="176">
        <v>65.94000244140625</v>
      </c>
      <c r="D1307" s="180">
        <f t="shared" si="40"/>
        <v>-4.8294549427616955E-3</v>
      </c>
      <c r="F1307" s="181">
        <v>45847</v>
      </c>
      <c r="G1307" s="182">
        <v>25476.099609375</v>
      </c>
      <c r="H1307" s="183">
        <f t="shared" si="41"/>
        <v>-1.8180190273288275E-3</v>
      </c>
    </row>
    <row r="1308" spans="2:8">
      <c r="B1308" s="175">
        <v>45848</v>
      </c>
      <c r="C1308" s="176">
        <v>65.970001220703125</v>
      </c>
      <c r="D1308" s="180">
        <f t="shared" si="40"/>
        <v>4.5494052450986293E-4</v>
      </c>
      <c r="F1308" s="184">
        <v>45848</v>
      </c>
      <c r="G1308" s="185">
        <v>25355.25</v>
      </c>
      <c r="H1308" s="186">
        <f t="shared" si="41"/>
        <v>-4.7436464461980792E-3</v>
      </c>
    </row>
    <row r="1309" spans="2:8">
      <c r="B1309" s="175">
        <v>45849</v>
      </c>
      <c r="C1309" s="176">
        <v>65.919998168945313</v>
      </c>
      <c r="D1309" s="180">
        <f t="shared" si="40"/>
        <v>-7.579665125444961E-4</v>
      </c>
      <c r="F1309" s="181">
        <v>45849</v>
      </c>
      <c r="G1309" s="182">
        <v>25149.849609375</v>
      </c>
      <c r="H1309" s="183">
        <f t="shared" si="41"/>
        <v>-8.1009018102759789E-3</v>
      </c>
    </row>
    <row r="1310" spans="2:8">
      <c r="B1310" s="175">
        <v>45852</v>
      </c>
      <c r="C1310" s="176">
        <v>65.44000244140625</v>
      </c>
      <c r="D1310" s="180">
        <f t="shared" si="40"/>
        <v>-7.2814887874979774E-3</v>
      </c>
      <c r="F1310" s="184">
        <v>45852</v>
      </c>
      <c r="G1310" s="185">
        <v>25082.30078125</v>
      </c>
      <c r="H1310" s="186">
        <f t="shared" si="41"/>
        <v>-2.685854157148523E-3</v>
      </c>
    </row>
    <row r="1311" spans="2:8">
      <c r="B1311" s="175">
        <v>45853</v>
      </c>
      <c r="C1311" s="176">
        <v>67.169998168945313</v>
      </c>
      <c r="D1311" s="180">
        <f t="shared" si="40"/>
        <v>2.6436364043355105E-2</v>
      </c>
      <c r="F1311" s="181">
        <v>45853</v>
      </c>
      <c r="G1311" s="182">
        <v>25195.80078125</v>
      </c>
      <c r="H1311" s="183">
        <f t="shared" si="41"/>
        <v>4.5251032187942535E-3</v>
      </c>
    </row>
    <row r="1312" spans="2:8">
      <c r="B1312" s="175">
        <v>45854</v>
      </c>
      <c r="C1312" s="176">
        <v>67.029998779296875</v>
      </c>
      <c r="D1312" s="180">
        <f t="shared" si="40"/>
        <v>-2.0842547783954442E-3</v>
      </c>
      <c r="F1312" s="184">
        <v>45854</v>
      </c>
      <c r="G1312" s="185">
        <v>25212.05078125</v>
      </c>
      <c r="H1312" s="186">
        <f t="shared" si="41"/>
        <v>6.4494874130346306E-4</v>
      </c>
    </row>
    <row r="1313" spans="2:8">
      <c r="B1313" s="175">
        <v>45855</v>
      </c>
      <c r="C1313" s="176">
        <v>66.260002136230469</v>
      </c>
      <c r="D1313" s="180">
        <f t="shared" si="40"/>
        <v>-1.1487343832448796E-2</v>
      </c>
      <c r="F1313" s="181">
        <v>45855</v>
      </c>
      <c r="G1313" s="182">
        <v>25111.44921875</v>
      </c>
      <c r="H1313" s="183">
        <f t="shared" si="41"/>
        <v>-3.9902173517283477E-3</v>
      </c>
    </row>
    <row r="1314" spans="2:8">
      <c r="B1314" s="175">
        <v>45856</v>
      </c>
      <c r="C1314" s="176">
        <v>65.05999755859375</v>
      </c>
      <c r="D1314" s="180">
        <f t="shared" si="40"/>
        <v>-1.8110542392822612E-2</v>
      </c>
      <c r="F1314" s="184">
        <v>45856</v>
      </c>
      <c r="G1314" s="185">
        <v>24968.400390625</v>
      </c>
      <c r="H1314" s="186">
        <f t="shared" si="41"/>
        <v>-5.6965580472428303E-3</v>
      </c>
    </row>
    <row r="1315" spans="2:8">
      <c r="B1315" s="175">
        <v>45859</v>
      </c>
      <c r="C1315" s="176">
        <v>66.419998168945313</v>
      </c>
      <c r="D1315" s="180">
        <f t="shared" si="40"/>
        <v>2.0903791290903924E-2</v>
      </c>
      <c r="F1315" s="181">
        <v>45859</v>
      </c>
      <c r="G1315" s="182">
        <v>25090.69921875</v>
      </c>
      <c r="H1315" s="183">
        <f t="shared" si="41"/>
        <v>4.8981443028653171E-3</v>
      </c>
    </row>
    <row r="1316" spans="2:8">
      <c r="B1316" s="175">
        <v>45860</v>
      </c>
      <c r="C1316" s="176">
        <v>66.580001831054688</v>
      </c>
      <c r="D1316" s="180">
        <f t="shared" si="40"/>
        <v>2.4089681800711755E-3</v>
      </c>
      <c r="F1316" s="184">
        <v>45860</v>
      </c>
      <c r="G1316" s="185">
        <v>25060.900390625</v>
      </c>
      <c r="H1316" s="186">
        <f t="shared" si="41"/>
        <v>-1.1876443882732318E-3</v>
      </c>
    </row>
    <row r="1317" spans="2:8">
      <c r="B1317" s="175">
        <v>45861</v>
      </c>
      <c r="C1317" s="176">
        <v>65.980003356933594</v>
      </c>
      <c r="D1317" s="180">
        <f t="shared" si="40"/>
        <v>-9.0116920639860734E-3</v>
      </c>
      <c r="F1317" s="181">
        <v>45861</v>
      </c>
      <c r="G1317" s="182">
        <v>25219.900390625</v>
      </c>
      <c r="H1317" s="183">
        <f t="shared" si="41"/>
        <v>6.3445445902446549E-3</v>
      </c>
    </row>
    <row r="1318" spans="2:8">
      <c r="B1318" s="175">
        <v>45862</v>
      </c>
      <c r="C1318" s="176">
        <v>65.319999694824219</v>
      </c>
      <c r="D1318" s="180">
        <f t="shared" si="40"/>
        <v>-1.0003086215969671E-2</v>
      </c>
      <c r="F1318" s="184">
        <v>45862</v>
      </c>
      <c r="G1318" s="185">
        <v>25062.099609375</v>
      </c>
      <c r="H1318" s="186">
        <f t="shared" si="41"/>
        <v>-6.2569946274910479E-3</v>
      </c>
    </row>
    <row r="1319" spans="2:8">
      <c r="B1319" s="175">
        <v>45863</v>
      </c>
      <c r="C1319" s="176">
        <v>63.619998931884773</v>
      </c>
      <c r="D1319" s="180">
        <f t="shared" si="40"/>
        <v>-2.602573133621967E-2</v>
      </c>
      <c r="F1319" s="181">
        <v>45863</v>
      </c>
      <c r="G1319" s="182">
        <v>24837</v>
      </c>
      <c r="H1319" s="183">
        <f t="shared" si="41"/>
        <v>-8.9816740370306722E-3</v>
      </c>
    </row>
    <row r="1320" spans="2:8">
      <c r="B1320" s="175">
        <v>45866</v>
      </c>
      <c r="C1320" s="176">
        <v>60.849998474121087</v>
      </c>
      <c r="D1320" s="180">
        <f t="shared" si="40"/>
        <v>-4.3539775295020171E-2</v>
      </c>
      <c r="F1320" s="184">
        <v>45866</v>
      </c>
      <c r="G1320" s="185">
        <v>24680.900390625</v>
      </c>
      <c r="H1320" s="186">
        <f t="shared" si="41"/>
        <v>-6.2849623293876073E-3</v>
      </c>
    </row>
    <row r="1321" spans="2:8">
      <c r="B1321" s="175">
        <v>45867</v>
      </c>
      <c r="C1321" s="176">
        <v>61.790000915527337</v>
      </c>
      <c r="D1321" s="180">
        <f t="shared" si="40"/>
        <v>1.5447863023464559E-2</v>
      </c>
      <c r="F1321" s="181">
        <v>45867</v>
      </c>
      <c r="G1321" s="182">
        <v>24821.099609375</v>
      </c>
      <c r="H1321" s="183">
        <f t="shared" si="41"/>
        <v>5.6804742343700898E-3</v>
      </c>
    </row>
    <row r="1322" spans="2:8">
      <c r="B1322" s="175">
        <v>45868</v>
      </c>
      <c r="C1322" s="176">
        <v>61.209999084472663</v>
      </c>
      <c r="D1322" s="180">
        <f t="shared" si="40"/>
        <v>-9.3866616355547487E-3</v>
      </c>
      <c r="F1322" s="184">
        <v>45868</v>
      </c>
      <c r="G1322" s="185">
        <v>24855.05078125</v>
      </c>
      <c r="H1322" s="186">
        <f t="shared" si="41"/>
        <v>1.3678351245235141E-3</v>
      </c>
    </row>
    <row r="1323" spans="2:8">
      <c r="B1323" s="175">
        <v>45869</v>
      </c>
      <c r="C1323" s="176">
        <v>61.599998474121087</v>
      </c>
      <c r="D1323" s="180">
        <f t="shared" si="40"/>
        <v>6.3714980474057171E-3</v>
      </c>
      <c r="F1323" s="181">
        <v>45869</v>
      </c>
      <c r="G1323" s="182">
        <v>24768.349609375</v>
      </c>
      <c r="H1323" s="183">
        <f t="shared" si="41"/>
        <v>-3.4882717656889721E-3</v>
      </c>
    </row>
    <row r="1324" spans="2:8">
      <c r="B1324" s="175">
        <v>45870</v>
      </c>
      <c r="C1324" s="176">
        <v>65.949996948242188</v>
      </c>
      <c r="D1324" s="180">
        <f t="shared" si="40"/>
        <v>7.0616860095355172E-2</v>
      </c>
      <c r="F1324" s="184">
        <v>45870</v>
      </c>
      <c r="G1324" s="185">
        <v>24565.349609375</v>
      </c>
      <c r="H1324" s="186">
        <f t="shared" si="41"/>
        <v>-8.1959437427822409E-3</v>
      </c>
    </row>
    <row r="1325" spans="2:8">
      <c r="B1325" s="175">
        <v>45873</v>
      </c>
      <c r="C1325" s="176">
        <v>65</v>
      </c>
      <c r="D1325" s="180">
        <f t="shared" si="40"/>
        <v>-1.4404806553482464E-2</v>
      </c>
      <c r="F1325" s="181">
        <v>45873</v>
      </c>
      <c r="G1325" s="182">
        <v>24722.75</v>
      </c>
      <c r="H1325" s="183">
        <f t="shared" si="41"/>
        <v>6.4074150430544043E-3</v>
      </c>
    </row>
    <row r="1326" spans="2:8">
      <c r="B1326" s="175">
        <v>45874</v>
      </c>
      <c r="C1326" s="176">
        <v>65.44000244140625</v>
      </c>
      <c r="D1326" s="180">
        <f t="shared" si="40"/>
        <v>6.7692683293269227E-3</v>
      </c>
      <c r="F1326" s="184">
        <v>45874</v>
      </c>
      <c r="G1326" s="185">
        <v>24649.55078125</v>
      </c>
      <c r="H1326" s="186">
        <f t="shared" si="41"/>
        <v>-2.9608040671041855E-3</v>
      </c>
    </row>
    <row r="1327" spans="2:8">
      <c r="B1327" s="175">
        <v>45875</v>
      </c>
      <c r="C1327" s="176">
        <v>65.260002136230469</v>
      </c>
      <c r="D1327" s="180">
        <f t="shared" si="40"/>
        <v>-2.7506158077691112E-3</v>
      </c>
      <c r="F1327" s="181">
        <v>45875</v>
      </c>
      <c r="G1327" s="182">
        <v>24574.19921875</v>
      </c>
      <c r="H1327" s="183">
        <f t="shared" si="41"/>
        <v>-3.0569142281212337E-3</v>
      </c>
    </row>
    <row r="1328" spans="2:8">
      <c r="B1328" s="175">
        <v>45876</v>
      </c>
      <c r="C1328" s="176">
        <v>64.209999084472656</v>
      </c>
      <c r="D1328" s="180">
        <f t="shared" si="40"/>
        <v>-1.6089534437432711E-2</v>
      </c>
      <c r="F1328" s="184">
        <v>45876</v>
      </c>
      <c r="G1328" s="185">
        <v>24596.150390625</v>
      </c>
      <c r="H1328" s="186">
        <f t="shared" si="41"/>
        <v>8.9326092295415906E-4</v>
      </c>
    </row>
    <row r="1329" spans="2:8">
      <c r="B1329" s="175">
        <v>45877</v>
      </c>
      <c r="C1329" s="176">
        <v>63.189998626708977</v>
      </c>
      <c r="D1329" s="180">
        <f t="shared" si="40"/>
        <v>-1.5885383465304187E-2</v>
      </c>
      <c r="F1329" s="181">
        <v>45877</v>
      </c>
      <c r="G1329" s="182">
        <v>24363.30078125</v>
      </c>
      <c r="H1329" s="183">
        <f t="shared" si="41"/>
        <v>-9.4669127354072569E-3</v>
      </c>
    </row>
    <row r="1330" spans="2:8">
      <c r="B1330" s="175">
        <v>45880</v>
      </c>
      <c r="C1330" s="176">
        <v>63.319999694824219</v>
      </c>
      <c r="D1330" s="180">
        <f t="shared" si="40"/>
        <v>2.0573044934407226E-3</v>
      </c>
      <c r="F1330" s="184">
        <v>45880</v>
      </c>
      <c r="G1330" s="185">
        <v>24585.05078125</v>
      </c>
      <c r="H1330" s="186">
        <f t="shared" si="41"/>
        <v>9.1018044718578876E-3</v>
      </c>
    </row>
    <row r="1331" spans="2:8">
      <c r="B1331" s="175">
        <v>45881</v>
      </c>
      <c r="C1331" s="176">
        <v>63.130001068115227</v>
      </c>
      <c r="D1331" s="180">
        <f t="shared" si="40"/>
        <v>-3.0006100382928775E-3</v>
      </c>
      <c r="F1331" s="181">
        <v>45881</v>
      </c>
      <c r="G1331" s="182">
        <v>24487.400390625</v>
      </c>
      <c r="H1331" s="183">
        <f t="shared" si="41"/>
        <v>-3.9719417907191756E-3</v>
      </c>
    </row>
    <row r="1332" spans="2:8">
      <c r="B1332" s="175">
        <v>45882</v>
      </c>
      <c r="C1332" s="176">
        <v>60.380001068115227</v>
      </c>
      <c r="D1332" s="180">
        <f t="shared" si="40"/>
        <v>-4.3560905329826288E-2</v>
      </c>
      <c r="F1332" s="184">
        <v>45882</v>
      </c>
      <c r="G1332" s="185">
        <v>24619.349609375</v>
      </c>
      <c r="H1332" s="186">
        <f t="shared" si="41"/>
        <v>5.3884535167120782E-3</v>
      </c>
    </row>
    <row r="1333" spans="2:8">
      <c r="B1333" s="175">
        <v>45883</v>
      </c>
      <c r="C1333" s="176">
        <v>60.060001373291023</v>
      </c>
      <c r="D1333" s="180">
        <f t="shared" si="40"/>
        <v>-5.2997629871389031E-3</v>
      </c>
      <c r="F1333" s="181">
        <v>45883</v>
      </c>
      <c r="G1333" s="182">
        <v>24631.30078125</v>
      </c>
      <c r="H1333" s="183">
        <f t="shared" si="41"/>
        <v>4.8543816407111817E-4</v>
      </c>
    </row>
    <row r="1334" spans="2:8">
      <c r="B1334" s="175">
        <v>45887</v>
      </c>
      <c r="C1334" s="176">
        <v>58.069999694824219</v>
      </c>
      <c r="D1334" s="180">
        <f t="shared" si="40"/>
        <v>-3.3133560322423962E-2</v>
      </c>
      <c r="F1334" s="184">
        <v>45887</v>
      </c>
      <c r="G1334" s="185">
        <v>24876.94921875</v>
      </c>
      <c r="H1334" s="186">
        <f t="shared" si="41"/>
        <v>9.9730192766349594E-3</v>
      </c>
    </row>
    <row r="1335" spans="2:8">
      <c r="B1335" s="175">
        <v>45888</v>
      </c>
      <c r="C1335" s="176">
        <v>59.590000152587891</v>
      </c>
      <c r="D1335" s="180">
        <f t="shared" si="40"/>
        <v>2.6175313686098566E-2</v>
      </c>
      <c r="F1335" s="181">
        <v>45888</v>
      </c>
      <c r="G1335" s="182">
        <v>24980.650390625</v>
      </c>
      <c r="H1335" s="183">
        <f t="shared" si="41"/>
        <v>4.1685646806256856E-3</v>
      </c>
    </row>
    <row r="1336" spans="2:8">
      <c r="B1336" s="175">
        <v>45889</v>
      </c>
      <c r="C1336" s="176">
        <v>59.849998474121087</v>
      </c>
      <c r="D1336" s="180">
        <f t="shared" si="40"/>
        <v>4.3631200011316788E-3</v>
      </c>
      <c r="F1336" s="184">
        <v>45889</v>
      </c>
      <c r="G1336" s="185">
        <v>25050.55078125</v>
      </c>
      <c r="H1336" s="186">
        <f t="shared" si="41"/>
        <v>2.7981813736616301E-3</v>
      </c>
    </row>
    <row r="1337" spans="2:8">
      <c r="B1337" s="175">
        <v>45890</v>
      </c>
      <c r="C1337" s="176">
        <v>58.159999847412109</v>
      </c>
      <c r="D1337" s="180">
        <f t="shared" si="40"/>
        <v>-2.8237237590569467E-2</v>
      </c>
      <c r="F1337" s="181">
        <v>45890</v>
      </c>
      <c r="G1337" s="182">
        <v>25083.75</v>
      </c>
      <c r="H1337" s="183">
        <f t="shared" si="41"/>
        <v>1.325288974278728E-3</v>
      </c>
    </row>
    <row r="1338" spans="2:8">
      <c r="B1338" s="175">
        <v>45891</v>
      </c>
      <c r="C1338" s="176">
        <v>58.509998321533203</v>
      </c>
      <c r="D1338" s="180">
        <f t="shared" si="40"/>
        <v>6.0178554855458326E-3</v>
      </c>
      <c r="F1338" s="184">
        <v>45891</v>
      </c>
      <c r="G1338" s="185">
        <v>24870.099609375</v>
      </c>
      <c r="H1338" s="186">
        <f t="shared" si="41"/>
        <v>-8.5174820600986689E-3</v>
      </c>
    </row>
    <row r="1339" spans="2:8">
      <c r="B1339" s="175">
        <v>45894</v>
      </c>
      <c r="C1339" s="176">
        <v>57.430000305175781</v>
      </c>
      <c r="D1339" s="180">
        <f t="shared" si="40"/>
        <v>-1.8458349809248834E-2</v>
      </c>
      <c r="F1339" s="181">
        <v>45894</v>
      </c>
      <c r="G1339" s="182">
        <v>24967.75</v>
      </c>
      <c r="H1339" s="183">
        <f t="shared" si="41"/>
        <v>3.9264173509055761E-3</v>
      </c>
    </row>
    <row r="1340" spans="2:8">
      <c r="B1340" s="175">
        <v>45895</v>
      </c>
      <c r="C1340" s="176">
        <v>56.970001220703118</v>
      </c>
      <c r="D1340" s="180">
        <f t="shared" si="40"/>
        <v>-8.0097350170344108E-3</v>
      </c>
      <c r="F1340" s="184">
        <v>45895</v>
      </c>
      <c r="G1340" s="185">
        <v>24712.05078125</v>
      </c>
      <c r="H1340" s="186">
        <f t="shared" si="41"/>
        <v>-1.0241179872034925E-2</v>
      </c>
    </row>
    <row r="1341" spans="2:8">
      <c r="B1341" s="175">
        <v>45897</v>
      </c>
      <c r="C1341" s="176">
        <v>56.319999694824219</v>
      </c>
      <c r="D1341" s="180">
        <f t="shared" si="40"/>
        <v>-1.1409540318610457E-2</v>
      </c>
      <c r="F1341" s="181">
        <v>45897</v>
      </c>
      <c r="G1341" s="182">
        <v>24500.900390625</v>
      </c>
      <c r="H1341" s="183">
        <f t="shared" si="41"/>
        <v>-8.5444301039235507E-3</v>
      </c>
    </row>
    <row r="1342" spans="2:8">
      <c r="B1342" s="175">
        <v>45898</v>
      </c>
      <c r="C1342" s="176">
        <v>56.430000305175781</v>
      </c>
      <c r="D1342" s="180">
        <f t="shared" si="40"/>
        <v>1.9531358477914108E-3</v>
      </c>
      <c r="F1342" s="184">
        <v>45898</v>
      </c>
      <c r="G1342" s="185">
        <v>24426.849609375</v>
      </c>
      <c r="H1342" s="186">
        <f t="shared" si="41"/>
        <v>-3.0223697933295024E-3</v>
      </c>
    </row>
    <row r="1343" spans="2:8">
      <c r="B1343" s="175">
        <v>45901</v>
      </c>
      <c r="C1343" s="176">
        <v>57.860000610351563</v>
      </c>
      <c r="D1343" s="180">
        <f t="shared" si="40"/>
        <v>2.5341135875284075E-2</v>
      </c>
      <c r="F1343" s="181">
        <v>45901</v>
      </c>
      <c r="G1343" s="182">
        <v>24625.05078125</v>
      </c>
      <c r="H1343" s="183">
        <f t="shared" si="41"/>
        <v>8.1140701746053485E-3</v>
      </c>
    </row>
    <row r="1344" spans="2:8">
      <c r="B1344" s="175">
        <v>45902</v>
      </c>
      <c r="C1344" s="176">
        <v>58.25</v>
      </c>
      <c r="D1344" s="180">
        <f t="shared" si="40"/>
        <v>6.7403972612240836E-3</v>
      </c>
      <c r="F1344" s="184">
        <v>45902</v>
      </c>
      <c r="G1344" s="185">
        <v>24579.599609375</v>
      </c>
      <c r="H1344" s="186">
        <f t="shared" si="41"/>
        <v>-1.8457290617896885E-3</v>
      </c>
    </row>
    <row r="1345" spans="2:8">
      <c r="B1345" s="175">
        <v>45903</v>
      </c>
      <c r="C1345" s="176">
        <v>57.990001678466797</v>
      </c>
      <c r="D1345" s="180">
        <f t="shared" si="40"/>
        <v>-4.4634904984240881E-3</v>
      </c>
      <c r="F1345" s="181">
        <v>45903</v>
      </c>
      <c r="G1345" s="182">
        <v>24715.05078125</v>
      </c>
      <c r="H1345" s="183">
        <f t="shared" si="41"/>
        <v>5.5107151470171652E-3</v>
      </c>
    </row>
    <row r="1346" spans="2:8">
      <c r="B1346" s="175">
        <v>45904</v>
      </c>
      <c r="C1346" s="176">
        <v>57.419998168945313</v>
      </c>
      <c r="D1346" s="180">
        <f t="shared" si="40"/>
        <v>-9.8293411454261365E-3</v>
      </c>
      <c r="F1346" s="184">
        <v>45904</v>
      </c>
      <c r="G1346" s="185">
        <v>24734.30078125</v>
      </c>
      <c r="H1346" s="186">
        <f t="shared" si="41"/>
        <v>7.7887762280480347E-4</v>
      </c>
    </row>
    <row r="1347" spans="2:8">
      <c r="B1347" s="175">
        <v>45905</v>
      </c>
      <c r="C1347" s="176">
        <v>57.869998931884773</v>
      </c>
      <c r="D1347" s="180">
        <f t="shared" si="40"/>
        <v>7.8370041325225258E-3</v>
      </c>
      <c r="F1347" s="181">
        <v>45905</v>
      </c>
      <c r="G1347" s="182">
        <v>24741</v>
      </c>
      <c r="H1347" s="183">
        <f t="shared" si="41"/>
        <v>2.708473067117542E-4</v>
      </c>
    </row>
    <row r="1348" spans="2:8">
      <c r="B1348" s="175">
        <v>45908</v>
      </c>
      <c r="C1348" s="176">
        <v>57.450000762939453</v>
      </c>
      <c r="D1348" s="180">
        <f t="shared" si="40"/>
        <v>-7.2576149420647768E-3</v>
      </c>
      <c r="F1348" s="184">
        <v>45908</v>
      </c>
      <c r="G1348" s="185">
        <v>24773.150390625</v>
      </c>
      <c r="H1348" s="186">
        <f t="shared" si="41"/>
        <v>1.2994782193524919E-3</v>
      </c>
    </row>
    <row r="1349" spans="2:8">
      <c r="B1349" s="175">
        <v>45909</v>
      </c>
      <c r="C1349" s="176">
        <v>57.060001373291023</v>
      </c>
      <c r="D1349" s="180">
        <f t="shared" ref="D1349:D1412" si="42">(C1349-C1348)/C1348</f>
        <v>-6.7885010351473474E-3</v>
      </c>
      <c r="F1349" s="181">
        <v>45909</v>
      </c>
      <c r="G1349" s="182">
        <v>24868.599609375</v>
      </c>
      <c r="H1349" s="183">
        <f t="shared" ref="H1349:H1412" si="43">(G1349-G1348)/G1348</f>
        <v>3.852930178235273E-3</v>
      </c>
    </row>
    <row r="1350" spans="2:8">
      <c r="B1350" s="175">
        <v>45910</v>
      </c>
      <c r="C1350" s="176">
        <v>57.569999694824219</v>
      </c>
      <c r="D1350" s="180">
        <f t="shared" si="42"/>
        <v>8.9379304111254186E-3</v>
      </c>
      <c r="F1350" s="184">
        <v>45910</v>
      </c>
      <c r="G1350" s="185">
        <v>24973.099609375</v>
      </c>
      <c r="H1350" s="186">
        <f t="shared" si="43"/>
        <v>4.20208623088714E-3</v>
      </c>
    </row>
    <row r="1351" spans="2:8">
      <c r="B1351" s="175">
        <v>45911</v>
      </c>
      <c r="C1351" s="176">
        <v>56.939998626708977</v>
      </c>
      <c r="D1351" s="180">
        <f t="shared" si="42"/>
        <v>-1.0943218194456256E-2</v>
      </c>
      <c r="F1351" s="181">
        <v>45911</v>
      </c>
      <c r="G1351" s="182">
        <v>25005.5</v>
      </c>
      <c r="H1351" s="183">
        <f t="shared" si="43"/>
        <v>1.2974116602184522E-3</v>
      </c>
    </row>
    <row r="1352" spans="2:8">
      <c r="B1352" s="175">
        <v>45912</v>
      </c>
      <c r="C1352" s="176">
        <v>57.110000610351563</v>
      </c>
      <c r="D1352" s="180">
        <f t="shared" si="42"/>
        <v>2.9856337854360609E-3</v>
      </c>
      <c r="F1352" s="184">
        <v>45912</v>
      </c>
      <c r="G1352" s="185">
        <v>25114</v>
      </c>
      <c r="H1352" s="186">
        <f t="shared" si="43"/>
        <v>4.3390454100097975E-3</v>
      </c>
    </row>
    <row r="1353" spans="2:8">
      <c r="B1353" s="175">
        <v>45915</v>
      </c>
      <c r="C1353" s="176">
        <v>58.069999694824219</v>
      </c>
      <c r="D1353" s="180">
        <f t="shared" si="42"/>
        <v>1.680964934709964E-2</v>
      </c>
      <c r="F1353" s="181">
        <v>45915</v>
      </c>
      <c r="G1353" s="182">
        <v>25069.19921875</v>
      </c>
      <c r="H1353" s="183">
        <f t="shared" si="43"/>
        <v>-1.7838966811340288E-3</v>
      </c>
    </row>
    <row r="1354" spans="2:8">
      <c r="B1354" s="175">
        <v>45916</v>
      </c>
      <c r="C1354" s="176">
        <v>58.979999542236328</v>
      </c>
      <c r="D1354" s="180">
        <f t="shared" si="42"/>
        <v>1.5670739662380567E-2</v>
      </c>
      <c r="F1354" s="184">
        <v>45916</v>
      </c>
      <c r="G1354" s="185">
        <v>25239.099609375</v>
      </c>
      <c r="H1354" s="186">
        <f t="shared" si="43"/>
        <v>6.7772563910987009E-3</v>
      </c>
    </row>
    <row r="1355" spans="2:8">
      <c r="B1355" s="175">
        <v>45917</v>
      </c>
      <c r="C1355" s="176">
        <v>59.290000915527337</v>
      </c>
      <c r="D1355" s="180">
        <f t="shared" si="42"/>
        <v>5.2560423142935528E-3</v>
      </c>
      <c r="F1355" s="181">
        <v>45917</v>
      </c>
      <c r="G1355" s="182">
        <v>25330.25</v>
      </c>
      <c r="H1355" s="183">
        <f t="shared" si="43"/>
        <v>3.6114755294654973E-3</v>
      </c>
    </row>
    <row r="1356" spans="2:8">
      <c r="B1356" s="175">
        <v>45918</v>
      </c>
      <c r="C1356" s="176">
        <v>59.080001831054688</v>
      </c>
      <c r="D1356" s="180">
        <f t="shared" si="42"/>
        <v>-3.5418971366157109E-3</v>
      </c>
      <c r="F1356" s="184">
        <v>45918</v>
      </c>
      <c r="G1356" s="185">
        <v>25423.599609375</v>
      </c>
      <c r="H1356" s="186">
        <f t="shared" si="43"/>
        <v>3.6853015416350018E-3</v>
      </c>
    </row>
    <row r="1357" spans="2:8">
      <c r="B1357" s="175">
        <v>45919</v>
      </c>
      <c r="C1357" s="176">
        <v>60.400001525878913</v>
      </c>
      <c r="D1357" s="180">
        <f t="shared" si="42"/>
        <v>2.2342580465703102E-2</v>
      </c>
      <c r="F1357" s="181">
        <v>45919</v>
      </c>
      <c r="G1357" s="182">
        <v>25327.05078125</v>
      </c>
      <c r="H1357" s="183">
        <f t="shared" si="43"/>
        <v>-3.7976065391384403E-3</v>
      </c>
    </row>
    <row r="1358" spans="2:8">
      <c r="B1358" s="175">
        <v>45922</v>
      </c>
      <c r="C1358" s="176">
        <v>59.930000305175781</v>
      </c>
      <c r="D1358" s="180">
        <f t="shared" si="42"/>
        <v>-7.7814769673764982E-3</v>
      </c>
      <c r="F1358" s="184">
        <v>45922</v>
      </c>
      <c r="G1358" s="185">
        <v>25202.349609375</v>
      </c>
      <c r="H1358" s="186">
        <f t="shared" si="43"/>
        <v>-4.9236357186648108E-3</v>
      </c>
    </row>
    <row r="1359" spans="2:8">
      <c r="B1359" s="175">
        <v>45923</v>
      </c>
      <c r="C1359" s="176">
        <v>58.75</v>
      </c>
      <c r="D1359" s="180">
        <f t="shared" si="42"/>
        <v>-1.9689642902836296E-2</v>
      </c>
      <c r="F1359" s="181">
        <v>45923</v>
      </c>
      <c r="G1359" s="182">
        <v>25169.5</v>
      </c>
      <c r="H1359" s="183">
        <f t="shared" si="43"/>
        <v>-1.3034343973539794E-3</v>
      </c>
    </row>
    <row r="1360" spans="2:8">
      <c r="B1360" s="175">
        <v>45924</v>
      </c>
      <c r="C1360" s="176">
        <v>57.5</v>
      </c>
      <c r="D1360" s="180">
        <f t="shared" si="42"/>
        <v>-2.1276595744680851E-2</v>
      </c>
      <c r="F1360" s="184">
        <v>45924</v>
      </c>
      <c r="G1360" s="185">
        <v>25056.900390625</v>
      </c>
      <c r="H1360" s="186">
        <f t="shared" si="43"/>
        <v>-4.4736530076084149E-3</v>
      </c>
    </row>
    <row r="1361" spans="2:8">
      <c r="B1361" s="175">
        <v>45925</v>
      </c>
      <c r="C1361" s="176">
        <v>56.639999389648438</v>
      </c>
      <c r="D1361" s="180">
        <f t="shared" si="42"/>
        <v>-1.4956532353940217E-2</v>
      </c>
      <c r="F1361" s="181">
        <v>45925</v>
      </c>
      <c r="G1361" s="182">
        <v>24890.849609375</v>
      </c>
      <c r="H1361" s="183">
        <f t="shared" si="43"/>
        <v>-6.6269482123226878E-3</v>
      </c>
    </row>
    <row r="1362" spans="2:8">
      <c r="B1362" s="175">
        <v>45926</v>
      </c>
      <c r="C1362" s="176">
        <v>55.279998779296882</v>
      </c>
      <c r="D1362" s="180">
        <f t="shared" si="42"/>
        <v>-2.4011310469754524E-2</v>
      </c>
      <c r="F1362" s="184">
        <v>45926</v>
      </c>
      <c r="G1362" s="185">
        <v>24654.69921875</v>
      </c>
      <c r="H1362" s="186">
        <f t="shared" si="43"/>
        <v>-9.4874379272315099E-3</v>
      </c>
    </row>
    <row r="1363" spans="2:8">
      <c r="B1363" s="175">
        <v>45929</v>
      </c>
      <c r="C1363" s="176">
        <v>55.279998779296882</v>
      </c>
      <c r="D1363" s="180">
        <f t="shared" si="42"/>
        <v>0</v>
      </c>
      <c r="F1363" s="181">
        <v>45929</v>
      </c>
      <c r="G1363" s="182">
        <v>24634.900390625</v>
      </c>
      <c r="H1363" s="183">
        <f t="shared" si="43"/>
        <v>-8.030448049409952E-4</v>
      </c>
    </row>
    <row r="1364" spans="2:8">
      <c r="B1364" s="175">
        <v>45930</v>
      </c>
      <c r="C1364" s="176">
        <v>55.049999237060547</v>
      </c>
      <c r="D1364" s="180">
        <f t="shared" si="42"/>
        <v>-4.1606285693782108E-3</v>
      </c>
      <c r="F1364" s="184">
        <v>45930</v>
      </c>
      <c r="G1364" s="185">
        <v>24611.099609375</v>
      </c>
      <c r="H1364" s="186">
        <f t="shared" si="43"/>
        <v>-9.6614075448251335E-4</v>
      </c>
    </row>
    <row r="1365" spans="2:8">
      <c r="B1365" s="175">
        <v>45931</v>
      </c>
      <c r="C1365" s="176">
        <v>55.180000305175781</v>
      </c>
      <c r="D1365" s="180">
        <f t="shared" si="42"/>
        <v>2.3615089903164894E-3</v>
      </c>
      <c r="F1365" s="181">
        <v>45931</v>
      </c>
      <c r="G1365" s="182">
        <v>24836.30078125</v>
      </c>
      <c r="H1365" s="183">
        <f t="shared" si="43"/>
        <v>9.1503904924758045E-3</v>
      </c>
    </row>
    <row r="1366" spans="2:8">
      <c r="B1366" s="175">
        <v>45933</v>
      </c>
      <c r="C1366" s="176">
        <v>54.459999084472663</v>
      </c>
      <c r="D1366" s="180">
        <f t="shared" si="42"/>
        <v>-1.3048227921730967E-2</v>
      </c>
      <c r="F1366" s="184">
        <v>45933</v>
      </c>
      <c r="G1366" s="185">
        <v>24894.25</v>
      </c>
      <c r="H1366" s="186">
        <f t="shared" si="43"/>
        <v>2.3332467769817144E-3</v>
      </c>
    </row>
    <row r="1367" spans="2:8">
      <c r="B1367" s="175">
        <v>45936</v>
      </c>
      <c r="C1367" s="176">
        <v>54.110000610351563</v>
      </c>
      <c r="D1367" s="180">
        <f t="shared" si="42"/>
        <v>-6.4267073082065205E-3</v>
      </c>
      <c r="F1367" s="181">
        <v>45936</v>
      </c>
      <c r="G1367" s="182">
        <v>25077.650390625</v>
      </c>
      <c r="H1367" s="183">
        <f t="shared" si="43"/>
        <v>7.3671787912871446E-3</v>
      </c>
    </row>
    <row r="1368" spans="2:8">
      <c r="B1368" s="175">
        <v>45937</v>
      </c>
      <c r="C1368" s="176">
        <v>54.009998321533203</v>
      </c>
      <c r="D1368" s="180">
        <f t="shared" si="42"/>
        <v>-1.8481295082304683E-3</v>
      </c>
      <c r="F1368" s="184">
        <v>45937</v>
      </c>
      <c r="G1368" s="185">
        <v>25108.30078125</v>
      </c>
      <c r="H1368" s="186">
        <f t="shared" si="43"/>
        <v>1.2222193924698109E-3</v>
      </c>
    </row>
    <row r="1369" spans="2:8">
      <c r="B1369" s="175">
        <v>45938</v>
      </c>
      <c r="C1369" s="176">
        <v>52.770000457763672</v>
      </c>
      <c r="D1369" s="180">
        <f t="shared" si="42"/>
        <v>-2.2958672510736914E-2</v>
      </c>
      <c r="F1369" s="181">
        <v>45938</v>
      </c>
      <c r="G1369" s="182">
        <v>25046.150390625</v>
      </c>
      <c r="H1369" s="183">
        <f t="shared" si="43"/>
        <v>-2.4752925801897249E-3</v>
      </c>
    </row>
    <row r="1370" spans="2:8">
      <c r="B1370" s="175">
        <v>45939</v>
      </c>
      <c r="C1370" s="176">
        <v>53.169998168945313</v>
      </c>
      <c r="D1370" s="180">
        <f t="shared" si="42"/>
        <v>7.5800209913167022E-3</v>
      </c>
      <c r="F1370" s="184">
        <v>45939</v>
      </c>
      <c r="G1370" s="185">
        <v>25181.80078125</v>
      </c>
      <c r="H1370" s="186">
        <f t="shared" si="43"/>
        <v>5.4160175719369296E-3</v>
      </c>
    </row>
    <row r="1371" spans="2:8">
      <c r="B1371" s="175">
        <v>45940</v>
      </c>
      <c r="C1371" s="176">
        <v>54.310001373291023</v>
      </c>
      <c r="D1371" s="180">
        <f t="shared" si="42"/>
        <v>2.1440723031875993E-2</v>
      </c>
      <c r="F1371" s="181">
        <v>45940</v>
      </c>
      <c r="G1371" s="182">
        <v>25285.349609375</v>
      </c>
      <c r="H1371" s="183">
        <f t="shared" si="43"/>
        <v>4.1120501676790702E-3</v>
      </c>
    </row>
    <row r="1372" spans="2:8">
      <c r="B1372" s="175">
        <v>45943</v>
      </c>
      <c r="C1372" s="176">
        <v>54.349998474121087</v>
      </c>
      <c r="D1372" s="180">
        <f t="shared" si="42"/>
        <v>7.364592122756599E-4</v>
      </c>
      <c r="F1372" s="184">
        <v>45943</v>
      </c>
      <c r="G1372" s="185">
        <v>25227.349609375</v>
      </c>
      <c r="H1372" s="186">
        <f t="shared" si="43"/>
        <v>-2.2938183927065595E-3</v>
      </c>
    </row>
    <row r="1373" spans="2:8">
      <c r="B1373" s="175">
        <v>45944</v>
      </c>
      <c r="C1373" s="176">
        <v>53.950000762939453</v>
      </c>
      <c r="D1373" s="180">
        <f t="shared" si="42"/>
        <v>-7.3596637058250076E-3</v>
      </c>
      <c r="F1373" s="181">
        <v>45944</v>
      </c>
      <c r="G1373" s="182">
        <v>25145.5</v>
      </c>
      <c r="H1373" s="183">
        <f t="shared" si="43"/>
        <v>-3.2444791324643557E-3</v>
      </c>
    </row>
    <row r="1374" spans="2:8">
      <c r="B1374" s="175">
        <v>45945</v>
      </c>
      <c r="C1374" s="176">
        <v>53.729999542236328</v>
      </c>
      <c r="D1374" s="180">
        <f t="shared" si="42"/>
        <v>-4.0778724298786888E-3</v>
      </c>
      <c r="F1374" s="184">
        <v>45945</v>
      </c>
      <c r="G1374" s="185">
        <v>25323.55078125</v>
      </c>
      <c r="H1374" s="186">
        <f t="shared" si="43"/>
        <v>7.0808208725219226E-3</v>
      </c>
    </row>
    <row r="1375" spans="2:8">
      <c r="B1375" s="175">
        <v>45946</v>
      </c>
      <c r="C1375" s="176">
        <v>53.610000610351563</v>
      </c>
      <c r="D1375" s="180">
        <f t="shared" si="42"/>
        <v>-2.2333693077818901E-3</v>
      </c>
      <c r="F1375" s="181">
        <v>45946</v>
      </c>
      <c r="G1375" s="182">
        <v>25585.30078125</v>
      </c>
      <c r="H1375" s="183">
        <f t="shared" si="43"/>
        <v>1.0336228211479895E-2</v>
      </c>
    </row>
    <row r="1376" spans="2:8">
      <c r="B1376" s="175">
        <v>45947</v>
      </c>
      <c r="C1376" s="176">
        <v>52.919998168945313</v>
      </c>
      <c r="D1376" s="180">
        <f t="shared" si="42"/>
        <v>-1.2870778465781576E-2</v>
      </c>
      <c r="F1376" s="184">
        <v>45947</v>
      </c>
      <c r="G1376" s="185">
        <v>25709.849609375</v>
      </c>
      <c r="H1376" s="186">
        <f t="shared" si="43"/>
        <v>4.8679837376105692E-3</v>
      </c>
    </row>
    <row r="1377" spans="2:8">
      <c r="B1377" s="175">
        <v>45950</v>
      </c>
      <c r="C1377" s="176">
        <v>53.090000152587891</v>
      </c>
      <c r="D1377" s="180">
        <f t="shared" si="42"/>
        <v>3.2124336644882815E-3</v>
      </c>
      <c r="F1377" s="181">
        <v>45950</v>
      </c>
      <c r="G1377" s="182">
        <v>25843.150390625</v>
      </c>
      <c r="H1377" s="183">
        <f t="shared" si="43"/>
        <v>5.1848137299641134E-3</v>
      </c>
    </row>
    <row r="1378" spans="2:8">
      <c r="B1378" s="175">
        <v>45951</v>
      </c>
      <c r="C1378" s="176">
        <v>54.180000305175781</v>
      </c>
      <c r="D1378" s="180">
        <f t="shared" si="42"/>
        <v>2.0531176294124726E-2</v>
      </c>
      <c r="F1378" s="184">
        <v>45951</v>
      </c>
      <c r="G1378" s="185">
        <v>25868.599609375</v>
      </c>
      <c r="H1378" s="186">
        <f t="shared" si="43"/>
        <v>9.8475682590277742E-4</v>
      </c>
    </row>
    <row r="1379" spans="2:8">
      <c r="B1379" s="175">
        <v>45953</v>
      </c>
      <c r="C1379" s="176">
        <v>54.529998779296882</v>
      </c>
      <c r="D1379" s="180">
        <f t="shared" si="42"/>
        <v>6.4599201208875908E-3</v>
      </c>
      <c r="F1379" s="181">
        <v>45953</v>
      </c>
      <c r="G1379" s="182">
        <v>25891.400390625</v>
      </c>
      <c r="H1379" s="183">
        <f t="shared" si="43"/>
        <v>8.8140763683770514E-4</v>
      </c>
    </row>
    <row r="1380" spans="2:8">
      <c r="B1380" s="175">
        <v>45954</v>
      </c>
      <c r="C1380" s="176">
        <v>53.819999694824219</v>
      </c>
      <c r="D1380" s="180">
        <f t="shared" si="42"/>
        <v>-1.3020339269514618E-2</v>
      </c>
      <c r="F1380" s="184">
        <v>45954</v>
      </c>
      <c r="G1380" s="185">
        <v>25795.150390625</v>
      </c>
      <c r="H1380" s="186">
        <f t="shared" si="43"/>
        <v>-3.7174505259611641E-3</v>
      </c>
    </row>
    <row r="1381" spans="2:8">
      <c r="B1381" s="175">
        <v>45957</v>
      </c>
      <c r="C1381" s="176">
        <v>53.709999084472663</v>
      </c>
      <c r="D1381" s="180">
        <f t="shared" si="42"/>
        <v>-2.0438612221347517E-3</v>
      </c>
      <c r="F1381" s="181">
        <v>45957</v>
      </c>
      <c r="G1381" s="182">
        <v>25966.05078125</v>
      </c>
      <c r="H1381" s="183">
        <f t="shared" si="43"/>
        <v>6.6252915000298701E-3</v>
      </c>
    </row>
    <row r="1382" spans="2:8">
      <c r="B1382" s="175">
        <v>45958</v>
      </c>
      <c r="C1382" s="176">
        <v>56.220001220703118</v>
      </c>
      <c r="D1382" s="180">
        <f t="shared" si="42"/>
        <v>4.6732492627356716E-2</v>
      </c>
      <c r="F1382" s="184">
        <v>45958</v>
      </c>
      <c r="G1382" s="185">
        <v>25936.19921875</v>
      </c>
      <c r="H1382" s="186">
        <f t="shared" si="43"/>
        <v>-1.1496381468049702E-3</v>
      </c>
    </row>
    <row r="1383" spans="2:8">
      <c r="B1383" s="175">
        <v>45959</v>
      </c>
      <c r="C1383" s="176">
        <v>58.189998626708977</v>
      </c>
      <c r="D1383" s="180">
        <f t="shared" si="42"/>
        <v>3.5040863807032509E-2</v>
      </c>
      <c r="F1383" s="181">
        <v>45959</v>
      </c>
      <c r="G1383" s="182">
        <v>26053.900390625</v>
      </c>
      <c r="H1383" s="183">
        <f t="shared" si="43"/>
        <v>4.5381040946782421E-3</v>
      </c>
    </row>
    <row r="1384" spans="2:8">
      <c r="B1384" s="175">
        <v>45960</v>
      </c>
      <c r="C1384" s="176">
        <v>58.509998321533203</v>
      </c>
      <c r="D1384" s="180">
        <f t="shared" si="42"/>
        <v>5.4992215565605332E-3</v>
      </c>
      <c r="F1384" s="184">
        <v>45960</v>
      </c>
      <c r="G1384" s="185">
        <v>25877.849609375</v>
      </c>
      <c r="H1384" s="186">
        <f t="shared" si="43"/>
        <v>-6.7571756478100502E-3</v>
      </c>
    </row>
    <row r="1385" spans="2:8">
      <c r="B1385" s="175">
        <v>45961</v>
      </c>
      <c r="C1385" s="176">
        <v>59.299999237060547</v>
      </c>
      <c r="D1385" s="180">
        <f t="shared" si="42"/>
        <v>1.3501981510681446E-2</v>
      </c>
      <c r="F1385" s="181">
        <v>45961</v>
      </c>
      <c r="G1385" s="182">
        <v>25722.099609375</v>
      </c>
      <c r="H1385" s="183">
        <f t="shared" si="43"/>
        <v>-6.0186608373972101E-3</v>
      </c>
    </row>
    <row r="1386" spans="2:8">
      <c r="B1386" s="175">
        <v>45964</v>
      </c>
      <c r="C1386" s="176">
        <v>59.240001678466797</v>
      </c>
      <c r="D1386" s="180">
        <f t="shared" si="42"/>
        <v>-1.0117632270769659E-3</v>
      </c>
      <c r="F1386" s="184">
        <v>45964</v>
      </c>
      <c r="G1386" s="185">
        <v>25763.349609375</v>
      </c>
      <c r="H1386" s="186">
        <f t="shared" si="43"/>
        <v>1.6036793506920993E-3</v>
      </c>
    </row>
    <row r="1387" spans="2:8">
      <c r="B1387" s="175">
        <v>45965</v>
      </c>
      <c r="C1387" s="176">
        <v>59.990001678466797</v>
      </c>
      <c r="D1387" s="180">
        <f t="shared" si="42"/>
        <v>1.2660364259790665E-2</v>
      </c>
      <c r="F1387" s="181">
        <v>45965</v>
      </c>
      <c r="G1387" s="182">
        <v>25597.650390625</v>
      </c>
      <c r="H1387" s="183">
        <f t="shared" si="43"/>
        <v>-6.4315867797603409E-3</v>
      </c>
    </row>
    <row r="1388" spans="2:8">
      <c r="B1388" s="175">
        <v>45967</v>
      </c>
      <c r="C1388" s="176">
        <v>59.610000610351563</v>
      </c>
      <c r="D1388" s="180">
        <f t="shared" si="42"/>
        <v>-6.3344066925011345E-3</v>
      </c>
      <c r="F1388" s="184">
        <v>45967</v>
      </c>
      <c r="G1388" s="185">
        <v>25509.69921875</v>
      </c>
      <c r="H1388" s="186">
        <f t="shared" si="43"/>
        <v>-3.4359080045569977E-3</v>
      </c>
    </row>
    <row r="1389" spans="2:8">
      <c r="B1389" s="175">
        <v>45968</v>
      </c>
      <c r="C1389" s="176">
        <v>57.380001068115227</v>
      </c>
      <c r="D1389" s="180">
        <f t="shared" si="42"/>
        <v>-3.7409822502989291E-2</v>
      </c>
      <c r="F1389" s="181">
        <v>45968</v>
      </c>
      <c r="G1389" s="182">
        <v>25492.30078125</v>
      </c>
      <c r="H1389" s="183">
        <f t="shared" si="43"/>
        <v>-6.8203224784445498E-4</v>
      </c>
    </row>
    <row r="1390" spans="2:8">
      <c r="B1390" s="175">
        <v>45971</v>
      </c>
      <c r="C1390" s="176">
        <v>57.430000305175781</v>
      </c>
      <c r="D1390" s="180">
        <f t="shared" si="42"/>
        <v>8.7137044492558281E-4</v>
      </c>
      <c r="F1390" s="184">
        <v>45971</v>
      </c>
      <c r="G1390" s="185">
        <v>25574.349609375</v>
      </c>
      <c r="H1390" s="186">
        <f t="shared" si="43"/>
        <v>3.2185728871263058E-3</v>
      </c>
    </row>
    <row r="1391" spans="2:8">
      <c r="B1391" s="175">
        <v>45972</v>
      </c>
      <c r="C1391" s="176">
        <v>57.819999694824219</v>
      </c>
      <c r="D1391" s="180">
        <f t="shared" si="42"/>
        <v>6.7908651850257691E-3</v>
      </c>
      <c r="F1391" s="181">
        <v>45972</v>
      </c>
      <c r="G1391" s="182">
        <v>25694.94921875</v>
      </c>
      <c r="H1391" s="183">
        <f t="shared" si="43"/>
        <v>4.7156471705849679E-3</v>
      </c>
    </row>
    <row r="1392" spans="2:8">
      <c r="B1392" s="175">
        <v>45973</v>
      </c>
      <c r="C1392" s="176">
        <v>58.479999542236328</v>
      </c>
      <c r="D1392" s="180">
        <f t="shared" si="42"/>
        <v>1.1414732806911266E-2</v>
      </c>
      <c r="F1392" s="184">
        <v>45973</v>
      </c>
      <c r="G1392" s="185">
        <v>25875.80078125</v>
      </c>
      <c r="H1392" s="186">
        <f t="shared" si="43"/>
        <v>7.0384090258497119E-3</v>
      </c>
    </row>
    <row r="1393" spans="2:8">
      <c r="B1393" s="175">
        <v>45974</v>
      </c>
      <c r="C1393" s="176">
        <v>57.580001831054688</v>
      </c>
      <c r="D1393" s="180">
        <f t="shared" si="42"/>
        <v>-1.5389837862971089E-2</v>
      </c>
      <c r="F1393" s="181">
        <v>45974</v>
      </c>
      <c r="G1393" s="182">
        <v>25879.150390625</v>
      </c>
      <c r="H1393" s="183">
        <f t="shared" si="43"/>
        <v>1.2944949620369539E-4</v>
      </c>
    </row>
    <row r="1394" spans="2:8">
      <c r="B1394" s="175">
        <v>45975</v>
      </c>
      <c r="C1394" s="176">
        <v>57.680000305175781</v>
      </c>
      <c r="D1394" s="180">
        <f t="shared" si="42"/>
        <v>1.7366875814714105E-3</v>
      </c>
      <c r="F1394" s="184">
        <v>45975</v>
      </c>
      <c r="G1394" s="185">
        <v>25910.05078125</v>
      </c>
      <c r="H1394" s="186">
        <f t="shared" si="43"/>
        <v>1.1940264714483827E-3</v>
      </c>
    </row>
    <row r="1395" spans="2:8">
      <c r="B1395" s="175">
        <v>45978</v>
      </c>
      <c r="C1395" s="176">
        <v>57.700000762939453</v>
      </c>
      <c r="D1395" s="180">
        <f t="shared" si="42"/>
        <v>3.4674857243156392E-4</v>
      </c>
      <c r="F1395" s="181">
        <v>45978</v>
      </c>
      <c r="G1395" s="182">
        <v>26013.44921875</v>
      </c>
      <c r="H1395" s="183">
        <f t="shared" si="43"/>
        <v>3.9906690408659891E-3</v>
      </c>
    </row>
    <row r="1396" spans="2:8">
      <c r="B1396" s="175">
        <v>45979</v>
      </c>
      <c r="C1396" s="176">
        <v>56.900001525878913</v>
      </c>
      <c r="D1396" s="180">
        <f t="shared" si="42"/>
        <v>-1.386480461841479E-2</v>
      </c>
      <c r="F1396" s="184">
        <v>45979</v>
      </c>
      <c r="G1396" s="185">
        <v>25910.05078125</v>
      </c>
      <c r="H1396" s="186">
        <f t="shared" si="43"/>
        <v>-3.974806902018682E-3</v>
      </c>
    </row>
    <row r="1397" spans="2:8">
      <c r="B1397" s="175">
        <v>45980</v>
      </c>
      <c r="C1397" s="176">
        <v>56.529998779296882</v>
      </c>
      <c r="D1397" s="180">
        <f t="shared" si="42"/>
        <v>-6.5026842998193741E-3</v>
      </c>
      <c r="F1397" s="181">
        <v>45980</v>
      </c>
      <c r="G1397" s="182">
        <v>26052.650390625</v>
      </c>
      <c r="H1397" s="183">
        <f t="shared" si="43"/>
        <v>5.503640675154263E-3</v>
      </c>
    </row>
    <row r="1398" spans="2:8">
      <c r="B1398" s="175">
        <v>45981</v>
      </c>
      <c r="C1398" s="176">
        <v>56.700000762939453</v>
      </c>
      <c r="D1398" s="180">
        <f t="shared" si="42"/>
        <v>3.0072879411564973E-3</v>
      </c>
      <c r="F1398" s="184">
        <v>45981</v>
      </c>
      <c r="G1398" s="185">
        <v>26192.150390625</v>
      </c>
      <c r="H1398" s="186">
        <f t="shared" si="43"/>
        <v>5.3545415882216276E-3</v>
      </c>
    </row>
    <row r="1399" spans="2:8">
      <c r="B1399" s="175">
        <v>45982</v>
      </c>
      <c r="C1399" s="176">
        <v>55.099998474121087</v>
      </c>
      <c r="D1399" s="180">
        <f t="shared" si="42"/>
        <v>-2.8218734872825051E-2</v>
      </c>
      <c r="F1399" s="181">
        <v>45982</v>
      </c>
      <c r="G1399" s="182">
        <v>26068.150390625</v>
      </c>
      <c r="H1399" s="183">
        <f t="shared" si="43"/>
        <v>-4.7342428227803521E-3</v>
      </c>
    </row>
    <row r="1400" spans="2:8">
      <c r="B1400" s="175">
        <v>45985</v>
      </c>
      <c r="C1400" s="176">
        <v>54.610000610351563</v>
      </c>
      <c r="D1400" s="180">
        <f t="shared" si="42"/>
        <v>-8.8928834362792634E-3</v>
      </c>
      <c r="F1400" s="184">
        <v>45985</v>
      </c>
      <c r="G1400" s="185">
        <v>25959.5</v>
      </c>
      <c r="H1400" s="186">
        <f t="shared" si="43"/>
        <v>-4.167936312968119E-3</v>
      </c>
    </row>
    <row r="1401" spans="2:8">
      <c r="B1401" s="175">
        <v>45986</v>
      </c>
      <c r="C1401" s="176">
        <v>54.189998626708977</v>
      </c>
      <c r="D1401" s="180">
        <f t="shared" si="42"/>
        <v>-7.6909353405678598E-3</v>
      </c>
      <c r="F1401" s="181">
        <v>45986</v>
      </c>
      <c r="G1401" s="182">
        <v>25884.80078125</v>
      </c>
      <c r="H1401" s="183">
        <f t="shared" si="43"/>
        <v>-2.8775291800689534E-3</v>
      </c>
    </row>
    <row r="1402" spans="2:8">
      <c r="B1402" s="175">
        <v>45987</v>
      </c>
      <c r="C1402" s="176">
        <v>55.580001831054688</v>
      </c>
      <c r="D1402" s="180">
        <f t="shared" si="42"/>
        <v>2.5650548801833893E-2</v>
      </c>
      <c r="F1402" s="184">
        <v>45987</v>
      </c>
      <c r="G1402" s="185">
        <v>26205.30078125</v>
      </c>
      <c r="H1402" s="186">
        <f t="shared" si="43"/>
        <v>1.2381783530362669E-2</v>
      </c>
    </row>
    <row r="1403" spans="2:8">
      <c r="B1403" s="175">
        <v>45988</v>
      </c>
      <c r="C1403" s="176">
        <v>54.930000305175781</v>
      </c>
      <c r="D1403" s="180">
        <f t="shared" si="42"/>
        <v>-1.1694881332582565E-2</v>
      </c>
      <c r="F1403" s="181">
        <v>45988</v>
      </c>
      <c r="G1403" s="182">
        <v>26215.55078125</v>
      </c>
      <c r="H1403" s="183">
        <f t="shared" si="43"/>
        <v>3.9114223818922608E-4</v>
      </c>
    </row>
    <row r="1404" spans="2:8">
      <c r="B1404" s="175">
        <v>45989</v>
      </c>
      <c r="C1404" s="176">
        <v>54.009998321533203</v>
      </c>
      <c r="D1404" s="180">
        <f t="shared" si="42"/>
        <v>-1.6748625132556042E-2</v>
      </c>
      <c r="F1404" s="184">
        <v>45989</v>
      </c>
      <c r="G1404" s="185">
        <v>26202.94921875</v>
      </c>
      <c r="H1404" s="186">
        <f t="shared" si="43"/>
        <v>-4.8069035837358583E-4</v>
      </c>
    </row>
    <row r="1405" spans="2:8">
      <c r="B1405" s="175">
        <v>45992</v>
      </c>
      <c r="C1405" s="176">
        <v>53.720001220703118</v>
      </c>
      <c r="D1405" s="180">
        <f t="shared" si="42"/>
        <v>-5.3693225299447289E-3</v>
      </c>
      <c r="F1405" s="181">
        <v>45992</v>
      </c>
      <c r="G1405" s="182">
        <v>26175.75</v>
      </c>
      <c r="H1405" s="183">
        <f t="shared" si="43"/>
        <v>-1.0380212747402153E-3</v>
      </c>
    </row>
    <row r="1406" spans="2:8">
      <c r="B1406" s="175">
        <v>45993</v>
      </c>
      <c r="C1406" s="176">
        <v>53.419998168945313</v>
      </c>
      <c r="D1406" s="180">
        <f t="shared" si="42"/>
        <v>-5.584568967622946E-3</v>
      </c>
      <c r="F1406" s="184">
        <v>45993</v>
      </c>
      <c r="G1406" s="185">
        <v>26032.19921875</v>
      </c>
      <c r="H1406" s="186">
        <f t="shared" si="43"/>
        <v>-5.4841133969418263E-3</v>
      </c>
    </row>
    <row r="1407" spans="2:8">
      <c r="B1407" s="175">
        <v>45994</v>
      </c>
      <c r="C1407" s="176">
        <v>52.590000152587891</v>
      </c>
      <c r="D1407" s="180">
        <f t="shared" si="42"/>
        <v>-1.5537215365161229E-2</v>
      </c>
      <c r="F1407" s="181">
        <v>45994</v>
      </c>
      <c r="G1407" s="182">
        <v>25986</v>
      </c>
      <c r="H1407" s="183">
        <f t="shared" si="43"/>
        <v>-1.7746951904364832E-3</v>
      </c>
    </row>
    <row r="1408" spans="2:8">
      <c r="B1408" s="175">
        <v>45995</v>
      </c>
      <c r="C1408" s="176">
        <v>50.849998474121087</v>
      </c>
      <c r="D1408" s="180">
        <f t="shared" si="42"/>
        <v>-3.3086169869143471E-2</v>
      </c>
      <c r="F1408" s="184">
        <v>45995</v>
      </c>
      <c r="G1408" s="185">
        <v>26033.75</v>
      </c>
      <c r="H1408" s="186">
        <f t="shared" si="43"/>
        <v>1.8375278996382667E-3</v>
      </c>
    </row>
    <row r="1409" spans="2:8">
      <c r="B1409" s="175">
        <v>45996</v>
      </c>
      <c r="C1409" s="176">
        <v>51.740001678466797</v>
      </c>
      <c r="D1409" s="180">
        <f t="shared" si="42"/>
        <v>1.7502521751277072E-2</v>
      </c>
      <c r="F1409" s="181">
        <v>45996</v>
      </c>
      <c r="G1409" s="182">
        <v>26186.44921875</v>
      </c>
      <c r="H1409" s="183">
        <f t="shared" si="43"/>
        <v>5.8654330916598644E-3</v>
      </c>
    </row>
    <row r="1410" spans="2:8">
      <c r="B1410" s="175">
        <v>45999</v>
      </c>
      <c r="C1410" s="176">
        <v>51.779998779296882</v>
      </c>
      <c r="D1410" s="180">
        <f t="shared" si="42"/>
        <v>7.7304019197067906E-4</v>
      </c>
      <c r="F1410" s="184">
        <v>45999</v>
      </c>
      <c r="G1410" s="185">
        <v>25960.55078125</v>
      </c>
      <c r="H1410" s="186">
        <f t="shared" si="43"/>
        <v>-8.6265394598918129E-3</v>
      </c>
    </row>
    <row r="1411" spans="2:8">
      <c r="B1411" s="175">
        <v>46000</v>
      </c>
      <c r="C1411" s="176">
        <v>52.549999237060547</v>
      </c>
      <c r="D1411" s="180">
        <f t="shared" si="42"/>
        <v>1.4870615602863492E-2</v>
      </c>
      <c r="F1411" s="181">
        <v>46000</v>
      </c>
      <c r="G1411" s="182">
        <v>25839.650390625</v>
      </c>
      <c r="H1411" s="183">
        <f t="shared" si="43"/>
        <v>-4.6570811090926572E-3</v>
      </c>
    </row>
    <row r="1412" spans="2:8">
      <c r="B1412" s="175">
        <v>46001</v>
      </c>
      <c r="C1412" s="176">
        <v>51.540000915527337</v>
      </c>
      <c r="D1412" s="180">
        <f t="shared" si="42"/>
        <v>-1.9219759014209754E-2</v>
      </c>
      <c r="F1412" s="184">
        <v>46001</v>
      </c>
      <c r="G1412" s="185">
        <v>25758</v>
      </c>
      <c r="H1412" s="186">
        <f t="shared" si="43"/>
        <v>-3.159887590995579E-3</v>
      </c>
    </row>
    <row r="1413" spans="2:8">
      <c r="B1413" s="175">
        <v>46002</v>
      </c>
      <c r="C1413" s="176">
        <v>52.040000915527337</v>
      </c>
      <c r="D1413" s="180">
        <f t="shared" ref="D1413:D1476" si="44">(C1413-C1412)/C1412</f>
        <v>9.7012027768390314E-3</v>
      </c>
      <c r="F1413" s="181">
        <v>46002</v>
      </c>
      <c r="G1413" s="182">
        <v>25898.55078125</v>
      </c>
      <c r="H1413" s="183">
        <f t="shared" ref="H1413:H1476" si="45">(G1413-G1412)/G1412</f>
        <v>5.4565875164997281E-3</v>
      </c>
    </row>
    <row r="1414" spans="2:8">
      <c r="B1414" s="175">
        <v>46003</v>
      </c>
      <c r="C1414" s="176">
        <v>53.020000457763672</v>
      </c>
      <c r="D1414" s="180">
        <f t="shared" si="44"/>
        <v>1.8831658820050667E-2</v>
      </c>
      <c r="F1414" s="184">
        <v>46003</v>
      </c>
      <c r="G1414" s="185">
        <v>26046.94921875</v>
      </c>
      <c r="H1414" s="186">
        <f t="shared" si="45"/>
        <v>5.7299900196514974E-3</v>
      </c>
    </row>
    <row r="1415" spans="2:8">
      <c r="B1415" s="175">
        <v>46006</v>
      </c>
      <c r="C1415" s="176">
        <v>53.139999389648438</v>
      </c>
      <c r="D1415" s="180">
        <f t="shared" si="44"/>
        <v>2.2632767040497884E-3</v>
      </c>
      <c r="F1415" s="181">
        <v>46006</v>
      </c>
      <c r="G1415" s="182">
        <v>26027.30078125</v>
      </c>
      <c r="H1415" s="183">
        <f t="shared" si="45"/>
        <v>-7.5434698071496196E-4</v>
      </c>
    </row>
    <row r="1416" spans="2:8">
      <c r="B1416" s="175">
        <v>46007</v>
      </c>
      <c r="C1416" s="176">
        <v>52.669998168945313</v>
      </c>
      <c r="D1416" s="180">
        <f t="shared" si="44"/>
        <v>-8.8445846086080363E-3</v>
      </c>
      <c r="F1416" s="184">
        <v>46007</v>
      </c>
      <c r="G1416" s="185">
        <v>25860.099609375</v>
      </c>
      <c r="H1416" s="186">
        <f t="shared" si="45"/>
        <v>-6.4240688375742476E-3</v>
      </c>
    </row>
    <row r="1417" spans="2:8">
      <c r="B1417" s="175">
        <v>46008</v>
      </c>
      <c r="C1417" s="176">
        <v>51.939998626708977</v>
      </c>
      <c r="D1417" s="180">
        <f t="shared" si="44"/>
        <v>-1.3859874076600012E-2</v>
      </c>
      <c r="F1417" s="181">
        <v>46008</v>
      </c>
      <c r="G1417" s="182">
        <v>25818.55078125</v>
      </c>
      <c r="H1417" s="183">
        <f t="shared" si="45"/>
        <v>-1.6066770334456639E-3</v>
      </c>
    </row>
    <row r="1418" spans="2:8">
      <c r="B1418" s="175">
        <v>46009</v>
      </c>
      <c r="C1418" s="176">
        <v>51.779998779296882</v>
      </c>
      <c r="D1418" s="180">
        <f t="shared" si="44"/>
        <v>-3.0804746176835446E-3</v>
      </c>
      <c r="F1418" s="184">
        <v>46009</v>
      </c>
      <c r="G1418" s="185">
        <v>25815.55078125</v>
      </c>
      <c r="H1418" s="186">
        <f t="shared" si="45"/>
        <v>-1.1619552256893776E-4</v>
      </c>
    </row>
    <row r="1419" spans="2:8">
      <c r="B1419" s="175">
        <v>46010</v>
      </c>
      <c r="C1419" s="176">
        <v>52.590000152587891</v>
      </c>
      <c r="D1419" s="180">
        <f t="shared" si="44"/>
        <v>1.564313233655135E-2</v>
      </c>
      <c r="F1419" s="181">
        <v>46010</v>
      </c>
      <c r="G1419" s="182">
        <v>25966.400390625</v>
      </c>
      <c r="H1419" s="183">
        <f t="shared" si="45"/>
        <v>5.8433620360547577E-3</v>
      </c>
    </row>
    <row r="1420" spans="2:8">
      <c r="B1420" s="175">
        <v>46013</v>
      </c>
      <c r="C1420" s="176">
        <v>53.509998321533203</v>
      </c>
      <c r="D1420" s="180">
        <f t="shared" si="44"/>
        <v>1.7493785249590658E-2</v>
      </c>
      <c r="F1420" s="184">
        <v>46013</v>
      </c>
      <c r="G1420" s="185">
        <v>26172.400390625</v>
      </c>
      <c r="H1420" s="186">
        <f t="shared" si="45"/>
        <v>7.9333291061157232E-3</v>
      </c>
    </row>
    <row r="1421" spans="2:8">
      <c r="B1421" s="175">
        <v>46014</v>
      </c>
      <c r="C1421" s="176">
        <v>53.619998931884773</v>
      </c>
      <c r="D1421" s="180">
        <f t="shared" si="44"/>
        <v>2.055701995925942E-3</v>
      </c>
      <c r="F1421" s="181">
        <v>46014</v>
      </c>
      <c r="G1421" s="182">
        <v>26177.150390625</v>
      </c>
      <c r="H1421" s="183">
        <f t="shared" si="45"/>
        <v>1.814888939916057E-4</v>
      </c>
    </row>
    <row r="1422" spans="2:8">
      <c r="B1422" s="175">
        <v>46015</v>
      </c>
      <c r="C1422" s="176">
        <v>53.299999237060547</v>
      </c>
      <c r="D1422" s="180">
        <f t="shared" si="44"/>
        <v>-5.9679168444358209E-3</v>
      </c>
      <c r="F1422" s="184">
        <v>46015</v>
      </c>
      <c r="G1422" s="185">
        <v>26142.099609375</v>
      </c>
      <c r="H1422" s="186">
        <f t="shared" si="45"/>
        <v>-1.3389838361685454E-3</v>
      </c>
    </row>
    <row r="1423" spans="2:8">
      <c r="B1423" s="175">
        <v>46017</v>
      </c>
      <c r="C1423" s="176">
        <v>53.200000762939453</v>
      </c>
      <c r="D1423" s="180">
        <f t="shared" si="44"/>
        <v>-1.8761440066130963E-3</v>
      </c>
      <c r="F1423" s="181">
        <v>46017</v>
      </c>
      <c r="G1423" s="182">
        <v>26042.30078125</v>
      </c>
      <c r="H1423" s="183">
        <f t="shared" si="45"/>
        <v>-3.8175521330050493E-3</v>
      </c>
    </row>
    <row r="1424" spans="2:8">
      <c r="B1424" s="175">
        <v>46020</v>
      </c>
      <c r="C1424" s="176">
        <v>52.729999542236328</v>
      </c>
      <c r="D1424" s="180">
        <f t="shared" si="44"/>
        <v>-8.8346092850160336E-3</v>
      </c>
      <c r="F1424" s="184">
        <v>46020</v>
      </c>
      <c r="G1424" s="185">
        <v>25942.099609375</v>
      </c>
      <c r="H1424" s="186">
        <f t="shared" si="45"/>
        <v>-3.8476313101775974E-3</v>
      </c>
    </row>
    <row r="1425" spans="2:8">
      <c r="B1425" s="175">
        <v>46021</v>
      </c>
      <c r="C1425" s="176">
        <v>52</v>
      </c>
      <c r="D1425" s="180">
        <f t="shared" si="44"/>
        <v>-1.384410295038224E-2</v>
      </c>
      <c r="F1425" s="181">
        <v>46021</v>
      </c>
      <c r="G1425" s="182">
        <v>25938.849609375</v>
      </c>
      <c r="H1425" s="183">
        <f t="shared" si="45"/>
        <v>-1.2527898855285829E-4</v>
      </c>
    </row>
    <row r="1426" spans="2:8">
      <c r="B1426" s="175">
        <v>46022</v>
      </c>
      <c r="C1426" s="176">
        <v>52.669998168945313</v>
      </c>
      <c r="D1426" s="180">
        <f t="shared" si="44"/>
        <v>1.2884580172025241E-2</v>
      </c>
      <c r="F1426" s="184">
        <v>46022</v>
      </c>
      <c r="G1426" s="185">
        <v>26129.599609375</v>
      </c>
      <c r="H1426" s="186">
        <f t="shared" si="45"/>
        <v>7.353834224439075E-3</v>
      </c>
    </row>
    <row r="1427" spans="2:8">
      <c r="B1427" s="175">
        <v>46023</v>
      </c>
      <c r="C1427" s="176">
        <v>52.470001220703118</v>
      </c>
      <c r="D1427" s="180">
        <f t="shared" si="44"/>
        <v>-3.7971702144488501E-3</v>
      </c>
      <c r="F1427" s="181">
        <v>46023</v>
      </c>
      <c r="G1427" s="182">
        <v>26146.55078125</v>
      </c>
      <c r="H1427" s="183">
        <f t="shared" si="45"/>
        <v>6.4873446698043217E-4</v>
      </c>
    </row>
    <row r="1428" spans="2:8">
      <c r="B1428" s="175">
        <v>46024</v>
      </c>
      <c r="C1428" s="176">
        <v>54.279998779296882</v>
      </c>
      <c r="D1428" s="180">
        <f t="shared" si="44"/>
        <v>3.4495855088327927E-2</v>
      </c>
      <c r="F1428" s="184">
        <v>46024</v>
      </c>
      <c r="G1428" s="185">
        <v>26328.55078125</v>
      </c>
      <c r="H1428" s="186">
        <f t="shared" si="45"/>
        <v>6.9607651702386052E-3</v>
      </c>
    </row>
    <row r="1429" spans="2:8">
      <c r="B1429" s="175">
        <v>46027</v>
      </c>
      <c r="C1429" s="176">
        <v>53.669998168945313</v>
      </c>
      <c r="D1429" s="180">
        <f t="shared" si="44"/>
        <v>-1.1238036552503239E-2</v>
      </c>
      <c r="F1429" s="181">
        <v>46027</v>
      </c>
      <c r="G1429" s="182">
        <v>26250.30078125</v>
      </c>
      <c r="H1429" s="183">
        <f t="shared" si="45"/>
        <v>-2.9720587604740519E-3</v>
      </c>
    </row>
    <row r="1430" spans="2:8">
      <c r="B1430" s="175">
        <v>46028</v>
      </c>
      <c r="C1430" s="176">
        <v>53.450000762939453</v>
      </c>
      <c r="D1430" s="180">
        <f t="shared" si="44"/>
        <v>-4.0990760855504349E-3</v>
      </c>
      <c r="F1430" s="184">
        <v>46028</v>
      </c>
      <c r="G1430" s="185">
        <v>26178.69921875</v>
      </c>
      <c r="H1430" s="186">
        <f t="shared" si="45"/>
        <v>-2.7276473171363958E-3</v>
      </c>
    </row>
    <row r="1431" spans="2:8">
      <c r="B1431" s="175">
        <v>46029</v>
      </c>
      <c r="C1431" s="176">
        <v>52.900001525878913</v>
      </c>
      <c r="D1431" s="180">
        <f t="shared" si="44"/>
        <v>-1.0289976224694311E-2</v>
      </c>
      <c r="F1431" s="181">
        <v>46029</v>
      </c>
      <c r="G1431" s="182">
        <v>26140.75</v>
      </c>
      <c r="H1431" s="183">
        <f t="shared" si="45"/>
        <v>-1.4496220164682432E-3</v>
      </c>
    </row>
    <row r="1432" spans="2:8">
      <c r="B1432" s="175">
        <v>46030</v>
      </c>
      <c r="C1432" s="176">
        <v>50.930000305175781</v>
      </c>
      <c r="D1432" s="180">
        <f t="shared" si="44"/>
        <v>-3.7240097615864887E-2</v>
      </c>
      <c r="F1432" s="184">
        <v>46030</v>
      </c>
      <c r="G1432" s="185">
        <v>25876.849609375</v>
      </c>
      <c r="H1432" s="186">
        <f t="shared" si="45"/>
        <v>-1.0095364158449929E-2</v>
      </c>
    </row>
    <row r="1433" spans="2:8">
      <c r="B1433" s="175">
        <v>46031</v>
      </c>
      <c r="C1433" s="176">
        <v>49.200000762939453</v>
      </c>
      <c r="D1433" s="180">
        <f t="shared" si="44"/>
        <v>-3.3968182443943874E-2</v>
      </c>
      <c r="F1433" s="181">
        <v>46031</v>
      </c>
      <c r="G1433" s="182">
        <v>25683.30078125</v>
      </c>
      <c r="H1433" s="183">
        <f t="shared" si="45"/>
        <v>-7.4796132854935563E-3</v>
      </c>
    </row>
    <row r="1434" spans="2:8">
      <c r="B1434" s="175">
        <v>46034</v>
      </c>
      <c r="C1434" s="176">
        <v>49.200000762939453</v>
      </c>
      <c r="D1434" s="180">
        <f t="shared" si="44"/>
        <v>0</v>
      </c>
      <c r="F1434" s="184">
        <v>46034</v>
      </c>
      <c r="G1434" s="185">
        <v>25790.25</v>
      </c>
      <c r="H1434" s="186">
        <f t="shared" si="45"/>
        <v>4.1641539637334267E-3</v>
      </c>
    </row>
    <row r="1435" spans="2:8">
      <c r="B1435" s="175">
        <v>46035</v>
      </c>
      <c r="C1435" s="176">
        <v>48.689998626708977</v>
      </c>
      <c r="D1435" s="180">
        <f t="shared" si="44"/>
        <v>-1.036589691711228E-2</v>
      </c>
      <c r="F1435" s="181">
        <v>46035</v>
      </c>
      <c r="G1435" s="182">
        <v>25732.30078125</v>
      </c>
      <c r="H1435" s="183">
        <f t="shared" si="45"/>
        <v>-2.2469428853927357E-3</v>
      </c>
    </row>
    <row r="1436" spans="2:8">
      <c r="B1436" s="175">
        <v>46036</v>
      </c>
      <c r="C1436" s="176">
        <v>49.009998321533203</v>
      </c>
      <c r="D1436" s="180">
        <f t="shared" si="44"/>
        <v>6.5721853327120345E-3</v>
      </c>
      <c r="F1436" s="184">
        <v>46036</v>
      </c>
      <c r="G1436" s="185">
        <v>25665.599609375</v>
      </c>
      <c r="H1436" s="186">
        <f t="shared" si="45"/>
        <v>-2.5921184600641006E-3</v>
      </c>
    </row>
    <row r="1437" spans="2:8">
      <c r="B1437" s="175">
        <v>46038</v>
      </c>
      <c r="C1437" s="176">
        <v>48.450000762939453</v>
      </c>
      <c r="D1437" s="180">
        <f t="shared" si="44"/>
        <v>-1.1426190119816991E-2</v>
      </c>
      <c r="F1437" s="181">
        <v>46038</v>
      </c>
      <c r="G1437" s="182">
        <v>25694.349609375</v>
      </c>
      <c r="H1437" s="183">
        <f t="shared" si="45"/>
        <v>1.1201764399651254E-3</v>
      </c>
    </row>
    <row r="1438" spans="2:8">
      <c r="B1438" s="175">
        <v>46041</v>
      </c>
      <c r="C1438" s="176">
        <v>47.979999542236328</v>
      </c>
      <c r="D1438" s="180">
        <f t="shared" si="44"/>
        <v>-9.7007474365746558E-3</v>
      </c>
      <c r="F1438" s="184">
        <v>46041</v>
      </c>
      <c r="G1438" s="185">
        <v>25585.5</v>
      </c>
      <c r="H1438" s="186">
        <f t="shared" si="45"/>
        <v>-4.2363247573810724E-3</v>
      </c>
    </row>
    <row r="1439" spans="2:8">
      <c r="B1439" s="175">
        <v>46042</v>
      </c>
      <c r="C1439" s="176">
        <v>46.340000152587891</v>
      </c>
      <c r="D1439" s="180">
        <f t="shared" si="44"/>
        <v>-3.4180896317115676E-2</v>
      </c>
      <c r="F1439" s="181">
        <v>46042</v>
      </c>
      <c r="G1439" s="182">
        <v>25232.5</v>
      </c>
      <c r="H1439" s="183">
        <f t="shared" si="45"/>
        <v>-1.3796877137441129E-2</v>
      </c>
    </row>
    <row r="1440" spans="2:8">
      <c r="B1440" s="175">
        <v>46043</v>
      </c>
      <c r="C1440" s="176">
        <v>45.529998779296882</v>
      </c>
      <c r="D1440" s="180">
        <f t="shared" si="44"/>
        <v>-1.7479528930164957E-2</v>
      </c>
      <c r="F1440" s="184">
        <v>46043</v>
      </c>
      <c r="G1440" s="185">
        <v>25157.5</v>
      </c>
      <c r="H1440" s="186">
        <f t="shared" si="45"/>
        <v>-2.9723570791637768E-3</v>
      </c>
    </row>
    <row r="1441" spans="2:8">
      <c r="B1441" s="175">
        <v>46044</v>
      </c>
      <c r="C1441" s="176">
        <v>46.990001678466797</v>
      </c>
      <c r="D1441" s="180">
        <f t="shared" si="44"/>
        <v>3.2066833698967685E-2</v>
      </c>
      <c r="F1441" s="181">
        <v>46044</v>
      </c>
      <c r="G1441" s="182">
        <v>25289.900390625</v>
      </c>
      <c r="H1441" s="183">
        <f t="shared" si="45"/>
        <v>5.2628596094603996E-3</v>
      </c>
    </row>
    <row r="1442" spans="2:8">
      <c r="B1442" s="175">
        <v>46045</v>
      </c>
      <c r="C1442" s="176">
        <v>45.700000762939453</v>
      </c>
      <c r="D1442" s="180">
        <f t="shared" si="44"/>
        <v>-2.7452668002744245E-2</v>
      </c>
      <c r="F1442" s="184">
        <v>46045</v>
      </c>
      <c r="G1442" s="185">
        <v>25048.650390625</v>
      </c>
      <c r="H1442" s="186">
        <f t="shared" si="45"/>
        <v>-9.5393811867061241E-3</v>
      </c>
    </row>
    <row r="1443" spans="2:8">
      <c r="B1443" s="175">
        <v>46049</v>
      </c>
      <c r="C1443" s="176">
        <v>45.790000915527337</v>
      </c>
      <c r="D1443" s="180">
        <f t="shared" si="44"/>
        <v>1.969368732721541E-3</v>
      </c>
      <c r="F1443" s="181">
        <v>46049</v>
      </c>
      <c r="G1443" s="182">
        <v>25175.400390625</v>
      </c>
      <c r="H1443" s="183">
        <f t="shared" si="45"/>
        <v>5.0601528634628126E-3</v>
      </c>
    </row>
    <row r="1444" spans="2:8">
      <c r="B1444" s="175">
        <v>46050</v>
      </c>
      <c r="C1444" s="176">
        <v>47.799999237060547</v>
      </c>
      <c r="D1444" s="180">
        <f t="shared" si="44"/>
        <v>4.3896009638462838E-2</v>
      </c>
      <c r="F1444" s="184">
        <v>46050</v>
      </c>
      <c r="G1444" s="185">
        <v>25342.75</v>
      </c>
      <c r="H1444" s="186">
        <f t="shared" si="45"/>
        <v>6.6473464881741809E-3</v>
      </c>
    </row>
    <row r="1445" spans="2:8">
      <c r="B1445" s="175">
        <v>46051</v>
      </c>
      <c r="C1445" s="176">
        <v>47.439998626708977</v>
      </c>
      <c r="D1445" s="180">
        <f t="shared" si="44"/>
        <v>-7.5313936422085137E-3</v>
      </c>
      <c r="F1445" s="181">
        <v>46051</v>
      </c>
      <c r="G1445" s="182">
        <v>25418.900390625</v>
      </c>
      <c r="H1445" s="183">
        <f t="shared" si="45"/>
        <v>3.004819548983437E-3</v>
      </c>
    </row>
    <row r="1446" spans="2:8">
      <c r="B1446" s="175">
        <v>46052</v>
      </c>
      <c r="C1446" s="176">
        <v>47.669998168945313</v>
      </c>
      <c r="D1446" s="180">
        <f t="shared" si="44"/>
        <v>4.8482198333548061E-3</v>
      </c>
      <c r="F1446" s="184">
        <v>46052</v>
      </c>
      <c r="G1446" s="185">
        <v>25320.650390625</v>
      </c>
      <c r="H1446" s="186">
        <f t="shared" si="45"/>
        <v>-3.8652340774047241E-3</v>
      </c>
    </row>
    <row r="1447" spans="2:8">
      <c r="B1447" s="175">
        <v>46055</v>
      </c>
      <c r="C1447" s="176">
        <v>46.990001678466797</v>
      </c>
      <c r="D1447" s="180">
        <f t="shared" si="44"/>
        <v>-1.426466365844126E-2</v>
      </c>
      <c r="F1447" s="181">
        <v>46055</v>
      </c>
      <c r="G1447" s="182">
        <v>25088.400390625</v>
      </c>
      <c r="H1447" s="183">
        <f t="shared" si="45"/>
        <v>-9.1723552285209401E-3</v>
      </c>
    </row>
    <row r="1448" spans="2:8">
      <c r="B1448" s="175">
        <v>46056</v>
      </c>
      <c r="C1448" s="176">
        <v>49.159999847412109</v>
      </c>
      <c r="D1448" s="180">
        <f t="shared" si="44"/>
        <v>4.6179997689587568E-2</v>
      </c>
      <c r="F1448" s="184">
        <v>46056</v>
      </c>
      <c r="G1448" s="185">
        <v>25727.55078125</v>
      </c>
      <c r="H1448" s="186">
        <f t="shared" si="45"/>
        <v>2.5475932330218904E-2</v>
      </c>
    </row>
    <row r="1449" spans="2:8">
      <c r="B1449" s="175">
        <v>46057</v>
      </c>
      <c r="C1449" s="176">
        <v>49.770000457763672</v>
      </c>
      <c r="D1449" s="180">
        <f t="shared" si="44"/>
        <v>1.2408474618489533E-2</v>
      </c>
      <c r="F1449" s="181">
        <v>46057</v>
      </c>
      <c r="G1449" s="182">
        <v>25776</v>
      </c>
      <c r="H1449" s="183">
        <f t="shared" si="45"/>
        <v>1.8831648283174059E-3</v>
      </c>
    </row>
    <row r="1450" spans="2:8">
      <c r="B1450" s="175">
        <v>46058</v>
      </c>
      <c r="C1450" s="176">
        <v>47.849998474121087</v>
      </c>
      <c r="D1450" s="180">
        <f t="shared" si="44"/>
        <v>-3.8577495800345772E-2</v>
      </c>
      <c r="F1450" s="184">
        <v>46058</v>
      </c>
      <c r="G1450" s="185">
        <v>25642.80078125</v>
      </c>
      <c r="H1450" s="186">
        <f t="shared" si="45"/>
        <v>-5.1675674561607694E-3</v>
      </c>
    </row>
    <row r="1451" spans="2:8">
      <c r="B1451" s="175">
        <v>46059</v>
      </c>
      <c r="C1451" s="176">
        <v>48.040000915527337</v>
      </c>
      <c r="D1451" s="180">
        <f t="shared" si="44"/>
        <v>3.9707930504743862E-3</v>
      </c>
      <c r="F1451" s="181">
        <v>46059</v>
      </c>
      <c r="G1451" s="182">
        <v>25693.69921875</v>
      </c>
      <c r="H1451" s="183">
        <f t="shared" si="45"/>
        <v>1.9849016468285676E-3</v>
      </c>
    </row>
    <row r="1452" spans="2:8">
      <c r="B1452" s="175">
        <v>46062</v>
      </c>
      <c r="C1452" s="176">
        <v>48.189998626708977</v>
      </c>
      <c r="D1452" s="180">
        <f t="shared" si="44"/>
        <v>3.1223502981482841E-3</v>
      </c>
      <c r="F1452" s="184">
        <v>46062</v>
      </c>
      <c r="G1452" s="185">
        <v>25867.30078125</v>
      </c>
      <c r="H1452" s="186">
        <f t="shared" si="45"/>
        <v>6.7565810988132885E-3</v>
      </c>
    </row>
    <row r="1453" spans="2:8">
      <c r="B1453" s="175">
        <v>46063</v>
      </c>
      <c r="C1453" s="176">
        <v>47.689998626708977</v>
      </c>
      <c r="D1453" s="180">
        <f t="shared" si="44"/>
        <v>-1.0375596892482134E-2</v>
      </c>
      <c r="F1453" s="181">
        <v>46063</v>
      </c>
      <c r="G1453" s="182">
        <v>25935.150390625</v>
      </c>
      <c r="H1453" s="183">
        <f t="shared" si="45"/>
        <v>2.6229876069706129E-3</v>
      </c>
    </row>
    <row r="1454" spans="2:8">
      <c r="B1454" s="175">
        <v>46064</v>
      </c>
      <c r="C1454" s="176">
        <v>47.380001068115227</v>
      </c>
      <c r="D1454" s="180">
        <f t="shared" si="44"/>
        <v>-6.5002635252779106E-3</v>
      </c>
      <c r="F1454" s="184">
        <v>46064</v>
      </c>
      <c r="G1454" s="185">
        <v>25953.849609375</v>
      </c>
      <c r="H1454" s="186">
        <f t="shared" si="45"/>
        <v>7.2099904833246569E-4</v>
      </c>
    </row>
    <row r="1455" spans="2:8">
      <c r="B1455" s="175">
        <v>46065</v>
      </c>
      <c r="C1455" s="176">
        <v>46.810001373291023</v>
      </c>
      <c r="D1455" s="180">
        <f t="shared" si="44"/>
        <v>-1.2030385858471215E-2</v>
      </c>
      <c r="F1455" s="181">
        <v>46065</v>
      </c>
      <c r="G1455" s="182">
        <v>25807.19921875</v>
      </c>
      <c r="H1455" s="183">
        <f t="shared" si="45"/>
        <v>-5.6504292362096155E-3</v>
      </c>
    </row>
    <row r="1456" spans="2:8">
      <c r="B1456" s="175">
        <v>46066</v>
      </c>
      <c r="C1456" s="176">
        <v>45.669998168945313</v>
      </c>
      <c r="D1456" s="180">
        <f t="shared" si="44"/>
        <v>-2.4353838301662097E-2</v>
      </c>
      <c r="F1456" s="184">
        <v>46066</v>
      </c>
      <c r="G1456" s="185">
        <v>25471.099609375</v>
      </c>
      <c r="H1456" s="186">
        <f t="shared" si="45"/>
        <v>-1.3023482576552116E-2</v>
      </c>
    </row>
    <row r="1457" spans="2:8">
      <c r="B1457" s="175">
        <v>46069</v>
      </c>
      <c r="C1457" s="176">
        <v>46.209999084472663</v>
      </c>
      <c r="D1457" s="180">
        <f t="shared" si="44"/>
        <v>1.1823974976520596E-2</v>
      </c>
      <c r="F1457" s="181">
        <v>46069</v>
      </c>
      <c r="G1457" s="182">
        <v>25682.75</v>
      </c>
      <c r="H1457" s="183">
        <f t="shared" si="45"/>
        <v>8.3094328030933959E-3</v>
      </c>
    </row>
    <row r="1458" spans="2:8">
      <c r="B1458" s="175">
        <v>46070</v>
      </c>
      <c r="C1458" s="176">
        <v>45.939998626708977</v>
      </c>
      <c r="D1458" s="180">
        <f t="shared" si="44"/>
        <v>-5.8429011710240605E-3</v>
      </c>
      <c r="F1458" s="184">
        <v>46070</v>
      </c>
      <c r="G1458" s="185">
        <v>25725.400390625</v>
      </c>
      <c r="H1458" s="186">
        <f t="shared" si="45"/>
        <v>1.6606629206373927E-3</v>
      </c>
    </row>
    <row r="1459" spans="2:8">
      <c r="B1459" s="175">
        <v>46071</v>
      </c>
      <c r="C1459" s="176">
        <v>46.090000152587891</v>
      </c>
      <c r="D1459" s="180">
        <f t="shared" si="44"/>
        <v>3.2651617405949208E-3</v>
      </c>
      <c r="F1459" s="181">
        <v>46071</v>
      </c>
      <c r="G1459" s="182">
        <v>25819.349609375</v>
      </c>
      <c r="H1459" s="183">
        <f t="shared" si="45"/>
        <v>3.6520021971839754E-3</v>
      </c>
    </row>
    <row r="1460" spans="2:8">
      <c r="B1460" s="175">
        <v>46072</v>
      </c>
      <c r="C1460" s="176">
        <v>45.25</v>
      </c>
      <c r="D1460" s="180">
        <f t="shared" si="44"/>
        <v>-1.8225214792947354E-2</v>
      </c>
      <c r="F1460" s="184">
        <v>46072</v>
      </c>
      <c r="G1460" s="185">
        <v>25454.349609375</v>
      </c>
      <c r="H1460" s="186">
        <f t="shared" si="45"/>
        <v>-1.4136684522350191E-2</v>
      </c>
    </row>
    <row r="1461" spans="2:8">
      <c r="B1461" s="175">
        <v>46073</v>
      </c>
      <c r="C1461" s="176">
        <v>44.459999084472663</v>
      </c>
      <c r="D1461" s="180">
        <f t="shared" si="44"/>
        <v>-1.7458583768559927E-2</v>
      </c>
      <c r="F1461" s="181">
        <v>46073</v>
      </c>
      <c r="G1461" s="182">
        <v>25571.25</v>
      </c>
      <c r="H1461" s="183">
        <f t="shared" si="45"/>
        <v>4.5925506806877847E-3</v>
      </c>
    </row>
    <row r="1462" spans="2:8">
      <c r="B1462" s="175">
        <v>46076</v>
      </c>
      <c r="C1462" s="176">
        <v>44.25</v>
      </c>
      <c r="D1462" s="180">
        <f t="shared" si="44"/>
        <v>-4.7233263337156488E-3</v>
      </c>
      <c r="F1462" s="184">
        <v>46076</v>
      </c>
      <c r="G1462" s="185">
        <v>25713</v>
      </c>
      <c r="H1462" s="186">
        <f t="shared" si="45"/>
        <v>5.5433347998240208E-3</v>
      </c>
    </row>
    <row r="1463" spans="2:8">
      <c r="B1463" s="175">
        <v>46077</v>
      </c>
      <c r="C1463" s="176">
        <v>44.130001068115227</v>
      </c>
      <c r="D1463" s="180">
        <f t="shared" si="44"/>
        <v>-2.7118402685824346E-3</v>
      </c>
      <c r="F1463" s="181">
        <v>46077</v>
      </c>
      <c r="G1463" s="182">
        <v>25424.650390625</v>
      </c>
      <c r="H1463" s="183">
        <f t="shared" si="45"/>
        <v>-1.1214156627970288E-2</v>
      </c>
    </row>
    <row r="1464" spans="2:8">
      <c r="B1464" s="175">
        <v>46078</v>
      </c>
      <c r="C1464" s="176">
        <v>43.180000305175781</v>
      </c>
      <c r="D1464" s="180">
        <f t="shared" si="44"/>
        <v>-2.1527322455150353E-2</v>
      </c>
      <c r="F1464" s="184">
        <v>46078</v>
      </c>
      <c r="G1464" s="185">
        <v>25482.5</v>
      </c>
      <c r="H1464" s="186">
        <f t="shared" si="45"/>
        <v>2.2753354908011348E-3</v>
      </c>
    </row>
    <row r="1465" spans="2:8">
      <c r="B1465" s="175">
        <v>46079</v>
      </c>
      <c r="C1465" s="176">
        <v>43.270000457763672</v>
      </c>
      <c r="D1465" s="180">
        <f t="shared" si="44"/>
        <v>2.0843018052758731E-3</v>
      </c>
      <c r="F1465" s="181">
        <v>46079</v>
      </c>
      <c r="G1465" s="182">
        <v>25496.55078125</v>
      </c>
      <c r="H1465" s="183">
        <f t="shared" si="45"/>
        <v>5.5138943392524285E-4</v>
      </c>
    </row>
    <row r="1466" spans="2:8">
      <c r="B1466" s="175">
        <v>46080</v>
      </c>
      <c r="C1466" s="176">
        <v>42.669998168945313</v>
      </c>
      <c r="D1466" s="180">
        <f t="shared" si="44"/>
        <v>-1.386647290202893E-2</v>
      </c>
      <c r="F1466" s="184">
        <v>46080</v>
      </c>
      <c r="G1466" s="185">
        <v>25178.650390625</v>
      </c>
      <c r="H1466" s="186">
        <f t="shared" si="45"/>
        <v>-1.2468368500212268E-2</v>
      </c>
    </row>
    <row r="1467" spans="2:8">
      <c r="B1467" s="175">
        <v>46083</v>
      </c>
      <c r="C1467" s="176">
        <v>40.950000762939453</v>
      </c>
      <c r="D1467" s="180">
        <f t="shared" si="44"/>
        <v>-4.030929176972995E-2</v>
      </c>
      <c r="F1467" s="181">
        <v>46083</v>
      </c>
      <c r="G1467" s="182">
        <v>24865.69921875</v>
      </c>
      <c r="H1467" s="183">
        <f t="shared" si="45"/>
        <v>-1.2429227421638295E-2</v>
      </c>
    </row>
    <row r="1468" spans="2:8">
      <c r="B1468" s="175">
        <v>46085</v>
      </c>
      <c r="C1468" s="176">
        <v>39.930000305175781</v>
      </c>
      <c r="D1468" s="180">
        <f t="shared" si="44"/>
        <v>-2.4908435622955888E-2</v>
      </c>
      <c r="F1468" s="184">
        <v>46085</v>
      </c>
      <c r="G1468" s="185">
        <v>24480.5</v>
      </c>
      <c r="H1468" s="186">
        <f t="shared" si="45"/>
        <v>-1.5491187895474108E-2</v>
      </c>
    </row>
    <row r="1469" spans="2:8">
      <c r="B1469" s="175">
        <v>46086</v>
      </c>
      <c r="C1469" s="176">
        <v>40.25</v>
      </c>
      <c r="D1469" s="180">
        <f t="shared" si="44"/>
        <v>8.0140168389315029E-3</v>
      </c>
      <c r="F1469" s="181">
        <v>46086</v>
      </c>
      <c r="G1469" s="182">
        <v>24765.900390625</v>
      </c>
      <c r="H1469" s="183">
        <f t="shared" si="45"/>
        <v>1.165827457057658E-2</v>
      </c>
    </row>
    <row r="1470" spans="2:8">
      <c r="B1470" s="175">
        <v>46087</v>
      </c>
      <c r="C1470" s="176">
        <v>39.990001678466797</v>
      </c>
      <c r="D1470" s="180">
        <f t="shared" si="44"/>
        <v>-6.459585628154115E-3</v>
      </c>
      <c r="F1470" s="184">
        <v>46087</v>
      </c>
      <c r="G1470" s="185">
        <v>24450.44921875</v>
      </c>
      <c r="H1470" s="186">
        <f t="shared" si="45"/>
        <v>-1.273731893044407E-2</v>
      </c>
    </row>
    <row r="1471" spans="2:8">
      <c r="B1471" s="175">
        <v>46090</v>
      </c>
      <c r="C1471" s="176">
        <v>39.619998931884773</v>
      </c>
      <c r="D1471" s="180">
        <f t="shared" si="44"/>
        <v>-9.2523813716481433E-3</v>
      </c>
      <c r="F1471" s="181">
        <v>46090</v>
      </c>
      <c r="G1471" s="182">
        <v>24028.05078125</v>
      </c>
      <c r="H1471" s="183">
        <f t="shared" si="45"/>
        <v>-1.7275692308183883E-2</v>
      </c>
    </row>
    <row r="1472" spans="2:8">
      <c r="B1472" s="175">
        <v>46091</v>
      </c>
      <c r="C1472" s="176">
        <v>41.450000762939453</v>
      </c>
      <c r="D1472" s="180">
        <f t="shared" si="44"/>
        <v>4.6188840999234849E-2</v>
      </c>
      <c r="F1472" s="184">
        <v>46091</v>
      </c>
      <c r="G1472" s="185">
        <v>24261.599609375</v>
      </c>
      <c r="H1472" s="186">
        <f t="shared" si="45"/>
        <v>9.7198407915488096E-3</v>
      </c>
    </row>
    <row r="1473" spans="2:8">
      <c r="B1473" s="175">
        <v>46092</v>
      </c>
      <c r="C1473" s="176">
        <v>41.619998931884773</v>
      </c>
      <c r="D1473" s="180">
        <f t="shared" si="44"/>
        <v>4.1012826493676538E-3</v>
      </c>
      <c r="F1473" s="181">
        <v>46092</v>
      </c>
      <c r="G1473" s="182">
        <v>23866.849609375</v>
      </c>
      <c r="H1473" s="183">
        <f t="shared" si="45"/>
        <v>-1.6270567743087452E-2</v>
      </c>
    </row>
    <row r="1474" spans="2:8">
      <c r="B1474" s="175">
        <v>46093</v>
      </c>
      <c r="C1474" s="176">
        <v>42.430000305175781</v>
      </c>
      <c r="D1474" s="180">
        <f t="shared" si="44"/>
        <v>1.946183070827694E-2</v>
      </c>
      <c r="F1474" s="184">
        <v>46093</v>
      </c>
      <c r="G1474" s="185">
        <v>23639.150390625</v>
      </c>
      <c r="H1474" s="186">
        <f t="shared" si="45"/>
        <v>-9.5403969303329752E-3</v>
      </c>
    </row>
    <row r="1475" spans="2:8">
      <c r="B1475" s="175">
        <v>46094</v>
      </c>
      <c r="C1475" s="176">
        <v>41.409999847412109</v>
      </c>
      <c r="D1475" s="180">
        <f t="shared" si="44"/>
        <v>-2.403960524221934E-2</v>
      </c>
      <c r="F1475" s="181">
        <v>46094</v>
      </c>
      <c r="G1475" s="182">
        <v>23151.099609375</v>
      </c>
      <c r="H1475" s="183">
        <f t="shared" si="45"/>
        <v>-2.0645868112229408E-2</v>
      </c>
    </row>
    <row r="1476" spans="2:8">
      <c r="B1476" s="175">
        <v>46097</v>
      </c>
      <c r="C1476" s="176">
        <v>41.009998321533203</v>
      </c>
      <c r="D1476" s="180">
        <f t="shared" si="44"/>
        <v>-9.6595394192908711E-3</v>
      </c>
      <c r="F1476" s="184">
        <v>46097</v>
      </c>
      <c r="G1476" s="185">
        <v>23408.80078125</v>
      </c>
      <c r="H1476" s="186">
        <f t="shared" si="45"/>
        <v>1.1131271353117254E-2</v>
      </c>
    </row>
    <row r="1477" spans="2:8">
      <c r="B1477" s="175">
        <v>46098</v>
      </c>
      <c r="C1477" s="176">
        <v>41.270000457763672</v>
      </c>
      <c r="D1477" s="180">
        <f t="shared" ref="D1477:D1540" si="46">(C1477-C1476)/C1476</f>
        <v>6.3399694433527668E-3</v>
      </c>
      <c r="F1477" s="181">
        <v>46098</v>
      </c>
      <c r="G1477" s="182">
        <v>23581.150390625</v>
      </c>
      <c r="H1477" s="183">
        <f t="shared" ref="H1477:H1540" si="47">(G1477-G1476)/G1476</f>
        <v>7.3625988356075351E-3</v>
      </c>
    </row>
    <row r="1478" spans="2:8">
      <c r="B1478" s="175">
        <v>46099</v>
      </c>
      <c r="C1478" s="176">
        <v>42.060001373291023</v>
      </c>
      <c r="D1478" s="180">
        <f t="shared" si="46"/>
        <v>1.9142256039852711E-2</v>
      </c>
      <c r="F1478" s="184">
        <v>46099</v>
      </c>
      <c r="G1478" s="185">
        <v>23777.80078125</v>
      </c>
      <c r="H1478" s="186">
        <f t="shared" si="47"/>
        <v>8.339304375208979E-3</v>
      </c>
    </row>
    <row r="1479" spans="2:8">
      <c r="B1479" s="175">
        <v>46100</v>
      </c>
      <c r="C1479" s="176">
        <v>41.090000152587891</v>
      </c>
      <c r="D1479" s="180">
        <f t="shared" si="46"/>
        <v>-2.306232023375784E-2</v>
      </c>
      <c r="F1479" s="181">
        <v>46100</v>
      </c>
      <c r="G1479" s="182">
        <v>23002.150390625</v>
      </c>
      <c r="H1479" s="183">
        <f t="shared" si="47"/>
        <v>-3.2620779262169594E-2</v>
      </c>
    </row>
    <row r="1480" spans="2:8">
      <c r="B1480" s="175">
        <v>46101</v>
      </c>
      <c r="C1480" s="176">
        <v>41.950000762939453</v>
      </c>
      <c r="D1480" s="180">
        <f t="shared" si="46"/>
        <v>2.0929681361838565E-2</v>
      </c>
      <c r="F1480" s="184">
        <v>46101</v>
      </c>
      <c r="G1480" s="185">
        <v>23114.5</v>
      </c>
      <c r="H1480" s="186">
        <f t="shared" si="47"/>
        <v>4.8843089653387538E-3</v>
      </c>
    </row>
    <row r="1481" spans="2:8">
      <c r="B1481" s="175">
        <v>46104</v>
      </c>
      <c r="C1481" s="176">
        <v>39.939998626708977</v>
      </c>
      <c r="D1481" s="180">
        <f t="shared" si="46"/>
        <v>-4.7914233603690508E-2</v>
      </c>
      <c r="F1481" s="181">
        <v>46104</v>
      </c>
      <c r="G1481" s="182">
        <v>22512.650390625</v>
      </c>
      <c r="H1481" s="183">
        <f t="shared" si="47"/>
        <v>-2.6037751600726817E-2</v>
      </c>
    </row>
    <row r="1482" spans="2:8">
      <c r="B1482" s="175">
        <v>46105</v>
      </c>
      <c r="C1482" s="176">
        <v>41.040000915527337</v>
      </c>
      <c r="D1482" s="180">
        <f t="shared" si="46"/>
        <v>2.7541370221348921E-2</v>
      </c>
      <c r="F1482" s="184">
        <v>46105</v>
      </c>
      <c r="G1482" s="185">
        <v>22912.400390625</v>
      </c>
      <c r="H1482" s="186">
        <f t="shared" si="47"/>
        <v>1.7756683156527359E-2</v>
      </c>
    </row>
    <row r="1483" spans="2:8">
      <c r="B1483" s="175">
        <v>46106</v>
      </c>
      <c r="C1483" s="176">
        <v>42.270000457763672</v>
      </c>
      <c r="D1483" s="180">
        <f t="shared" si="46"/>
        <v>2.9970748411240151E-2</v>
      </c>
      <c r="F1483" s="181">
        <v>46106</v>
      </c>
      <c r="G1483" s="182">
        <v>23306.44921875</v>
      </c>
      <c r="H1483" s="183">
        <f t="shared" si="47"/>
        <v>1.719805962740734E-2</v>
      </c>
    </row>
    <row r="1484" spans="2:8">
      <c r="B1484" s="175">
        <v>46108</v>
      </c>
      <c r="C1484" s="176">
        <v>40.819999694824219</v>
      </c>
      <c r="D1484" s="180">
        <f t="shared" si="46"/>
        <v>-3.4303306061903141E-2</v>
      </c>
      <c r="F1484" s="184">
        <v>46108</v>
      </c>
      <c r="G1484" s="185">
        <v>22819.599609375</v>
      </c>
      <c r="H1484" s="186">
        <f t="shared" si="47"/>
        <v>-2.0889051129389984E-2</v>
      </c>
    </row>
    <row r="1485" spans="2:8">
      <c r="B1485" s="175">
        <v>46111</v>
      </c>
      <c r="C1485" s="176">
        <v>39.560001373291023</v>
      </c>
      <c r="D1485" s="180">
        <f t="shared" si="46"/>
        <v>-3.0867181062055663E-2</v>
      </c>
      <c r="F1485" s="181">
        <v>46111</v>
      </c>
      <c r="G1485" s="182">
        <v>22331.400390625</v>
      </c>
      <c r="H1485" s="183">
        <f t="shared" si="47"/>
        <v>-2.1393855593742871E-2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54"/>
  <sheetViews>
    <sheetView showGridLines="0" workbookViewId="0">
      <selection activeCell="J11" sqref="J11"/>
    </sheetView>
  </sheetViews>
  <sheetFormatPr defaultRowHeight="14.4"/>
  <cols>
    <col min="1" max="1" width="1.88671875" customWidth="1"/>
    <col min="3" max="3" width="27.33203125" bestFit="1" customWidth="1"/>
    <col min="4" max="4" width="20.21875" bestFit="1" customWidth="1"/>
    <col min="5" max="9" width="9" bestFit="1" customWidth="1"/>
  </cols>
  <sheetData>
    <row r="1" spans="2:9">
      <c r="B1" s="14"/>
      <c r="C1" s="14"/>
      <c r="D1" s="14"/>
      <c r="E1" s="14"/>
      <c r="F1" s="14"/>
      <c r="G1" s="14"/>
      <c r="H1" s="14"/>
      <c r="I1" s="14"/>
    </row>
    <row r="2" spans="2:9">
      <c r="B2" s="15"/>
      <c r="C2" s="191" t="s">
        <v>367</v>
      </c>
      <c r="D2" s="192" t="s">
        <v>368</v>
      </c>
      <c r="E2" s="16"/>
      <c r="F2" s="16"/>
      <c r="G2" s="16"/>
      <c r="H2" s="16"/>
      <c r="I2" s="16"/>
    </row>
    <row r="3" spans="2:9">
      <c r="B3" s="17"/>
      <c r="C3" s="18"/>
      <c r="D3" s="193" t="s">
        <v>369</v>
      </c>
      <c r="E3" s="19"/>
      <c r="F3" s="19"/>
      <c r="G3" s="19"/>
      <c r="H3" s="19"/>
      <c r="I3" s="20"/>
    </row>
    <row r="4" spans="2:9">
      <c r="B4" s="21"/>
      <c r="C4" s="22"/>
      <c r="D4" s="23"/>
      <c r="E4" s="194">
        <v>44256</v>
      </c>
      <c r="F4" s="194">
        <v>44621</v>
      </c>
      <c r="G4" s="194">
        <v>44986</v>
      </c>
      <c r="H4" s="194">
        <v>45352</v>
      </c>
      <c r="I4" s="195" t="s">
        <v>370</v>
      </c>
    </row>
    <row r="5" spans="2:9">
      <c r="B5" s="24"/>
      <c r="C5" s="196" t="s">
        <v>273</v>
      </c>
      <c r="D5" s="24"/>
      <c r="E5" s="25"/>
      <c r="F5" s="25"/>
      <c r="G5" s="25"/>
      <c r="H5" s="25"/>
      <c r="I5" s="25"/>
    </row>
    <row r="6" spans="2:9" s="27" customFormat="1">
      <c r="B6" s="26"/>
      <c r="C6" s="197" t="s">
        <v>371</v>
      </c>
      <c r="D6" s="26"/>
      <c r="E6" s="198">
        <f>'Consolidated FS'!C4+'Consolidated FS'!C5</f>
        <v>3345.7200000000003</v>
      </c>
      <c r="F6" s="198">
        <f>'Consolidated FS'!D4+'Consolidated FS'!D5</f>
        <v>6581.78</v>
      </c>
      <c r="G6" s="198">
        <f>'Consolidated FS'!E4+'Consolidated FS'!E5</f>
        <v>5970.53</v>
      </c>
      <c r="H6" s="198">
        <f>'Consolidated FS'!F4+'Consolidated FS'!F5</f>
        <v>6529.09</v>
      </c>
      <c r="I6" s="198">
        <f>'Consolidated FS'!G4+'Consolidated FS'!G5</f>
        <v>10889.74</v>
      </c>
    </row>
    <row r="7" spans="2:9">
      <c r="B7" s="28"/>
      <c r="C7" s="199" t="s">
        <v>372</v>
      </c>
      <c r="D7" s="28"/>
      <c r="E7" s="29"/>
      <c r="F7" s="200">
        <f>(F6-E6)/E6</f>
        <v>0.96722379637267886</v>
      </c>
      <c r="G7" s="200">
        <f>(G6-F6)/F6</f>
        <v>-9.2870013886820896E-2</v>
      </c>
      <c r="H7" s="200">
        <f>(H6-G6)/G6</f>
        <v>9.3552833668032895E-2</v>
      </c>
      <c r="I7" s="200">
        <f>(I6-H6)/H6</f>
        <v>0.6678802099526886</v>
      </c>
    </row>
    <row r="8" spans="2:9">
      <c r="B8" s="30"/>
      <c r="C8" s="31"/>
      <c r="D8" s="30"/>
      <c r="E8" s="32"/>
      <c r="F8" s="32"/>
      <c r="G8" s="32"/>
      <c r="H8" s="32"/>
      <c r="I8" s="32"/>
    </row>
    <row r="9" spans="2:9">
      <c r="B9" s="33"/>
      <c r="C9" s="201" t="s">
        <v>373</v>
      </c>
      <c r="D9" s="33"/>
      <c r="E9" s="202">
        <f>'Consolidated FS'!C10+'Consolidated FS'!C11</f>
        <v>1577.27</v>
      </c>
      <c r="F9" s="202">
        <f>'Consolidated FS'!D10+'Consolidated FS'!D11</f>
        <v>4331.5599999999995</v>
      </c>
      <c r="G9" s="202">
        <f>'Consolidated FS'!E10+'Consolidated FS'!E11</f>
        <v>3782.6600000000003</v>
      </c>
      <c r="H9" s="202">
        <f>'Consolidated FS'!F10+'Consolidated FS'!F11</f>
        <v>3982.13</v>
      </c>
      <c r="I9" s="202">
        <f>'Consolidated FS'!G10+'Consolidated FS'!G11</f>
        <v>6886.6</v>
      </c>
    </row>
    <row r="10" spans="2:9">
      <c r="B10" s="34"/>
      <c r="C10" s="203" t="s">
        <v>374</v>
      </c>
      <c r="D10" s="34"/>
      <c r="E10" s="204">
        <f>'Consolidated FS'!C12</f>
        <v>553.21</v>
      </c>
      <c r="F10" s="204">
        <f>'Consolidated FS'!D12</f>
        <v>545.36</v>
      </c>
      <c r="G10" s="204">
        <f>'Consolidated FS'!E12</f>
        <v>609.22</v>
      </c>
      <c r="H10" s="204">
        <f>'Consolidated FS'!F12</f>
        <v>702.9</v>
      </c>
      <c r="I10" s="204">
        <f>'Consolidated FS'!G12</f>
        <v>941.53</v>
      </c>
    </row>
    <row r="11" spans="2:9">
      <c r="B11" s="33"/>
      <c r="C11" s="201" t="s">
        <v>375</v>
      </c>
      <c r="D11" s="33"/>
      <c r="E11" s="202">
        <f>'Consolidated FS'!C15</f>
        <v>680.96</v>
      </c>
      <c r="F11" s="202">
        <f>'Consolidated FS'!D15</f>
        <v>815.41</v>
      </c>
      <c r="G11" s="202">
        <f>'Consolidated FS'!E15</f>
        <v>746.73</v>
      </c>
      <c r="H11" s="202">
        <f>'Consolidated FS'!F15</f>
        <v>815.18</v>
      </c>
      <c r="I11" s="202">
        <f>'Consolidated FS'!G15</f>
        <v>1204.3800000000001</v>
      </c>
    </row>
    <row r="12" spans="2:9" s="27" customFormat="1">
      <c r="B12" s="35"/>
      <c r="C12" s="205" t="s">
        <v>291</v>
      </c>
      <c r="D12" s="35"/>
      <c r="E12" s="206">
        <f>SUM(E9:E11)</f>
        <v>2811.44</v>
      </c>
      <c r="F12" s="206">
        <f>SUM(F9:F11)</f>
        <v>5692.329999999999</v>
      </c>
      <c r="G12" s="206">
        <f>SUM(G9:G11)</f>
        <v>5138.6100000000006</v>
      </c>
      <c r="H12" s="206">
        <f>SUM(H9:H11)</f>
        <v>5500.21</v>
      </c>
      <c r="I12" s="206">
        <f>SUM(I9:I11)</f>
        <v>9032.51</v>
      </c>
    </row>
    <row r="13" spans="2:9">
      <c r="B13" s="30"/>
      <c r="C13" s="31"/>
      <c r="D13" s="30"/>
      <c r="E13" s="32"/>
      <c r="F13" s="32"/>
      <c r="G13" s="32"/>
      <c r="H13" s="32"/>
      <c r="I13" s="32"/>
    </row>
    <row r="14" spans="2:9" s="27" customFormat="1">
      <c r="B14" s="26"/>
      <c r="C14" s="197" t="s">
        <v>376</v>
      </c>
      <c r="D14" s="26"/>
      <c r="E14" s="207">
        <f>E6-E12</f>
        <v>534.2800000000002</v>
      </c>
      <c r="F14" s="207">
        <f>F6-F12</f>
        <v>889.45000000000073</v>
      </c>
      <c r="G14" s="207">
        <f>G6-G12</f>
        <v>831.91999999999916</v>
      </c>
      <c r="H14" s="207">
        <f>H6-H12</f>
        <v>1028.8800000000001</v>
      </c>
      <c r="I14" s="207">
        <f>I6-I12</f>
        <v>1857.2299999999996</v>
      </c>
    </row>
    <row r="15" spans="2:9">
      <c r="B15" s="30"/>
      <c r="C15" s="31"/>
      <c r="D15" s="30"/>
      <c r="E15" s="32"/>
      <c r="F15" s="32"/>
      <c r="G15" s="32"/>
      <c r="H15" s="32"/>
      <c r="I15" s="32"/>
    </row>
    <row r="16" spans="2:9">
      <c r="B16" s="34"/>
      <c r="C16" s="203" t="s">
        <v>377</v>
      </c>
      <c r="D16" s="34"/>
      <c r="E16" s="204">
        <f>'Consolidated FS'!C14</f>
        <v>258.38</v>
      </c>
      <c r="F16" s="204">
        <f>'Consolidated FS'!D14</f>
        <v>259.83999999999997</v>
      </c>
      <c r="G16" s="204">
        <f>'Consolidated FS'!E14</f>
        <v>259.68</v>
      </c>
      <c r="H16" s="204">
        <f>'Consolidated FS'!F14</f>
        <v>189.6</v>
      </c>
      <c r="I16" s="204">
        <f>'Consolidated FS'!G14</f>
        <v>259.19</v>
      </c>
    </row>
    <row r="17" spans="2:9">
      <c r="B17" s="30"/>
      <c r="C17" s="31"/>
      <c r="D17" s="30"/>
      <c r="E17" s="32"/>
      <c r="F17" s="32"/>
      <c r="G17" s="32"/>
      <c r="H17" s="32"/>
      <c r="I17" s="32"/>
    </row>
    <row r="18" spans="2:9" s="27" customFormat="1">
      <c r="B18" s="26"/>
      <c r="C18" s="197" t="s">
        <v>19</v>
      </c>
      <c r="D18" s="26"/>
      <c r="E18" s="207">
        <f>E14-E16</f>
        <v>275.9000000000002</v>
      </c>
      <c r="F18" s="207">
        <f>F14-F16</f>
        <v>629.61000000000081</v>
      </c>
      <c r="G18" s="207">
        <f>G14-G16</f>
        <v>572.2399999999991</v>
      </c>
      <c r="H18" s="207">
        <f>H14-H16</f>
        <v>839.28000000000009</v>
      </c>
      <c r="I18" s="207">
        <f>I14-I16</f>
        <v>1598.0399999999995</v>
      </c>
    </row>
    <row r="19" spans="2:9">
      <c r="B19" s="30"/>
      <c r="C19" s="31"/>
      <c r="D19" s="30"/>
      <c r="E19" s="32"/>
      <c r="F19" s="32"/>
      <c r="G19" s="32"/>
      <c r="H19" s="32"/>
      <c r="I19" s="32"/>
    </row>
    <row r="20" spans="2:9">
      <c r="B20" s="33"/>
      <c r="C20" s="201" t="s">
        <v>378</v>
      </c>
      <c r="D20" s="33"/>
      <c r="E20" s="202">
        <f>'Consolidated FS'!C6</f>
        <v>19.87</v>
      </c>
      <c r="F20" s="202">
        <f>'Consolidated FS'!D6</f>
        <v>22.19</v>
      </c>
      <c r="G20" s="202">
        <f>'Consolidated FS'!E6</f>
        <v>19.63</v>
      </c>
      <c r="H20" s="202">
        <f>'Consolidated FS'!F6</f>
        <v>38.42</v>
      </c>
      <c r="I20" s="202">
        <f>'Consolidated FS'!G6</f>
        <v>103.39</v>
      </c>
    </row>
    <row r="21" spans="2:9">
      <c r="B21" s="34"/>
      <c r="C21" s="203" t="s">
        <v>379</v>
      </c>
      <c r="D21" s="34"/>
      <c r="E21" s="204">
        <f>'Consolidated FS'!C13</f>
        <v>996.26</v>
      </c>
      <c r="F21" s="204">
        <f>'Consolidated FS'!D13</f>
        <v>734.52</v>
      </c>
      <c r="G21" s="204">
        <f>'Consolidated FS'!E13</f>
        <v>420.76</v>
      </c>
      <c r="H21" s="204">
        <f>'Consolidated FS'!F13</f>
        <v>164.32</v>
      </c>
      <c r="I21" s="204">
        <f>'Consolidated FS'!G13</f>
        <v>254.8</v>
      </c>
    </row>
    <row r="22" spans="2:9">
      <c r="B22" s="30"/>
      <c r="C22" s="31"/>
      <c r="D22" s="30"/>
      <c r="E22" s="32"/>
      <c r="F22" s="32"/>
      <c r="G22" s="32"/>
      <c r="H22" s="32"/>
      <c r="I22" s="32"/>
    </row>
    <row r="23" spans="2:9" s="27" customFormat="1">
      <c r="B23" s="26"/>
      <c r="C23" s="197" t="s">
        <v>380</v>
      </c>
      <c r="D23" s="26"/>
      <c r="E23" s="207">
        <f>E18+E20-E21</f>
        <v>-700.48999999999978</v>
      </c>
      <c r="F23" s="207">
        <f>F18+F20-F21</f>
        <v>-82.719999999999118</v>
      </c>
      <c r="G23" s="207">
        <f>G18+G20-G21</f>
        <v>171.1099999999991</v>
      </c>
      <c r="H23" s="207">
        <f>H18+H20-H21</f>
        <v>713.38000000000011</v>
      </c>
      <c r="I23" s="207">
        <f>I18+I20-I21</f>
        <v>1446.6299999999997</v>
      </c>
    </row>
    <row r="24" spans="2:9">
      <c r="B24" s="30"/>
      <c r="C24" s="31"/>
      <c r="D24" s="30"/>
      <c r="E24" s="32"/>
      <c r="F24" s="32"/>
      <c r="G24" s="32"/>
      <c r="H24" s="32"/>
      <c r="I24" s="32"/>
    </row>
    <row r="25" spans="2:9">
      <c r="B25" s="33"/>
      <c r="C25" s="201" t="s">
        <v>381</v>
      </c>
      <c r="D25" s="33"/>
      <c r="E25" s="202">
        <f>SUM('Consolidated FS'!C23:C24)</f>
        <v>4.63</v>
      </c>
      <c r="F25" s="202">
        <f>SUM('Consolidated FS'!D23:D24)</f>
        <v>166.59</v>
      </c>
      <c r="G25" s="202">
        <f>SUM('Consolidated FS'!E23:E24)</f>
        <v>4.42</v>
      </c>
      <c r="H25" s="202">
        <f>SUM('Consolidated FS'!F23:F24)</f>
        <v>-0.85999999999999988</v>
      </c>
      <c r="I25" s="202">
        <f>SUM('Consolidated FS'!G23:G24)</f>
        <v>-625</v>
      </c>
    </row>
    <row r="26" spans="2:9">
      <c r="B26" s="34"/>
      <c r="C26" s="203" t="s">
        <v>382</v>
      </c>
      <c r="D26" s="34"/>
      <c r="E26" s="204">
        <f>'Consolidated FS'!K37</f>
        <v>-11.4</v>
      </c>
      <c r="F26" s="204">
        <f>'Consolidated FS'!L37</f>
        <v>-15.6</v>
      </c>
      <c r="G26" s="204">
        <f>'Consolidated FS'!M37</f>
        <v>1.1000000000000001</v>
      </c>
      <c r="H26" s="204">
        <f>'Consolidated FS'!N37</f>
        <v>1.4</v>
      </c>
      <c r="I26" s="204">
        <f>'Consolidated FS'!O37</f>
        <v>2.4</v>
      </c>
    </row>
    <row r="27" spans="2:9">
      <c r="B27" s="30"/>
      <c r="C27" s="31"/>
      <c r="D27" s="30"/>
      <c r="E27" s="32"/>
      <c r="F27" s="32"/>
      <c r="G27" s="32"/>
      <c r="H27" s="32"/>
      <c r="I27" s="32"/>
    </row>
    <row r="28" spans="2:9" s="27" customFormat="1">
      <c r="B28" s="36"/>
      <c r="C28" s="208" t="s">
        <v>383</v>
      </c>
      <c r="D28" s="36"/>
      <c r="E28" s="209">
        <f>E23-E25-E26</f>
        <v>-693.7199999999998</v>
      </c>
      <c r="F28" s="209">
        <f>F23-F25-F26</f>
        <v>-233.70999999999913</v>
      </c>
      <c r="G28" s="209">
        <f>G23-G25-G26</f>
        <v>165.58999999999912</v>
      </c>
      <c r="H28" s="209">
        <f>H23-H25-H26</f>
        <v>712.84000000000015</v>
      </c>
      <c r="I28" s="209">
        <f>I23-I25-I26</f>
        <v>2069.2299999999996</v>
      </c>
    </row>
    <row r="29" spans="2:9">
      <c r="B29" s="30"/>
      <c r="C29" s="31"/>
      <c r="D29" s="30"/>
      <c r="E29" s="32"/>
      <c r="F29" s="32"/>
      <c r="G29" s="32"/>
      <c r="H29" s="32"/>
      <c r="I29" s="32"/>
    </row>
    <row r="30" spans="2:9">
      <c r="B30" s="37"/>
      <c r="C30" s="210" t="s">
        <v>384</v>
      </c>
      <c r="D30" s="4"/>
      <c r="E30" s="38"/>
      <c r="F30" s="38"/>
      <c r="G30" s="38"/>
      <c r="H30" s="38"/>
      <c r="I30" s="38"/>
    </row>
    <row r="31" spans="2:9">
      <c r="B31" s="33"/>
      <c r="C31" s="201" t="s">
        <v>385</v>
      </c>
      <c r="D31" s="33"/>
      <c r="E31" s="211">
        <f>AVERAGE(F7:I7)</f>
        <v>0.40894670652664489</v>
      </c>
      <c r="F31" s="39"/>
      <c r="G31" s="40"/>
      <c r="H31" s="40"/>
      <c r="I31" s="40"/>
    </row>
    <row r="32" spans="2:9">
      <c r="B32" s="34"/>
      <c r="C32" s="212" t="s">
        <v>386</v>
      </c>
      <c r="D32" s="41"/>
      <c r="E32" s="213">
        <f>(I6/E6)^(1/4)-1</f>
        <v>0.34317308165708793</v>
      </c>
      <c r="F32" s="213">
        <f>_xlfn.RRI(4,E6,I6)</f>
        <v>0.34317308165708793</v>
      </c>
      <c r="G32" s="42"/>
      <c r="H32" s="42"/>
      <c r="I32" s="42"/>
    </row>
    <row r="33" spans="2:9" ht="15" customHeight="1" thickBot="1">
      <c r="B33" s="30"/>
      <c r="C33" s="31"/>
      <c r="D33" s="30"/>
      <c r="E33" s="32"/>
      <c r="F33" s="32"/>
      <c r="G33" s="32"/>
      <c r="H33" s="32"/>
      <c r="I33" s="32"/>
    </row>
    <row r="34" spans="2:9">
      <c r="B34" s="14"/>
      <c r="C34" s="214" t="s">
        <v>387</v>
      </c>
      <c r="D34" s="43"/>
      <c r="E34" s="44"/>
      <c r="F34" s="44"/>
      <c r="G34" s="44"/>
      <c r="H34" s="44"/>
      <c r="I34" s="44"/>
    </row>
    <row r="35" spans="2:9">
      <c r="B35" s="33"/>
      <c r="C35" s="201" t="s">
        <v>388</v>
      </c>
      <c r="D35" s="33"/>
      <c r="E35" s="211">
        <f>E14/E6</f>
        <v>0.1596905897684206</v>
      </c>
      <c r="F35" s="211">
        <f>F14/F6</f>
        <v>0.13513821489019701</v>
      </c>
      <c r="G35" s="211">
        <f>G14/G6</f>
        <v>0.13933771373730627</v>
      </c>
      <c r="H35" s="211">
        <f>H14/H6</f>
        <v>0.15758398184126732</v>
      </c>
      <c r="I35" s="211">
        <f>I14/I6</f>
        <v>0.17054860813940459</v>
      </c>
    </row>
    <row r="36" spans="2:9">
      <c r="B36" s="34"/>
      <c r="C36" s="215" t="s">
        <v>389</v>
      </c>
      <c r="D36" s="45"/>
      <c r="E36" s="216">
        <f>E18/E6</f>
        <v>8.2463565391007076E-2</v>
      </c>
      <c r="F36" s="216">
        <f>F18/F6</f>
        <v>9.5659532831544172E-2</v>
      </c>
      <c r="G36" s="216">
        <f>G18/G6</f>
        <v>9.5844087543316775E-2</v>
      </c>
      <c r="H36" s="216">
        <f>H18/H6</f>
        <v>0.12854471296918868</v>
      </c>
      <c r="I36" s="216">
        <f>I18/I6</f>
        <v>0.14674730526164992</v>
      </c>
    </row>
    <row r="37" spans="2:9">
      <c r="B37" s="33"/>
      <c r="C37" s="217" t="s">
        <v>390</v>
      </c>
      <c r="D37" s="46"/>
      <c r="E37" s="218">
        <f>E23/E6</f>
        <v>-0.2093689848522888</v>
      </c>
      <c r="F37" s="218">
        <f>F23/F6</f>
        <v>-1.2568028709558679E-2</v>
      </c>
      <c r="G37" s="218">
        <f>G23/G6</f>
        <v>2.8659097266071708E-2</v>
      </c>
      <c r="H37" s="218">
        <f>H23/H6</f>
        <v>0.10926178073820396</v>
      </c>
      <c r="I37" s="218">
        <f>I23/I6</f>
        <v>0.13284339203690812</v>
      </c>
    </row>
    <row r="38" spans="2:9" ht="15" customHeight="1" thickBot="1">
      <c r="B38" s="47"/>
      <c r="C38" s="219" t="s">
        <v>391</v>
      </c>
      <c r="D38" s="48"/>
      <c r="E38" s="220">
        <f>E28/E6</f>
        <v>-0.20734550410673927</v>
      </c>
      <c r="F38" s="220">
        <f>F28/F6</f>
        <v>-3.5508631403662706E-2</v>
      </c>
      <c r="G38" s="220">
        <f>G28/G6</f>
        <v>2.773455622867637E-2</v>
      </c>
      <c r="H38" s="220">
        <f>H28/H6</f>
        <v>0.10917907395977083</v>
      </c>
      <c r="I38" s="220">
        <f>I28/I6</f>
        <v>0.19001647422252502</v>
      </c>
    </row>
    <row r="39" spans="2:9">
      <c r="B39" s="30"/>
      <c r="C39" s="31"/>
      <c r="D39" s="30"/>
      <c r="E39" s="32"/>
      <c r="F39" s="32"/>
      <c r="G39" s="32"/>
      <c r="H39" s="32"/>
      <c r="I39" s="32"/>
    </row>
    <row r="40" spans="2:9">
      <c r="B40" s="37"/>
      <c r="C40" s="210" t="s">
        <v>392</v>
      </c>
      <c r="D40" s="4"/>
      <c r="E40" s="38"/>
      <c r="F40" s="38"/>
      <c r="G40" s="38"/>
      <c r="H40" s="38"/>
      <c r="I40" s="38"/>
    </row>
    <row r="41" spans="2:9">
      <c r="B41" s="33"/>
      <c r="C41" s="201" t="s">
        <v>393</v>
      </c>
      <c r="D41" s="211">
        <f>E25/E23</f>
        <v>-6.6096589530186033E-3</v>
      </c>
      <c r="E41" s="211">
        <f>F25/F23</f>
        <v>-2.0139023210831937</v>
      </c>
      <c r="F41" s="211">
        <f>G25/G23</f>
        <v>2.5831336567120701E-2</v>
      </c>
      <c r="G41" s="211">
        <f>H25/H23</f>
        <v>-1.2055286102778319E-3</v>
      </c>
      <c r="H41" s="211">
        <f>I25/I23</f>
        <v>-0.43203860005668354</v>
      </c>
      <c r="I41" s="40"/>
    </row>
    <row r="42" spans="2:9">
      <c r="B42" s="34"/>
      <c r="C42" s="212" t="s">
        <v>394</v>
      </c>
      <c r="D42" s="221">
        <v>0.25</v>
      </c>
      <c r="E42" s="221">
        <v>0.25</v>
      </c>
      <c r="F42" s="221">
        <v>0.25</v>
      </c>
      <c r="G42" s="221">
        <v>0.25</v>
      </c>
      <c r="H42" s="221">
        <v>0.25</v>
      </c>
      <c r="I42" s="42"/>
    </row>
    <row r="43" spans="2:9">
      <c r="B43" s="30"/>
      <c r="C43" s="31"/>
      <c r="D43" s="30"/>
      <c r="E43" s="32"/>
      <c r="F43" s="32"/>
      <c r="G43" s="32"/>
      <c r="H43" s="32"/>
      <c r="I43" s="32"/>
    </row>
    <row r="44" spans="2:9">
      <c r="B44" s="37"/>
      <c r="C44" s="210" t="s">
        <v>395</v>
      </c>
      <c r="D44" s="4"/>
      <c r="E44" s="38"/>
      <c r="F44" s="38"/>
      <c r="G44" s="38"/>
      <c r="H44" s="38"/>
      <c r="I44" s="38"/>
    </row>
    <row r="45" spans="2:9">
      <c r="B45" s="33"/>
      <c r="C45" s="201" t="s">
        <v>396</v>
      </c>
      <c r="D45" s="222">
        <f>E18*(1-D42)</f>
        <v>206.92500000000015</v>
      </c>
      <c r="E45" s="222">
        <f>F18*(1-E42)</f>
        <v>472.20750000000061</v>
      </c>
      <c r="F45" s="222">
        <f>G18*(1-F42)</f>
        <v>429.17999999999932</v>
      </c>
      <c r="G45" s="222">
        <f>H18*(1-G42)</f>
        <v>629.46</v>
      </c>
      <c r="H45" s="222">
        <f>I18*(1-H42)</f>
        <v>1198.5299999999997</v>
      </c>
      <c r="I45" s="40"/>
    </row>
    <row r="46" spans="2:9">
      <c r="B46" s="34"/>
      <c r="C46" s="215" t="s">
        <v>397</v>
      </c>
      <c r="D46" s="223">
        <f>'Consolidated FS'!K34</f>
        <v>1695.12</v>
      </c>
      <c r="E46" s="223">
        <f>'Consolidated FS'!L34</f>
        <v>1842.15</v>
      </c>
      <c r="F46" s="223">
        <f>'Consolidated FS'!M34</f>
        <v>2456.12</v>
      </c>
      <c r="G46" s="223">
        <f>'Consolidated FS'!N34</f>
        <v>2715.6</v>
      </c>
      <c r="H46" s="223">
        <f>'Consolidated FS'!O34</f>
        <v>2715.6</v>
      </c>
      <c r="I46" s="49"/>
    </row>
    <row r="47" spans="2:9">
      <c r="B47" s="33"/>
      <c r="C47" s="217" t="s">
        <v>398</v>
      </c>
      <c r="D47" s="224">
        <f>'Consolidated FS'!K42+'Consolidated FS'!K51</f>
        <v>6270.27</v>
      </c>
      <c r="E47" s="224">
        <f>'Consolidated FS'!L42+'Consolidated FS'!L51</f>
        <v>5060.5200000000004</v>
      </c>
      <c r="F47" s="224">
        <f>'Consolidated FS'!M42+'Consolidated FS'!M51</f>
        <v>375.3</v>
      </c>
      <c r="G47" s="224">
        <f>'Consolidated FS'!N42+'Consolidated FS'!N51</f>
        <v>110.27000000000001</v>
      </c>
      <c r="H47" s="224">
        <f>'Consolidated FS'!O42+'Consolidated FS'!O51</f>
        <v>205.65</v>
      </c>
      <c r="I47" s="50"/>
    </row>
    <row r="48" spans="2:9">
      <c r="B48" s="34"/>
      <c r="C48" s="215" t="s">
        <v>399</v>
      </c>
      <c r="D48" s="223">
        <f>'Consolidated FS'!K24</f>
        <v>245.2</v>
      </c>
      <c r="E48" s="223">
        <f>'Consolidated FS'!L24</f>
        <v>310.12</v>
      </c>
      <c r="F48" s="223">
        <f>'Consolidated FS'!M24</f>
        <v>520.4</v>
      </c>
      <c r="G48" s="223">
        <f>'Consolidated FS'!N24</f>
        <v>1150.25</v>
      </c>
      <c r="H48" s="223">
        <f>'Consolidated FS'!O24</f>
        <v>1850.4</v>
      </c>
      <c r="I48" s="49"/>
    </row>
    <row r="49" spans="2:9">
      <c r="B49" s="51"/>
      <c r="C49" s="225" t="s">
        <v>400</v>
      </c>
      <c r="D49" s="226">
        <f>D46+D47-D48</f>
        <v>7720.1900000000005</v>
      </c>
      <c r="E49" s="226">
        <f>E46+E47-E48</f>
        <v>6592.55</v>
      </c>
      <c r="F49" s="226">
        <f>F46+F47-F48</f>
        <v>2311.02</v>
      </c>
      <c r="G49" s="226">
        <f>G46+G47-G48</f>
        <v>1675.62</v>
      </c>
      <c r="H49" s="226">
        <f>H46+H47-H48</f>
        <v>1070.8499999999999</v>
      </c>
      <c r="I49" s="52"/>
    </row>
    <row r="50" spans="2:9">
      <c r="B50" s="30"/>
      <c r="C50" s="31"/>
      <c r="D50" s="30"/>
      <c r="E50" s="32"/>
      <c r="F50" s="32"/>
      <c r="G50" s="32"/>
      <c r="H50" s="32"/>
      <c r="I50" s="32"/>
    </row>
    <row r="51" spans="2:9">
      <c r="B51" s="53"/>
      <c r="C51" s="227" t="s">
        <v>401</v>
      </c>
      <c r="D51" s="228">
        <f>E18/D49</f>
        <v>3.5737462419966372E-2</v>
      </c>
      <c r="E51" s="228">
        <f>F18/E49</f>
        <v>9.5503257464865765E-2</v>
      </c>
      <c r="F51" s="228">
        <f>G18/F49</f>
        <v>0.24761360784415501</v>
      </c>
      <c r="G51" s="228">
        <f>H18/G49</f>
        <v>0.50087728721309133</v>
      </c>
      <c r="H51" s="228">
        <f>I18/H49</f>
        <v>1.4923098473175511</v>
      </c>
      <c r="I51" s="54"/>
    </row>
    <row r="52" spans="2:9">
      <c r="B52" s="47"/>
      <c r="C52" s="229" t="s">
        <v>402</v>
      </c>
      <c r="D52" s="230">
        <f>D45/D49</f>
        <v>2.6803096814974781E-2</v>
      </c>
      <c r="E52" s="230">
        <f>E45/E49</f>
        <v>7.1627443098649324E-2</v>
      </c>
      <c r="F52" s="230">
        <f>F45/F49</f>
        <v>0.18571020588311626</v>
      </c>
      <c r="G52" s="230">
        <f>G45/G49</f>
        <v>0.3756579654098185</v>
      </c>
      <c r="H52" s="230">
        <f>H45/H49</f>
        <v>1.1192323854881634</v>
      </c>
      <c r="I52" s="55"/>
    </row>
    <row r="54" spans="2:9">
      <c r="C54" s="126" t="s">
        <v>403</v>
      </c>
      <c r="D54" s="231">
        <f>H52*FCFF!C13</f>
        <v>1.4795412456854449E-2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3"/>
  <sheetViews>
    <sheetView showGridLines="0" workbookViewId="0">
      <selection activeCell="G3" sqref="G3"/>
    </sheetView>
  </sheetViews>
  <sheetFormatPr defaultColWidth="8.77734375" defaultRowHeight="14.4"/>
  <cols>
    <col min="1" max="1" width="0.88671875" customWidth="1"/>
    <col min="2" max="2" width="51.88671875" customWidth="1"/>
    <col min="3" max="7" width="17.5546875" customWidth="1"/>
    <col min="8" max="8" width="10.77734375" customWidth="1"/>
    <col min="9" max="9" width="11" customWidth="1"/>
    <col min="10" max="10" width="9.6640625" customWidth="1"/>
  </cols>
  <sheetData>
    <row r="1" spans="1:7" ht="18" customHeight="1">
      <c r="A1" s="66"/>
      <c r="B1" s="362" t="s">
        <v>404</v>
      </c>
      <c r="C1" s="363"/>
      <c r="D1" s="363"/>
      <c r="E1" s="363"/>
      <c r="F1" s="363"/>
      <c r="G1" s="364"/>
    </row>
    <row r="2" spans="1:7" ht="22.05" customHeight="1">
      <c r="A2" s="66"/>
      <c r="B2" s="232" t="s">
        <v>405</v>
      </c>
      <c r="C2" s="233">
        <v>44256</v>
      </c>
      <c r="D2" s="233">
        <v>44621</v>
      </c>
      <c r="E2" s="233">
        <v>44986</v>
      </c>
      <c r="F2" s="233">
        <v>45352</v>
      </c>
      <c r="G2" s="234">
        <v>45717</v>
      </c>
    </row>
    <row r="3" spans="1:7">
      <c r="A3" s="66"/>
      <c r="B3" s="235" t="s">
        <v>406</v>
      </c>
      <c r="C3" s="67"/>
      <c r="D3" s="236">
        <f>C7</f>
        <v>1173.6600000000001</v>
      </c>
      <c r="E3" s="236">
        <f>D7</f>
        <v>996.51</v>
      </c>
      <c r="F3" s="236">
        <f>E7</f>
        <v>954.65</v>
      </c>
      <c r="G3" s="237">
        <f>F7</f>
        <v>1032.5</v>
      </c>
    </row>
    <row r="4" spans="1:7">
      <c r="A4" s="66"/>
      <c r="B4" s="238" t="s">
        <v>407</v>
      </c>
      <c r="C4" s="68"/>
      <c r="D4" s="239">
        <f>D5-D3</f>
        <v>82.689999999999827</v>
      </c>
      <c r="E4" s="239">
        <f>E5-E3</f>
        <v>217.81999999999994</v>
      </c>
      <c r="F4" s="239">
        <f>F5-F3</f>
        <v>267.44999999999993</v>
      </c>
      <c r="G4" s="240">
        <f>G5-G3</f>
        <v>689.08999999999992</v>
      </c>
    </row>
    <row r="5" spans="1:7">
      <c r="A5" s="66"/>
      <c r="B5" s="241" t="s">
        <v>408</v>
      </c>
      <c r="C5" s="242">
        <f>C6+C7</f>
        <v>1432.04</v>
      </c>
      <c r="D5" s="242">
        <f>D6+D7</f>
        <v>1256.3499999999999</v>
      </c>
      <c r="E5" s="242">
        <f>E6+E7</f>
        <v>1214.33</v>
      </c>
      <c r="F5" s="242">
        <f>F6+F7</f>
        <v>1222.0999999999999</v>
      </c>
      <c r="G5" s="243">
        <f>G6+G7</f>
        <v>1721.59</v>
      </c>
    </row>
    <row r="6" spans="1:7">
      <c r="A6" s="66"/>
      <c r="B6" s="244" t="s">
        <v>409</v>
      </c>
      <c r="C6" s="245">
        <f>'Consolidated FS'!C14</f>
        <v>258.38</v>
      </c>
      <c r="D6" s="245">
        <f>'Consolidated FS'!D14</f>
        <v>259.83999999999997</v>
      </c>
      <c r="E6" s="245">
        <f>'Consolidated FS'!E14</f>
        <v>259.68</v>
      </c>
      <c r="F6" s="245">
        <f>'Consolidated FS'!F14</f>
        <v>189.6</v>
      </c>
      <c r="G6" s="245">
        <f>'Consolidated FS'!G14</f>
        <v>259.19</v>
      </c>
    </row>
    <row r="7" spans="1:7" ht="15" customHeight="1" thickBot="1">
      <c r="A7" s="66"/>
      <c r="B7" s="246" t="s">
        <v>410</v>
      </c>
      <c r="C7" s="247">
        <f>'Consolidated FS'!K5+'Consolidated FS'!K7</f>
        <v>1173.6600000000001</v>
      </c>
      <c r="D7" s="247">
        <f>'Consolidated FS'!L5+'Consolidated FS'!L7</f>
        <v>996.51</v>
      </c>
      <c r="E7" s="247">
        <f>'Consolidated FS'!M5+'Consolidated FS'!M7</f>
        <v>954.65</v>
      </c>
      <c r="F7" s="247">
        <f>'Consolidated FS'!N5+'Consolidated FS'!N7</f>
        <v>1032.5</v>
      </c>
      <c r="G7" s="247">
        <f>'Consolidated FS'!O5+'Consolidated FS'!O7</f>
        <v>1462.3999999999999</v>
      </c>
    </row>
    <row r="8" spans="1:7" ht="15.6" customHeight="1" thickTop="1" thickBot="1">
      <c r="A8" s="66"/>
      <c r="B8" s="69"/>
      <c r="C8" s="70"/>
      <c r="D8" s="70"/>
      <c r="E8" s="70"/>
      <c r="F8" s="70"/>
      <c r="G8" s="70"/>
    </row>
    <row r="9" spans="1:7">
      <c r="A9" s="66"/>
      <c r="B9" s="248" t="s">
        <v>411</v>
      </c>
      <c r="C9" s="71"/>
      <c r="D9" s="249">
        <f>D4-D6</f>
        <v>-177.15000000000015</v>
      </c>
      <c r="E9" s="249">
        <f>E4-E6</f>
        <v>-41.86000000000007</v>
      </c>
      <c r="F9" s="249">
        <f>F4-F6</f>
        <v>77.849999999999937</v>
      </c>
      <c r="G9" s="250">
        <f>G4-G6</f>
        <v>429.89999999999992</v>
      </c>
    </row>
    <row r="10" spans="1:7" ht="15" customHeight="1" thickBot="1">
      <c r="A10" s="66"/>
      <c r="B10" s="251" t="s">
        <v>412</v>
      </c>
      <c r="C10" s="72"/>
      <c r="D10" s="252">
        <f>IFERROR(D9/D3,0)</f>
        <v>-0.15093809109963716</v>
      </c>
      <c r="E10" s="252">
        <f>IFERROR(E9/E3,0)</f>
        <v>-4.2006603044625813E-2</v>
      </c>
      <c r="F10" s="252">
        <f>IFERROR(F9/F3,0)</f>
        <v>8.1548211386371902E-2</v>
      </c>
      <c r="G10" s="253">
        <f>IFERROR(G9/G3,0)</f>
        <v>0.41636803874092004</v>
      </c>
    </row>
    <row r="11" spans="1:7" ht="15" customHeight="1" thickBot="1">
      <c r="A11" s="66"/>
      <c r="B11" s="69"/>
      <c r="C11" s="70"/>
      <c r="D11" s="70"/>
      <c r="E11" s="70"/>
      <c r="F11" s="70"/>
      <c r="G11" s="70"/>
    </row>
    <row r="12" spans="1:7">
      <c r="A12" s="66"/>
      <c r="B12" s="254" t="s">
        <v>413</v>
      </c>
      <c r="C12" s="255">
        <f>MEDIAN(D10:G10)</f>
        <v>1.9770804170873048E-2</v>
      </c>
      <c r="D12" s="70"/>
      <c r="E12" s="70"/>
      <c r="F12" s="70"/>
      <c r="G12" s="70"/>
    </row>
    <row r="13" spans="1:7" ht="15" customHeight="1" thickBot="1">
      <c r="A13" s="66"/>
      <c r="B13" s="251" t="s">
        <v>414</v>
      </c>
      <c r="C13" s="253">
        <f>AVERAGE(D10:G10)</f>
        <v>7.6242888995757249E-2</v>
      </c>
      <c r="D13" s="70"/>
      <c r="E13" s="70"/>
      <c r="F13" s="70"/>
      <c r="G13" s="70"/>
    </row>
  </sheetData>
  <mergeCells count="1">
    <mergeCell ref="B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11"/>
  <sheetViews>
    <sheetView showGridLines="0" workbookViewId="0">
      <selection activeCell="D8" sqref="D8:G8"/>
    </sheetView>
  </sheetViews>
  <sheetFormatPr defaultColWidth="8.77734375" defaultRowHeight="14.4"/>
  <cols>
    <col min="2" max="2" width="46" bestFit="1" customWidth="1"/>
    <col min="3" max="7" width="12.6640625" bestFit="1" customWidth="1"/>
    <col min="8" max="8" width="11.33203125" customWidth="1"/>
  </cols>
  <sheetData>
    <row r="1" spans="2:7" ht="40.799999999999997" customHeight="1">
      <c r="B1" s="342" t="s">
        <v>415</v>
      </c>
    </row>
    <row r="2" spans="2:7" ht="40.799999999999997" customHeight="1">
      <c r="B2" s="343" t="s">
        <v>405</v>
      </c>
      <c r="C2" s="344">
        <v>44256</v>
      </c>
      <c r="D2" s="344">
        <v>44621</v>
      </c>
      <c r="E2" s="344">
        <v>44986</v>
      </c>
      <c r="F2" s="344">
        <v>45352</v>
      </c>
      <c r="G2" s="344">
        <v>45717</v>
      </c>
    </row>
    <row r="3" spans="2:7">
      <c r="B3" s="345" t="s">
        <v>416</v>
      </c>
      <c r="C3" s="346">
        <f>'Consolidated FS'!K20</f>
        <v>1420.8</v>
      </c>
      <c r="D3" s="346">
        <f>'Consolidated FS'!L20</f>
        <v>1650.4</v>
      </c>
      <c r="E3" s="346">
        <f>'Consolidated FS'!M20</f>
        <v>1980.12</v>
      </c>
      <c r="F3" s="346">
        <f>'Consolidated FS'!N20</f>
        <v>2410.5</v>
      </c>
      <c r="G3" s="346">
        <f>'Consolidated FS'!O20</f>
        <v>3150.4</v>
      </c>
    </row>
    <row r="4" spans="2:7">
      <c r="B4" s="345" t="s">
        <v>417</v>
      </c>
      <c r="C4" s="346">
        <f>'Consolidated FS'!K13</f>
        <v>185.6</v>
      </c>
      <c r="D4" s="346">
        <f>'Consolidated FS'!L13</f>
        <v>142.1</v>
      </c>
      <c r="E4" s="346">
        <f>'Consolidated FS'!M13</f>
        <v>120.6</v>
      </c>
      <c r="F4" s="346">
        <f>'Consolidated FS'!N13</f>
        <v>184.2</v>
      </c>
      <c r="G4" s="346">
        <f>'Consolidated FS'!O13</f>
        <v>210.5</v>
      </c>
    </row>
    <row r="5" spans="2:7">
      <c r="B5" s="345" t="s">
        <v>418</v>
      </c>
      <c r="C5" s="346">
        <f>'Consolidated FS'!K54+'Consolidated FS'!K55</f>
        <v>1850.25</v>
      </c>
      <c r="D5" s="346">
        <f>'Consolidated FS'!L54+'Consolidated FS'!L55</f>
        <v>1980.52</v>
      </c>
      <c r="E5" s="346">
        <f>'Consolidated FS'!M54+'Consolidated FS'!M55</f>
        <v>2110.1</v>
      </c>
      <c r="F5" s="346">
        <f>'Consolidated FS'!N54+'Consolidated FS'!N55</f>
        <v>1680.25</v>
      </c>
      <c r="G5" s="346">
        <f>'Consolidated FS'!O54+'Consolidated FS'!O55</f>
        <v>2010.5500000000002</v>
      </c>
    </row>
    <row r="6" spans="2:7">
      <c r="B6" s="345" t="s">
        <v>419</v>
      </c>
      <c r="C6" s="346">
        <f>C3+C4-C5</f>
        <v>-243.85000000000014</v>
      </c>
      <c r="D6" s="346">
        <f>D3+D4-D5</f>
        <v>-188.01999999999998</v>
      </c>
      <c r="E6" s="346">
        <f>E3+E4-E5</f>
        <v>-9.3800000000001091</v>
      </c>
      <c r="F6" s="346">
        <f>F3+F4-F5</f>
        <v>914.44999999999982</v>
      </c>
      <c r="G6" s="346">
        <f>G3+G4-G5</f>
        <v>1350.35</v>
      </c>
    </row>
    <row r="7" spans="2:7">
      <c r="B7" s="347" t="s">
        <v>420</v>
      </c>
      <c r="C7" s="346"/>
      <c r="D7" s="346">
        <f>D6-C6</f>
        <v>55.830000000000155</v>
      </c>
      <c r="E7" s="346">
        <f>E6-D6</f>
        <v>178.63999999999987</v>
      </c>
      <c r="F7" s="346">
        <f>F6-E6</f>
        <v>923.82999999999993</v>
      </c>
      <c r="G7" s="346">
        <f>G6-F6</f>
        <v>435.90000000000009</v>
      </c>
    </row>
    <row r="8" spans="2:7">
      <c r="B8" s="345" t="s">
        <v>421</v>
      </c>
      <c r="C8" s="348"/>
      <c r="D8" s="348">
        <f>D7/'Consolidated FS'!D4</f>
        <v>8.5629491023704405E-3</v>
      </c>
      <c r="E8" s="348">
        <f>E7/'Consolidated FS'!E4</f>
        <v>3.0039483154078447E-2</v>
      </c>
      <c r="F8" s="348">
        <f>F7/'Consolidated FS'!F4</f>
        <v>0.14219682183954044</v>
      </c>
      <c r="G8" s="348">
        <f>G7/'Consolidated FS'!G4</f>
        <v>4.0170228138143568E-2</v>
      </c>
    </row>
    <row r="10" spans="2:7">
      <c r="B10" s="345" t="s">
        <v>422</v>
      </c>
      <c r="C10" s="349">
        <f>MEDIAN(D8:G8)</f>
        <v>3.5104855646111009E-2</v>
      </c>
      <c r="D10" s="10"/>
    </row>
    <row r="11" spans="2:7">
      <c r="B11" s="345" t="s">
        <v>423</v>
      </c>
      <c r="C11" s="350">
        <f>AVERAGE(C8:G8)</f>
        <v>5.5242370558533219E-2</v>
      </c>
      <c r="D11" s="1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G19"/>
  <sheetViews>
    <sheetView showGridLines="0" workbookViewId="0">
      <selection activeCell="G12" sqref="G12"/>
    </sheetView>
  </sheetViews>
  <sheetFormatPr defaultColWidth="8.77734375" defaultRowHeight="14.4"/>
  <cols>
    <col min="2" max="2" width="60.109375" customWidth="1"/>
    <col min="3" max="3" width="13.44140625" customWidth="1"/>
    <col min="5" max="5" width="14.6640625" customWidth="1"/>
    <col min="6" max="6" width="11.44140625" customWidth="1"/>
    <col min="7" max="7" width="9.77734375" customWidth="1"/>
    <col min="8" max="8" width="12.109375" customWidth="1"/>
  </cols>
  <sheetData>
    <row r="1" spans="2:7" ht="20.399999999999999" customHeight="1">
      <c r="B1" s="256" t="s">
        <v>424</v>
      </c>
    </row>
    <row r="2" spans="2:7">
      <c r="B2" s="257" t="s">
        <v>405</v>
      </c>
      <c r="C2" s="258">
        <v>44256</v>
      </c>
      <c r="D2" s="258">
        <v>44621</v>
      </c>
      <c r="E2" s="258">
        <v>44986</v>
      </c>
      <c r="F2" s="258">
        <v>45352</v>
      </c>
      <c r="G2" s="258">
        <v>45717</v>
      </c>
    </row>
    <row r="3" spans="2:7">
      <c r="B3" s="262" t="s">
        <v>19</v>
      </c>
      <c r="C3" s="260">
        <f>Assumptions!E18</f>
        <v>275.9000000000002</v>
      </c>
      <c r="D3" s="260">
        <f>Assumptions!F18</f>
        <v>629.61000000000081</v>
      </c>
      <c r="E3" s="260">
        <f>Assumptions!G18</f>
        <v>572.2399999999991</v>
      </c>
      <c r="F3" s="260">
        <f>Assumptions!H18</f>
        <v>839.28000000000009</v>
      </c>
      <c r="G3" s="260">
        <f>Assumptions!I18</f>
        <v>1598.0399999999995</v>
      </c>
    </row>
    <row r="4" spans="2:7">
      <c r="B4" s="259" t="s">
        <v>22</v>
      </c>
      <c r="C4" s="259">
        <f>25%*C3</f>
        <v>68.975000000000051</v>
      </c>
      <c r="D4" s="259">
        <f>25%*D3</f>
        <v>157.4025000000002</v>
      </c>
      <c r="E4" s="259">
        <f>25%*E3</f>
        <v>143.05999999999977</v>
      </c>
      <c r="F4" s="259">
        <f>25%*F3</f>
        <v>209.82000000000002</v>
      </c>
      <c r="G4" s="259">
        <f>25%*G3</f>
        <v>399.50999999999988</v>
      </c>
    </row>
    <row r="5" spans="2:7">
      <c r="B5" s="262" t="s">
        <v>425</v>
      </c>
      <c r="C5" s="261">
        <f>C3-C4</f>
        <v>206.92500000000015</v>
      </c>
      <c r="D5" s="261">
        <f>D3-D4</f>
        <v>472.20750000000061</v>
      </c>
      <c r="E5" s="261">
        <f>E3-E4</f>
        <v>429.17999999999932</v>
      </c>
      <c r="F5" s="261">
        <f>F3-F4</f>
        <v>629.46</v>
      </c>
      <c r="G5" s="261">
        <f>G3-G4</f>
        <v>1198.5299999999997</v>
      </c>
    </row>
    <row r="6" spans="2:7">
      <c r="B6" s="259" t="s">
        <v>426</v>
      </c>
      <c r="C6" s="260">
        <v>0</v>
      </c>
      <c r="D6" s="260">
        <f>'Fixed Asset Schedule '!D9</f>
        <v>-177.15000000000015</v>
      </c>
      <c r="E6" s="260">
        <f>'Fixed Asset Schedule '!E9</f>
        <v>-41.86000000000007</v>
      </c>
      <c r="F6" s="260">
        <f>'Fixed Asset Schedule '!F9</f>
        <v>77.849999999999937</v>
      </c>
      <c r="G6" s="260">
        <f>'Fixed Asset Schedule '!G9</f>
        <v>429.89999999999992</v>
      </c>
    </row>
    <row r="7" spans="2:7">
      <c r="B7" s="259" t="s">
        <v>427</v>
      </c>
      <c r="C7" s="260">
        <f>'Change in Working Capital '!C8</f>
        <v>0</v>
      </c>
      <c r="D7" s="260">
        <f>'Change in Working Capital '!D8</f>
        <v>8.5629491023704405E-3</v>
      </c>
      <c r="E7" s="260">
        <f>'Change in Working Capital '!E8</f>
        <v>3.0039483154078447E-2</v>
      </c>
      <c r="F7" s="260">
        <f>'Change in Working Capital '!F8</f>
        <v>0.14219682183954044</v>
      </c>
      <c r="G7" s="260">
        <f>'Change in Working Capital '!G8</f>
        <v>4.0170228138143568E-2</v>
      </c>
    </row>
    <row r="8" spans="2:7">
      <c r="B8" s="259" t="s">
        <v>27</v>
      </c>
      <c r="C8" s="261">
        <f>SUM(C6:C7)</f>
        <v>0</v>
      </c>
      <c r="D8" s="261">
        <f>SUM(D6:D7)</f>
        <v>-177.14143705089776</v>
      </c>
      <c r="E8" s="261">
        <f>SUM(E6:E7)</f>
        <v>-41.829960516845993</v>
      </c>
      <c r="F8" s="261">
        <f>SUM(F6:F7)</f>
        <v>77.992196821839471</v>
      </c>
      <c r="G8" s="261">
        <f>SUM(G6:G7)</f>
        <v>429.94017022813807</v>
      </c>
    </row>
    <row r="9" spans="2:7">
      <c r="B9" s="262" t="s">
        <v>428</v>
      </c>
      <c r="C9" s="261">
        <f>C5-C8</f>
        <v>206.92500000000015</v>
      </c>
      <c r="D9" s="261">
        <f>D5-D8</f>
        <v>649.34893705089837</v>
      </c>
      <c r="E9" s="261">
        <f>E5-E8</f>
        <v>471.0099605168453</v>
      </c>
      <c r="F9" s="261">
        <f>F5-F8</f>
        <v>551.46780317816058</v>
      </c>
      <c r="G9" s="261">
        <f>G5-G8</f>
        <v>768.58982977186167</v>
      </c>
    </row>
    <row r="11" spans="2:7">
      <c r="B11" s="259" t="s">
        <v>429</v>
      </c>
      <c r="C11" s="263">
        <v>0</v>
      </c>
      <c r="D11" s="265">
        <f>D8/D5</f>
        <v>-0.3751347385437494</v>
      </c>
      <c r="E11" s="265">
        <f>E8/E5</f>
        <v>-9.7464841131567309E-2</v>
      </c>
      <c r="F11" s="265">
        <f>F8/F5</f>
        <v>0.12390334067588006</v>
      </c>
      <c r="G11" s="265">
        <f>G8/G5</f>
        <v>0.35872291075579099</v>
      </c>
    </row>
    <row r="13" spans="2:7">
      <c r="B13" s="259" t="s">
        <v>430</v>
      </c>
      <c r="C13" s="264">
        <f>MEDIAN(D11:G11)</f>
        <v>1.3219249772156383E-2</v>
      </c>
    </row>
    <row r="14" spans="2:7">
      <c r="B14" s="259" t="s">
        <v>431</v>
      </c>
      <c r="C14" s="264">
        <f>AVERAGE(D11:G11)</f>
        <v>2.5066679390885749E-3</v>
      </c>
    </row>
    <row r="19" spans="6:6">
      <c r="F19" s="126" t="s">
        <v>320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Q22"/>
  <sheetViews>
    <sheetView showGridLines="0" workbookViewId="0">
      <selection activeCell="C20" sqref="C20"/>
    </sheetView>
  </sheetViews>
  <sheetFormatPr defaultRowHeight="14.4"/>
  <cols>
    <col min="1" max="1" width="1.88671875" customWidth="1"/>
    <col min="2" max="2" width="31" bestFit="1" customWidth="1"/>
    <col min="3" max="9" width="11.33203125" bestFit="1" customWidth="1"/>
    <col min="10" max="13" width="12.33203125" bestFit="1" customWidth="1"/>
    <col min="14" max="14" width="12.21875" customWidth="1"/>
    <col min="15" max="15" width="13.109375" customWidth="1"/>
  </cols>
  <sheetData>
    <row r="2" spans="2:17">
      <c r="B2" s="266" t="s">
        <v>432</v>
      </c>
    </row>
    <row r="3" spans="2:17">
      <c r="Q3" s="73"/>
    </row>
    <row r="4" spans="2:17">
      <c r="B4" s="267" t="s">
        <v>433</v>
      </c>
    </row>
    <row r="5" spans="2:17">
      <c r="B5" s="268" t="s">
        <v>434</v>
      </c>
      <c r="C5" s="269" t="s">
        <v>2</v>
      </c>
      <c r="D5" s="269" t="s">
        <v>3</v>
      </c>
      <c r="E5" s="269" t="s">
        <v>4</v>
      </c>
      <c r="F5" s="269" t="s">
        <v>5</v>
      </c>
      <c r="G5" s="269" t="s">
        <v>6</v>
      </c>
      <c r="H5" s="269" t="s">
        <v>7</v>
      </c>
      <c r="I5" s="269" t="s">
        <v>8</v>
      </c>
      <c r="J5" s="269" t="s">
        <v>9</v>
      </c>
      <c r="K5" s="269" t="s">
        <v>10</v>
      </c>
      <c r="L5" s="269" t="s">
        <v>11</v>
      </c>
      <c r="M5" s="269" t="s">
        <v>12</v>
      </c>
    </row>
    <row r="6" spans="2:17">
      <c r="B6" s="126" t="s">
        <v>435</v>
      </c>
      <c r="C6" s="270">
        <f>'Consolidated FS'!G4</f>
        <v>10851.32</v>
      </c>
      <c r="D6" s="271">
        <f t="shared" ref="D6:M6" si="0">C6*(1+D7)</f>
        <v>14982.596807451204</v>
      </c>
      <c r="E6" s="271">
        <f t="shared" si="0"/>
        <v>20162.799978901257</v>
      </c>
      <c r="F6" s="271">
        <f t="shared" si="0"/>
        <v>26428.985216978152</v>
      </c>
      <c r="G6" s="271">
        <f t="shared" si="0"/>
        <v>33718.39044294192</v>
      </c>
      <c r="H6" s="271">
        <f t="shared" si="0"/>
        <v>41839.212301757419</v>
      </c>
      <c r="I6" s="271">
        <f t="shared" si="0"/>
        <v>50452.818700737567</v>
      </c>
      <c r="J6" s="271">
        <f t="shared" si="0"/>
        <v>59075.483273994541</v>
      </c>
      <c r="K6" s="271">
        <f t="shared" si="0"/>
        <v>67106.027530135456</v>
      </c>
      <c r="L6" s="271">
        <f t="shared" si="0"/>
        <v>73881.622633434905</v>
      </c>
      <c r="M6" s="271">
        <f t="shared" si="0"/>
        <v>78757.80972724162</v>
      </c>
      <c r="O6" s="126" t="s">
        <v>436</v>
      </c>
      <c r="P6" s="272">
        <v>6.6000000000000003E-2</v>
      </c>
    </row>
    <row r="7" spans="2:17">
      <c r="B7" s="126" t="s">
        <v>437</v>
      </c>
      <c r="C7" s="74"/>
      <c r="D7" s="273">
        <f>N7</f>
        <v>0.38071652181036075</v>
      </c>
      <c r="E7" s="273">
        <f t="shared" ref="E7:M7" si="1">D7-$P$9</f>
        <v>0.34574801938698735</v>
      </c>
      <c r="F7" s="273">
        <f t="shared" si="1"/>
        <v>0.31077951696361394</v>
      </c>
      <c r="G7" s="273">
        <f t="shared" si="1"/>
        <v>0.27581101454024054</v>
      </c>
      <c r="H7" s="273">
        <f t="shared" si="1"/>
        <v>0.24084251211686714</v>
      </c>
      <c r="I7" s="273">
        <f t="shared" si="1"/>
        <v>0.20587400969349373</v>
      </c>
      <c r="J7" s="273">
        <f t="shared" si="1"/>
        <v>0.17090550727012033</v>
      </c>
      <c r="K7" s="273">
        <f t="shared" si="1"/>
        <v>0.13593700484674692</v>
      </c>
      <c r="L7" s="273">
        <f t="shared" si="1"/>
        <v>0.1009685024233735</v>
      </c>
      <c r="M7" s="273">
        <f t="shared" si="1"/>
        <v>6.6000000000000086E-2</v>
      </c>
      <c r="N7" s="274">
        <f>MEDIAN(Assumptions!F7:I7)</f>
        <v>0.38071652181036075</v>
      </c>
    </row>
    <row r="8" spans="2:17">
      <c r="C8" s="74"/>
      <c r="D8" s="76"/>
      <c r="E8" s="76"/>
      <c r="F8" s="76"/>
      <c r="G8" s="76"/>
      <c r="H8" s="76"/>
      <c r="I8" s="76"/>
      <c r="J8" s="76"/>
      <c r="K8" s="76"/>
      <c r="L8" s="76"/>
      <c r="M8" s="76"/>
      <c r="N8" s="75"/>
    </row>
    <row r="9" spans="2:17">
      <c r="B9" s="267" t="s">
        <v>438</v>
      </c>
      <c r="C9" s="77"/>
      <c r="D9" s="77"/>
      <c r="E9" s="77"/>
      <c r="F9" s="77"/>
      <c r="G9" s="77"/>
      <c r="H9" s="77"/>
      <c r="I9" s="77"/>
      <c r="J9" s="77"/>
      <c r="K9" s="77"/>
      <c r="L9" s="77"/>
      <c r="M9" s="77"/>
      <c r="O9" s="275">
        <f>N7-P6</f>
        <v>0.31471652181036075</v>
      </c>
      <c r="P9" s="276">
        <f>O9/9</f>
        <v>3.4968502423373418E-2</v>
      </c>
    </row>
    <row r="10" spans="2:17">
      <c r="B10" s="268" t="s">
        <v>434</v>
      </c>
      <c r="C10" s="269" t="s">
        <v>2</v>
      </c>
      <c r="D10" s="269" t="s">
        <v>3</v>
      </c>
      <c r="E10" s="269" t="s">
        <v>4</v>
      </c>
      <c r="F10" s="269" t="s">
        <v>5</v>
      </c>
      <c r="G10" s="269" t="s">
        <v>6</v>
      </c>
      <c r="H10" s="269" t="s">
        <v>7</v>
      </c>
      <c r="I10" s="269" t="s">
        <v>8</v>
      </c>
      <c r="J10" s="269" t="s">
        <v>9</v>
      </c>
      <c r="K10" s="269" t="s">
        <v>10</v>
      </c>
      <c r="L10" s="269" t="s">
        <v>11</v>
      </c>
      <c r="M10" s="269" t="s">
        <v>12</v>
      </c>
    </row>
    <row r="11" spans="2:17">
      <c r="B11" s="126" t="s">
        <v>435</v>
      </c>
      <c r="C11" s="271">
        <f>C6</f>
        <v>10851.32</v>
      </c>
      <c r="D11" s="271">
        <f t="shared" ref="D11:M11" si="2">C11*(1+D12)</f>
        <v>15288.931575466713</v>
      </c>
      <c r="E11" s="271">
        <f t="shared" si="2"/>
        <v>20961.250308147908</v>
      </c>
      <c r="F11" s="271">
        <f t="shared" si="2"/>
        <v>27942.806834701682</v>
      </c>
      <c r="G11" s="271">
        <f t="shared" si="2"/>
        <v>36189.599205923456</v>
      </c>
      <c r="H11" s="271">
        <f t="shared" si="2"/>
        <v>45497.296851979881</v>
      </c>
      <c r="I11" s="271">
        <f t="shared" si="2"/>
        <v>55472.765352143469</v>
      </c>
      <c r="J11" s="271">
        <f t="shared" si="2"/>
        <v>65530.84135721808</v>
      </c>
      <c r="K11" s="271">
        <f t="shared" si="2"/>
        <v>74926.459806017447</v>
      </c>
      <c r="L11" s="271">
        <f t="shared" si="2"/>
        <v>82826.595057642044</v>
      </c>
      <c r="M11" s="271">
        <f t="shared" si="2"/>
        <v>88417.390224032875</v>
      </c>
    </row>
    <row r="12" spans="2:17">
      <c r="B12" s="126" t="s">
        <v>437</v>
      </c>
      <c r="C12" s="74"/>
      <c r="D12" s="277">
        <f>AVERAGE(Assumptions!F7:I7)</f>
        <v>0.40894670652664489</v>
      </c>
      <c r="E12" s="186">
        <f>D12-O12</f>
        <v>0.37100818357923993</v>
      </c>
      <c r="F12" s="186">
        <f>E12-O12</f>
        <v>0.33306966063183496</v>
      </c>
      <c r="G12" s="186">
        <f>F12-O12</f>
        <v>0.29513113768443</v>
      </c>
      <c r="H12" s="186">
        <f>G12-O12</f>
        <v>0.25719261473702504</v>
      </c>
      <c r="I12" s="186">
        <f>H12-O12</f>
        <v>0.21925409178962005</v>
      </c>
      <c r="J12" s="186">
        <f>I12-O12</f>
        <v>0.18131556884221506</v>
      </c>
      <c r="K12" s="186">
        <f>J12-O12</f>
        <v>0.14337704589481007</v>
      </c>
      <c r="L12" s="186">
        <f>K12-O12</f>
        <v>0.10543852294740508</v>
      </c>
      <c r="M12" s="278">
        <v>6.7500000000000004E-2</v>
      </c>
      <c r="N12" s="180">
        <f>D12-M12</f>
        <v>0.34144670652664488</v>
      </c>
      <c r="O12" s="279">
        <f>N12/9</f>
        <v>3.793852294740499E-2</v>
      </c>
    </row>
    <row r="13" spans="2:17">
      <c r="C13" s="74"/>
      <c r="D13" s="74"/>
      <c r="E13" s="74"/>
      <c r="F13" s="74"/>
      <c r="G13" s="74"/>
      <c r="H13" s="74"/>
      <c r="I13" s="74"/>
      <c r="J13" s="74"/>
      <c r="K13" s="74"/>
      <c r="L13" s="74"/>
      <c r="M13" s="74"/>
    </row>
    <row r="14" spans="2:17">
      <c r="B14" s="267" t="s">
        <v>439</v>
      </c>
      <c r="C14" s="74"/>
      <c r="D14" s="74"/>
      <c r="E14" s="74"/>
      <c r="F14" s="74"/>
      <c r="G14" s="74"/>
      <c r="H14" s="74"/>
      <c r="I14" s="74"/>
      <c r="J14" s="74"/>
      <c r="K14" s="74"/>
      <c r="L14" s="74"/>
      <c r="M14" s="74"/>
    </row>
    <row r="15" spans="2:17">
      <c r="B15" s="268" t="s">
        <v>434</v>
      </c>
      <c r="C15" s="269" t="s">
        <v>2</v>
      </c>
      <c r="D15" s="269" t="s">
        <v>3</v>
      </c>
      <c r="E15" s="269" t="s">
        <v>4</v>
      </c>
      <c r="F15" s="269" t="s">
        <v>5</v>
      </c>
      <c r="G15" s="269" t="s">
        <v>6</v>
      </c>
      <c r="H15" s="269" t="s">
        <v>7</v>
      </c>
      <c r="I15" s="269" t="s">
        <v>8</v>
      </c>
      <c r="J15" s="269" t="s">
        <v>9</v>
      </c>
      <c r="K15" s="269" t="s">
        <v>10</v>
      </c>
      <c r="L15" s="269" t="s">
        <v>11</v>
      </c>
      <c r="M15" s="269" t="s">
        <v>12</v>
      </c>
    </row>
    <row r="16" spans="2:17">
      <c r="B16" s="126" t="s">
        <v>435</v>
      </c>
      <c r="C16" s="271">
        <f>C11</f>
        <v>10851.32</v>
      </c>
      <c r="D16" s="271">
        <f t="shared" ref="D16:M16" si="3">C16*(1+D17)</f>
        <v>11011.869755101312</v>
      </c>
      <c r="E16" s="271">
        <f t="shared" si="3"/>
        <v>11239.281138218248</v>
      </c>
      <c r="F16" s="271">
        <f t="shared" si="3"/>
        <v>11537.206866525898</v>
      </c>
      <c r="G16" s="271">
        <f t="shared" si="3"/>
        <v>11910.592510482931</v>
      </c>
      <c r="H16" s="271">
        <f t="shared" si="3"/>
        <v>12365.81146846304</v>
      </c>
      <c r="I16" s="271">
        <f t="shared" si="3"/>
        <v>12910.84374565912</v>
      </c>
      <c r="J16" s="271">
        <f t="shared" si="3"/>
        <v>13555.505467008124</v>
      </c>
      <c r="K16" s="271">
        <f t="shared" si="3"/>
        <v>14311.738236125058</v>
      </c>
      <c r="L16" s="271">
        <f t="shared" si="3"/>
        <v>15193.970093645674</v>
      </c>
      <c r="M16" s="271">
        <f t="shared" si="3"/>
        <v>16219.563074966754</v>
      </c>
    </row>
    <row r="17" spans="2:15">
      <c r="B17" s="126" t="s">
        <v>437</v>
      </c>
      <c r="C17" s="74"/>
      <c r="D17" s="280">
        <f>Assumptions!D54</f>
        <v>1.4795412456854449E-2</v>
      </c>
      <c r="E17" s="186">
        <f t="shared" ref="E17:L17" si="4">D17-$O$17</f>
        <v>2.0651477739426178E-2</v>
      </c>
      <c r="F17" s="186">
        <f t="shared" si="4"/>
        <v>2.6507543021997905E-2</v>
      </c>
      <c r="G17" s="186">
        <f t="shared" si="4"/>
        <v>3.2363608304569635E-2</v>
      </c>
      <c r="H17" s="186">
        <f t="shared" si="4"/>
        <v>3.8219673587141366E-2</v>
      </c>
      <c r="I17" s="186">
        <f t="shared" si="4"/>
        <v>4.4075738869713096E-2</v>
      </c>
      <c r="J17" s="186">
        <f t="shared" si="4"/>
        <v>4.9931804152284827E-2</v>
      </c>
      <c r="K17" s="186">
        <f t="shared" si="4"/>
        <v>5.5787869434856557E-2</v>
      </c>
      <c r="L17" s="186">
        <f t="shared" si="4"/>
        <v>6.1643934717428288E-2</v>
      </c>
      <c r="M17" s="278">
        <v>6.7500000000000004E-2</v>
      </c>
      <c r="N17" s="180">
        <f>D17-M17</f>
        <v>-5.2704587543145553E-2</v>
      </c>
      <c r="O17" s="126">
        <f>N17/9</f>
        <v>-5.8560652825717279E-3</v>
      </c>
    </row>
    <row r="18" spans="2:15">
      <c r="C18" s="74"/>
      <c r="D18" s="74"/>
      <c r="E18" s="74"/>
      <c r="F18" s="74"/>
      <c r="G18" s="74"/>
      <c r="H18" s="74"/>
      <c r="I18" s="74"/>
      <c r="J18" s="74"/>
      <c r="K18" s="74"/>
      <c r="L18" s="74"/>
      <c r="M18" s="74"/>
    </row>
    <row r="19" spans="2:15">
      <c r="B19" s="267" t="s">
        <v>440</v>
      </c>
      <c r="C19" s="351">
        <v>2</v>
      </c>
      <c r="D19" s="74"/>
      <c r="E19" s="74"/>
      <c r="F19" s="74"/>
      <c r="G19" s="74"/>
      <c r="H19" s="74"/>
      <c r="I19" s="74"/>
      <c r="J19" s="74"/>
      <c r="K19" s="74"/>
      <c r="L19" s="74"/>
      <c r="M19" s="74"/>
    </row>
    <row r="20" spans="2:15">
      <c r="B20" s="268" t="s">
        <v>434</v>
      </c>
      <c r="C20" s="269" t="s">
        <v>2</v>
      </c>
      <c r="D20" s="269" t="s">
        <v>3</v>
      </c>
      <c r="E20" s="269" t="s">
        <v>4</v>
      </c>
      <c r="F20" s="269" t="s">
        <v>5</v>
      </c>
      <c r="G20" s="269" t="s">
        <v>6</v>
      </c>
      <c r="H20" s="269" t="s">
        <v>7</v>
      </c>
      <c r="I20" s="269" t="s">
        <v>8</v>
      </c>
      <c r="J20" s="269" t="s">
        <v>9</v>
      </c>
      <c r="K20" s="269" t="s">
        <v>10</v>
      </c>
      <c r="L20" s="269" t="s">
        <v>11</v>
      </c>
      <c r="M20" s="269" t="s">
        <v>12</v>
      </c>
    </row>
    <row r="21" spans="2:15">
      <c r="B21" s="126" t="s">
        <v>435</v>
      </c>
      <c r="C21" s="271">
        <f>C6</f>
        <v>10851.32</v>
      </c>
      <c r="D21" s="271">
        <f t="shared" ref="D21:M21" si="5">C21*(1+D22)</f>
        <v>15288.931575466713</v>
      </c>
      <c r="E21" s="271">
        <f t="shared" si="5"/>
        <v>20961.250308147908</v>
      </c>
      <c r="F21" s="271">
        <f t="shared" si="5"/>
        <v>27942.806834701682</v>
      </c>
      <c r="G21" s="271">
        <f t="shared" si="5"/>
        <v>36189.599205923456</v>
      </c>
      <c r="H21" s="271">
        <f t="shared" si="5"/>
        <v>45497.296851979881</v>
      </c>
      <c r="I21" s="271">
        <f t="shared" si="5"/>
        <v>55472.765352143469</v>
      </c>
      <c r="J21" s="271">
        <f t="shared" si="5"/>
        <v>65530.84135721808</v>
      </c>
      <c r="K21" s="271">
        <f t="shared" si="5"/>
        <v>74926.459806017447</v>
      </c>
      <c r="L21" s="271">
        <f t="shared" si="5"/>
        <v>82826.595057642044</v>
      </c>
      <c r="M21" s="271">
        <f t="shared" si="5"/>
        <v>88417.390224032875</v>
      </c>
    </row>
    <row r="22" spans="2:15">
      <c r="B22" s="126" t="s">
        <v>437</v>
      </c>
      <c r="C22" s="74"/>
      <c r="D22" s="281">
        <f t="shared" ref="D22:M22" si="6">CHOOSE($C$19,D7,D12,D17)</f>
        <v>0.40894670652664489</v>
      </c>
      <c r="E22" s="281">
        <f t="shared" si="6"/>
        <v>0.37100818357923993</v>
      </c>
      <c r="F22" s="281">
        <f t="shared" si="6"/>
        <v>0.33306966063183496</v>
      </c>
      <c r="G22" s="281">
        <f t="shared" si="6"/>
        <v>0.29513113768443</v>
      </c>
      <c r="H22" s="281">
        <f t="shared" si="6"/>
        <v>0.25719261473702504</v>
      </c>
      <c r="I22" s="281">
        <f t="shared" si="6"/>
        <v>0.21925409178962005</v>
      </c>
      <c r="J22" s="281">
        <f t="shared" si="6"/>
        <v>0.18131556884221506</v>
      </c>
      <c r="K22" s="281">
        <f t="shared" si="6"/>
        <v>0.14337704589481007</v>
      </c>
      <c r="L22" s="281">
        <f t="shared" si="6"/>
        <v>0.10543852294740508</v>
      </c>
      <c r="M22" s="281">
        <f t="shared" si="6"/>
        <v>6.7500000000000004E-2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R32"/>
  <sheetViews>
    <sheetView showGridLines="0" zoomScale="75" workbookViewId="0">
      <selection activeCell="Q16" sqref="Q16"/>
    </sheetView>
  </sheetViews>
  <sheetFormatPr defaultRowHeight="14.4"/>
  <cols>
    <col min="1" max="1" width="1.88671875" style="78" customWidth="1"/>
    <col min="2" max="2" width="29.88671875" style="78" bestFit="1" customWidth="1"/>
    <col min="3" max="3" width="12" style="78" bestFit="1" customWidth="1"/>
    <col min="4" max="4" width="16.109375" style="78" bestFit="1" customWidth="1"/>
    <col min="5" max="5" width="12.5546875" style="78" bestFit="1" customWidth="1"/>
    <col min="6" max="7" width="13.44140625" style="78" bestFit="1" customWidth="1"/>
    <col min="8" max="10" width="14.44140625" style="78" bestFit="1" customWidth="1"/>
    <col min="11" max="12" width="15.44140625" style="78" bestFit="1" customWidth="1"/>
    <col min="13" max="13" width="16.109375" style="78" bestFit="1" customWidth="1"/>
    <col min="14" max="14" width="2.44140625" style="78" customWidth="1"/>
    <col min="15" max="15" width="15.44140625" style="78" bestFit="1" customWidth="1"/>
    <col min="16" max="16" width="2.44140625" style="78" customWidth="1"/>
    <col min="17" max="17" width="44.44140625" style="78" customWidth="1"/>
    <col min="18" max="18" width="7.109375" style="78" bestFit="1" customWidth="1"/>
    <col min="19" max="20" width="8.88671875" style="78" customWidth="1"/>
    <col min="21" max="16384" width="8.88671875" style="78"/>
  </cols>
  <sheetData>
    <row r="1" spans="2:18">
      <c r="B1" s="282" t="s">
        <v>0</v>
      </c>
    </row>
    <row r="2" spans="2:18">
      <c r="D2" s="283">
        <v>1</v>
      </c>
      <c r="E2" s="283">
        <v>2</v>
      </c>
      <c r="F2" s="283">
        <v>3</v>
      </c>
      <c r="G2" s="283">
        <v>4</v>
      </c>
      <c r="H2" s="283">
        <v>5</v>
      </c>
      <c r="I2" s="283">
        <v>6</v>
      </c>
      <c r="J2" s="283">
        <v>7</v>
      </c>
      <c r="K2" s="283">
        <v>8</v>
      </c>
      <c r="L2" s="283">
        <v>9</v>
      </c>
      <c r="M2" s="283">
        <v>10</v>
      </c>
    </row>
    <row r="3" spans="2:18">
      <c r="B3" s="284" t="s">
        <v>1</v>
      </c>
      <c r="C3" s="285" t="s">
        <v>2</v>
      </c>
      <c r="D3" s="285" t="s">
        <v>3</v>
      </c>
      <c r="E3" s="285" t="s">
        <v>4</v>
      </c>
      <c r="F3" s="285" t="s">
        <v>5</v>
      </c>
      <c r="G3" s="285" t="s">
        <v>6</v>
      </c>
      <c r="H3" s="285" t="s">
        <v>7</v>
      </c>
      <c r="I3" s="285" t="s">
        <v>8</v>
      </c>
      <c r="J3" s="285" t="s">
        <v>9</v>
      </c>
      <c r="K3" s="285" t="s">
        <v>10</v>
      </c>
      <c r="L3" s="285" t="s">
        <v>11</v>
      </c>
      <c r="M3" s="285" t="s">
        <v>12</v>
      </c>
      <c r="N3" s="79"/>
      <c r="O3" s="284" t="s">
        <v>13</v>
      </c>
      <c r="Q3" s="286" t="s">
        <v>14</v>
      </c>
      <c r="R3" s="272">
        <v>0.15</v>
      </c>
    </row>
    <row r="4" spans="2:18">
      <c r="B4" s="287" t="s">
        <v>15</v>
      </c>
      <c r="C4" s="288">
        <f>'Growth Scenario'!C21</f>
        <v>10851.32</v>
      </c>
      <c r="D4" s="288">
        <f>'Growth Scenario'!D21</f>
        <v>15288.931575466713</v>
      </c>
      <c r="E4" s="288">
        <f>'Growth Scenario'!E21</f>
        <v>20961.250308147908</v>
      </c>
      <c r="F4" s="288">
        <f>'Growth Scenario'!F21</f>
        <v>27942.806834701682</v>
      </c>
      <c r="G4" s="288">
        <f>'Growth Scenario'!G21</f>
        <v>36189.599205923456</v>
      </c>
      <c r="H4" s="288">
        <f>'Growth Scenario'!H21</f>
        <v>45497.296851979881</v>
      </c>
      <c r="I4" s="288">
        <f>'Growth Scenario'!I21</f>
        <v>55472.765352143469</v>
      </c>
      <c r="J4" s="288">
        <f>'Growth Scenario'!J21</f>
        <v>65530.84135721808</v>
      </c>
      <c r="K4" s="288">
        <f>'Growth Scenario'!K21</f>
        <v>74926.459806017447</v>
      </c>
      <c r="L4" s="288">
        <f>'Growth Scenario'!L21</f>
        <v>82826.595057642044</v>
      </c>
      <c r="M4" s="288">
        <f>'Growth Scenario'!M21</f>
        <v>88417.390224032875</v>
      </c>
      <c r="O4" s="287">
        <f>M4*(1+R3)</f>
        <v>101679.9987576378</v>
      </c>
      <c r="Q4" s="286" t="s">
        <v>16</v>
      </c>
      <c r="R4" s="289">
        <f>WACC!E25</f>
        <v>0.13851030158341038</v>
      </c>
    </row>
    <row r="5" spans="2:18">
      <c r="B5" s="287" t="s">
        <v>17</v>
      </c>
      <c r="D5" s="288">
        <f>'Growth Scenario'!D22</f>
        <v>0.40894670652664489</v>
      </c>
      <c r="E5" s="288">
        <f>'Growth Scenario'!E22</f>
        <v>0.37100818357923993</v>
      </c>
      <c r="F5" s="288">
        <f>'Growth Scenario'!F22</f>
        <v>0.33306966063183496</v>
      </c>
      <c r="G5" s="288">
        <f>'Growth Scenario'!G22</f>
        <v>0.29513113768443</v>
      </c>
      <c r="H5" s="288">
        <f>'Growth Scenario'!H22</f>
        <v>0.25719261473702504</v>
      </c>
      <c r="I5" s="288">
        <f>'Growth Scenario'!I22</f>
        <v>0.21925409178962005</v>
      </c>
      <c r="J5" s="288">
        <f>'Growth Scenario'!J22</f>
        <v>0.18131556884221506</v>
      </c>
      <c r="K5" s="288">
        <f>'Growth Scenario'!K22</f>
        <v>0.14337704589481007</v>
      </c>
      <c r="L5" s="288">
        <f>'Growth Scenario'!L22</f>
        <v>0.10543852294740508</v>
      </c>
      <c r="M5" s="288">
        <f>'Growth Scenario'!M22</f>
        <v>6.7500000000000004E-2</v>
      </c>
      <c r="O5" s="287">
        <f>R3</f>
        <v>0.15</v>
      </c>
      <c r="Q5" s="286" t="s">
        <v>18</v>
      </c>
      <c r="R5" s="180">
        <f>R3*R4</f>
        <v>2.0776545237511556E-2</v>
      </c>
    </row>
    <row r="6" spans="2:18">
      <c r="B6" s="287" t="s">
        <v>19</v>
      </c>
      <c r="D6" s="287">
        <f t="shared" ref="D6:M6" si="0">D7*D4</f>
        <v>142.4608781598705</v>
      </c>
      <c r="E6" s="287">
        <f t="shared" si="0"/>
        <v>195.31502979706747</v>
      </c>
      <c r="F6" s="287">
        <f t="shared" si="0"/>
        <v>260.36854048787353</v>
      </c>
      <c r="G6" s="287">
        <f t="shared" si="0"/>
        <v>337.21140405929418</v>
      </c>
      <c r="H6" s="287">
        <f t="shared" si="0"/>
        <v>423.9396867884476</v>
      </c>
      <c r="I6" s="287">
        <f t="shared" si="0"/>
        <v>516.89019778882471</v>
      </c>
      <c r="J6" s="287">
        <f t="shared" si="0"/>
        <v>610.61043802987047</v>
      </c>
      <c r="K6" s="287">
        <f t="shared" si="0"/>
        <v>698.15795882712916</v>
      </c>
      <c r="L6" s="287">
        <f t="shared" si="0"/>
        <v>771.77070278983695</v>
      </c>
      <c r="M6" s="287">
        <f t="shared" si="0"/>
        <v>823.86522522815085</v>
      </c>
      <c r="O6" s="287">
        <f>O7*O4</f>
        <v>947.44500901237348</v>
      </c>
      <c r="Q6" s="80"/>
    </row>
    <row r="7" spans="2:18">
      <c r="B7" s="287" t="s">
        <v>20</v>
      </c>
      <c r="D7" s="288">
        <f>AVERAGE(Ratios!C13:G13)</f>
        <v>9.3179093291560957E-3</v>
      </c>
      <c r="E7" s="287">
        <f t="shared" ref="E7:M7" si="1">D7</f>
        <v>9.3179093291560957E-3</v>
      </c>
      <c r="F7" s="287">
        <f t="shared" si="1"/>
        <v>9.3179093291560957E-3</v>
      </c>
      <c r="G7" s="287">
        <f t="shared" si="1"/>
        <v>9.3179093291560957E-3</v>
      </c>
      <c r="H7" s="287">
        <f t="shared" si="1"/>
        <v>9.3179093291560957E-3</v>
      </c>
      <c r="I7" s="287">
        <f t="shared" si="1"/>
        <v>9.3179093291560957E-3</v>
      </c>
      <c r="J7" s="287">
        <f t="shared" si="1"/>
        <v>9.3179093291560957E-3</v>
      </c>
      <c r="K7" s="287">
        <f t="shared" si="1"/>
        <v>9.3179093291560957E-3</v>
      </c>
      <c r="L7" s="287">
        <f t="shared" si="1"/>
        <v>9.3179093291560957E-3</v>
      </c>
      <c r="M7" s="287">
        <f t="shared" si="1"/>
        <v>9.3179093291560957E-3</v>
      </c>
      <c r="O7" s="287">
        <f>M7</f>
        <v>9.3179093291560957E-3</v>
      </c>
      <c r="Q7" s="286" t="s">
        <v>21</v>
      </c>
    </row>
    <row r="8" spans="2:18">
      <c r="B8" s="287" t="s">
        <v>22</v>
      </c>
      <c r="D8" s="287">
        <f t="shared" ref="D8:M8" si="2">25%*D6</f>
        <v>35.615219539967626</v>
      </c>
      <c r="E8" s="287">
        <f t="shared" si="2"/>
        <v>48.828757449266867</v>
      </c>
      <c r="F8" s="287">
        <f t="shared" si="2"/>
        <v>65.092135121968383</v>
      </c>
      <c r="G8" s="287">
        <f t="shared" si="2"/>
        <v>84.302851014823545</v>
      </c>
      <c r="H8" s="287">
        <f t="shared" si="2"/>
        <v>105.9849216971119</v>
      </c>
      <c r="I8" s="287">
        <f t="shared" si="2"/>
        <v>129.22254944720618</v>
      </c>
      <c r="J8" s="287">
        <f t="shared" si="2"/>
        <v>152.65260950746762</v>
      </c>
      <c r="K8" s="287">
        <f t="shared" si="2"/>
        <v>174.53948970678229</v>
      </c>
      <c r="L8" s="287">
        <f t="shared" si="2"/>
        <v>192.94267569745924</v>
      </c>
      <c r="M8" s="287">
        <f t="shared" si="2"/>
        <v>205.96630630703771</v>
      </c>
      <c r="O8" s="287">
        <f>25%*O6</f>
        <v>236.86125225309337</v>
      </c>
    </row>
    <row r="9" spans="2:18" s="79" customFormat="1">
      <c r="B9" s="290" t="s">
        <v>23</v>
      </c>
      <c r="D9" s="287">
        <f t="shared" ref="D9:M9" si="3">D6-D8</f>
        <v>106.84565861990288</v>
      </c>
      <c r="E9" s="287">
        <f t="shared" si="3"/>
        <v>146.48627234780059</v>
      </c>
      <c r="F9" s="287">
        <f t="shared" si="3"/>
        <v>195.27640536590513</v>
      </c>
      <c r="G9" s="287">
        <f t="shared" si="3"/>
        <v>252.90855304447064</v>
      </c>
      <c r="H9" s="287">
        <f t="shared" si="3"/>
        <v>317.95476509133573</v>
      </c>
      <c r="I9" s="287">
        <f t="shared" si="3"/>
        <v>387.66764834161853</v>
      </c>
      <c r="J9" s="287">
        <f t="shared" si="3"/>
        <v>457.95782852240285</v>
      </c>
      <c r="K9" s="287">
        <f t="shared" si="3"/>
        <v>523.61846912034684</v>
      </c>
      <c r="L9" s="287">
        <f t="shared" si="3"/>
        <v>578.82802709237774</v>
      </c>
      <c r="M9" s="287">
        <f t="shared" si="3"/>
        <v>617.89891892111314</v>
      </c>
      <c r="O9" s="287">
        <f>O6-O8</f>
        <v>710.58375675928005</v>
      </c>
    </row>
    <row r="10" spans="2:18">
      <c r="B10" s="287" t="s">
        <v>24</v>
      </c>
      <c r="D10" s="288">
        <f>'Fixed Asset Schedule '!$C$12*'Valuation '!D4</f>
        <v>302.27447216042992</v>
      </c>
      <c r="E10" s="288">
        <f>'Fixed Asset Schedule '!$C$12*'Valuation '!E4</f>
        <v>414.42077501904464</v>
      </c>
      <c r="F10" s="288">
        <f>'Fixed Asset Schedule '!$C$12*'Valuation '!F4</f>
        <v>552.45176191341989</v>
      </c>
      <c r="G10" s="288">
        <f>'Fixed Asset Schedule '!$C$12*'Valuation '!G4</f>
        <v>715.49747892269545</v>
      </c>
      <c r="H10" s="288">
        <f>'Fixed Asset Schedule '!$C$12*'Valuation '!H4</f>
        <v>899.518146364573</v>
      </c>
      <c r="I10" s="288">
        <f>'Fixed Asset Schedule '!$C$12*'Valuation '!I4</f>
        <v>1096.7411805940201</v>
      </c>
      <c r="J10" s="288">
        <f>'Fixed Asset Schedule '!$C$12*'Valuation '!J4</f>
        <v>1295.5974316261072</v>
      </c>
      <c r="K10" s="288">
        <f>'Fixed Asset Schedule '!$C$12*'Valuation '!K4</f>
        <v>1481.3563640415616</v>
      </c>
      <c r="L10" s="288">
        <f>'Fixed Asset Schedule '!$C$12*'Valuation '!L4</f>
        <v>1637.5483910248422</v>
      </c>
      <c r="M10" s="288">
        <f>'Fixed Asset Schedule '!$C$12*'Valuation '!M4</f>
        <v>1748.082907419019</v>
      </c>
    </row>
    <row r="11" spans="2:18">
      <c r="B11" s="287" t="s">
        <v>25</v>
      </c>
      <c r="C11" s="288">
        <f>'Change in Working Capital '!G7</f>
        <v>435.90000000000009</v>
      </c>
      <c r="D11" s="288">
        <f>'Change in Working Capital '!$C$11*'Valuation '!D4</f>
        <v>844.59682353599123</v>
      </c>
      <c r="E11" s="288">
        <f>'Change in Working Capital '!$C$11*'Valuation '!E4</f>
        <v>1157.9491568928754</v>
      </c>
      <c r="F11" s="288">
        <f>'Change in Working Capital '!$C$11*'Valuation '!F4</f>
        <v>1543.6268896081049</v>
      </c>
      <c r="G11" s="288">
        <f>'Change in Working Capital '!$C$11*'Valuation '!G4</f>
        <v>1999.199249698423</v>
      </c>
      <c r="H11" s="288">
        <f>'Change in Working Capital '!$C$11*'Valuation '!H4</f>
        <v>2513.3785321086593</v>
      </c>
      <c r="I11" s="288">
        <f>'Change in Working Capital '!$C$11*'Valuation '!I4</f>
        <v>3064.447059489672</v>
      </c>
      <c r="J11" s="288">
        <f>'Change in Working Capital '!$C$11*'Valuation '!J4</f>
        <v>3620.0790212678949</v>
      </c>
      <c r="K11" s="288">
        <f>'Change in Working Capital '!$C$11*'Valuation '!K4</f>
        <v>4139.115257243061</v>
      </c>
      <c r="L11" s="288">
        <f>'Change in Working Capital '!$C$11*'Valuation '!L4</f>
        <v>4575.5374562758379</v>
      </c>
      <c r="M11" s="288">
        <f>'Change in Working Capital '!$C$11*'Valuation '!M4</f>
        <v>4884.3862345744565</v>
      </c>
    </row>
    <row r="12" spans="2:18">
      <c r="B12" s="287" t="s">
        <v>26</v>
      </c>
      <c r="D12" s="287">
        <f t="shared" ref="D12:M12" si="4">D11-C11</f>
        <v>408.69682353599114</v>
      </c>
      <c r="E12" s="287">
        <f t="shared" si="4"/>
        <v>313.35233335688417</v>
      </c>
      <c r="F12" s="287">
        <f t="shared" si="4"/>
        <v>385.67773271522947</v>
      </c>
      <c r="G12" s="287">
        <f t="shared" si="4"/>
        <v>455.57236009031817</v>
      </c>
      <c r="H12" s="287">
        <f t="shared" si="4"/>
        <v>514.17928241023628</v>
      </c>
      <c r="I12" s="287">
        <f t="shared" si="4"/>
        <v>551.0685273810127</v>
      </c>
      <c r="J12" s="287">
        <f t="shared" si="4"/>
        <v>555.63196177822283</v>
      </c>
      <c r="K12" s="287">
        <f t="shared" si="4"/>
        <v>519.03623597516616</v>
      </c>
      <c r="L12" s="287">
        <f t="shared" si="4"/>
        <v>436.42219903277692</v>
      </c>
      <c r="M12" s="287">
        <f t="shared" si="4"/>
        <v>308.84877829861853</v>
      </c>
    </row>
    <row r="13" spans="2:18">
      <c r="B13" s="287" t="s">
        <v>27</v>
      </c>
      <c r="D13" s="287">
        <f t="shared" ref="D13:M13" si="5">D10+D12</f>
        <v>710.97129569642107</v>
      </c>
      <c r="E13" s="287">
        <f t="shared" si="5"/>
        <v>727.77310837592881</v>
      </c>
      <c r="F13" s="287">
        <f t="shared" si="5"/>
        <v>938.12949462864935</v>
      </c>
      <c r="G13" s="287">
        <f t="shared" si="5"/>
        <v>1171.0698390130137</v>
      </c>
      <c r="H13" s="287">
        <f t="shared" si="5"/>
        <v>1413.6974287748094</v>
      </c>
      <c r="I13" s="287">
        <f t="shared" si="5"/>
        <v>1647.8097079750328</v>
      </c>
      <c r="J13" s="287">
        <f t="shared" si="5"/>
        <v>1851.22939340433</v>
      </c>
      <c r="K13" s="287">
        <f t="shared" si="5"/>
        <v>2000.3926000167278</v>
      </c>
      <c r="L13" s="287">
        <f t="shared" si="5"/>
        <v>2073.9705900576191</v>
      </c>
      <c r="M13" s="287">
        <f t="shared" si="5"/>
        <v>2056.9316857176373</v>
      </c>
      <c r="O13" s="287">
        <f>O9*O15</f>
        <v>14.76347556735009</v>
      </c>
    </row>
    <row r="14" spans="2:18">
      <c r="B14" s="290" t="s">
        <v>28</v>
      </c>
      <c r="D14" s="287">
        <f t="shared" ref="D14:M14" si="6">D9-D13</f>
        <v>-604.12563707651816</v>
      </c>
      <c r="E14" s="287">
        <f t="shared" si="6"/>
        <v>-581.28683602812816</v>
      </c>
      <c r="F14" s="287">
        <f t="shared" si="6"/>
        <v>-742.85308926274422</v>
      </c>
      <c r="G14" s="287">
        <f t="shared" si="6"/>
        <v>-918.1612859685431</v>
      </c>
      <c r="H14" s="287">
        <f t="shared" si="6"/>
        <v>-1095.7426636834737</v>
      </c>
      <c r="I14" s="287">
        <f t="shared" si="6"/>
        <v>-1260.1420596334142</v>
      </c>
      <c r="J14" s="287">
        <f t="shared" si="6"/>
        <v>-1393.2715648819271</v>
      </c>
      <c r="K14" s="287">
        <f t="shared" si="6"/>
        <v>-1476.7741308963809</v>
      </c>
      <c r="L14" s="287">
        <f t="shared" si="6"/>
        <v>-1495.1425629652413</v>
      </c>
      <c r="M14" s="287">
        <f t="shared" si="6"/>
        <v>-1439.0327667965241</v>
      </c>
      <c r="O14" s="287">
        <f>O9-O13</f>
        <v>695.82028119193001</v>
      </c>
    </row>
    <row r="15" spans="2:18">
      <c r="B15" s="287" t="s">
        <v>29</v>
      </c>
      <c r="D15" s="291">
        <f t="shared" ref="D15:M15" si="7">D13/D9</f>
        <v>6.6541898368155463</v>
      </c>
      <c r="E15" s="291">
        <f t="shared" si="7"/>
        <v>4.9682000689319601</v>
      </c>
      <c r="F15" s="291">
        <f t="shared" si="7"/>
        <v>4.8041108339269174</v>
      </c>
      <c r="G15" s="291">
        <f t="shared" si="7"/>
        <v>4.6304082045303412</v>
      </c>
      <c r="H15" s="291">
        <f t="shared" si="7"/>
        <v>4.4462218654553283</v>
      </c>
      <c r="I15" s="291">
        <f t="shared" si="7"/>
        <v>4.2505731778860181</v>
      </c>
      <c r="J15" s="291">
        <f t="shared" si="7"/>
        <v>4.0423577851639889</v>
      </c>
      <c r="K15" s="291">
        <f t="shared" si="7"/>
        <v>3.820324755498576</v>
      </c>
      <c r="L15" s="291">
        <f t="shared" si="7"/>
        <v>3.5830514297584712</v>
      </c>
      <c r="M15" s="291">
        <f t="shared" si="7"/>
        <v>3.3289129058668006</v>
      </c>
      <c r="O15" s="287">
        <f>R5</f>
        <v>2.0776545237511556E-2</v>
      </c>
    </row>
    <row r="17" spans="2:13">
      <c r="B17" s="287" t="s">
        <v>30</v>
      </c>
      <c r="M17" s="287">
        <f>M14*(1+R3)/(R4-R3)</f>
        <v>144032.29935318077</v>
      </c>
    </row>
    <row r="19" spans="2:13">
      <c r="B19" s="287" t="s">
        <v>31</v>
      </c>
      <c r="D19" s="287">
        <f t="shared" ref="D19:M19" si="8">1/(1+$R$4)^D2</f>
        <v>0.87834075687257829</v>
      </c>
      <c r="E19" s="287">
        <f t="shared" si="8"/>
        <v>0.7714824851834936</v>
      </c>
      <c r="F19" s="287">
        <f t="shared" si="8"/>
        <v>0.67762450995000745</v>
      </c>
      <c r="G19" s="287">
        <f t="shared" si="8"/>
        <v>0.59518522494489945</v>
      </c>
      <c r="H19" s="287">
        <f t="shared" si="8"/>
        <v>0.52277544095747874</v>
      </c>
      <c r="I19" s="287">
        <f t="shared" si="8"/>
        <v>0.45917497648498767</v>
      </c>
      <c r="J19" s="287">
        <f t="shared" si="8"/>
        <v>0.40331209638277249</v>
      </c>
      <c r="K19" s="287">
        <f t="shared" si="8"/>
        <v>0.35424545199271057</v>
      </c>
      <c r="L19" s="287">
        <f t="shared" si="8"/>
        <v>0.31114821842194595</v>
      </c>
      <c r="M19" s="287">
        <f t="shared" si="8"/>
        <v>0.27329416166828635</v>
      </c>
    </row>
    <row r="21" spans="2:13">
      <c r="B21" s="287" t="s">
        <v>32</v>
      </c>
      <c r="D21" s="287">
        <f>SUMPRODUCT(D14:M14,D19:M19)</f>
        <v>-5123.9393225855911</v>
      </c>
    </row>
    <row r="22" spans="2:13">
      <c r="B22" s="287" t="s">
        <v>33</v>
      </c>
      <c r="D22" s="287">
        <f>M17*M19</f>
        <v>39363.186504883204</v>
      </c>
    </row>
    <row r="23" spans="2:13">
      <c r="I23" s="292" t="s">
        <v>34</v>
      </c>
      <c r="J23" s="81"/>
      <c r="K23" s="81"/>
      <c r="L23" s="81"/>
      <c r="M23" s="81"/>
    </row>
    <row r="24" spans="2:13">
      <c r="B24" s="290" t="s">
        <v>35</v>
      </c>
      <c r="D24" s="287">
        <f>D21+D22</f>
        <v>34239.247182297615</v>
      </c>
      <c r="I24" s="286">
        <f>D31</f>
        <v>26.365905350696263</v>
      </c>
      <c r="J24" s="287">
        <f>K24-1%</f>
        <v>0.12851030158341037</v>
      </c>
      <c r="K24" s="287">
        <f>R4</f>
        <v>0.13851030158341038</v>
      </c>
      <c r="L24" s="287">
        <f>K24+1%</f>
        <v>0.14851030158341039</v>
      </c>
      <c r="M24" s="287">
        <f>L24+1%</f>
        <v>0.1585103015834104</v>
      </c>
    </row>
    <row r="25" spans="2:13">
      <c r="B25" s="287" t="s">
        <v>36</v>
      </c>
      <c r="D25" s="288">
        <f>'Consolidated FS'!O24</f>
        <v>1850.4</v>
      </c>
      <c r="I25" s="286">
        <f>I26-1%</f>
        <v>4.7E-2</v>
      </c>
      <c r="J25" s="283">
        <v>647.64580620614606</v>
      </c>
      <c r="K25" s="283">
        <v>647.64580620614606</v>
      </c>
      <c r="L25" s="283">
        <v>525.4601059921149</v>
      </c>
      <c r="M25" s="283">
        <v>380.79479708645738</v>
      </c>
    </row>
    <row r="26" spans="2:13">
      <c r="B26" s="287" t="s">
        <v>37</v>
      </c>
      <c r="D26" s="288">
        <f>'Consolidated FS'!O42+'Consolidated FS'!O51</f>
        <v>205.65</v>
      </c>
      <c r="I26" s="286">
        <f>I27-1%</f>
        <v>5.7000000000000002E-2</v>
      </c>
      <c r="J26" s="283">
        <v>488.12562856699719</v>
      </c>
      <c r="K26" s="283">
        <v>488.12562856699719</v>
      </c>
      <c r="L26" s="283">
        <v>411.63691356881111</v>
      </c>
      <c r="M26" s="283">
        <v>313.33095938802302</v>
      </c>
    </row>
    <row r="27" spans="2:13">
      <c r="B27" s="287" t="s">
        <v>38</v>
      </c>
      <c r="I27" s="293">
        <v>6.7000000000000004E-2</v>
      </c>
      <c r="J27" s="283">
        <v>384.07289250976407</v>
      </c>
      <c r="K27" s="294">
        <v>384.07289250976407</v>
      </c>
      <c r="L27" s="283">
        <v>332.97384833557282</v>
      </c>
      <c r="M27" s="283">
        <v>263.15812672608263</v>
      </c>
    </row>
    <row r="28" spans="2:13" ht="15" customHeight="1" thickBot="1">
      <c r="B28" s="295" t="s">
        <v>39</v>
      </c>
      <c r="C28" s="82"/>
      <c r="D28" s="296">
        <f>D24+D25-D26-D27</f>
        <v>35883.997182297615</v>
      </c>
      <c r="I28" s="286">
        <f>I27+1%</f>
        <v>7.6999999999999999E-2</v>
      </c>
      <c r="J28" s="283">
        <v>311.96099915341892</v>
      </c>
      <c r="K28" s="297">
        <v>311.96099915341892</v>
      </c>
      <c r="L28" s="283">
        <v>276.13090880691487</v>
      </c>
      <c r="M28" s="283">
        <v>224.7852418787335</v>
      </c>
    </row>
    <row r="29" spans="2:13" ht="15" customHeight="1" thickTop="1">
      <c r="I29" s="286">
        <f>I28+1%</f>
        <v>8.6999999999999994E-2</v>
      </c>
      <c r="J29" s="283">
        <v>259.70008344627172</v>
      </c>
      <c r="K29" s="283">
        <v>259.70008344627172</v>
      </c>
      <c r="L29" s="283">
        <v>233.60487919839619</v>
      </c>
      <c r="M29" s="283">
        <v>194.74247908160169</v>
      </c>
    </row>
    <row r="30" spans="2:13">
      <c r="B30" s="287" t="s">
        <v>40</v>
      </c>
      <c r="D30" s="298">
        <v>1361</v>
      </c>
    </row>
    <row r="31" spans="2:13" ht="15" customHeight="1" thickBot="1">
      <c r="B31" s="295" t="s">
        <v>41</v>
      </c>
      <c r="C31" s="82"/>
      <c r="D31" s="296">
        <f>D28/D30</f>
        <v>26.365905350696263</v>
      </c>
      <c r="F31" s="295" t="s">
        <v>42</v>
      </c>
      <c r="G31" s="299">
        <v>26.5</v>
      </c>
    </row>
    <row r="32" spans="2:13" ht="15" customHeight="1" thickTop="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J36"/>
  <sheetViews>
    <sheetView showGridLines="0" workbookViewId="0">
      <selection activeCell="I31" sqref="I31"/>
    </sheetView>
  </sheetViews>
  <sheetFormatPr defaultRowHeight="14.4"/>
  <cols>
    <col min="2" max="2" width="33.33203125" customWidth="1"/>
    <col min="3" max="10" width="16.6640625" customWidth="1"/>
  </cols>
  <sheetData>
    <row r="2" spans="2:10" ht="18" customHeight="1">
      <c r="B2" s="378" t="s">
        <v>441</v>
      </c>
      <c r="C2" s="379"/>
      <c r="D2" s="379"/>
      <c r="E2" s="379"/>
      <c r="F2" s="379"/>
      <c r="G2" s="379"/>
      <c r="H2" s="379"/>
      <c r="I2" s="379"/>
      <c r="J2" s="379"/>
    </row>
    <row r="3" spans="2:10">
      <c r="B3" s="380" t="s">
        <v>442</v>
      </c>
      <c r="C3" s="381">
        <v>46102</v>
      </c>
      <c r="D3" s="381">
        <v>46103</v>
      </c>
      <c r="E3" s="381">
        <v>46104</v>
      </c>
      <c r="F3" s="381">
        <v>46105</v>
      </c>
      <c r="G3" s="381">
        <v>46106</v>
      </c>
      <c r="H3" s="380" t="s">
        <v>443</v>
      </c>
      <c r="I3" s="387"/>
      <c r="J3" s="387"/>
    </row>
    <row r="5" spans="2:10">
      <c r="B5" s="382" t="s">
        <v>444</v>
      </c>
      <c r="C5" s="383"/>
      <c r="D5" s="384">
        <f>('Consolidated FS'!D4/'Consolidated FS'!C4)-1</f>
        <v>0.97895072314206355</v>
      </c>
      <c r="E5" s="384">
        <f>('Consolidated FS'!E4/'Consolidated FS'!D4)-1</f>
        <v>-8.7900980835742604E-2</v>
      </c>
      <c r="F5" s="384">
        <f>('Consolidated FS'!F4/'Consolidated FS'!E4)-1</f>
        <v>9.2486093454675178E-2</v>
      </c>
      <c r="G5" s="384">
        <f>('Consolidated FS'!G4/'Consolidated FS'!F4)-1</f>
        <v>0.67024584259424569</v>
      </c>
      <c r="H5" s="10"/>
      <c r="I5" s="10"/>
      <c r="J5" s="10"/>
    </row>
    <row r="6" spans="2:10">
      <c r="B6" s="382" t="s">
        <v>445</v>
      </c>
      <c r="C6" s="383"/>
      <c r="D6" s="384">
        <f>(('Consolidated FS'!D20+'Consolidated FS'!D13+'Consolidated FS'!D14+'Consolidated FS'!D25)-('Consolidated FS'!C20+'Consolidated FS'!C13+'Consolidated FS'!C14+'Consolidated FS'!C25))/('Consolidated FS'!C20+'Consolidated FS'!C13+'Consolidated FS'!C14+'Consolidated FS'!C25)</f>
        <v>-0.14872016653961201</v>
      </c>
      <c r="E6" s="384">
        <f>(('Consolidated FS'!E20+'Consolidated FS'!E13+'Consolidated FS'!E14+'Consolidated FS'!E25)-('Consolidated FS'!D20+'Consolidated FS'!D13+'Consolidated FS'!D14+'Consolidated FS'!D25))/('Consolidated FS'!D20+'Consolidated FS'!D13+'Consolidated FS'!D14+'Consolidated FS'!D25)</f>
        <v>2.0796659060576057</v>
      </c>
      <c r="F6" s="384">
        <f>(('Consolidated FS'!F20+'Consolidated FS'!F13+'Consolidated FS'!F14+'Consolidated FS'!F25)-('Consolidated FS'!E20+'Consolidated FS'!E13+'Consolidated FS'!E14+'Consolidated FS'!E25))/('Consolidated FS'!E20+'Consolidated FS'!E13+'Consolidated FS'!E14+'Consolidated FS'!E25)</f>
        <v>-0.71689356003097948</v>
      </c>
      <c r="G6" s="384">
        <f>(('Consolidated FS'!G20+'Consolidated FS'!G13+'Consolidated FS'!G14+'Consolidated FS'!G25)-('Consolidated FS'!F20+'Consolidated FS'!F13+'Consolidated FS'!F14+'Consolidated FS'!F25))/('Consolidated FS'!F20+'Consolidated FS'!F13+'Consolidated FS'!F14+'Consolidated FS'!F25)</f>
        <v>0.31906572514937553</v>
      </c>
      <c r="H6" s="10"/>
      <c r="I6" s="10"/>
      <c r="J6" s="10"/>
    </row>
    <row r="7" spans="2:10">
      <c r="B7" s="382" t="s">
        <v>403</v>
      </c>
      <c r="C7" s="383"/>
      <c r="D7" s="384">
        <f>(('Consolidated FS'!D18)-('Consolidated FS'!C18))/('Consolidated FS'!C18)</f>
        <v>-0.88191123356507584</v>
      </c>
      <c r="E7" s="384">
        <f>(('Consolidated FS'!E18)-('Consolidated FS'!D18))/('Consolidated FS'!D18)</f>
        <v>-3.0685444874274665</v>
      </c>
      <c r="F7" s="384">
        <f>(('Consolidated FS'!F18)-('Consolidated FS'!E18))/('Consolidated FS'!E18)</f>
        <v>3.1691309683829112</v>
      </c>
      <c r="G7" s="384">
        <f>(('Consolidated FS'!G18)-('Consolidated FS'!F18))/('Consolidated FS'!F18)</f>
        <v>1.0278533180072333</v>
      </c>
      <c r="H7" s="10"/>
      <c r="I7" s="10"/>
      <c r="J7" s="10"/>
    </row>
    <row r="8" spans="2:10">
      <c r="B8" s="382" t="s">
        <v>446</v>
      </c>
      <c r="C8" s="383"/>
      <c r="D8" s="384">
        <f>(('Consolidated FS'!D29)-('Consolidated FS'!C29))/('Consolidated FS'!C29)</f>
        <v>-2.7043150883289893</v>
      </c>
      <c r="E8" s="384">
        <f>(('Consolidated FS'!E29)-('Consolidated FS'!D29))/('Consolidated FS'!D29)</f>
        <v>-17.353950722175021</v>
      </c>
      <c r="F8" s="384">
        <f>(('Consolidated FS'!F29)-('Consolidated FS'!E29))/('Consolidated FS'!E29)</f>
        <v>-0.77129072590560699</v>
      </c>
      <c r="G8" s="384">
        <f>(('Consolidated FS'!G29)-('Consolidated FS'!F29))/('Consolidated FS'!F29)</f>
        <v>2.1371696827439997</v>
      </c>
      <c r="H8" s="10"/>
      <c r="I8" s="10"/>
      <c r="J8" s="10"/>
    </row>
    <row r="9" spans="2:10">
      <c r="B9" s="382" t="s">
        <v>447</v>
      </c>
      <c r="C9" s="383"/>
      <c r="D9" s="383"/>
      <c r="E9" s="383"/>
      <c r="F9" s="383"/>
      <c r="G9" s="383"/>
      <c r="H9" s="10"/>
      <c r="I9" s="10"/>
      <c r="J9" s="10"/>
    </row>
    <row r="10" spans="2:10">
      <c r="B10" s="385"/>
      <c r="C10" s="385"/>
      <c r="D10" s="385"/>
      <c r="E10" s="385"/>
      <c r="F10" s="385"/>
      <c r="G10" s="385"/>
      <c r="H10" s="10"/>
    </row>
    <row r="11" spans="2:10">
      <c r="B11" s="382" t="s">
        <v>448</v>
      </c>
      <c r="C11" s="384">
        <f>('Consolidated FS'!C4-('Consolidated FS'!C10+'Consolidated FS'!C11))/('Consolidated FS'!C4)</f>
        <v>0.52126326013385338</v>
      </c>
      <c r="D11" s="384">
        <f>('Consolidated FS'!D4-('Consolidated FS'!D10+'Consolidated FS'!D11))/('Consolidated FS'!D4)</f>
        <v>0.33564521200315961</v>
      </c>
      <c r="E11" s="384">
        <f>('Consolidated FS'!E4-('Consolidated FS'!E10+'Consolidated FS'!E11))/('Consolidated FS'!E4)</f>
        <v>0.36392100678679767</v>
      </c>
      <c r="F11" s="384">
        <f>('Consolidated FS'!F4-('Consolidated FS'!F10+'Consolidated FS'!F11))/('Consolidated FS'!F4)</f>
        <v>0.38706663547201409</v>
      </c>
      <c r="G11" s="384">
        <f>('Consolidated FS'!G4-('Consolidated FS'!G10+'Consolidated FS'!G11))/('Consolidated FS'!G4)</f>
        <v>0.36536753132337813</v>
      </c>
      <c r="H11" s="10"/>
      <c r="I11" s="10"/>
      <c r="J11" s="10"/>
    </row>
    <row r="12" spans="2:10">
      <c r="B12" s="382" t="s">
        <v>388</v>
      </c>
      <c r="C12" s="384">
        <f>('Consolidated FS'!C20+'Consolidated FS'!C13+'Consolidated FS'!C14+'Consolidated FS'!C25)/'Consolidated FS'!C4</f>
        <v>0.41407736785394511</v>
      </c>
      <c r="D12" s="384">
        <f>('Consolidated FS'!D20+'Consolidated FS'!D13+'Consolidated FS'!D14+'Consolidated FS'!D25)/'Consolidated FS'!D4</f>
        <v>0.17812253161450622</v>
      </c>
      <c r="E12" s="384">
        <f>('Consolidated FS'!E20+'Consolidated FS'!E13+'Consolidated FS'!E14+'Consolidated FS'!E25)/'Consolidated FS'!E4</f>
        <v>0.60142361321306781</v>
      </c>
      <c r="F12" s="384">
        <f>('Consolidated FS'!F20+'Consolidated FS'!F13+'Consolidated FS'!F14+'Consolidated FS'!F25)/'Consolidated FS'!F4</f>
        <v>0.1558526914623109</v>
      </c>
      <c r="G12" s="384">
        <f>('Consolidated FS'!G20+'Consolidated FS'!G13+'Consolidated FS'!G14+'Consolidated FS'!G25)/'Consolidated FS'!G4</f>
        <v>0.12308364328026454</v>
      </c>
      <c r="H12" s="10"/>
      <c r="I12" s="10"/>
      <c r="J12" s="10"/>
    </row>
    <row r="13" spans="2:10">
      <c r="B13" s="382" t="s">
        <v>389</v>
      </c>
      <c r="C13" s="384">
        <f>'Consolidated FS'!C18/'Consolidated FS'!C4</f>
        <v>-0.21261438999590246</v>
      </c>
      <c r="D13" s="384">
        <f>'Consolidated FS'!D18/'Consolidated FS'!D4</f>
        <v>-1.2687213859001987E-2</v>
      </c>
      <c r="E13" s="384">
        <f>'Consolidated FS'!E18/'Consolidated FS'!E4</f>
        <v>2.8773264456417192E-2</v>
      </c>
      <c r="F13" s="384">
        <f>'Consolidated FS'!F18/'Consolidated FS'!F4</f>
        <v>0.10980415094107289</v>
      </c>
      <c r="G13" s="384">
        <f>'Consolidated FS'!G18/'Consolidated FS'!G4</f>
        <v>0.13331373510319483</v>
      </c>
      <c r="H13" s="10"/>
      <c r="I13" s="10"/>
      <c r="J13" s="10"/>
    </row>
    <row r="14" spans="2:10">
      <c r="B14" s="382" t="s">
        <v>390</v>
      </c>
      <c r="C14" s="384">
        <f>'Consolidated FS'!C20/'Consolidated FS'!C4</f>
        <v>3.1860743933346487E-2</v>
      </c>
      <c r="D14" s="384">
        <f>'Consolidated FS'!D20/'Consolidated FS'!D4</f>
        <v>6.1350163728249451E-5</v>
      </c>
      <c r="E14" s="384">
        <f>'Consolidated FS'!E20/'Consolidated FS'!E4</f>
        <v>0.48625992964330633</v>
      </c>
      <c r="F14" s="384">
        <f>'Consolidated FS'!F20/'Consolidated FS'!F4</f>
        <v>0.10150934916051496</v>
      </c>
      <c r="G14" s="384">
        <f>'Consolidated FS'!G20/'Consolidated FS'!G4</f>
        <v>0.13331373510319483</v>
      </c>
      <c r="H14" s="10"/>
      <c r="I14" s="10"/>
      <c r="J14" s="10"/>
    </row>
    <row r="15" spans="2:10">
      <c r="B15" s="382" t="s">
        <v>449</v>
      </c>
      <c r="C15" s="384">
        <f>'Consolidated FS'!C29/'Consolidated FS'!C4</f>
        <v>3.1441883052828072E-2</v>
      </c>
      <c r="D15" s="384">
        <f>'Consolidated FS'!D29/'Consolidated FS'!D4</f>
        <v>-2.7078428515556103E-2</v>
      </c>
      <c r="E15" s="384">
        <f>'Consolidated FS'!E29/'Consolidated FS'!E4</f>
        <v>0.48551667776499785</v>
      </c>
      <c r="F15" s="384">
        <f>'Consolidated FS'!F29/'Consolidated FS'!F4</f>
        <v>0.10164172120600169</v>
      </c>
      <c r="G15" s="384">
        <f>'Consolidated FS'!G29/'Consolidated FS'!G4</f>
        <v>0.19091041458550667</v>
      </c>
      <c r="H15" s="10"/>
      <c r="I15" s="10"/>
      <c r="J15" s="10"/>
    </row>
    <row r="16" spans="2:10">
      <c r="B16" s="385"/>
      <c r="C16" s="385"/>
      <c r="D16" s="385"/>
      <c r="E16" s="385"/>
      <c r="F16" s="385"/>
      <c r="G16" s="385"/>
      <c r="H16" s="10"/>
    </row>
    <row r="17" spans="2:10">
      <c r="B17" s="382" t="s">
        <v>450</v>
      </c>
      <c r="C17" s="383">
        <f>('Consolidated FS'!C12+'Consolidated FS'!C15)/'Consolidated FS'!C4</f>
        <v>0.37459821225319839</v>
      </c>
      <c r="D17" s="383">
        <f>('Consolidated FS'!D12+'Consolidated FS'!D15)/'Consolidated FS'!D4</f>
        <v>0.20870865574122502</v>
      </c>
      <c r="E17" s="383">
        <f>('Consolidated FS'!E12+'Consolidated FS'!E15)/'Consolidated FS'!E4</f>
        <v>0.22801185167248489</v>
      </c>
      <c r="F17" s="383">
        <f>('Consolidated FS'!F12+'Consolidated FS'!F15)/'Consolidated FS'!F4</f>
        <v>0.23366436606103888</v>
      </c>
      <c r="G17" s="383">
        <f>('Consolidated FS'!G12+'Consolidated FS'!G15)/'Consolidated FS'!G4</f>
        <v>0.19775566474862044</v>
      </c>
      <c r="H17" s="10"/>
      <c r="I17" s="10"/>
      <c r="J17" s="10"/>
    </row>
    <row r="18" spans="2:10">
      <c r="B18" s="382" t="s">
        <v>451</v>
      </c>
      <c r="C18" s="383">
        <f>'Consolidated FS'!C14/'Consolidated FS'!C4</f>
        <v>7.8424111817643749E-2</v>
      </c>
      <c r="D18" s="383">
        <f>'Consolidated FS'!D14/'Consolidated FS'!D4</f>
        <v>3.9853066357870837E-2</v>
      </c>
      <c r="E18" s="383">
        <f>'Consolidated FS'!E14/'Consolidated FS'!E4</f>
        <v>4.3666888633290955E-2</v>
      </c>
      <c r="F18" s="383">
        <f>'Consolidated FS'!F14/'Consolidated FS'!F4</f>
        <v>2.9183418400330004E-2</v>
      </c>
      <c r="G18" s="383">
        <f>'Consolidated FS'!G14/'Consolidated FS'!G4</f>
        <v>2.3885573368032646E-2</v>
      </c>
      <c r="H18" s="10"/>
      <c r="I18" s="10"/>
      <c r="J18" s="10"/>
    </row>
    <row r="19" spans="2:10">
      <c r="B19" s="382" t="s">
        <v>452</v>
      </c>
      <c r="C19" s="383">
        <f>'Consolidated FS'!C18/'Consolidated FS'!C4</f>
        <v>-0.21261438999590246</v>
      </c>
      <c r="D19" s="383">
        <f>'Consolidated FS'!D18/'Consolidated FS'!D4</f>
        <v>-1.2687213859001987E-2</v>
      </c>
      <c r="E19" s="383">
        <f>'Consolidated FS'!E18/'Consolidated FS'!E4</f>
        <v>2.8773264456417192E-2</v>
      </c>
      <c r="F19" s="383">
        <f>'Consolidated FS'!F18/'Consolidated FS'!F4</f>
        <v>0.10980415094107289</v>
      </c>
      <c r="G19" s="383">
        <f>'Consolidated FS'!G18/'Consolidated FS'!G4</f>
        <v>0.13331373510319483</v>
      </c>
      <c r="H19" s="10"/>
      <c r="I19" s="10"/>
      <c r="J19" s="10"/>
    </row>
    <row r="20" spans="2:10">
      <c r="B20" s="385"/>
      <c r="C20" s="385"/>
      <c r="D20" s="385"/>
      <c r="E20" s="385"/>
      <c r="F20" s="385"/>
      <c r="G20" s="385"/>
      <c r="H20" s="10"/>
    </row>
    <row r="21" spans="2:10">
      <c r="B21" s="382" t="s">
        <v>453</v>
      </c>
      <c r="C21" s="384">
        <f>'Consolidated FS'!C18/('Consolidated FS'!K38+'Consolidated FS'!K40)</f>
        <v>0.24781368955806815</v>
      </c>
      <c r="D21" s="384">
        <f>'Consolidated FS'!D18/(('Consolidated FS'!K38+'Consolidated FS'!K40+('Consolidated FS'!L38+'Consolidated FS'!L40))/2)</f>
        <v>3.7385627413716351E-2</v>
      </c>
      <c r="E21" s="384">
        <f>'Consolidated FS'!E18/(('Consolidated FS'!L38+'Consolidated FS'!L40+('Consolidated FS'!M38+'Consolidated FS'!M40))/2)</f>
        <v>0.17294144995502372</v>
      </c>
      <c r="F21" s="384">
        <f>'Consolidated FS'!F18/(('Consolidated FS'!M38+'Consolidated FS'!M40+('Consolidated FS'!N38+'Consolidated FS'!N40))/2)</f>
        <v>0.14641289635363378</v>
      </c>
      <c r="G21" s="384">
        <f>'Consolidated FS'!G18/(('Consolidated FS'!N38+'Consolidated FS'!N40+('Consolidated FS'!O38+'Consolidated FS'!O40))/2)</f>
        <v>0.1968793380331528</v>
      </c>
      <c r="H21" s="10"/>
      <c r="I21" s="7"/>
      <c r="J21" s="7"/>
    </row>
    <row r="22" spans="2:10">
      <c r="B22" s="382" t="s">
        <v>454</v>
      </c>
      <c r="C22" s="385"/>
      <c r="D22" s="383"/>
      <c r="E22" s="383"/>
      <c r="F22" s="383"/>
      <c r="G22" s="383"/>
      <c r="H22" s="10"/>
      <c r="I22" s="10"/>
      <c r="J22" s="10"/>
    </row>
    <row r="23" spans="2:10">
      <c r="B23" s="382" t="s">
        <v>455</v>
      </c>
      <c r="C23" s="384">
        <f>'Consolidated FS'!C29/'Consolidated FS'!K38</f>
        <v>-3.6647232796071717E-2</v>
      </c>
      <c r="D23" s="384">
        <f>'Consolidated FS'!D29/(('Consolidated FS'!K38+'Consolidated FS'!L38)/2)</f>
        <v>7.9792462764647271E-2</v>
      </c>
      <c r="E23" s="384">
        <f>'Consolidated FS'!E29/(('Consolidated FS'!L38+'Consolidated FS'!M38)/2)</f>
        <v>2.918193670975632</v>
      </c>
      <c r="F23" s="384">
        <f>'Consolidated FS'!F29/(('Consolidated FS'!M38+'Consolidated FS'!N38)/2)</f>
        <v>0.13552910946076716</v>
      </c>
      <c r="G23" s="384">
        <f>'Consolidated FS'!G29/(('Consolidated FS'!N38+'Consolidated FS'!O38)/2)</f>
        <v>0.28193881161708267</v>
      </c>
      <c r="H23" s="10"/>
      <c r="I23" s="10"/>
      <c r="J23" s="10"/>
    </row>
    <row r="24" spans="2:10">
      <c r="B24" s="382" t="s">
        <v>456</v>
      </c>
      <c r="C24" s="386"/>
      <c r="D24" s="386"/>
      <c r="E24" s="386"/>
      <c r="F24" s="386"/>
      <c r="G24" s="386"/>
      <c r="H24" s="10"/>
      <c r="I24" s="7"/>
      <c r="J24" s="7"/>
    </row>
    <row r="25" spans="2:10">
      <c r="B25" s="382" t="s">
        <v>457</v>
      </c>
      <c r="C25" s="384">
        <f>'Consolidated FS'!C18/'Consolidated FS'!C13</f>
        <v>-0.70311966755666189</v>
      </c>
      <c r="D25" s="384">
        <f>'Consolidated FS'!D18/'Consolidated FS'!D13</f>
        <v>-0.11261776398192017</v>
      </c>
      <c r="E25" s="384">
        <f>'Consolidated FS'!E18/'Consolidated FS'!E13</f>
        <v>0.40666888487498815</v>
      </c>
      <c r="F25" s="384">
        <f>'Consolidated FS'!F18/'Consolidated FS'!F13</f>
        <v>4.3414070107108085</v>
      </c>
      <c r="G25" s="384">
        <f>'Consolidated FS'!G18/'Consolidated FS'!G13</f>
        <v>5.6775117739403456</v>
      </c>
      <c r="H25" s="10"/>
      <c r="I25" s="7"/>
      <c r="J25" s="7"/>
    </row>
    <row r="26" spans="2:10">
      <c r="B26" s="385"/>
      <c r="C26" s="385"/>
      <c r="D26" s="385"/>
      <c r="E26" s="385"/>
      <c r="F26" s="385"/>
      <c r="G26" s="385"/>
      <c r="H26" s="10"/>
    </row>
    <row r="27" spans="2:10">
      <c r="B27" s="382" t="s">
        <v>458</v>
      </c>
      <c r="C27" s="386">
        <f>'Consolidated FS'!C4/'Consolidated FS'!K23</f>
        <v>2.9551080814422819</v>
      </c>
      <c r="D27" s="386">
        <f>'Consolidated FS'!D4/(('Consolidated FS'!K23+'Consolidated FS'!L23)/2)</f>
        <v>5.4445209912110393</v>
      </c>
      <c r="E27" s="386">
        <f>'Consolidated FS'!E4/(('Consolidated FS'!L23+'Consolidated FS'!M23)/2)</f>
        <v>4.3558615638161511</v>
      </c>
      <c r="F27" s="386">
        <f>'Consolidated FS'!F4/(('Consolidated FS'!M23+'Consolidated FS'!N23)/2)</f>
        <v>4.1503409726103966</v>
      </c>
      <c r="G27" s="386">
        <f>'Consolidated FS'!G4/(('Consolidated FS'!N23+'Consolidated FS'!O23)/2)</f>
        <v>5.5356110749767247</v>
      </c>
      <c r="H27" s="10"/>
      <c r="I27" s="7"/>
      <c r="J27" s="7"/>
    </row>
    <row r="28" spans="2:10">
      <c r="B28" s="382" t="s">
        <v>459</v>
      </c>
      <c r="C28" s="386">
        <f>('Consolidated FS'!C10+'Consolidated FS'!C12+'Consolidated FS'!C13)/'Consolidated FS'!K54</f>
        <v>22.239408866995078</v>
      </c>
      <c r="D28" s="386">
        <f>('Consolidated FS'!D10+'Consolidated FS'!D12+'Consolidated FS'!D13)/(('Consolidated FS'!K54+'Consolidated FS'!L54)/2)</f>
        <v>34.938731707317075</v>
      </c>
      <c r="E28" s="386">
        <f>('Consolidated FS'!E10+'Consolidated FS'!E12+'Consolidated FS'!E13)/(('Consolidated FS'!L54+'Consolidated FS'!M54)/2)</f>
        <v>26.640389016018307</v>
      </c>
      <c r="F28" s="386">
        <f>('Consolidated FS'!F10+'Consolidated FS'!F12+'Consolidated FS'!F13)/(('Consolidated FS'!M54+'Consolidated FS'!N54)/2)</f>
        <v>29.942515703998772</v>
      </c>
      <c r="G28" s="386">
        <f>('Consolidated FS'!G10+'Consolidated FS'!G12+'Consolidated FS'!G13)/(('Consolidated FS'!N54+'Consolidated FS'!O54)/2)</f>
        <v>52.498819083608879</v>
      </c>
      <c r="H28" s="10"/>
      <c r="I28" s="7"/>
      <c r="J28" s="7"/>
    </row>
    <row r="29" spans="2:10">
      <c r="B29" s="382" t="s">
        <v>460</v>
      </c>
      <c r="C29" s="386">
        <f>('Consolidated FS'!C10+'Consolidated FS'!C11)/'Consolidated FS'!K20</f>
        <v>1.1101280968468468</v>
      </c>
      <c r="D29" s="386">
        <f>('Consolidated FS'!D10+'Consolidated FS'!D11)/(('Consolidated FS'!K20+'Consolidated FS'!L20)/2)</f>
        <v>2.8207606147434228</v>
      </c>
      <c r="E29" s="386">
        <f>('Consolidated FS'!E10+'Consolidated FS'!E11)/(('Consolidated FS'!L20+'Consolidated FS'!M20)/2)</f>
        <v>2.0838116853784032</v>
      </c>
      <c r="F29" s="386">
        <f>('Consolidated FS'!F10+'Consolidated FS'!F11)/(('Consolidated FS'!M20+'Consolidated FS'!N20)/2)</f>
        <v>1.8139260514460374</v>
      </c>
      <c r="G29" s="386">
        <f>('Consolidated FS'!G10+'Consolidated FS'!G11)/(('Consolidated FS'!N20+'Consolidated FS'!O20)/2)</f>
        <v>2.4767933248215219</v>
      </c>
      <c r="H29" s="10"/>
      <c r="I29" s="7"/>
      <c r="J29" s="7"/>
    </row>
    <row r="30" spans="2:10">
      <c r="B30" s="382" t="s">
        <v>461</v>
      </c>
      <c r="C30" s="386">
        <f>'Consolidated FS'!C4/'Consolidated FS'!K18</f>
        <v>1.5200020299603696</v>
      </c>
      <c r="D30" s="386">
        <f>'Consolidated FS'!D4/(('Consolidated FS'!K18+'Consolidated FS'!L18)/2)</f>
        <v>3.292330376777783</v>
      </c>
      <c r="E30" s="386">
        <f>'Consolidated FS'!E4/(('Consolidated FS'!L18+'Consolidated FS'!M18)/2)</f>
        <v>3.3926594042291005</v>
      </c>
      <c r="F30" s="386">
        <f>'Consolidated FS'!F4/(('Consolidated FS'!M18+'Consolidated FS'!N18)/2)</f>
        <v>3.4394832971570755</v>
      </c>
      <c r="G30" s="386">
        <f>'Consolidated FS'!G4/(('Consolidated FS'!N18+'Consolidated FS'!O18)/2)</f>
        <v>4.5401587816281914</v>
      </c>
      <c r="H30" s="10"/>
      <c r="I30" s="7"/>
      <c r="J30" s="7"/>
    </row>
    <row r="31" spans="2:10">
      <c r="B31" s="382" t="s">
        <v>462</v>
      </c>
      <c r="C31" s="386">
        <f>'Consolidated FS'!C4/('Consolidated FS'!K38+'Consolidated FS'!K40)</f>
        <v>-1.1655546436101718</v>
      </c>
      <c r="D31" s="386">
        <f>'Consolidated FS'!D4/(((('Consolidated FS'!K38+'Consolidated FS'!K40)+('Consolidated FS'!L38+'Consolidated FS'!L40))/2))</f>
        <v>-2.9467168938111694</v>
      </c>
      <c r="E31" s="386">
        <f>'Consolidated FS'!E4/(((('Consolidated FS'!L38+'Consolidated FS'!L40)+('Consolidated FS'!M38+'Consolidated FS'!M40))/2))</f>
        <v>6.010491100757017</v>
      </c>
      <c r="F31" s="386">
        <f>'Consolidated FS'!F4/(((('Consolidated FS'!M38+'Consolidated FS'!M40)+('Consolidated FS'!N38+'Consolidated FS'!N40))/2))</f>
        <v>1.3334003778437049</v>
      </c>
      <c r="G31" s="386">
        <f>'Consolidated FS'!G4/(((('Consolidated FS'!N38+'Consolidated FS'!N40)+('Consolidated FS'!O38+'Consolidated FS'!O40))/2))</f>
        <v>1.476812107025232</v>
      </c>
      <c r="H31" s="10"/>
      <c r="I31" s="7"/>
      <c r="J31" s="7"/>
    </row>
    <row r="32" spans="2:10">
      <c r="B32" s="385"/>
      <c r="C32" s="385"/>
      <c r="D32" s="385"/>
      <c r="E32" s="385"/>
      <c r="F32" s="385"/>
      <c r="G32" s="385"/>
      <c r="H32" s="10"/>
    </row>
    <row r="33" spans="2:10">
      <c r="B33" s="382" t="s">
        <v>463</v>
      </c>
      <c r="C33" s="386">
        <f t="shared" ref="C33:G35" si="0">365/C27</f>
        <v>123.51494088901704</v>
      </c>
      <c r="D33" s="386">
        <f t="shared" si="0"/>
        <v>67.039873772038135</v>
      </c>
      <c r="E33" s="386">
        <f t="shared" si="0"/>
        <v>83.79513321360588</v>
      </c>
      <c r="F33" s="386">
        <f t="shared" si="0"/>
        <v>87.944581519631086</v>
      </c>
      <c r="G33" s="386">
        <f t="shared" si="0"/>
        <v>65.936713229358276</v>
      </c>
      <c r="H33" s="10"/>
      <c r="I33" s="7"/>
      <c r="J33" s="7"/>
    </row>
    <row r="34" spans="2:10">
      <c r="B34" s="382" t="s">
        <v>464</v>
      </c>
      <c r="C34" s="386">
        <f t="shared" si="0"/>
        <v>16.412306738138483</v>
      </c>
      <c r="D34" s="386">
        <f t="shared" si="0"/>
        <v>10.446858891662616</v>
      </c>
      <c r="E34" s="386">
        <f t="shared" si="0"/>
        <v>13.701001129545562</v>
      </c>
      <c r="F34" s="386">
        <f t="shared" si="0"/>
        <v>12.190024499219177</v>
      </c>
      <c r="G34" s="386">
        <f t="shared" si="0"/>
        <v>6.9525373402915243</v>
      </c>
      <c r="H34" s="10"/>
      <c r="I34" s="7"/>
      <c r="J34" s="7"/>
    </row>
    <row r="35" spans="2:10">
      <c r="B35" s="382" t="s">
        <v>465</v>
      </c>
      <c r="C35" s="386">
        <f t="shared" si="0"/>
        <v>328.7908855173813</v>
      </c>
      <c r="D35" s="386">
        <f t="shared" si="0"/>
        <v>129.39772276039116</v>
      </c>
      <c r="E35" s="386">
        <f t="shared" si="0"/>
        <v>175.15978174089133</v>
      </c>
      <c r="F35" s="386">
        <f t="shared" si="0"/>
        <v>201.2209922830244</v>
      </c>
      <c r="G35" s="386">
        <f t="shared" si="0"/>
        <v>147.36796822815322</v>
      </c>
      <c r="H35" s="10"/>
      <c r="I35" s="7"/>
      <c r="J35" s="7"/>
    </row>
    <row r="36" spans="2:10">
      <c r="B36" s="382" t="s">
        <v>466</v>
      </c>
      <c r="C36" s="386">
        <f>C33+C35-C34</f>
        <v>435.89351966825984</v>
      </c>
      <c r="D36" s="386">
        <f>D33+D35-D34</f>
        <v>185.99073764076667</v>
      </c>
      <c r="E36" s="386">
        <f>E33+E35-E34</f>
        <v>245.25391382495164</v>
      </c>
      <c r="F36" s="386">
        <f>F33+F35-F34</f>
        <v>276.97554930343631</v>
      </c>
      <c r="G36" s="386">
        <f>G33+G35-G34</f>
        <v>206.35214411721998</v>
      </c>
      <c r="H36" s="10"/>
      <c r="I36" s="7"/>
      <c r="J36" s="7"/>
    </row>
  </sheetData>
  <mergeCells count="1">
    <mergeCell ref="B2:J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1646DB57-7900-453A-968A-6CDB7754A059}">
          <x14:colorSeries rgb="FF376092"/>
          <x14:colorNegative rgb="FFD00000"/>
          <x14:colorAxis rgb="FF000000"/>
          <x14:colorMarkers rgb="FFD00000"/>
          <x14:colorFirst rgb="FFD00000"/>
          <x14:colorLast rgb="FFD00000"/>
          <x14:colorHigh rgb="FFD00000"/>
          <x14:colorLow rgb="FFD00000"/>
          <x14:sparklines>
            <x14:sparkline>
              <xm:f>Ratios!D5:G5</xm:f>
              <xm:sqref>H5</xm:sqref>
            </x14:sparkline>
            <x14:sparkline>
              <xm:f>Ratios!D6:G6</xm:f>
              <xm:sqref>H6</xm:sqref>
            </x14:sparkline>
            <x14:sparkline>
              <xm:f>Ratios!D7:G7</xm:f>
              <xm:sqref>H7</xm:sqref>
            </x14:sparkline>
            <x14:sparkline>
              <xm:f>Ratios!D8:G8</xm:f>
              <xm:sqref>H8</xm:sqref>
            </x14:sparkline>
            <x14:sparkline>
              <xm:f>Ratios!D9:G9</xm:f>
              <xm:sqref>H9</xm:sqref>
            </x14:sparkline>
            <x14:sparkline>
              <xm:f>Ratios!D10:G10</xm:f>
              <xm:sqref>H10</xm:sqref>
            </x14:sparkline>
            <x14:sparkline>
              <xm:f>Ratios!D11:G11</xm:f>
              <xm:sqref>H11</xm:sqref>
            </x14:sparkline>
            <x14:sparkline>
              <xm:f>Ratios!D12:G12</xm:f>
              <xm:sqref>H12</xm:sqref>
            </x14:sparkline>
            <x14:sparkline>
              <xm:f>Ratios!D13:G13</xm:f>
              <xm:sqref>H13</xm:sqref>
            </x14:sparkline>
            <x14:sparkline>
              <xm:f>Ratios!D14:G14</xm:f>
              <xm:sqref>H14</xm:sqref>
            </x14:sparkline>
            <x14:sparkline>
              <xm:f>Ratios!D15:G15</xm:f>
              <xm:sqref>H15</xm:sqref>
            </x14:sparkline>
            <x14:sparkline>
              <xm:f>Ratios!D16:G16</xm:f>
              <xm:sqref>H16</xm:sqref>
            </x14:sparkline>
            <x14:sparkline>
              <xm:f>Ratios!D17:G17</xm:f>
              <xm:sqref>H17</xm:sqref>
            </x14:sparkline>
            <x14:sparkline>
              <xm:f>Ratios!D18:G18</xm:f>
              <xm:sqref>H18</xm:sqref>
            </x14:sparkline>
            <x14:sparkline>
              <xm:f>Ratios!D19:G19</xm:f>
              <xm:sqref>H19</xm:sqref>
            </x14:sparkline>
            <x14:sparkline>
              <xm:f>Ratios!D20:G20</xm:f>
              <xm:sqref>H20</xm:sqref>
            </x14:sparkline>
            <x14:sparkline>
              <xm:f>Ratios!D21:G21</xm:f>
              <xm:sqref>H21</xm:sqref>
            </x14:sparkline>
            <x14:sparkline>
              <xm:f>Ratios!D22:G22</xm:f>
              <xm:sqref>H22</xm:sqref>
            </x14:sparkline>
            <x14:sparkline>
              <xm:f>Ratios!D23:G23</xm:f>
              <xm:sqref>H23</xm:sqref>
            </x14:sparkline>
            <x14:sparkline>
              <xm:f>Ratios!D24:G24</xm:f>
              <xm:sqref>H24</xm:sqref>
            </x14:sparkline>
            <x14:sparkline>
              <xm:f>Ratios!D25:G25</xm:f>
              <xm:sqref>H25</xm:sqref>
            </x14:sparkline>
            <x14:sparkline>
              <xm:f>Ratios!D26:G26</xm:f>
              <xm:sqref>H26</xm:sqref>
            </x14:sparkline>
            <x14:sparkline>
              <xm:f>Ratios!D27:G27</xm:f>
              <xm:sqref>H27</xm:sqref>
            </x14:sparkline>
            <x14:sparkline>
              <xm:f>Ratios!D28:G28</xm:f>
              <xm:sqref>H28</xm:sqref>
            </x14:sparkline>
            <x14:sparkline>
              <xm:f>Ratios!D29:G29</xm:f>
              <xm:sqref>H29</xm:sqref>
            </x14:sparkline>
            <x14:sparkline>
              <xm:f>Ratios!D30:G30</xm:f>
              <xm:sqref>H30</xm:sqref>
            </x14:sparkline>
            <x14:sparkline>
              <xm:f>Ratios!D31:G31</xm:f>
              <xm:sqref>H31</xm:sqref>
            </x14:sparkline>
            <x14:sparkline>
              <xm:f>Ratios!D32:G32</xm:f>
              <xm:sqref>H32</xm:sqref>
            </x14:sparkline>
            <x14:sparkline>
              <xm:f>Ratios!D33:G33</xm:f>
              <xm:sqref>H33</xm:sqref>
            </x14:sparkline>
            <x14:sparkline>
              <xm:f>Ratios!D34:G34</xm:f>
              <xm:sqref>H34</xm:sqref>
            </x14:sparkline>
            <x14:sparkline>
              <xm:f>Ratios!D35:G35</xm:f>
              <xm:sqref>H35</xm:sqref>
            </x14:sparkline>
            <x14:sparkline>
              <xm:f>Ratios!D36:G36</xm:f>
              <xm:sqref>H36</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L7"/>
  <sheetViews>
    <sheetView showGridLines="0" workbookViewId="0">
      <selection activeCell="F1" sqref="F1"/>
    </sheetView>
  </sheetViews>
  <sheetFormatPr defaultRowHeight="14.4"/>
  <cols>
    <col min="2" max="2" width="8.6640625" bestFit="1" customWidth="1"/>
    <col min="3" max="3" width="15" bestFit="1" customWidth="1"/>
    <col min="4" max="4" width="8.44140625" bestFit="1" customWidth="1"/>
    <col min="5" max="6" width="8.21875" bestFit="1" customWidth="1"/>
    <col min="7" max="7" width="10.44140625" bestFit="1" customWidth="1"/>
    <col min="8" max="8" width="8.21875" bestFit="1" customWidth="1"/>
    <col min="9" max="9" width="8.77734375" bestFit="1" customWidth="1"/>
    <col min="10" max="10" width="9.33203125" bestFit="1" customWidth="1"/>
    <col min="11" max="11" width="8.109375" bestFit="1" customWidth="1"/>
    <col min="12" max="12" width="8.21875" bestFit="1" customWidth="1"/>
  </cols>
  <sheetData>
    <row r="2" spans="2:12" ht="42" customHeight="1" thickBot="1">
      <c r="B2" s="301" t="s">
        <v>467</v>
      </c>
      <c r="C2" s="302" t="s">
        <v>468</v>
      </c>
      <c r="D2" s="303" t="s">
        <v>469</v>
      </c>
      <c r="E2" s="303" t="s">
        <v>470</v>
      </c>
      <c r="F2" s="303" t="s">
        <v>471</v>
      </c>
      <c r="G2" s="303" t="s">
        <v>472</v>
      </c>
      <c r="H2" s="303" t="s">
        <v>473</v>
      </c>
      <c r="I2" s="303" t="s">
        <v>474</v>
      </c>
      <c r="J2" s="303" t="s">
        <v>475</v>
      </c>
      <c r="K2" s="303" t="s">
        <v>476</v>
      </c>
      <c r="L2" s="303" t="s">
        <v>477</v>
      </c>
    </row>
    <row r="3" spans="2:12" ht="15" customHeight="1" thickBot="1">
      <c r="B3" s="304">
        <v>1</v>
      </c>
      <c r="C3" s="305" t="s">
        <v>478</v>
      </c>
      <c r="D3" s="306">
        <v>6605</v>
      </c>
      <c r="E3" s="306">
        <v>2977.28</v>
      </c>
      <c r="F3" s="306">
        <v>21.19</v>
      </c>
      <c r="G3" s="306">
        <v>140030.75</v>
      </c>
      <c r="H3" s="306">
        <v>5834.87</v>
      </c>
      <c r="I3" s="306">
        <v>84.82</v>
      </c>
      <c r="J3" s="306">
        <v>13093.38</v>
      </c>
      <c r="K3" s="306">
        <v>60.76</v>
      </c>
      <c r="L3" s="306">
        <v>2397.2600000000002</v>
      </c>
    </row>
    <row r="4" spans="2:12" ht="15" customHeight="1" thickBot="1">
      <c r="B4" s="307">
        <v>2</v>
      </c>
      <c r="C4" s="305" t="s">
        <v>479</v>
      </c>
      <c r="D4" s="308">
        <v>853.25</v>
      </c>
      <c r="E4" s="308">
        <v>1198.68</v>
      </c>
      <c r="F4" s="308">
        <v>157.49</v>
      </c>
      <c r="G4" s="308">
        <v>134414.29</v>
      </c>
      <c r="H4" s="308">
        <v>1027.56</v>
      </c>
      <c r="I4" s="308">
        <v>118.39</v>
      </c>
      <c r="J4" s="308">
        <v>12417.95</v>
      </c>
      <c r="K4" s="308">
        <v>71.41</v>
      </c>
      <c r="L4" s="308">
        <v>1869.56</v>
      </c>
    </row>
    <row r="5" spans="2:12" ht="15" customHeight="1" thickBot="1">
      <c r="B5" s="304">
        <v>3</v>
      </c>
      <c r="C5" s="305" t="s">
        <v>480</v>
      </c>
      <c r="D5" s="308">
        <v>3459.6</v>
      </c>
      <c r="E5" s="308">
        <v>1309.8</v>
      </c>
      <c r="F5" s="308">
        <v>35.61</v>
      </c>
      <c r="G5" s="308">
        <v>123178.14</v>
      </c>
      <c r="H5" s="308">
        <v>3462</v>
      </c>
      <c r="I5" s="308">
        <v>215.7</v>
      </c>
      <c r="J5" s="308">
        <v>8735.2999999999993</v>
      </c>
      <c r="K5" s="308">
        <v>61.18</v>
      </c>
      <c r="L5" s="308">
        <v>1637.2</v>
      </c>
    </row>
    <row r="6" spans="2:12" ht="15" customHeight="1" thickBot="1">
      <c r="B6" s="309">
        <v>4</v>
      </c>
      <c r="C6" s="305" t="s">
        <v>481</v>
      </c>
      <c r="D6" s="306">
        <v>4679.3999999999996</v>
      </c>
      <c r="E6" s="306">
        <v>1233.25</v>
      </c>
      <c r="F6" s="306">
        <v>25.6</v>
      </c>
      <c r="G6" s="306">
        <v>119826.97</v>
      </c>
      <c r="H6" s="306">
        <v>1527.72</v>
      </c>
      <c r="I6" s="306">
        <v>24</v>
      </c>
      <c r="J6" s="306">
        <v>6206.31</v>
      </c>
      <c r="K6" s="306">
        <v>66.680000000000007</v>
      </c>
      <c r="L6" s="306">
        <v>1774.47</v>
      </c>
    </row>
    <row r="7" spans="2:12" ht="15" customHeight="1" thickBot="1">
      <c r="B7" s="310">
        <v>5</v>
      </c>
      <c r="C7" s="311" t="s">
        <v>368</v>
      </c>
      <c r="D7" s="308">
        <v>52.57</v>
      </c>
      <c r="E7" s="308">
        <v>3230.02</v>
      </c>
      <c r="F7" s="308">
        <v>1360.53</v>
      </c>
      <c r="G7" s="308">
        <v>71495.95</v>
      </c>
      <c r="H7" s="308">
        <v>1112.83</v>
      </c>
      <c r="I7" s="308">
        <v>397</v>
      </c>
      <c r="J7" s="308">
        <v>15028.53</v>
      </c>
      <c r="K7" s="308">
        <v>24.81</v>
      </c>
      <c r="L7" s="308">
        <v>1966.42</v>
      </c>
    </row>
  </sheetData>
  <hyperlinks>
    <hyperlink ref="C3" r:id="rId1" display="https://www.screener.in/company/ABB/" xr:uid="{00000000-0004-0000-0F00-000000000000}"/>
    <hyperlink ref="C4" r:id="rId2" display="https://www.screener.in/company/CGPOWER/consolidated/" xr:uid="{00000000-0004-0000-0F00-000001000000}"/>
    <hyperlink ref="C5" r:id="rId3" display="https://www.screener.in/company/ENRIN/" xr:uid="{00000000-0004-0000-0F00-000002000000}"/>
    <hyperlink ref="C6" r:id="rId4" display="https://www.screener.in/company/GVT&amp;D/" xr:uid="{00000000-0004-0000-0F00-000003000000}"/>
    <hyperlink ref="C7" r:id="rId5" display="https://www.screener.in/company/HEROMOTOCO/consolidated/" xr:uid="{00000000-0004-0000-0F00-000004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T31"/>
  <sheetViews>
    <sheetView showGridLines="0" topLeftCell="A2" workbookViewId="0">
      <selection activeCell="F18" sqref="F18"/>
    </sheetView>
  </sheetViews>
  <sheetFormatPr defaultRowHeight="14.4"/>
  <cols>
    <col min="1" max="1" width="1.88671875" customWidth="1"/>
    <col min="2" max="2" width="31.5546875" bestFit="1" customWidth="1"/>
    <col min="3" max="3" width="13.5546875" bestFit="1" customWidth="1"/>
    <col min="4" max="4" width="12" bestFit="1" customWidth="1"/>
    <col min="5" max="5" width="10.33203125" bestFit="1" customWidth="1"/>
    <col min="6" max="6" width="11.33203125" bestFit="1" customWidth="1"/>
    <col min="7" max="7" width="9" bestFit="1" customWidth="1"/>
    <col min="8" max="8" width="8" bestFit="1" customWidth="1"/>
    <col min="9" max="9" width="11" bestFit="1" customWidth="1"/>
    <col min="16" max="16" width="11.44140625" bestFit="1" customWidth="1"/>
    <col min="17" max="18" width="12" bestFit="1" customWidth="1"/>
  </cols>
  <sheetData>
    <row r="2" spans="2:20">
      <c r="B2" s="312" t="s">
        <v>482</v>
      </c>
      <c r="C2" s="83"/>
      <c r="D2" s="83"/>
      <c r="E2" s="83"/>
      <c r="F2" s="83"/>
      <c r="G2" s="83"/>
      <c r="H2" s="83"/>
      <c r="I2" s="83"/>
      <c r="J2" s="84"/>
      <c r="K2" s="84"/>
      <c r="L2" s="84"/>
      <c r="M2" s="84"/>
      <c r="N2" s="84"/>
      <c r="O2" s="84"/>
      <c r="P2" s="84"/>
      <c r="Q2" s="84"/>
      <c r="R2" s="84"/>
    </row>
    <row r="4" spans="2:20">
      <c r="B4" s="267" t="s">
        <v>483</v>
      </c>
    </row>
    <row r="5" spans="2:20">
      <c r="B5" s="377" t="s">
        <v>484</v>
      </c>
      <c r="C5" s="353"/>
      <c r="D5" s="353"/>
      <c r="E5" s="353"/>
      <c r="F5" s="353"/>
      <c r="G5" s="353"/>
      <c r="H5" s="353"/>
      <c r="I5" s="353"/>
      <c r="J5" s="353"/>
      <c r="K5" s="353"/>
      <c r="L5" s="353"/>
      <c r="M5" s="353"/>
      <c r="N5" s="353"/>
      <c r="O5" s="353"/>
      <c r="P5" s="353"/>
      <c r="Q5" s="353"/>
      <c r="R5" s="353"/>
    </row>
    <row r="7" spans="2:20">
      <c r="B7" s="370" t="s">
        <v>485</v>
      </c>
      <c r="C7" s="368" t="s">
        <v>486</v>
      </c>
      <c r="D7" s="372" t="s">
        <v>487</v>
      </c>
      <c r="E7" s="366"/>
      <c r="F7" s="366"/>
      <c r="G7" s="366"/>
      <c r="H7" s="366"/>
      <c r="I7" s="366"/>
      <c r="J7" s="374"/>
      <c r="K7" s="373" t="s">
        <v>488</v>
      </c>
      <c r="L7" s="366"/>
      <c r="M7" s="366"/>
      <c r="N7" s="366"/>
      <c r="O7" s="376"/>
      <c r="P7" s="365" t="s">
        <v>489</v>
      </c>
      <c r="Q7" s="366"/>
      <c r="R7" s="367"/>
    </row>
    <row r="8" spans="2:20" ht="29.4" customHeight="1" thickBot="1">
      <c r="B8" s="371"/>
      <c r="C8" s="369"/>
      <c r="D8" s="313" t="s">
        <v>490</v>
      </c>
      <c r="E8" s="313" t="s">
        <v>491</v>
      </c>
      <c r="F8" s="313" t="s">
        <v>492</v>
      </c>
      <c r="G8" s="313" t="s">
        <v>493</v>
      </c>
      <c r="H8" s="313" t="s">
        <v>494</v>
      </c>
      <c r="I8" s="314" t="s">
        <v>495</v>
      </c>
      <c r="J8" s="375"/>
      <c r="K8" s="315" t="s">
        <v>496</v>
      </c>
      <c r="L8" s="315" t="s">
        <v>376</v>
      </c>
      <c r="M8" s="315" t="s">
        <v>470</v>
      </c>
      <c r="N8" s="316" t="s">
        <v>497</v>
      </c>
      <c r="O8" s="369"/>
      <c r="P8" s="317" t="s">
        <v>498</v>
      </c>
      <c r="Q8" s="315" t="s">
        <v>499</v>
      </c>
      <c r="R8" s="316" t="s">
        <v>500</v>
      </c>
    </row>
    <row r="9" spans="2:20" ht="15" customHeight="1" thickBot="1">
      <c r="B9" s="318" t="s">
        <v>478</v>
      </c>
      <c r="C9" s="99"/>
      <c r="D9" s="319">
        <v>21.19</v>
      </c>
      <c r="E9" s="319">
        <v>6605</v>
      </c>
      <c r="F9" s="320">
        <f>IFERROR(D9*E9,0)</f>
        <v>139959.95000000001</v>
      </c>
      <c r="G9" s="319">
        <v>84.82</v>
      </c>
      <c r="H9" s="319">
        <v>5834.87</v>
      </c>
      <c r="I9" s="320">
        <f>IFERROR(F9+G9-H9,0)</f>
        <v>134209.90000000002</v>
      </c>
      <c r="J9" s="100"/>
      <c r="K9" s="319">
        <v>13093.38</v>
      </c>
      <c r="L9" s="319">
        <v>2397.2600000000002</v>
      </c>
      <c r="M9" s="319">
        <v>2977.28</v>
      </c>
      <c r="N9" s="321">
        <f>IFERROR(M9/D9,0)</f>
        <v>140.50401132609721</v>
      </c>
      <c r="O9" s="101"/>
      <c r="P9" s="322">
        <f>IFERROR(I9/K9,0)</f>
        <v>10.250210411673688</v>
      </c>
      <c r="Q9" s="322">
        <f>IFERROR(I9/L9,0)</f>
        <v>55.984707541109437</v>
      </c>
      <c r="R9" s="323">
        <f>IFERROR(E9/N9,0)</f>
        <v>47.009334023000861</v>
      </c>
    </row>
    <row r="10" spans="2:20" ht="15" customHeight="1" thickBot="1">
      <c r="B10" s="318" t="s">
        <v>479</v>
      </c>
      <c r="C10" s="102"/>
      <c r="D10" s="319">
        <v>157.49</v>
      </c>
      <c r="E10" s="319">
        <v>853.25</v>
      </c>
      <c r="F10" s="320">
        <f>IFERROR(D10*E10,0)</f>
        <v>134378.3425</v>
      </c>
      <c r="G10" s="319">
        <v>118.39</v>
      </c>
      <c r="H10" s="319">
        <v>1027.56</v>
      </c>
      <c r="I10" s="320">
        <f>IFERROR(F10+G10-H10,0)</f>
        <v>133469.17250000002</v>
      </c>
      <c r="J10" s="103"/>
      <c r="K10" s="319">
        <v>12417.95</v>
      </c>
      <c r="L10" s="319">
        <v>1869.56</v>
      </c>
      <c r="M10" s="319">
        <v>1198.68</v>
      </c>
      <c r="N10" s="320">
        <f>IFERROR(M10/D10,0)</f>
        <v>7.6111499142802721</v>
      </c>
      <c r="O10" s="104"/>
      <c r="P10" s="322">
        <f>IFERROR(I10/K10,0)</f>
        <v>10.748084224851929</v>
      </c>
      <c r="Q10" s="322">
        <f>IFERROR(I10/L10,0)</f>
        <v>71.390686846102838</v>
      </c>
      <c r="R10" s="323">
        <f>IFERROR(E10/N10,0)</f>
        <v>112.10526787799913</v>
      </c>
      <c r="T10" s="87"/>
    </row>
    <row r="11" spans="2:20" ht="15" customHeight="1" thickBot="1">
      <c r="B11" s="318" t="s">
        <v>480</v>
      </c>
      <c r="C11" s="102"/>
      <c r="D11" s="319">
        <v>35.61</v>
      </c>
      <c r="E11" s="319">
        <v>3459.6</v>
      </c>
      <c r="F11" s="320">
        <f>IFERROR(D11*E11,0)</f>
        <v>123196.356</v>
      </c>
      <c r="G11" s="319">
        <v>215.7</v>
      </c>
      <c r="H11" s="319">
        <v>3462</v>
      </c>
      <c r="I11" s="320">
        <f>IFERROR(F11+G11-H11,0)</f>
        <v>119950.056</v>
      </c>
      <c r="J11" s="103"/>
      <c r="K11" s="319">
        <v>8735.2999999999993</v>
      </c>
      <c r="L11" s="319">
        <v>1637.2</v>
      </c>
      <c r="M11" s="319">
        <v>1309.8</v>
      </c>
      <c r="N11" s="320">
        <f>IFERROR(M11/D11,0)</f>
        <v>36.781802864363939</v>
      </c>
      <c r="O11" s="104"/>
      <c r="P11" s="322">
        <f>IFERROR(I11/K11,0)</f>
        <v>13.73164699552391</v>
      </c>
      <c r="Q11" s="322">
        <f>IFERROR(I11/L11,0)</f>
        <v>73.265365257757139</v>
      </c>
      <c r="R11" s="323">
        <f>IFERROR(E11/N11,0)</f>
        <v>94.057379752633992</v>
      </c>
    </row>
    <row r="12" spans="2:20" ht="15" customHeight="1" thickBot="1">
      <c r="B12" s="318" t="s">
        <v>481</v>
      </c>
      <c r="C12" s="105"/>
      <c r="D12" s="319">
        <v>25.6</v>
      </c>
      <c r="E12" s="319">
        <v>4679.3999999999996</v>
      </c>
      <c r="F12" s="320">
        <f>IFERROR(D12*E12,0)</f>
        <v>119792.64</v>
      </c>
      <c r="G12" s="319">
        <v>24</v>
      </c>
      <c r="H12" s="319">
        <v>1527.72</v>
      </c>
      <c r="I12" s="320">
        <f>IFERROR(F12+G12-H12,0)</f>
        <v>118288.92</v>
      </c>
      <c r="J12" s="106"/>
      <c r="K12" s="319">
        <v>6206.31</v>
      </c>
      <c r="L12" s="319">
        <v>1774.47</v>
      </c>
      <c r="M12" s="319">
        <v>1233.25</v>
      </c>
      <c r="N12" s="320">
        <f>IFERROR(M12/D12,0)</f>
        <v>48.173828125</v>
      </c>
      <c r="O12" s="107"/>
      <c r="P12" s="322">
        <f>IFERROR(I12/K12,0)</f>
        <v>19.05946045234608</v>
      </c>
      <c r="Q12" s="322">
        <f>IFERROR(I12/L12,0)</f>
        <v>66.661549645809728</v>
      </c>
      <c r="R12" s="323">
        <f>IFERROR(E12/N12,0)</f>
        <v>97.135730792621118</v>
      </c>
    </row>
    <row r="13" spans="2:20" ht="15" customHeight="1" thickBot="1">
      <c r="B13" s="324" t="s">
        <v>368</v>
      </c>
      <c r="C13" s="96"/>
      <c r="D13" s="325">
        <v>1360.53</v>
      </c>
      <c r="E13" s="325">
        <v>52.57</v>
      </c>
      <c r="F13" s="326">
        <f>IFERROR(D13*E13,0)</f>
        <v>71523.062099999996</v>
      </c>
      <c r="G13" s="325">
        <v>397</v>
      </c>
      <c r="H13" s="325">
        <v>1112.83</v>
      </c>
      <c r="I13" s="326">
        <f>IFERROR(F13+G13-H13,0)</f>
        <v>70807.232099999994</v>
      </c>
      <c r="J13" s="97"/>
      <c r="K13" s="325">
        <v>15028.53</v>
      </c>
      <c r="L13" s="325">
        <v>1966.42</v>
      </c>
      <c r="M13" s="325">
        <v>3230.02</v>
      </c>
      <c r="N13" s="326">
        <f>IFERROR(M13/D13,0)</f>
        <v>2.3740895092353718</v>
      </c>
      <c r="O13" s="98"/>
      <c r="P13" s="327">
        <f>IFERROR(I13/K13,0)</f>
        <v>4.7115208273863107</v>
      </c>
      <c r="Q13" s="327">
        <f>IFERROR(I13/L13,0)</f>
        <v>36.008193620894822</v>
      </c>
      <c r="R13" s="328">
        <f>IFERROR(E13/N13,0)</f>
        <v>22.143225769499878</v>
      </c>
    </row>
    <row r="14" spans="2:20">
      <c r="B14" s="88"/>
      <c r="C14" s="89"/>
      <c r="D14" s="85"/>
      <c r="E14" s="90"/>
      <c r="F14" s="90"/>
      <c r="G14" s="90"/>
      <c r="H14" s="90"/>
      <c r="I14" s="90"/>
      <c r="J14" s="89"/>
      <c r="K14" s="90"/>
      <c r="L14" s="90"/>
      <c r="M14" s="90"/>
      <c r="N14" s="91"/>
      <c r="O14" s="89"/>
      <c r="P14" s="86"/>
      <c r="Q14" s="86"/>
      <c r="R14" s="92"/>
    </row>
    <row r="15" spans="2:20">
      <c r="B15" s="126" t="s">
        <v>501</v>
      </c>
      <c r="P15" s="329">
        <f>IFERROR(MAX(P9:P13),0)</f>
        <v>19.05946045234608</v>
      </c>
      <c r="Q15" s="329">
        <f>IFERROR(MAX(Q9:Q13),0)</f>
        <v>73.265365257757139</v>
      </c>
      <c r="R15" s="329">
        <f>IFERROR(MAX(R9:R13),0)</f>
        <v>112.10526787799913</v>
      </c>
    </row>
    <row r="16" spans="2:20">
      <c r="B16" s="126" t="s">
        <v>502</v>
      </c>
      <c r="P16" s="179">
        <f>IFERROR(QUARTILE(P9:P13,3),0)</f>
        <v>13.73164699552391</v>
      </c>
      <c r="Q16" s="179">
        <f>IFERROR(QUARTILE(Q9:Q13,3),0)</f>
        <v>71.390686846102838</v>
      </c>
      <c r="R16" s="179">
        <f>IFERROR(QUARTILE(R9:R13,3),0)</f>
        <v>97.135730792621118</v>
      </c>
      <c r="S16" s="7"/>
    </row>
    <row r="17" spans="2:18">
      <c r="B17" s="267" t="s">
        <v>503</v>
      </c>
      <c r="P17" s="329">
        <f>IFERROR(AVERAGE(P9:P13),0)</f>
        <v>11.700184582356384</v>
      </c>
      <c r="Q17" s="329">
        <f>IFERROR(AVERAGE(Q9:Q13),0)</f>
        <v>60.662100582334787</v>
      </c>
      <c r="R17" s="329">
        <f>IFERROR(AVERAGE(R9:R13),0)</f>
        <v>74.490187643150989</v>
      </c>
    </row>
    <row r="18" spans="2:18">
      <c r="B18" s="267" t="s">
        <v>504</v>
      </c>
      <c r="M18" s="86"/>
      <c r="P18" s="329">
        <f>IFERROR(MEDIAN(P9:P13),0)</f>
        <v>10.748084224851929</v>
      </c>
      <c r="Q18" s="329">
        <f>IFERROR(MEDIAN(Q9:Q13),0)</f>
        <v>66.661549645809728</v>
      </c>
      <c r="R18" s="329">
        <f>IFERROR(MEDIAN(R9:R13),0)</f>
        <v>94.057379752633992</v>
      </c>
    </row>
    <row r="19" spans="2:18">
      <c r="B19" s="126" t="s">
        <v>505</v>
      </c>
      <c r="P19" s="329">
        <f>IFERROR(QUARTILE(P9:P13,1),0)</f>
        <v>10.250210411673688</v>
      </c>
      <c r="Q19" s="329">
        <f>IFERROR(QUARTILE(Q9:Q13,1),0)</f>
        <v>55.984707541109437</v>
      </c>
      <c r="R19" s="329">
        <f>IFERROR(QUARTILE(R9:R13,1),0)</f>
        <v>47.009334023000861</v>
      </c>
    </row>
    <row r="20" spans="2:18">
      <c r="B20" s="126" t="s">
        <v>506</v>
      </c>
      <c r="P20" s="329">
        <f>IFERROR(MIN(P9:P13),0)</f>
        <v>4.7115208273863107</v>
      </c>
      <c r="Q20" s="329">
        <f>IFERROR(MIN(Q9:Q13),0)</f>
        <v>36.008193620894822</v>
      </c>
      <c r="R20" s="329">
        <f>IFERROR(MIN(R9:R13),0)</f>
        <v>22.143225769499878</v>
      </c>
    </row>
    <row r="22" spans="2:18">
      <c r="B22" s="312" t="s">
        <v>507</v>
      </c>
      <c r="C22" s="83"/>
      <c r="D22" s="83"/>
      <c r="E22" s="83"/>
      <c r="F22" s="83"/>
      <c r="G22" s="83"/>
      <c r="H22" s="83"/>
      <c r="I22" s="83"/>
      <c r="J22" s="83"/>
      <c r="K22" s="83"/>
      <c r="L22" s="83"/>
      <c r="M22" s="83"/>
      <c r="N22" s="83"/>
      <c r="O22" s="83"/>
      <c r="P22" s="300" t="s">
        <v>498</v>
      </c>
      <c r="Q22" s="300" t="s">
        <v>499</v>
      </c>
      <c r="R22" s="300" t="s">
        <v>500</v>
      </c>
    </row>
    <row r="23" spans="2:18">
      <c r="P23" s="300" t="s">
        <v>508</v>
      </c>
      <c r="Q23" s="300" t="s">
        <v>509</v>
      </c>
      <c r="R23" s="300" t="s">
        <v>509</v>
      </c>
    </row>
    <row r="24" spans="2:18">
      <c r="B24" s="126" t="s">
        <v>510</v>
      </c>
      <c r="P24" s="179">
        <f>P18*K12</f>
        <v>66705.942605540782</v>
      </c>
      <c r="Q24" s="179">
        <f>Q18*L12</f>
        <v>118288.91999999998</v>
      </c>
      <c r="R24" s="179">
        <f>SUM(R26+R25)</f>
        <v>114492.54357993587</v>
      </c>
    </row>
    <row r="25" spans="2:18">
      <c r="B25" s="126" t="s">
        <v>511</v>
      </c>
      <c r="P25" s="179">
        <f>G12-H12</f>
        <v>-1503.72</v>
      </c>
      <c r="Q25" s="179">
        <f>P25</f>
        <v>-1503.72</v>
      </c>
      <c r="R25" s="179">
        <f>Q25</f>
        <v>-1503.72</v>
      </c>
    </row>
    <row r="26" spans="2:18">
      <c r="B26" s="126" t="s">
        <v>512</v>
      </c>
      <c r="P26" s="179">
        <f>P24-P25</f>
        <v>68209.662605540783</v>
      </c>
      <c r="Q26" s="179">
        <f>Q24-Q25</f>
        <v>119792.63999999998</v>
      </c>
      <c r="R26" s="179">
        <f>R18*M12</f>
        <v>115996.26357993587</v>
      </c>
    </row>
    <row r="27" spans="2:18">
      <c r="B27" s="126" t="s">
        <v>513</v>
      </c>
      <c r="P27" s="179">
        <f>D12</f>
        <v>25.6</v>
      </c>
      <c r="Q27" s="179">
        <f>P27</f>
        <v>25.6</v>
      </c>
      <c r="R27" s="179">
        <f>Q27</f>
        <v>25.6</v>
      </c>
    </row>
    <row r="29" spans="2:18" ht="15" customHeight="1" thickBot="1">
      <c r="B29" s="330" t="s">
        <v>514</v>
      </c>
      <c r="C29" s="93"/>
      <c r="D29" s="93"/>
      <c r="E29" s="93"/>
      <c r="F29" s="93"/>
      <c r="G29" s="93"/>
      <c r="H29" s="93"/>
      <c r="I29" s="93"/>
      <c r="J29" s="93"/>
      <c r="K29" s="93"/>
      <c r="L29" s="93"/>
      <c r="M29" s="93"/>
      <c r="N29" s="93"/>
      <c r="O29" s="93"/>
      <c r="P29" s="331">
        <f>P26/P27</f>
        <v>2664.4399455289367</v>
      </c>
      <c r="Q29" s="332">
        <f>Q26/Q27</f>
        <v>4679.3999999999987</v>
      </c>
      <c r="R29" s="332">
        <f>R26/R27</f>
        <v>4531.1040460912445</v>
      </c>
    </row>
    <row r="30" spans="2:18" ht="15" customHeight="1" thickTop="1">
      <c r="P30" s="94"/>
      <c r="Q30" s="94"/>
      <c r="R30" s="94"/>
    </row>
    <row r="31" spans="2:18">
      <c r="P31" s="95"/>
      <c r="Q31" s="95"/>
      <c r="R31" s="95"/>
    </row>
  </sheetData>
  <mergeCells count="8">
    <mergeCell ref="B5:R5"/>
    <mergeCell ref="P7:R7"/>
    <mergeCell ref="C7:C8"/>
    <mergeCell ref="B7:B8"/>
    <mergeCell ref="D7:I7"/>
    <mergeCell ref="K7:N7"/>
    <mergeCell ref="J7:J8"/>
    <mergeCell ref="O7:O8"/>
  </mergeCells>
  <hyperlinks>
    <hyperlink ref="B9" r:id="rId1" display="https://www.screener.in/company/ABB/" xr:uid="{00000000-0004-0000-1000-000000000000}"/>
    <hyperlink ref="B10" r:id="rId2" display="https://www.screener.in/company/CGPOWER/consolidated/" xr:uid="{00000000-0004-0000-1000-000001000000}"/>
    <hyperlink ref="B11" r:id="rId3" display="https://www.screener.in/company/ENRIN/" xr:uid="{00000000-0004-0000-1000-000002000000}"/>
    <hyperlink ref="B12" r:id="rId4" display="https://www.screener.in/company/GVT&amp;D/" xr:uid="{00000000-0004-0000-1000-000003000000}"/>
    <hyperlink ref="B13" r:id="rId5" display="https://www.screener.in/company/HEROMOTOCO/consolidated/" xr:uid="{00000000-0004-0000-1000-000004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1:C42"/>
  <sheetViews>
    <sheetView showGridLines="0" topLeftCell="A25" workbookViewId="0">
      <selection activeCell="B35" sqref="B35"/>
    </sheetView>
  </sheetViews>
  <sheetFormatPr defaultRowHeight="14.4"/>
  <cols>
    <col min="1" max="1" width="20" customWidth="1"/>
    <col min="2" max="2" width="30" customWidth="1"/>
    <col min="3" max="3" width="20" customWidth="1"/>
    <col min="4" max="4" width="50" customWidth="1"/>
  </cols>
  <sheetData>
    <row r="21" spans="1:3">
      <c r="A21" s="267"/>
      <c r="B21" s="337" t="s">
        <v>515</v>
      </c>
      <c r="C21" s="337" t="s">
        <v>516</v>
      </c>
    </row>
    <row r="22" spans="1:3">
      <c r="A22" s="126"/>
      <c r="B22" s="126" t="s">
        <v>517</v>
      </c>
      <c r="C22" t="s">
        <v>518</v>
      </c>
    </row>
    <row r="23" spans="1:3">
      <c r="A23" s="126"/>
      <c r="B23" s="127" t="s">
        <v>519</v>
      </c>
      <c r="C23">
        <v>53.6</v>
      </c>
    </row>
    <row r="24" spans="1:3">
      <c r="A24" s="126"/>
      <c r="B24" s="126" t="s">
        <v>520</v>
      </c>
      <c r="C24" t="s">
        <v>521</v>
      </c>
    </row>
    <row r="25" spans="1:3">
      <c r="A25" s="126"/>
      <c r="B25" s="127" t="s">
        <v>522</v>
      </c>
      <c r="C25">
        <v>22.6</v>
      </c>
    </row>
    <row r="26" spans="1:3">
      <c r="A26" s="126"/>
      <c r="B26" s="127" t="s">
        <v>523</v>
      </c>
      <c r="C26">
        <v>5.78</v>
      </c>
    </row>
    <row r="27" spans="1:3">
      <c r="A27" s="126"/>
      <c r="B27" s="333" t="s">
        <v>524</v>
      </c>
      <c r="C27" t="s">
        <v>525</v>
      </c>
    </row>
    <row r="28" spans="1:3">
      <c r="A28" s="126"/>
      <c r="B28" s="333" t="s">
        <v>526</v>
      </c>
      <c r="C28" t="s">
        <v>527</v>
      </c>
    </row>
    <row r="29" spans="1:3">
      <c r="A29" s="126"/>
      <c r="B29" s="333" t="s">
        <v>528</v>
      </c>
      <c r="C29" t="s">
        <v>529</v>
      </c>
    </row>
    <row r="30" spans="1:3">
      <c r="A30" s="126"/>
      <c r="B30" s="127" t="s">
        <v>530</v>
      </c>
      <c r="C30">
        <v>2</v>
      </c>
    </row>
    <row r="34" spans="2:2" ht="15.6" customHeight="1">
      <c r="B34" s="340" t="s">
        <v>531</v>
      </c>
    </row>
    <row r="35" spans="2:2" ht="244.8" customHeight="1">
      <c r="B35" s="338" t="s">
        <v>550</v>
      </c>
    </row>
    <row r="42" spans="2:2">
      <c r="B42" s="341" t="s">
        <v>549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4:J27"/>
  <sheetViews>
    <sheetView showGridLines="0" topLeftCell="A3" workbookViewId="0">
      <selection activeCell="C11" sqref="C11"/>
    </sheetView>
  </sheetViews>
  <sheetFormatPr defaultRowHeight="14.4"/>
  <cols>
    <col min="1" max="1" width="1.88671875" customWidth="1"/>
    <col min="2" max="2" width="20" customWidth="1"/>
    <col min="3" max="3" width="80" customWidth="1"/>
    <col min="4" max="9" width="15" customWidth="1"/>
  </cols>
  <sheetData>
    <row r="4" spans="1:3" ht="43.2" customHeight="1">
      <c r="A4" s="267"/>
      <c r="B4" s="337" t="s">
        <v>532</v>
      </c>
      <c r="C4" s="338" t="s">
        <v>533</v>
      </c>
    </row>
    <row r="9" spans="1:3" ht="43.2" customHeight="1">
      <c r="A9" s="267"/>
      <c r="B9" s="337" t="s">
        <v>534</v>
      </c>
      <c r="C9" s="338" t="s">
        <v>535</v>
      </c>
    </row>
    <row r="14" spans="1:3" ht="43.2" customHeight="1">
      <c r="B14" s="337" t="s">
        <v>536</v>
      </c>
      <c r="C14" s="338" t="s">
        <v>537</v>
      </c>
    </row>
    <row r="19" spans="1:10" ht="28.8" customHeight="1">
      <c r="B19" s="337" t="s">
        <v>538</v>
      </c>
      <c r="C19" s="338" t="s">
        <v>539</v>
      </c>
    </row>
    <row r="20" spans="1:10">
      <c r="A20" s="267"/>
      <c r="B20" s="339" t="s">
        <v>540</v>
      </c>
      <c r="C20" s="339" t="s">
        <v>541</v>
      </c>
      <c r="D20" s="339" t="s">
        <v>542</v>
      </c>
      <c r="E20" s="339" t="s">
        <v>543</v>
      </c>
      <c r="F20" s="339" t="s">
        <v>544</v>
      </c>
      <c r="G20" s="339" t="s">
        <v>545</v>
      </c>
      <c r="H20" s="339" t="s">
        <v>546</v>
      </c>
      <c r="I20" s="339" t="s">
        <v>547</v>
      </c>
      <c r="J20" s="339" t="s">
        <v>548</v>
      </c>
    </row>
    <row r="21" spans="1:10">
      <c r="A21" s="126"/>
      <c r="B21" s="131" t="s">
        <v>532</v>
      </c>
      <c r="C21" s="131">
        <v>3738.8</v>
      </c>
      <c r="D21" s="131">
        <v>1.2</v>
      </c>
      <c r="E21" s="131">
        <v>133146</v>
      </c>
      <c r="F21" s="131">
        <v>277.8</v>
      </c>
      <c r="G21" s="131">
        <v>15000</v>
      </c>
      <c r="H21" s="131">
        <v>15.83</v>
      </c>
      <c r="I21" s="131">
        <v>2.1</v>
      </c>
      <c r="J21">
        <v>15.2</v>
      </c>
    </row>
    <row r="22" spans="1:10">
      <c r="A22" s="126"/>
      <c r="B22" s="131" t="s">
        <v>534</v>
      </c>
      <c r="C22" s="131">
        <v>15200</v>
      </c>
      <c r="D22" s="131">
        <v>0.5</v>
      </c>
      <c r="E22" s="131">
        <v>272010</v>
      </c>
      <c r="F22" s="131">
        <v>4500</v>
      </c>
      <c r="G22" s="131">
        <v>45000</v>
      </c>
      <c r="H22" s="131">
        <v>12.5</v>
      </c>
      <c r="I22" s="131">
        <v>1.6</v>
      </c>
      <c r="J22">
        <v>120.5</v>
      </c>
    </row>
    <row r="23" spans="1:10">
      <c r="A23" s="126"/>
      <c r="B23" s="131" t="s">
        <v>536</v>
      </c>
      <c r="C23" s="131">
        <v>859.3</v>
      </c>
      <c r="D23" s="131">
        <v>4.13</v>
      </c>
      <c r="E23" s="131">
        <v>135334</v>
      </c>
      <c r="F23" s="131">
        <v>363.46</v>
      </c>
      <c r="G23" s="131">
        <v>12000</v>
      </c>
      <c r="H23" s="131">
        <v>27.01</v>
      </c>
      <c r="I23" s="131">
        <v>10.5</v>
      </c>
      <c r="J23">
        <v>15.8</v>
      </c>
    </row>
    <row r="24" spans="1:10">
      <c r="A24" s="126"/>
      <c r="B24" s="131" t="s">
        <v>538</v>
      </c>
      <c r="C24" s="131">
        <v>6623.2</v>
      </c>
      <c r="D24" s="131">
        <v>-0.5</v>
      </c>
      <c r="E24" s="131">
        <v>140351</v>
      </c>
      <c r="F24" s="131">
        <v>1783.65</v>
      </c>
      <c r="G24" s="131">
        <v>18000</v>
      </c>
      <c r="H24" s="131">
        <v>29.93</v>
      </c>
      <c r="I24" s="131">
        <v>13.6</v>
      </c>
      <c r="J24">
        <v>84.2</v>
      </c>
    </row>
    <row r="25" spans="1:10">
      <c r="A25" s="126"/>
      <c r="B25" s="131"/>
      <c r="C25" s="131"/>
      <c r="D25" s="131"/>
      <c r="E25" s="131"/>
      <c r="F25" s="131"/>
      <c r="G25" s="131"/>
      <c r="H25" s="131"/>
      <c r="I25" s="131"/>
    </row>
    <row r="26" spans="1:10">
      <c r="A26" s="126"/>
      <c r="B26" s="131"/>
      <c r="C26" s="131"/>
      <c r="D26" s="131"/>
      <c r="E26" s="131"/>
      <c r="F26" s="131"/>
      <c r="G26" s="131"/>
      <c r="H26" s="131"/>
      <c r="I26" s="131"/>
    </row>
    <row r="27" spans="1:10">
      <c r="A27" s="126"/>
      <c r="B27" s="131"/>
      <c r="C27" s="131"/>
      <c r="D27" s="131"/>
      <c r="E27" s="131"/>
      <c r="F27" s="131"/>
      <c r="G27" s="131"/>
      <c r="H27" s="131"/>
      <c r="I27" s="13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Hero</vt:lpstr>
      <vt:lpstr>About</vt:lpstr>
      <vt:lpstr>Shareholding </vt:lpstr>
      <vt:lpstr>Consolidated FS</vt:lpstr>
      <vt:lpstr>Quaterly Results </vt:lpstr>
      <vt:lpstr>WACC</vt:lpstr>
      <vt:lpstr>BETA</vt:lpstr>
      <vt:lpstr>Assumptions</vt:lpstr>
      <vt:lpstr>Fixed Asset Schedule </vt:lpstr>
      <vt:lpstr>Change in Working Capital </vt:lpstr>
      <vt:lpstr>FCFF</vt:lpstr>
      <vt:lpstr>Growth Scenario</vt:lpstr>
      <vt:lpstr>Valuation </vt:lpstr>
      <vt:lpstr>Ratios</vt:lpstr>
      <vt:lpstr>Raw Data Relative Valuation </vt:lpstr>
      <vt:lpstr>Relative Valuation </vt:lpstr>
      <vt:lpstr>Stock Analysis</vt:lpstr>
      <vt:lpstr>Peers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 singh</dc:creator>
  <cp:lastModifiedBy>hi singh</cp:lastModifiedBy>
  <dcterms:created xsi:type="dcterms:W3CDTF">2026-05-15T07:18:10Z</dcterms:created>
  <dcterms:modified xsi:type="dcterms:W3CDTF">2026-06-10T06:53:15Z</dcterms:modified>
</cp:coreProperties>
</file>