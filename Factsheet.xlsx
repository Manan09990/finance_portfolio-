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9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Manan\Desktop\cip hero\Full finalized\"/>
    </mc:Choice>
  </mc:AlternateContent>
  <xr:revisionPtr revIDLastSave="0" documentId="13_ncr:1_{C9C936DA-F5C0-4014-86FA-97AFA23132D5}" xr6:coauthVersionLast="47" xr6:coauthVersionMax="47" xr10:uidLastSave="{00000000-0000-0000-0000-000000000000}"/>
  <bookViews>
    <workbookView xWindow="-108" yWindow="-108" windowWidth="23256" windowHeight="13896" firstSheet="1" activeTab="5" xr2:uid="{00000000-000D-0000-FFFF-FFFF00000000}"/>
  </bookViews>
  <sheets>
    <sheet name="Selected Funds " sheetId="1" r:id="rId1"/>
    <sheet name="TOP 10 Stocks " sheetId="15" r:id="rId2"/>
    <sheet name="Raw Data " sheetId="13" r:id="rId3"/>
    <sheet name="Mirae Midcap" sheetId="2" r:id="rId4"/>
    <sheet name="HSBC Midcap funds" sheetId="3" r:id="rId5"/>
    <sheet name="Edelweiss Mid Cap Fund" sheetId="4" r:id="rId6"/>
    <sheet name="Franklin India Mid Cap Fund" sheetId="5" r:id="rId7"/>
    <sheet name="Bandhan Midcap" sheetId="6" r:id="rId8"/>
    <sheet name="Quant Midcap" sheetId="7" r:id="rId9"/>
    <sheet name="Sbi Midcap" sheetId="8" r:id="rId10"/>
    <sheet name="Kotak Midcap" sheetId="10" r:id="rId11"/>
    <sheet name="Motilal Midcap" sheetId="11" r:id="rId12"/>
    <sheet name="Axis " sheetId="9" r:id="rId13"/>
    <sheet name="Sheet2" sheetId="12" r:id="rId14"/>
  </sheets>
  <calcPr calcId="191029"/>
  <pivotCaches>
    <pivotCache cacheId="0" r:id="rId1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2" i="10" l="1"/>
</calcChain>
</file>

<file path=xl/sharedStrings.xml><?xml version="1.0" encoding="utf-8"?>
<sst xmlns="http://schemas.openxmlformats.org/spreadsheetml/2006/main" count="1968" uniqueCount="785">
  <si>
    <t>Fund</t>
  </si>
  <si>
    <t>AUM (₹ Crore)</t>
  </si>
  <si>
    <t>Kotak Midcap Fund</t>
  </si>
  <si>
    <t>Motilal Oswal Midcap Fund</t>
  </si>
  <si>
    <t>Axis Midcap Fund</t>
  </si>
  <si>
    <t>SBI Magnum Midcap Fund</t>
  </si>
  <si>
    <t>Mirae Asset Midcap Fund</t>
  </si>
  <si>
    <t>Edelweiss Mid Cap Fund</t>
  </si>
  <si>
    <t>HSBC Midcap Fund</t>
  </si>
  <si>
    <t>Franklin India Mid Cap Fund</t>
  </si>
  <si>
    <t>Sector</t>
  </si>
  <si>
    <t>Allocation (%)</t>
  </si>
  <si>
    <t>Banks</t>
  </si>
  <si>
    <t>Pharmaceuticals &amp; Biotechnology</t>
  </si>
  <si>
    <t>Transport Services</t>
  </si>
  <si>
    <t>State Bank of India</t>
  </si>
  <si>
    <t>Consumer Durables</t>
  </si>
  <si>
    <t>Reliance Industries Ltd.</t>
  </si>
  <si>
    <t>IT - Software</t>
  </si>
  <si>
    <t>IndusInd Bank Ltd.</t>
  </si>
  <si>
    <t>Retailing</t>
  </si>
  <si>
    <t>Laurus Labs Ltd.</t>
  </si>
  <si>
    <t>Auto Components</t>
  </si>
  <si>
    <t>Delhivery Ltd.</t>
  </si>
  <si>
    <t>Finance</t>
  </si>
  <si>
    <t>Automobiles</t>
  </si>
  <si>
    <t>Bharat Forge Ltd.</t>
  </si>
  <si>
    <t>Telecom - Services</t>
  </si>
  <si>
    <t>Other Equities</t>
  </si>
  <si>
    <t>Others</t>
  </si>
  <si>
    <t>Equity Holding Total</t>
  </si>
  <si>
    <t>Cash &amp; Other Receivables</t>
  </si>
  <si>
    <t>Total</t>
  </si>
  <si>
    <t>Holding Name</t>
  </si>
  <si>
    <t>%</t>
  </si>
  <si>
    <t>Fund %</t>
  </si>
  <si>
    <t>Year</t>
  </si>
  <si>
    <t>Q1</t>
  </si>
  <si>
    <t>Q2</t>
  </si>
  <si>
    <t>Q3</t>
  </si>
  <si>
    <t>Q4</t>
  </si>
  <si>
    <t>BSE Ltd</t>
  </si>
  <si>
    <t>Cyclical</t>
  </si>
  <si>
    <t>-</t>
  </si>
  <si>
    <t>Basic Materials</t>
  </si>
  <si>
    <t>Consumer Cyclical</t>
  </si>
  <si>
    <t>Financial Services</t>
  </si>
  <si>
    <t>Billionbrains Garage Ventures Ltd</t>
  </si>
  <si>
    <t>Sensitive</t>
  </si>
  <si>
    <t>Communication Services</t>
  </si>
  <si>
    <t>PB Fintech Ltd</t>
  </si>
  <si>
    <t>Energy</t>
  </si>
  <si>
    <t>Industrials</t>
  </si>
  <si>
    <t>Bharat Electronics Ltd</t>
  </si>
  <si>
    <t>Technology</t>
  </si>
  <si>
    <t>Defensive</t>
  </si>
  <si>
    <t>Consumer Defensive</t>
  </si>
  <si>
    <t>Healthcare</t>
  </si>
  <si>
    <t>Utilities</t>
  </si>
  <si>
    <t>Company Name</t>
  </si>
  <si>
    <t>% Assets</t>
  </si>
  <si>
    <t>Sector Allocation</t>
  </si>
  <si>
    <t>Market Cap Allocation</t>
  </si>
  <si>
    <t>MULTI COMMODITY EXCHANGE OF INDIA LTD</t>
  </si>
  <si>
    <t>Large Cap</t>
  </si>
  <si>
    <t>BSE LTD</t>
  </si>
  <si>
    <t>Capital Goods</t>
  </si>
  <si>
    <t>Mid Cap</t>
  </si>
  <si>
    <t>FEDERAL BANK LTD</t>
  </si>
  <si>
    <t>Small Cap</t>
  </si>
  <si>
    <t>FORTIS HEALTHCARE LTD</t>
  </si>
  <si>
    <t>Automobile and Auto Components</t>
  </si>
  <si>
    <t>MARICO LTD</t>
  </si>
  <si>
    <t>Fast Moving Consumer Goods</t>
  </si>
  <si>
    <t>SOLAR INDUSTRIES INDIA LTD</t>
  </si>
  <si>
    <t>Chemicals</t>
  </si>
  <si>
    <t>BHARAT HEAVY ELECTRICALS LTD</t>
  </si>
  <si>
    <t>Metals &amp; Mining</t>
  </si>
  <si>
    <t>JSW ENERGY LTD</t>
  </si>
  <si>
    <t>Power</t>
  </si>
  <si>
    <t>Information Technology</t>
  </si>
  <si>
    <t>INDIAN BANK</t>
  </si>
  <si>
    <t>Consumer Services</t>
  </si>
  <si>
    <t>IDFC FIRST BANK LTD</t>
  </si>
  <si>
    <t>COFORGE LIMITED</t>
  </si>
  <si>
    <t>Telecommunication</t>
  </si>
  <si>
    <t>CUMMINS INDIA LTD</t>
  </si>
  <si>
    <t>GE VERNOVA T&amp;D INDIA LIMITED</t>
  </si>
  <si>
    <t>Realty</t>
  </si>
  <si>
    <t>NMDC LTD</t>
  </si>
  <si>
    <t>Oil, Gas &amp; Consumable Fuels</t>
  </si>
  <si>
    <t>PERSISTENT SYSTEMS LTD</t>
  </si>
  <si>
    <t>Construction Materials</t>
  </si>
  <si>
    <t>AU SMALL FINANCE BANK LTD</t>
  </si>
  <si>
    <t>Textiles</t>
  </si>
  <si>
    <t>RADICO KHAITAN LTD</t>
  </si>
  <si>
    <t>Services</t>
  </si>
  <si>
    <t>INDUS TOWERS LTD</t>
  </si>
  <si>
    <t>BHARAT FORGE LTD</t>
  </si>
  <si>
    <t>L&amp;T FINANCE LTD</t>
  </si>
  <si>
    <t>JK CEMENT LTD</t>
  </si>
  <si>
    <t>UNO MINDA LTD</t>
  </si>
  <si>
    <t>CITY UNION BANK LTD</t>
  </si>
  <si>
    <t>APL APOLLO TUBES LTD</t>
  </si>
  <si>
    <t>CREDITACCESS GRAMEEN LIMITED</t>
  </si>
  <si>
    <t>KEI INDUSTRIES LTD</t>
  </si>
  <si>
    <t>MAX FINANCIAL SERVICES LTD</t>
  </si>
  <si>
    <t>HDFC ASSET MANAGEMENT COMPANY LIMITED</t>
  </si>
  <si>
    <t>ASHOK LEYLAND LTD</t>
  </si>
  <si>
    <t>PB FINTECH LIMITED</t>
  </si>
  <si>
    <t>TORRENT POWER LTD</t>
  </si>
  <si>
    <t>MAX HEALTHCARE INSTITUTE LIMITED</t>
  </si>
  <si>
    <t>HINDUSTAN PETROLEUM CORPORATION LTD</t>
  </si>
  <si>
    <t>IPCA LABORATORIES LTD</t>
  </si>
  <si>
    <t>JINDAL STAINLESS LIMITED.</t>
  </si>
  <si>
    <t>POLYCAB INDIA LIMITED</t>
  </si>
  <si>
    <t>KARUR VYSYA BANK LTD</t>
  </si>
  <si>
    <t>LUPIN LTD</t>
  </si>
  <si>
    <t>SRF LTD</t>
  </si>
  <si>
    <t>THE PHOENIX MILLS LTD</t>
  </si>
  <si>
    <t>VISHAL MEGA MART LIMITED</t>
  </si>
  <si>
    <t>SUNDARAM FINANCE LTD</t>
  </si>
  <si>
    <t>PAGE INDUSTRIES LTD</t>
  </si>
  <si>
    <t>STEEL AUTHORITY OF INDIA LTD</t>
  </si>
  <si>
    <t>BHARAT ELECTRONICS LTD</t>
  </si>
  <si>
    <t>VODAFONE IDEA LTD</t>
  </si>
  <si>
    <t>AJANTA PHARMA LTD</t>
  </si>
  <si>
    <t>ENDURANCE TECHNOLOGIES LTD</t>
  </si>
  <si>
    <t>MANKIND PHARMA LTD.</t>
  </si>
  <si>
    <t>JUBILANT FOODWORKS LTD</t>
  </si>
  <si>
    <t>SUMITOMO CHEMICAL INDIA LTD</t>
  </si>
  <si>
    <t>LG ELECTRONICS INDIA LTD</t>
  </si>
  <si>
    <t>BILLIONBRAINS GARAGE VENTURES LIMITED</t>
  </si>
  <si>
    <t>HITACHI ENERGY INDIA LIMITED</t>
  </si>
  <si>
    <t>BALKRISHNA INDUSTRIES LTD</t>
  </si>
  <si>
    <t>PRESTIGE ESTATES PROJECT</t>
  </si>
  <si>
    <t>INDIAN HOTELS CO. LTD</t>
  </si>
  <si>
    <t>SCHAEFFLER INDIA LTD</t>
  </si>
  <si>
    <t>ICICI PRUDENTIAL ASSET MGMT CO LTD</t>
  </si>
  <si>
    <t>DIXON TECHNOLOGIES (INDIA) LTD</t>
  </si>
  <si>
    <t>MUTHOOT FINANCE LTD</t>
  </si>
  <si>
    <t>CG POWER AND INDUSTRIAL SOLUTIONS LTD</t>
  </si>
  <si>
    <t>TVS MOTOR COMPANY LTD</t>
  </si>
  <si>
    <t>BLUE STAR LTD</t>
  </si>
  <si>
    <t>BIKAJI FOODS INTERNATIONAL LTD.</t>
  </si>
  <si>
    <t>ATHER ENERGY LIMITED</t>
  </si>
  <si>
    <t>TRIVENI TURBINE LTD</t>
  </si>
  <si>
    <t>J. B. CHEMICALS &amp; PHARMA LTD</t>
  </si>
  <si>
    <t>CHOLAMANDALAM INVESTMENT &amp; FIN CO. LTD</t>
  </si>
  <si>
    <t>CRAFTSMAN AUTOMATION LTD</t>
  </si>
  <si>
    <t>BHARTI HEXACOM LIMITED</t>
  </si>
  <si>
    <t>LAURUS LABS LIMITED</t>
  </si>
  <si>
    <t>THERMAX LTD</t>
  </si>
  <si>
    <t>OIL INDIA LTD</t>
  </si>
  <si>
    <t>360 ONE WAM LIMITED</t>
  </si>
  <si>
    <t>ELECON ENGINEERING CO.LTD.</t>
  </si>
  <si>
    <t>NATIONAL ALUMINIUM CO. LTD</t>
  </si>
  <si>
    <t>BHARAT DYNAMICS LIMITED</t>
  </si>
  <si>
    <t>FIRSTSOURCE SOLUTIONS LTD</t>
  </si>
  <si>
    <t>SUPREME INDUSTRIES LTD</t>
  </si>
  <si>
    <t>DABUR INDIA LTD</t>
  </si>
  <si>
    <t>ASTRAL LTD</t>
  </si>
  <si>
    <t>NETWEB TECHNOLOGIES INDIA LIMITED</t>
  </si>
  <si>
    <t>SWIGGY LIMITED</t>
  </si>
  <si>
    <t>NAVIN FLUORINE INTERNATIONAL LTD</t>
  </si>
  <si>
    <t>DEEPAK NITRITE LIMITED</t>
  </si>
  <si>
    <t>ITC HOTELS LIMITED</t>
  </si>
  <si>
    <t>OBEROI REALTY LTD</t>
  </si>
  <si>
    <t>BERGER PAINTS INDIA LTD</t>
  </si>
  <si>
    <t>CEAT LTD</t>
  </si>
  <si>
    <t>Sector / Company Name</t>
  </si>
  <si>
    <t>% of Assets</t>
  </si>
  <si>
    <t>Industry Allocation - Equity Assets</t>
  </si>
  <si>
    <t>Agricultural Food &amp; Other Products</t>
  </si>
  <si>
    <t>Tata Consumer Products Ltd</t>
  </si>
  <si>
    <t>Agricultural, Commercial &amp; Construction Vehicles</t>
  </si>
  <si>
    <t>Tata Motors Ltd</t>
  </si>
  <si>
    <t>Petroleum Products</t>
  </si>
  <si>
    <t>Insurance</t>
  </si>
  <si>
    <t>Mahindra &amp; Mahindra Ltd</t>
  </si>
  <si>
    <t>Maruti Suzuki India Ltd</t>
  </si>
  <si>
    <t>Construction</t>
  </si>
  <si>
    <t>Healthcare Services</t>
  </si>
  <si>
    <t>ICICI Bank Ltd</t>
  </si>
  <si>
    <t>HDFC Bank Ltd</t>
  </si>
  <si>
    <t>Non - Ferrous Metals</t>
  </si>
  <si>
    <t>Kotak Mahindra Bank Ltd</t>
  </si>
  <si>
    <t>Cement &amp; Cement Products</t>
  </si>
  <si>
    <t>Axis Bank Ltd</t>
  </si>
  <si>
    <t>Financial Technology (Fintech)</t>
  </si>
  <si>
    <t>Beverages</t>
  </si>
  <si>
    <t>United Spirits Ltd</t>
  </si>
  <si>
    <t>Diversified FMCG</t>
  </si>
  <si>
    <t>Electrical Equipment</t>
  </si>
  <si>
    <t>Ultratech Cement Ltd</t>
  </si>
  <si>
    <t>Personal Products</t>
  </si>
  <si>
    <t>Transport Infrastructure</t>
  </si>
  <si>
    <t>IT - Services</t>
  </si>
  <si>
    <t>Larsen &amp; Toubro Ltd</t>
  </si>
  <si>
    <t>Oil</t>
  </si>
  <si>
    <t>Asian Paints Ltd</t>
  </si>
  <si>
    <t>Dixon Technologies (India) Ltd</t>
  </si>
  <si>
    <t>Crompton Greaves Consumer Electricals Ltd</t>
  </si>
  <si>
    <t>Titan Co Ltd</t>
  </si>
  <si>
    <t>LG Electronics India Ltd</t>
  </si>
  <si>
    <t>Hindustan Unilever Ltd</t>
  </si>
  <si>
    <t>ABB India Ltd</t>
  </si>
  <si>
    <t>Bajaj Finserv Ltd</t>
  </si>
  <si>
    <t>Cholamandalam Investment and Finance Co Ltd</t>
  </si>
  <si>
    <t>Apollo Hospitals Enterprise Ltd</t>
  </si>
  <si>
    <t>Max Healthcare Institute Ltd</t>
  </si>
  <si>
    <t>SBI Life Insurance Co Ltd</t>
  </si>
  <si>
    <t>HDFC Life Insurance Co Ltd</t>
  </si>
  <si>
    <t>Cognizant Technology Solutions Corp., A (USA)</t>
  </si>
  <si>
    <t>Infosys Ltd</t>
  </si>
  <si>
    <t>HCL Technologies Ltd</t>
  </si>
  <si>
    <t>Persistent Systems Ltd</t>
  </si>
  <si>
    <t>Tata Consultancy Services Ltd</t>
  </si>
  <si>
    <t>Hindalco Industries Ltd</t>
  </si>
  <si>
    <t>Oil &amp; Natural Gas Corporation Ltd</t>
  </si>
  <si>
    <t>Godrej Consumer Products Ltd</t>
  </si>
  <si>
    <t>Reliance Industries Ltd</t>
  </si>
  <si>
    <t>J.B. Chemicals &amp; Pharmaceuticals Ltd</t>
  </si>
  <si>
    <t>Torrent Pharmaceuticals Ltd</t>
  </si>
  <si>
    <t>Divi's Laboratories Ltd</t>
  </si>
  <si>
    <t>Sun Pharmaceutical Industries Ltd</t>
  </si>
  <si>
    <t>Tata Power Co Ltd</t>
  </si>
  <si>
    <t>Power Grid Corporation of India Ltd</t>
  </si>
  <si>
    <t>Oberoi Realty Ltd</t>
  </si>
  <si>
    <t>Brigade Enterprises Ltd</t>
  </si>
  <si>
    <t>Eternal Ltd</t>
  </si>
  <si>
    <t>Vishal Mega Mart Ltd</t>
  </si>
  <si>
    <t>Swiggy Ltd</t>
  </si>
  <si>
    <t>Trent Ltd</t>
  </si>
  <si>
    <t>Info Edge (India) Ltd</t>
  </si>
  <si>
    <t>JSW Infrastructure Ltd</t>
  </si>
  <si>
    <t>as on Apr 30, 2026</t>
  </si>
  <si>
    <t>Financial</t>
  </si>
  <si>
    <t>Consumer Staples</t>
  </si>
  <si>
    <t>2.22 %</t>
  </si>
  <si>
    <t>2.12 %</t>
  </si>
  <si>
    <t>2.03 %</t>
  </si>
  <si>
    <t>1.99 %</t>
  </si>
  <si>
    <t>1.91 %</t>
  </si>
  <si>
    <t>Automobile</t>
  </si>
  <si>
    <t>Historical Trend in Sector Stocks Holding</t>
  </si>
  <si>
    <t>1.66 %</t>
  </si>
  <si>
    <t>12 Months</t>
  </si>
  <si>
    <t>1.62 %</t>
  </si>
  <si>
    <t>17.47 %</t>
  </si>
  <si>
    <t>17.06 %</t>
  </si>
  <si>
    <t>17.13 %</t>
  </si>
  <si>
    <t>16.6 %</t>
  </si>
  <si>
    <t>15.86 %</t>
  </si>
  <si>
    <t>14.87 %</t>
  </si>
  <si>
    <t>15.39 %</t>
  </si>
  <si>
    <t>14.81 %</t>
  </si>
  <si>
    <t>14.94 %</t>
  </si>
  <si>
    <t>14.63 %</t>
  </si>
  <si>
    <t>15.25 %</t>
  </si>
  <si>
    <t>13.99 %</t>
  </si>
  <si>
    <t>16.04 %</t>
  </si>
  <si>
    <t>15.23 %</t>
  </si>
  <si>
    <t>15.54 %</t>
  </si>
  <si>
    <t>13.88 %</t>
  </si>
  <si>
    <t>15.18 %</t>
  </si>
  <si>
    <t>16.77 %</t>
  </si>
  <si>
    <t>18.24 %</t>
  </si>
  <si>
    <t>19.1 %</t>
  </si>
  <si>
    <t>18.93 %</t>
  </si>
  <si>
    <t>18.81 %</t>
  </si>
  <si>
    <t>17.15 %</t>
  </si>
  <si>
    <t>16.3 %</t>
  </si>
  <si>
    <t>Materials</t>
  </si>
  <si>
    <t>14.07 %</t>
  </si>
  <si>
    <t>15.1 %</t>
  </si>
  <si>
    <t>14.66 %</t>
  </si>
  <si>
    <t>13.62 %</t>
  </si>
  <si>
    <t>14.26 %</t>
  </si>
  <si>
    <t>14.45 %</t>
  </si>
  <si>
    <t>14.89 %</t>
  </si>
  <si>
    <t>15.43 %</t>
  </si>
  <si>
    <t>14.32 %</t>
  </si>
  <si>
    <t>13.25 %</t>
  </si>
  <si>
    <t>12.42 %</t>
  </si>
  <si>
    <t>12.15 %</t>
  </si>
  <si>
    <t>1.39 %</t>
  </si>
  <si>
    <t>13.6 %</t>
  </si>
  <si>
    <t>13.82 %</t>
  </si>
  <si>
    <t>14.71 %</t>
  </si>
  <si>
    <t>14.85 %</t>
  </si>
  <si>
    <t>14.17 %</t>
  </si>
  <si>
    <t>13.7 %</t>
  </si>
  <si>
    <t>11.32 %</t>
  </si>
  <si>
    <t>10.41 %</t>
  </si>
  <si>
    <t>9.37 %</t>
  </si>
  <si>
    <t>9.08 %</t>
  </si>
  <si>
    <t>8.19 %</t>
  </si>
  <si>
    <t>7.41 %</t>
  </si>
  <si>
    <t>1.38 %</t>
  </si>
  <si>
    <t>5.06 %</t>
  </si>
  <si>
    <t>5.5 %</t>
  </si>
  <si>
    <t>5.6 %</t>
  </si>
  <si>
    <t>5.74 %</t>
  </si>
  <si>
    <t>6.21 %</t>
  </si>
  <si>
    <t>5.97 %</t>
  </si>
  <si>
    <t>6.71 %</t>
  </si>
  <si>
    <t>6.74 %</t>
  </si>
  <si>
    <t>6.2 %</t>
  </si>
  <si>
    <t>6.13 %</t>
  </si>
  <si>
    <t>6.46 %</t>
  </si>
  <si>
    <t>5.02 %</t>
  </si>
  <si>
    <t>4.95 %</t>
  </si>
  <si>
    <t>5.01 %</t>
  </si>
  <si>
    <t>5.28 %</t>
  </si>
  <si>
    <t>4.98 %</t>
  </si>
  <si>
    <t>5.14 %</t>
  </si>
  <si>
    <t>5.11 %</t>
  </si>
  <si>
    <t>5.22 %</t>
  </si>
  <si>
    <t>5.03 %</t>
  </si>
  <si>
    <t>5.73 %</t>
  </si>
  <si>
    <t>5.35 %</t>
  </si>
  <si>
    <t>4.54 %</t>
  </si>
  <si>
    <t>4.41 %</t>
  </si>
  <si>
    <t>4.6 %</t>
  </si>
  <si>
    <t>3.89 %</t>
  </si>
  <si>
    <t>4.16 %</t>
  </si>
  <si>
    <t>3.76 %</t>
  </si>
  <si>
    <t>4 %</t>
  </si>
  <si>
    <t>4.43 %</t>
  </si>
  <si>
    <t>1.88 %</t>
  </si>
  <si>
    <t>1.81 %</t>
  </si>
  <si>
    <t>1.87 %</t>
  </si>
  <si>
    <t>Communication</t>
  </si>
  <si>
    <t>4.06 %</t>
  </si>
  <si>
    <t>4.47 %</t>
  </si>
  <si>
    <t>4.29 %</t>
  </si>
  <si>
    <t>4.23 %</t>
  </si>
  <si>
    <t>3.29 %</t>
  </si>
  <si>
    <t>3.44 %</t>
  </si>
  <si>
    <t>3.36 %</t>
  </si>
  <si>
    <t>4.01 %</t>
  </si>
  <si>
    <t>3.94 %</t>
  </si>
  <si>
    <t>4.09 %</t>
  </si>
  <si>
    <t>4.32 %</t>
  </si>
  <si>
    <t>3.34 %</t>
  </si>
  <si>
    <t>3.22 %</t>
  </si>
  <si>
    <t>3.6 %</t>
  </si>
  <si>
    <t>3.59 %</t>
  </si>
  <si>
    <t>3.74 %</t>
  </si>
  <si>
    <t>3.41 %</t>
  </si>
  <si>
    <t>3.54 %</t>
  </si>
  <si>
    <t>4.21 %</t>
  </si>
  <si>
    <t>4.46 %</t>
  </si>
  <si>
    <t>4.58 %</t>
  </si>
  <si>
    <t>1.29 %</t>
  </si>
  <si>
    <t>3.3 %</t>
  </si>
  <si>
    <t>3.75 %</t>
  </si>
  <si>
    <t>3.62 %</t>
  </si>
  <si>
    <t>6.18 %</t>
  </si>
  <si>
    <t>6.09 %</t>
  </si>
  <si>
    <t>6.15 %</t>
  </si>
  <si>
    <t>5.64 %</t>
  </si>
  <si>
    <t>5.47 %</t>
  </si>
  <si>
    <t>6.54 %</t>
  </si>
  <si>
    <t>6.56 %</t>
  </si>
  <si>
    <t>2.58 %</t>
  </si>
  <si>
    <t>2.62 %</t>
  </si>
  <si>
    <t>2.5 %</t>
  </si>
  <si>
    <t>1.89 %</t>
  </si>
  <si>
    <t>2.11 %</t>
  </si>
  <si>
    <t>1.97 %</t>
  </si>
  <si>
    <t>1.9 %</t>
  </si>
  <si>
    <t>2.53 %</t>
  </si>
  <si>
    <t>1.27 %</t>
  </si>
  <si>
    <t>1.24 %</t>
  </si>
  <si>
    <t>1.16 %</t>
  </si>
  <si>
    <t>1.93 %</t>
  </si>
  <si>
    <t>1.92 %</t>
  </si>
  <si>
    <t>2.04 %</t>
  </si>
  <si>
    <t>2.13 %</t>
  </si>
  <si>
    <t>Consumer Discretionary</t>
  </si>
  <si>
    <t>1.57 %</t>
  </si>
  <si>
    <t>1.82 %</t>
  </si>
  <si>
    <t>2 %</t>
  </si>
  <si>
    <t>2.83 %</t>
  </si>
  <si>
    <t>2.91 %</t>
  </si>
  <si>
    <t>3.21 %</t>
  </si>
  <si>
    <t>2.69 %</t>
  </si>
  <si>
    <t>2.89 %</t>
  </si>
  <si>
    <t>3.17 %</t>
  </si>
  <si>
    <t>2.99 %</t>
  </si>
  <si>
    <t>3.38 %</t>
  </si>
  <si>
    <t>1.71 %</t>
  </si>
  <si>
    <t>1.65 %</t>
  </si>
  <si>
    <t>1.49 %</t>
  </si>
  <si>
    <t>1.33 %</t>
  </si>
  <si>
    <t>1.41 %</t>
  </si>
  <si>
    <t>1.64 %</t>
  </si>
  <si>
    <t>2.4 %</t>
  </si>
  <si>
    <t>2.87 %</t>
  </si>
  <si>
    <t>1.42 %</t>
  </si>
  <si>
    <t>1.45 %</t>
  </si>
  <si>
    <t>1.48 %</t>
  </si>
  <si>
    <t>1.21 %</t>
  </si>
  <si>
    <t>0.99 %</t>
  </si>
  <si>
    <t>0.19 %</t>
  </si>
  <si>
    <t>0.2 %</t>
  </si>
  <si>
    <t>0 %</t>
  </si>
  <si>
    <t>Scheme Weightage</t>
  </si>
  <si>
    <t>Period</t>
  </si>
  <si>
    <t>Direct Return (%)</t>
  </si>
  <si>
    <t>Regular Return (%)</t>
  </si>
  <si>
    <t>Benchmark Return (%)</t>
  </si>
  <si>
    <t>Nifty Return (%)</t>
  </si>
  <si>
    <t>Scheme Value Direct</t>
  </si>
  <si>
    <t>Scheme Value Regular</t>
  </si>
  <si>
    <t>Benchmark Value</t>
  </si>
  <si>
    <t>Nifty Value</t>
  </si>
  <si>
    <t>PSU</t>
  </si>
  <si>
    <t>6 Month</t>
  </si>
  <si>
    <t>YTD</t>
  </si>
  <si>
    <t>1 Year</t>
  </si>
  <si>
    <t>Oil &amp; Gas</t>
  </si>
  <si>
    <t>3 Years</t>
  </si>
  <si>
    <t>Auto</t>
  </si>
  <si>
    <t>5 Years</t>
  </si>
  <si>
    <t>Aurobindo Pharma Ltd.</t>
  </si>
  <si>
    <t>SI*</t>
  </si>
  <si>
    <t>IT</t>
  </si>
  <si>
    <t>Telecom</t>
  </si>
  <si>
    <t>Equity &amp; Equity Related Instruments</t>
  </si>
  <si>
    <t>Metals</t>
  </si>
  <si>
    <t>Grand Total</t>
  </si>
  <si>
    <t>Stock Name</t>
  </si>
  <si>
    <t>(%) Of Total AUM</t>
  </si>
  <si>
    <t>Portfolio Classification by Industry Allocation (%)</t>
  </si>
  <si>
    <t>Bharat Heavy Electricals Ltd.</t>
  </si>
  <si>
    <t>Industry Allocation</t>
  </si>
  <si>
    <t>Asset Allocation</t>
  </si>
  <si>
    <t>Torrent Power Ltd.</t>
  </si>
  <si>
    <t>Adani Energy Solutions Ltd.</t>
  </si>
  <si>
    <t>Smallcap</t>
  </si>
  <si>
    <t>Crisil Ltd.</t>
  </si>
  <si>
    <t>Midcap</t>
  </si>
  <si>
    <t>AIA Engineering Ltd.</t>
  </si>
  <si>
    <t>Derivatives</t>
  </si>
  <si>
    <t>Supreme Industries Ltd.</t>
  </si>
  <si>
    <t>Automobile And Auto Components</t>
  </si>
  <si>
    <t>Cash, Cash Equivalents And Others</t>
  </si>
  <si>
    <t>Sundaram Finance Ltd.</t>
  </si>
  <si>
    <t>Shree Cement Ltd.</t>
  </si>
  <si>
    <t>Biocon Ltd.</t>
  </si>
  <si>
    <t>The Federal Bank Ltd.</t>
  </si>
  <si>
    <t>HDB Financial Services Ltd.</t>
  </si>
  <si>
    <t>Pine Labs Ltd.</t>
  </si>
  <si>
    <t>Lupin Ltd.</t>
  </si>
  <si>
    <t>State Bank Of India</t>
  </si>
  <si>
    <t>ICICI Lombard General Insurance Company Ltd.</t>
  </si>
  <si>
    <t>Sovereign</t>
  </si>
  <si>
    <t>FSN E-Commerce Ventures Ltd.</t>
  </si>
  <si>
    <t>ICICI Prudential Life Insurance Company Ltd.</t>
  </si>
  <si>
    <t>Grindwell Norton Ltd.</t>
  </si>
  <si>
    <t>Oberoi Realty Ltd.</t>
  </si>
  <si>
    <t>Berger Paints India Ltd.</t>
  </si>
  <si>
    <t>Urban Company Ltd.</t>
  </si>
  <si>
    <t>L&amp;T Technology Services Ltd.</t>
  </si>
  <si>
    <t>Max Financial Services Ltd.</t>
  </si>
  <si>
    <t>Mahindra &amp; Mahindra Financial Services Ltd.</t>
  </si>
  <si>
    <t>Motherson Sumi Wiring India Ltd.</t>
  </si>
  <si>
    <t>Page Industries Ltd.</t>
  </si>
  <si>
    <t>Indus Towers Ltd.</t>
  </si>
  <si>
    <t>Siemens Ltd.</t>
  </si>
  <si>
    <t>Colgate Palmolive (India) Ltd.</t>
  </si>
  <si>
    <t>Schaeffler India Ltd.</t>
  </si>
  <si>
    <t>Carborundum Universal Ltd.</t>
  </si>
  <si>
    <t>Thermax Ltd.</t>
  </si>
  <si>
    <t>Jubilant Foodworks Ltd.</t>
  </si>
  <si>
    <t>The Phoenix Mills Ltd.</t>
  </si>
  <si>
    <t>JSW Energy Ltd.</t>
  </si>
  <si>
    <t>Dalmia Bharat Ltd.</t>
  </si>
  <si>
    <t>Star Health &amp; Allied Insurance Co. Ltd.</t>
  </si>
  <si>
    <t>Procter &amp; Gamble Hygiene And Health Care Ltd.</t>
  </si>
  <si>
    <t>Multi Commodity Exchange Of India Ltd.</t>
  </si>
  <si>
    <t>Sundram Fasteners Ltd.</t>
  </si>
  <si>
    <t>Hatsun Agro Product Ltd.</t>
  </si>
  <si>
    <t>Glaxosmithkline Pharmaceuticals Ltd.</t>
  </si>
  <si>
    <t>Solar Industries India Ltd.</t>
  </si>
  <si>
    <t>PI Industries Ltd.</t>
  </si>
  <si>
    <t>JK Cement Ltd.</t>
  </si>
  <si>
    <t>Anthem Biosciences Ltd.</t>
  </si>
  <si>
    <t>The India Cements Ltd.</t>
  </si>
  <si>
    <t>Total Equity Shares</t>
  </si>
  <si>
    <t>182 Day T-Bill 04.06.26</t>
  </si>
  <si>
    <t>91 Day T-Bill 30.07.26</t>
  </si>
  <si>
    <t>364 Day T-Bill 19.11.26</t>
  </si>
  <si>
    <t>Total Treasury Bills</t>
  </si>
  <si>
    <t>The Federal Bank Limited</t>
  </si>
  <si>
    <t>Fortis Healthcare Limited</t>
  </si>
  <si>
    <t>Multi Commodity Exchange of India Limited</t>
  </si>
  <si>
    <t>GE Vernova T&amp;D India Limited</t>
  </si>
  <si>
    <t>Schaeffler India Limited</t>
  </si>
  <si>
    <t>BSE Limited</t>
  </si>
  <si>
    <t>The Indian Hotels Company Limited</t>
  </si>
  <si>
    <t>Type</t>
  </si>
  <si>
    <t>The Phoenix Mills Limited</t>
  </si>
  <si>
    <t>Cummins India Limited</t>
  </si>
  <si>
    <t>Fortis Healthcare India Ltd</t>
  </si>
  <si>
    <t>KEI INDUSTRIES LTD.</t>
  </si>
  <si>
    <t>Ipca Laboratories Ltd.</t>
  </si>
  <si>
    <t>7.31 %</t>
  </si>
  <si>
    <t>Mphasis Ltd</t>
  </si>
  <si>
    <t>7.26 %</t>
  </si>
  <si>
    <t>7.01 %</t>
  </si>
  <si>
    <t>SOLAR INDUSTRIES INDIA LIMITED</t>
  </si>
  <si>
    <t>Debt And Money Market</t>
  </si>
  <si>
    <t>6.44 %</t>
  </si>
  <si>
    <t>L&amp;T FINANCE HOLDINGS LTD</t>
  </si>
  <si>
    <t>5.61 %</t>
  </si>
  <si>
    <t>Apar Industries Limited</t>
  </si>
  <si>
    <t>Capital Markets</t>
  </si>
  <si>
    <t>5.38 %</t>
  </si>
  <si>
    <t>FEDERAL BANK LTD.</t>
  </si>
  <si>
    <t>Chemicals and Petrochemicals</t>
  </si>
  <si>
    <t>5.31 %</t>
  </si>
  <si>
    <t>Bharat Electronics Ltd.</t>
  </si>
  <si>
    <t>BANK OF MAHARASHTRA</t>
  </si>
  <si>
    <t>DIXON TECHNOLOGIES INDIA LTD.</t>
  </si>
  <si>
    <t>ETERNAL LIMITED</t>
  </si>
  <si>
    <t>Metric</t>
  </si>
  <si>
    <t>10 Year</t>
  </si>
  <si>
    <t>7 Year</t>
  </si>
  <si>
    <t>5 Year</t>
  </si>
  <si>
    <t>3 Year</t>
  </si>
  <si>
    <t>ORACLE FINANCIAL SERVICES SOFTWARE LTD</t>
  </si>
  <si>
    <t>Average</t>
  </si>
  <si>
    <t>Schaeffler India Ltd</t>
  </si>
  <si>
    <t>Maximum</t>
  </si>
  <si>
    <t>BHARTI HEXACOM LTD.</t>
  </si>
  <si>
    <t>Minimum</t>
  </si>
  <si>
    <t>SRF Ltd.</t>
  </si>
  <si>
    <t>% times +ve returns</t>
  </si>
  <si>
    <t>Cholamandalam Investment and Finance Company Ltd.</t>
  </si>
  <si>
    <t>% times returns &gt; 7%</t>
  </si>
  <si>
    <t>SWIGGY LTD</t>
  </si>
  <si>
    <t>Power Finance Corporation Ltd.</t>
  </si>
  <si>
    <t>Global Health Ltd.</t>
  </si>
  <si>
    <t>NIPPON LIFE INDIA ASSET MANAGEMENT LTD.</t>
  </si>
  <si>
    <t>PERSISTENT SYSTEMS LIMITED</t>
  </si>
  <si>
    <t>HDB FINANCIAL SERVICES LTD</t>
  </si>
  <si>
    <t>JB CHEMICALS &amp; PHARMACEUTICALS LTD.</t>
  </si>
  <si>
    <t>NUVAMA WEALTH MANAGEMENT LIMITED</t>
  </si>
  <si>
    <t>Coromandel International Ltd.</t>
  </si>
  <si>
    <t>BSE LTD.</t>
  </si>
  <si>
    <t>BLUE STAR LTD.</t>
  </si>
  <si>
    <t>Dalmia Bharat Limited</t>
  </si>
  <si>
    <t>Metro Brands Ltd.</t>
  </si>
  <si>
    <t>AVANTI FEEDS LTD</t>
  </si>
  <si>
    <t>P I INDUSTRIES LTD</t>
  </si>
  <si>
    <t>ICICI LOMBARD GENERAL INSURANCE COMPANY LTD</t>
  </si>
  <si>
    <t>PIRAMAL FINANCE LTD</t>
  </si>
  <si>
    <t>POONAWALLA FINCORP LTD.</t>
  </si>
  <si>
    <t>Deepak Nitrite Ltd.</t>
  </si>
  <si>
    <t>VOLTAS LTD.</t>
  </si>
  <si>
    <t>Jindal Steel &amp; Power Ltd.</t>
  </si>
  <si>
    <t>MRF Limited</t>
  </si>
  <si>
    <t>Birlasoft Ltd.</t>
  </si>
  <si>
    <t>ASTER DM HEALTHCARE LTD</t>
  </si>
  <si>
    <t>INDIA SHELTER FINANCE CORPORATION LTD</t>
  </si>
  <si>
    <t>UNO MINDA LIMITED</t>
  </si>
  <si>
    <t>ZF Commercial Vehicle Control Systems India Limited</t>
  </si>
  <si>
    <t>MAX HEALTHCARE INSTITUTE LTD.</t>
  </si>
  <si>
    <t>Prudent Corporate Advisory Services Ltd.</t>
  </si>
  <si>
    <t>Ratnamani Metals &amp; Tubes Ltd.</t>
  </si>
  <si>
    <t>Bank Of Baroda</t>
  </si>
  <si>
    <t>REC LTD</t>
  </si>
  <si>
    <t>Apollo Tyres Ltd.</t>
  </si>
  <si>
    <t>LENSKART SOLUTIONS LIMITED</t>
  </si>
  <si>
    <t>HOME FIRST FINANCE CO INDIA</t>
  </si>
  <si>
    <t>RUBICON RESEARCH LTD</t>
  </si>
  <si>
    <t>Apollo Hospitals Enterprises Ltd.</t>
  </si>
  <si>
    <t>TECHNO ELECTRIC &amp; ENGINEERING COMPANY LIMITED</t>
  </si>
  <si>
    <t>UNITED SPIRITS LTD.</t>
  </si>
  <si>
    <t>Kotak Liquid Direct Growth</t>
  </si>
  <si>
    <t>P I INDUSTRIES LTD-JUN2026</t>
  </si>
  <si>
    <t>OBEROI REALTY LTD-JUN2026</t>
  </si>
  <si>
    <t>ORACLE FINANCIAL SERVICES SOFTWARE LTD-JUN2026</t>
  </si>
  <si>
    <t>Triparty Repo</t>
  </si>
  <si>
    <t>Name of Instrument</t>
  </si>
  <si>
    <t>% to Net Asset</t>
  </si>
  <si>
    <t>Sector / Rating</t>
  </si>
  <si>
    <t>Percent</t>
  </si>
  <si>
    <t>Equity &amp; Equity related</t>
  </si>
  <si>
    <t>(A) Listed / awaiting listing on Stock Exchanges</t>
  </si>
  <si>
    <t>Aditya Birla Capital Limited</t>
  </si>
  <si>
    <t>Aerospace &amp; Defense</t>
  </si>
  <si>
    <t>AU Small Finance Bank Limited</t>
  </si>
  <si>
    <t>Bharti Hexacom Limited</t>
  </si>
  <si>
    <t>Industrial Products</t>
  </si>
  <si>
    <t>Dixon Technologies (India) Limited</t>
  </si>
  <si>
    <t>PB Fintech Limited</t>
  </si>
  <si>
    <t>IDFC First Bank Limited</t>
  </si>
  <si>
    <t>ICICI Prudential Asset Management Company Limited</t>
  </si>
  <si>
    <t>Kalyan Jewellers India Limited</t>
  </si>
  <si>
    <t>KEI Industries Limited</t>
  </si>
  <si>
    <t>L&amp;T Finance Limited</t>
  </si>
  <si>
    <t>Cash &amp; Equivalent</t>
  </si>
  <si>
    <t>Max Healthcare Institute Limited</t>
  </si>
  <si>
    <t>Multi Commodity Exchange of India Ltd</t>
  </si>
  <si>
    <t>Samvardhana Motherson International Ltd</t>
  </si>
  <si>
    <t>Coforge Limited</t>
  </si>
  <si>
    <t>One 97 Communications Limited</t>
  </si>
  <si>
    <t>Premier Energies Limited</t>
  </si>
  <si>
    <t>Prestige Estates Projects Ltd</t>
  </si>
  <si>
    <t>Shriram Finance Limited</t>
  </si>
  <si>
    <t>Suzlon Energy Ltd</t>
  </si>
  <si>
    <t>Tube Investments Of India Limited</t>
  </si>
  <si>
    <t>Waaree Energies Limited</t>
  </si>
  <si>
    <t>Eternal Limited</t>
  </si>
  <si>
    <t>Bandhan Mid Cap Fund</t>
  </si>
  <si>
    <t>Quant Midap</t>
  </si>
  <si>
    <t>Instrument Type/Issuer Name</t>
  </si>
  <si>
    <t>NIFTY</t>
  </si>
  <si>
    <t>IPCA Laboratories Limited</t>
  </si>
  <si>
    <t>Coromandel International Limited</t>
  </si>
  <si>
    <t>% of NAV</t>
  </si>
  <si>
    <t>JK Cement Limited</t>
  </si>
  <si>
    <t>Solar Industries India Limited</t>
  </si>
  <si>
    <t>UNO Minda Limited</t>
  </si>
  <si>
    <t>TVS Motor Company Limited</t>
  </si>
  <si>
    <t>Abbott India Limited</t>
  </si>
  <si>
    <t>Bharat Forge Limited</t>
  </si>
  <si>
    <t>Indian Bank</t>
  </si>
  <si>
    <t>Torrent Power Limited</t>
  </si>
  <si>
    <t>Hitachi Energy India Limited</t>
  </si>
  <si>
    <t>Persistent Systems Limited</t>
  </si>
  <si>
    <t>Vishal Mega Mart Limited</t>
  </si>
  <si>
    <t>Supreme Industries Limited</t>
  </si>
  <si>
    <t>SRF Limited</t>
  </si>
  <si>
    <t>Bharat Heavy Electricals Limited</t>
  </si>
  <si>
    <t>Lupin Limited</t>
  </si>
  <si>
    <t>Blue Star Limited</t>
  </si>
  <si>
    <t>ICICI Lombard General Insurance Company Limited</t>
  </si>
  <si>
    <t>Sona BLW Precision Forgings Limited</t>
  </si>
  <si>
    <t>Bharat Electronics Limited</t>
  </si>
  <si>
    <t>CG Power and Industrial Solutions Limited</t>
  </si>
  <si>
    <t>Jindal Steel Limited</t>
  </si>
  <si>
    <t>Ashok Leyland Limited</t>
  </si>
  <si>
    <t>PI Industries Limited</t>
  </si>
  <si>
    <t>Alkem Laboratories Limited</t>
  </si>
  <si>
    <t>Hindustan Petroleum Corporation Limited</t>
  </si>
  <si>
    <t>L.P.T. Mills Limited</t>
  </si>
  <si>
    <t>eClerx Services Limited</t>
  </si>
  <si>
    <t>Sundaram Finance Limited</t>
  </si>
  <si>
    <t>Cholamandalam Financial Holdings Limited</t>
  </si>
  <si>
    <t>Mphasis Limited</t>
  </si>
  <si>
    <t>Info Edge (India) Limited</t>
  </si>
  <si>
    <t>Bajaj Finance Limited</t>
  </si>
  <si>
    <t>JB Chemicals &amp; Pharmaceuticals Limited</t>
  </si>
  <si>
    <t>Swiggy Limited</t>
  </si>
  <si>
    <t>Trent Limited</t>
  </si>
  <si>
    <t>Cholamandalam Investment and Finance Company Limited</t>
  </si>
  <si>
    <t>Tube Investments of India Limited</t>
  </si>
  <si>
    <t>Voltas Limited</t>
  </si>
  <si>
    <t>3M India Limited</t>
  </si>
  <si>
    <t>Indus Towers Limited</t>
  </si>
  <si>
    <t>Jubilant FoodWorks Limited</t>
  </si>
  <si>
    <t>Glenmark Pharmaceuticals Limited</t>
  </si>
  <si>
    <t>FSN E-Commerce Ventures Limited</t>
  </si>
  <si>
    <t>Other Domestic Equity (Less than 0.50% of the corpus)</t>
  </si>
  <si>
    <t>Axis Money Market Fund - Direct Plan - Growth Option</t>
  </si>
  <si>
    <t>Debt, Cash &amp; other current assets</t>
  </si>
  <si>
    <t>Company/Instrument</t>
  </si>
  <si>
    <t>Eternal</t>
  </si>
  <si>
    <t>Glenmark Pharmaceuticals</t>
  </si>
  <si>
    <t>Multi Commodity Exchange of India</t>
  </si>
  <si>
    <t>Others Equity Total</t>
  </si>
  <si>
    <t>Equity Total</t>
  </si>
  <si>
    <t>Net Cash and Cash Equivalent</t>
  </si>
  <si>
    <t>GE Vernova T&amp;D India</t>
  </si>
  <si>
    <t>Apar Industries</t>
  </si>
  <si>
    <t>The Federal Bank</t>
  </si>
  <si>
    <t>Fortis Healthcare</t>
  </si>
  <si>
    <t>Vishal Mega Mart</t>
  </si>
  <si>
    <t>BSE</t>
  </si>
  <si>
    <t>Cummins India</t>
  </si>
  <si>
    <t>PB Fintech</t>
  </si>
  <si>
    <t>CG Power and Industrial Solutions</t>
  </si>
  <si>
    <t>Persistent Systems</t>
  </si>
  <si>
    <t>L&amp;T Finance</t>
  </si>
  <si>
    <t>KEI Industries</t>
  </si>
  <si>
    <t>IPCA Laboratories</t>
  </si>
  <si>
    <t>Prestige Estates Projects</t>
  </si>
  <si>
    <t>Solar Industries India</t>
  </si>
  <si>
    <t>Sai Life Sciences</t>
  </si>
  <si>
    <t>UNO Minda</t>
  </si>
  <si>
    <t>Aditya Infotech</t>
  </si>
  <si>
    <t>The Indian Hotels Company</t>
  </si>
  <si>
    <t>Trent</t>
  </si>
  <si>
    <t>JK Cement</t>
  </si>
  <si>
    <t>Billionbrains Garage Ventures</t>
  </si>
  <si>
    <t>Torrent Power</t>
  </si>
  <si>
    <t>TVS Motor Company</t>
  </si>
  <si>
    <t>Coromandel International</t>
  </si>
  <si>
    <t>APL Apollo Tubes</t>
  </si>
  <si>
    <t>Issuer</t>
  </si>
  <si>
    <t>% to Net Assets</t>
  </si>
  <si>
    <t>Mankind Pharma Limited</t>
  </si>
  <si>
    <t>Larsen &amp; Toubro Limited</t>
  </si>
  <si>
    <t>Polycab India Limited</t>
  </si>
  <si>
    <t>Aditya Infotech Limited</t>
  </si>
  <si>
    <t>Premier Energies Ltd</t>
  </si>
  <si>
    <t>PIRI Ravichav? Ltd (blurred)</t>
  </si>
  <si>
    <t>ICICI Prudential AMC Ltd</t>
  </si>
  <si>
    <t>City Union Bank Limited</t>
  </si>
  <si>
    <t>Radico Khaitan Limited</t>
  </si>
  <si>
    <t>Godfrey Phillips India Ltd</t>
  </si>
  <si>
    <t>Anthem Biosciences Limited</t>
  </si>
  <si>
    <t>Kriksar Of Engines Ltd (blurred)</t>
  </si>
  <si>
    <t>Nippon Life India Asset Management Ltd</t>
  </si>
  <si>
    <t>Apar Industries Ltd</t>
  </si>
  <si>
    <t>Oil India Limited</t>
  </si>
  <si>
    <t>LT Foods Systems Limited (blurred)</t>
  </si>
  <si>
    <t>NPC Green Energy Ltd</t>
  </si>
  <si>
    <t>RBL Bank Limited</t>
  </si>
  <si>
    <t>Thyrocare Technologies Limited</t>
  </si>
  <si>
    <t>Aditya Birla Capital Ltd</t>
  </si>
  <si>
    <t>Aegis Logistics Limited</t>
  </si>
  <si>
    <t>Safari Industries (India) Limited</t>
  </si>
  <si>
    <t>Kaynes Technology India Pvt Ltd</t>
  </si>
  <si>
    <t>National Aluminium Company Limited</t>
  </si>
  <si>
    <t>Tata Steel Limited</t>
  </si>
  <si>
    <t>Reliance Industries Limited</t>
  </si>
  <si>
    <t>Maheson Sun Wiring India Limited</t>
  </si>
  <si>
    <t>Akzo Nobel India Limited</t>
  </si>
  <si>
    <t>Dhanlaxmi Technologies Limited</t>
  </si>
  <si>
    <t>JSW Steel Limited</t>
  </si>
  <si>
    <t>CRISIL Limited</t>
  </si>
  <si>
    <t>Hindalco Industries Limited</t>
  </si>
  <si>
    <t>The Tata Power Company Limited</t>
  </si>
  <si>
    <t>ZF Commercial Vehicle Control Systems India Ltd</t>
  </si>
  <si>
    <t>GABRIEL INDIA LIMITED</t>
  </si>
  <si>
    <t>Bosch Home Comfort India Limited</t>
  </si>
  <si>
    <t>Muthoot Finance Limited</t>
  </si>
  <si>
    <t>Max Financial Services Limited</t>
  </si>
  <si>
    <t>Amazon Web Services India Limited</t>
  </si>
  <si>
    <t>KPIT Technologies Limited</t>
  </si>
  <si>
    <t>Global Health Limited</t>
  </si>
  <si>
    <t>Divi's Laboratories Limited</t>
  </si>
  <si>
    <t>InterGlobe Aviation Limited</t>
  </si>
  <si>
    <t>CG Power And Industrial Solutions Ltd</t>
  </si>
  <si>
    <t>Biocon Limited</t>
  </si>
  <si>
    <t>Mahindra &amp; Mahindra Financial Services Ltd</t>
  </si>
  <si>
    <t>Data Patterns (India) Limited</t>
  </si>
  <si>
    <t>Cholamandalam Investment &amp; Finance Company Ltd</t>
  </si>
  <si>
    <t>Cash Equivalent</t>
  </si>
  <si>
    <t>TREPS</t>
  </si>
  <si>
    <t>Net Current Assets</t>
  </si>
  <si>
    <t>Total Net Assets</t>
  </si>
  <si>
    <t>Hero MotoCorp Ltd.</t>
  </si>
  <si>
    <t>Steel Authority of India Ltd.</t>
  </si>
  <si>
    <t>Tata Communications Ltd.</t>
  </si>
  <si>
    <t>IRB Infrastructure Developers Ltd.</t>
  </si>
  <si>
    <t>Marico Ltd.</t>
  </si>
  <si>
    <t>Lloyds Metals And Energy Ltd.</t>
  </si>
  <si>
    <t>GMR Airports Ltd.</t>
  </si>
  <si>
    <t>Linde India Ltd.</t>
  </si>
  <si>
    <t>Money Market Instruments and Net Current Assets</t>
  </si>
  <si>
    <t>.</t>
  </si>
  <si>
    <t>Mirae</t>
  </si>
  <si>
    <t>HSBC</t>
  </si>
  <si>
    <t>Edelweiss</t>
  </si>
  <si>
    <t>Franklin</t>
  </si>
  <si>
    <t>Bandhan</t>
  </si>
  <si>
    <t xml:space="preserve">Quant </t>
  </si>
  <si>
    <t>Sbi</t>
  </si>
  <si>
    <t xml:space="preserve">Kotak </t>
  </si>
  <si>
    <t>Motilal</t>
  </si>
  <si>
    <t>Axis</t>
  </si>
  <si>
    <t xml:space="preserve">Companies </t>
  </si>
  <si>
    <t xml:space="preserve">Percentage </t>
  </si>
  <si>
    <t>Funds</t>
  </si>
  <si>
    <t>Row Labels</t>
  </si>
  <si>
    <t>Column Labels</t>
  </si>
  <si>
    <t xml:space="preserve">Count of Companies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</si>
</sst>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 d"/>
    <numFmt numFmtId="165" formatCode="mmmm\ d"/>
  </numFmts>
  <fonts count="20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3"/>
      <color theme="1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</font>
    <font>
      <sz val="14"/>
      <color rgb="FF222222"/>
      <name val="Proxima-nova-semibold"/>
    </font>
    <font>
      <sz val="11"/>
      <color rgb="FF666666"/>
      <name val="Proxima-nova-regular"/>
    </font>
    <font>
      <u/>
      <sz val="11"/>
      <color rgb="FF0000FF"/>
      <name val="Proxima-nova-semibold"/>
    </font>
    <font>
      <sz val="11"/>
      <color rgb="FF222222"/>
      <name val="Proxima-nova-regular"/>
    </font>
    <font>
      <sz val="11"/>
      <color rgb="FFFFFFFF"/>
      <name val="Proxima-nova-regular"/>
    </font>
    <font>
      <sz val="11"/>
      <color rgb="FF222222"/>
      <name val="Proxima-nova-semibold"/>
    </font>
    <font>
      <sz val="12"/>
      <color rgb="FF666666"/>
      <name val="Roboto !important"/>
    </font>
    <font>
      <b/>
      <sz val="10"/>
      <color theme="1"/>
      <name val="Roboto !important"/>
    </font>
    <font>
      <sz val="12"/>
      <color rgb="FFFFFFFF"/>
      <name val="Roboto !important"/>
    </font>
    <font>
      <sz val="10"/>
      <color rgb="FF666666"/>
      <name val="Roboto !important"/>
    </font>
    <font>
      <b/>
      <sz val="10"/>
      <color rgb="FF666666"/>
      <name val="Roboto !important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0"/>
      <color rgb="FF00000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D9900"/>
        <bgColor rgb="FF4D9900"/>
      </patternFill>
    </fill>
    <fill>
      <patternFill patternType="solid">
        <fgColor rgb="FFFFFFFF"/>
        <bgColor rgb="FFFFFFFF"/>
      </patternFill>
    </fill>
    <fill>
      <patternFill patternType="solid">
        <fgColor rgb="FF919191"/>
        <bgColor rgb="FF919191"/>
      </patternFill>
    </fill>
    <fill>
      <patternFill patternType="solid">
        <fgColor rgb="FF000000"/>
        <bgColor rgb="FF000000"/>
      </patternFill>
    </fill>
    <fill>
      <patternFill patternType="solid">
        <fgColor rgb="FFCCCCCC"/>
        <bgColor rgb="FFCCCCCC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DDDDDD"/>
      </bottom>
      <diagonal/>
    </border>
    <border>
      <left/>
      <right style="thin">
        <color rgb="FFEEEEEE"/>
      </right>
      <top/>
      <bottom/>
      <diagonal/>
    </border>
    <border>
      <left style="thin">
        <color rgb="FFEEEEEE"/>
      </left>
      <right/>
      <top/>
      <bottom/>
      <diagonal/>
    </border>
    <border>
      <left/>
      <right/>
      <top/>
      <bottom style="thin">
        <color rgb="FFD9D9D9"/>
      </bottom>
      <diagonal/>
    </border>
    <border>
      <left/>
      <right/>
      <top style="thin">
        <color rgb="FFDEE2E6"/>
      </top>
      <bottom style="medium">
        <color rgb="FFDEE2E6"/>
      </bottom>
      <diagonal/>
    </border>
    <border>
      <left/>
      <right/>
      <top style="thin">
        <color rgb="FFDEE2E6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2" fillId="0" borderId="0" xfId="0" applyFont="1"/>
    <xf numFmtId="3" fontId="2" fillId="0" borderId="0" xfId="0" applyNumberFormat="1" applyFont="1" applyAlignment="1">
      <alignment horizontal="right"/>
    </xf>
    <xf numFmtId="0" fontId="3" fillId="0" borderId="0" xfId="0" applyFont="1"/>
    <xf numFmtId="0" fontId="4" fillId="0" borderId="0" xfId="0" applyFont="1"/>
    <xf numFmtId="0" fontId="5" fillId="2" borderId="1" xfId="0" applyFont="1" applyFill="1" applyBorder="1"/>
    <xf numFmtId="0" fontId="4" fillId="0" borderId="0" xfId="0" applyFont="1" applyAlignment="1">
      <alignment horizontal="right"/>
    </xf>
    <xf numFmtId="0" fontId="6" fillId="0" borderId="0" xfId="0" applyFont="1"/>
    <xf numFmtId="0" fontId="7" fillId="0" borderId="0" xfId="0" applyFont="1"/>
    <xf numFmtId="0" fontId="7" fillId="0" borderId="2" xfId="0" applyFont="1" applyBorder="1" applyAlignment="1">
      <alignment horizontal="left" vertical="top"/>
    </xf>
    <xf numFmtId="0" fontId="7" fillId="0" borderId="2" xfId="0" applyFont="1" applyBorder="1" applyAlignment="1">
      <alignment horizontal="center" vertical="top"/>
    </xf>
    <xf numFmtId="0" fontId="8" fillId="0" borderId="0" xfId="0" applyFont="1" applyAlignment="1">
      <alignment horizontal="left" vertical="top"/>
    </xf>
    <xf numFmtId="0" fontId="9" fillId="0" borderId="0" xfId="0" applyFont="1" applyAlignment="1">
      <alignment horizontal="center" vertical="top"/>
    </xf>
    <xf numFmtId="0" fontId="9" fillId="0" borderId="0" xfId="0" applyFont="1" applyAlignment="1">
      <alignment horizontal="left"/>
    </xf>
    <xf numFmtId="0" fontId="10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64" fontId="7" fillId="0" borderId="2" xfId="0" applyNumberFormat="1" applyFont="1" applyBorder="1" applyAlignment="1">
      <alignment horizontal="center" vertical="top"/>
    </xf>
    <xf numFmtId="165" fontId="7" fillId="0" borderId="2" xfId="0" applyNumberFormat="1" applyFont="1" applyBorder="1" applyAlignment="1">
      <alignment horizontal="center" vertical="top"/>
    </xf>
    <xf numFmtId="0" fontId="9" fillId="0" borderId="3" xfId="0" applyFont="1" applyBorder="1" applyAlignment="1">
      <alignment horizontal="left" vertical="top"/>
    </xf>
    <xf numFmtId="0" fontId="9" fillId="0" borderId="4" xfId="0" applyFont="1" applyBorder="1" applyAlignment="1">
      <alignment horizontal="center" vertical="top"/>
    </xf>
    <xf numFmtId="0" fontId="11" fillId="0" borderId="0" xfId="0" applyFont="1" applyAlignment="1">
      <alignment horizontal="left" vertical="top"/>
    </xf>
    <xf numFmtId="10" fontId="2" fillId="0" borderId="0" xfId="0" applyNumberFormat="1" applyFont="1"/>
    <xf numFmtId="0" fontId="14" fillId="4" borderId="6" xfId="0" applyFont="1" applyFill="1" applyBorder="1"/>
    <xf numFmtId="0" fontId="15" fillId="3" borderId="7" xfId="0" applyFont="1" applyFill="1" applyBorder="1" applyAlignment="1">
      <alignment vertical="top"/>
    </xf>
    <xf numFmtId="0" fontId="16" fillId="3" borderId="7" xfId="0" applyFont="1" applyFill="1" applyBorder="1" applyAlignment="1">
      <alignment vertical="top"/>
    </xf>
    <xf numFmtId="0" fontId="17" fillId="5" borderId="0" xfId="0" applyFont="1" applyFill="1" applyAlignment="1">
      <alignment horizontal="center"/>
    </xf>
    <xf numFmtId="0" fontId="18" fillId="6" borderId="0" xfId="0" applyFont="1" applyFill="1" applyAlignment="1">
      <alignment horizontal="left"/>
    </xf>
    <xf numFmtId="10" fontId="18" fillId="6" borderId="0" xfId="0" applyNumberFormat="1" applyFont="1" applyFill="1" applyAlignment="1">
      <alignment horizontal="right"/>
    </xf>
    <xf numFmtId="0" fontId="18" fillId="0" borderId="0" xfId="0" applyFont="1" applyAlignment="1">
      <alignment horizontal="left"/>
    </xf>
    <xf numFmtId="0" fontId="4" fillId="0" borderId="1" xfId="0" applyFont="1" applyBorder="1"/>
    <xf numFmtId="10" fontId="4" fillId="0" borderId="1" xfId="0" applyNumberFormat="1" applyFont="1" applyBorder="1" applyAlignment="1">
      <alignment horizontal="right"/>
    </xf>
    <xf numFmtId="10" fontId="4" fillId="0" borderId="0" xfId="0" applyNumberFormat="1" applyFont="1" applyAlignment="1">
      <alignment horizontal="right"/>
    </xf>
    <xf numFmtId="10" fontId="13" fillId="3" borderId="5" xfId="0" applyNumberFormat="1" applyFont="1" applyFill="1" applyBorder="1"/>
    <xf numFmtId="49" fontId="12" fillId="3" borderId="5" xfId="0" applyNumberFormat="1" applyFont="1" applyFill="1" applyBorder="1" applyAlignment="1">
      <alignment horizontal="left"/>
    </xf>
    <xf numFmtId="3" fontId="19" fillId="0" borderId="0" xfId="0" applyNumberFormat="1" applyFont="1"/>
    <xf numFmtId="10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4" fillId="0" borderId="0" xfId="0" applyFont="1"/>
    <xf numFmtId="0" fontId="0" fillId="0" borderId="0" xfId="0"/>
  </cellXfs>
  <cellStyles count="1">
    <cellStyle name="Normal" xfId="0" builtinId="0"/>
  </cellStyles>
  <dxfs count="2">
    <dxf>
      <alignment horizontal="center" vertical="bottom" textRotation="0" wrapText="0" indent="0" justifyLastLine="0" shrinkToFit="0" readingOrder="0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510-49EB-A250-A99E4683E34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510-49EB-A250-A99E4683E34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510-49EB-A250-A99E4683E34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510-49EB-A250-A99E4683E34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510-49EB-A250-A99E4683E34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9510-49EB-A250-A99E4683E34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9510-49EB-A250-A99E4683E34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9510-49EB-A250-A99E4683E34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9510-49EB-A250-A99E4683E34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9510-49EB-A250-A99E4683E34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9510-49EB-A250-A99E4683E344}"/>
              </c:ext>
            </c:extLst>
          </c:dPt>
          <c:cat>
            <c:strRef>
              <c:f>'Mirae Midcap'!$D$3:$D$13</c:f>
              <c:strCache>
                <c:ptCount val="11"/>
                <c:pt idx="0">
                  <c:v>Banks</c:v>
                </c:pt>
                <c:pt idx="1">
                  <c:v>Pharmaceuticals &amp; Biotechnology</c:v>
                </c:pt>
                <c:pt idx="2">
                  <c:v>Transport Services</c:v>
                </c:pt>
                <c:pt idx="3">
                  <c:v>Consumer Durables</c:v>
                </c:pt>
                <c:pt idx="4">
                  <c:v>IT - Software</c:v>
                </c:pt>
                <c:pt idx="5">
                  <c:v>Retailing</c:v>
                </c:pt>
                <c:pt idx="6">
                  <c:v>Auto Components</c:v>
                </c:pt>
                <c:pt idx="7">
                  <c:v>Finance</c:v>
                </c:pt>
                <c:pt idx="8">
                  <c:v>Automobiles</c:v>
                </c:pt>
                <c:pt idx="9">
                  <c:v>Telecom - Services</c:v>
                </c:pt>
                <c:pt idx="10">
                  <c:v>Others</c:v>
                </c:pt>
              </c:strCache>
            </c:strRef>
          </c:cat>
          <c:val>
            <c:numRef>
              <c:f>'Mirae Midcap'!$E$3:$E$13</c:f>
              <c:numCache>
                <c:formatCode>General</c:formatCode>
                <c:ptCount val="11"/>
                <c:pt idx="0">
                  <c:v>20.41</c:v>
                </c:pt>
                <c:pt idx="1">
                  <c:v>7.04</c:v>
                </c:pt>
                <c:pt idx="2">
                  <c:v>4.72</c:v>
                </c:pt>
                <c:pt idx="3">
                  <c:v>4.43</c:v>
                </c:pt>
                <c:pt idx="4">
                  <c:v>4.42</c:v>
                </c:pt>
                <c:pt idx="5">
                  <c:v>4.3600000000000003</c:v>
                </c:pt>
                <c:pt idx="6">
                  <c:v>4.0999999999999996</c:v>
                </c:pt>
                <c:pt idx="7">
                  <c:v>3.93</c:v>
                </c:pt>
                <c:pt idx="8">
                  <c:v>3.71</c:v>
                </c:pt>
                <c:pt idx="9">
                  <c:v>3.58</c:v>
                </c:pt>
                <c:pt idx="10">
                  <c:v>38.49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17-4759-B9BC-3A056695AA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8A9-48B8-AF05-106AC3F43C1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8A9-48B8-AF05-106AC3F43C1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8A9-48B8-AF05-106AC3F43C1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8A9-48B8-AF05-106AC3F43C1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8A9-48B8-AF05-106AC3F43C1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8A9-48B8-AF05-106AC3F43C1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D8A9-48B8-AF05-106AC3F43C1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D8A9-48B8-AF05-106AC3F43C1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D8A9-48B8-AF05-106AC3F43C1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D8A9-48B8-AF05-106AC3F43C1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D8A9-48B8-AF05-106AC3F43C1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D8A9-48B8-AF05-106AC3F43C1C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D8A9-48B8-AF05-106AC3F43C1C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D8A9-48B8-AF05-106AC3F43C1C}"/>
              </c:ext>
            </c:extLst>
          </c:dPt>
          <c:cat>
            <c:strRef>
              <c:f>'HSBC Midcap funds'!$E$3:$E$16</c:f>
              <c:strCache>
                <c:ptCount val="14"/>
                <c:pt idx="0">
                  <c:v>Cyclical</c:v>
                </c:pt>
                <c:pt idx="1">
                  <c:v>Basic Materials</c:v>
                </c:pt>
                <c:pt idx="2">
                  <c:v>Consumer Cyclical</c:v>
                </c:pt>
                <c:pt idx="3">
                  <c:v>Financial Services</c:v>
                </c:pt>
                <c:pt idx="5">
                  <c:v>Sensitive</c:v>
                </c:pt>
                <c:pt idx="6">
                  <c:v>Communication Services</c:v>
                </c:pt>
                <c:pt idx="7">
                  <c:v>Energy</c:v>
                </c:pt>
                <c:pt idx="8">
                  <c:v>Industrials</c:v>
                </c:pt>
                <c:pt idx="9">
                  <c:v>Technology</c:v>
                </c:pt>
                <c:pt idx="10">
                  <c:v>Defensive</c:v>
                </c:pt>
                <c:pt idx="11">
                  <c:v>Consumer Defensive</c:v>
                </c:pt>
                <c:pt idx="12">
                  <c:v>Healthcare</c:v>
                </c:pt>
                <c:pt idx="13">
                  <c:v>Utilities</c:v>
                </c:pt>
              </c:strCache>
            </c:strRef>
          </c:cat>
          <c:val>
            <c:numRef>
              <c:f>'HSBC Midcap funds'!$F$3:$F$16</c:f>
              <c:numCache>
                <c:formatCode>General</c:formatCode>
                <c:ptCount val="14"/>
                <c:pt idx="0">
                  <c:v>46.09</c:v>
                </c:pt>
                <c:pt idx="1">
                  <c:v>4.47</c:v>
                </c:pt>
                <c:pt idx="2">
                  <c:v>8.9</c:v>
                </c:pt>
                <c:pt idx="3">
                  <c:v>32.729999999999997</c:v>
                </c:pt>
                <c:pt idx="5">
                  <c:v>37.42</c:v>
                </c:pt>
                <c:pt idx="6">
                  <c:v>0.75</c:v>
                </c:pt>
                <c:pt idx="7">
                  <c:v>2.8</c:v>
                </c:pt>
                <c:pt idx="8">
                  <c:v>29.88</c:v>
                </c:pt>
                <c:pt idx="9">
                  <c:v>4</c:v>
                </c:pt>
                <c:pt idx="10">
                  <c:v>16.489999999999998</c:v>
                </c:pt>
                <c:pt idx="11">
                  <c:v>3.95</c:v>
                </c:pt>
                <c:pt idx="12">
                  <c:v>10.029999999999999</c:v>
                </c:pt>
                <c:pt idx="13">
                  <c:v>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08-471C-B7C1-FAD0F00940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B78-4276-A559-2AA9ADFBCD0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B78-4276-A559-2AA9ADFBCD0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B78-4276-A559-2AA9ADFBCD0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B78-4276-A559-2AA9ADFBCD0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B78-4276-A559-2AA9ADFBCD0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B78-4276-A559-2AA9ADFBCD0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FB78-4276-A559-2AA9ADFBCD0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FB78-4276-A559-2AA9ADFBCD0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FB78-4276-A559-2AA9ADFBCD0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FB78-4276-A559-2AA9ADFBCD0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FB78-4276-A559-2AA9ADFBCD0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FB78-4276-A559-2AA9ADFBCD0C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FB78-4276-A559-2AA9ADFBCD0C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FB78-4276-A559-2AA9ADFBCD0C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FB78-4276-A559-2AA9ADFBCD0C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FB78-4276-A559-2AA9ADFBCD0C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FB78-4276-A559-2AA9ADFBCD0C}"/>
              </c:ext>
            </c:extLst>
          </c:dPt>
          <c:cat>
            <c:strRef>
              <c:f>'Edelweiss Mid Cap Fund'!$D$7:$D$23</c:f>
              <c:strCache>
                <c:ptCount val="17"/>
                <c:pt idx="0">
                  <c:v>Financial Services</c:v>
                </c:pt>
                <c:pt idx="1">
                  <c:v>Capital Goods</c:v>
                </c:pt>
                <c:pt idx="2">
                  <c:v>Healthcare</c:v>
                </c:pt>
                <c:pt idx="3">
                  <c:v>Automobile and Auto Components</c:v>
                </c:pt>
                <c:pt idx="4">
                  <c:v>Fast Moving Consumer Goods</c:v>
                </c:pt>
                <c:pt idx="5">
                  <c:v>Chemicals</c:v>
                </c:pt>
                <c:pt idx="6">
                  <c:v>Metals &amp; Mining</c:v>
                </c:pt>
                <c:pt idx="7">
                  <c:v>Information Technology</c:v>
                </c:pt>
                <c:pt idx="8">
                  <c:v>Consumer Services</c:v>
                </c:pt>
                <c:pt idx="9">
                  <c:v>Power</c:v>
                </c:pt>
                <c:pt idx="10">
                  <c:v>Telecommunication</c:v>
                </c:pt>
                <c:pt idx="11">
                  <c:v>Consumer Durables</c:v>
                </c:pt>
                <c:pt idx="12">
                  <c:v>Realty</c:v>
                </c:pt>
                <c:pt idx="13">
                  <c:v>Oil, Gas &amp; Consumable Fuels</c:v>
                </c:pt>
                <c:pt idx="14">
                  <c:v>Construction Materials</c:v>
                </c:pt>
                <c:pt idx="15">
                  <c:v>Textiles</c:v>
                </c:pt>
                <c:pt idx="16">
                  <c:v>Services</c:v>
                </c:pt>
              </c:strCache>
            </c:strRef>
          </c:cat>
          <c:val>
            <c:numRef>
              <c:f>'Edelweiss Mid Cap Fund'!$E$7:$E$23</c:f>
              <c:numCache>
                <c:formatCode>General</c:formatCode>
                <c:ptCount val="17"/>
                <c:pt idx="0">
                  <c:v>27.75</c:v>
                </c:pt>
                <c:pt idx="1">
                  <c:v>15.82</c:v>
                </c:pt>
                <c:pt idx="2">
                  <c:v>8.98</c:v>
                </c:pt>
                <c:pt idx="3">
                  <c:v>7.28</c:v>
                </c:pt>
                <c:pt idx="4">
                  <c:v>4.76</c:v>
                </c:pt>
                <c:pt idx="5">
                  <c:v>4.75</c:v>
                </c:pt>
                <c:pt idx="6">
                  <c:v>4.26</c:v>
                </c:pt>
                <c:pt idx="7">
                  <c:v>3.53</c:v>
                </c:pt>
                <c:pt idx="8">
                  <c:v>3.34</c:v>
                </c:pt>
                <c:pt idx="9">
                  <c:v>3.25</c:v>
                </c:pt>
                <c:pt idx="10">
                  <c:v>3.08</c:v>
                </c:pt>
                <c:pt idx="11">
                  <c:v>2.4</c:v>
                </c:pt>
                <c:pt idx="12">
                  <c:v>2.12</c:v>
                </c:pt>
                <c:pt idx="13">
                  <c:v>1.78</c:v>
                </c:pt>
                <c:pt idx="14">
                  <c:v>1.47</c:v>
                </c:pt>
                <c:pt idx="15">
                  <c:v>1.07</c:v>
                </c:pt>
                <c:pt idx="16">
                  <c:v>0.41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66-4A8D-9F2A-E6B588489B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FD2-444A-B151-81E65BB95CF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FD2-444A-B151-81E65BB95CF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FD2-444A-B151-81E65BB95CF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FD2-444A-B151-81E65BB95CF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FD2-444A-B151-81E65BB95CF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2FD2-444A-B151-81E65BB95CF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2FD2-444A-B151-81E65BB95CF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2FD2-444A-B151-81E65BB95CF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2FD2-444A-B151-81E65BB95CF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2FD2-444A-B151-81E65BB95CF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2FD2-444A-B151-81E65BB95CF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2FD2-444A-B151-81E65BB95CF7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2FD2-444A-B151-81E65BB95CF7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2FD2-444A-B151-81E65BB95CF7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2FD2-444A-B151-81E65BB95CF7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2FD2-444A-B151-81E65BB95CF7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2FD2-444A-B151-81E65BB95CF7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2FD2-444A-B151-81E65BB95CF7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2FD2-444A-B151-81E65BB95CF7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2FD2-444A-B151-81E65BB95CF7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2FD2-444A-B151-81E65BB95CF7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2FD2-444A-B151-81E65BB95CF7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2FD2-444A-B151-81E65BB95CF7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2FD2-444A-B151-81E65BB95CF7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2FD2-444A-B151-81E65BB95CF7}"/>
              </c:ext>
            </c:extLst>
          </c:dPt>
          <c:cat>
            <c:strRef>
              <c:f>'Franklin India Mid Cap Fund'!$E$5:$E$29</c:f>
              <c:strCache>
                <c:ptCount val="25"/>
                <c:pt idx="0">
                  <c:v>Banks</c:v>
                </c:pt>
                <c:pt idx="1">
                  <c:v>Retailing</c:v>
                </c:pt>
                <c:pt idx="2">
                  <c:v>IT - Software</c:v>
                </c:pt>
                <c:pt idx="3">
                  <c:v>Pharmaceuticals &amp; Biotechnology</c:v>
                </c:pt>
                <c:pt idx="4">
                  <c:v>Petroleum Products</c:v>
                </c:pt>
                <c:pt idx="5">
                  <c:v>Consumer Durables</c:v>
                </c:pt>
                <c:pt idx="6">
                  <c:v>Insurance</c:v>
                </c:pt>
                <c:pt idx="7">
                  <c:v>Automobiles</c:v>
                </c:pt>
                <c:pt idx="8">
                  <c:v>Power</c:v>
                </c:pt>
                <c:pt idx="9">
                  <c:v>Construction</c:v>
                </c:pt>
                <c:pt idx="10">
                  <c:v>Healthcare Services</c:v>
                </c:pt>
                <c:pt idx="11">
                  <c:v>Finance</c:v>
                </c:pt>
                <c:pt idx="12">
                  <c:v>Non - Ferrous Metals</c:v>
                </c:pt>
                <c:pt idx="13">
                  <c:v>Cement &amp; Cement Products</c:v>
                </c:pt>
                <c:pt idx="14">
                  <c:v>Realty</c:v>
                </c:pt>
                <c:pt idx="15">
                  <c:v>Financial Technology (Fintech)</c:v>
                </c:pt>
                <c:pt idx="16">
                  <c:v>Agricultural, Commercial &amp; Construction Vehicles</c:v>
                </c:pt>
                <c:pt idx="17">
                  <c:v>Agricultural Food &amp; Other Products</c:v>
                </c:pt>
                <c:pt idx="18">
                  <c:v>Diversified FMCG</c:v>
                </c:pt>
                <c:pt idx="19">
                  <c:v>Electrical Equipment</c:v>
                </c:pt>
                <c:pt idx="20">
                  <c:v>Beverages</c:v>
                </c:pt>
                <c:pt idx="21">
                  <c:v>Personal Products</c:v>
                </c:pt>
                <c:pt idx="22">
                  <c:v>Transport Infrastructure</c:v>
                </c:pt>
                <c:pt idx="23">
                  <c:v>IT - Services</c:v>
                </c:pt>
                <c:pt idx="24">
                  <c:v>Oil</c:v>
                </c:pt>
              </c:strCache>
            </c:strRef>
          </c:cat>
          <c:val>
            <c:numRef>
              <c:f>'Franklin India Mid Cap Fund'!$F$5:$F$29</c:f>
              <c:numCache>
                <c:formatCode>General</c:formatCode>
                <c:ptCount val="25"/>
                <c:pt idx="0">
                  <c:v>27.57</c:v>
                </c:pt>
                <c:pt idx="1">
                  <c:v>8.56</c:v>
                </c:pt>
                <c:pt idx="2">
                  <c:v>7.29</c:v>
                </c:pt>
                <c:pt idx="3">
                  <c:v>6.21</c:v>
                </c:pt>
                <c:pt idx="4">
                  <c:v>5.95</c:v>
                </c:pt>
                <c:pt idx="5">
                  <c:v>5.37</c:v>
                </c:pt>
                <c:pt idx="6">
                  <c:v>4.6500000000000004</c:v>
                </c:pt>
                <c:pt idx="7">
                  <c:v>4.43</c:v>
                </c:pt>
                <c:pt idx="8">
                  <c:v>4.07</c:v>
                </c:pt>
                <c:pt idx="9">
                  <c:v>3.91</c:v>
                </c:pt>
                <c:pt idx="10">
                  <c:v>2.93</c:v>
                </c:pt>
                <c:pt idx="11">
                  <c:v>2.36</c:v>
                </c:pt>
                <c:pt idx="12">
                  <c:v>1.83</c:v>
                </c:pt>
                <c:pt idx="13">
                  <c:v>1.78</c:v>
                </c:pt>
                <c:pt idx="14">
                  <c:v>1.76</c:v>
                </c:pt>
                <c:pt idx="15">
                  <c:v>1.63</c:v>
                </c:pt>
                <c:pt idx="16">
                  <c:v>1.44</c:v>
                </c:pt>
                <c:pt idx="17">
                  <c:v>1.41</c:v>
                </c:pt>
                <c:pt idx="18">
                  <c:v>1.34</c:v>
                </c:pt>
                <c:pt idx="19">
                  <c:v>1.27</c:v>
                </c:pt>
                <c:pt idx="20">
                  <c:v>1.02</c:v>
                </c:pt>
                <c:pt idx="21">
                  <c:v>0.94</c:v>
                </c:pt>
                <c:pt idx="22">
                  <c:v>0.88</c:v>
                </c:pt>
                <c:pt idx="23">
                  <c:v>0.87</c:v>
                </c:pt>
                <c:pt idx="24">
                  <c:v>0.52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B4-4BB6-A08D-16836AD05B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EB2-4891-B4F5-A85565A454C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EB2-4891-B4F5-A85565A454C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EB2-4891-B4F5-A85565A454C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EB2-4891-B4F5-A85565A454C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2EB2-4891-B4F5-A85565A454C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2EB2-4891-B4F5-A85565A454C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2EB2-4891-B4F5-A85565A454C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2EB2-4891-B4F5-A85565A454C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2EB2-4891-B4F5-A85565A454C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2EB2-4891-B4F5-A85565A454C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2EB2-4891-B4F5-A85565A454C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2EB2-4891-B4F5-A85565A454CF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2EB2-4891-B4F5-A85565A454CF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2EB2-4891-B4F5-A85565A454CF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2EB2-4891-B4F5-A85565A454CF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2EB2-4891-B4F5-A85565A454CF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2EB2-4891-B4F5-A85565A454CF}"/>
              </c:ext>
            </c:extLst>
          </c:dPt>
          <c:cat>
            <c:strRef>
              <c:f>'Quant Midcap'!$F$3:$F$19</c:f>
              <c:strCache>
                <c:ptCount val="17"/>
                <c:pt idx="0">
                  <c:v>PSU</c:v>
                </c:pt>
                <c:pt idx="1">
                  <c:v>Power</c:v>
                </c:pt>
                <c:pt idx="2">
                  <c:v>Financial Services</c:v>
                </c:pt>
                <c:pt idx="3">
                  <c:v>Oil &amp; Gas</c:v>
                </c:pt>
                <c:pt idx="4">
                  <c:v>Auto</c:v>
                </c:pt>
                <c:pt idx="5">
                  <c:v>Construction</c:v>
                </c:pt>
                <c:pt idx="6">
                  <c:v>Healthcare</c:v>
                </c:pt>
                <c:pt idx="7">
                  <c:v>Capital Goods</c:v>
                </c:pt>
                <c:pt idx="8">
                  <c:v>IT</c:v>
                </c:pt>
                <c:pt idx="9">
                  <c:v>Telecom</c:v>
                </c:pt>
                <c:pt idx="10">
                  <c:v>Metals</c:v>
                </c:pt>
                <c:pt idx="11">
                  <c:v>Consumer Durables</c:v>
                </c:pt>
                <c:pt idx="12">
                  <c:v>Realty</c:v>
                </c:pt>
                <c:pt idx="13">
                  <c:v>Chemicals</c:v>
                </c:pt>
                <c:pt idx="14">
                  <c:v>Consumer Services</c:v>
                </c:pt>
                <c:pt idx="15">
                  <c:v>Services</c:v>
                </c:pt>
                <c:pt idx="16">
                  <c:v>Textiles</c:v>
                </c:pt>
              </c:strCache>
            </c:strRef>
          </c:cat>
          <c:val>
            <c:numRef>
              <c:f>'Quant Midcap'!$G$3:$G$19</c:f>
              <c:numCache>
                <c:formatCode>General</c:formatCode>
                <c:ptCount val="17"/>
                <c:pt idx="0">
                  <c:v>2.4</c:v>
                </c:pt>
                <c:pt idx="1">
                  <c:v>21.7</c:v>
                </c:pt>
                <c:pt idx="2">
                  <c:v>30.3</c:v>
                </c:pt>
                <c:pt idx="3">
                  <c:v>7.3</c:v>
                </c:pt>
                <c:pt idx="4">
                  <c:v>8.4</c:v>
                </c:pt>
                <c:pt idx="5">
                  <c:v>7.7</c:v>
                </c:pt>
                <c:pt idx="6">
                  <c:v>7.3</c:v>
                </c:pt>
                <c:pt idx="7">
                  <c:v>6.8</c:v>
                </c:pt>
                <c:pt idx="8">
                  <c:v>4.7</c:v>
                </c:pt>
                <c:pt idx="9">
                  <c:v>3.9</c:v>
                </c:pt>
                <c:pt idx="10">
                  <c:v>3.8</c:v>
                </c:pt>
                <c:pt idx="11">
                  <c:v>2.5</c:v>
                </c:pt>
                <c:pt idx="12">
                  <c:v>2.4</c:v>
                </c:pt>
                <c:pt idx="13">
                  <c:v>1.1000000000000001</c:v>
                </c:pt>
                <c:pt idx="14">
                  <c:v>0.9</c:v>
                </c:pt>
                <c:pt idx="15">
                  <c:v>0.2</c:v>
                </c:pt>
                <c:pt idx="16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AB-42FC-B811-11072CCEFA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9C8-40A2-9928-29328435FB7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9C8-40A2-9928-29328435FB7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9C8-40A2-9928-29328435FB7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9C8-40A2-9928-29328435FB7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9C8-40A2-9928-29328435FB7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9C8-40A2-9928-29328435FB7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D9C8-40A2-9928-29328435FB7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D9C8-40A2-9928-29328435FB7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D9C8-40A2-9928-29328435FB7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D9C8-40A2-9928-29328435FB7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D9C8-40A2-9928-29328435FB7B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D9C8-40A2-9928-29328435FB7B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D9C8-40A2-9928-29328435FB7B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D9C8-40A2-9928-29328435FB7B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D9C8-40A2-9928-29328435FB7B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D9C8-40A2-9928-29328435FB7B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D9C8-40A2-9928-29328435FB7B}"/>
              </c:ext>
            </c:extLst>
          </c:dPt>
          <c:cat>
            <c:strRef>
              <c:f>'Sbi Midcap'!$E$3:$E$19</c:f>
              <c:strCache>
                <c:ptCount val="17"/>
                <c:pt idx="0">
                  <c:v>Financial Services</c:v>
                </c:pt>
                <c:pt idx="1">
                  <c:v>Capital Goods</c:v>
                </c:pt>
                <c:pt idx="2">
                  <c:v>Power</c:v>
                </c:pt>
                <c:pt idx="3">
                  <c:v>Healthcare</c:v>
                </c:pt>
                <c:pt idx="4">
                  <c:v>Automobile And Auto Components</c:v>
                </c:pt>
                <c:pt idx="5">
                  <c:v>Construction Materials</c:v>
                </c:pt>
                <c:pt idx="6">
                  <c:v>Consumer Services</c:v>
                </c:pt>
                <c:pt idx="7">
                  <c:v>Fast Moving Consumer Goods</c:v>
                </c:pt>
                <c:pt idx="8">
                  <c:v>Realty</c:v>
                </c:pt>
                <c:pt idx="9">
                  <c:v>Chemicals</c:v>
                </c:pt>
                <c:pt idx="10">
                  <c:v>Consumer Durables</c:v>
                </c:pt>
                <c:pt idx="11">
                  <c:v>Information Technology</c:v>
                </c:pt>
                <c:pt idx="12">
                  <c:v>Textiles</c:v>
                </c:pt>
                <c:pt idx="13">
                  <c:v>Telecommunication</c:v>
                </c:pt>
                <c:pt idx="14">
                  <c:v>Sovereign</c:v>
                </c:pt>
                <c:pt idx="15">
                  <c:v>Derivatives</c:v>
                </c:pt>
                <c:pt idx="16">
                  <c:v>Cash, Cash Equivalents And Others</c:v>
                </c:pt>
              </c:strCache>
            </c:strRef>
          </c:cat>
          <c:val>
            <c:numRef>
              <c:f>'Sbi Midcap'!$F$3:$F$19</c:f>
              <c:numCache>
                <c:formatCode>General</c:formatCode>
                <c:ptCount val="17"/>
                <c:pt idx="0">
                  <c:v>24.59</c:v>
                </c:pt>
                <c:pt idx="1">
                  <c:v>16.28</c:v>
                </c:pt>
                <c:pt idx="2">
                  <c:v>8.74</c:v>
                </c:pt>
                <c:pt idx="3">
                  <c:v>7.75</c:v>
                </c:pt>
                <c:pt idx="4">
                  <c:v>6.8</c:v>
                </c:pt>
                <c:pt idx="5">
                  <c:v>6.24</c:v>
                </c:pt>
                <c:pt idx="6">
                  <c:v>5.52</c:v>
                </c:pt>
                <c:pt idx="7">
                  <c:v>4.22</c:v>
                </c:pt>
                <c:pt idx="8">
                  <c:v>3.46</c:v>
                </c:pt>
                <c:pt idx="9">
                  <c:v>2.38</c:v>
                </c:pt>
                <c:pt idx="10">
                  <c:v>1.91</c:v>
                </c:pt>
                <c:pt idx="11">
                  <c:v>1.87</c:v>
                </c:pt>
                <c:pt idx="12">
                  <c:v>1.67</c:v>
                </c:pt>
                <c:pt idx="13">
                  <c:v>1.66</c:v>
                </c:pt>
                <c:pt idx="14">
                  <c:v>1.19</c:v>
                </c:pt>
                <c:pt idx="15">
                  <c:v>0.28999999999999998</c:v>
                </c:pt>
                <c:pt idx="16">
                  <c:v>5.43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84-478D-90B1-86FBDD5F5D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835-4883-93B6-85D71354088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835-4883-93B6-85D71354088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835-4883-93B6-85D71354088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F835-4883-93B6-85D71354088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F835-4883-93B6-85D71354088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835-4883-93B6-85D71354088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F835-4883-93B6-85D71354088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F835-4883-93B6-85D71354088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F835-4883-93B6-85D71354088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F835-4883-93B6-85D71354088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F835-4883-93B6-85D71354088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F835-4883-93B6-85D71354088C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F835-4883-93B6-85D71354088C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F835-4883-93B6-85D71354088C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F835-4883-93B6-85D71354088C}"/>
              </c:ext>
            </c:extLst>
          </c:dPt>
          <c:cat>
            <c:strRef>
              <c:f>'Motilal Midcap'!$F$4:$F$18</c:f>
              <c:strCache>
                <c:ptCount val="15"/>
                <c:pt idx="0">
                  <c:v>Finance</c:v>
                </c:pt>
                <c:pt idx="1">
                  <c:v>Banks</c:v>
                </c:pt>
                <c:pt idx="2">
                  <c:v>Aerospace &amp; Defense</c:v>
                </c:pt>
                <c:pt idx="3">
                  <c:v>Telecom - Services</c:v>
                </c:pt>
                <c:pt idx="4">
                  <c:v>Capital Markets</c:v>
                </c:pt>
                <c:pt idx="5">
                  <c:v>Consumer Durables</c:v>
                </c:pt>
                <c:pt idx="6">
                  <c:v>Financial Technology (Fintech)</c:v>
                </c:pt>
                <c:pt idx="7">
                  <c:v>Industrial Products</c:v>
                </c:pt>
                <c:pt idx="8">
                  <c:v>Healthcare Services</c:v>
                </c:pt>
                <c:pt idx="9">
                  <c:v>Auto Components</c:v>
                </c:pt>
                <c:pt idx="10">
                  <c:v>IT - Software</c:v>
                </c:pt>
                <c:pt idx="11">
                  <c:v>Electrical Equipment</c:v>
                </c:pt>
                <c:pt idx="12">
                  <c:v>Realty</c:v>
                </c:pt>
                <c:pt idx="13">
                  <c:v>Retailing</c:v>
                </c:pt>
                <c:pt idx="14">
                  <c:v>Cash &amp; Equivalent</c:v>
                </c:pt>
              </c:strCache>
            </c:strRef>
          </c:cat>
          <c:val>
            <c:numRef>
              <c:f>'Motilal Midcap'!$G$4:$G$18</c:f>
              <c:numCache>
                <c:formatCode>0.00%</c:formatCode>
                <c:ptCount val="15"/>
                <c:pt idx="0">
                  <c:v>0.15379999999999999</c:v>
                </c:pt>
                <c:pt idx="1">
                  <c:v>2.4299999999999999E-2</c:v>
                </c:pt>
                <c:pt idx="2">
                  <c:v>2.2599999999999999E-2</c:v>
                </c:pt>
                <c:pt idx="3">
                  <c:v>3.0800000000000001E-2</c:v>
                </c:pt>
                <c:pt idx="4">
                  <c:v>0.10680000000000001</c:v>
                </c:pt>
                <c:pt idx="5">
                  <c:v>9.5600000000000004E-2</c:v>
                </c:pt>
                <c:pt idx="6">
                  <c:v>9.8199999999999996E-2</c:v>
                </c:pt>
                <c:pt idx="7">
                  <c:v>5.8200000000000002E-2</c:v>
                </c:pt>
                <c:pt idx="8">
                  <c:v>2.46E-2</c:v>
                </c:pt>
                <c:pt idx="9">
                  <c:v>5.2900000000000003E-2</c:v>
                </c:pt>
                <c:pt idx="10">
                  <c:v>0.1186</c:v>
                </c:pt>
                <c:pt idx="11">
                  <c:v>6.1199999999999997E-2</c:v>
                </c:pt>
                <c:pt idx="12">
                  <c:v>2.81E-2</c:v>
                </c:pt>
                <c:pt idx="13">
                  <c:v>5.8000000000000003E-2</c:v>
                </c:pt>
                <c:pt idx="14">
                  <c:v>6.6299999999999998E-2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CC-4BC0-9910-0867CAB58D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811-4364-AF9B-EE38F2D84C4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811-4364-AF9B-EE38F2D84C4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811-4364-AF9B-EE38F2D84C4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811-4364-AF9B-EE38F2D84C4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811-4364-AF9B-EE38F2D84C4F}"/>
              </c:ext>
            </c:extLst>
          </c:dPt>
          <c:cat>
            <c:strRef>
              <c:f>'Axis '!$F$4:$F$8</c:f>
              <c:strCache>
                <c:ptCount val="5"/>
                <c:pt idx="0">
                  <c:v>Financial Services</c:v>
                </c:pt>
                <c:pt idx="1">
                  <c:v>Capital Goods</c:v>
                </c:pt>
                <c:pt idx="2">
                  <c:v>Healthcare</c:v>
                </c:pt>
                <c:pt idx="3">
                  <c:v>Automobile and Auto Components</c:v>
                </c:pt>
                <c:pt idx="4">
                  <c:v>Consumer Services</c:v>
                </c:pt>
              </c:strCache>
            </c:strRef>
          </c:cat>
          <c:val>
            <c:numRef>
              <c:f>'Axis '!$G$4:$G$8</c:f>
              <c:numCache>
                <c:formatCode>0.00%</c:formatCode>
                <c:ptCount val="5"/>
                <c:pt idx="0">
                  <c:v>0.1951</c:v>
                </c:pt>
                <c:pt idx="1">
                  <c:v>0.1706</c:v>
                </c:pt>
                <c:pt idx="2">
                  <c:v>0.10390000000000001</c:v>
                </c:pt>
                <c:pt idx="3">
                  <c:v>0.1014</c:v>
                </c:pt>
                <c:pt idx="4">
                  <c:v>8.14E-2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57-4E85-B198-C0756B263F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548640</xdr:colOff>
      <xdr:row>13</xdr:row>
      <xdr:rowOff>11430</xdr:rowOff>
    </xdr:from>
    <xdr:to>
      <xdr:col>5</xdr:col>
      <xdr:colOff>327660</xdr:colOff>
      <xdr:row>26</xdr:row>
      <xdr:rowOff>179070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25C2944-1A7A-E306-AAD4-90FC961AA2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45720</xdr:colOff>
      <xdr:row>8</xdr:row>
      <xdr:rowOff>26670</xdr:rowOff>
    </xdr:from>
    <xdr:to>
      <xdr:col>12</xdr:col>
      <xdr:colOff>289560</xdr:colOff>
      <xdr:row>21</xdr:row>
      <xdr:rowOff>194310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613CB6C-5762-8B30-5C9A-6225907459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45720</xdr:colOff>
      <xdr:row>9</xdr:row>
      <xdr:rowOff>118110</xdr:rowOff>
    </xdr:from>
    <xdr:to>
      <xdr:col>9</xdr:col>
      <xdr:colOff>693420</xdr:colOff>
      <xdr:row>23</xdr:row>
      <xdr:rowOff>87630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753275-7C64-B31E-A462-D2D152D3CC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15240</xdr:colOff>
      <xdr:row>3</xdr:row>
      <xdr:rowOff>186690</xdr:rowOff>
    </xdr:from>
    <xdr:to>
      <xdr:col>11</xdr:col>
      <xdr:colOff>243840</xdr:colOff>
      <xdr:row>28</xdr:row>
      <xdr:rowOff>190500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04F32B2-AD64-92CD-265F-4F8894F74B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1905</xdr:colOff>
      <xdr:row>1</xdr:row>
      <xdr:rowOff>0</xdr:rowOff>
    </xdr:from>
    <xdr:ext cx="5734050" cy="340995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152400</xdr:colOff>
      <xdr:row>8</xdr:row>
      <xdr:rowOff>110490</xdr:rowOff>
    </xdr:from>
    <xdr:to>
      <xdr:col>15</xdr:col>
      <xdr:colOff>571500</xdr:colOff>
      <xdr:row>22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6587A2-A916-F531-A0EF-1033786B9D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175260</xdr:colOff>
      <xdr:row>7</xdr:row>
      <xdr:rowOff>156210</xdr:rowOff>
    </xdr:from>
    <xdr:to>
      <xdr:col>11</xdr:col>
      <xdr:colOff>30480</xdr:colOff>
      <xdr:row>21</xdr:row>
      <xdr:rowOff>125730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095015-78C6-D380-9DDB-0F2A7700D4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106680</xdr:colOff>
      <xdr:row>2</xdr:row>
      <xdr:rowOff>3810</xdr:rowOff>
    </xdr:from>
    <xdr:to>
      <xdr:col>12</xdr:col>
      <xdr:colOff>754380</xdr:colOff>
      <xdr:row>19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3E5731-F25B-A3A9-CA70-4DD94551EF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129540</xdr:colOff>
      <xdr:row>1</xdr:row>
      <xdr:rowOff>171450</xdr:rowOff>
    </xdr:from>
    <xdr:to>
      <xdr:col>12</xdr:col>
      <xdr:colOff>358140</xdr:colOff>
      <xdr:row>15</xdr:row>
      <xdr:rowOff>140970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106BC7-EA12-F7A9-4A09-293AE3010E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nan" refreshedDate="46183.413085879627" createdVersion="8" refreshedVersion="8" minRefreshableVersion="3" recordCount="484" xr:uid="{3E0B4BBF-64F5-4914-B8A1-98A0636913D3}">
  <cacheSource type="worksheet">
    <worksheetSource name="Table1"/>
  </cacheSource>
  <cacheFields count="3">
    <cacheField name="Companies " numFmtId="0">
      <sharedItems count="398">
        <s v="Bharat Forge Ltd."/>
        <s v="The Federal Bank Ltd."/>
        <s v="IndusInd Bank Ltd."/>
        <s v="Lupin Ltd."/>
        <s v="Delhivery Ltd."/>
        <s v="Hero MotoCorp Ltd."/>
        <s v="Steel Authority of India Ltd."/>
        <s v="Tata Communications Ltd."/>
        <s v="Dalmia Bharat Ltd."/>
        <s v="Laurus Labs Ltd."/>
        <s v="Other Equities"/>
        <s v="Equity Holding Total"/>
        <s v="Cash &amp; Other Receivables"/>
        <s v="FSN E-Commerce Ventures Limited"/>
        <s v="GE Vernova T&amp;D India Limited"/>
        <s v="Mankind Pharma Limited"/>
        <s v="BSE Ltd"/>
        <s v="The Federal Bank Limited"/>
        <s v="Bharat Electronics Limited"/>
        <s v="Larsen &amp; Toubro Limited"/>
        <s v="PB Fintech Limited"/>
        <s v="Polycab India Limited"/>
        <s v="Aditya Infotech Limited"/>
        <s v="Premier Energies Ltd"/>
        <s v="Billionbrains Garage Ventures Ltd"/>
        <s v="PIRI Ravichav? Ltd (blurred)"/>
        <s v="ICICI Prudential AMC Ltd"/>
        <s v="Indian Bank"/>
        <s v="Lupin Limited"/>
        <s v="City Union Bank Limited"/>
        <s v="Multi Commodity Exchange of India Ltd"/>
        <s v="Radico Khaitan Limited"/>
        <s v="Godfrey Phillips India Ltd"/>
        <s v="Cummins India Limited"/>
        <s v="Anthem Biosciences Limited"/>
        <s v="Kriksar Of Engines Ltd (blurred)"/>
        <s v="Nippon Life India Asset Management Ltd"/>
        <s v="Apar Industries Ltd"/>
        <s v="Oil &amp; Natural Gas Corporation Ltd"/>
        <s v="Oil India Limited"/>
        <s v="LT Foods Systems Limited (blurred)"/>
        <s v="NPC Green Energy Ltd"/>
        <s v="Bharat Forge Limited"/>
        <s v="IPCA Laboratories Limited"/>
        <s v="RBL Bank Limited"/>
        <s v="Thyrocare Technologies Limited"/>
        <s v="Aditya Birla Capital Ltd"/>
        <s v="Aegis Logistics Limited"/>
        <s v="Safari Industries (India) Limited"/>
        <s v="eClerx Services Limited"/>
        <s v="Kaynes Technology India Pvt Ltd"/>
        <s v="National Aluminium Company Limited"/>
        <s v="Tata Steel Limited"/>
        <s v="Bharat Heavy Electricals Limited"/>
        <s v="Shriram Finance Limited"/>
        <s v="Reliance Industries Limited"/>
        <s v="Maheson Sun Wiring India Limited"/>
        <s v="KEI Industries Limited"/>
        <s v="Akzo Nobel India Limited"/>
        <s v="Dhanlaxmi Technologies Limited"/>
        <s v="JSW Steel Limited"/>
        <s v="CRISIL Limited"/>
        <s v="Schaeffler India Ltd"/>
        <s v="Hindalco Industries Limited"/>
        <s v="The Tata Power Company Limited"/>
        <s v="ZF Commercial Vehicle Control Systems India Ltd"/>
        <s v="Eternal Limited"/>
        <s v="Persistent Systems Ltd"/>
        <s v="GABRIEL INDIA LIMITED"/>
        <s v="Bosch Home Comfort India Limited"/>
        <s v="Muthoot Finance Limited"/>
        <s v="Max Financial Services Limited"/>
        <s v="Coforge Limited"/>
        <s v="IDFC First Bank Limited"/>
        <s v="JK Cement Limited"/>
        <s v="Amazon Web Services India Limited"/>
        <s v="KPIT Technologies Limited"/>
        <s v="SWIGGY LIMITED"/>
        <s v="The Indian Hotels Company Limited"/>
        <s v="Global Health Limited"/>
        <s v="Sundaram Finance Limited"/>
        <s v="Divi's Laboratories Limited"/>
        <s v="Max Healthcare Institute Limited"/>
        <s v="InterGlobe Aviation Limited"/>
        <s v="CG Power And Industrial Solutions Ltd"/>
        <s v="Biocon Limited"/>
        <s v="Abbott India Limited"/>
        <s v="TVS Motor Company Limited"/>
        <s v="Mahindra &amp; Mahindra Financial Services Ltd"/>
        <s v="Data Patterns (India) Limited"/>
        <s v="BLUE STAR LTD"/>
        <s v="Cholamandalam Investment &amp; Finance Company Ltd"/>
        <s v="Cash Equivalent"/>
        <s v="TREPS"/>
        <s v="Net Current Assets"/>
        <s v="FEDERAL BANK LTD"/>
        <s v="FORTIS HEALTHCARE LTD"/>
        <s v="MARICO LTD"/>
        <s v="SOLAR INDUSTRIES INDIA LTD"/>
        <s v="BHARAT HEAVY ELECTRICALS LTD"/>
        <s v="JSW ENERGY LTD"/>
        <s v="IDFC FIRST BANK LTD"/>
        <s v="CUMMINS INDIA LTD"/>
        <s v="NMDC LTD"/>
        <s v="AU SMALL FINANCE BANK LTD"/>
        <s v="RADICO KHAITAN LTD"/>
        <s v="INDUS TOWERS LTD"/>
        <s v="BHARAT FORGE LTD"/>
        <s v="L&amp;T FINANCE LTD"/>
        <s v="JK CEMENT LTD"/>
        <s v="UNO MINDA LTD"/>
        <s v="CITY UNION BANK LTD"/>
        <s v="APL APOLLO TUBES LTD"/>
        <s v="CREDITACCESS GRAMEEN LIMITED"/>
        <s v="KEI INDUSTRIES LTD"/>
        <s v="MAX FINANCIAL SERVICES LTD"/>
        <s v="HDFC ASSET MANAGEMENT COMPANY LIMITED"/>
        <s v="ASHOK LEYLAND LTD"/>
        <s v="TORRENT POWER LTD"/>
        <s v="HINDUSTAN PETROLEUM CORPORATION LTD"/>
        <s v="IPCA LABORATORIES LTD"/>
        <s v="JINDAL STAINLESS LIMITED."/>
        <s v="KARUR VYSYA BANK LTD"/>
        <s v="LUPIN LTD"/>
        <s v="SRF LTD"/>
        <s v="THE PHOENIX MILLS LTD"/>
        <s v="VISHAL MEGA MART LIMITED"/>
        <s v="SUNDARAM FINANCE LTD"/>
        <s v="PAGE INDUSTRIES LTD"/>
        <s v="STEEL AUTHORITY OF INDIA LTD"/>
        <s v="BHARAT ELECTRONICS LTD"/>
        <s v="VODAFONE IDEA LTD"/>
        <s v="AJANTA PHARMA LTD"/>
        <s v="ENDURANCE TECHNOLOGIES LTD"/>
        <s v="MANKIND PHARMA LTD."/>
        <s v="JUBILANT FOODWORKS LTD"/>
        <s v="SUMITOMO CHEMICAL INDIA LTD"/>
        <s v="LG ELECTRONICS INDIA LTD"/>
        <s v="BILLIONBRAINS GARAGE VENTURES LIMITED"/>
        <s v="HITACHI ENERGY INDIA LIMITED"/>
        <s v="BALKRISHNA INDUSTRIES LTD"/>
        <s v="PRESTIGE ESTATES PROJECT"/>
        <s v="INDIAN HOTELS CO. LTD"/>
        <s v="ICICI PRUDENTIAL ASSET MGMT CO LTD"/>
        <s v="DIXON TECHNOLOGIES (INDIA) LTD"/>
        <s v="MUTHOOT FINANCE LTD"/>
        <s v="TVS MOTOR COMPANY LTD"/>
        <s v="BIKAJI FOODS INTERNATIONAL LTD."/>
        <s v="ATHER ENERGY LIMITED"/>
        <s v="TRIVENI TURBINE LTD"/>
        <s v="J. B. CHEMICALS &amp; PHARMA LTD"/>
        <s v="CHOLAMANDALAM INVESTMENT &amp; FIN CO. LTD"/>
        <s v="CRAFTSMAN AUTOMATION LTD"/>
        <s v="BHARTI HEXACOM LIMITED"/>
        <s v="LAURUS LABS LIMITED"/>
        <s v="THERMAX LTD"/>
        <s v="OIL INDIA LTD"/>
        <s v="360 ONE WAM LIMITED"/>
        <s v="ELECON ENGINEERING CO.LTD."/>
        <s v="NATIONAL ALUMINIUM CO. LTD"/>
        <s v="BHARAT DYNAMICS LIMITED"/>
        <s v="FIRSTSOURCE SOLUTIONS LTD"/>
        <s v="SUPREME INDUSTRIES LTD"/>
        <s v="DABUR INDIA LTD"/>
        <s v="ASTRAL LTD"/>
        <s v="NETWEB TECHNOLOGIES INDIA LIMITED"/>
        <s v="NAVIN FLUORINE INTERNATIONAL LTD"/>
        <s v="DEEPAK NITRITE LIMITED"/>
        <s v="ITC HOTELS LIMITED"/>
        <s v="OBEROI REALTY LTD"/>
        <s v="BERGER PAINTS INDIA LTD"/>
        <s v="CEAT LTD"/>
        <s v="Tata Consumer Products Ltd"/>
        <s v="Tata Motors Ltd"/>
        <s v="Mahindra &amp; Mahindra Ltd"/>
        <s v="Maruti Suzuki India Ltd"/>
        <s v="ICICI Bank Ltd"/>
        <s v="HDFC Bank Ltd"/>
        <s v="Kotak Mahindra Bank Ltd"/>
        <s v="Axis Bank Ltd"/>
        <s v="State Bank of India"/>
        <s v="United Spirits Ltd"/>
        <s v="Ultratech Cement Ltd"/>
        <s v="Larsen &amp; Toubro Ltd"/>
        <s v="Asian Paints Ltd"/>
        <s v="Crompton Greaves Consumer Electricals Ltd"/>
        <s v="Titan Co Ltd"/>
        <s v="Hindustan Unilever Ltd"/>
        <s v="ABB India Ltd"/>
        <s v="Bajaj Finserv Ltd"/>
        <s v="Cholamandalam Investment and Finance Co Ltd"/>
        <s v="PB Fintech Ltd"/>
        <s v="Apollo Hospitals Enterprise Ltd"/>
        <s v="Max Healthcare Institute Ltd"/>
        <s v="SBI Life Insurance Co Ltd"/>
        <s v="HDFC Life Insurance Co Ltd"/>
        <s v="Cognizant Technology Solutions Corp., A (USA)"/>
        <s v="Infosys Ltd"/>
        <s v="HCL Technologies Ltd"/>
        <s v="Tata Consultancy Services Ltd"/>
        <s v="Hindalco Industries Ltd"/>
        <s v="Godrej Consumer Products Ltd"/>
        <s v="Reliance Industries Ltd"/>
        <s v="J.B. Chemicals &amp; Pharmaceuticals Ltd"/>
        <s v="Torrent Pharmaceuticals Ltd"/>
        <s v="Divi's Laboratories Ltd"/>
        <s v="Sun Pharmaceutical Industries Ltd"/>
        <s v="Tata Power Co Ltd"/>
        <s v="Power Grid Corporation of India Ltd"/>
        <s v="Brigade Enterprises Ltd"/>
        <s v="Eternal Ltd"/>
        <s v="Vishal Mega Mart Ltd"/>
        <s v="Swiggy Ltd"/>
        <s v="Trent Ltd"/>
        <s v="Info Edge (India) Ltd"/>
        <s v="JSW Infrastructure Ltd"/>
        <s v="GE Vernova T&amp;D India"/>
        <s v="Apar Industries"/>
        <s v="The Federal Bank"/>
        <s v="Fortis Healthcare"/>
        <s v="Vishal Mega Mart"/>
        <s v="BSE"/>
        <s v="Cummins India"/>
        <s v="PB Fintech"/>
        <s v="CG Power and Industrial Solutions"/>
        <s v="Persistent Systems"/>
        <s v="L&amp;T Finance"/>
        <s v="KEI Industries"/>
        <s v="IPCA Laboratories"/>
        <s v="Prestige Estates Projects"/>
        <s v="Multi Commodity Exchange of India"/>
        <s v="Solar Industries India"/>
        <s v="Sai Life Sciences"/>
        <s v="UNO Minda"/>
        <s v="Aditya Infotech"/>
        <s v="The Indian Hotels Company"/>
        <s v="Eternal"/>
        <s v="Glenmark Pharmaceuticals"/>
        <s v="Trent"/>
        <s v="JK Cement"/>
        <s v="Billionbrains Garage Ventures"/>
        <s v="Torrent Power"/>
        <s v="TVS Motor Company"/>
        <s v="Coromandel International"/>
        <s v="APL Apollo Tubes"/>
        <s v="Reliance Industries Ltd."/>
        <s v="Aurobindo Pharma Ltd."/>
        <s v="IRB Infrastructure Developers Ltd."/>
        <s v="Marico Ltd."/>
        <s v="Lloyds Metals And Energy Ltd."/>
        <s v="GMR Airports Ltd."/>
        <s v="Linde India Ltd."/>
        <s v="Bharat Heavy Electricals Ltd."/>
        <s v="Torrent Power Ltd."/>
        <s v="Adani Energy Solutions Ltd."/>
        <s v="Crisil Ltd."/>
        <s v="AIA Engineering Ltd."/>
        <s v="Supreme Industries Ltd."/>
        <s v="Sundaram Finance Ltd."/>
        <s v="Shree Cement Ltd."/>
        <s v="Biocon Ltd."/>
        <s v="HDB Financial Services Ltd."/>
        <s v="Pine Labs Ltd."/>
        <s v="ICICI Lombard General Insurance Company Ltd."/>
        <s v="FSN E-Commerce Ventures Ltd."/>
        <s v="ICICI Prudential Life Insurance Company Ltd."/>
        <s v="Grindwell Norton Ltd."/>
        <s v="Oberoi Realty Ltd."/>
        <s v="Berger Paints India Ltd."/>
        <s v="Urban Company Ltd."/>
        <s v="L&amp;T Technology Services Ltd."/>
        <s v="Max Financial Services Ltd."/>
        <s v="Mahindra &amp; Mahindra Financial Services Ltd."/>
        <s v="Motherson Sumi Wiring India Ltd."/>
        <s v="Page Industries Ltd."/>
        <s v="Indus Towers Ltd."/>
        <s v="Siemens Ltd."/>
        <s v="Colgate Palmolive (India) Ltd."/>
        <s v="Schaeffler India Ltd."/>
        <s v="Carborundum Universal Ltd."/>
        <s v="Thermax Ltd."/>
        <s v="Jubilant Foodworks Ltd."/>
        <s v="The Phoenix Mills Ltd."/>
        <s v="JSW Energy Ltd."/>
        <s v="Star Health &amp; Allied Insurance Co. Ltd."/>
        <s v="Procter &amp; Gamble Hygiene And Health Care Ltd."/>
        <s v="Multi Commodity Exchange Of India Ltd."/>
        <s v="Sundram Fasteners Ltd."/>
        <s v="Hatsun Agro Product Ltd."/>
        <s v="Glaxosmithkline Pharmaceuticals Ltd."/>
        <s v="Solar Industries India Ltd."/>
        <s v="PI Industries Ltd."/>
        <s v="JK Cement Ltd."/>
        <s v="Anthem Biosciences Ltd."/>
        <s v="The India Cements Ltd."/>
        <s v="Fortis Healthcare India Ltd"/>
        <s v="KEI INDUSTRIES LTD."/>
        <s v="Ipca Laboratories Ltd."/>
        <s v="Mphasis Ltd"/>
        <s v="SOLAR INDUSTRIES INDIA LIMITED"/>
        <s v="L&amp;T FINANCE HOLDINGS LTD"/>
        <s v="Apar Industries Limited"/>
        <s v="FEDERAL BANK LTD."/>
        <s v="Bharat Electronics Ltd."/>
        <s v="BANK OF MAHARASHTRA"/>
        <s v="DIXON TECHNOLOGIES INDIA LTD."/>
        <s v="ORACLE FINANCIAL SERVICES SOFTWARE LTD"/>
        <s v="BHARTI HEXACOM LTD."/>
        <s v="SRF Ltd."/>
        <s v="Cholamandalam Investment and Finance Company Ltd."/>
        <s v="Power Finance Corporation Ltd."/>
        <s v="Global Health Ltd."/>
        <s v="NIPPON LIFE INDIA ASSET MANAGEMENT LTD."/>
        <s v="PERSISTENT SYSTEMS LIMITED"/>
        <s v="HDB FINANCIAL SERVICES LTD"/>
        <s v="JB CHEMICALS &amp; PHARMACEUTICALS LTD."/>
        <s v="NUVAMA WEALTH MANAGEMENT LIMITED"/>
        <s v="Coromandel International Ltd."/>
        <s v="BSE LTD."/>
        <s v="BLUE STAR LTD."/>
        <s v="Dalmia Bharat Limited"/>
        <s v="Metro Brands Ltd."/>
        <s v="AVANTI FEEDS LTD"/>
        <s v="P I INDUSTRIES LTD"/>
        <s v="ICICI LOMBARD GENERAL INSURANCE COMPANY LTD"/>
        <s v="PIRAMAL FINANCE LTD"/>
        <s v="POONAWALLA FINCORP LTD."/>
        <s v="Deepak Nitrite Ltd."/>
        <s v="VOLTAS LTD."/>
        <s v="Jindal Steel &amp; Power Ltd."/>
        <s v="MRF Limited"/>
        <s v="Birlasoft Ltd."/>
        <s v="ASTER DM HEALTHCARE LTD"/>
        <s v="INDIA SHELTER FINANCE CORPORATION LTD"/>
        <s v="UNO MINDA LIMITED"/>
        <s v="ZF Commercial Vehicle Control Systems India Limited"/>
        <s v="MAX HEALTHCARE INSTITUTE LTD."/>
        <s v="Prudent Corporate Advisory Services Ltd."/>
        <s v="Ratnamani Metals &amp; Tubes Ltd."/>
        <s v="Bank Of Baroda"/>
        <s v="REC LTD"/>
        <s v="Apollo Tyres Ltd."/>
        <s v="LENSKART SOLUTIONS LIMITED"/>
        <s v="HOME FIRST FINANCE CO INDIA"/>
        <s v="RUBICON RESEARCH LTD"/>
        <s v="Apollo Hospitals Enterprises Ltd."/>
        <s v="TECHNO ELECTRIC &amp; ENGINEERING COMPANY LIMITED"/>
        <s v="UNITED SPIRITS LTD."/>
        <s v="Kotak Liquid Direct Growth"/>
        <s v="P I INDUSTRIES LTD-JUN2026"/>
        <s v="OBEROI REALTY LTD-JUN2026"/>
        <s v="ORACLE FINANCIAL SERVICES SOFTWARE LTD-JUN2026"/>
        <s v="Triparty Repo"/>
        <s v="Aditya Birla Capital Limited"/>
        <s v="AU Small Finance Bank Limited"/>
        <s v="BSE Limited"/>
        <s v="Dixon Technologies (India) Limited"/>
        <s v="ICICI Prudential Asset Management Company Limited"/>
        <s v="Kalyan Jewellers India Limited"/>
        <s v="L&amp;T Finance Limited"/>
        <s v="Samvardhana Motherson International Ltd"/>
        <s v="One 97 Communications Limited"/>
        <s v="Premier Energies Limited"/>
        <s v="Prestige Estates Projects Ltd"/>
        <s v="Suzlon Energy Ltd"/>
        <s v="Tube Investments Of India Limited"/>
        <s v="Waaree Energies Limited"/>
        <s v="NIFTY"/>
        <s v="Fortis Healthcare Limited"/>
        <s v="Multi Commodity Exchange of India Limited"/>
        <s v="Schaeffler India Limited"/>
        <s v="Coromandel International Limited"/>
        <s v="The Phoenix Mills Limited"/>
        <s v="Torrent Power Limited"/>
        <s v="Supreme Industries Limited"/>
        <s v="SRF Limited"/>
        <s v="Blue Star Limited"/>
        <s v="ICICI Lombard General Insurance Company Limited"/>
        <s v="Sona BLW Precision Forgings Limited"/>
        <s v="CG Power and Industrial Solutions Limited"/>
        <s v="Jindal Steel Limited"/>
        <s v="Ashok Leyland Limited"/>
        <s v="PI Industries Limited"/>
        <s v="Alkem Laboratories Limited"/>
        <s v="Hindustan Petroleum Corporation Limited"/>
        <s v="L.P.T. Mills Limited"/>
        <s v="Cholamandalam Financial Holdings Limited"/>
        <s v="Mphasis Limited"/>
        <s v="Info Edge (India) Limited"/>
        <s v="Bajaj Finance Limited"/>
        <s v="JB Chemicals &amp; Pharmaceuticals Limited"/>
        <s v="Trent Limited"/>
        <s v="Cholamandalam Investment and Finance Company Limited"/>
        <s v="Voltas Limited"/>
        <s v="3M India Limited"/>
        <s v="Indus Towers Limited"/>
        <s v="Jubilant FoodWorks Limited"/>
        <s v="Glenmark Pharmaceuticals Limited"/>
      </sharedItems>
    </cacheField>
    <cacheField name="Percentage " numFmtId="0">
      <sharedItems containsSemiMixedTypes="0" containsString="0" containsNumber="1" minValue="0" maxValue="9.86"/>
    </cacheField>
    <cacheField name="Funds" numFmtId="0">
      <sharedItems count="10">
        <s v="Mirae"/>
        <s v="HSBC"/>
        <s v="Edelweiss"/>
        <s v="Franklin"/>
        <s v="Bandhan"/>
        <s v="Quant "/>
        <s v="Sbi"/>
        <s v="Kotak "/>
        <s v="Motilal"/>
        <s v="Axi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4">
  <r>
    <x v="0"/>
    <n v="3.8699999999999998E-2"/>
    <x v="0"/>
  </r>
  <r>
    <x v="1"/>
    <n v="3.7900000000000003E-2"/>
    <x v="0"/>
  </r>
  <r>
    <x v="2"/>
    <n v="3.6799999999999999E-2"/>
    <x v="0"/>
  </r>
  <r>
    <x v="3"/>
    <n v="3.61E-2"/>
    <x v="0"/>
  </r>
  <r>
    <x v="4"/>
    <n v="2.9499999999999998E-2"/>
    <x v="0"/>
  </r>
  <r>
    <x v="5"/>
    <n v="2.81E-2"/>
    <x v="0"/>
  </r>
  <r>
    <x v="6"/>
    <n v="2.7900000000000001E-2"/>
    <x v="0"/>
  </r>
  <r>
    <x v="7"/>
    <n v="2.53E-2"/>
    <x v="0"/>
  </r>
  <r>
    <x v="8"/>
    <n v="2.4899999999999999E-2"/>
    <x v="0"/>
  </r>
  <r>
    <x v="9"/>
    <n v="2.4899999999999999E-2"/>
    <x v="0"/>
  </r>
  <r>
    <x v="10"/>
    <n v="0.67049999999999998"/>
    <x v="0"/>
  </r>
  <r>
    <x v="11"/>
    <n v="0.98060000000000003"/>
    <x v="0"/>
  </r>
  <r>
    <x v="12"/>
    <n v="1.9400000000000001E-2"/>
    <x v="0"/>
  </r>
  <r>
    <x v="13"/>
    <n v="5.6000000000000001E-2"/>
    <x v="1"/>
  </r>
  <r>
    <x v="14"/>
    <n v="4.7500000000000001E-2"/>
    <x v="1"/>
  </r>
  <r>
    <x v="15"/>
    <n v="4.0300000000000002E-2"/>
    <x v="1"/>
  </r>
  <r>
    <x v="16"/>
    <n v="4.0099999999999997E-2"/>
    <x v="1"/>
  </r>
  <r>
    <x v="17"/>
    <n v="3.7499999999999999E-2"/>
    <x v="1"/>
  </r>
  <r>
    <x v="18"/>
    <n v="3.6999999999999998E-2"/>
    <x v="1"/>
  </r>
  <r>
    <x v="19"/>
    <n v="3.5999999999999997E-2"/>
    <x v="1"/>
  </r>
  <r>
    <x v="20"/>
    <n v="3.4700000000000002E-2"/>
    <x v="1"/>
  </r>
  <r>
    <x v="21"/>
    <n v="3.4299999999999997E-2"/>
    <x v="1"/>
  </r>
  <r>
    <x v="22"/>
    <n v="3.0300000000000001E-2"/>
    <x v="1"/>
  </r>
  <r>
    <x v="23"/>
    <n v="0.03"/>
    <x v="1"/>
  </r>
  <r>
    <x v="24"/>
    <n v="2.8799999999999999E-2"/>
    <x v="1"/>
  </r>
  <r>
    <x v="25"/>
    <n v="2.3599999999999999E-2"/>
    <x v="1"/>
  </r>
  <r>
    <x v="26"/>
    <n v="2.3300000000000001E-2"/>
    <x v="1"/>
  </r>
  <r>
    <x v="27"/>
    <n v="2.07E-2"/>
    <x v="1"/>
  </r>
  <r>
    <x v="28"/>
    <n v="1.95E-2"/>
    <x v="1"/>
  </r>
  <r>
    <x v="29"/>
    <n v="1.95E-2"/>
    <x v="1"/>
  </r>
  <r>
    <x v="30"/>
    <n v="1.8599999999999998E-2"/>
    <x v="1"/>
  </r>
  <r>
    <x v="31"/>
    <n v="1.84E-2"/>
    <x v="1"/>
  </r>
  <r>
    <x v="32"/>
    <n v="1.83E-2"/>
    <x v="1"/>
  </r>
  <r>
    <x v="33"/>
    <n v="1.83E-2"/>
    <x v="1"/>
  </r>
  <r>
    <x v="34"/>
    <n v="1.7899999999999999E-2"/>
    <x v="1"/>
  </r>
  <r>
    <x v="35"/>
    <n v="1.5599999999999999E-2"/>
    <x v="1"/>
  </r>
  <r>
    <x v="36"/>
    <n v="1.52E-2"/>
    <x v="1"/>
  </r>
  <r>
    <x v="37"/>
    <n v="1.5100000000000001E-2"/>
    <x v="1"/>
  </r>
  <r>
    <x v="38"/>
    <n v="1.47E-2"/>
    <x v="1"/>
  </r>
  <r>
    <x v="39"/>
    <n v="1.41E-2"/>
    <x v="1"/>
  </r>
  <r>
    <x v="40"/>
    <n v="1.4E-2"/>
    <x v="1"/>
  </r>
  <r>
    <x v="41"/>
    <n v="1.3899999999999999E-2"/>
    <x v="1"/>
  </r>
  <r>
    <x v="42"/>
    <n v="1.38E-2"/>
    <x v="1"/>
  </r>
  <r>
    <x v="43"/>
    <n v="1.38E-2"/>
    <x v="1"/>
  </r>
  <r>
    <x v="44"/>
    <n v="1.37E-2"/>
    <x v="1"/>
  </r>
  <r>
    <x v="45"/>
    <n v="1.35E-2"/>
    <x v="1"/>
  </r>
  <r>
    <x v="46"/>
    <n v="1.24E-2"/>
    <x v="1"/>
  </r>
  <r>
    <x v="47"/>
    <n v="1.0699999999999999E-2"/>
    <x v="1"/>
  </r>
  <r>
    <x v="48"/>
    <n v="1.0200000000000001E-2"/>
    <x v="1"/>
  </r>
  <r>
    <x v="15"/>
    <n v="1.01E-2"/>
    <x v="1"/>
  </r>
  <r>
    <x v="49"/>
    <n v="0.01"/>
    <x v="1"/>
  </r>
  <r>
    <x v="50"/>
    <n v="9.7999999999999997E-3"/>
    <x v="1"/>
  </r>
  <r>
    <x v="51"/>
    <n v="9.7000000000000003E-3"/>
    <x v="1"/>
  </r>
  <r>
    <x v="52"/>
    <n v="9.5999999999999992E-3"/>
    <x v="1"/>
  </r>
  <r>
    <x v="53"/>
    <n v="9.5999999999999992E-3"/>
    <x v="1"/>
  </r>
  <r>
    <x v="54"/>
    <n v="9.4000000000000004E-3"/>
    <x v="1"/>
  </r>
  <r>
    <x v="55"/>
    <n v="9.1999999999999998E-3"/>
    <x v="1"/>
  </r>
  <r>
    <x v="56"/>
    <n v="8.2000000000000007E-3"/>
    <x v="1"/>
  </r>
  <r>
    <x v="57"/>
    <n v="8.0000000000000002E-3"/>
    <x v="1"/>
  </r>
  <r>
    <x v="58"/>
    <n v="7.9000000000000008E-3"/>
    <x v="1"/>
  </r>
  <r>
    <x v="59"/>
    <n v="7.1999999999999998E-3"/>
    <x v="1"/>
  </r>
  <r>
    <x v="60"/>
    <n v="6.3E-3"/>
    <x v="1"/>
  </r>
  <r>
    <x v="61"/>
    <n v="5.8999999999999999E-3"/>
    <x v="1"/>
  </r>
  <r>
    <x v="62"/>
    <n v="5.1000000000000004E-3"/>
    <x v="1"/>
  </r>
  <r>
    <x v="63"/>
    <n v="4.8999999999999998E-3"/>
    <x v="1"/>
  </r>
  <r>
    <x v="64"/>
    <n v="4.4999999999999997E-3"/>
    <x v="1"/>
  </r>
  <r>
    <x v="65"/>
    <n v="4.0000000000000001E-3"/>
    <x v="1"/>
  </r>
  <r>
    <x v="66"/>
    <n v="3.3E-3"/>
    <x v="1"/>
  </r>
  <r>
    <x v="67"/>
    <n v="3.2000000000000002E-3"/>
    <x v="1"/>
  </r>
  <r>
    <x v="68"/>
    <n v="2.3E-3"/>
    <x v="1"/>
  </r>
  <r>
    <x v="69"/>
    <n v="8.0000000000000004E-4"/>
    <x v="1"/>
  </r>
  <r>
    <x v="70"/>
    <n v="4.0000000000000002E-4"/>
    <x v="1"/>
  </r>
  <r>
    <x v="71"/>
    <n v="4.0000000000000002E-4"/>
    <x v="1"/>
  </r>
  <r>
    <x v="72"/>
    <n v="4.0000000000000002E-4"/>
    <x v="1"/>
  </r>
  <r>
    <x v="73"/>
    <n v="4.0000000000000002E-4"/>
    <x v="1"/>
  </r>
  <r>
    <x v="74"/>
    <n v="2.9999999999999997E-4"/>
    <x v="1"/>
  </r>
  <r>
    <x v="75"/>
    <n v="2.9999999999999997E-4"/>
    <x v="1"/>
  </r>
  <r>
    <x v="76"/>
    <n v="2.9999999999999997E-4"/>
    <x v="1"/>
  </r>
  <r>
    <x v="77"/>
    <n v="2.0000000000000001E-4"/>
    <x v="1"/>
  </r>
  <r>
    <x v="78"/>
    <n v="2.0000000000000001E-4"/>
    <x v="1"/>
  </r>
  <r>
    <x v="79"/>
    <n v="2.0000000000000001E-4"/>
    <x v="1"/>
  </r>
  <r>
    <x v="80"/>
    <n v="1E-4"/>
    <x v="1"/>
  </r>
  <r>
    <x v="81"/>
    <n v="1E-4"/>
    <x v="1"/>
  </r>
  <r>
    <x v="82"/>
    <n v="1E-4"/>
    <x v="1"/>
  </r>
  <r>
    <x v="83"/>
    <n v="1E-4"/>
    <x v="1"/>
  </r>
  <r>
    <x v="84"/>
    <n v="1E-4"/>
    <x v="1"/>
  </r>
  <r>
    <x v="85"/>
    <n v="1E-4"/>
    <x v="1"/>
  </r>
  <r>
    <x v="86"/>
    <n v="0"/>
    <x v="1"/>
  </r>
  <r>
    <x v="87"/>
    <n v="0"/>
    <x v="1"/>
  </r>
  <r>
    <x v="88"/>
    <n v="0"/>
    <x v="1"/>
  </r>
  <r>
    <x v="89"/>
    <n v="0"/>
    <x v="1"/>
  </r>
  <r>
    <x v="90"/>
    <n v="0"/>
    <x v="1"/>
  </r>
  <r>
    <x v="91"/>
    <n v="0"/>
    <x v="1"/>
  </r>
  <r>
    <x v="92"/>
    <n v="1.1299999999999999E-2"/>
    <x v="1"/>
  </r>
  <r>
    <x v="93"/>
    <n v="1.12E-2"/>
    <x v="1"/>
  </r>
  <r>
    <x v="94"/>
    <n v="0"/>
    <x v="1"/>
  </r>
  <r>
    <x v="30"/>
    <n v="3.03"/>
    <x v="2"/>
  </r>
  <r>
    <x v="16"/>
    <n v="2.94"/>
    <x v="2"/>
  </r>
  <r>
    <x v="95"/>
    <n v="2.9"/>
    <x v="2"/>
  </r>
  <r>
    <x v="96"/>
    <n v="2.23"/>
    <x v="2"/>
  </r>
  <r>
    <x v="97"/>
    <n v="2.2200000000000002"/>
    <x v="2"/>
  </r>
  <r>
    <x v="98"/>
    <n v="2.14"/>
    <x v="2"/>
  </r>
  <r>
    <x v="99"/>
    <n v="2"/>
    <x v="2"/>
  </r>
  <r>
    <x v="100"/>
    <n v="1.91"/>
    <x v="2"/>
  </r>
  <r>
    <x v="27"/>
    <n v="1.65"/>
    <x v="2"/>
  </r>
  <r>
    <x v="101"/>
    <n v="1.63"/>
    <x v="2"/>
  </r>
  <r>
    <x v="72"/>
    <n v="1.63"/>
    <x v="2"/>
  </r>
  <r>
    <x v="102"/>
    <n v="1.61"/>
    <x v="2"/>
  </r>
  <r>
    <x v="14"/>
    <n v="1.57"/>
    <x v="2"/>
  </r>
  <r>
    <x v="103"/>
    <n v="1.56"/>
    <x v="2"/>
  </r>
  <r>
    <x v="67"/>
    <n v="1.56"/>
    <x v="2"/>
  </r>
  <r>
    <x v="104"/>
    <n v="1.55"/>
    <x v="2"/>
  </r>
  <r>
    <x v="105"/>
    <n v="1.53"/>
    <x v="2"/>
  </r>
  <r>
    <x v="106"/>
    <n v="1.53"/>
    <x v="2"/>
  </r>
  <r>
    <x v="107"/>
    <n v="1.53"/>
    <x v="2"/>
  </r>
  <r>
    <x v="108"/>
    <n v="1.51"/>
    <x v="2"/>
  </r>
  <r>
    <x v="109"/>
    <n v="1.47"/>
    <x v="2"/>
  </r>
  <r>
    <x v="110"/>
    <n v="1.44"/>
    <x v="2"/>
  </r>
  <r>
    <x v="111"/>
    <n v="1.44"/>
    <x v="2"/>
  </r>
  <r>
    <x v="112"/>
    <n v="1.44"/>
    <x v="2"/>
  </r>
  <r>
    <x v="113"/>
    <n v="1.42"/>
    <x v="2"/>
  </r>
  <r>
    <x v="114"/>
    <n v="1.41"/>
    <x v="2"/>
  </r>
  <r>
    <x v="115"/>
    <n v="1.41"/>
    <x v="2"/>
  </r>
  <r>
    <x v="116"/>
    <n v="1.37"/>
    <x v="2"/>
  </r>
  <r>
    <x v="117"/>
    <n v="1.36"/>
    <x v="2"/>
  </r>
  <r>
    <x v="20"/>
    <n v="1.35"/>
    <x v="2"/>
  </r>
  <r>
    <x v="118"/>
    <n v="1.34"/>
    <x v="2"/>
  </r>
  <r>
    <x v="82"/>
    <n v="1.33"/>
    <x v="2"/>
  </r>
  <r>
    <x v="119"/>
    <n v="1.31"/>
    <x v="2"/>
  </r>
  <r>
    <x v="120"/>
    <n v="1.28"/>
    <x v="2"/>
  </r>
  <r>
    <x v="121"/>
    <n v="1.2"/>
    <x v="2"/>
  </r>
  <r>
    <x v="21"/>
    <n v="1.17"/>
    <x v="2"/>
  </r>
  <r>
    <x v="122"/>
    <n v="1.1499999999999999"/>
    <x v="2"/>
  </r>
  <r>
    <x v="123"/>
    <n v="1.1299999999999999"/>
    <x v="2"/>
  </r>
  <r>
    <x v="124"/>
    <n v="1.1200000000000001"/>
    <x v="2"/>
  </r>
  <r>
    <x v="125"/>
    <n v="1.1100000000000001"/>
    <x v="2"/>
  </r>
  <r>
    <x v="126"/>
    <n v="1.0900000000000001"/>
    <x v="2"/>
  </r>
  <r>
    <x v="127"/>
    <n v="1.0900000000000001"/>
    <x v="2"/>
  </r>
  <r>
    <x v="128"/>
    <n v="1.07"/>
    <x v="2"/>
  </r>
  <r>
    <x v="129"/>
    <n v="1.07"/>
    <x v="2"/>
  </r>
  <r>
    <x v="130"/>
    <n v="1.01"/>
    <x v="2"/>
  </r>
  <r>
    <x v="131"/>
    <n v="0.99"/>
    <x v="2"/>
  </r>
  <r>
    <x v="132"/>
    <n v="0.98"/>
    <x v="2"/>
  </r>
  <r>
    <x v="133"/>
    <n v="0.98"/>
    <x v="2"/>
  </r>
  <r>
    <x v="134"/>
    <n v="0.94"/>
    <x v="2"/>
  </r>
  <r>
    <x v="135"/>
    <n v="0.92"/>
    <x v="2"/>
  </r>
  <r>
    <x v="136"/>
    <n v="0.92"/>
    <x v="2"/>
  </r>
  <r>
    <x v="137"/>
    <n v="0.91"/>
    <x v="2"/>
  </r>
  <r>
    <x v="138"/>
    <n v="0.91"/>
    <x v="2"/>
  </r>
  <r>
    <x v="139"/>
    <n v="0.87"/>
    <x v="2"/>
  </r>
  <r>
    <x v="140"/>
    <n v="0.8"/>
    <x v="2"/>
  </r>
  <r>
    <x v="141"/>
    <n v="0.77"/>
    <x v="2"/>
  </r>
  <r>
    <x v="142"/>
    <n v="0.75"/>
    <x v="2"/>
  </r>
  <r>
    <x v="62"/>
    <n v="0.71"/>
    <x v="2"/>
  </r>
  <r>
    <x v="143"/>
    <n v="0.71"/>
    <x v="2"/>
  </r>
  <r>
    <x v="144"/>
    <n v="0.68"/>
    <x v="2"/>
  </r>
  <r>
    <x v="145"/>
    <n v="0.66"/>
    <x v="2"/>
  </r>
  <r>
    <x v="84"/>
    <n v="0.66"/>
    <x v="2"/>
  </r>
  <r>
    <x v="146"/>
    <n v="0.65"/>
    <x v="2"/>
  </r>
  <r>
    <x v="90"/>
    <n v="0.64"/>
    <x v="2"/>
  </r>
  <r>
    <x v="147"/>
    <n v="0.64"/>
    <x v="2"/>
  </r>
  <r>
    <x v="148"/>
    <n v="0.6"/>
    <x v="2"/>
  </r>
  <r>
    <x v="149"/>
    <n v="0.6"/>
    <x v="2"/>
  </r>
  <r>
    <x v="150"/>
    <n v="0.57999999999999996"/>
    <x v="2"/>
  </r>
  <r>
    <x v="151"/>
    <n v="0.56999999999999995"/>
    <x v="2"/>
  </r>
  <r>
    <x v="152"/>
    <n v="0.56999999999999995"/>
    <x v="2"/>
  </r>
  <r>
    <x v="153"/>
    <n v="0.56000000000000005"/>
    <x v="2"/>
  </r>
  <r>
    <x v="154"/>
    <n v="0.51"/>
    <x v="2"/>
  </r>
  <r>
    <x v="155"/>
    <n v="0.51"/>
    <x v="2"/>
  </r>
  <r>
    <x v="156"/>
    <n v="0.47"/>
    <x v="2"/>
  </r>
  <r>
    <x v="157"/>
    <n v="0.46"/>
    <x v="2"/>
  </r>
  <r>
    <x v="158"/>
    <n v="0.44"/>
    <x v="2"/>
  </r>
  <r>
    <x v="159"/>
    <n v="0.43"/>
    <x v="2"/>
  </r>
  <r>
    <x v="160"/>
    <n v="0.42"/>
    <x v="2"/>
  </r>
  <r>
    <x v="161"/>
    <n v="0.41"/>
    <x v="2"/>
  </r>
  <r>
    <x v="162"/>
    <n v="0.39"/>
    <x v="2"/>
  </r>
  <r>
    <x v="163"/>
    <n v="0.37"/>
    <x v="2"/>
  </r>
  <r>
    <x v="164"/>
    <n v="0.36"/>
    <x v="2"/>
  </r>
  <r>
    <x v="165"/>
    <n v="0.34"/>
    <x v="2"/>
  </r>
  <r>
    <x v="77"/>
    <n v="0.34"/>
    <x v="2"/>
  </r>
  <r>
    <x v="166"/>
    <n v="0.28999999999999998"/>
    <x v="2"/>
  </r>
  <r>
    <x v="167"/>
    <n v="0.28000000000000003"/>
    <x v="2"/>
  </r>
  <r>
    <x v="168"/>
    <n v="0.24"/>
    <x v="2"/>
  </r>
  <r>
    <x v="169"/>
    <n v="0.24"/>
    <x v="2"/>
  </r>
  <r>
    <x v="170"/>
    <n v="0.17"/>
    <x v="2"/>
  </r>
  <r>
    <x v="171"/>
    <n v="0"/>
    <x v="2"/>
  </r>
  <r>
    <x v="172"/>
    <n v="1.38"/>
    <x v="3"/>
  </r>
  <r>
    <x v="173"/>
    <n v="1.41"/>
    <x v="3"/>
  </r>
  <r>
    <x v="174"/>
    <n v="3.82"/>
    <x v="3"/>
  </r>
  <r>
    <x v="175"/>
    <n v="0.51"/>
    <x v="3"/>
  </r>
  <r>
    <x v="176"/>
    <n v="8.33"/>
    <x v="3"/>
  </r>
  <r>
    <x v="177"/>
    <n v="6.77"/>
    <x v="3"/>
  </r>
  <r>
    <x v="178"/>
    <n v="4.3"/>
    <x v="3"/>
  </r>
  <r>
    <x v="179"/>
    <n v="4.0599999999999996"/>
    <x v="3"/>
  </r>
  <r>
    <x v="180"/>
    <n v="3.47"/>
    <x v="3"/>
  </r>
  <r>
    <x v="181"/>
    <n v="1"/>
    <x v="3"/>
  </r>
  <r>
    <x v="182"/>
    <n v="1.74"/>
    <x v="3"/>
  </r>
  <r>
    <x v="183"/>
    <n v="3.82"/>
    <x v="3"/>
  </r>
  <r>
    <x v="184"/>
    <n v="2.02"/>
    <x v="3"/>
  </r>
  <r>
    <x v="144"/>
    <n v="1.1399999999999999"/>
    <x v="3"/>
  </r>
  <r>
    <x v="185"/>
    <n v="1.04"/>
    <x v="3"/>
  </r>
  <r>
    <x v="186"/>
    <n v="0.52"/>
    <x v="3"/>
  </r>
  <r>
    <x v="137"/>
    <n v="0.52"/>
    <x v="3"/>
  </r>
  <r>
    <x v="187"/>
    <n v="1.31"/>
    <x v="3"/>
  </r>
  <r>
    <x v="188"/>
    <n v="1.24"/>
    <x v="3"/>
  </r>
  <r>
    <x v="189"/>
    <n v="1.2"/>
    <x v="3"/>
  </r>
  <r>
    <x v="190"/>
    <n v="1.1000000000000001"/>
    <x v="3"/>
  </r>
  <r>
    <x v="191"/>
    <n v="1.59"/>
    <x v="3"/>
  </r>
  <r>
    <x v="192"/>
    <n v="1.54"/>
    <x v="3"/>
  </r>
  <r>
    <x v="193"/>
    <n v="1.32"/>
    <x v="3"/>
  </r>
  <r>
    <x v="194"/>
    <n v="3"/>
    <x v="3"/>
  </r>
  <r>
    <x v="195"/>
    <n v="1.54"/>
    <x v="3"/>
  </r>
  <r>
    <x v="196"/>
    <n v="0.85"/>
    <x v="3"/>
  </r>
  <r>
    <x v="197"/>
    <n v="3.64"/>
    <x v="3"/>
  </r>
  <r>
    <x v="198"/>
    <n v="2.16"/>
    <x v="3"/>
  </r>
  <r>
    <x v="67"/>
    <n v="0.74"/>
    <x v="3"/>
  </r>
  <r>
    <x v="199"/>
    <n v="0.59"/>
    <x v="3"/>
  </r>
  <r>
    <x v="200"/>
    <n v="1.78"/>
    <x v="3"/>
  </r>
  <r>
    <x v="38"/>
    <n v="0.51"/>
    <x v="3"/>
  </r>
  <r>
    <x v="201"/>
    <n v="0.92"/>
    <x v="3"/>
  </r>
  <r>
    <x v="202"/>
    <n v="5.81"/>
    <x v="3"/>
  </r>
  <r>
    <x v="203"/>
    <n v="2.2000000000000002"/>
    <x v="3"/>
  </r>
  <r>
    <x v="204"/>
    <n v="1.4"/>
    <x v="3"/>
  </r>
  <r>
    <x v="205"/>
    <n v="1.24"/>
    <x v="3"/>
  </r>
  <r>
    <x v="206"/>
    <n v="1.22"/>
    <x v="3"/>
  </r>
  <r>
    <x v="207"/>
    <n v="2.41"/>
    <x v="3"/>
  </r>
  <r>
    <x v="208"/>
    <n v="1.56"/>
    <x v="3"/>
  </r>
  <r>
    <x v="169"/>
    <n v="1.1200000000000001"/>
    <x v="3"/>
  </r>
  <r>
    <x v="209"/>
    <n v="0.6"/>
    <x v="3"/>
  </r>
  <r>
    <x v="210"/>
    <n v="4.67"/>
    <x v="3"/>
  </r>
  <r>
    <x v="211"/>
    <n v="1.03"/>
    <x v="3"/>
  </r>
  <r>
    <x v="212"/>
    <n v="0.97"/>
    <x v="3"/>
  </r>
  <r>
    <x v="213"/>
    <n v="0.94"/>
    <x v="3"/>
  </r>
  <r>
    <x v="214"/>
    <n v="0.74"/>
    <x v="3"/>
  </r>
  <r>
    <x v="215"/>
    <n v="0.86"/>
    <x v="3"/>
  </r>
  <r>
    <x v="216"/>
    <n v="4.53E-2"/>
    <x v="4"/>
  </r>
  <r>
    <x v="217"/>
    <n v="3.1099999999999999E-2"/>
    <x v="4"/>
  </r>
  <r>
    <x v="218"/>
    <n v="0.03"/>
    <x v="4"/>
  </r>
  <r>
    <x v="219"/>
    <n v="2.87E-2"/>
    <x v="4"/>
  </r>
  <r>
    <x v="220"/>
    <n v="2.8199999999999999E-2"/>
    <x v="4"/>
  </r>
  <r>
    <x v="221"/>
    <n v="2.6599999999999999E-2"/>
    <x v="4"/>
  </r>
  <r>
    <x v="222"/>
    <n v="2.6599999999999999E-2"/>
    <x v="4"/>
  </r>
  <r>
    <x v="223"/>
    <n v="2.2100000000000002E-2"/>
    <x v="4"/>
  </r>
  <r>
    <x v="224"/>
    <n v="2.18E-2"/>
    <x v="4"/>
  </r>
  <r>
    <x v="225"/>
    <n v="2.1499999999999998E-2"/>
    <x v="4"/>
  </r>
  <r>
    <x v="226"/>
    <n v="2.1100000000000001E-2"/>
    <x v="4"/>
  </r>
  <r>
    <x v="227"/>
    <n v="2.0899999999999998E-2"/>
    <x v="4"/>
  </r>
  <r>
    <x v="228"/>
    <n v="2.0799999999999999E-2"/>
    <x v="4"/>
  </r>
  <r>
    <x v="229"/>
    <n v="1.9599999999999999E-2"/>
    <x v="4"/>
  </r>
  <r>
    <x v="230"/>
    <n v="1.9E-2"/>
    <x v="4"/>
  </r>
  <r>
    <x v="231"/>
    <n v="1.8800000000000001E-2"/>
    <x v="4"/>
  </r>
  <r>
    <x v="232"/>
    <n v="1.8200000000000001E-2"/>
    <x v="4"/>
  </r>
  <r>
    <x v="27"/>
    <n v="1.7999999999999999E-2"/>
    <x v="4"/>
  </r>
  <r>
    <x v="233"/>
    <n v="1.6500000000000001E-2"/>
    <x v="4"/>
  </r>
  <r>
    <x v="234"/>
    <n v="1.4999999999999999E-2"/>
    <x v="4"/>
  </r>
  <r>
    <x v="235"/>
    <n v="1.49E-2"/>
    <x v="4"/>
  </r>
  <r>
    <x v="236"/>
    <n v="1.4800000000000001E-2"/>
    <x v="4"/>
  </r>
  <r>
    <x v="237"/>
    <n v="1.41E-2"/>
    <x v="4"/>
  </r>
  <r>
    <x v="238"/>
    <n v="1.41E-2"/>
    <x v="4"/>
  </r>
  <r>
    <x v="239"/>
    <n v="1.3599999999999999E-2"/>
    <x v="4"/>
  </r>
  <r>
    <x v="240"/>
    <n v="1.3100000000000001E-2"/>
    <x v="4"/>
  </r>
  <r>
    <x v="241"/>
    <n v="1.2999999999999999E-2"/>
    <x v="4"/>
  </r>
  <r>
    <x v="242"/>
    <n v="1.2800000000000001E-2"/>
    <x v="4"/>
  </r>
  <r>
    <x v="243"/>
    <n v="1.2800000000000001E-2"/>
    <x v="4"/>
  </r>
  <r>
    <x v="244"/>
    <n v="1.2800000000000001E-2"/>
    <x v="4"/>
  </r>
  <r>
    <x v="245"/>
    <n v="9.86"/>
    <x v="5"/>
  </r>
  <r>
    <x v="246"/>
    <n v="7.59"/>
    <x v="5"/>
  </r>
  <r>
    <x v="247"/>
    <n v="7.25"/>
    <x v="5"/>
  </r>
  <r>
    <x v="248"/>
    <n v="6.55"/>
    <x v="5"/>
  </r>
  <r>
    <x v="7"/>
    <n v="6.43"/>
    <x v="5"/>
  </r>
  <r>
    <x v="249"/>
    <n v="5.66"/>
    <x v="5"/>
  </r>
  <r>
    <x v="3"/>
    <n v="5.56"/>
    <x v="5"/>
  </r>
  <r>
    <x v="250"/>
    <n v="3.99"/>
    <x v="5"/>
  </r>
  <r>
    <x v="251"/>
    <n v="3.98"/>
    <x v="5"/>
  </r>
  <r>
    <x v="0"/>
    <n v="3.28"/>
    <x v="5"/>
  </r>
  <r>
    <x v="252"/>
    <n v="3.79"/>
    <x v="6"/>
  </r>
  <r>
    <x v="253"/>
    <n v="3.73"/>
    <x v="6"/>
  </r>
  <r>
    <x v="254"/>
    <n v="3.49"/>
    <x v="6"/>
  </r>
  <r>
    <x v="255"/>
    <n v="3.08"/>
    <x v="6"/>
  </r>
  <r>
    <x v="256"/>
    <n v="2.88"/>
    <x v="6"/>
  </r>
  <r>
    <x v="257"/>
    <n v="2.8"/>
    <x v="6"/>
  </r>
  <r>
    <x v="258"/>
    <n v="2.63"/>
    <x v="6"/>
  </r>
  <r>
    <x v="259"/>
    <n v="2.6"/>
    <x v="6"/>
  </r>
  <r>
    <x v="260"/>
    <n v="2.41"/>
    <x v="6"/>
  </r>
  <r>
    <x v="1"/>
    <n v="2.2200000000000002"/>
    <x v="6"/>
  </r>
  <r>
    <x v="0"/>
    <n v="2.19"/>
    <x v="6"/>
  </r>
  <r>
    <x v="261"/>
    <n v="2.12"/>
    <x v="6"/>
  </r>
  <r>
    <x v="262"/>
    <n v="2.08"/>
    <x v="6"/>
  </r>
  <r>
    <x v="3"/>
    <n v="2.08"/>
    <x v="6"/>
  </r>
  <r>
    <x v="180"/>
    <n v="2.0699999999999998"/>
    <x v="6"/>
  </r>
  <r>
    <x v="263"/>
    <n v="2.0499999999999998"/>
    <x v="6"/>
  </r>
  <r>
    <x v="264"/>
    <n v="2.0499999999999998"/>
    <x v="6"/>
  </r>
  <r>
    <x v="265"/>
    <n v="1.99"/>
    <x v="6"/>
  </r>
  <r>
    <x v="266"/>
    <n v="1.99"/>
    <x v="6"/>
  </r>
  <r>
    <x v="267"/>
    <n v="1.94"/>
    <x v="6"/>
  </r>
  <r>
    <x v="268"/>
    <n v="1.91"/>
    <x v="6"/>
  </r>
  <r>
    <x v="269"/>
    <n v="1.9"/>
    <x v="6"/>
  </r>
  <r>
    <x v="270"/>
    <n v="1.87"/>
    <x v="6"/>
  </r>
  <r>
    <x v="271"/>
    <n v="1.84"/>
    <x v="6"/>
  </r>
  <r>
    <x v="272"/>
    <n v="1.8"/>
    <x v="6"/>
  </r>
  <r>
    <x v="273"/>
    <n v="1.74"/>
    <x v="6"/>
  </r>
  <r>
    <x v="274"/>
    <n v="1.67"/>
    <x v="6"/>
  </r>
  <r>
    <x v="275"/>
    <n v="1.66"/>
    <x v="6"/>
  </r>
  <r>
    <x v="276"/>
    <n v="1.64"/>
    <x v="6"/>
  </r>
  <r>
    <x v="277"/>
    <n v="1.62"/>
    <x v="6"/>
  </r>
  <r>
    <x v="278"/>
    <n v="1.6"/>
    <x v="6"/>
  </r>
  <r>
    <x v="279"/>
    <n v="1.6"/>
    <x v="6"/>
  </r>
  <r>
    <x v="280"/>
    <n v="1.58"/>
    <x v="6"/>
  </r>
  <r>
    <x v="281"/>
    <n v="1.57"/>
    <x v="6"/>
  </r>
  <r>
    <x v="282"/>
    <n v="1.52"/>
    <x v="6"/>
  </r>
  <r>
    <x v="283"/>
    <n v="1.52"/>
    <x v="6"/>
  </r>
  <r>
    <x v="8"/>
    <n v="1.48"/>
    <x v="6"/>
  </r>
  <r>
    <x v="284"/>
    <n v="1.43"/>
    <x v="6"/>
  </r>
  <r>
    <x v="285"/>
    <n v="1.36"/>
    <x v="6"/>
  </r>
  <r>
    <x v="286"/>
    <n v="1.28"/>
    <x v="6"/>
  </r>
  <r>
    <x v="287"/>
    <n v="1.27"/>
    <x v="6"/>
  </r>
  <r>
    <x v="288"/>
    <n v="1.24"/>
    <x v="6"/>
  </r>
  <r>
    <x v="289"/>
    <n v="1.21"/>
    <x v="6"/>
  </r>
  <r>
    <x v="290"/>
    <n v="1.2"/>
    <x v="6"/>
  </r>
  <r>
    <x v="291"/>
    <n v="1.18"/>
    <x v="6"/>
  </r>
  <r>
    <x v="292"/>
    <n v="1.1399999999999999"/>
    <x v="6"/>
  </r>
  <r>
    <x v="293"/>
    <n v="1.06"/>
    <x v="6"/>
  </r>
  <r>
    <x v="294"/>
    <n v="1.02"/>
    <x v="6"/>
  </r>
  <r>
    <x v="246"/>
    <n v="0.99"/>
    <x v="6"/>
  </r>
  <r>
    <x v="14"/>
    <n v="4.2200000000000001E-2"/>
    <x v="7"/>
  </r>
  <r>
    <x v="295"/>
    <n v="4.0300000000000002E-2"/>
    <x v="7"/>
  </r>
  <r>
    <x v="296"/>
    <n v="2.98E-2"/>
    <x v="7"/>
  </r>
  <r>
    <x v="297"/>
    <n v="2.9100000000000001E-2"/>
    <x v="7"/>
  </r>
  <r>
    <x v="298"/>
    <n v="2.7900000000000001E-2"/>
    <x v="7"/>
  </r>
  <r>
    <x v="126"/>
    <n v="2.6700000000000002E-2"/>
    <x v="7"/>
  </r>
  <r>
    <x v="299"/>
    <n v="2.5499999999999998E-2"/>
    <x v="7"/>
  </r>
  <r>
    <x v="27"/>
    <n v="2.3699999999999999E-2"/>
    <x v="7"/>
  </r>
  <r>
    <x v="300"/>
    <n v="2.2700000000000001E-2"/>
    <x v="7"/>
  </r>
  <r>
    <x v="301"/>
    <n v="2.2200000000000001E-2"/>
    <x v="7"/>
  </r>
  <r>
    <x v="302"/>
    <n v="2.1399999999999999E-2"/>
    <x v="7"/>
  </r>
  <r>
    <x v="303"/>
    <n v="2.1299999999999999E-2"/>
    <x v="7"/>
  </r>
  <r>
    <x v="304"/>
    <n v="2.1000000000000001E-2"/>
    <x v="7"/>
  </r>
  <r>
    <x v="305"/>
    <n v="2.1000000000000001E-2"/>
    <x v="7"/>
  </r>
  <r>
    <x v="169"/>
    <n v="2.0500000000000001E-2"/>
    <x v="7"/>
  </r>
  <r>
    <x v="66"/>
    <n v="2.0400000000000001E-2"/>
    <x v="7"/>
  </r>
  <r>
    <x v="292"/>
    <n v="1.9400000000000001E-2"/>
    <x v="7"/>
  </r>
  <r>
    <x v="306"/>
    <n v="1.9400000000000001E-2"/>
    <x v="7"/>
  </r>
  <r>
    <x v="62"/>
    <n v="1.9199999999999998E-2"/>
    <x v="7"/>
  </r>
  <r>
    <x v="307"/>
    <n v="1.7600000000000001E-2"/>
    <x v="7"/>
  </r>
  <r>
    <x v="308"/>
    <n v="1.7000000000000001E-2"/>
    <x v="7"/>
  </r>
  <r>
    <x v="309"/>
    <n v="1.66E-2"/>
    <x v="7"/>
  </r>
  <r>
    <x v="212"/>
    <n v="1.6500000000000001E-2"/>
    <x v="7"/>
  </r>
  <r>
    <x v="310"/>
    <n v="1.6400000000000001E-2"/>
    <x v="7"/>
  </r>
  <r>
    <x v="311"/>
    <n v="1.6299999999999999E-2"/>
    <x v="7"/>
  </r>
  <r>
    <x v="312"/>
    <n v="1.6199999999999999E-2"/>
    <x v="7"/>
  </r>
  <r>
    <x v="313"/>
    <n v="1.6199999999999999E-2"/>
    <x v="7"/>
  </r>
  <r>
    <x v="314"/>
    <n v="1.61E-2"/>
    <x v="7"/>
  </r>
  <r>
    <x v="315"/>
    <n v="1.61E-2"/>
    <x v="7"/>
  </r>
  <r>
    <x v="316"/>
    <n v="1.5699999999999999E-2"/>
    <x v="7"/>
  </r>
  <r>
    <x v="317"/>
    <n v="1.55E-2"/>
    <x v="7"/>
  </r>
  <r>
    <x v="271"/>
    <n v="1.47E-2"/>
    <x v="7"/>
  </r>
  <r>
    <x v="119"/>
    <n v="1.41E-2"/>
    <x v="7"/>
  </r>
  <r>
    <x v="318"/>
    <n v="1.3899999999999999E-2"/>
    <x v="7"/>
  </r>
  <r>
    <x v="319"/>
    <n v="1.2999999999999999E-2"/>
    <x v="7"/>
  </r>
  <r>
    <x v="0"/>
    <n v="1.2800000000000001E-2"/>
    <x v="7"/>
  </r>
  <r>
    <x v="320"/>
    <n v="1.2500000000000001E-2"/>
    <x v="7"/>
  </r>
  <r>
    <x v="321"/>
    <n v="1.21E-2"/>
    <x v="7"/>
  </r>
  <r>
    <x v="322"/>
    <n v="1.2E-2"/>
    <x v="7"/>
  </r>
  <r>
    <x v="323"/>
    <n v="1.2E-2"/>
    <x v="7"/>
  </r>
  <r>
    <x v="324"/>
    <n v="1.18E-2"/>
    <x v="7"/>
  </r>
  <r>
    <x v="325"/>
    <n v="1.18E-2"/>
    <x v="7"/>
  </r>
  <r>
    <x v="326"/>
    <n v="1.1599999999999999E-2"/>
    <x v="7"/>
  </r>
  <r>
    <x v="327"/>
    <n v="1.06E-2"/>
    <x v="7"/>
  </r>
  <r>
    <x v="328"/>
    <n v="0.01"/>
    <x v="7"/>
  </r>
  <r>
    <x v="329"/>
    <n v="9.5999999999999992E-3"/>
    <x v="7"/>
  </r>
  <r>
    <x v="330"/>
    <n v="9.1999999999999998E-3"/>
    <x v="7"/>
  </r>
  <r>
    <x v="331"/>
    <n v="9.1000000000000004E-3"/>
    <x v="7"/>
  </r>
  <r>
    <x v="332"/>
    <n v="8.8999999999999999E-3"/>
    <x v="7"/>
  </r>
  <r>
    <x v="333"/>
    <n v="8.6999999999999994E-3"/>
    <x v="7"/>
  </r>
  <r>
    <x v="334"/>
    <n v="8.5000000000000006E-3"/>
    <x v="7"/>
  </r>
  <r>
    <x v="335"/>
    <n v="8.0999999999999996E-3"/>
    <x v="7"/>
  </r>
  <r>
    <x v="336"/>
    <n v="8.0000000000000002E-3"/>
    <x v="7"/>
  </r>
  <r>
    <x v="337"/>
    <n v="8.0000000000000002E-3"/>
    <x v="7"/>
  </r>
  <r>
    <x v="338"/>
    <n v="7.4999999999999997E-3"/>
    <x v="7"/>
  </r>
  <r>
    <x v="339"/>
    <n v="7.0000000000000001E-3"/>
    <x v="7"/>
  </r>
  <r>
    <x v="340"/>
    <n v="6.8999999999999999E-3"/>
    <x v="7"/>
  </r>
  <r>
    <x v="341"/>
    <n v="6.7999999999999996E-3"/>
    <x v="7"/>
  </r>
  <r>
    <x v="342"/>
    <n v="6.4999999999999997E-3"/>
    <x v="7"/>
  </r>
  <r>
    <x v="343"/>
    <n v="6.3E-3"/>
    <x v="7"/>
  </r>
  <r>
    <x v="344"/>
    <n v="5.8999999999999999E-3"/>
    <x v="7"/>
  </r>
  <r>
    <x v="345"/>
    <n v="5.7000000000000002E-3"/>
    <x v="7"/>
  </r>
  <r>
    <x v="346"/>
    <n v="4.1999999999999997E-3"/>
    <x v="7"/>
  </r>
  <r>
    <x v="347"/>
    <n v="3.5000000000000001E-3"/>
    <x v="7"/>
  </r>
  <r>
    <x v="348"/>
    <n v="1.8E-3"/>
    <x v="7"/>
  </r>
  <r>
    <x v="349"/>
    <n v="1.2999999999999999E-3"/>
    <x v="7"/>
  </r>
  <r>
    <x v="350"/>
    <n v="5.0000000000000001E-4"/>
    <x v="7"/>
  </r>
  <r>
    <x v="351"/>
    <n v="5.0000000000000001E-4"/>
    <x v="7"/>
  </r>
  <r>
    <x v="352"/>
    <n v="1.6899999999999998E-2"/>
    <x v="7"/>
  </r>
  <r>
    <x v="353"/>
    <n v="5.2299999999999999E-2"/>
    <x v="8"/>
  </r>
  <r>
    <x v="354"/>
    <n v="9.5999999999999992E-3"/>
    <x v="8"/>
  </r>
  <r>
    <x v="24"/>
    <n v="4.2900000000000001E-2"/>
    <x v="8"/>
  </r>
  <r>
    <x v="130"/>
    <n v="2.2599999999999999E-2"/>
    <x v="8"/>
  </r>
  <r>
    <x v="153"/>
    <n v="3.0800000000000001E-2"/>
    <x v="8"/>
  </r>
  <r>
    <x v="355"/>
    <n v="3.9800000000000002E-2"/>
    <x v="8"/>
  </r>
  <r>
    <x v="356"/>
    <n v="3.5799999999999998E-2"/>
    <x v="8"/>
  </r>
  <r>
    <x v="20"/>
    <n v="2.52E-2"/>
    <x v="8"/>
  </r>
  <r>
    <x v="73"/>
    <n v="1.47E-2"/>
    <x v="8"/>
  </r>
  <r>
    <x v="357"/>
    <n v="2.4799999999999999E-2"/>
    <x v="8"/>
  </r>
  <r>
    <x v="358"/>
    <n v="5.9799999999999999E-2"/>
    <x v="8"/>
  </r>
  <r>
    <x v="57"/>
    <n v="5.8200000000000002E-2"/>
    <x v="8"/>
  </r>
  <r>
    <x v="359"/>
    <n v="2.63E-2"/>
    <x v="8"/>
  </r>
  <r>
    <x v="82"/>
    <n v="2.46E-2"/>
    <x v="8"/>
  </r>
  <r>
    <x v="30"/>
    <n v="4.2200000000000001E-2"/>
    <x v="8"/>
  </r>
  <r>
    <x v="360"/>
    <n v="1.6299999999999999E-2"/>
    <x v="8"/>
  </r>
  <r>
    <x v="72"/>
    <n v="6.1199999999999997E-2"/>
    <x v="8"/>
  </r>
  <r>
    <x v="361"/>
    <n v="7.2900000000000006E-2"/>
    <x v="8"/>
  </r>
  <r>
    <x v="362"/>
    <n v="2.1299999999999999E-2"/>
    <x v="8"/>
  </r>
  <r>
    <x v="363"/>
    <n v="2.81E-2"/>
    <x v="8"/>
  </r>
  <r>
    <x v="67"/>
    <n v="5.74E-2"/>
    <x v="8"/>
  </r>
  <r>
    <x v="54"/>
    <n v="3.2399999999999998E-2"/>
    <x v="8"/>
  </r>
  <r>
    <x v="364"/>
    <n v="2.01E-2"/>
    <x v="8"/>
  </r>
  <r>
    <x v="365"/>
    <n v="3.6600000000000001E-2"/>
    <x v="8"/>
  </r>
  <r>
    <x v="366"/>
    <n v="1.9800000000000002E-2"/>
    <x v="8"/>
  </r>
  <r>
    <x v="66"/>
    <n v="5.8000000000000003E-2"/>
    <x v="8"/>
  </r>
  <r>
    <x v="367"/>
    <n v="3.8300000000000001E-2"/>
    <x v="9"/>
  </r>
  <r>
    <x v="17"/>
    <n v="3.8199999999999998E-2"/>
    <x v="9"/>
  </r>
  <r>
    <x v="368"/>
    <n v="3.4299999999999997E-2"/>
    <x v="9"/>
  </r>
  <r>
    <x v="369"/>
    <n v="2.9600000000000001E-2"/>
    <x v="9"/>
  </r>
  <r>
    <x v="14"/>
    <n v="2.5000000000000001E-2"/>
    <x v="9"/>
  </r>
  <r>
    <x v="370"/>
    <n v="2.2499999999999999E-2"/>
    <x v="9"/>
  </r>
  <r>
    <x v="43"/>
    <n v="2.1100000000000001E-2"/>
    <x v="9"/>
  </r>
  <r>
    <x v="78"/>
    <n v="2.0400000000000001E-2"/>
    <x v="9"/>
  </r>
  <r>
    <x v="371"/>
    <n v="1.8800000000000001E-2"/>
    <x v="9"/>
  </r>
  <r>
    <x v="372"/>
    <n v="1.8700000000000001E-2"/>
    <x v="9"/>
  </r>
  <r>
    <x v="33"/>
    <n v="1.84E-2"/>
    <x v="9"/>
  </r>
  <r>
    <x v="355"/>
    <n v="1.7600000000000001E-2"/>
    <x v="9"/>
  </r>
  <r>
    <x v="362"/>
    <n v="1.6E-2"/>
    <x v="9"/>
  </r>
  <r>
    <x v="301"/>
    <n v="1.5800000000000002E-2"/>
    <x v="9"/>
  </r>
  <r>
    <x v="74"/>
    <n v="1.5599999999999999E-2"/>
    <x v="9"/>
  </r>
  <r>
    <x v="299"/>
    <n v="1.5599999999999999E-2"/>
    <x v="9"/>
  </r>
  <r>
    <x v="334"/>
    <n v="1.54E-2"/>
    <x v="9"/>
  </r>
  <r>
    <x v="87"/>
    <n v="1.47E-2"/>
    <x v="9"/>
  </r>
  <r>
    <x v="86"/>
    <n v="1.46E-2"/>
    <x v="9"/>
  </r>
  <r>
    <x v="42"/>
    <n v="1.44E-2"/>
    <x v="9"/>
  </r>
  <r>
    <x v="27"/>
    <n v="1.41E-2"/>
    <x v="9"/>
  </r>
  <r>
    <x v="153"/>
    <n v="1.4E-2"/>
    <x v="9"/>
  </r>
  <r>
    <x v="373"/>
    <n v="1.4E-2"/>
    <x v="9"/>
  </r>
  <r>
    <x v="139"/>
    <n v="1.4E-2"/>
    <x v="9"/>
  </r>
  <r>
    <x v="313"/>
    <n v="1.38E-2"/>
    <x v="9"/>
  </r>
  <r>
    <x v="126"/>
    <n v="1.32E-2"/>
    <x v="9"/>
  </r>
  <r>
    <x v="374"/>
    <n v="1.32E-2"/>
    <x v="9"/>
  </r>
  <r>
    <x v="375"/>
    <n v="1.2699999999999999E-2"/>
    <x v="9"/>
  </r>
  <r>
    <x v="53"/>
    <n v="1.24E-2"/>
    <x v="9"/>
  </r>
  <r>
    <x v="28"/>
    <n v="1.18E-2"/>
    <x v="9"/>
  </r>
  <r>
    <x v="376"/>
    <n v="1.1599999999999999E-2"/>
    <x v="9"/>
  </r>
  <r>
    <x v="377"/>
    <n v="1.15E-2"/>
    <x v="9"/>
  </r>
  <r>
    <x v="378"/>
    <n v="1.14E-2"/>
    <x v="9"/>
  </r>
  <r>
    <x v="18"/>
    <n v="1.0500000000000001E-2"/>
    <x v="9"/>
  </r>
  <r>
    <x v="20"/>
    <n v="1.0500000000000001E-2"/>
    <x v="9"/>
  </r>
  <r>
    <x v="379"/>
    <n v="1.0200000000000001E-2"/>
    <x v="9"/>
  </r>
  <r>
    <x v="380"/>
    <n v="1.01E-2"/>
    <x v="9"/>
  </r>
  <r>
    <x v="381"/>
    <n v="9.9000000000000008E-3"/>
    <x v="9"/>
  </r>
  <r>
    <x v="72"/>
    <n v="9.7999999999999997E-3"/>
    <x v="9"/>
  </r>
  <r>
    <x v="382"/>
    <n v="9.7999999999999997E-3"/>
    <x v="9"/>
  </r>
  <r>
    <x v="354"/>
    <n v="9.7000000000000003E-3"/>
    <x v="9"/>
  </r>
  <r>
    <x v="383"/>
    <n v="9.4999999999999998E-3"/>
    <x v="9"/>
  </r>
  <r>
    <x v="57"/>
    <n v="8.9999999999999993E-3"/>
    <x v="9"/>
  </r>
  <r>
    <x v="384"/>
    <n v="8.2000000000000007E-3"/>
    <x v="9"/>
  </r>
  <r>
    <x v="385"/>
    <n v="7.9000000000000008E-3"/>
    <x v="9"/>
  </r>
  <r>
    <x v="49"/>
    <n v="7.9000000000000008E-3"/>
    <x v="9"/>
  </r>
  <r>
    <x v="66"/>
    <n v="7.7000000000000002E-3"/>
    <x v="9"/>
  </r>
  <r>
    <x v="80"/>
    <n v="7.6E-3"/>
    <x v="9"/>
  </r>
  <r>
    <x v="386"/>
    <n v="7.4999999999999997E-3"/>
    <x v="9"/>
  </r>
  <r>
    <x v="387"/>
    <n v="7.4000000000000003E-3"/>
    <x v="9"/>
  </r>
  <r>
    <x v="388"/>
    <n v="7.4000000000000003E-3"/>
    <x v="9"/>
  </r>
  <r>
    <x v="389"/>
    <n v="7.1000000000000004E-3"/>
    <x v="9"/>
  </r>
  <r>
    <x v="390"/>
    <n v="7.1000000000000004E-3"/>
    <x v="9"/>
  </r>
  <r>
    <x v="77"/>
    <n v="6.8999999999999999E-3"/>
    <x v="9"/>
  </r>
  <r>
    <x v="391"/>
    <n v="6.6E-3"/>
    <x v="9"/>
  </r>
  <r>
    <x v="392"/>
    <n v="6.4999999999999997E-3"/>
    <x v="9"/>
  </r>
  <r>
    <x v="365"/>
    <n v="6.1000000000000004E-3"/>
    <x v="9"/>
  </r>
  <r>
    <x v="393"/>
    <n v="6.1000000000000004E-3"/>
    <x v="9"/>
  </r>
  <r>
    <x v="335"/>
    <n v="5.8999999999999999E-3"/>
    <x v="9"/>
  </r>
  <r>
    <x v="394"/>
    <n v="5.8999999999999999E-3"/>
    <x v="9"/>
  </r>
  <r>
    <x v="395"/>
    <n v="5.7000000000000002E-3"/>
    <x v="9"/>
  </r>
  <r>
    <x v="396"/>
    <n v="5.4999999999999997E-3"/>
    <x v="9"/>
  </r>
  <r>
    <x v="54"/>
    <n v="5.4000000000000003E-3"/>
    <x v="9"/>
  </r>
  <r>
    <x v="397"/>
    <n v="5.4000000000000003E-3"/>
    <x v="9"/>
  </r>
  <r>
    <x v="13"/>
    <n v="5.1000000000000004E-3"/>
    <x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6D1F67-9CB0-4AC1-BA35-1AB685894D52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L22" firstHeaderRow="1" firstDataRow="2" firstDataCol="1"/>
  <pivotFields count="3">
    <pivotField axis="axisRow" dataField="1" showAll="0" measureFilter="1" sortType="descending">
      <items count="399">
        <item x="157"/>
        <item x="394"/>
        <item x="188"/>
        <item x="86"/>
        <item x="254"/>
        <item x="353"/>
        <item x="46"/>
        <item x="234"/>
        <item x="22"/>
        <item x="47"/>
        <item x="256"/>
        <item x="132"/>
        <item x="58"/>
        <item x="383"/>
        <item x="75"/>
        <item x="34"/>
        <item x="293"/>
        <item x="217"/>
        <item x="301"/>
        <item x="37"/>
        <item x="244"/>
        <item x="112"/>
        <item x="192"/>
        <item x="345"/>
        <item x="341"/>
        <item x="381"/>
        <item x="117"/>
        <item x="184"/>
        <item x="332"/>
        <item x="164"/>
        <item x="148"/>
        <item x="354"/>
        <item x="104"/>
        <item x="246"/>
        <item x="322"/>
        <item x="179"/>
        <item x="389"/>
        <item x="189"/>
        <item x="140"/>
        <item x="339"/>
        <item x="304"/>
        <item x="170"/>
        <item x="268"/>
        <item x="160"/>
        <item x="18"/>
        <item x="130"/>
        <item x="303"/>
        <item x="42"/>
        <item x="107"/>
        <item x="0"/>
        <item x="53"/>
        <item x="99"/>
        <item x="252"/>
        <item x="153"/>
        <item x="307"/>
        <item x="147"/>
        <item x="240"/>
        <item x="138"/>
        <item x="24"/>
        <item x="85"/>
        <item x="260"/>
        <item x="331"/>
        <item x="376"/>
        <item x="90"/>
        <item x="319"/>
        <item x="69"/>
        <item x="209"/>
        <item x="221"/>
        <item x="355"/>
        <item x="16"/>
        <item x="318"/>
        <item x="279"/>
        <item x="12"/>
        <item x="92"/>
        <item x="171"/>
        <item x="224"/>
        <item x="379"/>
        <item x="84"/>
        <item x="386"/>
        <item x="151"/>
        <item x="91"/>
        <item x="190"/>
        <item x="392"/>
        <item x="309"/>
        <item x="29"/>
        <item x="111"/>
        <item x="72"/>
        <item x="196"/>
        <item x="277"/>
        <item x="243"/>
        <item x="371"/>
        <item x="317"/>
        <item x="152"/>
        <item x="113"/>
        <item x="61"/>
        <item x="255"/>
        <item x="185"/>
        <item x="222"/>
        <item x="33"/>
        <item x="102"/>
        <item x="163"/>
        <item x="320"/>
        <item x="8"/>
        <item x="89"/>
        <item x="167"/>
        <item x="327"/>
        <item x="4"/>
        <item x="59"/>
        <item x="81"/>
        <item x="205"/>
        <item x="356"/>
        <item x="144"/>
        <item x="305"/>
        <item x="49"/>
        <item x="158"/>
        <item x="133"/>
        <item x="11"/>
        <item x="236"/>
        <item x="66"/>
        <item x="210"/>
        <item x="95"/>
        <item x="302"/>
        <item x="161"/>
        <item x="219"/>
        <item x="295"/>
        <item x="368"/>
        <item x="96"/>
        <item x="13"/>
        <item x="264"/>
        <item x="68"/>
        <item x="216"/>
        <item x="14"/>
        <item x="289"/>
        <item x="237"/>
        <item x="397"/>
        <item x="79"/>
        <item x="311"/>
        <item x="250"/>
        <item x="32"/>
        <item x="201"/>
        <item x="266"/>
        <item x="288"/>
        <item x="198"/>
        <item x="314"/>
        <item x="261"/>
        <item x="116"/>
        <item x="177"/>
        <item x="195"/>
        <item x="5"/>
        <item x="63"/>
        <item x="200"/>
        <item x="384"/>
        <item x="119"/>
        <item x="187"/>
        <item x="139"/>
        <item x="343"/>
        <item x="176"/>
        <item x="377"/>
        <item x="324"/>
        <item x="263"/>
        <item x="26"/>
        <item x="357"/>
        <item x="143"/>
        <item x="265"/>
        <item x="73"/>
        <item x="101"/>
        <item x="333"/>
        <item x="27"/>
        <item x="142"/>
        <item x="395"/>
        <item x="106"/>
        <item x="275"/>
        <item x="2"/>
        <item x="388"/>
        <item x="214"/>
        <item x="197"/>
        <item x="83"/>
        <item x="228"/>
        <item x="43"/>
        <item x="120"/>
        <item x="297"/>
        <item x="247"/>
        <item x="168"/>
        <item x="150"/>
        <item x="203"/>
        <item x="390"/>
        <item x="315"/>
        <item x="121"/>
        <item x="329"/>
        <item x="380"/>
        <item x="239"/>
        <item x="74"/>
        <item x="109"/>
        <item x="292"/>
        <item x="100"/>
        <item x="283"/>
        <item x="215"/>
        <item x="60"/>
        <item x="396"/>
        <item x="135"/>
        <item x="281"/>
        <item x="358"/>
        <item x="122"/>
        <item x="50"/>
        <item x="227"/>
        <item x="57"/>
        <item x="114"/>
        <item x="296"/>
        <item x="348"/>
        <item x="178"/>
        <item x="76"/>
        <item x="35"/>
        <item x="226"/>
        <item x="300"/>
        <item x="359"/>
        <item x="108"/>
        <item x="270"/>
        <item x="385"/>
        <item x="19"/>
        <item x="183"/>
        <item x="154"/>
        <item x="9"/>
        <item x="342"/>
        <item x="137"/>
        <item x="251"/>
        <item x="249"/>
        <item x="40"/>
        <item x="28"/>
        <item x="123"/>
        <item x="3"/>
        <item x="56"/>
        <item x="88"/>
        <item x="272"/>
        <item x="174"/>
        <item x="15"/>
        <item x="134"/>
        <item x="97"/>
        <item x="248"/>
        <item x="175"/>
        <item x="71"/>
        <item x="115"/>
        <item x="271"/>
        <item x="82"/>
        <item x="193"/>
        <item x="336"/>
        <item x="321"/>
        <item x="273"/>
        <item x="387"/>
        <item x="298"/>
        <item x="330"/>
        <item x="230"/>
        <item x="369"/>
        <item x="30"/>
        <item x="286"/>
        <item x="70"/>
        <item x="145"/>
        <item x="159"/>
        <item x="51"/>
        <item x="166"/>
        <item x="94"/>
        <item x="165"/>
        <item x="367"/>
        <item x="36"/>
        <item x="312"/>
        <item x="103"/>
        <item x="41"/>
        <item x="316"/>
        <item x="169"/>
        <item x="267"/>
        <item x="350"/>
        <item x="38"/>
        <item x="39"/>
        <item x="156"/>
        <item x="361"/>
        <item x="306"/>
        <item x="351"/>
        <item x="10"/>
        <item x="323"/>
        <item x="349"/>
        <item x="128"/>
        <item x="274"/>
        <item x="223"/>
        <item x="20"/>
        <item x="191"/>
        <item x="225"/>
        <item x="313"/>
        <item x="67"/>
        <item x="382"/>
        <item x="291"/>
        <item x="262"/>
        <item x="325"/>
        <item x="25"/>
        <item x="21"/>
        <item x="326"/>
        <item x="310"/>
        <item x="208"/>
        <item x="362"/>
        <item x="23"/>
        <item x="141"/>
        <item x="229"/>
        <item x="363"/>
        <item x="285"/>
        <item x="337"/>
        <item x="31"/>
        <item x="105"/>
        <item x="338"/>
        <item x="44"/>
        <item x="340"/>
        <item x="55"/>
        <item x="202"/>
        <item x="245"/>
        <item x="344"/>
        <item x="48"/>
        <item x="232"/>
        <item x="360"/>
        <item x="194"/>
        <item x="370"/>
        <item x="62"/>
        <item x="278"/>
        <item x="259"/>
        <item x="54"/>
        <item x="276"/>
        <item x="231"/>
        <item x="299"/>
        <item x="98"/>
        <item x="290"/>
        <item x="378"/>
        <item x="375"/>
        <item x="124"/>
        <item x="308"/>
        <item x="284"/>
        <item x="180"/>
        <item x="129"/>
        <item x="6"/>
        <item x="136"/>
        <item x="206"/>
        <item x="80"/>
        <item x="127"/>
        <item x="258"/>
        <item x="287"/>
        <item x="374"/>
        <item x="162"/>
        <item x="257"/>
        <item x="364"/>
        <item x="77"/>
        <item x="212"/>
        <item x="7"/>
        <item x="199"/>
        <item x="172"/>
        <item x="173"/>
        <item x="207"/>
        <item x="52"/>
        <item x="346"/>
        <item x="218"/>
        <item x="17"/>
        <item x="1"/>
        <item x="294"/>
        <item x="235"/>
        <item x="78"/>
        <item x="372"/>
        <item x="125"/>
        <item x="282"/>
        <item x="64"/>
        <item x="155"/>
        <item x="280"/>
        <item x="45"/>
        <item x="186"/>
        <item x="204"/>
        <item x="241"/>
        <item x="373"/>
        <item x="118"/>
        <item x="253"/>
        <item x="238"/>
        <item x="391"/>
        <item x="213"/>
        <item x="93"/>
        <item x="352"/>
        <item x="149"/>
        <item x="365"/>
        <item x="242"/>
        <item x="87"/>
        <item x="146"/>
        <item x="182"/>
        <item x="181"/>
        <item x="347"/>
        <item x="233"/>
        <item x="334"/>
        <item x="110"/>
        <item x="269"/>
        <item x="220"/>
        <item x="126"/>
        <item x="211"/>
        <item x="131"/>
        <item x="393"/>
        <item x="328"/>
        <item x="366"/>
        <item x="335"/>
        <item x="6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Col" showAll="0">
      <items count="11">
        <item x="9"/>
        <item x="4"/>
        <item x="2"/>
        <item x="3"/>
        <item x="1"/>
        <item x="7"/>
        <item x="0"/>
        <item x="8"/>
        <item x="5"/>
        <item x="6"/>
        <item t="default"/>
      </items>
    </pivotField>
  </pivotFields>
  <rowFields count="1">
    <field x="0"/>
  </rowFields>
  <rowItems count="18">
    <i>
      <x v="167"/>
    </i>
    <i>
      <x v="131"/>
    </i>
    <i>
      <x v="49"/>
    </i>
    <i>
      <x v="282"/>
    </i>
    <i>
      <x v="86"/>
    </i>
    <i>
      <x v="118"/>
    </i>
    <i>
      <x v="286"/>
    </i>
    <i>
      <x v="267"/>
    </i>
    <i>
      <x v="252"/>
    </i>
    <i>
      <x v="344"/>
    </i>
    <i>
      <x v="53"/>
    </i>
    <i>
      <x v="317"/>
    </i>
    <i>
      <x v="320"/>
    </i>
    <i>
      <x v="205"/>
    </i>
    <i>
      <x v="390"/>
    </i>
    <i>
      <x v="229"/>
    </i>
    <i>
      <x v="242"/>
    </i>
    <i t="grand">
      <x/>
    </i>
  </rowItems>
  <colFields count="1">
    <field x="2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Count of Companies " fld="0" subtotal="count" baseField="0" baseItem="0"/>
  </dataField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DC6CE0-F196-4787-8616-2A96F19D6025}" name="Table1" displayName="Table1" ref="B2:D486" totalsRowShown="0">
  <autoFilter ref="B2:D486" xr:uid="{D3DC6CE0-F196-4787-8616-2A96F19D6025}"/>
  <tableColumns count="3">
    <tableColumn id="1" xr3:uid="{4E24A953-AFD9-4C91-94F6-60D382260367}" name="Companies "/>
    <tableColumn id="2" xr3:uid="{209690E9-AB75-4D16-83E8-4F6C8A1E91D0}" name="Percentage " dataDxfId="1"/>
    <tableColumn id="3" xr3:uid="{151A82F3-A93F-48BD-805D-60F961BF8139}" name="Fund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2:C12"/>
  <sheetViews>
    <sheetView showGridLines="0" workbookViewId="0">
      <selection activeCell="P28" sqref="P28"/>
    </sheetView>
  </sheetViews>
  <sheetFormatPr defaultColWidth="12.6640625" defaultRowHeight="15.75" customHeight="1"/>
  <cols>
    <col min="2" max="2" width="26" customWidth="1"/>
  </cols>
  <sheetData>
    <row r="2" spans="2:3" ht="15.75" customHeight="1">
      <c r="B2" s="1" t="s">
        <v>0</v>
      </c>
      <c r="C2" s="2" t="s">
        <v>1</v>
      </c>
    </row>
    <row r="3" spans="2:3" ht="15.75" customHeight="1">
      <c r="B3" s="3" t="s">
        <v>2</v>
      </c>
      <c r="C3" s="4">
        <v>63539</v>
      </c>
    </row>
    <row r="4" spans="2:3" ht="15.75" customHeight="1">
      <c r="B4" s="3" t="s">
        <v>3</v>
      </c>
      <c r="C4" s="4">
        <v>35735</v>
      </c>
    </row>
    <row r="5" spans="2:3" ht="15.75" customHeight="1">
      <c r="B5" s="3" t="s">
        <v>4</v>
      </c>
      <c r="C5" s="4">
        <v>32276</v>
      </c>
    </row>
    <row r="6" spans="2:3" ht="15.75" customHeight="1">
      <c r="B6" s="3" t="s">
        <v>5</v>
      </c>
      <c r="C6" s="4">
        <v>23247</v>
      </c>
    </row>
    <row r="7" spans="2:3" ht="15.75" customHeight="1">
      <c r="B7" s="3" t="s">
        <v>6</v>
      </c>
      <c r="C7" s="4">
        <v>18388</v>
      </c>
    </row>
    <row r="8" spans="2:3" ht="15.75" customHeight="1">
      <c r="B8" s="3" t="s">
        <v>7</v>
      </c>
      <c r="C8" s="4">
        <v>15910</v>
      </c>
    </row>
    <row r="9" spans="2:3" ht="15.75" customHeight="1">
      <c r="B9" s="3" t="s">
        <v>8</v>
      </c>
      <c r="C9" s="4">
        <v>13387</v>
      </c>
    </row>
    <row r="10" spans="2:3" ht="15.75" customHeight="1">
      <c r="B10" s="3" t="s">
        <v>9</v>
      </c>
      <c r="C10" s="4">
        <v>12102</v>
      </c>
    </row>
    <row r="11" spans="2:3" ht="15.75" customHeight="1">
      <c r="B11" s="3" t="s">
        <v>620</v>
      </c>
      <c r="C11" s="36">
        <v>7905</v>
      </c>
    </row>
    <row r="12" spans="2:3" ht="15.75" customHeight="1">
      <c r="B12" s="3" t="s">
        <v>619</v>
      </c>
      <c r="C12" s="36">
        <v>2109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13E2A-B397-4590-B125-2C0DFCF6C2EB}">
  <dimension ref="A3:L22"/>
  <sheetViews>
    <sheetView showGridLines="0" zoomScale="78" workbookViewId="0">
      <selection activeCell="P28" sqref="P28"/>
    </sheetView>
  </sheetViews>
  <sheetFormatPr defaultRowHeight="13.2"/>
  <cols>
    <col min="1" max="1" width="34.109375" bestFit="1" customWidth="1"/>
    <col min="2" max="2" width="17.44140625" bestFit="1" customWidth="1"/>
    <col min="3" max="3" width="9.109375" bestFit="1" customWidth="1"/>
    <col min="4" max="4" width="9.88671875" bestFit="1" customWidth="1"/>
    <col min="5" max="5" width="8.33203125" bestFit="1" customWidth="1"/>
    <col min="6" max="6" width="6.21875" bestFit="1" customWidth="1"/>
    <col min="7" max="7" width="6.6640625" bestFit="1" customWidth="1"/>
    <col min="8" max="8" width="6.109375" bestFit="1" customWidth="1"/>
    <col min="9" max="9" width="7.109375" bestFit="1" customWidth="1"/>
    <col min="10" max="10" width="7" bestFit="1" customWidth="1"/>
    <col min="11" max="11" width="4" bestFit="1" customWidth="1"/>
    <col min="12" max="12" width="11.6640625" bestFit="1" customWidth="1"/>
  </cols>
  <sheetData>
    <row r="3" spans="1:12">
      <c r="A3" s="40" t="s">
        <v>784</v>
      </c>
      <c r="B3" s="40" t="s">
        <v>783</v>
      </c>
    </row>
    <row r="4" spans="1:12">
      <c r="A4" s="40" t="s">
        <v>782</v>
      </c>
      <c r="B4" t="s">
        <v>778</v>
      </c>
      <c r="C4" t="s">
        <v>773</v>
      </c>
      <c r="D4" t="s">
        <v>771</v>
      </c>
      <c r="E4" t="s">
        <v>772</v>
      </c>
      <c r="F4" t="s">
        <v>770</v>
      </c>
      <c r="G4" t="s">
        <v>776</v>
      </c>
      <c r="H4" t="s">
        <v>769</v>
      </c>
      <c r="I4" t="s">
        <v>777</v>
      </c>
      <c r="J4" t="s">
        <v>774</v>
      </c>
      <c r="K4" t="s">
        <v>775</v>
      </c>
      <c r="L4" t="s">
        <v>433</v>
      </c>
    </row>
    <row r="5" spans="1:12">
      <c r="A5" s="41" t="s">
        <v>632</v>
      </c>
      <c r="B5">
        <v>1</v>
      </c>
      <c r="C5">
        <v>1</v>
      </c>
      <c r="D5">
        <v>1</v>
      </c>
      <c r="F5">
        <v>1</v>
      </c>
      <c r="G5">
        <v>1</v>
      </c>
      <c r="L5">
        <v>5</v>
      </c>
    </row>
    <row r="6" spans="1:12">
      <c r="A6" s="41" t="s">
        <v>500</v>
      </c>
      <c r="B6">
        <v>1</v>
      </c>
      <c r="D6">
        <v>1</v>
      </c>
      <c r="F6">
        <v>1</v>
      </c>
      <c r="G6">
        <v>1</v>
      </c>
      <c r="L6">
        <v>4</v>
      </c>
    </row>
    <row r="7" spans="1:12">
      <c r="A7" s="41" t="s">
        <v>26</v>
      </c>
      <c r="G7">
        <v>1</v>
      </c>
      <c r="H7">
        <v>1</v>
      </c>
      <c r="J7">
        <v>1</v>
      </c>
      <c r="K7">
        <v>1</v>
      </c>
      <c r="L7">
        <v>4</v>
      </c>
    </row>
    <row r="8" spans="1:12">
      <c r="A8" s="41" t="s">
        <v>600</v>
      </c>
      <c r="B8">
        <v>1</v>
      </c>
      <c r="D8">
        <v>1</v>
      </c>
      <c r="F8">
        <v>1</v>
      </c>
      <c r="I8">
        <v>1</v>
      </c>
      <c r="L8">
        <v>4</v>
      </c>
    </row>
    <row r="9" spans="1:12">
      <c r="A9" s="41" t="s">
        <v>610</v>
      </c>
      <c r="B9">
        <v>1</v>
      </c>
      <c r="D9">
        <v>1</v>
      </c>
      <c r="F9">
        <v>1</v>
      </c>
      <c r="I9">
        <v>1</v>
      </c>
      <c r="L9">
        <v>4</v>
      </c>
    </row>
    <row r="10" spans="1:12">
      <c r="A10" s="41" t="s">
        <v>618</v>
      </c>
      <c r="B10">
        <v>1</v>
      </c>
      <c r="F10">
        <v>1</v>
      </c>
      <c r="G10">
        <v>1</v>
      </c>
      <c r="I10">
        <v>1</v>
      </c>
      <c r="L10">
        <v>4</v>
      </c>
    </row>
    <row r="11" spans="1:12">
      <c r="A11" s="41" t="s">
        <v>216</v>
      </c>
      <c r="D11">
        <v>1</v>
      </c>
      <c r="E11">
        <v>1</v>
      </c>
      <c r="F11">
        <v>1</v>
      </c>
      <c r="I11">
        <v>1</v>
      </c>
      <c r="L11">
        <v>4</v>
      </c>
    </row>
    <row r="12" spans="1:12">
      <c r="A12" s="41" t="s">
        <v>167</v>
      </c>
      <c r="D12">
        <v>1</v>
      </c>
      <c r="E12">
        <v>1</v>
      </c>
      <c r="G12">
        <v>1</v>
      </c>
      <c r="L12">
        <v>3</v>
      </c>
    </row>
    <row r="13" spans="1:12">
      <c r="A13" s="41" t="s">
        <v>608</v>
      </c>
      <c r="D13">
        <v>1</v>
      </c>
      <c r="F13">
        <v>1</v>
      </c>
      <c r="I13">
        <v>1</v>
      </c>
      <c r="L13">
        <v>3</v>
      </c>
    </row>
    <row r="14" spans="1:12">
      <c r="A14" s="41" t="s">
        <v>163</v>
      </c>
      <c r="B14">
        <v>1</v>
      </c>
      <c r="D14">
        <v>1</v>
      </c>
      <c r="F14">
        <v>1</v>
      </c>
      <c r="L14">
        <v>3</v>
      </c>
    </row>
    <row r="15" spans="1:12">
      <c r="A15" s="41" t="s">
        <v>150</v>
      </c>
      <c r="B15">
        <v>1</v>
      </c>
      <c r="D15">
        <v>1</v>
      </c>
      <c r="I15">
        <v>1</v>
      </c>
      <c r="L15">
        <v>3</v>
      </c>
    </row>
    <row r="16" spans="1:12">
      <c r="A16" s="41" t="s">
        <v>536</v>
      </c>
      <c r="D16">
        <v>1</v>
      </c>
      <c r="F16">
        <v>1</v>
      </c>
      <c r="G16">
        <v>1</v>
      </c>
      <c r="L16">
        <v>3</v>
      </c>
    </row>
    <row r="17" spans="1:12">
      <c r="A17" s="41" t="s">
        <v>614</v>
      </c>
      <c r="B17">
        <v>1</v>
      </c>
      <c r="F17">
        <v>1</v>
      </c>
      <c r="I17">
        <v>1</v>
      </c>
      <c r="L17">
        <v>3</v>
      </c>
    </row>
    <row r="18" spans="1:12">
      <c r="A18" s="41" t="s">
        <v>604</v>
      </c>
      <c r="B18">
        <v>1</v>
      </c>
      <c r="F18">
        <v>1</v>
      </c>
      <c r="I18">
        <v>1</v>
      </c>
      <c r="L18">
        <v>3</v>
      </c>
    </row>
    <row r="19" spans="1:12">
      <c r="A19" s="41" t="s">
        <v>120</v>
      </c>
      <c r="B19">
        <v>1</v>
      </c>
      <c r="D19">
        <v>1</v>
      </c>
      <c r="G19">
        <v>1</v>
      </c>
      <c r="L19">
        <v>3</v>
      </c>
    </row>
    <row r="20" spans="1:12">
      <c r="A20" s="41" t="s">
        <v>456</v>
      </c>
      <c r="H20">
        <v>1</v>
      </c>
      <c r="J20">
        <v>1</v>
      </c>
      <c r="K20">
        <v>1</v>
      </c>
      <c r="L20">
        <v>3</v>
      </c>
    </row>
    <row r="21" spans="1:12">
      <c r="A21" s="41" t="s">
        <v>607</v>
      </c>
      <c r="D21">
        <v>1</v>
      </c>
      <c r="F21">
        <v>1</v>
      </c>
      <c r="I21">
        <v>1</v>
      </c>
      <c r="L21">
        <v>3</v>
      </c>
    </row>
    <row r="22" spans="1:12">
      <c r="A22" s="41" t="s">
        <v>433</v>
      </c>
      <c r="B22">
        <v>10</v>
      </c>
      <c r="C22">
        <v>1</v>
      </c>
      <c r="D22">
        <v>12</v>
      </c>
      <c r="E22">
        <v>2</v>
      </c>
      <c r="F22">
        <v>12</v>
      </c>
      <c r="G22">
        <v>7</v>
      </c>
      <c r="H22">
        <v>2</v>
      </c>
      <c r="I22">
        <v>9</v>
      </c>
      <c r="J22">
        <v>2</v>
      </c>
      <c r="K22">
        <v>2</v>
      </c>
      <c r="L22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D1386-862A-4DA6-A87C-3C60960DE54C}">
  <dimension ref="B2:D486"/>
  <sheetViews>
    <sheetView showGridLines="0" topLeftCell="A3" zoomScale="87" workbookViewId="0">
      <selection activeCell="P28" sqref="P28"/>
    </sheetView>
  </sheetViews>
  <sheetFormatPr defaultRowHeight="13.2"/>
  <cols>
    <col min="2" max="4" width="10.88671875" customWidth="1"/>
  </cols>
  <sheetData>
    <row r="2" spans="2:4">
      <c r="B2" s="3" t="s">
        <v>779</v>
      </c>
      <c r="C2" s="23" t="s">
        <v>780</v>
      </c>
      <c r="D2" s="39" t="s">
        <v>781</v>
      </c>
    </row>
    <row r="3" spans="2:4">
      <c r="B3" s="3" t="s">
        <v>26</v>
      </c>
      <c r="C3" s="23">
        <v>3.8699999999999998E-2</v>
      </c>
      <c r="D3" s="39" t="s">
        <v>769</v>
      </c>
    </row>
    <row r="4" spans="2:4">
      <c r="B4" s="3" t="s">
        <v>453</v>
      </c>
      <c r="C4" s="23">
        <v>3.7900000000000003E-2</v>
      </c>
      <c r="D4" s="39" t="s">
        <v>769</v>
      </c>
    </row>
    <row r="5" spans="2:4">
      <c r="B5" s="3" t="s">
        <v>19</v>
      </c>
      <c r="C5" s="23">
        <v>3.6799999999999999E-2</v>
      </c>
      <c r="D5" s="39" t="s">
        <v>769</v>
      </c>
    </row>
    <row r="6" spans="2:4">
      <c r="B6" s="3" t="s">
        <v>456</v>
      </c>
      <c r="C6" s="23">
        <v>3.61E-2</v>
      </c>
      <c r="D6" s="39" t="s">
        <v>769</v>
      </c>
    </row>
    <row r="7" spans="2:4">
      <c r="B7" s="3" t="s">
        <v>23</v>
      </c>
      <c r="C7" s="23">
        <v>2.9499999999999998E-2</v>
      </c>
      <c r="D7" s="39" t="s">
        <v>769</v>
      </c>
    </row>
    <row r="8" spans="2:4">
      <c r="B8" s="3" t="s">
        <v>759</v>
      </c>
      <c r="C8" s="23">
        <v>2.81E-2</v>
      </c>
      <c r="D8" s="39" t="s">
        <v>769</v>
      </c>
    </row>
    <row r="9" spans="2:4">
      <c r="B9" s="3" t="s">
        <v>760</v>
      </c>
      <c r="C9" s="23">
        <v>2.7900000000000001E-2</v>
      </c>
      <c r="D9" s="39" t="s">
        <v>769</v>
      </c>
    </row>
    <row r="10" spans="2:4">
      <c r="B10" s="3" t="s">
        <v>761</v>
      </c>
      <c r="C10" s="23">
        <v>2.53E-2</v>
      </c>
      <c r="D10" s="39" t="s">
        <v>769</v>
      </c>
    </row>
    <row r="11" spans="2:4">
      <c r="B11" s="3" t="s">
        <v>480</v>
      </c>
      <c r="C11" s="23">
        <v>2.4899999999999999E-2</v>
      </c>
      <c r="D11" s="39" t="s">
        <v>769</v>
      </c>
    </row>
    <row r="12" spans="2:4">
      <c r="B12" s="3" t="s">
        <v>21</v>
      </c>
      <c r="C12" s="23">
        <v>2.4899999999999999E-2</v>
      </c>
      <c r="D12" s="39" t="s">
        <v>769</v>
      </c>
    </row>
    <row r="13" spans="2:4">
      <c r="B13" s="3" t="s">
        <v>28</v>
      </c>
      <c r="C13" s="23">
        <v>0.67049999999999998</v>
      </c>
      <c r="D13" s="39" t="s">
        <v>769</v>
      </c>
    </row>
    <row r="14" spans="2:4">
      <c r="B14" s="3" t="s">
        <v>30</v>
      </c>
      <c r="C14" s="23">
        <v>0.98060000000000003</v>
      </c>
      <c r="D14" s="39" t="s">
        <v>769</v>
      </c>
    </row>
    <row r="15" spans="2:4">
      <c r="B15" s="3" t="s">
        <v>31</v>
      </c>
      <c r="C15" s="23">
        <v>1.9400000000000001E-2</v>
      </c>
      <c r="D15" s="39" t="s">
        <v>769</v>
      </c>
    </row>
    <row r="16" spans="2:4">
      <c r="B16" s="3" t="s">
        <v>668</v>
      </c>
      <c r="C16" s="37">
        <v>5.6000000000000001E-2</v>
      </c>
      <c r="D16" s="39" t="s">
        <v>770</v>
      </c>
    </row>
    <row r="17" spans="2:4">
      <c r="B17" s="3" t="s">
        <v>500</v>
      </c>
      <c r="C17" s="37">
        <v>4.7500000000000001E-2</v>
      </c>
      <c r="D17" s="39" t="s">
        <v>770</v>
      </c>
    </row>
    <row r="18" spans="2:4">
      <c r="B18" s="3" t="s">
        <v>707</v>
      </c>
      <c r="C18" s="37">
        <v>4.0300000000000002E-2</v>
      </c>
      <c r="D18" s="39" t="s">
        <v>770</v>
      </c>
    </row>
    <row r="19" spans="2:4">
      <c r="B19" s="3" t="s">
        <v>41</v>
      </c>
      <c r="C19" s="37">
        <v>4.0099999999999997E-2</v>
      </c>
      <c r="D19" s="39" t="s">
        <v>770</v>
      </c>
    </row>
    <row r="20" spans="2:4">
      <c r="B20" s="3" t="s">
        <v>497</v>
      </c>
      <c r="C20" s="37">
        <v>3.7499999999999999E-2</v>
      </c>
      <c r="D20" s="39" t="s">
        <v>770</v>
      </c>
    </row>
    <row r="21" spans="2:4">
      <c r="B21" s="3" t="s">
        <v>644</v>
      </c>
      <c r="C21" s="37">
        <v>3.6999999999999998E-2</v>
      </c>
      <c r="D21" s="39" t="s">
        <v>770</v>
      </c>
    </row>
    <row r="22" spans="2:4">
      <c r="B22" s="3" t="s">
        <v>708</v>
      </c>
      <c r="C22" s="37">
        <v>3.5999999999999997E-2</v>
      </c>
      <c r="D22" s="39" t="s">
        <v>770</v>
      </c>
    </row>
    <row r="23" spans="2:4">
      <c r="B23" s="3" t="s">
        <v>600</v>
      </c>
      <c r="C23" s="37">
        <v>3.4700000000000002E-2</v>
      </c>
      <c r="D23" s="39" t="s">
        <v>770</v>
      </c>
    </row>
    <row r="24" spans="2:4">
      <c r="B24" s="3" t="s">
        <v>709</v>
      </c>
      <c r="C24" s="37">
        <v>3.4299999999999997E-2</v>
      </c>
      <c r="D24" s="39" t="s">
        <v>770</v>
      </c>
    </row>
    <row r="25" spans="2:4">
      <c r="B25" s="3" t="s">
        <v>710</v>
      </c>
      <c r="C25" s="37">
        <v>3.0300000000000001E-2</v>
      </c>
      <c r="D25" s="39" t="s">
        <v>770</v>
      </c>
    </row>
    <row r="26" spans="2:4">
      <c r="B26" s="3" t="s">
        <v>711</v>
      </c>
      <c r="C26" s="37">
        <v>0.03</v>
      </c>
      <c r="D26" s="39" t="s">
        <v>770</v>
      </c>
    </row>
    <row r="27" spans="2:4">
      <c r="B27" s="3" t="s">
        <v>47</v>
      </c>
      <c r="C27" s="37">
        <v>2.8799999999999999E-2</v>
      </c>
      <c r="D27" s="39" t="s">
        <v>770</v>
      </c>
    </row>
    <row r="28" spans="2:4">
      <c r="B28" t="s">
        <v>712</v>
      </c>
      <c r="C28" s="37">
        <v>2.3599999999999999E-2</v>
      </c>
      <c r="D28" s="39" t="s">
        <v>770</v>
      </c>
    </row>
    <row r="29" spans="2:4">
      <c r="B29" t="s">
        <v>713</v>
      </c>
      <c r="C29" s="37">
        <v>2.3300000000000001E-2</v>
      </c>
      <c r="D29" s="39" t="s">
        <v>770</v>
      </c>
    </row>
    <row r="30" spans="2:4">
      <c r="B30" t="s">
        <v>632</v>
      </c>
      <c r="C30" s="37">
        <v>2.07E-2</v>
      </c>
      <c r="D30" s="39" t="s">
        <v>770</v>
      </c>
    </row>
    <row r="31" spans="2:4">
      <c r="B31" t="s">
        <v>640</v>
      </c>
      <c r="C31" s="37">
        <v>1.95E-2</v>
      </c>
      <c r="D31" s="39" t="s">
        <v>770</v>
      </c>
    </row>
    <row r="32" spans="2:4">
      <c r="B32" t="s">
        <v>714</v>
      </c>
      <c r="C32" s="37">
        <v>1.95E-2</v>
      </c>
      <c r="D32" s="39" t="s">
        <v>770</v>
      </c>
    </row>
    <row r="33" spans="2:4">
      <c r="B33" t="s">
        <v>608</v>
      </c>
      <c r="C33" s="37">
        <v>1.8599999999999998E-2</v>
      </c>
      <c r="D33" s="39" t="s">
        <v>770</v>
      </c>
    </row>
    <row r="34" spans="2:4">
      <c r="B34" t="s">
        <v>715</v>
      </c>
      <c r="C34" s="37">
        <v>1.84E-2</v>
      </c>
      <c r="D34" s="39" t="s">
        <v>770</v>
      </c>
    </row>
    <row r="35" spans="2:4">
      <c r="B35" t="s">
        <v>716</v>
      </c>
      <c r="C35" s="37">
        <v>1.83E-2</v>
      </c>
      <c r="D35" s="39" t="s">
        <v>770</v>
      </c>
    </row>
    <row r="36" spans="2:4">
      <c r="B36" t="s">
        <v>506</v>
      </c>
      <c r="C36" s="37">
        <v>1.83E-2</v>
      </c>
      <c r="D36" s="39" t="s">
        <v>770</v>
      </c>
    </row>
    <row r="37" spans="2:4">
      <c r="B37" t="s">
        <v>717</v>
      </c>
      <c r="C37" s="37">
        <v>1.7899999999999999E-2</v>
      </c>
      <c r="D37" s="39" t="s">
        <v>770</v>
      </c>
    </row>
    <row r="38" spans="2:4">
      <c r="B38" t="s">
        <v>718</v>
      </c>
      <c r="C38" s="37">
        <v>1.5599999999999999E-2</v>
      </c>
      <c r="D38" s="39" t="s">
        <v>770</v>
      </c>
    </row>
    <row r="39" spans="2:4">
      <c r="B39" t="s">
        <v>719</v>
      </c>
      <c r="C39" s="37">
        <v>1.52E-2</v>
      </c>
      <c r="D39" s="39" t="s">
        <v>770</v>
      </c>
    </row>
    <row r="40" spans="2:4">
      <c r="B40" t="s">
        <v>720</v>
      </c>
      <c r="C40" s="37">
        <v>1.5100000000000001E-2</v>
      </c>
      <c r="D40" s="39" t="s">
        <v>770</v>
      </c>
    </row>
    <row r="41" spans="2:4">
      <c r="B41" t="s">
        <v>219</v>
      </c>
      <c r="C41" s="37">
        <v>1.47E-2</v>
      </c>
      <c r="D41" s="39" t="s">
        <v>770</v>
      </c>
    </row>
    <row r="42" spans="2:4">
      <c r="B42" t="s">
        <v>721</v>
      </c>
      <c r="C42" s="37">
        <v>1.41E-2</v>
      </c>
      <c r="D42" s="39" t="s">
        <v>770</v>
      </c>
    </row>
    <row r="43" spans="2:4">
      <c r="B43" t="s">
        <v>722</v>
      </c>
      <c r="C43" s="37">
        <v>1.4E-2</v>
      </c>
      <c r="D43" s="39" t="s">
        <v>770</v>
      </c>
    </row>
    <row r="44" spans="2:4">
      <c r="B44" t="s">
        <v>723</v>
      </c>
      <c r="C44" s="37">
        <v>1.3899999999999999E-2</v>
      </c>
      <c r="D44" s="39" t="s">
        <v>770</v>
      </c>
    </row>
    <row r="45" spans="2:4">
      <c r="B45" t="s">
        <v>631</v>
      </c>
      <c r="C45" s="37">
        <v>1.38E-2</v>
      </c>
      <c r="D45" s="39" t="s">
        <v>770</v>
      </c>
    </row>
    <row r="46" spans="2:4">
      <c r="B46" t="s">
        <v>623</v>
      </c>
      <c r="C46" s="37">
        <v>1.38E-2</v>
      </c>
      <c r="D46" s="39" t="s">
        <v>770</v>
      </c>
    </row>
    <row r="47" spans="2:4">
      <c r="B47" t="s">
        <v>724</v>
      </c>
      <c r="C47" s="37">
        <v>1.37E-2</v>
      </c>
      <c r="D47" s="39" t="s">
        <v>770</v>
      </c>
    </row>
    <row r="48" spans="2:4">
      <c r="B48" t="s">
        <v>725</v>
      </c>
      <c r="C48" s="37">
        <v>1.35E-2</v>
      </c>
      <c r="D48" s="39" t="s">
        <v>770</v>
      </c>
    </row>
    <row r="49" spans="2:4">
      <c r="B49" t="s">
        <v>726</v>
      </c>
      <c r="C49" s="37">
        <v>1.24E-2</v>
      </c>
      <c r="D49" s="39" t="s">
        <v>770</v>
      </c>
    </row>
    <row r="50" spans="2:4">
      <c r="B50" t="s">
        <v>727</v>
      </c>
      <c r="C50" s="37">
        <v>1.0699999999999999E-2</v>
      </c>
      <c r="D50" s="39" t="s">
        <v>770</v>
      </c>
    </row>
    <row r="51" spans="2:4">
      <c r="B51" t="s">
        <v>728</v>
      </c>
      <c r="C51" s="37">
        <v>1.0200000000000001E-2</v>
      </c>
      <c r="D51" s="39" t="s">
        <v>770</v>
      </c>
    </row>
    <row r="52" spans="2:4">
      <c r="B52" t="s">
        <v>707</v>
      </c>
      <c r="C52" s="37">
        <v>1.01E-2</v>
      </c>
      <c r="D52" s="39" t="s">
        <v>770</v>
      </c>
    </row>
    <row r="53" spans="2:4">
      <c r="B53" t="s">
        <v>652</v>
      </c>
      <c r="C53" s="37">
        <v>0.01</v>
      </c>
      <c r="D53" s="39" t="s">
        <v>770</v>
      </c>
    </row>
    <row r="54" spans="2:4">
      <c r="B54" t="s">
        <v>729</v>
      </c>
      <c r="C54" s="37">
        <v>9.7999999999999997E-3</v>
      </c>
      <c r="D54" s="39" t="s">
        <v>770</v>
      </c>
    </row>
    <row r="55" spans="2:4">
      <c r="B55" t="s">
        <v>730</v>
      </c>
      <c r="C55" s="37">
        <v>9.7000000000000003E-3</v>
      </c>
      <c r="D55" s="39" t="s">
        <v>770</v>
      </c>
    </row>
    <row r="56" spans="2:4">
      <c r="B56" t="s">
        <v>731</v>
      </c>
      <c r="C56" s="37">
        <v>9.5999999999999992E-3</v>
      </c>
      <c r="D56" s="39" t="s">
        <v>770</v>
      </c>
    </row>
    <row r="57" spans="2:4">
      <c r="B57" t="s">
        <v>639</v>
      </c>
      <c r="C57" s="37">
        <v>9.5999999999999992E-3</v>
      </c>
      <c r="D57" s="39" t="s">
        <v>770</v>
      </c>
    </row>
    <row r="58" spans="2:4">
      <c r="B58" t="s">
        <v>614</v>
      </c>
      <c r="C58" s="37">
        <v>9.4000000000000004E-3</v>
      </c>
      <c r="D58" s="39" t="s">
        <v>770</v>
      </c>
    </row>
    <row r="59" spans="2:4">
      <c r="B59" t="s">
        <v>732</v>
      </c>
      <c r="C59" s="37">
        <v>9.1999999999999998E-3</v>
      </c>
      <c r="D59" s="39" t="s">
        <v>770</v>
      </c>
    </row>
    <row r="60" spans="2:4">
      <c r="B60" t="s">
        <v>733</v>
      </c>
      <c r="C60" s="37">
        <v>8.2000000000000007E-3</v>
      </c>
      <c r="D60" s="39" t="s">
        <v>770</v>
      </c>
    </row>
    <row r="61" spans="2:4">
      <c r="B61" t="s">
        <v>604</v>
      </c>
      <c r="C61" s="37">
        <v>8.0000000000000002E-3</v>
      </c>
      <c r="D61" s="39" t="s">
        <v>770</v>
      </c>
    </row>
    <row r="62" spans="2:4">
      <c r="B62" t="s">
        <v>734</v>
      </c>
      <c r="C62" s="37">
        <v>7.9000000000000008E-3</v>
      </c>
      <c r="D62" s="39" t="s">
        <v>770</v>
      </c>
    </row>
    <row r="63" spans="2:4">
      <c r="B63" t="s">
        <v>735</v>
      </c>
      <c r="C63" s="37">
        <v>7.1999999999999998E-3</v>
      </c>
      <c r="D63" s="39" t="s">
        <v>770</v>
      </c>
    </row>
    <row r="64" spans="2:4">
      <c r="B64" t="s">
        <v>736</v>
      </c>
      <c r="C64" s="37">
        <v>6.3E-3</v>
      </c>
      <c r="D64" s="39" t="s">
        <v>770</v>
      </c>
    </row>
    <row r="65" spans="2:4">
      <c r="B65" t="s">
        <v>737</v>
      </c>
      <c r="C65" s="37">
        <v>5.8999999999999999E-3</v>
      </c>
      <c r="D65" s="39" t="s">
        <v>770</v>
      </c>
    </row>
    <row r="66" spans="2:4">
      <c r="B66" t="s">
        <v>536</v>
      </c>
      <c r="C66" s="37">
        <v>5.1000000000000004E-3</v>
      </c>
      <c r="D66" s="39" t="s">
        <v>770</v>
      </c>
    </row>
    <row r="67" spans="2:4">
      <c r="B67" t="s">
        <v>738</v>
      </c>
      <c r="C67" s="37">
        <v>4.8999999999999998E-3</v>
      </c>
      <c r="D67" s="39" t="s">
        <v>770</v>
      </c>
    </row>
    <row r="68" spans="2:4">
      <c r="B68" t="s">
        <v>739</v>
      </c>
      <c r="C68" s="37">
        <v>4.4999999999999997E-3</v>
      </c>
      <c r="D68" s="39" t="s">
        <v>770</v>
      </c>
    </row>
    <row r="69" spans="2:4">
      <c r="B69" t="s">
        <v>740</v>
      </c>
      <c r="C69" s="37">
        <v>4.0000000000000001E-3</v>
      </c>
      <c r="D69" s="39" t="s">
        <v>770</v>
      </c>
    </row>
    <row r="70" spans="2:4">
      <c r="B70" t="s">
        <v>618</v>
      </c>
      <c r="C70" s="37">
        <v>3.3E-3</v>
      </c>
      <c r="D70" s="39" t="s">
        <v>770</v>
      </c>
    </row>
    <row r="71" spans="2:4">
      <c r="B71" t="s">
        <v>216</v>
      </c>
      <c r="C71" s="37">
        <v>3.2000000000000002E-3</v>
      </c>
      <c r="D71" s="39" t="s">
        <v>770</v>
      </c>
    </row>
    <row r="72" spans="2:4">
      <c r="B72" t="s">
        <v>741</v>
      </c>
      <c r="C72" s="37">
        <v>2.3E-3</v>
      </c>
      <c r="D72" s="39" t="s">
        <v>770</v>
      </c>
    </row>
    <row r="73" spans="2:4">
      <c r="B73" t="s">
        <v>742</v>
      </c>
      <c r="C73" s="37">
        <v>8.0000000000000004E-4</v>
      </c>
      <c r="D73" s="39" t="s">
        <v>770</v>
      </c>
    </row>
    <row r="74" spans="2:4">
      <c r="B74" t="s">
        <v>743</v>
      </c>
      <c r="C74" s="37">
        <v>4.0000000000000002E-4</v>
      </c>
      <c r="D74" s="39" t="s">
        <v>770</v>
      </c>
    </row>
    <row r="75" spans="2:4">
      <c r="B75" t="s">
        <v>744</v>
      </c>
      <c r="C75" s="37">
        <v>4.0000000000000002E-4</v>
      </c>
      <c r="D75" s="39" t="s">
        <v>770</v>
      </c>
    </row>
    <row r="76" spans="2:4">
      <c r="B76" t="s">
        <v>610</v>
      </c>
      <c r="C76" s="37">
        <v>4.0000000000000002E-4</v>
      </c>
      <c r="D76" s="39" t="s">
        <v>770</v>
      </c>
    </row>
    <row r="77" spans="2:4">
      <c r="B77" t="s">
        <v>601</v>
      </c>
      <c r="C77" s="37">
        <v>4.0000000000000002E-4</v>
      </c>
      <c r="D77" s="39" t="s">
        <v>770</v>
      </c>
    </row>
    <row r="78" spans="2:4">
      <c r="B78" t="s">
        <v>626</v>
      </c>
      <c r="C78" s="37">
        <v>2.9999999999999997E-4</v>
      </c>
      <c r="D78" s="39" t="s">
        <v>770</v>
      </c>
    </row>
    <row r="79" spans="2:4">
      <c r="B79" t="s">
        <v>745</v>
      </c>
      <c r="C79" s="37">
        <v>2.9999999999999997E-4</v>
      </c>
      <c r="D79" s="39" t="s">
        <v>770</v>
      </c>
    </row>
    <row r="80" spans="2:4">
      <c r="B80" t="s">
        <v>746</v>
      </c>
      <c r="C80" s="37">
        <v>2.9999999999999997E-4</v>
      </c>
      <c r="D80" s="39" t="s">
        <v>770</v>
      </c>
    </row>
    <row r="81" spans="2:4">
      <c r="B81" t="s">
        <v>163</v>
      </c>
      <c r="C81" s="37">
        <v>2.0000000000000001E-4</v>
      </c>
      <c r="D81" s="39" t="s">
        <v>770</v>
      </c>
    </row>
    <row r="82" spans="2:4">
      <c r="B82" t="s">
        <v>503</v>
      </c>
      <c r="C82" s="37">
        <v>2.0000000000000001E-4</v>
      </c>
      <c r="D82" s="39" t="s">
        <v>770</v>
      </c>
    </row>
    <row r="83" spans="2:4">
      <c r="B83" t="s">
        <v>747</v>
      </c>
      <c r="C83" s="37">
        <v>2.0000000000000001E-4</v>
      </c>
      <c r="D83" s="39" t="s">
        <v>770</v>
      </c>
    </row>
    <row r="84" spans="2:4">
      <c r="B84" t="s">
        <v>653</v>
      </c>
      <c r="C84" s="37">
        <v>1E-4</v>
      </c>
      <c r="D84" s="39" t="s">
        <v>770</v>
      </c>
    </row>
    <row r="85" spans="2:4">
      <c r="B85" t="s">
        <v>748</v>
      </c>
      <c r="C85" s="37">
        <v>1E-4</v>
      </c>
      <c r="D85" s="39" t="s">
        <v>770</v>
      </c>
    </row>
    <row r="86" spans="2:4">
      <c r="B86" t="s">
        <v>607</v>
      </c>
      <c r="C86" s="37">
        <v>1E-4</v>
      </c>
      <c r="D86" s="39" t="s">
        <v>770</v>
      </c>
    </row>
    <row r="87" spans="2:4">
      <c r="B87" t="s">
        <v>749</v>
      </c>
      <c r="C87" s="37">
        <v>1E-4</v>
      </c>
      <c r="D87" s="39" t="s">
        <v>770</v>
      </c>
    </row>
    <row r="88" spans="2:4">
      <c r="B88" t="s">
        <v>750</v>
      </c>
      <c r="C88" s="37">
        <v>1E-4</v>
      </c>
      <c r="D88" s="39" t="s">
        <v>770</v>
      </c>
    </row>
    <row r="89" spans="2:4">
      <c r="B89" t="s">
        <v>751</v>
      </c>
      <c r="C89" s="37">
        <v>1E-4</v>
      </c>
      <c r="D89" s="39" t="s">
        <v>770</v>
      </c>
    </row>
    <row r="90" spans="2:4">
      <c r="B90" t="s">
        <v>630</v>
      </c>
      <c r="C90" s="37">
        <v>0</v>
      </c>
      <c r="D90" s="39" t="s">
        <v>770</v>
      </c>
    </row>
    <row r="91" spans="2:4">
      <c r="B91" t="s">
        <v>629</v>
      </c>
      <c r="C91" s="37">
        <v>0</v>
      </c>
      <c r="D91" s="39" t="s">
        <v>770</v>
      </c>
    </row>
    <row r="92" spans="2:4">
      <c r="B92" t="s">
        <v>752</v>
      </c>
      <c r="C92" s="37">
        <v>0</v>
      </c>
      <c r="D92" s="39" t="s">
        <v>770</v>
      </c>
    </row>
    <row r="93" spans="2:4">
      <c r="B93" t="s">
        <v>753</v>
      </c>
      <c r="C93" s="37">
        <v>0</v>
      </c>
      <c r="D93" s="39" t="s">
        <v>770</v>
      </c>
    </row>
    <row r="94" spans="2:4">
      <c r="B94" t="s">
        <v>143</v>
      </c>
      <c r="C94" s="37">
        <v>0</v>
      </c>
      <c r="D94" s="39" t="s">
        <v>770</v>
      </c>
    </row>
    <row r="95" spans="2:4">
      <c r="B95" t="s">
        <v>754</v>
      </c>
      <c r="C95" s="37">
        <v>0</v>
      </c>
      <c r="D95" s="39" t="s">
        <v>770</v>
      </c>
    </row>
    <row r="96" spans="2:4">
      <c r="B96" t="s">
        <v>755</v>
      </c>
      <c r="C96" s="37">
        <v>1.1299999999999999E-2</v>
      </c>
      <c r="D96" s="39" t="s">
        <v>770</v>
      </c>
    </row>
    <row r="97" spans="2:4">
      <c r="B97" t="s">
        <v>756</v>
      </c>
      <c r="C97" s="37">
        <v>1.12E-2</v>
      </c>
      <c r="D97" s="39" t="s">
        <v>770</v>
      </c>
    </row>
    <row r="98" spans="2:4">
      <c r="B98" t="s">
        <v>757</v>
      </c>
      <c r="C98" s="37">
        <v>0</v>
      </c>
      <c r="D98" s="39" t="s">
        <v>770</v>
      </c>
    </row>
    <row r="99" spans="2:4" ht="14.4">
      <c r="B99" s="6" t="s">
        <v>63</v>
      </c>
      <c r="C99" s="8">
        <v>3.03</v>
      </c>
      <c r="D99" s="39" t="s">
        <v>771</v>
      </c>
    </row>
    <row r="100" spans="2:4" ht="14.4">
      <c r="B100" s="6" t="s">
        <v>65</v>
      </c>
      <c r="C100" s="8">
        <v>2.94</v>
      </c>
      <c r="D100" s="39" t="s">
        <v>771</v>
      </c>
    </row>
    <row r="101" spans="2:4" ht="14.4">
      <c r="B101" s="6" t="s">
        <v>68</v>
      </c>
      <c r="C101" s="8">
        <v>2.9</v>
      </c>
      <c r="D101" s="39" t="s">
        <v>771</v>
      </c>
    </row>
    <row r="102" spans="2:4" ht="14.4">
      <c r="B102" s="6" t="s">
        <v>70</v>
      </c>
      <c r="C102" s="8">
        <v>2.23</v>
      </c>
      <c r="D102" s="39" t="s">
        <v>771</v>
      </c>
    </row>
    <row r="103" spans="2:4" ht="14.4">
      <c r="B103" s="6" t="s">
        <v>72</v>
      </c>
      <c r="C103" s="8">
        <v>2.2200000000000002</v>
      </c>
      <c r="D103" s="39" t="s">
        <v>771</v>
      </c>
    </row>
    <row r="104" spans="2:4" ht="14.4">
      <c r="B104" s="6" t="s">
        <v>74</v>
      </c>
      <c r="C104" s="8">
        <v>2.14</v>
      </c>
      <c r="D104" s="39" t="s">
        <v>771</v>
      </c>
    </row>
    <row r="105" spans="2:4" ht="14.4">
      <c r="B105" s="6" t="s">
        <v>76</v>
      </c>
      <c r="C105" s="8">
        <v>2</v>
      </c>
      <c r="D105" s="39" t="s">
        <v>771</v>
      </c>
    </row>
    <row r="106" spans="2:4" ht="14.4">
      <c r="B106" s="6" t="s">
        <v>78</v>
      </c>
      <c r="C106" s="8">
        <v>1.91</v>
      </c>
      <c r="D106" s="39" t="s">
        <v>771</v>
      </c>
    </row>
    <row r="107" spans="2:4" ht="14.4">
      <c r="B107" s="6" t="s">
        <v>81</v>
      </c>
      <c r="C107" s="8">
        <v>1.65</v>
      </c>
      <c r="D107" s="39" t="s">
        <v>771</v>
      </c>
    </row>
    <row r="108" spans="2:4" ht="14.4">
      <c r="B108" s="6" t="s">
        <v>83</v>
      </c>
      <c r="C108" s="8">
        <v>1.63</v>
      </c>
      <c r="D108" s="39" t="s">
        <v>771</v>
      </c>
    </row>
    <row r="109" spans="2:4" ht="14.4">
      <c r="B109" s="6" t="s">
        <v>84</v>
      </c>
      <c r="C109" s="8">
        <v>1.63</v>
      </c>
      <c r="D109" s="39" t="s">
        <v>771</v>
      </c>
    </row>
    <row r="110" spans="2:4" ht="14.4">
      <c r="B110" s="6" t="s">
        <v>86</v>
      </c>
      <c r="C110" s="8">
        <v>1.61</v>
      </c>
      <c r="D110" s="39" t="s">
        <v>771</v>
      </c>
    </row>
    <row r="111" spans="2:4" ht="14.4">
      <c r="B111" s="6" t="s">
        <v>87</v>
      </c>
      <c r="C111" s="8">
        <v>1.57</v>
      </c>
      <c r="D111" s="39" t="s">
        <v>771</v>
      </c>
    </row>
    <row r="112" spans="2:4" ht="14.4">
      <c r="B112" s="6" t="s">
        <v>89</v>
      </c>
      <c r="C112" s="8">
        <v>1.56</v>
      </c>
      <c r="D112" s="39" t="s">
        <v>771</v>
      </c>
    </row>
    <row r="113" spans="2:4" ht="14.4">
      <c r="B113" s="6" t="s">
        <v>91</v>
      </c>
      <c r="C113" s="8">
        <v>1.56</v>
      </c>
      <c r="D113" s="39" t="s">
        <v>771</v>
      </c>
    </row>
    <row r="114" spans="2:4" ht="14.4">
      <c r="B114" s="6" t="s">
        <v>93</v>
      </c>
      <c r="C114" s="8">
        <v>1.55</v>
      </c>
      <c r="D114" s="39" t="s">
        <v>771</v>
      </c>
    </row>
    <row r="115" spans="2:4" ht="14.4">
      <c r="B115" s="6" t="s">
        <v>95</v>
      </c>
      <c r="C115" s="8">
        <v>1.53</v>
      </c>
      <c r="D115" s="39" t="s">
        <v>771</v>
      </c>
    </row>
    <row r="116" spans="2:4" ht="14.4">
      <c r="B116" s="6" t="s">
        <v>97</v>
      </c>
      <c r="C116" s="8">
        <v>1.53</v>
      </c>
      <c r="D116" s="39" t="s">
        <v>771</v>
      </c>
    </row>
    <row r="117" spans="2:4" ht="14.4">
      <c r="B117" s="6" t="s">
        <v>98</v>
      </c>
      <c r="C117" s="8">
        <v>1.53</v>
      </c>
      <c r="D117" s="39" t="s">
        <v>771</v>
      </c>
    </row>
    <row r="118" spans="2:4" ht="14.4">
      <c r="B118" s="6" t="s">
        <v>99</v>
      </c>
      <c r="C118" s="8">
        <v>1.51</v>
      </c>
      <c r="D118" s="39" t="s">
        <v>771</v>
      </c>
    </row>
    <row r="119" spans="2:4" ht="14.4">
      <c r="B119" s="6" t="s">
        <v>100</v>
      </c>
      <c r="C119" s="8">
        <v>1.47</v>
      </c>
      <c r="D119" s="39" t="s">
        <v>771</v>
      </c>
    </row>
    <row r="120" spans="2:4" ht="14.4">
      <c r="B120" s="6" t="s">
        <v>101</v>
      </c>
      <c r="C120" s="8">
        <v>1.44</v>
      </c>
      <c r="D120" s="39" t="s">
        <v>771</v>
      </c>
    </row>
    <row r="121" spans="2:4" ht="14.4">
      <c r="B121" s="6" t="s">
        <v>102</v>
      </c>
      <c r="C121" s="8">
        <v>1.44</v>
      </c>
      <c r="D121" s="39" t="s">
        <v>771</v>
      </c>
    </row>
    <row r="122" spans="2:4" ht="14.4">
      <c r="B122" s="6" t="s">
        <v>103</v>
      </c>
      <c r="C122" s="8">
        <v>1.44</v>
      </c>
      <c r="D122" s="39" t="s">
        <v>771</v>
      </c>
    </row>
    <row r="123" spans="2:4" ht="14.4">
      <c r="B123" s="6" t="s">
        <v>104</v>
      </c>
      <c r="C123" s="8">
        <v>1.42</v>
      </c>
      <c r="D123" s="39" t="s">
        <v>771</v>
      </c>
    </row>
    <row r="124" spans="2:4" ht="14.4">
      <c r="B124" s="6" t="s">
        <v>105</v>
      </c>
      <c r="C124" s="8">
        <v>1.41</v>
      </c>
      <c r="D124" s="39" t="s">
        <v>771</v>
      </c>
    </row>
    <row r="125" spans="2:4" ht="14.4">
      <c r="B125" s="6" t="s">
        <v>106</v>
      </c>
      <c r="C125" s="8">
        <v>1.41</v>
      </c>
      <c r="D125" s="39" t="s">
        <v>771</v>
      </c>
    </row>
    <row r="126" spans="2:4" ht="14.4">
      <c r="B126" s="6" t="s">
        <v>107</v>
      </c>
      <c r="C126" s="8">
        <v>1.37</v>
      </c>
      <c r="D126" s="39" t="s">
        <v>771</v>
      </c>
    </row>
    <row r="127" spans="2:4" ht="14.4">
      <c r="B127" s="6" t="s">
        <v>108</v>
      </c>
      <c r="C127" s="8">
        <v>1.36</v>
      </c>
      <c r="D127" s="39" t="s">
        <v>771</v>
      </c>
    </row>
    <row r="128" spans="2:4" ht="14.4">
      <c r="B128" s="6" t="s">
        <v>109</v>
      </c>
      <c r="C128" s="8">
        <v>1.35</v>
      </c>
      <c r="D128" s="39" t="s">
        <v>771</v>
      </c>
    </row>
    <row r="129" spans="2:4" ht="14.4">
      <c r="B129" s="6" t="s">
        <v>110</v>
      </c>
      <c r="C129" s="8">
        <v>1.34</v>
      </c>
      <c r="D129" s="39" t="s">
        <v>771</v>
      </c>
    </row>
    <row r="130" spans="2:4" ht="14.4">
      <c r="B130" s="6" t="s">
        <v>111</v>
      </c>
      <c r="C130" s="8">
        <v>1.33</v>
      </c>
      <c r="D130" s="39" t="s">
        <v>771</v>
      </c>
    </row>
    <row r="131" spans="2:4" ht="14.4">
      <c r="B131" s="6" t="s">
        <v>112</v>
      </c>
      <c r="C131" s="8">
        <v>1.31</v>
      </c>
      <c r="D131" s="39" t="s">
        <v>771</v>
      </c>
    </row>
    <row r="132" spans="2:4" ht="14.4">
      <c r="B132" s="6" t="s">
        <v>113</v>
      </c>
      <c r="C132" s="8">
        <v>1.28</v>
      </c>
      <c r="D132" s="39" t="s">
        <v>771</v>
      </c>
    </row>
    <row r="133" spans="2:4" ht="14.4">
      <c r="B133" s="6" t="s">
        <v>114</v>
      </c>
      <c r="C133" s="8">
        <v>1.2</v>
      </c>
      <c r="D133" s="39" t="s">
        <v>771</v>
      </c>
    </row>
    <row r="134" spans="2:4" ht="14.4">
      <c r="B134" s="6" t="s">
        <v>115</v>
      </c>
      <c r="C134" s="8">
        <v>1.17</v>
      </c>
      <c r="D134" s="39" t="s">
        <v>771</v>
      </c>
    </row>
    <row r="135" spans="2:4" ht="14.4">
      <c r="B135" s="6" t="s">
        <v>116</v>
      </c>
      <c r="C135" s="8">
        <v>1.1499999999999999</v>
      </c>
      <c r="D135" s="39" t="s">
        <v>771</v>
      </c>
    </row>
    <row r="136" spans="2:4" ht="14.4">
      <c r="B136" s="6" t="s">
        <v>117</v>
      </c>
      <c r="C136" s="8">
        <v>1.1299999999999999</v>
      </c>
      <c r="D136" s="39" t="s">
        <v>771</v>
      </c>
    </row>
    <row r="137" spans="2:4" ht="14.4">
      <c r="B137" s="6" t="s">
        <v>118</v>
      </c>
      <c r="C137" s="8">
        <v>1.1200000000000001</v>
      </c>
      <c r="D137" s="39" t="s">
        <v>771</v>
      </c>
    </row>
    <row r="138" spans="2:4" ht="14.4">
      <c r="B138" s="6" t="s">
        <v>119</v>
      </c>
      <c r="C138" s="8">
        <v>1.1100000000000001</v>
      </c>
      <c r="D138" s="39" t="s">
        <v>771</v>
      </c>
    </row>
    <row r="139" spans="2:4" ht="14.4">
      <c r="B139" s="6" t="s">
        <v>120</v>
      </c>
      <c r="C139" s="8">
        <v>1.0900000000000001</v>
      </c>
      <c r="D139" s="39" t="s">
        <v>771</v>
      </c>
    </row>
    <row r="140" spans="2:4" ht="14.4">
      <c r="B140" s="6" t="s">
        <v>121</v>
      </c>
      <c r="C140" s="8">
        <v>1.0900000000000001</v>
      </c>
      <c r="D140" s="39" t="s">
        <v>771</v>
      </c>
    </row>
    <row r="141" spans="2:4" ht="14.4">
      <c r="B141" s="6" t="s">
        <v>122</v>
      </c>
      <c r="C141" s="8">
        <v>1.07</v>
      </c>
      <c r="D141" s="39" t="s">
        <v>771</v>
      </c>
    </row>
    <row r="142" spans="2:4" ht="14.4">
      <c r="B142" s="6" t="s">
        <v>123</v>
      </c>
      <c r="C142" s="8">
        <v>1.07</v>
      </c>
      <c r="D142" s="39" t="s">
        <v>771</v>
      </c>
    </row>
    <row r="143" spans="2:4" ht="14.4">
      <c r="B143" s="6" t="s">
        <v>124</v>
      </c>
      <c r="C143" s="8">
        <v>1.01</v>
      </c>
      <c r="D143" s="39" t="s">
        <v>771</v>
      </c>
    </row>
    <row r="144" spans="2:4" ht="14.4">
      <c r="B144" s="6" t="s">
        <v>125</v>
      </c>
      <c r="C144" s="8">
        <v>0.99</v>
      </c>
      <c r="D144" s="39" t="s">
        <v>771</v>
      </c>
    </row>
    <row r="145" spans="2:4" ht="14.4">
      <c r="B145" s="6" t="s">
        <v>126</v>
      </c>
      <c r="C145" s="8">
        <v>0.98</v>
      </c>
      <c r="D145" s="39" t="s">
        <v>771</v>
      </c>
    </row>
    <row r="146" spans="2:4" ht="14.4">
      <c r="B146" s="6" t="s">
        <v>127</v>
      </c>
      <c r="C146" s="8">
        <v>0.98</v>
      </c>
      <c r="D146" s="39" t="s">
        <v>771</v>
      </c>
    </row>
    <row r="147" spans="2:4" ht="14.4">
      <c r="B147" s="6" t="s">
        <v>128</v>
      </c>
      <c r="C147" s="8">
        <v>0.94</v>
      </c>
      <c r="D147" s="39" t="s">
        <v>771</v>
      </c>
    </row>
    <row r="148" spans="2:4" ht="14.4">
      <c r="B148" s="6" t="s">
        <v>129</v>
      </c>
      <c r="C148" s="8">
        <v>0.92</v>
      </c>
      <c r="D148" s="39" t="s">
        <v>771</v>
      </c>
    </row>
    <row r="149" spans="2:4" ht="14.4">
      <c r="B149" s="6" t="s">
        <v>130</v>
      </c>
      <c r="C149" s="8">
        <v>0.92</v>
      </c>
      <c r="D149" s="39" t="s">
        <v>771</v>
      </c>
    </row>
    <row r="150" spans="2:4" ht="14.4">
      <c r="B150" s="6" t="s">
        <v>131</v>
      </c>
      <c r="C150" s="8">
        <v>0.91</v>
      </c>
      <c r="D150" s="39" t="s">
        <v>771</v>
      </c>
    </row>
    <row r="151" spans="2:4" ht="14.4">
      <c r="B151" s="6" t="s">
        <v>132</v>
      </c>
      <c r="C151" s="8">
        <v>0.91</v>
      </c>
      <c r="D151" s="39" t="s">
        <v>771</v>
      </c>
    </row>
    <row r="152" spans="2:4" ht="14.4">
      <c r="B152" s="6" t="s">
        <v>133</v>
      </c>
      <c r="C152" s="8">
        <v>0.87</v>
      </c>
      <c r="D152" s="39" t="s">
        <v>771</v>
      </c>
    </row>
    <row r="153" spans="2:4" ht="14.4">
      <c r="B153" s="6" t="s">
        <v>134</v>
      </c>
      <c r="C153" s="8">
        <v>0.8</v>
      </c>
      <c r="D153" s="39" t="s">
        <v>771</v>
      </c>
    </row>
    <row r="154" spans="2:4" ht="14.4">
      <c r="B154" s="6" t="s">
        <v>135</v>
      </c>
      <c r="C154" s="8">
        <v>0.77</v>
      </c>
      <c r="D154" s="39" t="s">
        <v>771</v>
      </c>
    </row>
    <row r="155" spans="2:4" ht="14.4">
      <c r="B155" s="6" t="s">
        <v>136</v>
      </c>
      <c r="C155" s="8">
        <v>0.75</v>
      </c>
      <c r="D155" s="39" t="s">
        <v>771</v>
      </c>
    </row>
    <row r="156" spans="2:4" ht="14.4">
      <c r="B156" s="6" t="s">
        <v>137</v>
      </c>
      <c r="C156" s="8">
        <v>0.71</v>
      </c>
      <c r="D156" s="39" t="s">
        <v>771</v>
      </c>
    </row>
    <row r="157" spans="2:4" ht="14.4">
      <c r="B157" s="6" t="s">
        <v>138</v>
      </c>
      <c r="C157" s="8">
        <v>0.71</v>
      </c>
      <c r="D157" s="39" t="s">
        <v>771</v>
      </c>
    </row>
    <row r="158" spans="2:4" ht="14.4">
      <c r="B158" s="6" t="s">
        <v>139</v>
      </c>
      <c r="C158" s="8">
        <v>0.68</v>
      </c>
      <c r="D158" s="39" t="s">
        <v>771</v>
      </c>
    </row>
    <row r="159" spans="2:4" ht="14.4">
      <c r="B159" s="6" t="s">
        <v>140</v>
      </c>
      <c r="C159" s="8">
        <v>0.66</v>
      </c>
      <c r="D159" s="39" t="s">
        <v>771</v>
      </c>
    </row>
    <row r="160" spans="2:4" ht="14.4">
      <c r="B160" s="6" t="s">
        <v>141</v>
      </c>
      <c r="C160" s="8">
        <v>0.66</v>
      </c>
      <c r="D160" s="39" t="s">
        <v>771</v>
      </c>
    </row>
    <row r="161" spans="2:4" ht="14.4">
      <c r="B161" s="6" t="s">
        <v>142</v>
      </c>
      <c r="C161" s="8">
        <v>0.65</v>
      </c>
      <c r="D161" s="39" t="s">
        <v>771</v>
      </c>
    </row>
    <row r="162" spans="2:4" ht="14.4">
      <c r="B162" s="6" t="s">
        <v>143</v>
      </c>
      <c r="C162" s="8">
        <v>0.64</v>
      </c>
      <c r="D162" s="39" t="s">
        <v>771</v>
      </c>
    </row>
    <row r="163" spans="2:4" ht="14.4">
      <c r="B163" s="6" t="s">
        <v>144</v>
      </c>
      <c r="C163" s="8">
        <v>0.64</v>
      </c>
      <c r="D163" s="39" t="s">
        <v>771</v>
      </c>
    </row>
    <row r="164" spans="2:4" ht="14.4">
      <c r="B164" s="6" t="s">
        <v>145</v>
      </c>
      <c r="C164" s="8">
        <v>0.6</v>
      </c>
      <c r="D164" s="39" t="s">
        <v>771</v>
      </c>
    </row>
    <row r="165" spans="2:4" ht="14.4">
      <c r="B165" s="6" t="s">
        <v>146</v>
      </c>
      <c r="C165" s="8">
        <v>0.6</v>
      </c>
      <c r="D165" s="39" t="s">
        <v>771</v>
      </c>
    </row>
    <row r="166" spans="2:4" ht="14.4">
      <c r="B166" s="6" t="s">
        <v>147</v>
      </c>
      <c r="C166" s="8">
        <v>0.57999999999999996</v>
      </c>
      <c r="D166" s="39" t="s">
        <v>771</v>
      </c>
    </row>
    <row r="167" spans="2:4" ht="14.4">
      <c r="B167" s="6" t="s">
        <v>148</v>
      </c>
      <c r="C167" s="8">
        <v>0.56999999999999995</v>
      </c>
      <c r="D167" s="39" t="s">
        <v>771</v>
      </c>
    </row>
    <row r="168" spans="2:4" ht="14.4">
      <c r="B168" s="6" t="s">
        <v>149</v>
      </c>
      <c r="C168" s="8">
        <v>0.56999999999999995</v>
      </c>
      <c r="D168" s="39" t="s">
        <v>771</v>
      </c>
    </row>
    <row r="169" spans="2:4" ht="14.4">
      <c r="B169" s="6" t="s">
        <v>150</v>
      </c>
      <c r="C169" s="8">
        <v>0.56000000000000005</v>
      </c>
      <c r="D169" s="39" t="s">
        <v>771</v>
      </c>
    </row>
    <row r="170" spans="2:4" ht="14.4">
      <c r="B170" s="6" t="s">
        <v>151</v>
      </c>
      <c r="C170" s="8">
        <v>0.51</v>
      </c>
      <c r="D170" s="39" t="s">
        <v>771</v>
      </c>
    </row>
    <row r="171" spans="2:4" ht="14.4">
      <c r="B171" s="6" t="s">
        <v>152</v>
      </c>
      <c r="C171" s="8">
        <v>0.51</v>
      </c>
      <c r="D171" s="39" t="s">
        <v>771</v>
      </c>
    </row>
    <row r="172" spans="2:4" ht="14.4">
      <c r="B172" s="6" t="s">
        <v>153</v>
      </c>
      <c r="C172" s="8">
        <v>0.47</v>
      </c>
      <c r="D172" s="39" t="s">
        <v>771</v>
      </c>
    </row>
    <row r="173" spans="2:4" ht="14.4">
      <c r="B173" s="6" t="s">
        <v>154</v>
      </c>
      <c r="C173" s="8">
        <v>0.46</v>
      </c>
      <c r="D173" s="39" t="s">
        <v>771</v>
      </c>
    </row>
    <row r="174" spans="2:4" ht="14.4">
      <c r="B174" s="6" t="s">
        <v>155</v>
      </c>
      <c r="C174" s="8">
        <v>0.44</v>
      </c>
      <c r="D174" s="39" t="s">
        <v>771</v>
      </c>
    </row>
    <row r="175" spans="2:4" ht="14.4">
      <c r="B175" s="6" t="s">
        <v>156</v>
      </c>
      <c r="C175" s="8">
        <v>0.43</v>
      </c>
      <c r="D175" s="39" t="s">
        <v>771</v>
      </c>
    </row>
    <row r="176" spans="2:4" ht="14.4">
      <c r="B176" s="6" t="s">
        <v>157</v>
      </c>
      <c r="C176" s="8">
        <v>0.42</v>
      </c>
      <c r="D176" s="39" t="s">
        <v>771</v>
      </c>
    </row>
    <row r="177" spans="2:4" ht="14.4">
      <c r="B177" s="6" t="s">
        <v>158</v>
      </c>
      <c r="C177" s="8">
        <v>0.41</v>
      </c>
      <c r="D177" s="39" t="s">
        <v>771</v>
      </c>
    </row>
    <row r="178" spans="2:4" ht="14.4">
      <c r="B178" s="6" t="s">
        <v>159</v>
      </c>
      <c r="C178" s="8">
        <v>0.39</v>
      </c>
      <c r="D178" s="39" t="s">
        <v>771</v>
      </c>
    </row>
    <row r="179" spans="2:4" ht="14.4">
      <c r="B179" s="6" t="s">
        <v>160</v>
      </c>
      <c r="C179" s="8">
        <v>0.37</v>
      </c>
      <c r="D179" s="39" t="s">
        <v>771</v>
      </c>
    </row>
    <row r="180" spans="2:4" ht="14.4">
      <c r="B180" s="6" t="s">
        <v>161</v>
      </c>
      <c r="C180" s="8">
        <v>0.36</v>
      </c>
      <c r="D180" s="39" t="s">
        <v>771</v>
      </c>
    </row>
    <row r="181" spans="2:4" ht="14.4">
      <c r="B181" s="6" t="s">
        <v>162</v>
      </c>
      <c r="C181" s="8">
        <v>0.34</v>
      </c>
      <c r="D181" s="39" t="s">
        <v>771</v>
      </c>
    </row>
    <row r="182" spans="2:4" ht="14.4">
      <c r="B182" s="6" t="s">
        <v>163</v>
      </c>
      <c r="C182" s="8">
        <v>0.34</v>
      </c>
      <c r="D182" s="39" t="s">
        <v>771</v>
      </c>
    </row>
    <row r="183" spans="2:4" ht="14.4">
      <c r="B183" s="6" t="s">
        <v>164</v>
      </c>
      <c r="C183" s="8">
        <v>0.28999999999999998</v>
      </c>
      <c r="D183" s="39" t="s">
        <v>771</v>
      </c>
    </row>
    <row r="184" spans="2:4" ht="14.4">
      <c r="B184" s="6" t="s">
        <v>165</v>
      </c>
      <c r="C184" s="8">
        <v>0.28000000000000003</v>
      </c>
      <c r="D184" s="39" t="s">
        <v>771</v>
      </c>
    </row>
    <row r="185" spans="2:4" ht="14.4">
      <c r="B185" s="6" t="s">
        <v>166</v>
      </c>
      <c r="C185" s="8">
        <v>0.24</v>
      </c>
      <c r="D185" s="39" t="s">
        <v>771</v>
      </c>
    </row>
    <row r="186" spans="2:4" ht="14.4">
      <c r="B186" s="6" t="s">
        <v>167</v>
      </c>
      <c r="C186" s="8">
        <v>0.24</v>
      </c>
      <c r="D186" s="39" t="s">
        <v>771</v>
      </c>
    </row>
    <row r="187" spans="2:4" ht="14.4">
      <c r="B187" s="6" t="s">
        <v>168</v>
      </c>
      <c r="C187" s="8">
        <v>0.17</v>
      </c>
      <c r="D187" s="39" t="s">
        <v>771</v>
      </c>
    </row>
    <row r="188" spans="2:4" ht="14.4">
      <c r="B188" s="6" t="s">
        <v>169</v>
      </c>
      <c r="C188" s="8">
        <v>0</v>
      </c>
      <c r="D188" s="39" t="s">
        <v>771</v>
      </c>
    </row>
    <row r="189" spans="2:4">
      <c r="B189" s="3" t="s">
        <v>174</v>
      </c>
      <c r="C189" s="3">
        <v>1.38</v>
      </c>
      <c r="D189" s="39" t="s">
        <v>772</v>
      </c>
    </row>
    <row r="190" spans="2:4">
      <c r="B190" s="3" t="s">
        <v>176</v>
      </c>
      <c r="C190" s="3">
        <v>1.41</v>
      </c>
      <c r="D190" s="39" t="s">
        <v>772</v>
      </c>
    </row>
    <row r="191" spans="2:4">
      <c r="B191" s="3" t="s">
        <v>179</v>
      </c>
      <c r="C191" s="3">
        <v>3.82</v>
      </c>
      <c r="D191" s="39" t="s">
        <v>772</v>
      </c>
    </row>
    <row r="192" spans="2:4">
      <c r="B192" s="3" t="s">
        <v>180</v>
      </c>
      <c r="C192" s="3">
        <v>0.51</v>
      </c>
      <c r="D192" s="39" t="s">
        <v>772</v>
      </c>
    </row>
    <row r="193" spans="2:4">
      <c r="B193" s="3" t="s">
        <v>183</v>
      </c>
      <c r="C193" s="3">
        <v>8.33</v>
      </c>
      <c r="D193" s="39" t="s">
        <v>772</v>
      </c>
    </row>
    <row r="194" spans="2:4">
      <c r="B194" s="3" t="s">
        <v>184</v>
      </c>
      <c r="C194" s="3">
        <v>6.77</v>
      </c>
      <c r="D194" s="39" t="s">
        <v>772</v>
      </c>
    </row>
    <row r="195" spans="2:4">
      <c r="B195" s="3" t="s">
        <v>186</v>
      </c>
      <c r="C195" s="3">
        <v>4.3</v>
      </c>
      <c r="D195" s="39" t="s">
        <v>772</v>
      </c>
    </row>
    <row r="196" spans="2:4">
      <c r="B196" s="3" t="s">
        <v>188</v>
      </c>
      <c r="C196" s="3">
        <v>4.0599999999999996</v>
      </c>
      <c r="D196" s="39" t="s">
        <v>772</v>
      </c>
    </row>
    <row r="197" spans="2:4">
      <c r="B197" s="3" t="s">
        <v>15</v>
      </c>
      <c r="C197" s="3">
        <v>3.47</v>
      </c>
      <c r="D197" s="39" t="s">
        <v>772</v>
      </c>
    </row>
    <row r="198" spans="2:4">
      <c r="B198" s="3" t="s">
        <v>191</v>
      </c>
      <c r="C198" s="3">
        <v>1</v>
      </c>
      <c r="D198" s="39" t="s">
        <v>772</v>
      </c>
    </row>
    <row r="199" spans="2:4">
      <c r="B199" s="3" t="s">
        <v>194</v>
      </c>
      <c r="C199" s="3">
        <v>1.74</v>
      </c>
      <c r="D199" s="39" t="s">
        <v>772</v>
      </c>
    </row>
    <row r="200" spans="2:4">
      <c r="B200" s="3" t="s">
        <v>198</v>
      </c>
      <c r="C200" s="3">
        <v>3.82</v>
      </c>
      <c r="D200" s="39" t="s">
        <v>772</v>
      </c>
    </row>
    <row r="201" spans="2:4">
      <c r="B201" s="3" t="s">
        <v>200</v>
      </c>
      <c r="C201" s="3">
        <v>2.02</v>
      </c>
      <c r="D201" s="39" t="s">
        <v>772</v>
      </c>
    </row>
    <row r="202" spans="2:4">
      <c r="B202" s="3" t="s">
        <v>201</v>
      </c>
      <c r="C202" s="3">
        <v>1.1399999999999999</v>
      </c>
      <c r="D202" s="39" t="s">
        <v>772</v>
      </c>
    </row>
    <row r="203" spans="2:4">
      <c r="B203" s="3" t="s">
        <v>202</v>
      </c>
      <c r="C203" s="3">
        <v>1.04</v>
      </c>
      <c r="D203" s="39" t="s">
        <v>772</v>
      </c>
    </row>
    <row r="204" spans="2:4">
      <c r="B204" s="3" t="s">
        <v>203</v>
      </c>
      <c r="C204" s="3">
        <v>0.52</v>
      </c>
      <c r="D204" s="39" t="s">
        <v>772</v>
      </c>
    </row>
    <row r="205" spans="2:4">
      <c r="B205" s="3" t="s">
        <v>204</v>
      </c>
      <c r="C205" s="3">
        <v>0.52</v>
      </c>
      <c r="D205" s="39" t="s">
        <v>772</v>
      </c>
    </row>
    <row r="206" spans="2:4">
      <c r="B206" s="3" t="s">
        <v>205</v>
      </c>
      <c r="C206" s="3">
        <v>1.31</v>
      </c>
      <c r="D206" s="39" t="s">
        <v>772</v>
      </c>
    </row>
    <row r="207" spans="2:4">
      <c r="B207" s="3" t="s">
        <v>206</v>
      </c>
      <c r="C207" s="3">
        <v>1.24</v>
      </c>
      <c r="D207" s="39" t="s">
        <v>772</v>
      </c>
    </row>
    <row r="208" spans="2:4">
      <c r="B208" s="3" t="s">
        <v>207</v>
      </c>
      <c r="C208" s="3">
        <v>1.2</v>
      </c>
      <c r="D208" s="39" t="s">
        <v>772</v>
      </c>
    </row>
    <row r="209" spans="2:4">
      <c r="B209" s="3" t="s">
        <v>208</v>
      </c>
      <c r="C209" s="3">
        <v>1.1000000000000001</v>
      </c>
      <c r="D209" s="39" t="s">
        <v>772</v>
      </c>
    </row>
    <row r="210" spans="2:4">
      <c r="B210" s="3" t="s">
        <v>50</v>
      </c>
      <c r="C210" s="3">
        <v>1.59</v>
      </c>
      <c r="D210" s="39" t="s">
        <v>772</v>
      </c>
    </row>
    <row r="211" spans="2:4">
      <c r="B211" s="3" t="s">
        <v>209</v>
      </c>
      <c r="C211" s="3">
        <v>1.54</v>
      </c>
      <c r="D211" s="39" t="s">
        <v>772</v>
      </c>
    </row>
    <row r="212" spans="2:4">
      <c r="B212" s="3" t="s">
        <v>210</v>
      </c>
      <c r="C212" s="3">
        <v>1.32</v>
      </c>
      <c r="D212" s="39" t="s">
        <v>772</v>
      </c>
    </row>
    <row r="213" spans="2:4">
      <c r="B213" s="3" t="s">
        <v>211</v>
      </c>
      <c r="C213" s="3">
        <v>3</v>
      </c>
      <c r="D213" s="39" t="s">
        <v>772</v>
      </c>
    </row>
    <row r="214" spans="2:4">
      <c r="B214" s="3" t="s">
        <v>212</v>
      </c>
      <c r="C214" s="3">
        <v>1.54</v>
      </c>
      <c r="D214" s="39" t="s">
        <v>772</v>
      </c>
    </row>
    <row r="215" spans="2:4">
      <c r="B215" s="3" t="s">
        <v>213</v>
      </c>
      <c r="C215" s="3">
        <v>0.85</v>
      </c>
      <c r="D215" s="39" t="s">
        <v>772</v>
      </c>
    </row>
    <row r="216" spans="2:4">
      <c r="B216" s="3" t="s">
        <v>214</v>
      </c>
      <c r="C216" s="3">
        <v>3.64</v>
      </c>
      <c r="D216" s="39" t="s">
        <v>772</v>
      </c>
    </row>
    <row r="217" spans="2:4">
      <c r="B217" s="3" t="s">
        <v>215</v>
      </c>
      <c r="C217" s="3">
        <v>2.16</v>
      </c>
      <c r="D217" s="39" t="s">
        <v>772</v>
      </c>
    </row>
    <row r="218" spans="2:4">
      <c r="B218" s="3" t="s">
        <v>216</v>
      </c>
      <c r="C218" s="3">
        <v>0.74</v>
      </c>
      <c r="D218" s="39" t="s">
        <v>772</v>
      </c>
    </row>
    <row r="219" spans="2:4">
      <c r="B219" s="3" t="s">
        <v>217</v>
      </c>
      <c r="C219" s="3">
        <v>0.59</v>
      </c>
      <c r="D219" s="39" t="s">
        <v>772</v>
      </c>
    </row>
    <row r="220" spans="2:4">
      <c r="B220" s="3" t="s">
        <v>218</v>
      </c>
      <c r="C220" s="3">
        <v>1.78</v>
      </c>
      <c r="D220" s="39" t="s">
        <v>772</v>
      </c>
    </row>
    <row r="221" spans="2:4">
      <c r="B221" s="3" t="s">
        <v>219</v>
      </c>
      <c r="C221" s="3">
        <v>0.51</v>
      </c>
      <c r="D221" s="39" t="s">
        <v>772</v>
      </c>
    </row>
    <row r="222" spans="2:4">
      <c r="B222" s="3" t="s">
        <v>220</v>
      </c>
      <c r="C222" s="3">
        <v>0.92</v>
      </c>
      <c r="D222" s="39" t="s">
        <v>772</v>
      </c>
    </row>
    <row r="223" spans="2:4">
      <c r="B223" s="3" t="s">
        <v>221</v>
      </c>
      <c r="C223" s="3">
        <v>5.81</v>
      </c>
      <c r="D223" s="39" t="s">
        <v>772</v>
      </c>
    </row>
    <row r="224" spans="2:4">
      <c r="B224" s="3" t="s">
        <v>222</v>
      </c>
      <c r="C224" s="3">
        <v>2.2000000000000002</v>
      </c>
      <c r="D224" s="39" t="s">
        <v>772</v>
      </c>
    </row>
    <row r="225" spans="2:4">
      <c r="B225" s="3" t="s">
        <v>223</v>
      </c>
      <c r="C225" s="3">
        <v>1.4</v>
      </c>
      <c r="D225" s="39" t="s">
        <v>772</v>
      </c>
    </row>
    <row r="226" spans="2:4">
      <c r="B226" s="3" t="s">
        <v>224</v>
      </c>
      <c r="C226" s="3">
        <v>1.24</v>
      </c>
      <c r="D226" s="39" t="s">
        <v>772</v>
      </c>
    </row>
    <row r="227" spans="2:4">
      <c r="B227" s="3" t="s">
        <v>225</v>
      </c>
      <c r="C227" s="3">
        <v>1.22</v>
      </c>
      <c r="D227" s="39" t="s">
        <v>772</v>
      </c>
    </row>
    <row r="228" spans="2:4">
      <c r="B228" s="3" t="s">
        <v>226</v>
      </c>
      <c r="C228" s="3">
        <v>2.41</v>
      </c>
      <c r="D228" s="39" t="s">
        <v>772</v>
      </c>
    </row>
    <row r="229" spans="2:4">
      <c r="B229" s="3" t="s">
        <v>227</v>
      </c>
      <c r="C229" s="3">
        <v>1.56</v>
      </c>
      <c r="D229" s="39" t="s">
        <v>772</v>
      </c>
    </row>
    <row r="230" spans="2:4">
      <c r="B230" s="3" t="s">
        <v>228</v>
      </c>
      <c r="C230" s="3">
        <v>1.1200000000000001</v>
      </c>
      <c r="D230" s="39" t="s">
        <v>772</v>
      </c>
    </row>
    <row r="231" spans="2:4">
      <c r="B231" s="3" t="s">
        <v>229</v>
      </c>
      <c r="C231" s="3">
        <v>0.6</v>
      </c>
      <c r="D231" s="39" t="s">
        <v>772</v>
      </c>
    </row>
    <row r="232" spans="2:4">
      <c r="B232" s="3" t="s">
        <v>230</v>
      </c>
      <c r="C232" s="3">
        <v>4.67</v>
      </c>
      <c r="D232" s="39" t="s">
        <v>772</v>
      </c>
    </row>
    <row r="233" spans="2:4">
      <c r="B233" s="3" t="s">
        <v>231</v>
      </c>
      <c r="C233" s="3">
        <v>1.03</v>
      </c>
      <c r="D233" s="39" t="s">
        <v>772</v>
      </c>
    </row>
    <row r="234" spans="2:4">
      <c r="B234" s="3" t="s">
        <v>232</v>
      </c>
      <c r="C234" s="3">
        <v>0.97</v>
      </c>
      <c r="D234" s="39" t="s">
        <v>772</v>
      </c>
    </row>
    <row r="235" spans="2:4">
      <c r="B235" s="3" t="s">
        <v>233</v>
      </c>
      <c r="C235" s="3">
        <v>0.94</v>
      </c>
      <c r="D235" s="39" t="s">
        <v>772</v>
      </c>
    </row>
    <row r="236" spans="2:4">
      <c r="B236" s="3" t="s">
        <v>234</v>
      </c>
      <c r="C236" s="3">
        <v>0.74</v>
      </c>
      <c r="D236" s="39" t="s">
        <v>772</v>
      </c>
    </row>
    <row r="237" spans="2:4">
      <c r="B237" s="3" t="s">
        <v>235</v>
      </c>
      <c r="C237" s="3">
        <v>0.86</v>
      </c>
      <c r="D237" s="39" t="s">
        <v>772</v>
      </c>
    </row>
    <row r="238" spans="2:4">
      <c r="B238" t="s">
        <v>679</v>
      </c>
      <c r="C238" s="37">
        <v>4.53E-2</v>
      </c>
      <c r="D238" s="38" t="s">
        <v>773</v>
      </c>
    </row>
    <row r="239" spans="2:4">
      <c r="B239" t="s">
        <v>680</v>
      </c>
      <c r="C239" s="37">
        <v>3.1099999999999999E-2</v>
      </c>
      <c r="D239" s="38" t="s">
        <v>773</v>
      </c>
    </row>
    <row r="240" spans="2:4">
      <c r="B240" t="s">
        <v>681</v>
      </c>
      <c r="C240" s="37">
        <v>0.03</v>
      </c>
      <c r="D240" s="38" t="s">
        <v>773</v>
      </c>
    </row>
    <row r="241" spans="2:4">
      <c r="B241" t="s">
        <v>682</v>
      </c>
      <c r="C241" s="37">
        <v>2.87E-2</v>
      </c>
      <c r="D241" s="38" t="s">
        <v>773</v>
      </c>
    </row>
    <row r="242" spans="2:4">
      <c r="B242" t="s">
        <v>683</v>
      </c>
      <c r="C242" s="37">
        <v>2.8199999999999999E-2</v>
      </c>
      <c r="D242" s="38" t="s">
        <v>773</v>
      </c>
    </row>
    <row r="243" spans="2:4">
      <c r="B243" t="s">
        <v>684</v>
      </c>
      <c r="C243" s="37">
        <v>2.6599999999999999E-2</v>
      </c>
      <c r="D243" s="38" t="s">
        <v>773</v>
      </c>
    </row>
    <row r="244" spans="2:4">
      <c r="B244" t="s">
        <v>685</v>
      </c>
      <c r="C244" s="37">
        <v>2.6599999999999999E-2</v>
      </c>
      <c r="D244" s="38" t="s">
        <v>773</v>
      </c>
    </row>
    <row r="245" spans="2:4">
      <c r="B245" t="s">
        <v>686</v>
      </c>
      <c r="C245" s="37">
        <v>2.2100000000000002E-2</v>
      </c>
      <c r="D245" s="38" t="s">
        <v>773</v>
      </c>
    </row>
    <row r="246" spans="2:4">
      <c r="B246" t="s">
        <v>687</v>
      </c>
      <c r="C246" s="37">
        <v>2.18E-2</v>
      </c>
      <c r="D246" s="38" t="s">
        <v>773</v>
      </c>
    </row>
    <row r="247" spans="2:4">
      <c r="B247" t="s">
        <v>688</v>
      </c>
      <c r="C247" s="37">
        <v>2.1499999999999998E-2</v>
      </c>
      <c r="D247" s="38" t="s">
        <v>773</v>
      </c>
    </row>
    <row r="248" spans="2:4">
      <c r="B248" t="s">
        <v>689</v>
      </c>
      <c r="C248" s="37">
        <v>2.1100000000000001E-2</v>
      </c>
      <c r="D248" s="38" t="s">
        <v>773</v>
      </c>
    </row>
    <row r="249" spans="2:4">
      <c r="B249" t="s">
        <v>690</v>
      </c>
      <c r="C249" s="37">
        <v>2.0899999999999998E-2</v>
      </c>
      <c r="D249" s="38" t="s">
        <v>773</v>
      </c>
    </row>
    <row r="250" spans="2:4">
      <c r="B250" t="s">
        <v>691</v>
      </c>
      <c r="C250" s="37">
        <v>2.0799999999999999E-2</v>
      </c>
      <c r="D250" s="38" t="s">
        <v>773</v>
      </c>
    </row>
    <row r="251" spans="2:4">
      <c r="B251" t="s">
        <v>692</v>
      </c>
      <c r="C251" s="37">
        <v>1.9599999999999999E-2</v>
      </c>
      <c r="D251" s="38" t="s">
        <v>773</v>
      </c>
    </row>
    <row r="252" spans="2:4">
      <c r="B252" t="s">
        <v>675</v>
      </c>
      <c r="C252" s="37">
        <v>1.9E-2</v>
      </c>
      <c r="D252" s="38" t="s">
        <v>773</v>
      </c>
    </row>
    <row r="253" spans="2:4">
      <c r="B253" t="s">
        <v>693</v>
      </c>
      <c r="C253" s="37">
        <v>1.8800000000000001E-2</v>
      </c>
      <c r="D253" s="38" t="s">
        <v>773</v>
      </c>
    </row>
    <row r="254" spans="2:4">
      <c r="B254" t="s">
        <v>694</v>
      </c>
      <c r="C254" s="37">
        <v>1.8200000000000001E-2</v>
      </c>
      <c r="D254" s="38" t="s">
        <v>773</v>
      </c>
    </row>
    <row r="255" spans="2:4">
      <c r="B255" t="s">
        <v>632</v>
      </c>
      <c r="C255" s="37">
        <v>1.7999999999999999E-2</v>
      </c>
      <c r="D255" s="38" t="s">
        <v>773</v>
      </c>
    </row>
    <row r="256" spans="2:4">
      <c r="B256" t="s">
        <v>695</v>
      </c>
      <c r="C256" s="37">
        <v>1.6500000000000001E-2</v>
      </c>
      <c r="D256" s="38" t="s">
        <v>773</v>
      </c>
    </row>
    <row r="257" spans="2:4">
      <c r="B257" t="s">
        <v>696</v>
      </c>
      <c r="C257" s="37">
        <v>1.4999999999999999E-2</v>
      </c>
      <c r="D257" s="38" t="s">
        <v>773</v>
      </c>
    </row>
    <row r="258" spans="2:4">
      <c r="B258" t="s">
        <v>697</v>
      </c>
      <c r="C258" s="37">
        <v>1.49E-2</v>
      </c>
      <c r="D258" s="38" t="s">
        <v>773</v>
      </c>
    </row>
    <row r="259" spans="2:4">
      <c r="B259" t="s">
        <v>673</v>
      </c>
      <c r="C259" s="37">
        <v>1.4800000000000001E-2</v>
      </c>
      <c r="D259" s="38" t="s">
        <v>773</v>
      </c>
    </row>
    <row r="260" spans="2:4">
      <c r="B260" t="s">
        <v>674</v>
      </c>
      <c r="C260" s="37">
        <v>1.41E-2</v>
      </c>
      <c r="D260" s="38" t="s">
        <v>773</v>
      </c>
    </row>
    <row r="261" spans="2:4">
      <c r="B261" t="s">
        <v>698</v>
      </c>
      <c r="C261" s="37">
        <v>1.41E-2</v>
      </c>
      <c r="D261" s="38" t="s">
        <v>773</v>
      </c>
    </row>
    <row r="262" spans="2:4">
      <c r="B262" t="s">
        <v>699</v>
      </c>
      <c r="C262" s="37">
        <v>1.3599999999999999E-2</v>
      </c>
      <c r="D262" s="38" t="s">
        <v>773</v>
      </c>
    </row>
    <row r="263" spans="2:4">
      <c r="B263" t="s">
        <v>700</v>
      </c>
      <c r="C263" s="37">
        <v>1.3100000000000001E-2</v>
      </c>
      <c r="D263" s="38" t="s">
        <v>773</v>
      </c>
    </row>
    <row r="264" spans="2:4">
      <c r="B264" t="s">
        <v>701</v>
      </c>
      <c r="C264" s="37">
        <v>1.2999999999999999E-2</v>
      </c>
      <c r="D264" s="38" t="s">
        <v>773</v>
      </c>
    </row>
    <row r="265" spans="2:4">
      <c r="B265" t="s">
        <v>702</v>
      </c>
      <c r="C265" s="37">
        <v>1.2800000000000001E-2</v>
      </c>
      <c r="D265" s="38" t="s">
        <v>773</v>
      </c>
    </row>
    <row r="266" spans="2:4">
      <c r="B266" t="s">
        <v>703</v>
      </c>
      <c r="C266" s="37">
        <v>1.2800000000000001E-2</v>
      </c>
      <c r="D266" s="38" t="s">
        <v>773</v>
      </c>
    </row>
    <row r="267" spans="2:4">
      <c r="B267" t="s">
        <v>704</v>
      </c>
      <c r="C267" s="37">
        <v>1.2800000000000001E-2</v>
      </c>
      <c r="D267" s="38" t="s">
        <v>773</v>
      </c>
    </row>
    <row r="268" spans="2:4">
      <c r="B268" s="3" t="s">
        <v>17</v>
      </c>
      <c r="C268" s="3">
        <v>9.86</v>
      </c>
      <c r="D268" s="38" t="s">
        <v>774</v>
      </c>
    </row>
    <row r="269" spans="2:4">
      <c r="B269" s="3" t="s">
        <v>427</v>
      </c>
      <c r="C269" s="3">
        <v>7.59</v>
      </c>
      <c r="D269" s="38" t="s">
        <v>774</v>
      </c>
    </row>
    <row r="270" spans="2:4">
      <c r="B270" s="3" t="s">
        <v>762</v>
      </c>
      <c r="C270" s="3">
        <v>7.25</v>
      </c>
      <c r="D270" s="38" t="s">
        <v>774</v>
      </c>
    </row>
    <row r="271" spans="2:4">
      <c r="B271" s="3" t="s">
        <v>763</v>
      </c>
      <c r="C271" s="3">
        <v>6.55</v>
      </c>
      <c r="D271" s="38" t="s">
        <v>774</v>
      </c>
    </row>
    <row r="272" spans="2:4">
      <c r="B272" s="3" t="s">
        <v>761</v>
      </c>
      <c r="C272" s="3">
        <v>6.43</v>
      </c>
      <c r="D272" s="38" t="s">
        <v>774</v>
      </c>
    </row>
    <row r="273" spans="2:4">
      <c r="B273" s="3" t="s">
        <v>764</v>
      </c>
      <c r="C273" s="3">
        <v>5.66</v>
      </c>
      <c r="D273" s="38" t="s">
        <v>774</v>
      </c>
    </row>
    <row r="274" spans="2:4">
      <c r="B274" s="3" t="s">
        <v>456</v>
      </c>
      <c r="C274" s="3">
        <v>5.56</v>
      </c>
      <c r="D274" s="38" t="s">
        <v>774</v>
      </c>
    </row>
    <row r="275" spans="2:4">
      <c r="B275" s="3" t="s">
        <v>765</v>
      </c>
      <c r="C275" s="3">
        <v>3.99</v>
      </c>
      <c r="D275" s="38" t="s">
        <v>774</v>
      </c>
    </row>
    <row r="276" spans="2:4">
      <c r="B276" s="3" t="s">
        <v>766</v>
      </c>
      <c r="C276" s="3">
        <v>3.98</v>
      </c>
      <c r="D276" s="38" t="s">
        <v>774</v>
      </c>
    </row>
    <row r="277" spans="2:4">
      <c r="B277" s="3" t="s">
        <v>26</v>
      </c>
      <c r="C277" s="3">
        <v>3.28</v>
      </c>
      <c r="D277" s="38" t="s">
        <v>774</v>
      </c>
    </row>
    <row r="278" spans="2:4">
      <c r="B278" s="3" t="s">
        <v>437</v>
      </c>
      <c r="C278" s="3">
        <v>3.79</v>
      </c>
      <c r="D278" s="38" t="s">
        <v>775</v>
      </c>
    </row>
    <row r="279" spans="2:4">
      <c r="B279" s="3" t="s">
        <v>440</v>
      </c>
      <c r="C279" s="3">
        <v>3.73</v>
      </c>
      <c r="D279" s="38" t="s">
        <v>775</v>
      </c>
    </row>
    <row r="280" spans="2:4">
      <c r="B280" s="3" t="s">
        <v>441</v>
      </c>
      <c r="C280" s="3">
        <v>3.49</v>
      </c>
      <c r="D280" s="38" t="s">
        <v>775</v>
      </c>
    </row>
    <row r="281" spans="2:4">
      <c r="B281" s="3" t="s">
        <v>443</v>
      </c>
      <c r="C281" s="3">
        <v>3.08</v>
      </c>
      <c r="D281" s="38" t="s">
        <v>775</v>
      </c>
    </row>
    <row r="282" spans="2:4">
      <c r="B282" s="3" t="s">
        <v>445</v>
      </c>
      <c r="C282" s="3">
        <v>2.88</v>
      </c>
      <c r="D282" s="38" t="s">
        <v>775</v>
      </c>
    </row>
    <row r="283" spans="2:4">
      <c r="B283" s="3" t="s">
        <v>447</v>
      </c>
      <c r="C283" s="3">
        <v>2.8</v>
      </c>
      <c r="D283" s="38" t="s">
        <v>775</v>
      </c>
    </row>
    <row r="284" spans="2:4">
      <c r="B284" s="3" t="s">
        <v>450</v>
      </c>
      <c r="C284" s="3">
        <v>2.63</v>
      </c>
      <c r="D284" s="38" t="s">
        <v>775</v>
      </c>
    </row>
    <row r="285" spans="2:4">
      <c r="B285" s="3" t="s">
        <v>451</v>
      </c>
      <c r="C285" s="3">
        <v>2.6</v>
      </c>
      <c r="D285" s="38" t="s">
        <v>775</v>
      </c>
    </row>
    <row r="286" spans="2:4">
      <c r="B286" s="3" t="s">
        <v>452</v>
      </c>
      <c r="C286" s="3">
        <v>2.41</v>
      </c>
      <c r="D286" s="38" t="s">
        <v>775</v>
      </c>
    </row>
    <row r="287" spans="2:4">
      <c r="B287" s="3" t="s">
        <v>453</v>
      </c>
      <c r="C287" s="3">
        <v>2.2200000000000002</v>
      </c>
      <c r="D287" s="38" t="s">
        <v>775</v>
      </c>
    </row>
    <row r="288" spans="2:4">
      <c r="B288" s="3" t="s">
        <v>26</v>
      </c>
      <c r="C288" s="3">
        <v>2.19</v>
      </c>
      <c r="D288" s="38" t="s">
        <v>775</v>
      </c>
    </row>
    <row r="289" spans="2:4">
      <c r="B289" s="3" t="s">
        <v>454</v>
      </c>
      <c r="C289" s="3">
        <v>2.12</v>
      </c>
      <c r="D289" s="38" t="s">
        <v>775</v>
      </c>
    </row>
    <row r="290" spans="2:4">
      <c r="B290" s="3" t="s">
        <v>455</v>
      </c>
      <c r="C290" s="3">
        <v>2.08</v>
      </c>
      <c r="D290" s="38" t="s">
        <v>775</v>
      </c>
    </row>
    <row r="291" spans="2:4">
      <c r="B291" s="3" t="s">
        <v>456</v>
      </c>
      <c r="C291" s="3">
        <v>2.08</v>
      </c>
      <c r="D291" s="38" t="s">
        <v>775</v>
      </c>
    </row>
    <row r="292" spans="2:4">
      <c r="B292" s="3" t="s">
        <v>457</v>
      </c>
      <c r="C292" s="3">
        <v>2.0699999999999998</v>
      </c>
      <c r="D292" s="38" t="s">
        <v>775</v>
      </c>
    </row>
    <row r="293" spans="2:4">
      <c r="B293" s="3" t="s">
        <v>458</v>
      </c>
      <c r="C293" s="3">
        <v>2.0499999999999998</v>
      </c>
      <c r="D293" s="38" t="s">
        <v>775</v>
      </c>
    </row>
    <row r="294" spans="2:4">
      <c r="B294" s="3" t="s">
        <v>460</v>
      </c>
      <c r="C294" s="3">
        <v>2.0499999999999998</v>
      </c>
      <c r="D294" s="38" t="s">
        <v>775</v>
      </c>
    </row>
    <row r="295" spans="2:4">
      <c r="B295" s="3" t="s">
        <v>461</v>
      </c>
      <c r="C295" s="3">
        <v>1.99</v>
      </c>
      <c r="D295" s="38" t="s">
        <v>775</v>
      </c>
    </row>
    <row r="296" spans="2:4">
      <c r="B296" s="3" t="s">
        <v>462</v>
      </c>
      <c r="C296" s="3">
        <v>1.99</v>
      </c>
      <c r="D296" s="38" t="s">
        <v>775</v>
      </c>
    </row>
    <row r="297" spans="2:4">
      <c r="B297" s="3" t="s">
        <v>463</v>
      </c>
      <c r="C297" s="3">
        <v>1.94</v>
      </c>
      <c r="D297" s="38" t="s">
        <v>775</v>
      </c>
    </row>
    <row r="298" spans="2:4">
      <c r="B298" s="3" t="s">
        <v>464</v>
      </c>
      <c r="C298" s="3">
        <v>1.91</v>
      </c>
      <c r="D298" s="38" t="s">
        <v>775</v>
      </c>
    </row>
    <row r="299" spans="2:4">
      <c r="B299" s="3" t="s">
        <v>465</v>
      </c>
      <c r="C299" s="3">
        <v>1.9</v>
      </c>
      <c r="D299" s="38" t="s">
        <v>775</v>
      </c>
    </row>
    <row r="300" spans="2:4">
      <c r="B300" s="3" t="s">
        <v>466</v>
      </c>
      <c r="C300" s="3">
        <v>1.87</v>
      </c>
      <c r="D300" s="38" t="s">
        <v>775</v>
      </c>
    </row>
    <row r="301" spans="2:4">
      <c r="B301" s="3" t="s">
        <v>467</v>
      </c>
      <c r="C301" s="3">
        <v>1.84</v>
      </c>
      <c r="D301" s="38" t="s">
        <v>775</v>
      </c>
    </row>
    <row r="302" spans="2:4">
      <c r="B302" s="3" t="s">
        <v>468</v>
      </c>
      <c r="C302" s="3">
        <v>1.8</v>
      </c>
      <c r="D302" s="38" t="s">
        <v>775</v>
      </c>
    </row>
    <row r="303" spans="2:4">
      <c r="B303" s="3" t="s">
        <v>469</v>
      </c>
      <c r="C303" s="3">
        <v>1.74</v>
      </c>
      <c r="D303" s="38" t="s">
        <v>775</v>
      </c>
    </row>
    <row r="304" spans="2:4">
      <c r="B304" s="3" t="s">
        <v>470</v>
      </c>
      <c r="C304" s="3">
        <v>1.67</v>
      </c>
      <c r="D304" s="38" t="s">
        <v>775</v>
      </c>
    </row>
    <row r="305" spans="2:4">
      <c r="B305" s="3" t="s">
        <v>471</v>
      </c>
      <c r="C305" s="3">
        <v>1.66</v>
      </c>
      <c r="D305" s="38" t="s">
        <v>775</v>
      </c>
    </row>
    <row r="306" spans="2:4">
      <c r="B306" s="3" t="s">
        <v>472</v>
      </c>
      <c r="C306" s="3">
        <v>1.64</v>
      </c>
      <c r="D306" s="38" t="s">
        <v>775</v>
      </c>
    </row>
    <row r="307" spans="2:4">
      <c r="B307" s="3" t="s">
        <v>473</v>
      </c>
      <c r="C307" s="3">
        <v>1.62</v>
      </c>
      <c r="D307" s="38" t="s">
        <v>775</v>
      </c>
    </row>
    <row r="308" spans="2:4">
      <c r="B308" s="3" t="s">
        <v>474</v>
      </c>
      <c r="C308" s="3">
        <v>1.6</v>
      </c>
      <c r="D308" s="38" t="s">
        <v>775</v>
      </c>
    </row>
    <row r="309" spans="2:4">
      <c r="B309" s="3" t="s">
        <v>475</v>
      </c>
      <c r="C309" s="3">
        <v>1.6</v>
      </c>
      <c r="D309" s="38" t="s">
        <v>775</v>
      </c>
    </row>
    <row r="310" spans="2:4">
      <c r="B310" s="3" t="s">
        <v>476</v>
      </c>
      <c r="C310" s="3">
        <v>1.58</v>
      </c>
      <c r="D310" s="38" t="s">
        <v>775</v>
      </c>
    </row>
    <row r="311" spans="2:4">
      <c r="B311" s="3" t="s">
        <v>477</v>
      </c>
      <c r="C311" s="3">
        <v>1.57</v>
      </c>
      <c r="D311" s="38" t="s">
        <v>775</v>
      </c>
    </row>
    <row r="312" spans="2:4">
      <c r="B312" s="3" t="s">
        <v>478</v>
      </c>
      <c r="C312" s="3">
        <v>1.52</v>
      </c>
      <c r="D312" s="38" t="s">
        <v>775</v>
      </c>
    </row>
    <row r="313" spans="2:4">
      <c r="B313" s="3" t="s">
        <v>479</v>
      </c>
      <c r="C313" s="3">
        <v>1.52</v>
      </c>
      <c r="D313" s="38" t="s">
        <v>775</v>
      </c>
    </row>
    <row r="314" spans="2:4">
      <c r="B314" s="3" t="s">
        <v>480</v>
      </c>
      <c r="C314" s="3">
        <v>1.48</v>
      </c>
      <c r="D314" s="38" t="s">
        <v>775</v>
      </c>
    </row>
    <row r="315" spans="2:4">
      <c r="B315" s="3" t="s">
        <v>481</v>
      </c>
      <c r="C315" s="3">
        <v>1.43</v>
      </c>
      <c r="D315" s="38" t="s">
        <v>775</v>
      </c>
    </row>
    <row r="316" spans="2:4">
      <c r="B316" s="3" t="s">
        <v>482</v>
      </c>
      <c r="C316" s="3">
        <v>1.36</v>
      </c>
      <c r="D316" s="38" t="s">
        <v>775</v>
      </c>
    </row>
    <row r="317" spans="2:4">
      <c r="B317" s="3" t="s">
        <v>483</v>
      </c>
      <c r="C317" s="3">
        <v>1.28</v>
      </c>
      <c r="D317" s="38" t="s">
        <v>775</v>
      </c>
    </row>
    <row r="318" spans="2:4">
      <c r="B318" s="3" t="s">
        <v>484</v>
      </c>
      <c r="C318" s="3">
        <v>1.27</v>
      </c>
      <c r="D318" s="38" t="s">
        <v>775</v>
      </c>
    </row>
    <row r="319" spans="2:4">
      <c r="B319" s="3" t="s">
        <v>485</v>
      </c>
      <c r="C319" s="3">
        <v>1.24</v>
      </c>
      <c r="D319" s="38" t="s">
        <v>775</v>
      </c>
    </row>
    <row r="320" spans="2:4">
      <c r="B320" s="3" t="s">
        <v>486</v>
      </c>
      <c r="C320" s="3">
        <v>1.21</v>
      </c>
      <c r="D320" s="38" t="s">
        <v>775</v>
      </c>
    </row>
    <row r="321" spans="2:4">
      <c r="B321" s="3" t="s">
        <v>487</v>
      </c>
      <c r="C321" s="3">
        <v>1.2</v>
      </c>
      <c r="D321" s="38" t="s">
        <v>775</v>
      </c>
    </row>
    <row r="322" spans="2:4">
      <c r="B322" s="3" t="s">
        <v>488</v>
      </c>
      <c r="C322" s="3">
        <v>1.18</v>
      </c>
      <c r="D322" s="38" t="s">
        <v>775</v>
      </c>
    </row>
    <row r="323" spans="2:4">
      <c r="B323" s="3" t="s">
        <v>489</v>
      </c>
      <c r="C323" s="3">
        <v>1.1399999999999999</v>
      </c>
      <c r="D323" s="38" t="s">
        <v>775</v>
      </c>
    </row>
    <row r="324" spans="2:4">
      <c r="B324" s="3" t="s">
        <v>490</v>
      </c>
      <c r="C324" s="3">
        <v>1.06</v>
      </c>
      <c r="D324" s="38" t="s">
        <v>775</v>
      </c>
    </row>
    <row r="325" spans="2:4">
      <c r="B325" s="3" t="s">
        <v>491</v>
      </c>
      <c r="C325" s="3">
        <v>1.02</v>
      </c>
      <c r="D325" s="38" t="s">
        <v>775</v>
      </c>
    </row>
    <row r="326" spans="2:4">
      <c r="B326" s="3" t="s">
        <v>427</v>
      </c>
      <c r="C326" s="3">
        <v>0.99</v>
      </c>
      <c r="D326" s="38" t="s">
        <v>775</v>
      </c>
    </row>
    <row r="327" spans="2:4">
      <c r="B327" s="3" t="s">
        <v>87</v>
      </c>
      <c r="C327" s="23">
        <v>4.2200000000000001E-2</v>
      </c>
      <c r="D327" s="38" t="s">
        <v>776</v>
      </c>
    </row>
    <row r="328" spans="2:4">
      <c r="B328" s="3" t="s">
        <v>507</v>
      </c>
      <c r="C328" s="23">
        <v>4.0300000000000002E-2</v>
      </c>
      <c r="D328" s="38" t="s">
        <v>776</v>
      </c>
    </row>
    <row r="329" spans="2:4">
      <c r="B329" s="3" t="s">
        <v>508</v>
      </c>
      <c r="C329" s="23">
        <v>2.98E-2</v>
      </c>
      <c r="D329" s="38" t="s">
        <v>776</v>
      </c>
    </row>
    <row r="330" spans="2:4">
      <c r="B330" s="3" t="s">
        <v>509</v>
      </c>
      <c r="C330" s="23">
        <v>2.9100000000000001E-2</v>
      </c>
      <c r="D330" s="38" t="s">
        <v>776</v>
      </c>
    </row>
    <row r="331" spans="2:4">
      <c r="B331" s="3" t="s">
        <v>511</v>
      </c>
      <c r="C331" s="23">
        <v>2.7900000000000001E-2</v>
      </c>
      <c r="D331" s="38" t="s">
        <v>776</v>
      </c>
    </row>
    <row r="332" spans="2:4">
      <c r="B332" s="3" t="s">
        <v>120</v>
      </c>
      <c r="C332" s="23">
        <v>2.6700000000000002E-2</v>
      </c>
      <c r="D332" s="38" t="s">
        <v>776</v>
      </c>
    </row>
    <row r="333" spans="2:4">
      <c r="B333" s="3" t="s">
        <v>514</v>
      </c>
      <c r="C333" s="23">
        <v>2.5499999999999998E-2</v>
      </c>
      <c r="D333" s="38" t="s">
        <v>776</v>
      </c>
    </row>
    <row r="334" spans="2:4">
      <c r="B334" s="3" t="s">
        <v>81</v>
      </c>
      <c r="C334" s="23">
        <v>2.3699999999999999E-2</v>
      </c>
      <c r="D334" s="38" t="s">
        <v>776</v>
      </c>
    </row>
    <row r="335" spans="2:4">
      <c r="B335" s="3" t="s">
        <v>517</v>
      </c>
      <c r="C335" s="23">
        <v>2.2700000000000001E-2</v>
      </c>
      <c r="D335" s="38" t="s">
        <v>776</v>
      </c>
    </row>
    <row r="336" spans="2:4">
      <c r="B336" s="3" t="s">
        <v>519</v>
      </c>
      <c r="C336" s="23">
        <v>2.2200000000000001E-2</v>
      </c>
      <c r="D336" s="38" t="s">
        <v>776</v>
      </c>
    </row>
    <row r="337" spans="2:4">
      <c r="B337" s="3" t="s">
        <v>522</v>
      </c>
      <c r="C337" s="23">
        <v>2.1399999999999999E-2</v>
      </c>
      <c r="D337" s="38" t="s">
        <v>776</v>
      </c>
    </row>
    <row r="338" spans="2:4">
      <c r="B338" s="3" t="s">
        <v>525</v>
      </c>
      <c r="C338" s="23">
        <v>2.1299999999999999E-2</v>
      </c>
      <c r="D338" s="38" t="s">
        <v>776</v>
      </c>
    </row>
    <row r="339" spans="2:4">
      <c r="B339" s="3" t="s">
        <v>526</v>
      </c>
      <c r="C339" s="23">
        <v>2.1000000000000001E-2</v>
      </c>
      <c r="D339" s="38" t="s">
        <v>776</v>
      </c>
    </row>
    <row r="340" spans="2:4">
      <c r="B340" s="3" t="s">
        <v>527</v>
      </c>
      <c r="C340" s="23">
        <v>2.1000000000000001E-2</v>
      </c>
      <c r="D340" s="38" t="s">
        <v>776</v>
      </c>
    </row>
    <row r="341" spans="2:4">
      <c r="B341" s="3" t="s">
        <v>167</v>
      </c>
      <c r="C341" s="23">
        <v>2.0500000000000001E-2</v>
      </c>
      <c r="D341" s="38" t="s">
        <v>776</v>
      </c>
    </row>
    <row r="342" spans="2:4">
      <c r="B342" s="3" t="s">
        <v>528</v>
      </c>
      <c r="C342" s="23">
        <v>2.0400000000000001E-2</v>
      </c>
      <c r="D342" s="38" t="s">
        <v>776</v>
      </c>
    </row>
    <row r="343" spans="2:4">
      <c r="B343" s="3" t="s">
        <v>489</v>
      </c>
      <c r="C343" s="23">
        <v>1.9400000000000001E-2</v>
      </c>
      <c r="D343" s="38" t="s">
        <v>776</v>
      </c>
    </row>
    <row r="344" spans="2:4">
      <c r="B344" s="3" t="s">
        <v>534</v>
      </c>
      <c r="C344" s="23">
        <v>1.9400000000000001E-2</v>
      </c>
      <c r="D344" s="38" t="s">
        <v>776</v>
      </c>
    </row>
    <row r="345" spans="2:4">
      <c r="B345" s="3" t="s">
        <v>536</v>
      </c>
      <c r="C345" s="23">
        <v>1.9199999999999998E-2</v>
      </c>
      <c r="D345" s="38" t="s">
        <v>776</v>
      </c>
    </row>
    <row r="346" spans="2:4">
      <c r="B346" s="3" t="s">
        <v>538</v>
      </c>
      <c r="C346" s="23">
        <v>1.7600000000000001E-2</v>
      </c>
      <c r="D346" s="38" t="s">
        <v>776</v>
      </c>
    </row>
    <row r="347" spans="2:4">
      <c r="B347" s="3" t="s">
        <v>540</v>
      </c>
      <c r="C347" s="23">
        <v>1.7000000000000001E-2</v>
      </c>
      <c r="D347" s="38" t="s">
        <v>776</v>
      </c>
    </row>
    <row r="348" spans="2:4">
      <c r="B348" s="3" t="s">
        <v>542</v>
      </c>
      <c r="C348" s="23">
        <v>1.66E-2</v>
      </c>
      <c r="D348" s="38" t="s">
        <v>776</v>
      </c>
    </row>
    <row r="349" spans="2:4">
      <c r="B349" s="3" t="s">
        <v>544</v>
      </c>
      <c r="C349" s="23">
        <v>1.6500000000000001E-2</v>
      </c>
      <c r="D349" s="38" t="s">
        <v>776</v>
      </c>
    </row>
    <row r="350" spans="2:4">
      <c r="B350" s="3" t="s">
        <v>545</v>
      </c>
      <c r="C350" s="23">
        <v>1.6400000000000001E-2</v>
      </c>
      <c r="D350" s="38" t="s">
        <v>776</v>
      </c>
    </row>
    <row r="351" spans="2:4">
      <c r="B351" s="3" t="s">
        <v>546</v>
      </c>
      <c r="C351" s="23">
        <v>1.6299999999999999E-2</v>
      </c>
      <c r="D351" s="38" t="s">
        <v>776</v>
      </c>
    </row>
    <row r="352" spans="2:4">
      <c r="B352" s="3" t="s">
        <v>547</v>
      </c>
      <c r="C352" s="23">
        <v>1.6199999999999999E-2</v>
      </c>
      <c r="D352" s="38" t="s">
        <v>776</v>
      </c>
    </row>
    <row r="353" spans="2:4">
      <c r="B353" s="3" t="s">
        <v>548</v>
      </c>
      <c r="C353" s="23">
        <v>1.6199999999999999E-2</v>
      </c>
      <c r="D353" s="38" t="s">
        <v>776</v>
      </c>
    </row>
    <row r="354" spans="2:4">
      <c r="B354" s="3" t="s">
        <v>549</v>
      </c>
      <c r="C354" s="23">
        <v>1.61E-2</v>
      </c>
      <c r="D354" s="38" t="s">
        <v>776</v>
      </c>
    </row>
    <row r="355" spans="2:4">
      <c r="B355" s="3" t="s">
        <v>550</v>
      </c>
      <c r="C355" s="23">
        <v>1.61E-2</v>
      </c>
      <c r="D355" s="38" t="s">
        <v>776</v>
      </c>
    </row>
    <row r="356" spans="2:4">
      <c r="B356" s="3" t="s">
        <v>551</v>
      </c>
      <c r="C356" s="23">
        <v>1.5699999999999999E-2</v>
      </c>
      <c r="D356" s="38" t="s">
        <v>776</v>
      </c>
    </row>
    <row r="357" spans="2:4">
      <c r="B357" s="3" t="s">
        <v>552</v>
      </c>
      <c r="C357" s="23">
        <v>1.55E-2</v>
      </c>
      <c r="D357" s="38" t="s">
        <v>776</v>
      </c>
    </row>
    <row r="358" spans="2:4">
      <c r="B358" s="3" t="s">
        <v>467</v>
      </c>
      <c r="C358" s="23">
        <v>1.47E-2</v>
      </c>
      <c r="D358" s="38" t="s">
        <v>776</v>
      </c>
    </row>
    <row r="359" spans="2:4">
      <c r="B359" s="3" t="s">
        <v>112</v>
      </c>
      <c r="C359" s="23">
        <v>1.41E-2</v>
      </c>
      <c r="D359" s="38" t="s">
        <v>776</v>
      </c>
    </row>
    <row r="360" spans="2:4">
      <c r="B360" s="3" t="s">
        <v>553</v>
      </c>
      <c r="C360" s="23">
        <v>1.3899999999999999E-2</v>
      </c>
      <c r="D360" s="38" t="s">
        <v>776</v>
      </c>
    </row>
    <row r="361" spans="2:4">
      <c r="B361" s="3" t="s">
        <v>554</v>
      </c>
      <c r="C361" s="23">
        <v>1.2999999999999999E-2</v>
      </c>
      <c r="D361" s="38" t="s">
        <v>776</v>
      </c>
    </row>
    <row r="362" spans="2:4">
      <c r="B362" s="3" t="s">
        <v>26</v>
      </c>
      <c r="C362" s="23">
        <v>1.2800000000000001E-2</v>
      </c>
      <c r="D362" s="38" t="s">
        <v>776</v>
      </c>
    </row>
    <row r="363" spans="2:4">
      <c r="B363" s="3" t="s">
        <v>555</v>
      </c>
      <c r="C363" s="23">
        <v>1.2500000000000001E-2</v>
      </c>
      <c r="D363" s="38" t="s">
        <v>776</v>
      </c>
    </row>
    <row r="364" spans="2:4">
      <c r="B364" s="3" t="s">
        <v>556</v>
      </c>
      <c r="C364" s="23">
        <v>1.21E-2</v>
      </c>
      <c r="D364" s="38" t="s">
        <v>776</v>
      </c>
    </row>
    <row r="365" spans="2:4">
      <c r="B365" s="3" t="s">
        <v>557</v>
      </c>
      <c r="C365" s="23">
        <v>1.2E-2</v>
      </c>
      <c r="D365" s="38" t="s">
        <v>776</v>
      </c>
    </row>
    <row r="366" spans="2:4">
      <c r="B366" s="3" t="s">
        <v>558</v>
      </c>
      <c r="C366" s="23">
        <v>1.2E-2</v>
      </c>
      <c r="D366" s="38" t="s">
        <v>776</v>
      </c>
    </row>
    <row r="367" spans="2:4">
      <c r="B367" s="3" t="s">
        <v>559</v>
      </c>
      <c r="C367" s="23">
        <v>1.18E-2</v>
      </c>
      <c r="D367" s="38" t="s">
        <v>776</v>
      </c>
    </row>
    <row r="368" spans="2:4">
      <c r="B368" s="3" t="s">
        <v>560</v>
      </c>
      <c r="C368" s="23">
        <v>1.18E-2</v>
      </c>
      <c r="D368" s="38" t="s">
        <v>776</v>
      </c>
    </row>
    <row r="369" spans="2:4">
      <c r="B369" s="3" t="s">
        <v>561</v>
      </c>
      <c r="C369" s="23">
        <v>1.1599999999999999E-2</v>
      </c>
      <c r="D369" s="38" t="s">
        <v>776</v>
      </c>
    </row>
    <row r="370" spans="2:4">
      <c r="B370" s="3" t="s">
        <v>562</v>
      </c>
      <c r="C370" s="23">
        <v>1.06E-2</v>
      </c>
      <c r="D370" s="38" t="s">
        <v>776</v>
      </c>
    </row>
    <row r="371" spans="2:4">
      <c r="B371" s="3" t="s">
        <v>563</v>
      </c>
      <c r="C371" s="23">
        <v>0.01</v>
      </c>
      <c r="D371" s="38" t="s">
        <v>776</v>
      </c>
    </row>
    <row r="372" spans="2:4">
      <c r="B372" s="3" t="s">
        <v>564</v>
      </c>
      <c r="C372" s="23">
        <v>9.5999999999999992E-3</v>
      </c>
      <c r="D372" s="38" t="s">
        <v>776</v>
      </c>
    </row>
    <row r="373" spans="2:4">
      <c r="B373" s="3" t="s">
        <v>565</v>
      </c>
      <c r="C373" s="23">
        <v>9.1999999999999998E-3</v>
      </c>
      <c r="D373" s="38" t="s">
        <v>776</v>
      </c>
    </row>
    <row r="374" spans="2:4">
      <c r="B374" s="3" t="s">
        <v>566</v>
      </c>
      <c r="C374" s="23">
        <v>9.1000000000000004E-3</v>
      </c>
      <c r="D374" s="38" t="s">
        <v>776</v>
      </c>
    </row>
    <row r="375" spans="2:4">
      <c r="B375" s="3" t="s">
        <v>567</v>
      </c>
      <c r="C375" s="23">
        <v>8.8999999999999999E-3</v>
      </c>
      <c r="D375" s="38" t="s">
        <v>776</v>
      </c>
    </row>
    <row r="376" spans="2:4">
      <c r="B376" s="3" t="s">
        <v>568</v>
      </c>
      <c r="C376" s="23">
        <v>8.6999999999999994E-3</v>
      </c>
      <c r="D376" s="38" t="s">
        <v>776</v>
      </c>
    </row>
    <row r="377" spans="2:4">
      <c r="B377" s="3" t="s">
        <v>569</v>
      </c>
      <c r="C377" s="23">
        <v>8.5000000000000006E-3</v>
      </c>
      <c r="D377" s="38" t="s">
        <v>776</v>
      </c>
    </row>
    <row r="378" spans="2:4">
      <c r="B378" s="3" t="s">
        <v>570</v>
      </c>
      <c r="C378" s="23">
        <v>8.0999999999999996E-3</v>
      </c>
      <c r="D378" s="38" t="s">
        <v>776</v>
      </c>
    </row>
    <row r="379" spans="2:4">
      <c r="B379" s="3" t="s">
        <v>571</v>
      </c>
      <c r="C379" s="23">
        <v>8.0000000000000002E-3</v>
      </c>
      <c r="D379" s="38" t="s">
        <v>776</v>
      </c>
    </row>
    <row r="380" spans="2:4">
      <c r="B380" s="3" t="s">
        <v>572</v>
      </c>
      <c r="C380" s="23">
        <v>8.0000000000000002E-3</v>
      </c>
      <c r="D380" s="38" t="s">
        <v>776</v>
      </c>
    </row>
    <row r="381" spans="2:4">
      <c r="B381" s="3" t="s">
        <v>573</v>
      </c>
      <c r="C381" s="23">
        <v>7.4999999999999997E-3</v>
      </c>
      <c r="D381" s="38" t="s">
        <v>776</v>
      </c>
    </row>
    <row r="382" spans="2:4">
      <c r="B382" s="3" t="s">
        <v>574</v>
      </c>
      <c r="C382" s="23">
        <v>7.0000000000000001E-3</v>
      </c>
      <c r="D382" s="38" t="s">
        <v>776</v>
      </c>
    </row>
    <row r="383" spans="2:4">
      <c r="B383" s="3" t="s">
        <v>575</v>
      </c>
      <c r="C383" s="23">
        <v>6.8999999999999999E-3</v>
      </c>
      <c r="D383" s="38" t="s">
        <v>776</v>
      </c>
    </row>
    <row r="384" spans="2:4">
      <c r="B384" s="3" t="s">
        <v>576</v>
      </c>
      <c r="C384" s="23">
        <v>6.7999999999999996E-3</v>
      </c>
      <c r="D384" s="38" t="s">
        <v>776</v>
      </c>
    </row>
    <row r="385" spans="2:4">
      <c r="B385" s="3" t="s">
        <v>577</v>
      </c>
      <c r="C385" s="23">
        <v>6.4999999999999997E-3</v>
      </c>
      <c r="D385" s="38" t="s">
        <v>776</v>
      </c>
    </row>
    <row r="386" spans="2:4">
      <c r="B386" s="3" t="s">
        <v>578</v>
      </c>
      <c r="C386" s="23">
        <v>6.3E-3</v>
      </c>
      <c r="D386" s="38" t="s">
        <v>776</v>
      </c>
    </row>
    <row r="387" spans="2:4">
      <c r="B387" s="3" t="s">
        <v>579</v>
      </c>
      <c r="C387" s="23">
        <v>5.8999999999999999E-3</v>
      </c>
      <c r="D387" s="38" t="s">
        <v>776</v>
      </c>
    </row>
    <row r="388" spans="2:4">
      <c r="B388" s="3" t="s">
        <v>580</v>
      </c>
      <c r="C388" s="23">
        <v>5.7000000000000002E-3</v>
      </c>
      <c r="D388" s="38" t="s">
        <v>776</v>
      </c>
    </row>
    <row r="389" spans="2:4">
      <c r="B389" s="3" t="s">
        <v>581</v>
      </c>
      <c r="C389" s="23">
        <v>4.1999999999999997E-3</v>
      </c>
      <c r="D389" s="38" t="s">
        <v>776</v>
      </c>
    </row>
    <row r="390" spans="2:4">
      <c r="B390" s="3" t="s">
        <v>582</v>
      </c>
      <c r="C390" s="23">
        <v>3.5000000000000001E-3</v>
      </c>
      <c r="D390" s="38" t="s">
        <v>776</v>
      </c>
    </row>
    <row r="391" spans="2:4">
      <c r="B391" s="3" t="s">
        <v>583</v>
      </c>
      <c r="C391" s="23">
        <v>1.8E-3</v>
      </c>
      <c r="D391" s="38" t="s">
        <v>776</v>
      </c>
    </row>
    <row r="392" spans="2:4">
      <c r="B392" s="3" t="s">
        <v>584</v>
      </c>
      <c r="C392" s="23">
        <v>1.2999999999999999E-3</v>
      </c>
      <c r="D392" s="38" t="s">
        <v>776</v>
      </c>
    </row>
    <row r="393" spans="2:4">
      <c r="B393" s="3" t="s">
        <v>585</v>
      </c>
      <c r="C393" s="23">
        <v>5.0000000000000001E-4</v>
      </c>
      <c r="D393" s="38" t="s">
        <v>776</v>
      </c>
    </row>
    <row r="394" spans="2:4">
      <c r="B394" s="3" t="s">
        <v>586</v>
      </c>
      <c r="C394" s="23">
        <v>5.0000000000000001E-4</v>
      </c>
      <c r="D394" s="38" t="s">
        <v>776</v>
      </c>
    </row>
    <row r="395" spans="2:4">
      <c r="B395" s="3" t="s">
        <v>587</v>
      </c>
      <c r="C395" s="23">
        <v>1.6899999999999998E-2</v>
      </c>
      <c r="D395" s="38" t="s">
        <v>776</v>
      </c>
    </row>
    <row r="396" spans="2:4" ht="14.4">
      <c r="B396" s="6" t="s">
        <v>594</v>
      </c>
      <c r="C396" s="33">
        <v>5.2299999999999999E-2</v>
      </c>
      <c r="D396" s="38" t="s">
        <v>777</v>
      </c>
    </row>
    <row r="397" spans="2:4" ht="14.4">
      <c r="B397" s="6" t="s">
        <v>596</v>
      </c>
      <c r="C397" s="33">
        <v>9.5999999999999992E-3</v>
      </c>
      <c r="D397" s="38" t="s">
        <v>777</v>
      </c>
    </row>
    <row r="398" spans="2:4" ht="14.4">
      <c r="B398" s="6" t="s">
        <v>47</v>
      </c>
      <c r="C398" s="33">
        <v>4.2900000000000001E-2</v>
      </c>
      <c r="D398" s="38" t="s">
        <v>777</v>
      </c>
    </row>
    <row r="399" spans="2:4" ht="14.4">
      <c r="B399" s="6" t="s">
        <v>53</v>
      </c>
      <c r="C399" s="33">
        <v>2.2599999999999999E-2</v>
      </c>
      <c r="D399" s="38" t="s">
        <v>777</v>
      </c>
    </row>
    <row r="400" spans="2:4" ht="14.4">
      <c r="B400" s="6" t="s">
        <v>597</v>
      </c>
      <c r="C400" s="33">
        <v>3.0800000000000001E-2</v>
      </c>
      <c r="D400" s="38" t="s">
        <v>777</v>
      </c>
    </row>
    <row r="401" spans="2:4" ht="14.4">
      <c r="B401" s="6" t="s">
        <v>502</v>
      </c>
      <c r="C401" s="33">
        <v>3.9800000000000002E-2</v>
      </c>
      <c r="D401" s="38" t="s">
        <v>777</v>
      </c>
    </row>
    <row r="402" spans="2:4" ht="14.4">
      <c r="B402" s="6" t="s">
        <v>599</v>
      </c>
      <c r="C402" s="33">
        <v>3.5799999999999998E-2</v>
      </c>
      <c r="D402" s="38" t="s">
        <v>777</v>
      </c>
    </row>
    <row r="403" spans="2:4" ht="14.4">
      <c r="B403" s="6" t="s">
        <v>600</v>
      </c>
      <c r="C403" s="33">
        <v>2.52E-2</v>
      </c>
      <c r="D403" s="38" t="s">
        <v>777</v>
      </c>
    </row>
    <row r="404" spans="2:4" ht="14.4">
      <c r="B404" s="6" t="s">
        <v>601</v>
      </c>
      <c r="C404" s="33">
        <v>1.47E-2</v>
      </c>
      <c r="D404" s="38" t="s">
        <v>777</v>
      </c>
    </row>
    <row r="405" spans="2:4" ht="14.4">
      <c r="B405" s="6" t="s">
        <v>602</v>
      </c>
      <c r="C405" s="33">
        <v>2.4799999999999999E-2</v>
      </c>
      <c r="D405" s="38" t="s">
        <v>777</v>
      </c>
    </row>
    <row r="406" spans="2:4" ht="14.4">
      <c r="B406" s="6" t="s">
        <v>603</v>
      </c>
      <c r="C406" s="33">
        <v>5.9799999999999999E-2</v>
      </c>
      <c r="D406" s="38" t="s">
        <v>777</v>
      </c>
    </row>
    <row r="407" spans="2:4" ht="14.4">
      <c r="B407" s="6" t="s">
        <v>604</v>
      </c>
      <c r="C407" s="33">
        <v>5.8200000000000002E-2</v>
      </c>
      <c r="D407" s="38" t="s">
        <v>777</v>
      </c>
    </row>
    <row r="408" spans="2:4" ht="14.4">
      <c r="B408" s="6" t="s">
        <v>605</v>
      </c>
      <c r="C408" s="33">
        <v>2.63E-2</v>
      </c>
      <c r="D408" s="38" t="s">
        <v>777</v>
      </c>
    </row>
    <row r="409" spans="2:4" ht="14.4">
      <c r="B409" s="6" t="s">
        <v>607</v>
      </c>
      <c r="C409" s="33">
        <v>2.46E-2</v>
      </c>
      <c r="D409" s="38" t="s">
        <v>777</v>
      </c>
    </row>
    <row r="410" spans="2:4" ht="14.4">
      <c r="B410" s="6" t="s">
        <v>608</v>
      </c>
      <c r="C410" s="33">
        <v>4.2200000000000001E-2</v>
      </c>
      <c r="D410" s="38" t="s">
        <v>777</v>
      </c>
    </row>
    <row r="411" spans="2:4" ht="14.4">
      <c r="B411" s="6" t="s">
        <v>609</v>
      </c>
      <c r="C411" s="33">
        <v>1.6299999999999999E-2</v>
      </c>
      <c r="D411" s="38" t="s">
        <v>777</v>
      </c>
    </row>
    <row r="412" spans="2:4" ht="14.4">
      <c r="B412" s="6" t="s">
        <v>610</v>
      </c>
      <c r="C412" s="33">
        <v>6.1199999999999997E-2</v>
      </c>
      <c r="D412" s="38" t="s">
        <v>777</v>
      </c>
    </row>
    <row r="413" spans="2:4" ht="14.4">
      <c r="B413" s="6" t="s">
        <v>611</v>
      </c>
      <c r="C413" s="33">
        <v>7.2900000000000006E-2</v>
      </c>
      <c r="D413" s="38" t="s">
        <v>777</v>
      </c>
    </row>
    <row r="414" spans="2:4" ht="14.4">
      <c r="B414" s="6" t="s">
        <v>612</v>
      </c>
      <c r="C414" s="33">
        <v>2.1299999999999999E-2</v>
      </c>
      <c r="D414" s="38" t="s">
        <v>777</v>
      </c>
    </row>
    <row r="415" spans="2:4" ht="14.4">
      <c r="B415" s="6" t="s">
        <v>613</v>
      </c>
      <c r="C415" s="33">
        <v>2.81E-2</v>
      </c>
      <c r="D415" s="38" t="s">
        <v>777</v>
      </c>
    </row>
    <row r="416" spans="2:4" ht="14.4">
      <c r="B416" s="6" t="s">
        <v>216</v>
      </c>
      <c r="C416" s="33">
        <v>5.74E-2</v>
      </c>
      <c r="D416" s="38" t="s">
        <v>777</v>
      </c>
    </row>
    <row r="417" spans="2:4" ht="14.4">
      <c r="B417" s="6" t="s">
        <v>614</v>
      </c>
      <c r="C417" s="33">
        <v>3.2399999999999998E-2</v>
      </c>
      <c r="D417" s="38" t="s">
        <v>777</v>
      </c>
    </row>
    <row r="418" spans="2:4" ht="14.4">
      <c r="B418" s="6" t="s">
        <v>615</v>
      </c>
      <c r="C418" s="33">
        <v>2.01E-2</v>
      </c>
      <c r="D418" s="38" t="s">
        <v>777</v>
      </c>
    </row>
    <row r="419" spans="2:4" ht="14.4">
      <c r="B419" s="6" t="s">
        <v>616</v>
      </c>
      <c r="C419" s="33">
        <v>3.6600000000000001E-2</v>
      </c>
      <c r="D419" s="38" t="s">
        <v>777</v>
      </c>
    </row>
    <row r="420" spans="2:4" ht="14.4">
      <c r="B420" s="6" t="s">
        <v>617</v>
      </c>
      <c r="C420" s="33">
        <v>1.9800000000000002E-2</v>
      </c>
      <c r="D420" s="38" t="s">
        <v>777</v>
      </c>
    </row>
    <row r="421" spans="2:4" ht="14.4">
      <c r="B421" s="6" t="s">
        <v>618</v>
      </c>
      <c r="C421" s="33">
        <v>5.8000000000000003E-2</v>
      </c>
      <c r="D421" s="38" t="s">
        <v>777</v>
      </c>
    </row>
    <row r="422" spans="2:4">
      <c r="B422" t="s">
        <v>622</v>
      </c>
      <c r="C422" s="37">
        <v>3.8300000000000001E-2</v>
      </c>
      <c r="D422" s="38" t="s">
        <v>778</v>
      </c>
    </row>
    <row r="423" spans="2:4">
      <c r="B423" t="s">
        <v>497</v>
      </c>
      <c r="C423" s="37">
        <v>3.8199999999999998E-2</v>
      </c>
      <c r="D423" s="38" t="s">
        <v>778</v>
      </c>
    </row>
    <row r="424" spans="2:4">
      <c r="B424" t="s">
        <v>498</v>
      </c>
      <c r="C424" s="37">
        <v>3.4299999999999997E-2</v>
      </c>
      <c r="D424" s="38" t="s">
        <v>778</v>
      </c>
    </row>
    <row r="425" spans="2:4">
      <c r="B425" t="s">
        <v>499</v>
      </c>
      <c r="C425" s="37">
        <v>2.9600000000000001E-2</v>
      </c>
      <c r="D425" s="38" t="s">
        <v>778</v>
      </c>
    </row>
    <row r="426" spans="2:4">
      <c r="B426" t="s">
        <v>500</v>
      </c>
      <c r="C426" s="37">
        <v>2.5000000000000001E-2</v>
      </c>
      <c r="D426" s="38" t="s">
        <v>778</v>
      </c>
    </row>
    <row r="427" spans="2:4">
      <c r="B427" t="s">
        <v>501</v>
      </c>
      <c r="C427" s="37">
        <v>2.2499999999999999E-2</v>
      </c>
      <c r="D427" s="38" t="s">
        <v>778</v>
      </c>
    </row>
    <row r="428" spans="2:4">
      <c r="B428" t="s">
        <v>623</v>
      </c>
      <c r="C428" s="37">
        <v>2.1100000000000001E-2</v>
      </c>
      <c r="D428" s="38" t="s">
        <v>778</v>
      </c>
    </row>
    <row r="429" spans="2:4">
      <c r="B429" t="s">
        <v>503</v>
      </c>
      <c r="C429" s="37">
        <v>2.0400000000000001E-2</v>
      </c>
      <c r="D429" s="38" t="s">
        <v>778</v>
      </c>
    </row>
    <row r="430" spans="2:4">
      <c r="B430" t="s">
        <v>624</v>
      </c>
      <c r="C430" s="37">
        <v>1.8800000000000001E-2</v>
      </c>
      <c r="D430" s="38" t="s">
        <v>778</v>
      </c>
    </row>
    <row r="431" spans="2:4">
      <c r="B431" t="s">
        <v>505</v>
      </c>
      <c r="C431" s="37">
        <v>1.8700000000000001E-2</v>
      </c>
      <c r="D431" s="38" t="s">
        <v>778</v>
      </c>
    </row>
    <row r="432" spans="2:4">
      <c r="B432" t="s">
        <v>506</v>
      </c>
      <c r="C432" s="37">
        <v>1.84E-2</v>
      </c>
      <c r="D432" s="38" t="s">
        <v>778</v>
      </c>
    </row>
    <row r="433" spans="2:4">
      <c r="B433" t="s">
        <v>502</v>
      </c>
      <c r="C433" s="37">
        <v>1.7600000000000001E-2</v>
      </c>
      <c r="D433" s="38" t="s">
        <v>778</v>
      </c>
    </row>
    <row r="434" spans="2:4">
      <c r="B434" t="s">
        <v>612</v>
      </c>
      <c r="C434" s="37">
        <v>1.6E-2</v>
      </c>
      <c r="D434" s="38" t="s">
        <v>778</v>
      </c>
    </row>
    <row r="435" spans="2:4">
      <c r="B435" t="s">
        <v>519</v>
      </c>
      <c r="C435" s="37">
        <v>1.5800000000000002E-2</v>
      </c>
      <c r="D435" s="38" t="s">
        <v>778</v>
      </c>
    </row>
    <row r="436" spans="2:4">
      <c r="B436" t="s">
        <v>626</v>
      </c>
      <c r="C436" s="37">
        <v>1.5599999999999999E-2</v>
      </c>
      <c r="D436" s="38" t="s">
        <v>778</v>
      </c>
    </row>
    <row r="437" spans="2:4">
      <c r="B437" t="s">
        <v>627</v>
      </c>
      <c r="C437" s="37">
        <v>1.5599999999999999E-2</v>
      </c>
      <c r="D437" s="38" t="s">
        <v>778</v>
      </c>
    </row>
    <row r="438" spans="2:4">
      <c r="B438" t="s">
        <v>628</v>
      </c>
      <c r="C438" s="37">
        <v>1.54E-2</v>
      </c>
      <c r="D438" s="38" t="s">
        <v>778</v>
      </c>
    </row>
    <row r="439" spans="2:4">
      <c r="B439" t="s">
        <v>629</v>
      </c>
      <c r="C439" s="37">
        <v>1.47E-2</v>
      </c>
      <c r="D439" s="38" t="s">
        <v>778</v>
      </c>
    </row>
    <row r="440" spans="2:4">
      <c r="B440" t="s">
        <v>630</v>
      </c>
      <c r="C440" s="37">
        <v>1.46E-2</v>
      </c>
      <c r="D440" s="38" t="s">
        <v>778</v>
      </c>
    </row>
    <row r="441" spans="2:4">
      <c r="B441" t="s">
        <v>631</v>
      </c>
      <c r="C441" s="37">
        <v>1.44E-2</v>
      </c>
      <c r="D441" s="38" t="s">
        <v>778</v>
      </c>
    </row>
    <row r="442" spans="2:4">
      <c r="B442" t="s">
        <v>632</v>
      </c>
      <c r="C442" s="37">
        <v>1.41E-2</v>
      </c>
      <c r="D442" s="38" t="s">
        <v>778</v>
      </c>
    </row>
    <row r="443" spans="2:4">
      <c r="B443" t="s">
        <v>597</v>
      </c>
      <c r="C443" s="37">
        <v>1.4E-2</v>
      </c>
      <c r="D443" s="38" t="s">
        <v>778</v>
      </c>
    </row>
    <row r="444" spans="2:4">
      <c r="B444" t="s">
        <v>633</v>
      </c>
      <c r="C444" s="37">
        <v>1.4E-2</v>
      </c>
      <c r="D444" s="38" t="s">
        <v>778</v>
      </c>
    </row>
    <row r="445" spans="2:4">
      <c r="B445" t="s">
        <v>634</v>
      </c>
      <c r="C445" s="37">
        <v>1.4E-2</v>
      </c>
      <c r="D445" s="38" t="s">
        <v>778</v>
      </c>
    </row>
    <row r="446" spans="2:4">
      <c r="B446" t="s">
        <v>635</v>
      </c>
      <c r="C446" s="37">
        <v>1.38E-2</v>
      </c>
      <c r="D446" s="38" t="s">
        <v>778</v>
      </c>
    </row>
    <row r="447" spans="2:4">
      <c r="B447" t="s">
        <v>636</v>
      </c>
      <c r="C447" s="37">
        <v>1.32E-2</v>
      </c>
      <c r="D447" s="38" t="s">
        <v>778</v>
      </c>
    </row>
    <row r="448" spans="2:4">
      <c r="B448" t="s">
        <v>637</v>
      </c>
      <c r="C448" s="37">
        <v>1.32E-2</v>
      </c>
      <c r="D448" s="38" t="s">
        <v>778</v>
      </c>
    </row>
    <row r="449" spans="2:4">
      <c r="B449" t="s">
        <v>638</v>
      </c>
      <c r="C449" s="37">
        <v>1.2699999999999999E-2</v>
      </c>
      <c r="D449" s="38" t="s">
        <v>778</v>
      </c>
    </row>
    <row r="450" spans="2:4">
      <c r="B450" t="s">
        <v>639</v>
      </c>
      <c r="C450" s="37">
        <v>1.24E-2</v>
      </c>
      <c r="D450" s="38" t="s">
        <v>778</v>
      </c>
    </row>
    <row r="451" spans="2:4">
      <c r="B451" t="s">
        <v>640</v>
      </c>
      <c r="C451" s="37">
        <v>1.18E-2</v>
      </c>
      <c r="D451" s="38" t="s">
        <v>778</v>
      </c>
    </row>
    <row r="452" spans="2:4">
      <c r="B452" t="s">
        <v>641</v>
      </c>
      <c r="C452" s="37">
        <v>1.1599999999999999E-2</v>
      </c>
      <c r="D452" s="38" t="s">
        <v>778</v>
      </c>
    </row>
    <row r="453" spans="2:4">
      <c r="B453" t="s">
        <v>642</v>
      </c>
      <c r="C453" s="37">
        <v>1.15E-2</v>
      </c>
      <c r="D453" s="38" t="s">
        <v>778</v>
      </c>
    </row>
    <row r="454" spans="2:4">
      <c r="B454" t="s">
        <v>643</v>
      </c>
      <c r="C454" s="37">
        <v>1.14E-2</v>
      </c>
      <c r="D454" s="38" t="s">
        <v>778</v>
      </c>
    </row>
    <row r="455" spans="2:4">
      <c r="B455" t="s">
        <v>644</v>
      </c>
      <c r="C455" s="37">
        <v>1.0500000000000001E-2</v>
      </c>
      <c r="D455" s="38" t="s">
        <v>778</v>
      </c>
    </row>
    <row r="456" spans="2:4">
      <c r="B456" t="s">
        <v>600</v>
      </c>
      <c r="C456" s="37">
        <v>1.0500000000000001E-2</v>
      </c>
      <c r="D456" s="38" t="s">
        <v>778</v>
      </c>
    </row>
    <row r="457" spans="2:4">
      <c r="B457" t="s">
        <v>645</v>
      </c>
      <c r="C457" s="37">
        <v>1.0200000000000001E-2</v>
      </c>
      <c r="D457" s="38" t="s">
        <v>778</v>
      </c>
    </row>
    <row r="458" spans="2:4">
      <c r="B458" t="s">
        <v>646</v>
      </c>
      <c r="C458" s="37">
        <v>1.01E-2</v>
      </c>
      <c r="D458" s="38" t="s">
        <v>778</v>
      </c>
    </row>
    <row r="459" spans="2:4">
      <c r="B459" t="s">
        <v>647</v>
      </c>
      <c r="C459" s="37">
        <v>9.9000000000000008E-3</v>
      </c>
      <c r="D459" s="38" t="s">
        <v>778</v>
      </c>
    </row>
    <row r="460" spans="2:4">
      <c r="B460" t="s">
        <v>610</v>
      </c>
      <c r="C460" s="37">
        <v>9.7999999999999997E-3</v>
      </c>
      <c r="D460" s="38" t="s">
        <v>778</v>
      </c>
    </row>
    <row r="461" spans="2:4">
      <c r="B461" t="s">
        <v>648</v>
      </c>
      <c r="C461" s="37">
        <v>9.7999999999999997E-3</v>
      </c>
      <c r="D461" s="38" t="s">
        <v>778</v>
      </c>
    </row>
    <row r="462" spans="2:4">
      <c r="B462" t="s">
        <v>596</v>
      </c>
      <c r="C462" s="37">
        <v>9.7000000000000003E-3</v>
      </c>
      <c r="D462" s="38" t="s">
        <v>778</v>
      </c>
    </row>
    <row r="463" spans="2:4">
      <c r="B463" t="s">
        <v>649</v>
      </c>
      <c r="C463" s="37">
        <v>9.4999999999999998E-3</v>
      </c>
      <c r="D463" s="38" t="s">
        <v>778</v>
      </c>
    </row>
    <row r="464" spans="2:4">
      <c r="B464" t="s">
        <v>604</v>
      </c>
      <c r="C464" s="37">
        <v>8.9999999999999993E-3</v>
      </c>
      <c r="D464" s="38" t="s">
        <v>778</v>
      </c>
    </row>
    <row r="465" spans="2:4">
      <c r="B465" t="s">
        <v>650</v>
      </c>
      <c r="C465" s="37">
        <v>8.2000000000000007E-3</v>
      </c>
      <c r="D465" s="38" t="s">
        <v>778</v>
      </c>
    </row>
    <row r="466" spans="2:4">
      <c r="B466" t="s">
        <v>651</v>
      </c>
      <c r="C466" s="37">
        <v>7.9000000000000008E-3</v>
      </c>
      <c r="D466" s="38" t="s">
        <v>778</v>
      </c>
    </row>
    <row r="467" spans="2:4">
      <c r="B467" t="s">
        <v>652</v>
      </c>
      <c r="C467" s="37">
        <v>7.9000000000000008E-3</v>
      </c>
      <c r="D467" s="38" t="s">
        <v>778</v>
      </c>
    </row>
    <row r="468" spans="2:4">
      <c r="B468" t="s">
        <v>618</v>
      </c>
      <c r="C468" s="37">
        <v>7.7000000000000002E-3</v>
      </c>
      <c r="D468" s="38" t="s">
        <v>778</v>
      </c>
    </row>
    <row r="469" spans="2:4">
      <c r="B469" t="s">
        <v>653</v>
      </c>
      <c r="C469" s="37">
        <v>7.6E-3</v>
      </c>
      <c r="D469" s="38" t="s">
        <v>778</v>
      </c>
    </row>
    <row r="470" spans="2:4">
      <c r="B470" t="s">
        <v>654</v>
      </c>
      <c r="C470" s="37">
        <v>7.4999999999999997E-3</v>
      </c>
      <c r="D470" s="38" t="s">
        <v>778</v>
      </c>
    </row>
    <row r="471" spans="2:4">
      <c r="B471" t="s">
        <v>655</v>
      </c>
      <c r="C471" s="37">
        <v>7.4000000000000003E-3</v>
      </c>
      <c r="D471" s="38" t="s">
        <v>778</v>
      </c>
    </row>
    <row r="472" spans="2:4">
      <c r="B472" t="s">
        <v>656</v>
      </c>
      <c r="C472" s="37">
        <v>7.4000000000000003E-3</v>
      </c>
      <c r="D472" s="38" t="s">
        <v>778</v>
      </c>
    </row>
    <row r="473" spans="2:4">
      <c r="B473" t="s">
        <v>657</v>
      </c>
      <c r="C473" s="37">
        <v>7.1000000000000004E-3</v>
      </c>
      <c r="D473" s="38" t="s">
        <v>778</v>
      </c>
    </row>
    <row r="474" spans="2:4">
      <c r="B474" t="s">
        <v>658</v>
      </c>
      <c r="C474" s="37">
        <v>7.1000000000000004E-3</v>
      </c>
      <c r="D474" s="38" t="s">
        <v>778</v>
      </c>
    </row>
    <row r="475" spans="2:4">
      <c r="B475" t="s">
        <v>659</v>
      </c>
      <c r="C475" s="37">
        <v>6.8999999999999999E-3</v>
      </c>
      <c r="D475" s="38" t="s">
        <v>778</v>
      </c>
    </row>
    <row r="476" spans="2:4">
      <c r="B476" t="s">
        <v>660</v>
      </c>
      <c r="C476" s="37">
        <v>6.6E-3</v>
      </c>
      <c r="D476" s="38" t="s">
        <v>778</v>
      </c>
    </row>
    <row r="477" spans="2:4">
      <c r="B477" t="s">
        <v>661</v>
      </c>
      <c r="C477" s="37">
        <v>6.4999999999999997E-3</v>
      </c>
      <c r="D477" s="38" t="s">
        <v>778</v>
      </c>
    </row>
    <row r="478" spans="2:4">
      <c r="B478" t="s">
        <v>662</v>
      </c>
      <c r="C478" s="37">
        <v>6.1000000000000004E-3</v>
      </c>
      <c r="D478" s="38" t="s">
        <v>778</v>
      </c>
    </row>
    <row r="479" spans="2:4">
      <c r="B479" t="s">
        <v>663</v>
      </c>
      <c r="C479" s="37">
        <v>6.1000000000000004E-3</v>
      </c>
      <c r="D479" s="38" t="s">
        <v>778</v>
      </c>
    </row>
    <row r="480" spans="2:4">
      <c r="B480" t="s">
        <v>570</v>
      </c>
      <c r="C480" s="37">
        <v>5.8999999999999999E-3</v>
      </c>
      <c r="D480" s="38" t="s">
        <v>778</v>
      </c>
    </row>
    <row r="481" spans="2:4">
      <c r="B481" t="s">
        <v>664</v>
      </c>
      <c r="C481" s="37">
        <v>5.8999999999999999E-3</v>
      </c>
      <c r="D481" s="38" t="s">
        <v>778</v>
      </c>
    </row>
    <row r="482" spans="2:4">
      <c r="B482" t="s">
        <v>665</v>
      </c>
      <c r="C482" s="37">
        <v>5.7000000000000002E-3</v>
      </c>
      <c r="D482" s="38" t="s">
        <v>778</v>
      </c>
    </row>
    <row r="483" spans="2:4">
      <c r="B483" t="s">
        <v>666</v>
      </c>
      <c r="C483" s="37">
        <v>5.4999999999999997E-3</v>
      </c>
      <c r="D483" s="38" t="s">
        <v>778</v>
      </c>
    </row>
    <row r="484" spans="2:4">
      <c r="B484" t="s">
        <v>614</v>
      </c>
      <c r="C484" s="37">
        <v>5.4000000000000003E-3</v>
      </c>
      <c r="D484" s="38" t="s">
        <v>778</v>
      </c>
    </row>
    <row r="485" spans="2:4">
      <c r="B485" t="s">
        <v>667</v>
      </c>
      <c r="C485" s="37">
        <v>5.4000000000000003E-3</v>
      </c>
      <c r="D485" s="38" t="s">
        <v>778</v>
      </c>
    </row>
    <row r="486" spans="2:4">
      <c r="B486" t="s">
        <v>668</v>
      </c>
      <c r="C486" s="37">
        <v>5.1000000000000004E-3</v>
      </c>
      <c r="D486" s="38" t="s">
        <v>778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E18"/>
  <sheetViews>
    <sheetView showGridLines="0" workbookViewId="0">
      <selection activeCell="P28" sqref="P28"/>
    </sheetView>
  </sheetViews>
  <sheetFormatPr defaultColWidth="12.6640625" defaultRowHeight="15.75" customHeight="1"/>
  <cols>
    <col min="1" max="2" width="40.77734375" customWidth="1"/>
    <col min="4" max="4" width="25.77734375" customWidth="1"/>
    <col min="5" max="5" width="31.44140625" customWidth="1"/>
  </cols>
  <sheetData>
    <row r="2" spans="1:5" ht="15.75" customHeight="1">
      <c r="A2" s="3" t="s">
        <v>672</v>
      </c>
      <c r="B2" s="3" t="s">
        <v>625</v>
      </c>
      <c r="D2" s="3" t="s">
        <v>10</v>
      </c>
      <c r="E2" s="3" t="s">
        <v>11</v>
      </c>
    </row>
    <row r="3" spans="1:5" ht="15.75" customHeight="1">
      <c r="A3" s="3" t="s">
        <v>26</v>
      </c>
      <c r="B3" s="23">
        <v>3.8699999999999998E-2</v>
      </c>
      <c r="D3" s="3" t="s">
        <v>12</v>
      </c>
      <c r="E3" s="3">
        <v>20.41</v>
      </c>
    </row>
    <row r="4" spans="1:5" ht="15.75" customHeight="1">
      <c r="A4" s="3" t="s">
        <v>453</v>
      </c>
      <c r="B4" s="23">
        <v>3.7900000000000003E-2</v>
      </c>
      <c r="D4" s="3" t="s">
        <v>13</v>
      </c>
      <c r="E4" s="3">
        <v>7.04</v>
      </c>
    </row>
    <row r="5" spans="1:5" ht="15.75" customHeight="1">
      <c r="A5" s="3" t="s">
        <v>19</v>
      </c>
      <c r="B5" s="23">
        <v>3.6799999999999999E-2</v>
      </c>
      <c r="D5" s="3" t="s">
        <v>14</v>
      </c>
      <c r="E5" s="3">
        <v>4.72</v>
      </c>
    </row>
    <row r="6" spans="1:5" ht="15.75" customHeight="1">
      <c r="A6" s="3" t="s">
        <v>456</v>
      </c>
      <c r="B6" s="23">
        <v>3.61E-2</v>
      </c>
      <c r="D6" s="3" t="s">
        <v>16</v>
      </c>
      <c r="E6" s="3">
        <v>4.43</v>
      </c>
    </row>
    <row r="7" spans="1:5" ht="15.75" customHeight="1">
      <c r="A7" s="3" t="s">
        <v>23</v>
      </c>
      <c r="B7" s="23">
        <v>2.9499999999999998E-2</v>
      </c>
      <c r="D7" s="3" t="s">
        <v>18</v>
      </c>
      <c r="E7" s="3">
        <v>4.42</v>
      </c>
    </row>
    <row r="8" spans="1:5" ht="15.75" customHeight="1">
      <c r="A8" s="3" t="s">
        <v>759</v>
      </c>
      <c r="B8" s="23">
        <v>2.81E-2</v>
      </c>
      <c r="D8" s="3" t="s">
        <v>20</v>
      </c>
      <c r="E8" s="3">
        <v>4.3600000000000003</v>
      </c>
    </row>
    <row r="9" spans="1:5" ht="15.75" customHeight="1">
      <c r="A9" s="3" t="s">
        <v>760</v>
      </c>
      <c r="B9" s="23">
        <v>2.7900000000000001E-2</v>
      </c>
      <c r="D9" s="3" t="s">
        <v>22</v>
      </c>
      <c r="E9" s="3">
        <v>4.0999999999999996</v>
      </c>
    </row>
    <row r="10" spans="1:5" ht="15.75" customHeight="1">
      <c r="A10" s="3" t="s">
        <v>761</v>
      </c>
      <c r="B10" s="23">
        <v>2.53E-2</v>
      </c>
      <c r="D10" s="3" t="s">
        <v>24</v>
      </c>
      <c r="E10" s="3">
        <v>3.93</v>
      </c>
    </row>
    <row r="11" spans="1:5" ht="15.75" customHeight="1">
      <c r="A11" s="3" t="s">
        <v>480</v>
      </c>
      <c r="B11" s="23">
        <v>2.4899999999999999E-2</v>
      </c>
      <c r="D11" s="3" t="s">
        <v>25</v>
      </c>
      <c r="E11" s="3">
        <v>3.71</v>
      </c>
    </row>
    <row r="12" spans="1:5" ht="15.75" customHeight="1">
      <c r="A12" s="3" t="s">
        <v>21</v>
      </c>
      <c r="B12" s="23">
        <v>2.4899999999999999E-2</v>
      </c>
      <c r="D12" s="3" t="s">
        <v>27</v>
      </c>
      <c r="E12" s="3">
        <v>3.58</v>
      </c>
    </row>
    <row r="13" spans="1:5" ht="15.75" customHeight="1">
      <c r="A13" s="3" t="s">
        <v>28</v>
      </c>
      <c r="B13" s="23">
        <v>0.67049999999999998</v>
      </c>
      <c r="D13" s="3" t="s">
        <v>29</v>
      </c>
      <c r="E13" s="3">
        <v>38.49</v>
      </c>
    </row>
    <row r="14" spans="1:5" ht="15.75" customHeight="1">
      <c r="A14" s="3" t="s">
        <v>30</v>
      </c>
      <c r="B14" s="23">
        <v>0.98060000000000003</v>
      </c>
    </row>
    <row r="15" spans="1:5" ht="15.75" customHeight="1">
      <c r="A15" s="3" t="s">
        <v>31</v>
      </c>
      <c r="B15" s="23">
        <v>1.9400000000000001E-2</v>
      </c>
    </row>
    <row r="16" spans="1:5" ht="15.75" customHeight="1">
      <c r="A16" s="3" t="s">
        <v>32</v>
      </c>
      <c r="B16" s="23">
        <v>1</v>
      </c>
    </row>
    <row r="17" spans="1:2" ht="15.75" customHeight="1">
      <c r="A17" s="3"/>
      <c r="B17" s="3"/>
    </row>
    <row r="18" spans="1:2" ht="15.75" customHeight="1">
      <c r="A18" s="3"/>
      <c r="B18" s="3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B2:L87"/>
  <sheetViews>
    <sheetView showGridLines="0" topLeftCell="A60" workbookViewId="0">
      <selection activeCell="P28" sqref="P28"/>
    </sheetView>
  </sheetViews>
  <sheetFormatPr defaultColWidth="12.6640625" defaultRowHeight="15.75" customHeight="1"/>
  <sheetData>
    <row r="2" spans="2:12" ht="15.75" customHeight="1">
      <c r="B2" s="3" t="s">
        <v>33</v>
      </c>
      <c r="E2" s="3" t="s">
        <v>10</v>
      </c>
      <c r="F2" s="3" t="s">
        <v>35</v>
      </c>
      <c r="H2" s="3" t="s">
        <v>36</v>
      </c>
      <c r="I2" s="3" t="s">
        <v>37</v>
      </c>
      <c r="J2" s="3" t="s">
        <v>38</v>
      </c>
      <c r="K2" s="3" t="s">
        <v>39</v>
      </c>
      <c r="L2" s="3" t="s">
        <v>40</v>
      </c>
    </row>
    <row r="3" spans="2:12" ht="15.75" customHeight="1">
      <c r="B3" s="3" t="s">
        <v>705</v>
      </c>
      <c r="C3" t="s">
        <v>706</v>
      </c>
      <c r="E3" s="3" t="s">
        <v>42</v>
      </c>
      <c r="F3" s="3">
        <v>46.09</v>
      </c>
      <c r="H3" s="3">
        <v>2026</v>
      </c>
      <c r="I3" s="3">
        <v>-9.5399999999999991</v>
      </c>
      <c r="J3" s="3" t="s">
        <v>43</v>
      </c>
      <c r="K3" s="3" t="s">
        <v>43</v>
      </c>
      <c r="L3" s="3" t="s">
        <v>43</v>
      </c>
    </row>
    <row r="4" spans="2:12" ht="15.75" customHeight="1">
      <c r="B4" s="3" t="s">
        <v>668</v>
      </c>
      <c r="C4" s="37">
        <v>5.6000000000000001E-2</v>
      </c>
      <c r="D4" s="37"/>
      <c r="E4" s="3" t="s">
        <v>44</v>
      </c>
      <c r="F4" s="3">
        <v>4.47</v>
      </c>
      <c r="H4" s="3">
        <v>2025</v>
      </c>
      <c r="I4" s="3">
        <v>-17.010000000000002</v>
      </c>
      <c r="J4" s="3">
        <v>16.93</v>
      </c>
      <c r="K4" s="3">
        <v>-2.15</v>
      </c>
      <c r="L4" s="3">
        <v>3.9</v>
      </c>
    </row>
    <row r="5" spans="2:12" ht="15.75" customHeight="1">
      <c r="B5" s="3" t="s">
        <v>500</v>
      </c>
      <c r="C5" s="37">
        <v>4.7500000000000001E-2</v>
      </c>
      <c r="D5" s="37"/>
      <c r="E5" s="3" t="s">
        <v>45</v>
      </c>
      <c r="F5" s="3">
        <v>8.9</v>
      </c>
      <c r="H5" s="3">
        <v>2024</v>
      </c>
      <c r="I5" s="3">
        <v>7.5</v>
      </c>
      <c r="J5" s="3">
        <v>18.36</v>
      </c>
      <c r="K5" s="3">
        <v>8.7799999999999994</v>
      </c>
      <c r="L5" s="3">
        <v>0.95</v>
      </c>
    </row>
    <row r="6" spans="2:12" ht="15.75" customHeight="1">
      <c r="B6" s="3" t="s">
        <v>707</v>
      </c>
      <c r="C6" s="37">
        <v>4.0300000000000002E-2</v>
      </c>
      <c r="D6" s="37"/>
      <c r="E6" s="3" t="s">
        <v>46</v>
      </c>
      <c r="F6" s="3">
        <v>32.729999999999997</v>
      </c>
      <c r="H6" s="3">
        <v>2023</v>
      </c>
      <c r="I6" s="3">
        <v>-2.96</v>
      </c>
      <c r="J6" s="3">
        <v>12.79</v>
      </c>
      <c r="K6" s="3">
        <v>12.04</v>
      </c>
      <c r="L6" s="3">
        <v>14.17</v>
      </c>
    </row>
    <row r="7" spans="2:12" ht="15.75" customHeight="1">
      <c r="B7" s="3" t="s">
        <v>41</v>
      </c>
      <c r="C7" s="37">
        <v>4.0099999999999997E-2</v>
      </c>
      <c r="D7" s="37"/>
      <c r="E7" s="3"/>
      <c r="F7" s="3"/>
      <c r="H7" s="3">
        <v>2022</v>
      </c>
      <c r="I7" s="3">
        <v>-1.64</v>
      </c>
      <c r="J7" s="3">
        <v>-8.58</v>
      </c>
      <c r="K7" s="3">
        <v>11.41</v>
      </c>
      <c r="L7" s="3">
        <v>0.88</v>
      </c>
    </row>
    <row r="8" spans="2:12" ht="15.75" customHeight="1">
      <c r="B8" s="3" t="s">
        <v>497</v>
      </c>
      <c r="C8" s="37">
        <v>3.7499999999999999E-2</v>
      </c>
      <c r="D8" s="37"/>
      <c r="E8" s="3" t="s">
        <v>48</v>
      </c>
      <c r="F8" s="3">
        <v>37.42</v>
      </c>
    </row>
    <row r="9" spans="2:12" ht="15.75" customHeight="1">
      <c r="B9" s="3" t="s">
        <v>644</v>
      </c>
      <c r="C9" s="37">
        <v>3.6999999999999998E-2</v>
      </c>
      <c r="D9" s="37"/>
      <c r="E9" s="3" t="s">
        <v>49</v>
      </c>
      <c r="F9" s="3">
        <v>0.75</v>
      </c>
    </row>
    <row r="10" spans="2:12" ht="15.75" customHeight="1">
      <c r="B10" s="3" t="s">
        <v>708</v>
      </c>
      <c r="C10" s="37">
        <v>3.5999999999999997E-2</v>
      </c>
      <c r="D10" s="37"/>
      <c r="E10" s="3" t="s">
        <v>51</v>
      </c>
      <c r="F10" s="3">
        <v>2.8</v>
      </c>
    </row>
    <row r="11" spans="2:12" ht="15.75" customHeight="1">
      <c r="B11" s="3" t="s">
        <v>600</v>
      </c>
      <c r="C11" s="37">
        <v>3.4700000000000002E-2</v>
      </c>
      <c r="D11" s="37"/>
      <c r="E11" s="3" t="s">
        <v>52</v>
      </c>
      <c r="F11" s="3">
        <v>29.88</v>
      </c>
    </row>
    <row r="12" spans="2:12" ht="15.75" customHeight="1">
      <c r="B12" s="3" t="s">
        <v>709</v>
      </c>
      <c r="C12" s="37">
        <v>3.4299999999999997E-2</v>
      </c>
      <c r="D12" s="37"/>
      <c r="E12" s="3" t="s">
        <v>54</v>
      </c>
      <c r="F12" s="3">
        <v>4</v>
      </c>
    </row>
    <row r="13" spans="2:12" ht="15.75" customHeight="1">
      <c r="B13" s="3" t="s">
        <v>710</v>
      </c>
      <c r="C13" s="37">
        <v>3.0300000000000001E-2</v>
      </c>
      <c r="D13" s="37"/>
      <c r="E13" s="3" t="s">
        <v>55</v>
      </c>
      <c r="F13" s="3">
        <v>16.489999999999998</v>
      </c>
    </row>
    <row r="14" spans="2:12" ht="15.75" customHeight="1">
      <c r="B14" s="3" t="s">
        <v>711</v>
      </c>
      <c r="C14" s="37">
        <v>0.03</v>
      </c>
      <c r="D14" s="37"/>
      <c r="E14" s="3" t="s">
        <v>56</v>
      </c>
      <c r="F14" s="3">
        <v>3.95</v>
      </c>
    </row>
    <row r="15" spans="2:12" ht="15.75" customHeight="1">
      <c r="B15" s="3" t="s">
        <v>47</v>
      </c>
      <c r="C15" s="37">
        <v>2.8799999999999999E-2</v>
      </c>
      <c r="D15" s="37"/>
      <c r="E15" s="3" t="s">
        <v>57</v>
      </c>
      <c r="F15" s="3">
        <v>10.029999999999999</v>
      </c>
    </row>
    <row r="16" spans="2:12" ht="15.75" customHeight="1">
      <c r="B16" t="s">
        <v>712</v>
      </c>
      <c r="C16" s="37">
        <v>2.3599999999999999E-2</v>
      </c>
      <c r="D16" s="37"/>
      <c r="E16" s="3" t="s">
        <v>58</v>
      </c>
      <c r="F16" s="3">
        <v>2.5</v>
      </c>
    </row>
    <row r="17" spans="2:4" ht="15.75" customHeight="1">
      <c r="B17" t="s">
        <v>713</v>
      </c>
      <c r="C17" s="37">
        <v>2.3300000000000001E-2</v>
      </c>
      <c r="D17" s="37"/>
    </row>
    <row r="18" spans="2:4" ht="15.75" customHeight="1">
      <c r="B18" t="s">
        <v>632</v>
      </c>
      <c r="C18" s="37">
        <v>2.07E-2</v>
      </c>
      <c r="D18" s="37"/>
    </row>
    <row r="19" spans="2:4" ht="15.75" customHeight="1">
      <c r="B19" t="s">
        <v>640</v>
      </c>
      <c r="C19" s="37">
        <v>1.95E-2</v>
      </c>
      <c r="D19" s="37"/>
    </row>
    <row r="20" spans="2:4" ht="15.75" customHeight="1">
      <c r="B20" t="s">
        <v>714</v>
      </c>
      <c r="C20" s="37">
        <v>1.95E-2</v>
      </c>
      <c r="D20" s="37"/>
    </row>
    <row r="21" spans="2:4" ht="15.75" customHeight="1">
      <c r="B21" t="s">
        <v>608</v>
      </c>
      <c r="C21" s="37">
        <v>1.8599999999999998E-2</v>
      </c>
      <c r="D21" s="37"/>
    </row>
    <row r="22" spans="2:4" ht="15.75" customHeight="1">
      <c r="B22" t="s">
        <v>715</v>
      </c>
      <c r="C22" s="37">
        <v>1.84E-2</v>
      </c>
      <c r="D22" s="37"/>
    </row>
    <row r="23" spans="2:4" ht="15.75" customHeight="1">
      <c r="B23" t="s">
        <v>716</v>
      </c>
      <c r="C23" s="37">
        <v>1.83E-2</v>
      </c>
      <c r="D23" s="37"/>
    </row>
    <row r="24" spans="2:4" ht="15.75" customHeight="1">
      <c r="B24" t="s">
        <v>506</v>
      </c>
      <c r="C24" s="37">
        <v>1.83E-2</v>
      </c>
      <c r="D24" s="37"/>
    </row>
    <row r="25" spans="2:4" ht="15.75" customHeight="1">
      <c r="B25" t="s">
        <v>717</v>
      </c>
      <c r="C25" s="37">
        <v>1.7899999999999999E-2</v>
      </c>
      <c r="D25" s="37"/>
    </row>
    <row r="26" spans="2:4" ht="15.75" customHeight="1">
      <c r="B26" t="s">
        <v>718</v>
      </c>
      <c r="C26" s="37">
        <v>1.5599999999999999E-2</v>
      </c>
      <c r="D26" s="37"/>
    </row>
    <row r="27" spans="2:4" ht="15.75" customHeight="1">
      <c r="B27" t="s">
        <v>719</v>
      </c>
      <c r="C27" s="37">
        <v>1.52E-2</v>
      </c>
      <c r="D27" s="37"/>
    </row>
    <row r="28" spans="2:4" ht="15.75" customHeight="1">
      <c r="B28" t="s">
        <v>720</v>
      </c>
      <c r="C28" s="37">
        <v>1.5100000000000001E-2</v>
      </c>
      <c r="D28" s="37"/>
    </row>
    <row r="29" spans="2:4" ht="15.75" customHeight="1">
      <c r="B29" t="s">
        <v>219</v>
      </c>
      <c r="C29" s="37">
        <v>1.47E-2</v>
      </c>
      <c r="D29" s="37"/>
    </row>
    <row r="30" spans="2:4" ht="15.75" customHeight="1">
      <c r="B30" t="s">
        <v>721</v>
      </c>
      <c r="C30" s="37">
        <v>1.41E-2</v>
      </c>
      <c r="D30" s="37"/>
    </row>
    <row r="31" spans="2:4" ht="15.75" customHeight="1">
      <c r="B31" t="s">
        <v>722</v>
      </c>
      <c r="C31" s="37">
        <v>1.4E-2</v>
      </c>
      <c r="D31" s="37"/>
    </row>
    <row r="32" spans="2:4" ht="15.75" customHeight="1">
      <c r="B32" t="s">
        <v>723</v>
      </c>
      <c r="C32" s="37">
        <v>1.3899999999999999E-2</v>
      </c>
      <c r="D32" s="37"/>
    </row>
    <row r="33" spans="2:4" ht="15.75" customHeight="1">
      <c r="B33" t="s">
        <v>631</v>
      </c>
      <c r="C33" s="37">
        <v>1.38E-2</v>
      </c>
      <c r="D33" s="37"/>
    </row>
    <row r="34" spans="2:4" ht="15.75" customHeight="1">
      <c r="B34" t="s">
        <v>623</v>
      </c>
      <c r="C34" s="37">
        <v>1.38E-2</v>
      </c>
      <c r="D34" s="37"/>
    </row>
    <row r="35" spans="2:4" ht="15.75" customHeight="1">
      <c r="B35" t="s">
        <v>724</v>
      </c>
      <c r="C35" s="37">
        <v>1.37E-2</v>
      </c>
      <c r="D35" s="37"/>
    </row>
    <row r="36" spans="2:4" ht="15.75" customHeight="1">
      <c r="B36" t="s">
        <v>725</v>
      </c>
      <c r="C36" s="37">
        <v>1.35E-2</v>
      </c>
      <c r="D36" s="37"/>
    </row>
    <row r="37" spans="2:4" ht="15.75" customHeight="1">
      <c r="B37" t="s">
        <v>726</v>
      </c>
      <c r="C37" s="37">
        <v>1.24E-2</v>
      </c>
      <c r="D37" s="37"/>
    </row>
    <row r="38" spans="2:4" ht="15.75" customHeight="1">
      <c r="B38" t="s">
        <v>727</v>
      </c>
      <c r="C38" s="37">
        <v>1.0699999999999999E-2</v>
      </c>
      <c r="D38" s="37"/>
    </row>
    <row r="39" spans="2:4" ht="15.75" customHeight="1">
      <c r="B39" t="s">
        <v>728</v>
      </c>
      <c r="C39" s="37">
        <v>1.0200000000000001E-2</v>
      </c>
      <c r="D39" s="37"/>
    </row>
    <row r="40" spans="2:4" ht="15.75" customHeight="1">
      <c r="B40" t="s">
        <v>707</v>
      </c>
      <c r="C40" s="37">
        <v>1.01E-2</v>
      </c>
      <c r="D40" s="37"/>
    </row>
    <row r="41" spans="2:4" ht="15.75" customHeight="1">
      <c r="B41" t="s">
        <v>652</v>
      </c>
      <c r="C41" s="37">
        <v>0.01</v>
      </c>
      <c r="D41" s="37"/>
    </row>
    <row r="42" spans="2:4" ht="15.75" customHeight="1">
      <c r="B42" t="s">
        <v>729</v>
      </c>
      <c r="C42" s="37">
        <v>9.7999999999999997E-3</v>
      </c>
      <c r="D42" s="37"/>
    </row>
    <row r="43" spans="2:4" ht="15.75" customHeight="1">
      <c r="B43" t="s">
        <v>730</v>
      </c>
      <c r="C43" s="37">
        <v>9.7000000000000003E-3</v>
      </c>
      <c r="D43" s="37"/>
    </row>
    <row r="44" spans="2:4" ht="15.75" customHeight="1">
      <c r="B44" t="s">
        <v>731</v>
      </c>
      <c r="C44" s="37">
        <v>9.5999999999999992E-3</v>
      </c>
      <c r="D44" s="37"/>
    </row>
    <row r="45" spans="2:4" ht="15.75" customHeight="1">
      <c r="B45" t="s">
        <v>639</v>
      </c>
      <c r="C45" s="37">
        <v>9.5999999999999992E-3</v>
      </c>
      <c r="D45" s="37"/>
    </row>
    <row r="46" spans="2:4" ht="15.75" customHeight="1">
      <c r="B46" t="s">
        <v>614</v>
      </c>
      <c r="C46" s="37">
        <v>9.4000000000000004E-3</v>
      </c>
      <c r="D46" s="37"/>
    </row>
    <row r="47" spans="2:4" ht="15.75" customHeight="1">
      <c r="B47" t="s">
        <v>732</v>
      </c>
      <c r="C47" s="37">
        <v>9.1999999999999998E-3</v>
      </c>
      <c r="D47" s="37"/>
    </row>
    <row r="48" spans="2:4" ht="15.75" customHeight="1">
      <c r="B48" t="s">
        <v>733</v>
      </c>
      <c r="C48" s="37">
        <v>8.2000000000000007E-3</v>
      </c>
      <c r="D48" s="37"/>
    </row>
    <row r="49" spans="2:4" ht="15.75" customHeight="1">
      <c r="B49" t="s">
        <v>604</v>
      </c>
      <c r="C49" s="37">
        <v>8.0000000000000002E-3</v>
      </c>
      <c r="D49" s="37"/>
    </row>
    <row r="50" spans="2:4" ht="15.75" customHeight="1">
      <c r="B50" t="s">
        <v>734</v>
      </c>
      <c r="C50" s="37">
        <v>7.9000000000000008E-3</v>
      </c>
      <c r="D50" s="37"/>
    </row>
    <row r="51" spans="2:4" ht="15.75" customHeight="1">
      <c r="B51" t="s">
        <v>735</v>
      </c>
      <c r="C51" s="37">
        <v>7.1999999999999998E-3</v>
      </c>
      <c r="D51" s="37"/>
    </row>
    <row r="52" spans="2:4" ht="15.75" customHeight="1">
      <c r="B52" t="s">
        <v>736</v>
      </c>
      <c r="C52" s="37">
        <v>6.3E-3</v>
      </c>
      <c r="D52" s="37"/>
    </row>
    <row r="53" spans="2:4" ht="15.75" customHeight="1">
      <c r="B53" t="s">
        <v>737</v>
      </c>
      <c r="C53" s="37">
        <v>5.8999999999999999E-3</v>
      </c>
      <c r="D53" s="37"/>
    </row>
    <row r="54" spans="2:4" ht="15.75" customHeight="1">
      <c r="B54" t="s">
        <v>536</v>
      </c>
      <c r="C54" s="37">
        <v>5.1000000000000004E-3</v>
      </c>
      <c r="D54" s="37"/>
    </row>
    <row r="55" spans="2:4" ht="15.75" customHeight="1">
      <c r="B55" t="s">
        <v>738</v>
      </c>
      <c r="C55" s="37">
        <v>4.8999999999999998E-3</v>
      </c>
      <c r="D55" s="37"/>
    </row>
    <row r="56" spans="2:4" ht="15.75" customHeight="1">
      <c r="B56" t="s">
        <v>739</v>
      </c>
      <c r="C56" s="37">
        <v>4.4999999999999997E-3</v>
      </c>
      <c r="D56" s="37"/>
    </row>
    <row r="57" spans="2:4" ht="15.75" customHeight="1">
      <c r="B57" t="s">
        <v>740</v>
      </c>
      <c r="C57" s="37">
        <v>4.0000000000000001E-3</v>
      </c>
      <c r="D57" s="37"/>
    </row>
    <row r="58" spans="2:4" ht="15.75" customHeight="1">
      <c r="B58" t="s">
        <v>618</v>
      </c>
      <c r="C58" s="37">
        <v>3.3E-3</v>
      </c>
      <c r="D58" s="37"/>
    </row>
    <row r="59" spans="2:4" ht="15.75" customHeight="1">
      <c r="B59" t="s">
        <v>216</v>
      </c>
      <c r="C59" s="37">
        <v>3.2000000000000002E-3</v>
      </c>
      <c r="D59" s="37"/>
    </row>
    <row r="60" spans="2:4" ht="15.75" customHeight="1">
      <c r="B60" t="s">
        <v>741</v>
      </c>
      <c r="C60" s="37">
        <v>2.3E-3</v>
      </c>
      <c r="D60" s="37"/>
    </row>
    <row r="61" spans="2:4" ht="15.75" customHeight="1">
      <c r="B61" t="s">
        <v>742</v>
      </c>
      <c r="C61" s="37">
        <v>8.0000000000000004E-4</v>
      </c>
      <c r="D61" s="37"/>
    </row>
    <row r="62" spans="2:4" ht="15.75" customHeight="1">
      <c r="B62" t="s">
        <v>743</v>
      </c>
      <c r="C62" s="37">
        <v>4.0000000000000002E-4</v>
      </c>
      <c r="D62" s="37"/>
    </row>
    <row r="63" spans="2:4" ht="15.75" customHeight="1">
      <c r="B63" t="s">
        <v>744</v>
      </c>
      <c r="C63" s="37">
        <v>4.0000000000000002E-4</v>
      </c>
      <c r="D63" s="37"/>
    </row>
    <row r="64" spans="2:4" ht="15.75" customHeight="1">
      <c r="B64" t="s">
        <v>610</v>
      </c>
      <c r="C64" s="37">
        <v>4.0000000000000002E-4</v>
      </c>
      <c r="D64" s="37"/>
    </row>
    <row r="65" spans="2:4" ht="15.75" customHeight="1">
      <c r="B65" t="s">
        <v>601</v>
      </c>
      <c r="C65" s="37">
        <v>4.0000000000000002E-4</v>
      </c>
      <c r="D65" s="37"/>
    </row>
    <row r="66" spans="2:4" ht="15.75" customHeight="1">
      <c r="B66" t="s">
        <v>626</v>
      </c>
      <c r="C66" s="37">
        <v>2.9999999999999997E-4</v>
      </c>
      <c r="D66" s="37"/>
    </row>
    <row r="67" spans="2:4" ht="15.75" customHeight="1">
      <c r="B67" t="s">
        <v>745</v>
      </c>
      <c r="C67" s="37">
        <v>2.9999999999999997E-4</v>
      </c>
      <c r="D67" s="37"/>
    </row>
    <row r="68" spans="2:4" ht="15.75" customHeight="1">
      <c r="B68" t="s">
        <v>746</v>
      </c>
      <c r="C68" s="37">
        <v>2.9999999999999997E-4</v>
      </c>
      <c r="D68" s="37"/>
    </row>
    <row r="69" spans="2:4" ht="15.75" customHeight="1">
      <c r="B69" t="s">
        <v>163</v>
      </c>
      <c r="C69" s="37">
        <v>2.0000000000000001E-4</v>
      </c>
      <c r="D69" s="37"/>
    </row>
    <row r="70" spans="2:4" ht="15.75" customHeight="1">
      <c r="B70" t="s">
        <v>503</v>
      </c>
      <c r="C70" s="37">
        <v>2.0000000000000001E-4</v>
      </c>
      <c r="D70" s="37"/>
    </row>
    <row r="71" spans="2:4" ht="15.75" customHeight="1">
      <c r="B71" t="s">
        <v>747</v>
      </c>
      <c r="C71" s="37">
        <v>2.0000000000000001E-4</v>
      </c>
      <c r="D71" s="37"/>
    </row>
    <row r="72" spans="2:4" ht="15.75" customHeight="1">
      <c r="B72" t="s">
        <v>653</v>
      </c>
      <c r="C72" s="37">
        <v>1E-4</v>
      </c>
      <c r="D72" s="37"/>
    </row>
    <row r="73" spans="2:4" ht="15.75" customHeight="1">
      <c r="B73" t="s">
        <v>748</v>
      </c>
      <c r="C73" s="37">
        <v>1E-4</v>
      </c>
      <c r="D73" s="37"/>
    </row>
    <row r="74" spans="2:4" ht="15.75" customHeight="1">
      <c r="B74" t="s">
        <v>607</v>
      </c>
      <c r="C74" s="37">
        <v>1E-4</v>
      </c>
      <c r="D74" s="37"/>
    </row>
    <row r="75" spans="2:4" ht="15.75" customHeight="1">
      <c r="B75" t="s">
        <v>749</v>
      </c>
      <c r="C75" s="37">
        <v>1E-4</v>
      </c>
      <c r="D75" s="37"/>
    </row>
    <row r="76" spans="2:4" ht="15.75" customHeight="1">
      <c r="B76" t="s">
        <v>750</v>
      </c>
      <c r="C76" s="37">
        <v>1E-4</v>
      </c>
      <c r="D76" s="37"/>
    </row>
    <row r="77" spans="2:4" ht="15.75" customHeight="1">
      <c r="B77" t="s">
        <v>751</v>
      </c>
      <c r="C77" s="37">
        <v>1E-4</v>
      </c>
      <c r="D77" s="37"/>
    </row>
    <row r="78" spans="2:4" ht="15.75" customHeight="1">
      <c r="B78" t="s">
        <v>630</v>
      </c>
      <c r="C78" s="37">
        <v>0</v>
      </c>
      <c r="D78" s="37"/>
    </row>
    <row r="79" spans="2:4" ht="15.75" customHeight="1">
      <c r="B79" t="s">
        <v>629</v>
      </c>
      <c r="C79" s="37">
        <v>0</v>
      </c>
      <c r="D79" s="37"/>
    </row>
    <row r="80" spans="2:4" ht="15.75" customHeight="1">
      <c r="B80" t="s">
        <v>752</v>
      </c>
      <c r="C80" s="37">
        <v>0</v>
      </c>
      <c r="D80" s="37"/>
    </row>
    <row r="81" spans="2:4" ht="15.75" customHeight="1">
      <c r="B81" t="s">
        <v>753</v>
      </c>
      <c r="C81" s="37">
        <v>0</v>
      </c>
      <c r="D81" s="37"/>
    </row>
    <row r="82" spans="2:4" ht="15.75" customHeight="1">
      <c r="B82" t="s">
        <v>143</v>
      </c>
      <c r="C82" s="37">
        <v>0</v>
      </c>
      <c r="D82" s="37"/>
    </row>
    <row r="83" spans="2:4" ht="15.75" customHeight="1">
      <c r="B83" t="s">
        <v>754</v>
      </c>
      <c r="C83" s="37">
        <v>0</v>
      </c>
      <c r="D83" s="37"/>
    </row>
    <row r="84" spans="2:4" ht="15.75" customHeight="1">
      <c r="B84" t="s">
        <v>755</v>
      </c>
      <c r="C84" s="37">
        <v>1.1299999999999999E-2</v>
      </c>
      <c r="D84" s="37"/>
    </row>
    <row r="85" spans="2:4" ht="15.75" customHeight="1">
      <c r="B85" t="s">
        <v>756</v>
      </c>
      <c r="C85" s="37">
        <v>1.12E-2</v>
      </c>
      <c r="D85" s="37"/>
    </row>
    <row r="86" spans="2:4" ht="15.75" customHeight="1">
      <c r="B86" t="s">
        <v>757</v>
      </c>
      <c r="C86" s="37">
        <v>0</v>
      </c>
      <c r="D86" s="37"/>
    </row>
    <row r="87" spans="2:4" ht="15.75" customHeight="1">
      <c r="B87" t="s">
        <v>758</v>
      </c>
      <c r="C87" s="37">
        <v>1</v>
      </c>
      <c r="D87" s="37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4:H98"/>
  <sheetViews>
    <sheetView showGridLines="0" tabSelected="1" topLeftCell="A31" workbookViewId="0">
      <selection activeCell="E51" sqref="E51"/>
    </sheetView>
  </sheetViews>
  <sheetFormatPr defaultColWidth="12.6640625" defaultRowHeight="15.75" customHeight="1"/>
  <cols>
    <col min="1" max="1" width="31.44140625" customWidth="1"/>
    <col min="4" max="4" width="29.33203125" customWidth="1"/>
    <col min="7" max="7" width="19.21875" customWidth="1"/>
  </cols>
  <sheetData>
    <row r="4" spans="1:8" ht="15.75" customHeight="1">
      <c r="A4" s="5" t="s">
        <v>7</v>
      </c>
      <c r="B4" s="5"/>
    </row>
    <row r="5" spans="1:8" ht="14.4">
      <c r="A5" s="6"/>
      <c r="B5" s="6"/>
    </row>
    <row r="6" spans="1:8" ht="14.4">
      <c r="A6" s="7" t="s">
        <v>59</v>
      </c>
      <c r="B6" s="7" t="s">
        <v>60</v>
      </c>
      <c r="D6" s="3" t="s">
        <v>61</v>
      </c>
      <c r="E6" s="3" t="s">
        <v>34</v>
      </c>
      <c r="G6" s="3" t="s">
        <v>62</v>
      </c>
      <c r="H6" s="3" t="s">
        <v>34</v>
      </c>
    </row>
    <row r="7" spans="1:8" ht="14.4">
      <c r="A7" s="6" t="s">
        <v>63</v>
      </c>
      <c r="B7" s="8">
        <v>3.03</v>
      </c>
      <c r="D7" s="3" t="s">
        <v>46</v>
      </c>
      <c r="E7" s="3">
        <v>27.75</v>
      </c>
      <c r="G7" s="3" t="s">
        <v>64</v>
      </c>
      <c r="H7" s="3">
        <v>14.08</v>
      </c>
    </row>
    <row r="8" spans="1:8" ht="14.4">
      <c r="A8" s="6" t="s">
        <v>65</v>
      </c>
      <c r="B8" s="8">
        <v>2.94</v>
      </c>
      <c r="D8" s="3" t="s">
        <v>66</v>
      </c>
      <c r="E8" s="3">
        <v>15.82</v>
      </c>
      <c r="G8" s="3" t="s">
        <v>67</v>
      </c>
      <c r="H8" s="3">
        <v>74.84</v>
      </c>
    </row>
    <row r="9" spans="1:8" ht="14.4">
      <c r="A9" s="6" t="s">
        <v>68</v>
      </c>
      <c r="B9" s="8">
        <v>2.9</v>
      </c>
      <c r="D9" s="3" t="s">
        <v>57</v>
      </c>
      <c r="E9" s="3">
        <v>8.98</v>
      </c>
      <c r="G9" s="3" t="s">
        <v>69</v>
      </c>
      <c r="H9" s="3">
        <v>11.08</v>
      </c>
    </row>
    <row r="10" spans="1:8" ht="14.4">
      <c r="A10" s="6" t="s">
        <v>70</v>
      </c>
      <c r="B10" s="8">
        <v>2.23</v>
      </c>
      <c r="D10" s="3" t="s">
        <v>71</v>
      </c>
      <c r="E10" s="3">
        <v>7.28</v>
      </c>
    </row>
    <row r="11" spans="1:8" ht="14.4">
      <c r="A11" s="6" t="s">
        <v>72</v>
      </c>
      <c r="B11" s="8">
        <v>2.2200000000000002</v>
      </c>
      <c r="D11" s="3" t="s">
        <v>73</v>
      </c>
      <c r="E11" s="3">
        <v>4.76</v>
      </c>
    </row>
    <row r="12" spans="1:8" ht="14.4">
      <c r="A12" s="6" t="s">
        <v>74</v>
      </c>
      <c r="B12" s="8">
        <v>2.14</v>
      </c>
      <c r="D12" s="3" t="s">
        <v>75</v>
      </c>
      <c r="E12" s="3">
        <v>4.75</v>
      </c>
    </row>
    <row r="13" spans="1:8" ht="14.4">
      <c r="A13" s="6" t="s">
        <v>76</v>
      </c>
      <c r="B13" s="8">
        <v>2</v>
      </c>
      <c r="D13" s="3" t="s">
        <v>77</v>
      </c>
      <c r="E13" s="3">
        <v>4.26</v>
      </c>
    </row>
    <row r="14" spans="1:8" ht="14.4">
      <c r="A14" s="6" t="s">
        <v>78</v>
      </c>
      <c r="B14" s="8">
        <v>1.91</v>
      </c>
      <c r="D14" s="3" t="s">
        <v>80</v>
      </c>
      <c r="E14" s="3">
        <v>3.53</v>
      </c>
    </row>
    <row r="15" spans="1:8" ht="14.4">
      <c r="A15" s="6" t="s">
        <v>81</v>
      </c>
      <c r="B15" s="8">
        <v>1.65</v>
      </c>
      <c r="D15" s="3" t="s">
        <v>82</v>
      </c>
      <c r="E15" s="3">
        <v>3.34</v>
      </c>
    </row>
    <row r="16" spans="1:8" ht="14.4">
      <c r="A16" s="6" t="s">
        <v>83</v>
      </c>
      <c r="B16" s="8">
        <v>1.63</v>
      </c>
      <c r="D16" s="3" t="s">
        <v>79</v>
      </c>
      <c r="E16" s="3">
        <v>3.25</v>
      </c>
    </row>
    <row r="17" spans="1:5" ht="14.4">
      <c r="A17" s="6" t="s">
        <v>84</v>
      </c>
      <c r="B17" s="8">
        <v>1.63</v>
      </c>
      <c r="D17" s="3" t="s">
        <v>85</v>
      </c>
      <c r="E17" s="3">
        <v>3.08</v>
      </c>
    </row>
    <row r="18" spans="1:5" ht="14.4">
      <c r="A18" s="6" t="s">
        <v>86</v>
      </c>
      <c r="B18" s="8">
        <v>1.61</v>
      </c>
      <c r="D18" s="3" t="s">
        <v>16</v>
      </c>
      <c r="E18" s="3">
        <v>2.4</v>
      </c>
    </row>
    <row r="19" spans="1:5" ht="14.4">
      <c r="A19" s="6" t="s">
        <v>87</v>
      </c>
      <c r="B19" s="8">
        <v>1.57</v>
      </c>
      <c r="D19" s="3" t="s">
        <v>88</v>
      </c>
      <c r="E19" s="3">
        <v>2.12</v>
      </c>
    </row>
    <row r="20" spans="1:5" ht="14.4">
      <c r="A20" s="6" t="s">
        <v>89</v>
      </c>
      <c r="B20" s="8">
        <v>1.56</v>
      </c>
      <c r="D20" s="3" t="s">
        <v>90</v>
      </c>
      <c r="E20" s="3">
        <v>1.78</v>
      </c>
    </row>
    <row r="21" spans="1:5" ht="14.4">
      <c r="A21" s="6" t="s">
        <v>91</v>
      </c>
      <c r="B21" s="8">
        <v>1.56</v>
      </c>
      <c r="D21" s="3" t="s">
        <v>92</v>
      </c>
      <c r="E21" s="3">
        <v>1.47</v>
      </c>
    </row>
    <row r="22" spans="1:5" ht="14.4">
      <c r="A22" s="6" t="s">
        <v>93</v>
      </c>
      <c r="B22" s="8">
        <v>1.55</v>
      </c>
      <c r="D22" s="3" t="s">
        <v>94</v>
      </c>
      <c r="E22" s="3">
        <v>1.07</v>
      </c>
    </row>
    <row r="23" spans="1:5" ht="14.4">
      <c r="A23" s="6" t="s">
        <v>95</v>
      </c>
      <c r="B23" s="8">
        <v>1.53</v>
      </c>
      <c r="D23" s="3" t="s">
        <v>96</v>
      </c>
      <c r="E23" s="3">
        <v>0.41</v>
      </c>
    </row>
    <row r="24" spans="1:5" ht="14.4">
      <c r="A24" s="6" t="s">
        <v>97</v>
      </c>
      <c r="B24" s="8">
        <v>1.53</v>
      </c>
    </row>
    <row r="25" spans="1:5" ht="14.4">
      <c r="A25" s="6" t="s">
        <v>98</v>
      </c>
      <c r="B25" s="8">
        <v>1.53</v>
      </c>
    </row>
    <row r="26" spans="1:5" ht="14.4">
      <c r="A26" s="6" t="s">
        <v>99</v>
      </c>
      <c r="B26" s="8">
        <v>1.51</v>
      </c>
    </row>
    <row r="27" spans="1:5" ht="14.4">
      <c r="A27" s="6" t="s">
        <v>100</v>
      </c>
      <c r="B27" s="8">
        <v>1.47</v>
      </c>
    </row>
    <row r="28" spans="1:5" ht="14.4">
      <c r="A28" s="6" t="s">
        <v>101</v>
      </c>
      <c r="B28" s="8">
        <v>1.44</v>
      </c>
    </row>
    <row r="29" spans="1:5" ht="14.4">
      <c r="A29" s="6" t="s">
        <v>102</v>
      </c>
      <c r="B29" s="8">
        <v>1.44</v>
      </c>
    </row>
    <row r="30" spans="1:5" ht="14.4">
      <c r="A30" s="6" t="s">
        <v>103</v>
      </c>
      <c r="B30" s="8">
        <v>1.44</v>
      </c>
    </row>
    <row r="31" spans="1:5" ht="14.4">
      <c r="A31" s="6" t="s">
        <v>104</v>
      </c>
      <c r="B31" s="8">
        <v>1.42</v>
      </c>
    </row>
    <row r="32" spans="1:5" ht="14.4">
      <c r="A32" s="6" t="s">
        <v>105</v>
      </c>
      <c r="B32" s="8">
        <v>1.41</v>
      </c>
    </row>
    <row r="33" spans="1:2" ht="14.4">
      <c r="A33" s="6" t="s">
        <v>106</v>
      </c>
      <c r="B33" s="8">
        <v>1.41</v>
      </c>
    </row>
    <row r="34" spans="1:2" ht="14.4">
      <c r="A34" s="6" t="s">
        <v>107</v>
      </c>
      <c r="B34" s="8">
        <v>1.37</v>
      </c>
    </row>
    <row r="35" spans="1:2" ht="14.4">
      <c r="A35" s="6" t="s">
        <v>108</v>
      </c>
      <c r="B35" s="8">
        <v>1.36</v>
      </c>
    </row>
    <row r="36" spans="1:2" ht="14.4">
      <c r="A36" s="6" t="s">
        <v>109</v>
      </c>
      <c r="B36" s="8">
        <v>1.35</v>
      </c>
    </row>
    <row r="37" spans="1:2" ht="14.4">
      <c r="A37" s="6" t="s">
        <v>110</v>
      </c>
      <c r="B37" s="8">
        <v>1.34</v>
      </c>
    </row>
    <row r="38" spans="1:2" ht="14.4">
      <c r="A38" s="6" t="s">
        <v>111</v>
      </c>
      <c r="B38" s="8">
        <v>1.33</v>
      </c>
    </row>
    <row r="39" spans="1:2" ht="14.4">
      <c r="A39" s="6" t="s">
        <v>112</v>
      </c>
      <c r="B39" s="8">
        <v>1.31</v>
      </c>
    </row>
    <row r="40" spans="1:2" ht="14.4">
      <c r="A40" s="6" t="s">
        <v>113</v>
      </c>
      <c r="B40" s="8">
        <v>1.28</v>
      </c>
    </row>
    <row r="41" spans="1:2" ht="14.4">
      <c r="A41" s="6" t="s">
        <v>114</v>
      </c>
      <c r="B41" s="8">
        <v>1.2</v>
      </c>
    </row>
    <row r="42" spans="1:2" ht="14.4">
      <c r="A42" s="6" t="s">
        <v>115</v>
      </c>
      <c r="B42" s="8">
        <v>1.17</v>
      </c>
    </row>
    <row r="43" spans="1:2" ht="14.4">
      <c r="A43" s="6" t="s">
        <v>116</v>
      </c>
      <c r="B43" s="8">
        <v>1.1499999999999999</v>
      </c>
    </row>
    <row r="44" spans="1:2" ht="14.4">
      <c r="A44" s="6" t="s">
        <v>117</v>
      </c>
      <c r="B44" s="8">
        <v>1.1299999999999999</v>
      </c>
    </row>
    <row r="45" spans="1:2" ht="14.4">
      <c r="A45" s="6" t="s">
        <v>118</v>
      </c>
      <c r="B45" s="8">
        <v>1.1200000000000001</v>
      </c>
    </row>
    <row r="46" spans="1:2" ht="14.4">
      <c r="A46" s="6" t="s">
        <v>119</v>
      </c>
      <c r="B46" s="8">
        <v>1.1100000000000001</v>
      </c>
    </row>
    <row r="47" spans="1:2" ht="14.4">
      <c r="A47" s="6" t="s">
        <v>120</v>
      </c>
      <c r="B47" s="8">
        <v>1.0900000000000001</v>
      </c>
    </row>
    <row r="48" spans="1:2" ht="14.4">
      <c r="A48" s="6" t="s">
        <v>121</v>
      </c>
      <c r="B48" s="8">
        <v>1.0900000000000001</v>
      </c>
    </row>
    <row r="49" spans="1:2" ht="14.4">
      <c r="A49" s="6" t="s">
        <v>122</v>
      </c>
      <c r="B49" s="8">
        <v>1.07</v>
      </c>
    </row>
    <row r="50" spans="1:2" ht="14.4">
      <c r="A50" s="6" t="s">
        <v>123</v>
      </c>
      <c r="B50" s="8">
        <v>1.07</v>
      </c>
    </row>
    <row r="51" spans="1:2" ht="14.4">
      <c r="A51" s="6" t="s">
        <v>124</v>
      </c>
      <c r="B51" s="8">
        <v>1.01</v>
      </c>
    </row>
    <row r="52" spans="1:2" ht="14.4">
      <c r="A52" s="6" t="s">
        <v>125</v>
      </c>
      <c r="B52" s="8">
        <v>0.99</v>
      </c>
    </row>
    <row r="53" spans="1:2" ht="14.4">
      <c r="A53" s="6" t="s">
        <v>126</v>
      </c>
      <c r="B53" s="8">
        <v>0.98</v>
      </c>
    </row>
    <row r="54" spans="1:2" ht="14.4">
      <c r="A54" s="6" t="s">
        <v>127</v>
      </c>
      <c r="B54" s="8">
        <v>0.98</v>
      </c>
    </row>
    <row r="55" spans="1:2" ht="14.4">
      <c r="A55" s="6" t="s">
        <v>128</v>
      </c>
      <c r="B55" s="8">
        <v>0.94</v>
      </c>
    </row>
    <row r="56" spans="1:2" ht="14.4">
      <c r="A56" s="6" t="s">
        <v>129</v>
      </c>
      <c r="B56" s="8">
        <v>0.92</v>
      </c>
    </row>
    <row r="57" spans="1:2" ht="14.4">
      <c r="A57" s="6" t="s">
        <v>130</v>
      </c>
      <c r="B57" s="8">
        <v>0.92</v>
      </c>
    </row>
    <row r="58" spans="1:2" ht="14.4">
      <c r="A58" s="6" t="s">
        <v>131</v>
      </c>
      <c r="B58" s="8">
        <v>0.91</v>
      </c>
    </row>
    <row r="59" spans="1:2" ht="14.4">
      <c r="A59" s="6" t="s">
        <v>132</v>
      </c>
      <c r="B59" s="8">
        <v>0.91</v>
      </c>
    </row>
    <row r="60" spans="1:2" ht="14.4">
      <c r="A60" s="6" t="s">
        <v>133</v>
      </c>
      <c r="B60" s="8">
        <v>0.87</v>
      </c>
    </row>
    <row r="61" spans="1:2" ht="14.4">
      <c r="A61" s="6" t="s">
        <v>134</v>
      </c>
      <c r="B61" s="8">
        <v>0.8</v>
      </c>
    </row>
    <row r="62" spans="1:2" ht="14.4">
      <c r="A62" s="6" t="s">
        <v>135</v>
      </c>
      <c r="B62" s="8">
        <v>0.77</v>
      </c>
    </row>
    <row r="63" spans="1:2" ht="14.4">
      <c r="A63" s="6" t="s">
        <v>136</v>
      </c>
      <c r="B63" s="8">
        <v>0.75</v>
      </c>
    </row>
    <row r="64" spans="1:2" ht="14.4">
      <c r="A64" s="6" t="s">
        <v>137</v>
      </c>
      <c r="B64" s="8">
        <v>0.71</v>
      </c>
    </row>
    <row r="65" spans="1:2" ht="14.4">
      <c r="A65" s="6" t="s">
        <v>138</v>
      </c>
      <c r="B65" s="8">
        <v>0.71</v>
      </c>
    </row>
    <row r="66" spans="1:2" ht="14.4">
      <c r="A66" s="6" t="s">
        <v>139</v>
      </c>
      <c r="B66" s="8">
        <v>0.68</v>
      </c>
    </row>
    <row r="67" spans="1:2" ht="14.4">
      <c r="A67" s="6" t="s">
        <v>140</v>
      </c>
      <c r="B67" s="8">
        <v>0.66</v>
      </c>
    </row>
    <row r="68" spans="1:2" ht="14.4">
      <c r="A68" s="6" t="s">
        <v>141</v>
      </c>
      <c r="B68" s="8">
        <v>0.66</v>
      </c>
    </row>
    <row r="69" spans="1:2" ht="14.4">
      <c r="A69" s="6" t="s">
        <v>142</v>
      </c>
      <c r="B69" s="8">
        <v>0.65</v>
      </c>
    </row>
    <row r="70" spans="1:2" ht="14.4">
      <c r="A70" s="6" t="s">
        <v>143</v>
      </c>
      <c r="B70" s="8">
        <v>0.64</v>
      </c>
    </row>
    <row r="71" spans="1:2" ht="14.4">
      <c r="A71" s="6" t="s">
        <v>144</v>
      </c>
      <c r="B71" s="8">
        <v>0.64</v>
      </c>
    </row>
    <row r="72" spans="1:2" ht="14.4">
      <c r="A72" s="6" t="s">
        <v>145</v>
      </c>
      <c r="B72" s="8">
        <v>0.6</v>
      </c>
    </row>
    <row r="73" spans="1:2" ht="14.4">
      <c r="A73" s="6" t="s">
        <v>146</v>
      </c>
      <c r="B73" s="8">
        <v>0.6</v>
      </c>
    </row>
    <row r="74" spans="1:2" ht="14.4">
      <c r="A74" s="6" t="s">
        <v>147</v>
      </c>
      <c r="B74" s="8">
        <v>0.57999999999999996</v>
      </c>
    </row>
    <row r="75" spans="1:2" ht="14.4">
      <c r="A75" s="6" t="s">
        <v>148</v>
      </c>
      <c r="B75" s="8">
        <v>0.56999999999999995</v>
      </c>
    </row>
    <row r="76" spans="1:2" ht="14.4">
      <c r="A76" s="6" t="s">
        <v>149</v>
      </c>
      <c r="B76" s="8">
        <v>0.56999999999999995</v>
      </c>
    </row>
    <row r="77" spans="1:2" ht="14.4">
      <c r="A77" s="6" t="s">
        <v>150</v>
      </c>
      <c r="B77" s="8">
        <v>0.56000000000000005</v>
      </c>
    </row>
    <row r="78" spans="1:2" ht="14.4">
      <c r="A78" s="6" t="s">
        <v>151</v>
      </c>
      <c r="B78" s="8">
        <v>0.51</v>
      </c>
    </row>
    <row r="79" spans="1:2" ht="14.4">
      <c r="A79" s="6" t="s">
        <v>152</v>
      </c>
      <c r="B79" s="8">
        <v>0.51</v>
      </c>
    </row>
    <row r="80" spans="1:2" ht="14.4">
      <c r="A80" s="6" t="s">
        <v>153</v>
      </c>
      <c r="B80" s="8">
        <v>0.47</v>
      </c>
    </row>
    <row r="81" spans="1:2" ht="14.4">
      <c r="A81" s="6" t="s">
        <v>154</v>
      </c>
      <c r="B81" s="8">
        <v>0.46</v>
      </c>
    </row>
    <row r="82" spans="1:2" ht="14.4">
      <c r="A82" s="6" t="s">
        <v>155</v>
      </c>
      <c r="B82" s="8">
        <v>0.44</v>
      </c>
    </row>
    <row r="83" spans="1:2" ht="14.4">
      <c r="A83" s="6" t="s">
        <v>156</v>
      </c>
      <c r="B83" s="8">
        <v>0.43</v>
      </c>
    </row>
    <row r="84" spans="1:2" ht="14.4">
      <c r="A84" s="6" t="s">
        <v>157</v>
      </c>
      <c r="B84" s="8">
        <v>0.42</v>
      </c>
    </row>
    <row r="85" spans="1:2" ht="14.4">
      <c r="A85" s="6" t="s">
        <v>158</v>
      </c>
      <c r="B85" s="8">
        <v>0.41</v>
      </c>
    </row>
    <row r="86" spans="1:2" ht="14.4">
      <c r="A86" s="6" t="s">
        <v>159</v>
      </c>
      <c r="B86" s="8">
        <v>0.39</v>
      </c>
    </row>
    <row r="87" spans="1:2" ht="14.4">
      <c r="A87" s="6" t="s">
        <v>160</v>
      </c>
      <c r="B87" s="8">
        <v>0.37</v>
      </c>
    </row>
    <row r="88" spans="1:2" ht="14.4">
      <c r="A88" s="6" t="s">
        <v>161</v>
      </c>
      <c r="B88" s="8">
        <v>0.36</v>
      </c>
    </row>
    <row r="89" spans="1:2" ht="14.4">
      <c r="A89" s="6" t="s">
        <v>162</v>
      </c>
      <c r="B89" s="8">
        <v>0.34</v>
      </c>
    </row>
    <row r="90" spans="1:2" ht="14.4">
      <c r="A90" s="6" t="s">
        <v>163</v>
      </c>
      <c r="B90" s="8">
        <v>0.34</v>
      </c>
    </row>
    <row r="91" spans="1:2" ht="14.4">
      <c r="A91" s="6" t="s">
        <v>164</v>
      </c>
      <c r="B91" s="8">
        <v>0.28999999999999998</v>
      </c>
    </row>
    <row r="92" spans="1:2" ht="14.4">
      <c r="A92" s="6" t="s">
        <v>165</v>
      </c>
      <c r="B92" s="8">
        <v>0.28000000000000003</v>
      </c>
    </row>
    <row r="93" spans="1:2" ht="14.4">
      <c r="A93" s="6" t="s">
        <v>166</v>
      </c>
      <c r="B93" s="8">
        <v>0.24</v>
      </c>
    </row>
    <row r="94" spans="1:2" ht="14.4">
      <c r="A94" s="6" t="s">
        <v>167</v>
      </c>
      <c r="B94" s="8">
        <v>0.24</v>
      </c>
    </row>
    <row r="95" spans="1:2" ht="14.4">
      <c r="A95" s="6" t="s">
        <v>168</v>
      </c>
      <c r="B95" s="8">
        <v>0.17</v>
      </c>
    </row>
    <row r="96" spans="1:2" ht="14.4">
      <c r="A96" s="6" t="s">
        <v>169</v>
      </c>
      <c r="B96" s="8">
        <v>0</v>
      </c>
    </row>
    <row r="98" spans="2:2" ht="15.75" customHeight="1">
      <c r="B98" t="s">
        <v>768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4:F66"/>
  <sheetViews>
    <sheetView showGridLines="0" topLeftCell="A23" workbookViewId="0">
      <selection activeCell="P28" sqref="P28"/>
    </sheetView>
  </sheetViews>
  <sheetFormatPr defaultColWidth="12.6640625" defaultRowHeight="15.75" customHeight="1"/>
  <cols>
    <col min="1" max="1" width="41.109375" customWidth="1"/>
    <col min="5" max="5" width="32" customWidth="1"/>
  </cols>
  <sheetData>
    <row r="4" spans="1:6" ht="15.75" customHeight="1">
      <c r="A4" s="3" t="s">
        <v>170</v>
      </c>
      <c r="B4" s="3" t="s">
        <v>171</v>
      </c>
      <c r="E4" s="3" t="s">
        <v>172</v>
      </c>
      <c r="F4" s="3" t="s">
        <v>34</v>
      </c>
    </row>
    <row r="5" spans="1:6" ht="15.75" customHeight="1">
      <c r="A5" s="3"/>
      <c r="E5" s="3" t="s">
        <v>12</v>
      </c>
      <c r="F5" s="3">
        <v>27.57</v>
      </c>
    </row>
    <row r="6" spans="1:6" ht="15.75" customHeight="1">
      <c r="A6" s="3" t="s">
        <v>174</v>
      </c>
      <c r="B6" s="3">
        <v>1.38</v>
      </c>
      <c r="E6" s="3" t="s">
        <v>20</v>
      </c>
      <c r="F6" s="3">
        <v>8.56</v>
      </c>
    </row>
    <row r="7" spans="1:6" ht="15.75" customHeight="1">
      <c r="A7" s="3" t="s">
        <v>176</v>
      </c>
      <c r="B7" s="3">
        <v>1.41</v>
      </c>
      <c r="E7" s="3" t="s">
        <v>18</v>
      </c>
      <c r="F7" s="3">
        <v>7.29</v>
      </c>
    </row>
    <row r="8" spans="1:6" ht="15.75" customHeight="1">
      <c r="A8" s="3" t="s">
        <v>179</v>
      </c>
      <c r="B8" s="3">
        <v>3.82</v>
      </c>
      <c r="E8" s="3" t="s">
        <v>13</v>
      </c>
      <c r="F8" s="3">
        <v>6.21</v>
      </c>
    </row>
    <row r="9" spans="1:6" ht="15.75" customHeight="1">
      <c r="A9" s="3" t="s">
        <v>180</v>
      </c>
      <c r="B9" s="3">
        <v>0.51</v>
      </c>
      <c r="E9" s="3" t="s">
        <v>177</v>
      </c>
      <c r="F9" s="3">
        <v>5.95</v>
      </c>
    </row>
    <row r="10" spans="1:6" ht="15.75" customHeight="1">
      <c r="A10" s="3" t="s">
        <v>183</v>
      </c>
      <c r="B10" s="3">
        <v>8.33</v>
      </c>
      <c r="E10" s="3" t="s">
        <v>16</v>
      </c>
      <c r="F10" s="3">
        <v>5.37</v>
      </c>
    </row>
    <row r="11" spans="1:6" ht="15.75" customHeight="1">
      <c r="A11" s="3" t="s">
        <v>184</v>
      </c>
      <c r="B11" s="3">
        <v>6.77</v>
      </c>
      <c r="E11" s="3" t="s">
        <v>178</v>
      </c>
      <c r="F11" s="3">
        <v>4.6500000000000004</v>
      </c>
    </row>
    <row r="12" spans="1:6" ht="15.75" customHeight="1">
      <c r="A12" s="3" t="s">
        <v>186</v>
      </c>
      <c r="B12" s="3">
        <v>4.3</v>
      </c>
      <c r="E12" s="3" t="s">
        <v>25</v>
      </c>
      <c r="F12" s="3">
        <v>4.43</v>
      </c>
    </row>
    <row r="13" spans="1:6" ht="15.75" customHeight="1">
      <c r="A13" s="3" t="s">
        <v>188</v>
      </c>
      <c r="B13" s="3">
        <v>4.0599999999999996</v>
      </c>
      <c r="E13" s="3" t="s">
        <v>79</v>
      </c>
      <c r="F13" s="3">
        <v>4.07</v>
      </c>
    </row>
    <row r="14" spans="1:6" ht="15.75" customHeight="1">
      <c r="A14" s="3" t="s">
        <v>15</v>
      </c>
      <c r="B14" s="3">
        <v>3.47</v>
      </c>
      <c r="E14" s="3" t="s">
        <v>181</v>
      </c>
      <c r="F14" s="3">
        <v>3.91</v>
      </c>
    </row>
    <row r="15" spans="1:6" ht="15.75" customHeight="1">
      <c r="A15" s="3" t="s">
        <v>191</v>
      </c>
      <c r="B15" s="3">
        <v>1</v>
      </c>
      <c r="E15" s="3" t="s">
        <v>182</v>
      </c>
      <c r="F15" s="3">
        <v>2.93</v>
      </c>
    </row>
    <row r="16" spans="1:6" ht="15.75" customHeight="1">
      <c r="A16" s="3" t="s">
        <v>194</v>
      </c>
      <c r="B16" s="3">
        <v>1.74</v>
      </c>
      <c r="E16" s="3" t="s">
        <v>24</v>
      </c>
      <c r="F16" s="3">
        <v>2.36</v>
      </c>
    </row>
    <row r="17" spans="1:6" ht="15.75" customHeight="1">
      <c r="A17" s="3" t="s">
        <v>198</v>
      </c>
      <c r="B17" s="3">
        <v>3.82</v>
      </c>
      <c r="E17" s="3" t="s">
        <v>185</v>
      </c>
      <c r="F17" s="3">
        <v>1.83</v>
      </c>
    </row>
    <row r="18" spans="1:6" ht="15.75" customHeight="1">
      <c r="A18" s="3" t="s">
        <v>200</v>
      </c>
      <c r="B18" s="3">
        <v>2.02</v>
      </c>
      <c r="E18" s="3" t="s">
        <v>187</v>
      </c>
      <c r="F18" s="3">
        <v>1.78</v>
      </c>
    </row>
    <row r="19" spans="1:6" ht="15.75" customHeight="1">
      <c r="A19" s="3" t="s">
        <v>201</v>
      </c>
      <c r="B19" s="3">
        <v>1.1399999999999999</v>
      </c>
      <c r="E19" s="3" t="s">
        <v>88</v>
      </c>
      <c r="F19" s="3">
        <v>1.76</v>
      </c>
    </row>
    <row r="20" spans="1:6" ht="15.75" customHeight="1">
      <c r="A20" s="3" t="s">
        <v>202</v>
      </c>
      <c r="B20" s="3">
        <v>1.04</v>
      </c>
      <c r="E20" s="3" t="s">
        <v>189</v>
      </c>
      <c r="F20" s="3">
        <v>1.63</v>
      </c>
    </row>
    <row r="21" spans="1:6" ht="15.75" customHeight="1">
      <c r="A21" s="3" t="s">
        <v>203</v>
      </c>
      <c r="B21" s="3">
        <v>0.52</v>
      </c>
      <c r="E21" s="3" t="s">
        <v>175</v>
      </c>
      <c r="F21" s="3">
        <v>1.44</v>
      </c>
    </row>
    <row r="22" spans="1:6" ht="15.75" customHeight="1">
      <c r="A22" s="3" t="s">
        <v>204</v>
      </c>
      <c r="B22" s="3">
        <v>0.52</v>
      </c>
      <c r="E22" s="3" t="s">
        <v>173</v>
      </c>
      <c r="F22" s="3">
        <v>1.41</v>
      </c>
    </row>
    <row r="23" spans="1:6" ht="15.75" customHeight="1">
      <c r="A23" s="3" t="s">
        <v>205</v>
      </c>
      <c r="B23" s="3">
        <v>1.31</v>
      </c>
      <c r="E23" s="3" t="s">
        <v>192</v>
      </c>
      <c r="F23" s="3">
        <v>1.34</v>
      </c>
    </row>
    <row r="24" spans="1:6" ht="15.75" customHeight="1">
      <c r="A24" s="3" t="s">
        <v>206</v>
      </c>
      <c r="B24" s="3">
        <v>1.24</v>
      </c>
      <c r="E24" s="3" t="s">
        <v>193</v>
      </c>
      <c r="F24" s="3">
        <v>1.27</v>
      </c>
    </row>
    <row r="25" spans="1:6" ht="15.75" customHeight="1">
      <c r="A25" s="3" t="s">
        <v>207</v>
      </c>
      <c r="B25" s="3">
        <v>1.2</v>
      </c>
      <c r="E25" s="3" t="s">
        <v>190</v>
      </c>
      <c r="F25" s="3">
        <v>1.02</v>
      </c>
    </row>
    <row r="26" spans="1:6" ht="15.75" customHeight="1">
      <c r="A26" s="3" t="s">
        <v>208</v>
      </c>
      <c r="B26" s="3">
        <v>1.1000000000000001</v>
      </c>
      <c r="E26" s="3" t="s">
        <v>195</v>
      </c>
      <c r="F26" s="3">
        <v>0.94</v>
      </c>
    </row>
    <row r="27" spans="1:6" ht="15.75" customHeight="1">
      <c r="A27" s="3" t="s">
        <v>50</v>
      </c>
      <c r="B27" s="3">
        <v>1.59</v>
      </c>
      <c r="E27" s="3" t="s">
        <v>196</v>
      </c>
      <c r="F27" s="3">
        <v>0.88</v>
      </c>
    </row>
    <row r="28" spans="1:6" ht="15.75" customHeight="1">
      <c r="A28" s="3" t="s">
        <v>209</v>
      </c>
      <c r="B28" s="3">
        <v>1.54</v>
      </c>
      <c r="E28" s="3" t="s">
        <v>197</v>
      </c>
      <c r="F28" s="3">
        <v>0.87</v>
      </c>
    </row>
    <row r="29" spans="1:6" ht="15.75" customHeight="1">
      <c r="A29" s="3" t="s">
        <v>210</v>
      </c>
      <c r="B29" s="3">
        <v>1.32</v>
      </c>
      <c r="E29" s="3" t="s">
        <v>199</v>
      </c>
      <c r="F29" s="3">
        <v>0.52</v>
      </c>
    </row>
    <row r="30" spans="1:6" ht="13.2">
      <c r="A30" s="3" t="s">
        <v>211</v>
      </c>
      <c r="B30" s="3">
        <v>3</v>
      </c>
    </row>
    <row r="31" spans="1:6" ht="13.2">
      <c r="A31" s="3" t="s">
        <v>212</v>
      </c>
      <c r="B31" s="3">
        <v>1.54</v>
      </c>
    </row>
    <row r="32" spans="1:6" ht="13.2">
      <c r="A32" s="3" t="s">
        <v>213</v>
      </c>
      <c r="B32" s="3">
        <v>0.85</v>
      </c>
    </row>
    <row r="33" spans="1:2" ht="13.2">
      <c r="A33" s="3" t="s">
        <v>214</v>
      </c>
      <c r="B33" s="3">
        <v>3.64</v>
      </c>
    </row>
    <row r="34" spans="1:2" ht="13.2">
      <c r="A34" s="3" t="s">
        <v>215</v>
      </c>
      <c r="B34" s="3">
        <v>2.16</v>
      </c>
    </row>
    <row r="35" spans="1:2" ht="13.2">
      <c r="A35" s="3" t="s">
        <v>216</v>
      </c>
      <c r="B35" s="3">
        <v>0.74</v>
      </c>
    </row>
    <row r="36" spans="1:2" ht="13.2">
      <c r="A36" s="3" t="s">
        <v>217</v>
      </c>
      <c r="B36" s="3">
        <v>0.59</v>
      </c>
    </row>
    <row r="37" spans="1:2" ht="13.2">
      <c r="A37" s="3" t="s">
        <v>218</v>
      </c>
      <c r="B37" s="3">
        <v>1.78</v>
      </c>
    </row>
    <row r="38" spans="1:2" ht="13.2">
      <c r="A38" s="3" t="s">
        <v>219</v>
      </c>
      <c r="B38" s="3">
        <v>0.51</v>
      </c>
    </row>
    <row r="39" spans="1:2" ht="13.2">
      <c r="A39" s="3" t="s">
        <v>220</v>
      </c>
      <c r="B39" s="3">
        <v>0.92</v>
      </c>
    </row>
    <row r="40" spans="1:2" ht="13.2">
      <c r="A40" s="3" t="s">
        <v>221</v>
      </c>
      <c r="B40" s="3">
        <v>5.81</v>
      </c>
    </row>
    <row r="41" spans="1:2" ht="13.2">
      <c r="A41" s="3" t="s">
        <v>222</v>
      </c>
      <c r="B41" s="3">
        <v>2.2000000000000002</v>
      </c>
    </row>
    <row r="42" spans="1:2" ht="13.2">
      <c r="A42" s="3" t="s">
        <v>223</v>
      </c>
      <c r="B42" s="3">
        <v>1.4</v>
      </c>
    </row>
    <row r="43" spans="1:2" ht="13.2">
      <c r="A43" s="3" t="s">
        <v>224</v>
      </c>
      <c r="B43" s="3">
        <v>1.24</v>
      </c>
    </row>
    <row r="44" spans="1:2" ht="13.2">
      <c r="A44" s="3" t="s">
        <v>225</v>
      </c>
      <c r="B44" s="3">
        <v>1.22</v>
      </c>
    </row>
    <row r="45" spans="1:2" ht="13.2">
      <c r="A45" s="3" t="s">
        <v>226</v>
      </c>
      <c r="B45" s="3">
        <v>2.41</v>
      </c>
    </row>
    <row r="46" spans="1:2" ht="13.2">
      <c r="A46" s="3" t="s">
        <v>227</v>
      </c>
      <c r="B46" s="3">
        <v>1.56</v>
      </c>
    </row>
    <row r="47" spans="1:2" ht="13.2">
      <c r="A47" s="3" t="s">
        <v>228</v>
      </c>
      <c r="B47" s="3">
        <v>1.1200000000000001</v>
      </c>
    </row>
    <row r="48" spans="1:2" ht="13.2">
      <c r="A48" s="3" t="s">
        <v>229</v>
      </c>
      <c r="B48" s="3">
        <v>0.6</v>
      </c>
    </row>
    <row r="49" spans="1:2" ht="13.2">
      <c r="A49" s="3" t="s">
        <v>230</v>
      </c>
      <c r="B49" s="3">
        <v>4.67</v>
      </c>
    </row>
    <row r="50" spans="1:2" ht="13.2">
      <c r="A50" s="3" t="s">
        <v>231</v>
      </c>
      <c r="B50" s="3">
        <v>1.03</v>
      </c>
    </row>
    <row r="51" spans="1:2" ht="13.2">
      <c r="A51" s="3" t="s">
        <v>232</v>
      </c>
      <c r="B51" s="3">
        <v>0.97</v>
      </c>
    </row>
    <row r="52" spans="1:2" ht="13.2">
      <c r="A52" s="3" t="s">
        <v>233</v>
      </c>
      <c r="B52" s="3">
        <v>0.94</v>
      </c>
    </row>
    <row r="53" spans="1:2" ht="13.2">
      <c r="A53" s="3" t="s">
        <v>234</v>
      </c>
      <c r="B53" s="3">
        <v>0.74</v>
      </c>
    </row>
    <row r="54" spans="1:2" ht="13.2">
      <c r="A54" s="3" t="s">
        <v>235</v>
      </c>
      <c r="B54" s="3">
        <v>0.86</v>
      </c>
    </row>
    <row r="55" spans="1:2" ht="13.2"/>
    <row r="56" spans="1:2" ht="13.2"/>
    <row r="57" spans="1:2" ht="13.2"/>
    <row r="58" spans="1:2" ht="13.2"/>
    <row r="59" spans="1:2" ht="13.2"/>
    <row r="60" spans="1:2" ht="13.2"/>
    <row r="61" spans="1:2" ht="13.2"/>
    <row r="62" spans="1:2" ht="13.2"/>
    <row r="63" spans="1:2" ht="13.2"/>
    <row r="64" spans="1:2" ht="13.2"/>
    <row r="65" ht="13.2"/>
    <row r="66" ht="13.2"/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P85"/>
  <sheetViews>
    <sheetView showGridLines="0" topLeftCell="A8" workbookViewId="0">
      <selection activeCell="P28" sqref="P28"/>
    </sheetView>
  </sheetViews>
  <sheetFormatPr defaultColWidth="12.6640625" defaultRowHeight="15.75" customHeight="1"/>
  <cols>
    <col min="1" max="1" width="39.6640625" customWidth="1"/>
  </cols>
  <sheetData>
    <row r="1" spans="1:2" ht="15.75" customHeight="1">
      <c r="A1" t="s">
        <v>672</v>
      </c>
      <c r="B1" t="s">
        <v>625</v>
      </c>
    </row>
    <row r="2" spans="1:2" ht="13.2">
      <c r="A2" t="s">
        <v>679</v>
      </c>
      <c r="B2" s="37">
        <v>4.53E-2</v>
      </c>
    </row>
    <row r="3" spans="1:2" ht="15.75" customHeight="1">
      <c r="A3" t="s">
        <v>680</v>
      </c>
      <c r="B3" s="37">
        <v>3.1099999999999999E-2</v>
      </c>
    </row>
    <row r="4" spans="1:2" ht="15.75" customHeight="1">
      <c r="A4" t="s">
        <v>681</v>
      </c>
      <c r="B4" s="37">
        <v>0.03</v>
      </c>
    </row>
    <row r="5" spans="1:2" ht="15.75" customHeight="1">
      <c r="A5" t="s">
        <v>682</v>
      </c>
      <c r="B5" s="37">
        <v>2.87E-2</v>
      </c>
    </row>
    <row r="6" spans="1:2" ht="15.75" customHeight="1">
      <c r="A6" t="s">
        <v>683</v>
      </c>
      <c r="B6" s="37">
        <v>2.8199999999999999E-2</v>
      </c>
    </row>
    <row r="7" spans="1:2" ht="15.75" customHeight="1">
      <c r="A7" t="s">
        <v>684</v>
      </c>
      <c r="B7" s="37">
        <v>2.6599999999999999E-2</v>
      </c>
    </row>
    <row r="8" spans="1:2" ht="15.75" customHeight="1">
      <c r="A8" t="s">
        <v>685</v>
      </c>
      <c r="B8" s="37">
        <v>2.6599999999999999E-2</v>
      </c>
    </row>
    <row r="9" spans="1:2" ht="15.75" customHeight="1">
      <c r="A9" t="s">
        <v>686</v>
      </c>
      <c r="B9" s="37">
        <v>2.2100000000000002E-2</v>
      </c>
    </row>
    <row r="10" spans="1:2" ht="15.75" customHeight="1">
      <c r="A10" t="s">
        <v>687</v>
      </c>
      <c r="B10" s="37">
        <v>2.18E-2</v>
      </c>
    </row>
    <row r="11" spans="1:2" ht="15.75" customHeight="1">
      <c r="A11" t="s">
        <v>688</v>
      </c>
      <c r="B11" s="37">
        <v>2.1499999999999998E-2</v>
      </c>
    </row>
    <row r="12" spans="1:2" ht="15.75" customHeight="1">
      <c r="A12" t="s">
        <v>689</v>
      </c>
      <c r="B12" s="37">
        <v>2.1100000000000001E-2</v>
      </c>
    </row>
    <row r="13" spans="1:2" ht="15.75" customHeight="1">
      <c r="A13" t="s">
        <v>690</v>
      </c>
      <c r="B13" s="37">
        <v>2.0899999999999998E-2</v>
      </c>
    </row>
    <row r="14" spans="1:2" ht="15.75" customHeight="1">
      <c r="A14" t="s">
        <v>691</v>
      </c>
      <c r="B14" s="37">
        <v>2.0799999999999999E-2</v>
      </c>
    </row>
    <row r="15" spans="1:2" ht="15.75" customHeight="1">
      <c r="A15" t="s">
        <v>692</v>
      </c>
      <c r="B15" s="37">
        <v>1.9599999999999999E-2</v>
      </c>
    </row>
    <row r="16" spans="1:2" ht="15.75" customHeight="1">
      <c r="A16" t="s">
        <v>675</v>
      </c>
      <c r="B16" s="37">
        <v>1.9E-2</v>
      </c>
    </row>
    <row r="17" spans="1:16" ht="15.75" customHeight="1">
      <c r="A17" t="s">
        <v>693</v>
      </c>
      <c r="B17" s="37">
        <v>1.8800000000000001E-2</v>
      </c>
    </row>
    <row r="18" spans="1:16" ht="15.75" customHeight="1">
      <c r="A18" t="s">
        <v>694</v>
      </c>
      <c r="B18" s="37">
        <v>1.8200000000000001E-2</v>
      </c>
    </row>
    <row r="19" spans="1:16" ht="15.75" customHeight="1">
      <c r="A19" t="s">
        <v>632</v>
      </c>
      <c r="B19" s="37">
        <v>1.7999999999999999E-2</v>
      </c>
    </row>
    <row r="20" spans="1:16" ht="15.75" customHeight="1">
      <c r="A20" t="s">
        <v>695</v>
      </c>
      <c r="B20" s="37">
        <v>1.6500000000000001E-2</v>
      </c>
    </row>
    <row r="21" spans="1:16" ht="17.399999999999999">
      <c r="A21" t="s">
        <v>696</v>
      </c>
      <c r="B21" s="37">
        <v>1.4999999999999999E-2</v>
      </c>
      <c r="C21" s="9" t="s">
        <v>245</v>
      </c>
    </row>
    <row r="22" spans="1:16" ht="15.75" customHeight="1">
      <c r="A22" t="s">
        <v>697</v>
      </c>
      <c r="B22" s="37">
        <v>1.49E-2</v>
      </c>
      <c r="C22" s="10" t="s">
        <v>236</v>
      </c>
    </row>
    <row r="23" spans="1:16" ht="15.75" customHeight="1">
      <c r="A23" t="s">
        <v>673</v>
      </c>
      <c r="B23" s="37">
        <v>1.4800000000000001E-2</v>
      </c>
      <c r="C23" s="15" t="s">
        <v>247</v>
      </c>
    </row>
    <row r="24" spans="1:16" ht="15.75" customHeight="1">
      <c r="A24" t="s">
        <v>674</v>
      </c>
      <c r="B24" s="37">
        <v>1.41E-2</v>
      </c>
      <c r="C24" s="16" t="s">
        <v>34</v>
      </c>
    </row>
    <row r="25" spans="1:16" ht="15.75" customHeight="1">
      <c r="A25" t="s">
        <v>698</v>
      </c>
      <c r="B25" s="37">
        <v>1.41E-2</v>
      </c>
      <c r="C25" s="17"/>
    </row>
    <row r="26" spans="1:16" ht="15.75" customHeight="1">
      <c r="A26" t="s">
        <v>699</v>
      </c>
      <c r="B26" s="37">
        <v>1.3599999999999999E-2</v>
      </c>
      <c r="C26" s="11" t="s">
        <v>10</v>
      </c>
      <c r="D26" s="18">
        <v>46138</v>
      </c>
      <c r="E26" s="18">
        <v>46107</v>
      </c>
      <c r="F26" s="18">
        <v>46079</v>
      </c>
      <c r="G26" s="18">
        <v>46048</v>
      </c>
      <c r="H26" s="18">
        <v>46381</v>
      </c>
      <c r="I26" s="18">
        <v>46351</v>
      </c>
      <c r="J26" s="18">
        <v>46320</v>
      </c>
      <c r="K26" s="18">
        <v>46290</v>
      </c>
      <c r="L26" s="18">
        <v>46259</v>
      </c>
      <c r="M26" s="18">
        <v>46228</v>
      </c>
      <c r="N26" s="18">
        <v>46198</v>
      </c>
      <c r="O26" s="19">
        <v>46167</v>
      </c>
      <c r="P26" s="12"/>
    </row>
    <row r="27" spans="1:16" ht="15.75" customHeight="1">
      <c r="A27" t="s">
        <v>700</v>
      </c>
      <c r="B27" s="37">
        <v>1.3100000000000001E-2</v>
      </c>
      <c r="C27" s="20" t="s">
        <v>96</v>
      </c>
      <c r="D27" s="14" t="s">
        <v>249</v>
      </c>
      <c r="E27" s="14" t="s">
        <v>250</v>
      </c>
      <c r="F27" s="14" t="s">
        <v>251</v>
      </c>
      <c r="G27" s="14" t="s">
        <v>252</v>
      </c>
      <c r="H27" s="14" t="s">
        <v>253</v>
      </c>
      <c r="I27" s="14" t="s">
        <v>254</v>
      </c>
      <c r="J27" s="14" t="s">
        <v>255</v>
      </c>
      <c r="K27" s="14" t="s">
        <v>256</v>
      </c>
      <c r="L27" s="14" t="s">
        <v>257</v>
      </c>
      <c r="M27" s="14" t="s">
        <v>258</v>
      </c>
      <c r="N27" s="14" t="s">
        <v>259</v>
      </c>
      <c r="O27" s="14" t="s">
        <v>260</v>
      </c>
      <c r="P27" s="21"/>
    </row>
    <row r="28" spans="1:16" ht="15.75" customHeight="1">
      <c r="A28" t="s">
        <v>701</v>
      </c>
      <c r="B28" s="37">
        <v>1.2999999999999999E-2</v>
      </c>
      <c r="C28" s="20" t="s">
        <v>66</v>
      </c>
      <c r="D28" s="14" t="s">
        <v>261</v>
      </c>
      <c r="E28" s="14" t="s">
        <v>262</v>
      </c>
      <c r="F28" s="14" t="s">
        <v>263</v>
      </c>
      <c r="G28" s="14" t="s">
        <v>264</v>
      </c>
      <c r="H28" s="14" t="s">
        <v>265</v>
      </c>
      <c r="I28" s="14" t="s">
        <v>266</v>
      </c>
      <c r="J28" s="14" t="s">
        <v>267</v>
      </c>
      <c r="K28" s="14" t="s">
        <v>268</v>
      </c>
      <c r="L28" s="14" t="s">
        <v>269</v>
      </c>
      <c r="M28" s="14" t="s">
        <v>270</v>
      </c>
      <c r="N28" s="14" t="s">
        <v>271</v>
      </c>
      <c r="O28" s="14" t="s">
        <v>272</v>
      </c>
      <c r="P28" s="21"/>
    </row>
    <row r="29" spans="1:16" ht="15.75" customHeight="1">
      <c r="A29" t="s">
        <v>702</v>
      </c>
      <c r="B29" s="37">
        <v>1.2800000000000001E-2</v>
      </c>
      <c r="C29" s="20" t="s">
        <v>57</v>
      </c>
      <c r="D29" s="14" t="s">
        <v>274</v>
      </c>
      <c r="E29" s="14" t="s">
        <v>275</v>
      </c>
      <c r="F29" s="14" t="s">
        <v>276</v>
      </c>
      <c r="G29" s="14" t="s">
        <v>277</v>
      </c>
      <c r="H29" s="14" t="s">
        <v>278</v>
      </c>
      <c r="I29" s="14" t="s">
        <v>279</v>
      </c>
      <c r="J29" s="14" t="s">
        <v>280</v>
      </c>
      <c r="K29" s="14" t="s">
        <v>281</v>
      </c>
      <c r="L29" s="14" t="s">
        <v>282</v>
      </c>
      <c r="M29" s="14" t="s">
        <v>283</v>
      </c>
      <c r="N29" s="14" t="s">
        <v>284</v>
      </c>
      <c r="O29" s="14" t="s">
        <v>285</v>
      </c>
      <c r="P29" s="21"/>
    </row>
    <row r="30" spans="1:16" ht="13.8">
      <c r="A30" t="s">
        <v>703</v>
      </c>
      <c r="B30" s="37">
        <v>1.2800000000000001E-2</v>
      </c>
      <c r="C30" s="20" t="s">
        <v>237</v>
      </c>
      <c r="D30" s="14" t="s">
        <v>287</v>
      </c>
      <c r="E30" s="14" t="s">
        <v>288</v>
      </c>
      <c r="F30" s="14" t="s">
        <v>289</v>
      </c>
      <c r="G30" s="14" t="s">
        <v>290</v>
      </c>
      <c r="H30" s="14" t="s">
        <v>291</v>
      </c>
      <c r="I30" s="14" t="s">
        <v>292</v>
      </c>
      <c r="J30" s="14" t="s">
        <v>293</v>
      </c>
      <c r="K30" s="14" t="s">
        <v>294</v>
      </c>
      <c r="L30" s="14" t="s">
        <v>295</v>
      </c>
      <c r="M30" s="14" t="s">
        <v>296</v>
      </c>
      <c r="N30" s="14" t="s">
        <v>297</v>
      </c>
      <c r="O30" s="14" t="s">
        <v>298</v>
      </c>
      <c r="P30" s="21"/>
    </row>
    <row r="31" spans="1:16" ht="13.8">
      <c r="A31" t="s">
        <v>704</v>
      </c>
      <c r="B31" s="37">
        <v>1.2800000000000001E-2</v>
      </c>
      <c r="C31" s="20" t="s">
        <v>244</v>
      </c>
      <c r="D31" s="14" t="s">
        <v>300</v>
      </c>
      <c r="E31" s="14" t="s">
        <v>300</v>
      </c>
      <c r="F31" s="14" t="s">
        <v>301</v>
      </c>
      <c r="G31" s="14" t="s">
        <v>302</v>
      </c>
      <c r="H31" s="14" t="s">
        <v>303</v>
      </c>
      <c r="I31" s="14" t="s">
        <v>304</v>
      </c>
      <c r="J31" s="14" t="s">
        <v>305</v>
      </c>
      <c r="K31" s="14" t="s">
        <v>306</v>
      </c>
      <c r="L31" s="14" t="s">
        <v>307</v>
      </c>
      <c r="M31" s="14" t="s">
        <v>308</v>
      </c>
      <c r="N31" s="14" t="s">
        <v>309</v>
      </c>
      <c r="O31" s="14" t="s">
        <v>310</v>
      </c>
      <c r="P31" s="21"/>
    </row>
    <row r="32" spans="1:16" ht="13.8">
      <c r="A32" t="s">
        <v>676</v>
      </c>
      <c r="B32" s="37">
        <v>0.35199999999999998</v>
      </c>
      <c r="C32" s="20" t="s">
        <v>75</v>
      </c>
      <c r="D32" s="14" t="s">
        <v>311</v>
      </c>
      <c r="E32" s="14" t="s">
        <v>312</v>
      </c>
      <c r="F32" s="14" t="s">
        <v>313</v>
      </c>
      <c r="G32" s="14" t="s">
        <v>314</v>
      </c>
      <c r="H32" s="14" t="s">
        <v>315</v>
      </c>
      <c r="I32" s="14" t="s">
        <v>316</v>
      </c>
      <c r="J32" s="14" t="s">
        <v>317</v>
      </c>
      <c r="K32" s="14" t="s">
        <v>318</v>
      </c>
      <c r="L32" s="14" t="s">
        <v>319</v>
      </c>
      <c r="M32" s="14" t="s">
        <v>302</v>
      </c>
      <c r="N32" s="14" t="s">
        <v>320</v>
      </c>
      <c r="O32" s="14" t="s">
        <v>321</v>
      </c>
      <c r="P32" s="21"/>
    </row>
    <row r="33" spans="1:16" ht="13.8">
      <c r="A33" t="s">
        <v>677</v>
      </c>
      <c r="B33" s="37">
        <v>0.95799999999999996</v>
      </c>
      <c r="C33" s="20" t="s">
        <v>238</v>
      </c>
      <c r="D33" s="14" t="s">
        <v>322</v>
      </c>
      <c r="E33" s="14" t="s">
        <v>323</v>
      </c>
      <c r="F33" s="14" t="s">
        <v>324</v>
      </c>
      <c r="G33" s="14" t="s">
        <v>325</v>
      </c>
      <c r="H33" s="14" t="s">
        <v>326</v>
      </c>
      <c r="I33" s="14" t="s">
        <v>327</v>
      </c>
      <c r="J33" s="14" t="s">
        <v>328</v>
      </c>
      <c r="K33" s="14" t="s">
        <v>329</v>
      </c>
      <c r="L33" s="14" t="s">
        <v>242</v>
      </c>
      <c r="M33" s="14" t="s">
        <v>330</v>
      </c>
      <c r="N33" s="14" t="s">
        <v>331</v>
      </c>
      <c r="O33" s="14" t="s">
        <v>332</v>
      </c>
      <c r="P33" s="21"/>
    </row>
    <row r="34" spans="1:16" ht="13.8">
      <c r="A34" t="s">
        <v>678</v>
      </c>
      <c r="B34" s="37">
        <v>4.2000000000000003E-2</v>
      </c>
      <c r="C34" s="20" t="s">
        <v>273</v>
      </c>
      <c r="D34" s="14" t="s">
        <v>334</v>
      </c>
      <c r="E34" s="14" t="s">
        <v>335</v>
      </c>
      <c r="F34" s="14" t="s">
        <v>336</v>
      </c>
      <c r="G34" s="14" t="s">
        <v>337</v>
      </c>
      <c r="H34" s="14" t="s">
        <v>338</v>
      </c>
      <c r="I34" s="14" t="s">
        <v>339</v>
      </c>
      <c r="J34" s="14" t="s">
        <v>325</v>
      </c>
      <c r="K34" s="14" t="s">
        <v>340</v>
      </c>
      <c r="L34" s="14" t="s">
        <v>341</v>
      </c>
      <c r="M34" s="14" t="s">
        <v>342</v>
      </c>
      <c r="N34" s="14" t="s">
        <v>343</v>
      </c>
      <c r="O34" s="14" t="s">
        <v>344</v>
      </c>
      <c r="P34" s="21"/>
    </row>
    <row r="35" spans="1:16" ht="13.8">
      <c r="A35" t="s">
        <v>433</v>
      </c>
      <c r="B35" s="37">
        <v>1</v>
      </c>
      <c r="C35" s="20" t="s">
        <v>181</v>
      </c>
      <c r="D35" s="14" t="s">
        <v>345</v>
      </c>
      <c r="E35" s="14" t="s">
        <v>346</v>
      </c>
      <c r="F35" s="14" t="s">
        <v>347</v>
      </c>
      <c r="G35" s="14" t="s">
        <v>342</v>
      </c>
      <c r="H35" s="14" t="s">
        <v>348</v>
      </c>
      <c r="I35" s="14" t="s">
        <v>339</v>
      </c>
      <c r="J35" s="14" t="s">
        <v>349</v>
      </c>
      <c r="K35" s="14" t="s">
        <v>350</v>
      </c>
      <c r="L35" s="14" t="s">
        <v>351</v>
      </c>
      <c r="M35" s="14" t="s">
        <v>352</v>
      </c>
      <c r="N35" s="14" t="s">
        <v>353</v>
      </c>
      <c r="O35" s="14" t="s">
        <v>354</v>
      </c>
      <c r="P35" s="21"/>
    </row>
    <row r="36" spans="1:16" ht="13.8">
      <c r="A36" s="13"/>
      <c r="B36" s="37"/>
      <c r="C36" s="20" t="s">
        <v>54</v>
      </c>
      <c r="D36" s="14" t="s">
        <v>356</v>
      </c>
      <c r="E36" s="14" t="s">
        <v>357</v>
      </c>
      <c r="F36" s="14" t="s">
        <v>358</v>
      </c>
      <c r="G36" s="14" t="s">
        <v>359</v>
      </c>
      <c r="H36" s="14" t="s">
        <v>360</v>
      </c>
      <c r="I36" s="14" t="s">
        <v>361</v>
      </c>
      <c r="J36" s="14" t="s">
        <v>362</v>
      </c>
      <c r="K36" s="14" t="s">
        <v>316</v>
      </c>
      <c r="L36" s="14" t="s">
        <v>363</v>
      </c>
      <c r="M36" s="14" t="s">
        <v>301</v>
      </c>
      <c r="N36" s="14" t="s">
        <v>364</v>
      </c>
      <c r="O36" s="14" t="s">
        <v>365</v>
      </c>
      <c r="P36" s="21"/>
    </row>
    <row r="37" spans="1:16" ht="13.8">
      <c r="A37" s="13"/>
      <c r="B37" s="37"/>
      <c r="C37" s="20" t="s">
        <v>333</v>
      </c>
      <c r="D37" s="14" t="s">
        <v>366</v>
      </c>
      <c r="E37" s="14" t="s">
        <v>367</v>
      </c>
      <c r="F37" s="14" t="s">
        <v>368</v>
      </c>
      <c r="G37" s="14" t="s">
        <v>369</v>
      </c>
      <c r="H37" s="14" t="s">
        <v>370</v>
      </c>
      <c r="I37" s="14" t="s">
        <v>371</v>
      </c>
      <c r="J37" s="14" t="s">
        <v>371</v>
      </c>
      <c r="K37" s="14" t="s">
        <v>372</v>
      </c>
      <c r="L37" s="14" t="s">
        <v>241</v>
      </c>
      <c r="M37" s="14" t="s">
        <v>243</v>
      </c>
      <c r="N37" s="14" t="s">
        <v>239</v>
      </c>
      <c r="O37" s="14" t="s">
        <v>373</v>
      </c>
      <c r="P37" s="21"/>
    </row>
    <row r="38" spans="1:16" ht="13.8">
      <c r="A38" s="13"/>
      <c r="B38" s="37"/>
      <c r="C38" s="20" t="s">
        <v>51</v>
      </c>
      <c r="D38" s="14" t="s">
        <v>246</v>
      </c>
      <c r="E38" s="14" t="s">
        <v>374</v>
      </c>
      <c r="F38" s="14" t="s">
        <v>375</v>
      </c>
      <c r="G38" s="14" t="s">
        <v>376</v>
      </c>
      <c r="H38" s="14" t="s">
        <v>376</v>
      </c>
      <c r="I38" s="14" t="s">
        <v>246</v>
      </c>
      <c r="J38" s="14" t="s">
        <v>377</v>
      </c>
      <c r="K38" s="14" t="s">
        <v>378</v>
      </c>
      <c r="L38" s="14" t="s">
        <v>241</v>
      </c>
      <c r="M38" s="14" t="s">
        <v>379</v>
      </c>
      <c r="N38" s="14" t="s">
        <v>240</v>
      </c>
      <c r="O38" s="14" t="s">
        <v>380</v>
      </c>
      <c r="P38" s="21"/>
    </row>
    <row r="39" spans="1:16" ht="13.8">
      <c r="A39" s="13"/>
      <c r="B39" s="37"/>
      <c r="C39" s="20" t="s">
        <v>381</v>
      </c>
      <c r="D39" s="14" t="s">
        <v>382</v>
      </c>
      <c r="E39" s="14" t="s">
        <v>248</v>
      </c>
      <c r="F39" s="14" t="s">
        <v>383</v>
      </c>
      <c r="G39" s="14" t="s">
        <v>384</v>
      </c>
      <c r="H39" s="14" t="s">
        <v>385</v>
      </c>
      <c r="I39" s="14" t="s">
        <v>386</v>
      </c>
      <c r="J39" s="14" t="s">
        <v>387</v>
      </c>
      <c r="K39" s="14" t="s">
        <v>388</v>
      </c>
      <c r="L39" s="14" t="s">
        <v>389</v>
      </c>
      <c r="M39" s="14" t="s">
        <v>390</v>
      </c>
      <c r="N39" s="14" t="s">
        <v>391</v>
      </c>
      <c r="O39" s="14" t="s">
        <v>392</v>
      </c>
      <c r="P39" s="21"/>
    </row>
    <row r="40" spans="1:16" ht="13.8">
      <c r="A40" s="13"/>
      <c r="B40" s="37"/>
      <c r="C40" s="20" t="s">
        <v>77</v>
      </c>
      <c r="D40" s="14" t="s">
        <v>286</v>
      </c>
      <c r="E40" s="14" t="s">
        <v>248</v>
      </c>
      <c r="F40" s="14" t="s">
        <v>393</v>
      </c>
      <c r="G40" s="14" t="s">
        <v>394</v>
      </c>
      <c r="H40" s="14" t="s">
        <v>395</v>
      </c>
      <c r="I40" s="14" t="s">
        <v>396</v>
      </c>
      <c r="J40" s="14" t="s">
        <v>397</v>
      </c>
      <c r="K40" s="14" t="s">
        <v>398</v>
      </c>
      <c r="L40" s="14" t="s">
        <v>372</v>
      </c>
      <c r="M40" s="14" t="s">
        <v>241</v>
      </c>
      <c r="N40" s="14" t="s">
        <v>399</v>
      </c>
      <c r="O40" s="14" t="s">
        <v>400</v>
      </c>
      <c r="P40" s="21"/>
    </row>
    <row r="41" spans="1:16" ht="13.8">
      <c r="A41" s="13"/>
      <c r="B41" s="37"/>
      <c r="C41" s="20" t="s">
        <v>178</v>
      </c>
      <c r="D41" s="14" t="s">
        <v>355</v>
      </c>
      <c r="E41" s="14" t="s">
        <v>299</v>
      </c>
      <c r="F41" s="14" t="s">
        <v>397</v>
      </c>
      <c r="G41" s="14" t="s">
        <v>401</v>
      </c>
      <c r="H41" s="14" t="s">
        <v>402</v>
      </c>
      <c r="I41" s="14" t="s">
        <v>402</v>
      </c>
      <c r="J41" s="14" t="s">
        <v>395</v>
      </c>
      <c r="K41" s="14" t="s">
        <v>403</v>
      </c>
      <c r="L41" s="14" t="s">
        <v>403</v>
      </c>
      <c r="M41" s="14" t="s">
        <v>402</v>
      </c>
      <c r="N41" s="14" t="s">
        <v>404</v>
      </c>
      <c r="O41" s="14" t="s">
        <v>405</v>
      </c>
      <c r="P41" s="21"/>
    </row>
    <row r="42" spans="1:16" ht="13.8">
      <c r="A42" s="13"/>
      <c r="B42" s="37"/>
      <c r="C42" s="20" t="s">
        <v>94</v>
      </c>
      <c r="D42" s="14" t="s">
        <v>406</v>
      </c>
      <c r="E42" s="14" t="s">
        <v>407</v>
      </c>
      <c r="F42" s="14" t="s">
        <v>406</v>
      </c>
      <c r="G42" s="14" t="s">
        <v>408</v>
      </c>
      <c r="H42" s="14" t="s">
        <v>408</v>
      </c>
      <c r="I42" s="14" t="s">
        <v>408</v>
      </c>
      <c r="J42" s="14" t="s">
        <v>408</v>
      </c>
      <c r="K42" s="14" t="s">
        <v>408</v>
      </c>
      <c r="L42" s="14" t="s">
        <v>408</v>
      </c>
      <c r="M42" s="14" t="s">
        <v>408</v>
      </c>
      <c r="N42" s="14" t="s">
        <v>408</v>
      </c>
      <c r="O42" s="14" t="s">
        <v>408</v>
      </c>
      <c r="P42" s="21"/>
    </row>
    <row r="43" spans="1:16" ht="13.8">
      <c r="A43" s="13"/>
    </row>
    <row r="44" spans="1:16" ht="13.8">
      <c r="A44" s="13"/>
    </row>
    <row r="45" spans="1:16" ht="13.8">
      <c r="A45" s="13"/>
    </row>
    <row r="46" spans="1:16" ht="13.8">
      <c r="A46" s="13"/>
    </row>
    <row r="47" spans="1:16" ht="13.8">
      <c r="A47" s="13"/>
    </row>
    <row r="48" spans="1:16" ht="13.8">
      <c r="A48" s="13"/>
    </row>
    <row r="49" spans="1:1" ht="13.8">
      <c r="A49" s="13"/>
    </row>
    <row r="50" spans="1:1" ht="13.8">
      <c r="A50" s="13"/>
    </row>
    <row r="51" spans="1:1" ht="13.8">
      <c r="A51" s="13"/>
    </row>
    <row r="52" spans="1:1" ht="13.8">
      <c r="A52" s="13"/>
    </row>
    <row r="53" spans="1:1" ht="13.8">
      <c r="A53" s="13"/>
    </row>
    <row r="54" spans="1:1" ht="13.8">
      <c r="A54" s="13"/>
    </row>
    <row r="55" spans="1:1" ht="13.8">
      <c r="A55" s="13"/>
    </row>
    <row r="56" spans="1:1" ht="13.8">
      <c r="A56" s="13"/>
    </row>
    <row r="57" spans="1:1" ht="13.8">
      <c r="A57" s="13"/>
    </row>
    <row r="58" spans="1:1" ht="13.8">
      <c r="A58" s="13"/>
    </row>
    <row r="59" spans="1:1" ht="13.8">
      <c r="A59" s="13"/>
    </row>
    <row r="60" spans="1:1" ht="13.8">
      <c r="A60" s="13"/>
    </row>
    <row r="61" spans="1:1" ht="13.8">
      <c r="A61" s="13"/>
    </row>
    <row r="62" spans="1:1" ht="13.8">
      <c r="A62" s="13"/>
    </row>
    <row r="63" spans="1:1" ht="13.8">
      <c r="A63" s="13"/>
    </row>
    <row r="64" spans="1:1" ht="13.8">
      <c r="A64" s="13"/>
    </row>
    <row r="65" spans="1:1" ht="13.8">
      <c r="A65" s="13"/>
    </row>
    <row r="66" spans="1:1" ht="13.8">
      <c r="A66" s="13"/>
    </row>
    <row r="67" spans="1:1" ht="13.8">
      <c r="A67" s="13"/>
    </row>
    <row r="68" spans="1:1" ht="13.8">
      <c r="A68" s="13"/>
    </row>
    <row r="69" spans="1:1" ht="13.8">
      <c r="A69" s="13"/>
    </row>
    <row r="70" spans="1:1" ht="13.8">
      <c r="A70" s="13"/>
    </row>
    <row r="71" spans="1:1" ht="13.8">
      <c r="A71" s="13"/>
    </row>
    <row r="72" spans="1:1" ht="13.8">
      <c r="A72" s="13"/>
    </row>
    <row r="73" spans="1:1" ht="13.8">
      <c r="A73" s="13"/>
    </row>
    <row r="74" spans="1:1" ht="13.8">
      <c r="A74" s="13"/>
    </row>
    <row r="75" spans="1:1" ht="13.8">
      <c r="A75" s="13"/>
    </row>
    <row r="76" spans="1:1" ht="13.8">
      <c r="A76" s="13"/>
    </row>
    <row r="77" spans="1:1" ht="13.8">
      <c r="A77" s="13"/>
    </row>
    <row r="78" spans="1:1" ht="13.8">
      <c r="A78" s="13"/>
    </row>
    <row r="79" spans="1:1" ht="13.8">
      <c r="A79" s="13"/>
    </row>
    <row r="80" spans="1:1" ht="13.8">
      <c r="A80" s="13"/>
    </row>
    <row r="81" spans="1:1" ht="13.8">
      <c r="A81" s="13"/>
    </row>
    <row r="82" spans="1:1" ht="13.8">
      <c r="A82" s="13"/>
    </row>
    <row r="83" spans="1:1" ht="13.8">
      <c r="A83" s="13"/>
    </row>
    <row r="84" spans="1:1" ht="13.8">
      <c r="A84" s="13"/>
    </row>
    <row r="85" spans="1:1" ht="13.8">
      <c r="A85" s="22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B2:Q19"/>
  <sheetViews>
    <sheetView showGridLines="0" workbookViewId="0">
      <selection activeCell="P28" sqref="P28"/>
    </sheetView>
  </sheetViews>
  <sheetFormatPr defaultColWidth="12.6640625" defaultRowHeight="15.75" customHeight="1"/>
  <sheetData>
    <row r="2" spans="2:17" ht="15.75" customHeight="1">
      <c r="B2" s="3" t="s">
        <v>672</v>
      </c>
      <c r="C2" s="3" t="s">
        <v>625</v>
      </c>
      <c r="F2" s="3" t="s">
        <v>10</v>
      </c>
      <c r="G2" s="3" t="s">
        <v>409</v>
      </c>
      <c r="I2" s="3" t="s">
        <v>410</v>
      </c>
      <c r="J2" s="3" t="s">
        <v>411</v>
      </c>
      <c r="K2" s="3" t="s">
        <v>412</v>
      </c>
      <c r="L2" s="3" t="s">
        <v>413</v>
      </c>
      <c r="M2" s="3" t="s">
        <v>414</v>
      </c>
      <c r="N2" s="3" t="s">
        <v>415</v>
      </c>
      <c r="O2" s="3" t="s">
        <v>416</v>
      </c>
      <c r="P2" s="3" t="s">
        <v>417</v>
      </c>
      <c r="Q2" s="3" t="s">
        <v>418</v>
      </c>
    </row>
    <row r="3" spans="2:17" ht="15.75" customHeight="1">
      <c r="B3" s="3" t="s">
        <v>17</v>
      </c>
      <c r="C3" s="3">
        <v>9.86</v>
      </c>
      <c r="F3" s="3" t="s">
        <v>419</v>
      </c>
      <c r="G3" s="3">
        <v>2.4</v>
      </c>
      <c r="I3" s="3" t="s">
        <v>420</v>
      </c>
      <c r="J3" s="3">
        <v>5.1100000000000003</v>
      </c>
      <c r="K3" s="3">
        <v>4.5999999999999996</v>
      </c>
      <c r="L3" s="3">
        <v>-5.07</v>
      </c>
      <c r="M3" s="3">
        <v>-9.8699999999999992</v>
      </c>
      <c r="N3" s="3">
        <v>10511</v>
      </c>
      <c r="O3" s="3">
        <v>10460</v>
      </c>
      <c r="P3" s="3">
        <v>9493</v>
      </c>
      <c r="Q3" s="3">
        <v>9013</v>
      </c>
    </row>
    <row r="4" spans="2:17" ht="15.75" customHeight="1">
      <c r="B4" s="3" t="s">
        <v>427</v>
      </c>
      <c r="C4" s="3">
        <v>7.59</v>
      </c>
      <c r="F4" s="3" t="s">
        <v>79</v>
      </c>
      <c r="G4" s="3">
        <v>21.7</v>
      </c>
      <c r="I4" s="3" t="s">
        <v>421</v>
      </c>
      <c r="J4" s="3">
        <v>5.28</v>
      </c>
      <c r="K4" s="3">
        <v>4.87</v>
      </c>
      <c r="L4" s="3">
        <v>-4.9800000000000004</v>
      </c>
      <c r="M4" s="3">
        <v>-9.67</v>
      </c>
      <c r="N4" s="3">
        <v>10528</v>
      </c>
      <c r="O4" s="3">
        <v>10487</v>
      </c>
      <c r="P4" s="3">
        <v>9502</v>
      </c>
      <c r="Q4" s="3">
        <v>9033</v>
      </c>
    </row>
    <row r="5" spans="2:17" ht="15.75" customHeight="1">
      <c r="B5" s="3" t="s">
        <v>762</v>
      </c>
      <c r="C5" s="3">
        <v>7.25</v>
      </c>
      <c r="F5" s="3" t="s">
        <v>46</v>
      </c>
      <c r="G5" s="3">
        <v>30.3</v>
      </c>
      <c r="I5" s="3" t="s">
        <v>422</v>
      </c>
      <c r="J5" s="3">
        <v>13.15</v>
      </c>
      <c r="K5" s="3">
        <v>12</v>
      </c>
      <c r="L5" s="3">
        <v>0.28000000000000003</v>
      </c>
      <c r="M5" s="3">
        <v>-3.84</v>
      </c>
      <c r="N5" s="3">
        <v>11315</v>
      </c>
      <c r="O5" s="3">
        <v>11200</v>
      </c>
      <c r="P5" s="3">
        <v>10028</v>
      </c>
      <c r="Q5" s="3">
        <v>9616</v>
      </c>
    </row>
    <row r="6" spans="2:17" ht="15.75" customHeight="1">
      <c r="B6" s="3" t="s">
        <v>763</v>
      </c>
      <c r="C6" s="3">
        <v>6.55</v>
      </c>
      <c r="F6" s="3" t="s">
        <v>423</v>
      </c>
      <c r="G6" s="3">
        <v>7.3</v>
      </c>
      <c r="I6" s="3" t="s">
        <v>424</v>
      </c>
      <c r="J6" s="3">
        <v>19.57</v>
      </c>
      <c r="K6" s="3">
        <v>18.309999999999999</v>
      </c>
      <c r="L6" s="3">
        <v>13.9</v>
      </c>
      <c r="M6" s="3">
        <v>9.5299999999999994</v>
      </c>
      <c r="N6" s="3">
        <v>17097</v>
      </c>
      <c r="O6" s="3">
        <v>16562</v>
      </c>
      <c r="P6" s="3">
        <v>14778</v>
      </c>
      <c r="Q6" s="3">
        <v>13140</v>
      </c>
    </row>
    <row r="7" spans="2:17" ht="15.75" customHeight="1">
      <c r="B7" s="3" t="s">
        <v>761</v>
      </c>
      <c r="C7" s="3">
        <v>6.43</v>
      </c>
      <c r="F7" s="3" t="s">
        <v>425</v>
      </c>
      <c r="G7" s="3">
        <v>8.4</v>
      </c>
      <c r="I7" s="3" t="s">
        <v>426</v>
      </c>
      <c r="J7" s="3">
        <v>17.61</v>
      </c>
      <c r="K7" s="3">
        <v>16.05</v>
      </c>
      <c r="L7" s="3">
        <v>12.48</v>
      </c>
      <c r="M7" s="3">
        <v>9.8699999999999992</v>
      </c>
      <c r="N7" s="3">
        <v>22499</v>
      </c>
      <c r="O7" s="3">
        <v>21053</v>
      </c>
      <c r="P7" s="3">
        <v>18007</v>
      </c>
      <c r="Q7" s="3">
        <v>16012</v>
      </c>
    </row>
    <row r="8" spans="2:17" ht="15.75" customHeight="1">
      <c r="B8" s="3" t="s">
        <v>764</v>
      </c>
      <c r="C8" s="3">
        <v>5.66</v>
      </c>
      <c r="F8" s="3" t="s">
        <v>181</v>
      </c>
      <c r="G8" s="3">
        <v>7.7</v>
      </c>
      <c r="I8" s="3" t="s">
        <v>428</v>
      </c>
      <c r="J8" s="3">
        <v>20.010000000000002</v>
      </c>
      <c r="K8" s="3">
        <v>15.15</v>
      </c>
      <c r="L8" s="3">
        <v>13.46</v>
      </c>
      <c r="M8" s="3">
        <v>12.11</v>
      </c>
      <c r="N8" s="3">
        <v>114921</v>
      </c>
      <c r="O8" s="3">
        <v>398678</v>
      </c>
      <c r="P8" s="3">
        <v>54255</v>
      </c>
      <c r="Q8" s="3">
        <v>46178</v>
      </c>
    </row>
    <row r="9" spans="2:17" ht="15.75" customHeight="1">
      <c r="B9" s="3" t="s">
        <v>456</v>
      </c>
      <c r="C9" s="3">
        <v>5.56</v>
      </c>
      <c r="F9" s="3" t="s">
        <v>57</v>
      </c>
      <c r="G9" s="3">
        <v>7.3</v>
      </c>
    </row>
    <row r="10" spans="2:17" ht="15.75" customHeight="1">
      <c r="B10" s="3" t="s">
        <v>765</v>
      </c>
      <c r="C10" s="3">
        <v>3.99</v>
      </c>
      <c r="F10" s="3" t="s">
        <v>66</v>
      </c>
      <c r="G10" s="3">
        <v>6.8</v>
      </c>
    </row>
    <row r="11" spans="2:17" ht="15.75" customHeight="1">
      <c r="B11" s="3" t="s">
        <v>766</v>
      </c>
      <c r="C11" s="3">
        <v>3.98</v>
      </c>
      <c r="F11" s="3" t="s">
        <v>429</v>
      </c>
      <c r="G11" s="3">
        <v>4.7</v>
      </c>
    </row>
    <row r="12" spans="2:17" ht="15.75" customHeight="1">
      <c r="B12" s="3" t="s">
        <v>26</v>
      </c>
      <c r="C12" s="3">
        <v>3.28</v>
      </c>
      <c r="F12" s="3" t="s">
        <v>430</v>
      </c>
      <c r="G12" s="3">
        <v>3.9</v>
      </c>
    </row>
    <row r="13" spans="2:17" ht="15.75" customHeight="1">
      <c r="B13" s="3" t="s">
        <v>431</v>
      </c>
      <c r="C13" s="3">
        <v>91.02</v>
      </c>
      <c r="F13" s="3" t="s">
        <v>432</v>
      </c>
      <c r="G13" s="3">
        <v>3.8</v>
      </c>
    </row>
    <row r="14" spans="2:17" ht="15.75" customHeight="1">
      <c r="B14" s="3" t="s">
        <v>767</v>
      </c>
      <c r="C14" s="3">
        <v>8.98</v>
      </c>
      <c r="F14" s="3" t="s">
        <v>16</v>
      </c>
      <c r="G14" s="3">
        <v>2.5</v>
      </c>
    </row>
    <row r="15" spans="2:17" ht="15.75" customHeight="1">
      <c r="B15" s="3" t="s">
        <v>433</v>
      </c>
      <c r="C15" s="3">
        <v>100</v>
      </c>
      <c r="F15" s="3" t="s">
        <v>88</v>
      </c>
      <c r="G15" s="3">
        <v>2.4</v>
      </c>
    </row>
    <row r="16" spans="2:17" ht="15.75" customHeight="1">
      <c r="F16" s="3" t="s">
        <v>75</v>
      </c>
      <c r="G16" s="3">
        <v>1.1000000000000001</v>
      </c>
    </row>
    <row r="17" spans="6:7" ht="15.75" customHeight="1">
      <c r="F17" s="3" t="s">
        <v>82</v>
      </c>
      <c r="G17" s="3">
        <v>0.9</v>
      </c>
    </row>
    <row r="18" spans="6:7" ht="15.75" customHeight="1">
      <c r="F18" s="3" t="s">
        <v>96</v>
      </c>
      <c r="G18" s="3">
        <v>0.2</v>
      </c>
    </row>
    <row r="19" spans="6:7" ht="15.75" customHeight="1">
      <c r="F19" s="3" t="s">
        <v>94</v>
      </c>
      <c r="G19" s="3">
        <v>0.2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I57"/>
  <sheetViews>
    <sheetView showGridLines="0" topLeftCell="A26" workbookViewId="0">
      <selection activeCell="P28" sqref="P28"/>
    </sheetView>
  </sheetViews>
  <sheetFormatPr defaultColWidth="12.6640625" defaultRowHeight="15.75" customHeight="1"/>
  <cols>
    <col min="2" max="2" width="16.44140625" customWidth="1"/>
    <col min="5" max="5" width="27.33203125" customWidth="1"/>
    <col min="8" max="8" width="18.109375" customWidth="1"/>
  </cols>
  <sheetData>
    <row r="1" spans="1:9" ht="15.75" customHeight="1">
      <c r="A1" s="3" t="s">
        <v>434</v>
      </c>
      <c r="B1" s="3" t="s">
        <v>435</v>
      </c>
      <c r="E1" s="3" t="s">
        <v>436</v>
      </c>
    </row>
    <row r="2" spans="1:9" ht="15.75" customHeight="1">
      <c r="A2" s="3" t="s">
        <v>437</v>
      </c>
      <c r="B2" s="3">
        <v>3.79</v>
      </c>
      <c r="E2" s="3" t="s">
        <v>438</v>
      </c>
      <c r="F2" s="3" t="s">
        <v>34</v>
      </c>
      <c r="H2" s="3" t="s">
        <v>439</v>
      </c>
      <c r="I2" s="3" t="s">
        <v>34</v>
      </c>
    </row>
    <row r="3" spans="1:9" ht="15.75" customHeight="1">
      <c r="A3" s="3" t="s">
        <v>440</v>
      </c>
      <c r="B3" s="3">
        <v>3.73</v>
      </c>
      <c r="E3" s="3" t="s">
        <v>46</v>
      </c>
      <c r="F3" s="3">
        <v>24.59</v>
      </c>
      <c r="H3" s="3" t="s">
        <v>64</v>
      </c>
      <c r="I3" s="3">
        <v>8.4</v>
      </c>
    </row>
    <row r="4" spans="1:9" ht="15.75" customHeight="1">
      <c r="A4" s="3" t="s">
        <v>441</v>
      </c>
      <c r="B4" s="3">
        <v>3.49</v>
      </c>
      <c r="E4" s="3" t="s">
        <v>66</v>
      </c>
      <c r="F4" s="3">
        <v>16.28</v>
      </c>
      <c r="H4" s="3" t="s">
        <v>442</v>
      </c>
      <c r="I4" s="3">
        <v>17.149999999999999</v>
      </c>
    </row>
    <row r="5" spans="1:9" ht="15.75" customHeight="1">
      <c r="A5" s="3" t="s">
        <v>443</v>
      </c>
      <c r="B5" s="3">
        <v>3.08</v>
      </c>
      <c r="E5" s="3" t="s">
        <v>79</v>
      </c>
      <c r="F5" s="3">
        <v>8.74</v>
      </c>
      <c r="H5" s="3" t="s">
        <v>444</v>
      </c>
      <c r="I5" s="3">
        <v>67.540000000000006</v>
      </c>
    </row>
    <row r="6" spans="1:9" ht="15.75" customHeight="1">
      <c r="A6" s="3" t="s">
        <v>445</v>
      </c>
      <c r="B6" s="3">
        <v>2.88</v>
      </c>
      <c r="E6" s="3" t="s">
        <v>57</v>
      </c>
      <c r="F6" s="3">
        <v>7.75</v>
      </c>
      <c r="H6" s="3" t="s">
        <v>446</v>
      </c>
      <c r="I6" s="3">
        <v>0.28999999999999998</v>
      </c>
    </row>
    <row r="7" spans="1:9" ht="15.75" customHeight="1">
      <c r="A7" s="3" t="s">
        <v>447</v>
      </c>
      <c r="B7" s="3">
        <v>2.8</v>
      </c>
      <c r="E7" s="3" t="s">
        <v>448</v>
      </c>
      <c r="F7" s="3">
        <v>6.8</v>
      </c>
      <c r="H7" s="3" t="s">
        <v>449</v>
      </c>
      <c r="I7" s="3">
        <v>5.43</v>
      </c>
    </row>
    <row r="8" spans="1:9" ht="15.75" customHeight="1">
      <c r="A8" s="3" t="s">
        <v>450</v>
      </c>
      <c r="B8" s="3">
        <v>2.63</v>
      </c>
      <c r="E8" s="3" t="s">
        <v>92</v>
      </c>
      <c r="F8" s="3">
        <v>6.24</v>
      </c>
    </row>
    <row r="9" spans="1:9" ht="15.75" customHeight="1">
      <c r="A9" s="3" t="s">
        <v>451</v>
      </c>
      <c r="B9" s="3">
        <v>2.6</v>
      </c>
      <c r="E9" s="3" t="s">
        <v>82</v>
      </c>
      <c r="F9" s="3">
        <v>5.52</v>
      </c>
    </row>
    <row r="10" spans="1:9" ht="15.75" customHeight="1">
      <c r="A10" s="3" t="s">
        <v>452</v>
      </c>
      <c r="B10" s="3">
        <v>2.41</v>
      </c>
      <c r="E10" s="3" t="s">
        <v>73</v>
      </c>
      <c r="F10" s="3">
        <v>4.22</v>
      </c>
    </row>
    <row r="11" spans="1:9" ht="15.75" customHeight="1">
      <c r="A11" s="3" t="s">
        <v>453</v>
      </c>
      <c r="B11" s="3">
        <v>2.2200000000000002</v>
      </c>
      <c r="E11" s="3" t="s">
        <v>88</v>
      </c>
      <c r="F11" s="3">
        <v>3.46</v>
      </c>
    </row>
    <row r="12" spans="1:9" ht="15.75" customHeight="1">
      <c r="A12" s="3" t="s">
        <v>26</v>
      </c>
      <c r="B12" s="3">
        <v>2.19</v>
      </c>
      <c r="E12" s="3" t="s">
        <v>75</v>
      </c>
      <c r="F12" s="3">
        <v>2.38</v>
      </c>
    </row>
    <row r="13" spans="1:9" ht="15.75" customHeight="1">
      <c r="A13" s="3" t="s">
        <v>454</v>
      </c>
      <c r="B13" s="3">
        <v>2.12</v>
      </c>
      <c r="E13" s="3" t="s">
        <v>16</v>
      </c>
      <c r="F13" s="3">
        <v>1.91</v>
      </c>
    </row>
    <row r="14" spans="1:9" ht="15.75" customHeight="1">
      <c r="A14" s="3" t="s">
        <v>455</v>
      </c>
      <c r="B14" s="3">
        <v>2.08</v>
      </c>
      <c r="E14" s="3" t="s">
        <v>80</v>
      </c>
      <c r="F14" s="3">
        <v>1.87</v>
      </c>
    </row>
    <row r="15" spans="1:9" ht="15.75" customHeight="1">
      <c r="A15" s="3" t="s">
        <v>456</v>
      </c>
      <c r="B15" s="3">
        <v>2.08</v>
      </c>
      <c r="E15" s="3" t="s">
        <v>94</v>
      </c>
      <c r="F15" s="3">
        <v>1.67</v>
      </c>
    </row>
    <row r="16" spans="1:9" ht="15.75" customHeight="1">
      <c r="A16" s="3" t="s">
        <v>457</v>
      </c>
      <c r="B16" s="3">
        <v>2.0699999999999998</v>
      </c>
      <c r="E16" s="3" t="s">
        <v>85</v>
      </c>
      <c r="F16" s="3">
        <v>1.66</v>
      </c>
    </row>
    <row r="17" spans="1:6" ht="15.75" customHeight="1">
      <c r="A17" s="3" t="s">
        <v>458</v>
      </c>
      <c r="B17" s="3">
        <v>2.0499999999999998</v>
      </c>
      <c r="E17" s="3" t="s">
        <v>459</v>
      </c>
      <c r="F17" s="3">
        <v>1.19</v>
      </c>
    </row>
    <row r="18" spans="1:6" ht="15.75" customHeight="1">
      <c r="A18" s="3" t="s">
        <v>460</v>
      </c>
      <c r="B18" s="3">
        <v>2.0499999999999998</v>
      </c>
      <c r="E18" s="3" t="s">
        <v>446</v>
      </c>
      <c r="F18" s="3">
        <v>0.28999999999999998</v>
      </c>
    </row>
    <row r="19" spans="1:6" ht="15.75" customHeight="1">
      <c r="A19" s="3" t="s">
        <v>461</v>
      </c>
      <c r="B19" s="3">
        <v>1.99</v>
      </c>
      <c r="E19" s="3" t="s">
        <v>449</v>
      </c>
      <c r="F19" s="3">
        <v>5.43</v>
      </c>
    </row>
    <row r="20" spans="1:6" ht="15.75" customHeight="1">
      <c r="A20" s="3" t="s">
        <v>462</v>
      </c>
      <c r="B20" s="3">
        <v>1.99</v>
      </c>
    </row>
    <row r="21" spans="1:6" ht="15.75" customHeight="1">
      <c r="A21" s="3" t="s">
        <v>463</v>
      </c>
      <c r="B21" s="3">
        <v>1.94</v>
      </c>
    </row>
    <row r="22" spans="1:6" ht="15.75" customHeight="1">
      <c r="A22" s="3" t="s">
        <v>464</v>
      </c>
      <c r="B22" s="3">
        <v>1.91</v>
      </c>
    </row>
    <row r="23" spans="1:6" ht="15.75" customHeight="1">
      <c r="A23" s="3" t="s">
        <v>465</v>
      </c>
      <c r="B23" s="3">
        <v>1.9</v>
      </c>
    </row>
    <row r="24" spans="1:6" ht="15.75" customHeight="1">
      <c r="A24" s="3" t="s">
        <v>466</v>
      </c>
      <c r="B24" s="3">
        <v>1.87</v>
      </c>
    </row>
    <row r="25" spans="1:6" ht="15.75" customHeight="1">
      <c r="A25" s="3" t="s">
        <v>467</v>
      </c>
      <c r="B25" s="3">
        <v>1.84</v>
      </c>
    </row>
    <row r="26" spans="1:6" ht="15.75" customHeight="1">
      <c r="A26" s="3" t="s">
        <v>468</v>
      </c>
      <c r="B26" s="3">
        <v>1.8</v>
      </c>
    </row>
    <row r="27" spans="1:6" ht="15.75" customHeight="1">
      <c r="A27" s="3" t="s">
        <v>469</v>
      </c>
      <c r="B27" s="3">
        <v>1.74</v>
      </c>
    </row>
    <row r="28" spans="1:6" ht="15.75" customHeight="1">
      <c r="A28" s="3" t="s">
        <v>470</v>
      </c>
      <c r="B28" s="3">
        <v>1.67</v>
      </c>
    </row>
    <row r="29" spans="1:6" ht="15.75" customHeight="1">
      <c r="A29" s="3" t="s">
        <v>471</v>
      </c>
      <c r="B29" s="3">
        <v>1.66</v>
      </c>
    </row>
    <row r="30" spans="1:6" ht="13.2">
      <c r="A30" s="3" t="s">
        <v>472</v>
      </c>
      <c r="B30" s="3">
        <v>1.64</v>
      </c>
    </row>
    <row r="31" spans="1:6" ht="13.2">
      <c r="A31" s="3" t="s">
        <v>473</v>
      </c>
      <c r="B31" s="3">
        <v>1.62</v>
      </c>
    </row>
    <row r="32" spans="1:6" ht="13.2">
      <c r="A32" s="3" t="s">
        <v>474</v>
      </c>
      <c r="B32" s="3">
        <v>1.6</v>
      </c>
    </row>
    <row r="33" spans="1:2" ht="13.2">
      <c r="A33" s="3" t="s">
        <v>475</v>
      </c>
      <c r="B33" s="3">
        <v>1.6</v>
      </c>
    </row>
    <row r="34" spans="1:2" ht="13.2">
      <c r="A34" s="3" t="s">
        <v>476</v>
      </c>
      <c r="B34" s="3">
        <v>1.58</v>
      </c>
    </row>
    <row r="35" spans="1:2" ht="13.2">
      <c r="A35" s="3" t="s">
        <v>477</v>
      </c>
      <c r="B35" s="3">
        <v>1.57</v>
      </c>
    </row>
    <row r="36" spans="1:2" ht="13.2">
      <c r="A36" s="3" t="s">
        <v>478</v>
      </c>
      <c r="B36" s="3">
        <v>1.52</v>
      </c>
    </row>
    <row r="37" spans="1:2" ht="13.2">
      <c r="A37" s="3" t="s">
        <v>479</v>
      </c>
      <c r="B37" s="3">
        <v>1.52</v>
      </c>
    </row>
    <row r="38" spans="1:2" ht="13.2">
      <c r="A38" s="3" t="s">
        <v>480</v>
      </c>
      <c r="B38" s="3">
        <v>1.48</v>
      </c>
    </row>
    <row r="39" spans="1:2" ht="13.2">
      <c r="A39" s="3" t="s">
        <v>481</v>
      </c>
      <c r="B39" s="3">
        <v>1.43</v>
      </c>
    </row>
    <row r="40" spans="1:2" ht="13.2">
      <c r="A40" s="3" t="s">
        <v>482</v>
      </c>
      <c r="B40" s="3">
        <v>1.36</v>
      </c>
    </row>
    <row r="41" spans="1:2" ht="13.2">
      <c r="A41" s="3" t="s">
        <v>483</v>
      </c>
      <c r="B41" s="3">
        <v>1.28</v>
      </c>
    </row>
    <row r="42" spans="1:2" ht="13.2">
      <c r="A42" s="3" t="s">
        <v>484</v>
      </c>
      <c r="B42" s="3">
        <v>1.27</v>
      </c>
    </row>
    <row r="43" spans="1:2" ht="13.2">
      <c r="A43" s="3" t="s">
        <v>485</v>
      </c>
      <c r="B43" s="3">
        <v>1.24</v>
      </c>
    </row>
    <row r="44" spans="1:2" ht="13.2">
      <c r="A44" s="3" t="s">
        <v>486</v>
      </c>
      <c r="B44" s="3">
        <v>1.21</v>
      </c>
    </row>
    <row r="45" spans="1:2" ht="13.2">
      <c r="A45" s="3" t="s">
        <v>487</v>
      </c>
      <c r="B45" s="3">
        <v>1.2</v>
      </c>
    </row>
    <row r="46" spans="1:2" ht="13.2">
      <c r="A46" s="3" t="s">
        <v>488</v>
      </c>
      <c r="B46" s="3">
        <v>1.18</v>
      </c>
    </row>
    <row r="47" spans="1:2" ht="13.2">
      <c r="A47" s="3" t="s">
        <v>489</v>
      </c>
      <c r="B47" s="3">
        <v>1.1399999999999999</v>
      </c>
    </row>
    <row r="48" spans="1:2" ht="13.2">
      <c r="A48" s="3" t="s">
        <v>490</v>
      </c>
      <c r="B48" s="3">
        <v>1.06</v>
      </c>
    </row>
    <row r="49" spans="1:2" ht="13.2">
      <c r="A49" s="3" t="s">
        <v>491</v>
      </c>
      <c r="B49" s="3">
        <v>1.02</v>
      </c>
    </row>
    <row r="50" spans="1:2" ht="13.2">
      <c r="A50" s="3" t="s">
        <v>427</v>
      </c>
      <c r="B50" s="3">
        <v>0.99</v>
      </c>
    </row>
    <row r="51" spans="1:2" ht="13.2">
      <c r="A51" s="3" t="s">
        <v>492</v>
      </c>
      <c r="B51" s="3">
        <v>93.09</v>
      </c>
    </row>
    <row r="52" spans="1:2" ht="13.2">
      <c r="A52" s="3" t="s">
        <v>493</v>
      </c>
      <c r="B52" s="3">
        <v>0.64</v>
      </c>
    </row>
    <row r="53" spans="1:2" ht="13.2">
      <c r="A53" s="3" t="s">
        <v>494</v>
      </c>
      <c r="B53" s="3">
        <v>0.42</v>
      </c>
    </row>
    <row r="54" spans="1:2" ht="13.2">
      <c r="A54" s="3" t="s">
        <v>495</v>
      </c>
      <c r="B54" s="3">
        <v>0.13</v>
      </c>
    </row>
    <row r="55" spans="1:2" ht="13.2">
      <c r="A55" s="3" t="s">
        <v>496</v>
      </c>
      <c r="B55" s="3">
        <v>1.19</v>
      </c>
    </row>
    <row r="56" spans="1:2" ht="13.2">
      <c r="A56" s="3" t="s">
        <v>449</v>
      </c>
      <c r="B56" s="3">
        <v>5.43</v>
      </c>
    </row>
    <row r="57" spans="1:2" ht="13.2">
      <c r="A57" s="3" t="s">
        <v>433</v>
      </c>
      <c r="B57" s="3">
        <v>100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B2:K72"/>
  <sheetViews>
    <sheetView showGridLines="0" topLeftCell="B1" workbookViewId="0">
      <selection activeCell="P28" sqref="P28"/>
    </sheetView>
  </sheetViews>
  <sheetFormatPr defaultColWidth="12.6640625" defaultRowHeight="15.75" customHeight="1"/>
  <cols>
    <col min="2" max="2" width="52" bestFit="1" customWidth="1"/>
    <col min="3" max="3" width="8.21875" bestFit="1" customWidth="1"/>
    <col min="5" max="5" width="20.77734375" bestFit="1" customWidth="1"/>
    <col min="6" max="6" width="18.77734375" bestFit="1" customWidth="1"/>
    <col min="7" max="7" width="8.88671875" bestFit="1" customWidth="1"/>
    <col min="8" max="8" width="7.6640625" bestFit="1" customWidth="1"/>
    <col min="9" max="9" width="31.33203125" bestFit="1" customWidth="1"/>
    <col min="10" max="11" width="7.6640625" bestFit="1" customWidth="1"/>
  </cols>
  <sheetData>
    <row r="2" spans="2:10" ht="15.75" customHeight="1">
      <c r="B2" s="3" t="s">
        <v>87</v>
      </c>
      <c r="C2" s="23">
        <v>4.2200000000000001E-2</v>
      </c>
    </row>
    <row r="3" spans="2:10" ht="15.75" customHeight="1">
      <c r="B3" s="3" t="s">
        <v>507</v>
      </c>
      <c r="C3" s="23">
        <v>4.0300000000000002E-2</v>
      </c>
      <c r="I3" s="35" t="s">
        <v>24</v>
      </c>
      <c r="J3" s="34">
        <v>0.1171</v>
      </c>
    </row>
    <row r="4" spans="2:10" ht="15.75" customHeight="1">
      <c r="B4" s="3" t="s">
        <v>508</v>
      </c>
      <c r="C4" s="23">
        <v>2.98E-2</v>
      </c>
      <c r="E4" s="3" t="s">
        <v>504</v>
      </c>
      <c r="F4" s="3" t="s">
        <v>34</v>
      </c>
      <c r="I4" s="35" t="s">
        <v>182</v>
      </c>
      <c r="J4" s="34">
        <v>7.9200000000000007E-2</v>
      </c>
    </row>
    <row r="5" spans="2:10" ht="15.75" customHeight="1">
      <c r="B5" s="3" t="s">
        <v>509</v>
      </c>
      <c r="C5" s="23">
        <v>2.9100000000000001E-2</v>
      </c>
      <c r="E5" s="3" t="s">
        <v>67</v>
      </c>
      <c r="F5" s="23">
        <v>0.72260000000000002</v>
      </c>
      <c r="I5" s="35" t="s">
        <v>12</v>
      </c>
      <c r="J5" s="34" t="s">
        <v>510</v>
      </c>
    </row>
    <row r="6" spans="2:10" ht="15.75" customHeight="1">
      <c r="B6" s="3" t="s">
        <v>511</v>
      </c>
      <c r="C6" s="23">
        <v>2.7900000000000001E-2</v>
      </c>
      <c r="E6" s="3" t="s">
        <v>69</v>
      </c>
      <c r="F6" s="23">
        <v>0.14000000000000001</v>
      </c>
      <c r="I6" s="35" t="s">
        <v>18</v>
      </c>
      <c r="J6" s="34" t="s">
        <v>512</v>
      </c>
    </row>
    <row r="7" spans="2:10" ht="15.75" customHeight="1">
      <c r="B7" s="3" t="s">
        <v>120</v>
      </c>
      <c r="C7" s="23">
        <v>2.6700000000000002E-2</v>
      </c>
      <c r="E7" s="3" t="s">
        <v>64</v>
      </c>
      <c r="F7" s="23">
        <v>0.12089999999999999</v>
      </c>
      <c r="I7" s="35" t="s">
        <v>20</v>
      </c>
      <c r="J7" s="34" t="s">
        <v>513</v>
      </c>
    </row>
    <row r="8" spans="2:10" ht="15.75" customHeight="1">
      <c r="B8" s="3" t="s">
        <v>514</v>
      </c>
      <c r="C8" s="23">
        <v>2.5499999999999998E-2</v>
      </c>
      <c r="E8" s="3" t="s">
        <v>515</v>
      </c>
      <c r="F8" s="23">
        <v>1.6500000000000001E-2</v>
      </c>
      <c r="I8" s="35" t="s">
        <v>22</v>
      </c>
      <c r="J8" s="34" t="s">
        <v>310</v>
      </c>
    </row>
    <row r="9" spans="2:10" ht="15.75" customHeight="1">
      <c r="B9" s="3" t="s">
        <v>81</v>
      </c>
      <c r="C9" s="23">
        <v>2.3699999999999999E-2</v>
      </c>
      <c r="I9" s="35" t="s">
        <v>193</v>
      </c>
      <c r="J9" s="34" t="s">
        <v>516</v>
      </c>
    </row>
    <row r="10" spans="2:10" ht="15.75" customHeight="1">
      <c r="B10" s="3" t="s">
        <v>517</v>
      </c>
      <c r="C10" s="23">
        <v>2.2700000000000001E-2</v>
      </c>
      <c r="I10" s="35" t="s">
        <v>16</v>
      </c>
      <c r="J10" s="34" t="s">
        <v>518</v>
      </c>
    </row>
    <row r="11" spans="2:10" ht="15.75" customHeight="1">
      <c r="B11" s="3" t="s">
        <v>519</v>
      </c>
      <c r="C11" s="23">
        <v>2.2200000000000001E-2</v>
      </c>
      <c r="I11" s="35" t="s">
        <v>520</v>
      </c>
      <c r="J11" s="34" t="s">
        <v>521</v>
      </c>
    </row>
    <row r="12" spans="2:10" ht="15.75" customHeight="1">
      <c r="B12" s="3" t="s">
        <v>522</v>
      </c>
      <c r="C12" s="23">
        <v>2.1399999999999999E-2</v>
      </c>
      <c r="I12" s="35" t="s">
        <v>523</v>
      </c>
      <c r="J12" s="34" t="s">
        <v>524</v>
      </c>
    </row>
    <row r="13" spans="2:10" ht="15.75" customHeight="1">
      <c r="B13" s="3" t="s">
        <v>525</v>
      </c>
      <c r="C13" s="23">
        <v>2.1299999999999999E-2</v>
      </c>
    </row>
    <row r="14" spans="2:10" ht="15.75" customHeight="1">
      <c r="B14" s="3" t="s">
        <v>526</v>
      </c>
      <c r="C14" s="23">
        <v>2.1000000000000001E-2</v>
      </c>
    </row>
    <row r="15" spans="2:10" ht="15.75" customHeight="1">
      <c r="B15" s="3" t="s">
        <v>527</v>
      </c>
      <c r="C15" s="23">
        <v>2.1000000000000001E-2</v>
      </c>
    </row>
    <row r="16" spans="2:10" ht="15.75" customHeight="1">
      <c r="B16" s="3" t="s">
        <v>167</v>
      </c>
      <c r="C16" s="23">
        <v>2.0500000000000001E-2</v>
      </c>
    </row>
    <row r="17" spans="2:11" ht="15.75" customHeight="1">
      <c r="B17" s="3" t="s">
        <v>528</v>
      </c>
      <c r="C17" s="23">
        <v>2.0400000000000001E-2</v>
      </c>
    </row>
    <row r="18" spans="2:11" ht="15.75" customHeight="1">
      <c r="B18" s="3" t="s">
        <v>489</v>
      </c>
      <c r="C18" s="23">
        <v>1.9400000000000001E-2</v>
      </c>
      <c r="F18" s="24" t="s">
        <v>529</v>
      </c>
      <c r="G18" s="24" t="s">
        <v>530</v>
      </c>
      <c r="H18" s="24" t="s">
        <v>531</v>
      </c>
      <c r="I18" s="24" t="s">
        <v>532</v>
      </c>
      <c r="J18" s="24" t="s">
        <v>533</v>
      </c>
      <c r="K18" s="24" t="s">
        <v>422</v>
      </c>
    </row>
    <row r="19" spans="2:11" ht="15.75" customHeight="1">
      <c r="B19" s="3" t="s">
        <v>534</v>
      </c>
      <c r="C19" s="23">
        <v>1.9400000000000001E-2</v>
      </c>
      <c r="F19" s="25" t="s">
        <v>535</v>
      </c>
      <c r="G19" s="26">
        <v>21.31</v>
      </c>
      <c r="H19" s="26">
        <v>19.760000000000002</v>
      </c>
      <c r="I19" s="26">
        <v>20.78</v>
      </c>
      <c r="J19" s="26">
        <v>21.99</v>
      </c>
      <c r="K19" s="26">
        <v>25.79</v>
      </c>
    </row>
    <row r="20" spans="2:11" ht="15.75" customHeight="1">
      <c r="B20" s="3" t="s">
        <v>536</v>
      </c>
      <c r="C20" s="23">
        <v>1.9199999999999998E-2</v>
      </c>
      <c r="F20" s="25" t="s">
        <v>537</v>
      </c>
      <c r="G20" s="26">
        <v>26.33</v>
      </c>
      <c r="H20" s="26">
        <v>25.69</v>
      </c>
      <c r="I20" s="26">
        <v>35.200000000000003</v>
      </c>
      <c r="J20" s="26">
        <v>48.27</v>
      </c>
      <c r="K20" s="26">
        <v>110.63</v>
      </c>
    </row>
    <row r="21" spans="2:11" ht="15.75" customHeight="1">
      <c r="B21" s="3" t="s">
        <v>538</v>
      </c>
      <c r="C21" s="23">
        <v>1.7600000000000001E-2</v>
      </c>
      <c r="F21" s="25" t="s">
        <v>539</v>
      </c>
      <c r="G21" s="26">
        <v>16.68</v>
      </c>
      <c r="H21" s="26">
        <v>14.18</v>
      </c>
      <c r="I21" s="26">
        <v>2.93</v>
      </c>
      <c r="J21" s="26">
        <v>-5.88</v>
      </c>
      <c r="K21" s="26">
        <v>-25.74</v>
      </c>
    </row>
    <row r="22" spans="2:11" ht="15.75" customHeight="1">
      <c r="B22" s="3" t="s">
        <v>540</v>
      </c>
      <c r="C22" s="23">
        <v>1.7000000000000001E-2</v>
      </c>
      <c r="F22" s="25" t="s">
        <v>541</v>
      </c>
      <c r="G22" s="26">
        <v>100</v>
      </c>
      <c r="H22" s="26">
        <v>100</v>
      </c>
      <c r="I22" s="26">
        <v>100</v>
      </c>
      <c r="J22" s="26">
        <v>97.6</v>
      </c>
      <c r="K22" s="26">
        <v>86.73</v>
      </c>
    </row>
    <row r="23" spans="2:11" ht="15.75" customHeight="1">
      <c r="B23" s="3" t="s">
        <v>542</v>
      </c>
      <c r="C23" s="23">
        <v>1.66E-2</v>
      </c>
      <c r="F23" s="25" t="s">
        <v>543</v>
      </c>
      <c r="G23" s="26">
        <v>100</v>
      </c>
      <c r="H23" s="26">
        <v>100</v>
      </c>
      <c r="I23" s="26">
        <v>97.7</v>
      </c>
      <c r="J23" s="26">
        <v>91.09</v>
      </c>
      <c r="K23" s="26">
        <v>75.55</v>
      </c>
    </row>
    <row r="24" spans="2:11" ht="15.75" customHeight="1">
      <c r="B24" s="3" t="s">
        <v>544</v>
      </c>
      <c r="C24" s="23">
        <v>1.6500000000000001E-2</v>
      </c>
    </row>
    <row r="25" spans="2:11" ht="15.75" customHeight="1">
      <c r="B25" s="3" t="s">
        <v>545</v>
      </c>
      <c r="C25" s="23">
        <v>1.6400000000000001E-2</v>
      </c>
    </row>
    <row r="26" spans="2:11" ht="15.75" customHeight="1">
      <c r="B26" s="3" t="s">
        <v>546</v>
      </c>
      <c r="C26" s="23">
        <v>1.6299999999999999E-2</v>
      </c>
    </row>
    <row r="27" spans="2:11" ht="15.75" customHeight="1">
      <c r="B27" s="3" t="s">
        <v>547</v>
      </c>
      <c r="C27" s="23">
        <v>1.6199999999999999E-2</v>
      </c>
    </row>
    <row r="28" spans="2:11" ht="15.75" customHeight="1">
      <c r="B28" s="3" t="s">
        <v>548</v>
      </c>
      <c r="C28" s="23">
        <v>1.6199999999999999E-2</v>
      </c>
    </row>
    <row r="29" spans="2:11" ht="15.75" customHeight="1">
      <c r="B29" s="3" t="s">
        <v>549</v>
      </c>
      <c r="C29" s="23">
        <v>1.61E-2</v>
      </c>
    </row>
    <row r="30" spans="2:11" ht="13.2">
      <c r="B30" s="3" t="s">
        <v>550</v>
      </c>
      <c r="C30" s="23">
        <v>1.61E-2</v>
      </c>
    </row>
    <row r="31" spans="2:11" ht="13.2">
      <c r="B31" s="3" t="s">
        <v>551</v>
      </c>
      <c r="C31" s="23">
        <v>1.5699999999999999E-2</v>
      </c>
    </row>
    <row r="32" spans="2:11" ht="13.2">
      <c r="B32" s="3" t="s">
        <v>552</v>
      </c>
      <c r="C32" s="23">
        <v>1.55E-2</v>
      </c>
    </row>
    <row r="33" spans="2:3" ht="13.2">
      <c r="B33" s="3" t="s">
        <v>467</v>
      </c>
      <c r="C33" s="23">
        <v>1.47E-2</v>
      </c>
    </row>
    <row r="34" spans="2:3" ht="13.2">
      <c r="B34" s="3" t="s">
        <v>112</v>
      </c>
      <c r="C34" s="23">
        <v>1.41E-2</v>
      </c>
    </row>
    <row r="35" spans="2:3" ht="13.2">
      <c r="B35" s="3" t="s">
        <v>553</v>
      </c>
      <c r="C35" s="23">
        <v>1.3899999999999999E-2</v>
      </c>
    </row>
    <row r="36" spans="2:3" ht="13.2">
      <c r="B36" s="3" t="s">
        <v>554</v>
      </c>
      <c r="C36" s="23">
        <v>1.2999999999999999E-2</v>
      </c>
    </row>
    <row r="37" spans="2:3" ht="13.2">
      <c r="B37" s="3" t="s">
        <v>26</v>
      </c>
      <c r="C37" s="23">
        <v>1.2800000000000001E-2</v>
      </c>
    </row>
    <row r="38" spans="2:3" ht="13.2">
      <c r="B38" s="3" t="s">
        <v>555</v>
      </c>
      <c r="C38" s="23">
        <v>1.2500000000000001E-2</v>
      </c>
    </row>
    <row r="39" spans="2:3" ht="13.2">
      <c r="B39" s="3" t="s">
        <v>556</v>
      </c>
      <c r="C39" s="23">
        <v>1.21E-2</v>
      </c>
    </row>
    <row r="40" spans="2:3" ht="13.2">
      <c r="B40" s="3" t="s">
        <v>557</v>
      </c>
      <c r="C40" s="23">
        <v>1.2E-2</v>
      </c>
    </row>
    <row r="41" spans="2:3" ht="13.2">
      <c r="B41" s="3" t="s">
        <v>558</v>
      </c>
      <c r="C41" s="23">
        <v>1.2E-2</v>
      </c>
    </row>
    <row r="42" spans="2:3" ht="13.2">
      <c r="B42" s="3" t="s">
        <v>559</v>
      </c>
      <c r="C42" s="23">
        <v>1.18E-2</v>
      </c>
    </row>
    <row r="43" spans="2:3" ht="13.2">
      <c r="B43" s="3" t="s">
        <v>560</v>
      </c>
      <c r="C43" s="23">
        <v>1.18E-2</v>
      </c>
    </row>
    <row r="44" spans="2:3" ht="13.2">
      <c r="B44" s="3" t="s">
        <v>561</v>
      </c>
      <c r="C44" s="23">
        <v>1.1599999999999999E-2</v>
      </c>
    </row>
    <row r="45" spans="2:3" ht="13.2">
      <c r="B45" s="3" t="s">
        <v>562</v>
      </c>
      <c r="C45" s="23">
        <v>1.06E-2</v>
      </c>
    </row>
    <row r="46" spans="2:3" ht="13.2">
      <c r="B46" s="3" t="s">
        <v>563</v>
      </c>
      <c r="C46" s="23">
        <v>0.01</v>
      </c>
    </row>
    <row r="47" spans="2:3" ht="13.2">
      <c r="B47" s="3" t="s">
        <v>564</v>
      </c>
      <c r="C47" s="23">
        <v>9.5999999999999992E-3</v>
      </c>
    </row>
    <row r="48" spans="2:3" ht="13.2">
      <c r="B48" s="3" t="s">
        <v>565</v>
      </c>
      <c r="C48" s="23">
        <v>9.1999999999999998E-3</v>
      </c>
    </row>
    <row r="49" spans="2:3" ht="13.2">
      <c r="B49" s="3" t="s">
        <v>566</v>
      </c>
      <c r="C49" s="23">
        <v>9.1000000000000004E-3</v>
      </c>
    </row>
    <row r="50" spans="2:3" ht="13.2">
      <c r="B50" s="3" t="s">
        <v>567</v>
      </c>
      <c r="C50" s="23">
        <v>8.8999999999999999E-3</v>
      </c>
    </row>
    <row r="51" spans="2:3" ht="13.2">
      <c r="B51" s="3" t="s">
        <v>568</v>
      </c>
      <c r="C51" s="23">
        <v>8.6999999999999994E-3</v>
      </c>
    </row>
    <row r="52" spans="2:3" ht="13.2">
      <c r="B52" s="3" t="s">
        <v>569</v>
      </c>
      <c r="C52" s="23">
        <v>8.5000000000000006E-3</v>
      </c>
    </row>
    <row r="53" spans="2:3" ht="13.2">
      <c r="B53" s="3" t="s">
        <v>570</v>
      </c>
      <c r="C53" s="23">
        <v>8.0999999999999996E-3</v>
      </c>
    </row>
    <row r="54" spans="2:3" ht="13.2">
      <c r="B54" s="3" t="s">
        <v>571</v>
      </c>
      <c r="C54" s="23">
        <v>8.0000000000000002E-3</v>
      </c>
    </row>
    <row r="55" spans="2:3" ht="13.2">
      <c r="B55" s="3" t="s">
        <v>572</v>
      </c>
      <c r="C55" s="23">
        <v>8.0000000000000002E-3</v>
      </c>
    </row>
    <row r="56" spans="2:3" ht="13.2">
      <c r="B56" s="3" t="s">
        <v>573</v>
      </c>
      <c r="C56" s="23">
        <v>7.4999999999999997E-3</v>
      </c>
    </row>
    <row r="57" spans="2:3" ht="13.2">
      <c r="B57" s="3" t="s">
        <v>574</v>
      </c>
      <c r="C57" s="23">
        <v>7.0000000000000001E-3</v>
      </c>
    </row>
    <row r="58" spans="2:3" ht="13.2">
      <c r="B58" s="3" t="s">
        <v>575</v>
      </c>
      <c r="C58" s="23">
        <v>6.8999999999999999E-3</v>
      </c>
    </row>
    <row r="59" spans="2:3" ht="13.2">
      <c r="B59" s="3" t="s">
        <v>576</v>
      </c>
      <c r="C59" s="23">
        <v>6.7999999999999996E-3</v>
      </c>
    </row>
    <row r="60" spans="2:3" ht="13.2">
      <c r="B60" s="3" t="s">
        <v>577</v>
      </c>
      <c r="C60" s="23">
        <v>6.4999999999999997E-3</v>
      </c>
    </row>
    <row r="61" spans="2:3" ht="13.2">
      <c r="B61" s="3" t="s">
        <v>578</v>
      </c>
      <c r="C61" s="23">
        <v>6.3E-3</v>
      </c>
    </row>
    <row r="62" spans="2:3" ht="13.2">
      <c r="B62" s="3" t="s">
        <v>579</v>
      </c>
      <c r="C62" s="23">
        <v>5.8999999999999999E-3</v>
      </c>
    </row>
    <row r="63" spans="2:3" ht="13.2">
      <c r="B63" s="3" t="s">
        <v>580</v>
      </c>
      <c r="C63" s="23">
        <v>5.7000000000000002E-3</v>
      </c>
    </row>
    <row r="64" spans="2:3" ht="13.2">
      <c r="B64" s="3" t="s">
        <v>581</v>
      </c>
      <c r="C64" s="23">
        <v>4.1999999999999997E-3</v>
      </c>
    </row>
    <row r="65" spans="2:3" ht="13.2">
      <c r="B65" s="3" t="s">
        <v>582</v>
      </c>
      <c r="C65" s="23">
        <v>3.5000000000000001E-3</v>
      </c>
    </row>
    <row r="66" spans="2:3" ht="13.2">
      <c r="B66" s="3" t="s">
        <v>583</v>
      </c>
      <c r="C66" s="23">
        <v>1.8E-3</v>
      </c>
    </row>
    <row r="67" spans="2:3" ht="13.2">
      <c r="B67" s="3" t="s">
        <v>584</v>
      </c>
      <c r="C67" s="23">
        <v>1.2999999999999999E-3</v>
      </c>
    </row>
    <row r="68" spans="2:3" ht="13.2">
      <c r="B68" s="3" t="s">
        <v>585</v>
      </c>
      <c r="C68" s="23">
        <v>5.0000000000000001E-4</v>
      </c>
    </row>
    <row r="69" spans="2:3" ht="13.2">
      <c r="B69" s="3" t="s">
        <v>586</v>
      </c>
      <c r="C69" s="23">
        <v>5.0000000000000001E-4</v>
      </c>
    </row>
    <row r="70" spans="2:3" ht="13.2">
      <c r="B70" s="3" t="s">
        <v>587</v>
      </c>
      <c r="C70" s="23">
        <v>1.6899999999999998E-2</v>
      </c>
    </row>
    <row r="72" spans="2:3" ht="15.75" customHeight="1">
      <c r="C72" s="37">
        <f>SUM(C2:C70)</f>
        <v>1.0022</v>
      </c>
    </row>
  </sheetData>
  <pageMargins left="0.7" right="0.7" top="0.75" bottom="0.75" header="0.3" footer="0.3"/>
  <ignoredErrors>
    <ignoredError sqref="J5:J12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B2:G32"/>
  <sheetViews>
    <sheetView showGridLines="0" topLeftCell="A5" workbookViewId="0">
      <selection activeCell="P28" sqref="P28"/>
    </sheetView>
  </sheetViews>
  <sheetFormatPr defaultColWidth="12.6640625" defaultRowHeight="15.75" customHeight="1"/>
  <sheetData>
    <row r="2" spans="2:7">
      <c r="B2" s="27" t="s">
        <v>588</v>
      </c>
      <c r="C2" s="27"/>
      <c r="D2" s="27" t="s">
        <v>589</v>
      </c>
    </row>
    <row r="3" spans="2:7">
      <c r="B3" s="28"/>
      <c r="C3" s="28"/>
      <c r="D3" s="29"/>
      <c r="F3" s="27" t="s">
        <v>590</v>
      </c>
      <c r="G3" s="27" t="s">
        <v>591</v>
      </c>
    </row>
    <row r="4" spans="2:7">
      <c r="B4" s="30" t="s">
        <v>592</v>
      </c>
      <c r="C4" s="30"/>
      <c r="D4" s="30"/>
      <c r="F4" s="31" t="s">
        <v>24</v>
      </c>
      <c r="G4" s="32">
        <v>0.15379999999999999</v>
      </c>
    </row>
    <row r="5" spans="2:7">
      <c r="B5" s="30" t="s">
        <v>593</v>
      </c>
      <c r="C5" s="30"/>
      <c r="D5" s="30"/>
      <c r="F5" s="31" t="s">
        <v>12</v>
      </c>
      <c r="G5" s="32">
        <v>2.4299999999999999E-2</v>
      </c>
    </row>
    <row r="6" spans="2:7">
      <c r="B6" s="6" t="s">
        <v>594</v>
      </c>
      <c r="C6" s="6"/>
      <c r="D6" s="33">
        <v>5.2299999999999999E-2</v>
      </c>
      <c r="F6" s="31" t="s">
        <v>595</v>
      </c>
      <c r="G6" s="32">
        <v>2.2599999999999999E-2</v>
      </c>
    </row>
    <row r="7" spans="2:7">
      <c r="B7" s="6" t="s">
        <v>596</v>
      </c>
      <c r="C7" s="6"/>
      <c r="D7" s="33">
        <v>9.5999999999999992E-3</v>
      </c>
      <c r="F7" s="31" t="s">
        <v>27</v>
      </c>
      <c r="G7" s="32">
        <v>3.0800000000000001E-2</v>
      </c>
    </row>
    <row r="8" spans="2:7">
      <c r="B8" s="6" t="s">
        <v>47</v>
      </c>
      <c r="C8" s="6"/>
      <c r="D8" s="33">
        <v>4.2900000000000001E-2</v>
      </c>
      <c r="F8" s="31" t="s">
        <v>520</v>
      </c>
      <c r="G8" s="32">
        <v>0.10680000000000001</v>
      </c>
    </row>
    <row r="9" spans="2:7">
      <c r="B9" s="6" t="s">
        <v>53</v>
      </c>
      <c r="C9" s="6"/>
      <c r="D9" s="33">
        <v>2.2599999999999999E-2</v>
      </c>
      <c r="F9" s="31" t="s">
        <v>16</v>
      </c>
      <c r="G9" s="32">
        <v>9.5600000000000004E-2</v>
      </c>
    </row>
    <row r="10" spans="2:7">
      <c r="B10" s="6" t="s">
        <v>597</v>
      </c>
      <c r="C10" s="6"/>
      <c r="D10" s="33">
        <v>3.0800000000000001E-2</v>
      </c>
      <c r="F10" s="31" t="s">
        <v>189</v>
      </c>
      <c r="G10" s="32">
        <v>9.8199999999999996E-2</v>
      </c>
    </row>
    <row r="11" spans="2:7">
      <c r="B11" s="6" t="s">
        <v>502</v>
      </c>
      <c r="C11" s="6"/>
      <c r="D11" s="33">
        <v>3.9800000000000002E-2</v>
      </c>
      <c r="F11" s="31" t="s">
        <v>598</v>
      </c>
      <c r="G11" s="32">
        <v>5.8200000000000002E-2</v>
      </c>
    </row>
    <row r="12" spans="2:7">
      <c r="B12" s="6" t="s">
        <v>599</v>
      </c>
      <c r="C12" s="6"/>
      <c r="D12" s="33">
        <v>3.5799999999999998E-2</v>
      </c>
      <c r="F12" s="31" t="s">
        <v>182</v>
      </c>
      <c r="G12" s="32">
        <v>2.46E-2</v>
      </c>
    </row>
    <row r="13" spans="2:7">
      <c r="B13" s="6" t="s">
        <v>600</v>
      </c>
      <c r="C13" s="6"/>
      <c r="D13" s="33">
        <v>2.52E-2</v>
      </c>
      <c r="F13" s="31" t="s">
        <v>22</v>
      </c>
      <c r="G13" s="32">
        <v>5.2900000000000003E-2</v>
      </c>
    </row>
    <row r="14" spans="2:7">
      <c r="B14" s="6" t="s">
        <v>601</v>
      </c>
      <c r="C14" s="6"/>
      <c r="D14" s="33">
        <v>1.47E-2</v>
      </c>
      <c r="F14" s="31" t="s">
        <v>18</v>
      </c>
      <c r="G14" s="32">
        <v>0.1186</v>
      </c>
    </row>
    <row r="15" spans="2:7">
      <c r="B15" s="42" t="s">
        <v>602</v>
      </c>
      <c r="C15" s="43"/>
      <c r="D15" s="33">
        <v>2.4799999999999999E-2</v>
      </c>
      <c r="F15" s="31" t="s">
        <v>193</v>
      </c>
      <c r="G15" s="32">
        <v>6.1199999999999997E-2</v>
      </c>
    </row>
    <row r="16" spans="2:7">
      <c r="B16" s="6" t="s">
        <v>603</v>
      </c>
      <c r="C16" s="6"/>
      <c r="D16" s="33">
        <v>5.9799999999999999E-2</v>
      </c>
      <c r="F16" s="31" t="s">
        <v>88</v>
      </c>
      <c r="G16" s="32">
        <v>2.81E-2</v>
      </c>
    </row>
    <row r="17" spans="2:7">
      <c r="B17" s="6" t="s">
        <v>604</v>
      </c>
      <c r="C17" s="6"/>
      <c r="D17" s="33">
        <v>5.8200000000000002E-2</v>
      </c>
      <c r="F17" s="31" t="s">
        <v>20</v>
      </c>
      <c r="G17" s="32">
        <v>5.8000000000000003E-2</v>
      </c>
    </row>
    <row r="18" spans="2:7">
      <c r="B18" s="6" t="s">
        <v>605</v>
      </c>
      <c r="C18" s="6"/>
      <c r="D18" s="33">
        <v>2.63E-2</v>
      </c>
      <c r="F18" s="31" t="s">
        <v>606</v>
      </c>
      <c r="G18" s="32">
        <v>6.6299999999999998E-2</v>
      </c>
    </row>
    <row r="19" spans="2:7">
      <c r="B19" s="6" t="s">
        <v>607</v>
      </c>
      <c r="C19" s="6"/>
      <c r="D19" s="33">
        <v>2.46E-2</v>
      </c>
    </row>
    <row r="20" spans="2:7">
      <c r="B20" s="6" t="s">
        <v>608</v>
      </c>
      <c r="C20" s="6"/>
      <c r="D20" s="33">
        <v>4.2200000000000001E-2</v>
      </c>
    </row>
    <row r="21" spans="2:7">
      <c r="B21" s="6" t="s">
        <v>609</v>
      </c>
      <c r="C21" s="6"/>
      <c r="D21" s="33">
        <v>1.6299999999999999E-2</v>
      </c>
    </row>
    <row r="22" spans="2:7">
      <c r="B22" s="6" t="s">
        <v>610</v>
      </c>
      <c r="C22" s="6"/>
      <c r="D22" s="33">
        <v>6.1199999999999997E-2</v>
      </c>
    </row>
    <row r="23" spans="2:7">
      <c r="B23" s="6" t="s">
        <v>611</v>
      </c>
      <c r="C23" s="6"/>
      <c r="D23" s="33">
        <v>7.2900000000000006E-2</v>
      </c>
    </row>
    <row r="24" spans="2:7">
      <c r="B24" s="6" t="s">
        <v>612</v>
      </c>
      <c r="C24" s="6"/>
      <c r="D24" s="33">
        <v>2.1299999999999999E-2</v>
      </c>
    </row>
    <row r="25" spans="2:7">
      <c r="B25" s="6" t="s">
        <v>613</v>
      </c>
      <c r="C25" s="6"/>
      <c r="D25" s="33">
        <v>2.81E-2</v>
      </c>
    </row>
    <row r="26" spans="2:7">
      <c r="B26" s="6" t="s">
        <v>216</v>
      </c>
      <c r="C26" s="6"/>
      <c r="D26" s="33">
        <v>5.74E-2</v>
      </c>
    </row>
    <row r="27" spans="2:7">
      <c r="B27" s="6" t="s">
        <v>614</v>
      </c>
      <c r="C27" s="6"/>
      <c r="D27" s="33">
        <v>3.2399999999999998E-2</v>
      </c>
    </row>
    <row r="28" spans="2:7">
      <c r="B28" s="6" t="s">
        <v>615</v>
      </c>
      <c r="C28" s="6"/>
      <c r="D28" s="33">
        <v>2.01E-2</v>
      </c>
    </row>
    <row r="29" spans="2:7">
      <c r="B29" s="6" t="s">
        <v>616</v>
      </c>
      <c r="C29" s="6"/>
      <c r="D29" s="33">
        <v>3.6600000000000001E-2</v>
      </c>
    </row>
    <row r="30" spans="2:7">
      <c r="B30" s="6" t="s">
        <v>617</v>
      </c>
      <c r="C30" s="6"/>
      <c r="D30" s="33">
        <v>1.9800000000000002E-2</v>
      </c>
    </row>
    <row r="31" spans="2:7">
      <c r="B31" s="6" t="s">
        <v>618</v>
      </c>
      <c r="C31" s="6"/>
      <c r="D31" s="33">
        <v>5.8000000000000003E-2</v>
      </c>
    </row>
    <row r="32" spans="2:7">
      <c r="B32" s="28" t="s">
        <v>32</v>
      </c>
      <c r="C32" s="28"/>
      <c r="D32" s="29">
        <v>0.93369999999999997</v>
      </c>
    </row>
  </sheetData>
  <mergeCells count="1">
    <mergeCell ref="B15:C15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B2:G71"/>
  <sheetViews>
    <sheetView showGridLines="0" topLeftCell="A44" workbookViewId="0">
      <selection activeCell="P28" sqref="P28"/>
    </sheetView>
  </sheetViews>
  <sheetFormatPr defaultColWidth="12.6640625" defaultRowHeight="15.75" customHeight="1"/>
  <sheetData>
    <row r="2" spans="2:7" ht="15.75" customHeight="1">
      <c r="B2" t="s">
        <v>621</v>
      </c>
      <c r="C2" t="s">
        <v>625</v>
      </c>
    </row>
    <row r="3" spans="2:7" ht="15.75" customHeight="1">
      <c r="B3" t="s">
        <v>622</v>
      </c>
      <c r="C3" s="37">
        <v>3.8300000000000001E-2</v>
      </c>
      <c r="F3" s="3" t="s">
        <v>10</v>
      </c>
      <c r="G3" s="3" t="s">
        <v>34</v>
      </c>
    </row>
    <row r="4" spans="2:7" ht="15.75" customHeight="1">
      <c r="B4" t="s">
        <v>497</v>
      </c>
      <c r="C4" s="37">
        <v>3.8199999999999998E-2</v>
      </c>
      <c r="F4" s="3" t="s">
        <v>46</v>
      </c>
      <c r="G4" s="23">
        <v>0.1951</v>
      </c>
    </row>
    <row r="5" spans="2:7" ht="15.75" customHeight="1">
      <c r="B5" t="s">
        <v>498</v>
      </c>
      <c r="C5" s="37">
        <v>3.4299999999999997E-2</v>
      </c>
      <c r="F5" s="3" t="s">
        <v>66</v>
      </c>
      <c r="G5" s="23">
        <v>0.1706</v>
      </c>
    </row>
    <row r="6" spans="2:7" ht="15.75" customHeight="1">
      <c r="B6" t="s">
        <v>499</v>
      </c>
      <c r="C6" s="37">
        <v>2.9600000000000001E-2</v>
      </c>
      <c r="F6" s="3" t="s">
        <v>57</v>
      </c>
      <c r="G6" s="23">
        <v>0.10390000000000001</v>
      </c>
    </row>
    <row r="7" spans="2:7" ht="15.75" customHeight="1">
      <c r="B7" t="s">
        <v>500</v>
      </c>
      <c r="C7" s="37">
        <v>2.5000000000000001E-2</v>
      </c>
      <c r="F7" s="3" t="s">
        <v>71</v>
      </c>
      <c r="G7" s="23">
        <v>0.1014</v>
      </c>
    </row>
    <row r="8" spans="2:7" ht="15.75" customHeight="1">
      <c r="B8" t="s">
        <v>501</v>
      </c>
      <c r="C8" s="37">
        <v>2.2499999999999999E-2</v>
      </c>
      <c r="F8" s="3" t="s">
        <v>82</v>
      </c>
      <c r="G8" s="23">
        <v>8.14E-2</v>
      </c>
    </row>
    <row r="9" spans="2:7" ht="15.75" customHeight="1">
      <c r="B9" t="s">
        <v>623</v>
      </c>
      <c r="C9" s="37">
        <v>2.1100000000000001E-2</v>
      </c>
    </row>
    <row r="10" spans="2:7" ht="15.75" customHeight="1">
      <c r="B10" t="s">
        <v>503</v>
      </c>
      <c r="C10" s="37">
        <v>2.0400000000000001E-2</v>
      </c>
      <c r="F10" s="3" t="s">
        <v>504</v>
      </c>
      <c r="G10" s="3" t="s">
        <v>34</v>
      </c>
    </row>
    <row r="11" spans="2:7" ht="15.75" customHeight="1">
      <c r="B11" t="s">
        <v>624</v>
      </c>
      <c r="C11" s="37">
        <v>1.8800000000000001E-2</v>
      </c>
      <c r="F11" s="3" t="s">
        <v>69</v>
      </c>
      <c r="G11" s="23">
        <v>3.4799999999999998E-2</v>
      </c>
    </row>
    <row r="12" spans="2:7" ht="15.75" customHeight="1">
      <c r="B12" t="s">
        <v>505</v>
      </c>
      <c r="C12" s="37">
        <v>1.8700000000000001E-2</v>
      </c>
      <c r="F12" s="3" t="s">
        <v>67</v>
      </c>
      <c r="G12" s="23">
        <v>0.72519999999999996</v>
      </c>
    </row>
    <row r="13" spans="2:7" ht="15.75" customHeight="1">
      <c r="B13" t="s">
        <v>506</v>
      </c>
      <c r="C13" s="37">
        <v>1.84E-2</v>
      </c>
      <c r="F13" s="3" t="s">
        <v>64</v>
      </c>
      <c r="G13" s="23">
        <v>0.19339999999999999</v>
      </c>
    </row>
    <row r="14" spans="2:7" ht="15.75" customHeight="1">
      <c r="B14" t="s">
        <v>502</v>
      </c>
      <c r="C14" s="37">
        <v>1.7600000000000001E-2</v>
      </c>
    </row>
    <row r="15" spans="2:7" ht="15.75" customHeight="1">
      <c r="B15" t="s">
        <v>612</v>
      </c>
      <c r="C15" s="37">
        <v>1.6E-2</v>
      </c>
    </row>
    <row r="16" spans="2:7" ht="15.75" customHeight="1">
      <c r="B16" t="s">
        <v>519</v>
      </c>
      <c r="C16" s="37">
        <v>1.5800000000000002E-2</v>
      </c>
    </row>
    <row r="17" spans="2:3" ht="15.75" customHeight="1">
      <c r="B17" t="s">
        <v>626</v>
      </c>
      <c r="C17" s="37">
        <v>1.5599999999999999E-2</v>
      </c>
    </row>
    <row r="18" spans="2:3" ht="15.75" customHeight="1">
      <c r="B18" t="s">
        <v>627</v>
      </c>
      <c r="C18" s="37">
        <v>1.5599999999999999E-2</v>
      </c>
    </row>
    <row r="19" spans="2:3" ht="15.75" customHeight="1">
      <c r="B19" t="s">
        <v>628</v>
      </c>
      <c r="C19" s="37">
        <v>1.54E-2</v>
      </c>
    </row>
    <row r="20" spans="2:3" ht="15.75" customHeight="1">
      <c r="B20" t="s">
        <v>629</v>
      </c>
      <c r="C20" s="37">
        <v>1.47E-2</v>
      </c>
    </row>
    <row r="21" spans="2:3" ht="15.75" customHeight="1">
      <c r="B21" t="s">
        <v>630</v>
      </c>
      <c r="C21" s="37">
        <v>1.46E-2</v>
      </c>
    </row>
    <row r="22" spans="2:3" ht="15.75" customHeight="1">
      <c r="B22" t="s">
        <v>631</v>
      </c>
      <c r="C22" s="37">
        <v>1.44E-2</v>
      </c>
    </row>
    <row r="23" spans="2:3" ht="15.75" customHeight="1">
      <c r="B23" t="s">
        <v>632</v>
      </c>
      <c r="C23" s="37">
        <v>1.41E-2</v>
      </c>
    </row>
    <row r="24" spans="2:3" ht="15.75" customHeight="1">
      <c r="B24" t="s">
        <v>597</v>
      </c>
      <c r="C24" s="37">
        <v>1.4E-2</v>
      </c>
    </row>
    <row r="25" spans="2:3" ht="15.75" customHeight="1">
      <c r="B25" t="s">
        <v>633</v>
      </c>
      <c r="C25" s="37">
        <v>1.4E-2</v>
      </c>
    </row>
    <row r="26" spans="2:3" ht="15.75" customHeight="1">
      <c r="B26" t="s">
        <v>634</v>
      </c>
      <c r="C26" s="37">
        <v>1.4E-2</v>
      </c>
    </row>
    <row r="27" spans="2:3" ht="15.75" customHeight="1">
      <c r="B27" t="s">
        <v>635</v>
      </c>
      <c r="C27" s="37">
        <v>1.38E-2</v>
      </c>
    </row>
    <row r="28" spans="2:3" ht="15.75" customHeight="1">
      <c r="B28" t="s">
        <v>636</v>
      </c>
      <c r="C28" s="37">
        <v>1.32E-2</v>
      </c>
    </row>
    <row r="29" spans="2:3" ht="15.75" customHeight="1">
      <c r="B29" t="s">
        <v>637</v>
      </c>
      <c r="C29" s="37">
        <v>1.32E-2</v>
      </c>
    </row>
    <row r="30" spans="2:3" ht="15.75" customHeight="1">
      <c r="B30" t="s">
        <v>638</v>
      </c>
      <c r="C30" s="37">
        <v>1.2699999999999999E-2</v>
      </c>
    </row>
    <row r="31" spans="2:3" ht="15.75" customHeight="1">
      <c r="B31" t="s">
        <v>639</v>
      </c>
      <c r="C31" s="37">
        <v>1.24E-2</v>
      </c>
    </row>
    <row r="32" spans="2:3" ht="15.75" customHeight="1">
      <c r="B32" t="s">
        <v>640</v>
      </c>
      <c r="C32" s="37">
        <v>1.18E-2</v>
      </c>
    </row>
    <row r="33" spans="2:3" ht="15.75" customHeight="1">
      <c r="B33" t="s">
        <v>641</v>
      </c>
      <c r="C33" s="37">
        <v>1.1599999999999999E-2</v>
      </c>
    </row>
    <row r="34" spans="2:3" ht="15.75" customHeight="1">
      <c r="B34" t="s">
        <v>642</v>
      </c>
      <c r="C34" s="37">
        <v>1.15E-2</v>
      </c>
    </row>
    <row r="35" spans="2:3" ht="15.75" customHeight="1">
      <c r="B35" t="s">
        <v>643</v>
      </c>
      <c r="C35" s="37">
        <v>1.14E-2</v>
      </c>
    </row>
    <row r="36" spans="2:3" ht="15.75" customHeight="1">
      <c r="B36" t="s">
        <v>644</v>
      </c>
      <c r="C36" s="37">
        <v>1.0500000000000001E-2</v>
      </c>
    </row>
    <row r="37" spans="2:3" ht="15.75" customHeight="1">
      <c r="B37" t="s">
        <v>600</v>
      </c>
      <c r="C37" s="37">
        <v>1.0500000000000001E-2</v>
      </c>
    </row>
    <row r="38" spans="2:3" ht="15.75" customHeight="1">
      <c r="B38" t="s">
        <v>645</v>
      </c>
      <c r="C38" s="37">
        <v>1.0200000000000001E-2</v>
      </c>
    </row>
    <row r="39" spans="2:3" ht="15.75" customHeight="1">
      <c r="B39" t="s">
        <v>646</v>
      </c>
      <c r="C39" s="37">
        <v>1.01E-2</v>
      </c>
    </row>
    <row r="40" spans="2:3" ht="15.75" customHeight="1">
      <c r="B40" t="s">
        <v>647</v>
      </c>
      <c r="C40" s="37">
        <v>9.9000000000000008E-3</v>
      </c>
    </row>
    <row r="41" spans="2:3" ht="15.75" customHeight="1">
      <c r="B41" t="s">
        <v>610</v>
      </c>
      <c r="C41" s="37">
        <v>9.7999999999999997E-3</v>
      </c>
    </row>
    <row r="42" spans="2:3" ht="15.75" customHeight="1">
      <c r="B42" t="s">
        <v>648</v>
      </c>
      <c r="C42" s="37">
        <v>9.7999999999999997E-3</v>
      </c>
    </row>
    <row r="43" spans="2:3" ht="15.75" customHeight="1">
      <c r="B43" t="s">
        <v>596</v>
      </c>
      <c r="C43" s="37">
        <v>9.7000000000000003E-3</v>
      </c>
    </row>
    <row r="44" spans="2:3" ht="15.75" customHeight="1">
      <c r="B44" t="s">
        <v>649</v>
      </c>
      <c r="C44" s="37">
        <v>9.4999999999999998E-3</v>
      </c>
    </row>
    <row r="45" spans="2:3" ht="15.75" customHeight="1">
      <c r="B45" t="s">
        <v>604</v>
      </c>
      <c r="C45" s="37">
        <v>8.9999999999999993E-3</v>
      </c>
    </row>
    <row r="46" spans="2:3" ht="15.75" customHeight="1">
      <c r="B46" t="s">
        <v>650</v>
      </c>
      <c r="C46" s="37">
        <v>8.2000000000000007E-3</v>
      </c>
    </row>
    <row r="47" spans="2:3" ht="15.75" customHeight="1">
      <c r="B47" t="s">
        <v>651</v>
      </c>
      <c r="C47" s="37">
        <v>7.9000000000000008E-3</v>
      </c>
    </row>
    <row r="48" spans="2:3" ht="15.75" customHeight="1">
      <c r="B48" t="s">
        <v>652</v>
      </c>
      <c r="C48" s="37">
        <v>7.9000000000000008E-3</v>
      </c>
    </row>
    <row r="49" spans="2:3" ht="15.75" customHeight="1">
      <c r="B49" t="s">
        <v>618</v>
      </c>
      <c r="C49" s="37">
        <v>7.7000000000000002E-3</v>
      </c>
    </row>
    <row r="50" spans="2:3" ht="15.75" customHeight="1">
      <c r="B50" t="s">
        <v>653</v>
      </c>
      <c r="C50" s="37">
        <v>7.6E-3</v>
      </c>
    </row>
    <row r="51" spans="2:3" ht="15.75" customHeight="1">
      <c r="B51" t="s">
        <v>654</v>
      </c>
      <c r="C51" s="37">
        <v>7.4999999999999997E-3</v>
      </c>
    </row>
    <row r="52" spans="2:3" ht="15.75" customHeight="1">
      <c r="B52" t="s">
        <v>655</v>
      </c>
      <c r="C52" s="37">
        <v>7.4000000000000003E-3</v>
      </c>
    </row>
    <row r="53" spans="2:3" ht="15.75" customHeight="1">
      <c r="B53" t="s">
        <v>656</v>
      </c>
      <c r="C53" s="37">
        <v>7.4000000000000003E-3</v>
      </c>
    </row>
    <row r="54" spans="2:3" ht="15.75" customHeight="1">
      <c r="B54" t="s">
        <v>657</v>
      </c>
      <c r="C54" s="37">
        <v>7.1000000000000004E-3</v>
      </c>
    </row>
    <row r="55" spans="2:3" ht="15.75" customHeight="1">
      <c r="B55" t="s">
        <v>658</v>
      </c>
      <c r="C55" s="37">
        <v>7.1000000000000004E-3</v>
      </c>
    </row>
    <row r="56" spans="2:3" ht="15.75" customHeight="1">
      <c r="B56" t="s">
        <v>659</v>
      </c>
      <c r="C56" s="37">
        <v>6.8999999999999999E-3</v>
      </c>
    </row>
    <row r="57" spans="2:3" ht="15.75" customHeight="1">
      <c r="B57" t="s">
        <v>660</v>
      </c>
      <c r="C57" s="37">
        <v>6.6E-3</v>
      </c>
    </row>
    <row r="58" spans="2:3" ht="15.75" customHeight="1">
      <c r="B58" t="s">
        <v>661</v>
      </c>
      <c r="C58" s="37">
        <v>6.4999999999999997E-3</v>
      </c>
    </row>
    <row r="59" spans="2:3" ht="15.75" customHeight="1">
      <c r="B59" t="s">
        <v>662</v>
      </c>
      <c r="C59" s="37">
        <v>6.1000000000000004E-3</v>
      </c>
    </row>
    <row r="60" spans="2:3" ht="15.75" customHeight="1">
      <c r="B60" t="s">
        <v>663</v>
      </c>
      <c r="C60" s="37">
        <v>6.1000000000000004E-3</v>
      </c>
    </row>
    <row r="61" spans="2:3" ht="15.75" customHeight="1">
      <c r="B61" t="s">
        <v>570</v>
      </c>
      <c r="C61" s="37">
        <v>5.8999999999999999E-3</v>
      </c>
    </row>
    <row r="62" spans="2:3" ht="15.75" customHeight="1">
      <c r="B62" t="s">
        <v>664</v>
      </c>
      <c r="C62" s="37">
        <v>5.8999999999999999E-3</v>
      </c>
    </row>
    <row r="63" spans="2:3" ht="15.75" customHeight="1">
      <c r="B63" t="s">
        <v>665</v>
      </c>
      <c r="C63" s="37">
        <v>5.7000000000000002E-3</v>
      </c>
    </row>
    <row r="64" spans="2:3" ht="15.75" customHeight="1">
      <c r="B64" t="s">
        <v>666</v>
      </c>
      <c r="C64" s="37">
        <v>5.4999999999999997E-3</v>
      </c>
    </row>
    <row r="65" spans="2:3" ht="15.75" customHeight="1">
      <c r="B65" t="s">
        <v>614</v>
      </c>
      <c r="C65" s="37">
        <v>5.4000000000000003E-3</v>
      </c>
    </row>
    <row r="66" spans="2:3" ht="15.75" customHeight="1">
      <c r="B66" t="s">
        <v>667</v>
      </c>
      <c r="C66" s="37">
        <v>5.4000000000000003E-3</v>
      </c>
    </row>
    <row r="67" spans="2:3" ht="15.75" customHeight="1">
      <c r="B67" t="s">
        <v>668</v>
      </c>
      <c r="C67" s="37">
        <v>5.1000000000000004E-3</v>
      </c>
    </row>
    <row r="68" spans="2:3" ht="15.75" customHeight="1">
      <c r="B68" t="s">
        <v>669</v>
      </c>
      <c r="C68" s="37">
        <v>6.88E-2</v>
      </c>
    </row>
    <row r="69" spans="2:3" ht="15.75" customHeight="1">
      <c r="B69" t="s">
        <v>670</v>
      </c>
      <c r="C69" s="37">
        <v>1.0500000000000001E-2</v>
      </c>
    </row>
    <row r="70" spans="2:3" ht="15.75" customHeight="1">
      <c r="B70" t="s">
        <v>671</v>
      </c>
      <c r="C70" s="37">
        <v>8.2100000000000006E-2</v>
      </c>
    </row>
    <row r="71" spans="2:3" ht="15.75" customHeight="1">
      <c r="B71" t="s">
        <v>433</v>
      </c>
      <c r="C71" s="37">
        <v>1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CEFFF-6A6A-49AB-93CE-F6B326EE81B2}">
  <dimension ref="A1"/>
  <sheetViews>
    <sheetView showGridLines="0" workbookViewId="0">
      <selection activeCell="P28" sqref="P28"/>
    </sheetView>
  </sheetViews>
  <sheetFormatPr defaultRowHeight="13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Selected Funds </vt:lpstr>
      <vt:lpstr>TOP 10 Stocks </vt:lpstr>
      <vt:lpstr>Raw Data </vt:lpstr>
      <vt:lpstr>Mirae Midcap</vt:lpstr>
      <vt:lpstr>HSBC Midcap funds</vt:lpstr>
      <vt:lpstr>Edelweiss Mid Cap Fund</vt:lpstr>
      <vt:lpstr>Franklin India Mid Cap Fund</vt:lpstr>
      <vt:lpstr>Bandhan Midcap</vt:lpstr>
      <vt:lpstr>Quant Midcap</vt:lpstr>
      <vt:lpstr>Sbi Midcap</vt:lpstr>
      <vt:lpstr>Kotak Midcap</vt:lpstr>
      <vt:lpstr>Motilal Midcap</vt:lpstr>
      <vt:lpstr>Axis 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 singh</cp:lastModifiedBy>
  <dcterms:modified xsi:type="dcterms:W3CDTF">2026-07-22T08:14:04Z</dcterms:modified>
</cp:coreProperties>
</file>