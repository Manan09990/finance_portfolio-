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nan\Desktop\cip hero\Finalized\"/>
    </mc:Choice>
  </mc:AlternateContent>
  <xr:revisionPtr revIDLastSave="0" documentId="8_{83EB5574-C044-4C3C-B0C4-25EA59BCABCD}" xr6:coauthVersionLast="47" xr6:coauthVersionMax="47" xr10:uidLastSave="{00000000-0000-0000-0000-000000000000}"/>
  <bookViews>
    <workbookView xWindow="-108" yWindow="-108" windowWidth="23256" windowHeight="13896" tabRatio="500" firstSheet="22" activeTab="22" xr2:uid="{00000000-000D-0000-FFFF-FFFF00000000}"/>
  </bookViews>
  <sheets>
    <sheet name="About " sheetId="1" r:id="rId1"/>
    <sheet name="Promoter " sheetId="2" r:id="rId2"/>
    <sheet name="Public Holdings" sheetId="3" r:id="rId3"/>
    <sheet name="Consolidated Balance sheet " sheetId="4" r:id="rId4"/>
    <sheet name="Consolidated PL" sheetId="5" r:id="rId5"/>
    <sheet name="Consolidated CF" sheetId="6" r:id="rId6"/>
    <sheet name="ConsolidatedQuaterly " sheetId="7" r:id="rId7"/>
    <sheet name="Peers" sheetId="8" r:id="rId8"/>
    <sheet name="Stock Analysis" sheetId="9" r:id="rId9"/>
    <sheet name="BETA " sheetId="10" r:id="rId10"/>
    <sheet name="Consolidated PL 5y" sheetId="11" r:id="rId11"/>
    <sheet name="Consolidated BS 5y" sheetId="12" r:id="rId12"/>
    <sheet name="Assumptions" sheetId="13" r:id="rId13"/>
    <sheet name="Ratios" sheetId="14" r:id="rId14"/>
    <sheet name="Fixed Asset Schedule " sheetId="15" r:id="rId15"/>
    <sheet name="Change in Working Cap" sheetId="16" r:id="rId16"/>
    <sheet name="FCFF" sheetId="17" r:id="rId17"/>
    <sheet name="Raw Data Relative Valuation" sheetId="18" r:id="rId18"/>
    <sheet name="Relative Valuation" sheetId="19" r:id="rId19"/>
    <sheet name="Consolidated CF." sheetId="20" r:id="rId20"/>
    <sheet name="WACC" sheetId="21" r:id="rId21"/>
    <sheet name="Growth Scenario" sheetId="22" r:id="rId22"/>
    <sheet name="Valuation " sheetId="23" r:id="rId2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9" i="16" l="1"/>
  <c r="F9" i="16"/>
  <c r="G9" i="16"/>
  <c r="D9" i="16"/>
  <c r="M22" i="22"/>
  <c r="C6" i="22"/>
  <c r="C11" i="22" s="1"/>
  <c r="D23" i="21"/>
  <c r="F18" i="21"/>
  <c r="F16" i="21"/>
  <c r="C7" i="21"/>
  <c r="C6" i="21"/>
  <c r="C5" i="21"/>
  <c r="C10" i="21" s="1"/>
  <c r="P25" i="19"/>
  <c r="Q25" i="19" s="1"/>
  <c r="R25" i="19" s="1"/>
  <c r="M13" i="19"/>
  <c r="L13" i="19"/>
  <c r="K13" i="19"/>
  <c r="H13" i="19"/>
  <c r="G13" i="19"/>
  <c r="E13" i="19"/>
  <c r="D13" i="19"/>
  <c r="M12" i="19"/>
  <c r="L12" i="19"/>
  <c r="K12" i="19"/>
  <c r="H12" i="19"/>
  <c r="G12" i="19"/>
  <c r="E12" i="19"/>
  <c r="D12" i="19"/>
  <c r="M11" i="19"/>
  <c r="L11" i="19"/>
  <c r="K11" i="19"/>
  <c r="H11" i="19"/>
  <c r="G11" i="19"/>
  <c r="E11" i="19"/>
  <c r="D11" i="19"/>
  <c r="N11" i="19" s="1"/>
  <c r="M10" i="19"/>
  <c r="L10" i="19"/>
  <c r="K10" i="19"/>
  <c r="H10" i="19"/>
  <c r="G10" i="19"/>
  <c r="F10" i="19"/>
  <c r="E10" i="19"/>
  <c r="R10" i="19" s="1"/>
  <c r="D10" i="19"/>
  <c r="N10" i="19" s="1"/>
  <c r="M9" i="19"/>
  <c r="N9" i="19" s="1"/>
  <c r="L9" i="19"/>
  <c r="K9" i="19"/>
  <c r="H9" i="19"/>
  <c r="G9" i="19"/>
  <c r="I9" i="19" s="1"/>
  <c r="F9" i="19"/>
  <c r="E9" i="19"/>
  <c r="R9" i="19" s="1"/>
  <c r="D9" i="19"/>
  <c r="G6" i="17"/>
  <c r="F6" i="17"/>
  <c r="E6" i="17"/>
  <c r="D6" i="17"/>
  <c r="C6" i="17"/>
  <c r="C12" i="16"/>
  <c r="C11" i="16"/>
  <c r="E8" i="16"/>
  <c r="E7" i="17" s="1"/>
  <c r="G6" i="16"/>
  <c r="F6" i="16"/>
  <c r="E6" i="16"/>
  <c r="D6" i="16"/>
  <c r="C6" i="16"/>
  <c r="G5" i="16"/>
  <c r="G7" i="16" s="1"/>
  <c r="F5" i="16"/>
  <c r="F7" i="16" s="1"/>
  <c r="E5" i="16"/>
  <c r="E7" i="16" s="1"/>
  <c r="D5" i="16"/>
  <c r="D7" i="16" s="1"/>
  <c r="D8" i="16" s="1"/>
  <c r="D7" i="17" s="1"/>
  <c r="C5" i="16"/>
  <c r="G4" i="16"/>
  <c r="F4" i="16"/>
  <c r="E4" i="16"/>
  <c r="D4" i="16"/>
  <c r="C4" i="16"/>
  <c r="C7" i="16" s="1"/>
  <c r="G7" i="15"/>
  <c r="F7" i="15"/>
  <c r="E7" i="15"/>
  <c r="F3" i="15" s="1"/>
  <c r="F4" i="15" s="1"/>
  <c r="F9" i="15" s="1"/>
  <c r="F10" i="15" s="1"/>
  <c r="D7" i="15"/>
  <c r="E3" i="15" s="1"/>
  <c r="E4" i="15" s="1"/>
  <c r="E9" i="15" s="1"/>
  <c r="E10" i="15" s="1"/>
  <c r="C7" i="15"/>
  <c r="G6" i="15"/>
  <c r="G5" i="15" s="1"/>
  <c r="G4" i="15" s="1"/>
  <c r="G9" i="15" s="1"/>
  <c r="G10" i="15" s="1"/>
  <c r="F6" i="15"/>
  <c r="F5" i="15" s="1"/>
  <c r="E6" i="15"/>
  <c r="E5" i="15" s="1"/>
  <c r="D6" i="15"/>
  <c r="C6" i="15"/>
  <c r="G3" i="15"/>
  <c r="F35" i="14"/>
  <c r="E33" i="14"/>
  <c r="D33" i="14"/>
  <c r="C33" i="14"/>
  <c r="G31" i="14"/>
  <c r="F31" i="14"/>
  <c r="E31" i="14"/>
  <c r="D31" i="14"/>
  <c r="C31" i="14"/>
  <c r="G30" i="14"/>
  <c r="F30" i="14"/>
  <c r="E30" i="14"/>
  <c r="D30" i="14"/>
  <c r="C30" i="14"/>
  <c r="G29" i="14"/>
  <c r="G35" i="14" s="1"/>
  <c r="F29" i="14"/>
  <c r="G27" i="14"/>
  <c r="G33" i="14" s="1"/>
  <c r="F27" i="14"/>
  <c r="F33" i="14" s="1"/>
  <c r="E27" i="14"/>
  <c r="D27" i="14"/>
  <c r="C27" i="14"/>
  <c r="G25" i="14"/>
  <c r="F25" i="14"/>
  <c r="E25" i="14"/>
  <c r="D25" i="14"/>
  <c r="C25" i="14"/>
  <c r="G18" i="14"/>
  <c r="F18" i="14"/>
  <c r="E18" i="14"/>
  <c r="D18" i="14"/>
  <c r="C18" i="14"/>
  <c r="G17" i="14"/>
  <c r="F17" i="14"/>
  <c r="E17" i="14"/>
  <c r="D17" i="14"/>
  <c r="C17" i="14"/>
  <c r="G9" i="14"/>
  <c r="F9" i="14"/>
  <c r="E9" i="14"/>
  <c r="D9" i="14"/>
  <c r="G5" i="14"/>
  <c r="F5" i="14"/>
  <c r="E5" i="14"/>
  <c r="D5" i="14"/>
  <c r="H48" i="13"/>
  <c r="G48" i="13"/>
  <c r="F48" i="13"/>
  <c r="E48" i="13"/>
  <c r="D48" i="13"/>
  <c r="H47" i="13"/>
  <c r="H49" i="13" s="1"/>
  <c r="G47" i="13"/>
  <c r="G49" i="13" s="1"/>
  <c r="F47" i="13"/>
  <c r="E47" i="13"/>
  <c r="D47" i="13"/>
  <c r="H46" i="13"/>
  <c r="G46" i="13"/>
  <c r="F46" i="13"/>
  <c r="F49" i="13" s="1"/>
  <c r="E46" i="13"/>
  <c r="D46" i="13"/>
  <c r="I26" i="13"/>
  <c r="H26" i="13"/>
  <c r="G26" i="13"/>
  <c r="F26" i="13"/>
  <c r="E26" i="13"/>
  <c r="I25" i="13"/>
  <c r="H25" i="13"/>
  <c r="G25" i="13"/>
  <c r="F25" i="13"/>
  <c r="E25" i="13"/>
  <c r="I21" i="13"/>
  <c r="H21" i="13"/>
  <c r="G21" i="13"/>
  <c r="F21" i="13"/>
  <c r="E21" i="13"/>
  <c r="I20" i="13"/>
  <c r="H20" i="13"/>
  <c r="G20" i="13"/>
  <c r="F20" i="13"/>
  <c r="E20" i="13"/>
  <c r="I16" i="13"/>
  <c r="H16" i="13"/>
  <c r="G16" i="13"/>
  <c r="F16" i="13"/>
  <c r="E16" i="13"/>
  <c r="I11" i="13"/>
  <c r="H11" i="13"/>
  <c r="G11" i="13"/>
  <c r="F11" i="13"/>
  <c r="E11" i="13"/>
  <c r="I10" i="13"/>
  <c r="H10" i="13"/>
  <c r="G10" i="13"/>
  <c r="F10" i="13"/>
  <c r="E10" i="13"/>
  <c r="I9" i="13"/>
  <c r="G28" i="14" s="1"/>
  <c r="G34" i="14" s="1"/>
  <c r="H9" i="13"/>
  <c r="F28" i="14" s="1"/>
  <c r="F34" i="14" s="1"/>
  <c r="G9" i="13"/>
  <c r="F9" i="13"/>
  <c r="E9" i="13"/>
  <c r="I6" i="13"/>
  <c r="H6" i="13"/>
  <c r="F11" i="14" s="1"/>
  <c r="G6" i="13"/>
  <c r="F6" i="13"/>
  <c r="E6" i="13"/>
  <c r="C6" i="13"/>
  <c r="L6" i="11"/>
  <c r="I7" i="13" s="1"/>
  <c r="K6" i="11"/>
  <c r="H7" i="13" s="1"/>
  <c r="J6" i="11"/>
  <c r="G7" i="13" s="1"/>
  <c r="N7" i="22" s="1"/>
  <c r="I6" i="11"/>
  <c r="F7" i="13" s="1"/>
  <c r="M7" i="13" s="1"/>
  <c r="I1485" i="10"/>
  <c r="D1485" i="10"/>
  <c r="I1484" i="10"/>
  <c r="D1484" i="10"/>
  <c r="I1483" i="10"/>
  <c r="D1483" i="10"/>
  <c r="I1482" i="10"/>
  <c r="D1482" i="10"/>
  <c r="I1481" i="10"/>
  <c r="D1481" i="10"/>
  <c r="I1480" i="10"/>
  <c r="D1480" i="10"/>
  <c r="I1479" i="10"/>
  <c r="D1479" i="10"/>
  <c r="I1478" i="10"/>
  <c r="D1478" i="10"/>
  <c r="I1477" i="10"/>
  <c r="D1477" i="10"/>
  <c r="I1476" i="10"/>
  <c r="D1476" i="10"/>
  <c r="I1475" i="10"/>
  <c r="D1475" i="10"/>
  <c r="I1474" i="10"/>
  <c r="D1474" i="10"/>
  <c r="I1473" i="10"/>
  <c r="D1473" i="10"/>
  <c r="I1472" i="10"/>
  <c r="D1472" i="10"/>
  <c r="I1471" i="10"/>
  <c r="D1471" i="10"/>
  <c r="I1470" i="10"/>
  <c r="D1470" i="10"/>
  <c r="I1469" i="10"/>
  <c r="D1469" i="10"/>
  <c r="I1468" i="10"/>
  <c r="D1468" i="10"/>
  <c r="I1467" i="10"/>
  <c r="D1467" i="10"/>
  <c r="I1466" i="10"/>
  <c r="D1466" i="10"/>
  <c r="I1465" i="10"/>
  <c r="D1465" i="10"/>
  <c r="I1464" i="10"/>
  <c r="D1464" i="10"/>
  <c r="I1463" i="10"/>
  <c r="D1463" i="10"/>
  <c r="I1462" i="10"/>
  <c r="D1462" i="10"/>
  <c r="I1461" i="10"/>
  <c r="D1461" i="10"/>
  <c r="I1460" i="10"/>
  <c r="D1460" i="10"/>
  <c r="I1459" i="10"/>
  <c r="D1459" i="10"/>
  <c r="I1458" i="10"/>
  <c r="D1458" i="10"/>
  <c r="I1457" i="10"/>
  <c r="D1457" i="10"/>
  <c r="I1456" i="10"/>
  <c r="D1456" i="10"/>
  <c r="I1455" i="10"/>
  <c r="D1455" i="10"/>
  <c r="I1454" i="10"/>
  <c r="D1454" i="10"/>
  <c r="I1453" i="10"/>
  <c r="D1453" i="10"/>
  <c r="I1452" i="10"/>
  <c r="D1452" i="10"/>
  <c r="I1451" i="10"/>
  <c r="D1451" i="10"/>
  <c r="I1450" i="10"/>
  <c r="D1450" i="10"/>
  <c r="I1449" i="10"/>
  <c r="D1449" i="10"/>
  <c r="I1448" i="10"/>
  <c r="D1448" i="10"/>
  <c r="I1447" i="10"/>
  <c r="D1447" i="10"/>
  <c r="I1446" i="10"/>
  <c r="D1446" i="10"/>
  <c r="I1445" i="10"/>
  <c r="D1445" i="10"/>
  <c r="I1444" i="10"/>
  <c r="D1444" i="10"/>
  <c r="I1443" i="10"/>
  <c r="D1443" i="10"/>
  <c r="I1442" i="10"/>
  <c r="D1442" i="10"/>
  <c r="I1441" i="10"/>
  <c r="D1441" i="10"/>
  <c r="I1440" i="10"/>
  <c r="D1440" i="10"/>
  <c r="I1439" i="10"/>
  <c r="D1439" i="10"/>
  <c r="I1438" i="10"/>
  <c r="D1438" i="10"/>
  <c r="I1437" i="10"/>
  <c r="D1437" i="10"/>
  <c r="I1436" i="10"/>
  <c r="D1436" i="10"/>
  <c r="I1435" i="10"/>
  <c r="D1435" i="10"/>
  <c r="I1434" i="10"/>
  <c r="D1434" i="10"/>
  <c r="I1433" i="10"/>
  <c r="D1433" i="10"/>
  <c r="I1432" i="10"/>
  <c r="D1432" i="10"/>
  <c r="I1431" i="10"/>
  <c r="D1431" i="10"/>
  <c r="I1430" i="10"/>
  <c r="D1430" i="10"/>
  <c r="I1429" i="10"/>
  <c r="D1429" i="10"/>
  <c r="I1428" i="10"/>
  <c r="D1428" i="10"/>
  <c r="I1427" i="10"/>
  <c r="D1427" i="10"/>
  <c r="I1426" i="10"/>
  <c r="D1426" i="10"/>
  <c r="I1425" i="10"/>
  <c r="D1425" i="10"/>
  <c r="I1424" i="10"/>
  <c r="D1424" i="10"/>
  <c r="I1423" i="10"/>
  <c r="D1423" i="10"/>
  <c r="I1422" i="10"/>
  <c r="D1422" i="10"/>
  <c r="I1421" i="10"/>
  <c r="D1421" i="10"/>
  <c r="I1420" i="10"/>
  <c r="D1420" i="10"/>
  <c r="I1419" i="10"/>
  <c r="D1419" i="10"/>
  <c r="I1418" i="10"/>
  <c r="D1418" i="10"/>
  <c r="I1417" i="10"/>
  <c r="D1417" i="10"/>
  <c r="I1416" i="10"/>
  <c r="D1416" i="10"/>
  <c r="I1415" i="10"/>
  <c r="D1415" i="10"/>
  <c r="I1414" i="10"/>
  <c r="D1414" i="10"/>
  <c r="I1413" i="10"/>
  <c r="D1413" i="10"/>
  <c r="I1412" i="10"/>
  <c r="D1412" i="10"/>
  <c r="I1411" i="10"/>
  <c r="D1411" i="10"/>
  <c r="I1410" i="10"/>
  <c r="D1410" i="10"/>
  <c r="I1409" i="10"/>
  <c r="D1409" i="10"/>
  <c r="I1408" i="10"/>
  <c r="D1408" i="10"/>
  <c r="I1407" i="10"/>
  <c r="D1407" i="10"/>
  <c r="I1406" i="10"/>
  <c r="D1406" i="10"/>
  <c r="I1405" i="10"/>
  <c r="D1405" i="10"/>
  <c r="I1404" i="10"/>
  <c r="D1404" i="10"/>
  <c r="I1403" i="10"/>
  <c r="D1403" i="10"/>
  <c r="I1402" i="10"/>
  <c r="D1402" i="10"/>
  <c r="I1401" i="10"/>
  <c r="D1401" i="10"/>
  <c r="I1400" i="10"/>
  <c r="D1400" i="10"/>
  <c r="I1399" i="10"/>
  <c r="D1399" i="10"/>
  <c r="I1398" i="10"/>
  <c r="D1398" i="10"/>
  <c r="I1397" i="10"/>
  <c r="D1397" i="10"/>
  <c r="I1396" i="10"/>
  <c r="D1396" i="10"/>
  <c r="I1395" i="10"/>
  <c r="D1395" i="10"/>
  <c r="I1394" i="10"/>
  <c r="D1394" i="10"/>
  <c r="I1393" i="10"/>
  <c r="D1393" i="10"/>
  <c r="I1392" i="10"/>
  <c r="D1392" i="10"/>
  <c r="I1391" i="10"/>
  <c r="D1391" i="10"/>
  <c r="I1390" i="10"/>
  <c r="D1390" i="10"/>
  <c r="I1389" i="10"/>
  <c r="D1389" i="10"/>
  <c r="I1388" i="10"/>
  <c r="D1388" i="10"/>
  <c r="I1387" i="10"/>
  <c r="D1387" i="10"/>
  <c r="I1386" i="10"/>
  <c r="D1386" i="10"/>
  <c r="I1385" i="10"/>
  <c r="D1385" i="10"/>
  <c r="I1384" i="10"/>
  <c r="D1384" i="10"/>
  <c r="I1383" i="10"/>
  <c r="D1383" i="10"/>
  <c r="I1382" i="10"/>
  <c r="D1382" i="10"/>
  <c r="I1381" i="10"/>
  <c r="D1381" i="10"/>
  <c r="I1380" i="10"/>
  <c r="D1380" i="10"/>
  <c r="I1379" i="10"/>
  <c r="D1379" i="10"/>
  <c r="I1378" i="10"/>
  <c r="D1378" i="10"/>
  <c r="I1377" i="10"/>
  <c r="D1377" i="10"/>
  <c r="I1376" i="10"/>
  <c r="D1376" i="10"/>
  <c r="I1375" i="10"/>
  <c r="D1375" i="10"/>
  <c r="I1374" i="10"/>
  <c r="D1374" i="10"/>
  <c r="I1373" i="10"/>
  <c r="D1373" i="10"/>
  <c r="I1372" i="10"/>
  <c r="D1372" i="10"/>
  <c r="I1371" i="10"/>
  <c r="D1371" i="10"/>
  <c r="I1370" i="10"/>
  <c r="D1370" i="10"/>
  <c r="I1369" i="10"/>
  <c r="D1369" i="10"/>
  <c r="I1368" i="10"/>
  <c r="D1368" i="10"/>
  <c r="I1367" i="10"/>
  <c r="D1367" i="10"/>
  <c r="I1366" i="10"/>
  <c r="D1366" i="10"/>
  <c r="I1365" i="10"/>
  <c r="D1365" i="10"/>
  <c r="I1364" i="10"/>
  <c r="D1364" i="10"/>
  <c r="I1363" i="10"/>
  <c r="D1363" i="10"/>
  <c r="I1362" i="10"/>
  <c r="D1362" i="10"/>
  <c r="I1361" i="10"/>
  <c r="D1361" i="10"/>
  <c r="I1360" i="10"/>
  <c r="D1360" i="10"/>
  <c r="I1359" i="10"/>
  <c r="D1359" i="10"/>
  <c r="I1358" i="10"/>
  <c r="D1358" i="10"/>
  <c r="I1357" i="10"/>
  <c r="D1357" i="10"/>
  <c r="I1356" i="10"/>
  <c r="D1356" i="10"/>
  <c r="I1355" i="10"/>
  <c r="D1355" i="10"/>
  <c r="I1354" i="10"/>
  <c r="D1354" i="10"/>
  <c r="I1353" i="10"/>
  <c r="D1353" i="10"/>
  <c r="I1352" i="10"/>
  <c r="D1352" i="10"/>
  <c r="I1351" i="10"/>
  <c r="D1351" i="10"/>
  <c r="I1350" i="10"/>
  <c r="D1350" i="10"/>
  <c r="I1349" i="10"/>
  <c r="D1349" i="10"/>
  <c r="I1348" i="10"/>
  <c r="D1348" i="10"/>
  <c r="I1347" i="10"/>
  <c r="D1347" i="10"/>
  <c r="I1346" i="10"/>
  <c r="D1346" i="10"/>
  <c r="I1345" i="10"/>
  <c r="D1345" i="10"/>
  <c r="I1344" i="10"/>
  <c r="D1344" i="10"/>
  <c r="I1343" i="10"/>
  <c r="D1343" i="10"/>
  <c r="I1342" i="10"/>
  <c r="D1342" i="10"/>
  <c r="I1341" i="10"/>
  <c r="D1341" i="10"/>
  <c r="I1340" i="10"/>
  <c r="D1340" i="10"/>
  <c r="I1339" i="10"/>
  <c r="D1339" i="10"/>
  <c r="I1338" i="10"/>
  <c r="D1338" i="10"/>
  <c r="I1337" i="10"/>
  <c r="D1337" i="10"/>
  <c r="I1336" i="10"/>
  <c r="D1336" i="10"/>
  <c r="I1335" i="10"/>
  <c r="D1335" i="10"/>
  <c r="I1334" i="10"/>
  <c r="D1334" i="10"/>
  <c r="I1333" i="10"/>
  <c r="D1333" i="10"/>
  <c r="I1332" i="10"/>
  <c r="D1332" i="10"/>
  <c r="I1331" i="10"/>
  <c r="D1331" i="10"/>
  <c r="I1330" i="10"/>
  <c r="D1330" i="10"/>
  <c r="I1329" i="10"/>
  <c r="D1329" i="10"/>
  <c r="I1328" i="10"/>
  <c r="D1328" i="10"/>
  <c r="I1327" i="10"/>
  <c r="D1327" i="10"/>
  <c r="I1326" i="10"/>
  <c r="D1326" i="10"/>
  <c r="I1325" i="10"/>
  <c r="D1325" i="10"/>
  <c r="I1324" i="10"/>
  <c r="D1324" i="10"/>
  <c r="I1323" i="10"/>
  <c r="D1323" i="10"/>
  <c r="I1322" i="10"/>
  <c r="D1322" i="10"/>
  <c r="I1321" i="10"/>
  <c r="D1321" i="10"/>
  <c r="I1320" i="10"/>
  <c r="D1320" i="10"/>
  <c r="I1319" i="10"/>
  <c r="D1319" i="10"/>
  <c r="I1318" i="10"/>
  <c r="D1318" i="10"/>
  <c r="I1317" i="10"/>
  <c r="D1317" i="10"/>
  <c r="I1316" i="10"/>
  <c r="D1316" i="10"/>
  <c r="I1315" i="10"/>
  <c r="D1315" i="10"/>
  <c r="I1314" i="10"/>
  <c r="D1314" i="10"/>
  <c r="I1313" i="10"/>
  <c r="D1313" i="10"/>
  <c r="I1312" i="10"/>
  <c r="D1312" i="10"/>
  <c r="I1311" i="10"/>
  <c r="D1311" i="10"/>
  <c r="I1310" i="10"/>
  <c r="D1310" i="10"/>
  <c r="I1309" i="10"/>
  <c r="D1309" i="10"/>
  <c r="I1308" i="10"/>
  <c r="D1308" i="10"/>
  <c r="I1307" i="10"/>
  <c r="D1307" i="10"/>
  <c r="I1306" i="10"/>
  <c r="D1306" i="10"/>
  <c r="I1305" i="10"/>
  <c r="D1305" i="10"/>
  <c r="I1304" i="10"/>
  <c r="D1304" i="10"/>
  <c r="I1303" i="10"/>
  <c r="D1303" i="10"/>
  <c r="I1302" i="10"/>
  <c r="D1302" i="10"/>
  <c r="I1301" i="10"/>
  <c r="D1301" i="10"/>
  <c r="I1300" i="10"/>
  <c r="D1300" i="10"/>
  <c r="I1299" i="10"/>
  <c r="D1299" i="10"/>
  <c r="I1298" i="10"/>
  <c r="D1298" i="10"/>
  <c r="I1297" i="10"/>
  <c r="D1297" i="10"/>
  <c r="I1296" i="10"/>
  <c r="D1296" i="10"/>
  <c r="I1295" i="10"/>
  <c r="D1295" i="10"/>
  <c r="I1294" i="10"/>
  <c r="D1294" i="10"/>
  <c r="I1293" i="10"/>
  <c r="D1293" i="10"/>
  <c r="I1292" i="10"/>
  <c r="D1292" i="10"/>
  <c r="I1291" i="10"/>
  <c r="D1291" i="10"/>
  <c r="I1290" i="10"/>
  <c r="D1290" i="10"/>
  <c r="I1289" i="10"/>
  <c r="D1289" i="10"/>
  <c r="I1288" i="10"/>
  <c r="D1288" i="10"/>
  <c r="I1287" i="10"/>
  <c r="D1287" i="10"/>
  <c r="I1286" i="10"/>
  <c r="D1286" i="10"/>
  <c r="I1285" i="10"/>
  <c r="D1285" i="10"/>
  <c r="I1284" i="10"/>
  <c r="D1284" i="10"/>
  <c r="I1283" i="10"/>
  <c r="D1283" i="10"/>
  <c r="I1282" i="10"/>
  <c r="D1282" i="10"/>
  <c r="I1281" i="10"/>
  <c r="D1281" i="10"/>
  <c r="I1280" i="10"/>
  <c r="D1280" i="10"/>
  <c r="I1279" i="10"/>
  <c r="D1279" i="10"/>
  <c r="I1278" i="10"/>
  <c r="D1278" i="10"/>
  <c r="I1277" i="10"/>
  <c r="D1277" i="10"/>
  <c r="I1276" i="10"/>
  <c r="D1276" i="10"/>
  <c r="I1275" i="10"/>
  <c r="D1275" i="10"/>
  <c r="I1274" i="10"/>
  <c r="D1274" i="10"/>
  <c r="I1273" i="10"/>
  <c r="D1273" i="10"/>
  <c r="I1272" i="10"/>
  <c r="D1272" i="10"/>
  <c r="I1271" i="10"/>
  <c r="D1271" i="10"/>
  <c r="I1270" i="10"/>
  <c r="D1270" i="10"/>
  <c r="I1269" i="10"/>
  <c r="D1269" i="10"/>
  <c r="I1268" i="10"/>
  <c r="D1268" i="10"/>
  <c r="I1267" i="10"/>
  <c r="D1267" i="10"/>
  <c r="I1266" i="10"/>
  <c r="D1266" i="10"/>
  <c r="I1265" i="10"/>
  <c r="D1265" i="10"/>
  <c r="I1264" i="10"/>
  <c r="D1264" i="10"/>
  <c r="I1263" i="10"/>
  <c r="D1263" i="10"/>
  <c r="I1262" i="10"/>
  <c r="D1262" i="10"/>
  <c r="I1261" i="10"/>
  <c r="D1261" i="10"/>
  <c r="I1260" i="10"/>
  <c r="D1260" i="10"/>
  <c r="I1259" i="10"/>
  <c r="D1259" i="10"/>
  <c r="I1258" i="10"/>
  <c r="D1258" i="10"/>
  <c r="I1257" i="10"/>
  <c r="D1257" i="10"/>
  <c r="I1256" i="10"/>
  <c r="D1256" i="10"/>
  <c r="I1255" i="10"/>
  <c r="D1255" i="10"/>
  <c r="I1254" i="10"/>
  <c r="D1254" i="10"/>
  <c r="I1253" i="10"/>
  <c r="D1253" i="10"/>
  <c r="I1252" i="10"/>
  <c r="D1252" i="10"/>
  <c r="I1251" i="10"/>
  <c r="D1251" i="10"/>
  <c r="I1250" i="10"/>
  <c r="D1250" i="10"/>
  <c r="I1249" i="10"/>
  <c r="D1249" i="10"/>
  <c r="I1248" i="10"/>
  <c r="D1248" i="10"/>
  <c r="I1247" i="10"/>
  <c r="D1247" i="10"/>
  <c r="I1246" i="10"/>
  <c r="D1246" i="10"/>
  <c r="I1245" i="10"/>
  <c r="D1245" i="10"/>
  <c r="I1244" i="10"/>
  <c r="D1244" i="10"/>
  <c r="I1243" i="10"/>
  <c r="D1243" i="10"/>
  <c r="I1242" i="10"/>
  <c r="D1242" i="10"/>
  <c r="I1241" i="10"/>
  <c r="D1241" i="10"/>
  <c r="I1240" i="10"/>
  <c r="D1240" i="10"/>
  <c r="I1239" i="10"/>
  <c r="D1239" i="10"/>
  <c r="I1238" i="10"/>
  <c r="D1238" i="10"/>
  <c r="I1237" i="10"/>
  <c r="D1237" i="10"/>
  <c r="I1236" i="10"/>
  <c r="D1236" i="10"/>
  <c r="I1235" i="10"/>
  <c r="D1235" i="10"/>
  <c r="I1234" i="10"/>
  <c r="D1234" i="10"/>
  <c r="I1233" i="10"/>
  <c r="D1233" i="10"/>
  <c r="I1232" i="10"/>
  <c r="D1232" i="10"/>
  <c r="I1231" i="10"/>
  <c r="D1231" i="10"/>
  <c r="I1230" i="10"/>
  <c r="D1230" i="10"/>
  <c r="I1229" i="10"/>
  <c r="D1229" i="10"/>
  <c r="I1228" i="10"/>
  <c r="D1228" i="10"/>
  <c r="I1227" i="10"/>
  <c r="D1227" i="10"/>
  <c r="I1226" i="10"/>
  <c r="D1226" i="10"/>
  <c r="I1225" i="10"/>
  <c r="D1225" i="10"/>
  <c r="I1224" i="10"/>
  <c r="D1224" i="10"/>
  <c r="I1223" i="10"/>
  <c r="D1223" i="10"/>
  <c r="I1222" i="10"/>
  <c r="D1222" i="10"/>
  <c r="I1221" i="10"/>
  <c r="D1221" i="10"/>
  <c r="I1220" i="10"/>
  <c r="D1220" i="10"/>
  <c r="I1219" i="10"/>
  <c r="D1219" i="10"/>
  <c r="I1218" i="10"/>
  <c r="D1218" i="10"/>
  <c r="I1217" i="10"/>
  <c r="D1217" i="10"/>
  <c r="I1216" i="10"/>
  <c r="D1216" i="10"/>
  <c r="I1215" i="10"/>
  <c r="D1215" i="10"/>
  <c r="I1214" i="10"/>
  <c r="D1214" i="10"/>
  <c r="I1213" i="10"/>
  <c r="D1213" i="10"/>
  <c r="I1212" i="10"/>
  <c r="D1212" i="10"/>
  <c r="I1211" i="10"/>
  <c r="D1211" i="10"/>
  <c r="I1210" i="10"/>
  <c r="D1210" i="10"/>
  <c r="I1209" i="10"/>
  <c r="D1209" i="10"/>
  <c r="I1208" i="10"/>
  <c r="D1208" i="10"/>
  <c r="I1207" i="10"/>
  <c r="D1207" i="10"/>
  <c r="I1206" i="10"/>
  <c r="D1206" i="10"/>
  <c r="I1205" i="10"/>
  <c r="D1205" i="10"/>
  <c r="I1204" i="10"/>
  <c r="D1204" i="10"/>
  <c r="I1203" i="10"/>
  <c r="D1203" i="10"/>
  <c r="I1202" i="10"/>
  <c r="D1202" i="10"/>
  <c r="I1201" i="10"/>
  <c r="D1201" i="10"/>
  <c r="I1200" i="10"/>
  <c r="D1200" i="10"/>
  <c r="I1199" i="10"/>
  <c r="D1199" i="10"/>
  <c r="I1198" i="10"/>
  <c r="D1198" i="10"/>
  <c r="I1197" i="10"/>
  <c r="D1197" i="10"/>
  <c r="I1196" i="10"/>
  <c r="D1196" i="10"/>
  <c r="I1195" i="10"/>
  <c r="D1195" i="10"/>
  <c r="I1194" i="10"/>
  <c r="D1194" i="10"/>
  <c r="I1193" i="10"/>
  <c r="D1193" i="10"/>
  <c r="I1192" i="10"/>
  <c r="D1192" i="10"/>
  <c r="I1191" i="10"/>
  <c r="D1191" i="10"/>
  <c r="I1190" i="10"/>
  <c r="D1190" i="10"/>
  <c r="I1189" i="10"/>
  <c r="D1189" i="10"/>
  <c r="I1188" i="10"/>
  <c r="D1188" i="10"/>
  <c r="I1187" i="10"/>
  <c r="D1187" i="10"/>
  <c r="I1186" i="10"/>
  <c r="D1186" i="10"/>
  <c r="I1185" i="10"/>
  <c r="D1185" i="10"/>
  <c r="I1184" i="10"/>
  <c r="D1184" i="10"/>
  <c r="I1183" i="10"/>
  <c r="D1183" i="10"/>
  <c r="I1182" i="10"/>
  <c r="D1182" i="10"/>
  <c r="I1181" i="10"/>
  <c r="D1181" i="10"/>
  <c r="I1180" i="10"/>
  <c r="D1180" i="10"/>
  <c r="I1179" i="10"/>
  <c r="D1179" i="10"/>
  <c r="I1178" i="10"/>
  <c r="D1178" i="10"/>
  <c r="I1177" i="10"/>
  <c r="D1177" i="10"/>
  <c r="I1176" i="10"/>
  <c r="D1176" i="10"/>
  <c r="I1175" i="10"/>
  <c r="D1175" i="10"/>
  <c r="I1174" i="10"/>
  <c r="D1174" i="10"/>
  <c r="I1173" i="10"/>
  <c r="D1173" i="10"/>
  <c r="I1172" i="10"/>
  <c r="D1172" i="10"/>
  <c r="I1171" i="10"/>
  <c r="D1171" i="10"/>
  <c r="I1170" i="10"/>
  <c r="D1170" i="10"/>
  <c r="I1169" i="10"/>
  <c r="D1169" i="10"/>
  <c r="I1168" i="10"/>
  <c r="D1168" i="10"/>
  <c r="I1167" i="10"/>
  <c r="D1167" i="10"/>
  <c r="I1166" i="10"/>
  <c r="D1166" i="10"/>
  <c r="I1165" i="10"/>
  <c r="D1165" i="10"/>
  <c r="I1164" i="10"/>
  <c r="D1164" i="10"/>
  <c r="I1163" i="10"/>
  <c r="D1163" i="10"/>
  <c r="I1162" i="10"/>
  <c r="D1162" i="10"/>
  <c r="I1161" i="10"/>
  <c r="D1161" i="10"/>
  <c r="I1160" i="10"/>
  <c r="D1160" i="10"/>
  <c r="I1159" i="10"/>
  <c r="D1159" i="10"/>
  <c r="I1158" i="10"/>
  <c r="D1158" i="10"/>
  <c r="I1157" i="10"/>
  <c r="D1157" i="10"/>
  <c r="I1156" i="10"/>
  <c r="D1156" i="10"/>
  <c r="I1155" i="10"/>
  <c r="D1155" i="10"/>
  <c r="I1154" i="10"/>
  <c r="D1154" i="10"/>
  <c r="I1153" i="10"/>
  <c r="D1153" i="10"/>
  <c r="I1152" i="10"/>
  <c r="D1152" i="10"/>
  <c r="I1151" i="10"/>
  <c r="D1151" i="10"/>
  <c r="I1150" i="10"/>
  <c r="D1150" i="10"/>
  <c r="I1149" i="10"/>
  <c r="D1149" i="10"/>
  <c r="I1148" i="10"/>
  <c r="D1148" i="10"/>
  <c r="I1147" i="10"/>
  <c r="D1147" i="10"/>
  <c r="I1146" i="10"/>
  <c r="D1146" i="10"/>
  <c r="I1145" i="10"/>
  <c r="D1145" i="10"/>
  <c r="I1144" i="10"/>
  <c r="D1144" i="10"/>
  <c r="I1143" i="10"/>
  <c r="D1143" i="10"/>
  <c r="I1142" i="10"/>
  <c r="D1142" i="10"/>
  <c r="I1141" i="10"/>
  <c r="D1141" i="10"/>
  <c r="I1140" i="10"/>
  <c r="D1140" i="10"/>
  <c r="I1139" i="10"/>
  <c r="D1139" i="10"/>
  <c r="I1138" i="10"/>
  <c r="D1138" i="10"/>
  <c r="I1137" i="10"/>
  <c r="D1137" i="10"/>
  <c r="I1136" i="10"/>
  <c r="D1136" i="10"/>
  <c r="I1135" i="10"/>
  <c r="D1135" i="10"/>
  <c r="I1134" i="10"/>
  <c r="D1134" i="10"/>
  <c r="I1133" i="10"/>
  <c r="D1133" i="10"/>
  <c r="I1132" i="10"/>
  <c r="D1132" i="10"/>
  <c r="I1131" i="10"/>
  <c r="D1131" i="10"/>
  <c r="I1130" i="10"/>
  <c r="D1130" i="10"/>
  <c r="I1129" i="10"/>
  <c r="D1129" i="10"/>
  <c r="I1128" i="10"/>
  <c r="D1128" i="10"/>
  <c r="I1127" i="10"/>
  <c r="D1127" i="10"/>
  <c r="I1126" i="10"/>
  <c r="D1126" i="10"/>
  <c r="I1125" i="10"/>
  <c r="D1125" i="10"/>
  <c r="I1124" i="10"/>
  <c r="D1124" i="10"/>
  <c r="I1123" i="10"/>
  <c r="D1123" i="10"/>
  <c r="I1122" i="10"/>
  <c r="D1122" i="10"/>
  <c r="I1121" i="10"/>
  <c r="D1121" i="10"/>
  <c r="I1120" i="10"/>
  <c r="D1120" i="10"/>
  <c r="I1119" i="10"/>
  <c r="D1119" i="10"/>
  <c r="I1118" i="10"/>
  <c r="D1118" i="10"/>
  <c r="I1117" i="10"/>
  <c r="D1117" i="10"/>
  <c r="I1116" i="10"/>
  <c r="D1116" i="10"/>
  <c r="I1115" i="10"/>
  <c r="D1115" i="10"/>
  <c r="I1114" i="10"/>
  <c r="D1114" i="10"/>
  <c r="I1113" i="10"/>
  <c r="D1113" i="10"/>
  <c r="I1112" i="10"/>
  <c r="D1112" i="10"/>
  <c r="I1111" i="10"/>
  <c r="D1111" i="10"/>
  <c r="I1110" i="10"/>
  <c r="D1110" i="10"/>
  <c r="I1109" i="10"/>
  <c r="D1109" i="10"/>
  <c r="I1108" i="10"/>
  <c r="D1108" i="10"/>
  <c r="I1107" i="10"/>
  <c r="D1107" i="10"/>
  <c r="I1106" i="10"/>
  <c r="D1106" i="10"/>
  <c r="I1105" i="10"/>
  <c r="D1105" i="10"/>
  <c r="I1104" i="10"/>
  <c r="D1104" i="10"/>
  <c r="I1103" i="10"/>
  <c r="D1103" i="10"/>
  <c r="I1102" i="10"/>
  <c r="D1102" i="10"/>
  <c r="I1101" i="10"/>
  <c r="D1101" i="10"/>
  <c r="I1100" i="10"/>
  <c r="D1100" i="10"/>
  <c r="I1099" i="10"/>
  <c r="D1099" i="10"/>
  <c r="I1098" i="10"/>
  <c r="D1098" i="10"/>
  <c r="I1097" i="10"/>
  <c r="D1097" i="10"/>
  <c r="I1096" i="10"/>
  <c r="D1096" i="10"/>
  <c r="I1095" i="10"/>
  <c r="D1095" i="10"/>
  <c r="I1094" i="10"/>
  <c r="D1094" i="10"/>
  <c r="I1093" i="10"/>
  <c r="D1093" i="10"/>
  <c r="I1092" i="10"/>
  <c r="D1092" i="10"/>
  <c r="I1091" i="10"/>
  <c r="D1091" i="10"/>
  <c r="I1090" i="10"/>
  <c r="D1090" i="10"/>
  <c r="I1089" i="10"/>
  <c r="D1089" i="10"/>
  <c r="I1088" i="10"/>
  <c r="D1088" i="10"/>
  <c r="I1087" i="10"/>
  <c r="D1087" i="10"/>
  <c r="I1086" i="10"/>
  <c r="D1086" i="10"/>
  <c r="I1085" i="10"/>
  <c r="D1085" i="10"/>
  <c r="I1084" i="10"/>
  <c r="D1084" i="10"/>
  <c r="I1083" i="10"/>
  <c r="D1083" i="10"/>
  <c r="I1082" i="10"/>
  <c r="D1082" i="10"/>
  <c r="I1081" i="10"/>
  <c r="D1081" i="10"/>
  <c r="I1080" i="10"/>
  <c r="D1080" i="10"/>
  <c r="I1079" i="10"/>
  <c r="D1079" i="10"/>
  <c r="I1078" i="10"/>
  <c r="D1078" i="10"/>
  <c r="I1077" i="10"/>
  <c r="D1077" i="10"/>
  <c r="I1076" i="10"/>
  <c r="D1076" i="10"/>
  <c r="I1075" i="10"/>
  <c r="D1075" i="10"/>
  <c r="I1074" i="10"/>
  <c r="D1074" i="10"/>
  <c r="I1073" i="10"/>
  <c r="D1073" i="10"/>
  <c r="I1072" i="10"/>
  <c r="D1072" i="10"/>
  <c r="I1071" i="10"/>
  <c r="D1071" i="10"/>
  <c r="I1070" i="10"/>
  <c r="D1070" i="10"/>
  <c r="I1069" i="10"/>
  <c r="D1069" i="10"/>
  <c r="I1068" i="10"/>
  <c r="D1068" i="10"/>
  <c r="I1067" i="10"/>
  <c r="D1067" i="10"/>
  <c r="I1066" i="10"/>
  <c r="D1066" i="10"/>
  <c r="I1065" i="10"/>
  <c r="D1065" i="10"/>
  <c r="I1064" i="10"/>
  <c r="D1064" i="10"/>
  <c r="I1063" i="10"/>
  <c r="D1063" i="10"/>
  <c r="I1062" i="10"/>
  <c r="D1062" i="10"/>
  <c r="I1061" i="10"/>
  <c r="D1061" i="10"/>
  <c r="I1060" i="10"/>
  <c r="D1060" i="10"/>
  <c r="I1059" i="10"/>
  <c r="D1059" i="10"/>
  <c r="I1058" i="10"/>
  <c r="D1058" i="10"/>
  <c r="I1057" i="10"/>
  <c r="D1057" i="10"/>
  <c r="I1056" i="10"/>
  <c r="D1056" i="10"/>
  <c r="I1055" i="10"/>
  <c r="D1055" i="10"/>
  <c r="I1054" i="10"/>
  <c r="D1054" i="10"/>
  <c r="I1053" i="10"/>
  <c r="D1053" i="10"/>
  <c r="I1052" i="10"/>
  <c r="D1052" i="10"/>
  <c r="I1051" i="10"/>
  <c r="D1051" i="10"/>
  <c r="I1050" i="10"/>
  <c r="D1050" i="10"/>
  <c r="I1049" i="10"/>
  <c r="D1049" i="10"/>
  <c r="I1048" i="10"/>
  <c r="D1048" i="10"/>
  <c r="I1047" i="10"/>
  <c r="D1047" i="10"/>
  <c r="I1046" i="10"/>
  <c r="D1046" i="10"/>
  <c r="I1045" i="10"/>
  <c r="D1045" i="10"/>
  <c r="I1044" i="10"/>
  <c r="D1044" i="10"/>
  <c r="I1043" i="10"/>
  <c r="D1043" i="10"/>
  <c r="I1042" i="10"/>
  <c r="D1042" i="10"/>
  <c r="I1041" i="10"/>
  <c r="D1041" i="10"/>
  <c r="I1040" i="10"/>
  <c r="D1040" i="10"/>
  <c r="I1039" i="10"/>
  <c r="D1039" i="10"/>
  <c r="I1038" i="10"/>
  <c r="D1038" i="10"/>
  <c r="I1037" i="10"/>
  <c r="D1037" i="10"/>
  <c r="I1036" i="10"/>
  <c r="D1036" i="10"/>
  <c r="I1035" i="10"/>
  <c r="D1035" i="10"/>
  <c r="I1034" i="10"/>
  <c r="D1034" i="10"/>
  <c r="I1033" i="10"/>
  <c r="D1033" i="10"/>
  <c r="I1032" i="10"/>
  <c r="D1032" i="10"/>
  <c r="I1031" i="10"/>
  <c r="D1031" i="10"/>
  <c r="I1030" i="10"/>
  <c r="D1030" i="10"/>
  <c r="I1029" i="10"/>
  <c r="D1029" i="10"/>
  <c r="I1028" i="10"/>
  <c r="D1028" i="10"/>
  <c r="I1027" i="10"/>
  <c r="D1027" i="10"/>
  <c r="I1026" i="10"/>
  <c r="D1026" i="10"/>
  <c r="I1025" i="10"/>
  <c r="D1025" i="10"/>
  <c r="I1024" i="10"/>
  <c r="D1024" i="10"/>
  <c r="I1023" i="10"/>
  <c r="D1023" i="10"/>
  <c r="I1022" i="10"/>
  <c r="D1022" i="10"/>
  <c r="I1021" i="10"/>
  <c r="D1021" i="10"/>
  <c r="I1020" i="10"/>
  <c r="D1020" i="10"/>
  <c r="I1019" i="10"/>
  <c r="D1019" i="10"/>
  <c r="I1018" i="10"/>
  <c r="D1018" i="10"/>
  <c r="I1017" i="10"/>
  <c r="D1017" i="10"/>
  <c r="I1016" i="10"/>
  <c r="D1016" i="10"/>
  <c r="I1015" i="10"/>
  <c r="D1015" i="10"/>
  <c r="I1014" i="10"/>
  <c r="D1014" i="10"/>
  <c r="I1013" i="10"/>
  <c r="D1013" i="10"/>
  <c r="I1012" i="10"/>
  <c r="D1012" i="10"/>
  <c r="I1011" i="10"/>
  <c r="D1011" i="10"/>
  <c r="I1010" i="10"/>
  <c r="D1010" i="10"/>
  <c r="I1009" i="10"/>
  <c r="D1009" i="10"/>
  <c r="I1008" i="10"/>
  <c r="D1008" i="10"/>
  <c r="I1007" i="10"/>
  <c r="D1007" i="10"/>
  <c r="I1006" i="10"/>
  <c r="D1006" i="10"/>
  <c r="I1005" i="10"/>
  <c r="D1005" i="10"/>
  <c r="I1004" i="10"/>
  <c r="D1004" i="10"/>
  <c r="I1003" i="10"/>
  <c r="D1003" i="10"/>
  <c r="I1002" i="10"/>
  <c r="D1002" i="10"/>
  <c r="I1001" i="10"/>
  <c r="D1001" i="10"/>
  <c r="I1000" i="10"/>
  <c r="D1000" i="10"/>
  <c r="I999" i="10"/>
  <c r="D999" i="10"/>
  <c r="I998" i="10"/>
  <c r="D998" i="10"/>
  <c r="I997" i="10"/>
  <c r="D997" i="10"/>
  <c r="I996" i="10"/>
  <c r="D996" i="10"/>
  <c r="I995" i="10"/>
  <c r="D995" i="10"/>
  <c r="I994" i="10"/>
  <c r="D994" i="10"/>
  <c r="I993" i="10"/>
  <c r="D993" i="10"/>
  <c r="I992" i="10"/>
  <c r="D992" i="10"/>
  <c r="I991" i="10"/>
  <c r="D991" i="10"/>
  <c r="I990" i="10"/>
  <c r="D990" i="10"/>
  <c r="I989" i="10"/>
  <c r="D989" i="10"/>
  <c r="I988" i="10"/>
  <c r="D988" i="10"/>
  <c r="I987" i="10"/>
  <c r="D987" i="10"/>
  <c r="I986" i="10"/>
  <c r="D986" i="10"/>
  <c r="I985" i="10"/>
  <c r="D985" i="10"/>
  <c r="I984" i="10"/>
  <c r="D984" i="10"/>
  <c r="I983" i="10"/>
  <c r="D983" i="10"/>
  <c r="I982" i="10"/>
  <c r="D982" i="10"/>
  <c r="I981" i="10"/>
  <c r="D981" i="10"/>
  <c r="I980" i="10"/>
  <c r="D980" i="10"/>
  <c r="I979" i="10"/>
  <c r="D979" i="10"/>
  <c r="I978" i="10"/>
  <c r="D978" i="10"/>
  <c r="I977" i="10"/>
  <c r="D977" i="10"/>
  <c r="I976" i="10"/>
  <c r="D976" i="10"/>
  <c r="I975" i="10"/>
  <c r="D975" i="10"/>
  <c r="I974" i="10"/>
  <c r="D974" i="10"/>
  <c r="I973" i="10"/>
  <c r="D973" i="10"/>
  <c r="I972" i="10"/>
  <c r="D972" i="10"/>
  <c r="I971" i="10"/>
  <c r="D971" i="10"/>
  <c r="I970" i="10"/>
  <c r="D970" i="10"/>
  <c r="I969" i="10"/>
  <c r="D969" i="10"/>
  <c r="I968" i="10"/>
  <c r="D968" i="10"/>
  <c r="I967" i="10"/>
  <c r="D967" i="10"/>
  <c r="I966" i="10"/>
  <c r="D966" i="10"/>
  <c r="I965" i="10"/>
  <c r="D965" i="10"/>
  <c r="I964" i="10"/>
  <c r="D964" i="10"/>
  <c r="I963" i="10"/>
  <c r="D963" i="10"/>
  <c r="I962" i="10"/>
  <c r="D962" i="10"/>
  <c r="I961" i="10"/>
  <c r="D961" i="10"/>
  <c r="I960" i="10"/>
  <c r="D960" i="10"/>
  <c r="I959" i="10"/>
  <c r="D959" i="10"/>
  <c r="I958" i="10"/>
  <c r="D958" i="10"/>
  <c r="I957" i="10"/>
  <c r="D957" i="10"/>
  <c r="I956" i="10"/>
  <c r="D956" i="10"/>
  <c r="I955" i="10"/>
  <c r="D955" i="10"/>
  <c r="I954" i="10"/>
  <c r="D954" i="10"/>
  <c r="I953" i="10"/>
  <c r="D953" i="10"/>
  <c r="I952" i="10"/>
  <c r="D952" i="10"/>
  <c r="I951" i="10"/>
  <c r="D951" i="10"/>
  <c r="I950" i="10"/>
  <c r="D950" i="10"/>
  <c r="I949" i="10"/>
  <c r="D949" i="10"/>
  <c r="I948" i="10"/>
  <c r="D948" i="10"/>
  <c r="I947" i="10"/>
  <c r="D947" i="10"/>
  <c r="I946" i="10"/>
  <c r="D946" i="10"/>
  <c r="I945" i="10"/>
  <c r="D945" i="10"/>
  <c r="I944" i="10"/>
  <c r="D944" i="10"/>
  <c r="I943" i="10"/>
  <c r="D943" i="10"/>
  <c r="I942" i="10"/>
  <c r="D942" i="10"/>
  <c r="I941" i="10"/>
  <c r="D941" i="10"/>
  <c r="I940" i="10"/>
  <c r="D940" i="10"/>
  <c r="I939" i="10"/>
  <c r="D939" i="10"/>
  <c r="I938" i="10"/>
  <c r="D938" i="10"/>
  <c r="I937" i="10"/>
  <c r="D937" i="10"/>
  <c r="I936" i="10"/>
  <c r="D936" i="10"/>
  <c r="I935" i="10"/>
  <c r="D935" i="10"/>
  <c r="I934" i="10"/>
  <c r="D934" i="10"/>
  <c r="I933" i="10"/>
  <c r="D933" i="10"/>
  <c r="I932" i="10"/>
  <c r="D932" i="10"/>
  <c r="I931" i="10"/>
  <c r="D931" i="10"/>
  <c r="I930" i="10"/>
  <c r="D930" i="10"/>
  <c r="I929" i="10"/>
  <c r="D929" i="10"/>
  <c r="I928" i="10"/>
  <c r="D928" i="10"/>
  <c r="I927" i="10"/>
  <c r="D927" i="10"/>
  <c r="I926" i="10"/>
  <c r="D926" i="10"/>
  <c r="I925" i="10"/>
  <c r="D925" i="10"/>
  <c r="I924" i="10"/>
  <c r="D924" i="10"/>
  <c r="I923" i="10"/>
  <c r="D923" i="10"/>
  <c r="I922" i="10"/>
  <c r="D922" i="10"/>
  <c r="I921" i="10"/>
  <c r="D921" i="10"/>
  <c r="I920" i="10"/>
  <c r="D920" i="10"/>
  <c r="I919" i="10"/>
  <c r="D919" i="10"/>
  <c r="I918" i="10"/>
  <c r="D918" i="10"/>
  <c r="I917" i="10"/>
  <c r="D917" i="10"/>
  <c r="I916" i="10"/>
  <c r="D916" i="10"/>
  <c r="I915" i="10"/>
  <c r="D915" i="10"/>
  <c r="I914" i="10"/>
  <c r="D914" i="10"/>
  <c r="I913" i="10"/>
  <c r="D913" i="10"/>
  <c r="I912" i="10"/>
  <c r="D912" i="10"/>
  <c r="I911" i="10"/>
  <c r="D911" i="10"/>
  <c r="I910" i="10"/>
  <c r="D910" i="10"/>
  <c r="I909" i="10"/>
  <c r="D909" i="10"/>
  <c r="I908" i="10"/>
  <c r="D908" i="10"/>
  <c r="I907" i="10"/>
  <c r="D907" i="10"/>
  <c r="I906" i="10"/>
  <c r="D906" i="10"/>
  <c r="I905" i="10"/>
  <c r="D905" i="10"/>
  <c r="I904" i="10"/>
  <c r="D904" i="10"/>
  <c r="I903" i="10"/>
  <c r="D903" i="10"/>
  <c r="I902" i="10"/>
  <c r="D902" i="10"/>
  <c r="I901" i="10"/>
  <c r="D901" i="10"/>
  <c r="I900" i="10"/>
  <c r="D900" i="10"/>
  <c r="I899" i="10"/>
  <c r="D899" i="10"/>
  <c r="I898" i="10"/>
  <c r="D898" i="10"/>
  <c r="I897" i="10"/>
  <c r="D897" i="10"/>
  <c r="I896" i="10"/>
  <c r="D896" i="10"/>
  <c r="I895" i="10"/>
  <c r="D895" i="10"/>
  <c r="I894" i="10"/>
  <c r="D894" i="10"/>
  <c r="I893" i="10"/>
  <c r="D893" i="10"/>
  <c r="I892" i="10"/>
  <c r="D892" i="10"/>
  <c r="I891" i="10"/>
  <c r="D891" i="10"/>
  <c r="I890" i="10"/>
  <c r="D890" i="10"/>
  <c r="I889" i="10"/>
  <c r="D889" i="10"/>
  <c r="I888" i="10"/>
  <c r="D888" i="10"/>
  <c r="I887" i="10"/>
  <c r="D887" i="10"/>
  <c r="I886" i="10"/>
  <c r="D886" i="10"/>
  <c r="I885" i="10"/>
  <c r="D885" i="10"/>
  <c r="I884" i="10"/>
  <c r="D884" i="10"/>
  <c r="I883" i="10"/>
  <c r="D883" i="10"/>
  <c r="I882" i="10"/>
  <c r="D882" i="10"/>
  <c r="I881" i="10"/>
  <c r="D881" i="10"/>
  <c r="I880" i="10"/>
  <c r="D880" i="10"/>
  <c r="I879" i="10"/>
  <c r="D879" i="10"/>
  <c r="I878" i="10"/>
  <c r="D878" i="10"/>
  <c r="I877" i="10"/>
  <c r="D877" i="10"/>
  <c r="I876" i="10"/>
  <c r="D876" i="10"/>
  <c r="I875" i="10"/>
  <c r="D875" i="10"/>
  <c r="I874" i="10"/>
  <c r="D874" i="10"/>
  <c r="I873" i="10"/>
  <c r="D873" i="10"/>
  <c r="I872" i="10"/>
  <c r="D872" i="10"/>
  <c r="I871" i="10"/>
  <c r="D871" i="10"/>
  <c r="I870" i="10"/>
  <c r="D870" i="10"/>
  <c r="I869" i="10"/>
  <c r="D869" i="10"/>
  <c r="I868" i="10"/>
  <c r="D868" i="10"/>
  <c r="I867" i="10"/>
  <c r="D867" i="10"/>
  <c r="I866" i="10"/>
  <c r="D866" i="10"/>
  <c r="I865" i="10"/>
  <c r="D865" i="10"/>
  <c r="I864" i="10"/>
  <c r="D864" i="10"/>
  <c r="I863" i="10"/>
  <c r="D863" i="10"/>
  <c r="I862" i="10"/>
  <c r="D862" i="10"/>
  <c r="I861" i="10"/>
  <c r="D861" i="10"/>
  <c r="I860" i="10"/>
  <c r="D860" i="10"/>
  <c r="I859" i="10"/>
  <c r="D859" i="10"/>
  <c r="I858" i="10"/>
  <c r="D858" i="10"/>
  <c r="I857" i="10"/>
  <c r="D857" i="10"/>
  <c r="I856" i="10"/>
  <c r="D856" i="10"/>
  <c r="I855" i="10"/>
  <c r="D855" i="10"/>
  <c r="I854" i="10"/>
  <c r="D854" i="10"/>
  <c r="I853" i="10"/>
  <c r="D853" i="10"/>
  <c r="I852" i="10"/>
  <c r="D852" i="10"/>
  <c r="I851" i="10"/>
  <c r="D851" i="10"/>
  <c r="I850" i="10"/>
  <c r="D850" i="10"/>
  <c r="I849" i="10"/>
  <c r="D849" i="10"/>
  <c r="I848" i="10"/>
  <c r="D848" i="10"/>
  <c r="I847" i="10"/>
  <c r="D847" i="10"/>
  <c r="I846" i="10"/>
  <c r="D846" i="10"/>
  <c r="I845" i="10"/>
  <c r="D845" i="10"/>
  <c r="I844" i="10"/>
  <c r="D844" i="10"/>
  <c r="I843" i="10"/>
  <c r="D843" i="10"/>
  <c r="I842" i="10"/>
  <c r="D842" i="10"/>
  <c r="I841" i="10"/>
  <c r="D841" i="10"/>
  <c r="I840" i="10"/>
  <c r="D840" i="10"/>
  <c r="I839" i="10"/>
  <c r="D839" i="10"/>
  <c r="I838" i="10"/>
  <c r="D838" i="10"/>
  <c r="I837" i="10"/>
  <c r="D837" i="10"/>
  <c r="I836" i="10"/>
  <c r="D836" i="10"/>
  <c r="I835" i="10"/>
  <c r="D835" i="10"/>
  <c r="I834" i="10"/>
  <c r="D834" i="10"/>
  <c r="I833" i="10"/>
  <c r="D833" i="10"/>
  <c r="I832" i="10"/>
  <c r="D832" i="10"/>
  <c r="I831" i="10"/>
  <c r="D831" i="10"/>
  <c r="I830" i="10"/>
  <c r="D830" i="10"/>
  <c r="I829" i="10"/>
  <c r="D829" i="10"/>
  <c r="I828" i="10"/>
  <c r="D828" i="10"/>
  <c r="I827" i="10"/>
  <c r="D827" i="10"/>
  <c r="I826" i="10"/>
  <c r="D826" i="10"/>
  <c r="I825" i="10"/>
  <c r="D825" i="10"/>
  <c r="I824" i="10"/>
  <c r="D824" i="10"/>
  <c r="I823" i="10"/>
  <c r="D823" i="10"/>
  <c r="I822" i="10"/>
  <c r="D822" i="10"/>
  <c r="I821" i="10"/>
  <c r="D821" i="10"/>
  <c r="I820" i="10"/>
  <c r="D820" i="10"/>
  <c r="I819" i="10"/>
  <c r="D819" i="10"/>
  <c r="I818" i="10"/>
  <c r="D818" i="10"/>
  <c r="I817" i="10"/>
  <c r="D817" i="10"/>
  <c r="I816" i="10"/>
  <c r="D816" i="10"/>
  <c r="I815" i="10"/>
  <c r="D815" i="10"/>
  <c r="I814" i="10"/>
  <c r="D814" i="10"/>
  <c r="I813" i="10"/>
  <c r="D813" i="10"/>
  <c r="I812" i="10"/>
  <c r="D812" i="10"/>
  <c r="I811" i="10"/>
  <c r="D811" i="10"/>
  <c r="I810" i="10"/>
  <c r="D810" i="10"/>
  <c r="I809" i="10"/>
  <c r="D809" i="10"/>
  <c r="I808" i="10"/>
  <c r="D808" i="10"/>
  <c r="I807" i="10"/>
  <c r="D807" i="10"/>
  <c r="I806" i="10"/>
  <c r="D806" i="10"/>
  <c r="I805" i="10"/>
  <c r="D805" i="10"/>
  <c r="I804" i="10"/>
  <c r="D804" i="10"/>
  <c r="I803" i="10"/>
  <c r="D803" i="10"/>
  <c r="I802" i="10"/>
  <c r="D802" i="10"/>
  <c r="I801" i="10"/>
  <c r="D801" i="10"/>
  <c r="I800" i="10"/>
  <c r="D800" i="10"/>
  <c r="I799" i="10"/>
  <c r="D799" i="10"/>
  <c r="I798" i="10"/>
  <c r="D798" i="10"/>
  <c r="I797" i="10"/>
  <c r="D797" i="10"/>
  <c r="I796" i="10"/>
  <c r="D796" i="10"/>
  <c r="I795" i="10"/>
  <c r="D795" i="10"/>
  <c r="I794" i="10"/>
  <c r="D794" i="10"/>
  <c r="I793" i="10"/>
  <c r="D793" i="10"/>
  <c r="I792" i="10"/>
  <c r="D792" i="10"/>
  <c r="I791" i="10"/>
  <c r="D791" i="10"/>
  <c r="I790" i="10"/>
  <c r="D790" i="10"/>
  <c r="I789" i="10"/>
  <c r="D789" i="10"/>
  <c r="I788" i="10"/>
  <c r="D788" i="10"/>
  <c r="I787" i="10"/>
  <c r="D787" i="10"/>
  <c r="I786" i="10"/>
  <c r="D786" i="10"/>
  <c r="I785" i="10"/>
  <c r="D785" i="10"/>
  <c r="I784" i="10"/>
  <c r="D784" i="10"/>
  <c r="I783" i="10"/>
  <c r="D783" i="10"/>
  <c r="I782" i="10"/>
  <c r="D782" i="10"/>
  <c r="I781" i="10"/>
  <c r="D781" i="10"/>
  <c r="I780" i="10"/>
  <c r="D780" i="10"/>
  <c r="I779" i="10"/>
  <c r="D779" i="10"/>
  <c r="I778" i="10"/>
  <c r="D778" i="10"/>
  <c r="I777" i="10"/>
  <c r="D777" i="10"/>
  <c r="I776" i="10"/>
  <c r="D776" i="10"/>
  <c r="I775" i="10"/>
  <c r="D775" i="10"/>
  <c r="I774" i="10"/>
  <c r="D774" i="10"/>
  <c r="I773" i="10"/>
  <c r="D773" i="10"/>
  <c r="I772" i="10"/>
  <c r="D772" i="10"/>
  <c r="I771" i="10"/>
  <c r="D771" i="10"/>
  <c r="I770" i="10"/>
  <c r="D770" i="10"/>
  <c r="I769" i="10"/>
  <c r="D769" i="10"/>
  <c r="I768" i="10"/>
  <c r="D768" i="10"/>
  <c r="I767" i="10"/>
  <c r="D767" i="10"/>
  <c r="I766" i="10"/>
  <c r="D766" i="10"/>
  <c r="I765" i="10"/>
  <c r="D765" i="10"/>
  <c r="I764" i="10"/>
  <c r="D764" i="10"/>
  <c r="I763" i="10"/>
  <c r="D763" i="10"/>
  <c r="I762" i="10"/>
  <c r="D762" i="10"/>
  <c r="I761" i="10"/>
  <c r="D761" i="10"/>
  <c r="I760" i="10"/>
  <c r="D760" i="10"/>
  <c r="I759" i="10"/>
  <c r="D759" i="10"/>
  <c r="I758" i="10"/>
  <c r="D758" i="10"/>
  <c r="I757" i="10"/>
  <c r="D757" i="10"/>
  <c r="I756" i="10"/>
  <c r="D756" i="10"/>
  <c r="I755" i="10"/>
  <c r="D755" i="10"/>
  <c r="I754" i="10"/>
  <c r="D754" i="10"/>
  <c r="I753" i="10"/>
  <c r="D753" i="10"/>
  <c r="I752" i="10"/>
  <c r="D752" i="10"/>
  <c r="I751" i="10"/>
  <c r="D751" i="10"/>
  <c r="I750" i="10"/>
  <c r="D750" i="10"/>
  <c r="I749" i="10"/>
  <c r="D749" i="10"/>
  <c r="I748" i="10"/>
  <c r="D748" i="10"/>
  <c r="I747" i="10"/>
  <c r="D747" i="10"/>
  <c r="I746" i="10"/>
  <c r="D746" i="10"/>
  <c r="I745" i="10"/>
  <c r="D745" i="10"/>
  <c r="I744" i="10"/>
  <c r="D744" i="10"/>
  <c r="I743" i="10"/>
  <c r="D743" i="10"/>
  <c r="I742" i="10"/>
  <c r="D742" i="10"/>
  <c r="I741" i="10"/>
  <c r="D741" i="10"/>
  <c r="I740" i="10"/>
  <c r="D740" i="10"/>
  <c r="I739" i="10"/>
  <c r="D739" i="10"/>
  <c r="I738" i="10"/>
  <c r="D738" i="10"/>
  <c r="I737" i="10"/>
  <c r="D737" i="10"/>
  <c r="I736" i="10"/>
  <c r="D736" i="10"/>
  <c r="I735" i="10"/>
  <c r="D735" i="10"/>
  <c r="I734" i="10"/>
  <c r="D734" i="10"/>
  <c r="I733" i="10"/>
  <c r="D733" i="10"/>
  <c r="I732" i="10"/>
  <c r="D732" i="10"/>
  <c r="I731" i="10"/>
  <c r="D731" i="10"/>
  <c r="I730" i="10"/>
  <c r="D730" i="10"/>
  <c r="I729" i="10"/>
  <c r="D729" i="10"/>
  <c r="I728" i="10"/>
  <c r="D728" i="10"/>
  <c r="I727" i="10"/>
  <c r="D727" i="10"/>
  <c r="I726" i="10"/>
  <c r="D726" i="10"/>
  <c r="I725" i="10"/>
  <c r="D725" i="10"/>
  <c r="I724" i="10"/>
  <c r="D724" i="10"/>
  <c r="I723" i="10"/>
  <c r="D723" i="10"/>
  <c r="I722" i="10"/>
  <c r="D722" i="10"/>
  <c r="I721" i="10"/>
  <c r="D721" i="10"/>
  <c r="I720" i="10"/>
  <c r="D720" i="10"/>
  <c r="I719" i="10"/>
  <c r="D719" i="10"/>
  <c r="I718" i="10"/>
  <c r="D718" i="10"/>
  <c r="I717" i="10"/>
  <c r="D717" i="10"/>
  <c r="I716" i="10"/>
  <c r="D716" i="10"/>
  <c r="I715" i="10"/>
  <c r="D715" i="10"/>
  <c r="I714" i="10"/>
  <c r="D714" i="10"/>
  <c r="I713" i="10"/>
  <c r="D713" i="10"/>
  <c r="I712" i="10"/>
  <c r="D712" i="10"/>
  <c r="I711" i="10"/>
  <c r="D711" i="10"/>
  <c r="I710" i="10"/>
  <c r="D710" i="10"/>
  <c r="I709" i="10"/>
  <c r="D709" i="10"/>
  <c r="I708" i="10"/>
  <c r="D708" i="10"/>
  <c r="I707" i="10"/>
  <c r="D707" i="10"/>
  <c r="I706" i="10"/>
  <c r="D706" i="10"/>
  <c r="I705" i="10"/>
  <c r="D705" i="10"/>
  <c r="I704" i="10"/>
  <c r="D704" i="10"/>
  <c r="I703" i="10"/>
  <c r="D703" i="10"/>
  <c r="I702" i="10"/>
  <c r="D702" i="10"/>
  <c r="I701" i="10"/>
  <c r="D701" i="10"/>
  <c r="I700" i="10"/>
  <c r="D700" i="10"/>
  <c r="I699" i="10"/>
  <c r="D699" i="10"/>
  <c r="I698" i="10"/>
  <c r="D698" i="10"/>
  <c r="I697" i="10"/>
  <c r="D697" i="10"/>
  <c r="I696" i="10"/>
  <c r="D696" i="10"/>
  <c r="I695" i="10"/>
  <c r="D695" i="10"/>
  <c r="I694" i="10"/>
  <c r="D694" i="10"/>
  <c r="I693" i="10"/>
  <c r="D693" i="10"/>
  <c r="I692" i="10"/>
  <c r="D692" i="10"/>
  <c r="I691" i="10"/>
  <c r="D691" i="10"/>
  <c r="I690" i="10"/>
  <c r="D690" i="10"/>
  <c r="I689" i="10"/>
  <c r="D689" i="10"/>
  <c r="I688" i="10"/>
  <c r="D688" i="10"/>
  <c r="I687" i="10"/>
  <c r="D687" i="10"/>
  <c r="I686" i="10"/>
  <c r="D686" i="10"/>
  <c r="I685" i="10"/>
  <c r="D685" i="10"/>
  <c r="I684" i="10"/>
  <c r="D684" i="10"/>
  <c r="I683" i="10"/>
  <c r="D683" i="10"/>
  <c r="I682" i="10"/>
  <c r="D682" i="10"/>
  <c r="I681" i="10"/>
  <c r="D681" i="10"/>
  <c r="I680" i="10"/>
  <c r="D680" i="10"/>
  <c r="I679" i="10"/>
  <c r="D679" i="10"/>
  <c r="I678" i="10"/>
  <c r="D678" i="10"/>
  <c r="I677" i="10"/>
  <c r="D677" i="10"/>
  <c r="I676" i="10"/>
  <c r="D676" i="10"/>
  <c r="I675" i="10"/>
  <c r="D675" i="10"/>
  <c r="I674" i="10"/>
  <c r="D674" i="10"/>
  <c r="I673" i="10"/>
  <c r="D673" i="10"/>
  <c r="I672" i="10"/>
  <c r="D672" i="10"/>
  <c r="I671" i="10"/>
  <c r="D671" i="10"/>
  <c r="I670" i="10"/>
  <c r="D670" i="10"/>
  <c r="I669" i="10"/>
  <c r="D669" i="10"/>
  <c r="I668" i="10"/>
  <c r="D668" i="10"/>
  <c r="I667" i="10"/>
  <c r="D667" i="10"/>
  <c r="I666" i="10"/>
  <c r="D666" i="10"/>
  <c r="I665" i="10"/>
  <c r="D665" i="10"/>
  <c r="I664" i="10"/>
  <c r="D664" i="10"/>
  <c r="I663" i="10"/>
  <c r="D663" i="10"/>
  <c r="I662" i="10"/>
  <c r="D662" i="10"/>
  <c r="I661" i="10"/>
  <c r="D661" i="10"/>
  <c r="I660" i="10"/>
  <c r="D660" i="10"/>
  <c r="I659" i="10"/>
  <c r="D659" i="10"/>
  <c r="I658" i="10"/>
  <c r="D658" i="10"/>
  <c r="I657" i="10"/>
  <c r="D657" i="10"/>
  <c r="I656" i="10"/>
  <c r="D656" i="10"/>
  <c r="I655" i="10"/>
  <c r="D655" i="10"/>
  <c r="I654" i="10"/>
  <c r="D654" i="10"/>
  <c r="I653" i="10"/>
  <c r="D653" i="10"/>
  <c r="I652" i="10"/>
  <c r="D652" i="10"/>
  <c r="I651" i="10"/>
  <c r="D651" i="10"/>
  <c r="I650" i="10"/>
  <c r="D650" i="10"/>
  <c r="I649" i="10"/>
  <c r="D649" i="10"/>
  <c r="I648" i="10"/>
  <c r="D648" i="10"/>
  <c r="I647" i="10"/>
  <c r="D647" i="10"/>
  <c r="I646" i="10"/>
  <c r="D646" i="10"/>
  <c r="I645" i="10"/>
  <c r="D645" i="10"/>
  <c r="I644" i="10"/>
  <c r="D644" i="10"/>
  <c r="I643" i="10"/>
  <c r="D643" i="10"/>
  <c r="I642" i="10"/>
  <c r="D642" i="10"/>
  <c r="I641" i="10"/>
  <c r="D641" i="10"/>
  <c r="I640" i="10"/>
  <c r="D640" i="10"/>
  <c r="I639" i="10"/>
  <c r="D639" i="10"/>
  <c r="I638" i="10"/>
  <c r="D638" i="10"/>
  <c r="I637" i="10"/>
  <c r="D637" i="10"/>
  <c r="I636" i="10"/>
  <c r="D636" i="10"/>
  <c r="I635" i="10"/>
  <c r="D635" i="10"/>
  <c r="I634" i="10"/>
  <c r="D634" i="10"/>
  <c r="I633" i="10"/>
  <c r="D633" i="10"/>
  <c r="I632" i="10"/>
  <c r="D632" i="10"/>
  <c r="I631" i="10"/>
  <c r="D631" i="10"/>
  <c r="I630" i="10"/>
  <c r="D630" i="10"/>
  <c r="I629" i="10"/>
  <c r="D629" i="10"/>
  <c r="I628" i="10"/>
  <c r="D628" i="10"/>
  <c r="I627" i="10"/>
  <c r="D627" i="10"/>
  <c r="I626" i="10"/>
  <c r="D626" i="10"/>
  <c r="I625" i="10"/>
  <c r="D625" i="10"/>
  <c r="I624" i="10"/>
  <c r="D624" i="10"/>
  <c r="I623" i="10"/>
  <c r="D623" i="10"/>
  <c r="I622" i="10"/>
  <c r="D622" i="10"/>
  <c r="I621" i="10"/>
  <c r="D621" i="10"/>
  <c r="I620" i="10"/>
  <c r="D620" i="10"/>
  <c r="I619" i="10"/>
  <c r="D619" i="10"/>
  <c r="I618" i="10"/>
  <c r="D618" i="10"/>
  <c r="I617" i="10"/>
  <c r="D617" i="10"/>
  <c r="I616" i="10"/>
  <c r="D616" i="10"/>
  <c r="I615" i="10"/>
  <c r="D615" i="10"/>
  <c r="I614" i="10"/>
  <c r="D614" i="10"/>
  <c r="I613" i="10"/>
  <c r="D613" i="10"/>
  <c r="I612" i="10"/>
  <c r="D612" i="10"/>
  <c r="I611" i="10"/>
  <c r="D611" i="10"/>
  <c r="I610" i="10"/>
  <c r="D610" i="10"/>
  <c r="I609" i="10"/>
  <c r="D609" i="10"/>
  <c r="I608" i="10"/>
  <c r="D608" i="10"/>
  <c r="I607" i="10"/>
  <c r="D607" i="10"/>
  <c r="I606" i="10"/>
  <c r="D606" i="10"/>
  <c r="I605" i="10"/>
  <c r="D605" i="10"/>
  <c r="I604" i="10"/>
  <c r="D604" i="10"/>
  <c r="I603" i="10"/>
  <c r="D603" i="10"/>
  <c r="I602" i="10"/>
  <c r="D602" i="10"/>
  <c r="I601" i="10"/>
  <c r="D601" i="10"/>
  <c r="I600" i="10"/>
  <c r="D600" i="10"/>
  <c r="I599" i="10"/>
  <c r="D599" i="10"/>
  <c r="I598" i="10"/>
  <c r="D598" i="10"/>
  <c r="I597" i="10"/>
  <c r="D597" i="10"/>
  <c r="I596" i="10"/>
  <c r="D596" i="10"/>
  <c r="I595" i="10"/>
  <c r="D595" i="10"/>
  <c r="I594" i="10"/>
  <c r="D594" i="10"/>
  <c r="I593" i="10"/>
  <c r="D593" i="10"/>
  <c r="I592" i="10"/>
  <c r="D592" i="10"/>
  <c r="I591" i="10"/>
  <c r="D591" i="10"/>
  <c r="I590" i="10"/>
  <c r="D590" i="10"/>
  <c r="I589" i="10"/>
  <c r="D589" i="10"/>
  <c r="I588" i="10"/>
  <c r="D588" i="10"/>
  <c r="I587" i="10"/>
  <c r="D587" i="10"/>
  <c r="I586" i="10"/>
  <c r="D586" i="10"/>
  <c r="I585" i="10"/>
  <c r="D585" i="10"/>
  <c r="I584" i="10"/>
  <c r="D584" i="10"/>
  <c r="I583" i="10"/>
  <c r="D583" i="10"/>
  <c r="I582" i="10"/>
  <c r="D582" i="10"/>
  <c r="I581" i="10"/>
  <c r="D581" i="10"/>
  <c r="I580" i="10"/>
  <c r="D580" i="10"/>
  <c r="I579" i="10"/>
  <c r="D579" i="10"/>
  <c r="I578" i="10"/>
  <c r="D578" i="10"/>
  <c r="I577" i="10"/>
  <c r="D577" i="10"/>
  <c r="I576" i="10"/>
  <c r="D576" i="10"/>
  <c r="I575" i="10"/>
  <c r="D575" i="10"/>
  <c r="I574" i="10"/>
  <c r="D574" i="10"/>
  <c r="I573" i="10"/>
  <c r="D573" i="10"/>
  <c r="I572" i="10"/>
  <c r="D572" i="10"/>
  <c r="I571" i="10"/>
  <c r="D571" i="10"/>
  <c r="I570" i="10"/>
  <c r="D570" i="10"/>
  <c r="I569" i="10"/>
  <c r="D569" i="10"/>
  <c r="I568" i="10"/>
  <c r="D568" i="10"/>
  <c r="I567" i="10"/>
  <c r="D567" i="10"/>
  <c r="I566" i="10"/>
  <c r="D566" i="10"/>
  <c r="I565" i="10"/>
  <c r="D565" i="10"/>
  <c r="I564" i="10"/>
  <c r="D564" i="10"/>
  <c r="I563" i="10"/>
  <c r="D563" i="10"/>
  <c r="I562" i="10"/>
  <c r="D562" i="10"/>
  <c r="I561" i="10"/>
  <c r="D561" i="10"/>
  <c r="I560" i="10"/>
  <c r="D560" i="10"/>
  <c r="I559" i="10"/>
  <c r="D559" i="10"/>
  <c r="I558" i="10"/>
  <c r="D558" i="10"/>
  <c r="I557" i="10"/>
  <c r="D557" i="10"/>
  <c r="I556" i="10"/>
  <c r="D556" i="10"/>
  <c r="I555" i="10"/>
  <c r="D555" i="10"/>
  <c r="I554" i="10"/>
  <c r="D554" i="10"/>
  <c r="I553" i="10"/>
  <c r="D553" i="10"/>
  <c r="I552" i="10"/>
  <c r="D552" i="10"/>
  <c r="I551" i="10"/>
  <c r="D551" i="10"/>
  <c r="I550" i="10"/>
  <c r="D550" i="10"/>
  <c r="I549" i="10"/>
  <c r="D549" i="10"/>
  <c r="I548" i="10"/>
  <c r="D548" i="10"/>
  <c r="I547" i="10"/>
  <c r="D547" i="10"/>
  <c r="I546" i="10"/>
  <c r="D546" i="10"/>
  <c r="I545" i="10"/>
  <c r="D545" i="10"/>
  <c r="I544" i="10"/>
  <c r="D544" i="10"/>
  <c r="I543" i="10"/>
  <c r="D543" i="10"/>
  <c r="I542" i="10"/>
  <c r="D542" i="10"/>
  <c r="I541" i="10"/>
  <c r="D541" i="10"/>
  <c r="I540" i="10"/>
  <c r="D540" i="10"/>
  <c r="I539" i="10"/>
  <c r="D539" i="10"/>
  <c r="I538" i="10"/>
  <c r="D538" i="10"/>
  <c r="I537" i="10"/>
  <c r="D537" i="10"/>
  <c r="I536" i="10"/>
  <c r="D536" i="10"/>
  <c r="I535" i="10"/>
  <c r="D535" i="10"/>
  <c r="I534" i="10"/>
  <c r="D534" i="10"/>
  <c r="I533" i="10"/>
  <c r="D533" i="10"/>
  <c r="I532" i="10"/>
  <c r="D532" i="10"/>
  <c r="I531" i="10"/>
  <c r="D531" i="10"/>
  <c r="I530" i="10"/>
  <c r="D530" i="10"/>
  <c r="I529" i="10"/>
  <c r="D529" i="10"/>
  <c r="I528" i="10"/>
  <c r="D528" i="10"/>
  <c r="I527" i="10"/>
  <c r="D527" i="10"/>
  <c r="I526" i="10"/>
  <c r="D526" i="10"/>
  <c r="I525" i="10"/>
  <c r="D525" i="10"/>
  <c r="I524" i="10"/>
  <c r="D524" i="10"/>
  <c r="I523" i="10"/>
  <c r="D523" i="10"/>
  <c r="I522" i="10"/>
  <c r="D522" i="10"/>
  <c r="I521" i="10"/>
  <c r="D521" i="10"/>
  <c r="I520" i="10"/>
  <c r="D520" i="10"/>
  <c r="I519" i="10"/>
  <c r="D519" i="10"/>
  <c r="I518" i="10"/>
  <c r="D518" i="10"/>
  <c r="I517" i="10"/>
  <c r="D517" i="10"/>
  <c r="I516" i="10"/>
  <c r="D516" i="10"/>
  <c r="I515" i="10"/>
  <c r="D515" i="10"/>
  <c r="I514" i="10"/>
  <c r="D514" i="10"/>
  <c r="I513" i="10"/>
  <c r="D513" i="10"/>
  <c r="I512" i="10"/>
  <c r="D512" i="10"/>
  <c r="I511" i="10"/>
  <c r="D511" i="10"/>
  <c r="I510" i="10"/>
  <c r="D510" i="10"/>
  <c r="I509" i="10"/>
  <c r="D509" i="10"/>
  <c r="I508" i="10"/>
  <c r="D508" i="10"/>
  <c r="I507" i="10"/>
  <c r="D507" i="10"/>
  <c r="I506" i="10"/>
  <c r="D506" i="10"/>
  <c r="I505" i="10"/>
  <c r="D505" i="10"/>
  <c r="I504" i="10"/>
  <c r="D504" i="10"/>
  <c r="I503" i="10"/>
  <c r="D503" i="10"/>
  <c r="I502" i="10"/>
  <c r="D502" i="10"/>
  <c r="I501" i="10"/>
  <c r="D501" i="10"/>
  <c r="I500" i="10"/>
  <c r="D500" i="10"/>
  <c r="I499" i="10"/>
  <c r="D499" i="10"/>
  <c r="I498" i="10"/>
  <c r="D498" i="10"/>
  <c r="I497" i="10"/>
  <c r="D497" i="10"/>
  <c r="I496" i="10"/>
  <c r="D496" i="10"/>
  <c r="I495" i="10"/>
  <c r="D495" i="10"/>
  <c r="I494" i="10"/>
  <c r="D494" i="10"/>
  <c r="I493" i="10"/>
  <c r="D493" i="10"/>
  <c r="I492" i="10"/>
  <c r="D492" i="10"/>
  <c r="I491" i="10"/>
  <c r="D491" i="10"/>
  <c r="I490" i="10"/>
  <c r="D490" i="10"/>
  <c r="I489" i="10"/>
  <c r="D489" i="10"/>
  <c r="I488" i="10"/>
  <c r="D488" i="10"/>
  <c r="I487" i="10"/>
  <c r="D487" i="10"/>
  <c r="I486" i="10"/>
  <c r="D486" i="10"/>
  <c r="I485" i="10"/>
  <c r="D485" i="10"/>
  <c r="I484" i="10"/>
  <c r="D484" i="10"/>
  <c r="I483" i="10"/>
  <c r="D483" i="10"/>
  <c r="I482" i="10"/>
  <c r="D482" i="10"/>
  <c r="I481" i="10"/>
  <c r="D481" i="10"/>
  <c r="I480" i="10"/>
  <c r="D480" i="10"/>
  <c r="I479" i="10"/>
  <c r="D479" i="10"/>
  <c r="I478" i="10"/>
  <c r="D478" i="10"/>
  <c r="I477" i="10"/>
  <c r="D477" i="10"/>
  <c r="I476" i="10"/>
  <c r="D476" i="10"/>
  <c r="I475" i="10"/>
  <c r="D475" i="10"/>
  <c r="I474" i="10"/>
  <c r="D474" i="10"/>
  <c r="I473" i="10"/>
  <c r="D473" i="10"/>
  <c r="I472" i="10"/>
  <c r="D472" i="10"/>
  <c r="I471" i="10"/>
  <c r="D471" i="10"/>
  <c r="I470" i="10"/>
  <c r="D470" i="10"/>
  <c r="I469" i="10"/>
  <c r="D469" i="10"/>
  <c r="I468" i="10"/>
  <c r="D468" i="10"/>
  <c r="I467" i="10"/>
  <c r="D467" i="10"/>
  <c r="I466" i="10"/>
  <c r="D466" i="10"/>
  <c r="I465" i="10"/>
  <c r="D465" i="10"/>
  <c r="I464" i="10"/>
  <c r="D464" i="10"/>
  <c r="I463" i="10"/>
  <c r="D463" i="10"/>
  <c r="I462" i="10"/>
  <c r="D462" i="10"/>
  <c r="I461" i="10"/>
  <c r="D461" i="10"/>
  <c r="I460" i="10"/>
  <c r="D460" i="10"/>
  <c r="I459" i="10"/>
  <c r="D459" i="10"/>
  <c r="I458" i="10"/>
  <c r="D458" i="10"/>
  <c r="I457" i="10"/>
  <c r="D457" i="10"/>
  <c r="I456" i="10"/>
  <c r="D456" i="10"/>
  <c r="I455" i="10"/>
  <c r="D455" i="10"/>
  <c r="I454" i="10"/>
  <c r="D454" i="10"/>
  <c r="I453" i="10"/>
  <c r="D453" i="10"/>
  <c r="I452" i="10"/>
  <c r="D452" i="10"/>
  <c r="I451" i="10"/>
  <c r="D451" i="10"/>
  <c r="I450" i="10"/>
  <c r="D450" i="10"/>
  <c r="I449" i="10"/>
  <c r="D449" i="10"/>
  <c r="I448" i="10"/>
  <c r="D448" i="10"/>
  <c r="I447" i="10"/>
  <c r="D447" i="10"/>
  <c r="I446" i="10"/>
  <c r="D446" i="10"/>
  <c r="I445" i="10"/>
  <c r="D445" i="10"/>
  <c r="I444" i="10"/>
  <c r="D444" i="10"/>
  <c r="I443" i="10"/>
  <c r="D443" i="10"/>
  <c r="I442" i="10"/>
  <c r="D442" i="10"/>
  <c r="I441" i="10"/>
  <c r="D441" i="10"/>
  <c r="I440" i="10"/>
  <c r="D440" i="10"/>
  <c r="I439" i="10"/>
  <c r="D439" i="10"/>
  <c r="I438" i="10"/>
  <c r="D438" i="10"/>
  <c r="I437" i="10"/>
  <c r="D437" i="10"/>
  <c r="I436" i="10"/>
  <c r="D436" i="10"/>
  <c r="I435" i="10"/>
  <c r="D435" i="10"/>
  <c r="I434" i="10"/>
  <c r="D434" i="10"/>
  <c r="I433" i="10"/>
  <c r="D433" i="10"/>
  <c r="I432" i="10"/>
  <c r="D432" i="10"/>
  <c r="I431" i="10"/>
  <c r="D431" i="10"/>
  <c r="I430" i="10"/>
  <c r="D430" i="10"/>
  <c r="I429" i="10"/>
  <c r="D429" i="10"/>
  <c r="I428" i="10"/>
  <c r="D428" i="10"/>
  <c r="I427" i="10"/>
  <c r="D427" i="10"/>
  <c r="I426" i="10"/>
  <c r="D426" i="10"/>
  <c r="I425" i="10"/>
  <c r="D425" i="10"/>
  <c r="I424" i="10"/>
  <c r="D424" i="10"/>
  <c r="I423" i="10"/>
  <c r="D423" i="10"/>
  <c r="I422" i="10"/>
  <c r="D422" i="10"/>
  <c r="I421" i="10"/>
  <c r="D421" i="10"/>
  <c r="I420" i="10"/>
  <c r="D420" i="10"/>
  <c r="I419" i="10"/>
  <c r="D419" i="10"/>
  <c r="I418" i="10"/>
  <c r="D418" i="10"/>
  <c r="I417" i="10"/>
  <c r="D417" i="10"/>
  <c r="I416" i="10"/>
  <c r="D416" i="10"/>
  <c r="I415" i="10"/>
  <c r="D415" i="10"/>
  <c r="I414" i="10"/>
  <c r="D414" i="10"/>
  <c r="I413" i="10"/>
  <c r="D413" i="10"/>
  <c r="I412" i="10"/>
  <c r="D412" i="10"/>
  <c r="I411" i="10"/>
  <c r="D411" i="10"/>
  <c r="I410" i="10"/>
  <c r="D410" i="10"/>
  <c r="I409" i="10"/>
  <c r="D409" i="10"/>
  <c r="I408" i="10"/>
  <c r="D408" i="10"/>
  <c r="I407" i="10"/>
  <c r="D407" i="10"/>
  <c r="I406" i="10"/>
  <c r="D406" i="10"/>
  <c r="I405" i="10"/>
  <c r="D405" i="10"/>
  <c r="I404" i="10"/>
  <c r="D404" i="10"/>
  <c r="I403" i="10"/>
  <c r="D403" i="10"/>
  <c r="I402" i="10"/>
  <c r="D402" i="10"/>
  <c r="I401" i="10"/>
  <c r="D401" i="10"/>
  <c r="I400" i="10"/>
  <c r="D400" i="10"/>
  <c r="I399" i="10"/>
  <c r="D399" i="10"/>
  <c r="I398" i="10"/>
  <c r="D398" i="10"/>
  <c r="I397" i="10"/>
  <c r="D397" i="10"/>
  <c r="I396" i="10"/>
  <c r="D396" i="10"/>
  <c r="I395" i="10"/>
  <c r="D395" i="10"/>
  <c r="I394" i="10"/>
  <c r="D394" i="10"/>
  <c r="I393" i="10"/>
  <c r="D393" i="10"/>
  <c r="I392" i="10"/>
  <c r="D392" i="10"/>
  <c r="I391" i="10"/>
  <c r="D391" i="10"/>
  <c r="I390" i="10"/>
  <c r="D390" i="10"/>
  <c r="I389" i="10"/>
  <c r="D389" i="10"/>
  <c r="I388" i="10"/>
  <c r="D388" i="10"/>
  <c r="I387" i="10"/>
  <c r="D387" i="10"/>
  <c r="I386" i="10"/>
  <c r="D386" i="10"/>
  <c r="I385" i="10"/>
  <c r="D385" i="10"/>
  <c r="I384" i="10"/>
  <c r="D384" i="10"/>
  <c r="I383" i="10"/>
  <c r="D383" i="10"/>
  <c r="I382" i="10"/>
  <c r="D382" i="10"/>
  <c r="I381" i="10"/>
  <c r="D381" i="10"/>
  <c r="I380" i="10"/>
  <c r="D380" i="10"/>
  <c r="I379" i="10"/>
  <c r="D379" i="10"/>
  <c r="I378" i="10"/>
  <c r="D378" i="10"/>
  <c r="I377" i="10"/>
  <c r="D377" i="10"/>
  <c r="I376" i="10"/>
  <c r="D376" i="10"/>
  <c r="I375" i="10"/>
  <c r="D375" i="10"/>
  <c r="I374" i="10"/>
  <c r="D374" i="10"/>
  <c r="I373" i="10"/>
  <c r="D373" i="10"/>
  <c r="I372" i="10"/>
  <c r="D372" i="10"/>
  <c r="I371" i="10"/>
  <c r="D371" i="10"/>
  <c r="I370" i="10"/>
  <c r="D370" i="10"/>
  <c r="I369" i="10"/>
  <c r="D369" i="10"/>
  <c r="I368" i="10"/>
  <c r="D368" i="10"/>
  <c r="I367" i="10"/>
  <c r="D367" i="10"/>
  <c r="I366" i="10"/>
  <c r="D366" i="10"/>
  <c r="I365" i="10"/>
  <c r="D365" i="10"/>
  <c r="I364" i="10"/>
  <c r="D364" i="10"/>
  <c r="I363" i="10"/>
  <c r="D363" i="10"/>
  <c r="I362" i="10"/>
  <c r="D362" i="10"/>
  <c r="I361" i="10"/>
  <c r="D361" i="10"/>
  <c r="I360" i="10"/>
  <c r="D360" i="10"/>
  <c r="I359" i="10"/>
  <c r="D359" i="10"/>
  <c r="I358" i="10"/>
  <c r="D358" i="10"/>
  <c r="I357" i="10"/>
  <c r="D357" i="10"/>
  <c r="I356" i="10"/>
  <c r="D356" i="10"/>
  <c r="I355" i="10"/>
  <c r="D355" i="10"/>
  <c r="I354" i="10"/>
  <c r="D354" i="10"/>
  <c r="I353" i="10"/>
  <c r="D353" i="10"/>
  <c r="I352" i="10"/>
  <c r="D352" i="10"/>
  <c r="I351" i="10"/>
  <c r="D351" i="10"/>
  <c r="I350" i="10"/>
  <c r="D350" i="10"/>
  <c r="I349" i="10"/>
  <c r="D349" i="10"/>
  <c r="I348" i="10"/>
  <c r="D348" i="10"/>
  <c r="I347" i="10"/>
  <c r="D347" i="10"/>
  <c r="I346" i="10"/>
  <c r="D346" i="10"/>
  <c r="I345" i="10"/>
  <c r="D345" i="10"/>
  <c r="I344" i="10"/>
  <c r="D344" i="10"/>
  <c r="I343" i="10"/>
  <c r="D343" i="10"/>
  <c r="I342" i="10"/>
  <c r="D342" i="10"/>
  <c r="I341" i="10"/>
  <c r="D341" i="10"/>
  <c r="I340" i="10"/>
  <c r="D340" i="10"/>
  <c r="I339" i="10"/>
  <c r="D339" i="10"/>
  <c r="I338" i="10"/>
  <c r="D338" i="10"/>
  <c r="I337" i="10"/>
  <c r="D337" i="10"/>
  <c r="I336" i="10"/>
  <c r="D336" i="10"/>
  <c r="I335" i="10"/>
  <c r="D335" i="10"/>
  <c r="I334" i="10"/>
  <c r="D334" i="10"/>
  <c r="I333" i="10"/>
  <c r="D333" i="10"/>
  <c r="I332" i="10"/>
  <c r="D332" i="10"/>
  <c r="I331" i="10"/>
  <c r="D331" i="10"/>
  <c r="I330" i="10"/>
  <c r="D330" i="10"/>
  <c r="I329" i="10"/>
  <c r="D329" i="10"/>
  <c r="I328" i="10"/>
  <c r="D328" i="10"/>
  <c r="I327" i="10"/>
  <c r="D327" i="10"/>
  <c r="I326" i="10"/>
  <c r="D326" i="10"/>
  <c r="I325" i="10"/>
  <c r="D325" i="10"/>
  <c r="I324" i="10"/>
  <c r="D324" i="10"/>
  <c r="I323" i="10"/>
  <c r="D323" i="10"/>
  <c r="I322" i="10"/>
  <c r="D322" i="10"/>
  <c r="I321" i="10"/>
  <c r="D321" i="10"/>
  <c r="I320" i="10"/>
  <c r="D320" i="10"/>
  <c r="I319" i="10"/>
  <c r="D319" i="10"/>
  <c r="I318" i="10"/>
  <c r="D318" i="10"/>
  <c r="I317" i="10"/>
  <c r="D317" i="10"/>
  <c r="I316" i="10"/>
  <c r="D316" i="10"/>
  <c r="I315" i="10"/>
  <c r="D315" i="10"/>
  <c r="I314" i="10"/>
  <c r="D314" i="10"/>
  <c r="I313" i="10"/>
  <c r="D313" i="10"/>
  <c r="I312" i="10"/>
  <c r="D312" i="10"/>
  <c r="I311" i="10"/>
  <c r="D311" i="10"/>
  <c r="I310" i="10"/>
  <c r="D310" i="10"/>
  <c r="I309" i="10"/>
  <c r="D309" i="10"/>
  <c r="I308" i="10"/>
  <c r="D308" i="10"/>
  <c r="I307" i="10"/>
  <c r="D307" i="10"/>
  <c r="I306" i="10"/>
  <c r="D306" i="10"/>
  <c r="I305" i="10"/>
  <c r="D305" i="10"/>
  <c r="I304" i="10"/>
  <c r="D304" i="10"/>
  <c r="I303" i="10"/>
  <c r="D303" i="10"/>
  <c r="I302" i="10"/>
  <c r="D302" i="10"/>
  <c r="I301" i="10"/>
  <c r="D301" i="10"/>
  <c r="I300" i="10"/>
  <c r="D300" i="10"/>
  <c r="I299" i="10"/>
  <c r="D299" i="10"/>
  <c r="I298" i="10"/>
  <c r="D298" i="10"/>
  <c r="I297" i="10"/>
  <c r="D297" i="10"/>
  <c r="I296" i="10"/>
  <c r="D296" i="10"/>
  <c r="I295" i="10"/>
  <c r="D295" i="10"/>
  <c r="I294" i="10"/>
  <c r="D294" i="10"/>
  <c r="I293" i="10"/>
  <c r="D293" i="10"/>
  <c r="I292" i="10"/>
  <c r="D292" i="10"/>
  <c r="I291" i="10"/>
  <c r="D291" i="10"/>
  <c r="I290" i="10"/>
  <c r="D290" i="10"/>
  <c r="I289" i="10"/>
  <c r="D289" i="10"/>
  <c r="I288" i="10"/>
  <c r="D288" i="10"/>
  <c r="I287" i="10"/>
  <c r="D287" i="10"/>
  <c r="I286" i="10"/>
  <c r="D286" i="10"/>
  <c r="I285" i="10"/>
  <c r="D285" i="10"/>
  <c r="I284" i="10"/>
  <c r="D284" i="10"/>
  <c r="I283" i="10"/>
  <c r="D283" i="10"/>
  <c r="I282" i="10"/>
  <c r="D282" i="10"/>
  <c r="I281" i="10"/>
  <c r="D281" i="10"/>
  <c r="I280" i="10"/>
  <c r="D280" i="10"/>
  <c r="I279" i="10"/>
  <c r="D279" i="10"/>
  <c r="I278" i="10"/>
  <c r="D278" i="10"/>
  <c r="I277" i="10"/>
  <c r="D277" i="10"/>
  <c r="I276" i="10"/>
  <c r="D276" i="10"/>
  <c r="I275" i="10"/>
  <c r="D275" i="10"/>
  <c r="I274" i="10"/>
  <c r="D274" i="10"/>
  <c r="I273" i="10"/>
  <c r="D273" i="10"/>
  <c r="I272" i="10"/>
  <c r="D272" i="10"/>
  <c r="I271" i="10"/>
  <c r="D271" i="10"/>
  <c r="I270" i="10"/>
  <c r="D270" i="10"/>
  <c r="I269" i="10"/>
  <c r="D269" i="10"/>
  <c r="I268" i="10"/>
  <c r="D268" i="10"/>
  <c r="I267" i="10"/>
  <c r="D267" i="10"/>
  <c r="I266" i="10"/>
  <c r="D266" i="10"/>
  <c r="I265" i="10"/>
  <c r="D265" i="10"/>
  <c r="I264" i="10"/>
  <c r="D264" i="10"/>
  <c r="I263" i="10"/>
  <c r="D263" i="10"/>
  <c r="I262" i="10"/>
  <c r="D262" i="10"/>
  <c r="I261" i="10"/>
  <c r="D261" i="10"/>
  <c r="I260" i="10"/>
  <c r="D260" i="10"/>
  <c r="I259" i="10"/>
  <c r="D259" i="10"/>
  <c r="I258" i="10"/>
  <c r="D258" i="10"/>
  <c r="I257" i="10"/>
  <c r="D257" i="10"/>
  <c r="I256" i="10"/>
  <c r="D256" i="10"/>
  <c r="I255" i="10"/>
  <c r="D255" i="10"/>
  <c r="I254" i="10"/>
  <c r="D254" i="10"/>
  <c r="I253" i="10"/>
  <c r="D253" i="10"/>
  <c r="I252" i="10"/>
  <c r="D252" i="10"/>
  <c r="I251" i="10"/>
  <c r="D251" i="10"/>
  <c r="I250" i="10"/>
  <c r="D250" i="10"/>
  <c r="I249" i="10"/>
  <c r="D249" i="10"/>
  <c r="I248" i="10"/>
  <c r="D248" i="10"/>
  <c r="I247" i="10"/>
  <c r="D247" i="10"/>
  <c r="I246" i="10"/>
  <c r="D246" i="10"/>
  <c r="I245" i="10"/>
  <c r="D245" i="10"/>
  <c r="I244" i="10"/>
  <c r="D244" i="10"/>
  <c r="I243" i="10"/>
  <c r="D243" i="10"/>
  <c r="I242" i="10"/>
  <c r="D242" i="10"/>
  <c r="I241" i="10"/>
  <c r="D241" i="10"/>
  <c r="I240" i="10"/>
  <c r="D240" i="10"/>
  <c r="I239" i="10"/>
  <c r="D239" i="10"/>
  <c r="I238" i="10"/>
  <c r="D238" i="10"/>
  <c r="I237" i="10"/>
  <c r="D237" i="10"/>
  <c r="I236" i="10"/>
  <c r="D236" i="10"/>
  <c r="I235" i="10"/>
  <c r="D235" i="10"/>
  <c r="I234" i="10"/>
  <c r="D234" i="10"/>
  <c r="I233" i="10"/>
  <c r="D233" i="10"/>
  <c r="I232" i="10"/>
  <c r="D232" i="10"/>
  <c r="I231" i="10"/>
  <c r="D231" i="10"/>
  <c r="I230" i="10"/>
  <c r="D230" i="10"/>
  <c r="I229" i="10"/>
  <c r="D229" i="10"/>
  <c r="I228" i="10"/>
  <c r="D228" i="10"/>
  <c r="I227" i="10"/>
  <c r="D227" i="10"/>
  <c r="I226" i="10"/>
  <c r="D226" i="10"/>
  <c r="I225" i="10"/>
  <c r="D225" i="10"/>
  <c r="I224" i="10"/>
  <c r="D224" i="10"/>
  <c r="I223" i="10"/>
  <c r="D223" i="10"/>
  <c r="I222" i="10"/>
  <c r="D222" i="10"/>
  <c r="I221" i="10"/>
  <c r="D221" i="10"/>
  <c r="I220" i="10"/>
  <c r="D220" i="10"/>
  <c r="I219" i="10"/>
  <c r="D219" i="10"/>
  <c r="I218" i="10"/>
  <c r="D218" i="10"/>
  <c r="I217" i="10"/>
  <c r="D217" i="10"/>
  <c r="I216" i="10"/>
  <c r="D216" i="10"/>
  <c r="I215" i="10"/>
  <c r="D215" i="10"/>
  <c r="I214" i="10"/>
  <c r="D214" i="10"/>
  <c r="I213" i="10"/>
  <c r="D213" i="10"/>
  <c r="I212" i="10"/>
  <c r="D212" i="10"/>
  <c r="I211" i="10"/>
  <c r="D211" i="10"/>
  <c r="I210" i="10"/>
  <c r="D210" i="10"/>
  <c r="I209" i="10"/>
  <c r="D209" i="10"/>
  <c r="I208" i="10"/>
  <c r="D208" i="10"/>
  <c r="I207" i="10"/>
  <c r="D207" i="10"/>
  <c r="I206" i="10"/>
  <c r="D206" i="10"/>
  <c r="I205" i="10"/>
  <c r="D205" i="10"/>
  <c r="I204" i="10"/>
  <c r="D204" i="10"/>
  <c r="I203" i="10"/>
  <c r="D203" i="10"/>
  <c r="I202" i="10"/>
  <c r="D202" i="10"/>
  <c r="I201" i="10"/>
  <c r="D201" i="10"/>
  <c r="I200" i="10"/>
  <c r="D200" i="10"/>
  <c r="I199" i="10"/>
  <c r="D199" i="10"/>
  <c r="I198" i="10"/>
  <c r="D198" i="10"/>
  <c r="I197" i="10"/>
  <c r="D197" i="10"/>
  <c r="I196" i="10"/>
  <c r="D196" i="10"/>
  <c r="I195" i="10"/>
  <c r="D195" i="10"/>
  <c r="I194" i="10"/>
  <c r="D194" i="10"/>
  <c r="I193" i="10"/>
  <c r="D193" i="10"/>
  <c r="I192" i="10"/>
  <c r="D192" i="10"/>
  <c r="I191" i="10"/>
  <c r="D191" i="10"/>
  <c r="I190" i="10"/>
  <c r="D190" i="10"/>
  <c r="I189" i="10"/>
  <c r="D189" i="10"/>
  <c r="I188" i="10"/>
  <c r="D188" i="10"/>
  <c r="I187" i="10"/>
  <c r="D187" i="10"/>
  <c r="I186" i="10"/>
  <c r="D186" i="10"/>
  <c r="I185" i="10"/>
  <c r="D185" i="10"/>
  <c r="I184" i="10"/>
  <c r="D184" i="10"/>
  <c r="I183" i="10"/>
  <c r="D183" i="10"/>
  <c r="I182" i="10"/>
  <c r="D182" i="10"/>
  <c r="I181" i="10"/>
  <c r="D181" i="10"/>
  <c r="I180" i="10"/>
  <c r="D180" i="10"/>
  <c r="I179" i="10"/>
  <c r="D179" i="10"/>
  <c r="I178" i="10"/>
  <c r="D178" i="10"/>
  <c r="I177" i="10"/>
  <c r="D177" i="10"/>
  <c r="I176" i="10"/>
  <c r="D176" i="10"/>
  <c r="I175" i="10"/>
  <c r="D175" i="10"/>
  <c r="I174" i="10"/>
  <c r="D174" i="10"/>
  <c r="I173" i="10"/>
  <c r="D173" i="10"/>
  <c r="I172" i="10"/>
  <c r="D172" i="10"/>
  <c r="I171" i="10"/>
  <c r="D171" i="10"/>
  <c r="I170" i="10"/>
  <c r="D170" i="10"/>
  <c r="I169" i="10"/>
  <c r="D169" i="10"/>
  <c r="I168" i="10"/>
  <c r="D168" i="10"/>
  <c r="I167" i="10"/>
  <c r="D167" i="10"/>
  <c r="I166" i="10"/>
  <c r="D166" i="10"/>
  <c r="I165" i="10"/>
  <c r="D165" i="10"/>
  <c r="I164" i="10"/>
  <c r="D164" i="10"/>
  <c r="I163" i="10"/>
  <c r="D163" i="10"/>
  <c r="I162" i="10"/>
  <c r="D162" i="10"/>
  <c r="I161" i="10"/>
  <c r="D161" i="10"/>
  <c r="I160" i="10"/>
  <c r="D160" i="10"/>
  <c r="I159" i="10"/>
  <c r="D159" i="10"/>
  <c r="I158" i="10"/>
  <c r="D158" i="10"/>
  <c r="I157" i="10"/>
  <c r="D157" i="10"/>
  <c r="I156" i="10"/>
  <c r="D156" i="10"/>
  <c r="I155" i="10"/>
  <c r="D155" i="10"/>
  <c r="I154" i="10"/>
  <c r="D154" i="10"/>
  <c r="I153" i="10"/>
  <c r="D153" i="10"/>
  <c r="I152" i="10"/>
  <c r="D152" i="10"/>
  <c r="I151" i="10"/>
  <c r="D151" i="10"/>
  <c r="I150" i="10"/>
  <c r="D150" i="10"/>
  <c r="I149" i="10"/>
  <c r="D149" i="10"/>
  <c r="I148" i="10"/>
  <c r="D148" i="10"/>
  <c r="I147" i="10"/>
  <c r="D147" i="10"/>
  <c r="I146" i="10"/>
  <c r="D146" i="10"/>
  <c r="I145" i="10"/>
  <c r="D145" i="10"/>
  <c r="I144" i="10"/>
  <c r="D144" i="10"/>
  <c r="I143" i="10"/>
  <c r="D143" i="10"/>
  <c r="I142" i="10"/>
  <c r="D142" i="10"/>
  <c r="I141" i="10"/>
  <c r="D141" i="10"/>
  <c r="I140" i="10"/>
  <c r="D140" i="10"/>
  <c r="I139" i="10"/>
  <c r="D139" i="10"/>
  <c r="I138" i="10"/>
  <c r="D138" i="10"/>
  <c r="I137" i="10"/>
  <c r="D137" i="10"/>
  <c r="I136" i="10"/>
  <c r="D136" i="10"/>
  <c r="I135" i="10"/>
  <c r="D135" i="10"/>
  <c r="I134" i="10"/>
  <c r="D134" i="10"/>
  <c r="I133" i="10"/>
  <c r="D133" i="10"/>
  <c r="I132" i="10"/>
  <c r="D132" i="10"/>
  <c r="I131" i="10"/>
  <c r="D131" i="10"/>
  <c r="I130" i="10"/>
  <c r="D130" i="10"/>
  <c r="I129" i="10"/>
  <c r="D129" i="10"/>
  <c r="I128" i="10"/>
  <c r="D128" i="10"/>
  <c r="I127" i="10"/>
  <c r="D127" i="10"/>
  <c r="I126" i="10"/>
  <c r="D126" i="10"/>
  <c r="I125" i="10"/>
  <c r="D125" i="10"/>
  <c r="I124" i="10"/>
  <c r="D124" i="10"/>
  <c r="I123" i="10"/>
  <c r="D123" i="10"/>
  <c r="I122" i="10"/>
  <c r="D122" i="10"/>
  <c r="I121" i="10"/>
  <c r="D121" i="10"/>
  <c r="I120" i="10"/>
  <c r="D120" i="10"/>
  <c r="I119" i="10"/>
  <c r="D119" i="10"/>
  <c r="I118" i="10"/>
  <c r="D118" i="10"/>
  <c r="I117" i="10"/>
  <c r="D117" i="10"/>
  <c r="I116" i="10"/>
  <c r="D116" i="10"/>
  <c r="I115" i="10"/>
  <c r="D115" i="10"/>
  <c r="I114" i="10"/>
  <c r="D114" i="10"/>
  <c r="I113" i="10"/>
  <c r="D113" i="10"/>
  <c r="I112" i="10"/>
  <c r="D112" i="10"/>
  <c r="I111" i="10"/>
  <c r="D111" i="10"/>
  <c r="I110" i="10"/>
  <c r="D110" i="10"/>
  <c r="I109" i="10"/>
  <c r="D109" i="10"/>
  <c r="I108" i="10"/>
  <c r="D108" i="10"/>
  <c r="I107" i="10"/>
  <c r="D107" i="10"/>
  <c r="I106" i="10"/>
  <c r="D106" i="10"/>
  <c r="I105" i="10"/>
  <c r="D105" i="10"/>
  <c r="I104" i="10"/>
  <c r="D104" i="10"/>
  <c r="I103" i="10"/>
  <c r="D103" i="10"/>
  <c r="I102" i="10"/>
  <c r="D102" i="10"/>
  <c r="I101" i="10"/>
  <c r="D101" i="10"/>
  <c r="I100" i="10"/>
  <c r="D100" i="10"/>
  <c r="I99" i="10"/>
  <c r="D99" i="10"/>
  <c r="I98" i="10"/>
  <c r="D98" i="10"/>
  <c r="I97" i="10"/>
  <c r="D97" i="10"/>
  <c r="I96" i="10"/>
  <c r="D96" i="10"/>
  <c r="I95" i="10"/>
  <c r="D95" i="10"/>
  <c r="I94" i="10"/>
  <c r="D94" i="10"/>
  <c r="I93" i="10"/>
  <c r="D93" i="10"/>
  <c r="I92" i="10"/>
  <c r="D92" i="10"/>
  <c r="I91" i="10"/>
  <c r="D91" i="10"/>
  <c r="I90" i="10"/>
  <c r="D90" i="10"/>
  <c r="I89" i="10"/>
  <c r="D89" i="10"/>
  <c r="I88" i="10"/>
  <c r="D88" i="10"/>
  <c r="I87" i="10"/>
  <c r="D87" i="10"/>
  <c r="I86" i="10"/>
  <c r="D86" i="10"/>
  <c r="I85" i="10"/>
  <c r="D85" i="10"/>
  <c r="I84" i="10"/>
  <c r="D84" i="10"/>
  <c r="I83" i="10"/>
  <c r="D83" i="10"/>
  <c r="I82" i="10"/>
  <c r="D82" i="10"/>
  <c r="I81" i="10"/>
  <c r="D81" i="10"/>
  <c r="I80" i="10"/>
  <c r="D80" i="10"/>
  <c r="I79" i="10"/>
  <c r="D79" i="10"/>
  <c r="I78" i="10"/>
  <c r="D78" i="10"/>
  <c r="I77" i="10"/>
  <c r="D77" i="10"/>
  <c r="I76" i="10"/>
  <c r="D76" i="10"/>
  <c r="I75" i="10"/>
  <c r="D75" i="10"/>
  <c r="I74" i="10"/>
  <c r="D74" i="10"/>
  <c r="I73" i="10"/>
  <c r="D73" i="10"/>
  <c r="I72" i="10"/>
  <c r="D72" i="10"/>
  <c r="I71" i="10"/>
  <c r="D71" i="10"/>
  <c r="I70" i="10"/>
  <c r="D70" i="10"/>
  <c r="I69" i="10"/>
  <c r="D69" i="10"/>
  <c r="I68" i="10"/>
  <c r="D68" i="10"/>
  <c r="I67" i="10"/>
  <c r="D67" i="10"/>
  <c r="I66" i="10"/>
  <c r="D66" i="10"/>
  <c r="I65" i="10"/>
  <c r="D65" i="10"/>
  <c r="I64" i="10"/>
  <c r="D64" i="10"/>
  <c r="I63" i="10"/>
  <c r="D63" i="10"/>
  <c r="I62" i="10"/>
  <c r="D62" i="10"/>
  <c r="I61" i="10"/>
  <c r="D61" i="10"/>
  <c r="I60" i="10"/>
  <c r="D60" i="10"/>
  <c r="I59" i="10"/>
  <c r="D59" i="10"/>
  <c r="I58" i="10"/>
  <c r="D58" i="10"/>
  <c r="I57" i="10"/>
  <c r="D57" i="10"/>
  <c r="I56" i="10"/>
  <c r="D56" i="10"/>
  <c r="I55" i="10"/>
  <c r="D55" i="10"/>
  <c r="I54" i="10"/>
  <c r="D54" i="10"/>
  <c r="I53" i="10"/>
  <c r="D53" i="10"/>
  <c r="I52" i="10"/>
  <c r="D52" i="10"/>
  <c r="I51" i="10"/>
  <c r="D51" i="10"/>
  <c r="I50" i="10"/>
  <c r="D50" i="10"/>
  <c r="I49" i="10"/>
  <c r="D49" i="10"/>
  <c r="I48" i="10"/>
  <c r="D48" i="10"/>
  <c r="I47" i="10"/>
  <c r="D47" i="10"/>
  <c r="I46" i="10"/>
  <c r="D46" i="10"/>
  <c r="I45" i="10"/>
  <c r="D45" i="10"/>
  <c r="I44" i="10"/>
  <c r="D44" i="10"/>
  <c r="I43" i="10"/>
  <c r="D43" i="10"/>
  <c r="I42" i="10"/>
  <c r="D42" i="10"/>
  <c r="I41" i="10"/>
  <c r="D41" i="10"/>
  <c r="I40" i="10"/>
  <c r="D40" i="10"/>
  <c r="I39" i="10"/>
  <c r="D39" i="10"/>
  <c r="I38" i="10"/>
  <c r="D38" i="10"/>
  <c r="I37" i="10"/>
  <c r="D37" i="10"/>
  <c r="I36" i="10"/>
  <c r="D36" i="10"/>
  <c r="I35" i="10"/>
  <c r="D35" i="10"/>
  <c r="I34" i="10"/>
  <c r="D34" i="10"/>
  <c r="I33" i="10"/>
  <c r="D33" i="10"/>
  <c r="I32" i="10"/>
  <c r="D32" i="10"/>
  <c r="I31" i="10"/>
  <c r="D31" i="10"/>
  <c r="I30" i="10"/>
  <c r="D30" i="10"/>
  <c r="I29" i="10"/>
  <c r="D29" i="10"/>
  <c r="I28" i="10"/>
  <c r="D28" i="10"/>
  <c r="I27" i="10"/>
  <c r="D27" i="10"/>
  <c r="I26" i="10"/>
  <c r="D26" i="10"/>
  <c r="I25" i="10"/>
  <c r="D25" i="10"/>
  <c r="I24" i="10"/>
  <c r="D24" i="10"/>
  <c r="I23" i="10"/>
  <c r="D23" i="10"/>
  <c r="I22" i="10"/>
  <c r="D22" i="10"/>
  <c r="I21" i="10"/>
  <c r="D21" i="10"/>
  <c r="I20" i="10"/>
  <c r="D20" i="10"/>
  <c r="I19" i="10"/>
  <c r="D19" i="10"/>
  <c r="I18" i="10"/>
  <c r="D18" i="10"/>
  <c r="I17" i="10"/>
  <c r="D17" i="10"/>
  <c r="I16" i="10"/>
  <c r="D16" i="10"/>
  <c r="I15" i="10"/>
  <c r="D15" i="10"/>
  <c r="I14" i="10"/>
  <c r="D14" i="10"/>
  <c r="I13" i="10"/>
  <c r="D13" i="10"/>
  <c r="I12" i="10"/>
  <c r="D12" i="10"/>
  <c r="I11" i="10"/>
  <c r="D11" i="10"/>
  <c r="I10" i="10"/>
  <c r="D10" i="10"/>
  <c r="I9" i="10"/>
  <c r="D9" i="10"/>
  <c r="I8" i="10"/>
  <c r="D8" i="10"/>
  <c r="I7" i="10"/>
  <c r="D7" i="10"/>
  <c r="I6" i="10"/>
  <c r="D6" i="10"/>
  <c r="I5" i="10"/>
  <c r="D5" i="10"/>
  <c r="H31" i="7"/>
  <c r="G31" i="7"/>
  <c r="H30" i="7"/>
  <c r="G30" i="7"/>
  <c r="H28" i="7"/>
  <c r="H27" i="7"/>
  <c r="G27" i="7"/>
  <c r="H26" i="7"/>
  <c r="G26" i="7"/>
  <c r="H25" i="7"/>
  <c r="G25" i="7"/>
  <c r="H21" i="7"/>
  <c r="G21" i="7"/>
  <c r="H19" i="7"/>
  <c r="G19" i="7"/>
  <c r="H17" i="7"/>
  <c r="G17" i="7"/>
  <c r="H16" i="7"/>
  <c r="G16" i="7"/>
  <c r="H14" i="7"/>
  <c r="G14" i="7"/>
  <c r="H13" i="7"/>
  <c r="G13" i="7"/>
  <c r="H12" i="7"/>
  <c r="G12" i="7"/>
  <c r="H9" i="7"/>
  <c r="G9" i="7"/>
  <c r="H7" i="7"/>
  <c r="G7" i="7"/>
  <c r="H6" i="7"/>
  <c r="G6" i="7"/>
  <c r="H5" i="7"/>
  <c r="G5" i="7"/>
  <c r="F46" i="6"/>
  <c r="F45" i="6"/>
  <c r="F44" i="6"/>
  <c r="F43" i="6"/>
  <c r="F42" i="6"/>
  <c r="F41" i="6"/>
  <c r="F40" i="6"/>
  <c r="F39" i="6"/>
  <c r="F38" i="6"/>
  <c r="F37" i="6"/>
  <c r="F36" i="6"/>
  <c r="F34" i="6"/>
  <c r="F33" i="6"/>
  <c r="F32" i="6"/>
  <c r="F31" i="6"/>
  <c r="F30" i="6"/>
  <c r="F29" i="6"/>
  <c r="F28" i="6"/>
  <c r="F27" i="6"/>
  <c r="F26" i="6"/>
  <c r="F24" i="6"/>
  <c r="F23" i="6"/>
  <c r="F22" i="6"/>
  <c r="F21" i="6"/>
  <c r="F20" i="6"/>
  <c r="F19" i="6"/>
  <c r="F18" i="6"/>
  <c r="F17" i="6"/>
  <c r="F16" i="6"/>
  <c r="F15" i="6"/>
  <c r="F14" i="6"/>
  <c r="F13" i="6"/>
  <c r="F12" i="6"/>
  <c r="F11" i="6"/>
  <c r="F10" i="6"/>
  <c r="F9" i="6"/>
  <c r="F8" i="6"/>
  <c r="F7" i="6"/>
  <c r="F6" i="6"/>
  <c r="F46" i="5"/>
  <c r="F45" i="5"/>
  <c r="F42" i="5"/>
  <c r="F41" i="5"/>
  <c r="F40" i="5"/>
  <c r="F39" i="5"/>
  <c r="F38" i="5"/>
  <c r="F36" i="5"/>
  <c r="F35" i="5"/>
  <c r="F34" i="5"/>
  <c r="F33" i="5"/>
  <c r="F32" i="5"/>
  <c r="F31" i="5"/>
  <c r="F30" i="5"/>
  <c r="F29" i="5"/>
  <c r="F27" i="5"/>
  <c r="F26" i="5"/>
  <c r="F25" i="5"/>
  <c r="F24" i="5"/>
  <c r="F22" i="5"/>
  <c r="F21" i="5"/>
  <c r="F20" i="5"/>
  <c r="F19" i="5"/>
  <c r="F18" i="5"/>
  <c r="F17" i="5"/>
  <c r="F16" i="5"/>
  <c r="F15" i="5"/>
  <c r="F14" i="5"/>
  <c r="F13" i="5"/>
  <c r="F12" i="5"/>
  <c r="F11" i="5"/>
  <c r="F10" i="5"/>
  <c r="F8" i="5"/>
  <c r="F7" i="5"/>
  <c r="F6" i="5"/>
  <c r="F53" i="4"/>
  <c r="F52" i="4"/>
  <c r="F51" i="4"/>
  <c r="F50" i="4"/>
  <c r="F49" i="4"/>
  <c r="F48" i="4"/>
  <c r="F47" i="4"/>
  <c r="F46" i="4"/>
  <c r="F45" i="4"/>
  <c r="F43" i="4"/>
  <c r="F42" i="4"/>
  <c r="F41" i="4"/>
  <c r="F40" i="4"/>
  <c r="F39" i="4"/>
  <c r="F37" i="4"/>
  <c r="F36" i="4"/>
  <c r="F35" i="4"/>
  <c r="F34" i="4"/>
  <c r="F33" i="4"/>
  <c r="F30" i="4"/>
  <c r="F29" i="4"/>
  <c r="F27" i="4"/>
  <c r="F26" i="4"/>
  <c r="F25" i="4"/>
  <c r="F24" i="4"/>
  <c r="F23" i="4"/>
  <c r="F22" i="4"/>
  <c r="F21" i="4"/>
  <c r="F20" i="4"/>
  <c r="F18" i="4"/>
  <c r="F17" i="4"/>
  <c r="F16" i="4"/>
  <c r="F15" i="4"/>
  <c r="F14" i="4"/>
  <c r="F13" i="4"/>
  <c r="F12" i="4"/>
  <c r="F11" i="4"/>
  <c r="F10" i="4"/>
  <c r="F9" i="4"/>
  <c r="F8" i="4"/>
  <c r="F7" i="4"/>
  <c r="C6" i="1"/>
  <c r="I28" i="23"/>
  <c r="I29" i="23" s="1"/>
  <c r="I26" i="23"/>
  <c r="I25" i="23" s="1"/>
  <c r="D26" i="23"/>
  <c r="D25" i="23"/>
  <c r="O5" i="23"/>
  <c r="M5" i="23"/>
  <c r="O9" i="22" l="1"/>
  <c r="P9" i="22" s="1"/>
  <c r="D7" i="22"/>
  <c r="F8" i="16"/>
  <c r="F7" i="17" s="1"/>
  <c r="G8" i="16"/>
  <c r="G7" i="17" s="1"/>
  <c r="G8" i="17" s="1"/>
  <c r="C11" i="23"/>
  <c r="Q9" i="19"/>
  <c r="P9" i="19"/>
  <c r="F32" i="13"/>
  <c r="C11" i="14"/>
  <c r="E8" i="17"/>
  <c r="L8" i="10"/>
  <c r="L5" i="10"/>
  <c r="C16" i="21" s="1"/>
  <c r="C18" i="21" s="1"/>
  <c r="D24" i="21" s="1"/>
  <c r="D8" i="17"/>
  <c r="E32" i="13"/>
  <c r="F8" i="17"/>
  <c r="F13" i="19"/>
  <c r="I13" i="19" s="1"/>
  <c r="N13" i="19"/>
  <c r="R13" i="19" s="1"/>
  <c r="C16" i="22"/>
  <c r="D49" i="13"/>
  <c r="R11" i="19"/>
  <c r="R19" i="19" s="1"/>
  <c r="C29" i="14"/>
  <c r="C35" i="14" s="1"/>
  <c r="C28" i="14"/>
  <c r="C34" i="14" s="1"/>
  <c r="E12" i="13"/>
  <c r="E14" i="13" s="1"/>
  <c r="F36" i="14"/>
  <c r="I10" i="19"/>
  <c r="C8" i="21"/>
  <c r="C23" i="21" s="1"/>
  <c r="E23" i="21" s="1"/>
  <c r="C9" i="21"/>
  <c r="C24" i="21" s="1"/>
  <c r="E28" i="14"/>
  <c r="E34" i="14" s="1"/>
  <c r="G12" i="13"/>
  <c r="G14" i="13" s="1"/>
  <c r="E29" i="14"/>
  <c r="E35" i="14" s="1"/>
  <c r="E36" i="14" s="1"/>
  <c r="P27" i="19"/>
  <c r="Q27" i="19" s="1"/>
  <c r="R27" i="19" s="1"/>
  <c r="F12" i="19"/>
  <c r="I12" i="19" s="1"/>
  <c r="N12" i="19"/>
  <c r="R12" i="19" s="1"/>
  <c r="D3" i="15"/>
  <c r="C5" i="15"/>
  <c r="D11" i="14"/>
  <c r="F14" i="13"/>
  <c r="E49" i="13"/>
  <c r="E11" i="14"/>
  <c r="F11" i="19"/>
  <c r="I11" i="19" s="1"/>
  <c r="D12" i="22"/>
  <c r="D11" i="22" s="1"/>
  <c r="E31" i="13"/>
  <c r="L7" i="13"/>
  <c r="K7" i="13"/>
  <c r="D28" i="14"/>
  <c r="D34" i="14" s="1"/>
  <c r="F12" i="13"/>
  <c r="D29" i="14"/>
  <c r="D35" i="14" s="1"/>
  <c r="D36" i="14" s="1"/>
  <c r="G36" i="14"/>
  <c r="G11" i="14"/>
  <c r="C21" i="22"/>
  <c r="D5" i="15"/>
  <c r="D4" i="15" s="1"/>
  <c r="D9" i="15" s="1"/>
  <c r="D10" i="15" s="1"/>
  <c r="D6" i="22"/>
  <c r="H12" i="13"/>
  <c r="H14" i="13" s="1"/>
  <c r="I12" i="13"/>
  <c r="I14" i="13" s="1"/>
  <c r="E35" i="13" l="1"/>
  <c r="E18" i="13"/>
  <c r="C12" i="14"/>
  <c r="G18" i="13"/>
  <c r="E6" i="14"/>
  <c r="G35" i="13"/>
  <c r="E12" i="14"/>
  <c r="Q12" i="19"/>
  <c r="Q18" i="19" s="1"/>
  <c r="Q24" i="19" s="1"/>
  <c r="Q26" i="19" s="1"/>
  <c r="Q29" i="19" s="1"/>
  <c r="P12" i="19"/>
  <c r="P15" i="19" s="1"/>
  <c r="Q11" i="19"/>
  <c r="P11" i="19"/>
  <c r="R17" i="19"/>
  <c r="R16" i="19"/>
  <c r="E24" i="21"/>
  <c r="R20" i="19"/>
  <c r="R15" i="19"/>
  <c r="C36" i="14"/>
  <c r="F6" i="14"/>
  <c r="H35" i="13"/>
  <c r="H18" i="13"/>
  <c r="F12" i="14"/>
  <c r="C13" i="15"/>
  <c r="C12" i="15"/>
  <c r="E25" i="21"/>
  <c r="R4" i="23" s="1"/>
  <c r="G12" i="14"/>
  <c r="G6" i="14"/>
  <c r="I18" i="13"/>
  <c r="I35" i="13"/>
  <c r="E7" i="22"/>
  <c r="F7" i="22" s="1"/>
  <c r="G7" i="22" s="1"/>
  <c r="H7" i="22" s="1"/>
  <c r="I7" i="22" s="1"/>
  <c r="J7" i="22" s="1"/>
  <c r="K7" i="22" s="1"/>
  <c r="L7" i="22" s="1"/>
  <c r="M7" i="22" s="1"/>
  <c r="Q19" i="19"/>
  <c r="N12" i="22"/>
  <c r="O12" i="22" s="1"/>
  <c r="E12" i="22" s="1"/>
  <c r="R18" i="19"/>
  <c r="R26" i="19" s="1"/>
  <c r="C4" i="23"/>
  <c r="F18" i="13"/>
  <c r="D12" i="14"/>
  <c r="F35" i="13"/>
  <c r="D6" i="14"/>
  <c r="P10" i="19"/>
  <c r="P18" i="19" s="1"/>
  <c r="P24" i="19" s="1"/>
  <c r="P26" i="19" s="1"/>
  <c r="P29" i="19" s="1"/>
  <c r="Q10" i="19"/>
  <c r="Q15" i="19" s="1"/>
  <c r="P13" i="19"/>
  <c r="Q13" i="19"/>
  <c r="P17" i="19"/>
  <c r="P19" i="19"/>
  <c r="P20" i="19"/>
  <c r="P16" i="19"/>
  <c r="F12" i="22" l="1"/>
  <c r="G12" i="22" s="1"/>
  <c r="H12" i="22" s="1"/>
  <c r="I12" i="22" s="1"/>
  <c r="J12" i="22" s="1"/>
  <c r="K12" i="22" s="1"/>
  <c r="L12" i="22" s="1"/>
  <c r="E11" i="22"/>
  <c r="F11" i="22" s="1"/>
  <c r="G11" i="22" s="1"/>
  <c r="H11" i="22" s="1"/>
  <c r="I11" i="22" s="1"/>
  <c r="J11" i="22" s="1"/>
  <c r="K11" i="22" s="1"/>
  <c r="L11" i="22" s="1"/>
  <c r="M11" i="22" s="1"/>
  <c r="Q17" i="19"/>
  <c r="L19" i="23"/>
  <c r="K24" i="23"/>
  <c r="K19" i="23"/>
  <c r="J19" i="23"/>
  <c r="I19" i="23"/>
  <c r="H19" i="23"/>
  <c r="G19" i="23"/>
  <c r="R5" i="23"/>
  <c r="O15" i="23" s="1"/>
  <c r="M19" i="23"/>
  <c r="E19" i="23"/>
  <c r="F19" i="23"/>
  <c r="D19" i="23"/>
  <c r="E3" i="17"/>
  <c r="G36" i="13"/>
  <c r="E19" i="14"/>
  <c r="E7" i="14"/>
  <c r="E13" i="14"/>
  <c r="E21" i="14"/>
  <c r="F45" i="13"/>
  <c r="F52" i="13" s="1"/>
  <c r="G23" i="13"/>
  <c r="F51" i="13"/>
  <c r="E6" i="22"/>
  <c r="F6" i="22" s="1"/>
  <c r="G6" i="22" s="1"/>
  <c r="H6" i="22" s="1"/>
  <c r="I6" i="22" s="1"/>
  <c r="J6" i="22" s="1"/>
  <c r="K6" i="22" s="1"/>
  <c r="L6" i="22" s="1"/>
  <c r="M6" i="22" s="1"/>
  <c r="F19" i="14"/>
  <c r="F7" i="14"/>
  <c r="F13" i="14"/>
  <c r="H36" i="13"/>
  <c r="F3" i="17"/>
  <c r="G45" i="13"/>
  <c r="G52" i="13" s="1"/>
  <c r="F21" i="14"/>
  <c r="G51" i="13"/>
  <c r="H23" i="13"/>
  <c r="D3" i="17"/>
  <c r="D19" i="14"/>
  <c r="D7" i="14"/>
  <c r="D13" i="14"/>
  <c r="F36" i="13"/>
  <c r="E51" i="13"/>
  <c r="D21" i="14"/>
  <c r="E45" i="13"/>
  <c r="E52" i="13" s="1"/>
  <c r="F23" i="13"/>
  <c r="G19" i="14"/>
  <c r="G7" i="14"/>
  <c r="G13" i="14"/>
  <c r="I36" i="13"/>
  <c r="G3" i="17"/>
  <c r="G21" i="14"/>
  <c r="H45" i="13"/>
  <c r="H52" i="13" s="1"/>
  <c r="H51" i="13"/>
  <c r="I23" i="13"/>
  <c r="R29" i="19"/>
  <c r="R24" i="19"/>
  <c r="Q16" i="19"/>
  <c r="Q20" i="19"/>
  <c r="C19" i="14"/>
  <c r="C3" i="17"/>
  <c r="C13" i="14"/>
  <c r="D7" i="23" s="1"/>
  <c r="D51" i="13"/>
  <c r="C21" i="14"/>
  <c r="D45" i="13"/>
  <c r="D52" i="13" s="1"/>
  <c r="E23" i="13"/>
  <c r="E36" i="13"/>
  <c r="F37" i="13" l="1"/>
  <c r="D14" i="14"/>
  <c r="F28" i="13"/>
  <c r="E41" i="13"/>
  <c r="H28" i="13"/>
  <c r="F14" i="14"/>
  <c r="H37" i="13"/>
  <c r="G41" i="13"/>
  <c r="L24" i="23"/>
  <c r="M24" i="23" s="1"/>
  <c r="J24" i="23"/>
  <c r="G4" i="17"/>
  <c r="G5" i="17" s="1"/>
  <c r="D5" i="17"/>
  <c r="D4" i="17"/>
  <c r="H41" i="13"/>
  <c r="I28" i="13"/>
  <c r="I37" i="13"/>
  <c r="G14" i="14"/>
  <c r="E4" i="17"/>
  <c r="E5" i="17" s="1"/>
  <c r="G37" i="13"/>
  <c r="E14" i="14"/>
  <c r="G28" i="13"/>
  <c r="F41" i="13"/>
  <c r="F5" i="17"/>
  <c r="F4" i="17"/>
  <c r="E7" i="23"/>
  <c r="C4" i="17"/>
  <c r="C5" i="17" s="1"/>
  <c r="C9" i="17" s="1"/>
  <c r="C14" i="14"/>
  <c r="E37" i="13"/>
  <c r="E28" i="13"/>
  <c r="D41" i="13"/>
  <c r="G9" i="17" l="1"/>
  <c r="G11" i="17"/>
  <c r="E9" i="17"/>
  <c r="E11" i="17"/>
  <c r="E22" i="14"/>
  <c r="E24" i="14"/>
  <c r="E15" i="14"/>
  <c r="E8" i="14"/>
  <c r="E23" i="14"/>
  <c r="G38" i="13"/>
  <c r="C23" i="14"/>
  <c r="C22" i="14"/>
  <c r="E38" i="13"/>
  <c r="C15" i="14"/>
  <c r="C24" i="14"/>
  <c r="F15" i="14"/>
  <c r="F24" i="14"/>
  <c r="F22" i="14"/>
  <c r="H38" i="13"/>
  <c r="F8" i="14"/>
  <c r="F23" i="14"/>
  <c r="G24" i="14"/>
  <c r="G22" i="14"/>
  <c r="G15" i="14"/>
  <c r="I38" i="13"/>
  <c r="G23" i="14"/>
  <c r="G8" i="14"/>
  <c r="F7" i="23"/>
  <c r="D23" i="14"/>
  <c r="D22" i="14"/>
  <c r="D15" i="14"/>
  <c r="D8" i="14"/>
  <c r="D24" i="14"/>
  <c r="F38" i="13"/>
  <c r="F9" i="17"/>
  <c r="F11" i="17"/>
  <c r="D9" i="17"/>
  <c r="D11" i="17"/>
  <c r="G7" i="23" l="1"/>
  <c r="C14" i="17"/>
  <c r="C13" i="17"/>
  <c r="D54" i="13" s="1"/>
  <c r="D17" i="22" s="1"/>
  <c r="D22" i="22" l="1"/>
  <c r="N17" i="22"/>
  <c r="O17" i="22" s="1"/>
  <c r="E17" i="22" s="1"/>
  <c r="D16" i="22"/>
  <c r="H7" i="23"/>
  <c r="F17" i="22" l="1"/>
  <c r="E22" i="22"/>
  <c r="E5" i="23" s="1"/>
  <c r="D5" i="23"/>
  <c r="D21" i="22"/>
  <c r="I7" i="23"/>
  <c r="E16" i="22"/>
  <c r="F16" i="22" s="1"/>
  <c r="J7" i="23" l="1"/>
  <c r="E21" i="22"/>
  <c r="D4" i="23"/>
  <c r="G17" i="22"/>
  <c r="F22" i="22"/>
  <c r="F5" i="23" s="1"/>
  <c r="H17" i="22" l="1"/>
  <c r="G22" i="22"/>
  <c r="G5" i="23" s="1"/>
  <c r="D11" i="23"/>
  <c r="D12" i="23" s="1"/>
  <c r="D10" i="23"/>
  <c r="D6" i="23"/>
  <c r="F21" i="22"/>
  <c r="E4" i="23"/>
  <c r="K7" i="23"/>
  <c r="G16" i="22"/>
  <c r="D13" i="23" l="1"/>
  <c r="H22" i="22"/>
  <c r="H5" i="23" s="1"/>
  <c r="I17" i="22"/>
  <c r="H16" i="22"/>
  <c r="I16" i="22" s="1"/>
  <c r="L7" i="23"/>
  <c r="E11" i="23"/>
  <c r="E12" i="23" s="1"/>
  <c r="E10" i="23"/>
  <c r="E6" i="23"/>
  <c r="G21" i="22"/>
  <c r="F4" i="23"/>
  <c r="D8" i="23"/>
  <c r="D9" i="23" s="1"/>
  <c r="D14" i="23" s="1"/>
  <c r="E13" i="23" l="1"/>
  <c r="E8" i="23"/>
  <c r="E9" i="23"/>
  <c r="E14" i="23" s="1"/>
  <c r="E15" i="23"/>
  <c r="F11" i="23"/>
  <c r="F12" i="23" s="1"/>
  <c r="F10" i="23"/>
  <c r="F6" i="23"/>
  <c r="H21" i="22"/>
  <c r="G4" i="23"/>
  <c r="M7" i="23"/>
  <c r="J16" i="22"/>
  <c r="J17" i="22"/>
  <c r="I22" i="22"/>
  <c r="I5" i="23" s="1"/>
  <c r="D15" i="23"/>
  <c r="I21" i="22" l="1"/>
  <c r="H4" i="23"/>
  <c r="F13" i="23"/>
  <c r="O7" i="23"/>
  <c r="F8" i="23"/>
  <c r="F9" i="23" s="1"/>
  <c r="F14" i="23" s="1"/>
  <c r="G11" i="23"/>
  <c r="G12" i="23" s="1"/>
  <c r="G10" i="23"/>
  <c r="G6" i="23"/>
  <c r="K17" i="22"/>
  <c r="J22" i="22"/>
  <c r="J5" i="23" s="1"/>
  <c r="K22" i="22" l="1"/>
  <c r="K5" i="23" s="1"/>
  <c r="L17" i="22"/>
  <c r="L22" i="22" s="1"/>
  <c r="L5" i="23" s="1"/>
  <c r="G8" i="23"/>
  <c r="G9" i="23"/>
  <c r="F15" i="23"/>
  <c r="G13" i="23"/>
  <c r="G15" i="23" s="1"/>
  <c r="K16" i="22"/>
  <c r="L16" i="22" s="1"/>
  <c r="M16" i="22" s="1"/>
  <c r="H11" i="23"/>
  <c r="H12" i="23" s="1"/>
  <c r="H10" i="23"/>
  <c r="H6" i="23"/>
  <c r="I4" i="23"/>
  <c r="J21" i="22"/>
  <c r="H13" i="23" l="1"/>
  <c r="H8" i="23"/>
  <c r="H9" i="23" s="1"/>
  <c r="G14" i="23"/>
  <c r="I11" i="23"/>
  <c r="I12" i="23" s="1"/>
  <c r="I10" i="23"/>
  <c r="I6" i="23"/>
  <c r="K21" i="22"/>
  <c r="J4" i="23"/>
  <c r="I13" i="23" l="1"/>
  <c r="H14" i="23"/>
  <c r="H15" i="23"/>
  <c r="J11" i="23"/>
  <c r="J12" i="23" s="1"/>
  <c r="J10" i="23"/>
  <c r="J6" i="23"/>
  <c r="K4" i="23"/>
  <c r="L21" i="22"/>
  <c r="I8" i="23"/>
  <c r="I9" i="23"/>
  <c r="I14" i="23" s="1"/>
  <c r="J8" i="23" l="1"/>
  <c r="J9" i="23" s="1"/>
  <c r="L4" i="23"/>
  <c r="M21" i="22"/>
  <c r="M4" i="23" s="1"/>
  <c r="K11" i="23"/>
  <c r="K12" i="23" s="1"/>
  <c r="K10" i="23"/>
  <c r="K6" i="23"/>
  <c r="I15" i="23"/>
  <c r="J13" i="23"/>
  <c r="K13" i="23" l="1"/>
  <c r="J14" i="23"/>
  <c r="J15" i="23"/>
  <c r="K8" i="23"/>
  <c r="K9" i="23" s="1"/>
  <c r="M11" i="23"/>
  <c r="O4" i="23"/>
  <c r="O6" i="23" s="1"/>
  <c r="M10" i="23"/>
  <c r="M6" i="23"/>
  <c r="L11" i="23"/>
  <c r="L12" i="23" s="1"/>
  <c r="L10" i="23"/>
  <c r="L13" i="23" s="1"/>
  <c r="L6" i="23"/>
  <c r="K14" i="23" l="1"/>
  <c r="K15" i="23"/>
  <c r="L8" i="23"/>
  <c r="L9" i="23"/>
  <c r="L14" i="23" s="1"/>
  <c r="O8" i="23"/>
  <c r="O9" i="23"/>
  <c r="L15" i="23"/>
  <c r="M8" i="23"/>
  <c r="M9" i="23"/>
  <c r="M12" i="23"/>
  <c r="M13" i="23" s="1"/>
  <c r="M15" i="23" l="1"/>
  <c r="M14" i="23"/>
  <c r="O13" i="23"/>
  <c r="O14" i="23"/>
  <c r="M17" i="23" l="1"/>
  <c r="D22" i="23" s="1"/>
  <c r="D21" i="23"/>
  <c r="D24" i="23" l="1"/>
  <c r="D28" i="23" s="1"/>
  <c r="D31" i="23" s="1"/>
  <c r="I24" i="23" s="1"/>
</calcChain>
</file>

<file path=xl/sharedStrings.xml><?xml version="1.0" encoding="utf-8"?>
<sst xmlns="http://schemas.openxmlformats.org/spreadsheetml/2006/main" count="891" uniqueCount="717">
  <si>
    <t>Hero MotoCorp Limited (NSE: HEROMOTOCO | BSE: 500182 | CIN: L35911DL1984PLC017354) is the world's largest manufacturer of motorcycles and scooters for 24 consecutive years. Incorporated in 1984 as Hero Honda Motors Ltd., it was renamed Hero MotoCorp in July 2011 after Honda's exit from the joint venture. Headquartered in New Delhi, the company has sold over 124 million two-wheelers across 48 countries, backed by 11,000+ customer touchpoints and 9,527 employees. It operates 8 manufacturing facilities — 6 in India (Dharuhera, Gurugram, Haridwar, Neemrana, Halol, Tirupati) and one each in Colombia and Bangladesh — with a combined annual capacity of ~9.4 million units. Key subsidiaries include HMCL Netherlands B.V. (WOS), HMCL Colombia S.A.S. (68%), HMCL Niloy Bangladesh (55%), HMCL Americas Inc. (WOS), and HMC MM Auto (60% JV — fuel injection systems). Associates include Hero FinCorp (41.15%, NBFC), Ather Energy (39.60%, EV two-wheelers, listed May 2025), and Euler Motors (34.10%, electric 3W/4W, acquired April 2025). Vision: Be the Future of Mobility. Mission: Create | Collaborate | Inspire.</t>
  </si>
  <si>
    <t>Subsidiaries</t>
  </si>
  <si>
    <t xml:space="preserve"> Hero FinCorp Limited, New Delhi-110001, India</t>
  </si>
  <si>
    <t xml:space="preserve"> HMCL Colombia S.A.S., Villa Rica-762570, Colombia</t>
  </si>
  <si>
    <t xml:space="preserve"> Hero MotoCorp Bangladesh Limited, Jessore-7400, Bangladesh</t>
  </si>
  <si>
    <t xml:space="preserve"> Hero MotoCorp Global Investments Private Limited, New Delhi-110070, India</t>
  </si>
  <si>
    <t xml:space="preserve"> Vida Electric Mobility Private Limited, Bengaluru-560001, India</t>
  </si>
  <si>
    <t>Manufacturing Plants</t>
  </si>
  <si>
    <t>Dharuhera Plant, Dharuhera-123106, Haryana</t>
  </si>
  <si>
    <t>Gurugram Plant, Gurugram-122001, Haryana</t>
  </si>
  <si>
    <t>Haridwar Plant, Haridwar-249403, Uttarakhand</t>
  </si>
  <si>
    <t>Neemrana Plant, Neemrana-301705, Rajasthan</t>
  </si>
  <si>
    <t>Halol Plant, Halol-389350, Gujarat</t>
  </si>
  <si>
    <t>Tirupati Plant, Tirupati-517520, Andhra Pradesh</t>
  </si>
  <si>
    <t>Villa Rica Plant, Villa Rica-762570, Colombia</t>
  </si>
  <si>
    <t>Jessore Plant, Jessore-7400, Bangladesh</t>
  </si>
  <si>
    <t xml:space="preserve">Units </t>
  </si>
  <si>
    <t>Corporate Office, Hero MotoCorp Limited, 34, Community Centre, Basant Lok, New Delhi-110057, India</t>
  </si>
  <si>
    <t>Centre for Innovation &amp; Technology (CIT), Jaipur-302028, Rajasthan</t>
  </si>
  <si>
    <t>Hero Tech Centre Germany (HTCG), Munich-80807, Germany</t>
  </si>
  <si>
    <t>Global Parts Centre (GPC), Neemrana-301705, Rajasthan</t>
  </si>
  <si>
    <t>Parts Distribution Centre, Gurugram-122001, Haryana</t>
  </si>
  <si>
    <t>VIDA Electric Mobility Division, Bengaluru-560001, Karnataka</t>
  </si>
  <si>
    <t>Hero MotoSports Team Rally, Jaipur-302028, Rajasthan</t>
  </si>
  <si>
    <t>Freedo Rentals Division, Gurugram-122001, Haryana</t>
  </si>
  <si>
    <t>Category of shareholder</t>
  </si>
  <si>
    <t>Entity Type</t>
  </si>
  <si>
    <t xml:space="preserve">Shareholding as a % </t>
  </si>
  <si>
    <t>Number of equity shares held in dematerialized form</t>
  </si>
  <si>
    <t>A1) Indian</t>
  </si>
  <si>
    <t>Individuals/Hindu undivided Family</t>
  </si>
  <si>
    <t>2,83,70,707</t>
  </si>
  <si>
    <t>PAWAN MUNJAL</t>
  </si>
  <si>
    <t>Promoter</t>
  </si>
  <si>
    <t>PAWAN MUNJAL (AS A KARTA OF HUF)</t>
  </si>
  <si>
    <t>PAWAN MUNJAL, RENU MUNJAL AND SUMAN KANT MUNJAL (ON BEHALF OF BMOP, PARTNERSHIP FIRM)</t>
  </si>
  <si>
    <t>2,79,27,058</t>
  </si>
  <si>
    <t>RENU MUNJAL</t>
  </si>
  <si>
    <t>1,11,482</t>
  </si>
  <si>
    <t>SUMAN KANT MUNJAL (AS A KARTA OF HUF)</t>
  </si>
  <si>
    <t>SUMAN KANT MUNJAL</t>
  </si>
  <si>
    <t>RENUKA MUNJAL</t>
  </si>
  <si>
    <t>ANIESHA MUNJAL</t>
  </si>
  <si>
    <t>Promoter Group</t>
  </si>
  <si>
    <t>ABHIMANYU MUNJAL</t>
  </si>
  <si>
    <t>UJJWAL MUNJAL</t>
  </si>
  <si>
    <t>VASUDHA DINODIA</t>
  </si>
  <si>
    <t>SUNIL KANT MUNJAL</t>
  </si>
  <si>
    <t>AKSHAY MUNJAL</t>
  </si>
  <si>
    <t>RAHUL MUNJAL</t>
  </si>
  <si>
    <t>VIDUR MUNJAL</t>
  </si>
  <si>
    <t>Any Other (specify)</t>
  </si>
  <si>
    <t>4,11,17,474</t>
  </si>
  <si>
    <t>BAHADUR CHAND INVESTMENTS PVT LTD</t>
  </si>
  <si>
    <t>4,00,33,238</t>
  </si>
  <si>
    <t>HERO INVESTCORP PRIVATE LIMITED</t>
  </si>
  <si>
    <t>8,73,766</t>
  </si>
  <si>
    <t>HERO FINCORP LIMITED</t>
  </si>
  <si>
    <t>PAWAN MUNJAL FAMILY TRUST (PAWAN MUNJAL &amp; ANIESHA MUNJAL)</t>
  </si>
  <si>
    <t>2,01,100</t>
  </si>
  <si>
    <t>RK MUNJAL &amp; SONS TRUST (RENU MUNJAL)</t>
  </si>
  <si>
    <t>Sub Total A1</t>
  </si>
  <si>
    <t>6,94,88,181</t>
  </si>
  <si>
    <t>A2) Foreign</t>
  </si>
  <si>
    <t>A=A1+A2</t>
  </si>
  <si>
    <t>Category &amp; Name of the Shareholders</t>
  </si>
  <si>
    <t>No. of shareholder</t>
  </si>
  <si>
    <t>Total no. shares held</t>
  </si>
  <si>
    <t xml:space="preserve">Shareholding % </t>
  </si>
  <si>
    <t>Institutions</t>
  </si>
  <si>
    <t>B1) Institutions (Domestic)</t>
  </si>
  <si>
    <t>Mutual Funds/</t>
  </si>
  <si>
    <t>2,88,32,723</t>
  </si>
  <si>
    <t>KOTAK ESG EXCLUSIONARY STRATEGY FUND</t>
  </si>
  <si>
    <t>80,03,516</t>
  </si>
  <si>
    <t>ICICI PRUDENTIAL VALUE FUND</t>
  </si>
  <si>
    <t>53,10,129</t>
  </si>
  <si>
    <t>MIRAE ASSET LARGE &amp; MIDCAP FUND</t>
  </si>
  <si>
    <t>27,73,745</t>
  </si>
  <si>
    <t>UTI NIFTY 200 MOMENTUM 30 INDEX FUND</t>
  </si>
  <si>
    <t>20,57,581</t>
  </si>
  <si>
    <t>Venture Capital Funds</t>
  </si>
  <si>
    <t>Alternate Investment Funds</t>
  </si>
  <si>
    <t>4,31,217</t>
  </si>
  <si>
    <t>Banks</t>
  </si>
  <si>
    <t>Insurance Companies</t>
  </si>
  <si>
    <t>41,25,070</t>
  </si>
  <si>
    <t>Sovereign Wealth Funds</t>
  </si>
  <si>
    <t>1,59,783</t>
  </si>
  <si>
    <t>NBFCs registered with RBI</t>
  </si>
  <si>
    <t>Other Financial Institutions</t>
  </si>
  <si>
    <t>Any Other(Institutions (Domestic))</t>
  </si>
  <si>
    <t>1,90,75,843</t>
  </si>
  <si>
    <t>LIFE INSURANCE CORPORATION OF INDIA</t>
  </si>
  <si>
    <t>1,14,65,756</t>
  </si>
  <si>
    <t>NPS TRUST- A/C HDFC PENSION FUND MANAGEMENT LIMITED</t>
  </si>
  <si>
    <t>49,67,101</t>
  </si>
  <si>
    <t>Sub Total B1</t>
  </si>
  <si>
    <t>5,27,42,603</t>
  </si>
  <si>
    <t>B2) Institutions (Foreign)</t>
  </si>
  <si>
    <t>Foreign Portfolio Investors Category I</t>
  </si>
  <si>
    <t>5,20,64,791</t>
  </si>
  <si>
    <t>GOVERNMENT PENSION FUND GLOBAL</t>
  </si>
  <si>
    <t>50,56,554</t>
  </si>
  <si>
    <t>Foreign Portfolio Investors Category II</t>
  </si>
  <si>
    <t>68,07,416</t>
  </si>
  <si>
    <t>WGI EMERGING MARKETS FUND, LLC</t>
  </si>
  <si>
    <t>40,01,139</t>
  </si>
  <si>
    <t>Overseas Depositories (holding DRs) (balancing figure)</t>
  </si>
  <si>
    <t>Any Other(Institutions (Foreign))</t>
  </si>
  <si>
    <t>BANKS</t>
  </si>
  <si>
    <t>Sub Total B2</t>
  </si>
  <si>
    <t>5,88,94,292</t>
  </si>
  <si>
    <t>B3) Central Government/ State Government(s)/ President of India</t>
  </si>
  <si>
    <t>B4) Non-Institutions</t>
  </si>
  <si>
    <t>Directors and their relatives (excluding independent directors and nominee directors)</t>
  </si>
  <si>
    <t>Investor Education and Protection Fund (IEPF)</t>
  </si>
  <si>
    <t>9,52,633</t>
  </si>
  <si>
    <t>Resident Individuals holding nominal share capital up to Rs. 2 lakhs</t>
  </si>
  <si>
    <t>1,48,24,898</t>
  </si>
  <si>
    <t>Resident Individuals holding nominal share capital in excess of Rs. 2 lakhs</t>
  </si>
  <si>
    <t>1,52,000</t>
  </si>
  <si>
    <t>Non Resident Indians (NRIs)</t>
  </si>
  <si>
    <t>8,82,767</t>
  </si>
  <si>
    <t>Foreign Nationals</t>
  </si>
  <si>
    <t>Bodies Corporate</t>
  </si>
  <si>
    <t>6,47,034</t>
  </si>
  <si>
    <t>14,53,575</t>
  </si>
  <si>
    <t>Clearing Members</t>
  </si>
  <si>
    <t>HUF</t>
  </si>
  <si>
    <t>4,12,139</t>
  </si>
  <si>
    <t>Trusts</t>
  </si>
  <si>
    <t>10,33,793</t>
  </si>
  <si>
    <t>Sub Total B4</t>
  </si>
  <si>
    <t>1,89,56,536</t>
  </si>
  <si>
    <t>B=B1+B2+B3+B4</t>
  </si>
  <si>
    <t>13,05,93,431</t>
  </si>
  <si>
    <t>HERO MOTOCORP LIMITED</t>
  </si>
  <si>
    <t>Consolidated Balance Sheet  |  (₹ in Crores)</t>
  </si>
  <si>
    <t>Particulars</t>
  </si>
  <si>
    <t>Mar 31, 2024</t>
  </si>
  <si>
    <t>Mar 31, 2025</t>
  </si>
  <si>
    <t>ASSETS</t>
  </si>
  <si>
    <t>Non-Current Assets</t>
  </si>
  <si>
    <t xml:space="preserve">  Property, plant &amp; equipment</t>
  </si>
  <si>
    <t xml:space="preserve">  Capital work-in-progress</t>
  </si>
  <si>
    <t xml:space="preserve">  Right-of-use assets</t>
  </si>
  <si>
    <t xml:space="preserve">  Other intangible assets</t>
  </si>
  <si>
    <t xml:space="preserve">  Intangible assets under development</t>
  </si>
  <si>
    <t xml:space="preserve">  Equity accounted investments in associates</t>
  </si>
  <si>
    <t xml:space="preserve">  Investments (non-current)</t>
  </si>
  <si>
    <t xml:space="preserve">  Loans (non-current)</t>
  </si>
  <si>
    <t xml:space="preserve">  Other financial assets (non-current)</t>
  </si>
  <si>
    <t xml:space="preserve">  Income tax assets (net)</t>
  </si>
  <si>
    <t xml:space="preserve">  Other non-current assets</t>
  </si>
  <si>
    <t>Total Non-Current Assets</t>
  </si>
  <si>
    <t>Current Assets</t>
  </si>
  <si>
    <t xml:space="preserve">  Inventories</t>
  </si>
  <si>
    <t xml:space="preserve">  Investments (current)</t>
  </si>
  <si>
    <t xml:space="preserve">  Trade receivables</t>
  </si>
  <si>
    <t xml:space="preserve">  Cash &amp; cash equivalents</t>
  </si>
  <si>
    <t xml:space="preserve">  Bank balances (other)</t>
  </si>
  <si>
    <t xml:space="preserve">  Loans (current)</t>
  </si>
  <si>
    <t xml:space="preserve">  Other financial assets (current)</t>
  </si>
  <si>
    <t xml:space="preserve">  Income tax assets (current)</t>
  </si>
  <si>
    <t xml:space="preserve">  Other current assets</t>
  </si>
  <si>
    <t>Total Current Assets</t>
  </si>
  <si>
    <t>TOTAL ASSETS</t>
  </si>
  <si>
    <t>EQUITY &amp; LIABILITIES</t>
  </si>
  <si>
    <t>Equity</t>
  </si>
  <si>
    <t xml:space="preserve">  Equity share capital</t>
  </si>
  <si>
    <t xml:space="preserve">  Other equity (attributable to owners)</t>
  </si>
  <si>
    <t xml:space="preserve">  Equity attributable to owners</t>
  </si>
  <si>
    <t xml:space="preserve">  Non-controlling interests</t>
  </si>
  <si>
    <t>Total Equity</t>
  </si>
  <si>
    <t>Non-Current Liabilities</t>
  </si>
  <si>
    <t xml:space="preserve">  Lease liabilities (non-current)</t>
  </si>
  <si>
    <t xml:space="preserve">  Other financial liabilities</t>
  </si>
  <si>
    <t xml:space="preserve">  Provisions</t>
  </si>
  <si>
    <t xml:space="preserve">  Deferred tax liabilities (net)</t>
  </si>
  <si>
    <t>Total Non-Current Liabilities</t>
  </si>
  <si>
    <t>Current Liabilities</t>
  </si>
  <si>
    <t xml:space="preserve">  Borrowings (current)</t>
  </si>
  <si>
    <t xml:space="preserve">  Lease liabilities (current)</t>
  </si>
  <si>
    <t xml:space="preserve">  Trade payables — MSME</t>
  </si>
  <si>
    <t xml:space="preserve">  Trade payables — Others</t>
  </si>
  <si>
    <t xml:space="preserve">  Other financial liabilities (current)</t>
  </si>
  <si>
    <t xml:space="preserve">  Other current liabilities</t>
  </si>
  <si>
    <t xml:space="preserve">  Provisions (current)</t>
  </si>
  <si>
    <t>Total Current Liabilities</t>
  </si>
  <si>
    <t>TOTAL EQUITY &amp; LIABILITIES</t>
  </si>
  <si>
    <t>Consolidated Statement of Profit &amp; Loss  |  (₹ in Crores)</t>
  </si>
  <si>
    <t>FY 2023-24</t>
  </si>
  <si>
    <t>FY 2024-25</t>
  </si>
  <si>
    <t>INCOME</t>
  </si>
  <si>
    <t xml:space="preserve">  Revenue from operations</t>
  </si>
  <si>
    <t xml:space="preserve">  Other income</t>
  </si>
  <si>
    <t>Total Income</t>
  </si>
  <si>
    <t>EXPENSES</t>
  </si>
  <si>
    <t xml:space="preserve">  Cost of materials consumed</t>
  </si>
  <si>
    <t xml:space="preserve">  Purchases of stock-in-trade</t>
  </si>
  <si>
    <t xml:space="preserve">  Change in inventories</t>
  </si>
  <si>
    <t xml:space="preserve">  Employee benefits expense</t>
  </si>
  <si>
    <t xml:space="preserve">  Finance costs</t>
  </si>
  <si>
    <t xml:space="preserve">  Depreciation &amp; amortisation</t>
  </si>
  <si>
    <t xml:space="preserve">  Other expenses</t>
  </si>
  <si>
    <t>Total Expenses</t>
  </si>
  <si>
    <t>Profit before share of associates &amp; exceptional items</t>
  </si>
  <si>
    <t xml:space="preserve">  Share in profit/(loss) of associates (net of tax)</t>
  </si>
  <si>
    <t>Profit before tax &amp; exceptional items</t>
  </si>
  <si>
    <t xml:space="preserve">  Exceptional item — VRS expenses</t>
  </si>
  <si>
    <t>Profit Before Tax</t>
  </si>
  <si>
    <t>TAX EXPENSE</t>
  </si>
  <si>
    <t xml:space="preserve">  Current tax</t>
  </si>
  <si>
    <t xml:space="preserve">  Deferred tax charge/(credit)</t>
  </si>
  <si>
    <t>Total Tax Expense</t>
  </si>
  <si>
    <t>Net Profit After Tax</t>
  </si>
  <si>
    <t>OTHER COMPREHENSIVE INCOME</t>
  </si>
  <si>
    <t xml:space="preserve">  Re-measurement gains/(losses) on defined benefit plans</t>
  </si>
  <si>
    <t xml:space="preserve">  Income tax effect</t>
  </si>
  <si>
    <t xml:space="preserve">  Share of OCI of associates (not reclassified)</t>
  </si>
  <si>
    <t xml:space="preserve">  Exchange differences on foreign operations</t>
  </si>
  <si>
    <t xml:space="preserve">  Income tax effect on exchange differences</t>
  </si>
  <si>
    <t xml:space="preserve">  Share of OCI of associates (reclassified)</t>
  </si>
  <si>
    <t>Total OCI for the year</t>
  </si>
  <si>
    <t>Total Comprehensive Income</t>
  </si>
  <si>
    <t>ATTRIBUTION</t>
  </si>
  <si>
    <t xml:space="preserve">  Net Profit — Owners of Company</t>
  </si>
  <si>
    <t xml:space="preserve">  Net Profit — Non-controlling interests</t>
  </si>
  <si>
    <t xml:space="preserve">  OCI — Owners of Company</t>
  </si>
  <si>
    <t xml:space="preserve">  OCI — Non-controlling interests</t>
  </si>
  <si>
    <t xml:space="preserve">  Total Comprehensive Income — Owners</t>
  </si>
  <si>
    <t xml:space="preserve">  Total Comprehensive Income — NCI</t>
  </si>
  <si>
    <t>EARNINGS PER SHARE (₹)</t>
  </si>
  <si>
    <t xml:space="preserve">  Basic EPS (₹)</t>
  </si>
  <si>
    <t xml:space="preserve">  Diluted EPS (₹)</t>
  </si>
  <si>
    <t>Consolidated Statement of Cash Flows  |  (₹ in Crores)</t>
  </si>
  <si>
    <t>A. CASH FLOW FROM OPERATING ACTIVITIES</t>
  </si>
  <si>
    <t xml:space="preserve">  Profit after tax &amp; share in profit/(loss) of associates</t>
  </si>
  <si>
    <t xml:space="preserve">  Add: Depreciation &amp; amortisation</t>
  </si>
  <si>
    <t xml:space="preserve">  Add: Tax expense</t>
  </si>
  <si>
    <t xml:space="preserve">  Loss on PPE sold/discarded</t>
  </si>
  <si>
    <t xml:space="preserve">  Finance cost</t>
  </si>
  <si>
    <t xml:space="preserve">  Employee stock compensation</t>
  </si>
  <si>
    <t xml:space="preserve">  Loss allowances on financial assets</t>
  </si>
  <si>
    <t xml:space="preserve">  Less: Interest income</t>
  </si>
  <si>
    <t xml:space="preserve">  Less: Dividend income</t>
  </si>
  <si>
    <t xml:space="preserve">  Less: Profit on sale of investments</t>
  </si>
  <si>
    <t xml:space="preserve">  Less: Fair value gains on investments</t>
  </si>
  <si>
    <t xml:space="preserve">  Less: Share of profit/(loss) in associates</t>
  </si>
  <si>
    <t xml:space="preserve">  Less: Profit on sale of PPE</t>
  </si>
  <si>
    <t xml:space="preserve">  Net foreign currency translation</t>
  </si>
  <si>
    <t>Operating profit before working capital changes</t>
  </si>
  <si>
    <t xml:space="preserve">  Changes in working capital (net)</t>
  </si>
  <si>
    <t xml:space="preserve">  Cash generated from operating activities</t>
  </si>
  <si>
    <t xml:space="preserve">  Less: Direct taxes paid</t>
  </si>
  <si>
    <t>Net Cash from Operating Activities (A)</t>
  </si>
  <si>
    <t>B. CASH FLOW FROM INVESTING ACTIVITIES</t>
  </si>
  <si>
    <t xml:space="preserve">  Capital expenditure (PPE &amp; intangibles)</t>
  </si>
  <si>
    <t xml:space="preserve">  Proceeds from sale of PPE</t>
  </si>
  <si>
    <t xml:space="preserve">  Deposits (made)/withdrawn</t>
  </si>
  <si>
    <t xml:space="preserve">  Purchase of investments</t>
  </si>
  <si>
    <t xml:space="preserve">  Investment in associates</t>
  </si>
  <si>
    <t xml:space="preserve">  Dividend from associates</t>
  </si>
  <si>
    <t xml:space="preserve">  Dividend from others</t>
  </si>
  <si>
    <t xml:space="preserve">  Interest income received</t>
  </si>
  <si>
    <t>Net Cash used in Investing Activities (B)</t>
  </si>
  <si>
    <t>C. CASH FLOW FROM FINANCING ACTIVITIES</t>
  </si>
  <si>
    <t xml:space="preserve">  Interest paid</t>
  </si>
  <si>
    <t xml:space="preserve">  Repayment of lease liabilities</t>
  </si>
  <si>
    <t xml:space="preserve">  Dividends paid</t>
  </si>
  <si>
    <t xml:space="preserve">  Additions to minority interest</t>
  </si>
  <si>
    <t xml:space="preserve">  Proceeds from issue of equity shares</t>
  </si>
  <si>
    <t xml:space="preserve">  (Repayment)/proceeds of non-current borrowings</t>
  </si>
  <si>
    <t xml:space="preserve">  (Repayment)/proceeds from current borrowings</t>
  </si>
  <si>
    <t>Net Cash used in Financing Activities (C)</t>
  </si>
  <si>
    <t>NET INCREASE/(DECREASE) IN CASH (A+B+C)</t>
  </si>
  <si>
    <t xml:space="preserve">  Cash &amp; equivalents at beginning of year</t>
  </si>
  <si>
    <t>Cash &amp; equivalents at end of year</t>
  </si>
  <si>
    <t>HERO MOTOCORP LIMITED — Consolidated Quarterly P&amp;L  |  (₹ in Crores)</t>
  </si>
  <si>
    <t>Jun 2025</t>
  </si>
  <si>
    <t>Sep 2025</t>
  </si>
  <si>
    <t>Dec 2025</t>
  </si>
  <si>
    <t>Change%</t>
  </si>
  <si>
    <t>Revenue from operations</t>
  </si>
  <si>
    <t>Other income</t>
  </si>
  <si>
    <t>Cost of materials consumed</t>
  </si>
  <si>
    <t>Purchases of stock-in-trade</t>
  </si>
  <si>
    <t>Change in inventories</t>
  </si>
  <si>
    <t>Employee benefits expense</t>
  </si>
  <si>
    <t>Finance costs</t>
  </si>
  <si>
    <t>Depreciation &amp; amortisation</t>
  </si>
  <si>
    <t>Other expenses</t>
  </si>
  <si>
    <t>Share in profit/(loss) of associates (net of tax)</t>
  </si>
  <si>
    <t>Exceptional item — VRS expenses</t>
  </si>
  <si>
    <t>Current tax</t>
  </si>
  <si>
    <t>Deferred tax charge/(credit)</t>
  </si>
  <si>
    <t>Net Profit — Owners of Company</t>
  </si>
  <si>
    <t>Net Profit — Non-controlling interests</t>
  </si>
  <si>
    <t>-</t>
  </si>
  <si>
    <t>Basic EPS (₹)</t>
  </si>
  <si>
    <t>Diluted EPS (₹)</t>
  </si>
  <si>
    <t>HEROMOTOCO</t>
  </si>
  <si>
    <t>Hero MotoCorp Limited is the world's largest manufacturer of motorcycles and scooters. It manufactures a wide range of two-wheelers including entry-level, deluxe, premium motorcycles and scooters. Key brands include Splendor, HF Deluxe, Passion, Xtreme, Xpulse, Karizma and VIDA electric scooters.</t>
  </si>
  <si>
    <t>BAJAJ-AUTO</t>
  </si>
  <si>
    <t>Bajaj Auto Limited is the flagship company of the Bajaj Group and India's largest exporter of two and three-wheelers, exporting to 79 countries. It is the 2nd-largest player in domestic motorcycles and the world's largest three-wheeler producer. Key brands include Pulsar, Dominar, CT, Platina, Chetak EV and KTM (48% stake).</t>
  </si>
  <si>
    <t>TVSMOTOR</t>
  </si>
  <si>
    <t>TVS Motor Company Limited is one of the leading two-wheeler manufacturers globally, with presence in motorcycles, scooters, and mopeds. It also manufactures three-wheelers and has a strategic investment in Norton Motorcycles (UK). Key brands include Apache, Jupiter, NTorq, Raider, Ronin, iQube EV and TVS King three-wheelers.</t>
  </si>
  <si>
    <t>EICHER MOTOR</t>
  </si>
  <si>
    <t>Eicher Motors Limited is the listed company of the Eicher Group and the global leader in middleweight motorcycles through its Royal Enfield brand. It also has a joint venture with AB Volvo VE Commercial Vehicles (VECV) — for trucks and buses. Royal Enfield crossed 1 million annual motorcycle sales for the first time in FY25.</t>
  </si>
  <si>
    <t>Attribute</t>
  </si>
  <si>
    <t>LTP (₹)</t>
  </si>
  <si>
    <t>Change (%)</t>
  </si>
  <si>
    <t>Sales (₹ crore)</t>
  </si>
  <si>
    <t>PAT (₹ crore)</t>
  </si>
  <si>
    <t>Equity (₹ crore)</t>
  </si>
  <si>
    <t>Operating Profit Margin (OPM%)</t>
  </si>
  <si>
    <t>Net Profit Margin (NPM%)</t>
  </si>
  <si>
    <t>Earnings Per Share (EPS)</t>
  </si>
  <si>
    <t>Cash Earnings Per Share (CEPS)</t>
  </si>
  <si>
    <t>EICHERMOT</t>
  </si>
  <si>
    <t>Metric</t>
  </si>
  <si>
    <t>Debtor Days</t>
  </si>
  <si>
    <t>Inventory Days</t>
  </si>
  <si>
    <t>Days Payable</t>
  </si>
  <si>
    <t>Cash Conversion Cycle</t>
  </si>
  <si>
    <t>Working Capital Days</t>
  </si>
  <si>
    <t>ROCE %</t>
  </si>
  <si>
    <t>Recommendation</t>
  </si>
  <si>
    <t>BUY — Hero MotoCorp's stock offers an attractive entry point at current levels, trading at ~19x P/E, a steep 50% discount to peers' median of ~38x. With record FY25 consolidated revenue of ₹40,923 Cr (+8.3% YoY) and PAT of ₹4,376 Cr (+16.9% YoY), strong ROCE of 30.3%, a debt-free balance sheet, and a generous dividend yield of 3.14%, the risk-reward is favourable for long-term investors.</t>
  </si>
  <si>
    <t>Hero MotoCorp remains the world's largest two-wheeler manufacturer by volume, holding ~29% domestic market share in FY25. The company's stock has corrected ~18% over the last year despite delivering its best-ever revenue and profit, creating a valuation gap vs peers. Key near-term triggers include: (1) rural demand revival driven by a healthy monsoon forecast and income tax relief in the Union Budget 2025; (2) strong scooter momentum — scooter sales grew 53% YoY in March 2026; (3) export acceleration with 34% YoY growth in Feb 2026; (4) VIDA EV scaling up with 12,500+ monthly registrations. 
Risks to monitor: (1) market share erosion to Honda HMSI, which is within 2 percentage points of Hero's domestic share; (2) EV transition pace — VIDA volumes remain small relative to overall portfolio; (3) rising input costs from commodity price volatility. Motilal Oswal maintains a BUY with a target price of ₹6,205, implying ~18% upside from current levels. The company has guided for 7% volume CAGR and 11% revenue/EBITDA/PAT CAGR over FY25-28.</t>
  </si>
  <si>
    <t>Financial Year</t>
  </si>
  <si>
    <t>Revenue (₹ Crore)</t>
  </si>
  <si>
    <t>Profit After Tax (PAT) (₹ Crore)</t>
  </si>
  <si>
    <t>Revenue Change (%)</t>
  </si>
  <si>
    <t>PAT Change (%)</t>
  </si>
  <si>
    <t>Nifty 50 Change (%)</t>
  </si>
  <si>
    <t>FY 2022-23</t>
  </si>
  <si>
    <t>FY 2021-22</t>
  </si>
  <si>
    <t>Value</t>
  </si>
  <si>
    <t>FY 2020-21</t>
  </si>
  <si>
    <t>Market Cap</t>
  </si>
  <si>
    <t>₹ 1,04,987 Cr.</t>
  </si>
  <si>
    <t>Current Price</t>
  </si>
  <si>
    <t>High / Low</t>
  </si>
  <si>
    <t>₹ 6,390 / ₹ 3,664</t>
  </si>
  <si>
    <t>Stock P/E</t>
  </si>
  <si>
    <t>Book Value</t>
  </si>
  <si>
    <t>Dividend Yield</t>
  </si>
  <si>
    <t>ROCE</t>
  </si>
  <si>
    <t>ROE</t>
  </si>
  <si>
    <t>Face Value</t>
  </si>
  <si>
    <t xml:space="preserve">
Hero MotoCorp records best-ever annual revenue of ₹40,923 Cr in FY25, PAT up 17% YoY </t>
  </si>
  <si>
    <t>MOSL maintains BUY on Hero MotoCorp with TP ₹6,205 — Groww | April 2026</t>
  </si>
  <si>
    <t xml:space="preserve">  </t>
  </si>
  <si>
    <t xml:space="preserve">NIFTY </t>
  </si>
  <si>
    <t xml:space="preserve">HERO </t>
  </si>
  <si>
    <t>Date</t>
  </si>
  <si>
    <t>Close</t>
  </si>
  <si>
    <t>BETA</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</si>
  <si>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</si>
  <si>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</si>
  <si>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</si>
  <si>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</si>
  <si>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</si>
  <si>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</si>
  <si>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</si>
  <si>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</si>
  <si>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</si>
  <si>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</si>
  <si>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</si>
  <si>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</si>
  <si>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</si>
  <si>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</si>
  <si>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</si>
  <si>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</si>
  <si>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</si>
  <si>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</si>
  <si>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</si>
  <si>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</si>
  <si>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</si>
  <si>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</si>
  <si>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</si>
  <si>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</si>
  <si>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</si>
  <si>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Hero Motocorp</t>
  </si>
  <si>
    <t>Consolidated Profit &amp; Loss account</t>
  </si>
  <si>
    <t>Mar 25</t>
  </si>
  <si>
    <t>Revenue From Operations [Gross]</t>
  </si>
  <si>
    <t>Revenue From Operations [Net]</t>
  </si>
  <si>
    <t>Other Operating Revenues</t>
  </si>
  <si>
    <t>Total Operating Revenues</t>
  </si>
  <si>
    <t>Other Income</t>
  </si>
  <si>
    <t>Total Revenue</t>
  </si>
  <si>
    <t>Cost Of Materials Consumed</t>
  </si>
  <si>
    <t>Purchase Of Stock-In Trade</t>
  </si>
  <si>
    <t>Changes In Inventories Of FG,WIP And Stock-In Trade</t>
  </si>
  <si>
    <t>Employee Benefit Expenses</t>
  </si>
  <si>
    <t>Finance Costs</t>
  </si>
  <si>
    <t>Depreciation And Amortisation Expenses</t>
  </si>
  <si>
    <t>Other Expenses</t>
  </si>
  <si>
    <t>Profit/Loss Before Exceptional, ExtraOrdinary Items And Tax</t>
  </si>
  <si>
    <t>Exceptional Items</t>
  </si>
  <si>
    <t>Profit/Loss Before Tax</t>
  </si>
  <si>
    <t>Tax Expenses-Continued Operations</t>
  </si>
  <si>
    <t>Current Tax</t>
  </si>
  <si>
    <t>Deferred Tax</t>
  </si>
  <si>
    <t>Total Tax Expenses</t>
  </si>
  <si>
    <t>Profit/Loss After Tax And Before ExtraOrdinary Items</t>
  </si>
  <si>
    <t>Profit/Loss From Continuing Operations</t>
  </si>
  <si>
    <t>Profit/Loss For The Period</t>
  </si>
  <si>
    <t>Minority Interest</t>
  </si>
  <si>
    <t>Share Of Profit/Loss Of Associates</t>
  </si>
  <si>
    <t>Consolidated Profit/Loss After MI And Associates</t>
  </si>
  <si>
    <t>OTHER ADDITIONAL INFORMATION</t>
  </si>
  <si>
    <t>EARNINGS PER SHARE</t>
  </si>
  <si>
    <t>Basic EPS (Rs.)</t>
  </si>
  <si>
    <t>Diluted EPS (Rs.)</t>
  </si>
  <si>
    <t>DIVIDEND AND DIVIDEND PERCENTAGE</t>
  </si>
  <si>
    <t>Equity Share Dividend</t>
  </si>
  <si>
    <t>Tax On Dividend</t>
  </si>
  <si>
    <t>Consolidated Balance Sheet</t>
  </si>
  <si>
    <t>EQUITIES AND LIABILITIES</t>
  </si>
  <si>
    <t>SHAREHOLDER'S FUNDS</t>
  </si>
  <si>
    <t>Equity Share Capital</t>
  </si>
  <si>
    <t>Total Share Capital</t>
  </si>
  <si>
    <t>Reserves and Surplus</t>
  </si>
  <si>
    <t>Total Reserves and Surplus</t>
  </si>
  <si>
    <t>Employees Stock Options</t>
  </si>
  <si>
    <t>Total Shareholders Funds</t>
  </si>
  <si>
    <t>NON-CURRENT LIABILITIES</t>
  </si>
  <si>
    <t>Long Term Borrowings</t>
  </si>
  <si>
    <t>Deferred Tax Liabilities [Net]</t>
  </si>
  <si>
    <t>Other Long Term Liabilities</t>
  </si>
  <si>
    <t>Long Term Provisions</t>
  </si>
  <si>
    <t>CURRENT LIABILITIES</t>
  </si>
  <si>
    <t>Short Term Borrowings</t>
  </si>
  <si>
    <t>Trade Payables</t>
  </si>
  <si>
    <t>Other Current Liabilities</t>
  </si>
  <si>
    <t>Short Term Provisions</t>
  </si>
  <si>
    <t>Total Capital And Liabilities</t>
  </si>
  <si>
    <t>NON-CURRENT ASSETS</t>
  </si>
  <si>
    <t>Tangible Assets</t>
  </si>
  <si>
    <t>Intangible Assets</t>
  </si>
  <si>
    <t>Capital Work-In-Progress</t>
  </si>
  <si>
    <t>Intangible Assets Under Development</t>
  </si>
  <si>
    <t>Fixed Assets</t>
  </si>
  <si>
    <t>Non-Current Investments</t>
  </si>
  <si>
    <t>Long Term Loans And Advances</t>
  </si>
  <si>
    <t>Other Non-Current Assets</t>
  </si>
  <si>
    <t>CURRENT ASSETS</t>
  </si>
  <si>
    <t>Current Investments</t>
  </si>
  <si>
    <t>Inventories</t>
  </si>
  <si>
    <t>Trade Receivables</t>
  </si>
  <si>
    <t>Cash And Cash Equivalents</t>
  </si>
  <si>
    <t>Short Term Loans And Advances</t>
  </si>
  <si>
    <t>OtherCurrentAssets</t>
  </si>
  <si>
    <t>Total Assets</t>
  </si>
  <si>
    <t>CONTINGENT LIABILITIES, COMMITMENTS</t>
  </si>
  <si>
    <t>Contingent Liabilities</t>
  </si>
  <si>
    <t>BONUS DETAILS</t>
  </si>
  <si>
    <t>Bonus Equity Share Capital</t>
  </si>
  <si>
    <t>NON-CURRENT INVESTMENTS</t>
  </si>
  <si>
    <t>Non-Current Investments Quoted Market Value</t>
  </si>
  <si>
    <t>Non-Current Investments Unquoted Book Value</t>
  </si>
  <si>
    <t>CURRENT INVESTMENTS</t>
  </si>
  <si>
    <t>Current Investments Quoted Market Value</t>
  </si>
  <si>
    <t>Current Investments Unquoted Book Value</t>
  </si>
  <si>
    <t>[</t>
  </si>
  <si>
    <t xml:space="preserve">revenue growth </t>
  </si>
  <si>
    <t>less: Material Consumed</t>
  </si>
  <si>
    <t xml:space="preserve">less: Employee Cost </t>
  </si>
  <si>
    <t>less: Other Expenses</t>
  </si>
  <si>
    <t>EBITDA</t>
  </si>
  <si>
    <t xml:space="preserve">less: Depreciation &amp; Amortization </t>
  </si>
  <si>
    <t>EBIT</t>
  </si>
  <si>
    <t xml:space="preserve">add: Other income </t>
  </si>
  <si>
    <t>less: Interest Expense</t>
  </si>
  <si>
    <t xml:space="preserve">EBT </t>
  </si>
  <si>
    <t xml:space="preserve">less: Tax </t>
  </si>
  <si>
    <t xml:space="preserve">less: Non Controlling interest </t>
  </si>
  <si>
    <t>PAT</t>
  </si>
  <si>
    <t xml:space="preserve">Historical Growth </t>
  </si>
  <si>
    <t xml:space="preserve">Average Growth </t>
  </si>
  <si>
    <t>CAGR</t>
  </si>
  <si>
    <t>Margin Analysis</t>
  </si>
  <si>
    <t>EBITDA Margin</t>
  </si>
  <si>
    <t>EBIT Margin</t>
  </si>
  <si>
    <t>EBT Margin</t>
  </si>
  <si>
    <t>PAT Margin</t>
  </si>
  <si>
    <t xml:space="preserve">Tax Rate </t>
  </si>
  <si>
    <t xml:space="preserve">Effective  Tax Rate </t>
  </si>
  <si>
    <t xml:space="preserve">Marginal Tax Rate </t>
  </si>
  <si>
    <t xml:space="preserve">Return on Capital </t>
  </si>
  <si>
    <t>EBIT(1-t)</t>
  </si>
  <si>
    <t xml:space="preserve">Book Equity </t>
  </si>
  <si>
    <t>Book Debt</t>
  </si>
  <si>
    <t xml:space="preserve">Cash and Cash Equivalent </t>
  </si>
  <si>
    <t>Capital Employed</t>
  </si>
  <si>
    <t>Pre Tax Return on Capital</t>
  </si>
  <si>
    <t>Post Tax Return on Capital</t>
  </si>
  <si>
    <t>Growth in EBIT</t>
  </si>
  <si>
    <t>Ratio Analysis</t>
  </si>
  <si>
    <t>Years</t>
  </si>
  <si>
    <t>Trend</t>
  </si>
  <si>
    <t>Mean</t>
  </si>
  <si>
    <t>Median</t>
  </si>
  <si>
    <t>SalesGrowth</t>
  </si>
  <si>
    <t>EBITDA Growth</t>
  </si>
  <si>
    <t>EBIT Growth</t>
  </si>
  <si>
    <t>Net Profit Growth</t>
  </si>
  <si>
    <t>Dividend Growth</t>
  </si>
  <si>
    <t>Gross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</si>
  <si>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</si>
  <si>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</si>
  <si>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</si>
  <si>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</si>
  <si>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</si>
  <si>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</si>
  <si>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</si>
  <si>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</si>
  <si>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</si>
  <si>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</si>
  <si>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</si>
  <si>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Inventory Turnover</t>
  </si>
  <si>
    <t>Fixed Asset Turnover</t>
  </si>
  <si>
    <t>Capital Turnover Ratio</t>
  </si>
  <si>
    <t>Payable Days</t>
  </si>
  <si>
    <t>Cash Conversion Cycle (in days)</t>
  </si>
  <si>
    <t>CFO/Sales</t>
  </si>
  <si>
    <t>CFO/Total Assets</t>
  </si>
  <si>
    <t>CFO/Total Debt</t>
  </si>
  <si>
    <t xml:space="preserve">Hero Motocorp                        "Fixed Asset Schedule " </t>
  </si>
  <si>
    <t xml:space="preserve">Particular </t>
  </si>
  <si>
    <t xml:space="preserve">Beginning balance </t>
  </si>
  <si>
    <t xml:space="preserve">Add: Net Purchases </t>
  </si>
  <si>
    <t xml:space="preserve">Total Fixed Assets </t>
  </si>
  <si>
    <t xml:space="preserve">Less: Depreciation </t>
  </si>
  <si>
    <t xml:space="preserve">Closing Balance(Fixed Asests ) </t>
  </si>
  <si>
    <t xml:space="preserve">Net Capital expenditure </t>
  </si>
  <si>
    <t xml:space="preserve">Net Capital expenditure / Sales percentage </t>
  </si>
  <si>
    <t xml:space="preserve">Median Capital expenditure /Sales percentage </t>
  </si>
  <si>
    <t xml:space="preserve">Average  Capital expenditure /Sales percentage </t>
  </si>
  <si>
    <t xml:space="preserve">   Change in Working Capital  </t>
  </si>
  <si>
    <t xml:space="preserve">Inventory </t>
  </si>
  <si>
    <t xml:space="preserve">Trade Receivables </t>
  </si>
  <si>
    <t>Trade Payable</t>
  </si>
  <si>
    <t xml:space="preserve">Non Cash working Capital </t>
  </si>
  <si>
    <t xml:space="preserve">Change in Working Capital </t>
  </si>
  <si>
    <t xml:space="preserve">changein working Capital /percentage of sales </t>
  </si>
  <si>
    <t xml:space="preserve">Median Non Cash working Capital  /Sales percentage </t>
  </si>
  <si>
    <t xml:space="preserve">Average  Non Cash working Capital  /Sales percentage </t>
  </si>
  <si>
    <t xml:space="preserve">Hero MotoCorp    "Free Cash Flow " </t>
  </si>
  <si>
    <t>Less: Tax on EBIT</t>
  </si>
  <si>
    <t>EBIT * (1- Tax)</t>
  </si>
  <si>
    <t xml:space="preserve">Less: Net Capital expenditure </t>
  </si>
  <si>
    <t xml:space="preserve">Less: Net Change in working Capital </t>
  </si>
  <si>
    <t>Reinvestment</t>
  </si>
  <si>
    <t>Free Cash Flow</t>
  </si>
  <si>
    <t xml:space="preserve">Reinvestment Rate </t>
  </si>
  <si>
    <t xml:space="preserve">Median Reinvestment rate   /Sales percentage </t>
  </si>
  <si>
    <t xml:space="preserve">Average Reinvestment rate   /Sales percentage </t>
  </si>
  <si>
    <t>S.No.</t>
  </si>
  <si>
    <t>Name</t>
  </si>
  <si>
    <t>CMP Rs.</t>
  </si>
  <si>
    <t>Net Profit</t>
  </si>
  <si>
    <t>No. Eq. Shares Cr.</t>
  </si>
  <si>
    <t>Mar Cap Rs.Cr.</t>
  </si>
  <si>
    <t>Cash End Rs.Cr.</t>
  </si>
  <si>
    <t>Debt Rs.Cr.</t>
  </si>
  <si>
    <t>Sales Rs.Cr.</t>
  </si>
  <si>
    <t>EV / EBITDA</t>
  </si>
  <si>
    <t>EBIDT Ann Rs.Cr.</t>
  </si>
  <si>
    <t>Bajaj Auto</t>
  </si>
  <si>
    <t>Eicher Motors</t>
  </si>
  <si>
    <t>TVS Motor Co.</t>
  </si>
  <si>
    <t>Ather Energy</t>
  </si>
  <si>
    <t>Relative Valuation - Hero Motocorp</t>
  </si>
  <si>
    <t>Figures in Crore</t>
  </si>
  <si>
    <t>Comparable Company Valuation</t>
  </si>
  <si>
    <t>Company Name</t>
  </si>
  <si>
    <t>Ticker Name</t>
  </si>
  <si>
    <t>Market Data</t>
  </si>
  <si>
    <t>Financials</t>
  </si>
  <si>
    <t>Valuation</t>
  </si>
  <si>
    <t>No. of shares</t>
  </si>
  <si>
    <t>Share Price</t>
  </si>
  <si>
    <t>Equity value</t>
  </si>
  <si>
    <t>Debt</t>
  </si>
  <si>
    <t>cash</t>
  </si>
  <si>
    <t>Enterprises value</t>
  </si>
  <si>
    <t>Revenue</t>
  </si>
  <si>
    <t>EPS</t>
  </si>
  <si>
    <t>EV/Revenue</t>
  </si>
  <si>
    <t>EV/EBITDA</t>
  </si>
  <si>
    <t>P/E Ratio</t>
  </si>
  <si>
    <t>Max</t>
  </si>
  <si>
    <t>75th Percentile</t>
  </si>
  <si>
    <t>Average</t>
  </si>
  <si>
    <t>median</t>
  </si>
  <si>
    <t>25th Percentile</t>
  </si>
  <si>
    <t>Min.</t>
  </si>
  <si>
    <t>M&amp;M Industry Comparable comps</t>
  </si>
  <si>
    <t xml:space="preserve">Overvalued </t>
  </si>
  <si>
    <t>Overvalued</t>
  </si>
  <si>
    <t>Implied Enterprise Value</t>
  </si>
  <si>
    <t>Net Debt</t>
  </si>
  <si>
    <t>Implied Market Value</t>
  </si>
  <si>
    <t>Share Outstanding</t>
  </si>
  <si>
    <t>Implied Value per Share</t>
  </si>
  <si>
    <t>Cash from Operating Activity -</t>
  </si>
  <si>
    <t>Profit from operations</t>
  </si>
  <si>
    <t>Receivables</t>
  </si>
  <si>
    <t>Inventory</t>
  </si>
  <si>
    <t>Payables</t>
  </si>
  <si>
    <t>Loans Advances</t>
  </si>
  <si>
    <t>Other WC items</t>
  </si>
  <si>
    <t>Working capital changes</t>
  </si>
  <si>
    <t>Direct taxes</t>
  </si>
  <si>
    <t>Cash from Investing Activity -</t>
  </si>
  <si>
    <t>Fixed assets purchased</t>
  </si>
  <si>
    <t>Fixed assets sold</t>
  </si>
  <si>
    <t>Investments purchased</t>
  </si>
  <si>
    <t>Investments sold</t>
  </si>
  <si>
    <t>Interest received</t>
  </si>
  <si>
    <t>Dividends received</t>
  </si>
  <si>
    <t>Investment in group cos</t>
  </si>
  <si>
    <t>Redemp n Canc of Shares</t>
  </si>
  <si>
    <t>Acquisition of companies</t>
  </si>
  <si>
    <t>Inter corporate deposits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</si>
  <si>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</si>
  <si>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</si>
  <si>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</si>
  <si>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</si>
  <si>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</si>
  <si>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</si>
  <si>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</si>
  <si>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</si>
  <si>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</si>
  <si>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Net Cash Flow</t>
  </si>
  <si>
    <t>CFO/OP</t>
  </si>
  <si>
    <t>Weighted Average Cost of Capital</t>
  </si>
  <si>
    <t>Capital Structure</t>
  </si>
  <si>
    <t>Total Debt</t>
  </si>
  <si>
    <t>Total Mix</t>
  </si>
  <si>
    <t>% of Debt</t>
  </si>
  <si>
    <t>% of Equity</t>
  </si>
  <si>
    <t xml:space="preserve"> </t>
  </si>
  <si>
    <t>Debt to Equity</t>
  </si>
  <si>
    <t>Cost of Equity</t>
  </si>
  <si>
    <t>Cost of Debt</t>
  </si>
  <si>
    <t>Market value weights:</t>
  </si>
  <si>
    <t>Risk free rate(Rf)</t>
  </si>
  <si>
    <t>Source</t>
  </si>
  <si>
    <t>Cost</t>
  </si>
  <si>
    <t>Book value of Debt</t>
  </si>
  <si>
    <t>Beta</t>
  </si>
  <si>
    <t>Cost of debt*</t>
  </si>
  <si>
    <t>Share price (as on above date)</t>
  </si>
  <si>
    <t>Market risk premium</t>
  </si>
  <si>
    <t>Tax rate</t>
  </si>
  <si>
    <t>No. of shares outstanding</t>
  </si>
  <si>
    <t>Cost of equity</t>
  </si>
  <si>
    <t>Cost of Debt after tax</t>
  </si>
  <si>
    <t>Market value of Equity</t>
  </si>
  <si>
    <t>WACC</t>
  </si>
  <si>
    <t>Weight</t>
  </si>
  <si>
    <t>Weighted Cost</t>
  </si>
  <si>
    <t xml:space="preserve">Debt </t>
  </si>
  <si>
    <t>Hero Motocorp "Growth Scenarios"</t>
  </si>
  <si>
    <t>Scenario 1: High Growth</t>
  </si>
  <si>
    <t>INR Cr.</t>
  </si>
  <si>
    <t>LTM</t>
  </si>
  <si>
    <t>Y1E</t>
  </si>
  <si>
    <t>Y2E</t>
  </si>
  <si>
    <t>Y3E</t>
  </si>
  <si>
    <t>Y4W</t>
  </si>
  <si>
    <t>Y5E</t>
  </si>
  <si>
    <t>Y6E</t>
  </si>
  <si>
    <t>Y7E</t>
  </si>
  <si>
    <t>Y8E</t>
  </si>
  <si>
    <t>Y9E</t>
  </si>
  <si>
    <t>Y10E</t>
  </si>
  <si>
    <t>Sales</t>
  </si>
  <si>
    <t>Sales Growth %</t>
  </si>
  <si>
    <t>Scenario 2: Average Growth</t>
  </si>
  <si>
    <t>Scenario 3: EBIT Growth</t>
  </si>
  <si>
    <t>Live Scenario</t>
  </si>
  <si>
    <t>Hero Motocorp - "VALUATION"</t>
  </si>
  <si>
    <t>INR Cr</t>
  </si>
  <si>
    <t>Terminal Year</t>
  </si>
  <si>
    <t>Terminal growth rate %</t>
  </si>
  <si>
    <t xml:space="preserve">Sales </t>
  </si>
  <si>
    <t>Cost of Capital %</t>
  </si>
  <si>
    <t>Sales Growth</t>
  </si>
  <si>
    <t>Terminal reinvestment rate %</t>
  </si>
  <si>
    <t>EBIT Margin %</t>
  </si>
  <si>
    <t>Enterprise value = Equity Value + Minority interest</t>
  </si>
  <si>
    <t>EBIT(1-T)</t>
  </si>
  <si>
    <t>Less: Net Capital Expenditure</t>
  </si>
  <si>
    <t>Non Cash Working Capital</t>
  </si>
  <si>
    <t>Less: Change in Working Capital</t>
  </si>
  <si>
    <t>Free Cash Flow To Firm (FCFF)</t>
  </si>
  <si>
    <t>Implied Reinvestment rate %</t>
  </si>
  <si>
    <t>Terminal Value</t>
  </si>
  <si>
    <t>Present Value Interest Factor(PVIF)</t>
  </si>
  <si>
    <t>Present value of FCFF</t>
  </si>
  <si>
    <t>Present value of Terminal value</t>
  </si>
  <si>
    <t>Calculation of Sensitivity Analysis</t>
  </si>
  <si>
    <t>Value of operating assets</t>
  </si>
  <si>
    <t>Add: Cash</t>
  </si>
  <si>
    <t>Less: Debt</t>
  </si>
  <si>
    <t>Less: Minority Interest</t>
  </si>
  <si>
    <t>Equity Value</t>
  </si>
  <si>
    <t>No. of Shares outstanding (Cr)</t>
  </si>
  <si>
    <t xml:space="preserve">intrinsic value per share </t>
  </si>
  <si>
    <t>Current -  4,103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</si>
</sst>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
    <numFmt numFmtId="165" formatCode="0.0%"/>
    <numFmt numFmtId="166" formatCode="&quot;₹ &quot;#,##0;[Red]&quot;₹ -&quot;#,##0"/>
    <numFmt numFmtId="167" formatCode="&quot;₹ &quot;#,##0.00;[Red]&quot;₹ -&quot;#,##0.00"/>
    <numFmt numFmtId="168" formatCode="0.0"/>
    <numFmt numFmtId="169" formatCode="m/d/yyyy"/>
    <numFmt numFmtId="170" formatCode="d\-mmm\-yy"/>
    <numFmt numFmtId="171" formatCode="0.000"/>
    <numFmt numFmtId="172" formatCode="0.0000"/>
    <numFmt numFmtId="173" formatCode="d\-mmm"/>
    <numFmt numFmtId="174" formatCode="0.\X"/>
    <numFmt numFmtId="175" formatCode="0.000000"/>
    <numFmt numFmtId="176" formatCode="#,##0;\(#,##0\);\-"/>
    <numFmt numFmtId="177" formatCode="0.00\x"/>
    <numFmt numFmtId="178" formatCode="#,##0.0;\(#,##0.0\);\-"/>
    <numFmt numFmtId="179" formatCode="_ * #,##0.00_ ;_ * \-#,##0.00_ ;_ * \-??_ ;_ @_ "/>
    <numFmt numFmtId="180" formatCode="0.0%;\(0.0%\);\-"/>
    <numFmt numFmtId="181" formatCode="0.000%"/>
    <numFmt numFmtId="182" formatCode="0.00000"/>
    <numFmt numFmtId="183" formatCode="_ * #,##0.0000_ ;_ * \-#,##0.0000_ ;_ * \-??_ ;_ @_ "/>
  </numFmts>
  <fonts count="53">
    <font>
      <sz val="11"/>
      <color theme="1"/>
      <name val="Calibri"/>
      <family val="2"/>
      <charset val="1"/>
    </font>
    <font>
      <sz val="9"/>
      <color rgb="FF1A2B3C"/>
      <name val="Arial"/>
      <family val="2"/>
      <charset val="1"/>
    </font>
    <font>
      <sz val="8"/>
      <color rgb="FF3A4F6A"/>
      <name val="Arial"/>
      <family val="2"/>
      <charset val="1"/>
    </font>
    <font>
      <b/>
      <sz val="9"/>
      <color rgb="FFFFFFFF"/>
      <name val="Arial"/>
      <family val="2"/>
      <charset val="1"/>
    </font>
    <font>
      <b/>
      <sz val="8"/>
      <color rgb="FF3A4F6A"/>
      <name val="Arial"/>
      <family val="2"/>
      <charset val="1"/>
    </font>
    <font>
      <b/>
      <sz val="9"/>
      <color rgb="FF2E4D7B"/>
      <name val="Arial"/>
      <family val="2"/>
      <charset val="1"/>
    </font>
    <font>
      <sz val="9"/>
      <color rgb="FF3A4F6A"/>
      <name val="Arial"/>
      <family val="2"/>
      <charset val="1"/>
    </font>
    <font>
      <sz val="8"/>
      <color rgb="FF212529"/>
      <name val="MyFirstFont"/>
      <charset val="1"/>
    </font>
    <font>
      <b/>
      <sz val="9"/>
      <color rgb="FFC9A84C"/>
      <name val="Arial"/>
      <family val="2"/>
      <charset val="1"/>
    </font>
    <font>
      <b/>
      <sz val="11"/>
      <color rgb="FFFFFFFF"/>
      <name val="Arial"/>
      <family val="2"/>
      <charset val="1"/>
    </font>
    <font>
      <b/>
      <sz val="8"/>
      <color rgb="FF2E4D7B"/>
      <name val="Arial"/>
      <family val="2"/>
      <charset val="1"/>
    </font>
    <font>
      <b/>
      <sz val="10"/>
      <color rgb="FFFFFFFF"/>
      <name val="Arial"/>
      <family val="2"/>
      <charset val="1"/>
    </font>
    <font>
      <b/>
      <sz val="9"/>
      <color rgb="FF1A2B3C"/>
      <name val="Arial"/>
      <family val="2"/>
      <charset val="1"/>
    </font>
    <font>
      <b/>
      <i/>
      <sz val="8"/>
      <color rgb="FF7A8A9A"/>
      <name val="Arial"/>
      <family val="2"/>
      <charset val="1"/>
    </font>
    <font>
      <i/>
      <sz val="8"/>
      <color rgb="FF7A8A9A"/>
      <name val="Arial"/>
      <family val="2"/>
      <charset val="1"/>
    </font>
    <font>
      <i/>
      <sz val="9"/>
      <color rgb="FF1A2B3C"/>
      <name val="Arial"/>
      <family val="2"/>
      <charset val="1"/>
    </font>
    <font>
      <b/>
      <sz val="11"/>
      <color rgb="FFC9A84C"/>
      <name val="Arial"/>
      <family val="2"/>
      <charset val="1"/>
    </font>
    <font>
      <i/>
      <sz val="8"/>
      <color rgb="FF3A4F6A"/>
      <name val="Arial"/>
      <family val="2"/>
      <charset val="1"/>
    </font>
    <font>
      <b/>
      <i/>
      <sz val="8"/>
      <color rgb="FF1A2B3C"/>
      <name val="Arial"/>
      <family val="2"/>
      <charset val="1"/>
    </font>
    <font>
      <b/>
      <sz val="8"/>
      <color rgb="FF1A2B3C"/>
      <name val="Arial"/>
      <family val="2"/>
      <charset val="1"/>
    </font>
    <font>
      <sz val="9"/>
      <color rgb="FFFFFFFF"/>
      <name val="Arial"/>
      <family val="2"/>
      <charset val="1"/>
    </font>
    <font>
      <b/>
      <sz val="11"/>
      <color theme="1"/>
      <name val="Calibri"/>
      <family val="2"/>
      <charset val="1"/>
    </font>
    <font>
      <b/>
      <sz val="10"/>
      <color rgb="FFC9A84C"/>
      <name val="Arial"/>
      <family val="2"/>
      <charset val="1"/>
    </font>
    <font>
      <b/>
      <sz val="14"/>
      <color rgb="FFFFFFFF"/>
      <name val="Calibri"/>
      <family val="2"/>
      <charset val="1"/>
    </font>
    <font>
      <b/>
      <sz val="11"/>
      <color rgb="FFFFFFFF"/>
      <name val="Calibri"/>
      <family val="2"/>
      <charset val="1"/>
    </font>
    <font>
      <sz val="10"/>
      <color rgb="FF000000"/>
      <name val="Calibri"/>
      <family val="2"/>
      <charset val="1"/>
    </font>
    <font>
      <b/>
      <sz val="10"/>
      <color rgb="FF000000"/>
      <name val="Calibri"/>
      <family val="2"/>
      <charset val="1"/>
    </font>
    <font>
      <sz val="16"/>
      <color theme="0"/>
      <name val="Arial"/>
      <family val="2"/>
      <charset val="1"/>
    </font>
    <font>
      <b/>
      <sz val="11"/>
      <color theme="1"/>
      <name val="Aptos Narrow"/>
      <family val="2"/>
      <charset val="1"/>
    </font>
    <font>
      <sz val="11"/>
      <color rgb="FF606F7B"/>
      <name val="Arial"/>
      <family val="2"/>
      <charset val="1"/>
    </font>
    <font>
      <u/>
      <sz val="11"/>
      <color theme="10"/>
      <name val="Calibri"/>
      <family val="2"/>
      <charset val="1"/>
    </font>
    <font>
      <sz val="11"/>
      <color rgb="FF22222F"/>
      <name val="Arial"/>
      <family val="2"/>
      <charset val="1"/>
    </font>
    <font>
      <sz val="8"/>
      <color rgb="FF22222F"/>
      <name val="Arial"/>
      <family val="2"/>
      <charset val="1"/>
    </font>
    <font>
      <sz val="11"/>
      <color rgb="FF22222F"/>
      <name val="Aptos Narrow"/>
      <family val="2"/>
      <charset val="1"/>
    </font>
    <font>
      <sz val="11"/>
      <color theme="1"/>
      <name val="Arial"/>
      <family val="2"/>
      <charset val="1"/>
    </font>
    <font>
      <u/>
      <sz val="11"/>
      <color theme="1"/>
      <name val="Calibri"/>
      <family val="2"/>
      <charset val="1"/>
    </font>
    <font>
      <sz val="8"/>
      <color theme="1"/>
      <name val="Arial"/>
      <family val="2"/>
      <charset val="1"/>
    </font>
    <font>
      <sz val="11"/>
      <name val="Aptos Narrow"/>
      <family val="2"/>
      <charset val="1"/>
    </font>
    <font>
      <b/>
      <sz val="11"/>
      <color theme="0"/>
      <name val="Aptos Narrow"/>
      <family val="2"/>
      <charset val="1"/>
    </font>
    <font>
      <sz val="11"/>
      <color theme="1"/>
      <name val="Aptos Narrow"/>
      <family val="2"/>
      <charset val="1"/>
    </font>
    <font>
      <b/>
      <u/>
      <sz val="11"/>
      <color theme="1"/>
      <name val="Calibri"/>
      <family val="2"/>
      <charset val="1"/>
    </font>
    <font>
      <b/>
      <sz val="10"/>
      <color rgb="FFFFFFFF"/>
      <name val="Calibri"/>
      <family val="2"/>
      <charset val="1"/>
    </font>
    <font>
      <b/>
      <sz val="13"/>
      <color rgb="FFFFFFFF"/>
      <name val="Calibri"/>
      <family val="2"/>
      <charset val="1"/>
    </font>
    <font>
      <sz val="9"/>
      <color rgb="FF000000"/>
      <name val="Calibri"/>
      <family val="2"/>
      <charset val="1"/>
    </font>
    <font>
      <sz val="9"/>
      <color rgb="FF375623"/>
      <name val="Calibri"/>
      <family val="2"/>
      <charset val="1"/>
    </font>
    <font>
      <b/>
      <sz val="9"/>
      <color rgb="FF000000"/>
      <name val="Calibri"/>
      <family val="2"/>
      <charset val="1"/>
    </font>
    <font>
      <sz val="9"/>
      <color rgb="FF0070C0"/>
      <name val="Calibri"/>
      <family val="2"/>
      <charset val="1"/>
    </font>
    <font>
      <b/>
      <sz val="9"/>
      <color theme="1"/>
      <name val="Arial"/>
      <family val="2"/>
      <charset val="1"/>
    </font>
    <font>
      <b/>
      <sz val="9"/>
      <color rgb="FFFFFFFF"/>
      <name val="Calibri"/>
      <family val="2"/>
      <charset val="1"/>
    </font>
    <font>
      <b/>
      <sz val="11"/>
      <color rgb="FF003366"/>
      <name val="Calibri"/>
      <family val="2"/>
      <charset val="1"/>
    </font>
    <font>
      <i/>
      <sz val="11"/>
      <color theme="1"/>
      <name val="Aptos Narrow"/>
      <family val="2"/>
      <charset val="1"/>
    </font>
    <font>
      <b/>
      <i/>
      <sz val="11"/>
      <color theme="1"/>
      <name val="Aptos Narrow"/>
      <family val="2"/>
      <charset val="1"/>
    </font>
    <font>
      <sz val="11"/>
      <color theme="1"/>
      <name val="Calibri"/>
      <family val="2"/>
      <charset val="1"/>
    </font>
  </fonts>
  <fills count="27">
    <fill>
      <patternFill patternType="none"/>
    </fill>
    <fill>
      <patternFill patternType="gray125"/>
    </fill>
    <fill>
      <patternFill patternType="solid">
        <fgColor theme="3" tint="0.89989928891872917"/>
        <bgColor rgb="FFDBE4F0"/>
      </patternFill>
    </fill>
    <fill>
      <patternFill patternType="solid">
        <fgColor rgb="FFF0F5FC"/>
        <bgColor rgb="FFF5F5F5"/>
      </patternFill>
    </fill>
    <fill>
      <patternFill patternType="solid">
        <fgColor rgb="FF2E4D7B"/>
        <bgColor rgb="FF3A4F6A"/>
      </patternFill>
    </fill>
    <fill>
      <patternFill patternType="solid">
        <fgColor rgb="FFFFFFFF"/>
        <bgColor rgb="FFF8F8FC"/>
      </patternFill>
    </fill>
    <fill>
      <patternFill patternType="solid">
        <fgColor rgb="FFEAF1FB"/>
        <bgColor rgb="FFE9EFF7"/>
      </patternFill>
    </fill>
    <fill>
      <patternFill patternType="solid">
        <fgColor rgb="FFE8EEF6"/>
        <bgColor rgb="FFE9EFF7"/>
      </patternFill>
    </fill>
    <fill>
      <patternFill patternType="solid">
        <fgColor rgb="FF3D6494"/>
        <bgColor rgb="FF467886"/>
      </patternFill>
    </fill>
    <fill>
      <patternFill patternType="solid">
        <fgColor rgb="FFD6D6D6"/>
        <bgColor rgb="FFD9D9D9"/>
      </patternFill>
    </fill>
    <fill>
      <patternFill patternType="solid">
        <fgColor rgb="FF14243A"/>
        <bgColor rgb="FF0E2841"/>
      </patternFill>
    </fill>
    <fill>
      <patternFill patternType="solid">
        <fgColor rgb="FFDCE3EC"/>
        <bgColor rgb="FFDBE4F0"/>
      </patternFill>
    </fill>
    <fill>
      <patternFill patternType="solid">
        <fgColor rgb="FF002060"/>
        <bgColor rgb="FF0E2841"/>
      </patternFill>
    </fill>
    <fill>
      <patternFill patternType="solid">
        <fgColor rgb="FF4472C4"/>
        <bgColor rgb="FF3D6494"/>
      </patternFill>
    </fill>
    <fill>
      <patternFill patternType="solid">
        <fgColor rgb="FFF5F5F5"/>
        <bgColor rgb="FFF0F5FC"/>
      </patternFill>
    </fill>
    <fill>
      <patternFill patternType="solid">
        <fgColor rgb="FFE9EFF7"/>
        <bgColor rgb="FFE8EEF6"/>
      </patternFill>
    </fill>
    <fill>
      <patternFill patternType="solid">
        <fgColor theme="3"/>
        <bgColor rgb="FF14243A"/>
      </patternFill>
    </fill>
    <fill>
      <patternFill patternType="solid">
        <fgColor theme="4" tint="0.79989013336588644"/>
        <bgColor rgb="FFBDD7EE"/>
      </patternFill>
    </fill>
    <fill>
      <patternFill patternType="solid">
        <fgColor rgb="FFF8F8FC"/>
        <bgColor rgb="FFF5F5F5"/>
      </patternFill>
    </fill>
    <fill>
      <patternFill patternType="solid">
        <fgColor theme="7" tint="0.59987182226020086"/>
        <bgColor rgb="FFBDD7EE"/>
      </patternFill>
    </fill>
    <fill>
      <patternFill patternType="solid">
        <fgColor rgb="FF003366"/>
        <bgColor rgb="FF17375E"/>
      </patternFill>
    </fill>
    <fill>
      <patternFill patternType="solid">
        <fgColor rgb="FF17375E"/>
        <bgColor rgb="FF003366"/>
      </patternFill>
    </fill>
    <fill>
      <patternFill patternType="solid">
        <fgColor rgb="FFE0E0E0"/>
        <bgColor rgb="FFDCE3EC"/>
      </patternFill>
    </fill>
    <fill>
      <patternFill patternType="solid">
        <fgColor rgb="FFD9E1F2"/>
        <bgColor rgb="FFDBE4F0"/>
      </patternFill>
    </fill>
    <fill>
      <patternFill patternType="solid">
        <fgColor theme="0" tint="-0.249977111117893"/>
        <bgColor rgb="FFC0CDD8"/>
      </patternFill>
    </fill>
    <fill>
      <patternFill patternType="solid">
        <fgColor rgb="FFFFD700"/>
        <bgColor rgb="FFC9A84C"/>
      </patternFill>
    </fill>
    <fill>
      <patternFill patternType="solid">
        <fgColor theme="7" tint="-0.499984740745262"/>
        <bgColor rgb="FF156082"/>
      </patternFill>
    </fill>
  </fills>
  <borders count="176">
    <border>
      <left/>
      <right/>
      <top/>
      <bottom/>
      <diagonal/>
    </border>
    <border>
      <left style="thin">
        <color rgb="FFC8D4E3"/>
      </left>
      <right/>
      <top style="thin">
        <color rgb="FFC8D4E3"/>
      </top>
      <bottom style="thin">
        <color rgb="FFC8D4E3"/>
      </bottom>
      <diagonal/>
    </border>
    <border>
      <left/>
      <right/>
      <top style="thin">
        <color rgb="FFC9A84C"/>
      </top>
      <bottom style="thin">
        <color rgb="FFC8D4E3"/>
      </bottom>
      <diagonal/>
    </border>
    <border>
      <left/>
      <right/>
      <top style="thin">
        <color rgb="FFC9A84C"/>
      </top>
      <bottom style="thin">
        <color rgb="FFC9A84C"/>
      </bottom>
      <diagonal/>
    </border>
    <border>
      <left style="thin">
        <color auto="1"/>
      </left>
      <right style="thin">
        <color rgb="FFC8D4E3"/>
      </right>
      <top style="thin">
        <color rgb="FFC9A84C"/>
      </top>
      <bottom style="thin">
        <color rgb="FFC9A84C"/>
      </bottom>
      <diagonal/>
    </border>
    <border>
      <left/>
      <right style="thin">
        <color auto="1"/>
      </right>
      <top style="thin">
        <color rgb="FFC9A84C"/>
      </top>
      <bottom style="thin">
        <color rgb="FFC9A84C"/>
      </bottom>
      <diagonal/>
    </border>
    <border>
      <left style="thin">
        <color auto="1"/>
      </left>
      <right style="thin">
        <color auto="1"/>
      </right>
      <top style="thin">
        <color rgb="FFC9A84C"/>
      </top>
      <bottom style="thin">
        <color rgb="FFC9A84C"/>
      </bottom>
      <diagonal/>
    </border>
    <border>
      <left style="thin">
        <color auto="1"/>
      </left>
      <right style="thin">
        <color rgb="FFC8D4E3"/>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rgb="FFC8D4E3"/>
      </bottom>
      <diagonal/>
    </border>
    <border>
      <left style="thin">
        <color auto="1"/>
      </left>
      <right style="thin">
        <color rgb="FFC8D4E3"/>
      </right>
      <top style="thin">
        <color auto="1"/>
      </top>
      <bottom style="thin">
        <color rgb="FFC8D4E3"/>
      </bottom>
      <diagonal/>
    </border>
    <border>
      <left/>
      <right style="thin">
        <color auto="1"/>
      </right>
      <top style="thin">
        <color auto="1"/>
      </top>
      <bottom style="thin">
        <color rgb="FFC8D4E3"/>
      </bottom>
      <diagonal/>
    </border>
    <border>
      <left style="thin">
        <color auto="1"/>
      </left>
      <right style="thin">
        <color auto="1"/>
      </right>
      <top style="thin">
        <color auto="1"/>
      </top>
      <bottom style="thin">
        <color rgb="FFC8D4E3"/>
      </bottom>
      <diagonal/>
    </border>
    <border>
      <left style="thin">
        <color auto="1"/>
      </left>
      <right style="thin">
        <color rgb="FFC8D4E3"/>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rgb="FFC8D4E3"/>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rgb="FFC8D4E3"/>
      </right>
      <top style="thin">
        <color rgb="FFC8D4E3"/>
      </top>
      <bottom style="thin">
        <color rgb="FFC9A84C"/>
      </bottom>
      <diagonal/>
    </border>
    <border>
      <left/>
      <right style="thin">
        <color auto="1"/>
      </right>
      <top style="thin">
        <color rgb="FFC8D4E3"/>
      </top>
      <bottom style="thin">
        <color rgb="FFC9A84C"/>
      </bottom>
      <diagonal/>
    </border>
    <border>
      <left style="thin">
        <color auto="1"/>
      </left>
      <right style="thin">
        <color auto="1"/>
      </right>
      <top style="thin">
        <color rgb="FFC8D4E3"/>
      </top>
      <bottom style="thin">
        <color rgb="FFC9A84C"/>
      </bottom>
      <diagonal/>
    </border>
    <border>
      <left/>
      <right style="thin">
        <color rgb="FFC8D4E3"/>
      </right>
      <top style="thin">
        <color rgb="FFC9A84C"/>
      </top>
      <bottom style="thin">
        <color rgb="FFC9A84C"/>
      </bottom>
      <diagonal/>
    </border>
    <border>
      <left/>
      <right style="thin">
        <color rgb="FFC8D4E3"/>
      </right>
      <top/>
      <bottom/>
      <diagonal/>
    </border>
    <border>
      <left/>
      <right/>
      <top/>
      <bottom style="thin">
        <color rgb="FFC9A84C"/>
      </bottom>
      <diagonal/>
    </border>
    <border>
      <left/>
      <right style="thin">
        <color rgb="FFC8D4E3"/>
      </right>
      <top/>
      <bottom style="thin">
        <color rgb="FFC9A84C"/>
      </bottom>
      <diagonal/>
    </border>
    <border>
      <left style="thin">
        <color rgb="FFBFBFBF"/>
      </left>
      <right style="thin">
        <color rgb="FFC8D4E3"/>
      </right>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C8D4E3"/>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C8D4E3"/>
      </right>
      <top style="thin">
        <color rgb="FFBFBFBF"/>
      </top>
      <bottom style="thin">
        <color rgb="FFC8D4E3"/>
      </bottom>
      <diagonal/>
    </border>
    <border>
      <left/>
      <right style="thin">
        <color rgb="FFBFBFBF"/>
      </right>
      <top style="thin">
        <color rgb="FFBFBFBF"/>
      </top>
      <bottom style="thin">
        <color rgb="FFC8D4E3"/>
      </bottom>
      <diagonal/>
    </border>
    <border>
      <left style="thin">
        <color rgb="FFBFBFBF"/>
      </left>
      <right style="thin">
        <color rgb="FFBFBFBF"/>
      </right>
      <top style="thin">
        <color rgb="FFBFBFBF"/>
      </top>
      <bottom style="thin">
        <color rgb="FFC8D4E3"/>
      </bottom>
      <diagonal/>
    </border>
    <border>
      <left style="thin">
        <color rgb="FFBFBFBF"/>
      </left>
      <right style="thin">
        <color rgb="FFC8D4E3"/>
      </right>
      <top style="thin">
        <color rgb="FFBFBFBF"/>
      </top>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right/>
      <top style="thin">
        <color rgb="FFC8D4E3"/>
      </top>
      <bottom style="thin">
        <color rgb="FFC9A84C"/>
      </bottom>
      <diagonal/>
    </border>
    <border>
      <left style="thin">
        <color rgb="FFBFBFBF"/>
      </left>
      <right style="thin">
        <color rgb="FFC8D4E3"/>
      </right>
      <top style="thin">
        <color rgb="FFC8D4E3"/>
      </top>
      <bottom style="thin">
        <color rgb="FFC9A84C"/>
      </bottom>
      <diagonal/>
    </border>
    <border>
      <left/>
      <right style="thin">
        <color rgb="FFBFBFBF"/>
      </right>
      <top style="thin">
        <color rgb="FFC8D4E3"/>
      </top>
      <bottom style="thin">
        <color rgb="FFC9A84C"/>
      </bottom>
      <diagonal/>
    </border>
    <border>
      <left style="thin">
        <color rgb="FFBFBFBF"/>
      </left>
      <right style="thin">
        <color rgb="FFBFBFBF"/>
      </right>
      <top style="thin">
        <color rgb="FFC8D4E3"/>
      </top>
      <bottom style="thin">
        <color rgb="FFC9A84C"/>
      </bottom>
      <diagonal/>
    </border>
    <border>
      <left/>
      <right/>
      <top style="thin">
        <color rgb="FFC8D4E3"/>
      </top>
      <bottom/>
      <diagonal/>
    </border>
    <border>
      <left style="thin">
        <color rgb="FFBFBFBF"/>
      </left>
      <right style="thin">
        <color rgb="FFC8D4E3"/>
      </right>
      <top style="thin">
        <color rgb="FFC8D4E3"/>
      </top>
      <bottom/>
      <diagonal/>
    </border>
    <border>
      <left/>
      <right style="thin">
        <color rgb="FFBFBFBF"/>
      </right>
      <top style="thin">
        <color rgb="FFC8D4E3"/>
      </top>
      <bottom/>
      <diagonal/>
    </border>
    <border>
      <left style="thin">
        <color rgb="FFBFBFBF"/>
      </left>
      <right style="thin">
        <color rgb="FFBFBFBF"/>
      </right>
      <top style="thin">
        <color rgb="FFC8D4E3"/>
      </top>
      <bottom/>
      <diagonal/>
    </border>
    <border>
      <left/>
      <right/>
      <top style="thin">
        <color rgb="FFC8D4E3"/>
      </top>
      <bottom style="thin">
        <color rgb="FFC8D4E3"/>
      </bottom>
      <diagonal/>
    </border>
    <border>
      <left style="thin">
        <color rgb="FFBFBFBF"/>
      </left>
      <right style="thin">
        <color rgb="FFC8D4E3"/>
      </right>
      <top style="thin">
        <color rgb="FFC8D4E3"/>
      </top>
      <bottom style="thin">
        <color rgb="FFC8D4E3"/>
      </bottom>
      <diagonal/>
    </border>
    <border>
      <left/>
      <right style="thin">
        <color rgb="FFBFBFBF"/>
      </right>
      <top style="thin">
        <color rgb="FFC8D4E3"/>
      </top>
      <bottom style="thin">
        <color rgb="FFC8D4E3"/>
      </bottom>
      <diagonal/>
    </border>
    <border>
      <left style="thin">
        <color rgb="FFBFBFBF"/>
      </left>
      <right style="thin">
        <color rgb="FFBFBFBF"/>
      </right>
      <top style="thin">
        <color rgb="FFC8D4E3"/>
      </top>
      <bottom style="thin">
        <color rgb="FFC8D4E3"/>
      </bottom>
      <diagonal/>
    </border>
    <border>
      <left style="thin">
        <color rgb="FFBFBFBF"/>
      </left>
      <right style="thin">
        <color rgb="FFC8D4E3"/>
      </right>
      <top style="thin">
        <color rgb="FFC9A84C"/>
      </top>
      <bottom style="thin">
        <color rgb="FFC8D4E3"/>
      </bottom>
      <diagonal/>
    </border>
    <border>
      <left/>
      <right style="thin">
        <color rgb="FFBFBFBF"/>
      </right>
      <top style="thin">
        <color rgb="FFC9A84C"/>
      </top>
      <bottom style="thin">
        <color rgb="FFC8D4E3"/>
      </bottom>
      <diagonal/>
    </border>
    <border>
      <left style="thin">
        <color rgb="FFBFBFBF"/>
      </left>
      <right style="thin">
        <color rgb="FFBFBFBF"/>
      </right>
      <top style="thin">
        <color rgb="FFC9A84C"/>
      </top>
      <bottom style="thin">
        <color rgb="FFC8D4E3"/>
      </bottom>
      <diagonal/>
    </border>
    <border>
      <left/>
      <right/>
      <top style="thin">
        <color rgb="FFC9A84C"/>
      </top>
      <bottom/>
      <diagonal/>
    </border>
    <border>
      <left style="thin">
        <color rgb="FFBFBFBF"/>
      </left>
      <right style="thin">
        <color rgb="FFC8D4E3"/>
      </right>
      <top style="thin">
        <color rgb="FFC9A84C"/>
      </top>
      <bottom/>
      <diagonal/>
    </border>
    <border>
      <left/>
      <right style="thin">
        <color rgb="FFBFBFBF"/>
      </right>
      <top style="thin">
        <color rgb="FFC9A84C"/>
      </top>
      <bottom/>
      <diagonal/>
    </border>
    <border>
      <left style="thin">
        <color rgb="FFBFBFBF"/>
      </left>
      <right style="thin">
        <color rgb="FFBFBFBF"/>
      </right>
      <top style="thin">
        <color rgb="FFC9A84C"/>
      </top>
      <bottom/>
      <diagonal/>
    </border>
    <border>
      <left style="thin">
        <color rgb="FFBFBFBF"/>
      </left>
      <right style="thin">
        <color rgb="FFC8D4E3"/>
      </right>
      <top style="thin">
        <color rgb="FFBFBFBF"/>
      </top>
      <bottom style="thin">
        <color rgb="FFC9A84C"/>
      </bottom>
      <diagonal/>
    </border>
    <border>
      <left/>
      <right style="thin">
        <color rgb="FFBFBFBF"/>
      </right>
      <top style="thin">
        <color rgb="FFBFBFBF"/>
      </top>
      <bottom style="thin">
        <color rgb="FFC9A84C"/>
      </bottom>
      <diagonal/>
    </border>
    <border>
      <left style="thin">
        <color rgb="FFBFBFBF"/>
      </left>
      <right style="thin">
        <color rgb="FFBFBFBF"/>
      </right>
      <top style="thin">
        <color rgb="FFBFBFBF"/>
      </top>
      <bottom style="thin">
        <color rgb="FFC9A84C"/>
      </bottom>
      <diagonal/>
    </border>
    <border>
      <left style="thin">
        <color rgb="FFC8D4E3"/>
      </left>
      <right style="thin">
        <color auto="1"/>
      </right>
      <top style="thin">
        <color auto="1"/>
      </top>
      <bottom style="thin">
        <color rgb="FFC8D4E3"/>
      </bottom>
      <diagonal/>
    </border>
    <border>
      <left style="thin">
        <color auto="1"/>
      </left>
      <right style="thin">
        <color auto="1"/>
      </right>
      <top/>
      <bottom/>
      <diagonal/>
    </border>
    <border>
      <left/>
      <right/>
      <top style="thin">
        <color rgb="FFC0CDD8"/>
      </top>
      <bottom/>
      <diagonal/>
    </border>
    <border>
      <left style="thin">
        <color auto="1"/>
      </left>
      <right style="thin">
        <color auto="1"/>
      </right>
      <top style="thin">
        <color rgb="FFC0CDD8"/>
      </top>
      <bottom/>
      <diagonal/>
    </border>
    <border>
      <left style="thin">
        <color auto="1"/>
      </left>
      <right style="thin">
        <color auto="1"/>
      </right>
      <top style="thin">
        <color rgb="FFC8D4E3"/>
      </top>
      <bottom/>
      <diagonal/>
    </border>
    <border>
      <left style="thin">
        <color auto="1"/>
      </left>
      <right style="thin">
        <color auto="1"/>
      </right>
      <top style="thin">
        <color rgb="FFC8D4E3"/>
      </top>
      <bottom style="thin">
        <color rgb="FFC8D4E3"/>
      </bottom>
      <diagonal/>
    </border>
    <border>
      <left style="thin">
        <color rgb="FFC8D4E3"/>
      </left>
      <right/>
      <top style="thin">
        <color rgb="FFC9A84C"/>
      </top>
      <bottom style="thin">
        <color rgb="FFC8D4E3"/>
      </bottom>
      <diagonal/>
    </border>
    <border>
      <left style="thin">
        <color rgb="FFC8D4E3"/>
      </left>
      <right/>
      <top/>
      <bottom/>
      <diagonal/>
    </border>
    <border>
      <left style="thin">
        <color rgb="FFC8D4E3"/>
      </left>
      <right/>
      <top/>
      <bottom style="thin">
        <color rgb="FFC8D4E3"/>
      </bottom>
      <diagonal/>
    </border>
    <border>
      <left/>
      <right style="thin">
        <color rgb="FFC8D4E3"/>
      </right>
      <top style="thin">
        <color rgb="FFC9A84C"/>
      </top>
      <bottom/>
      <diagonal/>
    </border>
    <border>
      <left style="thin">
        <color auto="1"/>
      </left>
      <right style="thin">
        <color auto="1"/>
      </right>
      <top style="thin">
        <color rgb="FFC9A84C"/>
      </top>
      <bottom style="thin">
        <color rgb="FFC8D4E3"/>
      </bottom>
      <diagonal/>
    </border>
    <border>
      <left/>
      <right style="thin">
        <color rgb="FFC8D4E3"/>
      </right>
      <top style="thin">
        <color rgb="FFC9A84C"/>
      </top>
      <bottom style="thin">
        <color rgb="FFC8D4E3"/>
      </bottom>
      <diagonal/>
    </border>
    <border>
      <left/>
      <right style="thin">
        <color auto="1"/>
      </right>
      <top style="thin">
        <color rgb="FFC9A84C"/>
      </top>
      <bottom style="thin">
        <color rgb="FFC8D4E3"/>
      </bottom>
      <diagonal/>
    </border>
    <border>
      <left/>
      <right/>
      <top style="medium">
        <color auto="1"/>
      </top>
      <bottom style="thin">
        <color auto="1"/>
      </bottom>
      <diagonal/>
    </border>
    <border>
      <left/>
      <right style="thin">
        <color rgb="FFC8D4E3"/>
      </right>
      <top/>
      <bottom style="medium">
        <color auto="1"/>
      </bottom>
      <diagonal/>
    </border>
    <border>
      <left/>
      <right/>
      <top/>
      <bottom style="medium">
        <color auto="1"/>
      </bottom>
      <diagonal/>
    </border>
    <border>
      <left/>
      <right style="thin">
        <color rgb="FFC8D4E3"/>
      </right>
      <top style="medium">
        <color auto="1"/>
      </top>
      <bottom style="thin">
        <color auto="1"/>
      </bottom>
      <diagonal/>
    </border>
    <border>
      <left/>
      <right/>
      <top style="medium">
        <color rgb="FFC8D4E3"/>
      </top>
      <bottom style="thin">
        <color auto="1"/>
      </bottom>
      <diagonal/>
    </border>
    <border>
      <left/>
      <right/>
      <top/>
      <bottom style="medium">
        <color rgb="FFC9A84C"/>
      </bottom>
      <diagonal/>
    </border>
    <border>
      <left/>
      <right style="medium">
        <color rgb="FFC8D4E3"/>
      </right>
      <top style="thin">
        <color rgb="FFC9A84C"/>
      </top>
      <bottom/>
      <diagonal/>
    </border>
    <border>
      <left/>
      <right style="medium">
        <color rgb="FFC8D4E3"/>
      </right>
      <top/>
      <bottom/>
      <diagonal/>
    </border>
    <border>
      <left style="medium">
        <color rgb="FFEEEEEE"/>
      </left>
      <right style="medium">
        <color rgb="FFC8D4E3"/>
      </right>
      <top style="thin">
        <color rgb="FFC9A84C"/>
      </top>
      <bottom style="thin">
        <color rgb="FFC9A84C"/>
      </bottom>
      <diagonal/>
    </border>
    <border>
      <left style="medium">
        <color rgb="FFEEEEEE"/>
      </left>
      <right style="medium">
        <color rgb="FFC8D4E3"/>
      </right>
      <top/>
      <bottom/>
      <diagonal/>
    </border>
    <border>
      <left style="medium">
        <color rgb="FFEEEEEE"/>
      </left>
      <right style="medium">
        <color rgb="FFEEEEEE"/>
      </right>
      <top/>
      <bottom/>
      <diagonal/>
    </border>
    <border>
      <left/>
      <right style="medium">
        <color rgb="FFEEEEEE"/>
      </right>
      <top/>
      <bottom/>
      <diagonal/>
    </border>
    <border>
      <left style="medium">
        <color rgb="FFEEEEEE"/>
      </left>
      <right style="medium">
        <color rgb="FFC8D4E3"/>
      </right>
      <top/>
      <bottom style="thin">
        <color rgb="FFC8D4E3"/>
      </bottom>
      <diagonal/>
    </border>
    <border>
      <left/>
      <right style="medium">
        <color rgb="FFEEEEEE"/>
      </right>
      <top/>
      <bottom style="thin">
        <color rgb="FFC8D4E3"/>
      </bottom>
      <diagonal/>
    </border>
    <border>
      <left style="medium">
        <color rgb="FFEEEEEE"/>
      </left>
      <right style="medium">
        <color rgb="FFEEEEEE"/>
      </right>
      <top/>
      <bottom style="thin">
        <color rgb="FFC8D4E3"/>
      </bottom>
      <diagonal/>
    </border>
    <border>
      <left style="medium">
        <color rgb="FFEEEEEE"/>
      </left>
      <right style="medium">
        <color rgb="FFC8D4E3"/>
      </right>
      <top style="thin">
        <color rgb="FFC8D4E3"/>
      </top>
      <bottom style="thin">
        <color rgb="FFC8D4E3"/>
      </bottom>
      <diagonal/>
    </border>
    <border>
      <left/>
      <right style="medium">
        <color rgb="FFEEEEEE"/>
      </right>
      <top style="thin">
        <color rgb="FFC8D4E3"/>
      </top>
      <bottom style="thin">
        <color rgb="FFC8D4E3"/>
      </bottom>
      <diagonal/>
    </border>
    <border>
      <left style="medium">
        <color rgb="FFEEEEEE"/>
      </left>
      <right style="medium">
        <color rgb="FFEEEEEE"/>
      </right>
      <top style="thin">
        <color rgb="FFC8D4E3"/>
      </top>
      <bottom style="thin">
        <color rgb="FFC8D4E3"/>
      </bottom>
      <diagonal/>
    </border>
    <border>
      <left style="medium">
        <color rgb="FFEEEEEE"/>
      </left>
      <right style="medium">
        <color rgb="FFC8D4E3"/>
      </right>
      <top style="thin">
        <color rgb="FFC8D4E3"/>
      </top>
      <bottom/>
      <diagonal/>
    </border>
    <border>
      <left/>
      <right style="medium">
        <color rgb="FFEEEEEE"/>
      </right>
      <top style="thin">
        <color rgb="FFC8D4E3"/>
      </top>
      <bottom/>
      <diagonal/>
    </border>
    <border>
      <left style="medium">
        <color rgb="FFEEEEEE"/>
      </left>
      <right style="medium">
        <color rgb="FFEEEEEE"/>
      </right>
      <top style="thin">
        <color rgb="FFC8D4E3"/>
      </top>
      <bottom/>
      <diagonal/>
    </border>
    <border>
      <left style="medium">
        <color rgb="FFEEEEEE"/>
      </left>
      <right style="medium">
        <color rgb="FFC8D4E3"/>
      </right>
      <top style="thin">
        <color rgb="FFC9A84C"/>
      </top>
      <bottom/>
      <diagonal/>
    </border>
    <border>
      <left/>
      <right style="medium">
        <color rgb="FFEEEEEE"/>
      </right>
      <top style="thin">
        <color rgb="FFC9A84C"/>
      </top>
      <bottom/>
      <diagonal/>
    </border>
    <border>
      <left style="medium">
        <color rgb="FFEEEEEE"/>
      </left>
      <right style="medium">
        <color rgb="FFEEEEEE"/>
      </right>
      <top style="thin">
        <color rgb="FFC9A84C"/>
      </top>
      <bottom/>
      <diagonal/>
    </border>
    <border>
      <left style="medium">
        <color rgb="FFEEEEEE"/>
      </left>
      <right style="medium">
        <color rgb="FFC8D4E3"/>
      </right>
      <top style="thin">
        <color rgb="FFC8D4E3"/>
      </top>
      <bottom style="thin">
        <color rgb="FFC9A84C"/>
      </bottom>
      <diagonal/>
    </border>
    <border>
      <left/>
      <right style="medium">
        <color rgb="FFEEEEEE"/>
      </right>
      <top style="thin">
        <color rgb="FFC8D4E3"/>
      </top>
      <bottom style="thin">
        <color rgb="FFC9A84C"/>
      </bottom>
      <diagonal/>
    </border>
    <border>
      <left style="medium">
        <color rgb="FFEEEEEE"/>
      </left>
      <right style="medium">
        <color rgb="FFEEEEEE"/>
      </right>
      <top style="thin">
        <color rgb="FFC8D4E3"/>
      </top>
      <bottom style="thin">
        <color rgb="FFC9A84C"/>
      </bottom>
      <diagonal/>
    </border>
    <border>
      <left style="medium">
        <color rgb="FFEEEEEE"/>
      </left>
      <right style="thin">
        <color rgb="FFC8D4E3"/>
      </right>
      <top/>
      <bottom style="thin">
        <color rgb="FFC9A84C"/>
      </bottom>
      <diagonal/>
    </border>
    <border>
      <left style="medium">
        <color rgb="FFEEEEEE"/>
      </left>
      <right style="thin">
        <color rgb="FFC8D4E3"/>
      </right>
      <top/>
      <bottom/>
      <diagonal/>
    </border>
    <border>
      <left/>
      <right style="thin">
        <color rgb="FFC8D4E3"/>
      </right>
      <top style="thin">
        <color rgb="FFC8D4E3"/>
      </top>
      <bottom style="thin">
        <color rgb="FFC8D4E3"/>
      </bottom>
      <diagonal/>
    </border>
    <border>
      <left/>
      <right style="thin">
        <color rgb="FFC8D4E3"/>
      </right>
      <top/>
      <bottom style="thin">
        <color rgb="FFC8D4E3"/>
      </bottom>
      <diagonal/>
    </border>
    <border>
      <left/>
      <right style="thin">
        <color rgb="FFC8D4E3"/>
      </right>
      <top style="thin">
        <color rgb="FFC8D4E3"/>
      </top>
      <bottom/>
      <diagonal/>
    </border>
    <border>
      <left/>
      <right style="thin">
        <color rgb="FFC8D4E3"/>
      </right>
      <top style="thin">
        <color rgb="FFC8D4E3"/>
      </top>
      <bottom style="thin">
        <color rgb="FFC9A84C"/>
      </bottom>
      <diagonal/>
    </border>
    <border>
      <left/>
      <right style="medium">
        <color rgb="FFEEEEEE"/>
      </right>
      <top/>
      <bottom style="thin">
        <color rgb="FFC9A84C"/>
      </bottom>
      <diagonal/>
    </border>
    <border>
      <left style="medium">
        <color rgb="FFEEEEEE"/>
      </left>
      <right style="medium">
        <color rgb="FFEEEEEE"/>
      </right>
      <top/>
      <bottom style="thin">
        <color rgb="FFC9A84C"/>
      </bottom>
      <diagonal/>
    </border>
    <border>
      <left/>
      <right style="thin">
        <color rgb="FFC8D4E3"/>
      </right>
      <top style="thin">
        <color rgb="FFC0CDD8"/>
      </top>
      <bottom style="thin">
        <color rgb="FFC8D4E3"/>
      </bottom>
      <diagonal/>
    </border>
    <border>
      <left/>
      <right/>
      <top style="thin">
        <color rgb="FFC0CDD8"/>
      </top>
      <bottom style="thin">
        <color rgb="FFC8D4E3"/>
      </bottom>
      <diagonal/>
    </border>
    <border>
      <left/>
      <right style="thin">
        <color rgb="FFC8D4E3"/>
      </right>
      <top style="medium">
        <color rgb="FFC9A84C"/>
      </top>
      <bottom/>
      <diagonal/>
    </border>
    <border>
      <left/>
      <right/>
      <top style="medium">
        <color rgb="FFC9A84C"/>
      </top>
      <bottom/>
      <diagonal/>
    </border>
    <border>
      <left/>
      <right style="thin">
        <color rgb="FFC8D4E3"/>
      </right>
      <top style="thin">
        <color rgb="FFC0CDD8"/>
      </top>
      <bottom/>
      <diagonal/>
    </border>
    <border>
      <left/>
      <right style="thin">
        <color rgb="FFC8D4E3"/>
      </right>
      <top style="thin">
        <color rgb="FFC0CDD8"/>
      </top>
      <bottom style="medium">
        <color rgb="FFC9A84C"/>
      </bottom>
      <diagonal/>
    </border>
    <border>
      <left/>
      <right/>
      <top style="thin">
        <color rgb="FFC0CDD8"/>
      </top>
      <bottom style="medium">
        <color rgb="FFC9A84C"/>
      </bottom>
      <diagonal/>
    </border>
    <border>
      <left style="medium">
        <color rgb="FF4472C4"/>
      </left>
      <right style="medium">
        <color rgb="FF4472C4"/>
      </right>
      <top style="medium">
        <color rgb="FF4472C4"/>
      </top>
      <bottom/>
      <diagonal/>
    </border>
    <border>
      <left style="medium">
        <color rgb="FF4472C4"/>
      </left>
      <right/>
      <top style="thin">
        <color rgb="FFBDD7EE"/>
      </top>
      <bottom style="thin">
        <color rgb="FF4472C4"/>
      </bottom>
      <diagonal/>
    </border>
    <border>
      <left/>
      <right/>
      <top style="thin">
        <color rgb="FFBDD7EE"/>
      </top>
      <bottom style="thin">
        <color rgb="FF4472C4"/>
      </bottom>
      <diagonal/>
    </border>
    <border>
      <left/>
      <right style="medium">
        <color rgb="FF4472C4"/>
      </right>
      <top style="thin">
        <color rgb="FFBDD7EE"/>
      </top>
      <bottom style="thin">
        <color rgb="FF4472C4"/>
      </bottom>
      <diagonal/>
    </border>
    <border>
      <left style="medium">
        <color rgb="FF4472C4"/>
      </left>
      <right/>
      <top/>
      <bottom style="thin">
        <color rgb="FFBDD7EE"/>
      </bottom>
      <diagonal/>
    </border>
    <border>
      <left/>
      <right/>
      <top/>
      <bottom style="thin">
        <color rgb="FFBDD7EE"/>
      </bottom>
      <diagonal/>
    </border>
    <border>
      <left/>
      <right style="medium">
        <color rgb="FF4472C4"/>
      </right>
      <top/>
      <bottom style="thin">
        <color rgb="FFBDD7EE"/>
      </bottom>
      <diagonal/>
    </border>
    <border>
      <left style="medium">
        <color rgb="FF4472C4"/>
      </left>
      <right/>
      <top style="thin">
        <color rgb="FFBDD7EE"/>
      </top>
      <bottom style="thin">
        <color rgb="FFBDD7EE"/>
      </bottom>
      <diagonal/>
    </border>
    <border>
      <left/>
      <right/>
      <top style="thin">
        <color rgb="FFBDD7EE"/>
      </top>
      <bottom style="thin">
        <color rgb="FFBDD7EE"/>
      </bottom>
      <diagonal/>
    </border>
    <border>
      <left/>
      <right style="medium">
        <color rgb="FF4472C4"/>
      </right>
      <top style="thin">
        <color rgb="FFBDD7EE"/>
      </top>
      <bottom style="thin">
        <color rgb="FFBDD7EE"/>
      </bottom>
      <diagonal/>
    </border>
    <border>
      <left style="medium">
        <color rgb="FF4472C4"/>
      </left>
      <right/>
      <top style="thin">
        <color rgb="FFBDD7EE"/>
      </top>
      <bottom/>
      <diagonal/>
    </border>
    <border>
      <left/>
      <right/>
      <top style="thin">
        <color rgb="FFBDD7EE"/>
      </top>
      <bottom/>
      <diagonal/>
    </border>
    <border>
      <left/>
      <right style="medium">
        <color rgb="FF4472C4"/>
      </right>
      <top style="thin">
        <color rgb="FFBDD7EE"/>
      </top>
      <bottom/>
      <diagonal/>
    </border>
    <border>
      <left style="medium">
        <color rgb="FF4472C4"/>
      </left>
      <right/>
      <top style="thin">
        <color rgb="FFBDD7EE"/>
      </top>
      <bottom style="double">
        <color rgb="FF4472C4"/>
      </bottom>
      <diagonal/>
    </border>
    <border>
      <left/>
      <right/>
      <top style="thin">
        <color rgb="FFBDD7EE"/>
      </top>
      <bottom style="double">
        <color rgb="FF4472C4"/>
      </bottom>
      <diagonal/>
    </border>
    <border>
      <left/>
      <right style="medium">
        <color rgb="FF4472C4"/>
      </right>
      <top style="thin">
        <color rgb="FFBDD7EE"/>
      </top>
      <bottom style="double">
        <color rgb="FF4472C4"/>
      </bottom>
      <diagonal/>
    </border>
    <border>
      <left style="medium">
        <color rgb="FF4472C4"/>
      </left>
      <right/>
      <top style="medium">
        <color rgb="FF4472C4"/>
      </top>
      <bottom style="thin">
        <color rgb="FFBDD7EE"/>
      </bottom>
      <diagonal/>
    </border>
    <border>
      <left/>
      <right/>
      <top style="medium">
        <color rgb="FF4472C4"/>
      </top>
      <bottom style="thin">
        <color rgb="FFBDD7EE"/>
      </bottom>
      <diagonal/>
    </border>
    <border>
      <left/>
      <right style="medium">
        <color rgb="FF4472C4"/>
      </right>
      <top style="medium">
        <color rgb="FF4472C4"/>
      </top>
      <bottom style="thin">
        <color rgb="FFBDD7EE"/>
      </bottom>
      <diagonal/>
    </border>
    <border>
      <left style="medium">
        <color rgb="FF4472C4"/>
      </left>
      <right/>
      <top style="thin">
        <color rgb="FFBDD7EE"/>
      </top>
      <bottom style="medium">
        <color rgb="FF4472C4"/>
      </bottom>
      <diagonal/>
    </border>
    <border>
      <left/>
      <right/>
      <top style="thin">
        <color rgb="FFBDD7EE"/>
      </top>
      <bottom style="medium">
        <color rgb="FF4472C4"/>
      </bottom>
      <diagonal/>
    </border>
    <border>
      <left/>
      <right style="medium">
        <color rgb="FF4472C4"/>
      </right>
      <top style="thin">
        <color rgb="FFBDD7EE"/>
      </top>
      <bottom style="medium">
        <color rgb="FF4472C4"/>
      </bottom>
      <diagonal/>
    </border>
    <border>
      <left style="medium">
        <color rgb="FF4472C4"/>
      </left>
      <right/>
      <top style="medium">
        <color rgb="FF4472C4"/>
      </top>
      <bottom style="medium">
        <color rgb="FF4472C4"/>
      </bottom>
      <diagonal/>
    </border>
    <border>
      <left/>
      <right/>
      <top style="medium">
        <color rgb="FF4472C4"/>
      </top>
      <bottom style="medium">
        <color rgb="FF4472C4"/>
      </bottom>
      <diagonal/>
    </border>
    <border>
      <left/>
      <right/>
      <top/>
      <bottom style="medium">
        <color rgb="FFDBE4F0"/>
      </bottom>
      <diagonal/>
    </border>
    <border>
      <left/>
      <right/>
      <top style="medium">
        <color rgb="FF645DF9"/>
      </top>
      <bottom style="medium">
        <color rgb="FF645DF9"/>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auto="1"/>
      </left>
      <right/>
      <top/>
      <bottom/>
      <diagonal/>
    </border>
    <border>
      <left/>
      <right style="thin">
        <color auto="1"/>
      </right>
      <top/>
      <bottom/>
      <diagonal/>
    </border>
    <border>
      <left/>
      <right/>
      <top style="thin">
        <color auto="1"/>
      </top>
      <bottom style="thick">
        <color auto="1"/>
      </bottom>
      <diagonal/>
    </border>
    <border>
      <left style="medium">
        <color rgb="FF4472C4"/>
      </left>
      <right style="thin">
        <color rgb="FFBDD7EE"/>
      </right>
      <top style="medium">
        <color rgb="FF4472C4"/>
      </top>
      <bottom/>
      <diagonal/>
    </border>
    <border>
      <left/>
      <right/>
      <top style="medium">
        <color rgb="FF4472C4"/>
      </top>
      <bottom/>
      <diagonal/>
    </border>
    <border>
      <left/>
      <right style="medium">
        <color rgb="FF4472C4"/>
      </right>
      <top style="medium">
        <color rgb="FF4472C4"/>
      </top>
      <bottom/>
      <diagonal/>
    </border>
    <border>
      <left style="medium">
        <color rgb="FF4472C4"/>
      </left>
      <right style="thin">
        <color rgb="FFBDD7EE"/>
      </right>
      <top style="medium">
        <color rgb="FF4472C4"/>
      </top>
      <bottom style="thin">
        <color rgb="FF4472C4"/>
      </bottom>
      <diagonal/>
    </border>
    <border>
      <left/>
      <right/>
      <top style="medium">
        <color rgb="FF4472C4"/>
      </top>
      <bottom style="thin">
        <color rgb="FF4472C4"/>
      </bottom>
      <diagonal/>
    </border>
    <border>
      <left/>
      <right style="medium">
        <color rgb="FF4472C4"/>
      </right>
      <top style="medium">
        <color rgb="FF4472C4"/>
      </top>
      <bottom style="thin">
        <color rgb="FF4472C4"/>
      </bottom>
      <diagonal/>
    </border>
    <border>
      <left style="medium">
        <color rgb="FF4472C4"/>
      </left>
      <right style="thin">
        <color rgb="FFBDD7EE"/>
      </right>
      <top/>
      <bottom/>
      <diagonal/>
    </border>
    <border>
      <left/>
      <right style="medium">
        <color rgb="FF4472C4"/>
      </right>
      <top/>
      <bottom/>
      <diagonal/>
    </border>
    <border>
      <left style="medium">
        <color rgb="FF4472C4"/>
      </left>
      <right style="thin">
        <color rgb="FFBDD7EE"/>
      </right>
      <top style="thin">
        <color rgb="FFBDD7EE"/>
      </top>
      <bottom/>
      <diagonal/>
    </border>
    <border>
      <left style="medium">
        <color rgb="FF4472C4"/>
      </left>
      <right style="thin">
        <color rgb="FFBDD7EE"/>
      </right>
      <top/>
      <bottom style="thin">
        <color rgb="FF4472C4"/>
      </bottom>
      <diagonal/>
    </border>
    <border>
      <left/>
      <right/>
      <top/>
      <bottom style="thin">
        <color rgb="FF4472C4"/>
      </bottom>
      <diagonal/>
    </border>
    <border>
      <left/>
      <right style="medium">
        <color rgb="FF4472C4"/>
      </right>
      <top/>
      <bottom style="thin">
        <color rgb="FF4472C4"/>
      </bottom>
      <diagonal/>
    </border>
    <border>
      <left style="medium">
        <color rgb="FF4472C4"/>
      </left>
      <right style="thin">
        <color rgb="FFBDD7EE"/>
      </right>
      <top/>
      <bottom style="medium">
        <color rgb="FF4472C4"/>
      </bottom>
      <diagonal/>
    </border>
    <border>
      <left/>
      <right/>
      <top/>
      <bottom style="medium">
        <color rgb="FF4472C4"/>
      </bottom>
      <diagonal/>
    </border>
    <border>
      <left/>
      <right style="medium">
        <color rgb="FF4472C4"/>
      </right>
      <top/>
      <bottom style="medium">
        <color rgb="FF4472C4"/>
      </bottom>
      <diagonal/>
    </border>
    <border>
      <left style="thin">
        <color auto="1"/>
      </left>
      <right style="thin">
        <color theme="0"/>
      </right>
      <top style="thin">
        <color auto="1"/>
      </top>
      <bottom style="thin">
        <color theme="0"/>
      </bottom>
      <diagonal/>
    </border>
    <border>
      <left style="thin">
        <color auto="1"/>
      </left>
      <right style="thin">
        <color theme="0"/>
      </right>
      <top style="thin">
        <color theme="0"/>
      </top>
      <bottom style="thin">
        <color theme="0"/>
      </bottom>
      <diagonal/>
    </border>
    <border>
      <left/>
      <right/>
      <top/>
      <bottom style="thin">
        <color rgb="FF595959"/>
      </bottom>
      <diagonal/>
    </border>
    <border>
      <left style="thin">
        <color auto="1"/>
      </left>
      <right/>
      <top/>
      <bottom style="thin">
        <color auto="1"/>
      </bottom>
      <diagonal/>
    </border>
    <border>
      <left style="thin">
        <color auto="1"/>
      </left>
      <right style="thin">
        <color auto="1"/>
      </right>
      <top style="thin">
        <color auto="1"/>
      </top>
      <bottom style="thin">
        <color theme="0"/>
      </bottom>
      <diagonal/>
    </border>
    <border>
      <left style="thin">
        <color auto="1"/>
      </left>
      <right style="thin">
        <color theme="0"/>
      </right>
      <top/>
      <bottom style="thin">
        <color theme="0"/>
      </bottom>
      <diagonal/>
    </border>
    <border>
      <left/>
      <right/>
      <top style="thin">
        <color rgb="FF595959"/>
      </top>
      <bottom style="thin">
        <color rgb="FF595959"/>
      </bottom>
      <diagonal/>
    </border>
    <border>
      <left style="thin">
        <color auto="1"/>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right/>
      <top style="medium">
        <color rgb="FF003366"/>
      </top>
      <bottom style="medium">
        <color rgb="FF003366"/>
      </bottom>
      <diagonal/>
    </border>
    <border>
      <left/>
      <right/>
      <top/>
      <bottom style="thin">
        <color auto="1"/>
      </bottom>
      <diagonal/>
    </border>
  </borders>
  <cellStyleXfs count="3">
    <xf numFmtId="0" fontId="0" fillId="0" borderId="0"/>
    <xf numFmtId="9" fontId="52" fillId="0" borderId="0"/>
    <xf numFmtId="0" fontId="30" fillId="0" borderId="0"/>
  </cellStyleXfs>
  <cellXfs count="679">
    <xf numFmtId="0" fontId="0" fillId="0" borderId="0" xfId="0"/>
    <xf numFmtId="0" fontId="3" fillId="4" borderId="5" xfId="0" applyFont="1" applyFill="1" applyBorder="1" applyAlignment="1">
      <alignment horizontal="right" vertical="center"/>
    </xf>
    <xf numFmtId="0" fontId="7" fillId="5" borderId="0" xfId="0" applyFont="1" applyFill="1" applyAlignment="1">
      <alignment vertical="center" wrapText="1"/>
    </xf>
    <xf numFmtId="0" fontId="3" fillId="4" borderId="6" xfId="0" applyFont="1" applyFill="1" applyBorder="1" applyAlignment="1">
      <alignment horizontal="right" vertical="center"/>
    </xf>
    <xf numFmtId="0" fontId="3" fillId="4" borderId="5" xfId="0" applyFont="1" applyFill="1" applyBorder="1" applyAlignment="1">
      <alignment horizontal="center" vertical="center"/>
    </xf>
    <xf numFmtId="0" fontId="3" fillId="4" borderId="4" xfId="0" applyFont="1" applyFill="1" applyBorder="1" applyAlignment="1">
      <alignment horizontal="left" vertical="center"/>
    </xf>
    <xf numFmtId="0" fontId="1" fillId="0" borderId="0" xfId="0" applyFont="1" applyAlignment="1">
      <alignment horizontal="left"/>
    </xf>
    <xf numFmtId="0" fontId="2" fillId="5" borderId="0" xfId="0" applyFont="1" applyFill="1" applyAlignment="1">
      <alignment horizontal="center"/>
    </xf>
    <xf numFmtId="0" fontId="4" fillId="5" borderId="2" xfId="0" applyFont="1" applyFill="1" applyBorder="1" applyAlignment="1">
      <alignment horizontal="left"/>
    </xf>
    <xf numFmtId="0" fontId="2" fillId="6" borderId="0" xfId="0" applyFont="1" applyFill="1" applyAlignment="1">
      <alignment horizontal="center"/>
    </xf>
    <xf numFmtId="0" fontId="2" fillId="5" borderId="0" xfId="0" applyFont="1" applyFill="1" applyAlignment="1">
      <alignment horizontal="left"/>
    </xf>
    <xf numFmtId="0" fontId="2" fillId="6" borderId="0" xfId="0" applyFont="1" applyFill="1" applyAlignment="1">
      <alignment horizontal="left"/>
    </xf>
    <xf numFmtId="0" fontId="1" fillId="0" borderId="0" xfId="0" applyFont="1" applyAlignment="1">
      <alignment horizontal="center"/>
    </xf>
    <xf numFmtId="0" fontId="1" fillId="0" borderId="0" xfId="0" applyFont="1" applyAlignment="1">
      <alignment horizontal="center" vertical="center"/>
    </xf>
    <xf numFmtId="0" fontId="2" fillId="3" borderId="1" xfId="0" applyFont="1" applyFill="1" applyBorder="1" applyAlignment="1">
      <alignment horizontal="center" vertical="center" wrapText="1"/>
    </xf>
    <xf numFmtId="0" fontId="0" fillId="2" borderId="0" xfId="0" applyFill="1"/>
    <xf numFmtId="0" fontId="1" fillId="0" borderId="0" xfId="0" applyFont="1"/>
    <xf numFmtId="0" fontId="3" fillId="4" borderId="2" xfId="0" applyFont="1" applyFill="1" applyBorder="1"/>
    <xf numFmtId="0" fontId="2" fillId="5" borderId="0" xfId="0" applyFont="1" applyFill="1"/>
    <xf numFmtId="0" fontId="2" fillId="6" borderId="0" xfId="0" applyFont="1" applyFill="1" applyAlignment="1">
      <alignment horizontal="left"/>
    </xf>
    <xf numFmtId="0" fontId="2" fillId="6" borderId="0" xfId="0" applyFont="1" applyFill="1"/>
    <xf numFmtId="0" fontId="4" fillId="5" borderId="2" xfId="0" applyFont="1" applyFill="1" applyBorder="1"/>
    <xf numFmtId="0" fontId="1" fillId="0" borderId="0" xfId="0" applyFont="1" applyAlignment="1">
      <alignment horizontal="left"/>
    </xf>
    <xf numFmtId="0" fontId="1" fillId="0" borderId="0" xfId="0" applyFont="1" applyAlignment="1">
      <alignment horizontal="right"/>
    </xf>
    <xf numFmtId="0" fontId="3" fillId="4" borderId="3" xfId="0" applyFont="1" applyFill="1" applyBorder="1"/>
    <xf numFmtId="0" fontId="1" fillId="5" borderId="0" xfId="0" applyFont="1" applyFill="1"/>
    <xf numFmtId="0" fontId="5" fillId="7" borderId="0" xfId="0" applyFont="1" applyFill="1"/>
    <xf numFmtId="0" fontId="5" fillId="7" borderId="7" xfId="0" applyFont="1" applyFill="1" applyBorder="1" applyAlignment="1">
      <alignment horizontal="left" vertical="center"/>
    </xf>
    <xf numFmtId="0" fontId="5" fillId="7" borderId="8" xfId="0" applyFont="1" applyFill="1" applyBorder="1" applyAlignment="1">
      <alignment horizontal="left" vertical="center"/>
    </xf>
    <xf numFmtId="0" fontId="5" fillId="7" borderId="9" xfId="0" applyFont="1" applyFill="1" applyBorder="1" applyAlignment="1">
      <alignment horizontal="right" vertical="center"/>
    </xf>
    <xf numFmtId="0" fontId="6" fillId="6" borderId="0" xfId="0" applyFont="1" applyFill="1"/>
    <xf numFmtId="0" fontId="6" fillId="6" borderId="7" xfId="0" applyFont="1" applyFill="1" applyBorder="1" applyAlignment="1">
      <alignment horizontal="left" vertical="center"/>
    </xf>
    <xf numFmtId="0" fontId="6" fillId="6" borderId="8" xfId="0" applyFont="1" applyFill="1" applyBorder="1" applyAlignment="1">
      <alignment horizontal="left" vertical="center"/>
    </xf>
    <xf numFmtId="0" fontId="6" fillId="6" borderId="9" xfId="0" applyFont="1" applyFill="1" applyBorder="1" applyAlignment="1">
      <alignment horizontal="right" vertical="center"/>
    </xf>
    <xf numFmtId="0" fontId="6" fillId="5" borderId="0" xfId="0" applyFont="1" applyFill="1"/>
    <xf numFmtId="0" fontId="6" fillId="5" borderId="7" xfId="0" applyFont="1" applyFill="1" applyBorder="1" applyAlignment="1">
      <alignment horizontal="left" vertical="center"/>
    </xf>
    <xf numFmtId="0" fontId="6" fillId="5" borderId="8" xfId="0" applyFont="1" applyFill="1" applyBorder="1" applyAlignment="1">
      <alignment horizontal="left" vertical="center"/>
    </xf>
    <xf numFmtId="0" fontId="6" fillId="5" borderId="9" xfId="0" applyFont="1" applyFill="1" applyBorder="1" applyAlignment="1">
      <alignment horizontal="right" vertical="center"/>
    </xf>
    <xf numFmtId="3" fontId="6" fillId="5" borderId="9" xfId="0" applyNumberFormat="1" applyFont="1" applyFill="1" applyBorder="1" applyAlignment="1">
      <alignment horizontal="right" vertical="center"/>
    </xf>
    <xf numFmtId="3" fontId="6" fillId="6" borderId="9" xfId="0" applyNumberFormat="1" applyFont="1" applyFill="1" applyBorder="1" applyAlignment="1">
      <alignment horizontal="right" vertical="center"/>
    </xf>
    <xf numFmtId="0" fontId="3" fillId="8" borderId="10" xfId="0" applyFont="1" applyFill="1" applyBorder="1"/>
    <xf numFmtId="0" fontId="3" fillId="8" borderId="11" xfId="0" applyFont="1" applyFill="1" applyBorder="1" applyAlignment="1">
      <alignment horizontal="left" vertical="center"/>
    </xf>
    <xf numFmtId="0" fontId="3" fillId="8" borderId="12" xfId="0" applyFont="1" applyFill="1" applyBorder="1" applyAlignment="1">
      <alignment horizontal="left" vertical="center"/>
    </xf>
    <xf numFmtId="0" fontId="3" fillId="8" borderId="13" xfId="0" applyFont="1" applyFill="1" applyBorder="1" applyAlignment="1">
      <alignment horizontal="right" vertical="center"/>
    </xf>
    <xf numFmtId="0" fontId="5" fillId="7" borderId="14" xfId="0" applyFont="1" applyFill="1" applyBorder="1" applyAlignment="1">
      <alignment horizontal="left" vertical="center"/>
    </xf>
    <xf numFmtId="0" fontId="5" fillId="7" borderId="15" xfId="0" applyFont="1" applyFill="1" applyBorder="1" applyAlignment="1">
      <alignment horizontal="left" vertical="center"/>
    </xf>
    <xf numFmtId="0" fontId="5" fillId="7" borderId="16" xfId="0" applyFont="1" applyFill="1" applyBorder="1" applyAlignment="1">
      <alignment horizontal="right" vertical="center"/>
    </xf>
    <xf numFmtId="0" fontId="0" fillId="9" borderId="0" xfId="0" applyFill="1"/>
    <xf numFmtId="0" fontId="1" fillId="5" borderId="7" xfId="0" applyFont="1" applyFill="1" applyBorder="1" applyAlignment="1">
      <alignment horizontal="left"/>
    </xf>
    <xf numFmtId="0" fontId="1" fillId="5" borderId="8" xfId="0" applyFont="1" applyFill="1" applyBorder="1" applyAlignment="1">
      <alignment horizontal="right"/>
    </xf>
    <xf numFmtId="0" fontId="1" fillId="5" borderId="9" xfId="0" applyFont="1" applyFill="1" applyBorder="1" applyAlignment="1">
      <alignment horizontal="right"/>
    </xf>
    <xf numFmtId="10" fontId="1" fillId="5" borderId="9" xfId="0" applyNumberFormat="1" applyFont="1" applyFill="1" applyBorder="1" applyAlignment="1">
      <alignment horizontal="right"/>
    </xf>
    <xf numFmtId="0" fontId="5" fillId="7" borderId="8" xfId="0" applyFont="1" applyFill="1" applyBorder="1" applyAlignment="1">
      <alignment horizontal="right" vertical="center"/>
    </xf>
    <xf numFmtId="10" fontId="5" fillId="7" borderId="9" xfId="0" applyNumberFormat="1" applyFont="1" applyFill="1" applyBorder="1" applyAlignment="1">
      <alignment horizontal="right" vertical="center"/>
    </xf>
    <xf numFmtId="0" fontId="6" fillId="6" borderId="8" xfId="0" applyFont="1" applyFill="1" applyBorder="1" applyAlignment="1">
      <alignment horizontal="right" vertical="center"/>
    </xf>
    <xf numFmtId="10" fontId="6" fillId="6" borderId="9" xfId="0" applyNumberFormat="1" applyFont="1" applyFill="1" applyBorder="1" applyAlignment="1">
      <alignment horizontal="right" vertical="center"/>
    </xf>
    <xf numFmtId="0" fontId="6" fillId="5" borderId="8" xfId="0" applyFont="1" applyFill="1" applyBorder="1" applyAlignment="1">
      <alignment horizontal="right" vertical="center"/>
    </xf>
    <xf numFmtId="10" fontId="6" fillId="5" borderId="9" xfId="0" applyNumberFormat="1" applyFont="1" applyFill="1" applyBorder="1" applyAlignment="1">
      <alignment horizontal="right" vertical="center"/>
    </xf>
    <xf numFmtId="0" fontId="6" fillId="6" borderId="17" xfId="0" applyFont="1" applyFill="1" applyBorder="1" applyAlignment="1">
      <alignment horizontal="left" vertical="center"/>
    </xf>
    <xf numFmtId="0" fontId="6" fillId="6" borderId="18" xfId="0" applyFont="1" applyFill="1" applyBorder="1" applyAlignment="1">
      <alignment horizontal="right" vertical="center"/>
    </xf>
    <xf numFmtId="0" fontId="6" fillId="6" borderId="19" xfId="0" applyFont="1" applyFill="1" applyBorder="1" applyAlignment="1">
      <alignment horizontal="right" vertical="center"/>
    </xf>
    <xf numFmtId="10" fontId="6" fillId="6" borderId="19" xfId="0" applyNumberFormat="1" applyFont="1" applyFill="1" applyBorder="1" applyAlignment="1">
      <alignment horizontal="right" vertical="center"/>
    </xf>
    <xf numFmtId="0" fontId="3" fillId="8" borderId="12" xfId="0" applyFont="1" applyFill="1" applyBorder="1" applyAlignment="1">
      <alignment horizontal="right" vertical="center"/>
    </xf>
    <xf numFmtId="10" fontId="3" fillId="8" borderId="13" xfId="0" applyNumberFormat="1" applyFont="1" applyFill="1" applyBorder="1" applyAlignment="1">
      <alignment horizontal="right" vertical="center"/>
    </xf>
    <xf numFmtId="0" fontId="5" fillId="7" borderId="15" xfId="0" applyFont="1" applyFill="1" applyBorder="1" applyAlignment="1">
      <alignment horizontal="right" vertical="center"/>
    </xf>
    <xf numFmtId="10" fontId="5" fillId="7" borderId="16" xfId="0" applyNumberFormat="1" applyFont="1" applyFill="1" applyBorder="1" applyAlignment="1">
      <alignment horizontal="right" vertical="center"/>
    </xf>
    <xf numFmtId="0" fontId="6" fillId="5" borderId="17" xfId="0" applyFont="1" applyFill="1" applyBorder="1" applyAlignment="1">
      <alignment horizontal="left" vertical="center"/>
    </xf>
    <xf numFmtId="0" fontId="6" fillId="5" borderId="18" xfId="0" applyFont="1" applyFill="1" applyBorder="1" applyAlignment="1">
      <alignment horizontal="right" vertical="center"/>
    </xf>
    <xf numFmtId="3" fontId="6" fillId="5" borderId="19" xfId="0" applyNumberFormat="1" applyFont="1" applyFill="1" applyBorder="1" applyAlignment="1">
      <alignment horizontal="right" vertical="center"/>
    </xf>
    <xf numFmtId="10" fontId="6" fillId="5" borderId="19" xfId="0" applyNumberFormat="1" applyFont="1" applyFill="1" applyBorder="1" applyAlignment="1">
      <alignment horizontal="right" vertical="center"/>
    </xf>
    <xf numFmtId="0" fontId="6" fillId="5" borderId="19" xfId="0" applyFont="1" applyFill="1" applyBorder="1" applyAlignment="1">
      <alignment horizontal="right" vertical="center"/>
    </xf>
    <xf numFmtId="0" fontId="3" fillId="8" borderId="17" xfId="0" applyFont="1" applyFill="1" applyBorder="1" applyAlignment="1">
      <alignment horizontal="left" vertical="center"/>
    </xf>
    <xf numFmtId="0" fontId="3" fillId="8" borderId="18" xfId="0" applyFont="1" applyFill="1" applyBorder="1" applyAlignment="1">
      <alignment horizontal="right" vertical="center"/>
    </xf>
    <xf numFmtId="0" fontId="3" fillId="8" borderId="19" xfId="0" applyFont="1" applyFill="1" applyBorder="1" applyAlignment="1">
      <alignment horizontal="right" vertical="center"/>
    </xf>
    <xf numFmtId="10" fontId="3" fillId="8" borderId="19" xfId="0" applyNumberFormat="1" applyFont="1" applyFill="1" applyBorder="1" applyAlignment="1">
      <alignment horizontal="right" vertical="center"/>
    </xf>
    <xf numFmtId="0" fontId="8" fillId="10" borderId="20" xfId="0" applyFont="1" applyFill="1" applyBorder="1" applyAlignment="1">
      <alignment horizontal="left" vertical="center"/>
    </xf>
    <xf numFmtId="0" fontId="8" fillId="10" borderId="21" xfId="0" applyFont="1" applyFill="1" applyBorder="1" applyAlignment="1">
      <alignment horizontal="right" vertical="center"/>
    </xf>
    <xf numFmtId="0" fontId="8" fillId="10" borderId="22" xfId="0" applyFont="1" applyFill="1" applyBorder="1" applyAlignment="1">
      <alignment horizontal="right" vertical="center"/>
    </xf>
    <xf numFmtId="10" fontId="8" fillId="10" borderId="22" xfId="0" applyNumberFormat="1" applyFont="1" applyFill="1" applyBorder="1" applyAlignment="1">
      <alignment horizontal="right" vertical="center"/>
    </xf>
    <xf numFmtId="0" fontId="9" fillId="10" borderId="3" xfId="0" applyFont="1" applyFill="1" applyBorder="1"/>
    <xf numFmtId="0" fontId="9" fillId="10" borderId="23" xfId="0" applyFont="1" applyFill="1" applyBorder="1" applyAlignment="1">
      <alignment horizontal="left"/>
    </xf>
    <xf numFmtId="0" fontId="9" fillId="10" borderId="3" xfId="0" applyFont="1" applyFill="1" applyBorder="1" applyAlignment="1">
      <alignment horizontal="right"/>
    </xf>
    <xf numFmtId="0" fontId="10" fillId="7" borderId="0" xfId="0" applyFont="1" applyFill="1"/>
    <xf numFmtId="0" fontId="10" fillId="7" borderId="0" xfId="0" applyFont="1" applyFill="1" applyAlignment="1">
      <alignment horizontal="right"/>
    </xf>
    <xf numFmtId="0" fontId="3" fillId="4" borderId="25" xfId="0" applyFont="1" applyFill="1" applyBorder="1"/>
    <xf numFmtId="0" fontId="3" fillId="4" borderId="25" xfId="0" applyFont="1" applyFill="1" applyBorder="1" applyAlignment="1">
      <alignment horizontal="right"/>
    </xf>
    <xf numFmtId="0" fontId="6" fillId="5" borderId="27" xfId="0" applyFont="1" applyFill="1" applyBorder="1" applyAlignment="1">
      <alignment horizontal="left" vertical="center" wrapText="1"/>
    </xf>
    <xf numFmtId="164" fontId="6" fillId="5" borderId="28" xfId="0" applyNumberFormat="1" applyFont="1" applyFill="1" applyBorder="1" applyAlignment="1">
      <alignment horizontal="right" vertical="center" wrapText="1"/>
    </xf>
    <xf numFmtId="164" fontId="6" fillId="5" borderId="29" xfId="0" applyNumberFormat="1" applyFont="1" applyFill="1" applyBorder="1" applyAlignment="1">
      <alignment horizontal="right" vertical="center" wrapText="1"/>
    </xf>
    <xf numFmtId="164" fontId="6" fillId="5" borderId="0" xfId="0" applyNumberFormat="1" applyFont="1" applyFill="1" applyAlignment="1">
      <alignment horizontal="right"/>
    </xf>
    <xf numFmtId="165" fontId="6" fillId="5" borderId="0" xfId="0" applyNumberFormat="1" applyFont="1" applyFill="1" applyAlignment="1">
      <alignment horizontal="right"/>
    </xf>
    <xf numFmtId="0" fontId="3" fillId="4" borderId="0" xfId="0" applyFont="1" applyFill="1"/>
    <xf numFmtId="0" fontId="3" fillId="4" borderId="30" xfId="0" applyFont="1" applyFill="1" applyBorder="1" applyAlignment="1">
      <alignment horizontal="left"/>
    </xf>
    <xf numFmtId="164" fontId="3" fillId="4" borderId="31" xfId="0" applyNumberFormat="1" applyFont="1" applyFill="1" applyBorder="1" applyAlignment="1">
      <alignment horizontal="right"/>
    </xf>
    <xf numFmtId="164" fontId="3" fillId="4" borderId="32" xfId="0" applyNumberFormat="1" applyFont="1" applyFill="1" applyBorder="1" applyAlignment="1">
      <alignment horizontal="right"/>
    </xf>
    <xf numFmtId="164" fontId="3" fillId="4" borderId="0" xfId="0" applyNumberFormat="1" applyFont="1" applyFill="1" applyAlignment="1">
      <alignment horizontal="right"/>
    </xf>
    <xf numFmtId="165" fontId="3" fillId="4" borderId="0" xfId="0" applyNumberFormat="1" applyFont="1" applyFill="1" applyAlignment="1">
      <alignment horizontal="right"/>
    </xf>
    <xf numFmtId="0" fontId="6" fillId="6" borderId="30" xfId="0" applyFont="1" applyFill="1" applyBorder="1" applyAlignment="1">
      <alignment horizontal="left" indent="1"/>
    </xf>
    <xf numFmtId="164" fontId="6" fillId="6" borderId="31" xfId="0" applyNumberFormat="1" applyFont="1" applyFill="1" applyBorder="1" applyAlignment="1">
      <alignment horizontal="right"/>
    </xf>
    <xf numFmtId="164" fontId="6" fillId="6" borderId="32" xfId="0" applyNumberFormat="1" applyFont="1" applyFill="1" applyBorder="1" applyAlignment="1">
      <alignment horizontal="right"/>
    </xf>
    <xf numFmtId="164" fontId="6" fillId="6" borderId="0" xfId="0" applyNumberFormat="1" applyFont="1" applyFill="1" applyAlignment="1">
      <alignment horizontal="right"/>
    </xf>
    <xf numFmtId="165" fontId="6" fillId="6" borderId="0" xfId="0" applyNumberFormat="1" applyFont="1" applyFill="1" applyAlignment="1">
      <alignment horizontal="right"/>
    </xf>
    <xf numFmtId="0" fontId="6" fillId="5" borderId="30" xfId="0" applyFont="1" applyFill="1" applyBorder="1" applyAlignment="1">
      <alignment horizontal="left" indent="1"/>
    </xf>
    <xf numFmtId="164" fontId="6" fillId="5" borderId="31" xfId="0" applyNumberFormat="1" applyFont="1" applyFill="1" applyBorder="1" applyAlignment="1">
      <alignment horizontal="right"/>
    </xf>
    <xf numFmtId="164" fontId="6" fillId="5" borderId="32" xfId="0" applyNumberFormat="1" applyFont="1" applyFill="1" applyBorder="1" applyAlignment="1">
      <alignment horizontal="right"/>
    </xf>
    <xf numFmtId="0" fontId="3" fillId="4" borderId="30" xfId="0" applyFont="1" applyFill="1" applyBorder="1" applyAlignment="1">
      <alignment horizontal="left" indent="1"/>
    </xf>
    <xf numFmtId="0" fontId="3" fillId="8" borderId="33" xfId="0" applyFont="1" applyFill="1" applyBorder="1" applyAlignment="1">
      <alignment horizontal="left"/>
    </xf>
    <xf numFmtId="164" fontId="3" fillId="8" borderId="34" xfId="0" applyNumberFormat="1" applyFont="1" applyFill="1" applyBorder="1" applyAlignment="1">
      <alignment horizontal="right"/>
    </xf>
    <xf numFmtId="164" fontId="3" fillId="8" borderId="35" xfId="0" applyNumberFormat="1" applyFont="1" applyFill="1" applyBorder="1" applyAlignment="1">
      <alignment horizontal="right"/>
    </xf>
    <xf numFmtId="164" fontId="3" fillId="8" borderId="10" xfId="0" applyNumberFormat="1" applyFont="1" applyFill="1" applyBorder="1" applyAlignment="1">
      <alignment horizontal="right"/>
    </xf>
    <xf numFmtId="165" fontId="3" fillId="8" borderId="10" xfId="0" applyNumberFormat="1" applyFont="1" applyFill="1" applyBorder="1" applyAlignment="1">
      <alignment horizontal="right"/>
    </xf>
    <xf numFmtId="0" fontId="3" fillId="4" borderId="27" xfId="0" applyFont="1" applyFill="1" applyBorder="1" applyAlignment="1">
      <alignment horizontal="left"/>
    </xf>
    <xf numFmtId="164" fontId="3" fillId="4" borderId="28" xfId="0" applyNumberFormat="1" applyFont="1" applyFill="1" applyBorder="1" applyAlignment="1">
      <alignment horizontal="right"/>
    </xf>
    <xf numFmtId="164" fontId="3" fillId="4" borderId="29" xfId="0" applyNumberFormat="1" applyFont="1" applyFill="1" applyBorder="1" applyAlignment="1">
      <alignment horizontal="right"/>
    </xf>
    <xf numFmtId="0" fontId="3" fillId="8" borderId="0" xfId="0" applyFont="1" applyFill="1"/>
    <xf numFmtId="0" fontId="3" fillId="8" borderId="36" xfId="0" applyFont="1" applyFill="1" applyBorder="1" applyAlignment="1">
      <alignment horizontal="left"/>
    </xf>
    <xf numFmtId="164" fontId="3" fillId="8" borderId="37" xfId="0" applyNumberFormat="1" applyFont="1" applyFill="1" applyBorder="1" applyAlignment="1">
      <alignment horizontal="right"/>
    </xf>
    <xf numFmtId="164" fontId="3" fillId="8" borderId="38" xfId="0" applyNumberFormat="1" applyFont="1" applyFill="1" applyBorder="1" applyAlignment="1">
      <alignment horizontal="right"/>
    </xf>
    <xf numFmtId="164" fontId="3" fillId="8" borderId="0" xfId="0" applyNumberFormat="1" applyFont="1" applyFill="1" applyAlignment="1">
      <alignment horizontal="right"/>
    </xf>
    <xf numFmtId="165" fontId="3" fillId="8" borderId="0" xfId="0" applyNumberFormat="1" applyFont="1" applyFill="1" applyAlignment="1">
      <alignment horizontal="right"/>
    </xf>
    <xf numFmtId="0" fontId="8" fillId="10" borderId="39" xfId="0" applyFont="1" applyFill="1" applyBorder="1"/>
    <xf numFmtId="0" fontId="8" fillId="10" borderId="40" xfId="0" applyFont="1" applyFill="1" applyBorder="1" applyAlignment="1">
      <alignment horizontal="left"/>
    </xf>
    <xf numFmtId="164" fontId="8" fillId="10" borderId="41" xfId="0" applyNumberFormat="1" applyFont="1" applyFill="1" applyBorder="1" applyAlignment="1">
      <alignment horizontal="right"/>
    </xf>
    <xf numFmtId="164" fontId="8" fillId="10" borderId="42" xfId="0" applyNumberFormat="1" applyFont="1" applyFill="1" applyBorder="1" applyAlignment="1">
      <alignment horizontal="right"/>
    </xf>
    <xf numFmtId="164" fontId="8" fillId="10" borderId="39" xfId="0" applyNumberFormat="1" applyFont="1" applyFill="1" applyBorder="1" applyAlignment="1">
      <alignment horizontal="right"/>
    </xf>
    <xf numFmtId="165" fontId="8" fillId="10" borderId="39" xfId="0" applyNumberFormat="1" applyFont="1" applyFill="1" applyBorder="1" applyAlignment="1">
      <alignment horizontal="right"/>
    </xf>
    <xf numFmtId="0" fontId="3" fillId="8" borderId="43" xfId="0" applyFont="1" applyFill="1" applyBorder="1"/>
    <xf numFmtId="0" fontId="3" fillId="8" borderId="44" xfId="0" applyFont="1" applyFill="1" applyBorder="1" applyAlignment="1">
      <alignment horizontal="left"/>
    </xf>
    <xf numFmtId="164" fontId="3" fillId="8" borderId="45" xfId="0" applyNumberFormat="1" applyFont="1" applyFill="1" applyBorder="1" applyAlignment="1">
      <alignment horizontal="right"/>
    </xf>
    <xf numFmtId="164" fontId="3" fillId="8" borderId="46" xfId="0" applyNumberFormat="1" applyFont="1" applyFill="1" applyBorder="1" applyAlignment="1">
      <alignment horizontal="right"/>
    </xf>
    <xf numFmtId="164" fontId="3" fillId="8" borderId="43" xfId="0" applyNumberFormat="1" applyFont="1" applyFill="1" applyBorder="1" applyAlignment="1">
      <alignment horizontal="right"/>
    </xf>
    <xf numFmtId="165" fontId="3" fillId="8" borderId="43" xfId="0" applyNumberFormat="1" applyFont="1" applyFill="1" applyBorder="1" applyAlignment="1">
      <alignment horizontal="right"/>
    </xf>
    <xf numFmtId="0" fontId="3" fillId="8" borderId="44" xfId="0" applyFont="1" applyFill="1" applyBorder="1" applyAlignment="1">
      <alignment horizontal="left" indent="1"/>
    </xf>
    <xf numFmtId="0" fontId="3" fillId="8" borderId="47" xfId="0" applyFont="1" applyFill="1" applyBorder="1"/>
    <xf numFmtId="0" fontId="3" fillId="8" borderId="48" xfId="0" applyFont="1" applyFill="1" applyBorder="1" applyAlignment="1">
      <alignment horizontal="left"/>
    </xf>
    <xf numFmtId="164" fontId="3" fillId="8" borderId="49" xfId="0" applyNumberFormat="1" applyFont="1" applyFill="1" applyBorder="1" applyAlignment="1">
      <alignment horizontal="right"/>
    </xf>
    <xf numFmtId="164" fontId="3" fillId="8" borderId="50" xfId="0" applyNumberFormat="1" applyFont="1" applyFill="1" applyBorder="1" applyAlignment="1">
      <alignment horizontal="right"/>
    </xf>
    <xf numFmtId="164" fontId="3" fillId="8" borderId="47" xfId="0" applyNumberFormat="1" applyFont="1" applyFill="1" applyBorder="1" applyAlignment="1">
      <alignment horizontal="right"/>
    </xf>
    <xf numFmtId="165" fontId="3" fillId="8" borderId="47" xfId="0" applyNumberFormat="1" applyFont="1" applyFill="1" applyBorder="1" applyAlignment="1">
      <alignment horizontal="right"/>
    </xf>
    <xf numFmtId="0" fontId="3" fillId="4" borderId="27" xfId="0" applyFont="1" applyFill="1" applyBorder="1" applyAlignment="1">
      <alignment horizontal="left" indent="1"/>
    </xf>
    <xf numFmtId="0" fontId="6" fillId="5" borderId="27" xfId="0" applyFont="1" applyFill="1" applyBorder="1" applyAlignment="1">
      <alignment horizontal="left" indent="1"/>
    </xf>
    <xf numFmtId="164" fontId="6" fillId="5" borderId="28" xfId="0" applyNumberFormat="1" applyFont="1" applyFill="1" applyBorder="1" applyAlignment="1">
      <alignment horizontal="right"/>
    </xf>
    <xf numFmtId="164" fontId="6" fillId="5" borderId="29" xfId="0" applyNumberFormat="1" applyFont="1" applyFill="1" applyBorder="1" applyAlignment="1">
      <alignment horizontal="right"/>
    </xf>
    <xf numFmtId="0" fontId="8" fillId="10" borderId="43" xfId="0" applyFont="1" applyFill="1" applyBorder="1"/>
    <xf numFmtId="0" fontId="8" fillId="10" borderId="44" xfId="0" applyFont="1" applyFill="1" applyBorder="1" applyAlignment="1">
      <alignment horizontal="left"/>
    </xf>
    <xf numFmtId="164" fontId="8" fillId="10" borderId="45" xfId="0" applyNumberFormat="1" applyFont="1" applyFill="1" applyBorder="1" applyAlignment="1">
      <alignment horizontal="right"/>
    </xf>
    <xf numFmtId="164" fontId="8" fillId="10" borderId="46" xfId="0" applyNumberFormat="1" applyFont="1" applyFill="1" applyBorder="1" applyAlignment="1">
      <alignment horizontal="right"/>
    </xf>
    <xf numFmtId="164" fontId="8" fillId="10" borderId="43" xfId="0" applyNumberFormat="1" applyFont="1" applyFill="1" applyBorder="1" applyAlignment="1">
      <alignment horizontal="right"/>
    </xf>
    <xf numFmtId="165" fontId="8" fillId="10" borderId="43" xfId="0" applyNumberFormat="1" applyFont="1" applyFill="1" applyBorder="1" applyAlignment="1">
      <alignment horizontal="right"/>
    </xf>
    <xf numFmtId="0" fontId="3" fillId="8" borderId="2" xfId="0" applyFont="1" applyFill="1" applyBorder="1"/>
    <xf numFmtId="0" fontId="3" fillId="8" borderId="51" xfId="0" applyFont="1" applyFill="1" applyBorder="1" applyAlignment="1">
      <alignment horizontal="left"/>
    </xf>
    <xf numFmtId="164" fontId="3" fillId="8" borderId="52" xfId="0" applyNumberFormat="1" applyFont="1" applyFill="1" applyBorder="1" applyAlignment="1">
      <alignment horizontal="right"/>
    </xf>
    <xf numFmtId="164" fontId="3" fillId="8" borderId="53" xfId="0" applyNumberFormat="1" applyFont="1" applyFill="1" applyBorder="1" applyAlignment="1">
      <alignment horizontal="right"/>
    </xf>
    <xf numFmtId="164" fontId="3" fillId="8" borderId="2" xfId="0" applyNumberFormat="1" applyFont="1" applyFill="1" applyBorder="1" applyAlignment="1">
      <alignment horizontal="right"/>
    </xf>
    <xf numFmtId="165" fontId="3" fillId="8" borderId="2" xfId="0" applyNumberFormat="1" applyFont="1" applyFill="1" applyBorder="1" applyAlignment="1">
      <alignment horizontal="right"/>
    </xf>
    <xf numFmtId="0" fontId="6" fillId="6" borderId="27" xfId="0" applyFont="1" applyFill="1" applyBorder="1" applyAlignment="1">
      <alignment horizontal="left" indent="1"/>
    </xf>
    <xf numFmtId="164" fontId="6" fillId="6" borderId="28" xfId="0" applyNumberFormat="1" applyFont="1" applyFill="1" applyBorder="1" applyAlignment="1">
      <alignment horizontal="right"/>
    </xf>
    <xf numFmtId="164" fontId="6" fillId="6" borderId="29" xfId="0" applyNumberFormat="1" applyFont="1" applyFill="1" applyBorder="1" applyAlignment="1">
      <alignment horizontal="right"/>
    </xf>
    <xf numFmtId="0" fontId="3" fillId="8" borderId="36" xfId="0" applyFont="1" applyFill="1" applyBorder="1" applyAlignment="1">
      <alignment horizontal="left" indent="1"/>
    </xf>
    <xf numFmtId="0" fontId="3" fillId="8" borderId="48" xfId="0" applyFont="1" applyFill="1" applyBorder="1" applyAlignment="1">
      <alignment horizontal="left" indent="1"/>
    </xf>
    <xf numFmtId="0" fontId="8" fillId="10" borderId="0" xfId="0" applyFont="1" applyFill="1"/>
    <xf numFmtId="0" fontId="8" fillId="10" borderId="36" xfId="0" applyFont="1" applyFill="1" applyBorder="1" applyAlignment="1">
      <alignment horizontal="left" indent="1"/>
    </xf>
    <xf numFmtId="164" fontId="8" fillId="10" borderId="37" xfId="0" applyNumberFormat="1" applyFont="1" applyFill="1" applyBorder="1" applyAlignment="1">
      <alignment horizontal="right"/>
    </xf>
    <xf numFmtId="164" fontId="8" fillId="10" borderId="38" xfId="0" applyNumberFormat="1" applyFont="1" applyFill="1" applyBorder="1" applyAlignment="1">
      <alignment horizontal="right"/>
    </xf>
    <xf numFmtId="164" fontId="8" fillId="10" borderId="0" xfId="0" applyNumberFormat="1" applyFont="1" applyFill="1" applyAlignment="1">
      <alignment horizontal="right"/>
    </xf>
    <xf numFmtId="165" fontId="8" fillId="10" borderId="0" xfId="0" applyNumberFormat="1" applyFont="1" applyFill="1" applyAlignment="1">
      <alignment horizontal="right"/>
    </xf>
    <xf numFmtId="0" fontId="8" fillId="10" borderId="54" xfId="0" applyFont="1" applyFill="1" applyBorder="1"/>
    <xf numFmtId="0" fontId="8" fillId="10" borderId="55" xfId="0" applyFont="1" applyFill="1" applyBorder="1" applyAlignment="1">
      <alignment horizontal="left" indent="1"/>
    </xf>
    <xf numFmtId="164" fontId="8" fillId="10" borderId="56" xfId="0" applyNumberFormat="1" applyFont="1" applyFill="1" applyBorder="1" applyAlignment="1">
      <alignment horizontal="right"/>
    </xf>
    <xf numFmtId="164" fontId="8" fillId="10" borderId="57" xfId="0" applyNumberFormat="1" applyFont="1" applyFill="1" applyBorder="1" applyAlignment="1">
      <alignment horizontal="right"/>
    </xf>
    <xf numFmtId="164" fontId="8" fillId="10" borderId="54" xfId="0" applyNumberFormat="1" applyFont="1" applyFill="1" applyBorder="1" applyAlignment="1">
      <alignment horizontal="right"/>
    </xf>
    <xf numFmtId="165" fontId="8" fillId="10" borderId="54" xfId="0" applyNumberFormat="1" applyFont="1" applyFill="1" applyBorder="1" applyAlignment="1">
      <alignment horizontal="right"/>
    </xf>
    <xf numFmtId="0" fontId="8" fillId="10" borderId="25" xfId="0" applyFont="1" applyFill="1" applyBorder="1"/>
    <xf numFmtId="0" fontId="8" fillId="10" borderId="58" xfId="0" applyFont="1" applyFill="1" applyBorder="1" applyAlignment="1">
      <alignment horizontal="left" indent="1"/>
    </xf>
    <xf numFmtId="164" fontId="8" fillId="10" borderId="59" xfId="0" applyNumberFormat="1" applyFont="1" applyFill="1" applyBorder="1" applyAlignment="1">
      <alignment horizontal="right"/>
    </xf>
    <xf numFmtId="164" fontId="8" fillId="10" borderId="60" xfId="0" applyNumberFormat="1" applyFont="1" applyFill="1" applyBorder="1" applyAlignment="1">
      <alignment horizontal="right"/>
    </xf>
    <xf numFmtId="164" fontId="8" fillId="10" borderId="25" xfId="0" applyNumberFormat="1" applyFont="1" applyFill="1" applyBorder="1" applyAlignment="1">
      <alignment horizontal="right"/>
    </xf>
    <xf numFmtId="165" fontId="8" fillId="10" borderId="25" xfId="0" applyNumberFormat="1" applyFont="1" applyFill="1" applyBorder="1" applyAlignment="1">
      <alignment horizontal="right"/>
    </xf>
    <xf numFmtId="0" fontId="3" fillId="8" borderId="33" xfId="0" applyFont="1" applyFill="1" applyBorder="1" applyAlignment="1">
      <alignment horizontal="left" indent="1"/>
    </xf>
    <xf numFmtId="0" fontId="6" fillId="5" borderId="27" xfId="0" applyFont="1" applyFill="1" applyBorder="1" applyAlignment="1">
      <alignment horizontal="left"/>
    </xf>
    <xf numFmtId="0" fontId="6" fillId="5" borderId="30" xfId="0" applyFont="1" applyFill="1" applyBorder="1" applyAlignment="1">
      <alignment horizontal="left"/>
    </xf>
    <xf numFmtId="0" fontId="11" fillId="10" borderId="3" xfId="0" applyFont="1" applyFill="1" applyBorder="1"/>
    <xf numFmtId="0" fontId="11" fillId="10" borderId="23" xfId="0" applyFont="1" applyFill="1" applyBorder="1" applyAlignment="1">
      <alignment horizontal="left"/>
    </xf>
    <xf numFmtId="0" fontId="11" fillId="10" borderId="3" xfId="0" applyFont="1" applyFill="1" applyBorder="1" applyAlignment="1">
      <alignment horizontal="right"/>
    </xf>
    <xf numFmtId="0" fontId="5" fillId="7" borderId="24" xfId="0" applyFont="1" applyFill="1" applyBorder="1" applyAlignment="1">
      <alignment horizontal="left" vertical="center"/>
    </xf>
    <xf numFmtId="0" fontId="5" fillId="7" borderId="0" xfId="0" applyFont="1" applyFill="1" applyAlignment="1">
      <alignment horizontal="right"/>
    </xf>
    <xf numFmtId="0" fontId="3" fillId="4" borderId="58" xfId="0" applyFont="1" applyFill="1" applyBorder="1" applyAlignment="1">
      <alignment horizontal="left" vertical="center"/>
    </xf>
    <xf numFmtId="0" fontId="3" fillId="4" borderId="59" xfId="0" applyFont="1" applyFill="1" applyBorder="1" applyAlignment="1">
      <alignment horizontal="right" vertical="center"/>
    </xf>
    <xf numFmtId="0" fontId="3" fillId="4" borderId="60" xfId="0" applyFont="1" applyFill="1" applyBorder="1" applyAlignment="1">
      <alignment horizontal="right" vertical="center"/>
    </xf>
    <xf numFmtId="0" fontId="6" fillId="6" borderId="30" xfId="0" applyFont="1" applyFill="1" applyBorder="1" applyAlignment="1">
      <alignment horizontal="left"/>
    </xf>
    <xf numFmtId="165" fontId="6" fillId="6" borderId="32" xfId="0" applyNumberFormat="1" applyFont="1" applyFill="1" applyBorder="1" applyAlignment="1">
      <alignment horizontal="right"/>
    </xf>
    <xf numFmtId="0" fontId="3" fillId="8" borderId="30" xfId="0" applyFont="1" applyFill="1" applyBorder="1" applyAlignment="1">
      <alignment horizontal="left"/>
    </xf>
    <xf numFmtId="164" fontId="3" fillId="8" borderId="31" xfId="0" applyNumberFormat="1" applyFont="1" applyFill="1" applyBorder="1" applyAlignment="1">
      <alignment horizontal="right"/>
    </xf>
    <xf numFmtId="164" fontId="3" fillId="8" borderId="32" xfId="0" applyNumberFormat="1" applyFont="1" applyFill="1" applyBorder="1" applyAlignment="1">
      <alignment horizontal="right"/>
    </xf>
    <xf numFmtId="0" fontId="8" fillId="10" borderId="58" xfId="0" applyFont="1" applyFill="1" applyBorder="1" applyAlignment="1">
      <alignment horizontal="left"/>
    </xf>
    <xf numFmtId="0" fontId="3" fillId="8" borderId="27" xfId="0" applyFont="1" applyFill="1" applyBorder="1" applyAlignment="1">
      <alignment horizontal="left"/>
    </xf>
    <xf numFmtId="164" fontId="3" fillId="8" borderId="28" xfId="0" applyNumberFormat="1" applyFont="1" applyFill="1" applyBorder="1" applyAlignment="1">
      <alignment horizontal="right"/>
    </xf>
    <xf numFmtId="164" fontId="3" fillId="8" borderId="29" xfId="0" applyNumberFormat="1" applyFont="1" applyFill="1" applyBorder="1" applyAlignment="1">
      <alignment horizontal="right"/>
    </xf>
    <xf numFmtId="0" fontId="2" fillId="3" borderId="10" xfId="0" applyFont="1" applyFill="1" applyBorder="1" applyAlignment="1">
      <alignment horizontal="right" wrapText="1"/>
    </xf>
    <xf numFmtId="0" fontId="3" fillId="4" borderId="3" xfId="0" applyFont="1" applyFill="1" applyBorder="1" applyAlignment="1">
      <alignment wrapText="1"/>
    </xf>
    <xf numFmtId="0" fontId="3" fillId="4" borderId="6" xfId="0" applyFont="1" applyFill="1" applyBorder="1" applyAlignment="1">
      <alignment horizontal="left" vertical="center" wrapText="1"/>
    </xf>
    <xf numFmtId="0" fontId="3" fillId="4" borderId="6" xfId="0" applyFont="1" applyFill="1" applyBorder="1" applyAlignment="1">
      <alignment horizontal="right" vertical="center" wrapText="1"/>
    </xf>
    <xf numFmtId="0" fontId="3" fillId="8" borderId="62" xfId="0" applyFont="1" applyFill="1" applyBorder="1" applyAlignment="1">
      <alignment horizontal="left"/>
    </xf>
    <xf numFmtId="3" fontId="3" fillId="8" borderId="62" xfId="0" applyNumberFormat="1" applyFont="1" applyFill="1" applyBorder="1" applyAlignment="1">
      <alignment horizontal="right"/>
    </xf>
    <xf numFmtId="10" fontId="3" fillId="8" borderId="62" xfId="0" applyNumberFormat="1" applyFont="1" applyFill="1" applyBorder="1" applyAlignment="1">
      <alignment horizontal="right"/>
    </xf>
    <xf numFmtId="164" fontId="3" fillId="8" borderId="62" xfId="0" applyNumberFormat="1" applyFont="1" applyFill="1" applyBorder="1" applyAlignment="1">
      <alignment horizontal="right"/>
    </xf>
    <xf numFmtId="4" fontId="3" fillId="8" borderId="62" xfId="0" applyNumberFormat="1" applyFont="1" applyFill="1" applyBorder="1" applyAlignment="1">
      <alignment horizontal="right"/>
    </xf>
    <xf numFmtId="0" fontId="6" fillId="5" borderId="63" xfId="0" applyFont="1" applyFill="1" applyBorder="1"/>
    <xf numFmtId="0" fontId="6" fillId="5" borderId="64" xfId="0" applyFont="1" applyFill="1" applyBorder="1" applyAlignment="1">
      <alignment horizontal="left"/>
    </xf>
    <xf numFmtId="3" fontId="6" fillId="5" borderId="64" xfId="0" applyNumberFormat="1" applyFont="1" applyFill="1" applyBorder="1" applyAlignment="1">
      <alignment horizontal="right"/>
    </xf>
    <xf numFmtId="10" fontId="6" fillId="5" borderId="64" xfId="0" applyNumberFormat="1" applyFont="1" applyFill="1" applyBorder="1" applyAlignment="1">
      <alignment horizontal="right"/>
    </xf>
    <xf numFmtId="164" fontId="6" fillId="5" borderId="64" xfId="0" applyNumberFormat="1" applyFont="1" applyFill="1" applyBorder="1" applyAlignment="1">
      <alignment horizontal="right"/>
    </xf>
    <xf numFmtId="4" fontId="6" fillId="5" borderId="64" xfId="0" applyNumberFormat="1" applyFont="1" applyFill="1" applyBorder="1" applyAlignment="1">
      <alignment horizontal="right"/>
    </xf>
    <xf numFmtId="0" fontId="6" fillId="6" borderId="43" xfId="0" applyFont="1" applyFill="1" applyBorder="1"/>
    <xf numFmtId="0" fontId="6" fillId="6" borderId="65" xfId="0" applyFont="1" applyFill="1" applyBorder="1" applyAlignment="1">
      <alignment horizontal="left"/>
    </xf>
    <xf numFmtId="3" fontId="6" fillId="6" borderId="65" xfId="0" applyNumberFormat="1" applyFont="1" applyFill="1" applyBorder="1" applyAlignment="1">
      <alignment horizontal="right"/>
    </xf>
    <xf numFmtId="10" fontId="6" fillId="6" borderId="65" xfId="0" applyNumberFormat="1" applyFont="1" applyFill="1" applyBorder="1" applyAlignment="1">
      <alignment horizontal="right"/>
    </xf>
    <xf numFmtId="164" fontId="6" fillId="6" borderId="65" xfId="0" applyNumberFormat="1" applyFont="1" applyFill="1" applyBorder="1" applyAlignment="1">
      <alignment horizontal="right"/>
    </xf>
    <xf numFmtId="4" fontId="6" fillId="6" borderId="65" xfId="0" applyNumberFormat="1" applyFont="1" applyFill="1" applyBorder="1" applyAlignment="1">
      <alignment horizontal="right"/>
    </xf>
    <xf numFmtId="0" fontId="6" fillId="5" borderId="47" xfId="0" applyFont="1" applyFill="1" applyBorder="1"/>
    <xf numFmtId="0" fontId="6" fillId="5" borderId="66" xfId="0" applyFont="1" applyFill="1" applyBorder="1" applyAlignment="1">
      <alignment horizontal="left"/>
    </xf>
    <xf numFmtId="3" fontId="6" fillId="5" borderId="66" xfId="0" applyNumberFormat="1" applyFont="1" applyFill="1" applyBorder="1" applyAlignment="1">
      <alignment horizontal="right"/>
    </xf>
    <xf numFmtId="10" fontId="6" fillId="5" borderId="66" xfId="0" applyNumberFormat="1" applyFont="1" applyFill="1" applyBorder="1" applyAlignment="1">
      <alignment horizontal="right"/>
    </xf>
    <xf numFmtId="164" fontId="6" fillId="5" borderId="66" xfId="0" applyNumberFormat="1" applyFont="1" applyFill="1" applyBorder="1" applyAlignment="1">
      <alignment horizontal="right"/>
    </xf>
    <xf numFmtId="4" fontId="6" fillId="5" borderId="66" xfId="0" applyNumberFormat="1" applyFont="1" applyFill="1" applyBorder="1" applyAlignment="1">
      <alignment horizontal="right"/>
    </xf>
    <xf numFmtId="0" fontId="1" fillId="0" borderId="9" xfId="0" applyFont="1" applyBorder="1" applyAlignment="1">
      <alignment horizontal="left"/>
    </xf>
    <xf numFmtId="17" fontId="1" fillId="0" borderId="9" xfId="0" applyNumberFormat="1" applyFont="1" applyBorder="1" applyAlignment="1">
      <alignment horizontal="right"/>
    </xf>
    <xf numFmtId="0" fontId="1" fillId="0" borderId="9" xfId="0" applyFont="1" applyBorder="1" applyAlignment="1">
      <alignment horizontal="right"/>
    </xf>
    <xf numFmtId="0" fontId="3" fillId="4" borderId="9" xfId="0" applyFont="1" applyFill="1" applyBorder="1" applyAlignment="1">
      <alignment horizontal="left"/>
    </xf>
    <xf numFmtId="0" fontId="3" fillId="4" borderId="9" xfId="0" applyFont="1" applyFill="1" applyBorder="1" applyAlignment="1">
      <alignment horizontal="right"/>
    </xf>
    <xf numFmtId="0" fontId="3" fillId="8" borderId="9" xfId="0" applyFont="1" applyFill="1" applyBorder="1" applyAlignment="1">
      <alignment horizontal="left"/>
    </xf>
    <xf numFmtId="0" fontId="3" fillId="8" borderId="9" xfId="0" applyFont="1" applyFill="1" applyBorder="1" applyAlignment="1">
      <alignment horizontal="right"/>
    </xf>
    <xf numFmtId="0" fontId="6" fillId="5" borderId="9" xfId="0" applyFont="1" applyFill="1" applyBorder="1" applyAlignment="1">
      <alignment horizontal="left"/>
    </xf>
    <xf numFmtId="0" fontId="6" fillId="5" borderId="9" xfId="0" applyFont="1" applyFill="1" applyBorder="1" applyAlignment="1">
      <alignment horizontal="right"/>
    </xf>
    <xf numFmtId="0" fontId="6" fillId="6" borderId="9" xfId="0" applyFont="1" applyFill="1" applyBorder="1" applyAlignment="1">
      <alignment horizontal="left"/>
    </xf>
    <xf numFmtId="0" fontId="6" fillId="6" borderId="9" xfId="0" applyFont="1" applyFill="1" applyBorder="1" applyAlignment="1">
      <alignment horizontal="right"/>
    </xf>
    <xf numFmtId="9" fontId="6" fillId="6" borderId="9" xfId="0" applyNumberFormat="1" applyFont="1" applyFill="1" applyBorder="1" applyAlignment="1">
      <alignment horizontal="right"/>
    </xf>
    <xf numFmtId="0" fontId="6" fillId="5" borderId="0" xfId="0" applyFont="1" applyFill="1" applyAlignment="1">
      <alignment horizontal="left"/>
    </xf>
    <xf numFmtId="9" fontId="6" fillId="5" borderId="0" xfId="0" applyNumberFormat="1" applyFont="1" applyFill="1" applyAlignment="1">
      <alignment horizontal="right"/>
    </xf>
    <xf numFmtId="0" fontId="6" fillId="5" borderId="0" xfId="0" applyFont="1" applyFill="1" applyAlignment="1">
      <alignment horizontal="right"/>
    </xf>
    <xf numFmtId="0" fontId="13" fillId="11" borderId="0" xfId="0" applyFont="1" applyFill="1" applyAlignment="1">
      <alignment horizontal="left"/>
    </xf>
    <xf numFmtId="9" fontId="13" fillId="11" borderId="0" xfId="0" applyNumberFormat="1" applyFont="1" applyFill="1" applyAlignment="1">
      <alignment horizontal="right"/>
    </xf>
    <xf numFmtId="0" fontId="14" fillId="0" borderId="0" xfId="0" applyFont="1" applyAlignment="1">
      <alignment horizontal="right"/>
    </xf>
    <xf numFmtId="0" fontId="13" fillId="11" borderId="0" xfId="0" applyFont="1" applyFill="1" applyAlignment="1">
      <alignment horizontal="right"/>
    </xf>
    <xf numFmtId="0" fontId="3" fillId="4" borderId="54" xfId="0" applyFont="1" applyFill="1" applyBorder="1"/>
    <xf numFmtId="0" fontId="2" fillId="3" borderId="67" xfId="0" applyFont="1" applyFill="1" applyBorder="1" applyAlignment="1">
      <alignment wrapText="1"/>
    </xf>
    <xf numFmtId="0" fontId="2" fillId="3" borderId="68" xfId="0" applyFont="1" applyFill="1" applyBorder="1" applyAlignment="1">
      <alignment wrapText="1"/>
    </xf>
    <xf numFmtId="0" fontId="2" fillId="3" borderId="69" xfId="0" applyFont="1" applyFill="1" applyBorder="1" applyAlignment="1">
      <alignment wrapText="1"/>
    </xf>
    <xf numFmtId="0" fontId="3" fillId="4" borderId="54" xfId="0" applyFont="1" applyFill="1" applyBorder="1" applyAlignment="1">
      <alignment horizontal="right" vertical="center" wrapText="1"/>
    </xf>
    <xf numFmtId="0" fontId="3" fillId="4" borderId="54" xfId="0" applyFont="1" applyFill="1" applyBorder="1" applyAlignment="1">
      <alignment horizontal="center" vertical="center" wrapText="1"/>
    </xf>
    <xf numFmtId="0" fontId="6" fillId="6" borderId="54" xfId="0" applyFont="1" applyFill="1" applyBorder="1" applyAlignment="1">
      <alignment horizontal="left"/>
    </xf>
    <xf numFmtId="3" fontId="6" fillId="6" borderId="54" xfId="0" applyNumberFormat="1" applyFont="1" applyFill="1" applyBorder="1" applyAlignment="1">
      <alignment horizontal="right"/>
    </xf>
    <xf numFmtId="165" fontId="6" fillId="6" borderId="54" xfId="0" applyNumberFormat="1" applyFont="1" applyFill="1" applyBorder="1" applyAlignment="1">
      <alignment horizontal="right"/>
    </xf>
    <xf numFmtId="0" fontId="6" fillId="5" borderId="43" xfId="0" applyFont="1" applyFill="1" applyBorder="1" applyAlignment="1">
      <alignment horizontal="left"/>
    </xf>
    <xf numFmtId="3" fontId="6" fillId="5" borderId="43" xfId="0" applyNumberFormat="1" applyFont="1" applyFill="1" applyBorder="1" applyAlignment="1">
      <alignment horizontal="right"/>
    </xf>
    <xf numFmtId="165" fontId="6" fillId="5" borderId="43" xfId="0" applyNumberFormat="1" applyFont="1" applyFill="1" applyBorder="1" applyAlignment="1">
      <alignment horizontal="right"/>
    </xf>
    <xf numFmtId="0" fontId="6" fillId="6" borderId="43" xfId="0" applyFont="1" applyFill="1" applyBorder="1" applyAlignment="1">
      <alignment horizontal="left"/>
    </xf>
    <xf numFmtId="3" fontId="6" fillId="6" borderId="43" xfId="0" applyNumberFormat="1" applyFont="1" applyFill="1" applyBorder="1" applyAlignment="1">
      <alignment horizontal="right"/>
    </xf>
    <xf numFmtId="165" fontId="6" fillId="6" borderId="43" xfId="0" applyNumberFormat="1" applyFont="1" applyFill="1" applyBorder="1" applyAlignment="1">
      <alignment horizontal="right"/>
    </xf>
    <xf numFmtId="0" fontId="3" fillId="4" borderId="54" xfId="0" applyFont="1" applyFill="1" applyBorder="1" applyAlignment="1">
      <alignment horizontal="right"/>
    </xf>
    <xf numFmtId="0" fontId="6" fillId="6" borderId="39" xfId="0" applyFont="1" applyFill="1" applyBorder="1" applyAlignment="1">
      <alignment horizontal="left"/>
    </xf>
    <xf numFmtId="3" fontId="6" fillId="6" borderId="39" xfId="0" applyNumberFormat="1" applyFont="1" applyFill="1" applyBorder="1" applyAlignment="1">
      <alignment horizontal="right"/>
    </xf>
    <xf numFmtId="165" fontId="6" fillId="6" borderId="39" xfId="0" applyNumberFormat="1" applyFont="1" applyFill="1" applyBorder="1" applyAlignment="1">
      <alignment horizontal="right"/>
    </xf>
    <xf numFmtId="0" fontId="6" fillId="5" borderId="43" xfId="0" applyFont="1" applyFill="1" applyBorder="1" applyAlignment="1">
      <alignment horizontal="right"/>
    </xf>
    <xf numFmtId="0" fontId="6" fillId="6" borderId="43" xfId="0" applyFont="1" applyFill="1" applyBorder="1" applyAlignment="1">
      <alignment horizontal="right"/>
    </xf>
    <xf numFmtId="166" fontId="6" fillId="6" borderId="43" xfId="0" applyNumberFormat="1" applyFont="1" applyFill="1" applyBorder="1" applyAlignment="1">
      <alignment horizontal="right"/>
    </xf>
    <xf numFmtId="10" fontId="6" fillId="5" borderId="43" xfId="0" applyNumberFormat="1" applyFont="1" applyFill="1" applyBorder="1" applyAlignment="1">
      <alignment horizontal="right"/>
    </xf>
    <xf numFmtId="0" fontId="6" fillId="6" borderId="39" xfId="0" applyFont="1" applyFill="1" applyBorder="1" applyAlignment="1">
      <alignment horizontal="right"/>
    </xf>
    <xf numFmtId="10" fontId="6" fillId="6" borderId="39" xfId="0" applyNumberFormat="1" applyFont="1" applyFill="1" applyBorder="1" applyAlignment="1">
      <alignment horizontal="right"/>
    </xf>
    <xf numFmtId="167" fontId="1" fillId="0" borderId="0" xfId="0" applyNumberFormat="1" applyFont="1" applyAlignment="1">
      <alignment horizontal="right"/>
    </xf>
    <xf numFmtId="0" fontId="14" fillId="3" borderId="69" xfId="0" applyFont="1" applyFill="1" applyBorder="1" applyAlignment="1">
      <alignment wrapText="1"/>
    </xf>
    <xf numFmtId="0" fontId="14" fillId="3" borderId="10" xfId="0" applyFont="1" applyFill="1" applyBorder="1" applyAlignment="1">
      <alignment wrapText="1"/>
    </xf>
    <xf numFmtId="0" fontId="15" fillId="0" borderId="0" xfId="0" applyFont="1"/>
    <xf numFmtId="168" fontId="0" fillId="0" borderId="0" xfId="0" applyNumberFormat="1"/>
    <xf numFmtId="169" fontId="0" fillId="0" borderId="0" xfId="0" applyNumberFormat="1"/>
    <xf numFmtId="0" fontId="2" fillId="0" borderId="0" xfId="0" applyFont="1"/>
    <xf numFmtId="168" fontId="2" fillId="0" borderId="0" xfId="0" applyNumberFormat="1" applyFont="1"/>
    <xf numFmtId="169" fontId="2" fillId="0" borderId="0" xfId="0" applyNumberFormat="1" applyFont="1"/>
    <xf numFmtId="0" fontId="3" fillId="4" borderId="70" xfId="0" applyFont="1" applyFill="1" applyBorder="1"/>
    <xf numFmtId="0" fontId="8" fillId="10" borderId="3" xfId="0" applyFont="1" applyFill="1" applyBorder="1"/>
    <xf numFmtId="0" fontId="5" fillId="7" borderId="2" xfId="0" applyFont="1" applyFill="1" applyBorder="1"/>
    <xf numFmtId="0" fontId="5" fillId="7" borderId="71" xfId="0" applyFont="1" applyFill="1" applyBorder="1" applyAlignment="1">
      <alignment horizontal="center" vertical="top"/>
    </xf>
    <xf numFmtId="168" fontId="5" fillId="7" borderId="71" xfId="0" applyNumberFormat="1" applyFont="1" applyFill="1" applyBorder="1" applyAlignment="1">
      <alignment horizontal="right" vertical="top"/>
    </xf>
    <xf numFmtId="0" fontId="5" fillId="7" borderId="2" xfId="0" applyFont="1" applyFill="1" applyBorder="1" applyAlignment="1">
      <alignment horizontal="right"/>
    </xf>
    <xf numFmtId="0" fontId="5" fillId="7" borderId="72" xfId="0" applyFont="1" applyFill="1" applyBorder="1"/>
    <xf numFmtId="169" fontId="5" fillId="7" borderId="73" xfId="0" applyNumberFormat="1" applyFont="1" applyFill="1" applyBorder="1" applyAlignment="1">
      <alignment horizontal="center" vertical="top"/>
    </xf>
    <xf numFmtId="168" fontId="5" fillId="7" borderId="71" xfId="0" applyNumberFormat="1" applyFont="1" applyFill="1" applyBorder="1" applyAlignment="1">
      <alignment horizontal="center" vertical="top"/>
    </xf>
    <xf numFmtId="170" fontId="2" fillId="0" borderId="16" xfId="0" applyNumberFormat="1" applyFont="1" applyBorder="1" applyAlignment="1">
      <alignment horizontal="center" vertical="top"/>
    </xf>
    <xf numFmtId="4" fontId="2" fillId="0" borderId="16" xfId="0" applyNumberFormat="1" applyFont="1" applyBorder="1" applyAlignment="1">
      <alignment horizontal="right"/>
    </xf>
    <xf numFmtId="10" fontId="2" fillId="0" borderId="0" xfId="0" applyNumberFormat="1" applyFont="1" applyAlignment="1">
      <alignment horizontal="right"/>
    </xf>
    <xf numFmtId="0" fontId="2" fillId="0" borderId="24" xfId="0" applyFont="1" applyBorder="1"/>
    <xf numFmtId="169" fontId="2" fillId="0" borderId="15" xfId="0" applyNumberFormat="1" applyFont="1" applyBorder="1" applyAlignment="1">
      <alignment horizontal="center" vertical="top"/>
    </xf>
    <xf numFmtId="170" fontId="2" fillId="0" borderId="16" xfId="0" applyNumberFormat="1" applyFont="1" applyBorder="1"/>
    <xf numFmtId="4" fontId="2" fillId="0" borderId="0" xfId="0" applyNumberFormat="1" applyFont="1" applyAlignment="1">
      <alignment horizontal="right"/>
    </xf>
    <xf numFmtId="170" fontId="2" fillId="6" borderId="9" xfId="0" applyNumberFormat="1" applyFont="1" applyFill="1" applyBorder="1" applyAlignment="1">
      <alignment horizontal="center" vertical="top"/>
    </xf>
    <xf numFmtId="4" fontId="2" fillId="6" borderId="9" xfId="0" applyNumberFormat="1" applyFont="1" applyFill="1" applyBorder="1" applyAlignment="1">
      <alignment horizontal="right"/>
    </xf>
    <xf numFmtId="10" fontId="2" fillId="6" borderId="0" xfId="0" applyNumberFormat="1" applyFont="1" applyFill="1" applyAlignment="1">
      <alignment horizontal="right"/>
    </xf>
    <xf numFmtId="0" fontId="2" fillId="6" borderId="24" xfId="0" applyFont="1" applyFill="1" applyBorder="1"/>
    <xf numFmtId="169" fontId="2" fillId="6" borderId="8" xfId="0" applyNumberFormat="1" applyFont="1" applyFill="1" applyBorder="1" applyAlignment="1">
      <alignment horizontal="center" vertical="top"/>
    </xf>
    <xf numFmtId="170" fontId="2" fillId="6" borderId="9" xfId="0" applyNumberFormat="1" applyFont="1" applyFill="1" applyBorder="1"/>
    <xf numFmtId="4" fontId="2" fillId="6" borderId="0" xfId="0" applyNumberFormat="1" applyFont="1" applyFill="1" applyAlignment="1">
      <alignment horizontal="right"/>
    </xf>
    <xf numFmtId="171" fontId="2" fillId="6" borderId="24" xfId="0" applyNumberFormat="1" applyFont="1" applyFill="1" applyBorder="1"/>
    <xf numFmtId="172" fontId="16" fillId="10" borderId="3" xfId="0" applyNumberFormat="1" applyFont="1" applyFill="1" applyBorder="1"/>
    <xf numFmtId="170" fontId="2" fillId="0" borderId="9" xfId="0" applyNumberFormat="1" applyFont="1" applyBorder="1" applyAlignment="1">
      <alignment horizontal="center" vertical="top"/>
    </xf>
    <xf numFmtId="4" fontId="2" fillId="0" borderId="9" xfId="0" applyNumberFormat="1" applyFont="1" applyBorder="1" applyAlignment="1">
      <alignment horizontal="right"/>
    </xf>
    <xf numFmtId="169" fontId="2" fillId="0" borderId="8" xfId="0" applyNumberFormat="1" applyFont="1" applyBorder="1" applyAlignment="1">
      <alignment horizontal="center" vertical="top"/>
    </xf>
    <xf numFmtId="170" fontId="2" fillId="0" borderId="9" xfId="0" applyNumberFormat="1" applyFont="1" applyBorder="1"/>
    <xf numFmtId="171" fontId="2" fillId="0" borderId="24" xfId="0" applyNumberFormat="1" applyFont="1" applyBorder="1"/>
    <xf numFmtId="172" fontId="3" fillId="4" borderId="2" xfId="0" applyNumberFormat="1" applyFont="1" applyFill="1" applyBorder="1"/>
    <xf numFmtId="172" fontId="2" fillId="5" borderId="0" xfId="0" applyNumberFormat="1" applyFont="1" applyFill="1" applyAlignment="1">
      <alignment horizontal="right"/>
    </xf>
    <xf numFmtId="172" fontId="2" fillId="6" borderId="0" xfId="0" applyNumberFormat="1" applyFont="1" applyFill="1" applyAlignment="1">
      <alignment horizontal="right"/>
    </xf>
    <xf numFmtId="0" fontId="2" fillId="6" borderId="75" xfId="0" applyFont="1" applyFill="1" applyBorder="1"/>
    <xf numFmtId="0" fontId="2" fillId="5" borderId="76" xfId="0" applyFont="1" applyFill="1" applyBorder="1"/>
    <xf numFmtId="0" fontId="10" fillId="7" borderId="43" xfId="0" applyFont="1" applyFill="1" applyBorder="1"/>
    <xf numFmtId="0" fontId="17" fillId="0" borderId="77" xfId="0" applyFont="1" applyBorder="1" applyAlignment="1">
      <alignment horizontal="center"/>
    </xf>
    <xf numFmtId="0" fontId="18" fillId="11" borderId="74" xfId="0" applyFont="1" applyFill="1" applyBorder="1" applyAlignment="1">
      <alignment horizontal="center"/>
    </xf>
    <xf numFmtId="0" fontId="19" fillId="11" borderId="0" xfId="0" applyFont="1" applyFill="1"/>
    <xf numFmtId="0" fontId="2" fillId="6" borderId="0" xfId="0" applyFont="1" applyFill="1" applyAlignment="1">
      <alignment horizontal="right"/>
    </xf>
    <xf numFmtId="0" fontId="2" fillId="5" borderId="0" xfId="0" applyFont="1" applyFill="1" applyAlignment="1">
      <alignment horizontal="right"/>
    </xf>
    <xf numFmtId="0" fontId="2" fillId="6" borderId="76" xfId="0" applyFont="1" applyFill="1" applyBorder="1"/>
    <xf numFmtId="0" fontId="2" fillId="6" borderId="76" xfId="0" applyFont="1" applyFill="1" applyBorder="1" applyAlignment="1">
      <alignment horizontal="right"/>
    </xf>
    <xf numFmtId="0" fontId="17" fillId="6" borderId="77" xfId="0" applyFont="1" applyFill="1" applyBorder="1" applyAlignment="1">
      <alignment horizontal="center"/>
    </xf>
    <xf numFmtId="0" fontId="18" fillId="11" borderId="78" xfId="0" applyFont="1" applyFill="1" applyBorder="1" applyAlignment="1">
      <alignment horizontal="center"/>
    </xf>
    <xf numFmtId="0" fontId="3" fillId="8" borderId="79" xfId="0" applyFont="1" applyFill="1" applyBorder="1"/>
    <xf numFmtId="172" fontId="3" fillId="8" borderId="79" xfId="0" applyNumberFormat="1" applyFont="1" applyFill="1" applyBorder="1" applyAlignment="1">
      <alignment horizontal="right"/>
    </xf>
    <xf numFmtId="0" fontId="3" fillId="8" borderId="79" xfId="0" applyFont="1" applyFill="1" applyBorder="1" applyAlignment="1">
      <alignment horizontal="right"/>
    </xf>
    <xf numFmtId="0" fontId="11" fillId="10" borderId="54" xfId="0" applyFont="1" applyFill="1" applyBorder="1"/>
    <xf numFmtId="0" fontId="11" fillId="10" borderId="80" xfId="0" applyFont="1" applyFill="1" applyBorder="1" applyAlignment="1">
      <alignment horizontal="left"/>
    </xf>
    <xf numFmtId="0" fontId="11" fillId="10" borderId="54" xfId="0" applyFont="1" applyFill="1" applyBorder="1" applyAlignment="1">
      <alignment horizontal="right"/>
    </xf>
    <xf numFmtId="0" fontId="3" fillId="4" borderId="3" xfId="0" applyFont="1" applyFill="1" applyBorder="1" applyAlignment="1">
      <alignment horizontal="right"/>
    </xf>
    <xf numFmtId="0" fontId="1" fillId="5" borderId="83" xfId="0" applyFont="1" applyFill="1" applyBorder="1" applyAlignment="1">
      <alignment horizontal="left" vertical="center"/>
    </xf>
    <xf numFmtId="17" fontId="1" fillId="5" borderId="84" xfId="0" applyNumberFormat="1" applyFont="1" applyFill="1" applyBorder="1" applyAlignment="1">
      <alignment horizontal="right" vertical="center"/>
    </xf>
    <xf numFmtId="0" fontId="1" fillId="5" borderId="84" xfId="0" applyFont="1" applyFill="1" applyBorder="1" applyAlignment="1">
      <alignment horizontal="right" vertical="center"/>
    </xf>
    <xf numFmtId="165" fontId="1" fillId="5" borderId="0" xfId="0" applyNumberFormat="1" applyFont="1" applyFill="1" applyAlignment="1">
      <alignment horizontal="right"/>
    </xf>
    <xf numFmtId="0" fontId="3" fillId="4" borderId="83" xfId="0" applyFont="1" applyFill="1" applyBorder="1" applyAlignment="1">
      <alignment horizontal="left" vertical="center"/>
    </xf>
    <xf numFmtId="164" fontId="3" fillId="4" borderId="85" xfId="0" applyNumberFormat="1" applyFont="1" applyFill="1" applyBorder="1" applyAlignment="1">
      <alignment horizontal="right" vertical="center"/>
    </xf>
    <xf numFmtId="164" fontId="3" fillId="4" borderId="84" xfId="0" applyNumberFormat="1" applyFont="1" applyFill="1" applyBorder="1" applyAlignment="1">
      <alignment horizontal="right" vertical="center"/>
    </xf>
    <xf numFmtId="165" fontId="3" fillId="4" borderId="0" xfId="0" applyNumberFormat="1" applyFont="1" applyFill="1" applyAlignment="1">
      <alignment horizontal="right" vertical="center" wrapText="1"/>
    </xf>
    <xf numFmtId="0" fontId="6" fillId="5" borderId="83" xfId="0" applyFont="1" applyFill="1" applyBorder="1" applyAlignment="1">
      <alignment horizontal="left" vertical="center"/>
    </xf>
    <xf numFmtId="164" fontId="6" fillId="5" borderId="85" xfId="0" applyNumberFormat="1" applyFont="1" applyFill="1" applyBorder="1" applyAlignment="1">
      <alignment horizontal="right" vertical="center"/>
    </xf>
    <xf numFmtId="164" fontId="6" fillId="5" borderId="84" xfId="0" applyNumberFormat="1" applyFont="1" applyFill="1" applyBorder="1" applyAlignment="1">
      <alignment horizontal="right" vertical="center"/>
    </xf>
    <xf numFmtId="10" fontId="0" fillId="0" borderId="0" xfId="0" applyNumberFormat="1"/>
    <xf numFmtId="0" fontId="6" fillId="6" borderId="83" xfId="0" applyFont="1" applyFill="1" applyBorder="1" applyAlignment="1">
      <alignment horizontal="left" vertical="center"/>
    </xf>
    <xf numFmtId="164" fontId="6" fillId="6" borderId="85" xfId="0" applyNumberFormat="1" applyFont="1" applyFill="1" applyBorder="1" applyAlignment="1">
      <alignment horizontal="right" vertical="center"/>
    </xf>
    <xf numFmtId="164" fontId="6" fillId="6" borderId="84" xfId="0" applyNumberFormat="1" applyFont="1" applyFill="1" applyBorder="1" applyAlignment="1">
      <alignment horizontal="right" vertical="center"/>
    </xf>
    <xf numFmtId="165" fontId="6" fillId="6" borderId="0" xfId="0" applyNumberFormat="1" applyFont="1" applyFill="1" applyAlignment="1">
      <alignment horizontal="right" vertical="center" wrapText="1"/>
    </xf>
    <xf numFmtId="0" fontId="3" fillId="8" borderId="86" xfId="0" applyFont="1" applyFill="1" applyBorder="1" applyAlignment="1">
      <alignment horizontal="left" vertical="center"/>
    </xf>
    <xf numFmtId="164" fontId="3" fillId="8" borderId="87" xfId="0" applyNumberFormat="1" applyFont="1" applyFill="1" applyBorder="1" applyAlignment="1">
      <alignment horizontal="right" vertical="center"/>
    </xf>
    <xf numFmtId="164" fontId="3" fillId="8" borderId="88" xfId="0" applyNumberFormat="1" applyFont="1" applyFill="1" applyBorder="1" applyAlignment="1">
      <alignment horizontal="right" vertical="center"/>
    </xf>
    <xf numFmtId="0" fontId="3" fillId="8" borderId="83" xfId="0" applyFont="1" applyFill="1" applyBorder="1" applyAlignment="1">
      <alignment horizontal="left" vertical="center"/>
    </xf>
    <xf numFmtId="164" fontId="3" fillId="8" borderId="85" xfId="0" applyNumberFormat="1" applyFont="1" applyFill="1" applyBorder="1" applyAlignment="1">
      <alignment horizontal="right" vertical="center"/>
    </xf>
    <xf numFmtId="164" fontId="3" fillId="8" borderId="84" xfId="0" applyNumberFormat="1" applyFont="1" applyFill="1" applyBorder="1" applyAlignment="1">
      <alignment horizontal="right" vertical="center"/>
    </xf>
    <xf numFmtId="0" fontId="3" fillId="8" borderId="89" xfId="0" applyFont="1" applyFill="1" applyBorder="1" applyAlignment="1">
      <alignment horizontal="left" vertical="center"/>
    </xf>
    <xf numFmtId="164" fontId="3" fillId="8" borderId="90" xfId="0" applyNumberFormat="1" applyFont="1" applyFill="1" applyBorder="1" applyAlignment="1">
      <alignment horizontal="right" vertical="center"/>
    </xf>
    <xf numFmtId="164" fontId="3" fillId="8" borderId="91" xfId="0" applyNumberFormat="1" applyFont="1" applyFill="1" applyBorder="1" applyAlignment="1">
      <alignment horizontal="right" vertical="center"/>
    </xf>
    <xf numFmtId="0" fontId="3" fillId="8" borderId="92" xfId="0" applyFont="1" applyFill="1" applyBorder="1" applyAlignment="1">
      <alignment horizontal="left" vertical="center"/>
    </xf>
    <xf numFmtId="164" fontId="3" fillId="8" borderId="93" xfId="0" applyNumberFormat="1" applyFont="1" applyFill="1" applyBorder="1" applyAlignment="1">
      <alignment horizontal="right" vertical="center"/>
    </xf>
    <xf numFmtId="164" fontId="3" fillId="8" borderId="94" xfId="0" applyNumberFormat="1" applyFont="1" applyFill="1" applyBorder="1" applyAlignment="1">
      <alignment horizontal="right" vertical="center"/>
    </xf>
    <xf numFmtId="0" fontId="8" fillId="10" borderId="92" xfId="0" applyFont="1" applyFill="1" applyBorder="1" applyAlignment="1">
      <alignment horizontal="left" vertical="center"/>
    </xf>
    <xf numFmtId="164" fontId="8" fillId="10" borderId="93" xfId="0" applyNumberFormat="1" applyFont="1" applyFill="1" applyBorder="1" applyAlignment="1">
      <alignment horizontal="right" vertical="center"/>
    </xf>
    <xf numFmtId="164" fontId="8" fillId="10" borderId="94" xfId="0" applyNumberFormat="1" applyFont="1" applyFill="1" applyBorder="1" applyAlignment="1">
      <alignment horizontal="right" vertical="center"/>
    </xf>
    <xf numFmtId="0" fontId="3" fillId="8" borderId="54" xfId="0" applyFont="1" applyFill="1" applyBorder="1"/>
    <xf numFmtId="0" fontId="3" fillId="8" borderId="95" xfId="0" applyFont="1" applyFill="1" applyBorder="1" applyAlignment="1">
      <alignment horizontal="left" vertical="center"/>
    </xf>
    <xf numFmtId="164" fontId="3" fillId="8" borderId="96" xfId="0" applyNumberFormat="1" applyFont="1" applyFill="1" applyBorder="1" applyAlignment="1">
      <alignment horizontal="right" vertical="center"/>
    </xf>
    <xf numFmtId="164" fontId="3" fillId="8" borderId="97" xfId="0" applyNumberFormat="1" applyFont="1" applyFill="1" applyBorder="1" applyAlignment="1">
      <alignment horizontal="right" vertical="center"/>
    </xf>
    <xf numFmtId="165" fontId="3" fillId="8" borderId="54" xfId="0" applyNumberFormat="1" applyFont="1" applyFill="1" applyBorder="1" applyAlignment="1">
      <alignment horizontal="right"/>
    </xf>
    <xf numFmtId="0" fontId="8" fillId="10" borderId="98" xfId="0" applyFont="1" applyFill="1" applyBorder="1" applyAlignment="1">
      <alignment horizontal="left" vertical="center"/>
    </xf>
    <xf numFmtId="164" fontId="8" fillId="10" borderId="99" xfId="0" applyNumberFormat="1" applyFont="1" applyFill="1" applyBorder="1" applyAlignment="1">
      <alignment horizontal="right" vertical="center"/>
    </xf>
    <xf numFmtId="164" fontId="8" fillId="10" borderId="100" xfId="0" applyNumberFormat="1" applyFont="1" applyFill="1" applyBorder="1" applyAlignment="1">
      <alignment horizontal="right" vertical="center"/>
    </xf>
    <xf numFmtId="0" fontId="0" fillId="5" borderId="0" xfId="0" applyFill="1"/>
    <xf numFmtId="0" fontId="11" fillId="10" borderId="70" xfId="0" applyFont="1" applyFill="1" applyBorder="1" applyAlignment="1">
      <alignment horizontal="left"/>
    </xf>
    <xf numFmtId="0" fontId="20" fillId="10" borderId="0" xfId="0" applyFont="1" applyFill="1"/>
    <xf numFmtId="0" fontId="1" fillId="5" borderId="102" xfId="0" applyFont="1" applyFill="1" applyBorder="1" applyAlignment="1">
      <alignment horizontal="left" vertical="center"/>
    </xf>
    <xf numFmtId="0" fontId="3" fillId="8" borderId="24" xfId="0" applyFont="1" applyFill="1" applyBorder="1" applyAlignment="1">
      <alignment horizontal="left"/>
    </xf>
    <xf numFmtId="0" fontId="3" fillId="8" borderId="103" xfId="0" applyFont="1" applyFill="1" applyBorder="1" applyAlignment="1">
      <alignment horizontal="left"/>
    </xf>
    <xf numFmtId="0" fontId="6" fillId="6" borderId="24" xfId="0" applyFont="1" applyFill="1" applyBorder="1" applyAlignment="1">
      <alignment horizontal="left"/>
    </xf>
    <xf numFmtId="0" fontId="3" fillId="8" borderId="104" xfId="0" applyFont="1" applyFill="1" applyBorder="1" applyAlignment="1">
      <alignment horizontal="left"/>
    </xf>
    <xf numFmtId="0" fontId="3" fillId="8" borderId="105" xfId="0" applyFont="1" applyFill="1" applyBorder="1" applyAlignment="1">
      <alignment horizontal="left"/>
    </xf>
    <xf numFmtId="0" fontId="6" fillId="5" borderId="24" xfId="0" applyFont="1" applyFill="1" applyBorder="1" applyAlignment="1">
      <alignment horizontal="left"/>
    </xf>
    <xf numFmtId="0" fontId="8" fillId="10" borderId="105" xfId="0" applyFont="1" applyFill="1" applyBorder="1" applyAlignment="1">
      <alignment horizontal="left"/>
    </xf>
    <xf numFmtId="0" fontId="3" fillId="8" borderId="70" xfId="0" applyFont="1" applyFill="1" applyBorder="1" applyAlignment="1">
      <alignment horizontal="left"/>
    </xf>
    <xf numFmtId="164" fontId="3" fillId="8" borderId="54" xfId="0" applyNumberFormat="1" applyFont="1" applyFill="1" applyBorder="1" applyAlignment="1">
      <alignment horizontal="right"/>
    </xf>
    <xf numFmtId="0" fontId="3" fillId="4" borderId="24" xfId="0" applyFont="1" applyFill="1" applyBorder="1" applyAlignment="1">
      <alignment horizontal="left"/>
    </xf>
    <xf numFmtId="0" fontId="8" fillId="10" borderId="106" xfId="0" applyFont="1" applyFill="1" applyBorder="1" applyAlignment="1">
      <alignment horizontal="left"/>
    </xf>
    <xf numFmtId="0" fontId="9" fillId="10" borderId="3" xfId="0" applyFont="1" applyFill="1" applyBorder="1" applyAlignment="1">
      <alignment horizontal="center"/>
    </xf>
    <xf numFmtId="0" fontId="9" fillId="10" borderId="3" xfId="0" applyFont="1" applyFill="1" applyBorder="1" applyAlignment="1">
      <alignment vertical="center"/>
    </xf>
    <xf numFmtId="0" fontId="10" fillId="7" borderId="0" xfId="0" applyFont="1" applyFill="1" applyAlignment="1">
      <alignment horizontal="center"/>
    </xf>
    <xf numFmtId="0" fontId="10" fillId="7" borderId="24" xfId="0" applyFont="1" applyFill="1" applyBorder="1" applyAlignment="1">
      <alignment horizontal="left"/>
    </xf>
    <xf numFmtId="0" fontId="10" fillId="7" borderId="0" xfId="0" applyFont="1" applyFill="1" applyAlignment="1">
      <alignment vertical="center"/>
    </xf>
    <xf numFmtId="0" fontId="10" fillId="7" borderId="85" xfId="0" applyFont="1" applyFill="1" applyBorder="1" applyAlignment="1">
      <alignment vertical="center"/>
    </xf>
    <xf numFmtId="0" fontId="3" fillId="4" borderId="26" xfId="0" applyFont="1" applyFill="1" applyBorder="1" applyAlignment="1">
      <alignment horizontal="left"/>
    </xf>
    <xf numFmtId="0" fontId="3" fillId="4" borderId="107" xfId="0" applyFont="1" applyFill="1" applyBorder="1" applyAlignment="1">
      <alignment horizontal="right" vertical="center"/>
    </xf>
    <xf numFmtId="17" fontId="3" fillId="4" borderId="108" xfId="0" applyNumberFormat="1" applyFont="1" applyFill="1" applyBorder="1" applyAlignment="1">
      <alignment horizontal="right" vertical="center"/>
    </xf>
    <xf numFmtId="0" fontId="3" fillId="4" borderId="108" xfId="0" applyFont="1" applyFill="1" applyBorder="1" applyAlignment="1">
      <alignment horizontal="right" vertical="center"/>
    </xf>
    <xf numFmtId="0" fontId="5" fillId="7" borderId="24" xfId="0" applyFont="1" applyFill="1" applyBorder="1" applyAlignment="1">
      <alignment horizontal="left"/>
    </xf>
    <xf numFmtId="0" fontId="21" fillId="0" borderId="0" xfId="0" applyFont="1"/>
    <xf numFmtId="0" fontId="14" fillId="3" borderId="0" xfId="0" applyFont="1" applyFill="1"/>
    <xf numFmtId="0" fontId="14" fillId="3" borderId="24" xfId="0" applyFont="1" applyFill="1" applyBorder="1" applyAlignment="1">
      <alignment horizontal="left"/>
    </xf>
    <xf numFmtId="165" fontId="14" fillId="3" borderId="0" xfId="0" applyNumberFormat="1" applyFont="1" applyFill="1" applyAlignment="1">
      <alignment horizontal="right"/>
    </xf>
    <xf numFmtId="165" fontId="0" fillId="0" borderId="0" xfId="0" applyNumberFormat="1"/>
    <xf numFmtId="0" fontId="1" fillId="5" borderId="24" xfId="0" applyFont="1" applyFill="1" applyBorder="1" applyAlignment="1">
      <alignment horizontal="left"/>
    </xf>
    <xf numFmtId="0" fontId="1" fillId="5" borderId="0" xfId="0" applyFont="1" applyFill="1" applyAlignment="1">
      <alignment horizontal="right"/>
    </xf>
    <xf numFmtId="0" fontId="12" fillId="11" borderId="10" xfId="0" applyFont="1" applyFill="1" applyBorder="1"/>
    <xf numFmtId="0" fontId="12" fillId="11" borderId="104" xfId="0" applyFont="1" applyFill="1" applyBorder="1" applyAlignment="1">
      <alignment horizontal="left"/>
    </xf>
    <xf numFmtId="164" fontId="12" fillId="11" borderId="10" xfId="0" applyNumberFormat="1" applyFont="1" applyFill="1" applyBorder="1" applyAlignment="1">
      <alignment horizontal="right"/>
    </xf>
    <xf numFmtId="0" fontId="22" fillId="10" borderId="25" xfId="0" applyFont="1" applyFill="1" applyBorder="1"/>
    <xf numFmtId="0" fontId="22" fillId="10" borderId="26" xfId="0" applyFont="1" applyFill="1" applyBorder="1" applyAlignment="1">
      <alignment horizontal="left"/>
    </xf>
    <xf numFmtId="164" fontId="22" fillId="10" borderId="25" xfId="0" applyNumberFormat="1" applyFont="1" applyFill="1" applyBorder="1" applyAlignment="1">
      <alignment horizontal="right"/>
    </xf>
    <xf numFmtId="0" fontId="3" fillId="4" borderId="70" xfId="0" applyFont="1" applyFill="1" applyBorder="1" applyAlignment="1">
      <alignment horizontal="left"/>
    </xf>
    <xf numFmtId="0" fontId="6" fillId="6" borderId="109" xfId="0" applyFont="1" applyFill="1" applyBorder="1" applyAlignment="1">
      <alignment horizontal="left"/>
    </xf>
    <xf numFmtId="0" fontId="6" fillId="6" borderId="110" xfId="0" applyFont="1" applyFill="1" applyBorder="1"/>
    <xf numFmtId="165" fontId="6" fillId="6" borderId="110" xfId="0" applyNumberFormat="1" applyFont="1" applyFill="1" applyBorder="1" applyAlignment="1">
      <alignment horizontal="right"/>
    </xf>
    <xf numFmtId="0" fontId="6" fillId="6" borderId="110" xfId="0" applyFont="1" applyFill="1" applyBorder="1" applyAlignment="1">
      <alignment horizontal="right"/>
    </xf>
    <xf numFmtId="0" fontId="3" fillId="4" borderId="111" xfId="0" applyFont="1" applyFill="1" applyBorder="1" applyAlignment="1">
      <alignment horizontal="left"/>
    </xf>
    <xf numFmtId="0" fontId="3" fillId="4" borderId="112" xfId="0" applyFont="1" applyFill="1" applyBorder="1"/>
    <xf numFmtId="0" fontId="3" fillId="4" borderId="112" xfId="0" applyFont="1" applyFill="1" applyBorder="1" applyAlignment="1">
      <alignment horizontal="right"/>
    </xf>
    <xf numFmtId="0" fontId="6" fillId="6" borderId="113" xfId="0" applyFont="1" applyFill="1" applyBorder="1" applyAlignment="1">
      <alignment horizontal="left"/>
    </xf>
    <xf numFmtId="0" fontId="6" fillId="6" borderId="63" xfId="0" applyFont="1" applyFill="1" applyBorder="1"/>
    <xf numFmtId="165" fontId="6" fillId="6" borderId="63" xfId="0" applyNumberFormat="1" applyFont="1" applyFill="1" applyBorder="1" applyAlignment="1">
      <alignment horizontal="right"/>
    </xf>
    <xf numFmtId="0" fontId="6" fillId="5" borderId="113" xfId="0" applyFont="1" applyFill="1" applyBorder="1" applyAlignment="1">
      <alignment horizontal="left"/>
    </xf>
    <xf numFmtId="165" fontId="6" fillId="5" borderId="63" xfId="0" applyNumberFormat="1" applyFont="1" applyFill="1" applyBorder="1" applyAlignment="1">
      <alignment horizontal="right"/>
    </xf>
    <xf numFmtId="0" fontId="22" fillId="10" borderId="0" xfId="0" applyFont="1" applyFill="1"/>
    <xf numFmtId="0" fontId="22" fillId="10" borderId="114" xfId="0" applyFont="1" applyFill="1" applyBorder="1" applyAlignment="1">
      <alignment horizontal="left"/>
    </xf>
    <xf numFmtId="0" fontId="22" fillId="10" borderId="115" xfId="0" applyFont="1" applyFill="1" applyBorder="1"/>
    <xf numFmtId="165" fontId="22" fillId="10" borderId="115" xfId="0" applyNumberFormat="1" applyFont="1" applyFill="1" applyBorder="1" applyAlignment="1">
      <alignment horizontal="right"/>
    </xf>
    <xf numFmtId="9" fontId="6" fillId="6" borderId="110" xfId="0" applyNumberFormat="1" applyFont="1" applyFill="1" applyBorder="1" applyAlignment="1">
      <alignment horizontal="right"/>
    </xf>
    <xf numFmtId="164" fontId="6" fillId="6" borderId="63" xfId="0" applyNumberFormat="1" applyFont="1" applyFill="1" applyBorder="1" applyAlignment="1">
      <alignment horizontal="right"/>
    </xf>
    <xf numFmtId="0" fontId="6" fillId="6" borderId="63" xfId="0" applyFont="1" applyFill="1" applyBorder="1" applyAlignment="1">
      <alignment horizontal="right"/>
    </xf>
    <xf numFmtId="164" fontId="6" fillId="5" borderId="63" xfId="0" applyNumberFormat="1" applyFont="1" applyFill="1" applyBorder="1" applyAlignment="1">
      <alignment horizontal="right"/>
    </xf>
    <xf numFmtId="0" fontId="6" fillId="5" borderId="63" xfId="0" applyFont="1" applyFill="1" applyBorder="1" applyAlignment="1">
      <alignment horizontal="right"/>
    </xf>
    <xf numFmtId="0" fontId="12" fillId="11" borderId="0" xfId="0" applyFont="1" applyFill="1"/>
    <xf numFmtId="0" fontId="12" fillId="11" borderId="109" xfId="0" applyFont="1" applyFill="1" applyBorder="1" applyAlignment="1">
      <alignment horizontal="left"/>
    </xf>
    <xf numFmtId="164" fontId="12" fillId="11" borderId="110" xfId="0" applyNumberFormat="1" applyFont="1" applyFill="1" applyBorder="1" applyAlignment="1">
      <alignment horizontal="right"/>
    </xf>
    <xf numFmtId="0" fontId="12" fillId="11" borderId="110" xfId="0" applyFont="1" applyFill="1" applyBorder="1" applyAlignment="1">
      <alignment horizontal="right"/>
    </xf>
    <xf numFmtId="0" fontId="3" fillId="8" borderId="54" xfId="0" applyFont="1" applyFill="1" applyBorder="1" applyAlignment="1">
      <alignment horizontal="right"/>
    </xf>
    <xf numFmtId="0" fontId="22" fillId="10" borderId="106" xfId="0" applyFont="1" applyFill="1" applyBorder="1" applyAlignment="1">
      <alignment horizontal="left"/>
    </xf>
    <xf numFmtId="165" fontId="22" fillId="10" borderId="39" xfId="0" applyNumberFormat="1" applyFont="1" applyFill="1" applyBorder="1" applyAlignment="1">
      <alignment horizontal="right"/>
    </xf>
    <xf numFmtId="0" fontId="22" fillId="10" borderId="39" xfId="0" applyFont="1" applyFill="1" applyBorder="1" applyAlignment="1">
      <alignment horizontal="right"/>
    </xf>
    <xf numFmtId="0" fontId="24" fillId="12" borderId="0" xfId="0" applyFont="1" applyFill="1" applyAlignment="1">
      <alignment horizontal="center"/>
    </xf>
    <xf numFmtId="173" fontId="24" fillId="12" borderId="0" xfId="0" applyNumberFormat="1" applyFont="1" applyFill="1" applyAlignment="1">
      <alignment horizontal="center"/>
    </xf>
    <xf numFmtId="2" fontId="0" fillId="0" borderId="0" xfId="0" applyNumberFormat="1"/>
    <xf numFmtId="0" fontId="24" fillId="13" borderId="117" xfId="0" applyFont="1" applyFill="1" applyBorder="1" applyAlignment="1">
      <alignment horizontal="left" indent="1"/>
    </xf>
    <xf numFmtId="17" fontId="24" fillId="13" borderId="118" xfId="0" applyNumberFormat="1" applyFont="1" applyFill="1" applyBorder="1" applyAlignment="1">
      <alignment horizontal="center"/>
    </xf>
    <xf numFmtId="17" fontId="24" fillId="13" borderId="119" xfId="0" applyNumberFormat="1" applyFont="1" applyFill="1" applyBorder="1" applyAlignment="1">
      <alignment horizontal="center"/>
    </xf>
    <xf numFmtId="0" fontId="25" fillId="14" borderId="120" xfId="0" applyFont="1" applyFill="1" applyBorder="1" applyAlignment="1">
      <alignment horizontal="left" indent="1"/>
    </xf>
    <xf numFmtId="4" fontId="25" fillId="14" borderId="121" xfId="0" applyNumberFormat="1" applyFont="1" applyFill="1" applyBorder="1" applyAlignment="1">
      <alignment horizontal="center"/>
    </xf>
    <xf numFmtId="4" fontId="25" fillId="14" borderId="122" xfId="0" applyNumberFormat="1" applyFont="1" applyFill="1" applyBorder="1" applyAlignment="1">
      <alignment horizontal="center"/>
    </xf>
    <xf numFmtId="0" fontId="25" fillId="5" borderId="123" xfId="0" applyFont="1" applyFill="1" applyBorder="1" applyAlignment="1">
      <alignment horizontal="left" indent="2"/>
    </xf>
    <xf numFmtId="4" fontId="26" fillId="5" borderId="124" xfId="0" applyNumberFormat="1" applyFont="1" applyFill="1" applyBorder="1" applyAlignment="1">
      <alignment horizontal="center"/>
    </xf>
    <xf numFmtId="4" fontId="26" fillId="5" borderId="125" xfId="0" applyNumberFormat="1" applyFont="1" applyFill="1" applyBorder="1" applyAlignment="1">
      <alignment horizontal="center"/>
    </xf>
    <xf numFmtId="0" fontId="26" fillId="15" borderId="123" xfId="0" applyFont="1" applyFill="1" applyBorder="1" applyAlignment="1">
      <alignment horizontal="left" indent="1"/>
    </xf>
    <xf numFmtId="4" fontId="26" fillId="15" borderId="124" xfId="0" applyNumberFormat="1" applyFont="1" applyFill="1" applyBorder="1" applyAlignment="1">
      <alignment horizontal="center"/>
    </xf>
    <xf numFmtId="4" fontId="26" fillId="15" borderId="125" xfId="0" applyNumberFormat="1" applyFont="1" applyFill="1" applyBorder="1" applyAlignment="1">
      <alignment horizontal="center"/>
    </xf>
    <xf numFmtId="0" fontId="25" fillId="5" borderId="126" xfId="0" applyFont="1" applyFill="1" applyBorder="1" applyAlignment="1">
      <alignment horizontal="left" indent="2"/>
    </xf>
    <xf numFmtId="4" fontId="26" fillId="5" borderId="127" xfId="0" applyNumberFormat="1" applyFont="1" applyFill="1" applyBorder="1" applyAlignment="1">
      <alignment horizontal="center"/>
    </xf>
    <xf numFmtId="4" fontId="26" fillId="5" borderId="128" xfId="0" applyNumberFormat="1" applyFont="1" applyFill="1" applyBorder="1" applyAlignment="1">
      <alignment horizontal="center"/>
    </xf>
    <xf numFmtId="0" fontId="26" fillId="15" borderId="129" xfId="0" applyFont="1" applyFill="1" applyBorder="1" applyAlignment="1">
      <alignment horizontal="left" indent="1"/>
    </xf>
    <xf numFmtId="4" fontId="26" fillId="15" borderId="130" xfId="0" applyNumberFormat="1" applyFont="1" applyFill="1" applyBorder="1" applyAlignment="1">
      <alignment horizontal="center"/>
    </xf>
    <xf numFmtId="4" fontId="26" fillId="15" borderId="131" xfId="0" applyNumberFormat="1" applyFont="1" applyFill="1" applyBorder="1" applyAlignment="1">
      <alignment horizontal="center"/>
    </xf>
    <xf numFmtId="0" fontId="25" fillId="5" borderId="0" xfId="0" applyFont="1" applyFill="1" applyAlignment="1">
      <alignment horizontal="left" indent="1"/>
    </xf>
    <xf numFmtId="0" fontId="25" fillId="5" borderId="0" xfId="0" applyFont="1" applyFill="1" applyAlignment="1">
      <alignment horizontal="center"/>
    </xf>
    <xf numFmtId="0" fontId="26" fillId="14" borderId="132" xfId="0" applyFont="1" applyFill="1" applyBorder="1" applyAlignment="1">
      <alignment horizontal="left" indent="1"/>
    </xf>
    <xf numFmtId="4" fontId="26" fillId="14" borderId="133" xfId="0" applyNumberFormat="1" applyFont="1" applyFill="1" applyBorder="1" applyAlignment="1">
      <alignment horizontal="center"/>
    </xf>
    <xf numFmtId="4" fontId="26" fillId="14" borderId="134" xfId="0" applyNumberFormat="1" applyFont="1" applyFill="1" applyBorder="1" applyAlignment="1">
      <alignment horizontal="center"/>
    </xf>
    <xf numFmtId="0" fontId="25" fillId="5" borderId="135" xfId="0" applyFont="1" applyFill="1" applyBorder="1" applyAlignment="1">
      <alignment horizontal="left" indent="1"/>
    </xf>
    <xf numFmtId="10" fontId="25" fillId="5" borderId="136" xfId="0" applyNumberFormat="1" applyFont="1" applyFill="1" applyBorder="1" applyAlignment="1">
      <alignment horizontal="center"/>
    </xf>
    <xf numFmtId="10" fontId="25" fillId="5" borderId="137" xfId="0" applyNumberFormat="1" applyFont="1" applyFill="1" applyBorder="1" applyAlignment="1">
      <alignment horizontal="center"/>
    </xf>
    <xf numFmtId="0" fontId="25" fillId="14" borderId="132" xfId="0" applyFont="1" applyFill="1" applyBorder="1" applyAlignment="1">
      <alignment horizontal="left" indent="1"/>
    </xf>
    <xf numFmtId="10" fontId="25" fillId="14" borderId="134" xfId="0" applyNumberFormat="1" applyFont="1" applyFill="1" applyBorder="1" applyAlignment="1">
      <alignment horizontal="center"/>
    </xf>
    <xf numFmtId="0" fontId="27" fillId="16" borderId="0" xfId="0" applyFont="1" applyFill="1" applyAlignment="1">
      <alignment vertical="center" wrapText="1"/>
    </xf>
    <xf numFmtId="0" fontId="28" fillId="17" borderId="9" xfId="0" applyFont="1" applyFill="1" applyBorder="1"/>
    <xf numFmtId="17" fontId="28" fillId="17" borderId="9" xfId="0" applyNumberFormat="1" applyFont="1" applyFill="1" applyBorder="1"/>
    <xf numFmtId="0" fontId="0" fillId="0" borderId="9" xfId="0" applyBorder="1"/>
    <xf numFmtId="4" fontId="0" fillId="0" borderId="9" xfId="0" applyNumberFormat="1" applyBorder="1"/>
    <xf numFmtId="0" fontId="28" fillId="0" borderId="9" xfId="0" applyFont="1" applyBorder="1"/>
    <xf numFmtId="10" fontId="52" fillId="0" borderId="9" xfId="1" applyNumberFormat="1" applyBorder="1"/>
    <xf numFmtId="10" fontId="0" fillId="0" borderId="9" xfId="0" applyNumberFormat="1" applyBorder="1"/>
    <xf numFmtId="10" fontId="0" fillId="0" borderId="9" xfId="0" applyNumberFormat="1" applyBorder="1" applyAlignment="1">
      <alignment horizontal="right"/>
    </xf>
    <xf numFmtId="0" fontId="24" fillId="13" borderId="135" xfId="0" applyFont="1" applyFill="1" applyBorder="1" applyAlignment="1">
      <alignment horizontal="center"/>
    </xf>
    <xf numFmtId="17" fontId="24" fillId="13" borderId="136" xfId="0" applyNumberFormat="1" applyFont="1" applyFill="1" applyBorder="1" applyAlignment="1">
      <alignment horizontal="center"/>
    </xf>
    <xf numFmtId="17" fontId="24" fillId="13" borderId="137" xfId="0" applyNumberFormat="1" applyFont="1" applyFill="1" applyBorder="1" applyAlignment="1">
      <alignment horizontal="center"/>
    </xf>
    <xf numFmtId="0" fontId="26" fillId="15" borderId="120" xfId="0" applyFont="1" applyFill="1" applyBorder="1" applyAlignment="1">
      <alignment horizontal="left" indent="1"/>
    </xf>
    <xf numFmtId="4" fontId="26" fillId="15" borderId="121" xfId="0" applyNumberFormat="1" applyFont="1" applyFill="1" applyBorder="1" applyAlignment="1">
      <alignment horizontal="center"/>
    </xf>
    <xf numFmtId="4" fontId="26" fillId="15" borderId="122" xfId="0" applyNumberFormat="1" applyFont="1" applyFill="1" applyBorder="1" applyAlignment="1">
      <alignment horizontal="center"/>
    </xf>
    <xf numFmtId="0" fontId="25" fillId="5" borderId="124" xfId="0" applyFont="1" applyFill="1" applyBorder="1" applyAlignment="1">
      <alignment horizontal="center"/>
    </xf>
    <xf numFmtId="0" fontId="25" fillId="5" borderId="125" xfId="0" applyFont="1" applyFill="1" applyBorder="1" applyAlignment="1">
      <alignment horizontal="center"/>
    </xf>
    <xf numFmtId="4" fontId="25" fillId="5" borderId="124" xfId="0" applyNumberFormat="1" applyFont="1" applyFill="1" applyBorder="1" applyAlignment="1">
      <alignment horizontal="center"/>
    </xf>
    <xf numFmtId="0" fontId="25" fillId="14" borderId="123" xfId="0" applyFont="1" applyFill="1" applyBorder="1" applyAlignment="1">
      <alignment horizontal="left" indent="2"/>
    </xf>
    <xf numFmtId="4" fontId="25" fillId="14" borderId="124" xfId="0" applyNumberFormat="1" applyFont="1" applyFill="1" applyBorder="1" applyAlignment="1">
      <alignment horizontal="center"/>
    </xf>
    <xf numFmtId="0" fontId="26" fillId="5" borderId="126" xfId="0" applyFont="1" applyFill="1" applyBorder="1" applyAlignment="1">
      <alignment horizontal="left" indent="1"/>
    </xf>
    <xf numFmtId="4" fontId="25" fillId="5" borderId="127" xfId="0" applyNumberFormat="1" applyFont="1" applyFill="1" applyBorder="1" applyAlignment="1">
      <alignment horizontal="center"/>
    </xf>
    <xf numFmtId="4" fontId="25" fillId="5" borderId="128" xfId="0" applyNumberFormat="1" applyFont="1" applyFill="1" applyBorder="1" applyAlignment="1">
      <alignment horizontal="center"/>
    </xf>
    <xf numFmtId="0" fontId="25" fillId="14" borderId="138" xfId="0" applyFont="1" applyFill="1" applyBorder="1" applyAlignment="1">
      <alignment horizontal="left" indent="1"/>
    </xf>
    <xf numFmtId="10" fontId="25" fillId="14" borderId="139" xfId="1" applyNumberFormat="1" applyFont="1" applyFill="1" applyBorder="1" applyAlignment="1">
      <alignment horizontal="center"/>
    </xf>
    <xf numFmtId="0" fontId="25" fillId="0" borderId="0" xfId="0" applyFont="1" applyAlignment="1">
      <alignment horizontal="center"/>
    </xf>
    <xf numFmtId="0" fontId="29" fillId="5" borderId="140" xfId="0" applyFont="1" applyFill="1" applyBorder="1" applyAlignment="1">
      <alignment horizontal="left" vertical="center" indent="2"/>
    </xf>
    <xf numFmtId="0" fontId="29" fillId="5" borderId="140" xfId="0" applyFont="1" applyFill="1" applyBorder="1" applyAlignment="1">
      <alignment horizontal="left" vertical="center"/>
    </xf>
    <xf numFmtId="0" fontId="29" fillId="5" borderId="140" xfId="0" applyFont="1" applyFill="1" applyBorder="1" applyAlignment="1">
      <alignment horizontal="right" vertical="center" wrapText="1"/>
    </xf>
    <xf numFmtId="0" fontId="0" fillId="5" borderId="0" xfId="2" applyFont="1" applyFill="1" applyAlignment="1">
      <alignment vertical="center"/>
    </xf>
    <xf numFmtId="0" fontId="31" fillId="18" borderId="0" xfId="0" applyFont="1" applyFill="1" applyAlignment="1">
      <alignment horizontal="left" vertical="center" indent="2"/>
    </xf>
    <xf numFmtId="0" fontId="30" fillId="18" borderId="0" xfId="2" applyFill="1" applyAlignment="1">
      <alignment horizontal="left" vertical="center"/>
    </xf>
    <xf numFmtId="0" fontId="31" fillId="18" borderId="0" xfId="0" applyFont="1" applyFill="1" applyAlignment="1">
      <alignment horizontal="right" vertical="center" wrapText="1"/>
    </xf>
    <xf numFmtId="0" fontId="32" fillId="0" borderId="0" xfId="0" applyFont="1"/>
    <xf numFmtId="0" fontId="33" fillId="0" borderId="0" xfId="0" applyFont="1"/>
    <xf numFmtId="0" fontId="31" fillId="5" borderId="0" xfId="0" applyFont="1" applyFill="1" applyAlignment="1">
      <alignment horizontal="left" vertical="center" indent="2"/>
    </xf>
    <xf numFmtId="0" fontId="30" fillId="5" borderId="0" xfId="2" applyFill="1" applyAlignment="1">
      <alignment horizontal="left" vertical="center"/>
    </xf>
    <xf numFmtId="0" fontId="31" fillId="5" borderId="0" xfId="0" applyFont="1" applyFill="1" applyAlignment="1">
      <alignment horizontal="right" vertical="center" wrapText="1"/>
    </xf>
    <xf numFmtId="0" fontId="34" fillId="2" borderId="0" xfId="0" applyFont="1" applyFill="1" applyAlignment="1">
      <alignment horizontal="left" vertical="center" indent="2"/>
    </xf>
    <xf numFmtId="0" fontId="35" fillId="2" borderId="0" xfId="2" applyFont="1" applyFill="1" applyAlignment="1">
      <alignment horizontal="left" vertical="center"/>
    </xf>
    <xf numFmtId="0" fontId="34" fillId="2" borderId="0" xfId="0" applyFont="1" applyFill="1" applyAlignment="1">
      <alignment horizontal="right" vertical="center" wrapText="1"/>
    </xf>
    <xf numFmtId="0" fontId="36" fillId="2" borderId="0" xfId="0" applyFont="1" applyFill="1"/>
    <xf numFmtId="0" fontId="31" fillId="18" borderId="141" xfId="0" applyFont="1" applyFill="1" applyBorder="1" applyAlignment="1">
      <alignment horizontal="left" vertical="center" indent="2"/>
    </xf>
    <xf numFmtId="0" fontId="30" fillId="18" borderId="141" xfId="2" applyFill="1" applyBorder="1" applyAlignment="1">
      <alignment horizontal="left" vertical="center"/>
    </xf>
    <xf numFmtId="0" fontId="31" fillId="18" borderId="141" xfId="0" applyFont="1" applyFill="1" applyBorder="1" applyAlignment="1">
      <alignment horizontal="right" vertical="center" wrapText="1"/>
    </xf>
    <xf numFmtId="0" fontId="33" fillId="5" borderId="0" xfId="0" applyFont="1" applyFill="1"/>
    <xf numFmtId="0" fontId="37" fillId="0" borderId="0" xfId="0" applyFont="1"/>
    <xf numFmtId="0" fontId="38" fillId="12" borderId="0" xfId="0" applyFont="1" applyFill="1"/>
    <xf numFmtId="0" fontId="0" fillId="12" borderId="0" xfId="0" applyFill="1"/>
    <xf numFmtId="0" fontId="28" fillId="0" borderId="0" xfId="0" applyFont="1"/>
    <xf numFmtId="0" fontId="28" fillId="19" borderId="0" xfId="0" applyFont="1" applyFill="1"/>
    <xf numFmtId="0" fontId="28" fillId="19" borderId="0" xfId="0" applyFont="1" applyFill="1" applyAlignment="1">
      <alignment wrapText="1"/>
    </xf>
    <xf numFmtId="0" fontId="28" fillId="19" borderId="145" xfId="0" applyFont="1" applyFill="1" applyBorder="1"/>
    <xf numFmtId="0" fontId="28" fillId="19" borderId="18" xfId="0" applyFont="1" applyFill="1" applyBorder="1"/>
    <xf numFmtId="0" fontId="28" fillId="19" borderId="142" xfId="0" applyFont="1" applyFill="1" applyBorder="1"/>
    <xf numFmtId="0" fontId="0" fillId="0" borderId="19" xfId="2" applyFont="1" applyBorder="1"/>
    <xf numFmtId="168" fontId="33" fillId="0" borderId="146" xfId="0" applyNumberFormat="1" applyFont="1" applyBorder="1"/>
    <xf numFmtId="168" fontId="33" fillId="0" borderId="0" xfId="0" applyNumberFormat="1" applyFont="1"/>
    <xf numFmtId="168" fontId="39" fillId="0" borderId="142" xfId="0" applyNumberFormat="1" applyFont="1" applyBorder="1"/>
    <xf numFmtId="168" fontId="33" fillId="0" borderId="142" xfId="0" applyNumberFormat="1" applyFont="1" applyBorder="1"/>
    <xf numFmtId="168" fontId="33" fillId="0" borderId="145" xfId="0" applyNumberFormat="1" applyFont="1" applyBorder="1"/>
    <xf numFmtId="0" fontId="39" fillId="0" borderId="19" xfId="0" applyFont="1" applyBorder="1"/>
    <xf numFmtId="174" fontId="39" fillId="0" borderId="0" xfId="0" applyNumberFormat="1" applyFont="1"/>
    <xf numFmtId="174" fontId="33" fillId="0" borderId="147" xfId="0" applyNumberFormat="1" applyFont="1" applyBorder="1"/>
    <xf numFmtId="0" fontId="39" fillId="0" borderId="62" xfId="2" applyFont="1" applyBorder="1"/>
    <xf numFmtId="168" fontId="39" fillId="0" borderId="146" xfId="0" applyNumberFormat="1" applyFont="1" applyBorder="1"/>
    <xf numFmtId="0" fontId="39" fillId="0" borderId="62" xfId="0" applyFont="1" applyBorder="1"/>
    <xf numFmtId="175" fontId="0" fillId="0" borderId="0" xfId="0" applyNumberFormat="1"/>
    <xf numFmtId="0" fontId="40" fillId="2" borderId="0" xfId="2" applyFont="1" applyFill="1" applyAlignment="1">
      <alignment horizontal="left" vertical="center"/>
    </xf>
    <xf numFmtId="0" fontId="28" fillId="2" borderId="62" xfId="2" applyFont="1" applyFill="1" applyBorder="1"/>
    <xf numFmtId="168" fontId="28" fillId="2" borderId="146" xfId="0" applyNumberFormat="1" applyFont="1" applyFill="1" applyBorder="1"/>
    <xf numFmtId="168" fontId="28" fillId="2" borderId="0" xfId="0" applyNumberFormat="1" applyFont="1" applyFill="1"/>
    <xf numFmtId="168" fontId="28" fillId="2" borderId="142" xfId="0" applyNumberFormat="1" applyFont="1" applyFill="1" applyBorder="1"/>
    <xf numFmtId="168" fontId="28" fillId="2" borderId="145" xfId="0" applyNumberFormat="1" applyFont="1" applyFill="1" applyBorder="1"/>
    <xf numFmtId="0" fontId="28" fillId="2" borderId="62" xfId="0" applyFont="1" applyFill="1" applyBorder="1"/>
    <xf numFmtId="174" fontId="28" fillId="2" borderId="0" xfId="0" applyNumberFormat="1" applyFont="1" applyFill="1"/>
    <xf numFmtId="174" fontId="28" fillId="2" borderId="147" xfId="0" applyNumberFormat="1" applyFont="1" applyFill="1" applyBorder="1"/>
    <xf numFmtId="0" fontId="39" fillId="5" borderId="0" xfId="2" applyFont="1" applyFill="1" applyAlignment="1">
      <alignment horizontal="left" vertical="center"/>
    </xf>
    <xf numFmtId="0" fontId="39" fillId="0" borderId="0" xfId="0" applyFont="1"/>
    <xf numFmtId="172" fontId="33" fillId="0" borderId="0" xfId="0" applyNumberFormat="1" applyFont="1"/>
    <xf numFmtId="174" fontId="33" fillId="0" borderId="0" xfId="0" applyNumberFormat="1" applyFont="1"/>
    <xf numFmtId="174" fontId="0" fillId="0" borderId="0" xfId="0" applyNumberFormat="1"/>
    <xf numFmtId="0" fontId="38" fillId="12" borderId="0" xfId="0" applyFont="1" applyFill="1" applyAlignment="1">
      <alignment horizontal="center"/>
    </xf>
    <xf numFmtId="0" fontId="28" fillId="0" borderId="148" xfId="0" applyFont="1" applyBorder="1"/>
    <xf numFmtId="0" fontId="0" fillId="0" borderId="148" xfId="0" applyBorder="1"/>
    <xf numFmtId="2" fontId="28" fillId="0" borderId="148" xfId="0" applyNumberFormat="1" applyFont="1" applyBorder="1"/>
    <xf numFmtId="0" fontId="28" fillId="5" borderId="0" xfId="0" applyFont="1" applyFill="1" applyAlignment="1">
      <alignment horizontal="center"/>
    </xf>
    <xf numFmtId="0" fontId="28" fillId="0" borderId="0" xfId="0" applyFont="1" applyAlignment="1">
      <alignment horizontal="center"/>
    </xf>
    <xf numFmtId="17" fontId="24" fillId="13" borderId="149" xfId="0" applyNumberFormat="1" applyFont="1" applyFill="1" applyBorder="1" applyAlignment="1">
      <alignment horizontal="center" vertical="center" wrapText="1"/>
    </xf>
    <xf numFmtId="17" fontId="24" fillId="13" borderId="150" xfId="0" applyNumberFormat="1" applyFont="1" applyFill="1" applyBorder="1" applyAlignment="1">
      <alignment horizontal="center" vertical="center" wrapText="1"/>
    </xf>
    <xf numFmtId="17" fontId="24" fillId="13" borderId="151" xfId="0" applyNumberFormat="1" applyFont="1" applyFill="1" applyBorder="1" applyAlignment="1">
      <alignment horizontal="center" vertical="center" wrapText="1"/>
    </xf>
    <xf numFmtId="0" fontId="41" fillId="13" borderId="152" xfId="0" applyFont="1" applyFill="1" applyBorder="1" applyAlignment="1">
      <alignment horizontal="left" vertical="center"/>
    </xf>
    <xf numFmtId="176" fontId="41" fillId="13" borderId="153" xfId="0" applyNumberFormat="1" applyFont="1" applyFill="1" applyBorder="1" applyAlignment="1">
      <alignment horizontal="right" vertical="center" wrapText="1"/>
    </xf>
    <xf numFmtId="176" fontId="41" fillId="13" borderId="154" xfId="0" applyNumberFormat="1" applyFont="1" applyFill="1" applyBorder="1" applyAlignment="1">
      <alignment horizontal="right" vertical="center" wrapText="1"/>
    </xf>
    <xf numFmtId="0" fontId="25" fillId="5" borderId="155" xfId="0" applyFont="1" applyFill="1" applyBorder="1" applyAlignment="1">
      <alignment horizontal="left" vertical="center" indent="1"/>
    </xf>
    <xf numFmtId="176" fontId="25" fillId="5" borderId="0" xfId="0" applyNumberFormat="1" applyFont="1" applyFill="1" applyAlignment="1">
      <alignment horizontal="right" vertical="center" wrapText="1"/>
    </xf>
    <xf numFmtId="176" fontId="25" fillId="5" borderId="156" xfId="0" applyNumberFormat="1" applyFont="1" applyFill="1" applyBorder="1" applyAlignment="1">
      <alignment horizontal="right" vertical="center" wrapText="1"/>
    </xf>
    <xf numFmtId="0" fontId="25" fillId="14" borderId="155" xfId="0" applyFont="1" applyFill="1" applyBorder="1" applyAlignment="1">
      <alignment horizontal="left" vertical="center" indent="1"/>
    </xf>
    <xf numFmtId="176" fontId="25" fillId="14" borderId="0" xfId="0" applyNumberFormat="1" applyFont="1" applyFill="1" applyAlignment="1">
      <alignment horizontal="right" vertical="center" wrapText="1"/>
    </xf>
    <xf numFmtId="176" fontId="25" fillId="14" borderId="156" xfId="0" applyNumberFormat="1" applyFont="1" applyFill="1" applyBorder="1" applyAlignment="1">
      <alignment horizontal="right" vertical="center" wrapText="1"/>
    </xf>
    <xf numFmtId="0" fontId="26" fillId="15" borderId="157" xfId="0" applyFont="1" applyFill="1" applyBorder="1" applyAlignment="1">
      <alignment horizontal="left" vertical="center" indent="1"/>
    </xf>
    <xf numFmtId="176" fontId="26" fillId="15" borderId="127" xfId="0" applyNumberFormat="1" applyFont="1" applyFill="1" applyBorder="1" applyAlignment="1">
      <alignment horizontal="right" vertical="center" wrapText="1"/>
    </xf>
    <xf numFmtId="176" fontId="26" fillId="15" borderId="128" xfId="0" applyNumberFormat="1" applyFont="1" applyFill="1" applyBorder="1" applyAlignment="1">
      <alignment horizontal="right" vertical="center" wrapText="1"/>
    </xf>
    <xf numFmtId="0" fontId="26" fillId="15" borderId="149" xfId="0" applyFont="1" applyFill="1" applyBorder="1" applyAlignment="1">
      <alignment horizontal="left" vertical="center" indent="1"/>
    </xf>
    <xf numFmtId="176" fontId="26" fillId="15" borderId="150" xfId="0" applyNumberFormat="1" applyFont="1" applyFill="1" applyBorder="1" applyAlignment="1">
      <alignment horizontal="right" vertical="center" wrapText="1"/>
    </xf>
    <xf numFmtId="176" fontId="26" fillId="15" borderId="151" xfId="0" applyNumberFormat="1" applyFont="1" applyFill="1" applyBorder="1" applyAlignment="1">
      <alignment horizontal="right" vertical="center" wrapText="1"/>
    </xf>
    <xf numFmtId="0" fontId="26" fillId="15" borderId="158" xfId="0" applyFont="1" applyFill="1" applyBorder="1" applyAlignment="1">
      <alignment horizontal="left" vertical="center" indent="1"/>
    </xf>
    <xf numFmtId="176" fontId="26" fillId="15" borderId="159" xfId="0" applyNumberFormat="1" applyFont="1" applyFill="1" applyBorder="1" applyAlignment="1">
      <alignment horizontal="right" vertical="center" wrapText="1"/>
    </xf>
    <xf numFmtId="176" fontId="26" fillId="15" borderId="160" xfId="0" applyNumberFormat="1" applyFont="1" applyFill="1" applyBorder="1" applyAlignment="1">
      <alignment horizontal="right" vertical="center" wrapText="1"/>
    </xf>
    <xf numFmtId="0" fontId="26" fillId="14" borderId="161" xfId="0" applyFont="1" applyFill="1" applyBorder="1" applyAlignment="1">
      <alignment horizontal="left" vertical="center" indent="1"/>
    </xf>
    <xf numFmtId="177" fontId="26" fillId="14" borderId="162" xfId="0" applyNumberFormat="1" applyFont="1" applyFill="1" applyBorder="1" applyAlignment="1">
      <alignment horizontal="right" vertical="center" wrapText="1"/>
    </xf>
    <xf numFmtId="177" fontId="26" fillId="14" borderId="163" xfId="0" applyNumberFormat="1" applyFont="1" applyFill="1" applyBorder="1" applyAlignment="1">
      <alignment horizontal="right" vertical="center" wrapText="1"/>
    </xf>
    <xf numFmtId="0" fontId="42" fillId="20" borderId="0" xfId="0" applyFont="1" applyFill="1" applyAlignment="1">
      <alignment horizontal="left" vertical="center" indent="1"/>
    </xf>
    <xf numFmtId="0" fontId="42" fillId="20" borderId="0" xfId="0" applyFont="1" applyFill="1"/>
    <xf numFmtId="0" fontId="41" fillId="21" borderId="0" xfId="0" applyFont="1" applyFill="1"/>
    <xf numFmtId="0" fontId="43" fillId="22" borderId="165" xfId="0" applyFont="1" applyFill="1" applyBorder="1" applyAlignment="1">
      <alignment horizontal="left" vertical="center" indent="1"/>
    </xf>
    <xf numFmtId="178" fontId="44" fillId="5" borderId="166" xfId="0" applyNumberFormat="1" applyFont="1" applyFill="1" applyBorder="1" applyAlignment="1">
      <alignment horizontal="right" vertical="center"/>
    </xf>
    <xf numFmtId="179" fontId="45" fillId="23" borderId="142" xfId="0" applyNumberFormat="1" applyFont="1" applyFill="1" applyBorder="1" applyAlignment="1">
      <alignment horizontal="left" vertical="center" indent="1"/>
    </xf>
    <xf numFmtId="178" fontId="45" fillId="23" borderId="166" xfId="0" applyNumberFormat="1" applyFont="1" applyFill="1" applyBorder="1" applyAlignment="1">
      <alignment horizontal="right" vertical="center"/>
    </xf>
    <xf numFmtId="0" fontId="43" fillId="22" borderId="146" xfId="0" applyFont="1" applyFill="1" applyBorder="1" applyAlignment="1">
      <alignment horizontal="left" vertical="center" indent="1"/>
    </xf>
    <xf numFmtId="180" fontId="43" fillId="5" borderId="166" xfId="0" applyNumberFormat="1" applyFont="1" applyFill="1" applyBorder="1" applyAlignment="1">
      <alignment horizontal="right" vertical="center"/>
    </xf>
    <xf numFmtId="179" fontId="45" fillId="23" borderId="167" xfId="0" applyNumberFormat="1" applyFont="1" applyFill="1" applyBorder="1" applyAlignment="1">
      <alignment horizontal="left" vertical="center" indent="1"/>
    </xf>
    <xf numFmtId="180" fontId="45" fillId="23" borderId="166" xfId="0" applyNumberFormat="1" applyFont="1" applyFill="1" applyBorder="1" applyAlignment="1">
      <alignment horizontal="right" vertical="center"/>
    </xf>
    <xf numFmtId="0" fontId="43" fillId="0" borderId="0" xfId="0" applyFont="1" applyAlignment="1">
      <alignment horizontal="left" vertical="center" indent="1"/>
    </xf>
    <xf numFmtId="180" fontId="0" fillId="0" borderId="166" xfId="0" applyNumberFormat="1" applyBorder="1" applyAlignment="1">
      <alignment horizontal="right" vertical="center"/>
    </xf>
    <xf numFmtId="180" fontId="46" fillId="5" borderId="166" xfId="0" applyNumberFormat="1" applyFont="1" applyFill="1" applyBorder="1" applyAlignment="1">
      <alignment horizontal="right" vertical="center"/>
    </xf>
    <xf numFmtId="10" fontId="43" fillId="22" borderId="146" xfId="0" applyNumberFormat="1" applyFont="1" applyFill="1" applyBorder="1" applyAlignment="1">
      <alignment horizontal="left" vertical="center" indent="1"/>
    </xf>
    <xf numFmtId="180" fontId="47" fillId="5" borderId="166" xfId="0" applyNumberFormat="1" applyFont="1" applyFill="1" applyBorder="1" applyAlignment="1">
      <alignment horizontal="right" vertical="center"/>
    </xf>
    <xf numFmtId="2" fontId="43" fillId="5" borderId="166" xfId="0" applyNumberFormat="1" applyFont="1" applyFill="1" applyBorder="1" applyAlignment="1">
      <alignment horizontal="right" vertical="center"/>
    </xf>
    <xf numFmtId="180" fontId="44" fillId="5" borderId="166" xfId="0" applyNumberFormat="1" applyFont="1" applyFill="1" applyBorder="1" applyAlignment="1">
      <alignment horizontal="right" vertical="center"/>
    </xf>
    <xf numFmtId="0" fontId="43" fillId="22" borderId="169" xfId="0" applyFont="1" applyFill="1" applyBorder="1" applyAlignment="1">
      <alignment horizontal="left" vertical="center" indent="1"/>
    </xf>
    <xf numFmtId="10" fontId="43" fillId="24" borderId="143" xfId="0" applyNumberFormat="1" applyFont="1" applyFill="1" applyBorder="1" applyAlignment="1">
      <alignment horizontal="left" vertical="center" indent="1"/>
    </xf>
    <xf numFmtId="180" fontId="43" fillId="24" borderId="166" xfId="0" applyNumberFormat="1" applyFont="1" applyFill="1" applyBorder="1" applyAlignment="1">
      <alignment horizontal="right" vertical="center"/>
    </xf>
    <xf numFmtId="179" fontId="43" fillId="24" borderId="143" xfId="0" applyNumberFormat="1" applyFont="1" applyFill="1" applyBorder="1" applyAlignment="1">
      <alignment horizontal="left" vertical="center" indent="1"/>
    </xf>
    <xf numFmtId="180" fontId="45" fillId="23" borderId="170" xfId="0" applyNumberFormat="1" applyFont="1" applyFill="1" applyBorder="1" applyAlignment="1">
      <alignment horizontal="right" vertical="center"/>
    </xf>
    <xf numFmtId="180" fontId="41" fillId="21" borderId="166" xfId="0" applyNumberFormat="1" applyFont="1" applyFill="1" applyBorder="1" applyAlignment="1">
      <alignment horizontal="center" vertical="center" wrapText="1"/>
    </xf>
    <xf numFmtId="10" fontId="48" fillId="21" borderId="171" xfId="0" applyNumberFormat="1" applyFont="1" applyFill="1" applyBorder="1" applyAlignment="1">
      <alignment horizontal="center" vertical="center" wrapText="1"/>
    </xf>
    <xf numFmtId="10" fontId="48" fillId="21" borderId="172" xfId="0" applyNumberFormat="1" applyFont="1" applyFill="1" applyBorder="1" applyAlignment="1">
      <alignment horizontal="center" vertical="center" wrapText="1"/>
    </xf>
    <xf numFmtId="10" fontId="48" fillId="21" borderId="173" xfId="0" applyNumberFormat="1" applyFont="1" applyFill="1" applyBorder="1" applyAlignment="1">
      <alignment horizontal="center" vertical="center" wrapText="1"/>
    </xf>
    <xf numFmtId="0" fontId="48" fillId="21" borderId="0" xfId="0" applyFont="1" applyFill="1" applyAlignment="1">
      <alignment horizontal="center" vertical="center" wrapText="1"/>
    </xf>
    <xf numFmtId="10" fontId="49" fillId="25" borderId="174" xfId="0" applyNumberFormat="1" applyFont="1" applyFill="1" applyBorder="1" applyAlignment="1">
      <alignment horizontal="left" vertical="center" indent="1"/>
    </xf>
    <xf numFmtId="10" fontId="49" fillId="25" borderId="174" xfId="0" applyNumberFormat="1" applyFont="1" applyFill="1" applyBorder="1"/>
    <xf numFmtId="179" fontId="49" fillId="25" borderId="174" xfId="0" applyNumberFormat="1" applyFont="1" applyFill="1" applyBorder="1"/>
    <xf numFmtId="180" fontId="49" fillId="25" borderId="174" xfId="0" applyNumberFormat="1" applyFont="1" applyFill="1" applyBorder="1" applyAlignment="1">
      <alignment horizontal="right" vertical="center"/>
    </xf>
    <xf numFmtId="0" fontId="49" fillId="25" borderId="174" xfId="0" applyFont="1" applyFill="1" applyBorder="1"/>
    <xf numFmtId="0" fontId="38" fillId="26" borderId="0" xfId="0" applyFont="1" applyFill="1"/>
    <xf numFmtId="0" fontId="28" fillId="5" borderId="0" xfId="0" applyFont="1" applyFill="1"/>
    <xf numFmtId="0" fontId="50" fillId="0" borderId="175" xfId="0" applyFont="1" applyBorder="1"/>
    <xf numFmtId="0" fontId="28" fillId="0" borderId="175" xfId="0" applyFont="1" applyBorder="1" applyAlignment="1">
      <alignment horizontal="right"/>
    </xf>
    <xf numFmtId="179" fontId="0" fillId="0" borderId="0" xfId="0" applyNumberFormat="1" applyAlignment="1">
      <alignment horizontal="right"/>
    </xf>
    <xf numFmtId="0" fontId="0" fillId="0" borderId="0" xfId="0" applyAlignment="1">
      <alignment horizontal="right"/>
    </xf>
    <xf numFmtId="165" fontId="0" fillId="0" borderId="0" xfId="0" applyNumberFormat="1" applyAlignment="1">
      <alignment horizontal="right"/>
    </xf>
    <xf numFmtId="9" fontId="0" fillId="0" borderId="0" xfId="0" applyNumberFormat="1"/>
    <xf numFmtId="10" fontId="0" fillId="0" borderId="0" xfId="0" applyNumberFormat="1" applyAlignment="1">
      <alignment horizontal="right"/>
    </xf>
    <xf numFmtId="0" fontId="28" fillId="0" borderId="0" xfId="0" applyFont="1" applyAlignment="1">
      <alignment horizontal="right"/>
    </xf>
    <xf numFmtId="181" fontId="0" fillId="0" borderId="0" xfId="0" applyNumberFormat="1"/>
    <xf numFmtId="10" fontId="52" fillId="0" borderId="0" xfId="1" applyNumberFormat="1"/>
    <xf numFmtId="9" fontId="0" fillId="0" borderId="0" xfId="0" applyNumberFormat="1" applyAlignment="1">
      <alignment horizontal="right"/>
    </xf>
    <xf numFmtId="182" fontId="0" fillId="0" borderId="0" xfId="0" applyNumberFormat="1"/>
    <xf numFmtId="0" fontId="38" fillId="26" borderId="0" xfId="0" applyFont="1" applyFill="1" applyAlignment="1">
      <alignment horizontal="right"/>
    </xf>
    <xf numFmtId="10" fontId="52" fillId="0" borderId="0" xfId="1" applyNumberFormat="1" applyAlignment="1">
      <alignment horizontal="right"/>
    </xf>
    <xf numFmtId="0" fontId="28" fillId="0" borderId="175" xfId="0" applyFont="1" applyBorder="1"/>
    <xf numFmtId="0" fontId="0" fillId="0" borderId="0" xfId="0" applyAlignment="1">
      <alignment horizontal="left"/>
    </xf>
    <xf numFmtId="0" fontId="50" fillId="0" borderId="0" xfId="0" applyFont="1"/>
    <xf numFmtId="179" fontId="0" fillId="0" borderId="0" xfId="0" applyNumberFormat="1"/>
    <xf numFmtId="183" fontId="0" fillId="0" borderId="0" xfId="0" applyNumberFormat="1"/>
    <xf numFmtId="0" fontId="51" fillId="0" borderId="0" xfId="0" applyFont="1"/>
    <xf numFmtId="179" fontId="28" fillId="0" borderId="0" xfId="0" applyNumberFormat="1" applyFont="1"/>
    <xf numFmtId="2" fontId="28" fillId="0" borderId="0" xfId="0" applyNumberFormat="1" applyFont="1"/>
    <xf numFmtId="4" fontId="0" fillId="0" borderId="0" xfId="0" applyNumberFormat="1"/>
    <xf numFmtId="9" fontId="52" fillId="0" borderId="0" xfId="1"/>
    <xf numFmtId="2" fontId="0" fillId="0" borderId="0" xfId="0" applyNumberFormat="1" applyAlignment="1">
      <alignment horizontal="left"/>
    </xf>
    <xf numFmtId="10" fontId="28" fillId="0" borderId="0" xfId="0" applyNumberFormat="1" applyFont="1"/>
    <xf numFmtId="10" fontId="28" fillId="0" borderId="0" xfId="0" applyNumberFormat="1" applyFont="1" applyAlignment="1">
      <alignment horizontal="left"/>
    </xf>
    <xf numFmtId="164" fontId="0" fillId="0" borderId="0" xfId="0" applyNumberFormat="1"/>
    <xf numFmtId="164" fontId="0" fillId="24" borderId="0" xfId="0" applyNumberFormat="1" applyFill="1"/>
    <xf numFmtId="179" fontId="28" fillId="0" borderId="148" xfId="0" applyNumberFormat="1" applyFont="1" applyBorder="1"/>
    <xf numFmtId="164" fontId="0" fillId="5" borderId="0" xfId="0" applyNumberFormat="1" applyFill="1"/>
    <xf numFmtId="0" fontId="10" fillId="7" borderId="24" xfId="0" applyFont="1" applyFill="1" applyBorder="1" applyAlignment="1">
      <alignment horizontal="left" vertical="center"/>
    </xf>
    <xf numFmtId="0" fontId="3" fillId="4" borderId="26" xfId="0" applyFont="1" applyFill="1" applyBorder="1" applyAlignment="1">
      <alignment horizontal="left" vertical="center"/>
    </xf>
    <xf numFmtId="0" fontId="3" fillId="4" borderId="25" xfId="0" applyFont="1" applyFill="1" applyBorder="1" applyAlignment="1">
      <alignment horizontal="right"/>
    </xf>
    <xf numFmtId="0" fontId="3" fillId="4" borderId="9" xfId="0" applyFont="1" applyFill="1" applyBorder="1" applyAlignment="1">
      <alignment horizontal="left" vertical="center"/>
    </xf>
    <xf numFmtId="0" fontId="2" fillId="3" borderId="61" xfId="0" applyFont="1" applyFill="1" applyBorder="1" applyAlignment="1">
      <alignment horizontal="right" vertical="center" wrapText="1"/>
    </xf>
    <xf numFmtId="0" fontId="1" fillId="0" borderId="9" xfId="0" applyFont="1" applyBorder="1" applyAlignment="1">
      <alignment horizontal="left" vertical="center"/>
    </xf>
    <xf numFmtId="0" fontId="1" fillId="0" borderId="9" xfId="0" applyFont="1" applyBorder="1" applyAlignment="1">
      <alignment horizontal="right" vertical="center"/>
    </xf>
    <xf numFmtId="0" fontId="12" fillId="11" borderId="9" xfId="0" applyFont="1" applyFill="1" applyBorder="1" applyAlignment="1">
      <alignment horizontal="left" vertical="center"/>
    </xf>
    <xf numFmtId="0" fontId="12" fillId="11" borderId="9" xfId="0" applyFont="1" applyFill="1" applyBorder="1" applyAlignment="1">
      <alignment horizontal="right" vertical="center"/>
    </xf>
    <xf numFmtId="0" fontId="2" fillId="3" borderId="2" xfId="0" applyFont="1" applyFill="1" applyBorder="1" applyAlignment="1">
      <alignment horizontal="center" vertical="center" wrapText="1"/>
    </xf>
    <xf numFmtId="0" fontId="2" fillId="3" borderId="0" xfId="0" applyFont="1" applyFill="1" applyAlignment="1">
      <alignment horizontal="center" vertical="center" wrapText="1"/>
    </xf>
    <xf numFmtId="0" fontId="1" fillId="0" borderId="0" xfId="0" applyFont="1" applyAlignment="1">
      <alignment horizontal="center" vertical="top" wrapText="1"/>
    </xf>
    <xf numFmtId="0" fontId="1" fillId="0" borderId="0" xfId="0" applyFont="1" applyAlignment="1">
      <alignment horizontal="left" wrapText="1"/>
    </xf>
    <xf numFmtId="0" fontId="3" fillId="4" borderId="54" xfId="0" applyFont="1" applyFill="1" applyBorder="1" applyAlignment="1">
      <alignment horizontal="center"/>
    </xf>
    <xf numFmtId="169" fontId="3" fillId="4" borderId="54" xfId="0" applyNumberFormat="1" applyFont="1" applyFill="1" applyBorder="1" applyAlignment="1">
      <alignment horizontal="center"/>
    </xf>
    <xf numFmtId="0" fontId="17" fillId="0" borderId="74" xfId="0" applyFont="1" applyBorder="1" applyAlignment="1">
      <alignment horizontal="center"/>
    </xf>
    <xf numFmtId="0" fontId="5" fillId="7" borderId="81" xfId="0" applyFont="1" applyFill="1" applyBorder="1" applyAlignment="1">
      <alignment horizontal="left" vertical="center"/>
    </xf>
    <xf numFmtId="0" fontId="3" fillId="4" borderId="82" xfId="0" applyFont="1" applyFill="1" applyBorder="1" applyAlignment="1">
      <alignment horizontal="left" vertical="center"/>
    </xf>
    <xf numFmtId="0" fontId="5" fillId="7" borderId="24" xfId="0" applyFont="1" applyFill="1" applyBorder="1" applyAlignment="1">
      <alignment horizontal="left" vertical="center"/>
    </xf>
    <xf numFmtId="0" fontId="20" fillId="10" borderId="24" xfId="0" applyFont="1" applyFill="1" applyBorder="1" applyAlignment="1">
      <alignment horizontal="left" vertical="center"/>
    </xf>
    <xf numFmtId="0" fontId="3" fillId="4" borderId="101" xfId="0" applyFont="1" applyFill="1" applyBorder="1" applyAlignment="1">
      <alignment horizontal="left" vertical="center"/>
    </xf>
    <xf numFmtId="0" fontId="23" fillId="12" borderId="0" xfId="0" applyFont="1" applyFill="1" applyAlignment="1">
      <alignment horizontal="center"/>
    </xf>
    <xf numFmtId="0" fontId="23" fillId="13" borderId="116" xfId="0" applyFont="1" applyFill="1" applyBorder="1" applyAlignment="1">
      <alignment horizontal="center" vertical="center" wrapText="1"/>
    </xf>
    <xf numFmtId="0" fontId="38" fillId="12" borderId="0" xfId="0" applyFont="1" applyFill="1" applyAlignment="1">
      <alignment horizontal="left"/>
    </xf>
    <xf numFmtId="0" fontId="28" fillId="19" borderId="142" xfId="0" applyFont="1" applyFill="1" applyBorder="1" applyAlignment="1">
      <alignment horizontal="center"/>
    </xf>
    <xf numFmtId="0" fontId="28" fillId="19" borderId="9" xfId="0" applyFont="1" applyFill="1" applyBorder="1" applyAlignment="1">
      <alignment horizontal="center"/>
    </xf>
    <xf numFmtId="0" fontId="28" fillId="19" borderId="143" xfId="0" applyFont="1" applyFill="1" applyBorder="1" applyAlignment="1">
      <alignment horizontal="center"/>
    </xf>
    <xf numFmtId="0" fontId="28" fillId="19" borderId="19" xfId="0" applyFont="1" applyFill="1" applyBorder="1" applyAlignment="1">
      <alignment horizontal="center"/>
    </xf>
    <xf numFmtId="0" fontId="28" fillId="19" borderId="144" xfId="0" applyFont="1" applyFill="1" applyBorder="1" applyAlignment="1">
      <alignment horizontal="center"/>
    </xf>
    <xf numFmtId="0" fontId="41" fillId="21" borderId="164" xfId="0" applyFont="1" applyFill="1" applyBorder="1" applyAlignment="1">
      <alignment horizontal="center"/>
    </xf>
    <xf numFmtId="0" fontId="41" fillId="21" borderId="168" xfId="0" applyFont="1" applyFill="1" applyBorder="1" applyAlignment="1">
      <alignment horizontal="center"/>
    </xf>
    <xf numFmtId="0" fontId="41" fillId="21" borderId="168" xfId="0" applyFont="1" applyFill="1" applyBorder="1" applyAlignment="1">
      <alignment horizontal="center" vertical="center" wrapText="1"/>
    </xf>
  </cellXfs>
  <cellStyles count="3">
    <cellStyle name="Hyperlink" xfId="2" builtinId="8"/>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17375E"/>
      <rgbColor rgb="FFE0E0E0"/>
      <rgbColor rgb="FFFF00FF"/>
      <rgbColor rgb="FFF0F5FC"/>
      <rgbColor rgb="FF800000"/>
      <rgbColor rgb="FF375623"/>
      <rgbColor rgb="FF002060"/>
      <rgbColor rgb="FF3D6494"/>
      <rgbColor rgb="FF645DF9"/>
      <rgbColor rgb="FF156082"/>
      <rgbColor rgb="FFBFBFBF"/>
      <rgbColor rgb="FF7A8A9A"/>
      <rgbColor rgb="FFBDD7EE"/>
      <rgbColor rgb="FF595959"/>
      <rgbColor rgb="FFF5F5F5"/>
      <rgbColor rgb="FFDCEAF7"/>
      <rgbColor rgb="FF1A2B3C"/>
      <rgbColor rgb="FFD9E1F2"/>
      <rgbColor rgb="FF0070C0"/>
      <rgbColor rgb="FFC8D4E3"/>
      <rgbColor rgb="FF14243A"/>
      <rgbColor rgb="FFFF00FF"/>
      <rgbColor rgb="FFDCE3EC"/>
      <rgbColor rgb="FFF8F8FC"/>
      <rgbColor rgb="FF800080"/>
      <rgbColor rgb="FF800000"/>
      <rgbColor rgb="FF084F6B"/>
      <rgbColor rgb="FF0000FF"/>
      <rgbColor rgb="FF00CCFF"/>
      <rgbColor rgb="FFEAF1FB"/>
      <rgbColor rgb="FFE8EEF6"/>
      <rgbColor rgb="FFEEEEEE"/>
      <rgbColor rgb="FF96DCF8"/>
      <rgbColor rgb="FFD9D9D9"/>
      <rgbColor rgb="FFC0CDD8"/>
      <rgbColor rgb="FFD6D6D6"/>
      <rgbColor rgb="FF4472C4"/>
      <rgbColor rgb="FFC1E5F5"/>
      <rgbColor rgb="FFDBE4F0"/>
      <rgbColor rgb="FFFFD700"/>
      <rgbColor rgb="FFE9EFF7"/>
      <rgbColor rgb="FFFF6600"/>
      <rgbColor rgb="FF606F7B"/>
      <rgbColor rgb="FFC9A84C"/>
      <rgbColor rgb="FF003366"/>
      <rgbColor rgb="FF467886"/>
      <rgbColor rgb="FF0E2841"/>
      <rgbColor rgb="FF22222F"/>
      <rgbColor rgb="FF993300"/>
      <rgbColor rgb="FF3A4F6A"/>
      <rgbColor rgb="FF2E4D7B"/>
      <rgbColor rgb="FF21252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0"/>
    <c:plotArea>
      <c:layout/>
      <c:pieChart>
        <c:varyColors val="1"/>
        <c:ser>
          <c:idx val="0"/>
          <c:order val="0"/>
          <c:spPr>
            <a:solidFill>
              <a:srgbClr val="156082"/>
            </a:solidFill>
            <a:ln w="0">
              <a:noFill/>
            </a:ln>
          </c:spPr>
          <c:dPt>
            <c:idx val="0"/>
            <c:bubble3D val="0"/>
            <c:spPr>
              <a:solidFill>
                <a:srgbClr val="156082"/>
              </a:solidFill>
              <a:ln w="19080">
                <a:solidFill>
                  <a:srgbClr val="FFFFFF"/>
                </a:solidFill>
                <a:round/>
              </a:ln>
            </c:spPr>
            <c:extLst>
              <c:ext xmlns:c16="http://schemas.microsoft.com/office/drawing/2014/chart" uri="{C3380CC4-5D6E-409C-BE32-E72D297353CC}">
                <c16:uniqueId val="{00000001-7673-455B-AFF7-F61195A8D9DA}"/>
              </c:ext>
            </c:extLst>
          </c:dPt>
          <c:dPt>
            <c:idx val="1"/>
            <c:bubble3D val="0"/>
            <c:spPr>
              <a:solidFill>
                <a:srgbClr val="E97132"/>
              </a:solidFill>
              <a:ln w="19080">
                <a:solidFill>
                  <a:srgbClr val="FFFFFF"/>
                </a:solidFill>
                <a:round/>
              </a:ln>
            </c:spPr>
            <c:extLst>
              <c:ext xmlns:c16="http://schemas.microsoft.com/office/drawing/2014/chart" uri="{C3380CC4-5D6E-409C-BE32-E72D297353CC}">
                <c16:uniqueId val="{00000003-7673-455B-AFF7-F61195A8D9DA}"/>
              </c:ext>
            </c:extLst>
          </c:dPt>
          <c:dLbls>
            <c:dLbl>
              <c:idx val="0"/>
              <c:spPr/>
              <c:txPr>
                <a:bodyPr wrap="square"/>
                <a:lstStyle/>
                <a:p>
                  <a:pPr>
                    <a:defRPr sz="1000" b="0" strike="noStrike" spc="-1">
                      <a:solidFill>
                        <a:srgbClr val="000000"/>
                      </a:solidFill>
                      <a:latin typeface="Aptos Narrow"/>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1-7673-455B-AFF7-F61195A8D9DA}"/>
                </c:ext>
              </c:extLst>
            </c:dLbl>
            <c:dLbl>
              <c:idx val="1"/>
              <c:spPr/>
              <c:txPr>
                <a:bodyPr wrap="square"/>
                <a:lstStyle/>
                <a:p>
                  <a:pPr>
                    <a:defRPr sz="1000" b="0" strike="noStrike" spc="-1">
                      <a:solidFill>
                        <a:srgbClr val="000000"/>
                      </a:solidFill>
                      <a:latin typeface="Aptos Narrow"/>
                    </a:defRPr>
                  </a:pPr>
                  <a:endParaRPr lang="en-US"/>
                </a:p>
              </c:txPr>
              <c:dLblPos val="bestFit"/>
              <c:showLegendKey val="0"/>
              <c:showVal val="0"/>
              <c:showCatName val="0"/>
              <c:showSerName val="0"/>
              <c:showPercent val="0"/>
              <c:showBubbleSize val="1"/>
              <c:extLst>
                <c:ext xmlns:c16="http://schemas.microsoft.com/office/drawing/2014/chart" uri="{C3380CC4-5D6E-409C-BE32-E72D297353CC}">
                  <c16:uniqueId val="{00000003-7673-455B-AFF7-F61195A8D9DA}"/>
                </c:ext>
              </c:extLst>
            </c:dLbl>
            <c:spPr>
              <a:noFill/>
              <a:ln>
                <a:noFill/>
              </a:ln>
              <a:effectLst/>
            </c:spPr>
            <c:txPr>
              <a:bodyPr wrap="square"/>
              <a:lstStyle/>
              <a:p>
                <a:pPr>
                  <a:defRPr sz="1000" b="0" strike="noStrike" spc="-1">
                    <a:solidFill>
                      <a:srgbClr val="000000"/>
                    </a:solidFill>
                    <a:latin typeface="Aptos Narrow"/>
                  </a:defRPr>
                </a:pPr>
                <a:endParaRPr lang="en-US"/>
              </a:p>
            </c:txPr>
            <c:dLblPos val="bestFit"/>
            <c:showLegendKey val="0"/>
            <c:showVal val="0"/>
            <c:showCatName val="0"/>
            <c:showSerName val="0"/>
            <c:showPercent val="0"/>
            <c:showBubbleSize val="1"/>
            <c:separator>; </c:separator>
            <c:showLeaderLines val="1"/>
            <c:extLst>
              <c:ext xmlns:c15="http://schemas.microsoft.com/office/drawing/2012/chart" uri="{CE6537A1-D6FC-4f65-9D91-7224C49458BB}"/>
            </c:extLst>
          </c:dLbls>
          <c:val>
            <c:numRef>
              <c:f>0</c:f>
              <c:numCache>
                <c:formatCode>0.0%;\(0.0%\);\-</c:formatCode>
                <c:ptCount val="2"/>
                <c:pt idx="0">
                  <c:v>0.85048430608881398</c:v>
                </c:pt>
                <c:pt idx="1">
                  <c:v>0.14951569391118599</c:v>
                </c:pt>
              </c:numCache>
            </c:numRef>
          </c:val>
          <c:extLst>
            <c:ext xmlns:c15="http://schemas.microsoft.com/office/drawing/2012/chart" uri="{02D57815-91ED-43cb-92C2-25804820EDAC}">
              <c15:filteredCategoryTitle>
                <c15:cat>
                  <c:strRef>
                    <c:extLst>
                      <c:ext uri="{02D57815-91ED-43cb-92C2-25804820EDAC}">
                        <c15:formulaRef>
                          <c15:sqref>categories</c15:sqref>
                        </c15:formulaRef>
                      </c:ext>
                    </c:extLst>
                    <c:strCache>
                      <c:ptCount val="2"/>
                      <c:pt idx="0">
                        <c:v>% of Debt</c:v>
                      </c:pt>
                      <c:pt idx="1">
                        <c:v>% of Equity</c:v>
                      </c:pt>
                    </c:strCache>
                  </c:strRef>
                </c15:cat>
              </c15:filteredCategoryTitle>
            </c:ext>
            <c:ext xmlns:c16="http://schemas.microsoft.com/office/drawing/2014/chart" uri="{C3380CC4-5D6E-409C-BE32-E72D297353CC}">
              <c16:uniqueId val="{00000004-7673-455B-AFF7-F61195A8D9DA}"/>
            </c:ext>
          </c:extLst>
        </c:ser>
        <c:dLbls>
          <c:showLegendKey val="0"/>
          <c:showVal val="0"/>
          <c:showCatName val="0"/>
          <c:showSerName val="0"/>
          <c:showPercent val="0"/>
          <c:showBubbleSize val="0"/>
          <c:showLeaderLines val="1"/>
        </c:dLbls>
        <c:firstSliceAng val="0"/>
      </c:pieChart>
      <c:spPr>
        <a:noFill/>
        <a:ln w="0">
          <a:noFill/>
        </a:ln>
      </c:spPr>
    </c:plotArea>
    <c:legend>
      <c:legendPos val="b"/>
      <c:overlay val="0"/>
      <c:spPr>
        <a:noFill/>
        <a:ln w="0">
          <a:noFill/>
        </a:ln>
      </c:spPr>
      <c:txPr>
        <a:bodyPr/>
        <a:lstStyle/>
        <a:p>
          <a:pPr rtl="0">
            <a:defRPr sz="900" b="0" strike="noStrike" spc="-1">
              <a:solidFill>
                <a:srgbClr val="595959"/>
              </a:solidFill>
              <a:latin typeface="Aptos Narrow"/>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36720</xdr:rowOff>
    </xdr:from>
    <xdr:to>
      <xdr:col>15</xdr:col>
      <xdr:colOff>60480</xdr:colOff>
      <xdr:row>8</xdr:row>
      <xdr:rowOff>217440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a:stretch/>
      </xdr:blipFill>
      <xdr:spPr>
        <a:xfrm>
          <a:off x="101520" y="608400"/>
          <a:ext cx="3950640" cy="36097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144720</xdr:colOff>
      <xdr:row>1</xdr:row>
      <xdr:rowOff>102960</xdr:rowOff>
    </xdr:from>
    <xdr:to>
      <xdr:col>7</xdr:col>
      <xdr:colOff>281520</xdr:colOff>
      <xdr:row>12</xdr:row>
      <xdr:rowOff>45360</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3" Type="http://schemas.openxmlformats.org/officeDocument/2006/relationships/hyperlink" Target="https://www.screener.in/company/TVSMOTOR/consolidated/" TargetMode="External"/><Relationship Id="rId2" Type="http://schemas.openxmlformats.org/officeDocument/2006/relationships/hyperlink" Target="https://www.screener.in/company/EICHERMOT/consolidated/" TargetMode="External"/><Relationship Id="rId1" Type="http://schemas.openxmlformats.org/officeDocument/2006/relationships/hyperlink" Target="https://www.screener.in/company/BAJAJ-AUTO/consolidated/" TargetMode="External"/><Relationship Id="rId5" Type="http://schemas.openxmlformats.org/officeDocument/2006/relationships/hyperlink" Target="https://www.screener.in/company/ATHERENERG/" TargetMode="External"/><Relationship Id="rId4" Type="http://schemas.openxmlformats.org/officeDocument/2006/relationships/hyperlink" Target="https://www.screener.in/company/HEROMOTOCO/consolidated/"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www.screener.in/company/TVSMOTOR/consolidated/" TargetMode="External"/><Relationship Id="rId2" Type="http://schemas.openxmlformats.org/officeDocument/2006/relationships/hyperlink" Target="https://www.screener.in/company/EICHERMOT/consolidated/" TargetMode="External"/><Relationship Id="rId1" Type="http://schemas.openxmlformats.org/officeDocument/2006/relationships/hyperlink" Target="https://www.screener.in/company/BAJAJ-AUTO/consolidated/" TargetMode="External"/><Relationship Id="rId5" Type="http://schemas.openxmlformats.org/officeDocument/2006/relationships/hyperlink" Target="https://www.screener.in/company/ATHERENERG/" TargetMode="External"/><Relationship Id="rId4" Type="http://schemas.openxmlformats.org/officeDocument/2006/relationships/hyperlink" Target="https://www.screener.in/company/HEROMOTOCO/consolidated/"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1"/>
  <sheetViews>
    <sheetView showGridLines="0" topLeftCell="A33" zoomScaleNormal="100" workbookViewId="0">
      <selection activeCell="J5" sqref="J5"/>
    </sheetView>
  </sheetViews>
  <sheetFormatPr defaultColWidth="8.88671875" defaultRowHeight="14.4"/>
  <cols>
    <col min="1" max="2" width="1.44140625" style="15" customWidth="1"/>
    <col min="3" max="3" width="48.109375" style="15" customWidth="1"/>
    <col min="4" max="16384" width="8.88671875" style="15"/>
  </cols>
  <sheetData>
    <row r="1" spans="1:20" ht="15.75" customHeight="1">
      <c r="A1" s="16"/>
      <c r="B1" s="16"/>
      <c r="C1" s="16"/>
      <c r="D1" s="16"/>
      <c r="E1" s="16"/>
      <c r="F1" s="16"/>
      <c r="G1" s="16"/>
      <c r="H1" s="16"/>
      <c r="I1" s="16"/>
      <c r="J1" s="16"/>
      <c r="K1" s="16"/>
      <c r="L1" s="16"/>
      <c r="M1" s="16"/>
      <c r="N1" s="16"/>
      <c r="O1" s="16"/>
      <c r="P1" s="16"/>
      <c r="Q1" s="16"/>
      <c r="R1" s="16"/>
      <c r="S1" s="16"/>
      <c r="T1" s="16"/>
    </row>
    <row r="2" spans="1:20" ht="15.75" customHeight="1">
      <c r="A2" s="16"/>
      <c r="B2" s="16"/>
      <c r="C2" s="16"/>
      <c r="D2" s="16"/>
      <c r="E2" s="16"/>
      <c r="F2" s="16"/>
      <c r="G2" s="16"/>
      <c r="H2" s="16"/>
      <c r="I2" s="16"/>
      <c r="J2" s="16"/>
      <c r="K2" s="16"/>
      <c r="L2" s="16"/>
      <c r="M2" s="16"/>
      <c r="N2" s="16"/>
      <c r="O2" s="16"/>
      <c r="P2" s="16"/>
      <c r="Q2" s="16"/>
      <c r="R2" s="16"/>
      <c r="S2" s="16"/>
      <c r="T2" s="16"/>
    </row>
    <row r="3" spans="1:20" ht="15.75" customHeight="1">
      <c r="A3" s="16"/>
      <c r="B3" s="16"/>
      <c r="C3" s="16"/>
      <c r="D3" s="16"/>
      <c r="E3" s="16"/>
      <c r="F3" s="16"/>
      <c r="G3" s="16"/>
      <c r="H3" s="16"/>
      <c r="I3" s="16"/>
      <c r="J3" s="16"/>
      <c r="K3" s="16"/>
      <c r="L3" s="16"/>
      <c r="M3" s="16"/>
      <c r="N3" s="16"/>
      <c r="O3" s="16"/>
      <c r="P3" s="16"/>
      <c r="Q3" s="16"/>
      <c r="R3" s="16"/>
      <c r="S3" s="16"/>
      <c r="T3" s="16"/>
    </row>
    <row r="4" spans="1:20" ht="15.75" customHeight="1">
      <c r="A4" s="16"/>
      <c r="B4" s="16"/>
      <c r="C4" s="16"/>
      <c r="D4" s="16"/>
      <c r="E4" s="16"/>
      <c r="F4" s="16"/>
      <c r="G4" s="16"/>
      <c r="H4" s="16"/>
      <c r="I4" s="16"/>
      <c r="J4" s="16"/>
      <c r="K4" s="16"/>
      <c r="L4" s="16"/>
      <c r="M4" s="16"/>
      <c r="N4" s="16"/>
      <c r="O4" s="16"/>
      <c r="P4" s="16"/>
      <c r="Q4" s="16"/>
      <c r="R4" s="16"/>
      <c r="S4" s="16"/>
      <c r="T4" s="16"/>
    </row>
    <row r="5" spans="1:20" ht="120" customHeight="1">
      <c r="A5" s="16"/>
      <c r="B5" s="16"/>
      <c r="C5" s="16"/>
      <c r="D5" s="16"/>
      <c r="E5" s="16"/>
      <c r="F5" s="16"/>
      <c r="G5" s="16"/>
      <c r="H5" s="16"/>
      <c r="I5" s="16"/>
      <c r="J5" s="14" t="s">
        <v>0</v>
      </c>
      <c r="K5" s="14"/>
      <c r="L5" s="14"/>
      <c r="M5" s="14"/>
      <c r="N5" s="14"/>
      <c r="O5" s="14"/>
      <c r="P5" s="14"/>
      <c r="Q5" s="14"/>
      <c r="R5" s="14"/>
      <c r="S5" s="14"/>
      <c r="T5" s="14"/>
    </row>
    <row r="6" spans="1:20" ht="15.75" customHeight="1">
      <c r="A6" s="16"/>
      <c r="B6" s="16"/>
      <c r="C6" s="13" t="e">
        <f>#VALUE!</f>
        <v>#VALUE!</v>
      </c>
      <c r="D6" s="13"/>
      <c r="E6" s="13"/>
      <c r="F6" s="13"/>
      <c r="G6" s="13"/>
      <c r="H6" s="16"/>
      <c r="I6" s="16"/>
      <c r="J6" s="14"/>
      <c r="K6" s="14"/>
      <c r="L6" s="14"/>
      <c r="M6" s="14"/>
      <c r="N6" s="14"/>
      <c r="O6" s="14"/>
      <c r="P6" s="14"/>
      <c r="Q6" s="14"/>
      <c r="R6" s="14"/>
      <c r="S6" s="14"/>
      <c r="T6" s="14"/>
    </row>
    <row r="7" spans="1:20" ht="15.75" customHeight="1">
      <c r="A7" s="16"/>
      <c r="B7" s="16"/>
      <c r="C7" s="13"/>
      <c r="D7" s="13"/>
      <c r="E7" s="13"/>
      <c r="F7" s="13"/>
      <c r="G7" s="13"/>
      <c r="H7" s="16"/>
      <c r="I7" s="16"/>
      <c r="J7" s="14"/>
      <c r="K7" s="14"/>
      <c r="L7" s="14"/>
      <c r="M7" s="14"/>
      <c r="N7" s="14"/>
      <c r="O7" s="14"/>
      <c r="P7" s="14"/>
      <c r="Q7" s="14"/>
      <c r="R7" s="14"/>
      <c r="S7" s="14"/>
      <c r="T7" s="14"/>
    </row>
    <row r="8" spans="1:20" ht="15.75" customHeight="1">
      <c r="A8" s="16"/>
      <c r="B8" s="16"/>
      <c r="C8" s="13"/>
      <c r="D8" s="13"/>
      <c r="E8" s="13"/>
      <c r="F8" s="13"/>
      <c r="G8" s="13"/>
      <c r="H8" s="16"/>
      <c r="I8" s="16"/>
      <c r="J8" s="14"/>
      <c r="K8" s="14"/>
      <c r="L8" s="14"/>
      <c r="M8" s="14"/>
      <c r="N8" s="14"/>
      <c r="O8" s="14"/>
      <c r="P8" s="14"/>
      <c r="Q8" s="14"/>
      <c r="R8" s="14"/>
      <c r="S8" s="14"/>
      <c r="T8" s="14"/>
    </row>
    <row r="9" spans="1:20" ht="15.75" customHeight="1">
      <c r="A9" s="16"/>
      <c r="B9" s="16"/>
      <c r="C9" s="13"/>
      <c r="D9" s="13"/>
      <c r="E9" s="13"/>
      <c r="F9" s="13"/>
      <c r="G9" s="13"/>
      <c r="H9" s="16"/>
      <c r="I9" s="16"/>
      <c r="J9" s="14"/>
      <c r="K9" s="14"/>
      <c r="L9" s="14"/>
      <c r="M9" s="14"/>
      <c r="N9" s="14"/>
      <c r="O9" s="14"/>
      <c r="P9" s="14"/>
      <c r="Q9" s="14"/>
      <c r="R9" s="14"/>
      <c r="S9" s="14"/>
      <c r="T9" s="14"/>
    </row>
    <row r="10" spans="1:20" ht="15.75" customHeight="1">
      <c r="A10" s="16"/>
      <c r="B10" s="16"/>
      <c r="C10" s="13"/>
      <c r="D10" s="13"/>
      <c r="E10" s="13"/>
      <c r="F10" s="13"/>
      <c r="G10" s="13"/>
      <c r="H10" s="16"/>
      <c r="I10" s="16"/>
      <c r="J10" s="14"/>
      <c r="K10" s="14"/>
      <c r="L10" s="14"/>
      <c r="M10" s="14"/>
      <c r="N10" s="14"/>
      <c r="O10" s="14"/>
      <c r="P10" s="14"/>
      <c r="Q10" s="14"/>
      <c r="R10" s="14"/>
      <c r="S10" s="14"/>
      <c r="T10" s="14"/>
    </row>
    <row r="11" spans="1:20" ht="15.75" customHeight="1">
      <c r="A11" s="16"/>
      <c r="B11" s="16"/>
      <c r="C11" s="13"/>
      <c r="D11" s="13"/>
      <c r="E11" s="13"/>
      <c r="F11" s="13"/>
      <c r="G11" s="13"/>
      <c r="H11" s="16"/>
      <c r="I11" s="16"/>
      <c r="J11" s="14"/>
      <c r="K11" s="14"/>
      <c r="L11" s="14"/>
      <c r="M11" s="14"/>
      <c r="N11" s="14"/>
      <c r="O11" s="14"/>
      <c r="P11" s="14"/>
      <c r="Q11" s="14"/>
      <c r="R11" s="14"/>
      <c r="S11" s="14"/>
      <c r="T11" s="14"/>
    </row>
    <row r="12" spans="1:20" ht="15.75" customHeight="1">
      <c r="A12" s="16"/>
      <c r="B12" s="16"/>
      <c r="C12" s="13"/>
      <c r="D12" s="13"/>
      <c r="E12" s="13"/>
      <c r="F12" s="13"/>
      <c r="G12" s="13"/>
      <c r="H12" s="16"/>
      <c r="I12" s="16"/>
      <c r="J12" s="14"/>
      <c r="K12" s="14"/>
      <c r="L12" s="14"/>
      <c r="M12" s="14"/>
      <c r="N12" s="14"/>
      <c r="O12" s="14"/>
      <c r="P12" s="14"/>
      <c r="Q12" s="14"/>
      <c r="R12" s="14"/>
      <c r="S12" s="14"/>
      <c r="T12" s="14"/>
    </row>
    <row r="13" spans="1:20" ht="15.75" customHeight="1">
      <c r="A13" s="16"/>
      <c r="B13" s="16"/>
      <c r="C13" s="13"/>
      <c r="D13" s="13"/>
      <c r="E13" s="13"/>
      <c r="F13" s="13"/>
      <c r="G13" s="13"/>
      <c r="H13" s="16"/>
      <c r="I13" s="16"/>
      <c r="J13" s="14"/>
      <c r="K13" s="14"/>
      <c r="L13" s="14"/>
      <c r="M13" s="14"/>
      <c r="N13" s="14"/>
      <c r="O13" s="14"/>
      <c r="P13" s="14"/>
      <c r="Q13" s="14"/>
      <c r="R13" s="14"/>
      <c r="S13" s="14"/>
      <c r="T13" s="14"/>
    </row>
    <row r="14" spans="1:20" ht="15.75" customHeight="1">
      <c r="A14" s="16"/>
      <c r="B14" s="16"/>
      <c r="C14" s="13"/>
      <c r="D14" s="13"/>
      <c r="E14" s="13"/>
      <c r="F14" s="13"/>
      <c r="G14" s="13"/>
      <c r="H14" s="16"/>
      <c r="I14" s="16"/>
      <c r="J14" s="14"/>
      <c r="K14" s="14"/>
      <c r="L14" s="14"/>
      <c r="M14" s="14"/>
      <c r="N14" s="14"/>
      <c r="O14" s="14"/>
      <c r="P14" s="14"/>
      <c r="Q14" s="14"/>
      <c r="R14" s="14"/>
      <c r="S14" s="14"/>
      <c r="T14" s="14"/>
    </row>
    <row r="15" spans="1:20" ht="15.75" customHeight="1">
      <c r="A15" s="16"/>
      <c r="B15" s="16"/>
      <c r="C15" s="13"/>
      <c r="D15" s="13"/>
      <c r="E15" s="13"/>
      <c r="F15" s="13"/>
      <c r="G15" s="13"/>
      <c r="H15" s="16"/>
      <c r="I15" s="16"/>
      <c r="J15" s="14"/>
      <c r="K15" s="14"/>
      <c r="L15" s="14"/>
      <c r="M15" s="14"/>
      <c r="N15" s="14"/>
      <c r="O15" s="14"/>
      <c r="P15" s="14"/>
      <c r="Q15" s="14"/>
      <c r="R15" s="14"/>
      <c r="S15" s="14"/>
      <c r="T15" s="14"/>
    </row>
    <row r="16" spans="1:20" ht="15.75" customHeight="1">
      <c r="A16" s="16"/>
      <c r="B16" s="16"/>
      <c r="C16" s="13"/>
      <c r="D16" s="13"/>
      <c r="E16" s="13"/>
      <c r="F16" s="13"/>
      <c r="G16" s="13"/>
      <c r="H16" s="16"/>
      <c r="I16" s="16"/>
      <c r="J16" s="14"/>
      <c r="K16" s="14"/>
      <c r="L16" s="14"/>
      <c r="M16" s="14"/>
      <c r="N16" s="14"/>
      <c r="O16" s="14"/>
      <c r="P16" s="14"/>
      <c r="Q16" s="14"/>
      <c r="R16" s="14"/>
      <c r="S16" s="14"/>
      <c r="T16" s="14"/>
    </row>
    <row r="17" spans="1:20" ht="15.75" customHeight="1">
      <c r="A17" s="16"/>
      <c r="B17" s="16"/>
      <c r="C17" s="13"/>
      <c r="D17" s="13"/>
      <c r="E17" s="13"/>
      <c r="F17" s="13"/>
      <c r="G17" s="13"/>
      <c r="H17" s="16"/>
      <c r="I17" s="16"/>
      <c r="J17" s="14"/>
      <c r="K17" s="14"/>
      <c r="L17" s="14"/>
      <c r="M17" s="14"/>
      <c r="N17" s="14"/>
      <c r="O17" s="14"/>
      <c r="P17" s="14"/>
      <c r="Q17" s="14"/>
      <c r="R17" s="14"/>
      <c r="S17" s="14"/>
      <c r="T17" s="14"/>
    </row>
    <row r="18" spans="1:20" ht="15.75" customHeight="1">
      <c r="A18" s="16"/>
      <c r="B18" s="16"/>
      <c r="C18" s="13"/>
      <c r="D18" s="13"/>
      <c r="E18" s="13"/>
      <c r="F18" s="13"/>
      <c r="G18" s="13"/>
      <c r="H18" s="16"/>
      <c r="I18" s="16"/>
      <c r="J18" s="16"/>
      <c r="K18" s="16"/>
      <c r="L18" s="16"/>
      <c r="M18" s="16"/>
      <c r="N18" s="16"/>
      <c r="O18" s="16"/>
      <c r="P18" s="16"/>
      <c r="Q18" s="16"/>
      <c r="R18" s="16"/>
      <c r="S18" s="16"/>
      <c r="T18" s="16"/>
    </row>
    <row r="19" spans="1:20" ht="15.75" customHeight="1">
      <c r="A19" s="16"/>
      <c r="B19" s="16"/>
      <c r="C19" s="13"/>
      <c r="D19" s="13"/>
      <c r="E19" s="13"/>
      <c r="F19" s="13"/>
      <c r="G19" s="13"/>
      <c r="H19" s="16"/>
      <c r="I19" s="16"/>
      <c r="J19" s="16"/>
      <c r="K19" s="16"/>
      <c r="L19" s="16"/>
      <c r="M19" s="16"/>
      <c r="N19" s="16"/>
      <c r="O19" s="16"/>
      <c r="P19" s="16"/>
      <c r="Q19" s="16"/>
      <c r="R19" s="16"/>
      <c r="S19" s="16"/>
      <c r="T19" s="16"/>
    </row>
    <row r="20" spans="1:20" ht="15.75" customHeight="1">
      <c r="A20" s="16"/>
      <c r="B20" s="16"/>
      <c r="C20" s="13"/>
      <c r="D20" s="13"/>
      <c r="E20" s="13"/>
      <c r="F20" s="13"/>
      <c r="G20" s="13"/>
      <c r="H20" s="16"/>
      <c r="I20" s="16"/>
      <c r="J20" s="16"/>
      <c r="K20" s="16"/>
      <c r="L20" s="16"/>
      <c r="M20" s="16"/>
      <c r="N20" s="16"/>
      <c r="O20" s="16"/>
      <c r="P20" s="16"/>
      <c r="Q20" s="16"/>
      <c r="R20" s="16"/>
      <c r="S20" s="16"/>
      <c r="T20" s="16"/>
    </row>
    <row r="21" spans="1:20" ht="15.75" customHeight="1">
      <c r="A21" s="16"/>
      <c r="B21" s="16"/>
      <c r="C21" s="13"/>
      <c r="D21" s="13"/>
      <c r="E21" s="13"/>
      <c r="F21" s="13"/>
      <c r="G21" s="13"/>
      <c r="H21" s="16"/>
      <c r="I21" s="16"/>
      <c r="J21" s="16"/>
      <c r="K21" s="16"/>
      <c r="L21" s="16"/>
      <c r="M21" s="16"/>
      <c r="N21" s="16"/>
      <c r="O21" s="16"/>
      <c r="P21" s="16"/>
      <c r="Q21" s="16"/>
      <c r="R21" s="16"/>
      <c r="S21" s="16"/>
      <c r="T21" s="16"/>
    </row>
    <row r="22" spans="1:20" ht="15.75" customHeight="1">
      <c r="A22" s="16"/>
      <c r="B22" s="16"/>
      <c r="C22" s="16"/>
      <c r="D22" s="16"/>
      <c r="E22" s="16"/>
      <c r="F22" s="16"/>
      <c r="G22" s="16"/>
      <c r="H22" s="16"/>
      <c r="I22" s="16"/>
      <c r="J22" s="16"/>
      <c r="K22" s="16"/>
      <c r="L22" s="16"/>
      <c r="M22" s="16"/>
      <c r="N22" s="16"/>
      <c r="O22" s="16"/>
      <c r="P22" s="16"/>
      <c r="Q22" s="16"/>
      <c r="R22" s="16"/>
      <c r="S22" s="16"/>
      <c r="T22" s="16"/>
    </row>
    <row r="23" spans="1:20" ht="15.75" customHeight="1">
      <c r="A23" s="16"/>
      <c r="B23" s="16"/>
      <c r="C23" s="16"/>
      <c r="D23" s="16"/>
      <c r="E23" s="16"/>
      <c r="F23" s="16"/>
      <c r="G23" s="16"/>
      <c r="H23" s="16"/>
      <c r="I23" s="16"/>
      <c r="J23" s="16"/>
      <c r="K23" s="16"/>
      <c r="L23" s="16"/>
      <c r="M23" s="16"/>
      <c r="N23" s="16"/>
      <c r="O23" s="16"/>
      <c r="P23" s="16"/>
      <c r="Q23" s="16"/>
      <c r="R23" s="16"/>
      <c r="S23" s="16"/>
      <c r="T23" s="16"/>
    </row>
    <row r="24" spans="1:20" ht="15.75" customHeight="1">
      <c r="A24" s="16"/>
      <c r="B24" s="16"/>
      <c r="C24" s="16"/>
      <c r="D24" s="16"/>
      <c r="E24" s="16"/>
      <c r="F24" s="16"/>
      <c r="G24" s="16"/>
      <c r="H24" s="16"/>
      <c r="I24" s="16"/>
      <c r="J24" s="16"/>
      <c r="K24" s="16"/>
      <c r="L24" s="16"/>
      <c r="M24" s="16"/>
      <c r="N24" s="16"/>
      <c r="O24" s="16"/>
      <c r="P24" s="16"/>
      <c r="Q24" s="16"/>
      <c r="R24" s="16"/>
      <c r="S24" s="16"/>
      <c r="T24" s="16"/>
    </row>
    <row r="25" spans="1:20" ht="15.75" customHeight="1">
      <c r="A25" s="16"/>
      <c r="B25" s="16"/>
      <c r="C25" s="16"/>
      <c r="D25" s="16"/>
      <c r="E25" s="16"/>
      <c r="F25" s="16"/>
      <c r="G25" s="16"/>
      <c r="H25" s="16"/>
      <c r="I25" s="16"/>
      <c r="J25" s="16"/>
      <c r="K25" s="16"/>
      <c r="L25" s="16"/>
      <c r="M25" s="16"/>
      <c r="N25" s="16"/>
      <c r="O25" s="16"/>
      <c r="P25" s="16"/>
      <c r="Q25" s="16"/>
      <c r="R25" s="16"/>
      <c r="S25" s="16"/>
      <c r="T25" s="16"/>
    </row>
    <row r="26" spans="1:20" ht="15.75" customHeight="1">
      <c r="A26" s="16"/>
      <c r="B26" s="16"/>
      <c r="C26" s="16"/>
      <c r="D26" s="16"/>
      <c r="E26" s="16"/>
      <c r="F26" s="16"/>
      <c r="G26" s="16"/>
      <c r="H26" s="16"/>
      <c r="I26" s="16"/>
      <c r="J26" s="16"/>
      <c r="K26" s="16"/>
      <c r="L26" s="16"/>
      <c r="M26" s="16"/>
      <c r="N26" s="16"/>
      <c r="O26" s="16"/>
      <c r="P26" s="16"/>
      <c r="Q26" s="16"/>
      <c r="R26" s="16"/>
      <c r="S26" s="16"/>
      <c r="T26" s="16"/>
    </row>
    <row r="27" spans="1:20" ht="15.75" customHeight="1">
      <c r="A27" s="16"/>
      <c r="B27" s="16"/>
      <c r="C27" s="16"/>
      <c r="D27" s="16"/>
      <c r="E27" s="16"/>
      <c r="F27" s="16"/>
      <c r="G27" s="16"/>
      <c r="H27" s="16"/>
      <c r="I27" s="16"/>
      <c r="J27" s="16"/>
      <c r="K27" s="16"/>
      <c r="L27" s="16"/>
      <c r="M27" s="16"/>
      <c r="N27" s="16"/>
      <c r="O27" s="16"/>
      <c r="P27" s="16"/>
      <c r="Q27" s="16"/>
      <c r="R27" s="16"/>
      <c r="S27" s="16"/>
      <c r="T27" s="16"/>
    </row>
    <row r="28" spans="1:20" ht="15.75" customHeight="1">
      <c r="A28" s="16"/>
      <c r="B28" s="16"/>
      <c r="C28" s="16"/>
      <c r="D28" s="16"/>
      <c r="E28" s="16"/>
      <c r="F28" s="16"/>
      <c r="G28" s="16"/>
      <c r="H28" s="16"/>
      <c r="I28" s="16"/>
      <c r="J28" s="16"/>
      <c r="K28" s="16"/>
      <c r="L28" s="16"/>
      <c r="M28" s="16"/>
      <c r="N28" s="16"/>
      <c r="O28" s="16"/>
      <c r="P28" s="16"/>
      <c r="Q28" s="16"/>
      <c r="R28" s="16"/>
      <c r="S28" s="16"/>
      <c r="T28" s="16"/>
    </row>
    <row r="29" spans="1:20" ht="15.75" customHeight="1">
      <c r="A29" s="16"/>
      <c r="B29" s="16"/>
      <c r="C29" s="16"/>
      <c r="D29" s="16"/>
      <c r="E29" s="16"/>
      <c r="F29" s="16"/>
      <c r="G29" s="16"/>
      <c r="H29" s="16"/>
      <c r="I29" s="16"/>
      <c r="J29" s="16"/>
      <c r="K29" s="16"/>
      <c r="L29" s="16"/>
      <c r="M29" s="16"/>
      <c r="N29" s="16"/>
      <c r="O29" s="16"/>
      <c r="P29" s="16"/>
      <c r="Q29" s="16"/>
      <c r="R29" s="16"/>
      <c r="S29" s="16"/>
      <c r="T29" s="16"/>
    </row>
    <row r="30" spans="1:20" ht="15.75" customHeight="1">
      <c r="A30" s="16"/>
      <c r="B30" s="16"/>
      <c r="C30" s="17"/>
      <c r="D30" s="17"/>
      <c r="E30" s="17"/>
      <c r="F30" s="17"/>
      <c r="G30" s="17"/>
      <c r="H30" s="17"/>
      <c r="I30" s="17"/>
      <c r="J30" s="17"/>
      <c r="K30" s="17"/>
      <c r="L30" s="17"/>
      <c r="M30" s="17"/>
      <c r="N30" s="17"/>
      <c r="O30" s="17"/>
      <c r="P30" s="17"/>
      <c r="Q30" s="17"/>
      <c r="R30" s="17"/>
      <c r="S30" s="17"/>
      <c r="T30" s="17"/>
    </row>
    <row r="31" spans="1:20" ht="15.75" customHeight="1">
      <c r="A31" s="16"/>
      <c r="B31" s="16"/>
      <c r="C31" s="12" t="s">
        <v>1</v>
      </c>
      <c r="D31" s="12"/>
      <c r="E31" s="12"/>
      <c r="F31" s="12"/>
      <c r="G31" s="12"/>
      <c r="H31" s="16"/>
      <c r="I31" s="16"/>
      <c r="J31" s="16"/>
      <c r="K31" s="16"/>
      <c r="L31" s="16"/>
      <c r="M31" s="16"/>
      <c r="N31" s="16"/>
      <c r="O31" s="16"/>
      <c r="P31" s="16"/>
      <c r="Q31" s="16"/>
      <c r="R31" s="16"/>
      <c r="S31" s="16"/>
      <c r="T31" s="16"/>
    </row>
    <row r="32" spans="1:20" ht="15.75" customHeight="1">
      <c r="A32" s="16"/>
      <c r="B32" s="16"/>
      <c r="C32" s="18"/>
      <c r="D32" s="18"/>
      <c r="E32" s="18"/>
      <c r="F32" s="18"/>
      <c r="G32" s="18"/>
      <c r="H32" s="18"/>
      <c r="I32" s="18"/>
      <c r="J32" s="18"/>
      <c r="K32" s="18"/>
      <c r="L32" s="18"/>
      <c r="M32" s="18"/>
      <c r="N32" s="18"/>
      <c r="O32" s="18"/>
      <c r="P32" s="18"/>
      <c r="Q32" s="18"/>
      <c r="R32" s="18"/>
      <c r="S32" s="18"/>
      <c r="T32" s="18"/>
    </row>
    <row r="33" spans="1:20" ht="15.75" customHeight="1">
      <c r="A33" s="16"/>
      <c r="B33" s="16"/>
      <c r="C33" s="11" t="s">
        <v>2</v>
      </c>
      <c r="D33" s="11"/>
      <c r="E33" s="11"/>
      <c r="F33" s="11"/>
      <c r="G33" s="11"/>
      <c r="H33" s="11"/>
      <c r="I33" s="11"/>
      <c r="J33" s="11"/>
      <c r="K33" s="20"/>
      <c r="L33" s="20"/>
      <c r="M33" s="20"/>
      <c r="N33" s="20"/>
      <c r="O33" s="20"/>
      <c r="P33" s="20"/>
      <c r="Q33" s="20"/>
      <c r="R33" s="20"/>
      <c r="S33" s="20"/>
      <c r="T33" s="20"/>
    </row>
    <row r="34" spans="1:20" ht="15.75" customHeight="1">
      <c r="A34" s="16"/>
      <c r="B34" s="16"/>
      <c r="C34" s="10" t="s">
        <v>3</v>
      </c>
      <c r="D34" s="10"/>
      <c r="E34" s="10"/>
      <c r="F34" s="10"/>
      <c r="G34" s="10"/>
      <c r="H34" s="10"/>
      <c r="I34" s="10"/>
      <c r="J34" s="10"/>
      <c r="K34" s="18"/>
      <c r="L34" s="18"/>
      <c r="M34" s="18"/>
      <c r="N34" s="18"/>
      <c r="O34" s="18"/>
      <c r="P34" s="18"/>
      <c r="Q34" s="18"/>
      <c r="R34" s="18"/>
      <c r="S34" s="18"/>
      <c r="T34" s="18"/>
    </row>
    <row r="35" spans="1:20" ht="15.75" customHeight="1">
      <c r="A35" s="16"/>
      <c r="B35" s="16"/>
      <c r="C35" s="11" t="s">
        <v>4</v>
      </c>
      <c r="D35" s="11"/>
      <c r="E35" s="11"/>
      <c r="F35" s="11"/>
      <c r="G35" s="11"/>
      <c r="H35" s="11"/>
      <c r="I35" s="11"/>
      <c r="J35" s="11"/>
      <c r="K35" s="19"/>
      <c r="L35" s="20"/>
      <c r="M35" s="20"/>
      <c r="N35" s="20"/>
      <c r="O35" s="20"/>
      <c r="P35" s="20"/>
      <c r="Q35" s="20"/>
      <c r="R35" s="20"/>
      <c r="S35" s="20"/>
      <c r="T35" s="20"/>
    </row>
    <row r="36" spans="1:20" ht="15.75" customHeight="1">
      <c r="A36" s="16"/>
      <c r="B36" s="16"/>
      <c r="C36" s="10" t="s">
        <v>5</v>
      </c>
      <c r="D36" s="10"/>
      <c r="E36" s="10"/>
      <c r="F36" s="10"/>
      <c r="G36" s="10"/>
      <c r="H36" s="10"/>
      <c r="I36" s="10"/>
      <c r="J36" s="10"/>
      <c r="K36" s="18"/>
      <c r="L36" s="18"/>
      <c r="M36" s="18"/>
      <c r="N36" s="18"/>
      <c r="O36" s="18"/>
      <c r="P36" s="18"/>
      <c r="Q36" s="18"/>
      <c r="R36" s="18"/>
      <c r="S36" s="18"/>
      <c r="T36" s="18"/>
    </row>
    <row r="37" spans="1:20" ht="15.75" customHeight="1">
      <c r="A37" s="16"/>
      <c r="B37" s="16"/>
      <c r="C37" s="11" t="s">
        <v>6</v>
      </c>
      <c r="D37" s="11"/>
      <c r="E37" s="11"/>
      <c r="F37" s="11"/>
      <c r="G37" s="11"/>
      <c r="H37" s="11"/>
      <c r="I37" s="11"/>
      <c r="J37" s="11"/>
      <c r="K37" s="20"/>
      <c r="L37" s="20"/>
      <c r="M37" s="20"/>
      <c r="N37" s="20"/>
      <c r="O37" s="20"/>
      <c r="P37" s="20"/>
      <c r="Q37" s="20"/>
      <c r="R37" s="20"/>
      <c r="S37" s="20"/>
      <c r="T37" s="20"/>
    </row>
    <row r="38" spans="1:20" ht="15.75" customHeight="1">
      <c r="A38" s="16"/>
      <c r="B38" s="16"/>
      <c r="C38" s="17"/>
      <c r="D38" s="17"/>
      <c r="E38" s="17"/>
      <c r="F38" s="17"/>
      <c r="G38" s="17"/>
      <c r="H38" s="17"/>
      <c r="I38" s="17"/>
      <c r="J38" s="17"/>
      <c r="K38" s="17"/>
      <c r="L38" s="17"/>
      <c r="M38" s="17"/>
      <c r="N38" s="17"/>
      <c r="O38" s="17"/>
      <c r="P38" s="17"/>
      <c r="Q38" s="17"/>
      <c r="R38" s="17"/>
      <c r="S38" s="17"/>
      <c r="T38" s="17"/>
    </row>
    <row r="39" spans="1:20" ht="15.75" customHeight="1">
      <c r="A39" s="16"/>
      <c r="B39" s="16"/>
      <c r="C39" s="16"/>
      <c r="D39" s="16"/>
      <c r="E39" s="16"/>
      <c r="F39" s="16"/>
      <c r="G39" s="16"/>
      <c r="H39" s="16"/>
      <c r="I39" s="16"/>
      <c r="J39" s="16"/>
      <c r="K39" s="16"/>
      <c r="L39" s="16"/>
      <c r="M39" s="16"/>
      <c r="N39" s="16"/>
      <c r="O39" s="16"/>
      <c r="P39" s="16"/>
      <c r="Q39" s="16"/>
      <c r="R39" s="16"/>
      <c r="S39" s="16"/>
      <c r="T39" s="16"/>
    </row>
    <row r="40" spans="1:20" ht="15.75" customHeight="1">
      <c r="A40" s="16"/>
      <c r="B40" s="16"/>
      <c r="C40" s="18"/>
      <c r="D40" s="18"/>
      <c r="E40" s="18"/>
      <c r="F40" s="18"/>
      <c r="G40" s="18"/>
      <c r="H40" s="18"/>
      <c r="I40" s="18"/>
      <c r="J40" s="18"/>
      <c r="K40" s="18"/>
      <c r="L40" s="18"/>
      <c r="M40" s="18"/>
      <c r="N40" s="18"/>
      <c r="O40" s="18"/>
      <c r="P40" s="18"/>
      <c r="Q40" s="18"/>
      <c r="R40" s="18"/>
      <c r="S40" s="18"/>
      <c r="T40" s="18"/>
    </row>
    <row r="41" spans="1:20" ht="15.75" customHeight="1">
      <c r="A41" s="16"/>
      <c r="B41" s="16"/>
      <c r="C41" s="9" t="s">
        <v>7</v>
      </c>
      <c r="D41" s="9"/>
      <c r="E41" s="9"/>
      <c r="F41" s="9"/>
      <c r="G41" s="9"/>
      <c r="H41" s="20"/>
      <c r="I41" s="20"/>
      <c r="J41" s="20"/>
      <c r="K41" s="20"/>
      <c r="L41" s="20"/>
      <c r="M41" s="20"/>
      <c r="N41" s="20"/>
      <c r="O41" s="20"/>
      <c r="P41" s="20"/>
      <c r="Q41" s="20"/>
      <c r="R41" s="20"/>
      <c r="S41" s="20"/>
      <c r="T41" s="20"/>
    </row>
    <row r="42" spans="1:20" ht="15.75" customHeight="1">
      <c r="A42" s="16"/>
      <c r="B42" s="16"/>
      <c r="C42" s="18"/>
      <c r="D42" s="18"/>
      <c r="E42" s="18"/>
      <c r="F42" s="18"/>
      <c r="G42" s="18"/>
      <c r="H42" s="18"/>
      <c r="I42" s="18"/>
      <c r="J42" s="18"/>
      <c r="K42" s="18"/>
      <c r="L42" s="18"/>
      <c r="M42" s="18"/>
      <c r="N42" s="18"/>
      <c r="O42" s="18"/>
      <c r="P42" s="18"/>
      <c r="Q42" s="18"/>
      <c r="R42" s="18"/>
      <c r="S42" s="18"/>
      <c r="T42" s="18"/>
    </row>
    <row r="43" spans="1:20" ht="15.75" customHeight="1">
      <c r="A43" s="16"/>
      <c r="B43" s="16"/>
      <c r="C43" s="11" t="s">
        <v>8</v>
      </c>
      <c r="D43" s="11"/>
      <c r="E43" s="11"/>
      <c r="F43" s="11"/>
      <c r="G43" s="11"/>
      <c r="H43" s="20"/>
      <c r="I43" s="20"/>
      <c r="J43" s="20"/>
      <c r="K43" s="20"/>
      <c r="L43" s="20"/>
      <c r="M43" s="20"/>
      <c r="N43" s="20"/>
      <c r="O43" s="20"/>
      <c r="P43" s="20"/>
      <c r="Q43" s="20"/>
      <c r="R43" s="20"/>
      <c r="S43" s="20"/>
      <c r="T43" s="20"/>
    </row>
    <row r="44" spans="1:20" ht="15.75" customHeight="1">
      <c r="A44" s="16"/>
      <c r="B44" s="16"/>
      <c r="C44" s="8" t="s">
        <v>9</v>
      </c>
      <c r="D44" s="8"/>
      <c r="E44" s="8"/>
      <c r="F44" s="8"/>
      <c r="G44" s="8"/>
      <c r="H44" s="21"/>
      <c r="I44" s="21"/>
      <c r="J44" s="21"/>
      <c r="K44" s="21"/>
      <c r="L44" s="21"/>
      <c r="M44" s="21"/>
      <c r="N44" s="21"/>
      <c r="O44" s="21"/>
      <c r="P44" s="21"/>
      <c r="Q44" s="21"/>
      <c r="R44" s="21"/>
      <c r="S44" s="21"/>
      <c r="T44" s="21"/>
    </row>
    <row r="45" spans="1:20" ht="15.75" customHeight="1">
      <c r="A45" s="16"/>
      <c r="B45" s="16"/>
      <c r="C45" s="11" t="s">
        <v>10</v>
      </c>
      <c r="D45" s="11"/>
      <c r="E45" s="11"/>
      <c r="F45" s="11"/>
      <c r="G45" s="11"/>
      <c r="H45" s="20"/>
      <c r="I45" s="20"/>
      <c r="J45" s="20"/>
      <c r="K45" s="20"/>
      <c r="L45" s="20"/>
      <c r="M45" s="20"/>
      <c r="N45" s="20"/>
      <c r="O45" s="20"/>
      <c r="P45" s="20"/>
      <c r="Q45" s="20"/>
      <c r="R45" s="20"/>
      <c r="S45" s="20"/>
      <c r="T45" s="20"/>
    </row>
    <row r="46" spans="1:20" ht="15.75" customHeight="1">
      <c r="A46" s="16"/>
      <c r="B46" s="16"/>
      <c r="C46" s="10" t="s">
        <v>11</v>
      </c>
      <c r="D46" s="10"/>
      <c r="E46" s="10"/>
      <c r="F46" s="10"/>
      <c r="G46" s="10"/>
      <c r="H46" s="18"/>
      <c r="I46" s="18"/>
      <c r="J46" s="18"/>
      <c r="K46" s="18"/>
      <c r="L46" s="18"/>
      <c r="M46" s="18"/>
      <c r="N46" s="18"/>
      <c r="O46" s="18"/>
      <c r="P46" s="18"/>
      <c r="Q46" s="18"/>
      <c r="R46" s="18"/>
      <c r="S46" s="18"/>
      <c r="T46" s="18"/>
    </row>
    <row r="47" spans="1:20" ht="15.75" customHeight="1">
      <c r="A47" s="16"/>
      <c r="B47" s="16"/>
      <c r="C47" s="11" t="s">
        <v>12</v>
      </c>
      <c r="D47" s="11"/>
      <c r="E47" s="11"/>
      <c r="F47" s="11"/>
      <c r="G47" s="11"/>
      <c r="H47" s="20"/>
      <c r="I47" s="20"/>
      <c r="J47" s="20"/>
      <c r="K47" s="20"/>
      <c r="L47" s="20"/>
      <c r="M47" s="20"/>
      <c r="N47" s="20"/>
      <c r="O47" s="20"/>
      <c r="P47" s="20"/>
      <c r="Q47" s="20"/>
      <c r="R47" s="20"/>
      <c r="S47" s="20"/>
      <c r="T47" s="20"/>
    </row>
    <row r="48" spans="1:20" ht="15.75" customHeight="1">
      <c r="A48" s="16"/>
      <c r="B48" s="16"/>
      <c r="C48" s="10" t="s">
        <v>13</v>
      </c>
      <c r="D48" s="10"/>
      <c r="E48" s="10"/>
      <c r="F48" s="10"/>
      <c r="G48" s="10"/>
      <c r="H48" s="18"/>
      <c r="I48" s="18"/>
      <c r="J48" s="18"/>
      <c r="K48" s="18"/>
      <c r="L48" s="18"/>
      <c r="M48" s="18"/>
      <c r="N48" s="18"/>
      <c r="O48" s="18"/>
      <c r="P48" s="18"/>
      <c r="Q48" s="18"/>
      <c r="R48" s="18"/>
      <c r="S48" s="18"/>
      <c r="T48" s="18"/>
    </row>
    <row r="49" spans="1:20" ht="15.75" customHeight="1">
      <c r="A49" s="16"/>
      <c r="B49" s="16"/>
      <c r="C49" s="11" t="s">
        <v>14</v>
      </c>
      <c r="D49" s="11"/>
      <c r="E49" s="11"/>
      <c r="F49" s="11"/>
      <c r="G49" s="11"/>
      <c r="H49" s="20"/>
      <c r="I49" s="20"/>
      <c r="J49" s="20"/>
      <c r="K49" s="20"/>
      <c r="L49" s="20"/>
      <c r="M49" s="20"/>
      <c r="N49" s="20"/>
      <c r="O49" s="20"/>
      <c r="P49" s="20"/>
      <c r="Q49" s="20"/>
      <c r="R49" s="20"/>
      <c r="S49" s="20"/>
      <c r="T49" s="20"/>
    </row>
    <row r="50" spans="1:20" ht="15.75" customHeight="1">
      <c r="A50" s="16"/>
      <c r="B50" s="16"/>
      <c r="C50" s="10" t="s">
        <v>15</v>
      </c>
      <c r="D50" s="10"/>
      <c r="E50" s="10"/>
      <c r="F50" s="10"/>
      <c r="G50" s="10"/>
      <c r="H50" s="18"/>
      <c r="I50" s="18"/>
      <c r="J50" s="18"/>
      <c r="K50" s="18"/>
      <c r="L50" s="18"/>
      <c r="M50" s="18"/>
      <c r="N50" s="18"/>
      <c r="O50" s="18"/>
      <c r="P50" s="18"/>
      <c r="Q50" s="18"/>
      <c r="R50" s="18"/>
      <c r="S50" s="18"/>
      <c r="T50" s="18"/>
    </row>
    <row r="51" spans="1:20" ht="15.75" customHeight="1">
      <c r="A51" s="16"/>
      <c r="B51" s="16"/>
      <c r="C51" s="20"/>
      <c r="D51" s="20"/>
      <c r="E51" s="20"/>
      <c r="F51" s="20"/>
      <c r="G51" s="20"/>
      <c r="H51" s="20"/>
      <c r="I51" s="20"/>
      <c r="J51" s="20"/>
      <c r="K51" s="20"/>
      <c r="L51" s="20"/>
      <c r="M51" s="20"/>
      <c r="N51" s="20"/>
      <c r="O51" s="20"/>
      <c r="P51" s="20"/>
      <c r="Q51" s="20"/>
      <c r="R51" s="20"/>
      <c r="S51" s="20"/>
      <c r="T51" s="20"/>
    </row>
    <row r="52" spans="1:20" ht="15.75" customHeight="1">
      <c r="A52" s="16"/>
      <c r="B52" s="16"/>
      <c r="C52" s="7" t="s">
        <v>16</v>
      </c>
      <c r="D52" s="7"/>
      <c r="E52" s="7"/>
      <c r="F52" s="7"/>
      <c r="G52" s="7"/>
      <c r="H52" s="18"/>
      <c r="I52" s="18"/>
      <c r="J52" s="18"/>
      <c r="K52" s="18"/>
      <c r="L52" s="18"/>
      <c r="M52" s="18"/>
      <c r="N52" s="18"/>
      <c r="O52" s="18"/>
      <c r="P52" s="18"/>
      <c r="Q52" s="18"/>
      <c r="R52" s="18"/>
      <c r="S52" s="18"/>
      <c r="T52" s="18"/>
    </row>
    <row r="53" spans="1:20" ht="15.75" customHeight="1">
      <c r="A53" s="16"/>
      <c r="B53" s="16"/>
      <c r="C53" s="20"/>
      <c r="D53" s="20"/>
      <c r="E53" s="20"/>
      <c r="F53" s="20"/>
      <c r="G53" s="20"/>
      <c r="H53" s="20"/>
      <c r="I53" s="20"/>
      <c r="J53" s="20"/>
      <c r="K53" s="20"/>
      <c r="L53" s="20"/>
      <c r="M53" s="20"/>
      <c r="N53" s="20"/>
      <c r="O53" s="20"/>
      <c r="P53" s="20"/>
      <c r="Q53" s="20"/>
      <c r="R53" s="20"/>
      <c r="S53" s="20"/>
      <c r="T53" s="20"/>
    </row>
    <row r="54" spans="1:20" ht="15.75" customHeight="1">
      <c r="A54" s="16"/>
      <c r="B54" s="16"/>
      <c r="C54" s="6" t="s">
        <v>17</v>
      </c>
      <c r="D54" s="6"/>
      <c r="E54" s="6"/>
      <c r="F54" s="6"/>
      <c r="G54" s="6"/>
      <c r="H54" s="6"/>
      <c r="I54" s="6"/>
      <c r="J54" s="6"/>
      <c r="K54" s="6"/>
      <c r="L54" s="6"/>
      <c r="M54" s="16"/>
      <c r="N54" s="16"/>
      <c r="O54" s="16"/>
      <c r="P54" s="16"/>
      <c r="Q54" s="16"/>
      <c r="R54" s="16"/>
      <c r="S54" s="16"/>
      <c r="T54" s="16"/>
    </row>
    <row r="55" spans="1:20" ht="15.75" customHeight="1">
      <c r="A55" s="16"/>
      <c r="B55" s="16"/>
      <c r="C55" s="6" t="s">
        <v>18</v>
      </c>
      <c r="D55" s="6"/>
      <c r="E55" s="6"/>
      <c r="F55" s="6"/>
      <c r="G55" s="6"/>
      <c r="H55" s="6"/>
      <c r="I55" s="6"/>
      <c r="J55" s="6"/>
      <c r="K55" s="6"/>
      <c r="L55" s="6"/>
      <c r="M55" s="16"/>
      <c r="N55" s="16"/>
      <c r="O55" s="16"/>
      <c r="P55" s="16"/>
      <c r="Q55" s="16"/>
      <c r="R55" s="16"/>
      <c r="S55" s="16"/>
      <c r="T55" s="16"/>
    </row>
    <row r="56" spans="1:20" ht="15.75" customHeight="1">
      <c r="A56" s="16"/>
      <c r="B56" s="16"/>
      <c r="C56" s="6" t="s">
        <v>19</v>
      </c>
      <c r="D56" s="6"/>
      <c r="E56" s="6"/>
      <c r="F56" s="6"/>
      <c r="G56" s="6"/>
      <c r="H56" s="6"/>
      <c r="I56" s="6"/>
      <c r="J56" s="6"/>
      <c r="K56" s="6"/>
      <c r="L56" s="6"/>
      <c r="M56" s="16"/>
      <c r="N56" s="16"/>
      <c r="O56" s="16"/>
      <c r="P56" s="16"/>
      <c r="Q56" s="16"/>
      <c r="R56" s="16"/>
      <c r="S56" s="16"/>
      <c r="T56" s="16"/>
    </row>
    <row r="57" spans="1:20" ht="15.75" customHeight="1">
      <c r="A57" s="16"/>
      <c r="B57" s="16"/>
      <c r="C57" s="6" t="s">
        <v>20</v>
      </c>
      <c r="D57" s="6"/>
      <c r="E57" s="6"/>
      <c r="F57" s="6"/>
      <c r="G57" s="6"/>
      <c r="H57" s="6"/>
      <c r="I57" s="6"/>
      <c r="J57" s="6"/>
      <c r="K57" s="6"/>
      <c r="L57" s="6"/>
      <c r="M57" s="16"/>
      <c r="N57" s="16"/>
      <c r="O57" s="16"/>
      <c r="P57" s="16"/>
      <c r="Q57" s="16"/>
      <c r="R57" s="16"/>
      <c r="S57" s="16"/>
      <c r="T57" s="16"/>
    </row>
    <row r="58" spans="1:20" ht="15.75" customHeight="1">
      <c r="A58" s="16"/>
      <c r="B58" s="16"/>
      <c r="C58" s="6" t="s">
        <v>21</v>
      </c>
      <c r="D58" s="6"/>
      <c r="E58" s="6"/>
      <c r="F58" s="6"/>
      <c r="G58" s="6"/>
      <c r="H58" s="6"/>
      <c r="I58" s="6"/>
      <c r="J58" s="6"/>
      <c r="K58" s="6"/>
      <c r="L58" s="6"/>
      <c r="M58" s="16"/>
      <c r="N58" s="16"/>
      <c r="O58" s="16"/>
      <c r="P58" s="16"/>
      <c r="Q58" s="16"/>
      <c r="R58" s="16"/>
      <c r="S58" s="16"/>
      <c r="T58" s="16"/>
    </row>
    <row r="59" spans="1:20" ht="15.75" customHeight="1">
      <c r="A59" s="16"/>
      <c r="B59" s="16"/>
      <c r="C59" s="6" t="s">
        <v>22</v>
      </c>
      <c r="D59" s="6"/>
      <c r="E59" s="6"/>
      <c r="F59" s="6"/>
      <c r="G59" s="6"/>
      <c r="H59" s="6"/>
      <c r="I59" s="6"/>
      <c r="J59" s="6"/>
      <c r="K59" s="6"/>
      <c r="L59" s="6"/>
      <c r="M59" s="16"/>
      <c r="N59" s="16"/>
      <c r="O59" s="16"/>
      <c r="P59" s="16"/>
      <c r="Q59" s="16"/>
      <c r="R59" s="16"/>
      <c r="S59" s="16"/>
      <c r="T59" s="16"/>
    </row>
    <row r="60" spans="1:20" ht="15.75" customHeight="1">
      <c r="A60" s="16"/>
      <c r="B60" s="16"/>
      <c r="C60" s="6" t="s">
        <v>23</v>
      </c>
      <c r="D60" s="6"/>
      <c r="E60" s="6"/>
      <c r="F60" s="6"/>
      <c r="G60" s="6"/>
      <c r="H60" s="6"/>
      <c r="I60" s="6"/>
      <c r="J60" s="6"/>
      <c r="K60" s="6"/>
      <c r="L60" s="6"/>
      <c r="M60" s="16"/>
      <c r="N60" s="16"/>
      <c r="O60" s="16"/>
      <c r="P60" s="16"/>
      <c r="Q60" s="16"/>
      <c r="R60" s="16"/>
      <c r="S60" s="16"/>
      <c r="T60" s="16"/>
    </row>
    <row r="61" spans="1:20" ht="15.75" customHeight="1">
      <c r="A61" s="16"/>
      <c r="B61" s="16"/>
      <c r="C61" s="6" t="s">
        <v>24</v>
      </c>
      <c r="D61" s="6"/>
      <c r="E61" s="6"/>
      <c r="F61" s="6"/>
      <c r="G61" s="6"/>
      <c r="H61" s="6"/>
      <c r="I61" s="6"/>
      <c r="J61" s="6"/>
      <c r="K61" s="6"/>
      <c r="L61" s="6"/>
      <c r="M61" s="16"/>
      <c r="N61" s="16"/>
      <c r="O61" s="16"/>
      <c r="P61" s="16"/>
      <c r="Q61" s="16"/>
      <c r="R61" s="16"/>
      <c r="S61" s="16"/>
      <c r="T61" s="16"/>
    </row>
  </sheetData>
  <mergeCells count="26">
    <mergeCell ref="C61:L61"/>
    <mergeCell ref="C56:L56"/>
    <mergeCell ref="C57:L57"/>
    <mergeCell ref="C58:L58"/>
    <mergeCell ref="C59:L59"/>
    <mergeCell ref="C60:L60"/>
    <mergeCell ref="C49:G49"/>
    <mergeCell ref="C50:G50"/>
    <mergeCell ref="C52:G52"/>
    <mergeCell ref="C54:L54"/>
    <mergeCell ref="C55:L55"/>
    <mergeCell ref="C44:G44"/>
    <mergeCell ref="C45:G45"/>
    <mergeCell ref="C46:G46"/>
    <mergeCell ref="C47:G47"/>
    <mergeCell ref="C48:G48"/>
    <mergeCell ref="C35:J35"/>
    <mergeCell ref="C36:J36"/>
    <mergeCell ref="C37:J37"/>
    <mergeCell ref="C41:G41"/>
    <mergeCell ref="C43:G43"/>
    <mergeCell ref="J5:T17"/>
    <mergeCell ref="C6:G21"/>
    <mergeCell ref="C31:G31"/>
    <mergeCell ref="C33:J33"/>
    <mergeCell ref="C34:J34"/>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
  <sheetViews>
    <sheetView showGridLines="0" zoomScale="89" zoomScaleNormal="89" workbookViewId="0">
      <selection activeCell="K7" sqref="K7"/>
    </sheetView>
  </sheetViews>
  <sheetFormatPr defaultColWidth="8.6640625" defaultRowHeight="14.4"/>
  <cols>
    <col min="1" max="1" width="1.44140625" customWidth="1"/>
    <col min="2" max="2" width="40.77734375" customWidth="1"/>
    <col min="3" max="3" width="18.5546875" customWidth="1"/>
    <col min="4" max="4" width="16.6640625" customWidth="1"/>
    <col min="5" max="5" width="20.33203125" customWidth="1"/>
  </cols>
  <sheetData>
    <row r="1" spans="1:5" ht="15" customHeight="1">
      <c r="A1" s="16"/>
      <c r="B1" s="16"/>
      <c r="C1" s="16"/>
      <c r="D1" s="23"/>
      <c r="E1" s="23"/>
    </row>
    <row r="2" spans="1:5" ht="15.75" customHeight="1">
      <c r="A2" s="24"/>
      <c r="B2" s="5" t="s">
        <v>25</v>
      </c>
      <c r="C2" s="4" t="s">
        <v>26</v>
      </c>
      <c r="D2" s="3" t="s">
        <v>27</v>
      </c>
      <c r="E2" s="3" t="s">
        <v>28</v>
      </c>
    </row>
    <row r="3" spans="1:5" ht="4.5" customHeight="1">
      <c r="A3" s="25"/>
      <c r="B3" s="5"/>
      <c r="C3" s="4"/>
      <c r="D3" s="3"/>
      <c r="E3" s="3"/>
    </row>
    <row r="4" spans="1:5" ht="4.5" customHeight="1">
      <c r="A4" s="25"/>
      <c r="B4" s="5"/>
      <c r="C4" s="4"/>
      <c r="D4" s="3"/>
      <c r="E4" s="3"/>
    </row>
    <row r="5" spans="1:5" ht="15" customHeight="1">
      <c r="A5" s="26"/>
      <c r="B5" s="27" t="s">
        <v>29</v>
      </c>
      <c r="C5" s="28"/>
      <c r="D5" s="29">
        <v>0</v>
      </c>
      <c r="E5" s="29"/>
    </row>
    <row r="6" spans="1:5" ht="15" customHeight="1">
      <c r="A6" s="30"/>
      <c r="B6" s="31" t="s">
        <v>30</v>
      </c>
      <c r="C6" s="32"/>
      <c r="D6" s="33">
        <v>14.18</v>
      </c>
      <c r="E6" s="33" t="s">
        <v>31</v>
      </c>
    </row>
    <row r="7" spans="1:5" ht="15" customHeight="1">
      <c r="A7" s="34"/>
      <c r="B7" s="35" t="s">
        <v>32</v>
      </c>
      <c r="C7" s="36" t="s">
        <v>33</v>
      </c>
      <c r="D7" s="37">
        <v>0.02</v>
      </c>
      <c r="E7" s="38">
        <v>43364</v>
      </c>
    </row>
    <row r="8" spans="1:5" ht="15" customHeight="1">
      <c r="A8" s="30"/>
      <c r="B8" s="31" t="s">
        <v>34</v>
      </c>
      <c r="C8" s="32" t="s">
        <v>33</v>
      </c>
      <c r="D8" s="33">
        <v>0.02</v>
      </c>
      <c r="E8" s="39">
        <v>32500</v>
      </c>
    </row>
    <row r="9" spans="1:5" ht="15" customHeight="1">
      <c r="A9" s="34"/>
      <c r="B9" s="35" t="s">
        <v>35</v>
      </c>
      <c r="C9" s="36" t="s">
        <v>33</v>
      </c>
      <c r="D9" s="37">
        <v>13.96</v>
      </c>
      <c r="E9" s="37" t="s">
        <v>36</v>
      </c>
    </row>
    <row r="10" spans="1:5" ht="15" customHeight="1">
      <c r="A10" s="30"/>
      <c r="B10" s="31" t="s">
        <v>37</v>
      </c>
      <c r="C10" s="32" t="s">
        <v>33</v>
      </c>
      <c r="D10" s="33">
        <v>0.06</v>
      </c>
      <c r="E10" s="33" t="s">
        <v>38</v>
      </c>
    </row>
    <row r="11" spans="1:5" ht="15" customHeight="1">
      <c r="A11" s="34"/>
      <c r="B11" s="35" t="s">
        <v>39</v>
      </c>
      <c r="C11" s="36" t="s">
        <v>33</v>
      </c>
      <c r="D11" s="37">
        <v>0.01</v>
      </c>
      <c r="E11" s="38">
        <v>10833</v>
      </c>
    </row>
    <row r="12" spans="1:5" ht="15" customHeight="1">
      <c r="A12" s="30"/>
      <c r="B12" s="31" t="s">
        <v>40</v>
      </c>
      <c r="C12" s="32" t="s">
        <v>33</v>
      </c>
      <c r="D12" s="33">
        <v>0.05</v>
      </c>
      <c r="E12" s="39">
        <v>91250</v>
      </c>
    </row>
    <row r="13" spans="1:5" ht="15" customHeight="1">
      <c r="A13" s="34"/>
      <c r="B13" s="35" t="s">
        <v>41</v>
      </c>
      <c r="C13" s="36" t="s">
        <v>33</v>
      </c>
      <c r="D13" s="37">
        <v>0.02</v>
      </c>
      <c r="E13" s="38">
        <v>32480</v>
      </c>
    </row>
    <row r="14" spans="1:5" ht="15" customHeight="1">
      <c r="A14" s="30"/>
      <c r="B14" s="31" t="s">
        <v>42</v>
      </c>
      <c r="C14" s="32" t="s">
        <v>43</v>
      </c>
      <c r="D14" s="33">
        <v>0.02</v>
      </c>
      <c r="E14" s="39">
        <v>32500</v>
      </c>
    </row>
    <row r="15" spans="1:5" ht="15" customHeight="1">
      <c r="A15" s="34"/>
      <c r="B15" s="35" t="s">
        <v>44</v>
      </c>
      <c r="C15" s="36" t="s">
        <v>43</v>
      </c>
      <c r="D15" s="37">
        <v>0.01</v>
      </c>
      <c r="E15" s="38">
        <v>10620</v>
      </c>
    </row>
    <row r="16" spans="1:5" ht="15" customHeight="1">
      <c r="A16" s="30"/>
      <c r="B16" s="31" t="s">
        <v>45</v>
      </c>
      <c r="C16" s="32" t="s">
        <v>43</v>
      </c>
      <c r="D16" s="33">
        <v>0</v>
      </c>
      <c r="E16" s="39">
        <v>1000</v>
      </c>
    </row>
    <row r="17" spans="1:5" ht="15" customHeight="1">
      <c r="A17" s="34"/>
      <c r="B17" s="35" t="s">
        <v>46</v>
      </c>
      <c r="C17" s="36" t="s">
        <v>43</v>
      </c>
      <c r="D17" s="37">
        <v>0.02</v>
      </c>
      <c r="E17" s="38">
        <v>32500</v>
      </c>
    </row>
    <row r="18" spans="1:5" ht="15" customHeight="1">
      <c r="A18" s="30"/>
      <c r="B18" s="31" t="s">
        <v>47</v>
      </c>
      <c r="C18" s="32" t="s">
        <v>43</v>
      </c>
      <c r="D18" s="33">
        <v>0.02</v>
      </c>
      <c r="E18" s="39">
        <v>32500</v>
      </c>
    </row>
    <row r="19" spans="1:5" ht="15" customHeight="1">
      <c r="A19" s="34"/>
      <c r="B19" s="35" t="s">
        <v>48</v>
      </c>
      <c r="C19" s="36" t="s">
        <v>43</v>
      </c>
      <c r="D19" s="37">
        <v>0</v>
      </c>
      <c r="E19" s="38">
        <v>1000</v>
      </c>
    </row>
    <row r="20" spans="1:5" ht="15" customHeight="1">
      <c r="A20" s="30"/>
      <c r="B20" s="31" t="s">
        <v>49</v>
      </c>
      <c r="C20" s="32" t="s">
        <v>43</v>
      </c>
      <c r="D20" s="33">
        <v>0.01</v>
      </c>
      <c r="E20" s="39">
        <v>10620</v>
      </c>
    </row>
    <row r="21" spans="1:5" ht="15" customHeight="1">
      <c r="A21" s="34"/>
      <c r="B21" s="35" t="s">
        <v>50</v>
      </c>
      <c r="C21" s="36" t="s">
        <v>43</v>
      </c>
      <c r="D21" s="37">
        <v>0</v>
      </c>
      <c r="E21" s="38">
        <v>1000</v>
      </c>
    </row>
    <row r="22" spans="1:5" ht="15" customHeight="1">
      <c r="A22" s="30"/>
      <c r="B22" s="31" t="s">
        <v>51</v>
      </c>
      <c r="C22" s="32"/>
      <c r="D22" s="33">
        <v>20.55</v>
      </c>
      <c r="E22" s="33" t="s">
        <v>52</v>
      </c>
    </row>
    <row r="23" spans="1:5" ht="15" customHeight="1">
      <c r="A23" s="34"/>
      <c r="B23" s="35" t="s">
        <v>53</v>
      </c>
      <c r="C23" s="36" t="s">
        <v>33</v>
      </c>
      <c r="D23" s="37">
        <v>20.010000000000002</v>
      </c>
      <c r="E23" s="37" t="s">
        <v>54</v>
      </c>
    </row>
    <row r="24" spans="1:5" ht="15" customHeight="1">
      <c r="A24" s="30"/>
      <c r="B24" s="31" t="s">
        <v>55</v>
      </c>
      <c r="C24" s="32" t="s">
        <v>33</v>
      </c>
      <c r="D24" s="33">
        <v>0.44</v>
      </c>
      <c r="E24" s="33" t="s">
        <v>56</v>
      </c>
    </row>
    <row r="25" spans="1:5" ht="15" customHeight="1">
      <c r="A25" s="34"/>
      <c r="B25" s="35" t="s">
        <v>57</v>
      </c>
      <c r="C25" s="36" t="s">
        <v>43</v>
      </c>
      <c r="D25" s="37">
        <v>0</v>
      </c>
      <c r="E25" s="38">
        <v>1370</v>
      </c>
    </row>
    <row r="26" spans="1:5" ht="15" customHeight="1">
      <c r="A26" s="30"/>
      <c r="B26" s="31" t="s">
        <v>58</v>
      </c>
      <c r="C26" s="32" t="s">
        <v>33</v>
      </c>
      <c r="D26" s="33">
        <v>0.1</v>
      </c>
      <c r="E26" s="33" t="s">
        <v>59</v>
      </c>
    </row>
    <row r="27" spans="1:5" ht="15" customHeight="1">
      <c r="A27" s="34"/>
      <c r="B27" s="35" t="s">
        <v>60</v>
      </c>
      <c r="C27" s="36" t="s">
        <v>33</v>
      </c>
      <c r="D27" s="37">
        <v>0</v>
      </c>
      <c r="E27" s="38">
        <v>8000</v>
      </c>
    </row>
    <row r="28" spans="1:5" ht="15" customHeight="1">
      <c r="A28" s="40"/>
      <c r="B28" s="41" t="s">
        <v>61</v>
      </c>
      <c r="C28" s="42"/>
      <c r="D28" s="43">
        <v>34.729999999999997</v>
      </c>
      <c r="E28" s="43" t="s">
        <v>62</v>
      </c>
    </row>
    <row r="29" spans="1:5" ht="15" customHeight="1">
      <c r="A29" s="26"/>
      <c r="B29" s="44" t="s">
        <v>63</v>
      </c>
      <c r="C29" s="45"/>
      <c r="D29" s="46">
        <v>0</v>
      </c>
      <c r="E29" s="46"/>
    </row>
    <row r="30" spans="1:5" ht="15" customHeight="1">
      <c r="A30" s="40"/>
      <c r="B30" s="41" t="s">
        <v>64</v>
      </c>
      <c r="C30" s="42"/>
      <c r="D30" s="43">
        <v>34.729999999999997</v>
      </c>
      <c r="E30" s="43" t="s">
        <v>62</v>
      </c>
    </row>
    <row r="31" spans="1:5">
      <c r="B31" s="47"/>
      <c r="C31" s="47"/>
      <c r="D31" s="47"/>
      <c r="E31" s="47"/>
    </row>
    <row r="32" spans="1:5">
      <c r="B32" s="2"/>
      <c r="C32" s="2"/>
      <c r="D32" s="2"/>
      <c r="E32" s="2"/>
    </row>
  </sheetData>
  <mergeCells count="5">
    <mergeCell ref="B2:B4"/>
    <mergeCell ref="C2:C4"/>
    <mergeCell ref="D2:D4"/>
    <mergeCell ref="E2:E4"/>
    <mergeCell ref="B32:E32"/>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8"/>
  <sheetViews>
    <sheetView showGridLines="0" zoomScale="76" zoomScaleNormal="76" workbookViewId="0">
      <selection activeCell="C1" sqref="C1"/>
    </sheetView>
  </sheetViews>
  <sheetFormatPr defaultColWidth="8.6640625" defaultRowHeight="14.4"/>
  <cols>
    <col min="1" max="1" width="42.5546875" customWidth="1"/>
    <col min="2" max="2" width="14.77734375" customWidth="1"/>
    <col min="3" max="3" width="18.5546875" customWidth="1"/>
    <col min="4" max="4" width="14.77734375" customWidth="1"/>
    <col min="5" max="5" width="8.88671875" customWidth="1"/>
  </cols>
  <sheetData>
    <row r="1" spans="1:4" ht="18" customHeight="1">
      <c r="A1" s="5" t="s">
        <v>65</v>
      </c>
      <c r="B1" s="1" t="s">
        <v>66</v>
      </c>
      <c r="C1" s="3" t="s">
        <v>67</v>
      </c>
      <c r="D1" s="3" t="s">
        <v>68</v>
      </c>
    </row>
    <row r="2" spans="1:4" ht="3.75" customHeight="1">
      <c r="A2" s="5"/>
      <c r="B2" s="1"/>
      <c r="C2" s="3"/>
      <c r="D2" s="3"/>
    </row>
    <row r="3" spans="1:4" ht="3.75" customHeight="1">
      <c r="A3" s="5"/>
      <c r="B3" s="1"/>
      <c r="C3" s="3"/>
      <c r="D3" s="3"/>
    </row>
    <row r="4" spans="1:4" ht="3.75" customHeight="1">
      <c r="A4" s="48"/>
      <c r="B4" s="49"/>
      <c r="C4" s="50"/>
      <c r="D4" s="51"/>
    </row>
    <row r="5" spans="1:4" ht="3.75" customHeight="1">
      <c r="A5" s="48"/>
      <c r="B5" s="49"/>
      <c r="C5" s="50"/>
      <c r="D5" s="51"/>
    </row>
    <row r="6" spans="1:4" ht="3.75" customHeight="1">
      <c r="A6" s="48"/>
      <c r="B6" s="49"/>
      <c r="C6" s="50"/>
      <c r="D6" s="51"/>
    </row>
    <row r="7" spans="1:4" ht="15" customHeight="1">
      <c r="A7" s="27" t="s">
        <v>69</v>
      </c>
      <c r="B7" s="52">
        <v>0</v>
      </c>
      <c r="C7" s="29"/>
      <c r="D7" s="53">
        <v>0</v>
      </c>
    </row>
    <row r="8" spans="1:4" ht="15" customHeight="1">
      <c r="A8" s="27" t="s">
        <v>70</v>
      </c>
      <c r="B8" s="52">
        <v>0</v>
      </c>
      <c r="C8" s="29"/>
      <c r="D8" s="53">
        <v>0</v>
      </c>
    </row>
    <row r="9" spans="1:4" ht="15" customHeight="1">
      <c r="A9" s="31" t="s">
        <v>71</v>
      </c>
      <c r="B9" s="54">
        <v>41</v>
      </c>
      <c r="C9" s="33" t="s">
        <v>72</v>
      </c>
      <c r="D9" s="55">
        <v>14.41</v>
      </c>
    </row>
    <row r="10" spans="1:4" ht="15" customHeight="1">
      <c r="A10" s="35" t="s">
        <v>73</v>
      </c>
      <c r="B10" s="56">
        <v>1</v>
      </c>
      <c r="C10" s="37" t="s">
        <v>74</v>
      </c>
      <c r="D10" s="57">
        <v>4</v>
      </c>
    </row>
    <row r="11" spans="1:4" ht="15" customHeight="1">
      <c r="A11" s="31" t="s">
        <v>75</v>
      </c>
      <c r="B11" s="54">
        <v>1</v>
      </c>
      <c r="C11" s="33" t="s">
        <v>76</v>
      </c>
      <c r="D11" s="55">
        <v>2.65</v>
      </c>
    </row>
    <row r="12" spans="1:4" ht="15" customHeight="1">
      <c r="A12" s="35" t="s">
        <v>77</v>
      </c>
      <c r="B12" s="56">
        <v>1</v>
      </c>
      <c r="C12" s="37" t="s">
        <v>78</v>
      </c>
      <c r="D12" s="57">
        <v>1.39</v>
      </c>
    </row>
    <row r="13" spans="1:4" ht="15" customHeight="1">
      <c r="A13" s="31" t="s">
        <v>79</v>
      </c>
      <c r="B13" s="54">
        <v>1</v>
      </c>
      <c r="C13" s="33" t="s">
        <v>80</v>
      </c>
      <c r="D13" s="55">
        <v>1.03</v>
      </c>
    </row>
    <row r="14" spans="1:4" ht="15" customHeight="1">
      <c r="A14" s="35" t="s">
        <v>81</v>
      </c>
      <c r="B14" s="56">
        <v>0</v>
      </c>
      <c r="C14" s="37"/>
      <c r="D14" s="57">
        <v>0</v>
      </c>
    </row>
    <row r="15" spans="1:4" ht="15" customHeight="1">
      <c r="A15" s="31" t="s">
        <v>82</v>
      </c>
      <c r="B15" s="54">
        <v>26</v>
      </c>
      <c r="C15" s="33" t="s">
        <v>83</v>
      </c>
      <c r="D15" s="55">
        <v>0.22</v>
      </c>
    </row>
    <row r="16" spans="1:4" ht="15" customHeight="1">
      <c r="A16" s="35" t="s">
        <v>84</v>
      </c>
      <c r="B16" s="56">
        <v>11</v>
      </c>
      <c r="C16" s="38">
        <v>92069</v>
      </c>
      <c r="D16" s="57">
        <v>0.05</v>
      </c>
    </row>
    <row r="17" spans="1:4" ht="15" customHeight="1">
      <c r="A17" s="31" t="s">
        <v>85</v>
      </c>
      <c r="B17" s="54">
        <v>12</v>
      </c>
      <c r="C17" s="33" t="s">
        <v>86</v>
      </c>
      <c r="D17" s="55">
        <v>2.06</v>
      </c>
    </row>
    <row r="18" spans="1:4" ht="15" customHeight="1">
      <c r="A18" s="35" t="s">
        <v>87</v>
      </c>
      <c r="B18" s="56">
        <v>2</v>
      </c>
      <c r="C18" s="37" t="s">
        <v>88</v>
      </c>
      <c r="D18" s="57">
        <v>0.08</v>
      </c>
    </row>
    <row r="19" spans="1:4" ht="15" customHeight="1">
      <c r="A19" s="31" t="s">
        <v>89</v>
      </c>
      <c r="B19" s="54">
        <v>5</v>
      </c>
      <c r="C19" s="33">
        <v>968</v>
      </c>
      <c r="D19" s="55">
        <v>0</v>
      </c>
    </row>
    <row r="20" spans="1:4" ht="15" customHeight="1">
      <c r="A20" s="35" t="s">
        <v>90</v>
      </c>
      <c r="B20" s="56">
        <v>3</v>
      </c>
      <c r="C20" s="38">
        <v>24930</v>
      </c>
      <c r="D20" s="57">
        <v>0.01</v>
      </c>
    </row>
    <row r="21" spans="1:4" ht="15" customHeight="1">
      <c r="A21" s="31" t="s">
        <v>91</v>
      </c>
      <c r="B21" s="54">
        <v>21</v>
      </c>
      <c r="C21" s="33" t="s">
        <v>92</v>
      </c>
      <c r="D21" s="55">
        <v>9.5299999999999994</v>
      </c>
    </row>
    <row r="22" spans="1:4" ht="15" customHeight="1">
      <c r="A22" s="35" t="s">
        <v>93</v>
      </c>
      <c r="B22" s="56">
        <v>1</v>
      </c>
      <c r="C22" s="37" t="s">
        <v>94</v>
      </c>
      <c r="D22" s="57">
        <v>5.73</v>
      </c>
    </row>
    <row r="23" spans="1:4" ht="15" customHeight="1">
      <c r="A23" s="58" t="s">
        <v>95</v>
      </c>
      <c r="B23" s="59">
        <v>1</v>
      </c>
      <c r="C23" s="60" t="s">
        <v>96</v>
      </c>
      <c r="D23" s="61">
        <v>2.48</v>
      </c>
    </row>
    <row r="24" spans="1:4" ht="15" customHeight="1">
      <c r="A24" s="41" t="s">
        <v>97</v>
      </c>
      <c r="B24" s="62">
        <v>121</v>
      </c>
      <c r="C24" s="43" t="s">
        <v>98</v>
      </c>
      <c r="D24" s="63">
        <v>26.36</v>
      </c>
    </row>
    <row r="25" spans="1:4" ht="15" customHeight="1">
      <c r="A25" s="44" t="s">
        <v>99</v>
      </c>
      <c r="B25" s="64">
        <v>0</v>
      </c>
      <c r="C25" s="46"/>
      <c r="D25" s="65">
        <v>0</v>
      </c>
    </row>
    <row r="26" spans="1:4" ht="15" customHeight="1">
      <c r="A26" s="35" t="s">
        <v>100</v>
      </c>
      <c r="B26" s="56">
        <v>955</v>
      </c>
      <c r="C26" s="37" t="s">
        <v>101</v>
      </c>
      <c r="D26" s="57">
        <v>26.02</v>
      </c>
    </row>
    <row r="27" spans="1:4" ht="15" customHeight="1">
      <c r="A27" s="31" t="s">
        <v>102</v>
      </c>
      <c r="B27" s="54">
        <v>1</v>
      </c>
      <c r="C27" s="33" t="s">
        <v>103</v>
      </c>
      <c r="D27" s="55">
        <v>2.5299999999999998</v>
      </c>
    </row>
    <row r="28" spans="1:4" ht="15" customHeight="1">
      <c r="A28" s="35" t="s">
        <v>104</v>
      </c>
      <c r="B28" s="56">
        <v>53</v>
      </c>
      <c r="C28" s="37" t="s">
        <v>105</v>
      </c>
      <c r="D28" s="57">
        <v>3.4</v>
      </c>
    </row>
    <row r="29" spans="1:4" ht="15" customHeight="1">
      <c r="A29" s="31" t="s">
        <v>106</v>
      </c>
      <c r="B29" s="54">
        <v>1</v>
      </c>
      <c r="C29" s="33" t="s">
        <v>107</v>
      </c>
      <c r="D29" s="55">
        <v>2</v>
      </c>
    </row>
    <row r="30" spans="1:4" ht="15" customHeight="1">
      <c r="A30" s="35" t="s">
        <v>108</v>
      </c>
      <c r="B30" s="56">
        <v>0</v>
      </c>
      <c r="C30" s="37"/>
      <c r="D30" s="57">
        <v>0</v>
      </c>
    </row>
    <row r="31" spans="1:4" ht="15" customHeight="1">
      <c r="A31" s="31" t="s">
        <v>109</v>
      </c>
      <c r="B31" s="54">
        <v>2</v>
      </c>
      <c r="C31" s="39">
        <v>22085</v>
      </c>
      <c r="D31" s="55">
        <v>0.01</v>
      </c>
    </row>
    <row r="32" spans="1:4" ht="15" customHeight="1">
      <c r="A32" s="66" t="s">
        <v>110</v>
      </c>
      <c r="B32" s="67">
        <v>2</v>
      </c>
      <c r="C32" s="68">
        <v>22085</v>
      </c>
      <c r="D32" s="69">
        <v>0.01</v>
      </c>
    </row>
    <row r="33" spans="1:4" ht="15" customHeight="1">
      <c r="A33" s="41" t="s">
        <v>111</v>
      </c>
      <c r="B33" s="62">
        <v>1010</v>
      </c>
      <c r="C33" s="43" t="s">
        <v>112</v>
      </c>
      <c r="D33" s="63">
        <v>29.44</v>
      </c>
    </row>
    <row r="34" spans="1:4" ht="15" customHeight="1">
      <c r="A34" s="44" t="s">
        <v>113</v>
      </c>
      <c r="B34" s="64">
        <v>0</v>
      </c>
      <c r="C34" s="46"/>
      <c r="D34" s="65">
        <v>0</v>
      </c>
    </row>
    <row r="35" spans="1:4" ht="15" customHeight="1">
      <c r="A35" s="27" t="s">
        <v>114</v>
      </c>
      <c r="B35" s="52">
        <v>0</v>
      </c>
      <c r="C35" s="29"/>
      <c r="D35" s="53">
        <v>0</v>
      </c>
    </row>
    <row r="36" spans="1:4" ht="15" customHeight="1">
      <c r="A36" s="35" t="s">
        <v>115</v>
      </c>
      <c r="B36" s="56">
        <v>5</v>
      </c>
      <c r="C36" s="38">
        <v>43557</v>
      </c>
      <c r="D36" s="57">
        <v>0.02</v>
      </c>
    </row>
    <row r="37" spans="1:4" ht="15" customHeight="1">
      <c r="A37" s="31" t="s">
        <v>116</v>
      </c>
      <c r="B37" s="54">
        <v>1</v>
      </c>
      <c r="C37" s="33" t="s">
        <v>117</v>
      </c>
      <c r="D37" s="55">
        <v>0.48</v>
      </c>
    </row>
    <row r="38" spans="1:4" ht="15" customHeight="1">
      <c r="A38" s="35" t="s">
        <v>118</v>
      </c>
      <c r="B38" s="56">
        <v>811234</v>
      </c>
      <c r="C38" s="37" t="s">
        <v>119</v>
      </c>
      <c r="D38" s="57">
        <v>7.41</v>
      </c>
    </row>
    <row r="39" spans="1:4" ht="15" customHeight="1">
      <c r="A39" s="31" t="s">
        <v>120</v>
      </c>
      <c r="B39" s="54">
        <v>1</v>
      </c>
      <c r="C39" s="33" t="s">
        <v>121</v>
      </c>
      <c r="D39" s="55">
        <v>0.08</v>
      </c>
    </row>
    <row r="40" spans="1:4" ht="15" customHeight="1">
      <c r="A40" s="35" t="s">
        <v>122</v>
      </c>
      <c r="B40" s="56">
        <v>13025</v>
      </c>
      <c r="C40" s="37" t="s">
        <v>123</v>
      </c>
      <c r="D40" s="57">
        <v>0.44</v>
      </c>
    </row>
    <row r="41" spans="1:4" ht="15" customHeight="1">
      <c r="A41" s="31" t="s">
        <v>124</v>
      </c>
      <c r="B41" s="54">
        <v>2</v>
      </c>
      <c r="C41" s="33">
        <v>72</v>
      </c>
      <c r="D41" s="55">
        <v>0</v>
      </c>
    </row>
    <row r="42" spans="1:4" ht="15" customHeight="1">
      <c r="A42" s="35" t="s">
        <v>125</v>
      </c>
      <c r="B42" s="56">
        <v>2146</v>
      </c>
      <c r="C42" s="37" t="s">
        <v>126</v>
      </c>
      <c r="D42" s="57">
        <v>0.32</v>
      </c>
    </row>
    <row r="43" spans="1:4" ht="15" customHeight="1">
      <c r="A43" s="31" t="s">
        <v>51</v>
      </c>
      <c r="B43" s="54">
        <v>44934</v>
      </c>
      <c r="C43" s="33" t="s">
        <v>127</v>
      </c>
      <c r="D43" s="55">
        <v>0.73</v>
      </c>
    </row>
    <row r="44" spans="1:4" ht="15" customHeight="1">
      <c r="A44" s="35" t="s">
        <v>128</v>
      </c>
      <c r="B44" s="56">
        <v>7</v>
      </c>
      <c r="C44" s="38">
        <v>7643</v>
      </c>
      <c r="D44" s="57">
        <v>0</v>
      </c>
    </row>
    <row r="45" spans="1:4" ht="15" customHeight="1">
      <c r="A45" s="31" t="s">
        <v>129</v>
      </c>
      <c r="B45" s="54">
        <v>44888</v>
      </c>
      <c r="C45" s="33" t="s">
        <v>130</v>
      </c>
      <c r="D45" s="55">
        <v>0.21</v>
      </c>
    </row>
    <row r="46" spans="1:4" ht="15" customHeight="1">
      <c r="A46" s="66" t="s">
        <v>131</v>
      </c>
      <c r="B46" s="67">
        <v>39</v>
      </c>
      <c r="C46" s="70" t="s">
        <v>132</v>
      </c>
      <c r="D46" s="69">
        <v>0.52</v>
      </c>
    </row>
    <row r="47" spans="1:4" ht="15" customHeight="1">
      <c r="A47" s="71" t="s">
        <v>133</v>
      </c>
      <c r="B47" s="72">
        <v>871348</v>
      </c>
      <c r="C47" s="73" t="s">
        <v>134</v>
      </c>
      <c r="D47" s="74">
        <v>9.4700000000000006</v>
      </c>
    </row>
    <row r="48" spans="1:4" ht="15" customHeight="1">
      <c r="A48" s="75" t="s">
        <v>135</v>
      </c>
      <c r="B48" s="76">
        <v>872479</v>
      </c>
      <c r="C48" s="77" t="s">
        <v>136</v>
      </c>
      <c r="D48" s="78">
        <v>65.27</v>
      </c>
    </row>
  </sheetData>
  <mergeCells count="4">
    <mergeCell ref="A1:A3"/>
    <mergeCell ref="B1:B3"/>
    <mergeCell ref="C1:C3"/>
    <mergeCell ref="D1:D3"/>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3"/>
  <sheetViews>
    <sheetView showGridLines="0" topLeftCell="A24" zoomScale="103" zoomScaleNormal="103" workbookViewId="0">
      <selection activeCell="B2" sqref="B2"/>
    </sheetView>
  </sheetViews>
  <sheetFormatPr defaultColWidth="8.6640625" defaultRowHeight="14.4"/>
  <cols>
    <col min="1" max="1" width="1.44140625" customWidth="1"/>
    <col min="2" max="2" width="40.77734375" customWidth="1"/>
    <col min="3" max="5" width="16.6640625" customWidth="1"/>
    <col min="6" max="6" width="13.88671875" customWidth="1"/>
  </cols>
  <sheetData>
    <row r="1" spans="1:6" ht="21.75" customHeight="1">
      <c r="A1" s="79"/>
      <c r="B1" s="80"/>
      <c r="C1" s="81"/>
      <c r="D1" s="81"/>
      <c r="E1" s="81"/>
      <c r="F1" s="81"/>
    </row>
    <row r="2" spans="1:6" ht="12.75" customHeight="1">
      <c r="A2" s="82"/>
      <c r="B2" s="647" t="s">
        <v>137</v>
      </c>
      <c r="C2" s="647"/>
      <c r="D2" s="647"/>
      <c r="E2" s="83"/>
      <c r="F2" s="83"/>
    </row>
    <row r="3" spans="1:6" ht="13.5" customHeight="1">
      <c r="A3" s="84"/>
      <c r="B3" s="648" t="s">
        <v>138</v>
      </c>
      <c r="C3" s="648"/>
      <c r="D3" s="648"/>
      <c r="E3" s="85"/>
      <c r="F3" s="85"/>
    </row>
    <row r="4" spans="1:6" ht="15" customHeight="1">
      <c r="A4" s="34"/>
      <c r="B4" s="86" t="s">
        <v>139</v>
      </c>
      <c r="C4" s="87" t="s">
        <v>140</v>
      </c>
      <c r="D4" s="88" t="s">
        <v>141</v>
      </c>
      <c r="E4" s="89"/>
      <c r="F4" s="90"/>
    </row>
    <row r="5" spans="1:6" ht="13.5" customHeight="1">
      <c r="A5" s="91"/>
      <c r="B5" s="92" t="s">
        <v>142</v>
      </c>
      <c r="C5" s="93"/>
      <c r="D5" s="94"/>
      <c r="E5" s="95"/>
      <c r="F5" s="96"/>
    </row>
    <row r="6" spans="1:6" ht="13.5" customHeight="1">
      <c r="A6" s="91"/>
      <c r="B6" s="92" t="s">
        <v>143</v>
      </c>
      <c r="C6" s="93"/>
      <c r="D6" s="94"/>
      <c r="E6" s="95"/>
      <c r="F6" s="96"/>
    </row>
    <row r="7" spans="1:6" ht="15" customHeight="1">
      <c r="A7" s="30"/>
      <c r="B7" s="97" t="s">
        <v>144</v>
      </c>
      <c r="C7" s="98">
        <v>5212.58</v>
      </c>
      <c r="D7" s="99">
        <v>5219.13</v>
      </c>
      <c r="E7" s="100"/>
      <c r="F7" s="101">
        <f t="shared" ref="F7:F18" si="0">(D7-C7)/C7</f>
        <v>1.2565754386503769E-3</v>
      </c>
    </row>
    <row r="8" spans="1:6" ht="15" customHeight="1">
      <c r="A8" s="34"/>
      <c r="B8" s="102" t="s">
        <v>145</v>
      </c>
      <c r="C8" s="103">
        <v>127.16</v>
      </c>
      <c r="D8" s="104">
        <v>105.37</v>
      </c>
      <c r="E8" s="89"/>
      <c r="F8" s="90">
        <f t="shared" si="0"/>
        <v>-0.17135891789871022</v>
      </c>
    </row>
    <row r="9" spans="1:6" ht="13.5" customHeight="1">
      <c r="A9" s="91"/>
      <c r="B9" s="105" t="s">
        <v>146</v>
      </c>
      <c r="C9" s="93">
        <v>475.97</v>
      </c>
      <c r="D9" s="94">
        <v>483.39</v>
      </c>
      <c r="E9" s="95"/>
      <c r="F9" s="96">
        <f t="shared" si="0"/>
        <v>1.5589217807844946E-2</v>
      </c>
    </row>
    <row r="10" spans="1:6" ht="13.5" customHeight="1">
      <c r="A10" s="91"/>
      <c r="B10" s="105" t="s">
        <v>147</v>
      </c>
      <c r="C10" s="93">
        <v>543.65</v>
      </c>
      <c r="D10" s="94">
        <v>580.46</v>
      </c>
      <c r="E10" s="95"/>
      <c r="F10" s="96">
        <f t="shared" si="0"/>
        <v>6.7709003954750407E-2</v>
      </c>
    </row>
    <row r="11" spans="1:6" ht="13.5" customHeight="1">
      <c r="A11" s="91"/>
      <c r="B11" s="105" t="s">
        <v>148</v>
      </c>
      <c r="C11" s="93">
        <v>356.9</v>
      </c>
      <c r="D11" s="94">
        <v>381.81</v>
      </c>
      <c r="E11" s="95"/>
      <c r="F11" s="96">
        <f t="shared" si="0"/>
        <v>6.9795460913421203E-2</v>
      </c>
    </row>
    <row r="12" spans="1:6" ht="13.5" customHeight="1">
      <c r="A12" s="91"/>
      <c r="B12" s="105" t="s">
        <v>149</v>
      </c>
      <c r="C12" s="93">
        <v>3083.59</v>
      </c>
      <c r="D12" s="94">
        <v>2980.94</v>
      </c>
      <c r="E12" s="95"/>
      <c r="F12" s="96">
        <f t="shared" si="0"/>
        <v>-3.328912079751202E-2</v>
      </c>
    </row>
    <row r="13" spans="1:6" ht="15" customHeight="1">
      <c r="A13" s="30"/>
      <c r="B13" s="97" t="s">
        <v>150</v>
      </c>
      <c r="C13" s="98">
        <v>5362.57</v>
      </c>
      <c r="D13" s="99">
        <v>4767.33</v>
      </c>
      <c r="E13" s="100"/>
      <c r="F13" s="101">
        <f t="shared" si="0"/>
        <v>-0.11099901726224549</v>
      </c>
    </row>
    <row r="14" spans="1:6" ht="15" customHeight="1">
      <c r="A14" s="34"/>
      <c r="B14" s="102" t="s">
        <v>151</v>
      </c>
      <c r="C14" s="103">
        <v>21.15</v>
      </c>
      <c r="D14" s="104">
        <v>24.87</v>
      </c>
      <c r="E14" s="89"/>
      <c r="F14" s="90">
        <f t="shared" si="0"/>
        <v>0.17588652482269515</v>
      </c>
    </row>
    <row r="15" spans="1:6" ht="13.5" customHeight="1">
      <c r="A15" s="91"/>
      <c r="B15" s="105" t="s">
        <v>152</v>
      </c>
      <c r="C15" s="93">
        <v>189.44</v>
      </c>
      <c r="D15" s="94">
        <v>47.09</v>
      </c>
      <c r="E15" s="95"/>
      <c r="F15" s="96">
        <f t="shared" si="0"/>
        <v>-0.7514252533783784</v>
      </c>
    </row>
    <row r="16" spans="1:6" ht="13.5" customHeight="1">
      <c r="A16" s="91"/>
      <c r="B16" s="105" t="s">
        <v>153</v>
      </c>
      <c r="C16" s="93">
        <v>335.68</v>
      </c>
      <c r="D16" s="94">
        <v>254.49</v>
      </c>
      <c r="E16" s="95"/>
      <c r="F16" s="96">
        <f t="shared" si="0"/>
        <v>-0.24186725452812202</v>
      </c>
    </row>
    <row r="17" spans="1:6" ht="13.5" customHeight="1">
      <c r="A17" s="91"/>
      <c r="B17" s="105" t="s">
        <v>154</v>
      </c>
      <c r="C17" s="93">
        <v>128.65</v>
      </c>
      <c r="D17" s="94">
        <v>111.55</v>
      </c>
      <c r="E17" s="95"/>
      <c r="F17" s="96">
        <f t="shared" si="0"/>
        <v>-0.13291877186164017</v>
      </c>
    </row>
    <row r="18" spans="1:6" ht="15" customHeight="1">
      <c r="A18" s="40"/>
      <c r="B18" s="106" t="s">
        <v>155</v>
      </c>
      <c r="C18" s="107">
        <v>15837.34</v>
      </c>
      <c r="D18" s="108">
        <v>14956.43</v>
      </c>
      <c r="E18" s="109"/>
      <c r="F18" s="110">
        <f t="shared" si="0"/>
        <v>-5.5622345671684753E-2</v>
      </c>
    </row>
    <row r="19" spans="1:6" ht="13.5" customHeight="1">
      <c r="A19" s="91"/>
      <c r="B19" s="111" t="s">
        <v>156</v>
      </c>
      <c r="C19" s="112"/>
      <c r="D19" s="113"/>
      <c r="E19" s="95"/>
      <c r="F19" s="96"/>
    </row>
    <row r="20" spans="1:6" ht="15" customHeight="1">
      <c r="A20" s="34"/>
      <c r="B20" s="102" t="s">
        <v>157</v>
      </c>
      <c r="C20" s="103">
        <v>1755.9</v>
      </c>
      <c r="D20" s="104">
        <v>2013.34</v>
      </c>
      <c r="E20" s="89"/>
      <c r="F20" s="90">
        <f t="shared" ref="F20:F27" si="1">(D20-C20)/C20</f>
        <v>0.14661427188336454</v>
      </c>
    </row>
    <row r="21" spans="1:6" ht="15" customHeight="1">
      <c r="A21" s="30"/>
      <c r="B21" s="97" t="s">
        <v>158</v>
      </c>
      <c r="C21" s="98">
        <v>4305.08</v>
      </c>
      <c r="D21" s="99">
        <v>6635.99</v>
      </c>
      <c r="E21" s="100"/>
      <c r="F21" s="101">
        <f t="shared" si="1"/>
        <v>0.54143244724836703</v>
      </c>
    </row>
    <row r="22" spans="1:6" ht="15" customHeight="1">
      <c r="A22" s="34"/>
      <c r="B22" s="102" t="s">
        <v>159</v>
      </c>
      <c r="C22" s="103">
        <v>2630.22</v>
      </c>
      <c r="D22" s="104">
        <v>3381.29</v>
      </c>
      <c r="E22" s="89"/>
      <c r="F22" s="90">
        <f t="shared" si="1"/>
        <v>0.2855540601166443</v>
      </c>
    </row>
    <row r="23" spans="1:6" ht="15" customHeight="1">
      <c r="A23" s="30"/>
      <c r="B23" s="97" t="s">
        <v>160</v>
      </c>
      <c r="C23" s="98">
        <v>604.91</v>
      </c>
      <c r="D23" s="99">
        <v>383.55</v>
      </c>
      <c r="E23" s="100"/>
      <c r="F23" s="101">
        <f t="shared" si="1"/>
        <v>-0.36593873468780475</v>
      </c>
    </row>
    <row r="24" spans="1:6" ht="15" customHeight="1">
      <c r="A24" s="34"/>
      <c r="B24" s="102" t="s">
        <v>161</v>
      </c>
      <c r="C24" s="103">
        <v>91.56</v>
      </c>
      <c r="D24" s="104">
        <v>190.53</v>
      </c>
      <c r="E24" s="89"/>
      <c r="F24" s="90">
        <f t="shared" si="1"/>
        <v>1.0809305373525557</v>
      </c>
    </row>
    <row r="25" spans="1:6" ht="15" customHeight="1">
      <c r="A25" s="30"/>
      <c r="B25" s="97" t="s">
        <v>162</v>
      </c>
      <c r="C25" s="98">
        <v>24.56</v>
      </c>
      <c r="D25" s="99">
        <v>27.07</v>
      </c>
      <c r="E25" s="100"/>
      <c r="F25" s="101">
        <f t="shared" si="1"/>
        <v>0.10219869706840398</v>
      </c>
    </row>
    <row r="26" spans="1:6" ht="13.5" customHeight="1">
      <c r="A26" s="91"/>
      <c r="B26" s="105" t="s">
        <v>163</v>
      </c>
      <c r="C26" s="93">
        <v>423.53</v>
      </c>
      <c r="D26" s="94">
        <v>141.59</v>
      </c>
      <c r="E26" s="95"/>
      <c r="F26" s="96">
        <f t="shared" si="1"/>
        <v>-0.66569074209619139</v>
      </c>
    </row>
    <row r="27" spans="1:6" ht="13.5" customHeight="1">
      <c r="A27" s="91"/>
      <c r="B27" s="105" t="s">
        <v>164</v>
      </c>
      <c r="C27" s="93">
        <v>479.69</v>
      </c>
      <c r="D27" s="94">
        <v>198.12</v>
      </c>
      <c r="E27" s="95"/>
      <c r="F27" s="96">
        <f t="shared" si="1"/>
        <v>-0.58698326002209755</v>
      </c>
    </row>
    <row r="28" spans="1:6" ht="13.5" customHeight="1">
      <c r="A28" s="91"/>
      <c r="B28" s="105" t="s">
        <v>165</v>
      </c>
      <c r="C28" s="93"/>
      <c r="D28" s="94">
        <v>462.41</v>
      </c>
      <c r="E28" s="95"/>
      <c r="F28" s="96"/>
    </row>
    <row r="29" spans="1:6" ht="15" customHeight="1">
      <c r="A29" s="114"/>
      <c r="B29" s="115" t="s">
        <v>166</v>
      </c>
      <c r="C29" s="116">
        <v>10315.450000000001</v>
      </c>
      <c r="D29" s="117">
        <v>13433.89</v>
      </c>
      <c r="E29" s="118"/>
      <c r="F29" s="119">
        <f>(D29-C29)/C29</f>
        <v>0.3023077034933036</v>
      </c>
    </row>
    <row r="30" spans="1:6" ht="16.5" customHeight="1">
      <c r="A30" s="120"/>
      <c r="B30" s="121" t="s">
        <v>167</v>
      </c>
      <c r="C30" s="122">
        <v>26152.79</v>
      </c>
      <c r="D30" s="123">
        <v>28390.32</v>
      </c>
      <c r="E30" s="124"/>
      <c r="F30" s="125">
        <f>(D30-C30)/C30</f>
        <v>8.5556072602578873E-2</v>
      </c>
    </row>
    <row r="31" spans="1:6" ht="13.5" customHeight="1">
      <c r="A31" s="91"/>
      <c r="B31" s="111" t="s">
        <v>168</v>
      </c>
      <c r="C31" s="112"/>
      <c r="D31" s="113"/>
      <c r="E31" s="95"/>
      <c r="F31" s="96"/>
    </row>
    <row r="32" spans="1:6" ht="13.5" customHeight="1">
      <c r="A32" s="91"/>
      <c r="B32" s="92" t="s">
        <v>169</v>
      </c>
      <c r="C32" s="93"/>
      <c r="D32" s="94"/>
      <c r="E32" s="95"/>
      <c r="F32" s="96"/>
    </row>
    <row r="33" spans="1:6" ht="13.5" customHeight="1">
      <c r="A33" s="91"/>
      <c r="B33" s="105" t="s">
        <v>170</v>
      </c>
      <c r="C33" s="93">
        <v>39.979999999999997</v>
      </c>
      <c r="D33" s="94">
        <v>40</v>
      </c>
      <c r="E33" s="95"/>
      <c r="F33" s="96">
        <f>(D33-C33)/C33</f>
        <v>5.0025012506260951E-4</v>
      </c>
    </row>
    <row r="34" spans="1:6" ht="13.5" customHeight="1">
      <c r="A34" s="91"/>
      <c r="B34" s="105" t="s">
        <v>171</v>
      </c>
      <c r="C34" s="93">
        <v>17658.939999999999</v>
      </c>
      <c r="D34" s="94">
        <v>19232.04</v>
      </c>
      <c r="E34" s="95"/>
      <c r="F34" s="96">
        <f>(D34-C34)/C34</f>
        <v>8.9082357151675146E-2</v>
      </c>
    </row>
    <row r="35" spans="1:6" ht="13.5" customHeight="1">
      <c r="A35" s="91"/>
      <c r="B35" s="105" t="s">
        <v>172</v>
      </c>
      <c r="C35" s="93">
        <v>17698.919999999998</v>
      </c>
      <c r="D35" s="94">
        <v>19272.04</v>
      </c>
      <c r="E35" s="95"/>
      <c r="F35" s="96">
        <f>(D35-C35)/C35</f>
        <v>8.8882259482499656E-2</v>
      </c>
    </row>
    <row r="36" spans="1:6" ht="15" customHeight="1">
      <c r="A36" s="34"/>
      <c r="B36" s="102" t="s">
        <v>173</v>
      </c>
      <c r="C36" s="103">
        <v>135.65</v>
      </c>
      <c r="D36" s="104">
        <v>132.05000000000001</v>
      </c>
      <c r="E36" s="89"/>
      <c r="F36" s="90">
        <f>(D36-C36)/C36</f>
        <v>-2.6538886841135232E-2</v>
      </c>
    </row>
    <row r="37" spans="1:6" ht="15" customHeight="1">
      <c r="A37" s="40"/>
      <c r="B37" s="106" t="s">
        <v>174</v>
      </c>
      <c r="C37" s="107">
        <v>17834.57</v>
      </c>
      <c r="D37" s="108">
        <v>19404.09</v>
      </c>
      <c r="E37" s="109"/>
      <c r="F37" s="110">
        <f>(D37-C37)/C37</f>
        <v>8.8004364557149425E-2</v>
      </c>
    </row>
    <row r="38" spans="1:6" ht="13.5" customHeight="1">
      <c r="A38" s="91"/>
      <c r="B38" s="111" t="s">
        <v>175</v>
      </c>
      <c r="C38" s="112"/>
      <c r="D38" s="113"/>
      <c r="E38" s="95"/>
      <c r="F38" s="96"/>
    </row>
    <row r="39" spans="1:6" ht="13.5" customHeight="1">
      <c r="A39" s="91"/>
      <c r="B39" s="105" t="s">
        <v>176</v>
      </c>
      <c r="C39" s="93">
        <v>199.13</v>
      </c>
      <c r="D39" s="94">
        <v>196.21</v>
      </c>
      <c r="E39" s="95"/>
      <c r="F39" s="96">
        <f>(D39-C39)/C39</f>
        <v>-1.4663787475518443E-2</v>
      </c>
    </row>
    <row r="40" spans="1:6" ht="13.5" customHeight="1">
      <c r="A40" s="91"/>
      <c r="B40" s="105" t="s">
        <v>177</v>
      </c>
      <c r="C40" s="93">
        <v>178.13</v>
      </c>
      <c r="D40" s="94">
        <v>143.83000000000001</v>
      </c>
      <c r="E40" s="95"/>
      <c r="F40" s="96">
        <f>(D40-C40)/C40</f>
        <v>-0.19255599842811422</v>
      </c>
    </row>
    <row r="41" spans="1:6" ht="15" customHeight="1">
      <c r="A41" s="30"/>
      <c r="B41" s="97" t="s">
        <v>178</v>
      </c>
      <c r="C41" s="98">
        <v>322.45999999999998</v>
      </c>
      <c r="D41" s="99">
        <v>495.29</v>
      </c>
      <c r="E41" s="100"/>
      <c r="F41" s="101">
        <f>(D41-C41)/C41</f>
        <v>0.53597345407182306</v>
      </c>
    </row>
    <row r="42" spans="1:6" ht="13.5" customHeight="1">
      <c r="A42" s="91"/>
      <c r="B42" s="105" t="s">
        <v>179</v>
      </c>
      <c r="C42" s="93">
        <v>570.13</v>
      </c>
      <c r="D42" s="94">
        <v>674.92</v>
      </c>
      <c r="E42" s="95"/>
      <c r="F42" s="96">
        <f>(D42-C42)/C42</f>
        <v>0.18380018592250885</v>
      </c>
    </row>
    <row r="43" spans="1:6" ht="15" customHeight="1">
      <c r="A43" s="40"/>
      <c r="B43" s="106" t="s">
        <v>180</v>
      </c>
      <c r="C43" s="107">
        <v>1269.8499999999999</v>
      </c>
      <c r="D43" s="108">
        <v>1510.25</v>
      </c>
      <c r="E43" s="109"/>
      <c r="F43" s="110">
        <f>(D43-C43)/C43</f>
        <v>0.1893136984683231</v>
      </c>
    </row>
    <row r="44" spans="1:6" ht="13.5" customHeight="1">
      <c r="A44" s="91"/>
      <c r="B44" s="111" t="s">
        <v>181</v>
      </c>
      <c r="C44" s="112"/>
      <c r="D44" s="113"/>
      <c r="E44" s="95"/>
      <c r="F44" s="96"/>
    </row>
    <row r="45" spans="1:6" ht="15" customHeight="1">
      <c r="A45" s="30"/>
      <c r="B45" s="97" t="s">
        <v>182</v>
      </c>
      <c r="C45" s="98">
        <v>363.43</v>
      </c>
      <c r="D45" s="99">
        <v>456.76</v>
      </c>
      <c r="E45" s="100"/>
      <c r="F45" s="101">
        <f t="shared" ref="F45:F53" si="2">(D45-C45)/C45</f>
        <v>0.25680323583633707</v>
      </c>
    </row>
    <row r="46" spans="1:6" ht="13.5" customHeight="1">
      <c r="A46" s="91"/>
      <c r="B46" s="105" t="s">
        <v>183</v>
      </c>
      <c r="C46" s="93">
        <v>43.85</v>
      </c>
      <c r="D46" s="94">
        <v>46.96</v>
      </c>
      <c r="E46" s="95"/>
      <c r="F46" s="96">
        <f t="shared" si="2"/>
        <v>7.0923603192702384E-2</v>
      </c>
    </row>
    <row r="47" spans="1:6" ht="15" customHeight="1">
      <c r="A47" s="30"/>
      <c r="B47" s="97" t="s">
        <v>184</v>
      </c>
      <c r="C47" s="98">
        <v>18.739999999999998</v>
      </c>
      <c r="D47" s="99">
        <v>21.5</v>
      </c>
      <c r="E47" s="100"/>
      <c r="F47" s="101">
        <f t="shared" si="2"/>
        <v>0.1472785485592317</v>
      </c>
    </row>
    <row r="48" spans="1:6" ht="15" customHeight="1">
      <c r="A48" s="34"/>
      <c r="B48" s="102" t="s">
        <v>185</v>
      </c>
      <c r="C48" s="103">
        <v>5604.16</v>
      </c>
      <c r="D48" s="104">
        <v>5678.16</v>
      </c>
      <c r="E48" s="89"/>
      <c r="F48" s="90">
        <f t="shared" si="2"/>
        <v>1.3204476674470394E-2</v>
      </c>
    </row>
    <row r="49" spans="1:6" ht="13.5" customHeight="1">
      <c r="A49" s="91"/>
      <c r="B49" s="105" t="s">
        <v>186</v>
      </c>
      <c r="C49" s="93">
        <v>254.9</v>
      </c>
      <c r="D49" s="94">
        <v>282.94</v>
      </c>
      <c r="E49" s="95"/>
      <c r="F49" s="96">
        <f t="shared" si="2"/>
        <v>0.11000392310710079</v>
      </c>
    </row>
    <row r="50" spans="1:6" ht="13.5" customHeight="1">
      <c r="A50" s="91"/>
      <c r="B50" s="105" t="s">
        <v>187</v>
      </c>
      <c r="C50" s="93">
        <v>603.85</v>
      </c>
      <c r="D50" s="94">
        <v>768.17</v>
      </c>
      <c r="E50" s="95"/>
      <c r="F50" s="96">
        <f t="shared" si="2"/>
        <v>0.27212055974165761</v>
      </c>
    </row>
    <row r="51" spans="1:6" ht="15" customHeight="1">
      <c r="A51" s="30"/>
      <c r="B51" s="97" t="s">
        <v>188</v>
      </c>
      <c r="C51" s="98">
        <v>159.44</v>
      </c>
      <c r="D51" s="99">
        <v>221.49</v>
      </c>
      <c r="E51" s="100"/>
      <c r="F51" s="101">
        <f t="shared" si="2"/>
        <v>0.38917461113898655</v>
      </c>
    </row>
    <row r="52" spans="1:6" ht="15" customHeight="1">
      <c r="A52" s="114"/>
      <c r="B52" s="115" t="s">
        <v>189</v>
      </c>
      <c r="C52" s="116">
        <v>7048.37</v>
      </c>
      <c r="D52" s="117">
        <v>7475.98</v>
      </c>
      <c r="E52" s="118"/>
      <c r="F52" s="119">
        <f t="shared" si="2"/>
        <v>6.0667927478267977E-2</v>
      </c>
    </row>
    <row r="53" spans="1:6" ht="16.5" customHeight="1">
      <c r="A53" s="120"/>
      <c r="B53" s="121" t="s">
        <v>190</v>
      </c>
      <c r="C53" s="122">
        <v>26152.79</v>
      </c>
      <c r="D53" s="123">
        <v>28390.32</v>
      </c>
      <c r="E53" s="124"/>
      <c r="F53" s="125">
        <f t="shared" si="2"/>
        <v>8.5556072602578873E-2</v>
      </c>
    </row>
  </sheetData>
  <mergeCells count="2">
    <mergeCell ref="B2:D2"/>
    <mergeCell ref="B3:D3"/>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6"/>
  <sheetViews>
    <sheetView showGridLines="0" topLeftCell="A6" zoomScaleNormal="100" workbookViewId="0">
      <selection activeCell="B2" sqref="B2"/>
    </sheetView>
  </sheetViews>
  <sheetFormatPr defaultColWidth="8.6640625" defaultRowHeight="14.4"/>
  <cols>
    <col min="1" max="1" width="1.44140625" customWidth="1"/>
    <col min="2" max="2" width="44.44140625" customWidth="1"/>
    <col min="3" max="5" width="16.6640625" customWidth="1"/>
    <col min="6" max="6" width="13.88671875" customWidth="1"/>
  </cols>
  <sheetData>
    <row r="1" spans="1:6" ht="21.75" customHeight="1">
      <c r="A1" s="79"/>
      <c r="B1" s="80"/>
      <c r="C1" s="81"/>
      <c r="D1" s="81"/>
      <c r="E1" s="81"/>
      <c r="F1" s="81"/>
    </row>
    <row r="2" spans="1:6" ht="12.75" customHeight="1">
      <c r="A2" s="82"/>
      <c r="B2" s="647" t="s">
        <v>137</v>
      </c>
      <c r="C2" s="647"/>
      <c r="D2" s="647"/>
      <c r="E2" s="83"/>
      <c r="F2" s="83"/>
    </row>
    <row r="3" spans="1:6" ht="13.5" customHeight="1">
      <c r="A3" s="84"/>
      <c r="B3" s="648" t="s">
        <v>191</v>
      </c>
      <c r="C3" s="648"/>
      <c r="D3" s="648"/>
      <c r="E3" s="85"/>
      <c r="F3" s="85"/>
    </row>
    <row r="4" spans="1:6" ht="15" customHeight="1">
      <c r="A4" s="34"/>
      <c r="B4" s="86" t="s">
        <v>139</v>
      </c>
      <c r="C4" s="87" t="s">
        <v>192</v>
      </c>
      <c r="D4" s="88" t="s">
        <v>193</v>
      </c>
      <c r="E4" s="89"/>
      <c r="F4" s="90"/>
    </row>
    <row r="5" spans="1:6" ht="13.5" customHeight="1">
      <c r="A5" s="91"/>
      <c r="B5" s="92" t="s">
        <v>194</v>
      </c>
      <c r="C5" s="93"/>
      <c r="D5" s="94"/>
      <c r="E5" s="95"/>
      <c r="F5" s="96"/>
    </row>
    <row r="6" spans="1:6" ht="15" customHeight="1">
      <c r="A6" s="34"/>
      <c r="B6" s="102" t="s">
        <v>195</v>
      </c>
      <c r="C6" s="103">
        <v>37788.620000000003</v>
      </c>
      <c r="D6" s="104">
        <v>40923.42</v>
      </c>
      <c r="E6" s="89"/>
      <c r="F6" s="90">
        <f>(D6-C6)/C6</f>
        <v>8.2956191573018423E-2</v>
      </c>
    </row>
    <row r="7" spans="1:6" ht="13.5" customHeight="1">
      <c r="A7" s="91"/>
      <c r="B7" s="105" t="s">
        <v>196</v>
      </c>
      <c r="C7" s="93">
        <v>854.54</v>
      </c>
      <c r="D7" s="94">
        <v>1044.08</v>
      </c>
      <c r="E7" s="95"/>
      <c r="F7" s="96">
        <f>(D7-C7)/C7</f>
        <v>0.22180354342687292</v>
      </c>
    </row>
    <row r="8" spans="1:6" ht="15" customHeight="1">
      <c r="A8" s="40"/>
      <c r="B8" s="106" t="s">
        <v>197</v>
      </c>
      <c r="C8" s="107">
        <v>38643.160000000003</v>
      </c>
      <c r="D8" s="108">
        <v>41967.5</v>
      </c>
      <c r="E8" s="109"/>
      <c r="F8" s="110">
        <f>(D8-C8)/C8</f>
        <v>8.6026608589980638E-2</v>
      </c>
    </row>
    <row r="9" spans="1:6" ht="13.5" customHeight="1">
      <c r="A9" s="91"/>
      <c r="B9" s="111" t="s">
        <v>198</v>
      </c>
      <c r="C9" s="112"/>
      <c r="D9" s="113"/>
      <c r="E9" s="95"/>
      <c r="F9" s="96"/>
    </row>
    <row r="10" spans="1:6" ht="15" customHeight="1">
      <c r="A10" s="34"/>
      <c r="B10" s="102" t="s">
        <v>199</v>
      </c>
      <c r="C10" s="103">
        <v>24836.89</v>
      </c>
      <c r="D10" s="104">
        <v>26607.07</v>
      </c>
      <c r="E10" s="89"/>
      <c r="F10" s="90">
        <f t="shared" ref="F10:F22" si="0">(D10-C10)/C10</f>
        <v>7.1272208396461895E-2</v>
      </c>
    </row>
    <row r="11" spans="1:6" ht="15" customHeight="1">
      <c r="A11" s="30"/>
      <c r="B11" s="97" t="s">
        <v>200</v>
      </c>
      <c r="C11" s="98">
        <v>484.2</v>
      </c>
      <c r="D11" s="99">
        <v>547.91</v>
      </c>
      <c r="E11" s="100"/>
      <c r="F11" s="101">
        <f t="shared" si="0"/>
        <v>0.13157786038826927</v>
      </c>
    </row>
    <row r="12" spans="1:6" ht="15" customHeight="1">
      <c r="A12" s="34"/>
      <c r="B12" s="102" t="s">
        <v>201</v>
      </c>
      <c r="C12" s="103">
        <v>188.35</v>
      </c>
      <c r="D12" s="104">
        <v>-244.34</v>
      </c>
      <c r="E12" s="89"/>
      <c r="F12" s="90">
        <f t="shared" si="0"/>
        <v>-2.2972657286965754</v>
      </c>
    </row>
    <row r="13" spans="1:6" ht="15" customHeight="1">
      <c r="A13" s="30"/>
      <c r="B13" s="97" t="s">
        <v>202</v>
      </c>
      <c r="C13" s="98">
        <v>2471.5500000000002</v>
      </c>
      <c r="D13" s="99">
        <v>2680.07</v>
      </c>
      <c r="E13" s="100"/>
      <c r="F13" s="101">
        <f t="shared" si="0"/>
        <v>8.4368109081345705E-2</v>
      </c>
    </row>
    <row r="14" spans="1:6" ht="15" customHeight="1">
      <c r="A14" s="34"/>
      <c r="B14" s="102" t="s">
        <v>203</v>
      </c>
      <c r="C14" s="103">
        <v>76.37</v>
      </c>
      <c r="D14" s="104">
        <v>70.650000000000006</v>
      </c>
      <c r="E14" s="89"/>
      <c r="F14" s="90">
        <f t="shared" si="0"/>
        <v>-7.4898520361398435E-2</v>
      </c>
    </row>
    <row r="15" spans="1:6" ht="15" customHeight="1">
      <c r="A15" s="30"/>
      <c r="B15" s="97" t="s">
        <v>204</v>
      </c>
      <c r="C15" s="98">
        <v>757.36</v>
      </c>
      <c r="D15" s="99">
        <v>824.59</v>
      </c>
      <c r="E15" s="100"/>
      <c r="F15" s="101">
        <f t="shared" si="0"/>
        <v>8.8768881377416314E-2</v>
      </c>
    </row>
    <row r="16" spans="1:6" ht="13.5" customHeight="1">
      <c r="A16" s="91"/>
      <c r="B16" s="105" t="s">
        <v>205</v>
      </c>
      <c r="C16" s="93">
        <v>4458</v>
      </c>
      <c r="D16" s="94">
        <v>5386.87</v>
      </c>
      <c r="E16" s="95"/>
      <c r="F16" s="96">
        <f t="shared" si="0"/>
        <v>0.20836025123373708</v>
      </c>
    </row>
    <row r="17" spans="1:6" ht="15" customHeight="1">
      <c r="A17" s="114"/>
      <c r="B17" s="115" t="s">
        <v>206</v>
      </c>
      <c r="C17" s="116">
        <v>33272.720000000001</v>
      </c>
      <c r="D17" s="117">
        <v>35872.82</v>
      </c>
      <c r="E17" s="118"/>
      <c r="F17" s="119">
        <f t="shared" si="0"/>
        <v>7.814509904810904E-2</v>
      </c>
    </row>
    <row r="18" spans="1:6" ht="15" customHeight="1">
      <c r="A18" s="126"/>
      <c r="B18" s="127" t="s">
        <v>207</v>
      </c>
      <c r="C18" s="128">
        <v>5370.44</v>
      </c>
      <c r="D18" s="129">
        <v>6094.68</v>
      </c>
      <c r="E18" s="130"/>
      <c r="F18" s="131">
        <f t="shared" si="0"/>
        <v>0.13485673427130751</v>
      </c>
    </row>
    <row r="19" spans="1:6" ht="15" customHeight="1">
      <c r="A19" s="126"/>
      <c r="B19" s="132" t="s">
        <v>208</v>
      </c>
      <c r="C19" s="128">
        <v>-120.25</v>
      </c>
      <c r="D19" s="129">
        <v>-161.12</v>
      </c>
      <c r="E19" s="130"/>
      <c r="F19" s="131">
        <f t="shared" si="0"/>
        <v>0.33987525987525991</v>
      </c>
    </row>
    <row r="20" spans="1:6" ht="15" customHeight="1">
      <c r="A20" s="133"/>
      <c r="B20" s="134" t="s">
        <v>209</v>
      </c>
      <c r="C20" s="135">
        <v>5250.19</v>
      </c>
      <c r="D20" s="136">
        <v>5933.56</v>
      </c>
      <c r="E20" s="137"/>
      <c r="F20" s="138">
        <f t="shared" si="0"/>
        <v>0.13016100369700923</v>
      </c>
    </row>
    <row r="21" spans="1:6" ht="13.5" customHeight="1">
      <c r="A21" s="91"/>
      <c r="B21" s="139" t="s">
        <v>210</v>
      </c>
      <c r="C21" s="112">
        <v>159.99</v>
      </c>
      <c r="D21" s="113"/>
      <c r="E21" s="95"/>
      <c r="F21" s="96">
        <f t="shared" si="0"/>
        <v>-1</v>
      </c>
    </row>
    <row r="22" spans="1:6" ht="15" customHeight="1">
      <c r="A22" s="114"/>
      <c r="B22" s="115" t="s">
        <v>211</v>
      </c>
      <c r="C22" s="116">
        <v>5090.2</v>
      </c>
      <c r="D22" s="117">
        <v>5933.56</v>
      </c>
      <c r="E22" s="118"/>
      <c r="F22" s="119">
        <f t="shared" si="0"/>
        <v>0.16568307728576492</v>
      </c>
    </row>
    <row r="23" spans="1:6" ht="15" customHeight="1">
      <c r="A23" s="133"/>
      <c r="B23" s="134" t="s">
        <v>212</v>
      </c>
      <c r="C23" s="135"/>
      <c r="D23" s="136"/>
      <c r="E23" s="137"/>
      <c r="F23" s="138"/>
    </row>
    <row r="24" spans="1:6" ht="15" customHeight="1">
      <c r="A24" s="34"/>
      <c r="B24" s="140" t="s">
        <v>213</v>
      </c>
      <c r="C24" s="141">
        <v>1264.18</v>
      </c>
      <c r="D24" s="142">
        <v>1448.02</v>
      </c>
      <c r="E24" s="89"/>
      <c r="F24" s="90">
        <f>(D24-C24)/C24</f>
        <v>0.14542232909870423</v>
      </c>
    </row>
    <row r="25" spans="1:6" ht="15" customHeight="1">
      <c r="A25" s="30"/>
      <c r="B25" s="97" t="s">
        <v>214</v>
      </c>
      <c r="C25" s="98">
        <v>83.86</v>
      </c>
      <c r="D25" s="99">
        <v>109.73</v>
      </c>
      <c r="E25" s="100"/>
      <c r="F25" s="101">
        <f>(D25-C25)/C25</f>
        <v>0.30849034104459822</v>
      </c>
    </row>
    <row r="26" spans="1:6" ht="15" customHeight="1">
      <c r="A26" s="114"/>
      <c r="B26" s="115" t="s">
        <v>215</v>
      </c>
      <c r="C26" s="116">
        <v>1348.04</v>
      </c>
      <c r="D26" s="117">
        <v>1557.75</v>
      </c>
      <c r="E26" s="118"/>
      <c r="F26" s="119">
        <f>(D26-C26)/C26</f>
        <v>0.15556660039761436</v>
      </c>
    </row>
    <row r="27" spans="1:6" ht="16.5" customHeight="1">
      <c r="A27" s="143"/>
      <c r="B27" s="144" t="s">
        <v>216</v>
      </c>
      <c r="C27" s="145">
        <v>3742.16</v>
      </c>
      <c r="D27" s="146">
        <v>4375.8100000000004</v>
      </c>
      <c r="E27" s="147"/>
      <c r="F27" s="148">
        <f>(D27-C27)/C27</f>
        <v>0.16932734035957858</v>
      </c>
    </row>
    <row r="28" spans="1:6" ht="15" customHeight="1">
      <c r="A28" s="149"/>
      <c r="B28" s="150" t="s">
        <v>217</v>
      </c>
      <c r="C28" s="151"/>
      <c r="D28" s="152"/>
      <c r="E28" s="153"/>
      <c r="F28" s="154"/>
    </row>
    <row r="29" spans="1:6" ht="15" customHeight="1">
      <c r="A29" s="30"/>
      <c r="B29" s="155" t="s">
        <v>218</v>
      </c>
      <c r="C29" s="156">
        <v>-30</v>
      </c>
      <c r="D29" s="157">
        <v>-16.07</v>
      </c>
      <c r="E29" s="100"/>
      <c r="F29" s="101">
        <f t="shared" ref="F29:F36" si="1">(D29-C29)/C29</f>
        <v>-0.46433333333333332</v>
      </c>
    </row>
    <row r="30" spans="1:6" ht="13.5" customHeight="1">
      <c r="A30" s="91"/>
      <c r="B30" s="105" t="s">
        <v>219</v>
      </c>
      <c r="C30" s="93">
        <v>7.51</v>
      </c>
      <c r="D30" s="94">
        <v>4.05</v>
      </c>
      <c r="E30" s="95"/>
      <c r="F30" s="96">
        <f t="shared" si="1"/>
        <v>-0.4607190412782956</v>
      </c>
    </row>
    <row r="31" spans="1:6" ht="15" customHeight="1">
      <c r="A31" s="30"/>
      <c r="B31" s="97" t="s">
        <v>220</v>
      </c>
      <c r="C31" s="98">
        <v>-1.55</v>
      </c>
      <c r="D31" s="99">
        <v>0.09</v>
      </c>
      <c r="E31" s="100"/>
      <c r="F31" s="101">
        <f t="shared" si="1"/>
        <v>-1.0580645161290323</v>
      </c>
    </row>
    <row r="32" spans="1:6" ht="15" customHeight="1">
      <c r="A32" s="34"/>
      <c r="B32" s="102" t="s">
        <v>221</v>
      </c>
      <c r="C32" s="103">
        <v>1.92</v>
      </c>
      <c r="D32" s="104">
        <v>-18.829999999999998</v>
      </c>
      <c r="E32" s="89"/>
      <c r="F32" s="90">
        <f t="shared" si="1"/>
        <v>-10.807291666666668</v>
      </c>
    </row>
    <row r="33" spans="1:6" ht="13.5" customHeight="1">
      <c r="A33" s="91"/>
      <c r="B33" s="105" t="s">
        <v>222</v>
      </c>
      <c r="C33" s="93">
        <v>-0.48</v>
      </c>
      <c r="D33" s="94">
        <v>4.74</v>
      </c>
      <c r="E33" s="95"/>
      <c r="F33" s="96">
        <f t="shared" si="1"/>
        <v>-10.875000000000002</v>
      </c>
    </row>
    <row r="34" spans="1:6" ht="15" customHeight="1">
      <c r="A34" s="34"/>
      <c r="B34" s="102" t="s">
        <v>223</v>
      </c>
      <c r="C34" s="103">
        <v>-10.26</v>
      </c>
      <c r="D34" s="104">
        <v>-13.02</v>
      </c>
      <c r="E34" s="89"/>
      <c r="F34" s="90">
        <f t="shared" si="1"/>
        <v>0.26900584795321636</v>
      </c>
    </row>
    <row r="35" spans="1:6" ht="15" customHeight="1">
      <c r="A35" s="114"/>
      <c r="B35" s="115" t="s">
        <v>224</v>
      </c>
      <c r="C35" s="116">
        <v>-32.86</v>
      </c>
      <c r="D35" s="117">
        <v>-39.04</v>
      </c>
      <c r="E35" s="118"/>
      <c r="F35" s="119">
        <f t="shared" si="1"/>
        <v>0.18807060255629945</v>
      </c>
    </row>
    <row r="36" spans="1:6" ht="16.5" customHeight="1">
      <c r="A36" s="120"/>
      <c r="B36" s="121" t="s">
        <v>225</v>
      </c>
      <c r="C36" s="122">
        <v>3709.3</v>
      </c>
      <c r="D36" s="123">
        <v>4336.7700000000004</v>
      </c>
      <c r="E36" s="124"/>
      <c r="F36" s="125">
        <f t="shared" si="1"/>
        <v>0.16916129727981027</v>
      </c>
    </row>
    <row r="37" spans="1:6" ht="13.5" customHeight="1">
      <c r="A37" s="91"/>
      <c r="B37" s="111" t="s">
        <v>226</v>
      </c>
      <c r="C37" s="112"/>
      <c r="D37" s="113"/>
      <c r="E37" s="95"/>
      <c r="F37" s="96"/>
    </row>
    <row r="38" spans="1:6" ht="15" customHeight="1">
      <c r="A38" s="114"/>
      <c r="B38" s="158" t="s">
        <v>227</v>
      </c>
      <c r="C38" s="116">
        <v>3744.83</v>
      </c>
      <c r="D38" s="117">
        <v>4378.4799999999996</v>
      </c>
      <c r="E38" s="118"/>
      <c r="F38" s="119">
        <f>(D38-C38)/C38</f>
        <v>0.16920661285024946</v>
      </c>
    </row>
    <row r="39" spans="1:6" ht="15" customHeight="1">
      <c r="A39" s="133"/>
      <c r="B39" s="159" t="s">
        <v>228</v>
      </c>
      <c r="C39" s="135">
        <v>-2.67</v>
      </c>
      <c r="D39" s="136">
        <v>-2.67</v>
      </c>
      <c r="E39" s="137"/>
      <c r="F39" s="138">
        <f>(D39-C39)/C39</f>
        <v>0</v>
      </c>
    </row>
    <row r="40" spans="1:6" ht="15" customHeight="1">
      <c r="A40" s="34"/>
      <c r="B40" s="140" t="s">
        <v>229</v>
      </c>
      <c r="C40" s="141">
        <v>-32.76</v>
      </c>
      <c r="D40" s="142">
        <v>-32.1</v>
      </c>
      <c r="E40" s="89"/>
      <c r="F40" s="90">
        <f>(D40-C40)/C40</f>
        <v>-2.0146520146520044E-2</v>
      </c>
    </row>
    <row r="41" spans="1:6" ht="15" customHeight="1">
      <c r="A41" s="30"/>
      <c r="B41" s="97" t="s">
        <v>230</v>
      </c>
      <c r="C41" s="98">
        <v>-0.1</v>
      </c>
      <c r="D41" s="99">
        <v>-6.94</v>
      </c>
      <c r="E41" s="100"/>
      <c r="F41" s="101">
        <f>(D41-C41)/C41</f>
        <v>68.400000000000006</v>
      </c>
    </row>
    <row r="42" spans="1:6" ht="16.5" customHeight="1">
      <c r="A42" s="160"/>
      <c r="B42" s="161" t="s">
        <v>231</v>
      </c>
      <c r="C42" s="162">
        <v>3712.07</v>
      </c>
      <c r="D42" s="163">
        <v>4346.38</v>
      </c>
      <c r="E42" s="164"/>
      <c r="F42" s="165">
        <f>(D42-C42)/C42</f>
        <v>0.17087770435363556</v>
      </c>
    </row>
    <row r="43" spans="1:6" ht="16.5" customHeight="1">
      <c r="A43" s="166"/>
      <c r="B43" s="167" t="s">
        <v>232</v>
      </c>
      <c r="C43" s="168">
        <v>-2.77</v>
      </c>
      <c r="D43" s="169">
        <v>-9.61</v>
      </c>
      <c r="E43" s="170"/>
      <c r="F43" s="171"/>
    </row>
    <row r="44" spans="1:6" ht="15" customHeight="1">
      <c r="A44" s="149"/>
      <c r="B44" s="150" t="s">
        <v>233</v>
      </c>
      <c r="C44" s="151"/>
      <c r="D44" s="152"/>
      <c r="E44" s="153"/>
      <c r="F44" s="154"/>
    </row>
    <row r="45" spans="1:6" ht="15" customHeight="1">
      <c r="A45" s="30"/>
      <c r="B45" s="155" t="s">
        <v>234</v>
      </c>
      <c r="C45" s="156">
        <v>187.36</v>
      </c>
      <c r="D45" s="157">
        <v>218.96</v>
      </c>
      <c r="E45" s="100"/>
      <c r="F45" s="101">
        <f>(D45-C45)/C45</f>
        <v>0.16865926558497008</v>
      </c>
    </row>
    <row r="46" spans="1:6" ht="15" customHeight="1">
      <c r="A46" s="34"/>
      <c r="B46" s="102" t="s">
        <v>235</v>
      </c>
      <c r="C46" s="103">
        <v>187.04</v>
      </c>
      <c r="D46" s="104">
        <v>218.69</v>
      </c>
      <c r="E46" s="89"/>
      <c r="F46" s="90">
        <f>(D46-C46)/C46</f>
        <v>0.16921514114627892</v>
      </c>
    </row>
  </sheetData>
  <mergeCells count="2">
    <mergeCell ref="B2:D2"/>
    <mergeCell ref="B3:D3"/>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6"/>
  <sheetViews>
    <sheetView showGridLines="0" zoomScaleNormal="100" workbookViewId="0">
      <selection activeCell="B2" sqref="B2"/>
    </sheetView>
  </sheetViews>
  <sheetFormatPr defaultColWidth="8.6640625" defaultRowHeight="14.4"/>
  <cols>
    <col min="1" max="1" width="1.44140625" customWidth="1"/>
    <col min="2" max="2" width="48.109375" customWidth="1"/>
    <col min="3" max="5" width="16.6640625" customWidth="1"/>
    <col min="6" max="6" width="13.88671875" customWidth="1"/>
  </cols>
  <sheetData>
    <row r="1" spans="1:6" ht="21.75" customHeight="1">
      <c r="A1" s="79"/>
      <c r="B1" s="80"/>
      <c r="C1" s="81"/>
      <c r="D1" s="81"/>
      <c r="E1" s="81"/>
      <c r="F1" s="81"/>
    </row>
    <row r="2" spans="1:6" ht="12.75" customHeight="1">
      <c r="A2" s="82"/>
      <c r="B2" s="647" t="s">
        <v>137</v>
      </c>
      <c r="C2" s="647"/>
      <c r="D2" s="647"/>
      <c r="E2" s="83"/>
      <c r="F2" s="83"/>
    </row>
    <row r="3" spans="1:6" ht="13.5" customHeight="1">
      <c r="A3" s="84"/>
      <c r="B3" s="648" t="s">
        <v>236</v>
      </c>
      <c r="C3" s="648"/>
      <c r="D3" s="648"/>
      <c r="E3" s="85"/>
      <c r="F3" s="85"/>
    </row>
    <row r="4" spans="1:6" ht="15" customHeight="1">
      <c r="A4" s="34"/>
      <c r="B4" s="86" t="s">
        <v>139</v>
      </c>
      <c r="C4" s="87" t="s">
        <v>192</v>
      </c>
      <c r="D4" s="88" t="s">
        <v>193</v>
      </c>
      <c r="E4" s="89"/>
      <c r="F4" s="90"/>
    </row>
    <row r="5" spans="1:6" ht="13.5" customHeight="1">
      <c r="A5" s="91"/>
      <c r="B5" s="92" t="s">
        <v>237</v>
      </c>
      <c r="C5" s="93"/>
      <c r="D5" s="94"/>
      <c r="E5" s="95"/>
      <c r="F5" s="96"/>
    </row>
    <row r="6" spans="1:6" ht="16.5" customHeight="1">
      <c r="A6" s="172"/>
      <c r="B6" s="173" t="s">
        <v>238</v>
      </c>
      <c r="C6" s="174">
        <v>3742.16</v>
      </c>
      <c r="D6" s="175">
        <v>4375.8100000000004</v>
      </c>
      <c r="E6" s="176"/>
      <c r="F6" s="177">
        <f t="shared" ref="F6:F24" si="0">(D6-C6)/C6</f>
        <v>0.16932734035957858</v>
      </c>
    </row>
    <row r="7" spans="1:6" ht="15" customHeight="1">
      <c r="A7" s="30"/>
      <c r="B7" s="155" t="s">
        <v>239</v>
      </c>
      <c r="C7" s="156">
        <v>757.36</v>
      </c>
      <c r="D7" s="157">
        <v>824.59</v>
      </c>
      <c r="E7" s="100"/>
      <c r="F7" s="101">
        <f t="shared" si="0"/>
        <v>8.8768881377416314E-2</v>
      </c>
    </row>
    <row r="8" spans="1:6" ht="15" customHeight="1">
      <c r="A8" s="40"/>
      <c r="B8" s="178" t="s">
        <v>240</v>
      </c>
      <c r="C8" s="107">
        <v>1348.04</v>
      </c>
      <c r="D8" s="108">
        <v>1557.75</v>
      </c>
      <c r="E8" s="109"/>
      <c r="F8" s="110">
        <f t="shared" si="0"/>
        <v>0.15556660039761436</v>
      </c>
    </row>
    <row r="9" spans="1:6" ht="15" customHeight="1">
      <c r="A9" s="30"/>
      <c r="B9" s="155" t="s">
        <v>241</v>
      </c>
      <c r="C9" s="156">
        <v>5.57</v>
      </c>
      <c r="D9" s="157">
        <v>4.1500000000000004</v>
      </c>
      <c r="E9" s="100"/>
      <c r="F9" s="101">
        <f t="shared" si="0"/>
        <v>-0.25493716337522437</v>
      </c>
    </row>
    <row r="10" spans="1:6" ht="15" customHeight="1">
      <c r="A10" s="34"/>
      <c r="B10" s="102" t="s">
        <v>242</v>
      </c>
      <c r="C10" s="103">
        <v>76.37</v>
      </c>
      <c r="D10" s="104">
        <v>70.650000000000006</v>
      </c>
      <c r="E10" s="89"/>
      <c r="F10" s="90">
        <f t="shared" si="0"/>
        <v>-7.4898520361398435E-2</v>
      </c>
    </row>
    <row r="11" spans="1:6" ht="15" customHeight="1">
      <c r="A11" s="30"/>
      <c r="B11" s="97" t="s">
        <v>243</v>
      </c>
      <c r="C11" s="98">
        <v>23.74</v>
      </c>
      <c r="D11" s="99">
        <v>15.66</v>
      </c>
      <c r="E11" s="100"/>
      <c r="F11" s="101">
        <f t="shared" si="0"/>
        <v>-0.34035383319292328</v>
      </c>
    </row>
    <row r="12" spans="1:6" ht="13.5" customHeight="1">
      <c r="A12" s="91"/>
      <c r="B12" s="105" t="s">
        <v>244</v>
      </c>
      <c r="C12" s="93">
        <v>19.66</v>
      </c>
      <c r="D12" s="94">
        <v>158.41</v>
      </c>
      <c r="E12" s="95"/>
      <c r="F12" s="96">
        <f t="shared" si="0"/>
        <v>7.0574771108850456</v>
      </c>
    </row>
    <row r="13" spans="1:6" ht="13.5" customHeight="1">
      <c r="A13" s="91"/>
      <c r="B13" s="105" t="s">
        <v>245</v>
      </c>
      <c r="C13" s="93">
        <v>-301.31</v>
      </c>
      <c r="D13" s="94">
        <v>-445.74</v>
      </c>
      <c r="E13" s="95"/>
      <c r="F13" s="96">
        <f t="shared" si="0"/>
        <v>0.47934021439713254</v>
      </c>
    </row>
    <row r="14" spans="1:6" ht="13.5" customHeight="1">
      <c r="A14" s="91"/>
      <c r="B14" s="105" t="s">
        <v>246</v>
      </c>
      <c r="C14" s="93">
        <v>-18.59</v>
      </c>
      <c r="D14" s="94">
        <v>-22.88</v>
      </c>
      <c r="E14" s="95"/>
      <c r="F14" s="96">
        <f t="shared" si="0"/>
        <v>0.23076923076923073</v>
      </c>
    </row>
    <row r="15" spans="1:6" ht="15" customHeight="1">
      <c r="A15" s="40"/>
      <c r="B15" s="178" t="s">
        <v>247</v>
      </c>
      <c r="C15" s="107">
        <v>-120.82</v>
      </c>
      <c r="D15" s="108">
        <v>-158.57</v>
      </c>
      <c r="E15" s="109"/>
      <c r="F15" s="110">
        <f t="shared" si="0"/>
        <v>0.31244827015394805</v>
      </c>
    </row>
    <row r="16" spans="1:6" ht="15" customHeight="1">
      <c r="A16" s="34"/>
      <c r="B16" s="140" t="s">
        <v>248</v>
      </c>
      <c r="C16" s="141">
        <v>-403.01</v>
      </c>
      <c r="D16" s="142">
        <v>-414.64</v>
      </c>
      <c r="E16" s="89"/>
      <c r="F16" s="90">
        <f t="shared" si="0"/>
        <v>2.8857844718493328E-2</v>
      </c>
    </row>
    <row r="17" spans="1:6" ht="15" customHeight="1">
      <c r="A17" s="114"/>
      <c r="B17" s="158" t="s">
        <v>249</v>
      </c>
      <c r="C17" s="116">
        <v>120.25</v>
      </c>
      <c r="D17" s="117">
        <v>161.12</v>
      </c>
      <c r="E17" s="118"/>
      <c r="F17" s="119">
        <f t="shared" si="0"/>
        <v>0.33987525987525991</v>
      </c>
    </row>
    <row r="18" spans="1:6" ht="15" customHeight="1">
      <c r="A18" s="133"/>
      <c r="B18" s="159" t="s">
        <v>250</v>
      </c>
      <c r="C18" s="135">
        <v>-6.27</v>
      </c>
      <c r="D18" s="136">
        <v>-2.25</v>
      </c>
      <c r="E18" s="137"/>
      <c r="F18" s="138">
        <f t="shared" si="0"/>
        <v>-0.64114832535885169</v>
      </c>
    </row>
    <row r="19" spans="1:6" ht="15" customHeight="1">
      <c r="A19" s="30"/>
      <c r="B19" s="155" t="s">
        <v>251</v>
      </c>
      <c r="C19" s="156">
        <v>1.92</v>
      </c>
      <c r="D19" s="157">
        <v>-18.82</v>
      </c>
      <c r="E19" s="100"/>
      <c r="F19" s="101">
        <f t="shared" si="0"/>
        <v>-10.802083333333334</v>
      </c>
    </row>
    <row r="20" spans="1:6" ht="15" customHeight="1">
      <c r="A20" s="40"/>
      <c r="B20" s="106" t="s">
        <v>252</v>
      </c>
      <c r="C20" s="107">
        <v>5245.07</v>
      </c>
      <c r="D20" s="108">
        <v>6105.24</v>
      </c>
      <c r="E20" s="109"/>
      <c r="F20" s="110">
        <f t="shared" si="0"/>
        <v>0.16399590472577108</v>
      </c>
    </row>
    <row r="21" spans="1:6" ht="15" customHeight="1">
      <c r="A21" s="30"/>
      <c r="B21" s="155" t="s">
        <v>253</v>
      </c>
      <c r="C21" s="156">
        <v>2230.7399999999998</v>
      </c>
      <c r="D21" s="157">
        <v>2631.21</v>
      </c>
      <c r="E21" s="100"/>
      <c r="F21" s="101">
        <f t="shared" si="0"/>
        <v>0.17952338685817276</v>
      </c>
    </row>
    <row r="22" spans="1:6" ht="13.5" customHeight="1">
      <c r="A22" s="91"/>
      <c r="B22" s="105" t="s">
        <v>254</v>
      </c>
      <c r="C22" s="93">
        <v>5862.54</v>
      </c>
      <c r="D22" s="94">
        <v>6252.24</v>
      </c>
      <c r="E22" s="95"/>
      <c r="F22" s="96">
        <f t="shared" si="0"/>
        <v>6.6472894001576077E-2</v>
      </c>
    </row>
    <row r="23" spans="1:6" ht="15" customHeight="1">
      <c r="A23" s="30"/>
      <c r="B23" s="97" t="s">
        <v>255</v>
      </c>
      <c r="C23" s="98">
        <v>-1565.15</v>
      </c>
      <c r="D23" s="99">
        <v>-1329.17</v>
      </c>
      <c r="E23" s="100"/>
      <c r="F23" s="101">
        <f t="shared" si="0"/>
        <v>-0.15077149155033065</v>
      </c>
    </row>
    <row r="24" spans="1:6" ht="15" customHeight="1">
      <c r="A24" s="40"/>
      <c r="B24" s="106" t="s">
        <v>256</v>
      </c>
      <c r="C24" s="107">
        <v>4297.3900000000003</v>
      </c>
      <c r="D24" s="108">
        <v>4923.07</v>
      </c>
      <c r="E24" s="109"/>
      <c r="F24" s="110">
        <f t="shared" si="0"/>
        <v>0.14559534973553701</v>
      </c>
    </row>
    <row r="25" spans="1:6" ht="13.5" customHeight="1">
      <c r="A25" s="91"/>
      <c r="B25" s="111" t="s">
        <v>257</v>
      </c>
      <c r="C25" s="112"/>
      <c r="D25" s="113"/>
      <c r="E25" s="95"/>
      <c r="F25" s="96"/>
    </row>
    <row r="26" spans="1:6" ht="15" customHeight="1">
      <c r="A26" s="34"/>
      <c r="B26" s="102" t="s">
        <v>258</v>
      </c>
      <c r="C26" s="103">
        <v>-787.89</v>
      </c>
      <c r="D26" s="104">
        <v>-856.63</v>
      </c>
      <c r="E26" s="89"/>
      <c r="F26" s="90">
        <f t="shared" ref="F26:F34" si="1">(D26-C26)/C26</f>
        <v>8.7245681503763231E-2</v>
      </c>
    </row>
    <row r="27" spans="1:6" ht="15" customHeight="1">
      <c r="A27" s="30"/>
      <c r="B27" s="97" t="s">
        <v>259</v>
      </c>
      <c r="C27" s="98">
        <v>10.7</v>
      </c>
      <c r="D27" s="99">
        <v>22.44</v>
      </c>
      <c r="E27" s="100"/>
      <c r="F27" s="101">
        <f t="shared" si="1"/>
        <v>1.0971962616822433</v>
      </c>
    </row>
    <row r="28" spans="1:6" ht="15" customHeight="1">
      <c r="A28" s="34"/>
      <c r="B28" s="102" t="s">
        <v>260</v>
      </c>
      <c r="C28" s="103">
        <v>45306.67</v>
      </c>
      <c r="D28" s="104">
        <v>49335.75</v>
      </c>
      <c r="E28" s="89"/>
      <c r="F28" s="90">
        <f t="shared" si="1"/>
        <v>8.8929069384265091E-2</v>
      </c>
    </row>
    <row r="29" spans="1:6" ht="15" customHeight="1">
      <c r="A29" s="30"/>
      <c r="B29" s="97" t="s">
        <v>261</v>
      </c>
      <c r="C29" s="98">
        <v>-46178.27</v>
      </c>
      <c r="D29" s="99">
        <v>-50498.2</v>
      </c>
      <c r="E29" s="100"/>
      <c r="F29" s="101">
        <f t="shared" si="1"/>
        <v>9.3548978772916361E-2</v>
      </c>
    </row>
    <row r="30" spans="1:6" ht="15" customHeight="1">
      <c r="A30" s="34"/>
      <c r="B30" s="102" t="s">
        <v>262</v>
      </c>
      <c r="C30" s="103">
        <v>-639.41</v>
      </c>
      <c r="D30" s="104">
        <v>-123.83</v>
      </c>
      <c r="E30" s="89"/>
      <c r="F30" s="90">
        <f t="shared" si="1"/>
        <v>-0.80633709200669357</v>
      </c>
    </row>
    <row r="31" spans="1:6" ht="13.5" customHeight="1">
      <c r="A31" s="91"/>
      <c r="B31" s="105" t="s">
        <v>263</v>
      </c>
      <c r="C31" s="93">
        <v>42.47</v>
      </c>
      <c r="D31" s="94">
        <v>52.43</v>
      </c>
      <c r="E31" s="95"/>
      <c r="F31" s="96">
        <f t="shared" si="1"/>
        <v>0.23451848363550745</v>
      </c>
    </row>
    <row r="32" spans="1:6" ht="13.5" customHeight="1">
      <c r="A32" s="91"/>
      <c r="B32" s="105" t="s">
        <v>264</v>
      </c>
      <c r="C32" s="93">
        <v>18.59</v>
      </c>
      <c r="D32" s="94">
        <v>22.88</v>
      </c>
      <c r="E32" s="95"/>
      <c r="F32" s="96">
        <f t="shared" si="1"/>
        <v>0.23076923076923073</v>
      </c>
    </row>
    <row r="33" spans="1:6" ht="13.5" customHeight="1">
      <c r="A33" s="91"/>
      <c r="B33" s="105" t="s">
        <v>265</v>
      </c>
      <c r="C33" s="93">
        <v>301.31</v>
      </c>
      <c r="D33" s="94">
        <v>445.74</v>
      </c>
      <c r="E33" s="95"/>
      <c r="F33" s="96">
        <f t="shared" si="1"/>
        <v>0.47934021439713254</v>
      </c>
    </row>
    <row r="34" spans="1:6" ht="15" customHeight="1">
      <c r="A34" s="40"/>
      <c r="B34" s="106" t="s">
        <v>266</v>
      </c>
      <c r="C34" s="107">
        <v>-1827.87</v>
      </c>
      <c r="D34" s="108">
        <v>-1703.36</v>
      </c>
      <c r="E34" s="109"/>
      <c r="F34" s="110">
        <f t="shared" si="1"/>
        <v>-6.8117535710964128E-2</v>
      </c>
    </row>
    <row r="35" spans="1:6" ht="13.5" customHeight="1">
      <c r="A35" s="91"/>
      <c r="B35" s="111" t="s">
        <v>267</v>
      </c>
      <c r="C35" s="112"/>
      <c r="D35" s="113"/>
      <c r="E35" s="95"/>
      <c r="F35" s="96"/>
    </row>
    <row r="36" spans="1:6" ht="15" customHeight="1">
      <c r="A36" s="34"/>
      <c r="B36" s="102" t="s">
        <v>268</v>
      </c>
      <c r="C36" s="103">
        <v>-76.37</v>
      </c>
      <c r="D36" s="104">
        <v>-70.650000000000006</v>
      </c>
      <c r="E36" s="89"/>
      <c r="F36" s="90">
        <f t="shared" ref="F36:F46" si="2">(D36-C36)/C36</f>
        <v>-7.4898520361398435E-2</v>
      </c>
    </row>
    <row r="37" spans="1:6" ht="13.5" customHeight="1">
      <c r="A37" s="91"/>
      <c r="B37" s="105" t="s">
        <v>269</v>
      </c>
      <c r="C37" s="93">
        <v>-11.32</v>
      </c>
      <c r="D37" s="94">
        <v>-55.16</v>
      </c>
      <c r="E37" s="95"/>
      <c r="F37" s="96">
        <f t="shared" si="2"/>
        <v>3.8727915194346285</v>
      </c>
    </row>
    <row r="38" spans="1:6" ht="13.5" customHeight="1">
      <c r="A38" s="91"/>
      <c r="B38" s="105" t="s">
        <v>270</v>
      </c>
      <c r="C38" s="93">
        <v>-2702.09</v>
      </c>
      <c r="D38" s="94">
        <v>-2799.83</v>
      </c>
      <c r="E38" s="95"/>
      <c r="F38" s="96">
        <f t="shared" si="2"/>
        <v>3.6172000192443543E-2</v>
      </c>
    </row>
    <row r="39" spans="1:6" ht="15" customHeight="1">
      <c r="A39" s="30"/>
      <c r="B39" s="97" t="s">
        <v>271</v>
      </c>
      <c r="C39" s="98">
        <v>12.58</v>
      </c>
      <c r="D39" s="99">
        <v>10</v>
      </c>
      <c r="E39" s="100"/>
      <c r="F39" s="101">
        <f t="shared" si="2"/>
        <v>-0.20508744038155804</v>
      </c>
    </row>
    <row r="40" spans="1:6" ht="13.5" customHeight="1">
      <c r="A40" s="91"/>
      <c r="B40" s="105" t="s">
        <v>272</v>
      </c>
      <c r="C40" s="93">
        <v>10.41</v>
      </c>
      <c r="D40" s="94">
        <v>6.92</v>
      </c>
      <c r="E40" s="95"/>
      <c r="F40" s="96">
        <f t="shared" si="2"/>
        <v>-0.33525456292026901</v>
      </c>
    </row>
    <row r="41" spans="1:6" ht="15" customHeight="1">
      <c r="A41" s="30"/>
      <c r="B41" s="97" t="s">
        <v>273</v>
      </c>
      <c r="C41" s="98">
        <v>-20.09</v>
      </c>
      <c r="D41" s="99">
        <v>93.33</v>
      </c>
      <c r="E41" s="100"/>
      <c r="F41" s="101">
        <f t="shared" si="2"/>
        <v>-5.6455948232951716</v>
      </c>
    </row>
    <row r="42" spans="1:6" ht="15" customHeight="1">
      <c r="A42" s="34"/>
      <c r="B42" s="102" t="s">
        <v>274</v>
      </c>
      <c r="C42" s="103">
        <v>70.290000000000006</v>
      </c>
      <c r="D42" s="104"/>
      <c r="E42" s="89"/>
      <c r="F42" s="90">
        <f t="shared" si="2"/>
        <v>-1</v>
      </c>
    </row>
    <row r="43" spans="1:6" ht="15" customHeight="1">
      <c r="A43" s="40"/>
      <c r="B43" s="106" t="s">
        <v>275</v>
      </c>
      <c r="C43" s="107">
        <v>-2716.59</v>
      </c>
      <c r="D43" s="108">
        <v>-2815.39</v>
      </c>
      <c r="E43" s="109"/>
      <c r="F43" s="110">
        <f t="shared" si="2"/>
        <v>3.6369124527440552E-2</v>
      </c>
    </row>
    <row r="44" spans="1:6" ht="15" customHeight="1">
      <c r="A44" s="34"/>
      <c r="B44" s="179" t="s">
        <v>276</v>
      </c>
      <c r="C44" s="141">
        <v>378.61</v>
      </c>
      <c r="D44" s="142">
        <v>-221.36</v>
      </c>
      <c r="E44" s="89"/>
      <c r="F44" s="90">
        <f t="shared" si="2"/>
        <v>-1.5846649586645889</v>
      </c>
    </row>
    <row r="45" spans="1:6" ht="15" customHeight="1">
      <c r="A45" s="30"/>
      <c r="B45" s="97" t="s">
        <v>277</v>
      </c>
      <c r="C45" s="98">
        <v>226.3</v>
      </c>
      <c r="D45" s="99">
        <v>604.91</v>
      </c>
      <c r="E45" s="100"/>
      <c r="F45" s="101">
        <f t="shared" si="2"/>
        <v>1.6730446310207687</v>
      </c>
    </row>
    <row r="46" spans="1:6" ht="15" customHeight="1">
      <c r="A46" s="34"/>
      <c r="B46" s="180" t="s">
        <v>278</v>
      </c>
      <c r="C46" s="103">
        <v>604.91</v>
      </c>
      <c r="D46" s="104">
        <v>383.56</v>
      </c>
      <c r="E46" s="89"/>
      <c r="F46" s="90">
        <f t="shared" si="2"/>
        <v>-0.36592220330297065</v>
      </c>
    </row>
  </sheetData>
  <mergeCells count="2">
    <mergeCell ref="B2:D2"/>
    <mergeCell ref="B3:D3"/>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1"/>
  <sheetViews>
    <sheetView showGridLines="0" topLeftCell="A6" zoomScaleNormal="100" workbookViewId="0">
      <selection activeCell="F23" sqref="F23"/>
    </sheetView>
  </sheetViews>
  <sheetFormatPr defaultColWidth="8.6640625" defaultRowHeight="14.4"/>
  <cols>
    <col min="1" max="1" width="1.44140625" customWidth="1"/>
    <col min="2" max="2" width="44.44140625" customWidth="1"/>
    <col min="3" max="5" width="15.77734375" customWidth="1"/>
    <col min="6" max="8" width="13" customWidth="1"/>
  </cols>
  <sheetData>
    <row r="1" spans="1:8" ht="19.5" customHeight="1">
      <c r="A1" s="181"/>
      <c r="B1" s="182"/>
      <c r="C1" s="183"/>
      <c r="D1" s="183"/>
      <c r="E1" s="183"/>
      <c r="F1" s="183"/>
      <c r="G1" s="183"/>
      <c r="H1" s="183"/>
    </row>
    <row r="2" spans="1:8" ht="12.75" customHeight="1">
      <c r="A2" s="26"/>
      <c r="B2" s="184" t="s">
        <v>279</v>
      </c>
      <c r="C2" s="185"/>
      <c r="D2" s="185"/>
      <c r="E2" s="185"/>
      <c r="F2" s="185"/>
      <c r="G2" s="185"/>
      <c r="H2" s="185"/>
    </row>
    <row r="3" spans="1:8" ht="13.5" customHeight="1">
      <c r="A3" s="84"/>
      <c r="B3" s="186" t="s">
        <v>139</v>
      </c>
      <c r="C3" s="187" t="s">
        <v>280</v>
      </c>
      <c r="D3" s="188" t="s">
        <v>281</v>
      </c>
      <c r="E3" s="188" t="s">
        <v>282</v>
      </c>
      <c r="F3" s="85"/>
      <c r="G3" s="649" t="s">
        <v>283</v>
      </c>
      <c r="H3" s="649"/>
    </row>
    <row r="4" spans="1:8" ht="13.5" customHeight="1">
      <c r="A4" s="91"/>
      <c r="B4" s="111" t="s">
        <v>194</v>
      </c>
      <c r="C4" s="112"/>
      <c r="D4" s="113"/>
      <c r="E4" s="113"/>
      <c r="F4" s="96"/>
      <c r="G4" s="96"/>
      <c r="H4" s="96"/>
    </row>
    <row r="5" spans="1:8" ht="15.75" customHeight="1">
      <c r="A5" s="30"/>
      <c r="B5" s="189" t="s">
        <v>284</v>
      </c>
      <c r="C5" s="98">
        <v>9970</v>
      </c>
      <c r="D5" s="99">
        <v>9728</v>
      </c>
      <c r="E5" s="99">
        <v>12218</v>
      </c>
      <c r="F5" s="190"/>
      <c r="G5" s="101">
        <f t="shared" ref="G5:H7" si="0">(D5-C5)/C5</f>
        <v>-2.4272818455366097E-2</v>
      </c>
      <c r="H5" s="101">
        <f t="shared" si="0"/>
        <v>0.25596217105263158</v>
      </c>
    </row>
    <row r="6" spans="1:8" ht="15.75" customHeight="1">
      <c r="A6" s="34"/>
      <c r="B6" s="180" t="s">
        <v>285</v>
      </c>
      <c r="C6" s="103">
        <v>939</v>
      </c>
      <c r="D6" s="104">
        <v>240</v>
      </c>
      <c r="E6" s="104">
        <v>179</v>
      </c>
      <c r="F6" s="90"/>
      <c r="G6" s="90">
        <f t="shared" si="0"/>
        <v>-0.74440894568690097</v>
      </c>
      <c r="H6" s="90">
        <f t="shared" si="0"/>
        <v>-0.25416666666666665</v>
      </c>
    </row>
    <row r="7" spans="1:8" ht="15.75" customHeight="1">
      <c r="A7" s="114"/>
      <c r="B7" s="191" t="s">
        <v>197</v>
      </c>
      <c r="C7" s="192">
        <v>10667</v>
      </c>
      <c r="D7" s="193">
        <v>12458</v>
      </c>
      <c r="E7" s="193">
        <v>12666</v>
      </c>
      <c r="F7" s="119"/>
      <c r="G7" s="119">
        <f t="shared" si="0"/>
        <v>0.16790100309365333</v>
      </c>
      <c r="H7" s="119">
        <f t="shared" si="0"/>
        <v>1.6696098892278053E-2</v>
      </c>
    </row>
    <row r="8" spans="1:8" ht="13.5" customHeight="1">
      <c r="A8" s="91"/>
      <c r="B8" s="92" t="s">
        <v>198</v>
      </c>
      <c r="C8" s="93"/>
      <c r="D8" s="94"/>
      <c r="E8" s="94"/>
      <c r="F8" s="96"/>
      <c r="G8" s="96"/>
      <c r="H8" s="96"/>
    </row>
    <row r="9" spans="1:8" ht="15.75" customHeight="1">
      <c r="A9" s="30"/>
      <c r="B9" s="189" t="s">
        <v>286</v>
      </c>
      <c r="C9" s="98">
        <v>6420</v>
      </c>
      <c r="D9" s="99">
        <v>8064</v>
      </c>
      <c r="E9" s="99">
        <v>8366</v>
      </c>
      <c r="F9" s="101"/>
      <c r="G9" s="101">
        <f>(D9-C9)/C9</f>
        <v>0.2560747663551402</v>
      </c>
      <c r="H9" s="101">
        <f>(E9-D9)/D9</f>
        <v>3.7450396825396824E-2</v>
      </c>
    </row>
    <row r="10" spans="1:8" ht="15.75" customHeight="1">
      <c r="A10" s="34"/>
      <c r="B10" s="180" t="s">
        <v>287</v>
      </c>
      <c r="C10" s="103"/>
      <c r="D10" s="104"/>
      <c r="E10" s="104"/>
      <c r="F10" s="90"/>
      <c r="G10" s="90"/>
      <c r="H10" s="90"/>
    </row>
    <row r="11" spans="1:8" ht="15.75" customHeight="1">
      <c r="A11" s="30"/>
      <c r="B11" s="189" t="s">
        <v>288</v>
      </c>
      <c r="C11" s="98"/>
      <c r="D11" s="99"/>
      <c r="E11" s="99"/>
      <c r="F11" s="101"/>
      <c r="G11" s="101"/>
      <c r="H11" s="101"/>
    </row>
    <row r="12" spans="1:8" ht="15.75" customHeight="1">
      <c r="A12" s="34"/>
      <c r="B12" s="180" t="s">
        <v>289</v>
      </c>
      <c r="C12" s="103">
        <v>681</v>
      </c>
      <c r="D12" s="104">
        <v>733</v>
      </c>
      <c r="E12" s="104">
        <v>749</v>
      </c>
      <c r="F12" s="90"/>
      <c r="G12" s="90">
        <f t="shared" ref="G12:H14" si="1">(D12-C12)/C12</f>
        <v>7.63582966226138E-2</v>
      </c>
      <c r="H12" s="90">
        <f t="shared" si="1"/>
        <v>2.1828103683492497E-2</v>
      </c>
    </row>
    <row r="13" spans="1:8" ht="15.75" customHeight="1">
      <c r="A13" s="30"/>
      <c r="B13" s="189" t="s">
        <v>290</v>
      </c>
      <c r="C13" s="98">
        <v>21</v>
      </c>
      <c r="D13" s="99">
        <v>19</v>
      </c>
      <c r="E13" s="99">
        <v>20</v>
      </c>
      <c r="F13" s="101"/>
      <c r="G13" s="101">
        <f t="shared" si="1"/>
        <v>-9.5238095238095233E-2</v>
      </c>
      <c r="H13" s="101">
        <f t="shared" si="1"/>
        <v>5.2631578947368418E-2</v>
      </c>
    </row>
    <row r="14" spans="1:8" ht="15.75" customHeight="1">
      <c r="A14" s="34"/>
      <c r="B14" s="180" t="s">
        <v>291</v>
      </c>
      <c r="C14" s="103">
        <v>206</v>
      </c>
      <c r="D14" s="104">
        <v>210</v>
      </c>
      <c r="E14" s="104">
        <v>219</v>
      </c>
      <c r="F14" s="90"/>
      <c r="G14" s="90">
        <f t="shared" si="1"/>
        <v>1.9417475728155338E-2</v>
      </c>
      <c r="H14" s="90">
        <f t="shared" si="1"/>
        <v>4.2857142857142858E-2</v>
      </c>
    </row>
    <row r="15" spans="1:8" ht="15.75" customHeight="1">
      <c r="A15" s="30"/>
      <c r="B15" s="189" t="s">
        <v>292</v>
      </c>
      <c r="C15" s="98"/>
      <c r="D15" s="99"/>
      <c r="E15" s="99"/>
      <c r="F15" s="101"/>
      <c r="G15" s="101"/>
      <c r="H15" s="101"/>
    </row>
    <row r="16" spans="1:8" ht="15.75" customHeight="1">
      <c r="A16" s="114"/>
      <c r="B16" s="191" t="s">
        <v>206</v>
      </c>
      <c r="C16" s="192">
        <v>8315</v>
      </c>
      <c r="D16" s="193">
        <v>10452</v>
      </c>
      <c r="E16" s="193">
        <v>10735</v>
      </c>
      <c r="F16" s="119"/>
      <c r="G16" s="119">
        <f>(D16-C16)/C16</f>
        <v>0.25700541190619364</v>
      </c>
      <c r="H16" s="119">
        <f>(E16-D16)/D16</f>
        <v>2.7076157673172598E-2</v>
      </c>
    </row>
    <row r="17" spans="1:8" ht="15.75" customHeight="1">
      <c r="A17" s="114"/>
      <c r="B17" s="191" t="s">
        <v>207</v>
      </c>
      <c r="C17" s="192">
        <v>1413</v>
      </c>
      <c r="D17" s="193">
        <v>1766</v>
      </c>
      <c r="E17" s="193">
        <v>1752</v>
      </c>
      <c r="F17" s="119"/>
      <c r="G17" s="119">
        <f>(D17-C17)/C17</f>
        <v>0.24982307147912244</v>
      </c>
      <c r="H17" s="119">
        <f>(E17-D17)/D17</f>
        <v>-7.9275198187995465E-3</v>
      </c>
    </row>
    <row r="18" spans="1:8" ht="15.75" customHeight="1">
      <c r="A18" s="34"/>
      <c r="B18" s="180" t="s">
        <v>293</v>
      </c>
      <c r="C18" s="103"/>
      <c r="D18" s="104"/>
      <c r="E18" s="104"/>
      <c r="F18" s="90"/>
      <c r="G18" s="90"/>
      <c r="H18" s="90"/>
    </row>
    <row r="19" spans="1:8" ht="15.75" customHeight="1">
      <c r="A19" s="114"/>
      <c r="B19" s="191" t="s">
        <v>209</v>
      </c>
      <c r="C19" s="192">
        <v>1413</v>
      </c>
      <c r="D19" s="193">
        <v>1766</v>
      </c>
      <c r="E19" s="193">
        <v>1752</v>
      </c>
      <c r="F19" s="119"/>
      <c r="G19" s="119">
        <f>(D19-C19)/C19</f>
        <v>0.24982307147912244</v>
      </c>
      <c r="H19" s="119">
        <f>(E19-D19)/D19</f>
        <v>-7.9275198187995465E-3</v>
      </c>
    </row>
    <row r="20" spans="1:8" ht="15.75" customHeight="1">
      <c r="A20" s="34"/>
      <c r="B20" s="180" t="s">
        <v>294</v>
      </c>
      <c r="C20" s="103">
        <v>0</v>
      </c>
      <c r="D20" s="104">
        <v>0</v>
      </c>
      <c r="E20" s="104">
        <v>0</v>
      </c>
      <c r="F20" s="90"/>
      <c r="G20" s="90"/>
      <c r="H20" s="90"/>
    </row>
    <row r="21" spans="1:8" ht="15.75" customHeight="1">
      <c r="A21" s="114"/>
      <c r="B21" s="191" t="s">
        <v>211</v>
      </c>
      <c r="C21" s="192">
        <v>2126</v>
      </c>
      <c r="D21" s="193">
        <v>1777</v>
      </c>
      <c r="E21" s="193">
        <v>1692</v>
      </c>
      <c r="F21" s="119"/>
      <c r="G21" s="119">
        <f>(D21-C21)/C21</f>
        <v>-0.16415804327375352</v>
      </c>
      <c r="H21" s="119">
        <f>(E21-D21)/D21</f>
        <v>-4.783342712436691E-2</v>
      </c>
    </row>
    <row r="22" spans="1:8" ht="15.75" customHeight="1">
      <c r="A22" s="114"/>
      <c r="B22" s="191" t="s">
        <v>212</v>
      </c>
      <c r="C22" s="192"/>
      <c r="D22" s="193"/>
      <c r="E22" s="193"/>
      <c r="F22" s="119"/>
      <c r="G22" s="119"/>
      <c r="H22" s="119"/>
    </row>
    <row r="23" spans="1:8" ht="15.75" customHeight="1">
      <c r="A23" s="30"/>
      <c r="B23" s="189" t="s">
        <v>295</v>
      </c>
      <c r="C23" s="98"/>
      <c r="D23" s="99"/>
      <c r="E23" s="99"/>
      <c r="F23" s="101"/>
      <c r="G23" s="101"/>
      <c r="H23" s="101"/>
    </row>
    <row r="24" spans="1:8" ht="15.75" customHeight="1">
      <c r="A24" s="34"/>
      <c r="B24" s="180" t="s">
        <v>296</v>
      </c>
      <c r="C24" s="103"/>
      <c r="D24" s="104"/>
      <c r="E24" s="104"/>
      <c r="F24" s="90"/>
      <c r="G24" s="90"/>
      <c r="H24" s="90"/>
    </row>
    <row r="25" spans="1:8" ht="15.75" customHeight="1">
      <c r="A25" s="114"/>
      <c r="B25" s="191" t="s">
        <v>215</v>
      </c>
      <c r="C25" s="192">
        <v>425</v>
      </c>
      <c r="D25" s="193">
        <v>462</v>
      </c>
      <c r="E25" s="193">
        <v>423</v>
      </c>
      <c r="F25" s="119"/>
      <c r="G25" s="119">
        <f t="shared" ref="G25:H27" si="2">(D25-C25)/C25</f>
        <v>8.7058823529411758E-2</v>
      </c>
      <c r="H25" s="119">
        <f t="shared" si="2"/>
        <v>-8.4415584415584416E-2</v>
      </c>
    </row>
    <row r="26" spans="1:8" ht="16.5" customHeight="1">
      <c r="A26" s="172"/>
      <c r="B26" s="194" t="s">
        <v>216</v>
      </c>
      <c r="C26" s="174">
        <v>1706</v>
      </c>
      <c r="D26" s="175">
        <v>1321</v>
      </c>
      <c r="E26" s="175">
        <v>1275</v>
      </c>
      <c r="F26" s="177"/>
      <c r="G26" s="177">
        <f t="shared" si="2"/>
        <v>-0.22567409144196951</v>
      </c>
      <c r="H26" s="177">
        <f t="shared" si="2"/>
        <v>-3.4822104466313397E-2</v>
      </c>
    </row>
    <row r="27" spans="1:8" ht="15.75" customHeight="1">
      <c r="A27" s="114"/>
      <c r="B27" s="195" t="s">
        <v>297</v>
      </c>
      <c r="C27" s="196">
        <v>1706</v>
      </c>
      <c r="D27" s="197">
        <v>1333</v>
      </c>
      <c r="E27" s="197">
        <v>1283</v>
      </c>
      <c r="F27" s="119"/>
      <c r="G27" s="119">
        <f t="shared" si="2"/>
        <v>-0.2186400937866354</v>
      </c>
      <c r="H27" s="119">
        <f t="shared" si="2"/>
        <v>-3.7509377344336084E-2</v>
      </c>
    </row>
    <row r="28" spans="1:8" ht="15.75" customHeight="1">
      <c r="A28" s="114"/>
      <c r="B28" s="191" t="s">
        <v>298</v>
      </c>
      <c r="C28" s="192">
        <v>0</v>
      </c>
      <c r="D28" s="193">
        <v>-12</v>
      </c>
      <c r="E28" s="193">
        <v>-8</v>
      </c>
      <c r="F28" s="119"/>
      <c r="G28" s="119" t="s">
        <v>299</v>
      </c>
      <c r="H28" s="119">
        <f>(E28-D28)/D28</f>
        <v>-0.33333333333333331</v>
      </c>
    </row>
    <row r="29" spans="1:8" ht="15.75" customHeight="1">
      <c r="A29" s="114"/>
      <c r="B29" s="191" t="s">
        <v>233</v>
      </c>
      <c r="C29" s="192"/>
      <c r="D29" s="193"/>
      <c r="E29" s="193"/>
      <c r="F29" s="119"/>
      <c r="G29" s="119"/>
      <c r="H29" s="119"/>
    </row>
    <row r="30" spans="1:8" ht="15.75" customHeight="1">
      <c r="A30" s="34"/>
      <c r="B30" s="180" t="s">
        <v>300</v>
      </c>
      <c r="C30" s="103">
        <v>85.26</v>
      </c>
      <c r="D30" s="104">
        <v>65.42</v>
      </c>
      <c r="E30" s="104">
        <v>63.35</v>
      </c>
      <c r="F30" s="90"/>
      <c r="G30" s="90">
        <f>(D30-C30)/C30</f>
        <v>-0.23269997654234109</v>
      </c>
      <c r="H30" s="90">
        <f>(E30-D30)/D30</f>
        <v>-3.1641699785998172E-2</v>
      </c>
    </row>
    <row r="31" spans="1:8" ht="15.75" customHeight="1">
      <c r="A31" s="30"/>
      <c r="B31" s="189" t="s">
        <v>301</v>
      </c>
      <c r="C31" s="98">
        <v>85.26</v>
      </c>
      <c r="D31" s="99">
        <v>65.42</v>
      </c>
      <c r="E31" s="99">
        <v>63.35</v>
      </c>
      <c r="F31" s="101"/>
      <c r="G31" s="101">
        <f>(D31-C31)/C31</f>
        <v>-0.23269997654234109</v>
      </c>
      <c r="H31" s="101">
        <f>(E31-D31)/D31</f>
        <v>-3.1641699785998172E-2</v>
      </c>
    </row>
  </sheetData>
  <mergeCells count="1">
    <mergeCell ref="G3:H3"/>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6"/>
  <sheetViews>
    <sheetView showGridLines="0" topLeftCell="A5" zoomScaleNormal="100" workbookViewId="0">
      <selection activeCell="D31" sqref="D31"/>
    </sheetView>
  </sheetViews>
  <sheetFormatPr defaultColWidth="8.6640625" defaultRowHeight="14.4"/>
  <cols>
    <col min="1" max="1" width="1.44140625" customWidth="1"/>
    <col min="2" max="2" width="3.6640625" customWidth="1"/>
    <col min="3" max="3" width="17.5546875" customWidth="1"/>
    <col min="4" max="12" width="13.88671875" customWidth="1"/>
  </cols>
  <sheetData>
    <row r="1" spans="1:12" ht="15.75" customHeight="1">
      <c r="A1" s="16"/>
      <c r="B1" s="16"/>
      <c r="C1" s="22"/>
      <c r="D1" s="23"/>
      <c r="E1" s="23"/>
      <c r="F1" s="23"/>
      <c r="G1" s="23"/>
      <c r="H1" s="23"/>
      <c r="I1" s="23"/>
      <c r="J1" s="23"/>
      <c r="K1" s="23"/>
      <c r="L1" s="23"/>
    </row>
    <row r="2" spans="1:12" ht="15.75" customHeight="1">
      <c r="A2" s="16"/>
      <c r="B2" s="16"/>
      <c r="C2" s="22"/>
      <c r="D2" s="23"/>
      <c r="E2" s="23"/>
      <c r="F2" s="23"/>
      <c r="G2" s="23"/>
      <c r="H2" s="23"/>
      <c r="I2" s="23"/>
      <c r="J2" s="23"/>
      <c r="K2" s="23"/>
      <c r="L2" s="23"/>
    </row>
    <row r="3" spans="1:12" ht="15.75" customHeight="1">
      <c r="A3" s="16"/>
      <c r="B3" s="16"/>
      <c r="C3" s="22"/>
      <c r="D3" s="23"/>
      <c r="E3" s="23"/>
      <c r="F3" s="23"/>
      <c r="G3" s="23"/>
      <c r="H3" s="23"/>
      <c r="I3" s="23"/>
      <c r="J3" s="23"/>
      <c r="K3" s="23"/>
      <c r="L3" s="23"/>
    </row>
    <row r="4" spans="1:12" ht="60" customHeight="1">
      <c r="A4" s="16"/>
      <c r="B4" s="16"/>
      <c r="C4" s="650" t="s">
        <v>302</v>
      </c>
      <c r="D4" s="651" t="s">
        <v>303</v>
      </c>
      <c r="E4" s="651"/>
      <c r="F4" s="651"/>
      <c r="G4" s="651"/>
      <c r="H4" s="651"/>
      <c r="I4" s="651"/>
      <c r="J4" s="651"/>
      <c r="K4" s="651"/>
      <c r="L4" s="198"/>
    </row>
    <row r="5" spans="1:12" ht="15.75" customHeight="1">
      <c r="A5" s="16"/>
      <c r="B5" s="16"/>
      <c r="C5" s="650"/>
      <c r="D5" s="651"/>
      <c r="E5" s="651"/>
      <c r="F5" s="651"/>
      <c r="G5" s="651"/>
      <c r="H5" s="651"/>
      <c r="I5" s="651"/>
      <c r="J5" s="651"/>
      <c r="K5" s="651"/>
      <c r="L5" s="23"/>
    </row>
    <row r="6" spans="1:12" ht="15.75" customHeight="1">
      <c r="A6" s="16"/>
      <c r="B6" s="16"/>
      <c r="C6" s="650"/>
      <c r="D6" s="651"/>
      <c r="E6" s="651"/>
      <c r="F6" s="651"/>
      <c r="G6" s="651"/>
      <c r="H6" s="651"/>
      <c r="I6" s="651"/>
      <c r="J6" s="651"/>
      <c r="K6" s="651"/>
      <c r="L6" s="23"/>
    </row>
    <row r="7" spans="1:12" ht="15.75" customHeight="1">
      <c r="A7" s="16"/>
      <c r="B7" s="16"/>
      <c r="C7" s="650"/>
      <c r="D7" s="651"/>
      <c r="E7" s="651"/>
      <c r="F7" s="651"/>
      <c r="G7" s="651"/>
      <c r="H7" s="651"/>
      <c r="I7" s="651"/>
      <c r="J7" s="651"/>
      <c r="K7" s="651"/>
      <c r="L7" s="23"/>
    </row>
    <row r="8" spans="1:12" ht="15.75" customHeight="1">
      <c r="A8" s="16"/>
      <c r="B8" s="16"/>
      <c r="C8" s="22"/>
      <c r="D8" s="23"/>
      <c r="E8" s="23"/>
      <c r="F8" s="23"/>
      <c r="G8" s="23"/>
      <c r="H8" s="23"/>
      <c r="I8" s="23"/>
      <c r="J8" s="23"/>
      <c r="K8" s="23"/>
      <c r="L8" s="23"/>
    </row>
    <row r="9" spans="1:12" ht="60" customHeight="1">
      <c r="A9" s="16"/>
      <c r="B9" s="16"/>
      <c r="C9" s="650" t="s">
        <v>304</v>
      </c>
      <c r="D9" s="651" t="s">
        <v>305</v>
      </c>
      <c r="E9" s="651"/>
      <c r="F9" s="651"/>
      <c r="G9" s="651"/>
      <c r="H9" s="651"/>
      <c r="I9" s="651"/>
      <c r="J9" s="651"/>
      <c r="K9" s="651"/>
      <c r="L9" s="198"/>
    </row>
    <row r="10" spans="1:12" ht="15.75" customHeight="1">
      <c r="A10" s="16"/>
      <c r="B10" s="16"/>
      <c r="C10" s="650"/>
      <c r="D10" s="651"/>
      <c r="E10" s="651"/>
      <c r="F10" s="651"/>
      <c r="G10" s="651"/>
      <c r="H10" s="651"/>
      <c r="I10" s="651"/>
      <c r="J10" s="651"/>
      <c r="K10" s="651"/>
      <c r="L10" s="23"/>
    </row>
    <row r="11" spans="1:12" ht="15.75" customHeight="1">
      <c r="A11" s="16"/>
      <c r="B11" s="16"/>
      <c r="C11" s="22"/>
      <c r="D11" s="23"/>
      <c r="E11" s="23"/>
      <c r="F11" s="23"/>
      <c r="G11" s="23"/>
      <c r="H11" s="23"/>
      <c r="I11" s="23"/>
      <c r="J11" s="23"/>
      <c r="K11" s="23"/>
      <c r="L11" s="23"/>
    </row>
    <row r="12" spans="1:12" ht="60" customHeight="1">
      <c r="A12" s="16"/>
      <c r="B12" s="16"/>
      <c r="C12" s="650" t="s">
        <v>306</v>
      </c>
      <c r="D12" s="651" t="s">
        <v>307</v>
      </c>
      <c r="E12" s="651"/>
      <c r="F12" s="651"/>
      <c r="G12" s="651"/>
      <c r="H12" s="651"/>
      <c r="I12" s="651"/>
      <c r="J12" s="651"/>
      <c r="K12" s="651"/>
      <c r="L12" s="198"/>
    </row>
    <row r="13" spans="1:12" ht="15.75" customHeight="1">
      <c r="A13" s="16"/>
      <c r="B13" s="16"/>
      <c r="C13" s="650"/>
      <c r="D13" s="651"/>
      <c r="E13" s="651"/>
      <c r="F13" s="651"/>
      <c r="G13" s="651"/>
      <c r="H13" s="651"/>
      <c r="I13" s="651"/>
      <c r="J13" s="651"/>
      <c r="K13" s="651"/>
      <c r="L13" s="23"/>
    </row>
    <row r="14" spans="1:12" ht="15.75" customHeight="1">
      <c r="A14" s="16"/>
      <c r="B14" s="16"/>
      <c r="C14" s="650"/>
      <c r="D14" s="651"/>
      <c r="E14" s="651"/>
      <c r="F14" s="651"/>
      <c r="G14" s="651"/>
      <c r="H14" s="651"/>
      <c r="I14" s="651"/>
      <c r="J14" s="651"/>
      <c r="K14" s="651"/>
      <c r="L14" s="23"/>
    </row>
    <row r="15" spans="1:12" ht="15.75" customHeight="1">
      <c r="A15" s="16"/>
      <c r="B15" s="16"/>
      <c r="C15" s="22"/>
      <c r="D15" s="23"/>
      <c r="E15" s="23"/>
      <c r="F15" s="23"/>
      <c r="G15" s="23"/>
      <c r="H15" s="23"/>
      <c r="I15" s="23"/>
      <c r="J15" s="23"/>
      <c r="K15" s="23"/>
      <c r="L15" s="23"/>
    </row>
    <row r="16" spans="1:12" ht="60" customHeight="1">
      <c r="A16" s="16"/>
      <c r="B16" s="16"/>
      <c r="C16" s="650" t="s">
        <v>308</v>
      </c>
      <c r="D16" s="651" t="s">
        <v>309</v>
      </c>
      <c r="E16" s="651"/>
      <c r="F16" s="651"/>
      <c r="G16" s="651"/>
      <c r="H16" s="651"/>
      <c r="I16" s="651"/>
      <c r="J16" s="651"/>
      <c r="K16" s="651"/>
      <c r="L16" s="198"/>
    </row>
    <row r="17" spans="1:12" ht="15.75" customHeight="1">
      <c r="A17" s="16"/>
      <c r="B17" s="16"/>
      <c r="C17" s="650"/>
      <c r="D17" s="651"/>
      <c r="E17" s="651"/>
      <c r="F17" s="651"/>
      <c r="G17" s="651"/>
      <c r="H17" s="651"/>
      <c r="I17" s="651"/>
      <c r="J17" s="651"/>
      <c r="K17" s="651"/>
      <c r="L17" s="23"/>
    </row>
    <row r="18" spans="1:12" ht="15.75" customHeight="1">
      <c r="A18" s="16"/>
      <c r="B18" s="16"/>
      <c r="C18" s="22"/>
      <c r="D18" s="23"/>
      <c r="E18" s="23"/>
      <c r="F18" s="23"/>
      <c r="G18" s="23"/>
      <c r="H18" s="23"/>
      <c r="I18" s="23"/>
      <c r="J18" s="23"/>
      <c r="K18" s="23"/>
      <c r="L18" s="23"/>
    </row>
    <row r="19" spans="1:12" ht="15.75" customHeight="1">
      <c r="A19" s="16"/>
      <c r="B19" s="16"/>
      <c r="C19" s="22"/>
      <c r="D19" s="23"/>
      <c r="E19" s="23"/>
      <c r="F19" s="23"/>
      <c r="G19" s="23"/>
      <c r="H19" s="23"/>
      <c r="I19" s="23"/>
      <c r="J19" s="23"/>
      <c r="K19" s="23"/>
      <c r="L19" s="23"/>
    </row>
    <row r="20" spans="1:12" ht="27.75" customHeight="1">
      <c r="A20" s="16"/>
      <c r="B20" s="199"/>
      <c r="C20" s="200" t="s">
        <v>310</v>
      </c>
      <c r="D20" s="201" t="s">
        <v>311</v>
      </c>
      <c r="E20" s="201" t="s">
        <v>312</v>
      </c>
      <c r="F20" s="201" t="s">
        <v>313</v>
      </c>
      <c r="G20" s="201" t="s">
        <v>314</v>
      </c>
      <c r="H20" s="201" t="s">
        <v>315</v>
      </c>
      <c r="I20" s="201" t="s">
        <v>316</v>
      </c>
      <c r="J20" s="201" t="s">
        <v>317</v>
      </c>
      <c r="K20" s="201" t="s">
        <v>318</v>
      </c>
      <c r="L20" s="201" t="s">
        <v>319</v>
      </c>
    </row>
    <row r="21" spans="1:12" ht="16.5" customHeight="1">
      <c r="A21" s="16"/>
      <c r="B21" s="114">
        <v>1</v>
      </c>
      <c r="C21" s="202" t="s">
        <v>302</v>
      </c>
      <c r="D21" s="203">
        <v>5247</v>
      </c>
      <c r="E21" s="204">
        <v>-4.0199999999999996</v>
      </c>
      <c r="F21" s="203">
        <v>40923</v>
      </c>
      <c r="G21" s="203">
        <v>4376</v>
      </c>
      <c r="H21" s="205">
        <v>40</v>
      </c>
      <c r="I21" s="204">
        <v>14.14</v>
      </c>
      <c r="J21" s="204">
        <v>10.69</v>
      </c>
      <c r="K21" s="206">
        <v>218.91</v>
      </c>
      <c r="L21" s="206">
        <v>259.92</v>
      </c>
    </row>
    <row r="22" spans="1:12" ht="16.5" customHeight="1">
      <c r="A22" s="16"/>
      <c r="B22" s="207">
        <v>2</v>
      </c>
      <c r="C22" s="208" t="s">
        <v>304</v>
      </c>
      <c r="D22" s="209">
        <v>9758</v>
      </c>
      <c r="E22" s="210">
        <v>-0.16</v>
      </c>
      <c r="F22" s="209">
        <v>50995</v>
      </c>
      <c r="G22" s="209">
        <v>7325</v>
      </c>
      <c r="H22" s="211">
        <v>279</v>
      </c>
      <c r="I22" s="210">
        <v>18.739999999999998</v>
      </c>
      <c r="J22" s="210">
        <v>14.37</v>
      </c>
      <c r="K22" s="212">
        <v>262.29000000000002</v>
      </c>
      <c r="L22" s="212">
        <v>277.38</v>
      </c>
    </row>
    <row r="23" spans="1:12" ht="16.5" customHeight="1">
      <c r="A23" s="16"/>
      <c r="B23" s="213">
        <v>3</v>
      </c>
      <c r="C23" s="214" t="s">
        <v>306</v>
      </c>
      <c r="D23" s="215">
        <v>3736</v>
      </c>
      <c r="E23" s="216">
        <v>-0.11</v>
      </c>
      <c r="F23" s="215">
        <v>44089</v>
      </c>
      <c r="G23" s="215">
        <v>2380</v>
      </c>
      <c r="H23" s="217">
        <v>47.5</v>
      </c>
      <c r="I23" s="216">
        <v>14.91</v>
      </c>
      <c r="J23" s="216">
        <v>5.4</v>
      </c>
      <c r="K23" s="218">
        <v>47.05</v>
      </c>
      <c r="L23" s="218">
        <v>72.209999999999994</v>
      </c>
    </row>
    <row r="24" spans="1:12" ht="16.5" customHeight="1">
      <c r="A24" s="16"/>
      <c r="B24" s="219">
        <v>4</v>
      </c>
      <c r="C24" s="220" t="s">
        <v>320</v>
      </c>
      <c r="D24" s="221">
        <v>7168.5</v>
      </c>
      <c r="E24" s="222">
        <v>-0.28999999999999998</v>
      </c>
      <c r="F24" s="221">
        <v>18870</v>
      </c>
      <c r="G24" s="221">
        <v>4733</v>
      </c>
      <c r="H24" s="223">
        <v>27.4</v>
      </c>
      <c r="I24" s="222">
        <v>25.03</v>
      </c>
      <c r="J24" s="222">
        <v>25.08</v>
      </c>
      <c r="K24" s="224">
        <v>172.73</v>
      </c>
      <c r="L24" s="224">
        <v>199.34</v>
      </c>
    </row>
    <row r="25" spans="1:12" ht="15.75" customHeight="1">
      <c r="A25" s="16"/>
      <c r="B25" s="16"/>
      <c r="C25" s="22"/>
      <c r="D25" s="23"/>
      <c r="E25" s="23"/>
      <c r="F25" s="23"/>
      <c r="G25" s="23"/>
      <c r="H25" s="23"/>
      <c r="I25" s="23"/>
      <c r="J25" s="23"/>
      <c r="K25" s="23"/>
      <c r="L25" s="23"/>
    </row>
    <row r="26" spans="1:12" ht="15.75" customHeight="1">
      <c r="A26" s="16"/>
      <c r="B26" s="16"/>
      <c r="C26" s="22"/>
      <c r="D26" s="23"/>
      <c r="E26" s="23"/>
      <c r="F26" s="23"/>
      <c r="G26" s="23"/>
      <c r="H26" s="23"/>
      <c r="I26" s="23"/>
      <c r="J26" s="23"/>
      <c r="K26" s="23"/>
      <c r="L26" s="23"/>
    </row>
    <row r="27" spans="1:12" ht="15.75" customHeight="1">
      <c r="A27" s="16"/>
      <c r="B27" s="16"/>
      <c r="C27" s="22"/>
      <c r="D27" s="23"/>
      <c r="E27" s="23"/>
      <c r="F27" s="23"/>
      <c r="G27" s="23"/>
      <c r="H27" s="23"/>
      <c r="I27" s="23"/>
      <c r="J27" s="23"/>
      <c r="K27" s="23"/>
      <c r="L27" s="23"/>
    </row>
    <row r="28" spans="1:12" ht="15.75" customHeight="1">
      <c r="A28" s="16"/>
      <c r="B28" s="16"/>
      <c r="C28" s="652" t="s">
        <v>302</v>
      </c>
      <c r="D28" s="652"/>
      <c r="E28" s="652"/>
      <c r="F28" s="652"/>
      <c r="G28" s="23"/>
      <c r="H28" s="653" t="s">
        <v>304</v>
      </c>
      <c r="I28" s="653"/>
      <c r="J28" s="653"/>
      <c r="K28" s="653"/>
      <c r="L28" s="23"/>
    </row>
    <row r="29" spans="1:12" ht="15.75" customHeight="1">
      <c r="A29" s="16"/>
      <c r="B29" s="16"/>
      <c r="C29" s="225" t="s">
        <v>321</v>
      </c>
      <c r="D29" s="226">
        <v>44986</v>
      </c>
      <c r="E29" s="226">
        <v>45352</v>
      </c>
      <c r="F29" s="226">
        <v>45717</v>
      </c>
      <c r="G29" s="23"/>
      <c r="H29" s="227" t="s">
        <v>321</v>
      </c>
      <c r="I29" s="226">
        <v>44986</v>
      </c>
      <c r="J29" s="226">
        <v>45352</v>
      </c>
      <c r="K29" s="226">
        <v>45717</v>
      </c>
      <c r="L29" s="23"/>
    </row>
    <row r="30" spans="1:12" ht="13.5" customHeight="1">
      <c r="A30" s="16"/>
      <c r="B30" s="16"/>
      <c r="C30" s="228" t="s">
        <v>322</v>
      </c>
      <c r="D30" s="229">
        <v>28</v>
      </c>
      <c r="E30" s="229">
        <v>25</v>
      </c>
      <c r="F30" s="229">
        <v>30</v>
      </c>
      <c r="G30" s="23"/>
      <c r="H30" s="229" t="s">
        <v>322</v>
      </c>
      <c r="I30" s="229">
        <v>6</v>
      </c>
      <c r="J30" s="229">
        <v>6</v>
      </c>
      <c r="K30" s="229">
        <v>5</v>
      </c>
      <c r="L30" s="23"/>
    </row>
    <row r="31" spans="1:12" ht="15.75" customHeight="1">
      <c r="A31" s="16"/>
      <c r="B31" s="16"/>
      <c r="C31" s="230" t="s">
        <v>323</v>
      </c>
      <c r="D31" s="231">
        <v>19</v>
      </c>
      <c r="E31" s="231">
        <v>17</v>
      </c>
      <c r="F31" s="231">
        <v>18</v>
      </c>
      <c r="G31" s="23"/>
      <c r="H31" s="231" t="s">
        <v>323</v>
      </c>
      <c r="I31" s="231">
        <v>23</v>
      </c>
      <c r="J31" s="231">
        <v>24</v>
      </c>
      <c r="K31" s="231">
        <v>20</v>
      </c>
      <c r="L31" s="23"/>
    </row>
    <row r="32" spans="1:12" ht="15" customHeight="1">
      <c r="A32" s="16"/>
      <c r="B32" s="16"/>
      <c r="C32" s="232" t="s">
        <v>324</v>
      </c>
      <c r="D32" s="233">
        <v>82</v>
      </c>
      <c r="E32" s="233">
        <v>75</v>
      </c>
      <c r="F32" s="233">
        <v>78</v>
      </c>
      <c r="G32" s="23"/>
      <c r="H32" s="233" t="s">
        <v>324</v>
      </c>
      <c r="I32" s="233">
        <v>36</v>
      </c>
      <c r="J32" s="233">
        <v>37</v>
      </c>
      <c r="K32" s="233">
        <v>42</v>
      </c>
      <c r="L32" s="23"/>
    </row>
    <row r="33" spans="1:12" ht="15" customHeight="1">
      <c r="A33" s="16"/>
      <c r="B33" s="16"/>
      <c r="C33" s="234" t="s">
        <v>325</v>
      </c>
      <c r="D33" s="235">
        <v>-35</v>
      </c>
      <c r="E33" s="235">
        <v>-33</v>
      </c>
      <c r="F33" s="235">
        <v>-30</v>
      </c>
      <c r="G33" s="23"/>
      <c r="H33" s="235" t="s">
        <v>325</v>
      </c>
      <c r="I33" s="235">
        <v>-7</v>
      </c>
      <c r="J33" s="235">
        <v>-7</v>
      </c>
      <c r="K33" s="235">
        <v>-17</v>
      </c>
      <c r="L33" s="23"/>
    </row>
    <row r="34" spans="1:12" ht="15" customHeight="1">
      <c r="A34" s="16"/>
      <c r="B34" s="16"/>
      <c r="C34" s="232" t="s">
        <v>326</v>
      </c>
      <c r="D34" s="233">
        <v>-26</v>
      </c>
      <c r="E34" s="233">
        <v>-24</v>
      </c>
      <c r="F34" s="233">
        <v>-22</v>
      </c>
      <c r="G34" s="23"/>
      <c r="H34" s="233" t="s">
        <v>326</v>
      </c>
      <c r="I34" s="233">
        <v>-8</v>
      </c>
      <c r="J34" s="233">
        <v>-7</v>
      </c>
      <c r="K34" s="233">
        <v>-16</v>
      </c>
      <c r="L34" s="23"/>
    </row>
    <row r="35" spans="1:12" ht="15" customHeight="1">
      <c r="A35" s="16"/>
      <c r="B35" s="16"/>
      <c r="C35" s="234" t="s">
        <v>327</v>
      </c>
      <c r="D35" s="236">
        <v>0.19</v>
      </c>
      <c r="E35" s="236">
        <v>0.25</v>
      </c>
      <c r="F35" s="236">
        <v>0.3</v>
      </c>
      <c r="G35" s="23"/>
      <c r="H35" s="235" t="s">
        <v>327</v>
      </c>
      <c r="I35" s="236">
        <v>0.34</v>
      </c>
      <c r="J35" s="236">
        <v>0.34</v>
      </c>
      <c r="K35" s="236">
        <v>0.28000000000000003</v>
      </c>
      <c r="L35" s="23"/>
    </row>
    <row r="36" spans="1:12" ht="15" customHeight="1">
      <c r="A36" s="16"/>
      <c r="B36" s="16"/>
      <c r="C36" s="237"/>
      <c r="D36" s="238"/>
      <c r="E36" s="238"/>
      <c r="F36" s="238"/>
      <c r="G36" s="23"/>
      <c r="H36" s="239"/>
      <c r="I36" s="238"/>
      <c r="J36" s="238"/>
      <c r="K36" s="238"/>
      <c r="L36" s="23"/>
    </row>
    <row r="37" spans="1:12" ht="15" customHeight="1">
      <c r="A37" s="16"/>
      <c r="B37" s="16"/>
      <c r="C37" s="654" t="s">
        <v>306</v>
      </c>
      <c r="D37" s="654"/>
      <c r="E37" s="654"/>
      <c r="F37" s="654"/>
      <c r="G37" s="23"/>
      <c r="H37" s="655" t="s">
        <v>320</v>
      </c>
      <c r="I37" s="655"/>
      <c r="J37" s="655"/>
      <c r="K37" s="655"/>
      <c r="L37" s="23"/>
    </row>
    <row r="38" spans="1:12" ht="15.75" customHeight="1">
      <c r="A38" s="16"/>
      <c r="B38" s="16"/>
      <c r="C38" s="225" t="s">
        <v>321</v>
      </c>
      <c r="D38" s="226">
        <v>44986</v>
      </c>
      <c r="E38" s="226">
        <v>45352</v>
      </c>
      <c r="F38" s="226">
        <v>45717</v>
      </c>
      <c r="G38" s="23"/>
      <c r="H38" s="227" t="s">
        <v>321</v>
      </c>
      <c r="I38" s="226">
        <v>44986</v>
      </c>
      <c r="J38" s="226">
        <v>45352</v>
      </c>
      <c r="K38" s="226">
        <v>45717</v>
      </c>
      <c r="L38" s="23"/>
    </row>
    <row r="39" spans="1:12" ht="13.5" customHeight="1">
      <c r="A39" s="16"/>
      <c r="B39" s="16"/>
      <c r="C39" s="228" t="s">
        <v>322</v>
      </c>
      <c r="D39" s="229">
        <v>9</v>
      </c>
      <c r="E39" s="229">
        <v>10</v>
      </c>
      <c r="F39" s="229">
        <v>14</v>
      </c>
      <c r="G39" s="23"/>
      <c r="H39" s="229" t="s">
        <v>322</v>
      </c>
      <c r="I39" s="229">
        <v>10</v>
      </c>
      <c r="J39" s="229">
        <v>11</v>
      </c>
      <c r="K39" s="229">
        <v>14</v>
      </c>
      <c r="L39" s="23"/>
    </row>
    <row r="40" spans="1:12" ht="15.75" customHeight="1">
      <c r="A40" s="16"/>
      <c r="B40" s="16"/>
      <c r="C40" s="230" t="s">
        <v>323</v>
      </c>
      <c r="D40" s="231">
        <v>24</v>
      </c>
      <c r="E40" s="231">
        <v>24</v>
      </c>
      <c r="F40" s="231">
        <v>25</v>
      </c>
      <c r="G40" s="23"/>
      <c r="H40" s="231" t="s">
        <v>323</v>
      </c>
      <c r="I40" s="231">
        <v>25</v>
      </c>
      <c r="J40" s="231">
        <v>30</v>
      </c>
      <c r="K40" s="231">
        <v>30</v>
      </c>
      <c r="L40" s="23"/>
    </row>
    <row r="41" spans="1:12" ht="15" customHeight="1">
      <c r="A41" s="16"/>
      <c r="B41" s="16"/>
      <c r="C41" s="232" t="s">
        <v>324</v>
      </c>
      <c r="D41" s="233">
        <v>54</v>
      </c>
      <c r="E41" s="233">
        <v>46</v>
      </c>
      <c r="F41" s="233">
        <v>45</v>
      </c>
      <c r="G41" s="23"/>
      <c r="H41" s="233" t="s">
        <v>324</v>
      </c>
      <c r="I41" s="233">
        <v>28</v>
      </c>
      <c r="J41" s="233">
        <v>27</v>
      </c>
      <c r="K41" s="233">
        <v>28</v>
      </c>
      <c r="L41" s="23"/>
    </row>
    <row r="42" spans="1:12" ht="15" customHeight="1">
      <c r="A42" s="16"/>
      <c r="B42" s="16"/>
      <c r="C42" s="234" t="s">
        <v>325</v>
      </c>
      <c r="D42" s="235">
        <v>-21</v>
      </c>
      <c r="E42" s="235">
        <v>-12</v>
      </c>
      <c r="F42" s="235">
        <v>-6</v>
      </c>
      <c r="G42" s="23"/>
      <c r="H42" s="235" t="s">
        <v>325</v>
      </c>
      <c r="I42" s="235">
        <v>7</v>
      </c>
      <c r="J42" s="235">
        <v>14</v>
      </c>
      <c r="K42" s="235">
        <v>16</v>
      </c>
      <c r="L42" s="23"/>
    </row>
    <row r="43" spans="1:12" ht="15" customHeight="1">
      <c r="A43" s="16"/>
      <c r="B43" s="16"/>
      <c r="C43" s="232" t="s">
        <v>326</v>
      </c>
      <c r="D43" s="233">
        <v>-15</v>
      </c>
      <c r="E43" s="233">
        <v>-9</v>
      </c>
      <c r="F43" s="233">
        <v>-5</v>
      </c>
      <c r="G43" s="23"/>
      <c r="H43" s="233" t="s">
        <v>326</v>
      </c>
      <c r="I43" s="233">
        <v>8</v>
      </c>
      <c r="J43" s="233">
        <v>14</v>
      </c>
      <c r="K43" s="233">
        <v>15</v>
      </c>
      <c r="L43" s="23"/>
    </row>
    <row r="44" spans="1:12" ht="15" customHeight="1">
      <c r="A44" s="16"/>
      <c r="B44" s="16"/>
      <c r="C44" s="234" t="s">
        <v>327</v>
      </c>
      <c r="D44" s="236">
        <v>0.22</v>
      </c>
      <c r="E44" s="236">
        <v>0.22</v>
      </c>
      <c r="F44" s="236">
        <v>0.15</v>
      </c>
      <c r="G44" s="23"/>
      <c r="H44" s="235" t="s">
        <v>327</v>
      </c>
      <c r="I44" s="236">
        <v>0.38</v>
      </c>
      <c r="J44" s="236">
        <v>0.38</v>
      </c>
      <c r="K44" s="236">
        <v>0.3</v>
      </c>
      <c r="L44" s="23"/>
    </row>
    <row r="45" spans="1:12" ht="15" customHeight="1">
      <c r="A45" s="16"/>
      <c r="B45" s="16"/>
      <c r="C45" s="237"/>
      <c r="D45" s="238"/>
      <c r="E45" s="238"/>
      <c r="F45" s="238"/>
      <c r="G45" s="23"/>
      <c r="H45" s="239"/>
      <c r="I45" s="238"/>
      <c r="J45" s="238"/>
      <c r="K45" s="238"/>
      <c r="L45" s="23"/>
    </row>
    <row r="46" spans="1:12" ht="15" customHeight="1">
      <c r="A46" s="16"/>
      <c r="B46" s="16"/>
      <c r="C46" s="240"/>
      <c r="D46" s="241"/>
      <c r="E46" s="241"/>
      <c r="F46" s="241"/>
      <c r="G46" s="242"/>
      <c r="H46" s="243"/>
      <c r="I46" s="241"/>
      <c r="J46" s="241"/>
      <c r="K46" s="241"/>
      <c r="L46" s="242"/>
    </row>
  </sheetData>
  <mergeCells count="12">
    <mergeCell ref="C16:C17"/>
    <mergeCell ref="D16:K17"/>
    <mergeCell ref="C28:F28"/>
    <mergeCell ref="H28:K28"/>
    <mergeCell ref="C37:F37"/>
    <mergeCell ref="H37:K37"/>
    <mergeCell ref="C4:C7"/>
    <mergeCell ref="D4:K7"/>
    <mergeCell ref="C9:C10"/>
    <mergeCell ref="D9:K10"/>
    <mergeCell ref="C12:C14"/>
    <mergeCell ref="D12:K1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52"/>
  <sheetViews>
    <sheetView showGridLines="0" zoomScale="79" zoomScaleNormal="79" workbookViewId="0">
      <selection activeCell="C2" sqref="C2"/>
    </sheetView>
  </sheetViews>
  <sheetFormatPr defaultColWidth="8.6640625" defaultRowHeight="14.4"/>
  <cols>
    <col min="1" max="1" width="1.44140625" customWidth="1"/>
    <col min="2" max="2" width="17.5546875" customWidth="1"/>
    <col min="3" max="3" width="20.33203125" customWidth="1"/>
    <col min="4" max="15" width="1.44140625" customWidth="1"/>
    <col min="16" max="25" width="14.77734375" customWidth="1"/>
  </cols>
  <sheetData>
    <row r="1" spans="1:25" ht="15.75" customHeight="1">
      <c r="A1" s="16"/>
      <c r="B1" s="16"/>
      <c r="C1" s="16"/>
      <c r="D1" s="16"/>
      <c r="E1" s="16"/>
      <c r="F1" s="16"/>
      <c r="G1" s="16"/>
      <c r="H1" s="16"/>
      <c r="I1" s="16"/>
      <c r="J1" s="16"/>
      <c r="K1" s="16"/>
      <c r="L1" s="16"/>
      <c r="M1" s="16"/>
      <c r="N1" s="16"/>
      <c r="O1" s="16"/>
      <c r="P1" s="16"/>
      <c r="Q1" s="16"/>
      <c r="R1" s="16"/>
      <c r="S1" s="16"/>
      <c r="T1" s="16"/>
      <c r="U1" s="16"/>
      <c r="V1" s="16"/>
      <c r="W1" s="16"/>
      <c r="X1" s="16"/>
      <c r="Y1" s="16"/>
    </row>
    <row r="2" spans="1:25" ht="15.75" customHeight="1">
      <c r="A2" s="16"/>
      <c r="B2" s="16"/>
      <c r="C2" s="16"/>
      <c r="D2" s="16"/>
      <c r="E2" s="16"/>
      <c r="F2" s="16"/>
      <c r="G2" s="16"/>
      <c r="H2" s="16"/>
      <c r="I2" s="16"/>
      <c r="J2" s="16"/>
      <c r="K2" s="16"/>
      <c r="L2" s="16"/>
      <c r="M2" s="16"/>
      <c r="N2" s="16"/>
      <c r="O2" s="16"/>
      <c r="P2" s="16"/>
      <c r="Q2" s="16"/>
      <c r="R2" s="16"/>
      <c r="S2" s="16"/>
      <c r="T2" s="16"/>
      <c r="U2" s="16"/>
      <c r="V2" s="16"/>
      <c r="W2" s="16"/>
      <c r="X2" s="16"/>
      <c r="Y2" s="16"/>
    </row>
    <row r="3" spans="1:25" ht="13.5" customHeight="1">
      <c r="A3" s="16"/>
      <c r="B3" s="16"/>
      <c r="C3" s="16"/>
      <c r="D3" s="16"/>
      <c r="E3" s="16"/>
      <c r="F3" s="16"/>
      <c r="G3" s="16"/>
      <c r="H3" s="16"/>
      <c r="I3" s="16"/>
      <c r="J3" s="16"/>
      <c r="K3" s="16"/>
      <c r="L3" s="16"/>
      <c r="M3" s="16"/>
      <c r="N3" s="16"/>
      <c r="O3" s="244"/>
      <c r="P3" s="244" t="s">
        <v>328</v>
      </c>
      <c r="Q3" s="244"/>
      <c r="R3" s="244"/>
      <c r="S3" s="244"/>
      <c r="T3" s="244"/>
      <c r="U3" s="244"/>
      <c r="V3" s="244"/>
      <c r="W3" s="244"/>
      <c r="X3" s="244"/>
      <c r="Y3" s="244"/>
    </row>
    <row r="4" spans="1:25" ht="79.5" customHeight="1">
      <c r="A4" s="16"/>
      <c r="B4" s="16"/>
      <c r="C4" s="16"/>
      <c r="D4" s="16"/>
      <c r="E4" s="16"/>
      <c r="F4" s="16"/>
      <c r="G4" s="16"/>
      <c r="H4" s="16"/>
      <c r="I4" s="16"/>
      <c r="J4" s="16"/>
      <c r="K4" s="16"/>
      <c r="L4" s="16"/>
      <c r="M4" s="16"/>
      <c r="N4" s="16"/>
      <c r="O4" s="245"/>
      <c r="P4" s="656" t="s">
        <v>329</v>
      </c>
      <c r="Q4" s="656"/>
      <c r="R4" s="656"/>
      <c r="S4" s="656"/>
      <c r="T4" s="656"/>
      <c r="U4" s="656"/>
      <c r="V4" s="656"/>
      <c r="W4" s="656"/>
      <c r="X4" s="656"/>
      <c r="Y4" s="656"/>
    </row>
    <row r="5" spans="1:25" ht="15.75" customHeight="1">
      <c r="A5" s="16"/>
      <c r="B5" s="16"/>
      <c r="C5" s="16"/>
      <c r="D5" s="16"/>
      <c r="E5" s="16"/>
      <c r="F5" s="16"/>
      <c r="G5" s="16"/>
      <c r="H5" s="16"/>
      <c r="I5" s="16"/>
      <c r="J5" s="16"/>
      <c r="K5" s="16"/>
      <c r="L5" s="16"/>
      <c r="M5" s="16"/>
      <c r="N5" s="16"/>
      <c r="O5" s="16"/>
      <c r="P5" s="656"/>
      <c r="Q5" s="656"/>
      <c r="R5" s="656"/>
      <c r="S5" s="656"/>
      <c r="T5" s="656"/>
      <c r="U5" s="656"/>
      <c r="V5" s="656"/>
      <c r="W5" s="656"/>
      <c r="X5" s="656"/>
      <c r="Y5" s="656"/>
    </row>
    <row r="6" spans="1:25" ht="15.75" customHeight="1">
      <c r="A6" s="16"/>
      <c r="B6" s="16"/>
      <c r="C6" s="16"/>
      <c r="D6" s="16"/>
      <c r="E6" s="16"/>
      <c r="F6" s="16"/>
      <c r="G6" s="16"/>
      <c r="H6" s="16"/>
      <c r="I6" s="16"/>
      <c r="J6" s="16"/>
      <c r="K6" s="16"/>
      <c r="L6" s="16"/>
      <c r="M6" s="16"/>
      <c r="N6" s="16"/>
      <c r="O6" s="16"/>
      <c r="P6" s="16"/>
      <c r="Q6" s="16"/>
      <c r="R6" s="16"/>
      <c r="S6" s="16"/>
      <c r="T6" s="16"/>
      <c r="U6" s="16"/>
      <c r="V6" s="16"/>
      <c r="W6" s="16"/>
      <c r="X6" s="16"/>
      <c r="Y6" s="16"/>
    </row>
    <row r="7" spans="1:25" ht="79.5" customHeight="1">
      <c r="A7" s="16"/>
      <c r="B7" s="16"/>
      <c r="C7" s="16"/>
      <c r="D7" s="16"/>
      <c r="E7" s="16"/>
      <c r="F7" s="16"/>
      <c r="G7" s="16"/>
      <c r="H7" s="16"/>
      <c r="I7" s="16"/>
      <c r="J7" s="16"/>
      <c r="K7" s="16"/>
      <c r="L7" s="16"/>
      <c r="M7" s="16"/>
      <c r="N7" s="16"/>
      <c r="O7" s="246"/>
      <c r="P7" s="657" t="s">
        <v>330</v>
      </c>
      <c r="Q7" s="657"/>
      <c r="R7" s="657"/>
      <c r="S7" s="657"/>
      <c r="T7" s="657"/>
      <c r="U7" s="657"/>
      <c r="V7" s="657"/>
      <c r="W7" s="657"/>
      <c r="X7" s="657"/>
      <c r="Y7" s="657"/>
    </row>
    <row r="8" spans="1:25" ht="79.5" customHeight="1">
      <c r="A8" s="16"/>
      <c r="B8" s="16"/>
      <c r="C8" s="16"/>
      <c r="D8" s="16"/>
      <c r="E8" s="16"/>
      <c r="F8" s="16"/>
      <c r="G8" s="16"/>
      <c r="H8" s="16"/>
      <c r="I8" s="16"/>
      <c r="J8" s="16"/>
      <c r="K8" s="16"/>
      <c r="L8" s="16"/>
      <c r="M8" s="16"/>
      <c r="N8" s="16"/>
      <c r="O8" s="246"/>
      <c r="P8" s="657"/>
      <c r="Q8" s="657"/>
      <c r="R8" s="657"/>
      <c r="S8" s="657"/>
      <c r="T8" s="657"/>
      <c r="U8" s="657"/>
      <c r="V8" s="657"/>
      <c r="W8" s="657"/>
      <c r="X8" s="657"/>
      <c r="Y8" s="657"/>
    </row>
    <row r="9" spans="1:25" ht="79.5" customHeight="1">
      <c r="A9" s="16"/>
      <c r="B9" s="16"/>
      <c r="C9" s="16"/>
      <c r="D9" s="16"/>
      <c r="E9" s="16"/>
      <c r="F9" s="16"/>
      <c r="G9" s="16"/>
      <c r="H9" s="16"/>
      <c r="I9" s="16"/>
      <c r="J9" s="16"/>
      <c r="K9" s="16"/>
      <c r="L9" s="16"/>
      <c r="M9" s="16"/>
      <c r="N9" s="16"/>
      <c r="O9" s="246"/>
      <c r="P9" s="657"/>
      <c r="Q9" s="657"/>
      <c r="R9" s="657"/>
      <c r="S9" s="657"/>
      <c r="T9" s="657"/>
      <c r="U9" s="657"/>
      <c r="V9" s="657"/>
      <c r="W9" s="657"/>
      <c r="X9" s="657"/>
      <c r="Y9" s="657"/>
    </row>
    <row r="10" spans="1:25" ht="79.5" customHeight="1">
      <c r="A10" s="16"/>
      <c r="B10" s="16"/>
      <c r="C10" s="16"/>
      <c r="D10" s="16"/>
      <c r="E10" s="16"/>
      <c r="F10" s="16"/>
      <c r="G10" s="16"/>
      <c r="H10" s="16"/>
      <c r="I10" s="16"/>
      <c r="J10" s="16"/>
      <c r="K10" s="16"/>
      <c r="L10" s="16"/>
      <c r="M10" s="16"/>
      <c r="N10" s="16"/>
      <c r="O10" s="247"/>
      <c r="P10" s="657"/>
      <c r="Q10" s="657"/>
      <c r="R10" s="657"/>
      <c r="S10" s="657"/>
      <c r="T10" s="657"/>
      <c r="U10" s="657"/>
      <c r="V10" s="657"/>
      <c r="W10" s="657"/>
      <c r="X10" s="657"/>
      <c r="Y10" s="657"/>
    </row>
    <row r="11" spans="1:25" ht="15.75" customHeight="1">
      <c r="A11" s="16"/>
      <c r="B11" s="16"/>
      <c r="C11" s="16"/>
      <c r="D11" s="16"/>
      <c r="E11" s="16"/>
      <c r="F11" s="16"/>
      <c r="G11" s="16"/>
      <c r="H11" s="16"/>
      <c r="I11" s="16"/>
      <c r="J11" s="16"/>
      <c r="K11" s="16"/>
      <c r="L11" s="16"/>
      <c r="M11" s="16"/>
      <c r="N11" s="16"/>
      <c r="O11" s="16"/>
      <c r="P11" s="657"/>
      <c r="Q11" s="657"/>
      <c r="R11" s="657"/>
      <c r="S11" s="657"/>
      <c r="T11" s="657"/>
      <c r="U11" s="657"/>
      <c r="V11" s="657"/>
      <c r="W11" s="657"/>
      <c r="X11" s="657"/>
      <c r="Y11" s="657"/>
    </row>
    <row r="12" spans="1:25" ht="15.75" customHeight="1">
      <c r="A12" s="16"/>
      <c r="B12" s="16"/>
      <c r="C12" s="16"/>
      <c r="D12" s="16"/>
      <c r="E12" s="16"/>
      <c r="F12" s="16"/>
      <c r="G12" s="16"/>
      <c r="H12" s="16"/>
      <c r="I12" s="16"/>
      <c r="J12" s="16"/>
      <c r="K12" s="16"/>
      <c r="L12" s="16"/>
      <c r="M12" s="16"/>
      <c r="N12" s="16"/>
      <c r="O12" s="16"/>
      <c r="P12" s="657"/>
      <c r="Q12" s="657"/>
      <c r="R12" s="657"/>
      <c r="S12" s="657"/>
      <c r="T12" s="657"/>
      <c r="U12" s="657"/>
      <c r="V12" s="657"/>
      <c r="W12" s="657"/>
      <c r="X12" s="657"/>
      <c r="Y12" s="657"/>
    </row>
    <row r="13" spans="1:25" ht="15.75" customHeight="1">
      <c r="A13" s="16"/>
      <c r="B13" s="16"/>
      <c r="C13" s="16"/>
      <c r="D13" s="16"/>
      <c r="E13" s="16"/>
      <c r="F13" s="16"/>
      <c r="G13" s="16"/>
      <c r="H13" s="16"/>
      <c r="I13" s="16"/>
      <c r="J13" s="16"/>
      <c r="K13" s="16"/>
      <c r="L13" s="16"/>
      <c r="M13" s="16"/>
      <c r="N13" s="16"/>
      <c r="O13" s="16"/>
      <c r="P13" s="657"/>
      <c r="Q13" s="657"/>
      <c r="R13" s="657"/>
      <c r="S13" s="657"/>
      <c r="T13" s="657"/>
      <c r="U13" s="657"/>
      <c r="V13" s="657"/>
      <c r="W13" s="657"/>
      <c r="X13" s="657"/>
      <c r="Y13" s="657"/>
    </row>
    <row r="14" spans="1:25" ht="15.75" customHeight="1">
      <c r="A14" s="16"/>
      <c r="B14" s="16"/>
      <c r="C14" s="16"/>
      <c r="D14" s="16"/>
      <c r="E14" s="16"/>
      <c r="F14" s="16"/>
      <c r="G14" s="16"/>
      <c r="H14" s="16"/>
      <c r="I14" s="16"/>
      <c r="J14" s="16"/>
      <c r="K14" s="16"/>
      <c r="L14" s="16"/>
      <c r="M14" s="16"/>
      <c r="N14" s="16"/>
      <c r="O14" s="16"/>
      <c r="P14" s="657"/>
      <c r="Q14" s="657"/>
      <c r="R14" s="657"/>
      <c r="S14" s="657"/>
      <c r="T14" s="657"/>
      <c r="U14" s="657"/>
      <c r="V14" s="657"/>
      <c r="W14" s="657"/>
      <c r="X14" s="657"/>
      <c r="Y14" s="657"/>
    </row>
    <row r="15" spans="1:25" ht="15.75" customHeight="1">
      <c r="A15" s="16"/>
      <c r="B15" s="16"/>
      <c r="C15" s="16"/>
      <c r="D15" s="16"/>
      <c r="E15" s="16"/>
      <c r="F15" s="16"/>
      <c r="G15" s="16"/>
      <c r="H15" s="16"/>
      <c r="I15" s="16"/>
      <c r="J15" s="16"/>
      <c r="K15" s="16"/>
      <c r="L15" s="16"/>
      <c r="M15" s="16"/>
      <c r="N15" s="16"/>
      <c r="O15" s="16"/>
      <c r="P15" s="657"/>
      <c r="Q15" s="657"/>
      <c r="R15" s="657"/>
      <c r="S15" s="657"/>
      <c r="T15" s="657"/>
      <c r="U15" s="657"/>
      <c r="V15" s="657"/>
      <c r="W15" s="657"/>
      <c r="X15" s="657"/>
      <c r="Y15" s="657"/>
    </row>
    <row r="16" spans="1:25" ht="13.5" customHeight="1">
      <c r="A16" s="16"/>
      <c r="B16" s="16"/>
      <c r="C16" s="16"/>
      <c r="D16" s="16"/>
      <c r="E16" s="16"/>
      <c r="F16" s="16"/>
      <c r="G16" s="16"/>
      <c r="H16" s="16"/>
      <c r="I16" s="16"/>
      <c r="J16" s="16"/>
      <c r="K16" s="16"/>
      <c r="L16" s="16"/>
      <c r="M16" s="16"/>
      <c r="N16" s="16"/>
      <c r="O16" s="16"/>
      <c r="P16" s="244"/>
      <c r="Q16" s="248" t="s">
        <v>331</v>
      </c>
      <c r="R16" s="249" t="s">
        <v>332</v>
      </c>
      <c r="S16" s="249" t="s">
        <v>333</v>
      </c>
      <c r="T16" s="249" t="s">
        <v>334</v>
      </c>
      <c r="U16" s="249" t="s">
        <v>335</v>
      </c>
      <c r="V16" s="249" t="s">
        <v>336</v>
      </c>
      <c r="W16" s="244"/>
      <c r="X16" s="244"/>
      <c r="Y16" s="16"/>
    </row>
    <row r="17" spans="1:25" ht="15.75" customHeight="1">
      <c r="A17" s="16"/>
      <c r="B17" s="16"/>
      <c r="C17" s="16"/>
      <c r="D17" s="16"/>
      <c r="E17" s="16"/>
      <c r="F17" s="16"/>
      <c r="G17" s="16"/>
      <c r="H17" s="16"/>
      <c r="I17" s="16"/>
      <c r="J17" s="16"/>
      <c r="K17" s="16"/>
      <c r="L17" s="16"/>
      <c r="M17" s="16"/>
      <c r="N17" s="16"/>
      <c r="O17" s="16"/>
      <c r="P17" s="250"/>
      <c r="Q17" s="251" t="s">
        <v>193</v>
      </c>
      <c r="R17" s="251">
        <v>40923</v>
      </c>
      <c r="S17" s="252">
        <v>4376</v>
      </c>
      <c r="T17" s="252">
        <v>8.3000000000000004E-2</v>
      </c>
      <c r="U17" s="252">
        <v>0.16900000000000001</v>
      </c>
      <c r="V17" s="252">
        <v>5.2999999999999999E-2</v>
      </c>
      <c r="W17" s="252"/>
      <c r="X17" s="252"/>
      <c r="Y17" s="16"/>
    </row>
    <row r="18" spans="1:25" ht="15.75" customHeight="1">
      <c r="A18" s="16"/>
      <c r="B18" s="16"/>
      <c r="C18" s="16"/>
      <c r="D18" s="16"/>
      <c r="E18" s="16"/>
      <c r="F18" s="16"/>
      <c r="G18" s="16"/>
      <c r="H18" s="16"/>
      <c r="I18" s="16"/>
      <c r="J18" s="16"/>
      <c r="K18" s="16"/>
      <c r="L18" s="16"/>
      <c r="M18" s="16"/>
      <c r="N18" s="16"/>
      <c r="O18" s="16"/>
      <c r="P18" s="253"/>
      <c r="Q18" s="254" t="s">
        <v>192</v>
      </c>
      <c r="R18" s="254">
        <v>37789</v>
      </c>
      <c r="S18" s="255">
        <v>3742</v>
      </c>
      <c r="T18" s="255">
        <v>0.106</v>
      </c>
      <c r="U18" s="255">
        <v>0.33600000000000002</v>
      </c>
      <c r="V18" s="255">
        <v>0.28599999999999998</v>
      </c>
      <c r="W18" s="255"/>
      <c r="X18" s="255"/>
      <c r="Y18" s="16"/>
    </row>
    <row r="19" spans="1:25" ht="15.75" customHeight="1">
      <c r="A19" s="16"/>
      <c r="B19" s="16"/>
      <c r="C19" s="16"/>
      <c r="D19" s="16"/>
      <c r="E19" s="16"/>
      <c r="F19" s="16"/>
      <c r="G19" s="16"/>
      <c r="H19" s="16"/>
      <c r="I19" s="16"/>
      <c r="J19" s="16"/>
      <c r="K19" s="16"/>
      <c r="L19" s="16"/>
      <c r="M19" s="16"/>
      <c r="N19" s="16"/>
      <c r="O19" s="16"/>
      <c r="P19" s="256"/>
      <c r="Q19" s="257" t="s">
        <v>337</v>
      </c>
      <c r="R19" s="257">
        <v>34158</v>
      </c>
      <c r="S19" s="258">
        <v>2800</v>
      </c>
      <c r="T19" s="258">
        <v>0.156</v>
      </c>
      <c r="U19" s="258">
        <v>0.20200000000000001</v>
      </c>
      <c r="V19" s="258">
        <v>-6.0000000000000001E-3</v>
      </c>
      <c r="W19" s="258"/>
      <c r="X19" s="258"/>
      <c r="Y19" s="16"/>
    </row>
    <row r="20" spans="1:25" ht="15.75" customHeight="1">
      <c r="A20" s="16"/>
      <c r="B20" s="16"/>
      <c r="C20" s="16"/>
      <c r="D20" s="16"/>
      <c r="E20" s="16"/>
      <c r="F20" s="16"/>
      <c r="G20" s="16"/>
      <c r="H20" s="16"/>
      <c r="I20" s="16"/>
      <c r="J20" s="16"/>
      <c r="K20" s="16"/>
      <c r="L20" s="16"/>
      <c r="M20" s="16"/>
      <c r="N20" s="16"/>
      <c r="O20" s="16"/>
      <c r="P20" s="253"/>
      <c r="Q20" s="254" t="s">
        <v>338</v>
      </c>
      <c r="R20" s="254">
        <v>29551</v>
      </c>
      <c r="S20" s="255">
        <v>2329</v>
      </c>
      <c r="T20" s="255">
        <v>-4.4999999999999998E-2</v>
      </c>
      <c r="U20" s="255">
        <v>-0.20699999999999999</v>
      </c>
      <c r="V20" s="255">
        <v>0.189</v>
      </c>
      <c r="W20" s="255"/>
      <c r="X20" s="255"/>
      <c r="Y20" s="16"/>
    </row>
    <row r="21" spans="1:25" ht="15.75" customHeight="1">
      <c r="A21" s="16"/>
      <c r="B21" s="259" t="s">
        <v>321</v>
      </c>
      <c r="C21" s="259" t="s">
        <v>339</v>
      </c>
      <c r="D21" s="16"/>
      <c r="E21" s="16"/>
      <c r="F21" s="16"/>
      <c r="G21" s="16"/>
      <c r="H21" s="16"/>
      <c r="I21" s="16"/>
      <c r="J21" s="16"/>
      <c r="K21" s="16"/>
      <c r="L21" s="16"/>
      <c r="M21" s="16"/>
      <c r="N21" s="16"/>
      <c r="O21" s="16"/>
      <c r="P21" s="260"/>
      <c r="Q21" s="261" t="s">
        <v>340</v>
      </c>
      <c r="R21" s="261">
        <v>30959</v>
      </c>
      <c r="S21" s="262">
        <v>2936</v>
      </c>
      <c r="T21" s="262" t="s">
        <v>299</v>
      </c>
      <c r="U21" s="262" t="s">
        <v>299</v>
      </c>
      <c r="V21" s="262">
        <v>0.70899999999999996</v>
      </c>
      <c r="W21" s="262"/>
      <c r="X21" s="262"/>
      <c r="Y21" s="16"/>
    </row>
    <row r="22" spans="1:25" ht="15.75" customHeight="1">
      <c r="A22" s="16"/>
      <c r="B22" s="263" t="s">
        <v>341</v>
      </c>
      <c r="C22" s="263" t="s">
        <v>342</v>
      </c>
      <c r="D22" s="16"/>
      <c r="E22" s="16"/>
      <c r="F22" s="16"/>
      <c r="G22" s="16"/>
      <c r="H22" s="16"/>
      <c r="I22" s="16"/>
      <c r="J22" s="16"/>
      <c r="K22" s="16"/>
      <c r="L22" s="16"/>
      <c r="M22" s="16"/>
      <c r="N22" s="16"/>
      <c r="O22" s="16"/>
      <c r="P22" s="16"/>
      <c r="Q22" s="16"/>
      <c r="R22" s="16"/>
      <c r="S22" s="16"/>
      <c r="T22" s="16"/>
      <c r="U22" s="16"/>
      <c r="V22" s="16"/>
      <c r="W22" s="16"/>
      <c r="X22" s="16"/>
      <c r="Y22" s="16"/>
    </row>
    <row r="23" spans="1:25" ht="15.75" customHeight="1">
      <c r="A23" s="16"/>
      <c r="B23" s="264" t="s">
        <v>343</v>
      </c>
      <c r="C23" s="265">
        <v>5247</v>
      </c>
      <c r="D23" s="16"/>
      <c r="E23" s="16"/>
      <c r="F23" s="16"/>
      <c r="G23" s="16"/>
      <c r="H23" s="16"/>
      <c r="I23" s="16"/>
      <c r="J23" s="16"/>
      <c r="K23" s="16"/>
      <c r="L23" s="16"/>
      <c r="M23" s="16"/>
      <c r="N23" s="16"/>
      <c r="O23" s="16"/>
      <c r="P23" s="16"/>
      <c r="Q23" s="16"/>
      <c r="R23" s="16"/>
      <c r="S23" s="16"/>
      <c r="T23" s="16"/>
      <c r="U23" s="16"/>
      <c r="V23" s="16"/>
      <c r="W23" s="16"/>
      <c r="X23" s="16"/>
      <c r="Y23" s="16"/>
    </row>
    <row r="24" spans="1:25" ht="15.75" customHeight="1">
      <c r="A24" s="16"/>
      <c r="B24" s="263" t="s">
        <v>344</v>
      </c>
      <c r="C24" s="263" t="s">
        <v>345</v>
      </c>
      <c r="D24" s="16"/>
      <c r="E24" s="16"/>
      <c r="F24" s="16"/>
      <c r="G24" s="16"/>
      <c r="H24" s="16"/>
      <c r="I24" s="16"/>
      <c r="J24" s="16"/>
      <c r="K24" s="16"/>
      <c r="L24" s="16"/>
      <c r="M24" s="16"/>
      <c r="N24" s="16"/>
      <c r="O24" s="16"/>
      <c r="P24" s="16"/>
      <c r="Q24" s="16"/>
      <c r="R24" s="16"/>
      <c r="S24" s="16"/>
      <c r="T24" s="16"/>
      <c r="U24" s="16"/>
      <c r="V24" s="16"/>
      <c r="W24" s="16"/>
      <c r="X24" s="16"/>
      <c r="Y24" s="16"/>
    </row>
    <row r="25" spans="1:25" ht="15.75" customHeight="1">
      <c r="A25" s="16"/>
      <c r="B25" s="264" t="s">
        <v>346</v>
      </c>
      <c r="C25" s="264">
        <v>19</v>
      </c>
      <c r="D25" s="16"/>
      <c r="E25" s="16"/>
      <c r="F25" s="16"/>
      <c r="G25" s="16"/>
      <c r="H25" s="16"/>
      <c r="I25" s="16"/>
      <c r="J25" s="16"/>
      <c r="K25" s="16"/>
      <c r="L25" s="16"/>
      <c r="M25" s="16"/>
      <c r="N25" s="16"/>
      <c r="O25" s="16"/>
      <c r="P25" s="16"/>
      <c r="Q25" s="16"/>
      <c r="R25" s="16"/>
      <c r="S25" s="16"/>
      <c r="T25" s="16"/>
      <c r="U25" s="16"/>
      <c r="V25" s="16"/>
      <c r="W25" s="16"/>
      <c r="X25" s="16"/>
      <c r="Y25" s="16"/>
    </row>
    <row r="26" spans="1:25" ht="15.75" customHeight="1">
      <c r="A26" s="16"/>
      <c r="B26" s="263" t="s">
        <v>347</v>
      </c>
      <c r="C26" s="266">
        <v>1050</v>
      </c>
      <c r="D26" s="16"/>
      <c r="E26" s="16"/>
      <c r="F26" s="16"/>
      <c r="G26" s="16"/>
      <c r="H26" s="16"/>
      <c r="I26" s="16"/>
      <c r="J26" s="16"/>
      <c r="K26" s="16"/>
      <c r="L26" s="16"/>
      <c r="M26" s="16"/>
      <c r="N26" s="16"/>
      <c r="O26" s="16"/>
      <c r="P26" s="16"/>
      <c r="Q26" s="16"/>
      <c r="R26" s="16"/>
      <c r="S26" s="16"/>
      <c r="T26" s="16"/>
      <c r="U26" s="16"/>
      <c r="V26" s="16"/>
      <c r="W26" s="16"/>
      <c r="X26" s="16"/>
      <c r="Y26" s="16"/>
    </row>
    <row r="27" spans="1:25" ht="15.75" customHeight="1">
      <c r="A27" s="16"/>
      <c r="B27" s="264" t="s">
        <v>348</v>
      </c>
      <c r="C27" s="258">
        <v>3.1399999999999997E-2</v>
      </c>
      <c r="D27" s="16"/>
      <c r="E27" s="16"/>
      <c r="F27" s="16"/>
      <c r="G27" s="16"/>
      <c r="H27" s="16"/>
      <c r="I27" s="16"/>
      <c r="J27" s="16"/>
      <c r="K27" s="16"/>
      <c r="L27" s="16"/>
      <c r="M27" s="16"/>
      <c r="N27" s="16"/>
      <c r="O27" s="16"/>
      <c r="P27" s="16"/>
      <c r="Q27" s="16"/>
      <c r="R27" s="16"/>
      <c r="S27" s="16"/>
      <c r="T27" s="16"/>
      <c r="U27" s="16"/>
      <c r="V27" s="16"/>
      <c r="W27" s="16"/>
      <c r="X27" s="16"/>
      <c r="Y27" s="16"/>
    </row>
    <row r="28" spans="1:25" ht="15.75" customHeight="1">
      <c r="A28" s="16"/>
      <c r="B28" s="263" t="s">
        <v>349</v>
      </c>
      <c r="C28" s="255">
        <v>0.30299999999999999</v>
      </c>
      <c r="D28" s="16"/>
      <c r="E28" s="16"/>
      <c r="F28" s="16"/>
      <c r="G28" s="16"/>
      <c r="H28" s="16"/>
      <c r="I28" s="16"/>
      <c r="J28" s="16"/>
      <c r="K28" s="16"/>
      <c r="L28" s="16"/>
      <c r="M28" s="16"/>
      <c r="N28" s="16"/>
      <c r="O28" s="16"/>
      <c r="P28" s="16"/>
      <c r="Q28" s="16"/>
      <c r="R28" s="16"/>
      <c r="S28" s="16"/>
      <c r="T28" s="16"/>
      <c r="U28" s="16"/>
      <c r="V28" s="16"/>
      <c r="W28" s="16"/>
      <c r="X28" s="16"/>
      <c r="Y28" s="16"/>
    </row>
    <row r="29" spans="1:25" ht="15.75" customHeight="1">
      <c r="A29" s="16"/>
      <c r="B29" s="267" t="s">
        <v>350</v>
      </c>
      <c r="C29" s="268">
        <v>0.23100000000000001</v>
      </c>
      <c r="D29" s="16"/>
      <c r="E29" s="16"/>
      <c r="F29" s="16"/>
      <c r="G29" s="16"/>
      <c r="H29" s="16"/>
      <c r="I29" s="16"/>
      <c r="J29" s="16"/>
      <c r="K29" s="16"/>
      <c r="L29" s="16"/>
      <c r="M29" s="16"/>
      <c r="N29" s="16"/>
      <c r="O29" s="16"/>
      <c r="P29" s="16"/>
      <c r="Q29" s="16"/>
      <c r="R29" s="16"/>
      <c r="S29" s="16"/>
      <c r="T29" s="16"/>
      <c r="U29" s="16"/>
      <c r="V29" s="16"/>
      <c r="W29" s="16"/>
      <c r="X29" s="16"/>
      <c r="Y29" s="16"/>
    </row>
    <row r="30" spans="1:25" ht="15.75" customHeight="1">
      <c r="A30" s="16"/>
      <c r="B30" s="23" t="s">
        <v>351</v>
      </c>
      <c r="C30" s="269">
        <v>2</v>
      </c>
      <c r="D30" s="16"/>
      <c r="E30" s="16"/>
      <c r="F30" s="16"/>
      <c r="G30" s="16"/>
      <c r="H30" s="16"/>
      <c r="I30" s="16"/>
      <c r="J30" s="16"/>
      <c r="K30" s="16"/>
      <c r="L30" s="16"/>
      <c r="M30" s="16"/>
      <c r="N30" s="16"/>
      <c r="O30" s="16"/>
      <c r="P30" s="16"/>
      <c r="Q30" s="16"/>
      <c r="R30" s="16"/>
      <c r="S30" s="16"/>
      <c r="T30" s="16"/>
      <c r="U30" s="16"/>
      <c r="V30" s="16"/>
      <c r="W30" s="16"/>
      <c r="X30" s="16"/>
      <c r="Y30" s="16"/>
    </row>
    <row r="31" spans="1:25" ht="15.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row>
    <row r="32" spans="1:25" ht="27.75" customHeight="1">
      <c r="A32" s="16"/>
      <c r="B32" s="270"/>
      <c r="C32" s="271"/>
      <c r="D32" s="16"/>
      <c r="E32" s="16"/>
      <c r="F32" s="16"/>
      <c r="G32" s="16"/>
      <c r="H32" s="16"/>
      <c r="I32" s="16"/>
      <c r="J32" s="16"/>
      <c r="K32" s="16"/>
      <c r="L32" s="16"/>
      <c r="M32" s="16"/>
      <c r="N32" s="16"/>
      <c r="O32" s="16"/>
      <c r="P32" s="16"/>
      <c r="Q32" s="16"/>
      <c r="R32" s="16"/>
      <c r="S32" s="16"/>
      <c r="T32" s="16"/>
      <c r="U32" s="16"/>
      <c r="V32" s="16"/>
      <c r="W32" s="16"/>
      <c r="X32" s="16"/>
      <c r="Y32" s="16"/>
    </row>
    <row r="33" spans="1:25" ht="15.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row>
    <row r="34" spans="1:25" ht="15.75" customHeight="1">
      <c r="A34" s="16"/>
      <c r="B34" s="658" t="s">
        <v>352</v>
      </c>
      <c r="C34" s="658"/>
      <c r="D34" s="658"/>
      <c r="E34" s="658"/>
      <c r="F34" s="16"/>
      <c r="G34" s="16"/>
      <c r="H34" s="16"/>
      <c r="I34" s="16"/>
      <c r="J34" s="16"/>
      <c r="K34" s="16"/>
      <c r="L34" s="16"/>
      <c r="M34" s="16"/>
      <c r="N34" s="16"/>
      <c r="O34" s="16"/>
      <c r="P34" s="16"/>
      <c r="Q34" s="16"/>
      <c r="R34" s="16"/>
      <c r="S34" s="16"/>
      <c r="T34" s="16"/>
      <c r="U34" s="16"/>
      <c r="V34" s="16"/>
      <c r="W34" s="16"/>
      <c r="X34" s="16"/>
      <c r="Y34" s="16"/>
    </row>
    <row r="35" spans="1:25" ht="15.75" customHeight="1">
      <c r="A35" s="16"/>
      <c r="B35" s="658"/>
      <c r="C35" s="658"/>
      <c r="D35" s="658"/>
      <c r="E35" s="658"/>
      <c r="F35" s="16"/>
      <c r="G35" s="16"/>
      <c r="H35" s="16"/>
      <c r="I35" s="16"/>
      <c r="J35" s="16"/>
      <c r="K35" s="16"/>
      <c r="L35" s="16"/>
      <c r="M35" s="16"/>
      <c r="N35" s="16"/>
      <c r="O35" s="16"/>
      <c r="P35" s="16"/>
      <c r="Q35" s="16"/>
      <c r="R35" s="16"/>
      <c r="S35" s="16"/>
      <c r="T35" s="16"/>
      <c r="U35" s="16"/>
      <c r="V35" s="16"/>
      <c r="W35" s="16"/>
      <c r="X35" s="16"/>
      <c r="Y35" s="16"/>
    </row>
    <row r="36" spans="1:25" ht="27.75" customHeight="1">
      <c r="A36" s="16"/>
      <c r="B36" s="658"/>
      <c r="C36" s="658"/>
      <c r="D36" s="658"/>
      <c r="E36" s="658"/>
      <c r="F36" s="16"/>
      <c r="G36" s="16"/>
      <c r="H36" s="16"/>
      <c r="I36" s="16"/>
      <c r="J36" s="16"/>
      <c r="K36" s="16"/>
      <c r="L36" s="16"/>
      <c r="M36" s="16"/>
      <c r="N36" s="16"/>
      <c r="O36" s="16"/>
      <c r="P36" s="16"/>
      <c r="Q36" s="16"/>
      <c r="R36" s="16"/>
      <c r="S36" s="16"/>
      <c r="T36" s="16"/>
      <c r="U36" s="16"/>
      <c r="V36" s="16"/>
      <c r="W36" s="16"/>
      <c r="X36" s="16"/>
      <c r="Y36" s="16"/>
    </row>
    <row r="37" spans="1:25" ht="15.75" customHeight="1">
      <c r="A37" s="16"/>
      <c r="B37" s="658"/>
      <c r="C37" s="658"/>
      <c r="D37" s="658"/>
      <c r="E37" s="658"/>
      <c r="F37" s="16"/>
      <c r="G37" s="16"/>
      <c r="H37" s="16"/>
      <c r="I37" s="16"/>
      <c r="J37" s="16"/>
      <c r="K37" s="16"/>
      <c r="L37" s="16"/>
      <c r="M37" s="16"/>
      <c r="N37" s="16"/>
      <c r="O37" s="16"/>
      <c r="P37" s="16"/>
      <c r="Q37" s="16"/>
      <c r="R37" s="16"/>
      <c r="S37" s="16"/>
      <c r="T37" s="16"/>
      <c r="U37" s="16"/>
      <c r="V37" s="16"/>
      <c r="W37" s="16"/>
      <c r="X37" s="16"/>
      <c r="Y37" s="16"/>
    </row>
    <row r="38" spans="1:25" ht="15.75" customHeight="1">
      <c r="A38" s="16"/>
      <c r="B38" s="658"/>
      <c r="C38" s="658"/>
      <c r="D38" s="658"/>
      <c r="E38" s="658"/>
      <c r="F38" s="16"/>
      <c r="G38" s="16"/>
      <c r="H38" s="16"/>
      <c r="I38" s="16"/>
      <c r="J38" s="16"/>
      <c r="K38" s="16"/>
      <c r="L38" s="16"/>
      <c r="M38" s="16"/>
      <c r="N38" s="16"/>
      <c r="O38" s="16"/>
      <c r="P38" s="16"/>
      <c r="Q38" s="16"/>
      <c r="R38" s="16"/>
      <c r="S38" s="16"/>
      <c r="T38" s="16"/>
      <c r="U38" s="16"/>
      <c r="V38" s="16"/>
      <c r="W38" s="16"/>
      <c r="X38" s="16"/>
      <c r="Y38" s="16"/>
    </row>
    <row r="39" spans="1:25" ht="15.75" customHeight="1">
      <c r="A39" s="16"/>
      <c r="B39" s="658"/>
      <c r="C39" s="658"/>
      <c r="D39" s="658"/>
      <c r="E39" s="658"/>
      <c r="F39" s="16"/>
      <c r="G39" s="16"/>
      <c r="H39" s="16"/>
      <c r="I39" s="16"/>
      <c r="J39" s="16"/>
      <c r="K39" s="16"/>
      <c r="L39" s="16"/>
      <c r="M39" s="16"/>
      <c r="N39" s="16"/>
      <c r="O39" s="16"/>
      <c r="P39" s="16"/>
      <c r="Q39" s="16"/>
      <c r="R39" s="16"/>
      <c r="S39" s="16"/>
      <c r="T39" s="16"/>
      <c r="U39" s="16"/>
      <c r="V39" s="16"/>
      <c r="W39" s="16"/>
      <c r="X39" s="16"/>
      <c r="Y39" s="16"/>
    </row>
    <row r="40" spans="1:25" ht="15.75" customHeight="1">
      <c r="A40" s="16"/>
      <c r="B40" s="658"/>
      <c r="C40" s="658"/>
      <c r="D40" s="658"/>
      <c r="E40" s="658"/>
      <c r="F40" s="16"/>
      <c r="G40" s="16"/>
      <c r="H40" s="16"/>
      <c r="I40" s="16"/>
      <c r="J40" s="16"/>
      <c r="K40" s="16"/>
      <c r="L40" s="16"/>
      <c r="M40" s="16"/>
      <c r="N40" s="16"/>
      <c r="O40" s="16"/>
      <c r="P40" s="16"/>
      <c r="Q40" s="16"/>
      <c r="R40" s="16"/>
      <c r="S40" s="16"/>
      <c r="T40" s="16"/>
      <c r="U40" s="16"/>
      <c r="V40" s="16"/>
      <c r="W40" s="16"/>
      <c r="X40" s="16"/>
      <c r="Y40" s="16"/>
    </row>
    <row r="41" spans="1:25" ht="15.75" customHeight="1">
      <c r="A41" s="16"/>
      <c r="B41" s="658"/>
      <c r="C41" s="658"/>
      <c r="D41" s="658"/>
      <c r="E41" s="658"/>
      <c r="F41" s="16"/>
      <c r="G41" s="16"/>
      <c r="H41" s="16"/>
      <c r="I41" s="16"/>
      <c r="J41" s="16"/>
      <c r="K41" s="16"/>
      <c r="L41" s="16"/>
      <c r="M41" s="16"/>
      <c r="N41" s="16"/>
      <c r="O41" s="16"/>
      <c r="P41" s="16"/>
      <c r="Q41" s="16"/>
      <c r="R41" s="16"/>
      <c r="S41" s="16"/>
      <c r="T41" s="16"/>
      <c r="U41" s="16"/>
      <c r="V41" s="16"/>
      <c r="W41" s="16"/>
      <c r="X41" s="16"/>
      <c r="Y41" s="16"/>
    </row>
    <row r="42" spans="1:25" ht="15.75" customHeight="1">
      <c r="A42" s="16"/>
      <c r="B42" s="659" t="s">
        <v>353</v>
      </c>
      <c r="C42" s="659"/>
      <c r="D42" s="659"/>
      <c r="E42" s="659"/>
      <c r="F42" s="16"/>
      <c r="G42" s="16"/>
      <c r="H42" s="16"/>
      <c r="I42" s="16"/>
      <c r="J42" s="16"/>
      <c r="K42" s="16"/>
      <c r="L42" s="16"/>
      <c r="M42" s="16"/>
      <c r="N42" s="16"/>
      <c r="O42" s="16"/>
      <c r="P42" s="16"/>
      <c r="Q42" s="16"/>
      <c r="R42" s="16"/>
      <c r="S42" s="16"/>
      <c r="T42" s="16"/>
      <c r="U42" s="16"/>
      <c r="V42" s="16"/>
      <c r="W42" s="16"/>
      <c r="X42" s="16"/>
      <c r="Y42" s="16"/>
    </row>
    <row r="43" spans="1:25" ht="15.75" customHeight="1">
      <c r="A43" s="16"/>
      <c r="B43" s="659"/>
      <c r="C43" s="659"/>
      <c r="D43" s="659"/>
      <c r="E43" s="659"/>
      <c r="F43" s="16"/>
      <c r="G43" s="16"/>
      <c r="H43" s="16"/>
      <c r="I43" s="16"/>
      <c r="J43" s="16"/>
      <c r="K43" s="16"/>
      <c r="L43" s="16"/>
      <c r="M43" s="16"/>
      <c r="N43" s="16"/>
      <c r="O43" s="16"/>
      <c r="P43" s="16"/>
      <c r="Q43" s="16"/>
      <c r="R43" s="16"/>
      <c r="S43" s="16"/>
      <c r="T43" s="16"/>
      <c r="U43" s="16"/>
      <c r="V43" s="16"/>
      <c r="W43" s="16"/>
      <c r="X43" s="16"/>
      <c r="Y43" s="16"/>
    </row>
    <row r="44" spans="1:25" ht="15.75" customHeight="1">
      <c r="A44" s="16"/>
      <c r="B44" s="659"/>
      <c r="C44" s="659"/>
      <c r="D44" s="659"/>
      <c r="E44" s="659"/>
      <c r="F44" s="16"/>
      <c r="G44" s="16"/>
      <c r="H44" s="16"/>
      <c r="I44" s="16"/>
      <c r="J44" s="16"/>
      <c r="K44" s="16"/>
      <c r="L44" s="16"/>
      <c r="M44" s="16"/>
      <c r="N44" s="16"/>
      <c r="O44" s="16"/>
      <c r="P44" s="16"/>
      <c r="Q44" s="16"/>
      <c r="R44" s="16"/>
      <c r="S44" s="16"/>
      <c r="T44" s="16"/>
      <c r="U44" s="16"/>
      <c r="V44" s="16"/>
      <c r="W44" s="16"/>
      <c r="X44" s="16"/>
      <c r="Y44" s="16"/>
    </row>
    <row r="45" spans="1:25" ht="15.75" customHeight="1">
      <c r="A45" s="16"/>
      <c r="B45" s="659"/>
      <c r="C45" s="659"/>
      <c r="D45" s="659"/>
      <c r="E45" s="659"/>
      <c r="F45" s="16"/>
      <c r="G45" s="16"/>
      <c r="H45" s="16"/>
      <c r="I45" s="16"/>
      <c r="J45" s="16"/>
      <c r="K45" s="16"/>
      <c r="L45" s="16"/>
      <c r="M45" s="16"/>
      <c r="N45" s="16"/>
      <c r="O45" s="16"/>
      <c r="P45" s="16"/>
      <c r="Q45" s="16"/>
      <c r="R45" s="16"/>
      <c r="S45" s="16"/>
      <c r="T45" s="16"/>
      <c r="U45" s="16"/>
      <c r="V45" s="16"/>
      <c r="W45" s="16"/>
      <c r="X45" s="16"/>
      <c r="Y45" s="16"/>
    </row>
    <row r="46" spans="1:25" ht="15.75" customHeight="1">
      <c r="A46" s="16"/>
      <c r="B46" s="659"/>
      <c r="C46" s="659"/>
      <c r="D46" s="659"/>
      <c r="E46" s="659"/>
      <c r="F46" s="16"/>
      <c r="G46" s="16"/>
      <c r="H46" s="16"/>
      <c r="I46" s="16"/>
      <c r="J46" s="16"/>
      <c r="K46" s="16"/>
      <c r="L46" s="16"/>
      <c r="M46" s="16"/>
      <c r="N46" s="16"/>
      <c r="O46" s="16"/>
      <c r="P46" s="16"/>
      <c r="Q46" s="16"/>
      <c r="R46" s="16"/>
      <c r="S46" s="16"/>
      <c r="T46" s="16"/>
      <c r="U46" s="16"/>
      <c r="V46" s="16"/>
      <c r="W46" s="16"/>
      <c r="X46" s="16"/>
      <c r="Y46" s="16"/>
    </row>
    <row r="47" spans="1:25" ht="15.75" customHeight="1">
      <c r="A47" s="16"/>
      <c r="B47" s="659"/>
      <c r="C47" s="659"/>
      <c r="D47" s="659"/>
      <c r="E47" s="659"/>
      <c r="F47" s="16"/>
      <c r="G47" s="16"/>
      <c r="H47" s="16"/>
      <c r="I47" s="16"/>
      <c r="J47" s="16"/>
      <c r="K47" s="16"/>
      <c r="L47" s="16"/>
      <c r="M47" s="16"/>
      <c r="N47" s="16"/>
      <c r="O47" s="16"/>
      <c r="P47" s="16"/>
      <c r="Q47" s="16"/>
      <c r="R47" s="16"/>
      <c r="S47" s="16"/>
      <c r="T47" s="16"/>
      <c r="U47" s="16"/>
      <c r="V47" s="16"/>
      <c r="W47" s="16"/>
      <c r="X47" s="16"/>
      <c r="Y47" s="16"/>
    </row>
    <row r="48" spans="1:25" ht="15.75" customHeight="1">
      <c r="A48" s="16"/>
      <c r="B48" s="659"/>
      <c r="C48" s="659"/>
      <c r="D48" s="659"/>
      <c r="E48" s="659"/>
      <c r="F48" s="16"/>
      <c r="G48" s="16"/>
      <c r="H48" s="16"/>
      <c r="I48" s="16"/>
      <c r="J48" s="16"/>
      <c r="K48" s="16"/>
      <c r="L48" s="16"/>
      <c r="M48" s="16"/>
      <c r="N48" s="16"/>
      <c r="O48" s="16"/>
      <c r="P48" s="16"/>
      <c r="Q48" s="16"/>
      <c r="R48" s="16"/>
      <c r="S48" s="16"/>
      <c r="T48" s="16"/>
      <c r="U48" s="16"/>
      <c r="V48" s="16"/>
      <c r="W48" s="16"/>
      <c r="X48" s="16"/>
      <c r="Y48" s="16"/>
    </row>
    <row r="49" spans="1:25" ht="15.75" customHeight="1">
      <c r="A49" s="16"/>
      <c r="B49" s="659"/>
      <c r="C49" s="659"/>
      <c r="D49" s="659"/>
      <c r="E49" s="659"/>
      <c r="F49" s="16"/>
      <c r="G49" s="16"/>
      <c r="H49" s="16"/>
      <c r="I49" s="16"/>
      <c r="J49" s="16"/>
      <c r="K49" s="16"/>
      <c r="L49" s="16"/>
      <c r="M49" s="16"/>
      <c r="N49" s="16"/>
      <c r="O49" s="16"/>
      <c r="P49" s="16"/>
      <c r="Q49" s="16"/>
      <c r="R49" s="16"/>
      <c r="S49" s="16"/>
      <c r="T49" s="16"/>
      <c r="U49" s="16"/>
      <c r="V49" s="16"/>
      <c r="W49" s="16"/>
      <c r="X49" s="16"/>
      <c r="Y49" s="16"/>
    </row>
    <row r="50" spans="1:25" ht="15.75" customHeight="1">
      <c r="A50" s="16"/>
      <c r="B50" s="659"/>
      <c r="C50" s="659"/>
      <c r="D50" s="659"/>
      <c r="E50" s="659"/>
      <c r="F50" s="16"/>
      <c r="G50" s="16"/>
      <c r="H50" s="16"/>
      <c r="I50" s="16"/>
      <c r="J50" s="16"/>
      <c r="K50" s="16"/>
      <c r="L50" s="16"/>
      <c r="M50" s="16"/>
      <c r="N50" s="16"/>
      <c r="O50" s="16"/>
      <c r="P50" s="16"/>
      <c r="Q50" s="16"/>
      <c r="R50" s="16"/>
      <c r="S50" s="16"/>
      <c r="T50" s="16"/>
      <c r="U50" s="16"/>
      <c r="V50" s="16"/>
      <c r="W50" s="16"/>
      <c r="X50" s="16"/>
      <c r="Y50" s="16"/>
    </row>
    <row r="51" spans="1:25" ht="15.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row>
    <row r="52" spans="1:25" ht="15.75" customHeight="1">
      <c r="A52" s="16"/>
      <c r="B52" s="272" t="s">
        <v>354</v>
      </c>
      <c r="C52" s="16"/>
      <c r="D52" s="16"/>
      <c r="E52" s="16"/>
      <c r="F52" s="16"/>
      <c r="G52" s="16"/>
      <c r="H52" s="16"/>
      <c r="I52" s="16"/>
      <c r="J52" s="16"/>
      <c r="K52" s="16"/>
      <c r="L52" s="16"/>
      <c r="M52" s="16"/>
      <c r="N52" s="16"/>
      <c r="O52" s="16"/>
      <c r="P52" s="16"/>
      <c r="Q52" s="16"/>
      <c r="R52" s="16"/>
      <c r="S52" s="16"/>
      <c r="T52" s="16"/>
      <c r="U52" s="16"/>
      <c r="V52" s="16"/>
      <c r="W52" s="16"/>
      <c r="X52" s="16"/>
      <c r="Y52" s="16"/>
    </row>
  </sheetData>
  <mergeCells count="4">
    <mergeCell ref="P4:Y5"/>
    <mergeCell ref="P7:Y15"/>
    <mergeCell ref="B34:E41"/>
    <mergeCell ref="B42:E50"/>
  </mergeCells>
  <pageMargins left="0.75" right="0.75" top="1" bottom="1"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1485"/>
  <sheetViews>
    <sheetView showGridLines="0" topLeftCell="B1" zoomScaleNormal="100" workbookViewId="0">
      <selection activeCell="N29" sqref="N29"/>
    </sheetView>
  </sheetViews>
  <sheetFormatPr defaultColWidth="8.6640625" defaultRowHeight="14.4"/>
  <cols>
    <col min="1" max="1" width="1.44140625" customWidth="1"/>
    <col min="2" max="2" width="7.77734375" customWidth="1"/>
    <col min="3" max="3" width="7.109375" style="273" customWidth="1"/>
    <col min="4" max="4" width="5.33203125" customWidth="1"/>
    <col min="5" max="6" width="1.88671875" customWidth="1"/>
    <col min="7" max="7" width="7.88671875" style="274" customWidth="1"/>
    <col min="8" max="8" width="7.77734375" style="273" customWidth="1"/>
    <col min="9" max="9" width="4" customWidth="1"/>
    <col min="10" max="10" width="12" customWidth="1"/>
    <col min="11" max="11" width="1.88671875" customWidth="1"/>
    <col min="12" max="12" width="14.44140625" customWidth="1"/>
    <col min="13" max="13" width="10.5546875" customWidth="1"/>
    <col min="14" max="14" width="11.44140625" customWidth="1"/>
    <col min="15" max="15" width="10.5546875" customWidth="1"/>
    <col min="16" max="16" width="10.88671875" customWidth="1"/>
    <col min="17" max="17" width="11.109375" customWidth="1"/>
    <col min="18" max="18" width="10.5546875" customWidth="1"/>
    <col min="19" max="19" width="9.88671875" customWidth="1"/>
    <col min="20" max="20" width="10.5546875" customWidth="1"/>
  </cols>
  <sheetData>
    <row r="1" spans="1:20" ht="15" customHeight="1">
      <c r="A1" s="275"/>
      <c r="B1" s="275"/>
      <c r="C1" s="276"/>
      <c r="D1" s="275"/>
      <c r="E1" s="275"/>
      <c r="F1" s="275"/>
      <c r="G1" s="277"/>
      <c r="H1" s="276"/>
      <c r="I1" s="275"/>
      <c r="J1" s="275"/>
      <c r="K1" s="275"/>
      <c r="L1" s="275"/>
      <c r="M1" s="275"/>
      <c r="N1" s="275"/>
      <c r="O1" s="275"/>
      <c r="P1" s="275"/>
      <c r="Q1" s="275"/>
      <c r="R1" s="275"/>
      <c r="S1" s="275"/>
      <c r="T1" s="275"/>
    </row>
    <row r="2" spans="1:20" ht="15.75" customHeight="1">
      <c r="A2" s="244"/>
      <c r="B2" s="660" t="s">
        <v>355</v>
      </c>
      <c r="C2" s="660"/>
      <c r="D2" s="244"/>
      <c r="E2" s="244"/>
      <c r="F2" s="278"/>
      <c r="G2" s="661" t="s">
        <v>356</v>
      </c>
      <c r="H2" s="661"/>
      <c r="I2" s="244"/>
      <c r="J2" s="244"/>
      <c r="K2" s="244"/>
      <c r="L2" s="278"/>
      <c r="M2" s="279"/>
      <c r="N2" s="275"/>
      <c r="O2" s="275"/>
      <c r="P2" s="275"/>
      <c r="Q2" s="275"/>
      <c r="R2" s="275"/>
      <c r="S2" s="275"/>
      <c r="T2" s="275"/>
    </row>
    <row r="3" spans="1:20" ht="13.5" customHeight="1">
      <c r="A3" s="280"/>
      <c r="B3" s="281" t="s">
        <v>357</v>
      </c>
      <c r="C3" s="282" t="s">
        <v>358</v>
      </c>
      <c r="D3" s="283"/>
      <c r="E3" s="280"/>
      <c r="F3" s="284"/>
      <c r="G3" s="285" t="s">
        <v>357</v>
      </c>
      <c r="H3" s="286" t="s">
        <v>358</v>
      </c>
      <c r="I3" s="283"/>
      <c r="J3" s="283"/>
      <c r="K3" s="280"/>
      <c r="L3" s="284" t="s">
        <v>359</v>
      </c>
      <c r="M3" s="275"/>
      <c r="N3" s="275"/>
      <c r="O3" s="275"/>
      <c r="P3" s="275"/>
      <c r="Q3" s="275"/>
      <c r="R3" s="275"/>
      <c r="S3" s="275"/>
      <c r="T3" s="275"/>
    </row>
    <row r="4" spans="1:20" ht="15" customHeight="1">
      <c r="A4" s="275"/>
      <c r="B4" s="287">
        <v>43922</v>
      </c>
      <c r="C4" s="288">
        <v>8253.7998046875</v>
      </c>
      <c r="D4" s="289"/>
      <c r="E4" s="275"/>
      <c r="F4" s="290"/>
      <c r="G4" s="291">
        <v>43922</v>
      </c>
      <c r="H4" s="292">
        <v>1341.0676269560199</v>
      </c>
      <c r="I4" s="293"/>
      <c r="J4" s="289"/>
      <c r="K4" s="275"/>
      <c r="L4" s="290"/>
      <c r="M4" s="275"/>
      <c r="N4" s="275"/>
      <c r="O4" s="275"/>
      <c r="P4" s="275"/>
      <c r="Q4" s="275"/>
      <c r="R4" s="275"/>
      <c r="S4" s="275"/>
      <c r="T4" s="275"/>
    </row>
    <row r="5" spans="1:20" ht="15" customHeight="1">
      <c r="A5" s="20"/>
      <c r="B5" s="294">
        <v>43924</v>
      </c>
      <c r="C5" s="295">
        <v>8083.7998046875</v>
      </c>
      <c r="D5" s="296">
        <f t="shared" ref="D5:D68" si="0">(C5-C4)/C4</f>
        <v>-2.0596574186770748E-2</v>
      </c>
      <c r="E5" s="20"/>
      <c r="F5" s="297"/>
      <c r="G5" s="298">
        <v>43924</v>
      </c>
      <c r="H5" s="299">
        <v>1293.95690917824</v>
      </c>
      <c r="I5" s="300">
        <f t="shared" ref="I5:I68" si="1">(H5-H4)/H4</f>
        <v>-3.5129263305470032E-2</v>
      </c>
      <c r="J5" s="296"/>
      <c r="K5" s="20"/>
      <c r="L5" s="301">
        <f>SLOPE(I5:I1485,D5:D1485)</f>
        <v>0.9065983275736913</v>
      </c>
      <c r="M5" s="302"/>
      <c r="N5" s="275"/>
      <c r="O5" s="275"/>
      <c r="P5" s="275"/>
      <c r="Q5" s="275"/>
      <c r="R5" s="275"/>
      <c r="S5" s="275"/>
      <c r="T5" s="275"/>
    </row>
    <row r="6" spans="1:20" ht="15" customHeight="1">
      <c r="A6" s="275"/>
      <c r="B6" s="303">
        <v>43928</v>
      </c>
      <c r="C6" s="304">
        <v>8792.2001953125</v>
      </c>
      <c r="D6" s="289">
        <f t="shared" si="0"/>
        <v>8.7632104671150374E-2</v>
      </c>
      <c r="E6" s="275"/>
      <c r="F6" s="290"/>
      <c r="G6" s="305">
        <v>43928</v>
      </c>
      <c r="H6" s="306">
        <v>1447.0266113310199</v>
      </c>
      <c r="I6" s="293">
        <f t="shared" si="1"/>
        <v>0.11829582659749516</v>
      </c>
      <c r="J6" s="289"/>
      <c r="K6" s="275"/>
      <c r="L6" s="290"/>
      <c r="M6" s="275"/>
      <c r="N6" s="275"/>
      <c r="O6" s="275"/>
      <c r="P6" s="275"/>
      <c r="Q6" s="275"/>
      <c r="R6" s="275"/>
      <c r="S6" s="275"/>
      <c r="T6" s="275"/>
    </row>
    <row r="7" spans="1:20" ht="15" customHeight="1">
      <c r="A7" s="20"/>
      <c r="B7" s="294">
        <v>43929</v>
      </c>
      <c r="C7" s="295">
        <v>8748.75</v>
      </c>
      <c r="D7" s="296">
        <f t="shared" si="0"/>
        <v>-4.9419024075071866E-3</v>
      </c>
      <c r="E7" s="20"/>
      <c r="F7" s="297"/>
      <c r="G7" s="298">
        <v>43929</v>
      </c>
      <c r="H7" s="299">
        <v>1489.9254150347199</v>
      </c>
      <c r="I7" s="300">
        <f t="shared" si="1"/>
        <v>2.9646174692143579E-2</v>
      </c>
      <c r="J7" s="296"/>
      <c r="K7" s="20"/>
      <c r="L7" s="297"/>
      <c r="M7" s="275"/>
      <c r="N7" s="275"/>
      <c r="O7" s="275"/>
      <c r="P7" s="275"/>
      <c r="Q7" s="275"/>
      <c r="R7" s="275"/>
      <c r="S7" s="275"/>
      <c r="T7" s="275"/>
    </row>
    <row r="8" spans="1:20" ht="15" customHeight="1">
      <c r="A8" s="275"/>
      <c r="B8" s="303">
        <v>43930</v>
      </c>
      <c r="C8" s="304">
        <v>9111.900390625</v>
      </c>
      <c r="D8" s="289">
        <f t="shared" si="0"/>
        <v>4.1508831618802686E-2</v>
      </c>
      <c r="E8" s="275"/>
      <c r="F8" s="290"/>
      <c r="G8" s="305">
        <v>43930</v>
      </c>
      <c r="H8" s="306">
        <v>1628.3547363310199</v>
      </c>
      <c r="I8" s="293">
        <f t="shared" si="1"/>
        <v>9.2910235572479447E-2</v>
      </c>
      <c r="J8" s="289"/>
      <c r="K8" s="275"/>
      <c r="L8" s="307">
        <f>_xlfn.COVARIANCE.S(I5:I1485,D5:D1485)/_xlfn.VAR.S(D5:D1485)</f>
        <v>0.90659832757368997</v>
      </c>
      <c r="M8" s="275"/>
      <c r="N8" s="275"/>
      <c r="O8" s="275"/>
      <c r="P8" s="275"/>
      <c r="Q8" s="275"/>
      <c r="R8" s="275"/>
      <c r="S8" s="275"/>
      <c r="T8" s="275"/>
    </row>
    <row r="9" spans="1:20" ht="15" customHeight="1">
      <c r="A9" s="20"/>
      <c r="B9" s="294">
        <v>43934</v>
      </c>
      <c r="C9" s="295">
        <v>8993.849609375</v>
      </c>
      <c r="D9" s="296">
        <f t="shared" si="0"/>
        <v>-1.2955670737079107E-2</v>
      </c>
      <c r="E9" s="20"/>
      <c r="F9" s="297"/>
      <c r="G9" s="298">
        <v>43934</v>
      </c>
      <c r="H9" s="299">
        <v>1569.58874511574</v>
      </c>
      <c r="I9" s="300">
        <f t="shared" si="1"/>
        <v>-3.6089182476104917E-2</v>
      </c>
      <c r="J9" s="296"/>
      <c r="K9" s="20"/>
      <c r="L9" s="297"/>
      <c r="M9" s="275"/>
      <c r="N9" s="275"/>
      <c r="O9" s="275"/>
      <c r="P9" s="275"/>
      <c r="Q9" s="275"/>
      <c r="R9" s="275"/>
      <c r="S9" s="275"/>
      <c r="T9" s="275"/>
    </row>
    <row r="10" spans="1:20" ht="15.75" customHeight="1">
      <c r="A10" s="275"/>
      <c r="B10" s="303">
        <v>43936</v>
      </c>
      <c r="C10" s="304">
        <v>8925.2998046875</v>
      </c>
      <c r="D10" s="289">
        <f t="shared" si="0"/>
        <v>-7.6218535626885646E-3</v>
      </c>
      <c r="E10" s="275"/>
      <c r="F10" s="290"/>
      <c r="G10" s="305">
        <v>43936</v>
      </c>
      <c r="H10" s="306">
        <v>1491.9293212847199</v>
      </c>
      <c r="I10" s="293">
        <f t="shared" si="1"/>
        <v>-4.9477561605026428E-2</v>
      </c>
      <c r="J10" s="289"/>
      <c r="K10" s="275"/>
      <c r="L10" s="290" t="s">
        <v>360</v>
      </c>
      <c r="M10" s="308"/>
      <c r="N10" s="17"/>
      <c r="O10" s="17"/>
      <c r="P10" s="17"/>
      <c r="Q10" s="17"/>
      <c r="R10" s="17"/>
      <c r="S10" s="17"/>
      <c r="T10" s="17"/>
    </row>
    <row r="11" spans="1:20" ht="15" customHeight="1">
      <c r="A11" s="20"/>
      <c r="B11" s="294">
        <v>43937</v>
      </c>
      <c r="C11" s="295">
        <v>8992.7998046875</v>
      </c>
      <c r="D11" s="296">
        <f t="shared" si="0"/>
        <v>7.5627711647903986E-3</v>
      </c>
      <c r="E11" s="20"/>
      <c r="F11" s="297"/>
      <c r="G11" s="298">
        <v>43937</v>
      </c>
      <c r="H11" s="299">
        <v>1458.02722167824</v>
      </c>
      <c r="I11" s="300">
        <f t="shared" si="1"/>
        <v>-2.2723663328291122E-2</v>
      </c>
      <c r="J11" s="296"/>
      <c r="K11" s="20"/>
      <c r="L11" s="297"/>
      <c r="M11" s="275"/>
      <c r="N11" s="275"/>
      <c r="O11" s="275"/>
      <c r="P11" s="275"/>
      <c r="Q11" s="275"/>
      <c r="R11" s="275"/>
      <c r="S11" s="275"/>
      <c r="T11" s="275"/>
    </row>
    <row r="12" spans="1:20" ht="13.5" customHeight="1">
      <c r="A12" s="275"/>
      <c r="B12" s="303">
        <v>43938</v>
      </c>
      <c r="C12" s="304">
        <v>9266.75</v>
      </c>
      <c r="D12" s="289">
        <f t="shared" si="0"/>
        <v>3.0463281876874804E-2</v>
      </c>
      <c r="E12" s="275"/>
      <c r="F12" s="290"/>
      <c r="G12" s="305">
        <v>43938</v>
      </c>
      <c r="H12" s="306">
        <v>1501.5804443402801</v>
      </c>
      <c r="I12" s="293">
        <f t="shared" si="1"/>
        <v>2.9871337115303511E-2</v>
      </c>
      <c r="J12" s="289"/>
      <c r="K12" s="275"/>
      <c r="L12" s="662" t="s">
        <v>361</v>
      </c>
      <c r="M12" s="662"/>
      <c r="N12" s="82"/>
      <c r="O12" s="82"/>
      <c r="P12" s="82"/>
      <c r="Q12" s="82"/>
      <c r="R12" s="82"/>
      <c r="S12" s="82"/>
      <c r="T12" s="82"/>
    </row>
    <row r="13" spans="1:20" ht="15" customHeight="1">
      <c r="A13" s="20"/>
      <c r="B13" s="294">
        <v>43941</v>
      </c>
      <c r="C13" s="295">
        <v>9261.849609375</v>
      </c>
      <c r="D13" s="296">
        <f t="shared" si="0"/>
        <v>-5.2881437666927461E-4</v>
      </c>
      <c r="E13" s="20"/>
      <c r="F13" s="297"/>
      <c r="G13" s="298">
        <v>43941</v>
      </c>
      <c r="H13" s="299">
        <v>1477.0023193402801</v>
      </c>
      <c r="I13" s="300">
        <f t="shared" si="1"/>
        <v>-1.636817067819394E-2</v>
      </c>
      <c r="J13" s="296"/>
      <c r="K13" s="20"/>
      <c r="L13" s="297" t="s">
        <v>362</v>
      </c>
      <c r="M13" s="18">
        <v>0.50490537449147099</v>
      </c>
      <c r="N13" s="309"/>
      <c r="O13" s="18"/>
      <c r="P13" s="18"/>
      <c r="Q13" s="18"/>
      <c r="R13" s="18"/>
      <c r="S13" s="18"/>
      <c r="T13" s="18"/>
    </row>
    <row r="14" spans="1:20" ht="15" customHeight="1">
      <c r="A14" s="275"/>
      <c r="B14" s="303">
        <v>43942</v>
      </c>
      <c r="C14" s="304">
        <v>8981.4501953125</v>
      </c>
      <c r="D14" s="289">
        <f t="shared" si="0"/>
        <v>-3.0274667144095602E-2</v>
      </c>
      <c r="E14" s="275"/>
      <c r="F14" s="290"/>
      <c r="G14" s="305">
        <v>43942</v>
      </c>
      <c r="H14" s="306">
        <v>1494.75109863426</v>
      </c>
      <c r="I14" s="293">
        <f t="shared" si="1"/>
        <v>1.2016757903201902E-2</v>
      </c>
      <c r="J14" s="289"/>
      <c r="K14" s="275"/>
      <c r="L14" s="290" t="s">
        <v>363</v>
      </c>
      <c r="M14" s="20">
        <v>0.25492943719037298</v>
      </c>
      <c r="N14" s="310"/>
      <c r="O14" s="20"/>
      <c r="P14" s="20"/>
      <c r="Q14" s="20"/>
      <c r="R14" s="20"/>
      <c r="S14" s="20"/>
      <c r="T14" s="20"/>
    </row>
    <row r="15" spans="1:20" ht="15" customHeight="1">
      <c r="A15" s="20"/>
      <c r="B15" s="294">
        <v>43943</v>
      </c>
      <c r="C15" s="295">
        <v>9187.2998046875</v>
      </c>
      <c r="D15" s="296">
        <f t="shared" si="0"/>
        <v>2.2919417788725787E-2</v>
      </c>
      <c r="E15" s="20"/>
      <c r="F15" s="297"/>
      <c r="G15" s="298">
        <v>43943</v>
      </c>
      <c r="H15" s="299">
        <v>1543.9068603472199</v>
      </c>
      <c r="I15" s="300">
        <f t="shared" si="1"/>
        <v>3.2885583263911354E-2</v>
      </c>
      <c r="J15" s="296"/>
      <c r="K15" s="20"/>
      <c r="L15" s="297" t="s">
        <v>364</v>
      </c>
      <c r="M15" s="18">
        <v>0.25442567075169098</v>
      </c>
      <c r="N15" s="309"/>
      <c r="O15" s="18"/>
      <c r="P15" s="18"/>
      <c r="Q15" s="18"/>
      <c r="R15" s="18"/>
      <c r="S15" s="18"/>
      <c r="T15" s="18"/>
    </row>
    <row r="16" spans="1:20" ht="15" customHeight="1">
      <c r="A16" s="275"/>
      <c r="B16" s="303">
        <v>43944</v>
      </c>
      <c r="C16" s="304">
        <v>9313.900390625</v>
      </c>
      <c r="D16" s="289">
        <f t="shared" si="0"/>
        <v>1.3779955877014752E-2</v>
      </c>
      <c r="E16" s="275"/>
      <c r="F16" s="290"/>
      <c r="G16" s="305">
        <v>43944</v>
      </c>
      <c r="H16" s="306">
        <v>1525.3812255902801</v>
      </c>
      <c r="I16" s="293">
        <f t="shared" si="1"/>
        <v>-1.1999191941393034E-2</v>
      </c>
      <c r="J16" s="289"/>
      <c r="K16" s="275"/>
      <c r="L16" s="290" t="s">
        <v>365</v>
      </c>
      <c r="M16" s="20">
        <v>1.51904293780959E-2</v>
      </c>
      <c r="N16" s="310"/>
      <c r="O16" s="20"/>
      <c r="P16" s="20"/>
      <c r="Q16" s="20"/>
      <c r="R16" s="20"/>
      <c r="S16" s="20"/>
      <c r="T16" s="20"/>
    </row>
    <row r="17" spans="1:20" ht="15" customHeight="1">
      <c r="A17" s="20"/>
      <c r="B17" s="294">
        <v>43945</v>
      </c>
      <c r="C17" s="295">
        <v>9154.400390625</v>
      </c>
      <c r="D17" s="296">
        <f t="shared" si="0"/>
        <v>-1.7124941572334865E-2</v>
      </c>
      <c r="E17" s="20"/>
      <c r="F17" s="297"/>
      <c r="G17" s="298">
        <v>43945</v>
      </c>
      <c r="H17" s="299">
        <v>1549.7546386689801</v>
      </c>
      <c r="I17" s="300">
        <f t="shared" si="1"/>
        <v>1.5978571566113341E-2</v>
      </c>
      <c r="J17" s="296"/>
      <c r="K17" s="20"/>
      <c r="L17" s="311" t="s">
        <v>366</v>
      </c>
      <c r="M17" s="312">
        <v>1481</v>
      </c>
      <c r="N17" s="309"/>
      <c r="O17" s="18"/>
      <c r="P17" s="18"/>
      <c r="Q17" s="18"/>
      <c r="R17" s="18"/>
      <c r="S17" s="18"/>
      <c r="T17" s="18"/>
    </row>
    <row r="18" spans="1:20" ht="15" customHeight="1">
      <c r="A18" s="275"/>
      <c r="B18" s="303">
        <v>43948</v>
      </c>
      <c r="C18" s="304">
        <v>9282.2998046875</v>
      </c>
      <c r="D18" s="289">
        <f t="shared" si="0"/>
        <v>1.3971358975458566E-2</v>
      </c>
      <c r="E18" s="275"/>
      <c r="F18" s="290"/>
      <c r="G18" s="305">
        <v>43948</v>
      </c>
      <c r="H18" s="306">
        <v>1582.7978515625</v>
      </c>
      <c r="I18" s="293">
        <f t="shared" si="1"/>
        <v>2.1321577021959661E-2</v>
      </c>
      <c r="J18" s="289"/>
      <c r="K18" s="275"/>
      <c r="L18" s="290"/>
      <c r="M18" s="275"/>
      <c r="N18" s="275"/>
      <c r="O18" s="275"/>
      <c r="P18" s="275"/>
      <c r="Q18" s="275"/>
      <c r="R18" s="275"/>
      <c r="S18" s="275"/>
      <c r="T18" s="275"/>
    </row>
    <row r="19" spans="1:20" ht="13.5" customHeight="1">
      <c r="A19" s="20"/>
      <c r="B19" s="294">
        <v>43949</v>
      </c>
      <c r="C19" s="295">
        <v>9380.900390625</v>
      </c>
      <c r="D19" s="296">
        <f t="shared" si="0"/>
        <v>1.0622430648890199E-2</v>
      </c>
      <c r="E19" s="20"/>
      <c r="F19" s="297"/>
      <c r="G19" s="298">
        <v>43949</v>
      </c>
      <c r="H19" s="299">
        <v>1589.2593994097199</v>
      </c>
      <c r="I19" s="300">
        <f t="shared" si="1"/>
        <v>4.0823582372450182E-3</v>
      </c>
      <c r="J19" s="296"/>
      <c r="K19" s="20"/>
      <c r="L19" s="297" t="s">
        <v>367</v>
      </c>
      <c r="M19" s="313"/>
      <c r="N19" s="313"/>
      <c r="O19" s="313"/>
      <c r="P19" s="313"/>
      <c r="Q19" s="313"/>
      <c r="R19" s="313"/>
      <c r="S19" s="313"/>
      <c r="T19" s="313"/>
    </row>
    <row r="20" spans="1:20" ht="13.5" customHeight="1">
      <c r="A20" s="275"/>
      <c r="B20" s="303">
        <v>43950</v>
      </c>
      <c r="C20" s="304">
        <v>9553.349609375</v>
      </c>
      <c r="D20" s="289">
        <f t="shared" si="0"/>
        <v>1.838301352419654E-2</v>
      </c>
      <c r="E20" s="275"/>
      <c r="F20" s="290"/>
      <c r="G20" s="305">
        <v>43950</v>
      </c>
      <c r="H20" s="306">
        <v>1611.4652099652801</v>
      </c>
      <c r="I20" s="293">
        <f t="shared" si="1"/>
        <v>1.3972426756643922E-2</v>
      </c>
      <c r="J20" s="289"/>
      <c r="K20" s="275"/>
      <c r="L20" s="314"/>
      <c r="M20" s="315" t="s">
        <v>368</v>
      </c>
      <c r="N20" s="315" t="s">
        <v>369</v>
      </c>
      <c r="O20" s="315" t="s">
        <v>370</v>
      </c>
      <c r="P20" s="315" t="s">
        <v>371</v>
      </c>
      <c r="Q20" s="315" t="s">
        <v>372</v>
      </c>
      <c r="R20" s="316"/>
      <c r="S20" s="316"/>
      <c r="T20" s="316"/>
    </row>
    <row r="21" spans="1:20" ht="15" customHeight="1">
      <c r="A21" s="20"/>
      <c r="B21" s="294">
        <v>43951</v>
      </c>
      <c r="C21" s="295">
        <v>9859.900390625</v>
      </c>
      <c r="D21" s="296">
        <f t="shared" si="0"/>
        <v>3.2088303452139151E-2</v>
      </c>
      <c r="E21" s="20"/>
      <c r="F21" s="297"/>
      <c r="G21" s="298">
        <v>43951</v>
      </c>
      <c r="H21" s="299">
        <v>1772.1416015625</v>
      </c>
      <c r="I21" s="300">
        <f t="shared" si="1"/>
        <v>9.9708259665551052E-2</v>
      </c>
      <c r="J21" s="296"/>
      <c r="K21" s="20"/>
      <c r="L21" s="297" t="s">
        <v>373</v>
      </c>
      <c r="M21" s="20">
        <v>1</v>
      </c>
      <c r="N21" s="317">
        <v>0.116769885945958</v>
      </c>
      <c r="O21" s="317">
        <v>0.116769885945958</v>
      </c>
      <c r="P21" s="317">
        <v>506.04688525440798</v>
      </c>
      <c r="Q21" s="317">
        <v>1.26707043653117E-96</v>
      </c>
      <c r="R21" s="317"/>
      <c r="S21" s="317"/>
      <c r="T21" s="317"/>
    </row>
    <row r="22" spans="1:20" ht="15" customHeight="1">
      <c r="A22" s="275"/>
      <c r="B22" s="303">
        <v>43955</v>
      </c>
      <c r="C22" s="304">
        <v>9293.5</v>
      </c>
      <c r="D22" s="289">
        <f t="shared" si="0"/>
        <v>-5.7444839013134998E-2</v>
      </c>
      <c r="E22" s="275"/>
      <c r="F22" s="290"/>
      <c r="G22" s="305">
        <v>43955</v>
      </c>
      <c r="H22" s="306">
        <v>1636.3701171875</v>
      </c>
      <c r="I22" s="293">
        <f t="shared" si="1"/>
        <v>-7.6614354211475014E-2</v>
      </c>
      <c r="J22" s="289"/>
      <c r="K22" s="275"/>
      <c r="L22" s="290" t="s">
        <v>374</v>
      </c>
      <c r="M22" s="18">
        <v>1479</v>
      </c>
      <c r="N22" s="318">
        <v>0.34127798499786699</v>
      </c>
      <c r="O22" s="318">
        <v>2.30749144690918E-4</v>
      </c>
      <c r="P22" s="318"/>
      <c r="Q22" s="318"/>
      <c r="R22" s="318"/>
      <c r="S22" s="318"/>
      <c r="T22" s="318"/>
    </row>
    <row r="23" spans="1:20" ht="15" customHeight="1">
      <c r="A23" s="20"/>
      <c r="B23" s="294">
        <v>43956</v>
      </c>
      <c r="C23" s="295">
        <v>9205.599609375</v>
      </c>
      <c r="D23" s="296">
        <f t="shared" si="0"/>
        <v>-9.4582655216011186E-3</v>
      </c>
      <c r="E23" s="20"/>
      <c r="F23" s="297"/>
      <c r="G23" s="298">
        <v>43956</v>
      </c>
      <c r="H23" s="299">
        <v>1607.4575195370401</v>
      </c>
      <c r="I23" s="300">
        <f t="shared" si="1"/>
        <v>-1.7668739698176145E-2</v>
      </c>
      <c r="J23" s="296"/>
      <c r="K23" s="20"/>
      <c r="L23" s="311" t="s">
        <v>375</v>
      </c>
      <c r="M23" s="319">
        <v>1480</v>
      </c>
      <c r="N23" s="320">
        <v>0.45804787094382499</v>
      </c>
      <c r="O23" s="320"/>
      <c r="P23" s="320"/>
      <c r="Q23" s="320"/>
      <c r="R23" s="317"/>
      <c r="S23" s="317"/>
      <c r="T23" s="317"/>
    </row>
    <row r="24" spans="1:20" ht="15" customHeight="1">
      <c r="A24" s="275"/>
      <c r="B24" s="303">
        <v>43957</v>
      </c>
      <c r="C24" s="304">
        <v>9270.900390625</v>
      </c>
      <c r="D24" s="289">
        <f t="shared" si="0"/>
        <v>7.0935934671216378E-3</v>
      </c>
      <c r="E24" s="275"/>
      <c r="F24" s="290"/>
      <c r="G24" s="305">
        <v>43957</v>
      </c>
      <c r="H24" s="306">
        <v>1657.6763915972199</v>
      </c>
      <c r="I24" s="293">
        <f t="shared" si="1"/>
        <v>3.1241181461917098E-2</v>
      </c>
      <c r="J24" s="289"/>
      <c r="K24" s="275"/>
      <c r="L24" s="290"/>
      <c r="M24" s="275"/>
      <c r="N24" s="275"/>
      <c r="O24" s="275"/>
      <c r="P24" s="275"/>
      <c r="Q24" s="275"/>
      <c r="R24" s="275"/>
      <c r="S24" s="275"/>
      <c r="T24" s="275"/>
    </row>
    <row r="25" spans="1:20" ht="13.5" customHeight="1">
      <c r="A25" s="20"/>
      <c r="B25" s="294">
        <v>43958</v>
      </c>
      <c r="C25" s="295">
        <v>9199.0498046875</v>
      </c>
      <c r="D25" s="296">
        <f t="shared" si="0"/>
        <v>-7.7501195040513404E-3</v>
      </c>
      <c r="E25" s="20"/>
      <c r="F25" s="297"/>
      <c r="G25" s="298">
        <v>43958</v>
      </c>
      <c r="H25" s="299">
        <v>1636.04309082176</v>
      </c>
      <c r="I25" s="300">
        <f t="shared" si="1"/>
        <v>-1.3050376349159204E-2</v>
      </c>
      <c r="J25" s="296"/>
      <c r="K25" s="20"/>
      <c r="L25" s="321"/>
      <c r="M25" s="322" t="s">
        <v>376</v>
      </c>
      <c r="N25" s="322" t="s">
        <v>365</v>
      </c>
      <c r="O25" s="322" t="s">
        <v>377</v>
      </c>
      <c r="P25" s="322" t="s">
        <v>378</v>
      </c>
      <c r="Q25" s="322" t="s">
        <v>379</v>
      </c>
      <c r="R25" s="322" t="s">
        <v>380</v>
      </c>
      <c r="S25" s="322" t="s">
        <v>381</v>
      </c>
      <c r="T25" s="322" t="s">
        <v>382</v>
      </c>
    </row>
    <row r="26" spans="1:20" ht="15" customHeight="1">
      <c r="A26" s="275"/>
      <c r="B26" s="303">
        <v>43959</v>
      </c>
      <c r="C26" s="304">
        <v>9251.5</v>
      </c>
      <c r="D26" s="289">
        <f t="shared" si="0"/>
        <v>5.7016970693835461E-3</v>
      </c>
      <c r="E26" s="275"/>
      <c r="F26" s="290"/>
      <c r="G26" s="305">
        <v>43959</v>
      </c>
      <c r="H26" s="306">
        <v>1605.20812988426</v>
      </c>
      <c r="I26" s="293">
        <f t="shared" si="1"/>
        <v>-1.8847279213172839E-2</v>
      </c>
      <c r="J26" s="289"/>
      <c r="K26" s="275"/>
      <c r="L26" s="290" t="s">
        <v>383</v>
      </c>
      <c r="M26" s="18">
        <v>3.9828845346164601E-4</v>
      </c>
      <c r="N26" s="318">
        <v>3.9578885610100302E-4</v>
      </c>
      <c r="O26" s="318">
        <v>1.00631548190939</v>
      </c>
      <c r="P26" s="318">
        <v>0.31442844168818102</v>
      </c>
      <c r="Q26" s="318">
        <v>-3.7807879433021202E-4</v>
      </c>
      <c r="R26" s="318">
        <v>1.17465570125351E-3</v>
      </c>
      <c r="S26" s="318">
        <v>-3.7807879433021202E-4</v>
      </c>
      <c r="T26" s="318">
        <v>1.17465570125351E-3</v>
      </c>
    </row>
    <row r="27" spans="1:20" ht="16.5" customHeight="1">
      <c r="A27" s="20"/>
      <c r="B27" s="294">
        <v>43962</v>
      </c>
      <c r="C27" s="295">
        <v>9239.2001953125</v>
      </c>
      <c r="D27" s="296">
        <f t="shared" si="0"/>
        <v>-1.3294930214019349E-3</v>
      </c>
      <c r="E27" s="20"/>
      <c r="F27" s="297"/>
      <c r="G27" s="298">
        <v>43962</v>
      </c>
      <c r="H27" s="299">
        <v>1708.3043212847199</v>
      </c>
      <c r="I27" s="300">
        <f t="shared" si="1"/>
        <v>6.4226058590852925E-2</v>
      </c>
      <c r="J27" s="296"/>
      <c r="K27" s="20"/>
      <c r="L27" s="311" t="s">
        <v>384</v>
      </c>
      <c r="M27" s="323">
        <v>0.90659832756908298</v>
      </c>
      <c r="N27" s="324">
        <v>4.0301344552280301E-2</v>
      </c>
      <c r="O27" s="325">
        <v>22.495485886159699</v>
      </c>
      <c r="P27" s="325">
        <v>1.2670704365293599E-96</v>
      </c>
      <c r="Q27" s="325">
        <v>0.82754444954786699</v>
      </c>
      <c r="R27" s="325">
        <v>0.98565220559029898</v>
      </c>
      <c r="S27" s="325">
        <v>0.82754444954786699</v>
      </c>
      <c r="T27" s="325">
        <v>0.98565220559029898</v>
      </c>
    </row>
    <row r="28" spans="1:20" ht="15" customHeight="1">
      <c r="A28" s="275"/>
      <c r="B28" s="303">
        <v>43963</v>
      </c>
      <c r="C28" s="304">
        <v>9196.5498046875</v>
      </c>
      <c r="D28" s="289">
        <f t="shared" si="0"/>
        <v>-4.6162427183511663E-3</v>
      </c>
      <c r="E28" s="275"/>
      <c r="F28" s="290"/>
      <c r="G28" s="305">
        <v>43963</v>
      </c>
      <c r="H28" s="306">
        <v>1729.2836914120401</v>
      </c>
      <c r="I28" s="293">
        <f t="shared" si="1"/>
        <v>1.2280815464742707E-2</v>
      </c>
      <c r="J28" s="289"/>
      <c r="K28" s="275"/>
      <c r="L28" s="290"/>
      <c r="M28" s="275"/>
      <c r="N28" s="275"/>
      <c r="O28" s="275"/>
      <c r="P28" s="275"/>
      <c r="Q28" s="275"/>
      <c r="R28" s="275"/>
      <c r="S28" s="275"/>
      <c r="T28" s="275"/>
    </row>
    <row r="29" spans="1:20" ht="15" customHeight="1">
      <c r="A29" s="20"/>
      <c r="B29" s="294">
        <v>43964</v>
      </c>
      <c r="C29" s="295">
        <v>9383.5498046875</v>
      </c>
      <c r="D29" s="296">
        <f t="shared" si="0"/>
        <v>2.0333712530397619E-2</v>
      </c>
      <c r="E29" s="20"/>
      <c r="F29" s="297"/>
      <c r="G29" s="298">
        <v>43964</v>
      </c>
      <c r="H29" s="299">
        <v>1789.2357177777801</v>
      </c>
      <c r="I29" s="300">
        <f t="shared" si="1"/>
        <v>3.4668705119624665E-2</v>
      </c>
      <c r="J29" s="296"/>
      <c r="K29" s="20"/>
      <c r="L29" s="297"/>
      <c r="M29" s="275"/>
      <c r="N29" s="275"/>
      <c r="O29" s="275"/>
      <c r="P29" s="275"/>
      <c r="Q29" s="275"/>
      <c r="R29" s="275"/>
      <c r="S29" s="275"/>
      <c r="T29" s="275"/>
    </row>
    <row r="30" spans="1:20" ht="15" customHeight="1">
      <c r="A30" s="275"/>
      <c r="B30" s="303">
        <v>43965</v>
      </c>
      <c r="C30" s="304">
        <v>9142.75</v>
      </c>
      <c r="D30" s="289">
        <f t="shared" si="0"/>
        <v>-2.5661909373274686E-2</v>
      </c>
      <c r="E30" s="275"/>
      <c r="F30" s="290"/>
      <c r="G30" s="305">
        <v>43965</v>
      </c>
      <c r="H30" s="306">
        <v>1833.1975097685199</v>
      </c>
      <c r="I30" s="293">
        <f t="shared" si="1"/>
        <v>2.457015112874009E-2</v>
      </c>
      <c r="J30" s="289"/>
      <c r="K30" s="275"/>
      <c r="L30" s="290"/>
      <c r="M30" s="275"/>
      <c r="N30" s="275"/>
      <c r="O30" s="275"/>
      <c r="P30" s="275"/>
      <c r="Q30" s="275"/>
      <c r="R30" s="275"/>
      <c r="S30" s="275"/>
      <c r="T30" s="275"/>
    </row>
    <row r="31" spans="1:20" ht="15" customHeight="1">
      <c r="A31" s="20"/>
      <c r="B31" s="294">
        <v>43966</v>
      </c>
      <c r="C31" s="295">
        <v>9136.849609375</v>
      </c>
      <c r="D31" s="296">
        <f t="shared" si="0"/>
        <v>-6.453627874545405E-4</v>
      </c>
      <c r="E31" s="20"/>
      <c r="F31" s="297"/>
      <c r="G31" s="298">
        <v>43966</v>
      </c>
      <c r="H31" s="299">
        <v>1794.1020507870401</v>
      </c>
      <c r="I31" s="300">
        <f t="shared" si="1"/>
        <v>-2.1326375785016467E-2</v>
      </c>
      <c r="J31" s="296"/>
      <c r="K31" s="20"/>
      <c r="L31" s="297"/>
      <c r="M31" s="275"/>
      <c r="N31" s="275"/>
      <c r="O31" s="275"/>
      <c r="P31" s="275"/>
      <c r="Q31" s="275"/>
      <c r="R31" s="275"/>
      <c r="S31" s="275"/>
      <c r="T31" s="275"/>
    </row>
    <row r="32" spans="1:20" ht="15" customHeight="1">
      <c r="A32" s="275"/>
      <c r="B32" s="303">
        <v>43969</v>
      </c>
      <c r="C32" s="304">
        <v>8823.25</v>
      </c>
      <c r="D32" s="289">
        <f t="shared" si="0"/>
        <v>-3.4322509703259917E-2</v>
      </c>
      <c r="E32" s="275"/>
      <c r="F32" s="290"/>
      <c r="G32" s="305">
        <v>43969</v>
      </c>
      <c r="H32" s="306">
        <v>1693.5004882870401</v>
      </c>
      <c r="I32" s="293">
        <f t="shared" si="1"/>
        <v>-5.6073489496245722E-2</v>
      </c>
      <c r="J32" s="289"/>
      <c r="K32" s="275"/>
      <c r="L32" s="290"/>
      <c r="M32" s="275"/>
      <c r="N32" s="275"/>
      <c r="O32" s="275"/>
      <c r="P32" s="275"/>
      <c r="Q32" s="275"/>
      <c r="R32" s="275"/>
      <c r="S32" s="275"/>
      <c r="T32" s="275"/>
    </row>
    <row r="33" spans="1:20" ht="15" customHeight="1">
      <c r="A33" s="20"/>
      <c r="B33" s="294">
        <v>43970</v>
      </c>
      <c r="C33" s="295">
        <v>8879.099609375</v>
      </c>
      <c r="D33" s="296">
        <f t="shared" si="0"/>
        <v>6.3298228402232735E-3</v>
      </c>
      <c r="E33" s="20"/>
      <c r="F33" s="297"/>
      <c r="G33" s="298">
        <v>43970</v>
      </c>
      <c r="H33" s="299">
        <v>1695.9133300810199</v>
      </c>
      <c r="I33" s="300">
        <f t="shared" si="1"/>
        <v>1.4247659275377108E-3</v>
      </c>
      <c r="J33" s="296"/>
      <c r="K33" s="20"/>
      <c r="L33" s="297"/>
      <c r="M33" s="275"/>
      <c r="N33" s="275"/>
      <c r="O33" s="275"/>
      <c r="P33" s="275"/>
      <c r="Q33" s="275"/>
      <c r="R33" s="275"/>
      <c r="S33" s="275"/>
      <c r="T33" s="275"/>
    </row>
    <row r="34" spans="1:20" ht="15" customHeight="1">
      <c r="A34" s="275"/>
      <c r="B34" s="303">
        <v>43971</v>
      </c>
      <c r="C34" s="304">
        <v>9066.5498046875</v>
      </c>
      <c r="D34" s="289">
        <f t="shared" si="0"/>
        <v>2.1111396826157987E-2</v>
      </c>
      <c r="E34" s="275"/>
      <c r="F34" s="290"/>
      <c r="G34" s="305">
        <v>43971</v>
      </c>
      <c r="H34" s="306">
        <v>1655.1002197222199</v>
      </c>
      <c r="I34" s="293">
        <f t="shared" si="1"/>
        <v>-2.4065563749563923E-2</v>
      </c>
      <c r="J34" s="289"/>
      <c r="K34" s="275"/>
      <c r="L34" s="290"/>
      <c r="M34" s="275"/>
      <c r="N34" s="275"/>
      <c r="O34" s="275"/>
      <c r="P34" s="275"/>
      <c r="Q34" s="275"/>
      <c r="R34" s="275"/>
      <c r="S34" s="275"/>
      <c r="T34" s="275"/>
    </row>
    <row r="35" spans="1:20" ht="15" customHeight="1">
      <c r="A35" s="20"/>
      <c r="B35" s="294">
        <v>43972</v>
      </c>
      <c r="C35" s="295">
        <v>9106.25</v>
      </c>
      <c r="D35" s="296">
        <f t="shared" si="0"/>
        <v>4.378754451001261E-3</v>
      </c>
      <c r="E35" s="20"/>
      <c r="F35" s="297"/>
      <c r="G35" s="298">
        <v>43972</v>
      </c>
      <c r="H35" s="299">
        <v>1733.5364990277801</v>
      </c>
      <c r="I35" s="300">
        <f t="shared" si="1"/>
        <v>4.7390652463767058E-2</v>
      </c>
      <c r="J35" s="296"/>
      <c r="K35" s="20"/>
      <c r="L35" s="297"/>
      <c r="M35" s="275"/>
      <c r="N35" s="275"/>
      <c r="O35" s="275"/>
      <c r="P35" s="275"/>
      <c r="Q35" s="275"/>
      <c r="R35" s="275"/>
      <c r="S35" s="275"/>
      <c r="T35" s="275"/>
    </row>
    <row r="36" spans="1:20" ht="15" customHeight="1">
      <c r="A36" s="275"/>
      <c r="B36" s="303">
        <v>43973</v>
      </c>
      <c r="C36" s="304">
        <v>9039.25</v>
      </c>
      <c r="D36" s="289">
        <f t="shared" si="0"/>
        <v>-7.3575840768702813E-3</v>
      </c>
      <c r="E36" s="275"/>
      <c r="F36" s="290"/>
      <c r="G36" s="305">
        <v>43973</v>
      </c>
      <c r="H36" s="306">
        <v>1758.9731445370401</v>
      </c>
      <c r="I36" s="293">
        <f t="shared" si="1"/>
        <v>1.467326792572617E-2</v>
      </c>
      <c r="J36" s="289"/>
      <c r="K36" s="275"/>
      <c r="L36" s="290"/>
      <c r="M36" s="275"/>
      <c r="N36" s="275"/>
      <c r="O36" s="275"/>
      <c r="P36" s="275"/>
      <c r="Q36" s="275"/>
      <c r="R36" s="275"/>
      <c r="S36" s="275"/>
      <c r="T36" s="275"/>
    </row>
    <row r="37" spans="1:20" ht="15" customHeight="1">
      <c r="A37" s="20"/>
      <c r="B37" s="294">
        <v>43977</v>
      </c>
      <c r="C37" s="295">
        <v>9029.0498046875</v>
      </c>
      <c r="D37" s="296">
        <f t="shared" si="0"/>
        <v>-1.1284338094974694E-3</v>
      </c>
      <c r="E37" s="20"/>
      <c r="F37" s="297"/>
      <c r="G37" s="298">
        <v>43977</v>
      </c>
      <c r="H37" s="299">
        <v>1728.751953125</v>
      </c>
      <c r="I37" s="300">
        <f t="shared" si="1"/>
        <v>-1.7181155667953224E-2</v>
      </c>
      <c r="J37" s="296"/>
      <c r="K37" s="20"/>
      <c r="L37" s="297"/>
      <c r="M37" s="275"/>
      <c r="N37" s="275"/>
      <c r="O37" s="275"/>
      <c r="P37" s="275"/>
      <c r="Q37" s="275"/>
      <c r="R37" s="275"/>
      <c r="S37" s="275"/>
      <c r="T37" s="275"/>
    </row>
    <row r="38" spans="1:20" ht="15" customHeight="1">
      <c r="A38" s="275"/>
      <c r="B38" s="303">
        <v>43978</v>
      </c>
      <c r="C38" s="304">
        <v>9314.9501953125</v>
      </c>
      <c r="D38" s="289">
        <f t="shared" si="0"/>
        <v>3.1664504771761547E-2</v>
      </c>
      <c r="E38" s="275"/>
      <c r="F38" s="290"/>
      <c r="G38" s="305">
        <v>43978</v>
      </c>
      <c r="H38" s="306">
        <v>1779.4616699189801</v>
      </c>
      <c r="I38" s="293">
        <f t="shared" si="1"/>
        <v>2.9333136371770412E-2</v>
      </c>
      <c r="J38" s="289"/>
      <c r="K38" s="275"/>
      <c r="L38" s="290"/>
      <c r="M38" s="275"/>
      <c r="N38" s="275"/>
      <c r="O38" s="275"/>
      <c r="P38" s="275"/>
      <c r="Q38" s="275"/>
      <c r="R38" s="275"/>
      <c r="S38" s="275"/>
      <c r="T38" s="275"/>
    </row>
    <row r="39" spans="1:20" ht="15" customHeight="1">
      <c r="A39" s="20"/>
      <c r="B39" s="294">
        <v>43979</v>
      </c>
      <c r="C39" s="295">
        <v>9490.099609375</v>
      </c>
      <c r="D39" s="296">
        <f t="shared" si="0"/>
        <v>1.8803043536468854E-2</v>
      </c>
      <c r="E39" s="20"/>
      <c r="F39" s="297"/>
      <c r="G39" s="298">
        <v>43979</v>
      </c>
      <c r="H39" s="299">
        <v>1879.6137695370401</v>
      </c>
      <c r="I39" s="300">
        <f t="shared" si="1"/>
        <v>5.6282246092224049E-2</v>
      </c>
      <c r="J39" s="296"/>
      <c r="K39" s="20"/>
      <c r="L39" s="297"/>
      <c r="M39" s="275"/>
      <c r="N39" s="275"/>
      <c r="O39" s="275"/>
      <c r="P39" s="275"/>
      <c r="Q39" s="275"/>
      <c r="R39" s="275"/>
      <c r="S39" s="275"/>
      <c r="T39" s="275"/>
    </row>
    <row r="40" spans="1:20" ht="15" customHeight="1">
      <c r="A40" s="275"/>
      <c r="B40" s="303">
        <v>43980</v>
      </c>
      <c r="C40" s="304">
        <v>9580.2998046875</v>
      </c>
      <c r="D40" s="289">
        <f t="shared" si="0"/>
        <v>9.5046626511057671E-3</v>
      </c>
      <c r="E40" s="275"/>
      <c r="F40" s="290"/>
      <c r="G40" s="305">
        <v>43980</v>
      </c>
      <c r="H40" s="306">
        <v>1930.93664550926</v>
      </c>
      <c r="I40" s="293">
        <f t="shared" si="1"/>
        <v>2.7305011701877997E-2</v>
      </c>
      <c r="J40" s="289"/>
      <c r="K40" s="275"/>
      <c r="L40" s="290"/>
      <c r="M40" s="275"/>
      <c r="N40" s="275"/>
      <c r="O40" s="275"/>
      <c r="P40" s="275"/>
      <c r="Q40" s="275"/>
      <c r="R40" s="275"/>
      <c r="S40" s="275"/>
      <c r="T40" s="275"/>
    </row>
    <row r="41" spans="1:20" ht="15" customHeight="1">
      <c r="A41" s="20"/>
      <c r="B41" s="294">
        <v>43983</v>
      </c>
      <c r="C41" s="295">
        <v>9826.150390625</v>
      </c>
      <c r="D41" s="296">
        <f t="shared" si="0"/>
        <v>2.5662097319460599E-2</v>
      </c>
      <c r="E41" s="20"/>
      <c r="F41" s="297"/>
      <c r="G41" s="298">
        <v>43983</v>
      </c>
      <c r="H41" s="299">
        <v>1902.6781005902801</v>
      </c>
      <c r="I41" s="300">
        <f t="shared" si="1"/>
        <v>-1.4634630807126776E-2</v>
      </c>
      <c r="J41" s="296"/>
      <c r="K41" s="20"/>
      <c r="L41" s="297"/>
      <c r="M41" s="275"/>
      <c r="N41" s="275"/>
      <c r="O41" s="275"/>
      <c r="P41" s="275"/>
      <c r="Q41" s="275"/>
      <c r="R41" s="275"/>
      <c r="S41" s="275"/>
      <c r="T41" s="275"/>
    </row>
    <row r="42" spans="1:20" ht="15" customHeight="1">
      <c r="A42" s="275"/>
      <c r="B42" s="303">
        <v>43984</v>
      </c>
      <c r="C42" s="304">
        <v>9979.099609375</v>
      </c>
      <c r="D42" s="289">
        <f t="shared" si="0"/>
        <v>1.556552797074293E-2</v>
      </c>
      <c r="E42" s="275"/>
      <c r="F42" s="290"/>
      <c r="G42" s="305">
        <v>43984</v>
      </c>
      <c r="H42" s="306">
        <v>1896.09387207176</v>
      </c>
      <c r="I42" s="293">
        <f t="shared" si="1"/>
        <v>-3.4605057557962546E-3</v>
      </c>
      <c r="J42" s="289"/>
      <c r="K42" s="275"/>
      <c r="L42" s="290"/>
      <c r="M42" s="275"/>
      <c r="N42" s="275"/>
      <c r="O42" s="275"/>
      <c r="P42" s="275"/>
      <c r="Q42" s="275"/>
      <c r="R42" s="275"/>
      <c r="S42" s="275"/>
      <c r="T42" s="275"/>
    </row>
    <row r="43" spans="1:20" ht="15" customHeight="1">
      <c r="A43" s="20"/>
      <c r="B43" s="294">
        <v>43985</v>
      </c>
      <c r="C43" s="295">
        <v>10061.5498046875</v>
      </c>
      <c r="D43" s="296">
        <f t="shared" si="0"/>
        <v>8.262288035990847E-3</v>
      </c>
      <c r="E43" s="20"/>
      <c r="F43" s="297"/>
      <c r="G43" s="298">
        <v>43985</v>
      </c>
      <c r="H43" s="299">
        <v>1881.3308105439801</v>
      </c>
      <c r="I43" s="300">
        <f t="shared" si="1"/>
        <v>-7.7860393650495147E-3</v>
      </c>
      <c r="J43" s="296"/>
      <c r="K43" s="20"/>
      <c r="L43" s="297"/>
      <c r="M43" s="275"/>
      <c r="N43" s="275"/>
      <c r="O43" s="275"/>
      <c r="P43" s="275"/>
      <c r="Q43" s="275"/>
      <c r="R43" s="275"/>
      <c r="S43" s="275"/>
      <c r="T43" s="275"/>
    </row>
    <row r="44" spans="1:20" ht="15" customHeight="1">
      <c r="A44" s="275"/>
      <c r="B44" s="303">
        <v>43986</v>
      </c>
      <c r="C44" s="304">
        <v>10029.099609375</v>
      </c>
      <c r="D44" s="289">
        <f t="shared" si="0"/>
        <v>-3.2251686810099594E-3</v>
      </c>
      <c r="E44" s="275"/>
      <c r="F44" s="290"/>
      <c r="G44" s="305">
        <v>43986</v>
      </c>
      <c r="H44" s="306">
        <v>1905.0908203125</v>
      </c>
      <c r="I44" s="293">
        <f t="shared" si="1"/>
        <v>1.2629363020770281E-2</v>
      </c>
      <c r="J44" s="289"/>
      <c r="K44" s="275"/>
      <c r="L44" s="290"/>
      <c r="M44" s="275"/>
      <c r="N44" s="275"/>
      <c r="O44" s="275"/>
      <c r="P44" s="275"/>
      <c r="Q44" s="275"/>
      <c r="R44" s="275"/>
      <c r="S44" s="275"/>
      <c r="T44" s="275"/>
    </row>
    <row r="45" spans="1:20" ht="15" customHeight="1">
      <c r="A45" s="20"/>
      <c r="B45" s="294">
        <v>43987</v>
      </c>
      <c r="C45" s="295">
        <v>10142.150390625</v>
      </c>
      <c r="D45" s="296">
        <f t="shared" si="0"/>
        <v>1.1272276241460641E-2</v>
      </c>
      <c r="E45" s="20"/>
      <c r="F45" s="297"/>
      <c r="G45" s="298">
        <v>43987</v>
      </c>
      <c r="H45" s="299">
        <v>1914.4145507870401</v>
      </c>
      <c r="I45" s="300">
        <f t="shared" si="1"/>
        <v>4.8941133803850154E-3</v>
      </c>
      <c r="J45" s="296"/>
      <c r="K45" s="20"/>
      <c r="L45" s="297"/>
      <c r="M45" s="275"/>
      <c r="N45" s="275"/>
      <c r="O45" s="275"/>
      <c r="P45" s="275"/>
      <c r="Q45" s="275"/>
      <c r="R45" s="275"/>
      <c r="S45" s="275"/>
      <c r="T45" s="275"/>
    </row>
    <row r="46" spans="1:20" ht="15" customHeight="1">
      <c r="A46" s="275"/>
      <c r="B46" s="303">
        <v>43990</v>
      </c>
      <c r="C46" s="304">
        <v>10167.4501953125</v>
      </c>
      <c r="D46" s="289">
        <f t="shared" si="0"/>
        <v>2.4945207587225419E-3</v>
      </c>
      <c r="E46" s="275"/>
      <c r="F46" s="290"/>
      <c r="G46" s="305">
        <v>43990</v>
      </c>
      <c r="H46" s="306">
        <v>1950.1162109375</v>
      </c>
      <c r="I46" s="293">
        <f t="shared" si="1"/>
        <v>1.8648865856030254E-2</v>
      </c>
      <c r="J46" s="289"/>
      <c r="K46" s="275"/>
      <c r="L46" s="290"/>
      <c r="M46" s="275"/>
      <c r="N46" s="275"/>
      <c r="O46" s="275"/>
      <c r="P46" s="275"/>
      <c r="Q46" s="275"/>
      <c r="R46" s="275"/>
      <c r="S46" s="275"/>
      <c r="T46" s="275"/>
    </row>
    <row r="47" spans="1:20" ht="15" customHeight="1">
      <c r="A47" s="20"/>
      <c r="B47" s="294">
        <v>43991</v>
      </c>
      <c r="C47" s="295">
        <v>10046.650390625</v>
      </c>
      <c r="D47" s="296">
        <f t="shared" si="0"/>
        <v>-1.1881032349997872E-2</v>
      </c>
      <c r="E47" s="20"/>
      <c r="F47" s="297"/>
      <c r="G47" s="298">
        <v>43991</v>
      </c>
      <c r="H47" s="299">
        <v>1952.5698242129599</v>
      </c>
      <c r="I47" s="300">
        <f t="shared" si="1"/>
        <v>1.2581882360130619E-3</v>
      </c>
      <c r="J47" s="296"/>
      <c r="K47" s="20"/>
      <c r="L47" s="297"/>
      <c r="M47" s="275"/>
      <c r="N47" s="275"/>
      <c r="O47" s="275"/>
      <c r="P47" s="275"/>
      <c r="Q47" s="275"/>
      <c r="R47" s="275"/>
      <c r="S47" s="275"/>
      <c r="T47" s="275"/>
    </row>
    <row r="48" spans="1:20" ht="15" customHeight="1">
      <c r="A48" s="275"/>
      <c r="B48" s="303">
        <v>43992</v>
      </c>
      <c r="C48" s="304">
        <v>10116.150390625</v>
      </c>
      <c r="D48" s="289">
        <f t="shared" si="0"/>
        <v>6.9177285262014996E-3</v>
      </c>
      <c r="E48" s="275"/>
      <c r="F48" s="290"/>
      <c r="G48" s="305">
        <v>43992</v>
      </c>
      <c r="H48" s="306">
        <v>1874.8283691435199</v>
      </c>
      <c r="I48" s="293">
        <f t="shared" si="1"/>
        <v>-3.9814942393046539E-2</v>
      </c>
      <c r="J48" s="289"/>
      <c r="K48" s="275"/>
      <c r="L48" s="290"/>
      <c r="M48" s="275"/>
      <c r="N48" s="275"/>
      <c r="O48" s="275"/>
      <c r="P48" s="275"/>
      <c r="Q48" s="275"/>
      <c r="R48" s="275"/>
      <c r="S48" s="275"/>
      <c r="T48" s="275"/>
    </row>
    <row r="49" spans="1:20" ht="15" customHeight="1">
      <c r="A49" s="20"/>
      <c r="B49" s="294">
        <v>43993</v>
      </c>
      <c r="C49" s="295">
        <v>9902</v>
      </c>
      <c r="D49" s="296">
        <f t="shared" si="0"/>
        <v>-2.1169158460066079E-2</v>
      </c>
      <c r="E49" s="20"/>
      <c r="F49" s="297"/>
      <c r="G49" s="298">
        <v>43993</v>
      </c>
      <c r="H49" s="299">
        <v>1889.3054199189801</v>
      </c>
      <c r="I49" s="300">
        <f t="shared" si="1"/>
        <v>7.7218005731765861E-3</v>
      </c>
      <c r="J49" s="296"/>
      <c r="K49" s="20"/>
      <c r="L49" s="297"/>
      <c r="M49" s="275"/>
      <c r="N49" s="275"/>
      <c r="O49" s="275"/>
      <c r="P49" s="275"/>
      <c r="Q49" s="275"/>
      <c r="R49" s="275"/>
      <c r="S49" s="275"/>
      <c r="T49" s="275"/>
    </row>
    <row r="50" spans="1:20" ht="15" customHeight="1">
      <c r="A50" s="275"/>
      <c r="B50" s="303">
        <v>43994</v>
      </c>
      <c r="C50" s="304">
        <v>9972.900390625</v>
      </c>
      <c r="D50" s="289">
        <f t="shared" si="0"/>
        <v>7.1602091117955969E-3</v>
      </c>
      <c r="E50" s="275"/>
      <c r="F50" s="290"/>
      <c r="G50" s="305">
        <v>43994</v>
      </c>
      <c r="H50" s="306">
        <v>1964.47058105324</v>
      </c>
      <c r="I50" s="293">
        <f t="shared" si="1"/>
        <v>3.9784547454208487E-2</v>
      </c>
      <c r="J50" s="289"/>
      <c r="K50" s="275"/>
      <c r="L50" s="290"/>
      <c r="M50" s="275"/>
      <c r="N50" s="275"/>
      <c r="O50" s="275"/>
      <c r="P50" s="275"/>
      <c r="Q50" s="275"/>
      <c r="R50" s="275"/>
      <c r="S50" s="275"/>
      <c r="T50" s="275"/>
    </row>
    <row r="51" spans="1:20" ht="15" customHeight="1">
      <c r="A51" s="20"/>
      <c r="B51" s="294">
        <v>43997</v>
      </c>
      <c r="C51" s="295">
        <v>9813.7001953125</v>
      </c>
      <c r="D51" s="296">
        <f t="shared" si="0"/>
        <v>-1.5963279394844428E-2</v>
      </c>
      <c r="E51" s="20"/>
      <c r="F51" s="297"/>
      <c r="G51" s="298">
        <v>43997</v>
      </c>
      <c r="H51" s="299">
        <v>1920.5493164120401</v>
      </c>
      <c r="I51" s="300">
        <f t="shared" si="1"/>
        <v>-2.2357812361665313E-2</v>
      </c>
      <c r="J51" s="296"/>
      <c r="K51" s="20"/>
      <c r="L51" s="297"/>
      <c r="M51" s="275"/>
      <c r="N51" s="275"/>
      <c r="O51" s="275"/>
      <c r="P51" s="275"/>
      <c r="Q51" s="275"/>
      <c r="R51" s="275"/>
      <c r="S51" s="275"/>
      <c r="T51" s="275"/>
    </row>
    <row r="52" spans="1:20" ht="15" customHeight="1">
      <c r="A52" s="275"/>
      <c r="B52" s="303">
        <v>43998</v>
      </c>
      <c r="C52" s="304">
        <v>9914</v>
      </c>
      <c r="D52" s="289">
        <f t="shared" si="0"/>
        <v>1.0220386061458048E-2</v>
      </c>
      <c r="E52" s="275"/>
      <c r="F52" s="290"/>
      <c r="G52" s="305">
        <v>43998</v>
      </c>
      <c r="H52" s="306">
        <v>1959.64465332176</v>
      </c>
      <c r="I52" s="293">
        <f t="shared" si="1"/>
        <v>2.0356330647503282E-2</v>
      </c>
      <c r="J52" s="289"/>
      <c r="K52" s="275"/>
      <c r="L52" s="290"/>
      <c r="M52" s="275"/>
      <c r="N52" s="275"/>
      <c r="O52" s="275"/>
      <c r="P52" s="275"/>
      <c r="Q52" s="275"/>
      <c r="R52" s="275"/>
      <c r="S52" s="275"/>
      <c r="T52" s="275"/>
    </row>
    <row r="53" spans="1:20" ht="15" customHeight="1">
      <c r="A53" s="20"/>
      <c r="B53" s="294">
        <v>43999</v>
      </c>
      <c r="C53" s="295">
        <v>9881.150390625</v>
      </c>
      <c r="D53" s="296">
        <f t="shared" si="0"/>
        <v>-3.3134566648174301E-3</v>
      </c>
      <c r="E53" s="20"/>
      <c r="F53" s="297"/>
      <c r="G53" s="298">
        <v>43999</v>
      </c>
      <c r="H53" s="299">
        <v>1932.94055175926</v>
      </c>
      <c r="I53" s="300">
        <f t="shared" si="1"/>
        <v>-1.3627012181639328E-2</v>
      </c>
      <c r="J53" s="296"/>
      <c r="K53" s="20"/>
      <c r="L53" s="297"/>
      <c r="M53" s="275"/>
      <c r="N53" s="275"/>
      <c r="O53" s="275"/>
      <c r="P53" s="275"/>
      <c r="Q53" s="275"/>
      <c r="R53" s="275"/>
      <c r="S53" s="275"/>
      <c r="T53" s="275"/>
    </row>
    <row r="54" spans="1:20" ht="15" customHeight="1">
      <c r="A54" s="275"/>
      <c r="B54" s="303">
        <v>44000</v>
      </c>
      <c r="C54" s="304">
        <v>10091.650390625</v>
      </c>
      <c r="D54" s="289">
        <f t="shared" si="0"/>
        <v>2.1303187551898549E-2</v>
      </c>
      <c r="E54" s="275"/>
      <c r="F54" s="290"/>
      <c r="G54" s="305">
        <v>44000</v>
      </c>
      <c r="H54" s="306">
        <v>1934.2896728472199</v>
      </c>
      <c r="I54" s="293">
        <f t="shared" si="1"/>
        <v>6.9796305257915502E-4</v>
      </c>
      <c r="J54" s="289"/>
      <c r="K54" s="275"/>
      <c r="L54" s="290"/>
      <c r="M54" s="275"/>
      <c r="N54" s="275"/>
      <c r="O54" s="275"/>
      <c r="P54" s="275"/>
      <c r="Q54" s="275"/>
      <c r="R54" s="275"/>
      <c r="S54" s="275"/>
      <c r="T54" s="275"/>
    </row>
    <row r="55" spans="1:20" ht="15" customHeight="1">
      <c r="A55" s="20"/>
      <c r="B55" s="294">
        <v>44001</v>
      </c>
      <c r="C55" s="295">
        <v>10244.400390625</v>
      </c>
      <c r="D55" s="296">
        <f t="shared" si="0"/>
        <v>1.5136275444292302E-2</v>
      </c>
      <c r="E55" s="20"/>
      <c r="F55" s="297"/>
      <c r="G55" s="298">
        <v>44001</v>
      </c>
      <c r="H55" s="299">
        <v>1926.84680175926</v>
      </c>
      <c r="I55" s="300">
        <f t="shared" si="1"/>
        <v>-3.8478575326332757E-3</v>
      </c>
      <c r="J55" s="296"/>
      <c r="K55" s="20"/>
      <c r="L55" s="297"/>
      <c r="M55" s="275"/>
      <c r="N55" s="275"/>
      <c r="O55" s="275"/>
      <c r="P55" s="275"/>
      <c r="Q55" s="275"/>
      <c r="R55" s="275"/>
      <c r="S55" s="275"/>
      <c r="T55" s="275"/>
    </row>
    <row r="56" spans="1:20" ht="15" customHeight="1">
      <c r="A56" s="275"/>
      <c r="B56" s="303">
        <v>44004</v>
      </c>
      <c r="C56" s="304">
        <v>10311.2001953125</v>
      </c>
      <c r="D56" s="289">
        <f t="shared" si="0"/>
        <v>6.5206163504338216E-3</v>
      </c>
      <c r="E56" s="275"/>
      <c r="F56" s="290"/>
      <c r="G56" s="305">
        <v>44004</v>
      </c>
      <c r="H56" s="306">
        <v>1973.26281738426</v>
      </c>
      <c r="I56" s="293">
        <f t="shared" si="1"/>
        <v>2.4089105362512995E-2</v>
      </c>
      <c r="J56" s="289"/>
      <c r="K56" s="275"/>
      <c r="L56" s="290"/>
      <c r="M56" s="275"/>
      <c r="N56" s="275"/>
      <c r="O56" s="275"/>
      <c r="P56" s="275"/>
      <c r="Q56" s="275"/>
      <c r="R56" s="275"/>
      <c r="S56" s="275"/>
      <c r="T56" s="275"/>
    </row>
    <row r="57" spans="1:20" ht="15" customHeight="1">
      <c r="A57" s="20"/>
      <c r="B57" s="294">
        <v>44005</v>
      </c>
      <c r="C57" s="295">
        <v>10471</v>
      </c>
      <c r="D57" s="296">
        <f t="shared" si="0"/>
        <v>1.5497691991291706E-2</v>
      </c>
      <c r="E57" s="20"/>
      <c r="F57" s="297"/>
      <c r="G57" s="298">
        <v>44005</v>
      </c>
      <c r="H57" s="299">
        <v>1978.3746337847199</v>
      </c>
      <c r="I57" s="300">
        <f t="shared" si="1"/>
        <v>2.5905400717153881E-3</v>
      </c>
      <c r="J57" s="296"/>
      <c r="K57" s="20"/>
      <c r="L57" s="297"/>
      <c r="M57" s="275"/>
      <c r="N57" s="275"/>
      <c r="O57" s="275"/>
      <c r="P57" s="275"/>
      <c r="Q57" s="275"/>
      <c r="R57" s="275"/>
      <c r="S57" s="275"/>
      <c r="T57" s="275"/>
    </row>
    <row r="58" spans="1:20" ht="15" customHeight="1">
      <c r="A58" s="275"/>
      <c r="B58" s="303">
        <v>44006</v>
      </c>
      <c r="C58" s="304">
        <v>10305.2998046875</v>
      </c>
      <c r="D58" s="289">
        <f t="shared" si="0"/>
        <v>-1.5824677233549803E-2</v>
      </c>
      <c r="E58" s="275"/>
      <c r="F58" s="290"/>
      <c r="G58" s="305">
        <v>44006</v>
      </c>
      <c r="H58" s="306">
        <v>2039.6765136689801</v>
      </c>
      <c r="I58" s="293">
        <f t="shared" si="1"/>
        <v>3.0985981541315523E-2</v>
      </c>
      <c r="J58" s="289"/>
      <c r="K58" s="275"/>
      <c r="L58" s="290"/>
      <c r="M58" s="275"/>
      <c r="N58" s="275"/>
      <c r="O58" s="275"/>
      <c r="P58" s="275"/>
      <c r="Q58" s="275"/>
      <c r="R58" s="275"/>
      <c r="S58" s="275"/>
      <c r="T58" s="275"/>
    </row>
    <row r="59" spans="1:20" ht="15" customHeight="1">
      <c r="A59" s="20"/>
      <c r="B59" s="294">
        <v>44007</v>
      </c>
      <c r="C59" s="295">
        <v>10288.900390625</v>
      </c>
      <c r="D59" s="296">
        <f t="shared" si="0"/>
        <v>-1.5913572989929427E-3</v>
      </c>
      <c r="E59" s="20"/>
      <c r="F59" s="297"/>
      <c r="G59" s="298">
        <v>44007</v>
      </c>
      <c r="H59" s="299">
        <v>2093.5751953125</v>
      </c>
      <c r="I59" s="300">
        <f t="shared" si="1"/>
        <v>2.6425112650126422E-2</v>
      </c>
      <c r="J59" s="296"/>
      <c r="K59" s="20"/>
      <c r="L59" s="297"/>
      <c r="M59" s="275"/>
      <c r="N59" s="275"/>
      <c r="O59" s="275"/>
      <c r="P59" s="275"/>
      <c r="Q59" s="275"/>
      <c r="R59" s="275"/>
      <c r="S59" s="275"/>
      <c r="T59" s="275"/>
    </row>
    <row r="60" spans="1:20" ht="15" customHeight="1">
      <c r="A60" s="275"/>
      <c r="B60" s="303">
        <v>44008</v>
      </c>
      <c r="C60" s="304">
        <v>10383</v>
      </c>
      <c r="D60" s="289">
        <f t="shared" si="0"/>
        <v>9.1457401473865295E-3</v>
      </c>
      <c r="E60" s="275"/>
      <c r="F60" s="290"/>
      <c r="G60" s="305">
        <v>44008</v>
      </c>
      <c r="H60" s="306">
        <v>2077.8310546875</v>
      </c>
      <c r="I60" s="293">
        <f t="shared" si="1"/>
        <v>-7.5202174062106867E-3</v>
      </c>
      <c r="J60" s="289"/>
      <c r="K60" s="275"/>
      <c r="L60" s="290"/>
      <c r="M60" s="275"/>
      <c r="N60" s="275"/>
      <c r="O60" s="275"/>
      <c r="P60" s="275"/>
      <c r="Q60" s="275"/>
      <c r="R60" s="275"/>
      <c r="S60" s="275"/>
      <c r="T60" s="275"/>
    </row>
    <row r="61" spans="1:20" ht="15" customHeight="1">
      <c r="A61" s="20"/>
      <c r="B61" s="294">
        <v>44011</v>
      </c>
      <c r="C61" s="295">
        <v>10312.400390625</v>
      </c>
      <c r="D61" s="296">
        <f t="shared" si="0"/>
        <v>-6.7995386087835886E-3</v>
      </c>
      <c r="E61" s="20"/>
      <c r="F61" s="297"/>
      <c r="G61" s="298">
        <v>44011</v>
      </c>
      <c r="H61" s="299">
        <v>2048.0598144560199</v>
      </c>
      <c r="I61" s="300">
        <f t="shared" si="1"/>
        <v>-1.4328037000081121E-2</v>
      </c>
      <c r="J61" s="296"/>
      <c r="K61" s="20"/>
      <c r="L61" s="297"/>
      <c r="M61" s="275"/>
      <c r="N61" s="275"/>
      <c r="O61" s="275"/>
      <c r="P61" s="275"/>
      <c r="Q61" s="275"/>
      <c r="R61" s="275"/>
      <c r="S61" s="275"/>
      <c r="T61" s="275"/>
    </row>
    <row r="62" spans="1:20" ht="15" customHeight="1">
      <c r="A62" s="275"/>
      <c r="B62" s="303">
        <v>44012</v>
      </c>
      <c r="C62" s="304">
        <v>10302.099609375</v>
      </c>
      <c r="D62" s="289">
        <f t="shared" si="0"/>
        <v>-9.9887328457149869E-4</v>
      </c>
      <c r="E62" s="275"/>
      <c r="F62" s="290"/>
      <c r="G62" s="305">
        <v>44012</v>
      </c>
      <c r="H62" s="306">
        <v>2083.1479492129602</v>
      </c>
      <c r="I62" s="293">
        <f t="shared" si="1"/>
        <v>1.7132377926305783E-2</v>
      </c>
      <c r="J62" s="289"/>
      <c r="K62" s="275"/>
      <c r="L62" s="290"/>
      <c r="M62" s="275"/>
      <c r="N62" s="275"/>
      <c r="O62" s="275"/>
      <c r="P62" s="275"/>
      <c r="Q62" s="275"/>
      <c r="R62" s="275"/>
      <c r="S62" s="275"/>
      <c r="T62" s="275"/>
    </row>
    <row r="63" spans="1:20" ht="15" customHeight="1">
      <c r="A63" s="20"/>
      <c r="B63" s="294">
        <v>44013</v>
      </c>
      <c r="C63" s="295">
        <v>10430.0498046875</v>
      </c>
      <c r="D63" s="296">
        <f t="shared" si="0"/>
        <v>1.2419817334717306E-2</v>
      </c>
      <c r="E63" s="20"/>
      <c r="F63" s="297"/>
      <c r="G63" s="298">
        <v>44013</v>
      </c>
      <c r="H63" s="299">
        <v>2083.556640625</v>
      </c>
      <c r="I63" s="300">
        <f t="shared" si="1"/>
        <v>1.9618933556507693E-4</v>
      </c>
      <c r="J63" s="296"/>
      <c r="K63" s="20"/>
      <c r="L63" s="297"/>
      <c r="M63" s="275"/>
      <c r="N63" s="275"/>
      <c r="O63" s="275"/>
      <c r="P63" s="275"/>
      <c r="Q63" s="275"/>
      <c r="R63" s="275"/>
      <c r="S63" s="275"/>
      <c r="T63" s="275"/>
    </row>
    <row r="64" spans="1:20" ht="15" customHeight="1">
      <c r="A64" s="275"/>
      <c r="B64" s="303">
        <v>44014</v>
      </c>
      <c r="C64" s="304">
        <v>10551.7001953125</v>
      </c>
      <c r="D64" s="289">
        <f t="shared" si="0"/>
        <v>1.1663452514898594E-2</v>
      </c>
      <c r="E64" s="275"/>
      <c r="F64" s="290"/>
      <c r="G64" s="305">
        <v>44014</v>
      </c>
      <c r="H64" s="306">
        <v>2184.9348144560199</v>
      </c>
      <c r="I64" s="293">
        <f t="shared" si="1"/>
        <v>4.8656308090866074E-2</v>
      </c>
      <c r="J64" s="289"/>
      <c r="K64" s="275"/>
      <c r="L64" s="290"/>
      <c r="M64" s="275"/>
      <c r="N64" s="275"/>
      <c r="O64" s="275"/>
      <c r="P64" s="275"/>
      <c r="Q64" s="275"/>
      <c r="R64" s="275"/>
      <c r="S64" s="275"/>
      <c r="T64" s="275"/>
    </row>
    <row r="65" spans="1:20" ht="15" customHeight="1">
      <c r="A65" s="20"/>
      <c r="B65" s="294">
        <v>44015</v>
      </c>
      <c r="C65" s="295">
        <v>10607.349609375</v>
      </c>
      <c r="D65" s="296">
        <f t="shared" si="0"/>
        <v>5.2739760448483703E-3</v>
      </c>
      <c r="E65" s="20"/>
      <c r="F65" s="297"/>
      <c r="G65" s="298">
        <v>44015</v>
      </c>
      <c r="H65" s="299">
        <v>2239.6115722685199</v>
      </c>
      <c r="I65" s="300">
        <f t="shared" si="1"/>
        <v>2.5024434345018571E-2</v>
      </c>
      <c r="J65" s="296"/>
      <c r="K65" s="20"/>
      <c r="L65" s="297"/>
      <c r="M65" s="275"/>
      <c r="N65" s="275"/>
      <c r="O65" s="275"/>
      <c r="P65" s="275"/>
      <c r="Q65" s="275"/>
      <c r="R65" s="275"/>
      <c r="S65" s="275"/>
      <c r="T65" s="275"/>
    </row>
    <row r="66" spans="1:20" ht="15" customHeight="1">
      <c r="A66" s="275"/>
      <c r="B66" s="303">
        <v>44018</v>
      </c>
      <c r="C66" s="304">
        <v>10763.650390625</v>
      </c>
      <c r="D66" s="289">
        <f t="shared" si="0"/>
        <v>1.4735139974255027E-2</v>
      </c>
      <c r="E66" s="275"/>
      <c r="F66" s="290"/>
      <c r="G66" s="305">
        <v>44018</v>
      </c>
      <c r="H66" s="306">
        <v>2266.3566894560199</v>
      </c>
      <c r="I66" s="293">
        <f t="shared" si="1"/>
        <v>1.1941855238946485E-2</v>
      </c>
      <c r="J66" s="289"/>
      <c r="K66" s="275"/>
      <c r="L66" s="290"/>
      <c r="M66" s="275"/>
      <c r="N66" s="275"/>
      <c r="O66" s="275"/>
      <c r="P66" s="275"/>
      <c r="Q66" s="275"/>
      <c r="R66" s="275"/>
      <c r="S66" s="275"/>
      <c r="T66" s="275"/>
    </row>
    <row r="67" spans="1:20" ht="15" customHeight="1">
      <c r="A67" s="20"/>
      <c r="B67" s="294">
        <v>44019</v>
      </c>
      <c r="C67" s="295">
        <v>10799.650390625</v>
      </c>
      <c r="D67" s="296">
        <f t="shared" si="0"/>
        <v>3.3445902359812369E-3</v>
      </c>
      <c r="E67" s="20"/>
      <c r="F67" s="297"/>
      <c r="G67" s="298">
        <v>44019</v>
      </c>
      <c r="H67" s="299">
        <v>2248.6494140625</v>
      </c>
      <c r="I67" s="300">
        <f t="shared" si="1"/>
        <v>-7.8131017398545919E-3</v>
      </c>
      <c r="J67" s="296"/>
      <c r="K67" s="20"/>
      <c r="L67" s="297"/>
      <c r="M67" s="275"/>
      <c r="N67" s="275"/>
      <c r="O67" s="275"/>
      <c r="P67" s="275"/>
      <c r="Q67" s="275"/>
      <c r="R67" s="275"/>
      <c r="S67" s="275"/>
      <c r="T67" s="275"/>
    </row>
    <row r="68" spans="1:20" ht="15" customHeight="1">
      <c r="A68" s="275"/>
      <c r="B68" s="303">
        <v>44020</v>
      </c>
      <c r="C68" s="304">
        <v>10705.75</v>
      </c>
      <c r="D68" s="289">
        <f t="shared" si="0"/>
        <v>-8.6947620736420681E-3</v>
      </c>
      <c r="E68" s="275"/>
      <c r="F68" s="290"/>
      <c r="G68" s="305">
        <v>44020</v>
      </c>
      <c r="H68" s="306">
        <v>2224.0307617129602</v>
      </c>
      <c r="I68" s="293">
        <f t="shared" si="1"/>
        <v>-1.0948195034575354E-2</v>
      </c>
      <c r="J68" s="289"/>
      <c r="K68" s="275"/>
      <c r="L68" s="290"/>
      <c r="M68" s="275"/>
      <c r="N68" s="275"/>
      <c r="O68" s="275"/>
      <c r="P68" s="275"/>
      <c r="Q68" s="275"/>
      <c r="R68" s="275"/>
      <c r="S68" s="275"/>
      <c r="T68" s="275"/>
    </row>
    <row r="69" spans="1:20" ht="15" customHeight="1">
      <c r="A69" s="20"/>
      <c r="B69" s="294">
        <v>44021</v>
      </c>
      <c r="C69" s="295">
        <v>10813.4501953125</v>
      </c>
      <c r="D69" s="296">
        <f t="shared" ref="D69:D132" si="2">(C69-C68)/C68</f>
        <v>1.0060032721901781E-2</v>
      </c>
      <c r="E69" s="20"/>
      <c r="F69" s="297"/>
      <c r="G69" s="298">
        <v>44021</v>
      </c>
      <c r="H69" s="299">
        <v>2201.333984375</v>
      </c>
      <c r="I69" s="300">
        <f t="shared" ref="I69:I132" si="3">(H69-H68)/H68</f>
        <v>-1.0205244337753215E-2</v>
      </c>
      <c r="J69" s="296"/>
      <c r="K69" s="20"/>
      <c r="L69" s="297"/>
      <c r="M69" s="275"/>
      <c r="N69" s="275"/>
      <c r="O69" s="275"/>
      <c r="P69" s="275"/>
      <c r="Q69" s="275"/>
      <c r="R69" s="275"/>
      <c r="S69" s="275"/>
      <c r="T69" s="275"/>
    </row>
    <row r="70" spans="1:20" ht="15" customHeight="1">
      <c r="A70" s="275"/>
      <c r="B70" s="303">
        <v>44022</v>
      </c>
      <c r="C70" s="304">
        <v>10768.0498046875</v>
      </c>
      <c r="D70" s="289">
        <f t="shared" si="2"/>
        <v>-4.198511095439319E-3</v>
      </c>
      <c r="E70" s="275"/>
      <c r="F70" s="290"/>
      <c r="G70" s="305">
        <v>44022</v>
      </c>
      <c r="H70" s="306">
        <v>2192.9914550810199</v>
      </c>
      <c r="I70" s="293">
        <f t="shared" si="3"/>
        <v>-3.7897608237528204E-3</v>
      </c>
      <c r="J70" s="289"/>
      <c r="K70" s="275"/>
      <c r="L70" s="290"/>
      <c r="M70" s="275"/>
      <c r="N70" s="275"/>
      <c r="O70" s="275"/>
      <c r="P70" s="275"/>
      <c r="Q70" s="275"/>
      <c r="R70" s="275"/>
      <c r="S70" s="275"/>
      <c r="T70" s="275"/>
    </row>
    <row r="71" spans="1:20" ht="15" customHeight="1">
      <c r="A71" s="20"/>
      <c r="B71" s="294">
        <v>44025</v>
      </c>
      <c r="C71" s="295">
        <v>10802.7001953125</v>
      </c>
      <c r="D71" s="296">
        <f t="shared" si="2"/>
        <v>3.2178891492418752E-3</v>
      </c>
      <c r="E71" s="20"/>
      <c r="F71" s="297"/>
      <c r="G71" s="298">
        <v>44025</v>
      </c>
      <c r="H71" s="299">
        <v>2199.9020996064801</v>
      </c>
      <c r="I71" s="300">
        <f t="shared" si="3"/>
        <v>3.1512409724391032E-3</v>
      </c>
      <c r="J71" s="296"/>
      <c r="K71" s="20"/>
      <c r="L71" s="297"/>
      <c r="M71" s="275"/>
      <c r="N71" s="275"/>
      <c r="O71" s="275"/>
      <c r="P71" s="275"/>
      <c r="Q71" s="275"/>
      <c r="R71" s="275"/>
      <c r="S71" s="275"/>
      <c r="T71" s="275"/>
    </row>
    <row r="72" spans="1:20" ht="15" customHeight="1">
      <c r="A72" s="275"/>
      <c r="B72" s="303">
        <v>44026</v>
      </c>
      <c r="C72" s="304">
        <v>10607.349609375</v>
      </c>
      <c r="D72" s="289">
        <f t="shared" si="2"/>
        <v>-1.8083496015400519E-2</v>
      </c>
      <c r="E72" s="275"/>
      <c r="F72" s="290"/>
      <c r="G72" s="305">
        <v>44026</v>
      </c>
      <c r="H72" s="306">
        <v>2136.2292480439801</v>
      </c>
      <c r="I72" s="293">
        <f t="shared" si="3"/>
        <v>-2.8943493246308478E-2</v>
      </c>
      <c r="J72" s="289"/>
      <c r="K72" s="275"/>
      <c r="L72" s="290"/>
      <c r="M72" s="275"/>
      <c r="N72" s="275"/>
      <c r="O72" s="275"/>
      <c r="P72" s="275"/>
      <c r="Q72" s="275"/>
      <c r="R72" s="275"/>
      <c r="S72" s="275"/>
      <c r="T72" s="275"/>
    </row>
    <row r="73" spans="1:20" ht="15" customHeight="1">
      <c r="A73" s="20"/>
      <c r="B73" s="294">
        <v>44027</v>
      </c>
      <c r="C73" s="295">
        <v>10618.2001953125</v>
      </c>
      <c r="D73" s="296">
        <f t="shared" si="2"/>
        <v>1.0229309240368605E-3</v>
      </c>
      <c r="E73" s="20"/>
      <c r="F73" s="297"/>
      <c r="G73" s="298">
        <v>44027</v>
      </c>
      <c r="H73" s="299">
        <v>2165.8374023379602</v>
      </c>
      <c r="I73" s="300">
        <f t="shared" si="3"/>
        <v>1.3860007918668153E-2</v>
      </c>
      <c r="J73" s="296"/>
      <c r="K73" s="20"/>
      <c r="L73" s="297"/>
      <c r="M73" s="275"/>
      <c r="N73" s="275"/>
      <c r="O73" s="275"/>
      <c r="P73" s="275"/>
      <c r="Q73" s="275"/>
      <c r="R73" s="275"/>
      <c r="S73" s="275"/>
      <c r="T73" s="275"/>
    </row>
    <row r="74" spans="1:20" ht="15" customHeight="1">
      <c r="A74" s="275"/>
      <c r="B74" s="303">
        <v>44028</v>
      </c>
      <c r="C74" s="304">
        <v>10739.9501953125</v>
      </c>
      <c r="D74" s="289">
        <f t="shared" si="2"/>
        <v>1.1466161662100478E-2</v>
      </c>
      <c r="E74" s="275"/>
      <c r="F74" s="290"/>
      <c r="G74" s="305">
        <v>44028</v>
      </c>
      <c r="H74" s="306">
        <v>2220.4318847685199</v>
      </c>
      <c r="I74" s="293">
        <f t="shared" si="3"/>
        <v>2.5207101129395292E-2</v>
      </c>
      <c r="J74" s="289"/>
      <c r="K74" s="275"/>
      <c r="L74" s="290"/>
      <c r="M74" s="275"/>
      <c r="N74" s="275"/>
      <c r="O74" s="275"/>
      <c r="P74" s="275"/>
      <c r="Q74" s="275"/>
      <c r="R74" s="275"/>
      <c r="S74" s="275"/>
      <c r="T74" s="275"/>
    </row>
    <row r="75" spans="1:20" ht="15" customHeight="1">
      <c r="A75" s="20"/>
      <c r="B75" s="294">
        <v>44029</v>
      </c>
      <c r="C75" s="295">
        <v>10901.7001953125</v>
      </c>
      <c r="D75" s="296">
        <f t="shared" si="2"/>
        <v>1.5060591255869745E-2</v>
      </c>
      <c r="E75" s="20"/>
      <c r="F75" s="297"/>
      <c r="G75" s="298">
        <v>44029</v>
      </c>
      <c r="H75" s="299">
        <v>2260.7133789120398</v>
      </c>
      <c r="I75" s="300">
        <f t="shared" si="3"/>
        <v>1.8141287926839184E-2</v>
      </c>
      <c r="J75" s="296"/>
      <c r="K75" s="20"/>
      <c r="L75" s="297"/>
      <c r="M75" s="275"/>
      <c r="N75" s="275"/>
      <c r="O75" s="275"/>
      <c r="P75" s="275"/>
      <c r="Q75" s="275"/>
      <c r="R75" s="275"/>
      <c r="S75" s="275"/>
      <c r="T75" s="275"/>
    </row>
    <row r="76" spans="1:20" ht="15" customHeight="1">
      <c r="A76" s="275"/>
      <c r="B76" s="303">
        <v>44032</v>
      </c>
      <c r="C76" s="304">
        <v>11022.2001953125</v>
      </c>
      <c r="D76" s="289">
        <f t="shared" si="2"/>
        <v>1.1053321760931606E-2</v>
      </c>
      <c r="E76" s="275"/>
      <c r="F76" s="290"/>
      <c r="G76" s="305">
        <v>44032</v>
      </c>
      <c r="H76" s="306">
        <v>2339.3129882870398</v>
      </c>
      <c r="I76" s="293">
        <f t="shared" si="3"/>
        <v>3.4767613669286011E-2</v>
      </c>
      <c r="J76" s="289"/>
      <c r="K76" s="275"/>
      <c r="L76" s="290"/>
      <c r="M76" s="275"/>
      <c r="N76" s="275"/>
      <c r="O76" s="275"/>
      <c r="P76" s="275"/>
      <c r="Q76" s="275"/>
      <c r="R76" s="275"/>
      <c r="S76" s="275"/>
      <c r="T76" s="275"/>
    </row>
    <row r="77" spans="1:20" ht="15" customHeight="1">
      <c r="A77" s="20"/>
      <c r="B77" s="294">
        <v>44033</v>
      </c>
      <c r="C77" s="295">
        <v>11162.25</v>
      </c>
      <c r="D77" s="296">
        <f t="shared" si="2"/>
        <v>1.2706156865764434E-2</v>
      </c>
      <c r="E77" s="20"/>
      <c r="F77" s="297"/>
      <c r="G77" s="298">
        <v>44033</v>
      </c>
      <c r="H77" s="299">
        <v>2346.6745605439801</v>
      </c>
      <c r="I77" s="300">
        <f t="shared" si="3"/>
        <v>3.1468949618113054E-3</v>
      </c>
      <c r="J77" s="296"/>
      <c r="K77" s="20"/>
      <c r="L77" s="297"/>
      <c r="M77" s="275"/>
      <c r="N77" s="275"/>
      <c r="O77" s="275"/>
      <c r="P77" s="275"/>
      <c r="Q77" s="275"/>
      <c r="R77" s="275"/>
      <c r="S77" s="275"/>
      <c r="T77" s="275"/>
    </row>
    <row r="78" spans="1:20" ht="15" customHeight="1">
      <c r="A78" s="275"/>
      <c r="B78" s="303">
        <v>44034</v>
      </c>
      <c r="C78" s="304">
        <v>11132.599609375</v>
      </c>
      <c r="D78" s="289">
        <f t="shared" si="2"/>
        <v>-2.6563094918139263E-3</v>
      </c>
      <c r="E78" s="275"/>
      <c r="F78" s="290"/>
      <c r="G78" s="305">
        <v>44034</v>
      </c>
      <c r="H78" s="306">
        <v>2263.9438476620398</v>
      </c>
      <c r="I78" s="293">
        <f t="shared" si="3"/>
        <v>-3.5254446557243337E-2</v>
      </c>
      <c r="J78" s="289"/>
      <c r="K78" s="275"/>
      <c r="L78" s="290"/>
      <c r="M78" s="275"/>
      <c r="N78" s="275"/>
      <c r="O78" s="275"/>
      <c r="P78" s="275"/>
      <c r="Q78" s="275"/>
      <c r="R78" s="275"/>
      <c r="S78" s="275"/>
      <c r="T78" s="275"/>
    </row>
    <row r="79" spans="1:20" ht="15" customHeight="1">
      <c r="A79" s="20"/>
      <c r="B79" s="294">
        <v>44035</v>
      </c>
      <c r="C79" s="295">
        <v>11215.4501953125</v>
      </c>
      <c r="D79" s="296">
        <f t="shared" si="2"/>
        <v>7.4421598588464239E-3</v>
      </c>
      <c r="E79" s="20"/>
      <c r="F79" s="297"/>
      <c r="G79" s="298">
        <v>44035</v>
      </c>
      <c r="H79" s="299">
        <v>2266.5612792939801</v>
      </c>
      <c r="I79" s="300">
        <f t="shared" si="3"/>
        <v>1.1561380529129465E-3</v>
      </c>
      <c r="J79" s="296"/>
      <c r="K79" s="20"/>
      <c r="L79" s="297"/>
      <c r="M79" s="275"/>
      <c r="N79" s="275"/>
      <c r="O79" s="275"/>
      <c r="P79" s="275"/>
      <c r="Q79" s="275"/>
      <c r="R79" s="275"/>
      <c r="S79" s="275"/>
      <c r="T79" s="275"/>
    </row>
    <row r="80" spans="1:20" ht="15" customHeight="1">
      <c r="A80" s="275"/>
      <c r="B80" s="303">
        <v>44036</v>
      </c>
      <c r="C80" s="304">
        <v>11194.150390625</v>
      </c>
      <c r="D80" s="289">
        <f t="shared" si="2"/>
        <v>-1.8991484351116158E-3</v>
      </c>
      <c r="E80" s="275"/>
      <c r="F80" s="290"/>
      <c r="G80" s="305">
        <v>44036</v>
      </c>
      <c r="H80" s="306">
        <v>2241.6149902314801</v>
      </c>
      <c r="I80" s="293">
        <f t="shared" si="3"/>
        <v>-1.1006227491131683E-2</v>
      </c>
      <c r="J80" s="289"/>
      <c r="K80" s="275"/>
      <c r="L80" s="290"/>
      <c r="M80" s="275"/>
      <c r="N80" s="275"/>
      <c r="O80" s="275"/>
      <c r="P80" s="275"/>
      <c r="Q80" s="275"/>
      <c r="R80" s="275"/>
      <c r="S80" s="275"/>
      <c r="T80" s="275"/>
    </row>
    <row r="81" spans="1:20" ht="15" customHeight="1">
      <c r="A81" s="20"/>
      <c r="B81" s="294">
        <v>44039</v>
      </c>
      <c r="C81" s="295">
        <v>11131.7998046875</v>
      </c>
      <c r="D81" s="296">
        <f t="shared" si="2"/>
        <v>-5.5699256988469672E-3</v>
      </c>
      <c r="E81" s="20"/>
      <c r="F81" s="297"/>
      <c r="G81" s="298">
        <v>44039</v>
      </c>
      <c r="H81" s="299">
        <v>2243.9873046875</v>
      </c>
      <c r="I81" s="300">
        <f t="shared" si="3"/>
        <v>1.0583059385121908E-3</v>
      </c>
      <c r="J81" s="296"/>
      <c r="K81" s="20"/>
      <c r="L81" s="297"/>
      <c r="M81" s="275"/>
      <c r="N81" s="275"/>
      <c r="O81" s="275"/>
      <c r="P81" s="275"/>
      <c r="Q81" s="275"/>
      <c r="R81" s="275"/>
      <c r="S81" s="275"/>
      <c r="T81" s="275"/>
    </row>
    <row r="82" spans="1:20" ht="15" customHeight="1">
      <c r="A82" s="275"/>
      <c r="B82" s="303">
        <v>44040</v>
      </c>
      <c r="C82" s="304">
        <v>11300.5498046875</v>
      </c>
      <c r="D82" s="289">
        <f t="shared" si="2"/>
        <v>1.515927369884436E-2</v>
      </c>
      <c r="E82" s="275"/>
      <c r="F82" s="290"/>
      <c r="G82" s="305">
        <v>44040</v>
      </c>
      <c r="H82" s="306">
        <v>2323.8549804629602</v>
      </c>
      <c r="I82" s="293">
        <f t="shared" si="3"/>
        <v>3.5591857230485809E-2</v>
      </c>
      <c r="J82" s="289"/>
      <c r="K82" s="275"/>
      <c r="L82" s="290"/>
      <c r="M82" s="275"/>
      <c r="N82" s="275"/>
      <c r="O82" s="275"/>
      <c r="P82" s="275"/>
      <c r="Q82" s="275"/>
      <c r="R82" s="275"/>
      <c r="S82" s="275"/>
      <c r="T82" s="275"/>
    </row>
    <row r="83" spans="1:20" ht="15" customHeight="1">
      <c r="A83" s="20"/>
      <c r="B83" s="294">
        <v>44041</v>
      </c>
      <c r="C83" s="295">
        <v>11202.849609375</v>
      </c>
      <c r="D83" s="296">
        <f t="shared" si="2"/>
        <v>-8.6456143286031701E-3</v>
      </c>
      <c r="E83" s="20"/>
      <c r="F83" s="297"/>
      <c r="G83" s="298">
        <v>44041</v>
      </c>
      <c r="H83" s="299">
        <v>2273.7592773379602</v>
      </c>
      <c r="I83" s="300">
        <f t="shared" si="3"/>
        <v>-2.1557155479220092E-2</v>
      </c>
      <c r="J83" s="296"/>
      <c r="K83" s="20"/>
      <c r="L83" s="297"/>
      <c r="M83" s="275"/>
      <c r="N83" s="275"/>
      <c r="O83" s="275"/>
      <c r="P83" s="275"/>
      <c r="Q83" s="275"/>
      <c r="R83" s="275"/>
      <c r="S83" s="275"/>
      <c r="T83" s="275"/>
    </row>
    <row r="84" spans="1:20" ht="15" customHeight="1">
      <c r="A84" s="275"/>
      <c r="B84" s="303">
        <v>44042</v>
      </c>
      <c r="C84" s="304">
        <v>11102.150390625</v>
      </c>
      <c r="D84" s="289">
        <f t="shared" si="2"/>
        <v>-8.988714680747906E-3</v>
      </c>
      <c r="E84" s="275"/>
      <c r="F84" s="290"/>
      <c r="G84" s="305">
        <v>44042</v>
      </c>
      <c r="H84" s="306">
        <v>2231.6262207060199</v>
      </c>
      <c r="I84" s="293">
        <f t="shared" si="3"/>
        <v>-1.8530130718704831E-2</v>
      </c>
      <c r="J84" s="289"/>
      <c r="K84" s="275"/>
      <c r="L84" s="290"/>
      <c r="M84" s="275"/>
      <c r="N84" s="275"/>
      <c r="O84" s="275"/>
      <c r="P84" s="275"/>
      <c r="Q84" s="275"/>
      <c r="R84" s="275"/>
      <c r="S84" s="275"/>
      <c r="T84" s="275"/>
    </row>
    <row r="85" spans="1:20" ht="15" customHeight="1">
      <c r="A85" s="20"/>
      <c r="B85" s="294">
        <v>44043</v>
      </c>
      <c r="C85" s="295">
        <v>11073.4501953125</v>
      </c>
      <c r="D85" s="296">
        <f t="shared" si="2"/>
        <v>-2.5851023723057593E-3</v>
      </c>
      <c r="E85" s="20"/>
      <c r="F85" s="297"/>
      <c r="G85" s="298">
        <v>44043</v>
      </c>
      <c r="H85" s="299">
        <v>2208.970703125</v>
      </c>
      <c r="I85" s="300">
        <f t="shared" si="3"/>
        <v>-1.015202159340662E-2</v>
      </c>
      <c r="J85" s="296"/>
      <c r="K85" s="20"/>
      <c r="L85" s="297"/>
      <c r="M85" s="275"/>
      <c r="N85" s="275"/>
      <c r="O85" s="275"/>
      <c r="P85" s="275"/>
      <c r="Q85" s="275"/>
      <c r="R85" s="275"/>
      <c r="S85" s="275"/>
      <c r="T85" s="275"/>
    </row>
    <row r="86" spans="1:20" ht="15" customHeight="1">
      <c r="A86" s="275"/>
      <c r="B86" s="303">
        <v>44046</v>
      </c>
      <c r="C86" s="304">
        <v>10891.599609375</v>
      </c>
      <c r="D86" s="289">
        <f t="shared" si="2"/>
        <v>-1.6422215545294015E-2</v>
      </c>
      <c r="E86" s="275"/>
      <c r="F86" s="290"/>
      <c r="G86" s="305">
        <v>44046</v>
      </c>
      <c r="H86" s="306">
        <v>2171.6667480439801</v>
      </c>
      <c r="I86" s="293">
        <f t="shared" si="3"/>
        <v>-1.6887482947712498E-2</v>
      </c>
      <c r="J86" s="289"/>
      <c r="K86" s="275"/>
      <c r="L86" s="290"/>
      <c r="M86" s="275"/>
      <c r="N86" s="275"/>
      <c r="O86" s="275"/>
      <c r="P86" s="275"/>
      <c r="Q86" s="275"/>
      <c r="R86" s="275"/>
      <c r="S86" s="275"/>
      <c r="T86" s="275"/>
    </row>
    <row r="87" spans="1:20" ht="15" customHeight="1">
      <c r="A87" s="20"/>
      <c r="B87" s="294">
        <v>44047</v>
      </c>
      <c r="C87" s="295">
        <v>11095.25</v>
      </c>
      <c r="D87" s="296">
        <f t="shared" si="2"/>
        <v>1.8697932161379389E-2</v>
      </c>
      <c r="E87" s="20"/>
      <c r="F87" s="297"/>
      <c r="G87" s="298">
        <v>44047</v>
      </c>
      <c r="H87" s="299">
        <v>2233.4006347685199</v>
      </c>
      <c r="I87" s="300">
        <f t="shared" si="3"/>
        <v>2.8426961355900275E-2</v>
      </c>
      <c r="J87" s="296"/>
      <c r="K87" s="20"/>
      <c r="L87" s="297"/>
      <c r="M87" s="275"/>
      <c r="N87" s="275"/>
      <c r="O87" s="275"/>
      <c r="P87" s="275"/>
      <c r="Q87" s="275"/>
      <c r="R87" s="275"/>
      <c r="S87" s="275"/>
      <c r="T87" s="275"/>
    </row>
    <row r="88" spans="1:20" ht="15" customHeight="1">
      <c r="A88" s="275"/>
      <c r="B88" s="303">
        <v>44048</v>
      </c>
      <c r="C88" s="304">
        <v>11101.650390625</v>
      </c>
      <c r="D88" s="289">
        <f t="shared" si="2"/>
        <v>5.7685862193280904E-4</v>
      </c>
      <c r="E88" s="275"/>
      <c r="F88" s="290"/>
      <c r="G88" s="305">
        <v>44048</v>
      </c>
      <c r="H88" s="306">
        <v>2224.8583984375</v>
      </c>
      <c r="I88" s="293">
        <f t="shared" si="3"/>
        <v>-3.8247666800297472E-3</v>
      </c>
      <c r="J88" s="289"/>
      <c r="K88" s="275"/>
      <c r="L88" s="290"/>
      <c r="M88" s="275"/>
      <c r="N88" s="275"/>
      <c r="O88" s="275"/>
      <c r="P88" s="275"/>
      <c r="Q88" s="275"/>
      <c r="R88" s="275"/>
      <c r="S88" s="275"/>
      <c r="T88" s="275"/>
    </row>
    <row r="89" spans="1:20" ht="15" customHeight="1">
      <c r="A89" s="20"/>
      <c r="B89" s="294">
        <v>44049</v>
      </c>
      <c r="C89" s="295">
        <v>11200.150390625</v>
      </c>
      <c r="D89" s="296">
        <f t="shared" si="2"/>
        <v>8.872554668374371E-3</v>
      </c>
      <c r="E89" s="20"/>
      <c r="F89" s="297"/>
      <c r="G89" s="298">
        <v>44049</v>
      </c>
      <c r="H89" s="299">
        <v>2232.0385742129602</v>
      </c>
      <c r="I89" s="300">
        <f t="shared" si="3"/>
        <v>3.2272506782915875E-3</v>
      </c>
      <c r="J89" s="296"/>
      <c r="K89" s="20"/>
      <c r="L89" s="297"/>
      <c r="M89" s="275"/>
      <c r="N89" s="275"/>
      <c r="O89" s="275"/>
      <c r="P89" s="275"/>
      <c r="Q89" s="275"/>
      <c r="R89" s="275"/>
      <c r="S89" s="275"/>
      <c r="T89" s="275"/>
    </row>
    <row r="90" spans="1:20" ht="15" customHeight="1">
      <c r="A90" s="275"/>
      <c r="B90" s="303">
        <v>44050</v>
      </c>
      <c r="C90" s="304">
        <v>11214.0498046875</v>
      </c>
      <c r="D90" s="289">
        <f t="shared" si="2"/>
        <v>1.2410024488719721E-3</v>
      </c>
      <c r="E90" s="275"/>
      <c r="F90" s="290"/>
      <c r="G90" s="305">
        <v>44050</v>
      </c>
      <c r="H90" s="306">
        <v>2233.4829101620398</v>
      </c>
      <c r="I90" s="293">
        <f t="shared" si="3"/>
        <v>6.4709273655316388E-4</v>
      </c>
      <c r="J90" s="289"/>
      <c r="K90" s="275"/>
      <c r="L90" s="290"/>
      <c r="M90" s="275"/>
      <c r="N90" s="275"/>
      <c r="O90" s="275"/>
      <c r="P90" s="275"/>
      <c r="Q90" s="275"/>
      <c r="R90" s="275"/>
      <c r="S90" s="275"/>
      <c r="T90" s="275"/>
    </row>
    <row r="91" spans="1:20" ht="15" customHeight="1">
      <c r="A91" s="20"/>
      <c r="B91" s="294">
        <v>44053</v>
      </c>
      <c r="C91" s="295">
        <v>11270.150390625</v>
      </c>
      <c r="D91" s="296">
        <f t="shared" si="2"/>
        <v>5.0027052594371233E-3</v>
      </c>
      <c r="E91" s="20"/>
      <c r="F91" s="297"/>
      <c r="G91" s="298">
        <v>44053</v>
      </c>
      <c r="H91" s="299">
        <v>2230.1403808564801</v>
      </c>
      <c r="I91" s="300">
        <f t="shared" si="3"/>
        <v>-1.4965546816372386E-3</v>
      </c>
      <c r="J91" s="296"/>
      <c r="K91" s="20"/>
      <c r="L91" s="297"/>
      <c r="M91" s="275"/>
      <c r="N91" s="275"/>
      <c r="O91" s="275"/>
      <c r="P91" s="275"/>
      <c r="Q91" s="275"/>
      <c r="R91" s="275"/>
      <c r="S91" s="275"/>
      <c r="T91" s="275"/>
    </row>
    <row r="92" spans="1:20" ht="15" customHeight="1">
      <c r="A92" s="275"/>
      <c r="B92" s="303">
        <v>44054</v>
      </c>
      <c r="C92" s="304">
        <v>11322.5</v>
      </c>
      <c r="D92" s="289">
        <f t="shared" si="2"/>
        <v>4.6449787767292505E-3</v>
      </c>
      <c r="E92" s="275"/>
      <c r="F92" s="290"/>
      <c r="G92" s="305">
        <v>44054</v>
      </c>
      <c r="H92" s="306">
        <v>2238.9719238310199</v>
      </c>
      <c r="I92" s="293">
        <f t="shared" si="3"/>
        <v>3.9600838809743947E-3</v>
      </c>
      <c r="J92" s="289"/>
      <c r="K92" s="275"/>
      <c r="L92" s="290"/>
      <c r="M92" s="275"/>
      <c r="N92" s="275"/>
      <c r="O92" s="275"/>
      <c r="P92" s="275"/>
      <c r="Q92" s="275"/>
      <c r="R92" s="275"/>
      <c r="S92" s="275"/>
      <c r="T92" s="275"/>
    </row>
    <row r="93" spans="1:20" ht="15" customHeight="1">
      <c r="A93" s="20"/>
      <c r="B93" s="294">
        <v>44055</v>
      </c>
      <c r="C93" s="295">
        <v>11308.400390625</v>
      </c>
      <c r="D93" s="296">
        <f t="shared" si="2"/>
        <v>-1.2452735151247515E-3</v>
      </c>
      <c r="E93" s="20"/>
      <c r="F93" s="297"/>
      <c r="G93" s="298">
        <v>44055</v>
      </c>
      <c r="H93" s="299">
        <v>2289.4396972685199</v>
      </c>
      <c r="I93" s="300">
        <f t="shared" si="3"/>
        <v>2.2540601291304495E-2</v>
      </c>
      <c r="J93" s="296"/>
      <c r="K93" s="20"/>
      <c r="L93" s="297"/>
      <c r="M93" s="275"/>
      <c r="N93" s="275"/>
      <c r="O93" s="275"/>
      <c r="P93" s="275"/>
      <c r="Q93" s="275"/>
      <c r="R93" s="275"/>
      <c r="S93" s="275"/>
      <c r="T93" s="275"/>
    </row>
    <row r="94" spans="1:20" ht="15" customHeight="1">
      <c r="A94" s="275"/>
      <c r="B94" s="303">
        <v>44056</v>
      </c>
      <c r="C94" s="304">
        <v>11300.4501953125</v>
      </c>
      <c r="D94" s="289">
        <f t="shared" si="2"/>
        <v>-7.0303447330101151E-4</v>
      </c>
      <c r="E94" s="275"/>
      <c r="F94" s="290"/>
      <c r="G94" s="305">
        <v>44056</v>
      </c>
      <c r="H94" s="306">
        <v>2318.8623046875</v>
      </c>
      <c r="I94" s="293">
        <f t="shared" si="3"/>
        <v>1.2851444593226694E-2</v>
      </c>
      <c r="J94" s="289"/>
      <c r="K94" s="275"/>
      <c r="L94" s="290"/>
      <c r="M94" s="275"/>
      <c r="N94" s="275"/>
      <c r="O94" s="275"/>
      <c r="P94" s="275"/>
      <c r="Q94" s="275"/>
      <c r="R94" s="275"/>
      <c r="S94" s="275"/>
      <c r="T94" s="275"/>
    </row>
    <row r="95" spans="1:20" ht="15" customHeight="1">
      <c r="A95" s="20"/>
      <c r="B95" s="294">
        <v>44057</v>
      </c>
      <c r="C95" s="295">
        <v>11178.400390625</v>
      </c>
      <c r="D95" s="296">
        <f t="shared" si="2"/>
        <v>-1.0800437378868946E-2</v>
      </c>
      <c r="E95" s="20"/>
      <c r="F95" s="297"/>
      <c r="G95" s="298">
        <v>44057</v>
      </c>
      <c r="H95" s="299">
        <v>2314.0341796875</v>
      </c>
      <c r="I95" s="300">
        <f t="shared" si="3"/>
        <v>-2.0821093991825698E-3</v>
      </c>
      <c r="J95" s="296"/>
      <c r="K95" s="20"/>
      <c r="L95" s="297"/>
      <c r="M95" s="275"/>
      <c r="N95" s="275"/>
      <c r="O95" s="275"/>
      <c r="P95" s="275"/>
      <c r="Q95" s="275"/>
      <c r="R95" s="275"/>
      <c r="S95" s="275"/>
      <c r="T95" s="275"/>
    </row>
    <row r="96" spans="1:20" ht="15" customHeight="1">
      <c r="A96" s="275"/>
      <c r="B96" s="303">
        <v>44060</v>
      </c>
      <c r="C96" s="304">
        <v>11247.099609375</v>
      </c>
      <c r="D96" s="289">
        <f t="shared" si="2"/>
        <v>6.1457110453492112E-3</v>
      </c>
      <c r="E96" s="275"/>
      <c r="F96" s="290"/>
      <c r="G96" s="305">
        <v>44060</v>
      </c>
      <c r="H96" s="306">
        <v>2415.87890625</v>
      </c>
      <c r="I96" s="293">
        <f t="shared" si="3"/>
        <v>4.4011764154777387E-2</v>
      </c>
      <c r="J96" s="289"/>
      <c r="K96" s="275"/>
      <c r="L96" s="290"/>
      <c r="M96" s="275"/>
      <c r="N96" s="275"/>
      <c r="O96" s="275"/>
      <c r="P96" s="275"/>
      <c r="Q96" s="275"/>
      <c r="R96" s="275"/>
      <c r="S96" s="275"/>
      <c r="T96" s="275"/>
    </row>
    <row r="97" spans="1:20" ht="15" customHeight="1">
      <c r="A97" s="20"/>
      <c r="B97" s="294">
        <v>44061</v>
      </c>
      <c r="C97" s="295">
        <v>11385.349609375</v>
      </c>
      <c r="D97" s="296">
        <f t="shared" si="2"/>
        <v>1.2292057935075276E-2</v>
      </c>
      <c r="E97" s="20"/>
      <c r="F97" s="297"/>
      <c r="G97" s="298">
        <v>44061</v>
      </c>
      <c r="H97" s="299">
        <v>2413.3618164120398</v>
      </c>
      <c r="I97" s="300">
        <f t="shared" si="3"/>
        <v>-1.0418940417287964E-3</v>
      </c>
      <c r="J97" s="296"/>
      <c r="K97" s="20"/>
      <c r="L97" s="297"/>
      <c r="M97" s="275"/>
      <c r="N97" s="275"/>
      <c r="O97" s="275"/>
      <c r="P97" s="275"/>
      <c r="Q97" s="275"/>
      <c r="R97" s="275"/>
      <c r="S97" s="275"/>
      <c r="T97" s="275"/>
    </row>
    <row r="98" spans="1:20" ht="15" customHeight="1">
      <c r="A98" s="275"/>
      <c r="B98" s="303">
        <v>44062</v>
      </c>
      <c r="C98" s="304">
        <v>11408.400390625</v>
      </c>
      <c r="D98" s="289">
        <f t="shared" si="2"/>
        <v>2.0246002135076617E-3</v>
      </c>
      <c r="E98" s="275"/>
      <c r="F98" s="290"/>
      <c r="G98" s="305">
        <v>44062</v>
      </c>
      <c r="H98" s="306">
        <v>2420.7067871064801</v>
      </c>
      <c r="I98" s="293">
        <f t="shared" si="3"/>
        <v>3.043460224028923E-3</v>
      </c>
      <c r="J98" s="289"/>
      <c r="K98" s="275"/>
      <c r="L98" s="290"/>
      <c r="M98" s="275"/>
      <c r="N98" s="275"/>
      <c r="O98" s="275"/>
      <c r="P98" s="275"/>
      <c r="Q98" s="275"/>
      <c r="R98" s="275"/>
      <c r="S98" s="275"/>
      <c r="T98" s="275"/>
    </row>
    <row r="99" spans="1:20" ht="15" customHeight="1">
      <c r="A99" s="20"/>
      <c r="B99" s="294">
        <v>44063</v>
      </c>
      <c r="C99" s="295">
        <v>11312.2001953125</v>
      </c>
      <c r="D99" s="296">
        <f t="shared" si="2"/>
        <v>-8.432399987605076E-3</v>
      </c>
      <c r="E99" s="20"/>
      <c r="F99" s="297"/>
      <c r="G99" s="298">
        <v>44063</v>
      </c>
      <c r="H99" s="299">
        <v>2439.6896972685199</v>
      </c>
      <c r="I99" s="300">
        <f t="shared" si="3"/>
        <v>7.8418874450839633E-3</v>
      </c>
      <c r="J99" s="296"/>
      <c r="K99" s="20"/>
      <c r="L99" s="297"/>
      <c r="M99" s="275"/>
      <c r="N99" s="275"/>
      <c r="O99" s="275"/>
      <c r="P99" s="275"/>
      <c r="Q99" s="275"/>
      <c r="R99" s="275"/>
      <c r="S99" s="275"/>
      <c r="T99" s="275"/>
    </row>
    <row r="100" spans="1:20" ht="15" customHeight="1">
      <c r="A100" s="275"/>
      <c r="B100" s="303">
        <v>44064</v>
      </c>
      <c r="C100" s="304">
        <v>11371.599609375</v>
      </c>
      <c r="D100" s="289">
        <f t="shared" si="2"/>
        <v>5.2509160938571144E-3</v>
      </c>
      <c r="E100" s="275"/>
      <c r="F100" s="290"/>
      <c r="G100" s="305">
        <v>44064</v>
      </c>
      <c r="H100" s="306">
        <v>2503.5695800810199</v>
      </c>
      <c r="I100" s="293">
        <f t="shared" si="3"/>
        <v>2.6183609695946172E-2</v>
      </c>
      <c r="J100" s="289"/>
      <c r="K100" s="275"/>
      <c r="L100" s="290"/>
      <c r="M100" s="275"/>
      <c r="N100" s="275"/>
      <c r="O100" s="275"/>
      <c r="P100" s="275"/>
      <c r="Q100" s="275"/>
      <c r="R100" s="275"/>
      <c r="S100" s="275"/>
      <c r="T100" s="275"/>
    </row>
    <row r="101" spans="1:20" ht="15" customHeight="1">
      <c r="A101" s="20"/>
      <c r="B101" s="294">
        <v>44067</v>
      </c>
      <c r="C101" s="295">
        <v>11466.4501953125</v>
      </c>
      <c r="D101" s="296">
        <f t="shared" si="2"/>
        <v>8.341006471886599E-3</v>
      </c>
      <c r="E101" s="20"/>
      <c r="F101" s="297"/>
      <c r="G101" s="298">
        <v>44067</v>
      </c>
      <c r="H101" s="299">
        <v>2488.3835449189801</v>
      </c>
      <c r="I101" s="300">
        <f t="shared" si="3"/>
        <v>-6.0657531881132681E-3</v>
      </c>
      <c r="J101" s="296"/>
      <c r="K101" s="20"/>
      <c r="L101" s="297"/>
      <c r="M101" s="275"/>
      <c r="N101" s="275"/>
      <c r="O101" s="275"/>
      <c r="P101" s="275"/>
      <c r="Q101" s="275"/>
      <c r="R101" s="275"/>
      <c r="S101" s="275"/>
      <c r="T101" s="275"/>
    </row>
    <row r="102" spans="1:20" ht="15" customHeight="1">
      <c r="A102" s="275"/>
      <c r="B102" s="303">
        <v>44068</v>
      </c>
      <c r="C102" s="304">
        <v>11472.25</v>
      </c>
      <c r="D102" s="289">
        <f t="shared" si="2"/>
        <v>5.0580646919575584E-4</v>
      </c>
      <c r="E102" s="275"/>
      <c r="F102" s="290"/>
      <c r="G102" s="305">
        <v>44068</v>
      </c>
      <c r="H102" s="306">
        <v>2450.9965820370398</v>
      </c>
      <c r="I102" s="293">
        <f t="shared" si="3"/>
        <v>-1.5024598180726809E-2</v>
      </c>
      <c r="J102" s="289"/>
      <c r="K102" s="275"/>
      <c r="L102" s="290"/>
      <c r="M102" s="275"/>
      <c r="N102" s="275"/>
      <c r="O102" s="275"/>
      <c r="P102" s="275"/>
      <c r="Q102" s="275"/>
      <c r="R102" s="275"/>
      <c r="S102" s="275"/>
      <c r="T102" s="275"/>
    </row>
    <row r="103" spans="1:20" ht="15" customHeight="1">
      <c r="A103" s="20"/>
      <c r="B103" s="294">
        <v>44069</v>
      </c>
      <c r="C103" s="295">
        <v>11549.599609375</v>
      </c>
      <c r="D103" s="296">
        <f t="shared" si="2"/>
        <v>6.7423225064830354E-3</v>
      </c>
      <c r="E103" s="20"/>
      <c r="F103" s="297"/>
      <c r="G103" s="298">
        <v>44069</v>
      </c>
      <c r="H103" s="299">
        <v>2608.6325683564801</v>
      </c>
      <c r="I103" s="300">
        <f t="shared" si="3"/>
        <v>6.4315057587076646E-2</v>
      </c>
      <c r="J103" s="296"/>
      <c r="K103" s="20"/>
      <c r="L103" s="297"/>
      <c r="M103" s="275"/>
      <c r="N103" s="275"/>
      <c r="O103" s="275"/>
      <c r="P103" s="275"/>
      <c r="Q103" s="275"/>
      <c r="R103" s="275"/>
      <c r="S103" s="275"/>
      <c r="T103" s="275"/>
    </row>
    <row r="104" spans="1:20" ht="15" customHeight="1">
      <c r="A104" s="275"/>
      <c r="B104" s="303">
        <v>44070</v>
      </c>
      <c r="C104" s="304">
        <v>11559.25</v>
      </c>
      <c r="D104" s="289">
        <f t="shared" si="2"/>
        <v>8.3556062126747827E-4</v>
      </c>
      <c r="E104" s="275"/>
      <c r="F104" s="290"/>
      <c r="G104" s="305">
        <v>44070</v>
      </c>
      <c r="H104" s="306">
        <v>2592.951171875</v>
      </c>
      <c r="I104" s="293">
        <f t="shared" si="3"/>
        <v>-6.0113473517505941E-3</v>
      </c>
      <c r="J104" s="289"/>
      <c r="K104" s="275"/>
      <c r="L104" s="290"/>
      <c r="M104" s="275"/>
      <c r="N104" s="275"/>
      <c r="O104" s="275"/>
      <c r="P104" s="275"/>
      <c r="Q104" s="275"/>
      <c r="R104" s="275"/>
      <c r="S104" s="275"/>
      <c r="T104" s="275"/>
    </row>
    <row r="105" spans="1:20" ht="15" customHeight="1">
      <c r="A105" s="20"/>
      <c r="B105" s="294">
        <v>44071</v>
      </c>
      <c r="C105" s="295">
        <v>11647.599609375</v>
      </c>
      <c r="D105" s="296">
        <f t="shared" si="2"/>
        <v>7.6431956549949179E-3</v>
      </c>
      <c r="E105" s="20"/>
      <c r="F105" s="297"/>
      <c r="G105" s="298">
        <v>44071</v>
      </c>
      <c r="H105" s="299">
        <v>2524.9040527314801</v>
      </c>
      <c r="I105" s="300">
        <f t="shared" si="3"/>
        <v>-2.6243116292203095E-2</v>
      </c>
      <c r="J105" s="296"/>
      <c r="K105" s="20"/>
      <c r="L105" s="297"/>
      <c r="M105" s="275"/>
      <c r="N105" s="275"/>
      <c r="O105" s="275"/>
      <c r="P105" s="275"/>
      <c r="Q105" s="275"/>
      <c r="R105" s="275"/>
      <c r="S105" s="275"/>
      <c r="T105" s="275"/>
    </row>
    <row r="106" spans="1:20" ht="15" customHeight="1">
      <c r="A106" s="275"/>
      <c r="B106" s="303">
        <v>44074</v>
      </c>
      <c r="C106" s="304">
        <v>11387.5</v>
      </c>
      <c r="D106" s="289">
        <f t="shared" si="2"/>
        <v>-2.2330747801946185E-2</v>
      </c>
      <c r="E106" s="275"/>
      <c r="F106" s="290"/>
      <c r="G106" s="305">
        <v>44074</v>
      </c>
      <c r="H106" s="306">
        <v>2480.9560546875</v>
      </c>
      <c r="I106" s="293">
        <f t="shared" si="3"/>
        <v>-1.7405809142108375E-2</v>
      </c>
      <c r="J106" s="289"/>
      <c r="K106" s="275"/>
      <c r="L106" s="290"/>
      <c r="M106" s="275"/>
      <c r="N106" s="275"/>
      <c r="O106" s="275"/>
      <c r="P106" s="275"/>
      <c r="Q106" s="275"/>
      <c r="R106" s="275"/>
      <c r="S106" s="275"/>
      <c r="T106" s="275"/>
    </row>
    <row r="107" spans="1:20" ht="15" customHeight="1">
      <c r="A107" s="20"/>
      <c r="B107" s="294">
        <v>44075</v>
      </c>
      <c r="C107" s="295">
        <v>11470.25</v>
      </c>
      <c r="D107" s="296">
        <f t="shared" si="2"/>
        <v>7.2667398463227223E-3</v>
      </c>
      <c r="E107" s="20"/>
      <c r="F107" s="297"/>
      <c r="G107" s="298">
        <v>44075</v>
      </c>
      <c r="H107" s="299">
        <v>2472.3310546875</v>
      </c>
      <c r="I107" s="300">
        <f t="shared" si="3"/>
        <v>-3.4764823761001284E-3</v>
      </c>
      <c r="J107" s="296"/>
      <c r="K107" s="20"/>
      <c r="L107" s="297"/>
      <c r="M107" s="275"/>
      <c r="N107" s="275"/>
      <c r="O107" s="275"/>
      <c r="P107" s="275"/>
      <c r="Q107" s="275"/>
      <c r="R107" s="275"/>
      <c r="S107" s="275"/>
      <c r="T107" s="275"/>
    </row>
    <row r="108" spans="1:20" ht="15" customHeight="1">
      <c r="A108" s="275"/>
      <c r="B108" s="303">
        <v>44076</v>
      </c>
      <c r="C108" s="304">
        <v>11535</v>
      </c>
      <c r="D108" s="289">
        <f t="shared" si="2"/>
        <v>5.6450382511279177E-3</v>
      </c>
      <c r="E108" s="275"/>
      <c r="F108" s="290"/>
      <c r="G108" s="305">
        <v>44076</v>
      </c>
      <c r="H108" s="306">
        <v>2429.373046875</v>
      </c>
      <c r="I108" s="293">
        <f t="shared" si="3"/>
        <v>-1.737550791632549E-2</v>
      </c>
      <c r="J108" s="289"/>
      <c r="K108" s="275"/>
      <c r="L108" s="290"/>
      <c r="M108" s="275"/>
      <c r="N108" s="275"/>
      <c r="O108" s="275"/>
      <c r="P108" s="275"/>
      <c r="Q108" s="275"/>
      <c r="R108" s="275"/>
      <c r="S108" s="275"/>
      <c r="T108" s="275"/>
    </row>
    <row r="109" spans="1:20" ht="15" customHeight="1">
      <c r="A109" s="20"/>
      <c r="B109" s="294">
        <v>44077</v>
      </c>
      <c r="C109" s="295">
        <v>11527.4501953125</v>
      </c>
      <c r="D109" s="296">
        <f t="shared" si="2"/>
        <v>-6.5451276007802341E-4</v>
      </c>
      <c r="E109" s="20"/>
      <c r="F109" s="297"/>
      <c r="G109" s="298">
        <v>44077</v>
      </c>
      <c r="H109" s="299">
        <v>2427.5983886689801</v>
      </c>
      <c r="I109" s="300">
        <f t="shared" si="3"/>
        <v>-7.3050049201078262E-4</v>
      </c>
      <c r="J109" s="296"/>
      <c r="K109" s="20"/>
      <c r="L109" s="297"/>
      <c r="M109" s="275"/>
      <c r="N109" s="275"/>
      <c r="O109" s="275"/>
      <c r="P109" s="275"/>
      <c r="Q109" s="275"/>
      <c r="R109" s="275"/>
      <c r="S109" s="275"/>
      <c r="T109" s="275"/>
    </row>
    <row r="110" spans="1:20" ht="15" customHeight="1">
      <c r="A110" s="275"/>
      <c r="B110" s="303">
        <v>44078</v>
      </c>
      <c r="C110" s="304">
        <v>11333.849609375</v>
      </c>
      <c r="D110" s="289">
        <f t="shared" si="2"/>
        <v>-1.6794744948559863E-2</v>
      </c>
      <c r="E110" s="275"/>
      <c r="F110" s="290"/>
      <c r="G110" s="305">
        <v>44078</v>
      </c>
      <c r="H110" s="306">
        <v>2405.9750976620398</v>
      </c>
      <c r="I110" s="293">
        <f t="shared" si="3"/>
        <v>-8.9072768823166004E-3</v>
      </c>
      <c r="J110" s="289"/>
      <c r="K110" s="275"/>
      <c r="L110" s="290"/>
      <c r="M110" s="275"/>
      <c r="N110" s="275"/>
      <c r="O110" s="275"/>
      <c r="P110" s="275"/>
      <c r="Q110" s="275"/>
      <c r="R110" s="275"/>
      <c r="S110" s="275"/>
      <c r="T110" s="275"/>
    </row>
    <row r="111" spans="1:20" ht="15" customHeight="1">
      <c r="A111" s="20"/>
      <c r="B111" s="294">
        <v>44081</v>
      </c>
      <c r="C111" s="295">
        <v>11355.0498046875</v>
      </c>
      <c r="D111" s="296">
        <f t="shared" si="2"/>
        <v>1.870520259503344E-3</v>
      </c>
      <c r="E111" s="20"/>
      <c r="F111" s="297"/>
      <c r="G111" s="298">
        <v>44081</v>
      </c>
      <c r="H111" s="299">
        <v>2360.5407714814801</v>
      </c>
      <c r="I111" s="300">
        <f t="shared" si="3"/>
        <v>-1.8883955293099126E-2</v>
      </c>
      <c r="J111" s="296"/>
      <c r="K111" s="20"/>
      <c r="L111" s="297"/>
      <c r="M111" s="275"/>
      <c r="N111" s="275"/>
      <c r="O111" s="275"/>
      <c r="P111" s="275"/>
      <c r="Q111" s="275"/>
      <c r="R111" s="275"/>
      <c r="S111" s="275"/>
      <c r="T111" s="275"/>
    </row>
    <row r="112" spans="1:20" ht="15" customHeight="1">
      <c r="A112" s="275"/>
      <c r="B112" s="303">
        <v>44082</v>
      </c>
      <c r="C112" s="304">
        <v>11317.349609375</v>
      </c>
      <c r="D112" s="289">
        <f t="shared" si="2"/>
        <v>-3.3201259317186711E-3</v>
      </c>
      <c r="E112" s="275"/>
      <c r="F112" s="290"/>
      <c r="G112" s="305">
        <v>44082</v>
      </c>
      <c r="H112" s="306">
        <v>2363.0581054629602</v>
      </c>
      <c r="I112" s="293">
        <f t="shared" si="3"/>
        <v>1.0664225807462731E-3</v>
      </c>
      <c r="J112" s="289"/>
      <c r="K112" s="275"/>
      <c r="L112" s="290"/>
      <c r="M112" s="275"/>
      <c r="N112" s="275"/>
      <c r="O112" s="275"/>
      <c r="P112" s="275"/>
      <c r="Q112" s="275"/>
      <c r="R112" s="275"/>
      <c r="S112" s="275"/>
      <c r="T112" s="275"/>
    </row>
    <row r="113" spans="1:20" ht="15" customHeight="1">
      <c r="A113" s="20"/>
      <c r="B113" s="294">
        <v>44083</v>
      </c>
      <c r="C113" s="295">
        <v>11278</v>
      </c>
      <c r="D113" s="296">
        <f t="shared" si="2"/>
        <v>-3.4769279675166877E-3</v>
      </c>
      <c r="E113" s="20"/>
      <c r="F113" s="297"/>
      <c r="G113" s="298">
        <v>44083</v>
      </c>
      <c r="H113" s="299">
        <v>2396.7312011689801</v>
      </c>
      <c r="I113" s="300">
        <f t="shared" si="3"/>
        <v>1.4249795901410064E-2</v>
      </c>
      <c r="J113" s="296"/>
      <c r="K113" s="20"/>
      <c r="L113" s="297"/>
      <c r="M113" s="275"/>
      <c r="N113" s="275"/>
      <c r="O113" s="275"/>
      <c r="P113" s="275"/>
      <c r="Q113" s="275"/>
      <c r="R113" s="275"/>
      <c r="S113" s="275"/>
      <c r="T113" s="275"/>
    </row>
    <row r="114" spans="1:20" ht="15" customHeight="1">
      <c r="A114" s="275"/>
      <c r="B114" s="303">
        <v>44084</v>
      </c>
      <c r="C114" s="304">
        <v>11449.25</v>
      </c>
      <c r="D114" s="289">
        <f t="shared" si="2"/>
        <v>1.5184429863450966E-2</v>
      </c>
      <c r="E114" s="275"/>
      <c r="F114" s="290"/>
      <c r="G114" s="305">
        <v>44084</v>
      </c>
      <c r="H114" s="306">
        <v>2433.6647949189801</v>
      </c>
      <c r="I114" s="293">
        <f t="shared" si="3"/>
        <v>1.5409985788972094E-2</v>
      </c>
      <c r="J114" s="289"/>
      <c r="K114" s="275"/>
      <c r="L114" s="290"/>
      <c r="M114" s="275"/>
      <c r="N114" s="275"/>
      <c r="O114" s="275"/>
      <c r="P114" s="275"/>
      <c r="Q114" s="275"/>
      <c r="R114" s="275"/>
      <c r="S114" s="275"/>
      <c r="T114" s="275"/>
    </row>
    <row r="115" spans="1:20" ht="15" customHeight="1">
      <c r="A115" s="20"/>
      <c r="B115" s="294">
        <v>44085</v>
      </c>
      <c r="C115" s="295">
        <v>11464.4501953125</v>
      </c>
      <c r="D115" s="296">
        <f t="shared" si="2"/>
        <v>1.3276149365678974E-3</v>
      </c>
      <c r="E115" s="20"/>
      <c r="F115" s="297"/>
      <c r="G115" s="298">
        <v>44085</v>
      </c>
      <c r="H115" s="299">
        <v>2469.5661621064801</v>
      </c>
      <c r="I115" s="300">
        <f t="shared" si="3"/>
        <v>1.4751977044026395E-2</v>
      </c>
      <c r="J115" s="296"/>
      <c r="K115" s="20"/>
      <c r="L115" s="297"/>
      <c r="M115" s="275"/>
      <c r="N115" s="275"/>
      <c r="O115" s="275"/>
      <c r="P115" s="275"/>
      <c r="Q115" s="275"/>
      <c r="R115" s="275"/>
      <c r="S115" s="275"/>
      <c r="T115" s="275"/>
    </row>
    <row r="116" spans="1:20" ht="15" customHeight="1">
      <c r="A116" s="275"/>
      <c r="B116" s="303">
        <v>44088</v>
      </c>
      <c r="C116" s="304">
        <v>11440.0498046875</v>
      </c>
      <c r="D116" s="289">
        <f t="shared" si="2"/>
        <v>-2.1283524468514552E-3</v>
      </c>
      <c r="E116" s="275"/>
      <c r="F116" s="290"/>
      <c r="G116" s="305">
        <v>44088</v>
      </c>
      <c r="H116" s="306">
        <v>2499.4838867129602</v>
      </c>
      <c r="I116" s="293">
        <f t="shared" si="3"/>
        <v>1.2114566949265691E-2</v>
      </c>
      <c r="J116" s="289"/>
      <c r="K116" s="275"/>
      <c r="L116" s="290"/>
      <c r="M116" s="275"/>
      <c r="N116" s="275"/>
      <c r="O116" s="275"/>
      <c r="P116" s="275"/>
      <c r="Q116" s="275"/>
      <c r="R116" s="275"/>
      <c r="S116" s="275"/>
      <c r="T116" s="275"/>
    </row>
    <row r="117" spans="1:20" ht="15" customHeight="1">
      <c r="A117" s="20"/>
      <c r="B117" s="294">
        <v>44089</v>
      </c>
      <c r="C117" s="295">
        <v>11521.7998046875</v>
      </c>
      <c r="D117" s="296">
        <f t="shared" si="2"/>
        <v>7.1459479106903336E-3</v>
      </c>
      <c r="E117" s="20"/>
      <c r="F117" s="297"/>
      <c r="G117" s="298">
        <v>44089</v>
      </c>
      <c r="H117" s="299">
        <v>2506.623046875</v>
      </c>
      <c r="I117" s="300">
        <f t="shared" si="3"/>
        <v>2.8562537250153923E-3</v>
      </c>
      <c r="J117" s="296"/>
      <c r="K117" s="20"/>
      <c r="L117" s="297"/>
      <c r="M117" s="275"/>
      <c r="N117" s="275"/>
      <c r="O117" s="275"/>
      <c r="P117" s="275"/>
      <c r="Q117" s="275"/>
      <c r="R117" s="275"/>
      <c r="S117" s="275"/>
      <c r="T117" s="275"/>
    </row>
    <row r="118" spans="1:20" ht="15" customHeight="1">
      <c r="A118" s="275"/>
      <c r="B118" s="303">
        <v>44090</v>
      </c>
      <c r="C118" s="304">
        <v>11604.5498046875</v>
      </c>
      <c r="D118" s="289">
        <f t="shared" si="2"/>
        <v>7.1820376506050903E-3</v>
      </c>
      <c r="E118" s="275"/>
      <c r="F118" s="290"/>
      <c r="G118" s="305">
        <v>44090</v>
      </c>
      <c r="H118" s="306">
        <v>2522.3449707060199</v>
      </c>
      <c r="I118" s="293">
        <f t="shared" si="3"/>
        <v>6.2721532264775112E-3</v>
      </c>
      <c r="J118" s="289"/>
      <c r="K118" s="275"/>
      <c r="L118" s="290"/>
      <c r="M118" s="275"/>
      <c r="N118" s="275"/>
      <c r="O118" s="275"/>
      <c r="P118" s="275"/>
      <c r="Q118" s="275"/>
      <c r="R118" s="275"/>
      <c r="S118" s="275"/>
      <c r="T118" s="275"/>
    </row>
    <row r="119" spans="1:20" ht="15" customHeight="1">
      <c r="A119" s="20"/>
      <c r="B119" s="294">
        <v>44091</v>
      </c>
      <c r="C119" s="295">
        <v>11516.099609375</v>
      </c>
      <c r="D119" s="296">
        <f t="shared" si="2"/>
        <v>-7.6220272911209138E-3</v>
      </c>
      <c r="E119" s="20"/>
      <c r="F119" s="297"/>
      <c r="G119" s="298">
        <v>44091</v>
      </c>
      <c r="H119" s="299">
        <v>2526.3068847685199</v>
      </c>
      <c r="I119" s="300">
        <f t="shared" si="3"/>
        <v>1.5707264900371798E-3</v>
      </c>
      <c r="J119" s="296"/>
      <c r="K119" s="20"/>
      <c r="L119" s="297"/>
      <c r="M119" s="275"/>
      <c r="N119" s="275"/>
      <c r="O119" s="275"/>
      <c r="P119" s="275"/>
      <c r="Q119" s="275"/>
      <c r="R119" s="275"/>
      <c r="S119" s="275"/>
      <c r="T119" s="275"/>
    </row>
    <row r="120" spans="1:20" ht="15" customHeight="1">
      <c r="A120" s="275"/>
      <c r="B120" s="303">
        <v>44092</v>
      </c>
      <c r="C120" s="304">
        <v>11504.9501953125</v>
      </c>
      <c r="D120" s="289">
        <f t="shared" si="2"/>
        <v>-9.6815887676271147E-4</v>
      </c>
      <c r="E120" s="275"/>
      <c r="F120" s="290"/>
      <c r="G120" s="305">
        <v>44092</v>
      </c>
      <c r="H120" s="306">
        <v>2568.9348144560199</v>
      </c>
      <c r="I120" s="293">
        <f t="shared" si="3"/>
        <v>1.687361497706796E-2</v>
      </c>
      <c r="J120" s="289"/>
      <c r="K120" s="275"/>
      <c r="L120" s="290"/>
      <c r="M120" s="275"/>
      <c r="N120" s="275"/>
      <c r="O120" s="275"/>
      <c r="P120" s="275"/>
      <c r="Q120" s="275"/>
      <c r="R120" s="275"/>
      <c r="S120" s="275"/>
      <c r="T120" s="275"/>
    </row>
    <row r="121" spans="1:20" ht="15" customHeight="1">
      <c r="A121" s="20"/>
      <c r="B121" s="294">
        <v>44095</v>
      </c>
      <c r="C121" s="295">
        <v>11250.5498046875</v>
      </c>
      <c r="D121" s="296">
        <f t="shared" si="2"/>
        <v>-2.2112254838673809E-2</v>
      </c>
      <c r="E121" s="20"/>
      <c r="F121" s="297"/>
      <c r="G121" s="298">
        <v>44095</v>
      </c>
      <c r="H121" s="299">
        <v>2521.6437988310199</v>
      </c>
      <c r="I121" s="300">
        <f t="shared" si="3"/>
        <v>-1.8408803274758849E-2</v>
      </c>
      <c r="J121" s="296"/>
      <c r="K121" s="20"/>
      <c r="L121" s="297"/>
      <c r="M121" s="275"/>
      <c r="N121" s="275"/>
      <c r="O121" s="275"/>
      <c r="P121" s="275"/>
      <c r="Q121" s="275"/>
      <c r="R121" s="275"/>
      <c r="S121" s="275"/>
      <c r="T121" s="275"/>
    </row>
    <row r="122" spans="1:20" ht="15" customHeight="1">
      <c r="A122" s="275"/>
      <c r="B122" s="303">
        <v>44096</v>
      </c>
      <c r="C122" s="304">
        <v>11153.650390625</v>
      </c>
      <c r="D122" s="289">
        <f t="shared" si="2"/>
        <v>-8.6128603263573144E-3</v>
      </c>
      <c r="E122" s="275"/>
      <c r="F122" s="290"/>
      <c r="G122" s="305">
        <v>44096</v>
      </c>
      <c r="H122" s="306">
        <v>2476.0856933564801</v>
      </c>
      <c r="I122" s="293">
        <f t="shared" si="3"/>
        <v>-1.8066828271169625E-2</v>
      </c>
      <c r="J122" s="289"/>
      <c r="K122" s="275"/>
      <c r="L122" s="290"/>
      <c r="M122" s="275"/>
      <c r="N122" s="275"/>
      <c r="O122" s="275"/>
      <c r="P122" s="275"/>
      <c r="Q122" s="275"/>
      <c r="R122" s="275"/>
      <c r="S122" s="275"/>
      <c r="T122" s="275"/>
    </row>
    <row r="123" spans="1:20" ht="15" customHeight="1">
      <c r="A123" s="20"/>
      <c r="B123" s="294">
        <v>44097</v>
      </c>
      <c r="C123" s="295">
        <v>11131.849609375</v>
      </c>
      <c r="D123" s="296">
        <f t="shared" si="2"/>
        <v>-1.9545871070447262E-3</v>
      </c>
      <c r="E123" s="20"/>
      <c r="F123" s="297"/>
      <c r="G123" s="298">
        <v>44097</v>
      </c>
      <c r="H123" s="299">
        <v>2440.2673339814801</v>
      </c>
      <c r="I123" s="300">
        <f t="shared" si="3"/>
        <v>-1.4465718804120266E-2</v>
      </c>
      <c r="J123" s="296"/>
      <c r="K123" s="20"/>
      <c r="L123" s="297"/>
      <c r="M123" s="275"/>
      <c r="N123" s="275"/>
      <c r="O123" s="275"/>
      <c r="P123" s="275"/>
      <c r="Q123" s="275"/>
      <c r="R123" s="275"/>
      <c r="S123" s="275"/>
      <c r="T123" s="275"/>
    </row>
    <row r="124" spans="1:20" ht="15" customHeight="1">
      <c r="A124" s="275"/>
      <c r="B124" s="303">
        <v>44098</v>
      </c>
      <c r="C124" s="304">
        <v>10805.5498046875</v>
      </c>
      <c r="D124" s="289">
        <f t="shared" si="2"/>
        <v>-2.9312272096516417E-2</v>
      </c>
      <c r="E124" s="275"/>
      <c r="F124" s="290"/>
      <c r="G124" s="305">
        <v>44098</v>
      </c>
      <c r="H124" s="306">
        <v>2408.533203125</v>
      </c>
      <c r="I124" s="293">
        <f t="shared" si="3"/>
        <v>-1.300436653581862E-2</v>
      </c>
      <c r="J124" s="289"/>
      <c r="K124" s="275"/>
      <c r="L124" s="290"/>
      <c r="M124" s="275"/>
      <c r="N124" s="275"/>
      <c r="O124" s="275"/>
      <c r="P124" s="275"/>
      <c r="Q124" s="275"/>
      <c r="R124" s="275"/>
      <c r="S124" s="275"/>
      <c r="T124" s="275"/>
    </row>
    <row r="125" spans="1:20" ht="15" customHeight="1">
      <c r="A125" s="20"/>
      <c r="B125" s="294">
        <v>44099</v>
      </c>
      <c r="C125" s="295">
        <v>11050.25</v>
      </c>
      <c r="D125" s="296">
        <f t="shared" si="2"/>
        <v>2.264578848235449E-2</v>
      </c>
      <c r="E125" s="20"/>
      <c r="F125" s="297"/>
      <c r="G125" s="298">
        <v>44099</v>
      </c>
      <c r="H125" s="299">
        <v>2477.6130371064801</v>
      </c>
      <c r="I125" s="300">
        <f t="shared" si="3"/>
        <v>2.8681287802821673E-2</v>
      </c>
      <c r="J125" s="296"/>
      <c r="K125" s="20"/>
      <c r="L125" s="297"/>
      <c r="M125" s="275"/>
      <c r="N125" s="275"/>
      <c r="O125" s="275"/>
      <c r="P125" s="275"/>
      <c r="Q125" s="275"/>
      <c r="R125" s="275"/>
      <c r="S125" s="275"/>
      <c r="T125" s="275"/>
    </row>
    <row r="126" spans="1:20" ht="15" customHeight="1">
      <c r="A126" s="275"/>
      <c r="B126" s="303">
        <v>44102</v>
      </c>
      <c r="C126" s="304">
        <v>11227.5498046875</v>
      </c>
      <c r="D126" s="289">
        <f t="shared" si="2"/>
        <v>1.6044868187371327E-2</v>
      </c>
      <c r="E126" s="275"/>
      <c r="F126" s="290"/>
      <c r="G126" s="305">
        <v>44102</v>
      </c>
      <c r="H126" s="306">
        <v>2549.3334960879602</v>
      </c>
      <c r="I126" s="293">
        <f t="shared" si="3"/>
        <v>2.8947401352569551E-2</v>
      </c>
      <c r="J126" s="289"/>
      <c r="K126" s="275"/>
      <c r="L126" s="290"/>
      <c r="M126" s="275"/>
      <c r="N126" s="275"/>
      <c r="O126" s="275"/>
      <c r="P126" s="275"/>
      <c r="Q126" s="275"/>
      <c r="R126" s="275"/>
      <c r="S126" s="275"/>
      <c r="T126" s="275"/>
    </row>
    <row r="127" spans="1:20" ht="15" customHeight="1">
      <c r="A127" s="20"/>
      <c r="B127" s="294">
        <v>44103</v>
      </c>
      <c r="C127" s="295">
        <v>11222.400390625</v>
      </c>
      <c r="D127" s="296">
        <f t="shared" si="2"/>
        <v>-4.5864094589454597E-4</v>
      </c>
      <c r="E127" s="20"/>
      <c r="F127" s="297"/>
      <c r="G127" s="298">
        <v>44103</v>
      </c>
      <c r="H127" s="299">
        <v>2620.3522949189801</v>
      </c>
      <c r="I127" s="300">
        <f t="shared" si="3"/>
        <v>2.7857790649987814E-2</v>
      </c>
      <c r="J127" s="296"/>
      <c r="K127" s="20"/>
      <c r="L127" s="297"/>
      <c r="M127" s="275"/>
      <c r="N127" s="275"/>
      <c r="O127" s="275"/>
      <c r="P127" s="275"/>
      <c r="Q127" s="275"/>
      <c r="R127" s="275"/>
      <c r="S127" s="275"/>
      <c r="T127" s="275"/>
    </row>
    <row r="128" spans="1:20" ht="15" customHeight="1">
      <c r="A128" s="275"/>
      <c r="B128" s="303">
        <v>44104</v>
      </c>
      <c r="C128" s="304">
        <v>11247.5498046875</v>
      </c>
      <c r="D128" s="289">
        <f t="shared" si="2"/>
        <v>2.2410013176422921E-3</v>
      </c>
      <c r="E128" s="275"/>
      <c r="F128" s="290"/>
      <c r="G128" s="305">
        <v>44104</v>
      </c>
      <c r="H128" s="306">
        <v>2597.5319824189801</v>
      </c>
      <c r="I128" s="293">
        <f t="shared" si="3"/>
        <v>-8.7088719117081898E-3</v>
      </c>
      <c r="J128" s="289"/>
      <c r="K128" s="275"/>
      <c r="L128" s="290"/>
      <c r="M128" s="275"/>
      <c r="N128" s="275"/>
      <c r="O128" s="275"/>
      <c r="P128" s="275"/>
      <c r="Q128" s="275"/>
      <c r="R128" s="275"/>
      <c r="S128" s="275"/>
      <c r="T128" s="275"/>
    </row>
    <row r="129" spans="1:20" ht="15" customHeight="1">
      <c r="A129" s="20"/>
      <c r="B129" s="294">
        <v>44105</v>
      </c>
      <c r="C129" s="295">
        <v>11416.9501953125</v>
      </c>
      <c r="D129" s="296">
        <f t="shared" si="2"/>
        <v>1.5061092732783554E-2</v>
      </c>
      <c r="E129" s="20"/>
      <c r="F129" s="297"/>
      <c r="G129" s="298">
        <v>44105</v>
      </c>
      <c r="H129" s="299">
        <v>2600.9572753935199</v>
      </c>
      <c r="I129" s="300">
        <f t="shared" si="3"/>
        <v>1.3186721078791114E-3</v>
      </c>
      <c r="J129" s="296"/>
      <c r="K129" s="20"/>
      <c r="L129" s="297"/>
      <c r="M129" s="275"/>
      <c r="N129" s="275"/>
      <c r="O129" s="275"/>
      <c r="P129" s="275"/>
      <c r="Q129" s="275"/>
      <c r="R129" s="275"/>
      <c r="S129" s="275"/>
      <c r="T129" s="275"/>
    </row>
    <row r="130" spans="1:20" ht="15" customHeight="1">
      <c r="A130" s="275"/>
      <c r="B130" s="303">
        <v>44109</v>
      </c>
      <c r="C130" s="304">
        <v>11503.349609375</v>
      </c>
      <c r="D130" s="289">
        <f t="shared" si="2"/>
        <v>7.5676439490796176E-3</v>
      </c>
      <c r="E130" s="275"/>
      <c r="F130" s="290"/>
      <c r="G130" s="305">
        <v>44109</v>
      </c>
      <c r="H130" s="306">
        <v>2582.5939941435199</v>
      </c>
      <c r="I130" s="293">
        <f t="shared" si="3"/>
        <v>-7.0602010358750203E-3</v>
      </c>
      <c r="J130" s="289"/>
      <c r="K130" s="275"/>
      <c r="L130" s="290"/>
      <c r="M130" s="275"/>
      <c r="N130" s="275"/>
      <c r="O130" s="275"/>
      <c r="P130" s="275"/>
      <c r="Q130" s="275"/>
      <c r="R130" s="275"/>
      <c r="S130" s="275"/>
      <c r="T130" s="275"/>
    </row>
    <row r="131" spans="1:20" ht="15" customHeight="1">
      <c r="A131" s="20"/>
      <c r="B131" s="294">
        <v>44110</v>
      </c>
      <c r="C131" s="295">
        <v>11662.400390625</v>
      </c>
      <c r="D131" s="296">
        <f t="shared" si="2"/>
        <v>1.3826475474619739E-2</v>
      </c>
      <c r="E131" s="20"/>
      <c r="F131" s="297"/>
      <c r="G131" s="298">
        <v>44110</v>
      </c>
      <c r="H131" s="299">
        <v>2588.4953613310199</v>
      </c>
      <c r="I131" s="300">
        <f t="shared" si="3"/>
        <v>2.2850541745556498E-3</v>
      </c>
      <c r="J131" s="296"/>
      <c r="K131" s="20"/>
      <c r="L131" s="297"/>
      <c r="M131" s="275"/>
      <c r="N131" s="275"/>
      <c r="O131" s="275"/>
      <c r="P131" s="275"/>
      <c r="Q131" s="275"/>
      <c r="R131" s="275"/>
      <c r="S131" s="275"/>
      <c r="T131" s="275"/>
    </row>
    <row r="132" spans="1:20" ht="15" customHeight="1">
      <c r="A132" s="275"/>
      <c r="B132" s="303">
        <v>44111</v>
      </c>
      <c r="C132" s="304">
        <v>11738.849609375</v>
      </c>
      <c r="D132" s="289">
        <f t="shared" si="2"/>
        <v>6.5551872847252682E-3</v>
      </c>
      <c r="E132" s="275"/>
      <c r="F132" s="290"/>
      <c r="G132" s="305">
        <v>44111</v>
      </c>
      <c r="H132" s="306">
        <v>2668.7983398379602</v>
      </c>
      <c r="I132" s="293">
        <f t="shared" si="3"/>
        <v>3.1023033576404773E-2</v>
      </c>
      <c r="J132" s="289"/>
      <c r="K132" s="275"/>
      <c r="L132" s="290"/>
      <c r="M132" s="275"/>
      <c r="N132" s="275"/>
      <c r="O132" s="275"/>
      <c r="P132" s="275"/>
      <c r="Q132" s="275"/>
      <c r="R132" s="275"/>
      <c r="S132" s="275"/>
      <c r="T132" s="275"/>
    </row>
    <row r="133" spans="1:20" ht="15" customHeight="1">
      <c r="A133" s="20"/>
      <c r="B133" s="294">
        <v>44112</v>
      </c>
      <c r="C133" s="295">
        <v>11834.599609375</v>
      </c>
      <c r="D133" s="296">
        <f t="shared" ref="D133:D196" si="4">(C133-C132)/C132</f>
        <v>8.1566766068398352E-3</v>
      </c>
      <c r="E133" s="20"/>
      <c r="F133" s="297"/>
      <c r="G133" s="298">
        <v>44112</v>
      </c>
      <c r="H133" s="299">
        <v>2706.3505859375</v>
      </c>
      <c r="I133" s="300">
        <f t="shared" ref="I133:I196" si="5">(H133-H132)/H132</f>
        <v>1.4070844371785648E-2</v>
      </c>
      <c r="J133" s="296"/>
      <c r="K133" s="20"/>
      <c r="L133" s="297"/>
      <c r="M133" s="275"/>
      <c r="N133" s="275"/>
      <c r="O133" s="275"/>
      <c r="P133" s="275"/>
      <c r="Q133" s="275"/>
      <c r="R133" s="275"/>
      <c r="S133" s="275"/>
      <c r="T133" s="275"/>
    </row>
    <row r="134" spans="1:20" ht="15" customHeight="1">
      <c r="A134" s="275"/>
      <c r="B134" s="303">
        <v>44113</v>
      </c>
      <c r="C134" s="304">
        <v>11914.2001953125</v>
      </c>
      <c r="D134" s="289">
        <f t="shared" si="4"/>
        <v>6.7260903253915667E-3</v>
      </c>
      <c r="E134" s="275"/>
      <c r="F134" s="290"/>
      <c r="G134" s="305">
        <v>44113</v>
      </c>
      <c r="H134" s="306">
        <v>2746.1721191435199</v>
      </c>
      <c r="I134" s="293">
        <f t="shared" si="5"/>
        <v>1.4714107408307356E-2</v>
      </c>
      <c r="J134" s="289"/>
      <c r="K134" s="275"/>
      <c r="L134" s="290"/>
      <c r="M134" s="275"/>
      <c r="N134" s="275"/>
      <c r="O134" s="275"/>
      <c r="P134" s="275"/>
      <c r="Q134" s="275"/>
      <c r="R134" s="275"/>
      <c r="S134" s="275"/>
      <c r="T134" s="275"/>
    </row>
    <row r="135" spans="1:20" ht="15" customHeight="1">
      <c r="A135" s="20"/>
      <c r="B135" s="294">
        <v>44116</v>
      </c>
      <c r="C135" s="295">
        <v>11930.9501953125</v>
      </c>
      <c r="D135" s="296">
        <f t="shared" si="4"/>
        <v>1.4058853909967107E-3</v>
      </c>
      <c r="E135" s="20"/>
      <c r="F135" s="297"/>
      <c r="G135" s="298">
        <v>44116</v>
      </c>
      <c r="H135" s="299">
        <v>2710.9311523379602</v>
      </c>
      <c r="I135" s="300">
        <f t="shared" si="5"/>
        <v>-1.2832759665679939E-2</v>
      </c>
      <c r="J135" s="296"/>
      <c r="K135" s="20"/>
      <c r="L135" s="297"/>
      <c r="M135" s="275"/>
      <c r="N135" s="275"/>
      <c r="O135" s="275"/>
      <c r="P135" s="275"/>
      <c r="Q135" s="275"/>
      <c r="R135" s="275"/>
      <c r="S135" s="275"/>
      <c r="T135" s="275"/>
    </row>
    <row r="136" spans="1:20" ht="15" customHeight="1">
      <c r="A136" s="275"/>
      <c r="B136" s="303">
        <v>44117</v>
      </c>
      <c r="C136" s="304">
        <v>11934.5</v>
      </c>
      <c r="D136" s="289">
        <f t="shared" si="4"/>
        <v>2.9752908438882491E-4</v>
      </c>
      <c r="E136" s="275"/>
      <c r="F136" s="290"/>
      <c r="G136" s="305">
        <v>44117</v>
      </c>
      <c r="H136" s="306">
        <v>2713.6962890625</v>
      </c>
      <c r="I136" s="293">
        <f t="shared" si="5"/>
        <v>1.0199951858442201E-3</v>
      </c>
      <c r="J136" s="289"/>
      <c r="K136" s="275"/>
      <c r="L136" s="290"/>
      <c r="M136" s="275"/>
      <c r="N136" s="275"/>
      <c r="O136" s="275"/>
      <c r="P136" s="275"/>
      <c r="Q136" s="275"/>
      <c r="R136" s="275"/>
      <c r="S136" s="275"/>
      <c r="T136" s="275"/>
    </row>
    <row r="137" spans="1:20" ht="15" customHeight="1">
      <c r="A137" s="20"/>
      <c r="B137" s="294">
        <v>44118</v>
      </c>
      <c r="C137" s="295">
        <v>11971.0498046875</v>
      </c>
      <c r="D137" s="296">
        <f t="shared" si="4"/>
        <v>3.0625333853533873E-3</v>
      </c>
      <c r="E137" s="20"/>
      <c r="F137" s="297"/>
      <c r="G137" s="298">
        <v>44118</v>
      </c>
      <c r="H137" s="299">
        <v>2732.4716796875</v>
      </c>
      <c r="I137" s="300">
        <f t="shared" si="5"/>
        <v>6.9187516306352505E-3</v>
      </c>
      <c r="J137" s="296"/>
      <c r="K137" s="20"/>
      <c r="L137" s="297"/>
      <c r="M137" s="275"/>
      <c r="N137" s="275"/>
      <c r="O137" s="275"/>
      <c r="P137" s="275"/>
      <c r="Q137" s="275"/>
      <c r="R137" s="275"/>
      <c r="S137" s="275"/>
      <c r="T137" s="275"/>
    </row>
    <row r="138" spans="1:20" ht="15" customHeight="1">
      <c r="A138" s="275"/>
      <c r="B138" s="303">
        <v>44119</v>
      </c>
      <c r="C138" s="304">
        <v>11680.349609375</v>
      </c>
      <c r="D138" s="289">
        <f t="shared" si="4"/>
        <v>-2.4283600858353342E-2</v>
      </c>
      <c r="E138" s="275"/>
      <c r="F138" s="290"/>
      <c r="G138" s="305">
        <v>44119</v>
      </c>
      <c r="H138" s="306">
        <v>2735.3608398379602</v>
      </c>
      <c r="I138" s="293">
        <f t="shared" si="5"/>
        <v>1.0573431270806716E-3</v>
      </c>
      <c r="J138" s="289"/>
      <c r="K138" s="275"/>
      <c r="L138" s="290"/>
      <c r="M138" s="275"/>
      <c r="N138" s="275"/>
      <c r="O138" s="275"/>
      <c r="P138" s="275"/>
      <c r="Q138" s="275"/>
      <c r="R138" s="275"/>
      <c r="S138" s="275"/>
      <c r="T138" s="275"/>
    </row>
    <row r="139" spans="1:20" ht="15" customHeight="1">
      <c r="A139" s="20"/>
      <c r="B139" s="294">
        <v>44120</v>
      </c>
      <c r="C139" s="295">
        <v>11762.4501953125</v>
      </c>
      <c r="D139" s="296">
        <f t="shared" si="4"/>
        <v>7.0289493622351512E-3</v>
      </c>
      <c r="E139" s="20"/>
      <c r="F139" s="297"/>
      <c r="G139" s="298">
        <v>44120</v>
      </c>
      <c r="H139" s="299">
        <v>2761.8947753935199</v>
      </c>
      <c r="I139" s="300">
        <f t="shared" si="5"/>
        <v>9.70034196919029E-3</v>
      </c>
      <c r="J139" s="296"/>
      <c r="K139" s="20"/>
      <c r="L139" s="297"/>
      <c r="M139" s="275"/>
      <c r="N139" s="275"/>
      <c r="O139" s="275"/>
      <c r="P139" s="275"/>
      <c r="Q139" s="275"/>
      <c r="R139" s="275"/>
      <c r="S139" s="275"/>
      <c r="T139" s="275"/>
    </row>
    <row r="140" spans="1:20" ht="15" customHeight="1">
      <c r="A140" s="275"/>
      <c r="B140" s="303">
        <v>44123</v>
      </c>
      <c r="C140" s="304">
        <v>11873.0498046875</v>
      </c>
      <c r="D140" s="289">
        <f t="shared" si="4"/>
        <v>9.4027696218493221E-3</v>
      </c>
      <c r="E140" s="275"/>
      <c r="F140" s="290"/>
      <c r="G140" s="305">
        <v>44123</v>
      </c>
      <c r="H140" s="306">
        <v>2681.2194824189801</v>
      </c>
      <c r="I140" s="293">
        <f t="shared" si="5"/>
        <v>-2.921012548823301E-2</v>
      </c>
      <c r="J140" s="289"/>
      <c r="K140" s="275"/>
      <c r="L140" s="290"/>
      <c r="M140" s="275"/>
      <c r="N140" s="275"/>
      <c r="O140" s="275"/>
      <c r="P140" s="275"/>
      <c r="Q140" s="275"/>
      <c r="R140" s="275"/>
      <c r="S140" s="275"/>
      <c r="T140" s="275"/>
    </row>
    <row r="141" spans="1:20" ht="15" customHeight="1">
      <c r="A141" s="20"/>
      <c r="B141" s="294">
        <v>44124</v>
      </c>
      <c r="C141" s="295">
        <v>11896.7998046875</v>
      </c>
      <c r="D141" s="296">
        <f t="shared" si="4"/>
        <v>2.000328507897226E-3</v>
      </c>
      <c r="E141" s="20"/>
      <c r="F141" s="297"/>
      <c r="G141" s="298">
        <v>44124</v>
      </c>
      <c r="H141" s="299">
        <v>2672.05859375</v>
      </c>
      <c r="I141" s="300">
        <f t="shared" si="5"/>
        <v>-3.4166873428486278E-3</v>
      </c>
      <c r="J141" s="296"/>
      <c r="K141" s="20"/>
      <c r="L141" s="297"/>
      <c r="M141" s="275"/>
      <c r="N141" s="275"/>
      <c r="O141" s="275"/>
      <c r="P141" s="275"/>
      <c r="Q141" s="275"/>
      <c r="R141" s="275"/>
      <c r="S141" s="275"/>
      <c r="T141" s="275"/>
    </row>
    <row r="142" spans="1:20" ht="15" customHeight="1">
      <c r="A142" s="275"/>
      <c r="B142" s="303">
        <v>44125</v>
      </c>
      <c r="C142" s="304">
        <v>11937.650390625</v>
      </c>
      <c r="D142" s="289">
        <f t="shared" si="4"/>
        <v>3.4337457642520234E-3</v>
      </c>
      <c r="E142" s="275"/>
      <c r="F142" s="290"/>
      <c r="G142" s="305">
        <v>44125</v>
      </c>
      <c r="H142" s="306">
        <v>2623.158203125</v>
      </c>
      <c r="I142" s="293">
        <f t="shared" si="5"/>
        <v>-1.8300643084466418E-2</v>
      </c>
      <c r="J142" s="289"/>
      <c r="K142" s="275"/>
      <c r="L142" s="290"/>
      <c r="M142" s="275"/>
      <c r="N142" s="275"/>
      <c r="O142" s="275"/>
      <c r="P142" s="275"/>
      <c r="Q142" s="275"/>
      <c r="R142" s="275"/>
      <c r="S142" s="275"/>
      <c r="T142" s="275"/>
    </row>
    <row r="143" spans="1:20" ht="15" customHeight="1">
      <c r="A143" s="20"/>
      <c r="B143" s="294">
        <v>44126</v>
      </c>
      <c r="C143" s="295">
        <v>11896.4501953125</v>
      </c>
      <c r="D143" s="296">
        <f t="shared" si="4"/>
        <v>-3.4512817819539903E-3</v>
      </c>
      <c r="E143" s="20"/>
      <c r="F143" s="297"/>
      <c r="G143" s="298">
        <v>44126</v>
      </c>
      <c r="H143" s="299">
        <v>2543.2260742129602</v>
      </c>
      <c r="I143" s="300">
        <f t="shared" si="5"/>
        <v>-3.0471714903361809E-2</v>
      </c>
      <c r="J143" s="296"/>
      <c r="K143" s="20"/>
      <c r="L143" s="297"/>
      <c r="M143" s="275"/>
      <c r="N143" s="275"/>
      <c r="O143" s="275"/>
      <c r="P143" s="275"/>
      <c r="Q143" s="275"/>
      <c r="R143" s="275"/>
      <c r="S143" s="275"/>
      <c r="T143" s="275"/>
    </row>
    <row r="144" spans="1:20" ht="15" customHeight="1">
      <c r="A144" s="275"/>
      <c r="B144" s="303">
        <v>44127</v>
      </c>
      <c r="C144" s="304">
        <v>11930.349609375</v>
      </c>
      <c r="D144" s="289">
        <f t="shared" si="4"/>
        <v>2.8495402835256875E-3</v>
      </c>
      <c r="E144" s="275"/>
      <c r="F144" s="290"/>
      <c r="G144" s="305">
        <v>44127</v>
      </c>
      <c r="H144" s="306">
        <v>2567.6142578125</v>
      </c>
      <c r="I144" s="293">
        <f t="shared" si="5"/>
        <v>9.5894674275416661E-3</v>
      </c>
      <c r="J144" s="289"/>
      <c r="K144" s="275"/>
      <c r="L144" s="290"/>
      <c r="M144" s="275"/>
      <c r="N144" s="275"/>
      <c r="O144" s="275"/>
      <c r="P144" s="275"/>
      <c r="Q144" s="275"/>
      <c r="R144" s="275"/>
      <c r="S144" s="275"/>
      <c r="T144" s="275"/>
    </row>
    <row r="145" spans="1:20" ht="15" customHeight="1">
      <c r="A145" s="20"/>
      <c r="B145" s="294">
        <v>44130</v>
      </c>
      <c r="C145" s="295">
        <v>11767.75</v>
      </c>
      <c r="D145" s="296">
        <f t="shared" si="4"/>
        <v>-1.3629073304543183E-2</v>
      </c>
      <c r="E145" s="20"/>
      <c r="F145" s="297"/>
      <c r="G145" s="298">
        <v>44130</v>
      </c>
      <c r="H145" s="299">
        <v>2391.73828125</v>
      </c>
      <c r="I145" s="300">
        <f t="shared" si="5"/>
        <v>-6.8497818948995468E-2</v>
      </c>
      <c r="J145" s="296"/>
      <c r="K145" s="20"/>
      <c r="L145" s="297"/>
      <c r="M145" s="275"/>
      <c r="N145" s="275"/>
      <c r="O145" s="275"/>
      <c r="P145" s="275"/>
      <c r="Q145" s="275"/>
      <c r="R145" s="275"/>
      <c r="S145" s="275"/>
      <c r="T145" s="275"/>
    </row>
    <row r="146" spans="1:20" ht="15" customHeight="1">
      <c r="A146" s="275"/>
      <c r="B146" s="303">
        <v>44131</v>
      </c>
      <c r="C146" s="304">
        <v>11889.400390625</v>
      </c>
      <c r="D146" s="289">
        <f t="shared" si="4"/>
        <v>1.0337608346965222E-2</v>
      </c>
      <c r="E146" s="275"/>
      <c r="F146" s="290"/>
      <c r="G146" s="305">
        <v>44131</v>
      </c>
      <c r="H146" s="306">
        <v>2403.2934570370398</v>
      </c>
      <c r="I146" s="293">
        <f t="shared" si="5"/>
        <v>4.8312877197419501E-3</v>
      </c>
      <c r="J146" s="289"/>
      <c r="K146" s="275"/>
      <c r="L146" s="290"/>
      <c r="M146" s="275"/>
      <c r="N146" s="275"/>
      <c r="O146" s="275"/>
      <c r="P146" s="275"/>
      <c r="Q146" s="275"/>
      <c r="R146" s="275"/>
      <c r="S146" s="275"/>
      <c r="T146" s="275"/>
    </row>
    <row r="147" spans="1:20" ht="15" customHeight="1">
      <c r="A147" s="20"/>
      <c r="B147" s="294">
        <v>44132</v>
      </c>
      <c r="C147" s="295">
        <v>11729.599609375</v>
      </c>
      <c r="D147" s="296">
        <f t="shared" si="4"/>
        <v>-1.3440608945763632E-2</v>
      </c>
      <c r="E147" s="20"/>
      <c r="F147" s="297"/>
      <c r="G147" s="298">
        <v>44132</v>
      </c>
      <c r="H147" s="299">
        <v>2431.5598144560199</v>
      </c>
      <c r="I147" s="300">
        <f t="shared" si="5"/>
        <v>1.1761508914449824E-2</v>
      </c>
      <c r="J147" s="296"/>
      <c r="K147" s="20"/>
      <c r="L147" s="297"/>
      <c r="M147" s="275"/>
      <c r="N147" s="275"/>
      <c r="O147" s="275"/>
      <c r="P147" s="275"/>
      <c r="Q147" s="275"/>
      <c r="R147" s="275"/>
      <c r="S147" s="275"/>
      <c r="T147" s="275"/>
    </row>
    <row r="148" spans="1:20" ht="15" customHeight="1">
      <c r="A148" s="275"/>
      <c r="B148" s="303">
        <v>44133</v>
      </c>
      <c r="C148" s="304">
        <v>11670.7998046875</v>
      </c>
      <c r="D148" s="289">
        <f t="shared" si="4"/>
        <v>-5.012942184360979E-3</v>
      </c>
      <c r="E148" s="275"/>
      <c r="F148" s="290"/>
      <c r="G148" s="305">
        <v>44133</v>
      </c>
      <c r="H148" s="306">
        <v>2388.478515625</v>
      </c>
      <c r="I148" s="293">
        <f t="shared" si="5"/>
        <v>-1.7717556679006853E-2</v>
      </c>
      <c r="J148" s="289"/>
      <c r="K148" s="275"/>
      <c r="L148" s="290"/>
      <c r="M148" s="275"/>
      <c r="N148" s="275"/>
      <c r="O148" s="275"/>
      <c r="P148" s="275"/>
      <c r="Q148" s="275"/>
      <c r="R148" s="275"/>
      <c r="S148" s="275"/>
      <c r="T148" s="275"/>
    </row>
    <row r="149" spans="1:20" ht="15" customHeight="1">
      <c r="A149" s="20"/>
      <c r="B149" s="294">
        <v>44134</v>
      </c>
      <c r="C149" s="295">
        <v>11642.400390625</v>
      </c>
      <c r="D149" s="296">
        <f t="shared" si="4"/>
        <v>-2.4333734223676395E-3</v>
      </c>
      <c r="E149" s="20"/>
      <c r="F149" s="297"/>
      <c r="G149" s="298">
        <v>44134</v>
      </c>
      <c r="H149" s="299">
        <v>2310.7333984375</v>
      </c>
      <c r="I149" s="300">
        <f t="shared" si="5"/>
        <v>-3.2550059244370558E-2</v>
      </c>
      <c r="J149" s="296"/>
      <c r="K149" s="20"/>
      <c r="L149" s="297"/>
      <c r="M149" s="275"/>
      <c r="N149" s="275"/>
      <c r="O149" s="275"/>
      <c r="P149" s="275"/>
      <c r="Q149" s="275"/>
      <c r="R149" s="275"/>
      <c r="S149" s="275"/>
      <c r="T149" s="275"/>
    </row>
    <row r="150" spans="1:20" ht="15" customHeight="1">
      <c r="A150" s="275"/>
      <c r="B150" s="303">
        <v>44137</v>
      </c>
      <c r="C150" s="304">
        <v>11669.150390625</v>
      </c>
      <c r="D150" s="289">
        <f t="shared" si="4"/>
        <v>2.2976361491175257E-3</v>
      </c>
      <c r="E150" s="275"/>
      <c r="F150" s="290"/>
      <c r="G150" s="305">
        <v>44137</v>
      </c>
      <c r="H150" s="306">
        <v>2340.3205566435199</v>
      </c>
      <c r="I150" s="293">
        <f t="shared" si="5"/>
        <v>1.2804228400397263E-2</v>
      </c>
      <c r="J150" s="289"/>
      <c r="K150" s="275"/>
      <c r="L150" s="290"/>
      <c r="M150" s="275"/>
      <c r="N150" s="275"/>
      <c r="O150" s="275"/>
      <c r="P150" s="275"/>
      <c r="Q150" s="275"/>
      <c r="R150" s="275"/>
      <c r="S150" s="275"/>
      <c r="T150" s="275"/>
    </row>
    <row r="151" spans="1:20" ht="15" customHeight="1">
      <c r="A151" s="20"/>
      <c r="B151" s="294">
        <v>44138</v>
      </c>
      <c r="C151" s="295">
        <v>11813.5</v>
      </c>
      <c r="D151" s="296">
        <f t="shared" si="4"/>
        <v>1.2370190163199074E-2</v>
      </c>
      <c r="E151" s="20"/>
      <c r="F151" s="297"/>
      <c r="G151" s="298">
        <v>44138</v>
      </c>
      <c r="H151" s="299">
        <v>2424.296875</v>
      </c>
      <c r="I151" s="300">
        <f t="shared" si="5"/>
        <v>3.5882400006313084E-2</v>
      </c>
      <c r="J151" s="296"/>
      <c r="K151" s="20"/>
      <c r="L151" s="297"/>
      <c r="M151" s="275"/>
      <c r="N151" s="275"/>
      <c r="O151" s="275"/>
      <c r="P151" s="275"/>
      <c r="Q151" s="275"/>
      <c r="R151" s="275"/>
      <c r="S151" s="275"/>
      <c r="T151" s="275"/>
    </row>
    <row r="152" spans="1:20" ht="15" customHeight="1">
      <c r="A152" s="275"/>
      <c r="B152" s="303">
        <v>44139</v>
      </c>
      <c r="C152" s="304">
        <v>11908.5</v>
      </c>
      <c r="D152" s="289">
        <f t="shared" si="4"/>
        <v>8.041647267956151E-3</v>
      </c>
      <c r="E152" s="275"/>
      <c r="F152" s="290"/>
      <c r="G152" s="305">
        <v>44139</v>
      </c>
      <c r="H152" s="306">
        <v>2449.5520019560199</v>
      </c>
      <c r="I152" s="293">
        <f t="shared" si="5"/>
        <v>1.0417505882409688E-2</v>
      </c>
      <c r="J152" s="289"/>
      <c r="K152" s="275"/>
      <c r="L152" s="290"/>
      <c r="M152" s="275"/>
      <c r="N152" s="275"/>
      <c r="O152" s="275"/>
      <c r="P152" s="275"/>
      <c r="Q152" s="275"/>
      <c r="R152" s="275"/>
      <c r="S152" s="275"/>
      <c r="T152" s="275"/>
    </row>
    <row r="153" spans="1:20" ht="15" customHeight="1">
      <c r="A153" s="20"/>
      <c r="B153" s="294">
        <v>44140</v>
      </c>
      <c r="C153" s="295">
        <v>12120.2998046875</v>
      </c>
      <c r="D153" s="296">
        <f t="shared" si="4"/>
        <v>1.7785598915690475E-2</v>
      </c>
      <c r="E153" s="20"/>
      <c r="F153" s="297"/>
      <c r="G153" s="298">
        <v>44140</v>
      </c>
      <c r="H153" s="299">
        <v>2430.033203125</v>
      </c>
      <c r="I153" s="300">
        <f t="shared" si="5"/>
        <v>-7.9683137224413857E-3</v>
      </c>
      <c r="J153" s="296"/>
      <c r="K153" s="20"/>
      <c r="L153" s="297"/>
      <c r="M153" s="275"/>
      <c r="N153" s="275"/>
      <c r="O153" s="275"/>
      <c r="P153" s="275"/>
      <c r="Q153" s="275"/>
      <c r="R153" s="275"/>
      <c r="S153" s="275"/>
      <c r="T153" s="275"/>
    </row>
    <row r="154" spans="1:20" ht="15" customHeight="1">
      <c r="A154" s="275"/>
      <c r="B154" s="303">
        <v>44141</v>
      </c>
      <c r="C154" s="304">
        <v>12263.5498046875</v>
      </c>
      <c r="D154" s="289">
        <f t="shared" si="4"/>
        <v>1.1819014571289595E-2</v>
      </c>
      <c r="E154" s="275"/>
      <c r="F154" s="290"/>
      <c r="G154" s="305">
        <v>44141</v>
      </c>
      <c r="H154" s="306">
        <v>2430.9411621064801</v>
      </c>
      <c r="I154" s="293">
        <f t="shared" si="5"/>
        <v>3.7364056602702035E-4</v>
      </c>
      <c r="J154" s="289"/>
      <c r="K154" s="275"/>
      <c r="L154" s="290"/>
      <c r="M154" s="275"/>
      <c r="N154" s="275"/>
      <c r="O154" s="275"/>
      <c r="P154" s="275"/>
      <c r="Q154" s="275"/>
      <c r="R154" s="275"/>
      <c r="S154" s="275"/>
      <c r="T154" s="275"/>
    </row>
    <row r="155" spans="1:20" ht="15" customHeight="1">
      <c r="A155" s="20"/>
      <c r="B155" s="294">
        <v>44144</v>
      </c>
      <c r="C155" s="295">
        <v>12461.0498046875</v>
      </c>
      <c r="D155" s="296">
        <f t="shared" si="4"/>
        <v>1.6104635537461554E-2</v>
      </c>
      <c r="E155" s="20"/>
      <c r="F155" s="297"/>
      <c r="G155" s="298">
        <v>44144</v>
      </c>
      <c r="H155" s="299">
        <v>2438.2038574189801</v>
      </c>
      <c r="I155" s="300">
        <f t="shared" si="5"/>
        <v>2.9876063747288177E-3</v>
      </c>
      <c r="J155" s="296"/>
      <c r="K155" s="20"/>
      <c r="L155" s="297"/>
      <c r="M155" s="275"/>
      <c r="N155" s="275"/>
      <c r="O155" s="275"/>
      <c r="P155" s="275"/>
      <c r="Q155" s="275"/>
      <c r="R155" s="275"/>
      <c r="S155" s="275"/>
      <c r="T155" s="275"/>
    </row>
    <row r="156" spans="1:20" ht="15" customHeight="1">
      <c r="A156" s="275"/>
      <c r="B156" s="303">
        <v>44145</v>
      </c>
      <c r="C156" s="304">
        <v>12631.099609375</v>
      </c>
      <c r="D156" s="289">
        <f t="shared" si="4"/>
        <v>1.3646507104363872E-2</v>
      </c>
      <c r="E156" s="275"/>
      <c r="F156" s="290"/>
      <c r="G156" s="305">
        <v>44145</v>
      </c>
      <c r="H156" s="306">
        <v>2435.7280273379602</v>
      </c>
      <c r="I156" s="293">
        <f t="shared" si="5"/>
        <v>-1.0154319432669472E-3</v>
      </c>
      <c r="J156" s="289"/>
      <c r="K156" s="275"/>
      <c r="L156" s="290"/>
      <c r="M156" s="275"/>
      <c r="N156" s="275"/>
      <c r="O156" s="275"/>
      <c r="P156" s="275"/>
      <c r="Q156" s="275"/>
      <c r="R156" s="275"/>
      <c r="S156" s="275"/>
      <c r="T156" s="275"/>
    </row>
    <row r="157" spans="1:20" ht="15" customHeight="1">
      <c r="A157" s="20"/>
      <c r="B157" s="294">
        <v>44146</v>
      </c>
      <c r="C157" s="295">
        <v>12749.150390625</v>
      </c>
      <c r="D157" s="296">
        <f t="shared" si="4"/>
        <v>9.3460415087203378E-3</v>
      </c>
      <c r="E157" s="20"/>
      <c r="F157" s="297"/>
      <c r="G157" s="298">
        <v>44146</v>
      </c>
      <c r="H157" s="299">
        <v>2525.60546875</v>
      </c>
      <c r="I157" s="300">
        <f t="shared" si="5"/>
        <v>3.6899621141309485E-2</v>
      </c>
      <c r="J157" s="296"/>
      <c r="K157" s="20"/>
      <c r="L157" s="297"/>
      <c r="M157" s="275"/>
      <c r="N157" s="275"/>
      <c r="O157" s="275"/>
      <c r="P157" s="275"/>
      <c r="Q157" s="275"/>
      <c r="R157" s="275"/>
      <c r="S157" s="275"/>
      <c r="T157" s="275"/>
    </row>
    <row r="158" spans="1:20" ht="15" customHeight="1">
      <c r="A158" s="275"/>
      <c r="B158" s="303">
        <v>44147</v>
      </c>
      <c r="C158" s="304">
        <v>12690.7998046875</v>
      </c>
      <c r="D158" s="289">
        <f t="shared" si="4"/>
        <v>-4.5768215253314216E-3</v>
      </c>
      <c r="E158" s="275"/>
      <c r="F158" s="290"/>
      <c r="G158" s="305">
        <v>44147</v>
      </c>
      <c r="H158" s="306">
        <v>2546.7746582060199</v>
      </c>
      <c r="I158" s="293">
        <f t="shared" si="5"/>
        <v>8.3818275332200667E-3</v>
      </c>
      <c r="J158" s="289"/>
      <c r="K158" s="275"/>
      <c r="L158" s="290"/>
      <c r="M158" s="275"/>
      <c r="N158" s="275"/>
      <c r="O158" s="275"/>
      <c r="P158" s="275"/>
      <c r="Q158" s="275"/>
      <c r="R158" s="275"/>
      <c r="S158" s="275"/>
      <c r="T158" s="275"/>
    </row>
    <row r="159" spans="1:20" ht="15" customHeight="1">
      <c r="A159" s="20"/>
      <c r="B159" s="294">
        <v>44148</v>
      </c>
      <c r="C159" s="295">
        <v>12719.9501953125</v>
      </c>
      <c r="D159" s="296">
        <f t="shared" si="4"/>
        <v>2.2969703307614193E-3</v>
      </c>
      <c r="E159" s="20"/>
      <c r="F159" s="297"/>
      <c r="G159" s="298">
        <v>44148</v>
      </c>
      <c r="H159" s="299">
        <v>2582.3461914120398</v>
      </c>
      <c r="I159" s="300">
        <f t="shared" si="5"/>
        <v>1.3967287247579634E-2</v>
      </c>
      <c r="J159" s="296"/>
      <c r="K159" s="20"/>
      <c r="L159" s="297"/>
      <c r="M159" s="275"/>
      <c r="N159" s="275"/>
      <c r="O159" s="275"/>
      <c r="P159" s="275"/>
      <c r="Q159" s="275"/>
      <c r="R159" s="275"/>
      <c r="S159" s="275"/>
      <c r="T159" s="275"/>
    </row>
    <row r="160" spans="1:20" ht="15" customHeight="1">
      <c r="A160" s="275"/>
      <c r="B160" s="303">
        <v>44152</v>
      </c>
      <c r="C160" s="304">
        <v>12874.2001953125</v>
      </c>
      <c r="D160" s="289">
        <f t="shared" si="4"/>
        <v>1.2126619808373427E-2</v>
      </c>
      <c r="E160" s="275"/>
      <c r="F160" s="290"/>
      <c r="G160" s="305">
        <v>44152</v>
      </c>
      <c r="H160" s="306">
        <v>2501.794921875</v>
      </c>
      <c r="I160" s="293">
        <f t="shared" si="5"/>
        <v>-3.1193056068518066E-2</v>
      </c>
      <c r="J160" s="289"/>
      <c r="K160" s="275"/>
      <c r="L160" s="290"/>
      <c r="M160" s="275"/>
      <c r="N160" s="275"/>
      <c r="O160" s="275"/>
      <c r="P160" s="275"/>
      <c r="Q160" s="275"/>
      <c r="R160" s="275"/>
      <c r="S160" s="275"/>
      <c r="T160" s="275"/>
    </row>
    <row r="161" spans="1:20" ht="15" customHeight="1">
      <c r="A161" s="20"/>
      <c r="B161" s="294">
        <v>44153</v>
      </c>
      <c r="C161" s="295">
        <v>12938.25</v>
      </c>
      <c r="D161" s="296">
        <f t="shared" si="4"/>
        <v>4.9750511655722541E-3</v>
      </c>
      <c r="E161" s="20"/>
      <c r="F161" s="297"/>
      <c r="G161" s="298">
        <v>44153</v>
      </c>
      <c r="H161" s="299">
        <v>2461.9318847685199</v>
      </c>
      <c r="I161" s="300">
        <f t="shared" si="5"/>
        <v>-1.5933774890151367E-2</v>
      </c>
      <c r="J161" s="296"/>
      <c r="K161" s="20"/>
      <c r="L161" s="297"/>
      <c r="M161" s="275"/>
      <c r="N161" s="275"/>
      <c r="O161" s="275"/>
      <c r="P161" s="275"/>
      <c r="Q161" s="275"/>
      <c r="R161" s="275"/>
      <c r="S161" s="275"/>
      <c r="T161" s="275"/>
    </row>
    <row r="162" spans="1:20" ht="15" customHeight="1">
      <c r="A162" s="275"/>
      <c r="B162" s="303">
        <v>44154</v>
      </c>
      <c r="C162" s="304">
        <v>12771.7001953125</v>
      </c>
      <c r="D162" s="289">
        <f t="shared" si="4"/>
        <v>-1.2872668613413716E-2</v>
      </c>
      <c r="E162" s="275"/>
      <c r="F162" s="290"/>
      <c r="G162" s="305">
        <v>44154</v>
      </c>
      <c r="H162" s="306">
        <v>2466.4709472685199</v>
      </c>
      <c r="I162" s="293">
        <f t="shared" si="5"/>
        <v>1.8436994654816698E-3</v>
      </c>
      <c r="J162" s="289"/>
      <c r="K162" s="275"/>
      <c r="L162" s="290"/>
      <c r="M162" s="275"/>
      <c r="N162" s="275"/>
      <c r="O162" s="275"/>
      <c r="P162" s="275"/>
      <c r="Q162" s="275"/>
      <c r="R162" s="275"/>
      <c r="S162" s="275"/>
      <c r="T162" s="275"/>
    </row>
    <row r="163" spans="1:20" ht="15" customHeight="1">
      <c r="A163" s="20"/>
      <c r="B163" s="294">
        <v>44155</v>
      </c>
      <c r="C163" s="295">
        <v>12859.0498046875</v>
      </c>
      <c r="D163" s="296">
        <f t="shared" si="4"/>
        <v>6.83930941371919E-3</v>
      </c>
      <c r="E163" s="20"/>
      <c r="F163" s="297"/>
      <c r="G163" s="298">
        <v>44155</v>
      </c>
      <c r="H163" s="299">
        <v>2474.8481445370398</v>
      </c>
      <c r="I163" s="300">
        <f t="shared" si="5"/>
        <v>3.3964305469712523E-3</v>
      </c>
      <c r="J163" s="296"/>
      <c r="K163" s="20"/>
      <c r="L163" s="297"/>
      <c r="M163" s="275"/>
      <c r="N163" s="275"/>
      <c r="O163" s="275"/>
      <c r="P163" s="275"/>
      <c r="Q163" s="275"/>
      <c r="R163" s="275"/>
      <c r="S163" s="275"/>
      <c r="T163" s="275"/>
    </row>
    <row r="164" spans="1:20" ht="15" customHeight="1">
      <c r="A164" s="275"/>
      <c r="B164" s="303">
        <v>44158</v>
      </c>
      <c r="C164" s="304">
        <v>12926.4501953125</v>
      </c>
      <c r="D164" s="289">
        <f t="shared" si="4"/>
        <v>5.241475198302023E-3</v>
      </c>
      <c r="E164" s="275"/>
      <c r="F164" s="290"/>
      <c r="G164" s="305">
        <v>44158</v>
      </c>
      <c r="H164" s="306">
        <v>2525.2751464814801</v>
      </c>
      <c r="I164" s="293">
        <f t="shared" si="5"/>
        <v>2.0375796412298024E-2</v>
      </c>
      <c r="J164" s="289"/>
      <c r="K164" s="275"/>
      <c r="L164" s="290"/>
      <c r="M164" s="275"/>
      <c r="N164" s="275"/>
      <c r="O164" s="275"/>
      <c r="P164" s="275"/>
      <c r="Q164" s="275"/>
      <c r="R164" s="275"/>
      <c r="S164" s="275"/>
      <c r="T164" s="275"/>
    </row>
    <row r="165" spans="1:20" ht="15" customHeight="1">
      <c r="A165" s="20"/>
      <c r="B165" s="294">
        <v>44159</v>
      </c>
      <c r="C165" s="295">
        <v>13055.150390625</v>
      </c>
      <c r="D165" s="296">
        <f t="shared" si="4"/>
        <v>9.9563448098976444E-3</v>
      </c>
      <c r="E165" s="20"/>
      <c r="F165" s="297"/>
      <c r="G165" s="298">
        <v>44159</v>
      </c>
      <c r="H165" s="299">
        <v>2537.1596679629602</v>
      </c>
      <c r="I165" s="300">
        <f t="shared" si="5"/>
        <v>4.7062283482411952E-3</v>
      </c>
      <c r="J165" s="296"/>
      <c r="K165" s="20"/>
      <c r="L165" s="297"/>
      <c r="M165" s="275"/>
      <c r="N165" s="275"/>
      <c r="O165" s="275"/>
      <c r="P165" s="275"/>
      <c r="Q165" s="275"/>
      <c r="R165" s="275"/>
      <c r="S165" s="275"/>
      <c r="T165" s="275"/>
    </row>
    <row r="166" spans="1:20" ht="15" customHeight="1">
      <c r="A166" s="275"/>
      <c r="B166" s="303">
        <v>44160</v>
      </c>
      <c r="C166" s="304">
        <v>12858.400390625</v>
      </c>
      <c r="D166" s="289">
        <f t="shared" si="4"/>
        <v>-1.507068046809232E-2</v>
      </c>
      <c r="E166" s="275"/>
      <c r="F166" s="290"/>
      <c r="G166" s="305">
        <v>44160</v>
      </c>
      <c r="H166" s="306">
        <v>2483.1838378935199</v>
      </c>
      <c r="I166" s="293">
        <f t="shared" si="5"/>
        <v>-2.1274116387312927E-2</v>
      </c>
      <c r="J166" s="289"/>
      <c r="K166" s="275"/>
      <c r="L166" s="290"/>
      <c r="M166" s="275"/>
      <c r="N166" s="275"/>
      <c r="O166" s="275"/>
      <c r="P166" s="275"/>
      <c r="Q166" s="275"/>
      <c r="R166" s="275"/>
      <c r="S166" s="275"/>
      <c r="T166" s="275"/>
    </row>
    <row r="167" spans="1:20" ht="15" customHeight="1">
      <c r="A167" s="20"/>
      <c r="B167" s="294">
        <v>44161</v>
      </c>
      <c r="C167" s="295">
        <v>12987</v>
      </c>
      <c r="D167" s="296">
        <f t="shared" si="4"/>
        <v>1.0001213639976662E-2</v>
      </c>
      <c r="E167" s="20"/>
      <c r="F167" s="297"/>
      <c r="G167" s="298">
        <v>44161</v>
      </c>
      <c r="H167" s="299">
        <v>2496.2238769560199</v>
      </c>
      <c r="I167" s="300">
        <f t="shared" si="5"/>
        <v>5.2513385692626929E-3</v>
      </c>
      <c r="J167" s="296"/>
      <c r="K167" s="20"/>
      <c r="L167" s="297"/>
      <c r="M167" s="275"/>
      <c r="N167" s="275"/>
      <c r="O167" s="275"/>
      <c r="P167" s="275"/>
      <c r="Q167" s="275"/>
      <c r="R167" s="275"/>
      <c r="S167" s="275"/>
      <c r="T167" s="275"/>
    </row>
    <row r="168" spans="1:20" ht="15" customHeight="1">
      <c r="A168" s="275"/>
      <c r="B168" s="303">
        <v>44162</v>
      </c>
      <c r="C168" s="304">
        <v>12968.9501953125</v>
      </c>
      <c r="D168" s="289">
        <f t="shared" si="4"/>
        <v>-1.3898363507738507E-3</v>
      </c>
      <c r="E168" s="275"/>
      <c r="F168" s="290"/>
      <c r="G168" s="305">
        <v>44162</v>
      </c>
      <c r="H168" s="306">
        <v>2565.7985839814801</v>
      </c>
      <c r="I168" s="293">
        <f t="shared" si="5"/>
        <v>2.7871982023624384E-2</v>
      </c>
      <c r="J168" s="289"/>
      <c r="K168" s="275"/>
      <c r="L168" s="290"/>
      <c r="M168" s="275"/>
      <c r="N168" s="275"/>
      <c r="O168" s="275"/>
      <c r="P168" s="275"/>
      <c r="Q168" s="275"/>
      <c r="R168" s="275"/>
      <c r="S168" s="275"/>
      <c r="T168" s="275"/>
    </row>
    <row r="169" spans="1:20" ht="15" customHeight="1">
      <c r="A169" s="20"/>
      <c r="B169" s="294">
        <v>44166</v>
      </c>
      <c r="C169" s="295">
        <v>13109.0498046875</v>
      </c>
      <c r="D169" s="296">
        <f t="shared" si="4"/>
        <v>1.0802694687318455E-2</v>
      </c>
      <c r="E169" s="20"/>
      <c r="F169" s="297"/>
      <c r="G169" s="298">
        <v>44166</v>
      </c>
      <c r="H169" s="299">
        <v>2566.9543457060199</v>
      </c>
      <c r="I169" s="300">
        <f t="shared" si="5"/>
        <v>4.5044912400972215E-4</v>
      </c>
      <c r="J169" s="296"/>
      <c r="K169" s="20"/>
      <c r="L169" s="297"/>
      <c r="M169" s="275"/>
      <c r="N169" s="275"/>
      <c r="O169" s="275"/>
      <c r="P169" s="275"/>
      <c r="Q169" s="275"/>
      <c r="R169" s="275"/>
      <c r="S169" s="275"/>
      <c r="T169" s="275"/>
    </row>
    <row r="170" spans="1:20" ht="15" customHeight="1">
      <c r="A170" s="275"/>
      <c r="B170" s="303">
        <v>44167</v>
      </c>
      <c r="C170" s="304">
        <v>13113.75</v>
      </c>
      <c r="D170" s="289">
        <f t="shared" si="4"/>
        <v>3.5854584295036521E-4</v>
      </c>
      <c r="E170" s="275"/>
      <c r="F170" s="290"/>
      <c r="G170" s="305">
        <v>44167</v>
      </c>
      <c r="H170" s="306">
        <v>2580.1181640625</v>
      </c>
      <c r="I170" s="293">
        <f t="shared" si="5"/>
        <v>5.1281856175200017E-3</v>
      </c>
      <c r="J170" s="289"/>
      <c r="K170" s="275"/>
      <c r="L170" s="290"/>
      <c r="M170" s="275"/>
      <c r="N170" s="275"/>
      <c r="O170" s="275"/>
      <c r="P170" s="275"/>
      <c r="Q170" s="275"/>
      <c r="R170" s="275"/>
      <c r="S170" s="275"/>
      <c r="T170" s="275"/>
    </row>
    <row r="171" spans="1:20" ht="15" customHeight="1">
      <c r="A171" s="20"/>
      <c r="B171" s="294">
        <v>44168</v>
      </c>
      <c r="C171" s="295">
        <v>13133.900390625</v>
      </c>
      <c r="D171" s="296">
        <f t="shared" si="4"/>
        <v>1.5365849299399485E-3</v>
      </c>
      <c r="E171" s="20"/>
      <c r="F171" s="297"/>
      <c r="G171" s="298">
        <v>44168</v>
      </c>
      <c r="H171" s="299">
        <v>2591.3835449189801</v>
      </c>
      <c r="I171" s="300">
        <f t="shared" si="5"/>
        <v>4.3662267152688398E-3</v>
      </c>
      <c r="J171" s="296"/>
      <c r="K171" s="20"/>
      <c r="L171" s="297"/>
      <c r="M171" s="275"/>
      <c r="N171" s="275"/>
      <c r="O171" s="275"/>
      <c r="P171" s="275"/>
      <c r="Q171" s="275"/>
      <c r="R171" s="275"/>
      <c r="S171" s="275"/>
      <c r="T171" s="275"/>
    </row>
    <row r="172" spans="1:20" ht="15" customHeight="1">
      <c r="A172" s="275"/>
      <c r="B172" s="303">
        <v>44169</v>
      </c>
      <c r="C172" s="304">
        <v>13258.5498046875</v>
      </c>
      <c r="D172" s="289">
        <f t="shared" si="4"/>
        <v>9.4906623588736031E-3</v>
      </c>
      <c r="E172" s="275"/>
      <c r="F172" s="290"/>
      <c r="G172" s="305">
        <v>44169</v>
      </c>
      <c r="H172" s="306">
        <v>2624.8911132870398</v>
      </c>
      <c r="I172" s="293">
        <f t="shared" si="5"/>
        <v>1.2930377841504501E-2</v>
      </c>
      <c r="J172" s="289"/>
      <c r="K172" s="275"/>
      <c r="L172" s="290"/>
      <c r="M172" s="275"/>
      <c r="N172" s="275"/>
      <c r="O172" s="275"/>
      <c r="P172" s="275"/>
      <c r="Q172" s="275"/>
      <c r="R172" s="275"/>
      <c r="S172" s="275"/>
      <c r="T172" s="275"/>
    </row>
    <row r="173" spans="1:20" ht="15" customHeight="1">
      <c r="A173" s="20"/>
      <c r="B173" s="294">
        <v>44172</v>
      </c>
      <c r="C173" s="295">
        <v>13355.75</v>
      </c>
      <c r="D173" s="296">
        <f t="shared" si="4"/>
        <v>7.3311332494399436E-3</v>
      </c>
      <c r="E173" s="20"/>
      <c r="F173" s="297"/>
      <c r="G173" s="298">
        <v>44172</v>
      </c>
      <c r="H173" s="299">
        <v>2619.609375</v>
      </c>
      <c r="I173" s="300">
        <f t="shared" si="5"/>
        <v>-2.0121742423158066E-3</v>
      </c>
      <c r="J173" s="296"/>
      <c r="K173" s="20"/>
      <c r="L173" s="297"/>
      <c r="M173" s="275"/>
      <c r="N173" s="275"/>
      <c r="O173" s="275"/>
      <c r="P173" s="275"/>
      <c r="Q173" s="275"/>
      <c r="R173" s="275"/>
      <c r="S173" s="275"/>
      <c r="T173" s="275"/>
    </row>
    <row r="174" spans="1:20" ht="15" customHeight="1">
      <c r="A174" s="275"/>
      <c r="B174" s="303">
        <v>44173</v>
      </c>
      <c r="C174" s="304">
        <v>13392.9501953125</v>
      </c>
      <c r="D174" s="289">
        <f t="shared" si="4"/>
        <v>2.7853318093330587E-3</v>
      </c>
      <c r="E174" s="275"/>
      <c r="F174" s="290"/>
      <c r="G174" s="305">
        <v>44173</v>
      </c>
      <c r="H174" s="306">
        <v>2614.5749511689801</v>
      </c>
      <c r="I174" s="293">
        <f t="shared" si="5"/>
        <v>-1.9218223446081238E-3</v>
      </c>
      <c r="J174" s="289"/>
      <c r="K174" s="275"/>
      <c r="L174" s="290"/>
      <c r="M174" s="275"/>
      <c r="N174" s="275"/>
      <c r="O174" s="275"/>
      <c r="P174" s="275"/>
      <c r="Q174" s="275"/>
      <c r="R174" s="275"/>
      <c r="S174" s="275"/>
      <c r="T174" s="275"/>
    </row>
    <row r="175" spans="1:20" ht="15" customHeight="1">
      <c r="A175" s="20"/>
      <c r="B175" s="294">
        <v>44174</v>
      </c>
      <c r="C175" s="295">
        <v>13529.099609375</v>
      </c>
      <c r="D175" s="296">
        <f t="shared" si="4"/>
        <v>1.0165752285866931E-2</v>
      </c>
      <c r="E175" s="20"/>
      <c r="F175" s="297"/>
      <c r="G175" s="298">
        <v>44174</v>
      </c>
      <c r="H175" s="299">
        <v>2633.3505859375</v>
      </c>
      <c r="I175" s="300">
        <f t="shared" si="5"/>
        <v>7.1811422962364526E-3</v>
      </c>
      <c r="J175" s="296"/>
      <c r="K175" s="20"/>
      <c r="L175" s="297"/>
      <c r="M175" s="275"/>
      <c r="N175" s="275"/>
      <c r="O175" s="275"/>
      <c r="P175" s="275"/>
      <c r="Q175" s="275"/>
      <c r="R175" s="275"/>
      <c r="S175" s="275"/>
      <c r="T175" s="275"/>
    </row>
    <row r="176" spans="1:20" ht="15" customHeight="1">
      <c r="A176" s="275"/>
      <c r="B176" s="303">
        <v>44175</v>
      </c>
      <c r="C176" s="304">
        <v>13478.2998046875</v>
      </c>
      <c r="D176" s="289">
        <f t="shared" si="4"/>
        <v>-3.7548548058806688E-3</v>
      </c>
      <c r="E176" s="275"/>
      <c r="F176" s="290"/>
      <c r="G176" s="305">
        <v>44175</v>
      </c>
      <c r="H176" s="306">
        <v>2636.3225097685199</v>
      </c>
      <c r="I176" s="293">
        <f t="shared" si="5"/>
        <v>1.1285712760353503E-3</v>
      </c>
      <c r="J176" s="289"/>
      <c r="K176" s="275"/>
      <c r="L176" s="290"/>
      <c r="M176" s="275"/>
      <c r="N176" s="275"/>
      <c r="O176" s="275"/>
      <c r="P176" s="275"/>
      <c r="Q176" s="275"/>
      <c r="R176" s="275"/>
      <c r="S176" s="275"/>
      <c r="T176" s="275"/>
    </row>
    <row r="177" spans="1:20" ht="15" customHeight="1">
      <c r="A177" s="20"/>
      <c r="B177" s="294">
        <v>44176</v>
      </c>
      <c r="C177" s="295">
        <v>13513.849609375</v>
      </c>
      <c r="D177" s="296">
        <f t="shared" si="4"/>
        <v>2.6375585350265351E-3</v>
      </c>
      <c r="E177" s="20"/>
      <c r="F177" s="297"/>
      <c r="G177" s="298">
        <v>44176</v>
      </c>
      <c r="H177" s="299">
        <v>2628.89453125</v>
      </c>
      <c r="I177" s="300">
        <f t="shared" si="5"/>
        <v>-2.8175530463350361E-3</v>
      </c>
      <c r="J177" s="296"/>
      <c r="K177" s="20"/>
      <c r="L177" s="297"/>
      <c r="M177" s="275"/>
      <c r="N177" s="275"/>
      <c r="O177" s="275"/>
      <c r="P177" s="275"/>
      <c r="Q177" s="275"/>
      <c r="R177" s="275"/>
      <c r="S177" s="275"/>
      <c r="T177" s="275"/>
    </row>
    <row r="178" spans="1:20" ht="15" customHeight="1">
      <c r="A178" s="275"/>
      <c r="B178" s="303">
        <v>44179</v>
      </c>
      <c r="C178" s="304">
        <v>13558.150390625</v>
      </c>
      <c r="D178" s="289">
        <f t="shared" si="4"/>
        <v>3.2781762806703943E-3</v>
      </c>
      <c r="E178" s="275"/>
      <c r="F178" s="290"/>
      <c r="G178" s="305">
        <v>44179</v>
      </c>
      <c r="H178" s="306">
        <v>2569.759765625</v>
      </c>
      <c r="I178" s="293">
        <f t="shared" si="5"/>
        <v>-2.2494156734725414E-2</v>
      </c>
      <c r="J178" s="289"/>
      <c r="K178" s="275"/>
      <c r="L178" s="290"/>
      <c r="M178" s="275"/>
      <c r="N178" s="275"/>
      <c r="O178" s="275"/>
      <c r="P178" s="275"/>
      <c r="Q178" s="275"/>
      <c r="R178" s="275"/>
      <c r="S178" s="275"/>
      <c r="T178" s="275"/>
    </row>
    <row r="179" spans="1:20" ht="15" customHeight="1">
      <c r="A179" s="20"/>
      <c r="B179" s="294">
        <v>44180</v>
      </c>
      <c r="C179" s="295">
        <v>13567.849609375</v>
      </c>
      <c r="D179" s="296">
        <f t="shared" si="4"/>
        <v>7.1537919779284052E-4</v>
      </c>
      <c r="E179" s="20"/>
      <c r="F179" s="297"/>
      <c r="G179" s="298">
        <v>44180</v>
      </c>
      <c r="H179" s="299">
        <v>2568.6870117129602</v>
      </c>
      <c r="I179" s="300">
        <f t="shared" si="5"/>
        <v>-4.1745299556393946E-4</v>
      </c>
      <c r="J179" s="296"/>
      <c r="K179" s="20"/>
      <c r="L179" s="297"/>
      <c r="M179" s="275"/>
      <c r="N179" s="275"/>
      <c r="O179" s="275"/>
      <c r="P179" s="275"/>
      <c r="Q179" s="275"/>
      <c r="R179" s="275"/>
      <c r="S179" s="275"/>
      <c r="T179" s="275"/>
    </row>
    <row r="180" spans="1:20" ht="15" customHeight="1">
      <c r="A180" s="275"/>
      <c r="B180" s="303">
        <v>44181</v>
      </c>
      <c r="C180" s="304">
        <v>13682.7001953125</v>
      </c>
      <c r="D180" s="289">
        <f t="shared" si="4"/>
        <v>8.4649070592691042E-3</v>
      </c>
      <c r="E180" s="275"/>
      <c r="F180" s="290"/>
      <c r="G180" s="305">
        <v>44181</v>
      </c>
      <c r="H180" s="306">
        <v>2572.9379882870398</v>
      </c>
      <c r="I180" s="293">
        <f t="shared" si="5"/>
        <v>1.6549219716904596E-3</v>
      </c>
      <c r="J180" s="289"/>
      <c r="K180" s="275"/>
      <c r="L180" s="290"/>
      <c r="M180" s="275"/>
      <c r="N180" s="275"/>
      <c r="O180" s="275"/>
      <c r="P180" s="275"/>
      <c r="Q180" s="275"/>
      <c r="R180" s="275"/>
      <c r="S180" s="275"/>
      <c r="T180" s="275"/>
    </row>
    <row r="181" spans="1:20" ht="15" customHeight="1">
      <c r="A181" s="20"/>
      <c r="B181" s="294">
        <v>44182</v>
      </c>
      <c r="C181" s="295">
        <v>13740.7001953125</v>
      </c>
      <c r="D181" s="296">
        <f t="shared" si="4"/>
        <v>4.2389293905504104E-3</v>
      </c>
      <c r="E181" s="20"/>
      <c r="F181" s="297"/>
      <c r="G181" s="298">
        <v>44182</v>
      </c>
      <c r="H181" s="299">
        <v>2568.9348144560199</v>
      </c>
      <c r="I181" s="300">
        <f t="shared" si="5"/>
        <v>-1.5558765307379506E-3</v>
      </c>
      <c r="J181" s="296"/>
      <c r="K181" s="20"/>
      <c r="L181" s="297"/>
      <c r="M181" s="275"/>
      <c r="N181" s="275"/>
      <c r="O181" s="275"/>
      <c r="P181" s="275"/>
      <c r="Q181" s="275"/>
      <c r="R181" s="275"/>
      <c r="S181" s="275"/>
      <c r="T181" s="275"/>
    </row>
    <row r="182" spans="1:20" ht="15" customHeight="1">
      <c r="A182" s="275"/>
      <c r="B182" s="303">
        <v>44183</v>
      </c>
      <c r="C182" s="304">
        <v>13760.5498046875</v>
      </c>
      <c r="D182" s="289">
        <f t="shared" si="4"/>
        <v>1.4445849987885983E-3</v>
      </c>
      <c r="E182" s="275"/>
      <c r="F182" s="290"/>
      <c r="G182" s="305">
        <v>44183</v>
      </c>
      <c r="H182" s="306">
        <v>2587.6281738310199</v>
      </c>
      <c r="I182" s="293">
        <f t="shared" si="5"/>
        <v>7.2766966564538453E-3</v>
      </c>
      <c r="J182" s="289"/>
      <c r="K182" s="275"/>
      <c r="L182" s="290"/>
      <c r="M182" s="275"/>
      <c r="N182" s="275"/>
      <c r="O182" s="275"/>
      <c r="P182" s="275"/>
      <c r="Q182" s="275"/>
      <c r="R182" s="275"/>
      <c r="S182" s="275"/>
      <c r="T182" s="275"/>
    </row>
    <row r="183" spans="1:20" ht="15" customHeight="1">
      <c r="A183" s="20"/>
      <c r="B183" s="294">
        <v>44186</v>
      </c>
      <c r="C183" s="295">
        <v>13328.400390625</v>
      </c>
      <c r="D183" s="296">
        <f t="shared" si="4"/>
        <v>-3.1404952577933277E-2</v>
      </c>
      <c r="E183" s="20"/>
      <c r="F183" s="297"/>
      <c r="G183" s="298">
        <v>44186</v>
      </c>
      <c r="H183" s="299">
        <v>2471.0927734375</v>
      </c>
      <c r="I183" s="300">
        <f t="shared" si="5"/>
        <v>-4.5035605027049778E-2</v>
      </c>
      <c r="J183" s="296"/>
      <c r="K183" s="20"/>
      <c r="L183" s="297"/>
      <c r="M183" s="275"/>
      <c r="N183" s="275"/>
      <c r="O183" s="275"/>
      <c r="P183" s="275"/>
      <c r="Q183" s="275"/>
      <c r="R183" s="275"/>
      <c r="S183" s="275"/>
      <c r="T183" s="275"/>
    </row>
    <row r="184" spans="1:20" ht="15" customHeight="1">
      <c r="A184" s="275"/>
      <c r="B184" s="303">
        <v>44187</v>
      </c>
      <c r="C184" s="304">
        <v>13466.2998046875</v>
      </c>
      <c r="D184" s="289">
        <f t="shared" si="4"/>
        <v>1.034628387660806E-2</v>
      </c>
      <c r="E184" s="275"/>
      <c r="F184" s="290"/>
      <c r="G184" s="305">
        <v>44187</v>
      </c>
      <c r="H184" s="306">
        <v>2516.4855957060199</v>
      </c>
      <c r="I184" s="293">
        <f t="shared" si="5"/>
        <v>1.836953381777514E-2</v>
      </c>
      <c r="J184" s="289"/>
      <c r="K184" s="275"/>
      <c r="L184" s="290"/>
      <c r="M184" s="275"/>
      <c r="N184" s="275"/>
      <c r="O184" s="275"/>
      <c r="P184" s="275"/>
      <c r="Q184" s="275"/>
      <c r="R184" s="275"/>
      <c r="S184" s="275"/>
      <c r="T184" s="275"/>
    </row>
    <row r="185" spans="1:20" ht="15" customHeight="1">
      <c r="A185" s="20"/>
      <c r="B185" s="294">
        <v>44188</v>
      </c>
      <c r="C185" s="295">
        <v>13601.099609375</v>
      </c>
      <c r="D185" s="296">
        <f t="shared" si="4"/>
        <v>1.0010159185716136E-2</v>
      </c>
      <c r="E185" s="20"/>
      <c r="F185" s="297"/>
      <c r="G185" s="298">
        <v>44188</v>
      </c>
      <c r="H185" s="299">
        <v>2509.0163574189801</v>
      </c>
      <c r="I185" s="300">
        <f t="shared" si="5"/>
        <v>-2.9681228057831539E-3</v>
      </c>
      <c r="J185" s="296"/>
      <c r="K185" s="20"/>
      <c r="L185" s="297"/>
      <c r="M185" s="275"/>
      <c r="N185" s="275"/>
      <c r="O185" s="275"/>
      <c r="P185" s="275"/>
      <c r="Q185" s="275"/>
      <c r="R185" s="275"/>
      <c r="S185" s="275"/>
      <c r="T185" s="275"/>
    </row>
    <row r="186" spans="1:20" ht="15" customHeight="1">
      <c r="A186" s="275"/>
      <c r="B186" s="303">
        <v>44189</v>
      </c>
      <c r="C186" s="304">
        <v>13749.25</v>
      </c>
      <c r="D186" s="289">
        <f t="shared" si="4"/>
        <v>1.0892530374741357E-2</v>
      </c>
      <c r="E186" s="275"/>
      <c r="F186" s="290"/>
      <c r="G186" s="305">
        <v>44189</v>
      </c>
      <c r="H186" s="306">
        <v>2536.29296875</v>
      </c>
      <c r="I186" s="293">
        <f t="shared" si="5"/>
        <v>1.0871436230523151E-2</v>
      </c>
      <c r="J186" s="289"/>
      <c r="K186" s="275"/>
      <c r="L186" s="290"/>
      <c r="M186" s="275"/>
      <c r="N186" s="275"/>
      <c r="O186" s="275"/>
      <c r="P186" s="275"/>
      <c r="Q186" s="275"/>
      <c r="R186" s="275"/>
      <c r="S186" s="275"/>
      <c r="T186" s="275"/>
    </row>
    <row r="187" spans="1:20" ht="15" customHeight="1">
      <c r="A187" s="20"/>
      <c r="B187" s="294">
        <v>44193</v>
      </c>
      <c r="C187" s="295">
        <v>13873.2001953125</v>
      </c>
      <c r="D187" s="296">
        <f t="shared" si="4"/>
        <v>9.0150513891666811E-3</v>
      </c>
      <c r="E187" s="20"/>
      <c r="F187" s="297"/>
      <c r="G187" s="298">
        <v>44193</v>
      </c>
      <c r="H187" s="299">
        <v>2544.1335449189801</v>
      </c>
      <c r="I187" s="300">
        <f t="shared" si="5"/>
        <v>3.0913527205196131E-3</v>
      </c>
      <c r="J187" s="296"/>
      <c r="K187" s="20"/>
      <c r="L187" s="297"/>
      <c r="M187" s="275"/>
      <c r="N187" s="275"/>
      <c r="O187" s="275"/>
      <c r="P187" s="275"/>
      <c r="Q187" s="275"/>
      <c r="R187" s="275"/>
      <c r="S187" s="275"/>
      <c r="T187" s="275"/>
    </row>
    <row r="188" spans="1:20" ht="15" customHeight="1">
      <c r="A188" s="275"/>
      <c r="B188" s="303">
        <v>44194</v>
      </c>
      <c r="C188" s="304">
        <v>13932.599609375</v>
      </c>
      <c r="D188" s="289">
        <f t="shared" si="4"/>
        <v>4.281594241144878E-3</v>
      </c>
      <c r="E188" s="275"/>
      <c r="F188" s="290"/>
      <c r="G188" s="305">
        <v>44194</v>
      </c>
      <c r="H188" s="306">
        <v>2537.0363769560199</v>
      </c>
      <c r="I188" s="293">
        <f t="shared" si="5"/>
        <v>-2.7896208424806456E-3</v>
      </c>
      <c r="J188" s="289"/>
      <c r="K188" s="275"/>
      <c r="L188" s="290"/>
      <c r="M188" s="275"/>
      <c r="N188" s="275"/>
      <c r="O188" s="275"/>
      <c r="P188" s="275"/>
      <c r="Q188" s="275"/>
      <c r="R188" s="275"/>
      <c r="S188" s="275"/>
      <c r="T188" s="275"/>
    </row>
    <row r="189" spans="1:20" ht="15" customHeight="1">
      <c r="A189" s="20"/>
      <c r="B189" s="294">
        <v>44195</v>
      </c>
      <c r="C189" s="295">
        <v>13981.9501953125</v>
      </c>
      <c r="D189" s="296">
        <f t="shared" si="4"/>
        <v>3.542094606974341E-3</v>
      </c>
      <c r="E189" s="20"/>
      <c r="F189" s="297"/>
      <c r="G189" s="298">
        <v>44195</v>
      </c>
      <c r="H189" s="299">
        <v>2559.6501464814801</v>
      </c>
      <c r="I189" s="300">
        <f t="shared" si="5"/>
        <v>8.9134589203614598E-3</v>
      </c>
      <c r="J189" s="296"/>
      <c r="K189" s="20"/>
      <c r="L189" s="297"/>
      <c r="M189" s="275"/>
      <c r="N189" s="275"/>
      <c r="O189" s="275"/>
      <c r="P189" s="275"/>
      <c r="Q189" s="275"/>
      <c r="R189" s="275"/>
      <c r="S189" s="275"/>
      <c r="T189" s="275"/>
    </row>
    <row r="190" spans="1:20" ht="15" customHeight="1">
      <c r="A190" s="275"/>
      <c r="B190" s="303">
        <v>44196</v>
      </c>
      <c r="C190" s="304">
        <v>13981.75</v>
      </c>
      <c r="D190" s="289">
        <f t="shared" si="4"/>
        <v>-1.4318125133010144E-5</v>
      </c>
      <c r="E190" s="275"/>
      <c r="F190" s="290"/>
      <c r="G190" s="305">
        <v>44196</v>
      </c>
      <c r="H190" s="306">
        <v>2566.7475585879602</v>
      </c>
      <c r="I190" s="293">
        <f t="shared" si="5"/>
        <v>2.7728055399431246E-3</v>
      </c>
      <c r="J190" s="289"/>
      <c r="K190" s="275"/>
      <c r="L190" s="290"/>
      <c r="M190" s="275"/>
      <c r="N190" s="275"/>
      <c r="O190" s="275"/>
      <c r="P190" s="275"/>
      <c r="Q190" s="275"/>
      <c r="R190" s="275"/>
      <c r="S190" s="275"/>
      <c r="T190" s="275"/>
    </row>
    <row r="191" spans="1:20" ht="15" customHeight="1">
      <c r="A191" s="20"/>
      <c r="B191" s="294">
        <v>44197</v>
      </c>
      <c r="C191" s="295">
        <v>14018.5</v>
      </c>
      <c r="D191" s="296">
        <f t="shared" si="4"/>
        <v>2.6284263414808589E-3</v>
      </c>
      <c r="E191" s="20"/>
      <c r="F191" s="297"/>
      <c r="G191" s="298">
        <v>44197</v>
      </c>
      <c r="H191" s="299">
        <v>2560.6813964814801</v>
      </c>
      <c r="I191" s="300">
        <f t="shared" si="5"/>
        <v>-2.3633652971378474E-3</v>
      </c>
      <c r="J191" s="296"/>
      <c r="K191" s="20"/>
      <c r="L191" s="297"/>
      <c r="M191" s="275"/>
      <c r="N191" s="275"/>
      <c r="O191" s="275"/>
      <c r="P191" s="275"/>
      <c r="Q191" s="275"/>
      <c r="R191" s="275"/>
      <c r="S191" s="275"/>
      <c r="T191" s="275"/>
    </row>
    <row r="192" spans="1:20" ht="15" customHeight="1">
      <c r="A192" s="275"/>
      <c r="B192" s="303">
        <v>44200</v>
      </c>
      <c r="C192" s="304">
        <v>14132.900390625</v>
      </c>
      <c r="D192" s="289">
        <f t="shared" si="4"/>
        <v>8.1606727271106034E-3</v>
      </c>
      <c r="E192" s="275"/>
      <c r="F192" s="290"/>
      <c r="G192" s="305">
        <v>44200</v>
      </c>
      <c r="H192" s="306">
        <v>2512.1528320370398</v>
      </c>
      <c r="I192" s="293">
        <f t="shared" si="5"/>
        <v>-1.895142617551766E-2</v>
      </c>
      <c r="J192" s="289"/>
      <c r="K192" s="275"/>
      <c r="L192" s="290"/>
      <c r="M192" s="275"/>
      <c r="N192" s="275"/>
      <c r="O192" s="275"/>
      <c r="P192" s="275"/>
      <c r="Q192" s="275"/>
      <c r="R192" s="275"/>
      <c r="S192" s="275"/>
      <c r="T192" s="275"/>
    </row>
    <row r="193" spans="1:20" ht="15" customHeight="1">
      <c r="A193" s="20"/>
      <c r="B193" s="294">
        <v>44201</v>
      </c>
      <c r="C193" s="295">
        <v>14199.5</v>
      </c>
      <c r="D193" s="296">
        <f t="shared" si="4"/>
        <v>4.7123808655142414E-3</v>
      </c>
      <c r="E193" s="20"/>
      <c r="F193" s="297"/>
      <c r="G193" s="298">
        <v>44201</v>
      </c>
      <c r="H193" s="299">
        <v>2531.423828125</v>
      </c>
      <c r="I193" s="300">
        <f t="shared" si="5"/>
        <v>7.671108159583509E-3</v>
      </c>
      <c r="J193" s="296"/>
      <c r="K193" s="20"/>
      <c r="L193" s="297"/>
      <c r="M193" s="275"/>
      <c r="N193" s="275"/>
      <c r="O193" s="275"/>
      <c r="P193" s="275"/>
      <c r="Q193" s="275"/>
      <c r="R193" s="275"/>
      <c r="S193" s="275"/>
      <c r="T193" s="275"/>
    </row>
    <row r="194" spans="1:20" ht="15" customHeight="1">
      <c r="A194" s="275"/>
      <c r="B194" s="303">
        <v>44202</v>
      </c>
      <c r="C194" s="304">
        <v>14146.25</v>
      </c>
      <c r="D194" s="289">
        <f t="shared" si="4"/>
        <v>-3.7501320469030598E-3</v>
      </c>
      <c r="E194" s="275"/>
      <c r="F194" s="290"/>
      <c r="G194" s="305">
        <v>44202</v>
      </c>
      <c r="H194" s="306">
        <v>2544.91796875</v>
      </c>
      <c r="I194" s="293">
        <f t="shared" si="5"/>
        <v>5.3306524474785299E-3</v>
      </c>
      <c r="J194" s="289"/>
      <c r="K194" s="275"/>
      <c r="L194" s="290"/>
      <c r="M194" s="275"/>
      <c r="N194" s="275"/>
      <c r="O194" s="275"/>
      <c r="P194" s="275"/>
      <c r="Q194" s="275"/>
      <c r="R194" s="275"/>
      <c r="S194" s="275"/>
      <c r="T194" s="275"/>
    </row>
    <row r="195" spans="1:20" ht="15" customHeight="1">
      <c r="A195" s="20"/>
      <c r="B195" s="294">
        <v>44203</v>
      </c>
      <c r="C195" s="295">
        <v>14137.349609375</v>
      </c>
      <c r="D195" s="296">
        <f t="shared" si="4"/>
        <v>-6.2916961208800914E-4</v>
      </c>
      <c r="E195" s="20"/>
      <c r="F195" s="297"/>
      <c r="G195" s="298">
        <v>44203</v>
      </c>
      <c r="H195" s="299">
        <v>2521.5610351620398</v>
      </c>
      <c r="I195" s="300">
        <f t="shared" si="5"/>
        <v>-9.1778728724338805E-3</v>
      </c>
      <c r="J195" s="296"/>
      <c r="K195" s="20"/>
      <c r="L195" s="297"/>
      <c r="M195" s="275"/>
      <c r="N195" s="275"/>
      <c r="O195" s="275"/>
      <c r="P195" s="275"/>
      <c r="Q195" s="275"/>
      <c r="R195" s="275"/>
      <c r="S195" s="275"/>
      <c r="T195" s="275"/>
    </row>
    <row r="196" spans="1:20" ht="15" customHeight="1">
      <c r="A196" s="275"/>
      <c r="B196" s="303">
        <v>44204</v>
      </c>
      <c r="C196" s="304">
        <v>14347.25</v>
      </c>
      <c r="D196" s="289">
        <f t="shared" si="4"/>
        <v>1.4847223590326102E-2</v>
      </c>
      <c r="E196" s="275"/>
      <c r="F196" s="290"/>
      <c r="G196" s="305">
        <v>44204</v>
      </c>
      <c r="H196" s="306">
        <v>2608.921875</v>
      </c>
      <c r="I196" s="293">
        <f t="shared" si="5"/>
        <v>3.464553846595516E-2</v>
      </c>
      <c r="J196" s="289"/>
      <c r="K196" s="275"/>
      <c r="L196" s="290"/>
      <c r="M196" s="275"/>
      <c r="N196" s="275"/>
      <c r="O196" s="275"/>
      <c r="P196" s="275"/>
      <c r="Q196" s="275"/>
      <c r="R196" s="275"/>
      <c r="S196" s="275"/>
      <c r="T196" s="275"/>
    </row>
    <row r="197" spans="1:20" ht="15" customHeight="1">
      <c r="A197" s="20"/>
      <c r="B197" s="294">
        <v>44207</v>
      </c>
      <c r="C197" s="295">
        <v>14484.75</v>
      </c>
      <c r="D197" s="296">
        <f t="shared" ref="D197:D260" si="6">(C197-C196)/C196</f>
        <v>9.5837181341372046E-3</v>
      </c>
      <c r="E197" s="20"/>
      <c r="F197" s="297"/>
      <c r="G197" s="298">
        <v>44207</v>
      </c>
      <c r="H197" s="299">
        <v>2639.1281738310199</v>
      </c>
      <c r="I197" s="300">
        <f t="shared" ref="I197:I260" si="7">(H197-H196)/H196</f>
        <v>1.1578077182176995E-2</v>
      </c>
      <c r="J197" s="296"/>
      <c r="K197" s="20"/>
      <c r="L197" s="297"/>
      <c r="M197" s="275"/>
      <c r="N197" s="275"/>
      <c r="O197" s="275"/>
      <c r="P197" s="275"/>
      <c r="Q197" s="275"/>
      <c r="R197" s="275"/>
      <c r="S197" s="275"/>
      <c r="T197" s="275"/>
    </row>
    <row r="198" spans="1:20" ht="15" customHeight="1">
      <c r="A198" s="275"/>
      <c r="B198" s="303">
        <v>44208</v>
      </c>
      <c r="C198" s="304">
        <v>14563.4501953125</v>
      </c>
      <c r="D198" s="289">
        <f t="shared" si="6"/>
        <v>5.4333140242323824E-3</v>
      </c>
      <c r="E198" s="275"/>
      <c r="F198" s="290"/>
      <c r="G198" s="305">
        <v>44208</v>
      </c>
      <c r="H198" s="306">
        <v>2680.8479003935199</v>
      </c>
      <c r="I198" s="293">
        <f t="shared" si="7"/>
        <v>1.5808147166243416E-2</v>
      </c>
      <c r="J198" s="289"/>
      <c r="K198" s="275"/>
      <c r="L198" s="290"/>
      <c r="M198" s="275"/>
      <c r="N198" s="275"/>
      <c r="O198" s="275"/>
      <c r="P198" s="275"/>
      <c r="Q198" s="275"/>
      <c r="R198" s="275"/>
      <c r="S198" s="275"/>
      <c r="T198" s="275"/>
    </row>
    <row r="199" spans="1:20" ht="15" customHeight="1">
      <c r="A199" s="20"/>
      <c r="B199" s="294">
        <v>44209</v>
      </c>
      <c r="C199" s="295">
        <v>14564.849609375</v>
      </c>
      <c r="D199" s="296">
        <f t="shared" si="6"/>
        <v>9.6090833128981056E-5</v>
      </c>
      <c r="E199" s="20"/>
      <c r="F199" s="297"/>
      <c r="G199" s="298">
        <v>44209</v>
      </c>
      <c r="H199" s="299">
        <v>2687.9050292939801</v>
      </c>
      <c r="I199" s="300">
        <f t="shared" si="7"/>
        <v>2.6324242040826878E-3</v>
      </c>
      <c r="J199" s="296"/>
      <c r="K199" s="20"/>
      <c r="L199" s="297"/>
      <c r="M199" s="275"/>
      <c r="N199" s="275"/>
      <c r="O199" s="275"/>
      <c r="P199" s="275"/>
      <c r="Q199" s="275"/>
      <c r="R199" s="275"/>
      <c r="S199" s="275"/>
      <c r="T199" s="275"/>
    </row>
    <row r="200" spans="1:20" ht="15" customHeight="1">
      <c r="A200" s="275"/>
      <c r="B200" s="303">
        <v>44210</v>
      </c>
      <c r="C200" s="304">
        <v>14595.599609375</v>
      </c>
      <c r="D200" s="289">
        <f t="shared" si="6"/>
        <v>2.1112473403231747E-3</v>
      </c>
      <c r="E200" s="275"/>
      <c r="F200" s="290"/>
      <c r="G200" s="305">
        <v>44210</v>
      </c>
      <c r="H200" s="306">
        <v>2695.9931640625</v>
      </c>
      <c r="I200" s="293">
        <f t="shared" si="7"/>
        <v>3.0090850236045713E-3</v>
      </c>
      <c r="J200" s="289"/>
      <c r="K200" s="275"/>
      <c r="L200" s="290"/>
      <c r="M200" s="275"/>
      <c r="N200" s="275"/>
      <c r="O200" s="275"/>
      <c r="P200" s="275"/>
      <c r="Q200" s="275"/>
      <c r="R200" s="275"/>
      <c r="S200" s="275"/>
      <c r="T200" s="275"/>
    </row>
    <row r="201" spans="1:20" ht="15" customHeight="1">
      <c r="A201" s="20"/>
      <c r="B201" s="294">
        <v>44211</v>
      </c>
      <c r="C201" s="295">
        <v>14433.7001953125</v>
      </c>
      <c r="D201" s="296">
        <f t="shared" si="6"/>
        <v>-1.1092344158201577E-2</v>
      </c>
      <c r="E201" s="20"/>
      <c r="F201" s="297"/>
      <c r="G201" s="298">
        <v>44211</v>
      </c>
      <c r="H201" s="299">
        <v>2643.5026855439801</v>
      </c>
      <c r="I201" s="300">
        <f t="shared" si="7"/>
        <v>-1.9469811429129819E-2</v>
      </c>
      <c r="J201" s="296"/>
      <c r="K201" s="20"/>
      <c r="L201" s="297"/>
      <c r="M201" s="275"/>
      <c r="N201" s="275"/>
      <c r="O201" s="275"/>
      <c r="P201" s="275"/>
      <c r="Q201" s="275"/>
      <c r="R201" s="275"/>
      <c r="S201" s="275"/>
      <c r="T201" s="275"/>
    </row>
    <row r="202" spans="1:20" ht="15" customHeight="1">
      <c r="A202" s="275"/>
      <c r="B202" s="303">
        <v>44214</v>
      </c>
      <c r="C202" s="304">
        <v>14281.2998046875</v>
      </c>
      <c r="D202" s="289">
        <f t="shared" si="6"/>
        <v>-1.0558650142566607E-2</v>
      </c>
      <c r="E202" s="275"/>
      <c r="F202" s="290"/>
      <c r="G202" s="305">
        <v>44214</v>
      </c>
      <c r="H202" s="306">
        <v>2610.6130371064801</v>
      </c>
      <c r="I202" s="293">
        <f t="shared" si="7"/>
        <v>-1.2441692840849892E-2</v>
      </c>
      <c r="J202" s="289"/>
      <c r="K202" s="275"/>
      <c r="L202" s="290"/>
      <c r="M202" s="275"/>
      <c r="N202" s="275"/>
      <c r="O202" s="275"/>
      <c r="P202" s="275"/>
      <c r="Q202" s="275"/>
      <c r="R202" s="275"/>
      <c r="S202" s="275"/>
      <c r="T202" s="275"/>
    </row>
    <row r="203" spans="1:20" ht="15" customHeight="1">
      <c r="A203" s="20"/>
      <c r="B203" s="294">
        <v>44215</v>
      </c>
      <c r="C203" s="295">
        <v>14521.150390625</v>
      </c>
      <c r="D203" s="296">
        <f t="shared" si="6"/>
        <v>1.6794730817062932E-2</v>
      </c>
      <c r="E203" s="20"/>
      <c r="F203" s="297"/>
      <c r="G203" s="298">
        <v>44215</v>
      </c>
      <c r="H203" s="299">
        <v>2668.1794433564801</v>
      </c>
      <c r="I203" s="300">
        <f t="shared" si="7"/>
        <v>2.205091502714809E-2</v>
      </c>
      <c r="J203" s="296"/>
      <c r="K203" s="20"/>
      <c r="L203" s="297"/>
      <c r="M203" s="275"/>
      <c r="N203" s="275"/>
      <c r="O203" s="275"/>
      <c r="P203" s="275"/>
      <c r="Q203" s="275"/>
      <c r="R203" s="275"/>
      <c r="S203" s="275"/>
      <c r="T203" s="275"/>
    </row>
    <row r="204" spans="1:20" ht="15" customHeight="1">
      <c r="A204" s="275"/>
      <c r="B204" s="303">
        <v>44216</v>
      </c>
      <c r="C204" s="304">
        <v>14644.7001953125</v>
      </c>
      <c r="D204" s="289">
        <f t="shared" si="6"/>
        <v>8.5082656238630369E-3</v>
      </c>
      <c r="E204" s="275"/>
      <c r="F204" s="290"/>
      <c r="G204" s="305">
        <v>44216</v>
      </c>
      <c r="H204" s="306">
        <v>2703.4208984375</v>
      </c>
      <c r="I204" s="293">
        <f t="shared" si="7"/>
        <v>1.3208052842460759E-2</v>
      </c>
      <c r="J204" s="289"/>
      <c r="K204" s="275"/>
      <c r="L204" s="290"/>
      <c r="M204" s="275"/>
      <c r="N204" s="275"/>
      <c r="O204" s="275"/>
      <c r="P204" s="275"/>
      <c r="Q204" s="275"/>
      <c r="R204" s="275"/>
      <c r="S204" s="275"/>
      <c r="T204" s="275"/>
    </row>
    <row r="205" spans="1:20" ht="15" customHeight="1">
      <c r="A205" s="20"/>
      <c r="B205" s="294">
        <v>44217</v>
      </c>
      <c r="C205" s="295">
        <v>14590.349609375</v>
      </c>
      <c r="D205" s="296">
        <f t="shared" si="6"/>
        <v>-3.7112802046228729E-3</v>
      </c>
      <c r="E205" s="20"/>
      <c r="F205" s="297"/>
      <c r="G205" s="298">
        <v>44217</v>
      </c>
      <c r="H205" s="299">
        <v>2680.0642089814801</v>
      </c>
      <c r="I205" s="300">
        <f t="shared" si="7"/>
        <v>-8.639679255834495E-3</v>
      </c>
      <c r="J205" s="296"/>
      <c r="K205" s="20"/>
      <c r="L205" s="297"/>
      <c r="M205" s="275"/>
      <c r="N205" s="275"/>
      <c r="O205" s="275"/>
      <c r="P205" s="275"/>
      <c r="Q205" s="275"/>
      <c r="R205" s="275"/>
      <c r="S205" s="275"/>
      <c r="T205" s="275"/>
    </row>
    <row r="206" spans="1:20" ht="15" customHeight="1">
      <c r="A206" s="275"/>
      <c r="B206" s="303">
        <v>44218</v>
      </c>
      <c r="C206" s="304">
        <v>14371.900390625</v>
      </c>
      <c r="D206" s="289">
        <f t="shared" si="6"/>
        <v>-1.4972171647596155E-2</v>
      </c>
      <c r="E206" s="275"/>
      <c r="F206" s="290"/>
      <c r="G206" s="305">
        <v>44218</v>
      </c>
      <c r="H206" s="306">
        <v>2785.375</v>
      </c>
      <c r="I206" s="293">
        <f t="shared" si="7"/>
        <v>3.9294129844203163E-2</v>
      </c>
      <c r="J206" s="289"/>
      <c r="K206" s="275"/>
      <c r="L206" s="290"/>
      <c r="M206" s="275"/>
      <c r="N206" s="275"/>
      <c r="O206" s="275"/>
      <c r="P206" s="275"/>
      <c r="Q206" s="275"/>
      <c r="R206" s="275"/>
      <c r="S206" s="275"/>
      <c r="T206" s="275"/>
    </row>
    <row r="207" spans="1:20" ht="15" customHeight="1">
      <c r="A207" s="20"/>
      <c r="B207" s="294">
        <v>44221</v>
      </c>
      <c r="C207" s="295">
        <v>14238.900390625</v>
      </c>
      <c r="D207" s="296">
        <f t="shared" si="6"/>
        <v>-9.2541693433081298E-3</v>
      </c>
      <c r="E207" s="20"/>
      <c r="F207" s="297"/>
      <c r="G207" s="298">
        <v>44221</v>
      </c>
      <c r="H207" s="299">
        <v>2867.9484863310199</v>
      </c>
      <c r="I207" s="300">
        <f t="shared" si="7"/>
        <v>2.9645374978600699E-2</v>
      </c>
      <c r="J207" s="296"/>
      <c r="K207" s="20"/>
      <c r="L207" s="297"/>
      <c r="M207" s="275"/>
      <c r="N207" s="275"/>
      <c r="O207" s="275"/>
      <c r="P207" s="275"/>
      <c r="Q207" s="275"/>
      <c r="R207" s="275"/>
      <c r="S207" s="275"/>
      <c r="T207" s="275"/>
    </row>
    <row r="208" spans="1:20" ht="15" customHeight="1">
      <c r="A208" s="275"/>
      <c r="B208" s="303">
        <v>44223</v>
      </c>
      <c r="C208" s="304">
        <v>13967.5</v>
      </c>
      <c r="D208" s="289">
        <f t="shared" si="6"/>
        <v>-1.9060488041878015E-2</v>
      </c>
      <c r="E208" s="275"/>
      <c r="F208" s="290"/>
      <c r="G208" s="305">
        <v>44223</v>
      </c>
      <c r="H208" s="306">
        <v>2771.880859375</v>
      </c>
      <c r="I208" s="293">
        <f t="shared" si="7"/>
        <v>-3.349698483563758E-2</v>
      </c>
      <c r="J208" s="289"/>
      <c r="K208" s="275"/>
      <c r="L208" s="290"/>
      <c r="M208" s="275"/>
      <c r="N208" s="275"/>
      <c r="O208" s="275"/>
      <c r="P208" s="275"/>
      <c r="Q208" s="275"/>
      <c r="R208" s="275"/>
      <c r="S208" s="275"/>
      <c r="T208" s="275"/>
    </row>
    <row r="209" spans="1:20" ht="15" customHeight="1">
      <c r="A209" s="20"/>
      <c r="B209" s="294">
        <v>44224</v>
      </c>
      <c r="C209" s="295">
        <v>13817.5498046875</v>
      </c>
      <c r="D209" s="296">
        <f t="shared" si="6"/>
        <v>-1.0735650281904421E-2</v>
      </c>
      <c r="E209" s="20"/>
      <c r="F209" s="297"/>
      <c r="G209" s="298">
        <v>44224</v>
      </c>
      <c r="H209" s="299">
        <v>2803.9448242129602</v>
      </c>
      <c r="I209" s="300">
        <f t="shared" si="7"/>
        <v>1.1567584057415042E-2</v>
      </c>
      <c r="J209" s="296"/>
      <c r="K209" s="20"/>
      <c r="L209" s="297"/>
      <c r="M209" s="275"/>
      <c r="N209" s="275"/>
      <c r="O209" s="275"/>
      <c r="P209" s="275"/>
      <c r="Q209" s="275"/>
      <c r="R209" s="275"/>
      <c r="S209" s="275"/>
      <c r="T209" s="275"/>
    </row>
    <row r="210" spans="1:20" ht="15" customHeight="1">
      <c r="A210" s="275"/>
      <c r="B210" s="303">
        <v>44225</v>
      </c>
      <c r="C210" s="304">
        <v>13634.599609375</v>
      </c>
      <c r="D210" s="289">
        <f t="shared" si="6"/>
        <v>-1.3240422354072899E-2</v>
      </c>
      <c r="E210" s="275"/>
      <c r="F210" s="290"/>
      <c r="G210" s="305">
        <v>44225</v>
      </c>
      <c r="H210" s="306">
        <v>2687.2856445370398</v>
      </c>
      <c r="I210" s="293">
        <f t="shared" si="7"/>
        <v>-4.1605376349966305E-2</v>
      </c>
      <c r="J210" s="289"/>
      <c r="K210" s="275"/>
      <c r="L210" s="290"/>
      <c r="M210" s="275"/>
      <c r="N210" s="275"/>
      <c r="O210" s="275"/>
      <c r="P210" s="275"/>
      <c r="Q210" s="275"/>
      <c r="R210" s="275"/>
      <c r="S210" s="275"/>
      <c r="T210" s="275"/>
    </row>
    <row r="211" spans="1:20" ht="15" customHeight="1">
      <c r="A211" s="20"/>
      <c r="B211" s="294">
        <v>44228</v>
      </c>
      <c r="C211" s="295">
        <v>14281.2001953125</v>
      </c>
      <c r="D211" s="296">
        <f t="shared" si="6"/>
        <v>4.7423511101338432E-2</v>
      </c>
      <c r="E211" s="20"/>
      <c r="F211" s="297"/>
      <c r="G211" s="298">
        <v>44228</v>
      </c>
      <c r="H211" s="299">
        <v>2757.1079101620398</v>
      </c>
      <c r="I211" s="300">
        <f t="shared" si="7"/>
        <v>2.5982450271686261E-2</v>
      </c>
      <c r="J211" s="296"/>
      <c r="K211" s="20"/>
      <c r="L211" s="297"/>
      <c r="M211" s="275"/>
      <c r="N211" s="275"/>
      <c r="O211" s="275"/>
      <c r="P211" s="275"/>
      <c r="Q211" s="275"/>
      <c r="R211" s="275"/>
      <c r="S211" s="275"/>
      <c r="T211" s="275"/>
    </row>
    <row r="212" spans="1:20" ht="15" customHeight="1">
      <c r="A212" s="275"/>
      <c r="B212" s="303">
        <v>44229</v>
      </c>
      <c r="C212" s="304">
        <v>14647.849609375</v>
      </c>
      <c r="D212" s="289">
        <f t="shared" si="6"/>
        <v>2.5673571481957438E-2</v>
      </c>
      <c r="E212" s="275"/>
      <c r="F212" s="290"/>
      <c r="G212" s="305">
        <v>44229</v>
      </c>
      <c r="H212" s="306">
        <v>2718.4829101620398</v>
      </c>
      <c r="I212" s="293">
        <f t="shared" si="7"/>
        <v>-1.4009244925683719E-2</v>
      </c>
      <c r="J212" s="289"/>
      <c r="K212" s="275"/>
      <c r="L212" s="290"/>
      <c r="M212" s="275"/>
      <c r="N212" s="275"/>
      <c r="O212" s="275"/>
      <c r="P212" s="275"/>
      <c r="Q212" s="275"/>
      <c r="R212" s="275"/>
      <c r="S212" s="275"/>
      <c r="T212" s="275"/>
    </row>
    <row r="213" spans="1:20" ht="15" customHeight="1">
      <c r="A213" s="20"/>
      <c r="B213" s="294">
        <v>44230</v>
      </c>
      <c r="C213" s="295">
        <v>14789.9501953125</v>
      </c>
      <c r="D213" s="296">
        <f t="shared" si="6"/>
        <v>9.7011226717232252E-3</v>
      </c>
      <c r="E213" s="20"/>
      <c r="F213" s="297"/>
      <c r="G213" s="298">
        <v>44230</v>
      </c>
      <c r="H213" s="299">
        <v>2790.2446289120398</v>
      </c>
      <c r="I213" s="300">
        <f t="shared" si="7"/>
        <v>2.6397708251814068E-2</v>
      </c>
      <c r="J213" s="296"/>
      <c r="K213" s="20"/>
      <c r="L213" s="297"/>
      <c r="M213" s="275"/>
      <c r="N213" s="275"/>
      <c r="O213" s="275"/>
      <c r="P213" s="275"/>
      <c r="Q213" s="275"/>
      <c r="R213" s="275"/>
      <c r="S213" s="275"/>
      <c r="T213" s="275"/>
    </row>
    <row r="214" spans="1:20" ht="15" customHeight="1">
      <c r="A214" s="275"/>
      <c r="B214" s="303">
        <v>44231</v>
      </c>
      <c r="C214" s="304">
        <v>14895.650390625</v>
      </c>
      <c r="D214" s="289">
        <f t="shared" si="6"/>
        <v>7.146758029381358E-3</v>
      </c>
      <c r="E214" s="275"/>
      <c r="F214" s="290"/>
      <c r="G214" s="305">
        <v>44231</v>
      </c>
      <c r="H214" s="306">
        <v>2839.6809082060199</v>
      </c>
      <c r="I214" s="293">
        <f t="shared" si="7"/>
        <v>1.7717543036094314E-2</v>
      </c>
      <c r="J214" s="289"/>
      <c r="K214" s="275"/>
      <c r="L214" s="290"/>
      <c r="M214" s="275"/>
      <c r="N214" s="275"/>
      <c r="O214" s="275"/>
      <c r="P214" s="275"/>
      <c r="Q214" s="275"/>
      <c r="R214" s="275"/>
      <c r="S214" s="275"/>
      <c r="T214" s="275"/>
    </row>
    <row r="215" spans="1:20" ht="15" customHeight="1">
      <c r="A215" s="20"/>
      <c r="B215" s="294">
        <v>44232</v>
      </c>
      <c r="C215" s="295">
        <v>14924.25</v>
      </c>
      <c r="D215" s="296">
        <f t="shared" si="6"/>
        <v>1.919997356610892E-3</v>
      </c>
      <c r="E215" s="20"/>
      <c r="F215" s="297"/>
      <c r="G215" s="298">
        <v>44232</v>
      </c>
      <c r="H215" s="299">
        <v>2830.1899414120398</v>
      </c>
      <c r="I215" s="300">
        <f t="shared" si="7"/>
        <v>-3.342265240630869E-3</v>
      </c>
      <c r="J215" s="296"/>
      <c r="K215" s="20"/>
      <c r="L215" s="297"/>
      <c r="M215" s="275"/>
      <c r="N215" s="275"/>
      <c r="O215" s="275"/>
      <c r="P215" s="275"/>
      <c r="Q215" s="275"/>
      <c r="R215" s="275"/>
      <c r="S215" s="275"/>
      <c r="T215" s="275"/>
    </row>
    <row r="216" spans="1:20" ht="15" customHeight="1">
      <c r="A216" s="275"/>
      <c r="B216" s="303">
        <v>44235</v>
      </c>
      <c r="C216" s="304">
        <v>15115.7998046875</v>
      </c>
      <c r="D216" s="289">
        <f t="shared" si="6"/>
        <v>1.2834802732968156E-2</v>
      </c>
      <c r="E216" s="275"/>
      <c r="F216" s="290"/>
      <c r="G216" s="305">
        <v>44235</v>
      </c>
      <c r="H216" s="306">
        <v>2884.49609375</v>
      </c>
      <c r="I216" s="293">
        <f t="shared" si="7"/>
        <v>1.918816526881786E-2</v>
      </c>
      <c r="J216" s="289"/>
      <c r="K216" s="275"/>
      <c r="L216" s="290"/>
      <c r="M216" s="275"/>
      <c r="N216" s="275"/>
      <c r="O216" s="275"/>
      <c r="P216" s="275"/>
      <c r="Q216" s="275"/>
      <c r="R216" s="275"/>
      <c r="S216" s="275"/>
      <c r="T216" s="275"/>
    </row>
    <row r="217" spans="1:20" ht="15" customHeight="1">
      <c r="A217" s="20"/>
      <c r="B217" s="294">
        <v>44236</v>
      </c>
      <c r="C217" s="295">
        <v>15109.2998046875</v>
      </c>
      <c r="D217" s="296">
        <f t="shared" si="6"/>
        <v>-4.3001363368045607E-4</v>
      </c>
      <c r="E217" s="20"/>
      <c r="F217" s="297"/>
      <c r="G217" s="298">
        <v>44236</v>
      </c>
      <c r="H217" s="299">
        <v>2888.1687011689801</v>
      </c>
      <c r="I217" s="300">
        <f t="shared" si="7"/>
        <v>1.2732232249985443E-3</v>
      </c>
      <c r="J217" s="296"/>
      <c r="K217" s="20"/>
      <c r="L217" s="297"/>
      <c r="M217" s="275"/>
      <c r="N217" s="275"/>
      <c r="O217" s="275"/>
      <c r="P217" s="275"/>
      <c r="Q217" s="275"/>
      <c r="R217" s="275"/>
      <c r="S217" s="275"/>
      <c r="T217" s="275"/>
    </row>
    <row r="218" spans="1:20" ht="15" customHeight="1">
      <c r="A218" s="275"/>
      <c r="B218" s="303">
        <v>44237</v>
      </c>
      <c r="C218" s="304">
        <v>15106.5</v>
      </c>
      <c r="D218" s="289">
        <f t="shared" si="6"/>
        <v>-1.8530340410820298E-4</v>
      </c>
      <c r="E218" s="275"/>
      <c r="F218" s="290"/>
      <c r="G218" s="305">
        <v>44237</v>
      </c>
      <c r="H218" s="306">
        <v>2920.7687988310199</v>
      </c>
      <c r="I218" s="293">
        <f t="shared" si="7"/>
        <v>1.1287463107277986E-2</v>
      </c>
      <c r="J218" s="289"/>
      <c r="K218" s="275"/>
      <c r="L218" s="290"/>
      <c r="M218" s="275"/>
      <c r="N218" s="275"/>
      <c r="O218" s="275"/>
      <c r="P218" s="275"/>
      <c r="Q218" s="275"/>
      <c r="R218" s="275"/>
      <c r="S218" s="275"/>
      <c r="T218" s="275"/>
    </row>
    <row r="219" spans="1:20" ht="15" customHeight="1">
      <c r="A219" s="20"/>
      <c r="B219" s="294">
        <v>44238</v>
      </c>
      <c r="C219" s="295">
        <v>15173.2998046875</v>
      </c>
      <c r="D219" s="296">
        <f t="shared" si="6"/>
        <v>4.4219246475027309E-3</v>
      </c>
      <c r="E219" s="20"/>
      <c r="F219" s="297"/>
      <c r="G219" s="298">
        <v>44238</v>
      </c>
      <c r="H219" s="299">
        <v>2922.8735351620398</v>
      </c>
      <c r="I219" s="300">
        <f t="shared" si="7"/>
        <v>7.2061038582112386E-4</v>
      </c>
      <c r="J219" s="296"/>
      <c r="K219" s="20"/>
      <c r="L219" s="297"/>
      <c r="M219" s="275"/>
      <c r="N219" s="275"/>
      <c r="O219" s="275"/>
      <c r="P219" s="275"/>
      <c r="Q219" s="275"/>
      <c r="R219" s="275"/>
      <c r="S219" s="275"/>
      <c r="T219" s="275"/>
    </row>
    <row r="220" spans="1:20" ht="15" customHeight="1">
      <c r="A220" s="275"/>
      <c r="B220" s="303">
        <v>44239</v>
      </c>
      <c r="C220" s="304">
        <v>15163.2998046875</v>
      </c>
      <c r="D220" s="289">
        <f t="shared" si="6"/>
        <v>-6.590524229219205E-4</v>
      </c>
      <c r="E220" s="275"/>
      <c r="F220" s="290"/>
      <c r="G220" s="305">
        <v>44239</v>
      </c>
      <c r="H220" s="306">
        <v>2901.6213378935199</v>
      </c>
      <c r="I220" s="293">
        <f t="shared" si="7"/>
        <v>-7.2709944555783635E-3</v>
      </c>
      <c r="J220" s="289"/>
      <c r="K220" s="275"/>
      <c r="L220" s="290"/>
      <c r="M220" s="275"/>
      <c r="N220" s="275"/>
      <c r="O220" s="275"/>
      <c r="P220" s="275"/>
      <c r="Q220" s="275"/>
      <c r="R220" s="275"/>
      <c r="S220" s="275"/>
      <c r="T220" s="275"/>
    </row>
    <row r="221" spans="1:20" ht="15" customHeight="1">
      <c r="A221" s="20"/>
      <c r="B221" s="294">
        <v>44242</v>
      </c>
      <c r="C221" s="295">
        <v>15314.7001953125</v>
      </c>
      <c r="D221" s="296">
        <f t="shared" si="6"/>
        <v>9.984659841533761E-3</v>
      </c>
      <c r="E221" s="20"/>
      <c r="F221" s="297"/>
      <c r="G221" s="298">
        <v>44242</v>
      </c>
      <c r="H221" s="299">
        <v>2918.1687011689801</v>
      </c>
      <c r="I221" s="300">
        <f t="shared" si="7"/>
        <v>5.7027990039089623E-3</v>
      </c>
      <c r="J221" s="296"/>
      <c r="K221" s="20"/>
      <c r="L221" s="297"/>
      <c r="M221" s="275"/>
      <c r="N221" s="275"/>
      <c r="O221" s="275"/>
      <c r="P221" s="275"/>
      <c r="Q221" s="275"/>
      <c r="R221" s="275"/>
      <c r="S221" s="275"/>
      <c r="T221" s="275"/>
    </row>
    <row r="222" spans="1:20" ht="15" customHeight="1">
      <c r="A222" s="275"/>
      <c r="B222" s="303">
        <v>44243</v>
      </c>
      <c r="C222" s="304">
        <v>15313.4501953125</v>
      </c>
      <c r="D222" s="289">
        <f t="shared" si="6"/>
        <v>-8.1620925258634719E-5</v>
      </c>
      <c r="E222" s="275"/>
      <c r="F222" s="290"/>
      <c r="G222" s="305">
        <v>44243</v>
      </c>
      <c r="H222" s="306">
        <v>2914.9267578125</v>
      </c>
      <c r="I222" s="293">
        <f t="shared" si="7"/>
        <v>-1.1109513151797558E-3</v>
      </c>
      <c r="J222" s="289"/>
      <c r="K222" s="275"/>
      <c r="L222" s="290"/>
      <c r="M222" s="275"/>
      <c r="N222" s="275"/>
      <c r="O222" s="275"/>
      <c r="P222" s="275"/>
      <c r="Q222" s="275"/>
      <c r="R222" s="275"/>
      <c r="S222" s="275"/>
      <c r="T222" s="275"/>
    </row>
    <row r="223" spans="1:20" ht="15" customHeight="1">
      <c r="A223" s="20"/>
      <c r="B223" s="294">
        <v>44244</v>
      </c>
      <c r="C223" s="295">
        <v>15208.900390625</v>
      </c>
      <c r="D223" s="296">
        <f t="shared" si="6"/>
        <v>-6.8273186874309392E-3</v>
      </c>
      <c r="E223" s="20"/>
      <c r="F223" s="297"/>
      <c r="G223" s="298">
        <v>44244</v>
      </c>
      <c r="H223" s="299">
        <v>3018.0397949189801</v>
      </c>
      <c r="I223" s="300">
        <f t="shared" si="7"/>
        <v>3.537414339146587E-2</v>
      </c>
      <c r="J223" s="296"/>
      <c r="K223" s="20"/>
      <c r="L223" s="297"/>
      <c r="M223" s="275"/>
      <c r="N223" s="275"/>
      <c r="O223" s="275"/>
      <c r="P223" s="275"/>
      <c r="Q223" s="275"/>
      <c r="R223" s="275"/>
      <c r="S223" s="275"/>
      <c r="T223" s="275"/>
    </row>
    <row r="224" spans="1:20" ht="15" customHeight="1">
      <c r="A224" s="275"/>
      <c r="B224" s="303">
        <v>44245</v>
      </c>
      <c r="C224" s="304">
        <v>15118.9501953125</v>
      </c>
      <c r="D224" s="289">
        <f t="shared" si="6"/>
        <v>-5.9143128695843573E-3</v>
      </c>
      <c r="E224" s="275"/>
      <c r="F224" s="290"/>
      <c r="G224" s="305">
        <v>44245</v>
      </c>
      <c r="H224" s="306">
        <v>2966.5466308564801</v>
      </c>
      <c r="I224" s="293">
        <f t="shared" si="7"/>
        <v>-1.7061790950931563E-2</v>
      </c>
      <c r="J224" s="289"/>
      <c r="K224" s="275"/>
      <c r="L224" s="290"/>
      <c r="M224" s="275"/>
      <c r="N224" s="275"/>
      <c r="O224" s="275"/>
      <c r="P224" s="275"/>
      <c r="Q224" s="275"/>
      <c r="R224" s="275"/>
      <c r="S224" s="275"/>
      <c r="T224" s="275"/>
    </row>
    <row r="225" spans="1:20" ht="15" customHeight="1">
      <c r="A225" s="20"/>
      <c r="B225" s="294">
        <v>44246</v>
      </c>
      <c r="C225" s="295">
        <v>14981.75</v>
      </c>
      <c r="D225" s="296">
        <f t="shared" si="6"/>
        <v>-9.0747170630297962E-3</v>
      </c>
      <c r="E225" s="20"/>
      <c r="F225" s="297"/>
      <c r="G225" s="298">
        <v>44246</v>
      </c>
      <c r="H225" s="299">
        <v>2854.4226074189801</v>
      </c>
      <c r="I225" s="300">
        <f t="shared" si="7"/>
        <v>-3.7796143930873709E-2</v>
      </c>
      <c r="J225" s="296"/>
      <c r="K225" s="20"/>
      <c r="L225" s="297"/>
      <c r="M225" s="275"/>
      <c r="N225" s="275"/>
      <c r="O225" s="275"/>
      <c r="P225" s="275"/>
      <c r="Q225" s="275"/>
      <c r="R225" s="275"/>
      <c r="S225" s="275"/>
      <c r="T225" s="275"/>
    </row>
    <row r="226" spans="1:20" ht="15" customHeight="1">
      <c r="A226" s="275"/>
      <c r="B226" s="303">
        <v>44249</v>
      </c>
      <c r="C226" s="304">
        <v>14675.7001953125</v>
      </c>
      <c r="D226" s="289">
        <f t="shared" si="6"/>
        <v>-2.0428174591586429E-2</v>
      </c>
      <c r="E226" s="275"/>
      <c r="F226" s="290"/>
      <c r="G226" s="305">
        <v>44249</v>
      </c>
      <c r="H226" s="306">
        <v>2875.01171875</v>
      </c>
      <c r="I226" s="293">
        <f t="shared" si="7"/>
        <v>7.2130564260198893E-3</v>
      </c>
      <c r="J226" s="289"/>
      <c r="K226" s="275"/>
      <c r="L226" s="290"/>
      <c r="M226" s="275"/>
      <c r="N226" s="275"/>
      <c r="O226" s="275"/>
      <c r="P226" s="275"/>
      <c r="Q226" s="275"/>
      <c r="R226" s="275"/>
      <c r="S226" s="275"/>
      <c r="T226" s="275"/>
    </row>
    <row r="227" spans="1:20" ht="15" customHeight="1">
      <c r="A227" s="20"/>
      <c r="B227" s="294">
        <v>44250</v>
      </c>
      <c r="C227" s="295">
        <v>14707.7998046875</v>
      </c>
      <c r="D227" s="296">
        <f t="shared" si="6"/>
        <v>2.1872625461000351E-3</v>
      </c>
      <c r="E227" s="20"/>
      <c r="F227" s="297"/>
      <c r="G227" s="298">
        <v>44250</v>
      </c>
      <c r="H227" s="299">
        <v>2867.685546875</v>
      </c>
      <c r="I227" s="300">
        <f t="shared" si="7"/>
        <v>-2.5482233088723822E-3</v>
      </c>
      <c r="J227" s="296"/>
      <c r="K227" s="20"/>
      <c r="L227" s="297"/>
      <c r="M227" s="275"/>
      <c r="N227" s="275"/>
      <c r="O227" s="275"/>
      <c r="P227" s="275"/>
      <c r="Q227" s="275"/>
      <c r="R227" s="275"/>
      <c r="S227" s="275"/>
      <c r="T227" s="275"/>
    </row>
    <row r="228" spans="1:20" ht="15" customHeight="1">
      <c r="A228" s="275"/>
      <c r="B228" s="303">
        <v>44251</v>
      </c>
      <c r="C228" s="304">
        <v>14982</v>
      </c>
      <c r="D228" s="289">
        <f t="shared" si="6"/>
        <v>1.8643182457862263E-2</v>
      </c>
      <c r="E228" s="275"/>
      <c r="F228" s="290"/>
      <c r="G228" s="305">
        <v>44251</v>
      </c>
      <c r="H228" s="306">
        <v>2898.1267089814801</v>
      </c>
      <c r="I228" s="293">
        <f t="shared" si="7"/>
        <v>1.0615237134229271E-2</v>
      </c>
      <c r="J228" s="289"/>
      <c r="K228" s="275"/>
      <c r="L228" s="290"/>
      <c r="M228" s="275"/>
      <c r="N228" s="275"/>
      <c r="O228" s="275"/>
      <c r="P228" s="275"/>
      <c r="Q228" s="275"/>
      <c r="R228" s="275"/>
      <c r="S228" s="275"/>
      <c r="T228" s="275"/>
    </row>
    <row r="229" spans="1:20" ht="15" customHeight="1">
      <c r="A229" s="20"/>
      <c r="B229" s="294">
        <v>44252</v>
      </c>
      <c r="C229" s="295">
        <v>15097.349609375</v>
      </c>
      <c r="D229" s="296">
        <f t="shared" si="6"/>
        <v>7.6992130139500736E-3</v>
      </c>
      <c r="E229" s="20"/>
      <c r="F229" s="297"/>
      <c r="G229" s="298">
        <v>44252</v>
      </c>
      <c r="H229" s="299">
        <v>2892.0634765625</v>
      </c>
      <c r="I229" s="300">
        <f t="shared" si="7"/>
        <v>-2.092121231342209E-3</v>
      </c>
      <c r="J229" s="296"/>
      <c r="K229" s="20"/>
      <c r="L229" s="297"/>
      <c r="M229" s="275"/>
      <c r="N229" s="275"/>
      <c r="O229" s="275"/>
      <c r="P229" s="275"/>
      <c r="Q229" s="275"/>
      <c r="R229" s="275"/>
      <c r="S229" s="275"/>
      <c r="T229" s="275"/>
    </row>
    <row r="230" spans="1:20" ht="15" customHeight="1">
      <c r="A230" s="275"/>
      <c r="B230" s="303">
        <v>44253</v>
      </c>
      <c r="C230" s="304">
        <v>14529.150390625</v>
      </c>
      <c r="D230" s="289">
        <f t="shared" si="6"/>
        <v>-3.7635693247586012E-2</v>
      </c>
      <c r="E230" s="275"/>
      <c r="F230" s="290"/>
      <c r="G230" s="305">
        <v>44253</v>
      </c>
      <c r="H230" s="306">
        <v>2714.8889160185199</v>
      </c>
      <c r="I230" s="293">
        <f t="shared" si="7"/>
        <v>-6.1262334654759845E-2</v>
      </c>
      <c r="J230" s="289"/>
      <c r="K230" s="275"/>
      <c r="L230" s="290"/>
      <c r="M230" s="275"/>
      <c r="N230" s="275"/>
      <c r="O230" s="275"/>
      <c r="P230" s="275"/>
      <c r="Q230" s="275"/>
      <c r="R230" s="275"/>
      <c r="S230" s="275"/>
      <c r="T230" s="275"/>
    </row>
    <row r="231" spans="1:20" ht="15" customHeight="1">
      <c r="A231" s="20"/>
      <c r="B231" s="294">
        <v>44256</v>
      </c>
      <c r="C231" s="295">
        <v>14761.5498046875</v>
      </c>
      <c r="D231" s="296">
        <f t="shared" si="6"/>
        <v>1.5995389118723471E-2</v>
      </c>
      <c r="E231" s="20"/>
      <c r="F231" s="297"/>
      <c r="G231" s="298">
        <v>44256</v>
      </c>
      <c r="H231" s="299">
        <v>2821.1599121064801</v>
      </c>
      <c r="I231" s="300">
        <f t="shared" si="7"/>
        <v>3.9143773235411163E-2</v>
      </c>
      <c r="J231" s="296"/>
      <c r="K231" s="20"/>
      <c r="L231" s="297"/>
      <c r="M231" s="275"/>
      <c r="N231" s="275"/>
      <c r="O231" s="275"/>
      <c r="P231" s="275"/>
      <c r="Q231" s="275"/>
      <c r="R231" s="275"/>
      <c r="S231" s="275"/>
      <c r="T231" s="275"/>
    </row>
    <row r="232" spans="1:20" ht="15" customHeight="1">
      <c r="A232" s="275"/>
      <c r="B232" s="303">
        <v>44257</v>
      </c>
      <c r="C232" s="304">
        <v>14919.099609375</v>
      </c>
      <c r="D232" s="289">
        <f t="shared" si="6"/>
        <v>1.0672985341787783E-2</v>
      </c>
      <c r="E232" s="275"/>
      <c r="F232" s="290"/>
      <c r="G232" s="305">
        <v>44257</v>
      </c>
      <c r="H232" s="306">
        <v>2927.4309082060199</v>
      </c>
      <c r="I232" s="293">
        <f t="shared" si="7"/>
        <v>3.7669256408861387E-2</v>
      </c>
      <c r="J232" s="289"/>
      <c r="K232" s="275"/>
      <c r="L232" s="290"/>
      <c r="M232" s="275"/>
      <c r="N232" s="275"/>
      <c r="O232" s="275"/>
      <c r="P232" s="275"/>
      <c r="Q232" s="275"/>
      <c r="R232" s="275"/>
      <c r="S232" s="275"/>
      <c r="T232" s="275"/>
    </row>
    <row r="233" spans="1:20" ht="15" customHeight="1">
      <c r="A233" s="20"/>
      <c r="B233" s="294">
        <v>44258</v>
      </c>
      <c r="C233" s="295">
        <v>15245.599609375</v>
      </c>
      <c r="D233" s="296">
        <f t="shared" si="6"/>
        <v>2.1884698711632098E-2</v>
      </c>
      <c r="E233" s="20"/>
      <c r="F233" s="297"/>
      <c r="G233" s="298">
        <v>44258</v>
      </c>
      <c r="H233" s="299">
        <v>2883.6010742129602</v>
      </c>
      <c r="I233" s="300">
        <f t="shared" si="7"/>
        <v>-1.4972115608330255E-2</v>
      </c>
      <c r="J233" s="296"/>
      <c r="K233" s="20"/>
      <c r="L233" s="297"/>
      <c r="M233" s="275"/>
      <c r="N233" s="275"/>
      <c r="O233" s="275"/>
      <c r="P233" s="275"/>
      <c r="Q233" s="275"/>
      <c r="R233" s="275"/>
      <c r="S233" s="275"/>
      <c r="T233" s="275"/>
    </row>
    <row r="234" spans="1:20" ht="15" customHeight="1">
      <c r="A234" s="275"/>
      <c r="B234" s="303">
        <v>44259</v>
      </c>
      <c r="C234" s="304">
        <v>15080.75</v>
      </c>
      <c r="D234" s="289">
        <f t="shared" si="6"/>
        <v>-1.0812930524138177E-2</v>
      </c>
      <c r="E234" s="275"/>
      <c r="F234" s="290"/>
      <c r="G234" s="305">
        <v>44259</v>
      </c>
      <c r="H234" s="306">
        <v>2879.8115234375</v>
      </c>
      <c r="I234" s="293">
        <f t="shared" si="7"/>
        <v>-1.3141730350112535E-3</v>
      </c>
      <c r="J234" s="289"/>
      <c r="K234" s="275"/>
      <c r="L234" s="290"/>
      <c r="M234" s="275"/>
      <c r="N234" s="275"/>
      <c r="O234" s="275"/>
      <c r="P234" s="275"/>
      <c r="Q234" s="275"/>
      <c r="R234" s="275"/>
      <c r="S234" s="275"/>
      <c r="T234" s="275"/>
    </row>
    <row r="235" spans="1:20" ht="15" customHeight="1">
      <c r="A235" s="20"/>
      <c r="B235" s="294">
        <v>44260</v>
      </c>
      <c r="C235" s="295">
        <v>14938.099609375</v>
      </c>
      <c r="D235" s="296">
        <f t="shared" si="6"/>
        <v>-9.4591045289524733E-3</v>
      </c>
      <c r="E235" s="20"/>
      <c r="F235" s="297"/>
      <c r="G235" s="298">
        <v>44260</v>
      </c>
      <c r="H235" s="299">
        <v>2915.0524902314801</v>
      </c>
      <c r="I235" s="300">
        <f t="shared" si="7"/>
        <v>1.2237247648733116E-2</v>
      </c>
      <c r="J235" s="296"/>
      <c r="K235" s="20"/>
      <c r="L235" s="297"/>
      <c r="M235" s="275"/>
      <c r="N235" s="275"/>
      <c r="O235" s="275"/>
      <c r="P235" s="275"/>
      <c r="Q235" s="275"/>
      <c r="R235" s="275"/>
      <c r="S235" s="275"/>
      <c r="T235" s="275"/>
    </row>
    <row r="236" spans="1:20" ht="15" customHeight="1">
      <c r="A236" s="275"/>
      <c r="B236" s="303">
        <v>44263</v>
      </c>
      <c r="C236" s="304">
        <v>14956.2001953125</v>
      </c>
      <c r="D236" s="289">
        <f t="shared" si="6"/>
        <v>1.2117060677611399E-3</v>
      </c>
      <c r="E236" s="275"/>
      <c r="F236" s="290"/>
      <c r="G236" s="305">
        <v>44263</v>
      </c>
      <c r="H236" s="306">
        <v>2916.9477539120398</v>
      </c>
      <c r="I236" s="293">
        <f t="shared" si="7"/>
        <v>6.5016451227238961E-4</v>
      </c>
      <c r="J236" s="289"/>
      <c r="K236" s="275"/>
      <c r="L236" s="290"/>
      <c r="M236" s="275"/>
      <c r="N236" s="275"/>
      <c r="O236" s="275"/>
      <c r="P236" s="275"/>
      <c r="Q236" s="275"/>
      <c r="R236" s="275"/>
      <c r="S236" s="275"/>
      <c r="T236" s="275"/>
    </row>
    <row r="237" spans="1:20" ht="15" customHeight="1">
      <c r="A237" s="20"/>
      <c r="B237" s="294">
        <v>44264</v>
      </c>
      <c r="C237" s="295">
        <v>15098.400390625</v>
      </c>
      <c r="D237" s="296">
        <f t="shared" si="6"/>
        <v>9.5077756017914027E-3</v>
      </c>
      <c r="E237" s="20"/>
      <c r="F237" s="297"/>
      <c r="G237" s="298">
        <v>44264</v>
      </c>
      <c r="H237" s="299">
        <v>2904.2321777314801</v>
      </c>
      <c r="I237" s="300">
        <f t="shared" si="7"/>
        <v>-4.3592060102915376E-3</v>
      </c>
      <c r="J237" s="296"/>
      <c r="K237" s="20"/>
      <c r="L237" s="297"/>
      <c r="M237" s="275"/>
      <c r="N237" s="275"/>
      <c r="O237" s="275"/>
      <c r="P237" s="275"/>
      <c r="Q237" s="275"/>
      <c r="R237" s="275"/>
      <c r="S237" s="275"/>
      <c r="T237" s="275"/>
    </row>
    <row r="238" spans="1:20" ht="15" customHeight="1">
      <c r="A238" s="275"/>
      <c r="B238" s="303">
        <v>44265</v>
      </c>
      <c r="C238" s="304">
        <v>15174.7998046875</v>
      </c>
      <c r="D238" s="289">
        <f t="shared" si="6"/>
        <v>5.0600998838220262E-3</v>
      </c>
      <c r="E238" s="275"/>
      <c r="F238" s="290"/>
      <c r="G238" s="305">
        <v>44265</v>
      </c>
      <c r="H238" s="306">
        <v>2879.3903808564801</v>
      </c>
      <c r="I238" s="293">
        <f t="shared" si="7"/>
        <v>-8.5536538936098888E-3</v>
      </c>
      <c r="J238" s="289"/>
      <c r="K238" s="275"/>
      <c r="L238" s="290"/>
      <c r="M238" s="275"/>
      <c r="N238" s="275"/>
      <c r="O238" s="275"/>
      <c r="P238" s="275"/>
      <c r="Q238" s="275"/>
      <c r="R238" s="275"/>
      <c r="S238" s="275"/>
      <c r="T238" s="275"/>
    </row>
    <row r="239" spans="1:20" ht="15" customHeight="1">
      <c r="A239" s="20"/>
      <c r="B239" s="294">
        <v>44267</v>
      </c>
      <c r="C239" s="295">
        <v>15030.9501953125</v>
      </c>
      <c r="D239" s="296">
        <f t="shared" si="6"/>
        <v>-9.4795062357636382E-3</v>
      </c>
      <c r="E239" s="20"/>
      <c r="F239" s="297"/>
      <c r="G239" s="298">
        <v>44267</v>
      </c>
      <c r="H239" s="299">
        <v>2821.455078125</v>
      </c>
      <c r="I239" s="300">
        <f t="shared" si="7"/>
        <v>-2.0120683571307588E-2</v>
      </c>
      <c r="J239" s="296"/>
      <c r="K239" s="20"/>
      <c r="L239" s="297"/>
      <c r="M239" s="275"/>
      <c r="N239" s="275"/>
      <c r="O239" s="275"/>
      <c r="P239" s="275"/>
      <c r="Q239" s="275"/>
      <c r="R239" s="275"/>
      <c r="S239" s="275"/>
      <c r="T239" s="275"/>
    </row>
    <row r="240" spans="1:20" ht="15" customHeight="1">
      <c r="A240" s="275"/>
      <c r="B240" s="303">
        <v>44270</v>
      </c>
      <c r="C240" s="304">
        <v>14929.5</v>
      </c>
      <c r="D240" s="289">
        <f t="shared" si="6"/>
        <v>-6.7494199630930788E-3</v>
      </c>
      <c r="E240" s="275"/>
      <c r="F240" s="290"/>
      <c r="G240" s="305">
        <v>44270</v>
      </c>
      <c r="H240" s="306">
        <v>2748.6982421875</v>
      </c>
      <c r="I240" s="293">
        <f t="shared" si="7"/>
        <v>-2.5786990727440753E-2</v>
      </c>
      <c r="J240" s="289"/>
      <c r="K240" s="275"/>
      <c r="L240" s="290"/>
      <c r="M240" s="275"/>
      <c r="N240" s="275"/>
      <c r="O240" s="275"/>
      <c r="P240" s="275"/>
      <c r="Q240" s="275"/>
      <c r="R240" s="275"/>
      <c r="S240" s="275"/>
      <c r="T240" s="275"/>
    </row>
    <row r="241" spans="1:20" ht="15" customHeight="1">
      <c r="A241" s="20"/>
      <c r="B241" s="294">
        <v>44271</v>
      </c>
      <c r="C241" s="295">
        <v>14910.4501953125</v>
      </c>
      <c r="D241" s="296">
        <f t="shared" si="6"/>
        <v>-1.2759841044576174E-3</v>
      </c>
      <c r="E241" s="20"/>
      <c r="F241" s="297"/>
      <c r="G241" s="298">
        <v>44271</v>
      </c>
      <c r="H241" s="299">
        <v>2741.0356445370398</v>
      </c>
      <c r="I241" s="300">
        <f t="shared" si="7"/>
        <v>-2.7877187582300857E-3</v>
      </c>
      <c r="J241" s="296"/>
      <c r="K241" s="20"/>
      <c r="L241" s="297"/>
      <c r="M241" s="275"/>
      <c r="N241" s="275"/>
      <c r="O241" s="275"/>
      <c r="P241" s="275"/>
      <c r="Q241" s="275"/>
      <c r="R241" s="275"/>
      <c r="S241" s="275"/>
      <c r="T241" s="275"/>
    </row>
    <row r="242" spans="1:20" ht="15" customHeight="1">
      <c r="A242" s="275"/>
      <c r="B242" s="303">
        <v>44272</v>
      </c>
      <c r="C242" s="304">
        <v>14721.2998046875</v>
      </c>
      <c r="D242" s="289">
        <f t="shared" si="6"/>
        <v>-1.2685759862868828E-2</v>
      </c>
      <c r="E242" s="275"/>
      <c r="F242" s="290"/>
      <c r="G242" s="305">
        <v>44272</v>
      </c>
      <c r="H242" s="306">
        <v>2686.7209472685199</v>
      </c>
      <c r="I242" s="293">
        <f t="shared" si="7"/>
        <v>-1.9815392542147571E-2</v>
      </c>
      <c r="J242" s="289"/>
      <c r="K242" s="275"/>
      <c r="L242" s="290"/>
      <c r="M242" s="275"/>
      <c r="N242" s="275"/>
      <c r="O242" s="275"/>
      <c r="P242" s="275"/>
      <c r="Q242" s="275"/>
      <c r="R242" s="275"/>
      <c r="S242" s="275"/>
      <c r="T242" s="275"/>
    </row>
    <row r="243" spans="1:20" ht="15" customHeight="1">
      <c r="A243" s="20"/>
      <c r="B243" s="294">
        <v>44273</v>
      </c>
      <c r="C243" s="295">
        <v>14557.849609375</v>
      </c>
      <c r="D243" s="296">
        <f t="shared" si="6"/>
        <v>-1.1102973071742945E-2</v>
      </c>
      <c r="E243" s="20"/>
      <c r="F243" s="297"/>
      <c r="G243" s="298">
        <v>44273</v>
      </c>
      <c r="H243" s="299">
        <v>2616.5327148379602</v>
      </c>
      <c r="I243" s="300">
        <f t="shared" si="7"/>
        <v>-2.6124124465518941E-2</v>
      </c>
      <c r="J243" s="296"/>
      <c r="K243" s="20"/>
      <c r="L243" s="297"/>
      <c r="M243" s="275"/>
      <c r="N243" s="275"/>
      <c r="O243" s="275"/>
      <c r="P243" s="275"/>
      <c r="Q243" s="275"/>
      <c r="R243" s="275"/>
      <c r="S243" s="275"/>
      <c r="T243" s="275"/>
    </row>
    <row r="244" spans="1:20" ht="15" customHeight="1">
      <c r="A244" s="275"/>
      <c r="B244" s="303">
        <v>44274</v>
      </c>
      <c r="C244" s="304">
        <v>14744</v>
      </c>
      <c r="D244" s="289">
        <f t="shared" si="6"/>
        <v>1.2786942826028538E-2</v>
      </c>
      <c r="E244" s="275"/>
      <c r="F244" s="290"/>
      <c r="G244" s="305">
        <v>44274</v>
      </c>
      <c r="H244" s="306">
        <v>2626.5959472685199</v>
      </c>
      <c r="I244" s="293">
        <f t="shared" si="7"/>
        <v>3.8460181955657195E-3</v>
      </c>
      <c r="J244" s="289"/>
      <c r="K244" s="275"/>
      <c r="L244" s="290"/>
      <c r="M244" s="275"/>
      <c r="N244" s="275"/>
      <c r="O244" s="275"/>
      <c r="P244" s="275"/>
      <c r="Q244" s="275"/>
      <c r="R244" s="275"/>
      <c r="S244" s="275"/>
      <c r="T244" s="275"/>
    </row>
    <row r="245" spans="1:20" ht="15" customHeight="1">
      <c r="A245" s="20"/>
      <c r="B245" s="294">
        <v>44277</v>
      </c>
      <c r="C245" s="295">
        <v>14736.400390625</v>
      </c>
      <c r="D245" s="296">
        <f t="shared" si="6"/>
        <v>-5.1543742369777532E-4</v>
      </c>
      <c r="E245" s="20"/>
      <c r="F245" s="297"/>
      <c r="G245" s="298">
        <v>44277</v>
      </c>
      <c r="H245" s="299">
        <v>2606.9750976620398</v>
      </c>
      <c r="I245" s="300">
        <f t="shared" si="7"/>
        <v>-7.4700677227818079E-3</v>
      </c>
      <c r="J245" s="296"/>
      <c r="K245" s="20"/>
      <c r="L245" s="297"/>
      <c r="M245" s="275"/>
      <c r="N245" s="275"/>
      <c r="O245" s="275"/>
      <c r="P245" s="275"/>
      <c r="Q245" s="275"/>
      <c r="R245" s="275"/>
      <c r="S245" s="275"/>
      <c r="T245" s="275"/>
    </row>
    <row r="246" spans="1:20" ht="15" customHeight="1">
      <c r="A246" s="275"/>
      <c r="B246" s="303">
        <v>44278</v>
      </c>
      <c r="C246" s="304">
        <v>14814.75</v>
      </c>
      <c r="D246" s="289">
        <f t="shared" si="6"/>
        <v>5.3167399974314239E-3</v>
      </c>
      <c r="E246" s="275"/>
      <c r="F246" s="290"/>
      <c r="G246" s="305">
        <v>44278</v>
      </c>
      <c r="H246" s="306">
        <v>2583.0600585879602</v>
      </c>
      <c r="I246" s="293">
        <f t="shared" si="7"/>
        <v>-9.173481977456141E-3</v>
      </c>
      <c r="J246" s="289"/>
      <c r="K246" s="275"/>
      <c r="L246" s="290"/>
      <c r="M246" s="275"/>
      <c r="N246" s="275"/>
      <c r="O246" s="275"/>
      <c r="P246" s="275"/>
      <c r="Q246" s="275"/>
      <c r="R246" s="275"/>
      <c r="S246" s="275"/>
      <c r="T246" s="275"/>
    </row>
    <row r="247" spans="1:20" ht="15" customHeight="1">
      <c r="A247" s="20"/>
      <c r="B247" s="294">
        <v>44279</v>
      </c>
      <c r="C247" s="295">
        <v>14549.400390625</v>
      </c>
      <c r="D247" s="296">
        <f t="shared" si="6"/>
        <v>-1.7911176994211849E-2</v>
      </c>
      <c r="E247" s="20"/>
      <c r="F247" s="297"/>
      <c r="G247" s="298">
        <v>44279</v>
      </c>
      <c r="H247" s="299">
        <v>2554.7658691435199</v>
      </c>
      <c r="I247" s="300">
        <f t="shared" si="7"/>
        <v>-1.0953748191169571E-2</v>
      </c>
      <c r="J247" s="296"/>
      <c r="K247" s="20"/>
      <c r="L247" s="297"/>
      <c r="M247" s="275"/>
      <c r="N247" s="275"/>
      <c r="O247" s="275"/>
      <c r="P247" s="275"/>
      <c r="Q247" s="275"/>
      <c r="R247" s="275"/>
      <c r="S247" s="275"/>
      <c r="T247" s="275"/>
    </row>
    <row r="248" spans="1:20" ht="15" customHeight="1">
      <c r="A248" s="275"/>
      <c r="B248" s="303">
        <v>44280</v>
      </c>
      <c r="C248" s="304">
        <v>14324.900390625</v>
      </c>
      <c r="D248" s="289">
        <f t="shared" si="6"/>
        <v>-1.5430189146808966E-2</v>
      </c>
      <c r="E248" s="275"/>
      <c r="F248" s="290"/>
      <c r="G248" s="305">
        <v>44280</v>
      </c>
      <c r="H248" s="306">
        <v>2477.1254882870398</v>
      </c>
      <c r="I248" s="293">
        <f t="shared" si="7"/>
        <v>-3.0390409467349295E-2</v>
      </c>
      <c r="J248" s="289"/>
      <c r="K248" s="275"/>
      <c r="L248" s="290"/>
      <c r="M248" s="275"/>
      <c r="N248" s="275"/>
      <c r="O248" s="275"/>
      <c r="P248" s="275"/>
      <c r="Q248" s="275"/>
      <c r="R248" s="275"/>
      <c r="S248" s="275"/>
      <c r="T248" s="275"/>
    </row>
    <row r="249" spans="1:20" ht="15" customHeight="1">
      <c r="A249" s="20"/>
      <c r="B249" s="294">
        <v>44281</v>
      </c>
      <c r="C249" s="295">
        <v>14507.2998046875</v>
      </c>
      <c r="D249" s="296">
        <f t="shared" si="6"/>
        <v>1.2733031929623202E-2</v>
      </c>
      <c r="E249" s="20"/>
      <c r="F249" s="297"/>
      <c r="G249" s="298">
        <v>44281</v>
      </c>
      <c r="H249" s="299">
        <v>2473.8830566435199</v>
      </c>
      <c r="I249" s="300">
        <f t="shared" si="7"/>
        <v>-1.3089492877335414E-3</v>
      </c>
      <c r="J249" s="296"/>
      <c r="K249" s="20"/>
      <c r="L249" s="297"/>
      <c r="M249" s="275"/>
      <c r="N249" s="275"/>
      <c r="O249" s="275"/>
      <c r="P249" s="275"/>
      <c r="Q249" s="275"/>
      <c r="R249" s="275"/>
      <c r="S249" s="275"/>
      <c r="T249" s="275"/>
    </row>
    <row r="250" spans="1:20" ht="15" customHeight="1">
      <c r="A250" s="275"/>
      <c r="B250" s="303">
        <v>44285</v>
      </c>
      <c r="C250" s="304">
        <v>14845.099609375</v>
      </c>
      <c r="D250" s="289">
        <f t="shared" si="6"/>
        <v>2.3284815867550514E-2</v>
      </c>
      <c r="E250" s="275"/>
      <c r="F250" s="290"/>
      <c r="G250" s="305">
        <v>44285</v>
      </c>
      <c r="H250" s="306">
        <v>2495.8195800810199</v>
      </c>
      <c r="I250" s="293">
        <f t="shared" si="7"/>
        <v>8.8672434934182892E-3</v>
      </c>
      <c r="J250" s="289"/>
      <c r="K250" s="275"/>
      <c r="L250" s="290"/>
      <c r="M250" s="275"/>
      <c r="N250" s="275"/>
      <c r="O250" s="275"/>
      <c r="P250" s="275"/>
      <c r="Q250" s="275"/>
      <c r="R250" s="275"/>
      <c r="S250" s="275"/>
      <c r="T250" s="275"/>
    </row>
    <row r="251" spans="1:20" ht="15" customHeight="1">
      <c r="A251" s="20"/>
      <c r="B251" s="294">
        <v>44286</v>
      </c>
      <c r="C251" s="295">
        <v>14690.7001953125</v>
      </c>
      <c r="D251" s="296">
        <f t="shared" si="6"/>
        <v>-1.0400699094332345E-2</v>
      </c>
      <c r="E251" s="20"/>
      <c r="F251" s="297"/>
      <c r="G251" s="298">
        <v>44286</v>
      </c>
      <c r="H251" s="299">
        <v>2453.5048828125</v>
      </c>
      <c r="I251" s="300">
        <f t="shared" si="7"/>
        <v>-1.6954229226435628E-2</v>
      </c>
      <c r="J251" s="296"/>
      <c r="K251" s="20"/>
      <c r="L251" s="297"/>
      <c r="M251" s="275"/>
      <c r="N251" s="275"/>
      <c r="O251" s="275"/>
      <c r="P251" s="275"/>
      <c r="Q251" s="275"/>
      <c r="R251" s="275"/>
      <c r="S251" s="275"/>
      <c r="T251" s="275"/>
    </row>
    <row r="252" spans="1:20" ht="15" customHeight="1">
      <c r="A252" s="275"/>
      <c r="B252" s="303">
        <v>44287</v>
      </c>
      <c r="C252" s="304">
        <v>14867.349609375</v>
      </c>
      <c r="D252" s="289">
        <f t="shared" si="6"/>
        <v>1.2024574166918552E-2</v>
      </c>
      <c r="E252" s="275"/>
      <c r="F252" s="290"/>
      <c r="G252" s="305">
        <v>44287</v>
      </c>
      <c r="H252" s="306">
        <v>2489.29296875</v>
      </c>
      <c r="I252" s="293">
        <f t="shared" si="7"/>
        <v>1.4586515065939231E-2</v>
      </c>
      <c r="J252" s="289"/>
      <c r="K252" s="275"/>
      <c r="L252" s="290"/>
      <c r="M252" s="275"/>
      <c r="N252" s="275"/>
      <c r="O252" s="275"/>
      <c r="P252" s="275"/>
      <c r="Q252" s="275"/>
      <c r="R252" s="275"/>
      <c r="S252" s="275"/>
      <c r="T252" s="275"/>
    </row>
    <row r="253" spans="1:20" ht="15" customHeight="1">
      <c r="A253" s="20"/>
      <c r="B253" s="294">
        <v>44291</v>
      </c>
      <c r="C253" s="295">
        <v>14637.7998046875</v>
      </c>
      <c r="D253" s="296">
        <f t="shared" si="6"/>
        <v>-1.5439860548026079E-2</v>
      </c>
      <c r="E253" s="20"/>
      <c r="F253" s="297"/>
      <c r="G253" s="298">
        <v>44291</v>
      </c>
      <c r="H253" s="299">
        <v>2431.0207519560199</v>
      </c>
      <c r="I253" s="300">
        <f t="shared" si="7"/>
        <v>-2.3409143690805309E-2</v>
      </c>
      <c r="J253" s="296"/>
      <c r="K253" s="20"/>
      <c r="L253" s="297"/>
      <c r="M253" s="275"/>
      <c r="N253" s="275"/>
      <c r="O253" s="275"/>
      <c r="P253" s="275"/>
      <c r="Q253" s="275"/>
      <c r="R253" s="275"/>
      <c r="S253" s="275"/>
      <c r="T253" s="275"/>
    </row>
    <row r="254" spans="1:20" ht="15" customHeight="1">
      <c r="A254" s="275"/>
      <c r="B254" s="303">
        <v>44292</v>
      </c>
      <c r="C254" s="304">
        <v>14683.5</v>
      </c>
      <c r="D254" s="289">
        <f t="shared" si="6"/>
        <v>3.1220672452334885E-3</v>
      </c>
      <c r="E254" s="275"/>
      <c r="F254" s="290"/>
      <c r="G254" s="305">
        <v>44292</v>
      </c>
      <c r="H254" s="306">
        <v>2431.9055175810199</v>
      </c>
      <c r="I254" s="293">
        <f t="shared" si="7"/>
        <v>3.6394819924433393E-4</v>
      </c>
      <c r="J254" s="289"/>
      <c r="K254" s="275"/>
      <c r="L254" s="290"/>
      <c r="M254" s="275"/>
      <c r="N254" s="275"/>
      <c r="O254" s="275"/>
      <c r="P254" s="275"/>
      <c r="Q254" s="275"/>
      <c r="R254" s="275"/>
      <c r="S254" s="275"/>
      <c r="T254" s="275"/>
    </row>
    <row r="255" spans="1:20" ht="15" customHeight="1">
      <c r="A255" s="20"/>
      <c r="B255" s="294">
        <v>44293</v>
      </c>
      <c r="C255" s="295">
        <v>14819.0498046875</v>
      </c>
      <c r="D255" s="296">
        <f t="shared" si="6"/>
        <v>9.231436965811966E-3</v>
      </c>
      <c r="E255" s="20"/>
      <c r="F255" s="297"/>
      <c r="G255" s="298">
        <v>44293</v>
      </c>
      <c r="H255" s="299">
        <v>2477.0832519560199</v>
      </c>
      <c r="I255" s="300">
        <f t="shared" si="7"/>
        <v>1.8577092756439657E-2</v>
      </c>
      <c r="J255" s="296"/>
      <c r="K255" s="20"/>
      <c r="L255" s="297"/>
      <c r="M255" s="275"/>
      <c r="N255" s="275"/>
      <c r="O255" s="275"/>
      <c r="P255" s="275"/>
      <c r="Q255" s="275"/>
      <c r="R255" s="275"/>
      <c r="S255" s="275"/>
      <c r="T255" s="275"/>
    </row>
    <row r="256" spans="1:20" ht="15" customHeight="1">
      <c r="A256" s="275"/>
      <c r="B256" s="303">
        <v>44294</v>
      </c>
      <c r="C256" s="304">
        <v>14873.7998046875</v>
      </c>
      <c r="D256" s="289">
        <f t="shared" si="6"/>
        <v>3.6945688638337464E-3</v>
      </c>
      <c r="E256" s="275"/>
      <c r="F256" s="290"/>
      <c r="G256" s="305">
        <v>44294</v>
      </c>
      <c r="H256" s="306">
        <v>2465.6311035185199</v>
      </c>
      <c r="I256" s="293">
        <f t="shared" si="7"/>
        <v>-4.6232392183253642E-3</v>
      </c>
      <c r="J256" s="289"/>
      <c r="K256" s="275"/>
      <c r="L256" s="290"/>
      <c r="M256" s="275"/>
      <c r="N256" s="275"/>
      <c r="O256" s="275"/>
      <c r="P256" s="275"/>
      <c r="Q256" s="275"/>
      <c r="R256" s="275"/>
      <c r="S256" s="275"/>
      <c r="T256" s="275"/>
    </row>
    <row r="257" spans="1:20" ht="15" customHeight="1">
      <c r="A257" s="20"/>
      <c r="B257" s="294">
        <v>44295</v>
      </c>
      <c r="C257" s="295">
        <v>14834.849609375</v>
      </c>
      <c r="D257" s="296">
        <f t="shared" si="6"/>
        <v>-2.6187118170183242E-3</v>
      </c>
      <c r="E257" s="20"/>
      <c r="F257" s="297"/>
      <c r="G257" s="298">
        <v>44295</v>
      </c>
      <c r="H257" s="299">
        <v>2452.9155273379602</v>
      </c>
      <c r="I257" s="300">
        <f t="shared" si="7"/>
        <v>-5.1571283970316181E-3</v>
      </c>
      <c r="J257" s="296"/>
      <c r="K257" s="20"/>
      <c r="L257" s="297"/>
      <c r="M257" s="275"/>
      <c r="N257" s="275"/>
      <c r="O257" s="275"/>
      <c r="P257" s="275"/>
      <c r="Q257" s="275"/>
      <c r="R257" s="275"/>
      <c r="S257" s="275"/>
      <c r="T257" s="275"/>
    </row>
    <row r="258" spans="1:20" ht="15" customHeight="1">
      <c r="A258" s="275"/>
      <c r="B258" s="303">
        <v>44298</v>
      </c>
      <c r="C258" s="304">
        <v>14310.7998046875</v>
      </c>
      <c r="D258" s="289">
        <f t="shared" si="6"/>
        <v>-3.5325589304007678E-2</v>
      </c>
      <c r="E258" s="275"/>
      <c r="F258" s="290"/>
      <c r="G258" s="305">
        <v>44298</v>
      </c>
      <c r="H258" s="306">
        <v>2346.1389160185199</v>
      </c>
      <c r="I258" s="293">
        <f t="shared" si="7"/>
        <v>-4.3530488567341791E-2</v>
      </c>
      <c r="J258" s="289"/>
      <c r="K258" s="275"/>
      <c r="L258" s="290"/>
      <c r="M258" s="275"/>
      <c r="N258" s="275"/>
      <c r="O258" s="275"/>
      <c r="P258" s="275"/>
      <c r="Q258" s="275"/>
      <c r="R258" s="275"/>
      <c r="S258" s="275"/>
      <c r="T258" s="275"/>
    </row>
    <row r="259" spans="1:20" ht="15" customHeight="1">
      <c r="A259" s="20"/>
      <c r="B259" s="294">
        <v>44299</v>
      </c>
      <c r="C259" s="295">
        <v>14504.7998046875</v>
      </c>
      <c r="D259" s="296">
        <f t="shared" si="6"/>
        <v>1.3556195506030022E-2</v>
      </c>
      <c r="E259" s="20"/>
      <c r="F259" s="297"/>
      <c r="G259" s="298">
        <v>44299</v>
      </c>
      <c r="H259" s="299">
        <v>2412.8740234375</v>
      </c>
      <c r="I259" s="300">
        <f t="shared" si="7"/>
        <v>2.8444653026868459E-2</v>
      </c>
      <c r="J259" s="296"/>
      <c r="K259" s="20"/>
      <c r="L259" s="297"/>
      <c r="M259" s="275"/>
      <c r="N259" s="275"/>
      <c r="O259" s="275"/>
      <c r="P259" s="275"/>
      <c r="Q259" s="275"/>
      <c r="R259" s="275"/>
      <c r="S259" s="275"/>
      <c r="T259" s="275"/>
    </row>
    <row r="260" spans="1:20" ht="15" customHeight="1">
      <c r="A260" s="275"/>
      <c r="B260" s="303">
        <v>44301</v>
      </c>
      <c r="C260" s="304">
        <v>14581.4501953125</v>
      </c>
      <c r="D260" s="289">
        <f t="shared" si="6"/>
        <v>5.2844845607747703E-3</v>
      </c>
      <c r="E260" s="275"/>
      <c r="F260" s="290"/>
      <c r="G260" s="305">
        <v>44301</v>
      </c>
      <c r="H260" s="306">
        <v>2410.5161132870398</v>
      </c>
      <c r="I260" s="293">
        <f t="shared" si="7"/>
        <v>-9.7722057909221515E-4</v>
      </c>
      <c r="J260" s="289"/>
      <c r="K260" s="275"/>
      <c r="L260" s="290"/>
      <c r="M260" s="275"/>
      <c r="N260" s="275"/>
      <c r="O260" s="275"/>
      <c r="P260" s="275"/>
      <c r="Q260" s="275"/>
      <c r="R260" s="275"/>
      <c r="S260" s="275"/>
      <c r="T260" s="275"/>
    </row>
    <row r="261" spans="1:20" ht="15" customHeight="1">
      <c r="A261" s="20"/>
      <c r="B261" s="294">
        <v>44302</v>
      </c>
      <c r="C261" s="295">
        <v>14617.849609375</v>
      </c>
      <c r="D261" s="296">
        <f t="shared" ref="D261:D324" si="8">(C261-C260)/C260</f>
        <v>2.4962821650072447E-3</v>
      </c>
      <c r="E261" s="20"/>
      <c r="F261" s="297"/>
      <c r="G261" s="298">
        <v>44302</v>
      </c>
      <c r="H261" s="299">
        <v>2437.7160644560199</v>
      </c>
      <c r="I261" s="300">
        <f t="shared" ref="I261:I324" si="9">(H261-H260)/H260</f>
        <v>1.1283870296095863E-2</v>
      </c>
      <c r="J261" s="296"/>
      <c r="K261" s="20"/>
      <c r="L261" s="297"/>
      <c r="M261" s="275"/>
      <c r="N261" s="275"/>
      <c r="O261" s="275"/>
      <c r="P261" s="275"/>
      <c r="Q261" s="275"/>
      <c r="R261" s="275"/>
      <c r="S261" s="275"/>
      <c r="T261" s="275"/>
    </row>
    <row r="262" spans="1:20" ht="15" customHeight="1">
      <c r="A262" s="275"/>
      <c r="B262" s="303">
        <v>44305</v>
      </c>
      <c r="C262" s="304">
        <v>14359.4501953125</v>
      </c>
      <c r="D262" s="289">
        <f t="shared" si="8"/>
        <v>-1.7676978554819603E-2</v>
      </c>
      <c r="E262" s="275"/>
      <c r="F262" s="290"/>
      <c r="G262" s="305">
        <v>44305</v>
      </c>
      <c r="H262" s="306">
        <v>2345.6752929629602</v>
      </c>
      <c r="I262" s="293">
        <f t="shared" si="9"/>
        <v>-3.775696966315837E-2</v>
      </c>
      <c r="J262" s="289"/>
      <c r="K262" s="275"/>
      <c r="L262" s="290"/>
      <c r="M262" s="275"/>
      <c r="N262" s="275"/>
      <c r="O262" s="275"/>
      <c r="P262" s="275"/>
      <c r="Q262" s="275"/>
      <c r="R262" s="275"/>
      <c r="S262" s="275"/>
      <c r="T262" s="275"/>
    </row>
    <row r="263" spans="1:20" ht="15" customHeight="1">
      <c r="A263" s="20"/>
      <c r="B263" s="294">
        <v>44306</v>
      </c>
      <c r="C263" s="295">
        <v>14296.400390625</v>
      </c>
      <c r="D263" s="296">
        <f t="shared" si="8"/>
        <v>-4.390823034999069E-3</v>
      </c>
      <c r="E263" s="20"/>
      <c r="F263" s="297"/>
      <c r="G263" s="298">
        <v>44306</v>
      </c>
      <c r="H263" s="299">
        <v>2377.8015136689801</v>
      </c>
      <c r="I263" s="300">
        <f t="shared" si="9"/>
        <v>1.3695936859802709E-2</v>
      </c>
      <c r="J263" s="296"/>
      <c r="K263" s="20"/>
      <c r="L263" s="297"/>
      <c r="M263" s="275"/>
      <c r="N263" s="275"/>
      <c r="O263" s="275"/>
      <c r="P263" s="275"/>
      <c r="Q263" s="275"/>
      <c r="R263" s="275"/>
      <c r="S263" s="275"/>
      <c r="T263" s="275"/>
    </row>
    <row r="264" spans="1:20" ht="15" customHeight="1">
      <c r="A264" s="275"/>
      <c r="B264" s="303">
        <v>44308</v>
      </c>
      <c r="C264" s="304">
        <v>14406.150390625</v>
      </c>
      <c r="D264" s="289">
        <f t="shared" si="8"/>
        <v>7.6767575754222439E-3</v>
      </c>
      <c r="E264" s="275"/>
      <c r="F264" s="290"/>
      <c r="G264" s="305">
        <v>44308</v>
      </c>
      <c r="H264" s="306">
        <v>2400.9162597685199</v>
      </c>
      <c r="I264" s="293">
        <f t="shared" si="9"/>
        <v>9.7210578623417032E-3</v>
      </c>
      <c r="J264" s="289"/>
      <c r="K264" s="275"/>
      <c r="L264" s="290"/>
      <c r="M264" s="275"/>
      <c r="N264" s="275"/>
      <c r="O264" s="275"/>
      <c r="P264" s="275"/>
      <c r="Q264" s="275"/>
      <c r="R264" s="275"/>
      <c r="S264" s="275"/>
      <c r="T264" s="275"/>
    </row>
    <row r="265" spans="1:20" ht="15" customHeight="1">
      <c r="A265" s="20"/>
      <c r="B265" s="294">
        <v>44309</v>
      </c>
      <c r="C265" s="295">
        <v>14341.349609375</v>
      </c>
      <c r="D265" s="296">
        <f t="shared" si="8"/>
        <v>-4.4981330537941623E-3</v>
      </c>
      <c r="E265" s="20"/>
      <c r="F265" s="297"/>
      <c r="G265" s="298">
        <v>44309</v>
      </c>
      <c r="H265" s="299">
        <v>2411.7795410185199</v>
      </c>
      <c r="I265" s="300">
        <f t="shared" si="9"/>
        <v>4.524639793579208E-3</v>
      </c>
      <c r="J265" s="296"/>
      <c r="K265" s="20"/>
      <c r="L265" s="297"/>
      <c r="M265" s="275"/>
      <c r="N265" s="275"/>
      <c r="O265" s="275"/>
      <c r="P265" s="275"/>
      <c r="Q265" s="275"/>
      <c r="R265" s="275"/>
      <c r="S265" s="275"/>
      <c r="T265" s="275"/>
    </row>
    <row r="266" spans="1:20" ht="15" customHeight="1">
      <c r="A266" s="275"/>
      <c r="B266" s="303">
        <v>44312</v>
      </c>
      <c r="C266" s="304">
        <v>14485</v>
      </c>
      <c r="D266" s="289">
        <f t="shared" si="8"/>
        <v>1.001651828716979E-2</v>
      </c>
      <c r="E266" s="275"/>
      <c r="F266" s="290"/>
      <c r="G266" s="305">
        <v>44312</v>
      </c>
      <c r="H266" s="306">
        <v>2412.2006835879602</v>
      </c>
      <c r="I266" s="293">
        <f t="shared" si="9"/>
        <v>1.7461901565944213E-4</v>
      </c>
      <c r="J266" s="289"/>
      <c r="K266" s="275"/>
      <c r="L266" s="290"/>
      <c r="M266" s="275"/>
      <c r="N266" s="275"/>
      <c r="O266" s="275"/>
      <c r="P266" s="275"/>
      <c r="Q266" s="275"/>
      <c r="R266" s="275"/>
      <c r="S266" s="275"/>
      <c r="T266" s="275"/>
    </row>
    <row r="267" spans="1:20" ht="15" customHeight="1">
      <c r="A267" s="20"/>
      <c r="B267" s="294">
        <v>44313</v>
      </c>
      <c r="C267" s="295">
        <v>14653.0498046875</v>
      </c>
      <c r="D267" s="296">
        <f t="shared" si="8"/>
        <v>1.1601643402657923E-2</v>
      </c>
      <c r="E267" s="20"/>
      <c r="F267" s="297"/>
      <c r="G267" s="298">
        <v>44313</v>
      </c>
      <c r="H267" s="299">
        <v>2446.6840820370398</v>
      </c>
      <c r="I267" s="300">
        <f t="shared" si="9"/>
        <v>1.4295410279789957E-2</v>
      </c>
      <c r="J267" s="296"/>
      <c r="K267" s="20"/>
      <c r="L267" s="297"/>
      <c r="M267" s="275"/>
      <c r="N267" s="275"/>
      <c r="O267" s="275"/>
      <c r="P267" s="275"/>
      <c r="Q267" s="275"/>
      <c r="R267" s="275"/>
      <c r="S267" s="275"/>
      <c r="T267" s="275"/>
    </row>
    <row r="268" spans="1:20" ht="15" customHeight="1">
      <c r="A268" s="275"/>
      <c r="B268" s="303">
        <v>44314</v>
      </c>
      <c r="C268" s="304">
        <v>14864.5498046875</v>
      </c>
      <c r="D268" s="289">
        <f t="shared" si="8"/>
        <v>1.4433855260107101E-2</v>
      </c>
      <c r="E268" s="275"/>
      <c r="F268" s="290"/>
      <c r="G268" s="305">
        <v>44314</v>
      </c>
      <c r="H268" s="306">
        <v>2464.1574707060199</v>
      </c>
      <c r="I268" s="293">
        <f t="shared" si="9"/>
        <v>7.1416611557108874E-3</v>
      </c>
      <c r="J268" s="289"/>
      <c r="K268" s="275"/>
      <c r="L268" s="290"/>
      <c r="M268" s="275"/>
      <c r="N268" s="275"/>
      <c r="O268" s="275"/>
      <c r="P268" s="275"/>
      <c r="Q268" s="275"/>
      <c r="R268" s="275"/>
      <c r="S268" s="275"/>
      <c r="T268" s="275"/>
    </row>
    <row r="269" spans="1:20" ht="15" customHeight="1">
      <c r="A269" s="20"/>
      <c r="B269" s="294">
        <v>44315</v>
      </c>
      <c r="C269" s="295">
        <v>14894.900390625</v>
      </c>
      <c r="D269" s="296">
        <f t="shared" si="8"/>
        <v>2.0418099664161384E-3</v>
      </c>
      <c r="E269" s="20"/>
      <c r="F269" s="297"/>
      <c r="G269" s="298">
        <v>44315</v>
      </c>
      <c r="H269" s="299">
        <v>2408.4533691435199</v>
      </c>
      <c r="I269" s="300">
        <f t="shared" si="9"/>
        <v>-2.2605739375308631E-2</v>
      </c>
      <c r="J269" s="296"/>
      <c r="K269" s="20"/>
      <c r="L269" s="297"/>
      <c r="M269" s="275"/>
      <c r="N269" s="275"/>
      <c r="O269" s="275"/>
      <c r="P269" s="275"/>
      <c r="Q269" s="275"/>
      <c r="R269" s="275"/>
      <c r="S269" s="275"/>
      <c r="T269" s="275"/>
    </row>
    <row r="270" spans="1:20" ht="15" customHeight="1">
      <c r="A270" s="275"/>
      <c r="B270" s="303">
        <v>44316</v>
      </c>
      <c r="C270" s="304">
        <v>14631.099609375</v>
      </c>
      <c r="D270" s="289">
        <f t="shared" si="8"/>
        <v>-1.7710812045177479E-2</v>
      </c>
      <c r="E270" s="275"/>
      <c r="F270" s="290"/>
      <c r="G270" s="305">
        <v>44316</v>
      </c>
      <c r="H270" s="306">
        <v>2373.9697265625</v>
      </c>
      <c r="I270" s="293">
        <f t="shared" si="9"/>
        <v>-1.4317753884221057E-2</v>
      </c>
      <c r="J270" s="289"/>
      <c r="K270" s="275"/>
      <c r="L270" s="290"/>
      <c r="M270" s="275"/>
      <c r="N270" s="275"/>
      <c r="O270" s="275"/>
      <c r="P270" s="275"/>
      <c r="Q270" s="275"/>
      <c r="R270" s="275"/>
      <c r="S270" s="275"/>
      <c r="T270" s="275"/>
    </row>
    <row r="271" spans="1:20" ht="15" customHeight="1">
      <c r="A271" s="20"/>
      <c r="B271" s="294">
        <v>44319</v>
      </c>
      <c r="C271" s="295">
        <v>14634.150390625</v>
      </c>
      <c r="D271" s="296">
        <f t="shared" si="8"/>
        <v>2.0851346320171222E-4</v>
      </c>
      <c r="E271" s="20"/>
      <c r="F271" s="297"/>
      <c r="G271" s="298">
        <v>44319</v>
      </c>
      <c r="H271" s="299">
        <v>2352.1594238310199</v>
      </c>
      <c r="I271" s="300">
        <f t="shared" si="9"/>
        <v>-9.1872707926487843E-3</v>
      </c>
      <c r="J271" s="296"/>
      <c r="K271" s="20"/>
      <c r="L271" s="297"/>
      <c r="M271" s="275"/>
      <c r="N271" s="275"/>
      <c r="O271" s="275"/>
      <c r="P271" s="275"/>
      <c r="Q271" s="275"/>
      <c r="R271" s="275"/>
      <c r="S271" s="275"/>
      <c r="T271" s="275"/>
    </row>
    <row r="272" spans="1:20" ht="15" customHeight="1">
      <c r="A272" s="275"/>
      <c r="B272" s="303">
        <v>44320</v>
      </c>
      <c r="C272" s="304">
        <v>14496.5</v>
      </c>
      <c r="D272" s="289">
        <f t="shared" si="8"/>
        <v>-9.4061074234403283E-3</v>
      </c>
      <c r="E272" s="275"/>
      <c r="F272" s="290"/>
      <c r="G272" s="305">
        <v>44320</v>
      </c>
      <c r="H272" s="306">
        <v>2338.2651367129602</v>
      </c>
      <c r="I272" s="293">
        <f t="shared" si="9"/>
        <v>-5.9070346071312622E-3</v>
      </c>
      <c r="J272" s="289"/>
      <c r="K272" s="275"/>
      <c r="L272" s="290"/>
      <c r="M272" s="275"/>
      <c r="N272" s="275"/>
      <c r="O272" s="275"/>
      <c r="P272" s="275"/>
      <c r="Q272" s="275"/>
      <c r="R272" s="275"/>
      <c r="S272" s="275"/>
      <c r="T272" s="275"/>
    </row>
    <row r="273" spans="1:20" ht="15" customHeight="1">
      <c r="A273" s="20"/>
      <c r="B273" s="294">
        <v>44321</v>
      </c>
      <c r="C273" s="295">
        <v>14617.849609375</v>
      </c>
      <c r="D273" s="296">
        <f t="shared" si="8"/>
        <v>8.3709591539337085E-3</v>
      </c>
      <c r="E273" s="20"/>
      <c r="F273" s="297"/>
      <c r="G273" s="298">
        <v>44321</v>
      </c>
      <c r="H273" s="299">
        <v>2347.9074707060199</v>
      </c>
      <c r="I273" s="300">
        <f t="shared" si="9"/>
        <v>4.1237128508936219E-3</v>
      </c>
      <c r="J273" s="296"/>
      <c r="K273" s="20"/>
      <c r="L273" s="297"/>
      <c r="M273" s="275"/>
      <c r="N273" s="275"/>
      <c r="O273" s="275"/>
      <c r="P273" s="275"/>
      <c r="Q273" s="275"/>
      <c r="R273" s="275"/>
      <c r="S273" s="275"/>
      <c r="T273" s="275"/>
    </row>
    <row r="274" spans="1:20" ht="15" customHeight="1">
      <c r="A274" s="275"/>
      <c r="B274" s="303">
        <v>44322</v>
      </c>
      <c r="C274" s="304">
        <v>14724.7998046875</v>
      </c>
      <c r="D274" s="289">
        <f t="shared" si="8"/>
        <v>7.3164109749705355E-3</v>
      </c>
      <c r="E274" s="275"/>
      <c r="F274" s="290"/>
      <c r="G274" s="305">
        <v>44322</v>
      </c>
      <c r="H274" s="306">
        <v>2453.251953125</v>
      </c>
      <c r="I274" s="293">
        <f t="shared" si="9"/>
        <v>4.4867390956979579E-2</v>
      </c>
      <c r="J274" s="289"/>
      <c r="K274" s="275"/>
      <c r="L274" s="290"/>
      <c r="M274" s="275"/>
      <c r="N274" s="275"/>
      <c r="O274" s="275"/>
      <c r="P274" s="275"/>
      <c r="Q274" s="275"/>
      <c r="R274" s="275"/>
      <c r="S274" s="275"/>
      <c r="T274" s="275"/>
    </row>
    <row r="275" spans="1:20" ht="15" customHeight="1">
      <c r="A275" s="20"/>
      <c r="B275" s="294">
        <v>44323</v>
      </c>
      <c r="C275" s="295">
        <v>14823.150390625</v>
      </c>
      <c r="D275" s="296">
        <f t="shared" si="8"/>
        <v>6.6792477481555316E-3</v>
      </c>
      <c r="E275" s="20"/>
      <c r="F275" s="297"/>
      <c r="G275" s="298">
        <v>44323</v>
      </c>
      <c r="H275" s="299">
        <v>2409.0427246064801</v>
      </c>
      <c r="I275" s="300">
        <f t="shared" si="9"/>
        <v>-1.8020663740715807E-2</v>
      </c>
      <c r="J275" s="296"/>
      <c r="K275" s="20"/>
      <c r="L275" s="297"/>
      <c r="M275" s="275"/>
      <c r="N275" s="275"/>
      <c r="O275" s="275"/>
      <c r="P275" s="275"/>
      <c r="Q275" s="275"/>
      <c r="R275" s="275"/>
      <c r="S275" s="275"/>
      <c r="T275" s="275"/>
    </row>
    <row r="276" spans="1:20" ht="15" customHeight="1">
      <c r="A276" s="275"/>
      <c r="B276" s="303">
        <v>44326</v>
      </c>
      <c r="C276" s="304">
        <v>14942.349609375</v>
      </c>
      <c r="D276" s="289">
        <f t="shared" si="8"/>
        <v>8.041422748121637E-3</v>
      </c>
      <c r="E276" s="275"/>
      <c r="F276" s="290"/>
      <c r="G276" s="305">
        <v>44326</v>
      </c>
      <c r="H276" s="306">
        <v>2388.4116210879602</v>
      </c>
      <c r="I276" s="293">
        <f t="shared" si="9"/>
        <v>-8.5640255806961815E-3</v>
      </c>
      <c r="J276" s="289"/>
      <c r="K276" s="275"/>
      <c r="L276" s="290"/>
      <c r="M276" s="275"/>
      <c r="N276" s="275"/>
      <c r="O276" s="275"/>
      <c r="P276" s="275"/>
      <c r="Q276" s="275"/>
      <c r="R276" s="275"/>
      <c r="S276" s="275"/>
      <c r="T276" s="275"/>
    </row>
    <row r="277" spans="1:20" ht="15" customHeight="1">
      <c r="A277" s="20"/>
      <c r="B277" s="294">
        <v>44327</v>
      </c>
      <c r="C277" s="295">
        <v>14850.75</v>
      </c>
      <c r="D277" s="296">
        <f t="shared" si="8"/>
        <v>-6.1302011912189071E-3</v>
      </c>
      <c r="E277" s="20"/>
      <c r="F277" s="297"/>
      <c r="G277" s="298">
        <v>44327</v>
      </c>
      <c r="H277" s="299">
        <v>2390.1379394560199</v>
      </c>
      <c r="I277" s="300">
        <f t="shared" si="9"/>
        <v>7.2278930181783282E-4</v>
      </c>
      <c r="J277" s="296"/>
      <c r="K277" s="20"/>
      <c r="L277" s="297"/>
      <c r="M277" s="275"/>
      <c r="N277" s="275"/>
      <c r="O277" s="275"/>
      <c r="P277" s="275"/>
      <c r="Q277" s="275"/>
      <c r="R277" s="275"/>
      <c r="S277" s="275"/>
      <c r="T277" s="275"/>
    </row>
    <row r="278" spans="1:20" ht="15" customHeight="1">
      <c r="A278" s="275"/>
      <c r="B278" s="303">
        <v>44328</v>
      </c>
      <c r="C278" s="304">
        <v>14696.5</v>
      </c>
      <c r="D278" s="289">
        <f t="shared" si="8"/>
        <v>-1.0386680807366631E-2</v>
      </c>
      <c r="E278" s="275"/>
      <c r="F278" s="290"/>
      <c r="G278" s="305">
        <v>44328</v>
      </c>
      <c r="H278" s="306">
        <v>2391.6535644560199</v>
      </c>
      <c r="I278" s="293">
        <f t="shared" si="9"/>
        <v>6.3411612149253044E-4</v>
      </c>
      <c r="J278" s="289"/>
      <c r="K278" s="275"/>
      <c r="L278" s="290"/>
      <c r="M278" s="275"/>
      <c r="N278" s="275"/>
      <c r="O278" s="275"/>
      <c r="P278" s="275"/>
      <c r="Q278" s="275"/>
      <c r="R278" s="275"/>
      <c r="S278" s="275"/>
      <c r="T278" s="275"/>
    </row>
    <row r="279" spans="1:20" ht="15" customHeight="1">
      <c r="A279" s="20"/>
      <c r="B279" s="294">
        <v>44330</v>
      </c>
      <c r="C279" s="295">
        <v>14677.7998046875</v>
      </c>
      <c r="D279" s="296">
        <f t="shared" si="8"/>
        <v>-1.2724250884564353E-3</v>
      </c>
      <c r="E279" s="20"/>
      <c r="F279" s="297"/>
      <c r="G279" s="298">
        <v>44330</v>
      </c>
      <c r="H279" s="299">
        <v>2368.2431640625</v>
      </c>
      <c r="I279" s="300">
        <f t="shared" si="9"/>
        <v>-9.7883743454477284E-3</v>
      </c>
      <c r="J279" s="296"/>
      <c r="K279" s="20"/>
      <c r="L279" s="297"/>
      <c r="M279" s="275"/>
      <c r="N279" s="275"/>
      <c r="O279" s="275"/>
      <c r="P279" s="275"/>
      <c r="Q279" s="275"/>
      <c r="R279" s="275"/>
      <c r="S279" s="275"/>
      <c r="T279" s="275"/>
    </row>
    <row r="280" spans="1:20" ht="15" customHeight="1">
      <c r="A280" s="275"/>
      <c r="B280" s="303">
        <v>44333</v>
      </c>
      <c r="C280" s="304">
        <v>14923.150390625</v>
      </c>
      <c r="D280" s="289">
        <f t="shared" si="8"/>
        <v>1.6715760481972569E-2</v>
      </c>
      <c r="E280" s="275"/>
      <c r="F280" s="290"/>
      <c r="G280" s="305">
        <v>44333</v>
      </c>
      <c r="H280" s="306">
        <v>2403.9482421875</v>
      </c>
      <c r="I280" s="293">
        <f t="shared" si="9"/>
        <v>1.5076609812208335E-2</v>
      </c>
      <c r="J280" s="289"/>
      <c r="K280" s="275"/>
      <c r="L280" s="290"/>
      <c r="M280" s="275"/>
      <c r="N280" s="275"/>
      <c r="O280" s="275"/>
      <c r="P280" s="275"/>
      <c r="Q280" s="275"/>
      <c r="R280" s="275"/>
      <c r="S280" s="275"/>
      <c r="T280" s="275"/>
    </row>
    <row r="281" spans="1:20" ht="15" customHeight="1">
      <c r="A281" s="20"/>
      <c r="B281" s="294">
        <v>44334</v>
      </c>
      <c r="C281" s="295">
        <v>15108.099609375</v>
      </c>
      <c r="D281" s="296">
        <f t="shared" si="8"/>
        <v>1.239344333527514E-2</v>
      </c>
      <c r="E281" s="20"/>
      <c r="F281" s="297"/>
      <c r="G281" s="298">
        <v>44334</v>
      </c>
      <c r="H281" s="299">
        <v>2447.9052734375</v>
      </c>
      <c r="I281" s="300">
        <f t="shared" si="9"/>
        <v>1.8285348444108264E-2</v>
      </c>
      <c r="J281" s="296"/>
      <c r="K281" s="20"/>
      <c r="L281" s="297"/>
      <c r="M281" s="275"/>
      <c r="N281" s="275"/>
      <c r="O281" s="275"/>
      <c r="P281" s="275"/>
      <c r="Q281" s="275"/>
      <c r="R281" s="275"/>
      <c r="S281" s="275"/>
      <c r="T281" s="275"/>
    </row>
    <row r="282" spans="1:20" ht="15" customHeight="1">
      <c r="A282" s="275"/>
      <c r="B282" s="303">
        <v>44335</v>
      </c>
      <c r="C282" s="304">
        <v>15030.150390625</v>
      </c>
      <c r="D282" s="289">
        <f t="shared" si="8"/>
        <v>-5.1594324081388979E-3</v>
      </c>
      <c r="E282" s="275"/>
      <c r="F282" s="290"/>
      <c r="G282" s="305">
        <v>44335</v>
      </c>
      <c r="H282" s="306">
        <v>2454.6838378935199</v>
      </c>
      <c r="I282" s="293">
        <f t="shared" si="9"/>
        <v>2.7691285809033949E-3</v>
      </c>
      <c r="J282" s="289"/>
      <c r="K282" s="275"/>
      <c r="L282" s="290"/>
      <c r="M282" s="275"/>
      <c r="N282" s="275"/>
      <c r="O282" s="275"/>
      <c r="P282" s="275"/>
      <c r="Q282" s="275"/>
      <c r="R282" s="275"/>
      <c r="S282" s="275"/>
      <c r="T282" s="275"/>
    </row>
    <row r="283" spans="1:20" ht="15" customHeight="1">
      <c r="A283" s="20"/>
      <c r="B283" s="294">
        <v>44336</v>
      </c>
      <c r="C283" s="295">
        <v>14906.0498046875</v>
      </c>
      <c r="D283" s="296">
        <f t="shared" si="8"/>
        <v>-8.2567760609306533E-3</v>
      </c>
      <c r="E283" s="20"/>
      <c r="F283" s="297"/>
      <c r="G283" s="298">
        <v>44336</v>
      </c>
      <c r="H283" s="299">
        <v>2412.6638183564801</v>
      </c>
      <c r="I283" s="300">
        <f t="shared" si="9"/>
        <v>-1.711830211629177E-2</v>
      </c>
      <c r="J283" s="296"/>
      <c r="K283" s="20"/>
      <c r="L283" s="297"/>
      <c r="M283" s="275"/>
      <c r="N283" s="275"/>
      <c r="O283" s="275"/>
      <c r="P283" s="275"/>
      <c r="Q283" s="275"/>
      <c r="R283" s="275"/>
      <c r="S283" s="275"/>
      <c r="T283" s="275"/>
    </row>
    <row r="284" spans="1:20" ht="15" customHeight="1">
      <c r="A284" s="275"/>
      <c r="B284" s="303">
        <v>44337</v>
      </c>
      <c r="C284" s="304">
        <v>15175.2998046875</v>
      </c>
      <c r="D284" s="289">
        <f t="shared" si="8"/>
        <v>1.8063135674974671E-2</v>
      </c>
      <c r="E284" s="275"/>
      <c r="F284" s="290"/>
      <c r="G284" s="305">
        <v>44337</v>
      </c>
      <c r="H284" s="306">
        <v>2428.916015625</v>
      </c>
      <c r="I284" s="293">
        <f t="shared" si="9"/>
        <v>6.73620466509545E-3</v>
      </c>
      <c r="J284" s="289"/>
      <c r="K284" s="275"/>
      <c r="L284" s="290"/>
      <c r="M284" s="275"/>
      <c r="N284" s="275"/>
      <c r="O284" s="275"/>
      <c r="P284" s="275"/>
      <c r="Q284" s="275"/>
      <c r="R284" s="275"/>
      <c r="S284" s="275"/>
      <c r="T284" s="275"/>
    </row>
    <row r="285" spans="1:20" ht="15" customHeight="1">
      <c r="A285" s="20"/>
      <c r="B285" s="294">
        <v>44340</v>
      </c>
      <c r="C285" s="295">
        <v>15197.7001953125</v>
      </c>
      <c r="D285" s="296">
        <f t="shared" si="8"/>
        <v>1.4761086049898495E-3</v>
      </c>
      <c r="E285" s="20"/>
      <c r="F285" s="297"/>
      <c r="G285" s="298">
        <v>44340</v>
      </c>
      <c r="H285" s="299">
        <v>2442.4311523379602</v>
      </c>
      <c r="I285" s="300">
        <f t="shared" si="9"/>
        <v>5.5642667865082561E-3</v>
      </c>
      <c r="J285" s="296"/>
      <c r="K285" s="20"/>
      <c r="L285" s="297"/>
      <c r="M285" s="275"/>
      <c r="N285" s="275"/>
      <c r="O285" s="275"/>
      <c r="P285" s="275"/>
      <c r="Q285" s="275"/>
      <c r="R285" s="275"/>
      <c r="S285" s="275"/>
      <c r="T285" s="275"/>
    </row>
    <row r="286" spans="1:20" ht="15" customHeight="1">
      <c r="A286" s="275"/>
      <c r="B286" s="303">
        <v>44341</v>
      </c>
      <c r="C286" s="304">
        <v>15208.4501953125</v>
      </c>
      <c r="D286" s="289">
        <f t="shared" si="8"/>
        <v>7.0734386531165255E-4</v>
      </c>
      <c r="E286" s="275"/>
      <c r="F286" s="290"/>
      <c r="G286" s="305">
        <v>44341</v>
      </c>
      <c r="H286" s="306">
        <v>2467.0622558564801</v>
      </c>
      <c r="I286" s="293">
        <f t="shared" si="9"/>
        <v>1.008466645823051E-2</v>
      </c>
      <c r="J286" s="289"/>
      <c r="K286" s="275"/>
      <c r="L286" s="290"/>
      <c r="M286" s="275"/>
      <c r="N286" s="275"/>
      <c r="O286" s="275"/>
      <c r="P286" s="275"/>
      <c r="Q286" s="275"/>
      <c r="R286" s="275"/>
      <c r="S286" s="275"/>
      <c r="T286" s="275"/>
    </row>
    <row r="287" spans="1:20" ht="15" customHeight="1">
      <c r="A287" s="20"/>
      <c r="B287" s="294">
        <v>44342</v>
      </c>
      <c r="C287" s="295">
        <v>15301.4501953125</v>
      </c>
      <c r="D287" s="296">
        <f t="shared" si="8"/>
        <v>6.1150215048647203E-3</v>
      </c>
      <c r="E287" s="20"/>
      <c r="F287" s="297"/>
      <c r="G287" s="298">
        <v>44342</v>
      </c>
      <c r="H287" s="299">
        <v>2496.5354003935199</v>
      </c>
      <c r="I287" s="300">
        <f t="shared" si="9"/>
        <v>1.1946656176622415E-2</v>
      </c>
      <c r="J287" s="296"/>
      <c r="K287" s="20"/>
      <c r="L287" s="297"/>
      <c r="M287" s="275"/>
      <c r="N287" s="275"/>
      <c r="O287" s="275"/>
      <c r="P287" s="275"/>
      <c r="Q287" s="275"/>
      <c r="R287" s="275"/>
      <c r="S287" s="275"/>
      <c r="T287" s="275"/>
    </row>
    <row r="288" spans="1:20" ht="15" customHeight="1">
      <c r="A288" s="275"/>
      <c r="B288" s="303">
        <v>44343</v>
      </c>
      <c r="C288" s="304">
        <v>15337.849609375</v>
      </c>
      <c r="D288" s="289">
        <f t="shared" si="8"/>
        <v>2.3788211965458492E-3</v>
      </c>
      <c r="E288" s="275"/>
      <c r="F288" s="290"/>
      <c r="G288" s="305">
        <v>44343</v>
      </c>
      <c r="H288" s="306">
        <v>2518.9350585879602</v>
      </c>
      <c r="I288" s="293">
        <f t="shared" si="9"/>
        <v>8.9722974450550386E-3</v>
      </c>
      <c r="J288" s="289"/>
      <c r="K288" s="275"/>
      <c r="L288" s="290"/>
      <c r="M288" s="275"/>
      <c r="N288" s="275"/>
      <c r="O288" s="275"/>
      <c r="P288" s="275"/>
      <c r="Q288" s="275"/>
      <c r="R288" s="275"/>
      <c r="S288" s="275"/>
      <c r="T288" s="275"/>
    </row>
    <row r="289" spans="1:20" ht="15" customHeight="1">
      <c r="A289" s="20"/>
      <c r="B289" s="294">
        <v>44344</v>
      </c>
      <c r="C289" s="295">
        <v>15435.650390625</v>
      </c>
      <c r="D289" s="296">
        <f t="shared" si="8"/>
        <v>6.3764337075140533E-3</v>
      </c>
      <c r="E289" s="20"/>
      <c r="F289" s="297"/>
      <c r="G289" s="298">
        <v>44344</v>
      </c>
      <c r="H289" s="299">
        <v>2519.1457519560199</v>
      </c>
      <c r="I289" s="300">
        <f t="shared" si="9"/>
        <v>8.3643826918615883E-5</v>
      </c>
      <c r="J289" s="296"/>
      <c r="K289" s="20"/>
      <c r="L289" s="297"/>
      <c r="M289" s="275"/>
      <c r="N289" s="275"/>
      <c r="O289" s="275"/>
      <c r="P289" s="275"/>
      <c r="Q289" s="275"/>
      <c r="R289" s="275"/>
      <c r="S289" s="275"/>
      <c r="T289" s="275"/>
    </row>
    <row r="290" spans="1:20" ht="15" customHeight="1">
      <c r="A290" s="275"/>
      <c r="B290" s="303">
        <v>44347</v>
      </c>
      <c r="C290" s="304">
        <v>15582.7998046875</v>
      </c>
      <c r="D290" s="289">
        <f t="shared" si="8"/>
        <v>9.5330880357249285E-3</v>
      </c>
      <c r="E290" s="275"/>
      <c r="F290" s="290"/>
      <c r="G290" s="305">
        <v>44347</v>
      </c>
      <c r="H290" s="306">
        <v>2532.5766601620398</v>
      </c>
      <c r="I290" s="293">
        <f t="shared" si="9"/>
        <v>5.3315328005897784E-3</v>
      </c>
      <c r="J290" s="289"/>
      <c r="K290" s="275"/>
      <c r="L290" s="290"/>
      <c r="M290" s="275"/>
      <c r="N290" s="275"/>
      <c r="O290" s="275"/>
      <c r="P290" s="275"/>
      <c r="Q290" s="275"/>
      <c r="R290" s="275"/>
      <c r="S290" s="275"/>
      <c r="T290" s="275"/>
    </row>
    <row r="291" spans="1:20" ht="15" customHeight="1">
      <c r="A291" s="20"/>
      <c r="B291" s="294">
        <v>44348</v>
      </c>
      <c r="C291" s="295">
        <v>15574.849609375</v>
      </c>
      <c r="D291" s="296">
        <f t="shared" si="8"/>
        <v>-5.1019042868717874E-4</v>
      </c>
      <c r="E291" s="20"/>
      <c r="F291" s="297"/>
      <c r="G291" s="298">
        <v>44348</v>
      </c>
      <c r="H291" s="299">
        <v>2506.6828613310199</v>
      </c>
      <c r="I291" s="300">
        <f t="shared" si="9"/>
        <v>-1.0224290240976626E-2</v>
      </c>
      <c r="J291" s="296"/>
      <c r="K291" s="20"/>
      <c r="L291" s="297"/>
      <c r="M291" s="275"/>
      <c r="N291" s="275"/>
      <c r="O291" s="275"/>
      <c r="P291" s="275"/>
      <c r="Q291" s="275"/>
      <c r="R291" s="275"/>
      <c r="S291" s="275"/>
      <c r="T291" s="275"/>
    </row>
    <row r="292" spans="1:20" ht="15" customHeight="1">
      <c r="A292" s="275"/>
      <c r="B292" s="303">
        <v>44349</v>
      </c>
      <c r="C292" s="304">
        <v>15576.2001953125</v>
      </c>
      <c r="D292" s="289">
        <f t="shared" si="8"/>
        <v>8.6715825280716621E-5</v>
      </c>
      <c r="E292" s="275"/>
      <c r="F292" s="290"/>
      <c r="G292" s="305">
        <v>44349</v>
      </c>
      <c r="H292" s="306">
        <v>2503.1882324189801</v>
      </c>
      <c r="I292" s="293">
        <f t="shared" si="9"/>
        <v>-1.3941248675487553E-3</v>
      </c>
      <c r="J292" s="289"/>
      <c r="K292" s="275"/>
      <c r="L292" s="290"/>
      <c r="M292" s="275"/>
      <c r="N292" s="275"/>
      <c r="O292" s="275"/>
      <c r="P292" s="275"/>
      <c r="Q292" s="275"/>
      <c r="R292" s="275"/>
      <c r="S292" s="275"/>
      <c r="T292" s="275"/>
    </row>
    <row r="293" spans="1:20" ht="15" customHeight="1">
      <c r="A293" s="20"/>
      <c r="B293" s="294">
        <v>44350</v>
      </c>
      <c r="C293" s="295">
        <v>15690.349609375</v>
      </c>
      <c r="D293" s="296">
        <f t="shared" si="8"/>
        <v>7.3284506253875779E-3</v>
      </c>
      <c r="E293" s="20"/>
      <c r="F293" s="297"/>
      <c r="G293" s="298">
        <v>44350</v>
      </c>
      <c r="H293" s="299">
        <v>2533.2924804629602</v>
      </c>
      <c r="I293" s="300">
        <f t="shared" si="9"/>
        <v>1.2026362082602373E-2</v>
      </c>
      <c r="J293" s="296"/>
      <c r="K293" s="20"/>
      <c r="L293" s="297"/>
      <c r="M293" s="275"/>
      <c r="N293" s="275"/>
      <c r="O293" s="275"/>
      <c r="P293" s="275"/>
      <c r="Q293" s="275"/>
      <c r="R293" s="275"/>
      <c r="S293" s="275"/>
      <c r="T293" s="275"/>
    </row>
    <row r="294" spans="1:20" ht="15" customHeight="1">
      <c r="A294" s="275"/>
      <c r="B294" s="303">
        <v>44351</v>
      </c>
      <c r="C294" s="304">
        <v>15670.25</v>
      </c>
      <c r="D294" s="289">
        <f t="shared" si="8"/>
        <v>-1.2810173052479636E-3</v>
      </c>
      <c r="E294" s="275"/>
      <c r="F294" s="290"/>
      <c r="G294" s="305">
        <v>44351</v>
      </c>
      <c r="H294" s="306">
        <v>2567.0178222685199</v>
      </c>
      <c r="I294" s="293">
        <f t="shared" si="9"/>
        <v>1.3312849608031224E-2</v>
      </c>
      <c r="J294" s="289"/>
      <c r="K294" s="275"/>
      <c r="L294" s="290"/>
      <c r="M294" s="275"/>
      <c r="N294" s="275"/>
      <c r="O294" s="275"/>
      <c r="P294" s="275"/>
      <c r="Q294" s="275"/>
      <c r="R294" s="275"/>
      <c r="S294" s="275"/>
      <c r="T294" s="275"/>
    </row>
    <row r="295" spans="1:20" ht="15" customHeight="1">
      <c r="A295" s="20"/>
      <c r="B295" s="294">
        <v>44354</v>
      </c>
      <c r="C295" s="295">
        <v>15751.650390625</v>
      </c>
      <c r="D295" s="296">
        <f t="shared" si="8"/>
        <v>5.1945814919991708E-3</v>
      </c>
      <c r="E295" s="20"/>
      <c r="F295" s="297"/>
      <c r="G295" s="298">
        <v>44354</v>
      </c>
      <c r="H295" s="299">
        <v>2570.2602539120398</v>
      </c>
      <c r="I295" s="300">
        <f t="shared" si="9"/>
        <v>1.2631122446413428E-3</v>
      </c>
      <c r="J295" s="296"/>
      <c r="K295" s="20"/>
      <c r="L295" s="297"/>
      <c r="M295" s="275"/>
      <c r="N295" s="275"/>
      <c r="O295" s="275"/>
      <c r="P295" s="275"/>
      <c r="Q295" s="275"/>
      <c r="R295" s="275"/>
      <c r="S295" s="275"/>
      <c r="T295" s="275"/>
    </row>
    <row r="296" spans="1:20" ht="15" customHeight="1">
      <c r="A296" s="275"/>
      <c r="B296" s="303">
        <v>44355</v>
      </c>
      <c r="C296" s="304">
        <v>15740.099609375</v>
      </c>
      <c r="D296" s="289">
        <f t="shared" si="8"/>
        <v>-7.3330609577741419E-4</v>
      </c>
      <c r="E296" s="275"/>
      <c r="F296" s="290"/>
      <c r="G296" s="305">
        <v>44355</v>
      </c>
      <c r="H296" s="306">
        <v>2573.3757324189801</v>
      </c>
      <c r="I296" s="293">
        <f t="shared" si="9"/>
        <v>1.212125699021471E-3</v>
      </c>
      <c r="J296" s="289"/>
      <c r="K296" s="275"/>
      <c r="L296" s="290"/>
      <c r="M296" s="275"/>
      <c r="N296" s="275"/>
      <c r="O296" s="275"/>
      <c r="P296" s="275"/>
      <c r="Q296" s="275"/>
      <c r="R296" s="275"/>
      <c r="S296" s="275"/>
      <c r="T296" s="275"/>
    </row>
    <row r="297" spans="1:20" ht="15" customHeight="1">
      <c r="A297" s="20"/>
      <c r="B297" s="294">
        <v>44356</v>
      </c>
      <c r="C297" s="295">
        <v>15635.349609375</v>
      </c>
      <c r="D297" s="296">
        <f t="shared" si="8"/>
        <v>-6.6549769442125761E-3</v>
      </c>
      <c r="E297" s="20"/>
      <c r="F297" s="297"/>
      <c r="G297" s="298">
        <v>44356</v>
      </c>
      <c r="H297" s="299">
        <v>2546.0500488310199</v>
      </c>
      <c r="I297" s="300">
        <f t="shared" si="9"/>
        <v>-1.0618614003278076E-2</v>
      </c>
      <c r="J297" s="296"/>
      <c r="K297" s="20"/>
      <c r="L297" s="297"/>
      <c r="M297" s="275"/>
      <c r="N297" s="275"/>
      <c r="O297" s="275"/>
      <c r="P297" s="275"/>
      <c r="Q297" s="275"/>
      <c r="R297" s="275"/>
      <c r="S297" s="275"/>
      <c r="T297" s="275"/>
    </row>
    <row r="298" spans="1:20" ht="15" customHeight="1">
      <c r="A298" s="275"/>
      <c r="B298" s="303">
        <v>44357</v>
      </c>
      <c r="C298" s="304">
        <v>15737.75</v>
      </c>
      <c r="D298" s="289">
        <f t="shared" si="8"/>
        <v>6.5492869160789623E-3</v>
      </c>
      <c r="E298" s="275"/>
      <c r="F298" s="290"/>
      <c r="G298" s="305">
        <v>44357</v>
      </c>
      <c r="H298" s="306">
        <v>2533.83984375</v>
      </c>
      <c r="I298" s="293">
        <f t="shared" si="9"/>
        <v>-4.7957443282099074E-3</v>
      </c>
      <c r="J298" s="289"/>
      <c r="K298" s="275"/>
      <c r="L298" s="290"/>
      <c r="M298" s="275"/>
      <c r="N298" s="275"/>
      <c r="O298" s="275"/>
      <c r="P298" s="275"/>
      <c r="Q298" s="275"/>
      <c r="R298" s="275"/>
      <c r="S298" s="275"/>
      <c r="T298" s="275"/>
    </row>
    <row r="299" spans="1:20" ht="15" customHeight="1">
      <c r="A299" s="20"/>
      <c r="B299" s="294">
        <v>44358</v>
      </c>
      <c r="C299" s="295">
        <v>15799.349609375</v>
      </c>
      <c r="D299" s="296">
        <f t="shared" si="8"/>
        <v>3.9141306333497486E-3</v>
      </c>
      <c r="E299" s="20"/>
      <c r="F299" s="297"/>
      <c r="G299" s="298">
        <v>44358</v>
      </c>
      <c r="H299" s="299">
        <v>2529.9243164120398</v>
      </c>
      <c r="I299" s="300">
        <f t="shared" si="9"/>
        <v>-1.5452939330866723E-3</v>
      </c>
      <c r="J299" s="296"/>
      <c r="K299" s="20"/>
      <c r="L299" s="297"/>
      <c r="M299" s="275"/>
      <c r="N299" s="275"/>
      <c r="O299" s="275"/>
      <c r="P299" s="275"/>
      <c r="Q299" s="275"/>
      <c r="R299" s="275"/>
      <c r="S299" s="275"/>
      <c r="T299" s="275"/>
    </row>
    <row r="300" spans="1:20" ht="15" customHeight="1">
      <c r="A300" s="275"/>
      <c r="B300" s="303">
        <v>44361</v>
      </c>
      <c r="C300" s="304">
        <v>15811.849609375</v>
      </c>
      <c r="D300" s="289">
        <f t="shared" si="8"/>
        <v>7.9117180827385227E-4</v>
      </c>
      <c r="E300" s="275"/>
      <c r="F300" s="290"/>
      <c r="G300" s="305">
        <v>44361</v>
      </c>
      <c r="H300" s="306">
        <v>2514.1772460879602</v>
      </c>
      <c r="I300" s="293">
        <f t="shared" si="9"/>
        <v>-6.2243246653371498E-3</v>
      </c>
      <c r="J300" s="289"/>
      <c r="K300" s="275"/>
      <c r="L300" s="290"/>
      <c r="M300" s="275"/>
      <c r="N300" s="275"/>
      <c r="O300" s="275"/>
      <c r="P300" s="275"/>
      <c r="Q300" s="275"/>
      <c r="R300" s="275"/>
      <c r="S300" s="275"/>
      <c r="T300" s="275"/>
    </row>
    <row r="301" spans="1:20" ht="15" customHeight="1">
      <c r="A301" s="20"/>
      <c r="B301" s="294">
        <v>44362</v>
      </c>
      <c r="C301" s="295">
        <v>15869.25</v>
      </c>
      <c r="D301" s="296">
        <f t="shared" si="8"/>
        <v>3.630213545097643E-3</v>
      </c>
      <c r="E301" s="20"/>
      <c r="F301" s="297"/>
      <c r="G301" s="298">
        <v>44362</v>
      </c>
      <c r="H301" s="299">
        <v>2532.1982421875</v>
      </c>
      <c r="I301" s="300">
        <f t="shared" si="9"/>
        <v>7.1677508527214504E-3</v>
      </c>
      <c r="J301" s="296"/>
      <c r="K301" s="20"/>
      <c r="L301" s="297"/>
      <c r="M301" s="275"/>
      <c r="N301" s="275"/>
      <c r="O301" s="275"/>
      <c r="P301" s="275"/>
      <c r="Q301" s="275"/>
      <c r="R301" s="275"/>
      <c r="S301" s="275"/>
      <c r="T301" s="275"/>
    </row>
    <row r="302" spans="1:20" ht="15" customHeight="1">
      <c r="A302" s="275"/>
      <c r="B302" s="303">
        <v>44363</v>
      </c>
      <c r="C302" s="304">
        <v>15767.5498046875</v>
      </c>
      <c r="D302" s="289">
        <f t="shared" si="8"/>
        <v>-6.4086327528081041E-3</v>
      </c>
      <c r="E302" s="275"/>
      <c r="F302" s="290"/>
      <c r="G302" s="305">
        <v>44363</v>
      </c>
      <c r="H302" s="306">
        <v>2505.5454101620398</v>
      </c>
      <c r="I302" s="293">
        <f t="shared" si="9"/>
        <v>-1.0525570858320898E-2</v>
      </c>
      <c r="J302" s="289"/>
      <c r="K302" s="275"/>
      <c r="L302" s="290"/>
      <c r="M302" s="275"/>
      <c r="N302" s="275"/>
      <c r="O302" s="275"/>
      <c r="P302" s="275"/>
      <c r="Q302" s="275"/>
      <c r="R302" s="275"/>
      <c r="S302" s="275"/>
      <c r="T302" s="275"/>
    </row>
    <row r="303" spans="1:20" ht="15" customHeight="1">
      <c r="A303" s="20"/>
      <c r="B303" s="294">
        <v>44364</v>
      </c>
      <c r="C303" s="295">
        <v>15691.400390625</v>
      </c>
      <c r="D303" s="296">
        <f t="shared" si="8"/>
        <v>-4.829502047290931E-3</v>
      </c>
      <c r="E303" s="20"/>
      <c r="F303" s="297"/>
      <c r="G303" s="298">
        <v>44364</v>
      </c>
      <c r="H303" s="299">
        <v>2453.9260253935199</v>
      </c>
      <c r="I303" s="300">
        <f t="shared" si="9"/>
        <v>-2.0602055168970804E-2</v>
      </c>
      <c r="J303" s="296"/>
      <c r="K303" s="20"/>
      <c r="L303" s="297"/>
      <c r="M303" s="275"/>
      <c r="N303" s="275"/>
      <c r="O303" s="275"/>
      <c r="P303" s="275"/>
      <c r="Q303" s="275"/>
      <c r="R303" s="275"/>
      <c r="S303" s="275"/>
      <c r="T303" s="275"/>
    </row>
    <row r="304" spans="1:20" ht="15" customHeight="1">
      <c r="A304" s="275"/>
      <c r="B304" s="303">
        <v>44365</v>
      </c>
      <c r="C304" s="304">
        <v>15683.349609375</v>
      </c>
      <c r="D304" s="289">
        <f t="shared" si="8"/>
        <v>-5.1306964640390079E-4</v>
      </c>
      <c r="E304" s="275"/>
      <c r="F304" s="290"/>
      <c r="G304" s="305">
        <v>44365</v>
      </c>
      <c r="H304" s="306">
        <v>2434.7680664120398</v>
      </c>
      <c r="I304" s="293">
        <f t="shared" si="9"/>
        <v>-7.807064590876509E-3</v>
      </c>
      <c r="J304" s="289"/>
      <c r="K304" s="275"/>
      <c r="L304" s="290"/>
      <c r="M304" s="275"/>
      <c r="N304" s="275"/>
      <c r="O304" s="275"/>
      <c r="P304" s="275"/>
      <c r="Q304" s="275"/>
      <c r="R304" s="275"/>
      <c r="S304" s="275"/>
      <c r="T304" s="275"/>
    </row>
    <row r="305" spans="1:20" ht="15" customHeight="1">
      <c r="A305" s="20"/>
      <c r="B305" s="294">
        <v>44368</v>
      </c>
      <c r="C305" s="295">
        <v>15746.5</v>
      </c>
      <c r="D305" s="296">
        <f t="shared" si="8"/>
        <v>4.0265882096545708E-3</v>
      </c>
      <c r="E305" s="20"/>
      <c r="F305" s="297"/>
      <c r="G305" s="298">
        <v>44368</v>
      </c>
      <c r="H305" s="299">
        <v>2437.7160644560199</v>
      </c>
      <c r="I305" s="300">
        <f t="shared" si="9"/>
        <v>1.2107921426472265E-3</v>
      </c>
      <c r="J305" s="296"/>
      <c r="K305" s="20"/>
      <c r="L305" s="297"/>
      <c r="M305" s="275"/>
      <c r="N305" s="275"/>
      <c r="O305" s="275"/>
      <c r="P305" s="275"/>
      <c r="Q305" s="275"/>
      <c r="R305" s="275"/>
      <c r="S305" s="275"/>
      <c r="T305" s="275"/>
    </row>
    <row r="306" spans="1:20" ht="15" customHeight="1">
      <c r="A306" s="275"/>
      <c r="B306" s="303">
        <v>44369</v>
      </c>
      <c r="C306" s="304">
        <v>15772.75</v>
      </c>
      <c r="D306" s="289">
        <f t="shared" si="8"/>
        <v>1.6670371193598578E-3</v>
      </c>
      <c r="E306" s="275"/>
      <c r="F306" s="290"/>
      <c r="G306" s="305">
        <v>44369</v>
      </c>
      <c r="H306" s="306">
        <v>2447.9892578125</v>
      </c>
      <c r="I306" s="293">
        <f t="shared" si="9"/>
        <v>4.2142698677142933E-3</v>
      </c>
      <c r="J306" s="289"/>
      <c r="K306" s="275"/>
      <c r="L306" s="290"/>
      <c r="M306" s="275"/>
      <c r="N306" s="275"/>
      <c r="O306" s="275"/>
      <c r="P306" s="275"/>
      <c r="Q306" s="275"/>
      <c r="R306" s="275"/>
      <c r="S306" s="275"/>
      <c r="T306" s="275"/>
    </row>
    <row r="307" spans="1:20" ht="15" customHeight="1">
      <c r="A307" s="20"/>
      <c r="B307" s="294">
        <v>44370</v>
      </c>
      <c r="C307" s="295">
        <v>15686.9501953125</v>
      </c>
      <c r="D307" s="296">
        <f t="shared" si="8"/>
        <v>-5.4397492312691191E-3</v>
      </c>
      <c r="E307" s="20"/>
      <c r="F307" s="297"/>
      <c r="G307" s="298">
        <v>44370</v>
      </c>
      <c r="H307" s="299">
        <v>2465.9255371064801</v>
      </c>
      <c r="I307" s="300">
        <f t="shared" si="9"/>
        <v>7.3269436280156584E-3</v>
      </c>
      <c r="J307" s="296"/>
      <c r="K307" s="20"/>
      <c r="L307" s="297"/>
      <c r="M307" s="275"/>
      <c r="N307" s="275"/>
      <c r="O307" s="275"/>
      <c r="P307" s="275"/>
      <c r="Q307" s="275"/>
      <c r="R307" s="275"/>
      <c r="S307" s="275"/>
      <c r="T307" s="275"/>
    </row>
    <row r="308" spans="1:20" ht="15" customHeight="1">
      <c r="A308" s="275"/>
      <c r="B308" s="303">
        <v>44371</v>
      </c>
      <c r="C308" s="304">
        <v>15790.4501953125</v>
      </c>
      <c r="D308" s="289">
        <f t="shared" si="8"/>
        <v>6.5978407983297719E-3</v>
      </c>
      <c r="E308" s="275"/>
      <c r="F308" s="290"/>
      <c r="G308" s="305">
        <v>44371</v>
      </c>
      <c r="H308" s="306">
        <v>2447.9052734375</v>
      </c>
      <c r="I308" s="293">
        <f t="shared" si="9"/>
        <v>-7.3077079570395614E-3</v>
      </c>
      <c r="J308" s="289"/>
      <c r="K308" s="275"/>
      <c r="L308" s="290"/>
      <c r="M308" s="275"/>
      <c r="N308" s="275"/>
      <c r="O308" s="275"/>
      <c r="P308" s="275"/>
      <c r="Q308" s="275"/>
      <c r="R308" s="275"/>
      <c r="S308" s="275"/>
      <c r="T308" s="275"/>
    </row>
    <row r="309" spans="1:20" ht="15" customHeight="1">
      <c r="A309" s="20"/>
      <c r="B309" s="294">
        <v>44372</v>
      </c>
      <c r="C309" s="295">
        <v>15860.349609375</v>
      </c>
      <c r="D309" s="296">
        <f t="shared" si="8"/>
        <v>4.4266891189239247E-3</v>
      </c>
      <c r="E309" s="20"/>
      <c r="F309" s="297"/>
      <c r="G309" s="298">
        <v>44372</v>
      </c>
      <c r="H309" s="299">
        <v>2475.0625</v>
      </c>
      <c r="I309" s="300">
        <f t="shared" si="9"/>
        <v>1.109406759206991E-2</v>
      </c>
      <c r="J309" s="296"/>
      <c r="K309" s="20"/>
      <c r="L309" s="297"/>
      <c r="M309" s="275"/>
      <c r="N309" s="275"/>
      <c r="O309" s="275"/>
      <c r="P309" s="275"/>
      <c r="Q309" s="275"/>
      <c r="R309" s="275"/>
      <c r="S309" s="275"/>
      <c r="T309" s="275"/>
    </row>
    <row r="310" spans="1:20" ht="15" customHeight="1">
      <c r="A310" s="275"/>
      <c r="B310" s="303">
        <v>44375</v>
      </c>
      <c r="C310" s="304">
        <v>15814.7001953125</v>
      </c>
      <c r="D310" s="289">
        <f t="shared" si="8"/>
        <v>-2.8782098242977434E-3</v>
      </c>
      <c r="E310" s="275"/>
      <c r="F310" s="290"/>
      <c r="G310" s="305">
        <v>44375</v>
      </c>
      <c r="H310" s="306">
        <v>2478.8095703125</v>
      </c>
      <c r="I310" s="293">
        <f t="shared" si="9"/>
        <v>1.5139295724855434E-3</v>
      </c>
      <c r="J310" s="289"/>
      <c r="K310" s="275"/>
      <c r="L310" s="290"/>
      <c r="M310" s="275"/>
      <c r="N310" s="275"/>
      <c r="O310" s="275"/>
      <c r="P310" s="275"/>
      <c r="Q310" s="275"/>
      <c r="R310" s="275"/>
      <c r="S310" s="275"/>
      <c r="T310" s="275"/>
    </row>
    <row r="311" spans="1:20" ht="15" customHeight="1">
      <c r="A311" s="20"/>
      <c r="B311" s="294">
        <v>44376</v>
      </c>
      <c r="C311" s="295">
        <v>15748.4501953125</v>
      </c>
      <c r="D311" s="296">
        <f t="shared" si="8"/>
        <v>-4.1891404314851697E-3</v>
      </c>
      <c r="E311" s="20"/>
      <c r="F311" s="297"/>
      <c r="G311" s="298">
        <v>44376</v>
      </c>
      <c r="H311" s="299">
        <v>2465.2099609375</v>
      </c>
      <c r="I311" s="300">
        <f t="shared" si="9"/>
        <v>-5.4863469698826104E-3</v>
      </c>
      <c r="J311" s="296"/>
      <c r="K311" s="20"/>
      <c r="L311" s="297"/>
      <c r="M311" s="275"/>
      <c r="N311" s="275"/>
      <c r="O311" s="275"/>
      <c r="P311" s="275"/>
      <c r="Q311" s="275"/>
      <c r="R311" s="275"/>
      <c r="S311" s="275"/>
      <c r="T311" s="275"/>
    </row>
    <row r="312" spans="1:20" ht="15" customHeight="1">
      <c r="A312" s="275"/>
      <c r="B312" s="303">
        <v>44377</v>
      </c>
      <c r="C312" s="304">
        <v>15721.5</v>
      </c>
      <c r="D312" s="289">
        <f t="shared" si="8"/>
        <v>-1.7112919035373831E-3</v>
      </c>
      <c r="E312" s="275"/>
      <c r="F312" s="290"/>
      <c r="G312" s="305">
        <v>44377</v>
      </c>
      <c r="H312" s="306">
        <v>2444.2419433564801</v>
      </c>
      <c r="I312" s="293">
        <f t="shared" si="9"/>
        <v>-8.5055706869876305E-3</v>
      </c>
      <c r="J312" s="289"/>
      <c r="K312" s="275"/>
      <c r="L312" s="290"/>
      <c r="M312" s="275"/>
      <c r="N312" s="275"/>
      <c r="O312" s="275"/>
      <c r="P312" s="275"/>
      <c r="Q312" s="275"/>
      <c r="R312" s="275"/>
      <c r="S312" s="275"/>
      <c r="T312" s="275"/>
    </row>
    <row r="313" spans="1:20" ht="15" customHeight="1">
      <c r="A313" s="20"/>
      <c r="B313" s="294">
        <v>44378</v>
      </c>
      <c r="C313" s="295">
        <v>15680</v>
      </c>
      <c r="D313" s="296">
        <f t="shared" si="8"/>
        <v>-2.6396972299080877E-3</v>
      </c>
      <c r="E313" s="20"/>
      <c r="F313" s="297"/>
      <c r="G313" s="298">
        <v>44378</v>
      </c>
      <c r="H313" s="299">
        <v>2460.9992675810199</v>
      </c>
      <c r="I313" s="300">
        <f t="shared" si="9"/>
        <v>6.8558369477648203E-3</v>
      </c>
      <c r="J313" s="296"/>
      <c r="K313" s="20"/>
      <c r="L313" s="297"/>
      <c r="M313" s="275"/>
      <c r="N313" s="275"/>
      <c r="O313" s="275"/>
      <c r="P313" s="275"/>
      <c r="Q313" s="275"/>
      <c r="R313" s="275"/>
      <c r="S313" s="275"/>
      <c r="T313" s="275"/>
    </row>
    <row r="314" spans="1:20" ht="15" customHeight="1">
      <c r="A314" s="275"/>
      <c r="B314" s="303">
        <v>44379</v>
      </c>
      <c r="C314" s="304">
        <v>15722.2001953125</v>
      </c>
      <c r="D314" s="289">
        <f t="shared" si="8"/>
        <v>2.6913389867665818E-3</v>
      </c>
      <c r="E314" s="275"/>
      <c r="F314" s="290"/>
      <c r="G314" s="305">
        <v>44379</v>
      </c>
      <c r="H314" s="306">
        <v>2458.7680664120398</v>
      </c>
      <c r="I314" s="293">
        <f t="shared" si="9"/>
        <v>-9.0662406867482892E-4</v>
      </c>
      <c r="J314" s="289"/>
      <c r="K314" s="275"/>
      <c r="L314" s="290"/>
      <c r="M314" s="275"/>
      <c r="N314" s="275"/>
      <c r="O314" s="275"/>
      <c r="P314" s="275"/>
      <c r="Q314" s="275"/>
      <c r="R314" s="275"/>
      <c r="S314" s="275"/>
      <c r="T314" s="275"/>
    </row>
    <row r="315" spans="1:20" ht="15" customHeight="1">
      <c r="A315" s="20"/>
      <c r="B315" s="294">
        <v>44382</v>
      </c>
      <c r="C315" s="295">
        <v>15834.349609375</v>
      </c>
      <c r="D315" s="296">
        <f t="shared" si="8"/>
        <v>7.1331882732250679E-3</v>
      </c>
      <c r="E315" s="20"/>
      <c r="F315" s="297"/>
      <c r="G315" s="298">
        <v>44382</v>
      </c>
      <c r="H315" s="299">
        <v>2474.0942382870398</v>
      </c>
      <c r="I315" s="300">
        <f t="shared" si="9"/>
        <v>6.2332727044746173E-3</v>
      </c>
      <c r="J315" s="296"/>
      <c r="K315" s="20"/>
      <c r="L315" s="297"/>
      <c r="M315" s="275"/>
      <c r="N315" s="275"/>
      <c r="O315" s="275"/>
      <c r="P315" s="275"/>
      <c r="Q315" s="275"/>
      <c r="R315" s="275"/>
      <c r="S315" s="275"/>
      <c r="T315" s="275"/>
    </row>
    <row r="316" spans="1:20" ht="15" customHeight="1">
      <c r="A316" s="275"/>
      <c r="B316" s="303">
        <v>44383</v>
      </c>
      <c r="C316" s="304">
        <v>15818.25</v>
      </c>
      <c r="D316" s="289">
        <f t="shared" si="8"/>
        <v>-1.016752173102705E-3</v>
      </c>
      <c r="E316" s="275"/>
      <c r="F316" s="290"/>
      <c r="G316" s="305">
        <v>44383</v>
      </c>
      <c r="H316" s="306">
        <v>2458.2624511689801</v>
      </c>
      <c r="I316" s="293">
        <f t="shared" si="9"/>
        <v>-6.3990234781925838E-3</v>
      </c>
      <c r="J316" s="289"/>
      <c r="K316" s="275"/>
      <c r="L316" s="290"/>
      <c r="M316" s="275"/>
      <c r="N316" s="275"/>
      <c r="O316" s="275"/>
      <c r="P316" s="275"/>
      <c r="Q316" s="275"/>
      <c r="R316" s="275"/>
      <c r="S316" s="275"/>
      <c r="T316" s="275"/>
    </row>
    <row r="317" spans="1:20" ht="15" customHeight="1">
      <c r="A317" s="20"/>
      <c r="B317" s="294">
        <v>44384</v>
      </c>
      <c r="C317" s="295">
        <v>15879.650390625</v>
      </c>
      <c r="D317" s="296">
        <f t="shared" si="8"/>
        <v>3.8816171589777632E-3</v>
      </c>
      <c r="E317" s="20"/>
      <c r="F317" s="297"/>
      <c r="G317" s="298">
        <v>44384</v>
      </c>
      <c r="H317" s="299">
        <v>2453.2944335879602</v>
      </c>
      <c r="I317" s="300">
        <f t="shared" si="9"/>
        <v>-2.020946778346419E-3</v>
      </c>
      <c r="J317" s="296"/>
      <c r="K317" s="20"/>
      <c r="L317" s="297"/>
      <c r="M317" s="275"/>
      <c r="N317" s="275"/>
      <c r="O317" s="275"/>
      <c r="P317" s="275"/>
      <c r="Q317" s="275"/>
      <c r="R317" s="275"/>
      <c r="S317" s="275"/>
      <c r="T317" s="275"/>
    </row>
    <row r="318" spans="1:20" ht="15" customHeight="1">
      <c r="A318" s="275"/>
      <c r="B318" s="303">
        <v>44385</v>
      </c>
      <c r="C318" s="304">
        <v>15727.900390625</v>
      </c>
      <c r="D318" s="289">
        <f t="shared" si="8"/>
        <v>-9.5562557277451086E-3</v>
      </c>
      <c r="E318" s="275"/>
      <c r="F318" s="290"/>
      <c r="G318" s="305">
        <v>44385</v>
      </c>
      <c r="H318" s="306">
        <v>2442.3891601620398</v>
      </c>
      <c r="I318" s="293">
        <f t="shared" si="9"/>
        <v>-4.4451547586855586E-3</v>
      </c>
      <c r="J318" s="289"/>
      <c r="K318" s="275"/>
      <c r="L318" s="290"/>
      <c r="M318" s="275"/>
      <c r="N318" s="275"/>
      <c r="O318" s="275"/>
      <c r="P318" s="275"/>
      <c r="Q318" s="275"/>
      <c r="R318" s="275"/>
      <c r="S318" s="275"/>
      <c r="T318" s="275"/>
    </row>
    <row r="319" spans="1:20" ht="15" customHeight="1">
      <c r="A319" s="20"/>
      <c r="B319" s="294">
        <v>44386</v>
      </c>
      <c r="C319" s="295">
        <v>15689.7998046875</v>
      </c>
      <c r="D319" s="296">
        <f t="shared" si="8"/>
        <v>-2.4224839292732799E-3</v>
      </c>
      <c r="E319" s="20"/>
      <c r="F319" s="297"/>
      <c r="G319" s="298">
        <v>44386</v>
      </c>
      <c r="H319" s="299">
        <v>2439.3581542939801</v>
      </c>
      <c r="I319" s="300">
        <f t="shared" si="9"/>
        <v>-1.2410003768026359E-3</v>
      </c>
      <c r="J319" s="296"/>
      <c r="K319" s="20"/>
      <c r="L319" s="297"/>
      <c r="M319" s="275"/>
      <c r="N319" s="275"/>
      <c r="O319" s="275"/>
      <c r="P319" s="275"/>
      <c r="Q319" s="275"/>
      <c r="R319" s="275"/>
      <c r="S319" s="275"/>
      <c r="T319" s="275"/>
    </row>
    <row r="320" spans="1:20" ht="15" customHeight="1">
      <c r="A320" s="275"/>
      <c r="B320" s="303">
        <v>44389</v>
      </c>
      <c r="C320" s="304">
        <v>15692.599609375</v>
      </c>
      <c r="D320" s="289">
        <f t="shared" si="8"/>
        <v>1.7844744498674405E-4</v>
      </c>
      <c r="E320" s="275"/>
      <c r="F320" s="290"/>
      <c r="G320" s="305">
        <v>44389</v>
      </c>
      <c r="H320" s="306">
        <v>2440.5363769560199</v>
      </c>
      <c r="I320" s="293">
        <f t="shared" si="9"/>
        <v>4.8300519543053921E-4</v>
      </c>
      <c r="J320" s="289"/>
      <c r="K320" s="275"/>
      <c r="L320" s="290"/>
      <c r="M320" s="275"/>
      <c r="N320" s="275"/>
      <c r="O320" s="275"/>
      <c r="P320" s="275"/>
      <c r="Q320" s="275"/>
      <c r="R320" s="275"/>
      <c r="S320" s="275"/>
      <c r="T320" s="275"/>
    </row>
    <row r="321" spans="1:20" ht="15" customHeight="1">
      <c r="A321" s="20"/>
      <c r="B321" s="294">
        <v>44390</v>
      </c>
      <c r="C321" s="295">
        <v>15812.349609375</v>
      </c>
      <c r="D321" s="296">
        <f t="shared" si="8"/>
        <v>7.6309854951285136E-3</v>
      </c>
      <c r="E321" s="20"/>
      <c r="F321" s="297"/>
      <c r="G321" s="298">
        <v>44390</v>
      </c>
      <c r="H321" s="299">
        <v>2445.5048828125</v>
      </c>
      <c r="I321" s="300">
        <f t="shared" si="9"/>
        <v>2.0358253633888015E-3</v>
      </c>
      <c r="J321" s="296"/>
      <c r="K321" s="20"/>
      <c r="L321" s="297"/>
      <c r="M321" s="275"/>
      <c r="N321" s="275"/>
      <c r="O321" s="275"/>
      <c r="P321" s="275"/>
      <c r="Q321" s="275"/>
      <c r="R321" s="275"/>
      <c r="S321" s="275"/>
      <c r="T321" s="275"/>
    </row>
    <row r="322" spans="1:20" ht="15" customHeight="1">
      <c r="A322" s="275"/>
      <c r="B322" s="303">
        <v>44391</v>
      </c>
      <c r="C322" s="304">
        <v>15853.9501953125</v>
      </c>
      <c r="D322" s="289">
        <f t="shared" si="8"/>
        <v>2.6308921169334244E-3</v>
      </c>
      <c r="E322" s="275"/>
      <c r="F322" s="290"/>
      <c r="G322" s="305">
        <v>44391</v>
      </c>
      <c r="H322" s="306">
        <v>2442.6418457060199</v>
      </c>
      <c r="I322" s="293">
        <f t="shared" si="9"/>
        <v>-1.1707345696187641E-3</v>
      </c>
      <c r="J322" s="289"/>
      <c r="K322" s="275"/>
      <c r="L322" s="290"/>
      <c r="M322" s="275"/>
      <c r="N322" s="275"/>
      <c r="O322" s="275"/>
      <c r="P322" s="275"/>
      <c r="Q322" s="275"/>
      <c r="R322" s="275"/>
      <c r="S322" s="275"/>
      <c r="T322" s="275"/>
    </row>
    <row r="323" spans="1:20" ht="15" customHeight="1">
      <c r="A323" s="20"/>
      <c r="B323" s="294">
        <v>44392</v>
      </c>
      <c r="C323" s="295">
        <v>15924.2001953125</v>
      </c>
      <c r="D323" s="296">
        <f t="shared" si="8"/>
        <v>4.4310723280038215E-3</v>
      </c>
      <c r="E323" s="20"/>
      <c r="F323" s="297"/>
      <c r="G323" s="298">
        <v>44392</v>
      </c>
      <c r="H323" s="299">
        <v>2429.1257324189801</v>
      </c>
      <c r="I323" s="300">
        <f t="shared" si="9"/>
        <v>-5.5333995488532836E-3</v>
      </c>
      <c r="J323" s="296"/>
      <c r="K323" s="20"/>
      <c r="L323" s="297"/>
      <c r="M323" s="275"/>
      <c r="N323" s="275"/>
      <c r="O323" s="275"/>
      <c r="P323" s="275"/>
      <c r="Q323" s="275"/>
      <c r="R323" s="275"/>
      <c r="S323" s="275"/>
      <c r="T323" s="275"/>
    </row>
    <row r="324" spans="1:20" ht="15" customHeight="1">
      <c r="A324" s="275"/>
      <c r="B324" s="303">
        <v>44393</v>
      </c>
      <c r="C324" s="304">
        <v>15923.400390625</v>
      </c>
      <c r="D324" s="289">
        <f t="shared" si="8"/>
        <v>-5.0225736783655429E-5</v>
      </c>
      <c r="E324" s="275"/>
      <c r="F324" s="290"/>
      <c r="G324" s="305">
        <v>44393</v>
      </c>
      <c r="H324" s="306">
        <v>2446.0104980439801</v>
      </c>
      <c r="I324" s="293">
        <f t="shared" si="9"/>
        <v>6.9509640442472096E-3</v>
      </c>
      <c r="J324" s="289"/>
      <c r="K324" s="275"/>
      <c r="L324" s="290"/>
      <c r="M324" s="275"/>
      <c r="N324" s="275"/>
      <c r="O324" s="275"/>
      <c r="P324" s="275"/>
      <c r="Q324" s="275"/>
      <c r="R324" s="275"/>
      <c r="S324" s="275"/>
      <c r="T324" s="275"/>
    </row>
    <row r="325" spans="1:20" ht="15" customHeight="1">
      <c r="A325" s="20"/>
      <c r="B325" s="294">
        <v>44396</v>
      </c>
      <c r="C325" s="295">
        <v>15752.400390625</v>
      </c>
      <c r="D325" s="296">
        <f t="shared" ref="D325:D388" si="10">(C325-C324)/C324</f>
        <v>-1.0738912280361756E-2</v>
      </c>
      <c r="E325" s="20"/>
      <c r="F325" s="297"/>
      <c r="G325" s="298">
        <v>44396</v>
      </c>
      <c r="H325" s="299">
        <v>2431.1896972685199</v>
      </c>
      <c r="I325" s="300">
        <f t="shared" ref="I325:I388" si="11">(H325-H324)/H324</f>
        <v>-6.0591730032688003E-3</v>
      </c>
      <c r="J325" s="296"/>
      <c r="K325" s="20"/>
      <c r="L325" s="297"/>
      <c r="M325" s="275"/>
      <c r="N325" s="275"/>
      <c r="O325" s="275"/>
      <c r="P325" s="275"/>
      <c r="Q325" s="275"/>
      <c r="R325" s="275"/>
      <c r="S325" s="275"/>
      <c r="T325" s="275"/>
    </row>
    <row r="326" spans="1:20" ht="15" customHeight="1">
      <c r="A326" s="275"/>
      <c r="B326" s="303">
        <v>44397</v>
      </c>
      <c r="C326" s="304">
        <v>15632.099609375</v>
      </c>
      <c r="D326" s="289">
        <f t="shared" si="10"/>
        <v>-7.6369809214344685E-3</v>
      </c>
      <c r="E326" s="275"/>
      <c r="F326" s="290"/>
      <c r="G326" s="305">
        <v>44397</v>
      </c>
      <c r="H326" s="306">
        <v>2390.6850585879602</v>
      </c>
      <c r="I326" s="293">
        <f t="shared" si="11"/>
        <v>-1.6660418858333994E-2</v>
      </c>
      <c r="J326" s="289"/>
      <c r="K326" s="275"/>
      <c r="L326" s="290"/>
      <c r="M326" s="275"/>
      <c r="N326" s="275"/>
      <c r="O326" s="275"/>
      <c r="P326" s="275"/>
      <c r="Q326" s="275"/>
      <c r="R326" s="275"/>
      <c r="S326" s="275"/>
      <c r="T326" s="275"/>
    </row>
    <row r="327" spans="1:20" ht="15" customHeight="1">
      <c r="A327" s="20"/>
      <c r="B327" s="294">
        <v>44399</v>
      </c>
      <c r="C327" s="295">
        <v>15824.0498046875</v>
      </c>
      <c r="D327" s="296">
        <f t="shared" si="10"/>
        <v>1.2279233123449532E-2</v>
      </c>
      <c r="E327" s="20"/>
      <c r="F327" s="297"/>
      <c r="G327" s="298">
        <v>44399</v>
      </c>
      <c r="H327" s="299">
        <v>2419.8864746064801</v>
      </c>
      <c r="I327" s="300">
        <f t="shared" si="11"/>
        <v>1.221466454296055E-2</v>
      </c>
      <c r="J327" s="296"/>
      <c r="K327" s="20"/>
      <c r="L327" s="297"/>
      <c r="M327" s="275"/>
      <c r="N327" s="275"/>
      <c r="O327" s="275"/>
      <c r="P327" s="275"/>
      <c r="Q327" s="275"/>
      <c r="R327" s="275"/>
      <c r="S327" s="275"/>
      <c r="T327" s="275"/>
    </row>
    <row r="328" spans="1:20" ht="15" customHeight="1">
      <c r="A328" s="275"/>
      <c r="B328" s="303">
        <v>44400</v>
      </c>
      <c r="C328" s="304">
        <v>15856.0498046875</v>
      </c>
      <c r="D328" s="289">
        <f t="shared" si="10"/>
        <v>2.0222383267853947E-3</v>
      </c>
      <c r="E328" s="275"/>
      <c r="F328" s="290"/>
      <c r="G328" s="305">
        <v>44400</v>
      </c>
      <c r="H328" s="306">
        <v>2417.1154785185199</v>
      </c>
      <c r="I328" s="293">
        <f t="shared" si="11"/>
        <v>-1.1450934236122683E-3</v>
      </c>
      <c r="J328" s="289"/>
      <c r="K328" s="275"/>
      <c r="L328" s="290"/>
      <c r="M328" s="275"/>
      <c r="N328" s="275"/>
      <c r="O328" s="275"/>
      <c r="P328" s="275"/>
      <c r="Q328" s="275"/>
      <c r="R328" s="275"/>
      <c r="S328" s="275"/>
      <c r="T328" s="275"/>
    </row>
    <row r="329" spans="1:20" ht="15" customHeight="1">
      <c r="A329" s="20"/>
      <c r="B329" s="294">
        <v>44403</v>
      </c>
      <c r="C329" s="295">
        <v>15824.4501953125</v>
      </c>
      <c r="D329" s="296">
        <f t="shared" si="10"/>
        <v>-1.9929055322251985E-3</v>
      </c>
      <c r="E329" s="20"/>
      <c r="F329" s="297"/>
      <c r="G329" s="298">
        <v>44403</v>
      </c>
      <c r="H329" s="299">
        <v>2396.013671875</v>
      </c>
      <c r="I329" s="300">
        <f t="shared" si="11"/>
        <v>-8.7301607354123931E-3</v>
      </c>
      <c r="J329" s="296"/>
      <c r="K329" s="20"/>
      <c r="L329" s="297"/>
      <c r="M329" s="275"/>
      <c r="N329" s="275"/>
      <c r="O329" s="275"/>
      <c r="P329" s="275"/>
      <c r="Q329" s="275"/>
      <c r="R329" s="275"/>
      <c r="S329" s="275"/>
      <c r="T329" s="275"/>
    </row>
    <row r="330" spans="1:20" ht="15" customHeight="1">
      <c r="A330" s="275"/>
      <c r="B330" s="303">
        <v>44404</v>
      </c>
      <c r="C330" s="304">
        <v>15746.4501953125</v>
      </c>
      <c r="D330" s="289">
        <f t="shared" si="10"/>
        <v>-4.9290812026508866E-3</v>
      </c>
      <c r="E330" s="275"/>
      <c r="F330" s="290"/>
      <c r="G330" s="305">
        <v>44404</v>
      </c>
      <c r="H330" s="306">
        <v>2382.03125</v>
      </c>
      <c r="I330" s="293">
        <f t="shared" si="11"/>
        <v>-5.8357020409061603E-3</v>
      </c>
      <c r="J330" s="289"/>
      <c r="K330" s="275"/>
      <c r="L330" s="290"/>
      <c r="M330" s="275"/>
      <c r="N330" s="275"/>
      <c r="O330" s="275"/>
      <c r="P330" s="275"/>
      <c r="Q330" s="275"/>
      <c r="R330" s="275"/>
      <c r="S330" s="275"/>
      <c r="T330" s="275"/>
    </row>
    <row r="331" spans="1:20" ht="15" customHeight="1">
      <c r="A331" s="20"/>
      <c r="B331" s="294">
        <v>44405</v>
      </c>
      <c r="C331" s="295">
        <v>15709.400390625</v>
      </c>
      <c r="D331" s="296">
        <f t="shared" si="10"/>
        <v>-2.3528988583426387E-3</v>
      </c>
      <c r="E331" s="20"/>
      <c r="F331" s="297"/>
      <c r="G331" s="298">
        <v>44405</v>
      </c>
      <c r="H331" s="299">
        <v>2368.2614746064801</v>
      </c>
      <c r="I331" s="300">
        <f t="shared" si="11"/>
        <v>-5.780686291802394E-3</v>
      </c>
      <c r="J331" s="296"/>
      <c r="K331" s="20"/>
      <c r="L331" s="297"/>
      <c r="M331" s="275"/>
      <c r="N331" s="275"/>
      <c r="O331" s="275"/>
      <c r="P331" s="275"/>
      <c r="Q331" s="275"/>
      <c r="R331" s="275"/>
      <c r="S331" s="275"/>
      <c r="T331" s="275"/>
    </row>
    <row r="332" spans="1:20" ht="15" customHeight="1">
      <c r="A332" s="275"/>
      <c r="B332" s="303">
        <v>44406</v>
      </c>
      <c r="C332" s="304">
        <v>15778.4501953125</v>
      </c>
      <c r="D332" s="289">
        <f t="shared" si="10"/>
        <v>4.3954449546468556E-3</v>
      </c>
      <c r="E332" s="275"/>
      <c r="F332" s="290"/>
      <c r="G332" s="305">
        <v>44406</v>
      </c>
      <c r="H332" s="306">
        <v>2340.9787597685199</v>
      </c>
      <c r="I332" s="293">
        <f t="shared" si="11"/>
        <v>-1.1520144684401271E-2</v>
      </c>
      <c r="J332" s="289"/>
      <c r="K332" s="275"/>
      <c r="L332" s="290"/>
      <c r="M332" s="275"/>
      <c r="N332" s="275"/>
      <c r="O332" s="275"/>
      <c r="P332" s="275"/>
      <c r="Q332" s="275"/>
      <c r="R332" s="275"/>
      <c r="S332" s="275"/>
      <c r="T332" s="275"/>
    </row>
    <row r="333" spans="1:20" ht="15" customHeight="1">
      <c r="A333" s="20"/>
      <c r="B333" s="294">
        <v>44407</v>
      </c>
      <c r="C333" s="295">
        <v>15763.0498046875</v>
      </c>
      <c r="D333" s="296">
        <f t="shared" si="10"/>
        <v>-9.7603949908687388E-4</v>
      </c>
      <c r="E333" s="20"/>
      <c r="F333" s="297"/>
      <c r="G333" s="298">
        <v>44407</v>
      </c>
      <c r="H333" s="299">
        <v>2355.9841308564801</v>
      </c>
      <c r="I333" s="300">
        <f t="shared" si="11"/>
        <v>6.4098706685591263E-3</v>
      </c>
      <c r="J333" s="296"/>
      <c r="K333" s="20"/>
      <c r="L333" s="297"/>
      <c r="M333" s="275"/>
      <c r="N333" s="275"/>
      <c r="O333" s="275"/>
      <c r="P333" s="275"/>
      <c r="Q333" s="275"/>
      <c r="R333" s="275"/>
      <c r="S333" s="275"/>
      <c r="T333" s="275"/>
    </row>
    <row r="334" spans="1:20" ht="15" customHeight="1">
      <c r="A334" s="275"/>
      <c r="B334" s="303">
        <v>44410</v>
      </c>
      <c r="C334" s="304">
        <v>15885.150390625</v>
      </c>
      <c r="D334" s="289">
        <f t="shared" si="10"/>
        <v>7.7460001364197065E-3</v>
      </c>
      <c r="E334" s="275"/>
      <c r="F334" s="290"/>
      <c r="G334" s="305">
        <v>44410</v>
      </c>
      <c r="H334" s="306">
        <v>2372.0981445370398</v>
      </c>
      <c r="I334" s="293">
        <f t="shared" si="11"/>
        <v>6.83961044962632E-3</v>
      </c>
      <c r="J334" s="289"/>
      <c r="K334" s="275"/>
      <c r="L334" s="290"/>
      <c r="M334" s="275"/>
      <c r="N334" s="275"/>
      <c r="O334" s="275"/>
      <c r="P334" s="275"/>
      <c r="Q334" s="275"/>
      <c r="R334" s="275"/>
      <c r="S334" s="275"/>
      <c r="T334" s="275"/>
    </row>
    <row r="335" spans="1:20" ht="15" customHeight="1">
      <c r="A335" s="20"/>
      <c r="B335" s="294">
        <v>44411</v>
      </c>
      <c r="C335" s="295">
        <v>16130.75</v>
      </c>
      <c r="D335" s="296">
        <f t="shared" si="10"/>
        <v>1.5460955882416225E-2</v>
      </c>
      <c r="E335" s="20"/>
      <c r="F335" s="297"/>
      <c r="G335" s="298">
        <v>44411</v>
      </c>
      <c r="H335" s="299">
        <v>2403.5595703125</v>
      </c>
      <c r="I335" s="300">
        <f t="shared" si="11"/>
        <v>1.3263121447110466E-2</v>
      </c>
      <c r="J335" s="296"/>
      <c r="K335" s="20"/>
      <c r="L335" s="297"/>
      <c r="M335" s="275"/>
      <c r="N335" s="275"/>
      <c r="O335" s="275"/>
      <c r="P335" s="275"/>
      <c r="Q335" s="275"/>
      <c r="R335" s="275"/>
      <c r="S335" s="275"/>
      <c r="T335" s="275"/>
    </row>
    <row r="336" spans="1:20" ht="15" customHeight="1">
      <c r="A336" s="275"/>
      <c r="B336" s="303">
        <v>44412</v>
      </c>
      <c r="C336" s="304">
        <v>16258.7998046875</v>
      </c>
      <c r="D336" s="289">
        <f t="shared" si="10"/>
        <v>7.9382424678021788E-3</v>
      </c>
      <c r="E336" s="275"/>
      <c r="F336" s="290"/>
      <c r="G336" s="305">
        <v>44412</v>
      </c>
      <c r="H336" s="306">
        <v>2391.9641113310199</v>
      </c>
      <c r="I336" s="293">
        <f t="shared" si="11"/>
        <v>-4.8242860816520095E-3</v>
      </c>
      <c r="J336" s="289"/>
      <c r="K336" s="275"/>
      <c r="L336" s="290"/>
      <c r="M336" s="275"/>
      <c r="N336" s="275"/>
      <c r="O336" s="275"/>
      <c r="P336" s="275"/>
      <c r="Q336" s="275"/>
      <c r="R336" s="275"/>
      <c r="S336" s="275"/>
      <c r="T336" s="275"/>
    </row>
    <row r="337" spans="1:20" ht="15" customHeight="1">
      <c r="A337" s="20"/>
      <c r="B337" s="294">
        <v>44413</v>
      </c>
      <c r="C337" s="295">
        <v>16294.599609375</v>
      </c>
      <c r="D337" s="296">
        <f t="shared" si="10"/>
        <v>2.2018725316476757E-3</v>
      </c>
      <c r="E337" s="20"/>
      <c r="F337" s="297"/>
      <c r="G337" s="298">
        <v>44413</v>
      </c>
      <c r="H337" s="299">
        <v>2403.3039550810199</v>
      </c>
      <c r="I337" s="300">
        <f t="shared" si="11"/>
        <v>4.7408084829876022E-3</v>
      </c>
      <c r="J337" s="296"/>
      <c r="K337" s="20"/>
      <c r="L337" s="297"/>
      <c r="M337" s="275"/>
      <c r="N337" s="275"/>
      <c r="O337" s="275"/>
      <c r="P337" s="275"/>
      <c r="Q337" s="275"/>
      <c r="R337" s="275"/>
      <c r="S337" s="275"/>
      <c r="T337" s="275"/>
    </row>
    <row r="338" spans="1:20" ht="15" customHeight="1">
      <c r="A338" s="275"/>
      <c r="B338" s="303">
        <v>44414</v>
      </c>
      <c r="C338" s="304">
        <v>16238.2001953125</v>
      </c>
      <c r="D338" s="289">
        <f t="shared" si="10"/>
        <v>-3.4612335015615195E-3</v>
      </c>
      <c r="E338" s="275"/>
      <c r="F338" s="290"/>
      <c r="G338" s="305">
        <v>44414</v>
      </c>
      <c r="H338" s="306">
        <v>2416.0927734375</v>
      </c>
      <c r="I338" s="293">
        <f t="shared" si="11"/>
        <v>5.321348691430478E-3</v>
      </c>
      <c r="J338" s="289"/>
      <c r="K338" s="275"/>
      <c r="L338" s="290"/>
      <c r="M338" s="275"/>
      <c r="N338" s="275"/>
      <c r="O338" s="275"/>
      <c r="P338" s="275"/>
      <c r="Q338" s="275"/>
      <c r="R338" s="275"/>
      <c r="S338" s="275"/>
      <c r="T338" s="275"/>
    </row>
    <row r="339" spans="1:20" ht="15" customHeight="1">
      <c r="A339" s="20"/>
      <c r="B339" s="294">
        <v>44417</v>
      </c>
      <c r="C339" s="295">
        <v>16258.25</v>
      </c>
      <c r="D339" s="296">
        <f t="shared" si="10"/>
        <v>1.2347307242392418E-3</v>
      </c>
      <c r="E339" s="20"/>
      <c r="F339" s="297"/>
      <c r="G339" s="298">
        <v>44417</v>
      </c>
      <c r="H339" s="299">
        <v>2418.2241210879602</v>
      </c>
      <c r="I339" s="300">
        <f t="shared" si="11"/>
        <v>8.8214644482702471E-4</v>
      </c>
      <c r="J339" s="296"/>
      <c r="K339" s="20"/>
      <c r="L339" s="297"/>
      <c r="M339" s="275"/>
      <c r="N339" s="275"/>
      <c r="O339" s="275"/>
      <c r="P339" s="275"/>
      <c r="Q339" s="275"/>
      <c r="R339" s="275"/>
      <c r="S339" s="275"/>
      <c r="T339" s="275"/>
    </row>
    <row r="340" spans="1:20" ht="15" customHeight="1">
      <c r="A340" s="275"/>
      <c r="B340" s="303">
        <v>44418</v>
      </c>
      <c r="C340" s="304">
        <v>16280.099609375</v>
      </c>
      <c r="D340" s="289">
        <f t="shared" si="10"/>
        <v>1.3439090538649608E-3</v>
      </c>
      <c r="E340" s="275"/>
      <c r="F340" s="290"/>
      <c r="G340" s="305">
        <v>44418</v>
      </c>
      <c r="H340" s="306">
        <v>2384.7595214814801</v>
      </c>
      <c r="I340" s="293">
        <f t="shared" si="11"/>
        <v>-1.3838502111799439E-2</v>
      </c>
      <c r="J340" s="289"/>
      <c r="K340" s="275"/>
      <c r="L340" s="290"/>
      <c r="M340" s="275"/>
      <c r="N340" s="275"/>
      <c r="O340" s="275"/>
      <c r="P340" s="275"/>
      <c r="Q340" s="275"/>
      <c r="R340" s="275"/>
      <c r="S340" s="275"/>
      <c r="T340" s="275"/>
    </row>
    <row r="341" spans="1:20" ht="15" customHeight="1">
      <c r="A341" s="20"/>
      <c r="B341" s="294">
        <v>44419</v>
      </c>
      <c r="C341" s="295">
        <v>16282.25</v>
      </c>
      <c r="D341" s="296">
        <f t="shared" si="10"/>
        <v>1.3208706805219322E-4</v>
      </c>
      <c r="E341" s="20"/>
      <c r="F341" s="297"/>
      <c r="G341" s="298">
        <v>44419</v>
      </c>
      <c r="H341" s="299">
        <v>2371.5871582060199</v>
      </c>
      <c r="I341" s="300">
        <f t="shared" si="11"/>
        <v>-5.5235604080016891E-3</v>
      </c>
      <c r="J341" s="296"/>
      <c r="K341" s="20"/>
      <c r="L341" s="297"/>
      <c r="M341" s="275"/>
      <c r="N341" s="275"/>
      <c r="O341" s="275"/>
      <c r="P341" s="275"/>
      <c r="Q341" s="275"/>
      <c r="R341" s="275"/>
      <c r="S341" s="275"/>
      <c r="T341" s="275"/>
    </row>
    <row r="342" spans="1:20" ht="15" customHeight="1">
      <c r="A342" s="275"/>
      <c r="B342" s="303">
        <v>44420</v>
      </c>
      <c r="C342" s="304">
        <v>16364.400390625</v>
      </c>
      <c r="D342" s="289">
        <f t="shared" si="10"/>
        <v>5.0453954843464512E-3</v>
      </c>
      <c r="E342" s="275"/>
      <c r="F342" s="290"/>
      <c r="G342" s="305">
        <v>44420</v>
      </c>
      <c r="H342" s="306">
        <v>2372.7380371064801</v>
      </c>
      <c r="I342" s="293">
        <f t="shared" si="11"/>
        <v>4.8527792726400814E-4</v>
      </c>
      <c r="J342" s="289"/>
      <c r="K342" s="275"/>
      <c r="L342" s="290"/>
      <c r="M342" s="275"/>
      <c r="N342" s="275"/>
      <c r="O342" s="275"/>
      <c r="P342" s="275"/>
      <c r="Q342" s="275"/>
      <c r="R342" s="275"/>
      <c r="S342" s="275"/>
      <c r="T342" s="275"/>
    </row>
    <row r="343" spans="1:20" ht="15" customHeight="1">
      <c r="A343" s="20"/>
      <c r="B343" s="294">
        <v>44421</v>
      </c>
      <c r="C343" s="295">
        <v>16529.099609375</v>
      </c>
      <c r="D343" s="296">
        <f t="shared" si="10"/>
        <v>1.0064482340847301E-2</v>
      </c>
      <c r="E343" s="20"/>
      <c r="F343" s="297"/>
      <c r="G343" s="298">
        <v>44421</v>
      </c>
      <c r="H343" s="299">
        <v>2363.572265625</v>
      </c>
      <c r="I343" s="300">
        <f t="shared" si="11"/>
        <v>-3.8629512985165464E-3</v>
      </c>
      <c r="J343" s="296"/>
      <c r="K343" s="20"/>
      <c r="L343" s="297"/>
      <c r="M343" s="275"/>
      <c r="N343" s="275"/>
      <c r="O343" s="275"/>
      <c r="P343" s="275"/>
      <c r="Q343" s="275"/>
      <c r="R343" s="275"/>
      <c r="S343" s="275"/>
      <c r="T343" s="275"/>
    </row>
    <row r="344" spans="1:20" ht="15" customHeight="1">
      <c r="A344" s="275"/>
      <c r="B344" s="303">
        <v>44424</v>
      </c>
      <c r="C344" s="304">
        <v>16563.05078125</v>
      </c>
      <c r="D344" s="289">
        <f t="shared" si="10"/>
        <v>2.0540242770237479E-3</v>
      </c>
      <c r="E344" s="275"/>
      <c r="F344" s="290"/>
      <c r="G344" s="305">
        <v>44424</v>
      </c>
      <c r="H344" s="306">
        <v>2342.3857421875</v>
      </c>
      <c r="I344" s="293">
        <f t="shared" si="11"/>
        <v>-8.9637722297006405E-3</v>
      </c>
      <c r="J344" s="289"/>
      <c r="K344" s="275"/>
      <c r="L344" s="290"/>
      <c r="M344" s="275"/>
      <c r="N344" s="275"/>
      <c r="O344" s="275"/>
      <c r="P344" s="275"/>
      <c r="Q344" s="275"/>
      <c r="R344" s="275"/>
      <c r="S344" s="275"/>
      <c r="T344" s="275"/>
    </row>
    <row r="345" spans="1:20" ht="15" customHeight="1">
      <c r="A345" s="20"/>
      <c r="B345" s="294">
        <v>44425</v>
      </c>
      <c r="C345" s="295">
        <v>16614.599609375</v>
      </c>
      <c r="D345" s="296">
        <f t="shared" si="10"/>
        <v>3.1122785775284361E-3</v>
      </c>
      <c r="E345" s="20"/>
      <c r="F345" s="297"/>
      <c r="G345" s="298">
        <v>44425</v>
      </c>
      <c r="H345" s="299">
        <v>2372.4396972685199</v>
      </c>
      <c r="I345" s="300">
        <f t="shared" si="11"/>
        <v>1.2830489248518574E-2</v>
      </c>
      <c r="J345" s="296"/>
      <c r="K345" s="20"/>
      <c r="L345" s="297"/>
      <c r="M345" s="275"/>
      <c r="N345" s="275"/>
      <c r="O345" s="275"/>
      <c r="P345" s="275"/>
      <c r="Q345" s="275"/>
      <c r="R345" s="275"/>
      <c r="S345" s="275"/>
      <c r="T345" s="275"/>
    </row>
    <row r="346" spans="1:20" ht="15" customHeight="1">
      <c r="A346" s="275"/>
      <c r="B346" s="303">
        <v>44426</v>
      </c>
      <c r="C346" s="304">
        <v>16568.849609375</v>
      </c>
      <c r="D346" s="289">
        <f t="shared" si="10"/>
        <v>-2.7536023181795473E-3</v>
      </c>
      <c r="E346" s="275"/>
      <c r="F346" s="290"/>
      <c r="G346" s="305">
        <v>44426</v>
      </c>
      <c r="H346" s="306">
        <v>2356.2399902314801</v>
      </c>
      <c r="I346" s="293">
        <f t="shared" si="11"/>
        <v>-6.8282903273331596E-3</v>
      </c>
      <c r="J346" s="289"/>
      <c r="K346" s="275"/>
      <c r="L346" s="290"/>
      <c r="M346" s="275"/>
      <c r="N346" s="275"/>
      <c r="O346" s="275"/>
      <c r="P346" s="275"/>
      <c r="Q346" s="275"/>
      <c r="R346" s="275"/>
      <c r="S346" s="275"/>
      <c r="T346" s="275"/>
    </row>
    <row r="347" spans="1:20" ht="15" customHeight="1">
      <c r="A347" s="20"/>
      <c r="B347" s="294">
        <v>44428</v>
      </c>
      <c r="C347" s="295">
        <v>16450.5</v>
      </c>
      <c r="D347" s="296">
        <f t="shared" si="10"/>
        <v>-7.142898400624949E-3</v>
      </c>
      <c r="E347" s="20"/>
      <c r="F347" s="297"/>
      <c r="G347" s="298">
        <v>44428</v>
      </c>
      <c r="H347" s="299">
        <v>2299.8835449189801</v>
      </c>
      <c r="I347" s="300">
        <f t="shared" si="11"/>
        <v>-2.3917956382262857E-2</v>
      </c>
      <c r="J347" s="296"/>
      <c r="K347" s="20"/>
      <c r="L347" s="297"/>
      <c r="M347" s="275"/>
      <c r="N347" s="275"/>
      <c r="O347" s="275"/>
      <c r="P347" s="275"/>
      <c r="Q347" s="275"/>
      <c r="R347" s="275"/>
      <c r="S347" s="275"/>
      <c r="T347" s="275"/>
    </row>
    <row r="348" spans="1:20" ht="15" customHeight="1">
      <c r="A348" s="275"/>
      <c r="B348" s="303">
        <v>44431</v>
      </c>
      <c r="C348" s="304">
        <v>16496.44921875</v>
      </c>
      <c r="D348" s="289">
        <f t="shared" si="10"/>
        <v>2.7931806783988329E-3</v>
      </c>
      <c r="E348" s="275"/>
      <c r="F348" s="290"/>
      <c r="G348" s="305">
        <v>44431</v>
      </c>
      <c r="H348" s="306">
        <v>2285.474609375</v>
      </c>
      <c r="I348" s="293">
        <f t="shared" si="11"/>
        <v>-6.2650718014888333E-3</v>
      </c>
      <c r="J348" s="289"/>
      <c r="K348" s="275"/>
      <c r="L348" s="290"/>
      <c r="M348" s="275"/>
      <c r="N348" s="275"/>
      <c r="O348" s="275"/>
      <c r="P348" s="275"/>
      <c r="Q348" s="275"/>
      <c r="R348" s="275"/>
      <c r="S348" s="275"/>
      <c r="T348" s="275"/>
    </row>
    <row r="349" spans="1:20" ht="15" customHeight="1">
      <c r="A349" s="20"/>
      <c r="B349" s="294">
        <v>44432</v>
      </c>
      <c r="C349" s="295">
        <v>16624.599609375</v>
      </c>
      <c r="D349" s="296">
        <f t="shared" si="10"/>
        <v>7.7683620836017982E-3</v>
      </c>
      <c r="E349" s="20"/>
      <c r="F349" s="297"/>
      <c r="G349" s="298">
        <v>44432</v>
      </c>
      <c r="H349" s="299">
        <v>2281.4245605439801</v>
      </c>
      <c r="I349" s="300">
        <f t="shared" si="11"/>
        <v>-1.7720821812706434E-3</v>
      </c>
      <c r="J349" s="296"/>
      <c r="K349" s="20"/>
      <c r="L349" s="297"/>
      <c r="M349" s="275"/>
      <c r="N349" s="275"/>
      <c r="O349" s="275"/>
      <c r="P349" s="275"/>
      <c r="Q349" s="275"/>
      <c r="R349" s="275"/>
      <c r="S349" s="275"/>
      <c r="T349" s="275"/>
    </row>
    <row r="350" spans="1:20" ht="15" customHeight="1">
      <c r="A350" s="275"/>
      <c r="B350" s="303">
        <v>44433</v>
      </c>
      <c r="C350" s="304">
        <v>16634.650390625</v>
      </c>
      <c r="D350" s="289">
        <f t="shared" si="10"/>
        <v>6.0457283099510741E-4</v>
      </c>
      <c r="E350" s="275"/>
      <c r="F350" s="290"/>
      <c r="G350" s="305">
        <v>44433</v>
      </c>
      <c r="H350" s="306">
        <v>2279.8046875</v>
      </c>
      <c r="I350" s="293">
        <f t="shared" si="11"/>
        <v>-7.1002700330088399E-4</v>
      </c>
      <c r="J350" s="289"/>
      <c r="K350" s="275"/>
      <c r="L350" s="290"/>
      <c r="M350" s="275"/>
      <c r="N350" s="275"/>
      <c r="O350" s="275"/>
      <c r="P350" s="275"/>
      <c r="Q350" s="275"/>
      <c r="R350" s="275"/>
      <c r="S350" s="275"/>
      <c r="T350" s="275"/>
    </row>
    <row r="351" spans="1:20" ht="15" customHeight="1">
      <c r="A351" s="20"/>
      <c r="B351" s="294">
        <v>44434</v>
      </c>
      <c r="C351" s="295">
        <v>16636.900390625</v>
      </c>
      <c r="D351" s="296">
        <f t="shared" si="10"/>
        <v>1.3525983096513173E-4</v>
      </c>
      <c r="E351" s="20"/>
      <c r="F351" s="297"/>
      <c r="G351" s="298">
        <v>44434</v>
      </c>
      <c r="H351" s="299">
        <v>2257.2961425810199</v>
      </c>
      <c r="I351" s="300">
        <f t="shared" si="11"/>
        <v>-9.8730145798860587E-3</v>
      </c>
      <c r="J351" s="296"/>
      <c r="K351" s="20"/>
      <c r="L351" s="297"/>
      <c r="M351" s="275"/>
      <c r="N351" s="275"/>
      <c r="O351" s="275"/>
      <c r="P351" s="275"/>
      <c r="Q351" s="275"/>
      <c r="R351" s="275"/>
      <c r="S351" s="275"/>
      <c r="T351" s="275"/>
    </row>
    <row r="352" spans="1:20" ht="15" customHeight="1">
      <c r="A352" s="275"/>
      <c r="B352" s="303">
        <v>44435</v>
      </c>
      <c r="C352" s="304">
        <v>16705.19921875</v>
      </c>
      <c r="D352" s="289">
        <f t="shared" si="10"/>
        <v>4.1052615884799564E-3</v>
      </c>
      <c r="E352" s="275"/>
      <c r="F352" s="290"/>
      <c r="G352" s="305">
        <v>44435</v>
      </c>
      <c r="H352" s="306">
        <v>2279.8901367129602</v>
      </c>
      <c r="I352" s="293">
        <f t="shared" si="11"/>
        <v>1.0009317654752197E-2</v>
      </c>
      <c r="J352" s="289"/>
      <c r="K352" s="275"/>
      <c r="L352" s="290"/>
      <c r="M352" s="275"/>
      <c r="N352" s="275"/>
      <c r="O352" s="275"/>
      <c r="P352" s="275"/>
      <c r="Q352" s="275"/>
      <c r="R352" s="275"/>
      <c r="S352" s="275"/>
      <c r="T352" s="275"/>
    </row>
    <row r="353" spans="1:20" ht="15" customHeight="1">
      <c r="A353" s="20"/>
      <c r="B353" s="294">
        <v>44438</v>
      </c>
      <c r="C353" s="295">
        <v>16931.05078125</v>
      </c>
      <c r="D353" s="296">
        <f t="shared" si="10"/>
        <v>1.3519836521704158E-2</v>
      </c>
      <c r="E353" s="20"/>
      <c r="F353" s="297"/>
      <c r="G353" s="298">
        <v>44438</v>
      </c>
      <c r="H353" s="299">
        <v>2324.3959960879602</v>
      </c>
      <c r="I353" s="300">
        <f t="shared" si="11"/>
        <v>1.9521054395702803E-2</v>
      </c>
      <c r="J353" s="296"/>
      <c r="K353" s="20"/>
      <c r="L353" s="297"/>
      <c r="M353" s="275"/>
      <c r="N353" s="275"/>
      <c r="O353" s="275"/>
      <c r="P353" s="275"/>
      <c r="Q353" s="275"/>
      <c r="R353" s="275"/>
      <c r="S353" s="275"/>
      <c r="T353" s="275"/>
    </row>
    <row r="354" spans="1:20" ht="15" customHeight="1">
      <c r="A354" s="275"/>
      <c r="B354" s="303">
        <v>44439</v>
      </c>
      <c r="C354" s="304">
        <v>17132.19921875</v>
      </c>
      <c r="D354" s="289">
        <f t="shared" si="10"/>
        <v>1.1880446175423345E-2</v>
      </c>
      <c r="E354" s="275"/>
      <c r="F354" s="290"/>
      <c r="G354" s="305">
        <v>44439</v>
      </c>
      <c r="H354" s="306">
        <v>2337.6960449189801</v>
      </c>
      <c r="I354" s="293">
        <f t="shared" si="11"/>
        <v>5.7219375929937798E-3</v>
      </c>
      <c r="J354" s="289"/>
      <c r="K354" s="275"/>
      <c r="L354" s="290"/>
      <c r="M354" s="275"/>
      <c r="N354" s="275"/>
      <c r="O354" s="275"/>
      <c r="P354" s="275"/>
      <c r="Q354" s="275"/>
      <c r="R354" s="275"/>
      <c r="S354" s="275"/>
      <c r="T354" s="275"/>
    </row>
    <row r="355" spans="1:20" ht="15" customHeight="1">
      <c r="A355" s="20"/>
      <c r="B355" s="294">
        <v>44440</v>
      </c>
      <c r="C355" s="295">
        <v>17076.25</v>
      </c>
      <c r="D355" s="296">
        <f t="shared" si="10"/>
        <v>-3.2657347743637881E-3</v>
      </c>
      <c r="E355" s="20"/>
      <c r="F355" s="297"/>
      <c r="G355" s="298">
        <v>44440</v>
      </c>
      <c r="H355" s="299">
        <v>2336.8435058564801</v>
      </c>
      <c r="I355" s="300">
        <f t="shared" si="11"/>
        <v>-3.6469200705241698E-4</v>
      </c>
      <c r="J355" s="296"/>
      <c r="K355" s="20"/>
      <c r="L355" s="297"/>
      <c r="M355" s="275"/>
      <c r="N355" s="275"/>
      <c r="O355" s="275"/>
      <c r="P355" s="275"/>
      <c r="Q355" s="275"/>
      <c r="R355" s="275"/>
      <c r="S355" s="275"/>
      <c r="T355" s="275"/>
    </row>
    <row r="356" spans="1:20" ht="15" customHeight="1">
      <c r="A356" s="275"/>
      <c r="B356" s="303">
        <v>44441</v>
      </c>
      <c r="C356" s="304">
        <v>17234.150390625</v>
      </c>
      <c r="D356" s="289">
        <f t="shared" si="10"/>
        <v>9.2467837273991649E-3</v>
      </c>
      <c r="E356" s="275"/>
      <c r="F356" s="290"/>
      <c r="G356" s="305">
        <v>44441</v>
      </c>
      <c r="H356" s="306">
        <v>2327.8913574189801</v>
      </c>
      <c r="I356" s="293">
        <f t="shared" si="11"/>
        <v>-3.8308720353179724E-3</v>
      </c>
      <c r="J356" s="289"/>
      <c r="K356" s="275"/>
      <c r="L356" s="290"/>
      <c r="M356" s="275"/>
      <c r="N356" s="275"/>
      <c r="O356" s="275"/>
      <c r="P356" s="275"/>
      <c r="Q356" s="275"/>
      <c r="R356" s="275"/>
      <c r="S356" s="275"/>
      <c r="T356" s="275"/>
    </row>
    <row r="357" spans="1:20" ht="15" customHeight="1">
      <c r="A357" s="20"/>
      <c r="B357" s="294">
        <v>44442</v>
      </c>
      <c r="C357" s="295">
        <v>17323.599609375</v>
      </c>
      <c r="D357" s="296">
        <f t="shared" si="10"/>
        <v>5.1902308336974016E-3</v>
      </c>
      <c r="E357" s="20"/>
      <c r="F357" s="297"/>
      <c r="G357" s="298">
        <v>44442</v>
      </c>
      <c r="H357" s="299">
        <v>2386.8061523379602</v>
      </c>
      <c r="I357" s="300">
        <f t="shared" si="11"/>
        <v>2.5308223569462926E-2</v>
      </c>
      <c r="J357" s="296"/>
      <c r="K357" s="20"/>
      <c r="L357" s="297"/>
      <c r="M357" s="275"/>
      <c r="N357" s="275"/>
      <c r="O357" s="275"/>
      <c r="P357" s="275"/>
      <c r="Q357" s="275"/>
      <c r="R357" s="275"/>
      <c r="S357" s="275"/>
      <c r="T357" s="275"/>
    </row>
    <row r="358" spans="1:20" ht="15" customHeight="1">
      <c r="A358" s="275"/>
      <c r="B358" s="303">
        <v>44445</v>
      </c>
      <c r="C358" s="304">
        <v>17377.80078125</v>
      </c>
      <c r="D358" s="289">
        <f t="shared" si="10"/>
        <v>3.1287476677576867E-3</v>
      </c>
      <c r="E358" s="275"/>
      <c r="F358" s="290"/>
      <c r="G358" s="305">
        <v>44445</v>
      </c>
      <c r="H358" s="306">
        <v>2401.9399414120398</v>
      </c>
      <c r="I358" s="293">
        <f t="shared" si="11"/>
        <v>6.3406025073530206E-3</v>
      </c>
      <c r="J358" s="289"/>
      <c r="K358" s="275"/>
      <c r="L358" s="290"/>
      <c r="M358" s="275"/>
      <c r="N358" s="275"/>
      <c r="O358" s="275"/>
      <c r="P358" s="275"/>
      <c r="Q358" s="275"/>
      <c r="R358" s="275"/>
      <c r="S358" s="275"/>
      <c r="T358" s="275"/>
    </row>
    <row r="359" spans="1:20" ht="15" customHeight="1">
      <c r="A359" s="20"/>
      <c r="B359" s="294">
        <v>44446</v>
      </c>
      <c r="C359" s="295">
        <v>17362.099609375</v>
      </c>
      <c r="D359" s="296">
        <f t="shared" si="10"/>
        <v>-9.0351892466974189E-4</v>
      </c>
      <c r="E359" s="20"/>
      <c r="F359" s="297"/>
      <c r="G359" s="298">
        <v>44446</v>
      </c>
      <c r="H359" s="299">
        <v>2385.3566894560199</v>
      </c>
      <c r="I359" s="300">
        <f t="shared" si="11"/>
        <v>-6.9041076631878844E-3</v>
      </c>
      <c r="J359" s="296"/>
      <c r="K359" s="20"/>
      <c r="L359" s="297"/>
      <c r="M359" s="275"/>
      <c r="N359" s="275"/>
      <c r="O359" s="275"/>
      <c r="P359" s="275"/>
      <c r="Q359" s="275"/>
      <c r="R359" s="275"/>
      <c r="S359" s="275"/>
      <c r="T359" s="275"/>
    </row>
    <row r="360" spans="1:20" ht="15" customHeight="1">
      <c r="A360" s="275"/>
      <c r="B360" s="303">
        <v>44447</v>
      </c>
      <c r="C360" s="304">
        <v>17353.5</v>
      </c>
      <c r="D360" s="289">
        <f t="shared" si="10"/>
        <v>-4.9530929832682655E-4</v>
      </c>
      <c r="E360" s="275"/>
      <c r="F360" s="290"/>
      <c r="G360" s="305">
        <v>44447</v>
      </c>
      <c r="H360" s="306">
        <v>2385.8679199189801</v>
      </c>
      <c r="I360" s="293">
        <f t="shared" si="11"/>
        <v>2.143203426221102E-4</v>
      </c>
      <c r="J360" s="289"/>
      <c r="K360" s="275"/>
      <c r="L360" s="290"/>
      <c r="M360" s="275"/>
      <c r="N360" s="275"/>
      <c r="O360" s="275"/>
      <c r="P360" s="275"/>
      <c r="Q360" s="275"/>
      <c r="R360" s="275"/>
      <c r="S360" s="275"/>
      <c r="T360" s="275"/>
    </row>
    <row r="361" spans="1:20" ht="15" customHeight="1">
      <c r="A361" s="20"/>
      <c r="B361" s="294">
        <v>44448</v>
      </c>
      <c r="C361" s="295">
        <v>17369.25</v>
      </c>
      <c r="D361" s="296">
        <f t="shared" si="10"/>
        <v>9.0759789091537728E-4</v>
      </c>
      <c r="E361" s="20"/>
      <c r="F361" s="297"/>
      <c r="G361" s="298">
        <v>44448</v>
      </c>
      <c r="H361" s="299">
        <v>2384.4611816435199</v>
      </c>
      <c r="I361" s="300">
        <f t="shared" si="11"/>
        <v>-5.89612804512635E-4</v>
      </c>
      <c r="J361" s="296"/>
      <c r="K361" s="20"/>
      <c r="L361" s="297"/>
      <c r="M361" s="275"/>
      <c r="N361" s="275"/>
      <c r="O361" s="275"/>
      <c r="P361" s="275"/>
      <c r="Q361" s="275"/>
      <c r="R361" s="275"/>
      <c r="S361" s="275"/>
      <c r="T361" s="275"/>
    </row>
    <row r="362" spans="1:20" ht="15" customHeight="1">
      <c r="A362" s="275"/>
      <c r="B362" s="303">
        <v>44452</v>
      </c>
      <c r="C362" s="304">
        <v>17355.30078125</v>
      </c>
      <c r="D362" s="289">
        <f t="shared" si="10"/>
        <v>-8.0309850741972161E-4</v>
      </c>
      <c r="E362" s="275"/>
      <c r="F362" s="290"/>
      <c r="G362" s="305">
        <v>44452</v>
      </c>
      <c r="H362" s="306">
        <v>2378.5783691435199</v>
      </c>
      <c r="I362" s="293">
        <f t="shared" si="11"/>
        <v>-2.467145426936746E-3</v>
      </c>
      <c r="J362" s="289"/>
      <c r="K362" s="275"/>
      <c r="L362" s="290"/>
      <c r="M362" s="275"/>
      <c r="N362" s="275"/>
      <c r="O362" s="275"/>
      <c r="P362" s="275"/>
      <c r="Q362" s="275"/>
      <c r="R362" s="275"/>
      <c r="S362" s="275"/>
      <c r="T362" s="275"/>
    </row>
    <row r="363" spans="1:20" ht="15" customHeight="1">
      <c r="A363" s="20"/>
      <c r="B363" s="294">
        <v>44453</v>
      </c>
      <c r="C363" s="295">
        <v>17380</v>
      </c>
      <c r="D363" s="296">
        <f t="shared" si="10"/>
        <v>1.4231512931590379E-3</v>
      </c>
      <c r="E363" s="20"/>
      <c r="F363" s="297"/>
      <c r="G363" s="298">
        <v>44453</v>
      </c>
      <c r="H363" s="299">
        <v>2431.3540039120398</v>
      </c>
      <c r="I363" s="300">
        <f t="shared" si="11"/>
        <v>2.2187889813999866E-2</v>
      </c>
      <c r="J363" s="296"/>
      <c r="K363" s="20"/>
      <c r="L363" s="297"/>
      <c r="M363" s="275"/>
      <c r="N363" s="275"/>
      <c r="O363" s="275"/>
      <c r="P363" s="275"/>
      <c r="Q363" s="275"/>
      <c r="R363" s="275"/>
      <c r="S363" s="275"/>
      <c r="T363" s="275"/>
    </row>
    <row r="364" spans="1:20" ht="15" customHeight="1">
      <c r="A364" s="275"/>
      <c r="B364" s="303">
        <v>44454</v>
      </c>
      <c r="C364" s="304">
        <v>17519.44921875</v>
      </c>
      <c r="D364" s="289">
        <f t="shared" si="10"/>
        <v>8.0235453826237053E-3</v>
      </c>
      <c r="E364" s="275"/>
      <c r="F364" s="290"/>
      <c r="G364" s="305">
        <v>44454</v>
      </c>
      <c r="H364" s="306">
        <v>2451.1767578125</v>
      </c>
      <c r="I364" s="293">
        <f t="shared" si="11"/>
        <v>8.1529690323027485E-3</v>
      </c>
      <c r="J364" s="289"/>
      <c r="K364" s="275"/>
      <c r="L364" s="290"/>
      <c r="M364" s="275"/>
      <c r="N364" s="275"/>
      <c r="O364" s="275"/>
      <c r="P364" s="275"/>
      <c r="Q364" s="275"/>
      <c r="R364" s="275"/>
      <c r="S364" s="275"/>
      <c r="T364" s="275"/>
    </row>
    <row r="365" spans="1:20" ht="15" customHeight="1">
      <c r="A365" s="20"/>
      <c r="B365" s="294">
        <v>44455</v>
      </c>
      <c r="C365" s="295">
        <v>17629.5</v>
      </c>
      <c r="D365" s="296">
        <f t="shared" si="10"/>
        <v>6.2816347635072543E-3</v>
      </c>
      <c r="E365" s="20"/>
      <c r="F365" s="297"/>
      <c r="G365" s="298">
        <v>44455</v>
      </c>
      <c r="H365" s="299">
        <v>2489.927734375</v>
      </c>
      <c r="I365" s="300">
        <f t="shared" si="11"/>
        <v>1.5809131854319015E-2</v>
      </c>
      <c r="J365" s="296"/>
      <c r="K365" s="20"/>
      <c r="L365" s="297"/>
      <c r="M365" s="275"/>
      <c r="N365" s="275"/>
      <c r="O365" s="275"/>
      <c r="P365" s="275"/>
      <c r="Q365" s="275"/>
      <c r="R365" s="275"/>
      <c r="S365" s="275"/>
      <c r="T365" s="275"/>
    </row>
    <row r="366" spans="1:20" ht="15" customHeight="1">
      <c r="A366" s="275"/>
      <c r="B366" s="303">
        <v>44456</v>
      </c>
      <c r="C366" s="304">
        <v>17585.150390625</v>
      </c>
      <c r="D366" s="289">
        <f t="shared" si="10"/>
        <v>-2.5156476006126098E-3</v>
      </c>
      <c r="E366" s="275"/>
      <c r="F366" s="290"/>
      <c r="G366" s="305">
        <v>44456</v>
      </c>
      <c r="H366" s="306">
        <v>2499.9028320370398</v>
      </c>
      <c r="I366" s="293">
        <f t="shared" si="11"/>
        <v>4.0061795867917848E-3</v>
      </c>
      <c r="J366" s="289"/>
      <c r="K366" s="275"/>
      <c r="L366" s="290"/>
      <c r="M366" s="275"/>
      <c r="N366" s="275"/>
      <c r="O366" s="275"/>
      <c r="P366" s="275"/>
      <c r="Q366" s="275"/>
      <c r="R366" s="275"/>
      <c r="S366" s="275"/>
      <c r="T366" s="275"/>
    </row>
    <row r="367" spans="1:20" ht="15" customHeight="1">
      <c r="A367" s="20"/>
      <c r="B367" s="294">
        <v>44459</v>
      </c>
      <c r="C367" s="295">
        <v>17396.900390625</v>
      </c>
      <c r="D367" s="296">
        <f t="shared" si="10"/>
        <v>-1.0705054879733066E-2</v>
      </c>
      <c r="E367" s="20"/>
      <c r="F367" s="297"/>
      <c r="G367" s="298">
        <v>44459</v>
      </c>
      <c r="H367" s="299">
        <v>2463.5822753935199</v>
      </c>
      <c r="I367" s="300">
        <f t="shared" si="11"/>
        <v>-1.452878735047642E-2</v>
      </c>
      <c r="J367" s="296"/>
      <c r="K367" s="20"/>
      <c r="L367" s="297"/>
      <c r="M367" s="275"/>
      <c r="N367" s="275"/>
      <c r="O367" s="275"/>
      <c r="P367" s="275"/>
      <c r="Q367" s="275"/>
      <c r="R367" s="275"/>
      <c r="S367" s="275"/>
      <c r="T367" s="275"/>
    </row>
    <row r="368" spans="1:20" ht="15" customHeight="1">
      <c r="A368" s="275"/>
      <c r="B368" s="303">
        <v>44460</v>
      </c>
      <c r="C368" s="304">
        <v>17562</v>
      </c>
      <c r="D368" s="289">
        <f t="shared" si="10"/>
        <v>9.4901738624640509E-3</v>
      </c>
      <c r="E368" s="275"/>
      <c r="F368" s="290"/>
      <c r="G368" s="305">
        <v>44460</v>
      </c>
      <c r="H368" s="306">
        <v>2430.2885742129602</v>
      </c>
      <c r="I368" s="293">
        <f t="shared" si="11"/>
        <v>-1.3514345152220095E-2</v>
      </c>
      <c r="J368" s="289"/>
      <c r="K368" s="275"/>
      <c r="L368" s="290"/>
      <c r="M368" s="275"/>
      <c r="N368" s="275"/>
      <c r="O368" s="275"/>
      <c r="P368" s="275"/>
      <c r="Q368" s="275"/>
      <c r="R368" s="275"/>
      <c r="S368" s="275"/>
      <c r="T368" s="275"/>
    </row>
    <row r="369" spans="1:20" ht="15" customHeight="1">
      <c r="A369" s="20"/>
      <c r="B369" s="294">
        <v>44461</v>
      </c>
      <c r="C369" s="295">
        <v>17546.650390625</v>
      </c>
      <c r="D369" s="296">
        <f t="shared" si="10"/>
        <v>-8.7402399356565307E-4</v>
      </c>
      <c r="E369" s="20"/>
      <c r="F369" s="297"/>
      <c r="G369" s="298">
        <v>44461</v>
      </c>
      <c r="H369" s="299">
        <v>2427.5170898379602</v>
      </c>
      <c r="I369" s="300">
        <f t="shared" si="11"/>
        <v>-1.1403931222025907E-3</v>
      </c>
      <c r="J369" s="296"/>
      <c r="K369" s="20"/>
      <c r="L369" s="297"/>
      <c r="M369" s="275"/>
      <c r="N369" s="275"/>
      <c r="O369" s="275"/>
      <c r="P369" s="275"/>
      <c r="Q369" s="275"/>
      <c r="R369" s="275"/>
      <c r="S369" s="275"/>
      <c r="T369" s="275"/>
    </row>
    <row r="370" spans="1:20" ht="15" customHeight="1">
      <c r="A370" s="275"/>
      <c r="B370" s="303">
        <v>44462</v>
      </c>
      <c r="C370" s="304">
        <v>17822.94921875</v>
      </c>
      <c r="D370" s="289">
        <f t="shared" si="10"/>
        <v>1.5746528367181906E-2</v>
      </c>
      <c r="E370" s="275"/>
      <c r="F370" s="290"/>
      <c r="G370" s="305">
        <v>44462</v>
      </c>
      <c r="H370" s="306">
        <v>2432.5051269560199</v>
      </c>
      <c r="I370" s="293">
        <f t="shared" si="11"/>
        <v>2.0547897021778424E-3</v>
      </c>
      <c r="J370" s="289"/>
      <c r="K370" s="275"/>
      <c r="L370" s="290"/>
      <c r="M370" s="275"/>
      <c r="N370" s="275"/>
      <c r="O370" s="275"/>
      <c r="P370" s="275"/>
      <c r="Q370" s="275"/>
      <c r="R370" s="275"/>
      <c r="S370" s="275"/>
      <c r="T370" s="275"/>
    </row>
    <row r="371" spans="1:20" ht="15" customHeight="1">
      <c r="A371" s="20"/>
      <c r="B371" s="294">
        <v>44463</v>
      </c>
      <c r="C371" s="295">
        <v>17853.19921875</v>
      </c>
      <c r="D371" s="296">
        <f t="shared" si="10"/>
        <v>1.6972499684943592E-3</v>
      </c>
      <c r="E371" s="20"/>
      <c r="F371" s="297"/>
      <c r="G371" s="298">
        <v>44463</v>
      </c>
      <c r="H371" s="299">
        <v>2415.7939453125</v>
      </c>
      <c r="I371" s="300">
        <f t="shared" si="11"/>
        <v>-6.8699471414606656E-3</v>
      </c>
      <c r="J371" s="296"/>
      <c r="K371" s="20"/>
      <c r="L371" s="297"/>
      <c r="M371" s="275"/>
      <c r="N371" s="275"/>
      <c r="O371" s="275"/>
      <c r="P371" s="275"/>
      <c r="Q371" s="275"/>
      <c r="R371" s="275"/>
      <c r="S371" s="275"/>
      <c r="T371" s="275"/>
    </row>
    <row r="372" spans="1:20" ht="15" customHeight="1">
      <c r="A372" s="275"/>
      <c r="B372" s="303">
        <v>44466</v>
      </c>
      <c r="C372" s="304">
        <v>17855.099609375</v>
      </c>
      <c r="D372" s="289">
        <f t="shared" si="10"/>
        <v>1.0644538279750718E-4</v>
      </c>
      <c r="E372" s="275"/>
      <c r="F372" s="290"/>
      <c r="G372" s="305">
        <v>44466</v>
      </c>
      <c r="H372" s="306">
        <v>2483.5756835879602</v>
      </c>
      <c r="I372" s="293">
        <f t="shared" si="11"/>
        <v>2.8057748222683004E-2</v>
      </c>
      <c r="J372" s="289"/>
      <c r="K372" s="275"/>
      <c r="L372" s="290"/>
      <c r="M372" s="275"/>
      <c r="N372" s="275"/>
      <c r="O372" s="275"/>
      <c r="P372" s="275"/>
      <c r="Q372" s="275"/>
      <c r="R372" s="275"/>
      <c r="S372" s="275"/>
      <c r="T372" s="275"/>
    </row>
    <row r="373" spans="1:20" ht="15" customHeight="1">
      <c r="A373" s="20"/>
      <c r="B373" s="294">
        <v>44467</v>
      </c>
      <c r="C373" s="295">
        <v>17748.599609375</v>
      </c>
      <c r="D373" s="296">
        <f t="shared" si="10"/>
        <v>-5.9646824901543032E-3</v>
      </c>
      <c r="E373" s="20"/>
      <c r="F373" s="297"/>
      <c r="G373" s="298">
        <v>44467</v>
      </c>
      <c r="H373" s="299">
        <v>2490.0551757870398</v>
      </c>
      <c r="I373" s="300">
        <f t="shared" si="11"/>
        <v>2.6089368815686441E-3</v>
      </c>
      <c r="J373" s="296"/>
      <c r="K373" s="20"/>
      <c r="L373" s="297"/>
      <c r="M373" s="275"/>
      <c r="N373" s="275"/>
      <c r="O373" s="275"/>
      <c r="P373" s="275"/>
      <c r="Q373" s="275"/>
      <c r="R373" s="275"/>
      <c r="S373" s="275"/>
      <c r="T373" s="275"/>
    </row>
    <row r="374" spans="1:20" ht="15" customHeight="1">
      <c r="A374" s="275"/>
      <c r="B374" s="303">
        <v>44468</v>
      </c>
      <c r="C374" s="304">
        <v>17711.30078125</v>
      </c>
      <c r="D374" s="289">
        <f t="shared" si="10"/>
        <v>-2.1015082285871364E-3</v>
      </c>
      <c r="E374" s="275"/>
      <c r="F374" s="290"/>
      <c r="G374" s="305">
        <v>44468</v>
      </c>
      <c r="H374" s="306">
        <v>2460.7260742129602</v>
      </c>
      <c r="I374" s="293">
        <f t="shared" si="11"/>
        <v>-1.1778494653159459E-2</v>
      </c>
      <c r="J374" s="289"/>
      <c r="K374" s="275"/>
      <c r="L374" s="290"/>
      <c r="M374" s="275"/>
      <c r="N374" s="275"/>
      <c r="O374" s="275"/>
      <c r="P374" s="275"/>
      <c r="Q374" s="275"/>
      <c r="R374" s="275"/>
      <c r="S374" s="275"/>
      <c r="T374" s="275"/>
    </row>
    <row r="375" spans="1:20" ht="15" customHeight="1">
      <c r="A375" s="20"/>
      <c r="B375" s="294">
        <v>44469</v>
      </c>
      <c r="C375" s="295">
        <v>17618.150390625</v>
      </c>
      <c r="D375" s="296">
        <f t="shared" si="10"/>
        <v>-5.2593760207388773E-3</v>
      </c>
      <c r="E375" s="20"/>
      <c r="F375" s="297"/>
      <c r="G375" s="298">
        <v>44469</v>
      </c>
      <c r="H375" s="299">
        <v>2414.9841308564801</v>
      </c>
      <c r="I375" s="300">
        <f t="shared" si="11"/>
        <v>-1.8588799393735932E-2</v>
      </c>
      <c r="J375" s="296"/>
      <c r="K375" s="20"/>
      <c r="L375" s="297"/>
      <c r="M375" s="275"/>
      <c r="N375" s="275"/>
      <c r="O375" s="275"/>
      <c r="P375" s="275"/>
      <c r="Q375" s="275"/>
      <c r="R375" s="275"/>
      <c r="S375" s="275"/>
      <c r="T375" s="275"/>
    </row>
    <row r="376" spans="1:20" ht="15" customHeight="1">
      <c r="A376" s="275"/>
      <c r="B376" s="303">
        <v>44470</v>
      </c>
      <c r="C376" s="304">
        <v>17532.05078125</v>
      </c>
      <c r="D376" s="289">
        <f t="shared" si="10"/>
        <v>-4.8869834497959255E-3</v>
      </c>
      <c r="E376" s="275"/>
      <c r="F376" s="290"/>
      <c r="G376" s="305">
        <v>44470</v>
      </c>
      <c r="H376" s="306">
        <v>2428.1567382870398</v>
      </c>
      <c r="I376" s="293">
        <f t="shared" si="11"/>
        <v>5.454531672590357E-3</v>
      </c>
      <c r="J376" s="289"/>
      <c r="K376" s="275"/>
      <c r="L376" s="290"/>
      <c r="M376" s="275"/>
      <c r="N376" s="275"/>
      <c r="O376" s="275"/>
      <c r="P376" s="275"/>
      <c r="Q376" s="275"/>
      <c r="R376" s="275"/>
      <c r="S376" s="275"/>
      <c r="T376" s="275"/>
    </row>
    <row r="377" spans="1:20" ht="15" customHeight="1">
      <c r="A377" s="20"/>
      <c r="B377" s="294">
        <v>44473</v>
      </c>
      <c r="C377" s="295">
        <v>17691.25</v>
      </c>
      <c r="D377" s="296">
        <f t="shared" si="10"/>
        <v>9.080467581137671E-3</v>
      </c>
      <c r="E377" s="20"/>
      <c r="F377" s="297"/>
      <c r="G377" s="298">
        <v>44473</v>
      </c>
      <c r="H377" s="299">
        <v>2434.6364746064801</v>
      </c>
      <c r="I377" s="300">
        <f t="shared" si="11"/>
        <v>2.6685823930836568E-3</v>
      </c>
      <c r="J377" s="296"/>
      <c r="K377" s="20"/>
      <c r="L377" s="297"/>
      <c r="M377" s="275"/>
      <c r="N377" s="275"/>
      <c r="O377" s="275"/>
      <c r="P377" s="275"/>
      <c r="Q377" s="275"/>
      <c r="R377" s="275"/>
      <c r="S377" s="275"/>
      <c r="T377" s="275"/>
    </row>
    <row r="378" spans="1:20" ht="15" customHeight="1">
      <c r="A378" s="275"/>
      <c r="B378" s="303">
        <v>44474</v>
      </c>
      <c r="C378" s="304">
        <v>17822.30078125</v>
      </c>
      <c r="D378" s="289">
        <f t="shared" si="10"/>
        <v>7.4076609199463014E-3</v>
      </c>
      <c r="E378" s="275"/>
      <c r="F378" s="290"/>
      <c r="G378" s="305">
        <v>44474</v>
      </c>
      <c r="H378" s="306">
        <v>2425.2583007870398</v>
      </c>
      <c r="I378" s="293">
        <f t="shared" si="11"/>
        <v>-3.851981154991965E-3</v>
      </c>
      <c r="J378" s="289"/>
      <c r="K378" s="275"/>
      <c r="L378" s="290"/>
      <c r="M378" s="275"/>
      <c r="N378" s="275"/>
      <c r="O378" s="275"/>
      <c r="P378" s="275"/>
      <c r="Q378" s="275"/>
      <c r="R378" s="275"/>
      <c r="S378" s="275"/>
      <c r="T378" s="275"/>
    </row>
    <row r="379" spans="1:20" ht="15" customHeight="1">
      <c r="A379" s="20"/>
      <c r="B379" s="294">
        <v>44475</v>
      </c>
      <c r="C379" s="295">
        <v>17646</v>
      </c>
      <c r="D379" s="296">
        <f t="shared" si="10"/>
        <v>-9.8921448702895716E-3</v>
      </c>
      <c r="E379" s="20"/>
      <c r="F379" s="297"/>
      <c r="G379" s="298">
        <v>44475</v>
      </c>
      <c r="H379" s="299">
        <v>2385.697265625</v>
      </c>
      <c r="I379" s="300">
        <f t="shared" si="11"/>
        <v>-1.6312091437518873E-2</v>
      </c>
      <c r="J379" s="296"/>
      <c r="K379" s="20"/>
      <c r="L379" s="297"/>
      <c r="M379" s="275"/>
      <c r="N379" s="275"/>
      <c r="O379" s="275"/>
      <c r="P379" s="275"/>
      <c r="Q379" s="275"/>
      <c r="R379" s="275"/>
      <c r="S379" s="275"/>
      <c r="T379" s="275"/>
    </row>
    <row r="380" spans="1:20" ht="15" customHeight="1">
      <c r="A380" s="275"/>
      <c r="B380" s="303">
        <v>44476</v>
      </c>
      <c r="C380" s="304">
        <v>17790.349609375</v>
      </c>
      <c r="D380" s="289">
        <f t="shared" si="10"/>
        <v>8.1803020160376282E-3</v>
      </c>
      <c r="E380" s="275"/>
      <c r="F380" s="290"/>
      <c r="G380" s="305">
        <v>44476</v>
      </c>
      <c r="H380" s="306">
        <v>2422.78515625</v>
      </c>
      <c r="I380" s="293">
        <f t="shared" si="11"/>
        <v>1.5545933324982787E-2</v>
      </c>
      <c r="J380" s="289"/>
      <c r="K380" s="275"/>
      <c r="L380" s="290"/>
      <c r="M380" s="275"/>
      <c r="N380" s="275"/>
      <c r="O380" s="275"/>
      <c r="P380" s="275"/>
      <c r="Q380" s="275"/>
      <c r="R380" s="275"/>
      <c r="S380" s="275"/>
      <c r="T380" s="275"/>
    </row>
    <row r="381" spans="1:20" ht="15" customHeight="1">
      <c r="A381" s="20"/>
      <c r="B381" s="294">
        <v>44477</v>
      </c>
      <c r="C381" s="295">
        <v>17895.19921875</v>
      </c>
      <c r="D381" s="296">
        <f t="shared" si="10"/>
        <v>5.8936227604963589E-3</v>
      </c>
      <c r="E381" s="20"/>
      <c r="F381" s="297"/>
      <c r="G381" s="298">
        <v>44477</v>
      </c>
      <c r="H381" s="299">
        <v>2423.1694335879602</v>
      </c>
      <c r="I381" s="300">
        <f t="shared" si="11"/>
        <v>1.5860974588227347E-4</v>
      </c>
      <c r="J381" s="296"/>
      <c r="K381" s="20"/>
      <c r="L381" s="297"/>
      <c r="M381" s="275"/>
      <c r="N381" s="275"/>
      <c r="O381" s="275"/>
      <c r="P381" s="275"/>
      <c r="Q381" s="275"/>
      <c r="R381" s="275"/>
      <c r="S381" s="275"/>
      <c r="T381" s="275"/>
    </row>
    <row r="382" spans="1:20" ht="15" customHeight="1">
      <c r="A382" s="275"/>
      <c r="B382" s="303">
        <v>44480</v>
      </c>
      <c r="C382" s="304">
        <v>17945.94921875</v>
      </c>
      <c r="D382" s="289">
        <f t="shared" si="10"/>
        <v>2.8359561343595336E-3</v>
      </c>
      <c r="E382" s="275"/>
      <c r="F382" s="290"/>
      <c r="G382" s="305">
        <v>44480</v>
      </c>
      <c r="H382" s="306">
        <v>2436.5554199189801</v>
      </c>
      <c r="I382" s="293">
        <f t="shared" si="11"/>
        <v>5.5241644044673509E-3</v>
      </c>
      <c r="J382" s="289"/>
      <c r="K382" s="275"/>
      <c r="L382" s="290"/>
      <c r="M382" s="275"/>
      <c r="N382" s="275"/>
      <c r="O382" s="275"/>
      <c r="P382" s="275"/>
      <c r="Q382" s="275"/>
      <c r="R382" s="275"/>
      <c r="S382" s="275"/>
      <c r="T382" s="275"/>
    </row>
    <row r="383" spans="1:20" ht="15" customHeight="1">
      <c r="A383" s="20"/>
      <c r="B383" s="294">
        <v>44481</v>
      </c>
      <c r="C383" s="295">
        <v>17991.94921875</v>
      </c>
      <c r="D383" s="296">
        <f t="shared" si="10"/>
        <v>2.5632525445875558E-3</v>
      </c>
      <c r="E383" s="20"/>
      <c r="F383" s="297"/>
      <c r="G383" s="298">
        <v>44481</v>
      </c>
      <c r="H383" s="299">
        <v>2486.73046875</v>
      </c>
      <c r="I383" s="300">
        <f t="shared" si="11"/>
        <v>2.0592615468885307E-2</v>
      </c>
      <c r="J383" s="296"/>
      <c r="K383" s="20"/>
      <c r="L383" s="297"/>
      <c r="M383" s="275"/>
      <c r="N383" s="275"/>
      <c r="O383" s="275"/>
      <c r="P383" s="275"/>
      <c r="Q383" s="275"/>
      <c r="R383" s="275"/>
      <c r="S383" s="275"/>
      <c r="T383" s="275"/>
    </row>
    <row r="384" spans="1:20" ht="15" customHeight="1">
      <c r="A384" s="275"/>
      <c r="B384" s="303">
        <v>44482</v>
      </c>
      <c r="C384" s="304">
        <v>18161.75</v>
      </c>
      <c r="D384" s="289">
        <f t="shared" si="10"/>
        <v>9.4375978492116375E-3</v>
      </c>
      <c r="E384" s="275"/>
      <c r="F384" s="290"/>
      <c r="G384" s="305">
        <v>44482</v>
      </c>
      <c r="H384" s="306">
        <v>2494.0202636689801</v>
      </c>
      <c r="I384" s="293">
        <f t="shared" si="11"/>
        <v>2.9314777015799487E-3</v>
      </c>
      <c r="J384" s="289"/>
      <c r="K384" s="275"/>
      <c r="L384" s="290"/>
      <c r="M384" s="275"/>
      <c r="N384" s="275"/>
      <c r="O384" s="275"/>
      <c r="P384" s="275"/>
      <c r="Q384" s="275"/>
      <c r="R384" s="275"/>
      <c r="S384" s="275"/>
      <c r="T384" s="275"/>
    </row>
    <row r="385" spans="1:20" ht="15" customHeight="1">
      <c r="A385" s="20"/>
      <c r="B385" s="294">
        <v>44483</v>
      </c>
      <c r="C385" s="295">
        <v>18338.55078125</v>
      </c>
      <c r="D385" s="296">
        <f t="shared" si="10"/>
        <v>9.7347877407188178E-3</v>
      </c>
      <c r="E385" s="20"/>
      <c r="F385" s="297"/>
      <c r="G385" s="298">
        <v>44483</v>
      </c>
      <c r="H385" s="299">
        <v>2496.2365722685199</v>
      </c>
      <c r="I385" s="300">
        <f t="shared" si="11"/>
        <v>8.8864899448708081E-4</v>
      </c>
      <c r="J385" s="296"/>
      <c r="K385" s="20"/>
      <c r="L385" s="297"/>
      <c r="M385" s="275"/>
      <c r="N385" s="275"/>
      <c r="O385" s="275"/>
      <c r="P385" s="275"/>
      <c r="Q385" s="275"/>
      <c r="R385" s="275"/>
      <c r="S385" s="275"/>
      <c r="T385" s="275"/>
    </row>
    <row r="386" spans="1:20" ht="15" customHeight="1">
      <c r="A386" s="275"/>
      <c r="B386" s="303">
        <v>44487</v>
      </c>
      <c r="C386" s="304">
        <v>18477.05078125</v>
      </c>
      <c r="D386" s="289">
        <f t="shared" si="10"/>
        <v>7.5523961327198996E-3</v>
      </c>
      <c r="E386" s="275"/>
      <c r="F386" s="290"/>
      <c r="G386" s="305">
        <v>44487</v>
      </c>
      <c r="H386" s="306">
        <v>2476.0302734375</v>
      </c>
      <c r="I386" s="293">
        <f t="shared" si="11"/>
        <v>-8.0947050674195203E-3</v>
      </c>
      <c r="J386" s="289"/>
      <c r="K386" s="275"/>
      <c r="L386" s="290"/>
      <c r="M386" s="275"/>
      <c r="N386" s="275"/>
      <c r="O386" s="275"/>
      <c r="P386" s="275"/>
      <c r="Q386" s="275"/>
      <c r="R386" s="275"/>
      <c r="S386" s="275"/>
      <c r="T386" s="275"/>
    </row>
    <row r="387" spans="1:20" ht="15" customHeight="1">
      <c r="A387" s="20"/>
      <c r="B387" s="294">
        <v>44488</v>
      </c>
      <c r="C387" s="295">
        <v>18418.75</v>
      </c>
      <c r="D387" s="296">
        <f t="shared" si="10"/>
        <v>-3.1553077349964326E-3</v>
      </c>
      <c r="E387" s="20"/>
      <c r="F387" s="297"/>
      <c r="G387" s="298">
        <v>44488</v>
      </c>
      <c r="H387" s="299">
        <v>2452.1149902314801</v>
      </c>
      <c r="I387" s="300">
        <f t="shared" si="11"/>
        <v>-9.6587200336682756E-3</v>
      </c>
      <c r="J387" s="296"/>
      <c r="K387" s="20"/>
      <c r="L387" s="297"/>
      <c r="M387" s="275"/>
      <c r="N387" s="275"/>
      <c r="O387" s="275"/>
      <c r="P387" s="275"/>
      <c r="Q387" s="275"/>
      <c r="R387" s="275"/>
      <c r="S387" s="275"/>
      <c r="T387" s="275"/>
    </row>
    <row r="388" spans="1:20" ht="15" customHeight="1">
      <c r="A388" s="275"/>
      <c r="B388" s="303">
        <v>44489</v>
      </c>
      <c r="C388" s="304">
        <v>18266.599609375</v>
      </c>
      <c r="D388" s="289">
        <f t="shared" si="10"/>
        <v>-8.2606252120800815E-3</v>
      </c>
      <c r="E388" s="275"/>
      <c r="F388" s="290"/>
      <c r="G388" s="305">
        <v>44489</v>
      </c>
      <c r="H388" s="306">
        <v>2400.9165039120398</v>
      </c>
      <c r="I388" s="293">
        <f t="shared" si="11"/>
        <v>-2.0879317048099401E-2</v>
      </c>
      <c r="J388" s="289"/>
      <c r="K388" s="275"/>
      <c r="L388" s="290"/>
      <c r="M388" s="275"/>
      <c r="N388" s="275"/>
      <c r="O388" s="275"/>
      <c r="P388" s="275"/>
      <c r="Q388" s="275"/>
      <c r="R388" s="275"/>
      <c r="S388" s="275"/>
      <c r="T388" s="275"/>
    </row>
    <row r="389" spans="1:20" ht="15" customHeight="1">
      <c r="A389" s="20"/>
      <c r="B389" s="294">
        <v>44490</v>
      </c>
      <c r="C389" s="295">
        <v>18178.099609375</v>
      </c>
      <c r="D389" s="296">
        <f t="shared" ref="D389:D452" si="12">(C389-C388)/C388</f>
        <v>-4.8449082967023036E-3</v>
      </c>
      <c r="E389" s="20"/>
      <c r="F389" s="297"/>
      <c r="G389" s="298">
        <v>44490</v>
      </c>
      <c r="H389" s="299">
        <v>2350.5278320370398</v>
      </c>
      <c r="I389" s="300">
        <f t="shared" ref="I389:I452" si="13">(H389-H388)/H388</f>
        <v>-2.0987265401731788E-2</v>
      </c>
      <c r="J389" s="296"/>
      <c r="K389" s="20"/>
      <c r="L389" s="297"/>
      <c r="M389" s="275"/>
      <c r="N389" s="275"/>
      <c r="O389" s="275"/>
      <c r="P389" s="275"/>
      <c r="Q389" s="275"/>
      <c r="R389" s="275"/>
      <c r="S389" s="275"/>
      <c r="T389" s="275"/>
    </row>
    <row r="390" spans="1:20" ht="15" customHeight="1">
      <c r="A390" s="275"/>
      <c r="B390" s="303">
        <v>44491</v>
      </c>
      <c r="C390" s="304">
        <v>18114.900390625</v>
      </c>
      <c r="D390" s="289">
        <f t="shared" si="12"/>
        <v>-3.4766680845673349E-3</v>
      </c>
      <c r="E390" s="275"/>
      <c r="F390" s="290"/>
      <c r="G390" s="305">
        <v>44491</v>
      </c>
      <c r="H390" s="306">
        <v>2339.6574707060199</v>
      </c>
      <c r="I390" s="293">
        <f t="shared" si="13"/>
        <v>-4.6246469337056654E-3</v>
      </c>
      <c r="J390" s="289"/>
      <c r="K390" s="275"/>
      <c r="L390" s="290"/>
      <c r="M390" s="275"/>
      <c r="N390" s="275"/>
      <c r="O390" s="275"/>
      <c r="P390" s="275"/>
      <c r="Q390" s="275"/>
      <c r="R390" s="275"/>
      <c r="S390" s="275"/>
      <c r="T390" s="275"/>
    </row>
    <row r="391" spans="1:20" ht="15" customHeight="1">
      <c r="A391" s="20"/>
      <c r="B391" s="294">
        <v>44494</v>
      </c>
      <c r="C391" s="295">
        <v>18125.400390625</v>
      </c>
      <c r="D391" s="296">
        <f t="shared" si="12"/>
        <v>5.7963332801068358E-4</v>
      </c>
      <c r="E391" s="20"/>
      <c r="F391" s="297"/>
      <c r="G391" s="298">
        <v>44494</v>
      </c>
      <c r="H391" s="299">
        <v>2290.7607421875</v>
      </c>
      <c r="I391" s="300">
        <f t="shared" si="13"/>
        <v>-2.0899097039091256E-2</v>
      </c>
      <c r="J391" s="296"/>
      <c r="K391" s="20"/>
      <c r="L391" s="297"/>
      <c r="M391" s="275"/>
      <c r="N391" s="275"/>
      <c r="O391" s="275"/>
      <c r="P391" s="275"/>
      <c r="Q391" s="275"/>
      <c r="R391" s="275"/>
      <c r="S391" s="275"/>
      <c r="T391" s="275"/>
    </row>
    <row r="392" spans="1:20" ht="15" customHeight="1">
      <c r="A392" s="275"/>
      <c r="B392" s="303">
        <v>44495</v>
      </c>
      <c r="C392" s="304">
        <v>18268.400390625</v>
      </c>
      <c r="D392" s="289">
        <f t="shared" si="12"/>
        <v>7.8894808897001737E-3</v>
      </c>
      <c r="E392" s="275"/>
      <c r="F392" s="290"/>
      <c r="G392" s="305">
        <v>44495</v>
      </c>
      <c r="H392" s="306">
        <v>2302.4409179629602</v>
      </c>
      <c r="I392" s="293">
        <f t="shared" si="13"/>
        <v>5.0988196018701146E-3</v>
      </c>
      <c r="J392" s="289"/>
      <c r="K392" s="275"/>
      <c r="L392" s="290"/>
      <c r="M392" s="275"/>
      <c r="N392" s="275"/>
      <c r="O392" s="275"/>
      <c r="P392" s="275"/>
      <c r="Q392" s="275"/>
      <c r="R392" s="275"/>
      <c r="S392" s="275"/>
      <c r="T392" s="275"/>
    </row>
    <row r="393" spans="1:20" ht="15" customHeight="1">
      <c r="A393" s="20"/>
      <c r="B393" s="294">
        <v>44496</v>
      </c>
      <c r="C393" s="295">
        <v>18210.94921875</v>
      </c>
      <c r="D393" s="296">
        <f t="shared" si="12"/>
        <v>-3.144838663842887E-3</v>
      </c>
      <c r="E393" s="20"/>
      <c r="F393" s="297"/>
      <c r="G393" s="298">
        <v>44496</v>
      </c>
      <c r="H393" s="299">
        <v>2293.6166992129602</v>
      </c>
      <c r="I393" s="300">
        <f t="shared" si="13"/>
        <v>-3.8325494830968587E-3</v>
      </c>
      <c r="J393" s="296"/>
      <c r="K393" s="20"/>
      <c r="L393" s="297"/>
      <c r="M393" s="275"/>
      <c r="N393" s="275"/>
      <c r="O393" s="275"/>
      <c r="P393" s="275"/>
      <c r="Q393" s="275"/>
      <c r="R393" s="275"/>
      <c r="S393" s="275"/>
      <c r="T393" s="275"/>
    </row>
    <row r="394" spans="1:20" ht="15" customHeight="1">
      <c r="A394" s="275"/>
      <c r="B394" s="303">
        <v>44497</v>
      </c>
      <c r="C394" s="304">
        <v>17857.25</v>
      </c>
      <c r="D394" s="289">
        <f t="shared" si="12"/>
        <v>-1.942233842406365E-2</v>
      </c>
      <c r="E394" s="275"/>
      <c r="F394" s="290"/>
      <c r="G394" s="305">
        <v>44497</v>
      </c>
      <c r="H394" s="306">
        <v>2274.5190429629602</v>
      </c>
      <c r="I394" s="293">
        <f t="shared" si="13"/>
        <v>-8.326437567599345E-3</v>
      </c>
      <c r="J394" s="289"/>
      <c r="K394" s="275"/>
      <c r="L394" s="290"/>
      <c r="M394" s="275"/>
      <c r="N394" s="275"/>
      <c r="O394" s="275"/>
      <c r="P394" s="275"/>
      <c r="Q394" s="275"/>
      <c r="R394" s="275"/>
      <c r="S394" s="275"/>
      <c r="T394" s="275"/>
    </row>
    <row r="395" spans="1:20" ht="15" customHeight="1">
      <c r="A395" s="20"/>
      <c r="B395" s="294">
        <v>44498</v>
      </c>
      <c r="C395" s="295">
        <v>17671.650390625</v>
      </c>
      <c r="D395" s="296">
        <f t="shared" si="12"/>
        <v>-1.0393515763905417E-2</v>
      </c>
      <c r="E395" s="20"/>
      <c r="F395" s="297"/>
      <c r="G395" s="298">
        <v>44498</v>
      </c>
      <c r="H395" s="299">
        <v>2265.4389648379602</v>
      </c>
      <c r="I395" s="300">
        <f t="shared" si="13"/>
        <v>-3.9920870977503912E-3</v>
      </c>
      <c r="J395" s="296"/>
      <c r="K395" s="20"/>
      <c r="L395" s="297"/>
      <c r="M395" s="275"/>
      <c r="N395" s="275"/>
      <c r="O395" s="275"/>
      <c r="P395" s="275"/>
      <c r="Q395" s="275"/>
      <c r="R395" s="275"/>
      <c r="S395" s="275"/>
      <c r="T395" s="275"/>
    </row>
    <row r="396" spans="1:20" ht="15" customHeight="1">
      <c r="A396" s="275"/>
      <c r="B396" s="303">
        <v>44501</v>
      </c>
      <c r="C396" s="304">
        <v>17929.650390625</v>
      </c>
      <c r="D396" s="289">
        <f t="shared" si="12"/>
        <v>1.4599655057507915E-2</v>
      </c>
      <c r="E396" s="275"/>
      <c r="F396" s="290"/>
      <c r="G396" s="305">
        <v>44501</v>
      </c>
      <c r="H396" s="306">
        <v>2285.5598144560199</v>
      </c>
      <c r="I396" s="293">
        <f t="shared" si="13"/>
        <v>8.8816560191454751E-3</v>
      </c>
      <c r="J396" s="289"/>
      <c r="K396" s="275"/>
      <c r="L396" s="290"/>
      <c r="M396" s="275"/>
      <c r="N396" s="275"/>
      <c r="O396" s="275"/>
      <c r="P396" s="275"/>
      <c r="Q396" s="275"/>
      <c r="R396" s="275"/>
      <c r="S396" s="275"/>
      <c r="T396" s="275"/>
    </row>
    <row r="397" spans="1:20" ht="15" customHeight="1">
      <c r="A397" s="20"/>
      <c r="B397" s="294">
        <v>44502</v>
      </c>
      <c r="C397" s="295">
        <v>17888.94921875</v>
      </c>
      <c r="D397" s="296">
        <f t="shared" si="12"/>
        <v>-2.2700482713417379E-3</v>
      </c>
      <c r="E397" s="20"/>
      <c r="F397" s="297"/>
      <c r="G397" s="298">
        <v>44502</v>
      </c>
      <c r="H397" s="299">
        <v>2288.6291503935199</v>
      </c>
      <c r="I397" s="300">
        <f t="shared" si="13"/>
        <v>1.3429252291218309E-3</v>
      </c>
      <c r="J397" s="296"/>
      <c r="K397" s="20"/>
      <c r="L397" s="297"/>
      <c r="M397" s="275"/>
      <c r="N397" s="275"/>
      <c r="O397" s="275"/>
      <c r="P397" s="275"/>
      <c r="Q397" s="275"/>
      <c r="R397" s="275"/>
      <c r="S397" s="275"/>
      <c r="T397" s="275"/>
    </row>
    <row r="398" spans="1:20" ht="15" customHeight="1">
      <c r="A398" s="275"/>
      <c r="B398" s="303">
        <v>44503</v>
      </c>
      <c r="C398" s="304">
        <v>17829.19921875</v>
      </c>
      <c r="D398" s="289">
        <f t="shared" si="12"/>
        <v>-3.3400508475575552E-3</v>
      </c>
      <c r="E398" s="275"/>
      <c r="F398" s="290"/>
      <c r="G398" s="305">
        <v>44503</v>
      </c>
      <c r="H398" s="306">
        <v>2252.0954589814801</v>
      </c>
      <c r="I398" s="293">
        <f t="shared" si="13"/>
        <v>-1.5963132954833696E-2</v>
      </c>
      <c r="J398" s="289"/>
      <c r="K398" s="275"/>
      <c r="L398" s="290"/>
      <c r="M398" s="275"/>
      <c r="N398" s="275"/>
      <c r="O398" s="275"/>
      <c r="P398" s="275"/>
      <c r="Q398" s="275"/>
      <c r="R398" s="275"/>
      <c r="S398" s="275"/>
      <c r="T398" s="275"/>
    </row>
    <row r="399" spans="1:20" ht="15" customHeight="1">
      <c r="A399" s="20"/>
      <c r="B399" s="294">
        <v>44504</v>
      </c>
      <c r="C399" s="295">
        <v>17916.80078125</v>
      </c>
      <c r="D399" s="296">
        <f t="shared" si="12"/>
        <v>4.9133761659847404E-3</v>
      </c>
      <c r="E399" s="20"/>
      <c r="F399" s="297"/>
      <c r="G399" s="298">
        <v>44504</v>
      </c>
      <c r="H399" s="299">
        <v>2282.8312988310199</v>
      </c>
      <c r="I399" s="300">
        <f t="shared" si="13"/>
        <v>1.3647662991798874E-2</v>
      </c>
      <c r="J399" s="296"/>
      <c r="K399" s="20"/>
      <c r="L399" s="297"/>
      <c r="M399" s="275"/>
      <c r="N399" s="275"/>
      <c r="O399" s="275"/>
      <c r="P399" s="275"/>
      <c r="Q399" s="275"/>
      <c r="R399" s="275"/>
      <c r="S399" s="275"/>
      <c r="T399" s="275"/>
    </row>
    <row r="400" spans="1:20" ht="15" customHeight="1">
      <c r="A400" s="275"/>
      <c r="B400" s="303">
        <v>44508</v>
      </c>
      <c r="C400" s="304">
        <v>18068.55078125</v>
      </c>
      <c r="D400" s="289">
        <f t="shared" si="12"/>
        <v>8.4697040421863115E-3</v>
      </c>
      <c r="E400" s="275"/>
      <c r="F400" s="290"/>
      <c r="G400" s="305">
        <v>44508</v>
      </c>
      <c r="H400" s="306">
        <v>2287.435546875</v>
      </c>
      <c r="I400" s="293">
        <f t="shared" si="13"/>
        <v>2.0169024519410598E-3</v>
      </c>
      <c r="J400" s="289"/>
      <c r="K400" s="275"/>
      <c r="L400" s="290"/>
      <c r="M400" s="275"/>
      <c r="N400" s="275"/>
      <c r="O400" s="275"/>
      <c r="P400" s="275"/>
      <c r="Q400" s="275"/>
      <c r="R400" s="275"/>
      <c r="S400" s="275"/>
      <c r="T400" s="275"/>
    </row>
    <row r="401" spans="1:20" ht="15" customHeight="1">
      <c r="A401" s="20"/>
      <c r="B401" s="294">
        <v>44509</v>
      </c>
      <c r="C401" s="295">
        <v>18044.25</v>
      </c>
      <c r="D401" s="296">
        <f t="shared" si="12"/>
        <v>-1.3449214352717915E-3</v>
      </c>
      <c r="E401" s="20"/>
      <c r="F401" s="297"/>
      <c r="G401" s="298">
        <v>44509</v>
      </c>
      <c r="H401" s="299">
        <v>2314.2497558564801</v>
      </c>
      <c r="I401" s="300">
        <f t="shared" si="13"/>
        <v>1.1722388863857845E-2</v>
      </c>
      <c r="J401" s="296"/>
      <c r="K401" s="20"/>
      <c r="L401" s="297"/>
      <c r="M401" s="275"/>
      <c r="N401" s="275"/>
      <c r="O401" s="275"/>
      <c r="P401" s="275"/>
      <c r="Q401" s="275"/>
      <c r="R401" s="275"/>
      <c r="S401" s="275"/>
      <c r="T401" s="275"/>
    </row>
    <row r="402" spans="1:20" ht="15" customHeight="1">
      <c r="A402" s="275"/>
      <c r="B402" s="303">
        <v>44510</v>
      </c>
      <c r="C402" s="304">
        <v>18017.19921875</v>
      </c>
      <c r="D402" s="289">
        <f t="shared" si="12"/>
        <v>-1.499135805034845E-3</v>
      </c>
      <c r="E402" s="275"/>
      <c r="F402" s="290"/>
      <c r="G402" s="305">
        <v>44510</v>
      </c>
      <c r="H402" s="306">
        <v>2318.0437011689801</v>
      </c>
      <c r="I402" s="293">
        <f t="shared" si="13"/>
        <v>1.6393845577379784E-3</v>
      </c>
      <c r="J402" s="289"/>
      <c r="K402" s="275"/>
      <c r="L402" s="290"/>
      <c r="M402" s="275"/>
      <c r="N402" s="275"/>
      <c r="O402" s="275"/>
      <c r="P402" s="275"/>
      <c r="Q402" s="275"/>
      <c r="R402" s="275"/>
      <c r="S402" s="275"/>
      <c r="T402" s="275"/>
    </row>
    <row r="403" spans="1:20" ht="15" customHeight="1">
      <c r="A403" s="20"/>
      <c r="B403" s="294">
        <v>44511</v>
      </c>
      <c r="C403" s="295">
        <v>17873.599609375</v>
      </c>
      <c r="D403" s="296">
        <f t="shared" si="12"/>
        <v>-7.970140510271978E-3</v>
      </c>
      <c r="E403" s="20"/>
      <c r="F403" s="297"/>
      <c r="G403" s="298">
        <v>44511</v>
      </c>
      <c r="H403" s="299">
        <v>2302.7824707060199</v>
      </c>
      <c r="I403" s="300">
        <f t="shared" si="13"/>
        <v>-6.5836681401925164E-3</v>
      </c>
      <c r="J403" s="296"/>
      <c r="K403" s="20"/>
      <c r="L403" s="297"/>
      <c r="M403" s="275"/>
      <c r="N403" s="275"/>
      <c r="O403" s="275"/>
      <c r="P403" s="275"/>
      <c r="Q403" s="275"/>
      <c r="R403" s="275"/>
      <c r="S403" s="275"/>
      <c r="T403" s="275"/>
    </row>
    <row r="404" spans="1:20" ht="15" customHeight="1">
      <c r="A404" s="275"/>
      <c r="B404" s="303">
        <v>44512</v>
      </c>
      <c r="C404" s="304">
        <v>18102.75</v>
      </c>
      <c r="D404" s="289">
        <f t="shared" si="12"/>
        <v>1.2820606684330492E-2</v>
      </c>
      <c r="E404" s="275"/>
      <c r="F404" s="290"/>
      <c r="G404" s="305">
        <v>44512</v>
      </c>
      <c r="H404" s="306">
        <v>2287.5634765625</v>
      </c>
      <c r="I404" s="293">
        <f t="shared" si="13"/>
        <v>-6.6089586563744624E-3</v>
      </c>
      <c r="J404" s="289"/>
      <c r="K404" s="275"/>
      <c r="L404" s="290"/>
      <c r="M404" s="275"/>
      <c r="N404" s="275"/>
      <c r="O404" s="275"/>
      <c r="P404" s="275"/>
      <c r="Q404" s="275"/>
      <c r="R404" s="275"/>
      <c r="S404" s="275"/>
      <c r="T404" s="275"/>
    </row>
    <row r="405" spans="1:20" ht="15" customHeight="1">
      <c r="A405" s="20"/>
      <c r="B405" s="294">
        <v>44515</v>
      </c>
      <c r="C405" s="295">
        <v>18109.44921875</v>
      </c>
      <c r="D405" s="296">
        <f t="shared" si="12"/>
        <v>3.7006635732140142E-4</v>
      </c>
      <c r="E405" s="20"/>
      <c r="F405" s="297"/>
      <c r="G405" s="298">
        <v>44515</v>
      </c>
      <c r="H405" s="299">
        <v>2296.2595214814801</v>
      </c>
      <c r="I405" s="300">
        <f t="shared" si="13"/>
        <v>3.8014442038773687E-3</v>
      </c>
      <c r="J405" s="296"/>
      <c r="K405" s="20"/>
      <c r="L405" s="297"/>
      <c r="M405" s="275"/>
      <c r="N405" s="275"/>
      <c r="O405" s="275"/>
      <c r="P405" s="275"/>
      <c r="Q405" s="275"/>
      <c r="R405" s="275"/>
      <c r="S405" s="275"/>
      <c r="T405" s="275"/>
    </row>
    <row r="406" spans="1:20" ht="15" customHeight="1">
      <c r="A406" s="275"/>
      <c r="B406" s="303">
        <v>44516</v>
      </c>
      <c r="C406" s="304">
        <v>17999.19921875</v>
      </c>
      <c r="D406" s="289">
        <f t="shared" si="12"/>
        <v>-6.0879819517564533E-3</v>
      </c>
      <c r="E406" s="275"/>
      <c r="F406" s="290"/>
      <c r="G406" s="305">
        <v>44516</v>
      </c>
      <c r="H406" s="306">
        <v>2345.412109375</v>
      </c>
      <c r="I406" s="293">
        <f t="shared" si="13"/>
        <v>2.1405502049615062E-2</v>
      </c>
      <c r="J406" s="289"/>
      <c r="K406" s="275"/>
      <c r="L406" s="290"/>
      <c r="M406" s="275"/>
      <c r="N406" s="275"/>
      <c r="O406" s="275"/>
      <c r="P406" s="275"/>
      <c r="Q406" s="275"/>
      <c r="R406" s="275"/>
      <c r="S406" s="275"/>
      <c r="T406" s="275"/>
    </row>
    <row r="407" spans="1:20" ht="15" customHeight="1">
      <c r="A407" s="20"/>
      <c r="B407" s="294">
        <v>44517</v>
      </c>
      <c r="C407" s="295">
        <v>17898.650390625</v>
      </c>
      <c r="D407" s="296">
        <f t="shared" si="12"/>
        <v>-5.5862945291619958E-3</v>
      </c>
      <c r="E407" s="20"/>
      <c r="F407" s="297"/>
      <c r="G407" s="298">
        <v>44517</v>
      </c>
      <c r="H407" s="299">
        <v>2344.0905761689801</v>
      </c>
      <c r="I407" s="300">
        <f t="shared" si="13"/>
        <v>-5.63454584692189E-4</v>
      </c>
      <c r="J407" s="296"/>
      <c r="K407" s="20"/>
      <c r="L407" s="297"/>
      <c r="M407" s="275"/>
      <c r="N407" s="275"/>
      <c r="O407" s="275"/>
      <c r="P407" s="275"/>
      <c r="Q407" s="275"/>
      <c r="R407" s="275"/>
      <c r="S407" s="275"/>
      <c r="T407" s="275"/>
    </row>
    <row r="408" spans="1:20" ht="15" customHeight="1">
      <c r="A408" s="275"/>
      <c r="B408" s="303">
        <v>44518</v>
      </c>
      <c r="C408" s="304">
        <v>17764.80078125</v>
      </c>
      <c r="D408" s="289">
        <f t="shared" si="12"/>
        <v>-7.4781956434608098E-3</v>
      </c>
      <c r="E408" s="275"/>
      <c r="F408" s="290"/>
      <c r="G408" s="305">
        <v>44518</v>
      </c>
      <c r="H408" s="306">
        <v>2289.0983886689801</v>
      </c>
      <c r="I408" s="293">
        <f t="shared" si="13"/>
        <v>-2.3459924313110562E-2</v>
      </c>
      <c r="J408" s="289"/>
      <c r="K408" s="275"/>
      <c r="L408" s="290"/>
      <c r="M408" s="275"/>
      <c r="N408" s="275"/>
      <c r="O408" s="275"/>
      <c r="P408" s="275"/>
      <c r="Q408" s="275"/>
      <c r="R408" s="275"/>
      <c r="S408" s="275"/>
      <c r="T408" s="275"/>
    </row>
    <row r="409" spans="1:20" ht="15" customHeight="1">
      <c r="A409" s="20"/>
      <c r="B409" s="294">
        <v>44522</v>
      </c>
      <c r="C409" s="295">
        <v>17416.55078125</v>
      </c>
      <c r="D409" s="296">
        <f t="shared" si="12"/>
        <v>-1.96033721001568E-2</v>
      </c>
      <c r="E409" s="20"/>
      <c r="F409" s="297"/>
      <c r="G409" s="298">
        <v>44522</v>
      </c>
      <c r="H409" s="299">
        <v>2246.2551269560199</v>
      </c>
      <c r="I409" s="300">
        <f t="shared" si="13"/>
        <v>-1.8716216797422941E-2</v>
      </c>
      <c r="J409" s="296"/>
      <c r="K409" s="20"/>
      <c r="L409" s="297"/>
      <c r="M409" s="275"/>
      <c r="N409" s="275"/>
      <c r="O409" s="275"/>
      <c r="P409" s="275"/>
      <c r="Q409" s="275"/>
      <c r="R409" s="275"/>
      <c r="S409" s="275"/>
      <c r="T409" s="275"/>
    </row>
    <row r="410" spans="1:20" ht="15" customHeight="1">
      <c r="A410" s="275"/>
      <c r="B410" s="303">
        <v>44523</v>
      </c>
      <c r="C410" s="304">
        <v>17503.349609375</v>
      </c>
      <c r="D410" s="289">
        <f t="shared" si="12"/>
        <v>4.9836979327987458E-3</v>
      </c>
      <c r="E410" s="275"/>
      <c r="F410" s="290"/>
      <c r="G410" s="305">
        <v>44523</v>
      </c>
      <c r="H410" s="306">
        <v>2244.2084960879602</v>
      </c>
      <c r="I410" s="293">
        <f t="shared" si="13"/>
        <v>-9.1113019331567522E-4</v>
      </c>
      <c r="J410" s="289"/>
      <c r="K410" s="275"/>
      <c r="L410" s="290"/>
      <c r="M410" s="275"/>
      <c r="N410" s="275"/>
      <c r="O410" s="275"/>
      <c r="P410" s="275"/>
      <c r="Q410" s="275"/>
      <c r="R410" s="275"/>
      <c r="S410" s="275"/>
      <c r="T410" s="275"/>
    </row>
    <row r="411" spans="1:20" ht="15" customHeight="1">
      <c r="A411" s="20"/>
      <c r="B411" s="294">
        <v>44524</v>
      </c>
      <c r="C411" s="295">
        <v>17415.05078125</v>
      </c>
      <c r="D411" s="296">
        <f t="shared" si="12"/>
        <v>-5.0446817378146927E-3</v>
      </c>
      <c r="E411" s="20"/>
      <c r="F411" s="297"/>
      <c r="G411" s="298">
        <v>44524</v>
      </c>
      <c r="H411" s="299">
        <v>2234.7021484375</v>
      </c>
      <c r="I411" s="300">
        <f t="shared" si="13"/>
        <v>-4.2359467344639991E-3</v>
      </c>
      <c r="J411" s="296"/>
      <c r="K411" s="20"/>
      <c r="L411" s="297"/>
      <c r="M411" s="275"/>
      <c r="N411" s="275"/>
      <c r="O411" s="275"/>
      <c r="P411" s="275"/>
      <c r="Q411" s="275"/>
      <c r="R411" s="275"/>
      <c r="S411" s="275"/>
      <c r="T411" s="275"/>
    </row>
    <row r="412" spans="1:20" ht="15" customHeight="1">
      <c r="A412" s="275"/>
      <c r="B412" s="303">
        <v>44525</v>
      </c>
      <c r="C412" s="304">
        <v>17536.25</v>
      </c>
      <c r="D412" s="289">
        <f t="shared" si="12"/>
        <v>6.9594525030320176E-3</v>
      </c>
      <c r="E412" s="275"/>
      <c r="F412" s="290"/>
      <c r="G412" s="305">
        <v>44525</v>
      </c>
      <c r="H412" s="306">
        <v>2212.2360839814801</v>
      </c>
      <c r="I412" s="293">
        <f t="shared" si="13"/>
        <v>-1.0053270173713377E-2</v>
      </c>
      <c r="J412" s="289"/>
      <c r="K412" s="275"/>
      <c r="L412" s="290"/>
      <c r="M412" s="275"/>
      <c r="N412" s="275"/>
      <c r="O412" s="275"/>
      <c r="P412" s="275"/>
      <c r="Q412" s="275"/>
      <c r="R412" s="275"/>
      <c r="S412" s="275"/>
      <c r="T412" s="275"/>
    </row>
    <row r="413" spans="1:20" ht="15" customHeight="1">
      <c r="A413" s="20"/>
      <c r="B413" s="294">
        <v>44526</v>
      </c>
      <c r="C413" s="295">
        <v>17026.44921875</v>
      </c>
      <c r="D413" s="296">
        <f t="shared" si="12"/>
        <v>-2.9071254187753939E-2</v>
      </c>
      <c r="E413" s="20"/>
      <c r="F413" s="297"/>
      <c r="G413" s="298">
        <v>44526</v>
      </c>
      <c r="H413" s="299">
        <v>2156.5615234375</v>
      </c>
      <c r="I413" s="300">
        <f t="shared" si="13"/>
        <v>-2.5166645163738392E-2</v>
      </c>
      <c r="J413" s="296"/>
      <c r="K413" s="20"/>
      <c r="L413" s="297"/>
      <c r="M413" s="275"/>
      <c r="N413" s="275"/>
      <c r="O413" s="275"/>
      <c r="P413" s="275"/>
      <c r="Q413" s="275"/>
      <c r="R413" s="275"/>
      <c r="S413" s="275"/>
      <c r="T413" s="275"/>
    </row>
    <row r="414" spans="1:20" ht="15" customHeight="1">
      <c r="A414" s="275"/>
      <c r="B414" s="303">
        <v>44529</v>
      </c>
      <c r="C414" s="304">
        <v>17053.94921875</v>
      </c>
      <c r="D414" s="289">
        <f t="shared" si="12"/>
        <v>1.615134174289037E-3</v>
      </c>
      <c r="E414" s="275"/>
      <c r="F414" s="290"/>
      <c r="G414" s="305">
        <v>44529</v>
      </c>
      <c r="H414" s="306">
        <v>2123.6511230439801</v>
      </c>
      <c r="I414" s="293">
        <f t="shared" si="13"/>
        <v>-1.5260589617244791E-2</v>
      </c>
      <c r="J414" s="289"/>
      <c r="K414" s="275"/>
      <c r="L414" s="290"/>
      <c r="M414" s="275"/>
      <c r="N414" s="275"/>
      <c r="O414" s="275"/>
      <c r="P414" s="275"/>
      <c r="Q414" s="275"/>
      <c r="R414" s="275"/>
      <c r="S414" s="275"/>
      <c r="T414" s="275"/>
    </row>
    <row r="415" spans="1:20" ht="15" customHeight="1">
      <c r="A415" s="20"/>
      <c r="B415" s="294">
        <v>44530</v>
      </c>
      <c r="C415" s="295">
        <v>16983.19921875</v>
      </c>
      <c r="D415" s="296">
        <f t="shared" si="12"/>
        <v>-4.1485991949720222E-3</v>
      </c>
      <c r="E415" s="20"/>
      <c r="F415" s="297"/>
      <c r="G415" s="298">
        <v>44530</v>
      </c>
      <c r="H415" s="299">
        <v>2088.2685546875</v>
      </c>
      <c r="I415" s="300">
        <f t="shared" si="13"/>
        <v>-1.6661196357791449E-2</v>
      </c>
      <c r="J415" s="296"/>
      <c r="K415" s="20"/>
      <c r="L415" s="297"/>
      <c r="M415" s="275"/>
      <c r="N415" s="275"/>
      <c r="O415" s="275"/>
      <c r="P415" s="275"/>
      <c r="Q415" s="275"/>
      <c r="R415" s="275"/>
      <c r="S415" s="275"/>
      <c r="T415" s="275"/>
    </row>
    <row r="416" spans="1:20" ht="15" customHeight="1">
      <c r="A416" s="275"/>
      <c r="B416" s="303">
        <v>44531</v>
      </c>
      <c r="C416" s="304">
        <v>17166.900390625</v>
      </c>
      <c r="D416" s="289">
        <f t="shared" si="12"/>
        <v>1.0816641170421411E-2</v>
      </c>
      <c r="E416" s="275"/>
      <c r="F416" s="290"/>
      <c r="G416" s="305">
        <v>44531</v>
      </c>
      <c r="H416" s="306">
        <v>2087.3305664120398</v>
      </c>
      <c r="I416" s="293">
        <f t="shared" si="13"/>
        <v>-4.4917032981925186E-4</v>
      </c>
      <c r="J416" s="289"/>
      <c r="K416" s="275"/>
      <c r="L416" s="290"/>
      <c r="M416" s="275"/>
      <c r="N416" s="275"/>
      <c r="O416" s="275"/>
      <c r="P416" s="275"/>
      <c r="Q416" s="275"/>
      <c r="R416" s="275"/>
      <c r="S416" s="275"/>
      <c r="T416" s="275"/>
    </row>
    <row r="417" spans="1:20" ht="15" customHeight="1">
      <c r="A417" s="20"/>
      <c r="B417" s="294">
        <v>44532</v>
      </c>
      <c r="C417" s="295">
        <v>17401.650390625</v>
      </c>
      <c r="D417" s="296">
        <f t="shared" si="12"/>
        <v>1.3674571102433792E-2</v>
      </c>
      <c r="E417" s="20"/>
      <c r="F417" s="297"/>
      <c r="G417" s="298">
        <v>44532</v>
      </c>
      <c r="H417" s="299">
        <v>2108.2197265625</v>
      </c>
      <c r="I417" s="300">
        <f t="shared" si="13"/>
        <v>1.000759558001731E-2</v>
      </c>
      <c r="J417" s="296"/>
      <c r="K417" s="20"/>
      <c r="L417" s="297"/>
      <c r="M417" s="275"/>
      <c r="N417" s="275"/>
      <c r="O417" s="275"/>
      <c r="P417" s="275"/>
      <c r="Q417" s="275"/>
      <c r="R417" s="275"/>
      <c r="S417" s="275"/>
      <c r="T417" s="275"/>
    </row>
    <row r="418" spans="1:20" ht="15" customHeight="1">
      <c r="A418" s="275"/>
      <c r="B418" s="303">
        <v>44533</v>
      </c>
      <c r="C418" s="304">
        <v>17196.69921875</v>
      </c>
      <c r="D418" s="289">
        <f t="shared" si="12"/>
        <v>-1.1777685867394267E-2</v>
      </c>
      <c r="E418" s="275"/>
      <c r="F418" s="290"/>
      <c r="G418" s="305">
        <v>44533</v>
      </c>
      <c r="H418" s="306">
        <v>2099.4799804629602</v>
      </c>
      <c r="I418" s="293">
        <f t="shared" si="13"/>
        <v>-4.1455575002090498E-3</v>
      </c>
      <c r="J418" s="289"/>
      <c r="K418" s="275"/>
      <c r="L418" s="290"/>
      <c r="M418" s="275"/>
      <c r="N418" s="275"/>
      <c r="O418" s="275"/>
      <c r="P418" s="275"/>
      <c r="Q418" s="275"/>
      <c r="R418" s="275"/>
      <c r="S418" s="275"/>
      <c r="T418" s="275"/>
    </row>
    <row r="419" spans="1:20" ht="15" customHeight="1">
      <c r="A419" s="20"/>
      <c r="B419" s="294">
        <v>44536</v>
      </c>
      <c r="C419" s="295">
        <v>16912.25</v>
      </c>
      <c r="D419" s="296">
        <f t="shared" si="12"/>
        <v>-1.6540919575999662E-2</v>
      </c>
      <c r="E419" s="20"/>
      <c r="F419" s="297"/>
      <c r="G419" s="298">
        <v>44536</v>
      </c>
      <c r="H419" s="299">
        <v>2063.2873535185199</v>
      </c>
      <c r="I419" s="300">
        <f t="shared" si="13"/>
        <v>-1.7238853088020079E-2</v>
      </c>
      <c r="J419" s="296"/>
      <c r="K419" s="20"/>
      <c r="L419" s="297"/>
      <c r="M419" s="275"/>
      <c r="N419" s="275"/>
      <c r="O419" s="275"/>
      <c r="P419" s="275"/>
      <c r="Q419" s="275"/>
      <c r="R419" s="275"/>
      <c r="S419" s="275"/>
      <c r="T419" s="275"/>
    </row>
    <row r="420" spans="1:20" ht="15" customHeight="1">
      <c r="A420" s="275"/>
      <c r="B420" s="303">
        <v>44537</v>
      </c>
      <c r="C420" s="304">
        <v>17176.69921875</v>
      </c>
      <c r="D420" s="289">
        <f t="shared" si="12"/>
        <v>1.5636548581649395E-2</v>
      </c>
      <c r="E420" s="275"/>
      <c r="F420" s="290"/>
      <c r="G420" s="305">
        <v>44537</v>
      </c>
      <c r="H420" s="306">
        <v>2098.9260253935199</v>
      </c>
      <c r="I420" s="293">
        <f t="shared" si="13"/>
        <v>1.7272762232669842E-2</v>
      </c>
      <c r="J420" s="289"/>
      <c r="K420" s="275"/>
      <c r="L420" s="290"/>
      <c r="M420" s="275"/>
      <c r="N420" s="275"/>
      <c r="O420" s="275"/>
      <c r="P420" s="275"/>
      <c r="Q420" s="275"/>
      <c r="R420" s="275"/>
      <c r="S420" s="275"/>
      <c r="T420" s="275"/>
    </row>
    <row r="421" spans="1:20" ht="15" customHeight="1">
      <c r="A421" s="20"/>
      <c r="B421" s="294">
        <v>44538</v>
      </c>
      <c r="C421" s="295">
        <v>17469.75</v>
      </c>
      <c r="D421" s="296">
        <f t="shared" si="12"/>
        <v>1.7060948527881727E-2</v>
      </c>
      <c r="E421" s="20"/>
      <c r="F421" s="297"/>
      <c r="G421" s="298">
        <v>44538</v>
      </c>
      <c r="H421" s="299">
        <v>2123.5231933564801</v>
      </c>
      <c r="I421" s="300">
        <f t="shared" si="13"/>
        <v>1.1718930379334604E-2</v>
      </c>
      <c r="J421" s="296"/>
      <c r="K421" s="20"/>
      <c r="L421" s="297"/>
      <c r="M421" s="275"/>
      <c r="N421" s="275"/>
      <c r="O421" s="275"/>
      <c r="P421" s="275"/>
      <c r="Q421" s="275"/>
      <c r="R421" s="275"/>
      <c r="S421" s="275"/>
      <c r="T421" s="275"/>
    </row>
    <row r="422" spans="1:20" ht="15" customHeight="1">
      <c r="A422" s="275"/>
      <c r="B422" s="303">
        <v>44539</v>
      </c>
      <c r="C422" s="304">
        <v>17516.849609375</v>
      </c>
      <c r="D422" s="289">
        <f t="shared" si="12"/>
        <v>2.6960665936833668E-3</v>
      </c>
      <c r="E422" s="275"/>
      <c r="F422" s="290"/>
      <c r="G422" s="305">
        <v>44539</v>
      </c>
      <c r="H422" s="306">
        <v>2149.357421875</v>
      </c>
      <c r="I422" s="293">
        <f t="shared" si="13"/>
        <v>1.2165738805840808E-2</v>
      </c>
      <c r="J422" s="289"/>
      <c r="K422" s="275"/>
      <c r="L422" s="290"/>
      <c r="M422" s="275"/>
      <c r="N422" s="275"/>
      <c r="O422" s="275"/>
      <c r="P422" s="275"/>
      <c r="Q422" s="275"/>
      <c r="R422" s="275"/>
      <c r="S422" s="275"/>
      <c r="T422" s="275"/>
    </row>
    <row r="423" spans="1:20" ht="15" customHeight="1">
      <c r="A423" s="20"/>
      <c r="B423" s="294">
        <v>44540</v>
      </c>
      <c r="C423" s="295">
        <v>17511.30078125</v>
      </c>
      <c r="D423" s="296">
        <f t="shared" si="12"/>
        <v>-3.1677089480920548E-4</v>
      </c>
      <c r="E423" s="20"/>
      <c r="F423" s="297"/>
      <c r="G423" s="298">
        <v>44540</v>
      </c>
      <c r="H423" s="299">
        <v>2154.3876953125</v>
      </c>
      <c r="I423" s="300">
        <f t="shared" si="13"/>
        <v>2.3403615361059036E-3</v>
      </c>
      <c r="J423" s="296"/>
      <c r="K423" s="20"/>
      <c r="L423" s="297"/>
      <c r="M423" s="275"/>
      <c r="N423" s="275"/>
      <c r="O423" s="275"/>
      <c r="P423" s="275"/>
      <c r="Q423" s="275"/>
      <c r="R423" s="275"/>
      <c r="S423" s="275"/>
      <c r="T423" s="275"/>
    </row>
    <row r="424" spans="1:20" ht="15" customHeight="1">
      <c r="A424" s="275"/>
      <c r="B424" s="303">
        <v>44543</v>
      </c>
      <c r="C424" s="304">
        <v>17368.25</v>
      </c>
      <c r="D424" s="289">
        <f t="shared" si="12"/>
        <v>-8.1690551168631508E-3</v>
      </c>
      <c r="E424" s="275"/>
      <c r="F424" s="290"/>
      <c r="G424" s="305">
        <v>44543</v>
      </c>
      <c r="H424" s="306">
        <v>2127.2321777314801</v>
      </c>
      <c r="I424" s="293">
        <f t="shared" si="13"/>
        <v>-1.2604749665115841E-2</v>
      </c>
      <c r="J424" s="289"/>
      <c r="K424" s="275"/>
      <c r="L424" s="290"/>
      <c r="M424" s="275"/>
      <c r="N424" s="275"/>
      <c r="O424" s="275"/>
      <c r="P424" s="275"/>
      <c r="Q424" s="275"/>
      <c r="R424" s="275"/>
      <c r="S424" s="275"/>
      <c r="T424" s="275"/>
    </row>
    <row r="425" spans="1:20" ht="15" customHeight="1">
      <c r="A425" s="20"/>
      <c r="B425" s="294">
        <v>44544</v>
      </c>
      <c r="C425" s="295">
        <v>17324.900390625</v>
      </c>
      <c r="D425" s="296">
        <f t="shared" si="12"/>
        <v>-2.4959111813222402E-3</v>
      </c>
      <c r="E425" s="20"/>
      <c r="F425" s="297"/>
      <c r="G425" s="298">
        <v>44544</v>
      </c>
      <c r="H425" s="299">
        <v>2117.6833496064801</v>
      </c>
      <c r="I425" s="300">
        <f t="shared" si="13"/>
        <v>-4.4888509232607829E-3</v>
      </c>
      <c r="J425" s="296"/>
      <c r="K425" s="20"/>
      <c r="L425" s="297"/>
      <c r="M425" s="275"/>
      <c r="N425" s="275"/>
      <c r="O425" s="275"/>
      <c r="P425" s="275"/>
      <c r="Q425" s="275"/>
      <c r="R425" s="275"/>
      <c r="S425" s="275"/>
      <c r="T425" s="275"/>
    </row>
    <row r="426" spans="1:20" ht="15" customHeight="1">
      <c r="A426" s="275"/>
      <c r="B426" s="303">
        <v>44545</v>
      </c>
      <c r="C426" s="304">
        <v>17221.400390625</v>
      </c>
      <c r="D426" s="289">
        <f t="shared" si="12"/>
        <v>-5.9740603216401067E-3</v>
      </c>
      <c r="E426" s="275"/>
      <c r="F426" s="290"/>
      <c r="G426" s="305">
        <v>44545</v>
      </c>
      <c r="H426" s="306">
        <v>2137.5913085879602</v>
      </c>
      <c r="I426" s="293">
        <f t="shared" si="13"/>
        <v>9.4008195253456987E-3</v>
      </c>
      <c r="J426" s="289"/>
      <c r="K426" s="275"/>
      <c r="L426" s="290"/>
      <c r="M426" s="275"/>
      <c r="N426" s="275"/>
      <c r="O426" s="275"/>
      <c r="P426" s="275"/>
      <c r="Q426" s="275"/>
      <c r="R426" s="275"/>
      <c r="S426" s="275"/>
      <c r="T426" s="275"/>
    </row>
    <row r="427" spans="1:20" ht="15" customHeight="1">
      <c r="A427" s="20"/>
      <c r="B427" s="294">
        <v>44546</v>
      </c>
      <c r="C427" s="295">
        <v>17248.400390625</v>
      </c>
      <c r="D427" s="296">
        <f t="shared" si="12"/>
        <v>1.5678167505296654E-3</v>
      </c>
      <c r="E427" s="20"/>
      <c r="F427" s="297"/>
      <c r="G427" s="298">
        <v>44546</v>
      </c>
      <c r="H427" s="299">
        <v>2106.8552246064801</v>
      </c>
      <c r="I427" s="300">
        <f t="shared" si="13"/>
        <v>-1.4378840266609979E-2</v>
      </c>
      <c r="J427" s="296"/>
      <c r="K427" s="20"/>
      <c r="L427" s="297"/>
      <c r="M427" s="275"/>
      <c r="N427" s="275"/>
      <c r="O427" s="275"/>
      <c r="P427" s="275"/>
      <c r="Q427" s="275"/>
      <c r="R427" s="275"/>
      <c r="S427" s="275"/>
      <c r="T427" s="275"/>
    </row>
    <row r="428" spans="1:20" ht="15" customHeight="1">
      <c r="A428" s="275"/>
      <c r="B428" s="303">
        <v>44547</v>
      </c>
      <c r="C428" s="304">
        <v>16985.19921875</v>
      </c>
      <c r="D428" s="289">
        <f t="shared" si="12"/>
        <v>-1.525945397337004E-2</v>
      </c>
      <c r="E428" s="275"/>
      <c r="F428" s="290"/>
      <c r="G428" s="305">
        <v>44547</v>
      </c>
      <c r="H428" s="306">
        <v>2084.3041992129602</v>
      </c>
      <c r="I428" s="293">
        <f t="shared" si="13"/>
        <v>-1.0703642628188664E-2</v>
      </c>
      <c r="J428" s="289"/>
      <c r="K428" s="275"/>
      <c r="L428" s="290"/>
      <c r="M428" s="275"/>
      <c r="N428" s="275"/>
      <c r="O428" s="275"/>
      <c r="P428" s="275"/>
      <c r="Q428" s="275"/>
      <c r="R428" s="275"/>
      <c r="S428" s="275"/>
      <c r="T428" s="275"/>
    </row>
    <row r="429" spans="1:20" ht="15" customHeight="1">
      <c r="A429" s="20"/>
      <c r="B429" s="294">
        <v>44550</v>
      </c>
      <c r="C429" s="295">
        <v>16614.19921875</v>
      </c>
      <c r="D429" s="296">
        <f t="shared" si="12"/>
        <v>-2.1842546279377886E-2</v>
      </c>
      <c r="E429" s="20"/>
      <c r="F429" s="297"/>
      <c r="G429" s="298">
        <v>44550</v>
      </c>
      <c r="H429" s="299">
        <v>2009.27526855324</v>
      </c>
      <c r="I429" s="300">
        <f t="shared" si="13"/>
        <v>-3.5997111500351668E-2</v>
      </c>
      <c r="J429" s="296"/>
      <c r="K429" s="20"/>
      <c r="L429" s="297"/>
      <c r="M429" s="275"/>
      <c r="N429" s="275"/>
      <c r="O429" s="275"/>
      <c r="P429" s="275"/>
      <c r="Q429" s="275"/>
      <c r="R429" s="275"/>
      <c r="S429" s="275"/>
      <c r="T429" s="275"/>
    </row>
    <row r="430" spans="1:20" ht="15" customHeight="1">
      <c r="A430" s="275"/>
      <c r="B430" s="303">
        <v>44551</v>
      </c>
      <c r="C430" s="304">
        <v>16770.849609375</v>
      </c>
      <c r="D430" s="289">
        <f t="shared" si="12"/>
        <v>9.4287054442089378E-3</v>
      </c>
      <c r="E430" s="275"/>
      <c r="F430" s="290"/>
      <c r="G430" s="305">
        <v>44551</v>
      </c>
      <c r="H430" s="306">
        <v>2001.388671875</v>
      </c>
      <c r="I430" s="293">
        <f t="shared" si="13"/>
        <v>-3.9250951831596029E-3</v>
      </c>
      <c r="J430" s="289"/>
      <c r="K430" s="275"/>
      <c r="L430" s="290"/>
      <c r="M430" s="275"/>
      <c r="N430" s="275"/>
      <c r="O430" s="275"/>
      <c r="P430" s="275"/>
      <c r="Q430" s="275"/>
      <c r="R430" s="275"/>
      <c r="S430" s="275"/>
      <c r="T430" s="275"/>
    </row>
    <row r="431" spans="1:20" ht="15" customHeight="1">
      <c r="A431" s="20"/>
      <c r="B431" s="294">
        <v>44552</v>
      </c>
      <c r="C431" s="295">
        <v>16955.44921875</v>
      </c>
      <c r="D431" s="296">
        <f t="shared" si="12"/>
        <v>1.1007170994593368E-2</v>
      </c>
      <c r="E431" s="20"/>
      <c r="F431" s="297"/>
      <c r="G431" s="298">
        <v>44552</v>
      </c>
      <c r="H431" s="299">
        <v>2002.5823974652801</v>
      </c>
      <c r="I431" s="300">
        <f t="shared" si="13"/>
        <v>5.9644865940095915E-4</v>
      </c>
      <c r="J431" s="296"/>
      <c r="K431" s="20"/>
      <c r="L431" s="297"/>
      <c r="M431" s="275"/>
      <c r="N431" s="275"/>
      <c r="O431" s="275"/>
      <c r="P431" s="275"/>
      <c r="Q431" s="275"/>
      <c r="R431" s="275"/>
      <c r="S431" s="275"/>
      <c r="T431" s="275"/>
    </row>
    <row r="432" spans="1:20" ht="15" customHeight="1">
      <c r="A432" s="275"/>
      <c r="B432" s="303">
        <v>44553</v>
      </c>
      <c r="C432" s="304">
        <v>17072.599609375</v>
      </c>
      <c r="D432" s="289">
        <f t="shared" si="12"/>
        <v>6.9093062126275315E-3</v>
      </c>
      <c r="E432" s="275"/>
      <c r="F432" s="290"/>
      <c r="G432" s="305">
        <v>44553</v>
      </c>
      <c r="H432" s="306">
        <v>2040.0114746064801</v>
      </c>
      <c r="I432" s="293">
        <f t="shared" si="13"/>
        <v>1.8690405542650786E-2</v>
      </c>
      <c r="J432" s="289"/>
      <c r="K432" s="275"/>
      <c r="L432" s="290"/>
      <c r="M432" s="275"/>
      <c r="N432" s="275"/>
      <c r="O432" s="275"/>
      <c r="P432" s="275"/>
      <c r="Q432" s="275"/>
      <c r="R432" s="275"/>
      <c r="S432" s="275"/>
      <c r="T432" s="275"/>
    </row>
    <row r="433" spans="1:20" ht="15" customHeight="1">
      <c r="A433" s="20"/>
      <c r="B433" s="294">
        <v>44554</v>
      </c>
      <c r="C433" s="295">
        <v>17003.75</v>
      </c>
      <c r="D433" s="296">
        <f t="shared" si="12"/>
        <v>-4.0327548791803756E-3</v>
      </c>
      <c r="E433" s="20"/>
      <c r="F433" s="297"/>
      <c r="G433" s="298">
        <v>44554</v>
      </c>
      <c r="H433" s="299">
        <v>2039.7985839814801</v>
      </c>
      <c r="I433" s="300">
        <f t="shared" si="13"/>
        <v>-1.0435756251864553E-4</v>
      </c>
      <c r="J433" s="296"/>
      <c r="K433" s="20"/>
      <c r="L433" s="297"/>
      <c r="M433" s="275"/>
      <c r="N433" s="275"/>
      <c r="O433" s="275"/>
      <c r="P433" s="275"/>
      <c r="Q433" s="275"/>
      <c r="R433" s="275"/>
      <c r="S433" s="275"/>
      <c r="T433" s="275"/>
    </row>
    <row r="434" spans="1:20" ht="15" customHeight="1">
      <c r="A434" s="275"/>
      <c r="B434" s="303">
        <v>44557</v>
      </c>
      <c r="C434" s="304">
        <v>17086.25</v>
      </c>
      <c r="D434" s="289">
        <f t="shared" si="12"/>
        <v>4.8518709108284937E-3</v>
      </c>
      <c r="E434" s="275"/>
      <c r="F434" s="290"/>
      <c r="G434" s="305">
        <v>44557</v>
      </c>
      <c r="H434" s="306">
        <v>2047.9407959027801</v>
      </c>
      <c r="I434" s="293">
        <f t="shared" si="13"/>
        <v>3.9916744649401903E-3</v>
      </c>
      <c r="J434" s="289"/>
      <c r="K434" s="275"/>
      <c r="L434" s="290"/>
      <c r="M434" s="275"/>
      <c r="N434" s="275"/>
      <c r="O434" s="275"/>
      <c r="P434" s="275"/>
      <c r="Q434" s="275"/>
      <c r="R434" s="275"/>
      <c r="S434" s="275"/>
      <c r="T434" s="275"/>
    </row>
    <row r="435" spans="1:20" ht="15" customHeight="1">
      <c r="A435" s="20"/>
      <c r="B435" s="294">
        <v>44558</v>
      </c>
      <c r="C435" s="295">
        <v>17233.25</v>
      </c>
      <c r="D435" s="296">
        <f t="shared" si="12"/>
        <v>8.6034091740434561E-3</v>
      </c>
      <c r="E435" s="20"/>
      <c r="F435" s="297"/>
      <c r="G435" s="298">
        <v>44558</v>
      </c>
      <c r="H435" s="299">
        <v>2061.4118652314801</v>
      </c>
      <c r="I435" s="300">
        <f t="shared" si="13"/>
        <v>6.5778607251005062E-3</v>
      </c>
      <c r="J435" s="296"/>
      <c r="K435" s="20"/>
      <c r="L435" s="297"/>
      <c r="M435" s="275"/>
      <c r="N435" s="275"/>
      <c r="O435" s="275"/>
      <c r="P435" s="275"/>
      <c r="Q435" s="275"/>
      <c r="R435" s="275"/>
      <c r="S435" s="275"/>
      <c r="T435" s="275"/>
    </row>
    <row r="436" spans="1:20" ht="15" customHeight="1">
      <c r="A436" s="275"/>
      <c r="B436" s="303">
        <v>44559</v>
      </c>
      <c r="C436" s="304">
        <v>17213.599609375</v>
      </c>
      <c r="D436" s="289">
        <f t="shared" si="12"/>
        <v>-1.1402602889762524E-3</v>
      </c>
      <c r="E436" s="275"/>
      <c r="F436" s="290"/>
      <c r="G436" s="305">
        <v>44559</v>
      </c>
      <c r="H436" s="306">
        <v>2074.5844726620398</v>
      </c>
      <c r="I436" s="293">
        <f t="shared" si="13"/>
        <v>6.3900900410702672E-3</v>
      </c>
      <c r="J436" s="289"/>
      <c r="K436" s="275"/>
      <c r="L436" s="290"/>
      <c r="M436" s="275"/>
      <c r="N436" s="275"/>
      <c r="O436" s="275"/>
      <c r="P436" s="275"/>
      <c r="Q436" s="275"/>
      <c r="R436" s="275"/>
      <c r="S436" s="275"/>
      <c r="T436" s="275"/>
    </row>
    <row r="437" spans="1:20" ht="15" customHeight="1">
      <c r="A437" s="20"/>
      <c r="B437" s="294">
        <v>44560</v>
      </c>
      <c r="C437" s="295">
        <v>17203.94921875</v>
      </c>
      <c r="D437" s="296">
        <f t="shared" si="12"/>
        <v>-5.606259494814862E-4</v>
      </c>
      <c r="E437" s="20"/>
      <c r="F437" s="297"/>
      <c r="G437" s="298">
        <v>44560</v>
      </c>
      <c r="H437" s="299">
        <v>2073.4333496064801</v>
      </c>
      <c r="I437" s="300">
        <f t="shared" si="13"/>
        <v>-5.5486921392151412E-4</v>
      </c>
      <c r="J437" s="296"/>
      <c r="K437" s="20"/>
      <c r="L437" s="297"/>
      <c r="M437" s="275"/>
      <c r="N437" s="275"/>
      <c r="O437" s="275"/>
      <c r="P437" s="275"/>
      <c r="Q437" s="275"/>
      <c r="R437" s="275"/>
      <c r="S437" s="275"/>
      <c r="T437" s="275"/>
    </row>
    <row r="438" spans="1:20" ht="15" customHeight="1">
      <c r="A438" s="275"/>
      <c r="B438" s="303">
        <v>44561</v>
      </c>
      <c r="C438" s="304">
        <v>17354.05078125</v>
      </c>
      <c r="D438" s="289">
        <f t="shared" si="12"/>
        <v>8.7248317576065267E-3</v>
      </c>
      <c r="E438" s="275"/>
      <c r="F438" s="290"/>
      <c r="G438" s="305">
        <v>44561</v>
      </c>
      <c r="H438" s="306">
        <v>2099.1818847685199</v>
      </c>
      <c r="I438" s="293">
        <f t="shared" si="13"/>
        <v>1.2418308583165548E-2</v>
      </c>
      <c r="J438" s="289"/>
      <c r="K438" s="275"/>
      <c r="L438" s="290"/>
      <c r="M438" s="275"/>
      <c r="N438" s="275"/>
      <c r="O438" s="275"/>
      <c r="P438" s="275"/>
      <c r="Q438" s="275"/>
      <c r="R438" s="275"/>
      <c r="S438" s="275"/>
      <c r="T438" s="275"/>
    </row>
    <row r="439" spans="1:20" ht="15" customHeight="1">
      <c r="A439" s="20"/>
      <c r="B439" s="294">
        <v>44564</v>
      </c>
      <c r="C439" s="295">
        <v>17625.69921875</v>
      </c>
      <c r="D439" s="296">
        <f t="shared" si="12"/>
        <v>1.565331581220793E-2</v>
      </c>
      <c r="E439" s="20"/>
      <c r="F439" s="297"/>
      <c r="G439" s="298">
        <v>44564</v>
      </c>
      <c r="H439" s="299">
        <v>2111.5444335879602</v>
      </c>
      <c r="I439" s="300">
        <f t="shared" si="13"/>
        <v>5.8892223247265082E-3</v>
      </c>
      <c r="J439" s="296"/>
      <c r="K439" s="20"/>
      <c r="L439" s="297"/>
      <c r="M439" s="275"/>
      <c r="N439" s="275"/>
      <c r="O439" s="275"/>
      <c r="P439" s="275"/>
      <c r="Q439" s="275"/>
      <c r="R439" s="275"/>
      <c r="S439" s="275"/>
      <c r="T439" s="275"/>
    </row>
    <row r="440" spans="1:20" ht="15" customHeight="1">
      <c r="A440" s="275"/>
      <c r="B440" s="303">
        <v>44565</v>
      </c>
      <c r="C440" s="304">
        <v>17805.25</v>
      </c>
      <c r="D440" s="289">
        <f t="shared" si="12"/>
        <v>1.0186874235264159E-2</v>
      </c>
      <c r="E440" s="275"/>
      <c r="F440" s="290"/>
      <c r="G440" s="305">
        <v>44565</v>
      </c>
      <c r="H440" s="306">
        <v>2118.62109375</v>
      </c>
      <c r="I440" s="293">
        <f t="shared" si="13"/>
        <v>3.351414277375685E-3</v>
      </c>
      <c r="J440" s="289"/>
      <c r="K440" s="275"/>
      <c r="L440" s="290"/>
      <c r="M440" s="275"/>
      <c r="N440" s="275"/>
      <c r="O440" s="275"/>
      <c r="P440" s="275"/>
      <c r="Q440" s="275"/>
      <c r="R440" s="275"/>
      <c r="S440" s="275"/>
      <c r="T440" s="275"/>
    </row>
    <row r="441" spans="1:20" ht="15" customHeight="1">
      <c r="A441" s="20"/>
      <c r="B441" s="294">
        <v>44566</v>
      </c>
      <c r="C441" s="295">
        <v>17925.25</v>
      </c>
      <c r="D441" s="296">
        <f t="shared" si="12"/>
        <v>6.7395852346920151E-3</v>
      </c>
      <c r="E441" s="20"/>
      <c r="F441" s="297"/>
      <c r="G441" s="298">
        <v>44566</v>
      </c>
      <c r="H441" s="299">
        <v>2136.6108398379602</v>
      </c>
      <c r="I441" s="300">
        <f t="shared" si="13"/>
        <v>8.4912522305335691E-3</v>
      </c>
      <c r="J441" s="296"/>
      <c r="K441" s="20"/>
      <c r="L441" s="297"/>
      <c r="M441" s="275"/>
      <c r="N441" s="275"/>
      <c r="O441" s="275"/>
      <c r="P441" s="275"/>
      <c r="Q441" s="275"/>
      <c r="R441" s="275"/>
      <c r="S441" s="275"/>
      <c r="T441" s="275"/>
    </row>
    <row r="442" spans="1:20" ht="15" customHeight="1">
      <c r="A442" s="275"/>
      <c r="B442" s="303">
        <v>44567</v>
      </c>
      <c r="C442" s="304">
        <v>17745.900390625</v>
      </c>
      <c r="D442" s="289">
        <f t="shared" si="12"/>
        <v>-1.0005417462796892E-2</v>
      </c>
      <c r="E442" s="275"/>
      <c r="F442" s="290"/>
      <c r="G442" s="305">
        <v>44567</v>
      </c>
      <c r="H442" s="306">
        <v>2128.0849609375</v>
      </c>
      <c r="I442" s="293">
        <f t="shared" si="13"/>
        <v>-3.9903751967797548E-3</v>
      </c>
      <c r="J442" s="289"/>
      <c r="K442" s="275"/>
      <c r="L442" s="290"/>
      <c r="M442" s="275"/>
      <c r="N442" s="275"/>
      <c r="O442" s="275"/>
      <c r="P442" s="275"/>
      <c r="Q442" s="275"/>
      <c r="R442" s="275"/>
      <c r="S442" s="275"/>
      <c r="T442" s="275"/>
    </row>
    <row r="443" spans="1:20" ht="15" customHeight="1">
      <c r="A443" s="20"/>
      <c r="B443" s="294">
        <v>44568</v>
      </c>
      <c r="C443" s="295">
        <v>17812.69921875</v>
      </c>
      <c r="D443" s="296">
        <f t="shared" si="12"/>
        <v>3.7641836511315718E-3</v>
      </c>
      <c r="E443" s="20"/>
      <c r="F443" s="297"/>
      <c r="G443" s="298">
        <v>44568</v>
      </c>
      <c r="H443" s="299">
        <v>2130.7277832060199</v>
      </c>
      <c r="I443" s="300">
        <f t="shared" si="13"/>
        <v>1.2418781754632863E-3</v>
      </c>
      <c r="J443" s="296"/>
      <c r="K443" s="20"/>
      <c r="L443" s="297"/>
      <c r="M443" s="275"/>
      <c r="N443" s="275"/>
      <c r="O443" s="275"/>
      <c r="P443" s="275"/>
      <c r="Q443" s="275"/>
      <c r="R443" s="275"/>
      <c r="S443" s="275"/>
      <c r="T443" s="275"/>
    </row>
    <row r="444" spans="1:20" ht="15" customHeight="1">
      <c r="A444" s="275"/>
      <c r="B444" s="303">
        <v>44571</v>
      </c>
      <c r="C444" s="304">
        <v>18003.30078125</v>
      </c>
      <c r="D444" s="289">
        <f t="shared" si="12"/>
        <v>1.0700318921871708E-2</v>
      </c>
      <c r="E444" s="275"/>
      <c r="F444" s="290"/>
      <c r="G444" s="305">
        <v>44571</v>
      </c>
      <c r="H444" s="306">
        <v>2198.0834960879602</v>
      </c>
      <c r="I444" s="293">
        <f t="shared" si="13"/>
        <v>3.1611599291483786E-2</v>
      </c>
      <c r="J444" s="289"/>
      <c r="K444" s="275"/>
      <c r="L444" s="290"/>
      <c r="M444" s="275"/>
      <c r="N444" s="275"/>
      <c r="O444" s="275"/>
      <c r="P444" s="275"/>
      <c r="Q444" s="275"/>
      <c r="R444" s="275"/>
      <c r="S444" s="275"/>
      <c r="T444" s="275"/>
    </row>
    <row r="445" spans="1:20" ht="15" customHeight="1">
      <c r="A445" s="20"/>
      <c r="B445" s="294">
        <v>44572</v>
      </c>
      <c r="C445" s="295">
        <v>18055.75</v>
      </c>
      <c r="D445" s="296">
        <f t="shared" si="12"/>
        <v>2.9133112526023332E-3</v>
      </c>
      <c r="E445" s="20"/>
      <c r="F445" s="297"/>
      <c r="G445" s="298">
        <v>44572</v>
      </c>
      <c r="H445" s="299">
        <v>2189.6850585879602</v>
      </c>
      <c r="I445" s="300">
        <f t="shared" si="13"/>
        <v>-3.8208000355523901E-3</v>
      </c>
      <c r="J445" s="296"/>
      <c r="K445" s="20"/>
      <c r="L445" s="297"/>
      <c r="M445" s="275"/>
      <c r="N445" s="275"/>
      <c r="O445" s="275"/>
      <c r="P445" s="275"/>
      <c r="Q445" s="275"/>
      <c r="R445" s="275"/>
      <c r="S445" s="275"/>
      <c r="T445" s="275"/>
    </row>
    <row r="446" spans="1:20" ht="15" customHeight="1">
      <c r="A446" s="275"/>
      <c r="B446" s="303">
        <v>44573</v>
      </c>
      <c r="C446" s="304">
        <v>18212.349609375</v>
      </c>
      <c r="D446" s="289">
        <f t="shared" si="12"/>
        <v>8.6731157318305808E-3</v>
      </c>
      <c r="E446" s="275"/>
      <c r="F446" s="290"/>
      <c r="G446" s="305">
        <v>44573</v>
      </c>
      <c r="H446" s="306">
        <v>2208.6555175810199</v>
      </c>
      <c r="I446" s="293">
        <f t="shared" si="13"/>
        <v>8.6635559386303036E-3</v>
      </c>
      <c r="J446" s="289"/>
      <c r="K446" s="275"/>
      <c r="L446" s="290"/>
      <c r="M446" s="275"/>
      <c r="N446" s="275"/>
      <c r="O446" s="275"/>
      <c r="P446" s="275"/>
      <c r="Q446" s="275"/>
      <c r="R446" s="275"/>
      <c r="S446" s="275"/>
      <c r="T446" s="275"/>
    </row>
    <row r="447" spans="1:20" ht="15" customHeight="1">
      <c r="A447" s="20"/>
      <c r="B447" s="294">
        <v>44574</v>
      </c>
      <c r="C447" s="295">
        <v>18257.80078125</v>
      </c>
      <c r="D447" s="296">
        <f t="shared" si="12"/>
        <v>2.495623730592319E-3</v>
      </c>
      <c r="E447" s="20"/>
      <c r="F447" s="297"/>
      <c r="G447" s="298">
        <v>44574</v>
      </c>
      <c r="H447" s="299">
        <v>2211.2983398379602</v>
      </c>
      <c r="I447" s="300">
        <f t="shared" si="13"/>
        <v>1.1965751272225225E-3</v>
      </c>
      <c r="J447" s="296"/>
      <c r="K447" s="20"/>
      <c r="L447" s="297"/>
      <c r="M447" s="275"/>
      <c r="N447" s="275"/>
      <c r="O447" s="275"/>
      <c r="P447" s="275"/>
      <c r="Q447" s="275"/>
      <c r="R447" s="275"/>
      <c r="S447" s="275"/>
      <c r="T447" s="275"/>
    </row>
    <row r="448" spans="1:20" ht="15" customHeight="1">
      <c r="A448" s="275"/>
      <c r="B448" s="303">
        <v>44575</v>
      </c>
      <c r="C448" s="304">
        <v>18255.75</v>
      </c>
      <c r="D448" s="289">
        <f t="shared" si="12"/>
        <v>-1.1232356375068276E-4</v>
      </c>
      <c r="E448" s="275"/>
      <c r="F448" s="290"/>
      <c r="G448" s="305">
        <v>44575</v>
      </c>
      <c r="H448" s="306">
        <v>2190.9211425810199</v>
      </c>
      <c r="I448" s="293">
        <f t="shared" si="13"/>
        <v>-9.2150375595332103E-3</v>
      </c>
      <c r="J448" s="289"/>
      <c r="K448" s="275"/>
      <c r="L448" s="290"/>
      <c r="M448" s="275"/>
      <c r="N448" s="275"/>
      <c r="O448" s="275"/>
      <c r="P448" s="275"/>
      <c r="Q448" s="275"/>
      <c r="R448" s="275"/>
      <c r="S448" s="275"/>
      <c r="T448" s="275"/>
    </row>
    <row r="449" spans="1:20" ht="15" customHeight="1">
      <c r="A449" s="20"/>
      <c r="B449" s="294">
        <v>44578</v>
      </c>
      <c r="C449" s="295">
        <v>18308.099609375</v>
      </c>
      <c r="D449" s="296">
        <f t="shared" si="12"/>
        <v>2.867568266162716E-3</v>
      </c>
      <c r="E449" s="20"/>
      <c r="F449" s="297"/>
      <c r="G449" s="298">
        <v>44578</v>
      </c>
      <c r="H449" s="299">
        <v>2303.2932128935199</v>
      </c>
      <c r="I449" s="300">
        <f t="shared" si="13"/>
        <v>5.1289874440720314E-2</v>
      </c>
      <c r="J449" s="296"/>
      <c r="K449" s="20"/>
      <c r="L449" s="297"/>
      <c r="M449" s="275"/>
      <c r="N449" s="275"/>
      <c r="O449" s="275"/>
      <c r="P449" s="275"/>
      <c r="Q449" s="275"/>
      <c r="R449" s="275"/>
      <c r="S449" s="275"/>
      <c r="T449" s="275"/>
    </row>
    <row r="450" spans="1:20" ht="15" customHeight="1">
      <c r="A450" s="275"/>
      <c r="B450" s="303">
        <v>44579</v>
      </c>
      <c r="C450" s="304">
        <v>18113.05078125</v>
      </c>
      <c r="D450" s="289">
        <f t="shared" si="12"/>
        <v>-1.0653690567923372E-2</v>
      </c>
      <c r="E450" s="275"/>
      <c r="F450" s="290"/>
      <c r="G450" s="305">
        <v>44579</v>
      </c>
      <c r="H450" s="306">
        <v>2295.9187011689801</v>
      </c>
      <c r="I450" s="293">
        <f t="shared" si="13"/>
        <v>-3.2017251139621898E-3</v>
      </c>
      <c r="J450" s="289"/>
      <c r="K450" s="275"/>
      <c r="L450" s="290"/>
      <c r="M450" s="275"/>
      <c r="N450" s="275"/>
      <c r="O450" s="275"/>
      <c r="P450" s="275"/>
      <c r="Q450" s="275"/>
      <c r="R450" s="275"/>
      <c r="S450" s="275"/>
      <c r="T450" s="275"/>
    </row>
    <row r="451" spans="1:20" ht="15" customHeight="1">
      <c r="A451" s="20"/>
      <c r="B451" s="294">
        <v>44580</v>
      </c>
      <c r="C451" s="295">
        <v>17938.400390625</v>
      </c>
      <c r="D451" s="296">
        <f t="shared" si="12"/>
        <v>-9.642240433941256E-3</v>
      </c>
      <c r="E451" s="20"/>
      <c r="F451" s="297"/>
      <c r="G451" s="298">
        <v>44580</v>
      </c>
      <c r="H451" s="299">
        <v>2301.8444824189801</v>
      </c>
      <c r="I451" s="300">
        <f t="shared" si="13"/>
        <v>2.5810065691711358E-3</v>
      </c>
      <c r="J451" s="296"/>
      <c r="K451" s="20"/>
      <c r="L451" s="297"/>
      <c r="M451" s="275"/>
      <c r="N451" s="275"/>
      <c r="O451" s="275"/>
      <c r="P451" s="275"/>
      <c r="Q451" s="275"/>
      <c r="R451" s="275"/>
      <c r="S451" s="275"/>
      <c r="T451" s="275"/>
    </row>
    <row r="452" spans="1:20" ht="15" customHeight="1">
      <c r="A452" s="275"/>
      <c r="B452" s="303">
        <v>44581</v>
      </c>
      <c r="C452" s="304">
        <v>17757</v>
      </c>
      <c r="D452" s="289">
        <f t="shared" si="12"/>
        <v>-1.0112406160797024E-2</v>
      </c>
      <c r="E452" s="275"/>
      <c r="F452" s="290"/>
      <c r="G452" s="305">
        <v>44581</v>
      </c>
      <c r="H452" s="306">
        <v>2310.0717773379602</v>
      </c>
      <c r="I452" s="293">
        <f t="shared" si="13"/>
        <v>3.5742184069421212E-3</v>
      </c>
      <c r="J452" s="289"/>
      <c r="K452" s="275"/>
      <c r="L452" s="290"/>
      <c r="M452" s="275"/>
      <c r="N452" s="275"/>
      <c r="O452" s="275"/>
      <c r="P452" s="275"/>
      <c r="Q452" s="275"/>
      <c r="R452" s="275"/>
      <c r="S452" s="275"/>
      <c r="T452" s="275"/>
    </row>
    <row r="453" spans="1:20" ht="15" customHeight="1">
      <c r="A453" s="20"/>
      <c r="B453" s="294">
        <v>44582</v>
      </c>
      <c r="C453" s="295">
        <v>17617.150390625</v>
      </c>
      <c r="D453" s="296">
        <f t="shared" ref="D453:D516" si="14">(C453-C452)/C452</f>
        <v>-7.875745304668582E-3</v>
      </c>
      <c r="E453" s="20"/>
      <c r="F453" s="297"/>
      <c r="G453" s="298">
        <v>44582</v>
      </c>
      <c r="H453" s="299">
        <v>2344.7299804629602</v>
      </c>
      <c r="I453" s="300">
        <f t="shared" ref="I453:I516" si="15">(H453-H452)/H452</f>
        <v>1.5003084953896458E-2</v>
      </c>
      <c r="J453" s="296"/>
      <c r="K453" s="20"/>
      <c r="L453" s="297"/>
      <c r="M453" s="275"/>
      <c r="N453" s="275"/>
      <c r="O453" s="275"/>
      <c r="P453" s="275"/>
      <c r="Q453" s="275"/>
      <c r="R453" s="275"/>
      <c r="S453" s="275"/>
      <c r="T453" s="275"/>
    </row>
    <row r="454" spans="1:20" ht="15" customHeight="1">
      <c r="A454" s="275"/>
      <c r="B454" s="303">
        <v>44585</v>
      </c>
      <c r="C454" s="304">
        <v>17149.099609375</v>
      </c>
      <c r="D454" s="289">
        <f t="shared" si="14"/>
        <v>-2.6567905187383431E-2</v>
      </c>
      <c r="E454" s="275"/>
      <c r="F454" s="290"/>
      <c r="G454" s="305">
        <v>44585</v>
      </c>
      <c r="H454" s="306">
        <v>2307.3010253935199</v>
      </c>
      <c r="I454" s="293">
        <f t="shared" si="15"/>
        <v>-1.5963012961539392E-2</v>
      </c>
      <c r="J454" s="289"/>
      <c r="K454" s="275"/>
      <c r="L454" s="290"/>
      <c r="M454" s="275"/>
      <c r="N454" s="275"/>
      <c r="O454" s="275"/>
      <c r="P454" s="275"/>
      <c r="Q454" s="275"/>
      <c r="R454" s="275"/>
      <c r="S454" s="275"/>
      <c r="T454" s="275"/>
    </row>
    <row r="455" spans="1:20" ht="15" customHeight="1">
      <c r="A455" s="20"/>
      <c r="B455" s="294">
        <v>44586</v>
      </c>
      <c r="C455" s="295">
        <v>17277.94921875</v>
      </c>
      <c r="D455" s="296">
        <f t="shared" si="14"/>
        <v>7.5134912216942877E-3</v>
      </c>
      <c r="E455" s="20"/>
      <c r="F455" s="297"/>
      <c r="G455" s="298">
        <v>44586</v>
      </c>
      <c r="H455" s="299">
        <v>2371.9704589814801</v>
      </c>
      <c r="I455" s="300">
        <f t="shared" si="15"/>
        <v>2.8028173556994156E-2</v>
      </c>
      <c r="J455" s="296"/>
      <c r="K455" s="20"/>
      <c r="L455" s="297"/>
      <c r="M455" s="275"/>
      <c r="N455" s="275"/>
      <c r="O455" s="275"/>
      <c r="P455" s="275"/>
      <c r="Q455" s="275"/>
      <c r="R455" s="275"/>
      <c r="S455" s="275"/>
      <c r="T455" s="275"/>
    </row>
    <row r="456" spans="1:20" ht="15" customHeight="1">
      <c r="A456" s="275"/>
      <c r="B456" s="303">
        <v>44588</v>
      </c>
      <c r="C456" s="304">
        <v>17110.150390625</v>
      </c>
      <c r="D456" s="289">
        <f t="shared" si="14"/>
        <v>-9.7117329146276816E-3</v>
      </c>
      <c r="E456" s="275"/>
      <c r="F456" s="290"/>
      <c r="G456" s="305">
        <v>44588</v>
      </c>
      <c r="H456" s="306">
        <v>2314.8039550810199</v>
      </c>
      <c r="I456" s="293">
        <f t="shared" si="15"/>
        <v>-2.4100849858394675E-2</v>
      </c>
      <c r="J456" s="289"/>
      <c r="K456" s="275"/>
      <c r="L456" s="290"/>
      <c r="M456" s="275"/>
      <c r="N456" s="275"/>
      <c r="O456" s="275"/>
      <c r="P456" s="275"/>
      <c r="Q456" s="275"/>
      <c r="R456" s="275"/>
      <c r="S456" s="275"/>
      <c r="T456" s="275"/>
    </row>
    <row r="457" spans="1:20" ht="15" customHeight="1">
      <c r="A457" s="20"/>
      <c r="B457" s="294">
        <v>44589</v>
      </c>
      <c r="C457" s="295">
        <v>17101.94921875</v>
      </c>
      <c r="D457" s="296">
        <f t="shared" si="14"/>
        <v>-4.7931617710932507E-4</v>
      </c>
      <c r="E457" s="20"/>
      <c r="F457" s="297"/>
      <c r="G457" s="298">
        <v>44589</v>
      </c>
      <c r="H457" s="299">
        <v>2278.2700195370398</v>
      </c>
      <c r="I457" s="300">
        <f t="shared" si="15"/>
        <v>-1.5782734198197517E-2</v>
      </c>
      <c r="J457" s="296"/>
      <c r="K457" s="20"/>
      <c r="L457" s="297"/>
      <c r="M457" s="275"/>
      <c r="N457" s="275"/>
      <c r="O457" s="275"/>
      <c r="P457" s="275"/>
      <c r="Q457" s="275"/>
      <c r="R457" s="275"/>
      <c r="S457" s="275"/>
      <c r="T457" s="275"/>
    </row>
    <row r="458" spans="1:20" ht="15" customHeight="1">
      <c r="A458" s="275"/>
      <c r="B458" s="303">
        <v>44592</v>
      </c>
      <c r="C458" s="304">
        <v>17339.849609375</v>
      </c>
      <c r="D458" s="289">
        <f t="shared" si="14"/>
        <v>1.3910717870929826E-2</v>
      </c>
      <c r="E458" s="275"/>
      <c r="F458" s="290"/>
      <c r="G458" s="305">
        <v>44592</v>
      </c>
      <c r="H458" s="306">
        <v>2322.7331542939801</v>
      </c>
      <c r="I458" s="293">
        <f t="shared" si="15"/>
        <v>1.9516183058044829E-2</v>
      </c>
      <c r="J458" s="289"/>
      <c r="K458" s="275"/>
      <c r="L458" s="290"/>
      <c r="M458" s="275"/>
      <c r="N458" s="275"/>
      <c r="O458" s="275"/>
      <c r="P458" s="275"/>
      <c r="Q458" s="275"/>
      <c r="R458" s="275"/>
      <c r="S458" s="275"/>
      <c r="T458" s="275"/>
    </row>
    <row r="459" spans="1:20" ht="15" customHeight="1">
      <c r="A459" s="20"/>
      <c r="B459" s="294">
        <v>44593</v>
      </c>
      <c r="C459" s="295">
        <v>17576.849609375</v>
      </c>
      <c r="D459" s="296">
        <f t="shared" si="14"/>
        <v>1.366793861187026E-2</v>
      </c>
      <c r="E459" s="20"/>
      <c r="F459" s="297"/>
      <c r="G459" s="298">
        <v>44593</v>
      </c>
      <c r="H459" s="299">
        <v>2324.8217773379602</v>
      </c>
      <c r="I459" s="300">
        <f t="shared" si="15"/>
        <v>8.9920920968424283E-4</v>
      </c>
      <c r="J459" s="296"/>
      <c r="K459" s="20"/>
      <c r="L459" s="297"/>
      <c r="M459" s="275"/>
      <c r="N459" s="275"/>
      <c r="O459" s="275"/>
      <c r="P459" s="275"/>
      <c r="Q459" s="275"/>
      <c r="R459" s="275"/>
      <c r="S459" s="275"/>
      <c r="T459" s="275"/>
    </row>
    <row r="460" spans="1:20" ht="15" customHeight="1">
      <c r="A460" s="275"/>
      <c r="B460" s="303">
        <v>44594</v>
      </c>
      <c r="C460" s="304">
        <v>17780</v>
      </c>
      <c r="D460" s="289">
        <f t="shared" si="14"/>
        <v>1.1557838585399586E-2</v>
      </c>
      <c r="E460" s="275"/>
      <c r="F460" s="290"/>
      <c r="G460" s="305">
        <v>44594</v>
      </c>
      <c r="H460" s="306">
        <v>2304.0612792939801</v>
      </c>
      <c r="I460" s="293">
        <f t="shared" si="15"/>
        <v>-8.9299309935714343E-3</v>
      </c>
      <c r="J460" s="289"/>
      <c r="K460" s="275"/>
      <c r="L460" s="290"/>
      <c r="M460" s="275"/>
      <c r="N460" s="275"/>
      <c r="O460" s="275"/>
      <c r="P460" s="275"/>
      <c r="Q460" s="275"/>
      <c r="R460" s="275"/>
      <c r="S460" s="275"/>
      <c r="T460" s="275"/>
    </row>
    <row r="461" spans="1:20" ht="15" customHeight="1">
      <c r="A461" s="20"/>
      <c r="B461" s="294">
        <v>44595</v>
      </c>
      <c r="C461" s="295">
        <v>17560.19921875</v>
      </c>
      <c r="D461" s="296">
        <f t="shared" si="14"/>
        <v>-1.2362248664229471E-2</v>
      </c>
      <c r="E461" s="20"/>
      <c r="F461" s="297"/>
      <c r="G461" s="298">
        <v>44595</v>
      </c>
      <c r="H461" s="299">
        <v>2371.5014648379602</v>
      </c>
      <c r="I461" s="300">
        <f t="shared" si="15"/>
        <v>2.927013536924911E-2</v>
      </c>
      <c r="J461" s="296"/>
      <c r="K461" s="20"/>
      <c r="L461" s="297"/>
      <c r="M461" s="275"/>
      <c r="N461" s="275"/>
      <c r="O461" s="275"/>
      <c r="P461" s="275"/>
      <c r="Q461" s="275"/>
      <c r="R461" s="275"/>
      <c r="S461" s="275"/>
      <c r="T461" s="275"/>
    </row>
    <row r="462" spans="1:20" ht="15" customHeight="1">
      <c r="A462" s="275"/>
      <c r="B462" s="303">
        <v>44596</v>
      </c>
      <c r="C462" s="304">
        <v>17516.30078125</v>
      </c>
      <c r="D462" s="289">
        <f t="shared" si="14"/>
        <v>-2.4998826581151311E-3</v>
      </c>
      <c r="E462" s="275"/>
      <c r="F462" s="290"/>
      <c r="G462" s="305">
        <v>44596</v>
      </c>
      <c r="H462" s="306">
        <v>2320.55859375</v>
      </c>
      <c r="I462" s="293">
        <f t="shared" si="15"/>
        <v>-2.1481273295962725E-2</v>
      </c>
      <c r="J462" s="289"/>
      <c r="K462" s="275"/>
      <c r="L462" s="290"/>
      <c r="M462" s="275"/>
      <c r="N462" s="275"/>
      <c r="O462" s="275"/>
      <c r="P462" s="275"/>
      <c r="Q462" s="275"/>
      <c r="R462" s="275"/>
      <c r="S462" s="275"/>
      <c r="T462" s="275"/>
    </row>
    <row r="463" spans="1:20" ht="15" customHeight="1">
      <c r="A463" s="20"/>
      <c r="B463" s="294">
        <v>44599</v>
      </c>
      <c r="C463" s="295">
        <v>17213.599609375</v>
      </c>
      <c r="D463" s="296">
        <f t="shared" si="14"/>
        <v>-1.7281112927623445E-2</v>
      </c>
      <c r="E463" s="20"/>
      <c r="F463" s="297"/>
      <c r="G463" s="298">
        <v>44599</v>
      </c>
      <c r="H463" s="299">
        <v>2257.72265625</v>
      </c>
      <c r="I463" s="300">
        <f t="shared" si="15"/>
        <v>-2.7077936178486119E-2</v>
      </c>
      <c r="J463" s="296"/>
      <c r="K463" s="20"/>
      <c r="L463" s="297"/>
      <c r="M463" s="275"/>
      <c r="N463" s="275"/>
      <c r="O463" s="275"/>
      <c r="P463" s="275"/>
      <c r="Q463" s="275"/>
      <c r="R463" s="275"/>
      <c r="S463" s="275"/>
      <c r="T463" s="275"/>
    </row>
    <row r="464" spans="1:20" ht="15" customHeight="1">
      <c r="A464" s="275"/>
      <c r="B464" s="303">
        <v>44600</v>
      </c>
      <c r="C464" s="304">
        <v>17266.75</v>
      </c>
      <c r="D464" s="289">
        <f t="shared" si="14"/>
        <v>3.0876976246184346E-3</v>
      </c>
      <c r="E464" s="275"/>
      <c r="F464" s="290"/>
      <c r="G464" s="305">
        <v>44600</v>
      </c>
      <c r="H464" s="306">
        <v>2278.099609375</v>
      </c>
      <c r="I464" s="293">
        <f t="shared" si="15"/>
        <v>9.0254456492213364E-3</v>
      </c>
      <c r="J464" s="289"/>
      <c r="K464" s="275"/>
      <c r="L464" s="290"/>
      <c r="M464" s="275"/>
      <c r="N464" s="275"/>
      <c r="O464" s="275"/>
      <c r="P464" s="275"/>
      <c r="Q464" s="275"/>
      <c r="R464" s="275"/>
      <c r="S464" s="275"/>
      <c r="T464" s="275"/>
    </row>
    <row r="465" spans="1:20" ht="15" customHeight="1">
      <c r="A465" s="20"/>
      <c r="B465" s="294">
        <v>44601</v>
      </c>
      <c r="C465" s="295">
        <v>17463.80078125</v>
      </c>
      <c r="D465" s="296">
        <f t="shared" si="14"/>
        <v>1.1412152330345897E-2</v>
      </c>
      <c r="E465" s="20"/>
      <c r="F465" s="297"/>
      <c r="G465" s="298">
        <v>44601</v>
      </c>
      <c r="H465" s="299">
        <v>2326.6123046875</v>
      </c>
      <c r="I465" s="300">
        <f t="shared" si="15"/>
        <v>2.1295247632218125E-2</v>
      </c>
      <c r="J465" s="296"/>
      <c r="K465" s="20"/>
      <c r="L465" s="297"/>
      <c r="M465" s="275"/>
      <c r="N465" s="275"/>
      <c r="O465" s="275"/>
      <c r="P465" s="275"/>
      <c r="Q465" s="275"/>
      <c r="R465" s="275"/>
      <c r="S465" s="275"/>
      <c r="T465" s="275"/>
    </row>
    <row r="466" spans="1:20" ht="15" customHeight="1">
      <c r="A466" s="275"/>
      <c r="B466" s="303">
        <v>44602</v>
      </c>
      <c r="C466" s="304">
        <v>17605.849609375</v>
      </c>
      <c r="D466" s="289">
        <f t="shared" si="14"/>
        <v>8.1339010851240717E-3</v>
      </c>
      <c r="E466" s="275"/>
      <c r="F466" s="290"/>
      <c r="G466" s="305">
        <v>44602</v>
      </c>
      <c r="H466" s="306">
        <v>2331.0886230439801</v>
      </c>
      <c r="I466" s="293">
        <f t="shared" si="15"/>
        <v>1.9239640173231685E-3</v>
      </c>
      <c r="J466" s="289"/>
      <c r="K466" s="275"/>
      <c r="L466" s="290"/>
      <c r="M466" s="275"/>
      <c r="N466" s="275"/>
      <c r="O466" s="275"/>
      <c r="P466" s="275"/>
      <c r="Q466" s="275"/>
      <c r="R466" s="275"/>
      <c r="S466" s="275"/>
      <c r="T466" s="275"/>
    </row>
    <row r="467" spans="1:20" ht="15" customHeight="1">
      <c r="A467" s="20"/>
      <c r="B467" s="294">
        <v>44603</v>
      </c>
      <c r="C467" s="295">
        <v>17374.75</v>
      </c>
      <c r="D467" s="296">
        <f t="shared" si="14"/>
        <v>-1.3126296912813624E-2</v>
      </c>
      <c r="E467" s="20"/>
      <c r="F467" s="297"/>
      <c r="G467" s="298">
        <v>44603</v>
      </c>
      <c r="H467" s="299">
        <v>2317.873046875</v>
      </c>
      <c r="I467" s="300">
        <f t="shared" si="15"/>
        <v>-5.669272304080368E-3</v>
      </c>
      <c r="J467" s="296"/>
      <c r="K467" s="20"/>
      <c r="L467" s="297"/>
      <c r="M467" s="275"/>
      <c r="N467" s="275"/>
      <c r="O467" s="275"/>
      <c r="P467" s="275"/>
      <c r="Q467" s="275"/>
      <c r="R467" s="275"/>
      <c r="S467" s="275"/>
      <c r="T467" s="275"/>
    </row>
    <row r="468" spans="1:20" ht="15" customHeight="1">
      <c r="A468" s="275"/>
      <c r="B468" s="303">
        <v>44606</v>
      </c>
      <c r="C468" s="304">
        <v>16842.80078125</v>
      </c>
      <c r="D468" s="289">
        <f t="shared" si="14"/>
        <v>-3.0616222895293456E-2</v>
      </c>
      <c r="E468" s="275"/>
      <c r="F468" s="290"/>
      <c r="G468" s="305">
        <v>44606</v>
      </c>
      <c r="H468" s="306">
        <v>2258.1062011689801</v>
      </c>
      <c r="I468" s="293">
        <f t="shared" si="15"/>
        <v>-2.5785211052261343E-2</v>
      </c>
      <c r="J468" s="289"/>
      <c r="K468" s="275"/>
      <c r="L468" s="290"/>
      <c r="M468" s="275"/>
      <c r="N468" s="275"/>
      <c r="O468" s="275"/>
      <c r="P468" s="275"/>
      <c r="Q468" s="275"/>
      <c r="R468" s="275"/>
      <c r="S468" s="275"/>
      <c r="T468" s="275"/>
    </row>
    <row r="469" spans="1:20" ht="15" customHeight="1">
      <c r="A469" s="20"/>
      <c r="B469" s="294">
        <v>44607</v>
      </c>
      <c r="C469" s="295">
        <v>17352.44921875</v>
      </c>
      <c r="D469" s="296">
        <f t="shared" si="14"/>
        <v>3.0259126383977576E-2</v>
      </c>
      <c r="E469" s="20"/>
      <c r="F469" s="297"/>
      <c r="G469" s="298">
        <v>44607</v>
      </c>
      <c r="H469" s="299">
        <v>2369.0715332060199</v>
      </c>
      <c r="I469" s="300">
        <f t="shared" si="15"/>
        <v>4.9140882735982536E-2</v>
      </c>
      <c r="J469" s="296"/>
      <c r="K469" s="20"/>
      <c r="L469" s="297"/>
      <c r="M469" s="275"/>
      <c r="N469" s="275"/>
      <c r="O469" s="275"/>
      <c r="P469" s="275"/>
      <c r="Q469" s="275"/>
      <c r="R469" s="275"/>
      <c r="S469" s="275"/>
      <c r="T469" s="275"/>
    </row>
    <row r="470" spans="1:20" ht="15" customHeight="1">
      <c r="A470" s="275"/>
      <c r="B470" s="303">
        <v>44608</v>
      </c>
      <c r="C470" s="304">
        <v>17322.19921875</v>
      </c>
      <c r="D470" s="289">
        <f t="shared" si="14"/>
        <v>-1.7432697608654399E-3</v>
      </c>
      <c r="E470" s="275"/>
      <c r="F470" s="290"/>
      <c r="G470" s="305">
        <v>44608</v>
      </c>
      <c r="H470" s="306">
        <v>2376.0205078125</v>
      </c>
      <c r="I470" s="293">
        <f t="shared" si="15"/>
        <v>2.9332059032747574E-3</v>
      </c>
      <c r="J470" s="289"/>
      <c r="K470" s="275"/>
      <c r="L470" s="290"/>
      <c r="M470" s="275"/>
      <c r="N470" s="275"/>
      <c r="O470" s="275"/>
      <c r="P470" s="275"/>
      <c r="Q470" s="275"/>
      <c r="R470" s="275"/>
      <c r="S470" s="275"/>
      <c r="T470" s="275"/>
    </row>
    <row r="471" spans="1:20" ht="15" customHeight="1">
      <c r="A471" s="20"/>
      <c r="B471" s="294">
        <v>44609</v>
      </c>
      <c r="C471" s="295">
        <v>17304.599609375</v>
      </c>
      <c r="D471" s="296">
        <f t="shared" si="14"/>
        <v>-1.0160147191904897E-3</v>
      </c>
      <c r="E471" s="20"/>
      <c r="F471" s="297"/>
      <c r="G471" s="298">
        <v>44609</v>
      </c>
      <c r="H471" s="299">
        <v>2381.6896972685199</v>
      </c>
      <c r="I471" s="300">
        <f t="shared" si="15"/>
        <v>2.3860019041836052E-3</v>
      </c>
      <c r="J471" s="296"/>
      <c r="K471" s="20"/>
      <c r="L471" s="297"/>
      <c r="M471" s="275"/>
      <c r="N471" s="275"/>
      <c r="O471" s="275"/>
      <c r="P471" s="275"/>
      <c r="Q471" s="275"/>
      <c r="R471" s="275"/>
      <c r="S471" s="275"/>
      <c r="T471" s="275"/>
    </row>
    <row r="472" spans="1:20" ht="15" customHeight="1">
      <c r="A472" s="275"/>
      <c r="B472" s="303">
        <v>44610</v>
      </c>
      <c r="C472" s="304">
        <v>17276.30078125</v>
      </c>
      <c r="D472" s="289">
        <f t="shared" si="14"/>
        <v>-1.6353356196504385E-3</v>
      </c>
      <c r="E472" s="275"/>
      <c r="F472" s="290"/>
      <c r="G472" s="305">
        <v>44610</v>
      </c>
      <c r="H472" s="306">
        <v>2365.1499023379602</v>
      </c>
      <c r="I472" s="293">
        <f t="shared" si="15"/>
        <v>-6.9445633280979888E-3</v>
      </c>
      <c r="J472" s="289"/>
      <c r="K472" s="275"/>
      <c r="L472" s="290"/>
      <c r="M472" s="275"/>
      <c r="N472" s="275"/>
      <c r="O472" s="275"/>
      <c r="P472" s="275"/>
      <c r="Q472" s="275"/>
      <c r="R472" s="275"/>
      <c r="S472" s="275"/>
      <c r="T472" s="275"/>
    </row>
    <row r="473" spans="1:20" ht="15" customHeight="1">
      <c r="A473" s="20"/>
      <c r="B473" s="294">
        <v>44613</v>
      </c>
      <c r="C473" s="295">
        <v>17206.650390625</v>
      </c>
      <c r="D473" s="296">
        <f t="shared" si="14"/>
        <v>-4.0315569581071253E-3</v>
      </c>
      <c r="E473" s="20"/>
      <c r="F473" s="297"/>
      <c r="G473" s="298">
        <v>44613</v>
      </c>
      <c r="H473" s="299">
        <v>2364.5397949189801</v>
      </c>
      <c r="I473" s="300">
        <f t="shared" si="15"/>
        <v>-2.5795718841202612E-4</v>
      </c>
      <c r="J473" s="296"/>
      <c r="K473" s="20"/>
      <c r="L473" s="297"/>
      <c r="M473" s="275"/>
      <c r="N473" s="275"/>
      <c r="O473" s="275"/>
      <c r="P473" s="275"/>
      <c r="Q473" s="275"/>
      <c r="R473" s="275"/>
      <c r="S473" s="275"/>
      <c r="T473" s="275"/>
    </row>
    <row r="474" spans="1:20" ht="15" customHeight="1">
      <c r="A474" s="275"/>
      <c r="B474" s="303">
        <v>44614</v>
      </c>
      <c r="C474" s="304">
        <v>17092.19921875</v>
      </c>
      <c r="D474" s="289">
        <f t="shared" si="14"/>
        <v>-6.6515660675803834E-3</v>
      </c>
      <c r="E474" s="275"/>
      <c r="F474" s="290"/>
      <c r="G474" s="305">
        <v>44614</v>
      </c>
      <c r="H474" s="306">
        <v>2379.9206542939801</v>
      </c>
      <c r="I474" s="293">
        <f t="shared" si="15"/>
        <v>6.5048003878179677E-3</v>
      </c>
      <c r="J474" s="289"/>
      <c r="K474" s="275"/>
      <c r="L474" s="290"/>
      <c r="M474" s="275"/>
      <c r="N474" s="275"/>
      <c r="O474" s="275"/>
      <c r="P474" s="275"/>
      <c r="Q474" s="275"/>
      <c r="R474" s="275"/>
      <c r="S474" s="275"/>
      <c r="T474" s="275"/>
    </row>
    <row r="475" spans="1:20" ht="15" customHeight="1">
      <c r="A475" s="20"/>
      <c r="B475" s="294">
        <v>44615</v>
      </c>
      <c r="C475" s="295">
        <v>17063.25</v>
      </c>
      <c r="D475" s="296">
        <f t="shared" si="14"/>
        <v>-1.6937094155936908E-3</v>
      </c>
      <c r="E475" s="20"/>
      <c r="F475" s="297"/>
      <c r="G475" s="298">
        <v>44615</v>
      </c>
      <c r="H475" s="299">
        <v>2327.3291015625</v>
      </c>
      <c r="I475" s="300">
        <f t="shared" si="15"/>
        <v>-2.2098027779452054E-2</v>
      </c>
      <c r="J475" s="296"/>
      <c r="K475" s="20"/>
      <c r="L475" s="297"/>
      <c r="M475" s="275"/>
      <c r="N475" s="275"/>
      <c r="O475" s="275"/>
      <c r="P475" s="275"/>
      <c r="Q475" s="275"/>
      <c r="R475" s="275"/>
      <c r="S475" s="275"/>
      <c r="T475" s="275"/>
    </row>
    <row r="476" spans="1:20" ht="15" customHeight="1">
      <c r="A476" s="275"/>
      <c r="B476" s="303">
        <v>44616</v>
      </c>
      <c r="C476" s="304">
        <v>16247.9501953125</v>
      </c>
      <c r="D476" s="289">
        <f t="shared" si="14"/>
        <v>-4.7781038470836444E-2</v>
      </c>
      <c r="E476" s="275"/>
      <c r="F476" s="290"/>
      <c r="G476" s="305">
        <v>44616</v>
      </c>
      <c r="H476" s="306">
        <v>2170.2504882870398</v>
      </c>
      <c r="I476" s="293">
        <f t="shared" si="15"/>
        <v>-6.7493081734767216E-2</v>
      </c>
      <c r="J476" s="289"/>
      <c r="K476" s="275"/>
      <c r="L476" s="290"/>
      <c r="M476" s="275"/>
      <c r="N476" s="275"/>
      <c r="O476" s="275"/>
      <c r="P476" s="275"/>
      <c r="Q476" s="275"/>
      <c r="R476" s="275"/>
      <c r="S476" s="275"/>
      <c r="T476" s="275"/>
    </row>
    <row r="477" spans="1:20" ht="15" customHeight="1">
      <c r="A477" s="20"/>
      <c r="B477" s="294">
        <v>44617</v>
      </c>
      <c r="C477" s="295">
        <v>16658.400390625</v>
      </c>
      <c r="D477" s="296">
        <f t="shared" si="14"/>
        <v>2.5261660109649649E-2</v>
      </c>
      <c r="E477" s="20"/>
      <c r="F477" s="297"/>
      <c r="G477" s="298">
        <v>44617</v>
      </c>
      <c r="H477" s="299">
        <v>2229.5092773379602</v>
      </c>
      <c r="I477" s="300">
        <f t="shared" si="15"/>
        <v>2.7305045832609291E-2</v>
      </c>
      <c r="J477" s="296"/>
      <c r="K477" s="20"/>
      <c r="L477" s="297"/>
      <c r="M477" s="275"/>
      <c r="N477" s="275"/>
      <c r="O477" s="275"/>
      <c r="P477" s="275"/>
      <c r="Q477" s="275"/>
      <c r="R477" s="275"/>
      <c r="S477" s="275"/>
      <c r="T477" s="275"/>
    </row>
    <row r="478" spans="1:20" ht="15" customHeight="1">
      <c r="A478" s="275"/>
      <c r="B478" s="303">
        <v>44620</v>
      </c>
      <c r="C478" s="304">
        <v>16793.900390625</v>
      </c>
      <c r="D478" s="289">
        <f t="shared" si="14"/>
        <v>8.1340342903665937E-3</v>
      </c>
      <c r="E478" s="275"/>
      <c r="F478" s="290"/>
      <c r="G478" s="305">
        <v>44620</v>
      </c>
      <c r="H478" s="306">
        <v>2209.5095214814801</v>
      </c>
      <c r="I478" s="293">
        <f t="shared" si="15"/>
        <v>-8.9704743818603168E-3</v>
      </c>
      <c r="J478" s="289"/>
      <c r="K478" s="275"/>
      <c r="L478" s="290"/>
      <c r="M478" s="275"/>
      <c r="N478" s="275"/>
      <c r="O478" s="275"/>
      <c r="P478" s="275"/>
      <c r="Q478" s="275"/>
      <c r="R478" s="275"/>
      <c r="S478" s="275"/>
      <c r="T478" s="275"/>
    </row>
    <row r="479" spans="1:20" ht="15" customHeight="1">
      <c r="A479" s="20"/>
      <c r="B479" s="294">
        <v>44622</v>
      </c>
      <c r="C479" s="295">
        <v>16605.94921875</v>
      </c>
      <c r="D479" s="296">
        <f t="shared" si="14"/>
        <v>-1.1191633122935609E-2</v>
      </c>
      <c r="E479" s="20"/>
      <c r="F479" s="297"/>
      <c r="G479" s="298">
        <v>44622</v>
      </c>
      <c r="H479" s="299">
        <v>2114.3911132870398</v>
      </c>
      <c r="I479" s="300">
        <f t="shared" si="15"/>
        <v>-4.3049557953777531E-2</v>
      </c>
      <c r="J479" s="296"/>
      <c r="K479" s="20"/>
      <c r="L479" s="297"/>
      <c r="M479" s="275"/>
      <c r="N479" s="275"/>
      <c r="O479" s="275"/>
      <c r="P479" s="275"/>
      <c r="Q479" s="275"/>
      <c r="R479" s="275"/>
      <c r="S479" s="275"/>
      <c r="T479" s="275"/>
    </row>
    <row r="480" spans="1:20" ht="15" customHeight="1">
      <c r="A480" s="275"/>
      <c r="B480" s="303">
        <v>44623</v>
      </c>
      <c r="C480" s="304">
        <v>16498.05078125</v>
      </c>
      <c r="D480" s="289">
        <f t="shared" si="14"/>
        <v>-6.4975772284170561E-3</v>
      </c>
      <c r="E480" s="275"/>
      <c r="F480" s="290"/>
      <c r="G480" s="305">
        <v>44623</v>
      </c>
      <c r="H480" s="306">
        <v>2106.6352539120398</v>
      </c>
      <c r="I480" s="293">
        <f t="shared" si="15"/>
        <v>-3.6681290070987452E-3</v>
      </c>
      <c r="J480" s="289"/>
      <c r="K480" s="275"/>
      <c r="L480" s="290"/>
      <c r="M480" s="275"/>
      <c r="N480" s="275"/>
      <c r="O480" s="275"/>
      <c r="P480" s="275"/>
      <c r="Q480" s="275"/>
      <c r="R480" s="275"/>
      <c r="S480" s="275"/>
      <c r="T480" s="275"/>
    </row>
    <row r="481" spans="1:20" ht="15" customHeight="1">
      <c r="A481" s="20"/>
      <c r="B481" s="294">
        <v>44624</v>
      </c>
      <c r="C481" s="295">
        <v>16245.349609375</v>
      </c>
      <c r="D481" s="296">
        <f t="shared" si="14"/>
        <v>-1.5317032007332306E-2</v>
      </c>
      <c r="E481" s="20"/>
      <c r="F481" s="297"/>
      <c r="G481" s="298">
        <v>44624</v>
      </c>
      <c r="H481" s="299">
        <v>2014.1748046875</v>
      </c>
      <c r="I481" s="300">
        <f t="shared" si="15"/>
        <v>-4.3890108196395168E-2</v>
      </c>
      <c r="J481" s="296"/>
      <c r="K481" s="20"/>
      <c r="L481" s="297"/>
      <c r="M481" s="275"/>
      <c r="N481" s="275"/>
      <c r="O481" s="275"/>
      <c r="P481" s="275"/>
      <c r="Q481" s="275"/>
      <c r="R481" s="275"/>
      <c r="S481" s="275"/>
      <c r="T481" s="275"/>
    </row>
    <row r="482" spans="1:20" ht="15" customHeight="1">
      <c r="A482" s="275"/>
      <c r="B482" s="303">
        <v>44627</v>
      </c>
      <c r="C482" s="304">
        <v>15863.150390625</v>
      </c>
      <c r="D482" s="289">
        <f t="shared" si="14"/>
        <v>-2.3526684739947814E-2</v>
      </c>
      <c r="E482" s="275"/>
      <c r="F482" s="290"/>
      <c r="G482" s="305">
        <v>44627</v>
      </c>
      <c r="H482" s="306">
        <v>1916.04968261574</v>
      </c>
      <c r="I482" s="293">
        <f t="shared" si="15"/>
        <v>-4.8717282056849137E-2</v>
      </c>
      <c r="J482" s="289"/>
      <c r="K482" s="275"/>
      <c r="L482" s="290"/>
      <c r="M482" s="275"/>
      <c r="N482" s="275"/>
      <c r="O482" s="275"/>
      <c r="P482" s="275"/>
      <c r="Q482" s="275"/>
      <c r="R482" s="275"/>
      <c r="S482" s="275"/>
      <c r="T482" s="275"/>
    </row>
    <row r="483" spans="1:20" ht="15" customHeight="1">
      <c r="A483" s="20"/>
      <c r="B483" s="294">
        <v>44628</v>
      </c>
      <c r="C483" s="295">
        <v>16013.4501953125</v>
      </c>
      <c r="D483" s="296">
        <f t="shared" si="14"/>
        <v>9.4747765094836418E-3</v>
      </c>
      <c r="E483" s="20"/>
      <c r="F483" s="297"/>
      <c r="G483" s="298">
        <v>44628</v>
      </c>
      <c r="H483" s="299">
        <v>1962.1929931597199</v>
      </c>
      <c r="I483" s="300">
        <f t="shared" si="15"/>
        <v>2.4082522996473781E-2</v>
      </c>
      <c r="J483" s="296"/>
      <c r="K483" s="20"/>
      <c r="L483" s="297"/>
      <c r="M483" s="275"/>
      <c r="N483" s="275"/>
      <c r="O483" s="275"/>
      <c r="P483" s="275"/>
      <c r="Q483" s="275"/>
      <c r="R483" s="275"/>
      <c r="S483" s="275"/>
      <c r="T483" s="275"/>
    </row>
    <row r="484" spans="1:20" ht="15" customHeight="1">
      <c r="A484" s="275"/>
      <c r="B484" s="303">
        <v>44629</v>
      </c>
      <c r="C484" s="304">
        <v>16345.349609375</v>
      </c>
      <c r="D484" s="289">
        <f t="shared" si="14"/>
        <v>2.0726290088294307E-2</v>
      </c>
      <c r="E484" s="275"/>
      <c r="F484" s="290"/>
      <c r="G484" s="305">
        <v>44629</v>
      </c>
      <c r="H484" s="306">
        <v>1996.0484619097199</v>
      </c>
      <c r="I484" s="293">
        <f t="shared" si="15"/>
        <v>1.7253893408049802E-2</v>
      </c>
      <c r="J484" s="289"/>
      <c r="K484" s="275"/>
      <c r="L484" s="290"/>
      <c r="M484" s="275"/>
      <c r="N484" s="275"/>
      <c r="O484" s="275"/>
      <c r="P484" s="275"/>
      <c r="Q484" s="275"/>
      <c r="R484" s="275"/>
      <c r="S484" s="275"/>
      <c r="T484" s="275"/>
    </row>
    <row r="485" spans="1:20" ht="15" customHeight="1">
      <c r="A485" s="20"/>
      <c r="B485" s="294">
        <v>44630</v>
      </c>
      <c r="C485" s="295">
        <v>16594.900390625</v>
      </c>
      <c r="D485" s="296">
        <f t="shared" si="14"/>
        <v>1.5267387190474546E-2</v>
      </c>
      <c r="E485" s="20"/>
      <c r="F485" s="297"/>
      <c r="G485" s="298">
        <v>44630</v>
      </c>
      <c r="H485" s="299">
        <v>2022.41015625</v>
      </c>
      <c r="I485" s="300">
        <f t="shared" si="15"/>
        <v>1.3206941035418826E-2</v>
      </c>
      <c r="J485" s="296"/>
      <c r="K485" s="20"/>
      <c r="L485" s="297"/>
      <c r="M485" s="275"/>
      <c r="N485" s="275"/>
      <c r="O485" s="275"/>
      <c r="P485" s="275"/>
      <c r="Q485" s="275"/>
      <c r="R485" s="275"/>
      <c r="S485" s="275"/>
      <c r="T485" s="275"/>
    </row>
    <row r="486" spans="1:20" ht="15" customHeight="1">
      <c r="A486" s="275"/>
      <c r="B486" s="303">
        <v>44631</v>
      </c>
      <c r="C486" s="304">
        <v>16630.44921875</v>
      </c>
      <c r="D486" s="289">
        <f t="shared" si="14"/>
        <v>2.14215375134657E-3</v>
      </c>
      <c r="E486" s="275"/>
      <c r="F486" s="290"/>
      <c r="G486" s="305">
        <v>44631</v>
      </c>
      <c r="H486" s="306">
        <v>2031.5162353472199</v>
      </c>
      <c r="I486" s="293">
        <f t="shared" si="15"/>
        <v>4.5025877016483112E-3</v>
      </c>
      <c r="J486" s="289"/>
      <c r="K486" s="275"/>
      <c r="L486" s="290"/>
      <c r="M486" s="275"/>
      <c r="N486" s="275"/>
      <c r="O486" s="275"/>
      <c r="P486" s="275"/>
      <c r="Q486" s="275"/>
      <c r="R486" s="275"/>
      <c r="S486" s="275"/>
      <c r="T486" s="275"/>
    </row>
    <row r="487" spans="1:20" ht="15" customHeight="1">
      <c r="A487" s="20"/>
      <c r="B487" s="294">
        <v>44634</v>
      </c>
      <c r="C487" s="295">
        <v>16871.30078125</v>
      </c>
      <c r="D487" s="296">
        <f t="shared" si="14"/>
        <v>1.4482565042708041E-2</v>
      </c>
      <c r="E487" s="20"/>
      <c r="F487" s="297"/>
      <c r="G487" s="298">
        <v>44634</v>
      </c>
      <c r="H487" s="299">
        <v>2040.8408203125</v>
      </c>
      <c r="I487" s="300">
        <f t="shared" si="15"/>
        <v>4.589963300828055E-3</v>
      </c>
      <c r="J487" s="296"/>
      <c r="K487" s="20"/>
      <c r="L487" s="297"/>
      <c r="M487" s="275"/>
      <c r="N487" s="275"/>
      <c r="O487" s="275"/>
      <c r="P487" s="275"/>
      <c r="Q487" s="275"/>
      <c r="R487" s="275"/>
      <c r="S487" s="275"/>
      <c r="T487" s="275"/>
    </row>
    <row r="488" spans="1:20" ht="15" customHeight="1">
      <c r="A488" s="275"/>
      <c r="B488" s="303">
        <v>44635</v>
      </c>
      <c r="C488" s="304">
        <v>16663</v>
      </c>
      <c r="D488" s="289">
        <f t="shared" si="14"/>
        <v>-1.2346456503312184E-2</v>
      </c>
      <c r="E488" s="275"/>
      <c r="F488" s="290"/>
      <c r="G488" s="305">
        <v>44635</v>
      </c>
      <c r="H488" s="306">
        <v>2020.36218261574</v>
      </c>
      <c r="I488" s="293">
        <f t="shared" si="15"/>
        <v>-1.0034412038869454E-2</v>
      </c>
      <c r="J488" s="289"/>
      <c r="K488" s="275"/>
      <c r="L488" s="290"/>
      <c r="M488" s="275"/>
      <c r="N488" s="275"/>
      <c r="O488" s="275"/>
      <c r="P488" s="275"/>
      <c r="Q488" s="275"/>
      <c r="R488" s="275"/>
      <c r="S488" s="275"/>
      <c r="T488" s="275"/>
    </row>
    <row r="489" spans="1:20" ht="15" customHeight="1">
      <c r="A489" s="20"/>
      <c r="B489" s="294">
        <v>44636</v>
      </c>
      <c r="C489" s="295">
        <v>16975.349609375</v>
      </c>
      <c r="D489" s="296">
        <f t="shared" si="14"/>
        <v>1.8745100484606612E-2</v>
      </c>
      <c r="E489" s="20"/>
      <c r="F489" s="297"/>
      <c r="G489" s="298">
        <v>44636</v>
      </c>
      <c r="H489" s="299">
        <v>2064.8928222685199</v>
      </c>
      <c r="I489" s="300">
        <f t="shared" si="15"/>
        <v>2.2040919215349085E-2</v>
      </c>
      <c r="J489" s="296"/>
      <c r="K489" s="20"/>
      <c r="L489" s="297"/>
      <c r="M489" s="275"/>
      <c r="N489" s="275"/>
      <c r="O489" s="275"/>
      <c r="P489" s="275"/>
      <c r="Q489" s="275"/>
      <c r="R489" s="275"/>
      <c r="S489" s="275"/>
      <c r="T489" s="275"/>
    </row>
    <row r="490" spans="1:20" ht="15" customHeight="1">
      <c r="A490" s="275"/>
      <c r="B490" s="303">
        <v>44637</v>
      </c>
      <c r="C490" s="304">
        <v>17287.05078125</v>
      </c>
      <c r="D490" s="289">
        <f t="shared" si="14"/>
        <v>1.8361988356508215E-2</v>
      </c>
      <c r="E490" s="275"/>
      <c r="F490" s="290"/>
      <c r="G490" s="305">
        <v>44637</v>
      </c>
      <c r="H490" s="306">
        <v>2108.8132324189801</v>
      </c>
      <c r="I490" s="293">
        <f t="shared" si="15"/>
        <v>2.1270067713349203E-2</v>
      </c>
      <c r="J490" s="289"/>
      <c r="K490" s="275"/>
      <c r="L490" s="290"/>
      <c r="M490" s="275"/>
      <c r="N490" s="275"/>
      <c r="O490" s="275"/>
      <c r="P490" s="275"/>
      <c r="Q490" s="275"/>
      <c r="R490" s="275"/>
      <c r="S490" s="275"/>
      <c r="T490" s="275"/>
    </row>
    <row r="491" spans="1:20" ht="15" customHeight="1">
      <c r="A491" s="20"/>
      <c r="B491" s="294">
        <v>44641</v>
      </c>
      <c r="C491" s="295">
        <v>17117.599609375</v>
      </c>
      <c r="D491" s="296">
        <f t="shared" si="14"/>
        <v>-9.80220247046369E-3</v>
      </c>
      <c r="E491" s="20"/>
      <c r="F491" s="297"/>
      <c r="G491" s="298">
        <v>44641</v>
      </c>
      <c r="H491" s="299">
        <v>2084.1081542939801</v>
      </c>
      <c r="I491" s="300">
        <f t="shared" si="15"/>
        <v>-1.1715157011159907E-2</v>
      </c>
      <c r="J491" s="296"/>
      <c r="K491" s="20"/>
      <c r="L491" s="297"/>
      <c r="M491" s="275"/>
      <c r="N491" s="275"/>
      <c r="O491" s="275"/>
      <c r="P491" s="275"/>
      <c r="Q491" s="275"/>
      <c r="R491" s="275"/>
      <c r="S491" s="275"/>
      <c r="T491" s="275"/>
    </row>
    <row r="492" spans="1:20" ht="15" customHeight="1">
      <c r="A492" s="275"/>
      <c r="B492" s="303">
        <v>44642</v>
      </c>
      <c r="C492" s="304">
        <v>17315.5</v>
      </c>
      <c r="D492" s="289">
        <f t="shared" si="14"/>
        <v>1.1561223252155842E-2</v>
      </c>
      <c r="E492" s="275"/>
      <c r="F492" s="290"/>
      <c r="G492" s="305">
        <v>44642</v>
      </c>
      <c r="H492" s="306">
        <v>2112.0817871064801</v>
      </c>
      <c r="I492" s="293">
        <f t="shared" si="15"/>
        <v>1.3422351788636636E-2</v>
      </c>
      <c r="J492" s="289"/>
      <c r="K492" s="275"/>
      <c r="L492" s="290"/>
      <c r="M492" s="275"/>
      <c r="N492" s="275"/>
      <c r="O492" s="275"/>
      <c r="P492" s="275"/>
      <c r="Q492" s="275"/>
      <c r="R492" s="275"/>
      <c r="S492" s="275"/>
      <c r="T492" s="275"/>
    </row>
    <row r="493" spans="1:20" ht="15" customHeight="1">
      <c r="A493" s="20"/>
      <c r="B493" s="294">
        <v>44643</v>
      </c>
      <c r="C493" s="295">
        <v>17245.650390625</v>
      </c>
      <c r="D493" s="296">
        <f t="shared" si="14"/>
        <v>-4.0339354552279749E-3</v>
      </c>
      <c r="E493" s="20"/>
      <c r="F493" s="297"/>
      <c r="G493" s="298">
        <v>44643</v>
      </c>
      <c r="H493" s="299">
        <v>2086.8098144560199</v>
      </c>
      <c r="I493" s="300">
        <f t="shared" si="15"/>
        <v>-1.1965432780461771E-2</v>
      </c>
      <c r="J493" s="296"/>
      <c r="K493" s="20"/>
      <c r="L493" s="297"/>
      <c r="M493" s="275"/>
      <c r="N493" s="275"/>
      <c r="O493" s="275"/>
      <c r="P493" s="275"/>
      <c r="Q493" s="275"/>
      <c r="R493" s="275"/>
      <c r="S493" s="275"/>
      <c r="T493" s="275"/>
    </row>
    <row r="494" spans="1:20" ht="15" customHeight="1">
      <c r="A494" s="275"/>
      <c r="B494" s="303">
        <v>44644</v>
      </c>
      <c r="C494" s="304">
        <v>17222.75</v>
      </c>
      <c r="D494" s="289">
        <f t="shared" si="14"/>
        <v>-1.3278937068937106E-3</v>
      </c>
      <c r="E494" s="275"/>
      <c r="F494" s="290"/>
      <c r="G494" s="305">
        <v>44644</v>
      </c>
      <c r="H494" s="306">
        <v>2102.0600585879602</v>
      </c>
      <c r="I494" s="293">
        <f t="shared" si="15"/>
        <v>7.3079223733263877E-3</v>
      </c>
      <c r="J494" s="289"/>
      <c r="K494" s="275"/>
      <c r="L494" s="290"/>
      <c r="M494" s="275"/>
      <c r="N494" s="275"/>
      <c r="O494" s="275"/>
      <c r="P494" s="275"/>
      <c r="Q494" s="275"/>
      <c r="R494" s="275"/>
      <c r="S494" s="275"/>
      <c r="T494" s="275"/>
    </row>
    <row r="495" spans="1:20" ht="15" customHeight="1">
      <c r="A495" s="20"/>
      <c r="B495" s="294">
        <v>44645</v>
      </c>
      <c r="C495" s="295">
        <v>17153</v>
      </c>
      <c r="D495" s="296">
        <f t="shared" si="14"/>
        <v>-4.0498758909001172E-3</v>
      </c>
      <c r="E495" s="20"/>
      <c r="F495" s="297"/>
      <c r="G495" s="298">
        <v>44645</v>
      </c>
      <c r="H495" s="299">
        <v>2072.6486816435199</v>
      </c>
      <c r="I495" s="300">
        <f t="shared" si="15"/>
        <v>-1.3991692018636738E-2</v>
      </c>
      <c r="J495" s="296"/>
      <c r="K495" s="20"/>
      <c r="L495" s="297"/>
      <c r="M495" s="275"/>
      <c r="N495" s="275"/>
      <c r="O495" s="275"/>
      <c r="P495" s="275"/>
      <c r="Q495" s="275"/>
      <c r="R495" s="275"/>
      <c r="S495" s="275"/>
      <c r="T495" s="275"/>
    </row>
    <row r="496" spans="1:20" ht="15" customHeight="1">
      <c r="A496" s="275"/>
      <c r="B496" s="303">
        <v>44648</v>
      </c>
      <c r="C496" s="304">
        <v>17222</v>
      </c>
      <c r="D496" s="289">
        <f t="shared" si="14"/>
        <v>4.022619949862998E-3</v>
      </c>
      <c r="E496" s="275"/>
      <c r="F496" s="290"/>
      <c r="G496" s="305">
        <v>44648</v>
      </c>
      <c r="H496" s="306">
        <v>2072.2565917939801</v>
      </c>
      <c r="I496" s="293">
        <f t="shared" si="15"/>
        <v>-1.8917332831772199E-4</v>
      </c>
      <c r="J496" s="289"/>
      <c r="K496" s="275"/>
      <c r="L496" s="290"/>
      <c r="M496" s="275"/>
      <c r="N496" s="275"/>
      <c r="O496" s="275"/>
      <c r="P496" s="275"/>
      <c r="Q496" s="275"/>
      <c r="R496" s="275"/>
      <c r="S496" s="275"/>
      <c r="T496" s="275"/>
    </row>
    <row r="497" spans="1:20" ht="15" customHeight="1">
      <c r="A497" s="20"/>
      <c r="B497" s="294">
        <v>44649</v>
      </c>
      <c r="C497" s="295">
        <v>17325.30078125</v>
      </c>
      <c r="D497" s="296">
        <f t="shared" si="14"/>
        <v>5.9981872749970966E-3</v>
      </c>
      <c r="E497" s="20"/>
      <c r="F497" s="297"/>
      <c r="G497" s="298">
        <v>44649</v>
      </c>
      <c r="H497" s="299">
        <v>1926.4635009722199</v>
      </c>
      <c r="I497" s="300">
        <f t="shared" si="15"/>
        <v>-7.0354748248403529E-2</v>
      </c>
      <c r="J497" s="296"/>
      <c r="K497" s="20"/>
      <c r="L497" s="297"/>
      <c r="M497" s="275"/>
      <c r="N497" s="275"/>
      <c r="O497" s="275"/>
      <c r="P497" s="275"/>
      <c r="Q497" s="275"/>
      <c r="R497" s="275"/>
      <c r="S497" s="275"/>
      <c r="T497" s="275"/>
    </row>
    <row r="498" spans="1:20" ht="15" customHeight="1">
      <c r="A498" s="275"/>
      <c r="B498" s="303">
        <v>44650</v>
      </c>
      <c r="C498" s="304">
        <v>17498.25</v>
      </c>
      <c r="D498" s="289">
        <f t="shared" si="14"/>
        <v>9.9824655821947536E-3</v>
      </c>
      <c r="E498" s="275"/>
      <c r="F498" s="290"/>
      <c r="G498" s="305">
        <v>44650</v>
      </c>
      <c r="H498" s="306">
        <v>1979.6218261689801</v>
      </c>
      <c r="I498" s="293">
        <f t="shared" si="15"/>
        <v>2.7593735967451762E-2</v>
      </c>
      <c r="J498" s="289"/>
      <c r="K498" s="275"/>
      <c r="L498" s="290"/>
      <c r="M498" s="275"/>
      <c r="N498" s="275"/>
      <c r="O498" s="275"/>
      <c r="P498" s="275"/>
      <c r="Q498" s="275"/>
      <c r="R498" s="275"/>
      <c r="S498" s="275"/>
      <c r="T498" s="275"/>
    </row>
    <row r="499" spans="1:20" ht="15" customHeight="1">
      <c r="A499" s="20"/>
      <c r="B499" s="294">
        <v>44651</v>
      </c>
      <c r="C499" s="295">
        <v>17464.75</v>
      </c>
      <c r="D499" s="296">
        <f t="shared" si="14"/>
        <v>-1.9144771620019144E-3</v>
      </c>
      <c r="E499" s="20"/>
      <c r="F499" s="297"/>
      <c r="G499" s="298">
        <v>44651</v>
      </c>
      <c r="H499" s="299">
        <v>1999.22937011574</v>
      </c>
      <c r="I499" s="300">
        <f t="shared" si="15"/>
        <v>9.904691738373602E-3</v>
      </c>
      <c r="J499" s="296"/>
      <c r="K499" s="20"/>
      <c r="L499" s="297"/>
      <c r="M499" s="275"/>
      <c r="N499" s="275"/>
      <c r="O499" s="275"/>
      <c r="P499" s="275"/>
      <c r="Q499" s="275"/>
      <c r="R499" s="275"/>
      <c r="S499" s="275"/>
      <c r="T499" s="275"/>
    </row>
    <row r="500" spans="1:20" ht="15" customHeight="1">
      <c r="A500" s="275"/>
      <c r="B500" s="303">
        <v>44652</v>
      </c>
      <c r="C500" s="304">
        <v>17670.44921875</v>
      </c>
      <c r="D500" s="289">
        <f t="shared" si="14"/>
        <v>1.1777965258592307E-2</v>
      </c>
      <c r="E500" s="275"/>
      <c r="F500" s="290"/>
      <c r="G500" s="305">
        <v>44652</v>
      </c>
      <c r="H500" s="306">
        <v>1952.1712646527801</v>
      </c>
      <c r="I500" s="293">
        <f t="shared" si="15"/>
        <v>-2.3538122321720208E-2</v>
      </c>
      <c r="J500" s="289"/>
      <c r="K500" s="275"/>
      <c r="L500" s="290"/>
      <c r="M500" s="275"/>
      <c r="N500" s="275"/>
      <c r="O500" s="275"/>
      <c r="P500" s="275"/>
      <c r="Q500" s="275"/>
      <c r="R500" s="275"/>
      <c r="S500" s="275"/>
      <c r="T500" s="275"/>
    </row>
    <row r="501" spans="1:20" ht="15" customHeight="1">
      <c r="A501" s="20"/>
      <c r="B501" s="294">
        <v>44655</v>
      </c>
      <c r="C501" s="295">
        <v>18053.400390625</v>
      </c>
      <c r="D501" s="296">
        <f t="shared" si="14"/>
        <v>2.1671841339984326E-2</v>
      </c>
      <c r="E501" s="20"/>
      <c r="F501" s="297"/>
      <c r="G501" s="298">
        <v>44655</v>
      </c>
      <c r="H501" s="299">
        <v>2014.5668945370401</v>
      </c>
      <c r="I501" s="300">
        <f t="shared" si="15"/>
        <v>3.1962170027821743E-2</v>
      </c>
      <c r="J501" s="296"/>
      <c r="K501" s="20"/>
      <c r="L501" s="297"/>
      <c r="M501" s="275"/>
      <c r="N501" s="275"/>
      <c r="O501" s="275"/>
      <c r="P501" s="275"/>
      <c r="Q501" s="275"/>
      <c r="R501" s="275"/>
      <c r="S501" s="275"/>
      <c r="T501" s="275"/>
    </row>
    <row r="502" spans="1:20" ht="15" customHeight="1">
      <c r="A502" s="275"/>
      <c r="B502" s="303">
        <v>44656</v>
      </c>
      <c r="C502" s="304">
        <v>17957.400390625</v>
      </c>
      <c r="D502" s="289">
        <f t="shared" si="14"/>
        <v>-5.3175577964720763E-3</v>
      </c>
      <c r="E502" s="275"/>
      <c r="F502" s="290"/>
      <c r="G502" s="305">
        <v>44656</v>
      </c>
      <c r="H502" s="306">
        <v>2032.4310302777801</v>
      </c>
      <c r="I502" s="293">
        <f t="shared" si="15"/>
        <v>8.8674820325811664E-3</v>
      </c>
      <c r="J502" s="289"/>
      <c r="K502" s="275"/>
      <c r="L502" s="290"/>
      <c r="M502" s="275"/>
      <c r="N502" s="275"/>
      <c r="O502" s="275"/>
      <c r="P502" s="275"/>
      <c r="Q502" s="275"/>
      <c r="R502" s="275"/>
      <c r="S502" s="275"/>
      <c r="T502" s="275"/>
    </row>
    <row r="503" spans="1:20" ht="15" customHeight="1">
      <c r="A503" s="20"/>
      <c r="B503" s="294">
        <v>44657</v>
      </c>
      <c r="C503" s="295">
        <v>17807.650390625</v>
      </c>
      <c r="D503" s="296">
        <f t="shared" si="14"/>
        <v>-8.3391803235717699E-3</v>
      </c>
      <c r="E503" s="20"/>
      <c r="F503" s="297"/>
      <c r="G503" s="298">
        <v>44657</v>
      </c>
      <c r="H503" s="299">
        <v>2045.1982421875</v>
      </c>
      <c r="I503" s="300">
        <f t="shared" si="15"/>
        <v>6.2817442361008165E-3</v>
      </c>
      <c r="J503" s="296"/>
      <c r="K503" s="20"/>
      <c r="L503" s="297"/>
      <c r="M503" s="275"/>
      <c r="N503" s="275"/>
      <c r="O503" s="275"/>
      <c r="P503" s="275"/>
      <c r="Q503" s="275"/>
      <c r="R503" s="275"/>
      <c r="S503" s="275"/>
      <c r="T503" s="275"/>
    </row>
    <row r="504" spans="1:20" ht="15" customHeight="1">
      <c r="A504" s="275"/>
      <c r="B504" s="303">
        <v>44658</v>
      </c>
      <c r="C504" s="304">
        <v>17639.55078125</v>
      </c>
      <c r="D504" s="289">
        <f t="shared" si="14"/>
        <v>-9.4397411049521492E-3</v>
      </c>
      <c r="E504" s="275"/>
      <c r="F504" s="290"/>
      <c r="G504" s="305">
        <v>44658</v>
      </c>
      <c r="H504" s="306">
        <v>2048.4226074189801</v>
      </c>
      <c r="I504" s="293">
        <f t="shared" si="15"/>
        <v>1.5765538836134373E-3</v>
      </c>
      <c r="J504" s="289"/>
      <c r="K504" s="275"/>
      <c r="L504" s="290"/>
      <c r="M504" s="275"/>
      <c r="N504" s="275"/>
      <c r="O504" s="275"/>
      <c r="P504" s="275"/>
      <c r="Q504" s="275"/>
      <c r="R504" s="275"/>
      <c r="S504" s="275"/>
      <c r="T504" s="275"/>
    </row>
    <row r="505" spans="1:20" ht="15" customHeight="1">
      <c r="A505" s="20"/>
      <c r="B505" s="294">
        <v>44659</v>
      </c>
      <c r="C505" s="295">
        <v>17784.349609375</v>
      </c>
      <c r="D505" s="296">
        <f t="shared" si="14"/>
        <v>8.2087593907954979E-3</v>
      </c>
      <c r="E505" s="20"/>
      <c r="F505" s="297"/>
      <c r="G505" s="298">
        <v>44659</v>
      </c>
      <c r="H505" s="299">
        <v>2058.7490234375</v>
      </c>
      <c r="I505" s="300">
        <f t="shared" si="15"/>
        <v>5.0411550727470457E-3</v>
      </c>
      <c r="J505" s="296"/>
      <c r="K505" s="20"/>
      <c r="L505" s="297"/>
      <c r="M505" s="275"/>
      <c r="N505" s="275"/>
      <c r="O505" s="275"/>
      <c r="P505" s="275"/>
      <c r="Q505" s="275"/>
      <c r="R505" s="275"/>
      <c r="S505" s="275"/>
      <c r="T505" s="275"/>
    </row>
    <row r="506" spans="1:20" ht="15" customHeight="1">
      <c r="A506" s="275"/>
      <c r="B506" s="303">
        <v>44662</v>
      </c>
      <c r="C506" s="304">
        <v>17674.94921875</v>
      </c>
      <c r="D506" s="289">
        <f t="shared" si="14"/>
        <v>-6.1514979759130298E-3</v>
      </c>
      <c r="E506" s="275"/>
      <c r="F506" s="290"/>
      <c r="G506" s="305">
        <v>44662</v>
      </c>
      <c r="H506" s="306">
        <v>2035.1765136689801</v>
      </c>
      <c r="I506" s="293">
        <f t="shared" si="15"/>
        <v>-1.1449919101436086E-2</v>
      </c>
      <c r="J506" s="289"/>
      <c r="K506" s="275"/>
      <c r="L506" s="290"/>
      <c r="M506" s="275"/>
      <c r="N506" s="275"/>
      <c r="O506" s="275"/>
      <c r="P506" s="275"/>
      <c r="Q506" s="275"/>
      <c r="R506" s="275"/>
      <c r="S506" s="275"/>
      <c r="T506" s="275"/>
    </row>
    <row r="507" spans="1:20" ht="15" customHeight="1">
      <c r="A507" s="20"/>
      <c r="B507" s="294">
        <v>44663</v>
      </c>
      <c r="C507" s="295">
        <v>17530.30078125</v>
      </c>
      <c r="D507" s="296">
        <f t="shared" si="14"/>
        <v>-8.1838106412522836E-3</v>
      </c>
      <c r="E507" s="20"/>
      <c r="F507" s="297"/>
      <c r="G507" s="298">
        <v>44663</v>
      </c>
      <c r="H507" s="299">
        <v>2002.4974365277801</v>
      </c>
      <c r="I507" s="300">
        <f t="shared" si="15"/>
        <v>-1.6057121788560103E-2</v>
      </c>
      <c r="J507" s="296"/>
      <c r="K507" s="20"/>
      <c r="L507" s="297"/>
      <c r="M507" s="275"/>
      <c r="N507" s="275"/>
      <c r="O507" s="275"/>
      <c r="P507" s="275"/>
      <c r="Q507" s="275"/>
      <c r="R507" s="275"/>
      <c r="S507" s="275"/>
      <c r="T507" s="275"/>
    </row>
    <row r="508" spans="1:20" ht="15" customHeight="1">
      <c r="A508" s="275"/>
      <c r="B508" s="303">
        <v>44664</v>
      </c>
      <c r="C508" s="304">
        <v>17475.650390625</v>
      </c>
      <c r="D508" s="289">
        <f t="shared" si="14"/>
        <v>-3.1174816283501979E-3</v>
      </c>
      <c r="E508" s="275"/>
      <c r="F508" s="290"/>
      <c r="G508" s="305">
        <v>44664</v>
      </c>
      <c r="H508" s="306">
        <v>1982.0181884722199</v>
      </c>
      <c r="I508" s="293">
        <f t="shared" si="15"/>
        <v>-1.0226853568946438E-2</v>
      </c>
      <c r="J508" s="289"/>
      <c r="K508" s="275"/>
      <c r="L508" s="290"/>
      <c r="M508" s="275"/>
      <c r="N508" s="275"/>
      <c r="O508" s="275"/>
      <c r="P508" s="275"/>
      <c r="Q508" s="275"/>
      <c r="R508" s="275"/>
      <c r="S508" s="275"/>
      <c r="T508" s="275"/>
    </row>
    <row r="509" spans="1:20" ht="15" customHeight="1">
      <c r="A509" s="20"/>
      <c r="B509" s="294">
        <v>44669</v>
      </c>
      <c r="C509" s="295">
        <v>17173.650390625</v>
      </c>
      <c r="D509" s="296">
        <f t="shared" si="14"/>
        <v>-1.7281188010147601E-2</v>
      </c>
      <c r="E509" s="20"/>
      <c r="F509" s="297"/>
      <c r="G509" s="298">
        <v>44669</v>
      </c>
      <c r="H509" s="299">
        <v>1991.6040039120401</v>
      </c>
      <c r="I509" s="300">
        <f t="shared" si="15"/>
        <v>4.8363912579475988E-3</v>
      </c>
      <c r="J509" s="296"/>
      <c r="K509" s="20"/>
      <c r="L509" s="297"/>
      <c r="M509" s="275"/>
      <c r="N509" s="275"/>
      <c r="O509" s="275"/>
      <c r="P509" s="275"/>
      <c r="Q509" s="275"/>
      <c r="R509" s="275"/>
      <c r="S509" s="275"/>
      <c r="T509" s="275"/>
    </row>
    <row r="510" spans="1:20" ht="15" customHeight="1">
      <c r="A510" s="275"/>
      <c r="B510" s="303">
        <v>44670</v>
      </c>
      <c r="C510" s="304">
        <v>16958.650390625</v>
      </c>
      <c r="D510" s="289">
        <f t="shared" si="14"/>
        <v>-1.2519178806467803E-2</v>
      </c>
      <c r="E510" s="275"/>
      <c r="F510" s="290"/>
      <c r="G510" s="305">
        <v>44670</v>
      </c>
      <c r="H510" s="306">
        <v>1972.3017578125</v>
      </c>
      <c r="I510" s="293">
        <f t="shared" si="15"/>
        <v>-9.6918092460274857E-3</v>
      </c>
      <c r="J510" s="289"/>
      <c r="K510" s="275"/>
      <c r="L510" s="290"/>
      <c r="M510" s="275"/>
      <c r="N510" s="275"/>
      <c r="O510" s="275"/>
      <c r="P510" s="275"/>
      <c r="Q510" s="275"/>
      <c r="R510" s="275"/>
      <c r="S510" s="275"/>
      <c r="T510" s="275"/>
    </row>
    <row r="511" spans="1:20" ht="15" customHeight="1">
      <c r="A511" s="20"/>
      <c r="B511" s="294">
        <v>44671</v>
      </c>
      <c r="C511" s="295">
        <v>17136.55078125</v>
      </c>
      <c r="D511" s="296">
        <f t="shared" si="14"/>
        <v>1.0490244596547968E-2</v>
      </c>
      <c r="E511" s="20"/>
      <c r="F511" s="297"/>
      <c r="G511" s="298">
        <v>44671</v>
      </c>
      <c r="H511" s="299">
        <v>1982.4105224652801</v>
      </c>
      <c r="I511" s="300">
        <f t="shared" si="15"/>
        <v>5.1253641146635914E-3</v>
      </c>
      <c r="J511" s="296"/>
      <c r="K511" s="20"/>
      <c r="L511" s="297"/>
      <c r="M511" s="275"/>
      <c r="N511" s="275"/>
      <c r="O511" s="275"/>
      <c r="P511" s="275"/>
      <c r="Q511" s="275"/>
      <c r="R511" s="275"/>
      <c r="S511" s="275"/>
      <c r="T511" s="275"/>
    </row>
    <row r="512" spans="1:20" ht="15" customHeight="1">
      <c r="A512" s="275"/>
      <c r="B512" s="303">
        <v>44672</v>
      </c>
      <c r="C512" s="304">
        <v>17392.599609375</v>
      </c>
      <c r="D512" s="289">
        <f t="shared" si="14"/>
        <v>1.4941678252146078E-2</v>
      </c>
      <c r="E512" s="275"/>
      <c r="F512" s="290"/>
      <c r="G512" s="305">
        <v>44672</v>
      </c>
      <c r="H512" s="306">
        <v>2019.70812988426</v>
      </c>
      <c r="I512" s="293">
        <f t="shared" si="15"/>
        <v>1.8814270301893577E-2</v>
      </c>
      <c r="J512" s="289"/>
      <c r="K512" s="275"/>
      <c r="L512" s="290"/>
      <c r="M512" s="275"/>
      <c r="N512" s="275"/>
      <c r="O512" s="275"/>
      <c r="P512" s="275"/>
      <c r="Q512" s="275"/>
      <c r="R512" s="275"/>
      <c r="S512" s="275"/>
      <c r="T512" s="275"/>
    </row>
    <row r="513" spans="1:20" ht="15" customHeight="1">
      <c r="A513" s="20"/>
      <c r="B513" s="294">
        <v>44673</v>
      </c>
      <c r="C513" s="295">
        <v>17171.94921875</v>
      </c>
      <c r="D513" s="296">
        <f t="shared" si="14"/>
        <v>-1.2686452605168035E-2</v>
      </c>
      <c r="E513" s="20"/>
      <c r="F513" s="297"/>
      <c r="G513" s="298">
        <v>44673</v>
      </c>
      <c r="H513" s="299">
        <v>1999.31652832176</v>
      </c>
      <c r="I513" s="300">
        <f t="shared" si="15"/>
        <v>-1.0096311076228895E-2</v>
      </c>
      <c r="J513" s="296"/>
      <c r="K513" s="20"/>
      <c r="L513" s="297"/>
      <c r="M513" s="275"/>
      <c r="N513" s="275"/>
      <c r="O513" s="275"/>
      <c r="P513" s="275"/>
      <c r="Q513" s="275"/>
      <c r="R513" s="275"/>
      <c r="S513" s="275"/>
      <c r="T513" s="275"/>
    </row>
    <row r="514" spans="1:20" ht="15" customHeight="1">
      <c r="A514" s="275"/>
      <c r="B514" s="303">
        <v>44676</v>
      </c>
      <c r="C514" s="304">
        <v>16953.94921875</v>
      </c>
      <c r="D514" s="289">
        <f t="shared" si="14"/>
        <v>-1.2695122564301929E-2</v>
      </c>
      <c r="E514" s="275"/>
      <c r="F514" s="290"/>
      <c r="G514" s="305">
        <v>44676</v>
      </c>
      <c r="H514" s="306">
        <v>1994.3928222685199</v>
      </c>
      <c r="I514" s="293">
        <f t="shared" si="15"/>
        <v>-2.4626946176316724E-3</v>
      </c>
      <c r="J514" s="289"/>
      <c r="K514" s="275"/>
      <c r="L514" s="290"/>
      <c r="M514" s="275"/>
      <c r="N514" s="275"/>
      <c r="O514" s="275"/>
      <c r="P514" s="275"/>
      <c r="Q514" s="275"/>
      <c r="R514" s="275"/>
      <c r="S514" s="275"/>
      <c r="T514" s="275"/>
    </row>
    <row r="515" spans="1:20" ht="15" customHeight="1">
      <c r="A515" s="20"/>
      <c r="B515" s="294">
        <v>44677</v>
      </c>
      <c r="C515" s="295">
        <v>17200.80078125</v>
      </c>
      <c r="D515" s="296">
        <f t="shared" si="14"/>
        <v>1.4560121616207138E-2</v>
      </c>
      <c r="E515" s="20"/>
      <c r="F515" s="297"/>
      <c r="G515" s="298">
        <v>44677</v>
      </c>
      <c r="H515" s="299">
        <v>2097.7900390625</v>
      </c>
      <c r="I515" s="300">
        <f t="shared" si="15"/>
        <v>5.1843957539102564E-2</v>
      </c>
      <c r="J515" s="296"/>
      <c r="K515" s="20"/>
      <c r="L515" s="297"/>
      <c r="M515" s="275"/>
      <c r="N515" s="275"/>
      <c r="O515" s="275"/>
      <c r="P515" s="275"/>
      <c r="Q515" s="275"/>
      <c r="R515" s="275"/>
      <c r="S515" s="275"/>
      <c r="T515" s="275"/>
    </row>
    <row r="516" spans="1:20" ht="15" customHeight="1">
      <c r="A516" s="275"/>
      <c r="B516" s="303">
        <v>44678</v>
      </c>
      <c r="C516" s="304">
        <v>17038.400390625</v>
      </c>
      <c r="D516" s="289">
        <f t="shared" si="14"/>
        <v>-9.4414436101153531E-3</v>
      </c>
      <c r="E516" s="275"/>
      <c r="F516" s="290"/>
      <c r="G516" s="305">
        <v>44678</v>
      </c>
      <c r="H516" s="306">
        <v>2178.6166992129602</v>
      </c>
      <c r="I516" s="293">
        <f t="shared" si="15"/>
        <v>3.8529432710330484E-2</v>
      </c>
      <c r="J516" s="289"/>
      <c r="K516" s="275"/>
      <c r="L516" s="290"/>
      <c r="M516" s="275"/>
      <c r="N516" s="275"/>
      <c r="O516" s="275"/>
      <c r="P516" s="275"/>
      <c r="Q516" s="275"/>
      <c r="R516" s="275"/>
      <c r="S516" s="275"/>
      <c r="T516" s="275"/>
    </row>
    <row r="517" spans="1:20" ht="15" customHeight="1">
      <c r="A517" s="20"/>
      <c r="B517" s="294">
        <v>44679</v>
      </c>
      <c r="C517" s="295">
        <v>17245.05078125</v>
      </c>
      <c r="D517" s="296">
        <f t="shared" ref="D517:D580" si="16">(C517-C516)/C516</f>
        <v>1.2128508890934666E-2</v>
      </c>
      <c r="E517" s="20"/>
      <c r="F517" s="297"/>
      <c r="G517" s="298">
        <v>44679</v>
      </c>
      <c r="H517" s="299">
        <v>2193.6926269560199</v>
      </c>
      <c r="I517" s="300">
        <f t="shared" ref="I517:I580" si="17">(H517-H516)/H516</f>
        <v>6.9199541840040263E-3</v>
      </c>
      <c r="J517" s="296"/>
      <c r="K517" s="20"/>
      <c r="L517" s="297"/>
      <c r="M517" s="275"/>
      <c r="N517" s="275"/>
      <c r="O517" s="275"/>
      <c r="P517" s="275"/>
      <c r="Q517" s="275"/>
      <c r="R517" s="275"/>
      <c r="S517" s="275"/>
      <c r="T517" s="275"/>
    </row>
    <row r="518" spans="1:20" ht="15" customHeight="1">
      <c r="A518" s="275"/>
      <c r="B518" s="303">
        <v>44680</v>
      </c>
      <c r="C518" s="304">
        <v>17102.55078125</v>
      </c>
      <c r="D518" s="289">
        <f t="shared" si="16"/>
        <v>-8.2632403816946566E-3</v>
      </c>
      <c r="E518" s="275"/>
      <c r="F518" s="290"/>
      <c r="G518" s="305">
        <v>44680</v>
      </c>
      <c r="H518" s="306">
        <v>2184.412109375</v>
      </c>
      <c r="I518" s="293">
        <f t="shared" si="17"/>
        <v>-4.2305460058447751E-3</v>
      </c>
      <c r="J518" s="289"/>
      <c r="K518" s="275"/>
      <c r="L518" s="290"/>
      <c r="M518" s="275"/>
      <c r="N518" s="275"/>
      <c r="O518" s="275"/>
      <c r="P518" s="275"/>
      <c r="Q518" s="275"/>
      <c r="R518" s="275"/>
      <c r="S518" s="275"/>
      <c r="T518" s="275"/>
    </row>
    <row r="519" spans="1:20" ht="15" customHeight="1">
      <c r="A519" s="20"/>
      <c r="B519" s="294">
        <v>44683</v>
      </c>
      <c r="C519" s="295">
        <v>17069.099609375</v>
      </c>
      <c r="D519" s="296">
        <f t="shared" si="16"/>
        <v>-1.9559171203674158E-3</v>
      </c>
      <c r="E519" s="20"/>
      <c r="F519" s="297"/>
      <c r="G519" s="298">
        <v>44683</v>
      </c>
      <c r="H519" s="299">
        <v>2167.5490722685199</v>
      </c>
      <c r="I519" s="300">
        <f t="shared" si="17"/>
        <v>-7.7197141666207388E-3</v>
      </c>
      <c r="J519" s="296"/>
      <c r="K519" s="20"/>
      <c r="L519" s="297"/>
      <c r="M519" s="275"/>
      <c r="N519" s="275"/>
      <c r="O519" s="275"/>
      <c r="P519" s="275"/>
      <c r="Q519" s="275"/>
      <c r="R519" s="275"/>
      <c r="S519" s="275"/>
      <c r="T519" s="275"/>
    </row>
    <row r="520" spans="1:20" ht="15" customHeight="1">
      <c r="A520" s="275"/>
      <c r="B520" s="303">
        <v>44685</v>
      </c>
      <c r="C520" s="304">
        <v>16677.599609375</v>
      </c>
      <c r="D520" s="289">
        <f t="shared" si="16"/>
        <v>-2.2936183451936345E-2</v>
      </c>
      <c r="E520" s="275"/>
      <c r="F520" s="290"/>
      <c r="G520" s="305">
        <v>44685</v>
      </c>
      <c r="H520" s="306">
        <v>2099.7509765625</v>
      </c>
      <c r="I520" s="293">
        <f t="shared" si="17"/>
        <v>-3.1278690099072859E-2</v>
      </c>
      <c r="J520" s="289"/>
      <c r="K520" s="275"/>
      <c r="L520" s="290"/>
      <c r="M520" s="275"/>
      <c r="N520" s="275"/>
      <c r="O520" s="275"/>
      <c r="P520" s="275"/>
      <c r="Q520" s="275"/>
      <c r="R520" s="275"/>
      <c r="S520" s="275"/>
      <c r="T520" s="275"/>
    </row>
    <row r="521" spans="1:20" ht="15" customHeight="1">
      <c r="A521" s="20"/>
      <c r="B521" s="294">
        <v>44686</v>
      </c>
      <c r="C521" s="295">
        <v>16682.650390625</v>
      </c>
      <c r="D521" s="296">
        <f t="shared" si="16"/>
        <v>3.0284821366983761E-4</v>
      </c>
      <c r="E521" s="20"/>
      <c r="F521" s="297"/>
      <c r="G521" s="298">
        <v>44686</v>
      </c>
      <c r="H521" s="299">
        <v>2180.0544433564801</v>
      </c>
      <c r="I521" s="300">
        <f t="shared" si="17"/>
        <v>3.8244281198261329E-2</v>
      </c>
      <c r="J521" s="296"/>
      <c r="K521" s="20"/>
      <c r="L521" s="297"/>
      <c r="M521" s="275"/>
      <c r="N521" s="275"/>
      <c r="O521" s="275"/>
      <c r="P521" s="275"/>
      <c r="Q521" s="275"/>
      <c r="R521" s="275"/>
      <c r="S521" s="275"/>
      <c r="T521" s="275"/>
    </row>
    <row r="522" spans="1:20" ht="15" customHeight="1">
      <c r="A522" s="275"/>
      <c r="B522" s="303">
        <v>44687</v>
      </c>
      <c r="C522" s="304">
        <v>16411.25</v>
      </c>
      <c r="D522" s="289">
        <f t="shared" si="16"/>
        <v>-1.6268421639856246E-2</v>
      </c>
      <c r="E522" s="275"/>
      <c r="F522" s="290"/>
      <c r="G522" s="305">
        <v>44687</v>
      </c>
      <c r="H522" s="306">
        <v>2233.8229980439801</v>
      </c>
      <c r="I522" s="293">
        <f t="shared" si="17"/>
        <v>2.4663858671674387E-2</v>
      </c>
      <c r="J522" s="289"/>
      <c r="K522" s="275"/>
      <c r="L522" s="290"/>
      <c r="M522" s="275"/>
      <c r="N522" s="275"/>
      <c r="O522" s="275"/>
      <c r="P522" s="275"/>
      <c r="Q522" s="275"/>
      <c r="R522" s="275"/>
      <c r="S522" s="275"/>
      <c r="T522" s="275"/>
    </row>
    <row r="523" spans="1:20" ht="15" customHeight="1">
      <c r="A523" s="20"/>
      <c r="B523" s="294">
        <v>44690</v>
      </c>
      <c r="C523" s="295">
        <v>16301.849609375</v>
      </c>
      <c r="D523" s="296">
        <f t="shared" si="16"/>
        <v>-6.6661826871810496E-3</v>
      </c>
      <c r="E523" s="20"/>
      <c r="F523" s="297"/>
      <c r="G523" s="298">
        <v>44690</v>
      </c>
      <c r="H523" s="299">
        <v>2172.2985839814801</v>
      </c>
      <c r="I523" s="300">
        <f t="shared" si="17"/>
        <v>-2.7542206395212647E-2</v>
      </c>
      <c r="J523" s="296"/>
      <c r="K523" s="20"/>
      <c r="L523" s="297"/>
      <c r="M523" s="275"/>
      <c r="N523" s="275"/>
      <c r="O523" s="275"/>
      <c r="P523" s="275"/>
      <c r="Q523" s="275"/>
      <c r="R523" s="275"/>
      <c r="S523" s="275"/>
      <c r="T523" s="275"/>
    </row>
    <row r="524" spans="1:20" ht="15" customHeight="1">
      <c r="A524" s="275"/>
      <c r="B524" s="303">
        <v>44691</v>
      </c>
      <c r="C524" s="304">
        <v>16240.0498046875</v>
      </c>
      <c r="D524" s="289">
        <f t="shared" si="16"/>
        <v>-3.7909688880922855E-3</v>
      </c>
      <c r="E524" s="275"/>
      <c r="F524" s="290"/>
      <c r="G524" s="305">
        <v>44691</v>
      </c>
      <c r="H524" s="306">
        <v>2152.2556152314801</v>
      </c>
      <c r="I524" s="293">
        <f t="shared" si="17"/>
        <v>-9.2266177853250753E-3</v>
      </c>
      <c r="J524" s="289"/>
      <c r="K524" s="275"/>
      <c r="L524" s="290"/>
      <c r="M524" s="275"/>
      <c r="N524" s="275"/>
      <c r="O524" s="275"/>
      <c r="P524" s="275"/>
      <c r="Q524" s="275"/>
      <c r="R524" s="275"/>
      <c r="S524" s="275"/>
      <c r="T524" s="275"/>
    </row>
    <row r="525" spans="1:20" ht="15" customHeight="1">
      <c r="A525" s="20"/>
      <c r="B525" s="294">
        <v>44692</v>
      </c>
      <c r="C525" s="295">
        <v>16167.099609375</v>
      </c>
      <c r="D525" s="296">
        <f t="shared" si="16"/>
        <v>-4.4919933245182401E-3</v>
      </c>
      <c r="E525" s="20"/>
      <c r="F525" s="297"/>
      <c r="G525" s="298">
        <v>44692</v>
      </c>
      <c r="H525" s="299">
        <v>2152.7346191435199</v>
      </c>
      <c r="I525" s="300">
        <f t="shared" si="17"/>
        <v>2.2255902535458144E-4</v>
      </c>
      <c r="J525" s="296"/>
      <c r="K525" s="20"/>
      <c r="L525" s="297"/>
      <c r="M525" s="275"/>
      <c r="N525" s="275"/>
      <c r="O525" s="275"/>
      <c r="P525" s="275"/>
      <c r="Q525" s="275"/>
      <c r="R525" s="275"/>
      <c r="S525" s="275"/>
      <c r="T525" s="275"/>
    </row>
    <row r="526" spans="1:20" ht="15" customHeight="1">
      <c r="A526" s="275"/>
      <c r="B526" s="303">
        <v>44693</v>
      </c>
      <c r="C526" s="304">
        <v>15808</v>
      </c>
      <c r="D526" s="289">
        <f t="shared" si="16"/>
        <v>-2.2211752141785831E-2</v>
      </c>
      <c r="E526" s="275"/>
      <c r="F526" s="290"/>
      <c r="G526" s="305">
        <v>44693</v>
      </c>
      <c r="H526" s="306">
        <v>2092.517578125</v>
      </c>
      <c r="I526" s="293">
        <f t="shared" si="17"/>
        <v>-2.7972347582015326E-2</v>
      </c>
      <c r="J526" s="289"/>
      <c r="K526" s="275"/>
      <c r="L526" s="290"/>
      <c r="M526" s="275"/>
      <c r="N526" s="275"/>
      <c r="O526" s="275"/>
      <c r="P526" s="275"/>
      <c r="Q526" s="275"/>
      <c r="R526" s="275"/>
      <c r="S526" s="275"/>
      <c r="T526" s="275"/>
    </row>
    <row r="527" spans="1:20" ht="15" customHeight="1">
      <c r="A527" s="20"/>
      <c r="B527" s="294">
        <v>44694</v>
      </c>
      <c r="C527" s="295">
        <v>15782.150390625</v>
      </c>
      <c r="D527" s="296">
        <f t="shared" si="16"/>
        <v>-1.6352232651189271E-3</v>
      </c>
      <c r="E527" s="20"/>
      <c r="F527" s="297"/>
      <c r="G527" s="298">
        <v>44694</v>
      </c>
      <c r="H527" s="299">
        <v>2134.3034667939801</v>
      </c>
      <c r="I527" s="300">
        <f t="shared" si="17"/>
        <v>1.9969193619115169E-2</v>
      </c>
      <c r="J527" s="296"/>
      <c r="K527" s="20"/>
      <c r="L527" s="297"/>
      <c r="M527" s="275"/>
      <c r="N527" s="275"/>
      <c r="O527" s="275"/>
      <c r="P527" s="275"/>
      <c r="Q527" s="275"/>
      <c r="R527" s="275"/>
      <c r="S527" s="275"/>
      <c r="T527" s="275"/>
    </row>
    <row r="528" spans="1:20" ht="15" customHeight="1">
      <c r="A528" s="275"/>
      <c r="B528" s="303">
        <v>44697</v>
      </c>
      <c r="C528" s="304">
        <v>15842.2998046875</v>
      </c>
      <c r="D528" s="289">
        <f t="shared" si="16"/>
        <v>3.8112305721171107E-3</v>
      </c>
      <c r="E528" s="275"/>
      <c r="F528" s="290"/>
      <c r="G528" s="305">
        <v>44697</v>
      </c>
      <c r="H528" s="306">
        <v>2175.0437011689801</v>
      </c>
      <c r="I528" s="293">
        <f t="shared" si="17"/>
        <v>1.9088304455690871E-2</v>
      </c>
      <c r="J528" s="289"/>
      <c r="K528" s="275"/>
      <c r="L528" s="290"/>
      <c r="M528" s="275"/>
      <c r="N528" s="275"/>
      <c r="O528" s="275"/>
      <c r="P528" s="275"/>
      <c r="Q528" s="275"/>
      <c r="R528" s="275"/>
      <c r="S528" s="275"/>
      <c r="T528" s="275"/>
    </row>
    <row r="529" spans="1:20" ht="15" customHeight="1">
      <c r="A529" s="20"/>
      <c r="B529" s="294">
        <v>44698</v>
      </c>
      <c r="C529" s="295">
        <v>16259.2998046875</v>
      </c>
      <c r="D529" s="296">
        <f t="shared" si="16"/>
        <v>2.6321935902047247E-2</v>
      </c>
      <c r="E529" s="20"/>
      <c r="F529" s="297"/>
      <c r="G529" s="298">
        <v>44698</v>
      </c>
      <c r="H529" s="299">
        <v>2199.0952148379602</v>
      </c>
      <c r="I529" s="300">
        <f t="shared" si="17"/>
        <v>1.1057945022462564E-2</v>
      </c>
      <c r="J529" s="296"/>
      <c r="K529" s="20"/>
      <c r="L529" s="297"/>
      <c r="M529" s="275"/>
      <c r="N529" s="275"/>
      <c r="O529" s="275"/>
      <c r="P529" s="275"/>
      <c r="Q529" s="275"/>
      <c r="R529" s="275"/>
      <c r="S529" s="275"/>
      <c r="T529" s="275"/>
    </row>
    <row r="530" spans="1:20" ht="15" customHeight="1">
      <c r="A530" s="275"/>
      <c r="B530" s="303">
        <v>44699</v>
      </c>
      <c r="C530" s="304">
        <v>16240.2998046875</v>
      </c>
      <c r="D530" s="289">
        <f t="shared" si="16"/>
        <v>-1.1685620062508698E-3</v>
      </c>
      <c r="E530" s="275"/>
      <c r="F530" s="290"/>
      <c r="G530" s="305">
        <v>44699</v>
      </c>
      <c r="H530" s="306">
        <v>2212.6030273379602</v>
      </c>
      <c r="I530" s="293">
        <f t="shared" si="17"/>
        <v>6.1424409497409238E-3</v>
      </c>
      <c r="J530" s="289"/>
      <c r="K530" s="275"/>
      <c r="L530" s="290"/>
      <c r="M530" s="275"/>
      <c r="N530" s="275"/>
      <c r="O530" s="275"/>
      <c r="P530" s="275"/>
      <c r="Q530" s="275"/>
      <c r="R530" s="275"/>
      <c r="S530" s="275"/>
      <c r="T530" s="275"/>
    </row>
    <row r="531" spans="1:20" ht="15" customHeight="1">
      <c r="A531" s="20"/>
      <c r="B531" s="294">
        <v>44700</v>
      </c>
      <c r="C531" s="295">
        <v>15809.400390625</v>
      </c>
      <c r="D531" s="296">
        <f t="shared" si="16"/>
        <v>-2.6532725334179351E-2</v>
      </c>
      <c r="E531" s="20"/>
      <c r="F531" s="297"/>
      <c r="G531" s="298">
        <v>44700</v>
      </c>
      <c r="H531" s="299">
        <v>2192.1242675810199</v>
      </c>
      <c r="I531" s="300">
        <f t="shared" si="17"/>
        <v>-9.2555056211681853E-3</v>
      </c>
      <c r="J531" s="296"/>
      <c r="K531" s="20"/>
      <c r="L531" s="297"/>
      <c r="M531" s="275"/>
      <c r="N531" s="275"/>
      <c r="O531" s="275"/>
      <c r="P531" s="275"/>
      <c r="Q531" s="275"/>
      <c r="R531" s="275"/>
      <c r="S531" s="275"/>
      <c r="T531" s="275"/>
    </row>
    <row r="532" spans="1:20" ht="15" customHeight="1">
      <c r="A532" s="275"/>
      <c r="B532" s="303">
        <v>44701</v>
      </c>
      <c r="C532" s="304">
        <v>16266.150390625</v>
      </c>
      <c r="D532" s="289">
        <f t="shared" si="16"/>
        <v>2.8891038794289343E-2</v>
      </c>
      <c r="E532" s="275"/>
      <c r="F532" s="290"/>
      <c r="G532" s="305">
        <v>44701</v>
      </c>
      <c r="H532" s="306">
        <v>2257.1779785185199</v>
      </c>
      <c r="I532" s="293">
        <f t="shared" si="17"/>
        <v>2.9676105456049675E-2</v>
      </c>
      <c r="J532" s="289"/>
      <c r="K532" s="275"/>
      <c r="L532" s="290"/>
      <c r="M532" s="275"/>
      <c r="N532" s="275"/>
      <c r="O532" s="275"/>
      <c r="P532" s="275"/>
      <c r="Q532" s="275"/>
      <c r="R532" s="275"/>
      <c r="S532" s="275"/>
      <c r="T532" s="275"/>
    </row>
    <row r="533" spans="1:20" ht="15" customHeight="1">
      <c r="A533" s="20"/>
      <c r="B533" s="294">
        <v>44704</v>
      </c>
      <c r="C533" s="295">
        <v>16214.7001953125</v>
      </c>
      <c r="D533" s="296">
        <f t="shared" si="16"/>
        <v>-3.1630222318707523E-3</v>
      </c>
      <c r="E533" s="20"/>
      <c r="F533" s="297"/>
      <c r="G533" s="298">
        <v>44704</v>
      </c>
      <c r="H533" s="299">
        <v>2287.2858886689801</v>
      </c>
      <c r="I533" s="300">
        <f t="shared" si="17"/>
        <v>1.3338739982844079E-2</v>
      </c>
      <c r="J533" s="296"/>
      <c r="K533" s="20"/>
      <c r="L533" s="297"/>
      <c r="M533" s="275"/>
      <c r="N533" s="275"/>
      <c r="O533" s="275"/>
      <c r="P533" s="275"/>
      <c r="Q533" s="275"/>
      <c r="R533" s="275"/>
      <c r="S533" s="275"/>
      <c r="T533" s="275"/>
    </row>
    <row r="534" spans="1:20" ht="15" customHeight="1">
      <c r="A534" s="275"/>
      <c r="B534" s="303">
        <v>44705</v>
      </c>
      <c r="C534" s="304">
        <v>16125.150390625</v>
      </c>
      <c r="D534" s="289">
        <f t="shared" si="16"/>
        <v>-5.5227542667355585E-3</v>
      </c>
      <c r="E534" s="275"/>
      <c r="F534" s="290"/>
      <c r="G534" s="305">
        <v>44705</v>
      </c>
      <c r="H534" s="306">
        <v>2298.0048828125</v>
      </c>
      <c r="I534" s="293">
        <f t="shared" si="17"/>
        <v>4.6863377230720949E-3</v>
      </c>
      <c r="J534" s="289"/>
      <c r="K534" s="275"/>
      <c r="L534" s="290"/>
      <c r="M534" s="275"/>
      <c r="N534" s="275"/>
      <c r="O534" s="275"/>
      <c r="P534" s="275"/>
      <c r="Q534" s="275"/>
      <c r="R534" s="275"/>
      <c r="S534" s="275"/>
      <c r="T534" s="275"/>
    </row>
    <row r="535" spans="1:20" ht="15" customHeight="1">
      <c r="A535" s="20"/>
      <c r="B535" s="294">
        <v>44706</v>
      </c>
      <c r="C535" s="295">
        <v>16025.7998046875</v>
      </c>
      <c r="D535" s="296">
        <f t="shared" si="16"/>
        <v>-6.1612191843656494E-3</v>
      </c>
      <c r="E535" s="20"/>
      <c r="F535" s="297"/>
      <c r="G535" s="298">
        <v>44706</v>
      </c>
      <c r="H535" s="299">
        <v>2261.1428222685199</v>
      </c>
      <c r="I535" s="300">
        <f t="shared" si="17"/>
        <v>-1.6040897397426351E-2</v>
      </c>
      <c r="J535" s="296"/>
      <c r="K535" s="20"/>
      <c r="L535" s="297"/>
      <c r="M535" s="275"/>
      <c r="N535" s="275"/>
      <c r="O535" s="275"/>
      <c r="P535" s="275"/>
      <c r="Q535" s="275"/>
      <c r="R535" s="275"/>
      <c r="S535" s="275"/>
      <c r="T535" s="275"/>
    </row>
    <row r="536" spans="1:20" ht="15" customHeight="1">
      <c r="A536" s="275"/>
      <c r="B536" s="303">
        <v>44707</v>
      </c>
      <c r="C536" s="304">
        <v>16170.150390625</v>
      </c>
      <c r="D536" s="289">
        <f t="shared" si="16"/>
        <v>9.0073873189953288E-3</v>
      </c>
      <c r="E536" s="275"/>
      <c r="F536" s="290"/>
      <c r="G536" s="305">
        <v>44707</v>
      </c>
      <c r="H536" s="306">
        <v>2297.525390625</v>
      </c>
      <c r="I536" s="293">
        <f t="shared" si="17"/>
        <v>1.6090345111406456E-2</v>
      </c>
      <c r="J536" s="289"/>
      <c r="K536" s="275"/>
      <c r="L536" s="290"/>
      <c r="M536" s="275"/>
      <c r="N536" s="275"/>
      <c r="O536" s="275"/>
      <c r="P536" s="275"/>
      <c r="Q536" s="275"/>
      <c r="R536" s="275"/>
      <c r="S536" s="275"/>
      <c r="T536" s="275"/>
    </row>
    <row r="537" spans="1:20" ht="15" customHeight="1">
      <c r="A537" s="20"/>
      <c r="B537" s="294">
        <v>44708</v>
      </c>
      <c r="C537" s="295">
        <v>16352.4501953125</v>
      </c>
      <c r="D537" s="296">
        <f t="shared" si="16"/>
        <v>1.1273847198922301E-2</v>
      </c>
      <c r="E537" s="20"/>
      <c r="F537" s="297"/>
      <c r="G537" s="298">
        <v>44708</v>
      </c>
      <c r="H537" s="299">
        <v>2370.1606445370398</v>
      </c>
      <c r="I537" s="300">
        <f t="shared" si="17"/>
        <v>3.1614559825291308E-2</v>
      </c>
      <c r="J537" s="296"/>
      <c r="K537" s="20"/>
      <c r="L537" s="297"/>
      <c r="M537" s="275"/>
      <c r="N537" s="275"/>
      <c r="O537" s="275"/>
      <c r="P537" s="275"/>
      <c r="Q537" s="275"/>
      <c r="R537" s="275"/>
      <c r="S537" s="275"/>
      <c r="T537" s="275"/>
    </row>
    <row r="538" spans="1:20" ht="15" customHeight="1">
      <c r="A538" s="275"/>
      <c r="B538" s="303">
        <v>44711</v>
      </c>
      <c r="C538" s="304">
        <v>16661.400390625</v>
      </c>
      <c r="D538" s="289">
        <f t="shared" si="16"/>
        <v>1.8893205092962884E-2</v>
      </c>
      <c r="E538" s="275"/>
      <c r="F538" s="290"/>
      <c r="G538" s="305">
        <v>44711</v>
      </c>
      <c r="H538" s="306">
        <v>2414.38671875</v>
      </c>
      <c r="I538" s="293">
        <f t="shared" si="17"/>
        <v>1.8659526017739094E-2</v>
      </c>
      <c r="J538" s="289"/>
      <c r="K538" s="275"/>
      <c r="L538" s="290"/>
      <c r="M538" s="275"/>
      <c r="N538" s="275"/>
      <c r="O538" s="275"/>
      <c r="P538" s="275"/>
      <c r="Q538" s="275"/>
      <c r="R538" s="275"/>
      <c r="S538" s="275"/>
      <c r="T538" s="275"/>
    </row>
    <row r="539" spans="1:20" ht="15" customHeight="1">
      <c r="A539" s="20"/>
      <c r="B539" s="294">
        <v>44712</v>
      </c>
      <c r="C539" s="295">
        <v>16584.55078125</v>
      </c>
      <c r="D539" s="296">
        <f t="shared" si="16"/>
        <v>-4.6124339835348759E-3</v>
      </c>
      <c r="E539" s="20"/>
      <c r="F539" s="297"/>
      <c r="G539" s="298">
        <v>44712</v>
      </c>
      <c r="H539" s="299">
        <v>2417.3056640625</v>
      </c>
      <c r="I539" s="300">
        <f t="shared" si="17"/>
        <v>1.2089800237184973E-3</v>
      </c>
      <c r="J539" s="296"/>
      <c r="K539" s="20"/>
      <c r="L539" s="297"/>
      <c r="M539" s="275"/>
      <c r="N539" s="275"/>
      <c r="O539" s="275"/>
      <c r="P539" s="275"/>
      <c r="Q539" s="275"/>
      <c r="R539" s="275"/>
      <c r="S539" s="275"/>
      <c r="T539" s="275"/>
    </row>
    <row r="540" spans="1:20" ht="15" customHeight="1">
      <c r="A540" s="275"/>
      <c r="B540" s="303">
        <v>44713</v>
      </c>
      <c r="C540" s="304">
        <v>16522.75</v>
      </c>
      <c r="D540" s="289">
        <f t="shared" si="16"/>
        <v>-3.7264067061659654E-3</v>
      </c>
      <c r="E540" s="275"/>
      <c r="F540" s="290"/>
      <c r="G540" s="305">
        <v>44713</v>
      </c>
      <c r="H540" s="306">
        <v>2403.1010742129602</v>
      </c>
      <c r="I540" s="293">
        <f t="shared" si="17"/>
        <v>-5.8762075730496369E-3</v>
      </c>
      <c r="J540" s="289"/>
      <c r="K540" s="275"/>
      <c r="L540" s="290"/>
      <c r="M540" s="275"/>
      <c r="N540" s="275"/>
      <c r="O540" s="275"/>
      <c r="P540" s="275"/>
      <c r="Q540" s="275"/>
      <c r="R540" s="275"/>
      <c r="S540" s="275"/>
      <c r="T540" s="275"/>
    </row>
    <row r="541" spans="1:20" ht="15" customHeight="1">
      <c r="A541" s="20"/>
      <c r="B541" s="294">
        <v>44714</v>
      </c>
      <c r="C541" s="295">
        <v>16628</v>
      </c>
      <c r="D541" s="296">
        <f t="shared" si="16"/>
        <v>6.3700049931155528E-3</v>
      </c>
      <c r="E541" s="20"/>
      <c r="F541" s="297"/>
      <c r="G541" s="298">
        <v>44714</v>
      </c>
      <c r="H541" s="299">
        <v>2320.7497558564801</v>
      </c>
      <c r="I541" s="300">
        <f t="shared" si="17"/>
        <v>-3.4268770148775773E-2</v>
      </c>
      <c r="J541" s="296"/>
      <c r="K541" s="20"/>
      <c r="L541" s="297"/>
      <c r="M541" s="275"/>
      <c r="N541" s="275"/>
      <c r="O541" s="275"/>
      <c r="P541" s="275"/>
      <c r="Q541" s="275"/>
      <c r="R541" s="275"/>
      <c r="S541" s="275"/>
      <c r="T541" s="275"/>
    </row>
    <row r="542" spans="1:20" ht="15" customHeight="1">
      <c r="A542" s="275"/>
      <c r="B542" s="303">
        <v>44715</v>
      </c>
      <c r="C542" s="304">
        <v>16584.30078125</v>
      </c>
      <c r="D542" s="289">
        <f t="shared" si="16"/>
        <v>-2.6280502014674042E-3</v>
      </c>
      <c r="E542" s="275"/>
      <c r="F542" s="290"/>
      <c r="G542" s="305">
        <v>44715</v>
      </c>
      <c r="H542" s="306">
        <v>2251.6003417939801</v>
      </c>
      <c r="I542" s="293">
        <f t="shared" si="17"/>
        <v>-2.9796152682123277E-2</v>
      </c>
      <c r="J542" s="289"/>
      <c r="K542" s="275"/>
      <c r="L542" s="290"/>
      <c r="M542" s="275"/>
      <c r="N542" s="275"/>
      <c r="O542" s="275"/>
      <c r="P542" s="275"/>
      <c r="Q542" s="275"/>
      <c r="R542" s="275"/>
      <c r="S542" s="275"/>
      <c r="T542" s="275"/>
    </row>
    <row r="543" spans="1:20" ht="15" customHeight="1">
      <c r="A543" s="20"/>
      <c r="B543" s="294">
        <v>44718</v>
      </c>
      <c r="C543" s="295">
        <v>16569.55078125</v>
      </c>
      <c r="D543" s="296">
        <f t="shared" si="16"/>
        <v>-8.893953501299351E-4</v>
      </c>
      <c r="E543" s="20"/>
      <c r="F543" s="297"/>
      <c r="G543" s="298">
        <v>44718</v>
      </c>
      <c r="H543" s="299">
        <v>2214.1281738310199</v>
      </c>
      <c r="I543" s="300">
        <f t="shared" si="17"/>
        <v>-1.664245970628336E-2</v>
      </c>
      <c r="J543" s="296"/>
      <c r="K543" s="20"/>
      <c r="L543" s="297"/>
      <c r="M543" s="275"/>
      <c r="N543" s="275"/>
      <c r="O543" s="275"/>
      <c r="P543" s="275"/>
      <c r="Q543" s="275"/>
      <c r="R543" s="275"/>
      <c r="S543" s="275"/>
      <c r="T543" s="275"/>
    </row>
    <row r="544" spans="1:20" ht="15" customHeight="1">
      <c r="A544" s="275"/>
      <c r="B544" s="303">
        <v>44719</v>
      </c>
      <c r="C544" s="304">
        <v>16416.349609375</v>
      </c>
      <c r="D544" s="289">
        <f t="shared" si="16"/>
        <v>-9.2459460064760173E-3</v>
      </c>
      <c r="E544" s="275"/>
      <c r="F544" s="290"/>
      <c r="G544" s="305">
        <v>44719</v>
      </c>
      <c r="H544" s="306">
        <v>2240.3588867129602</v>
      </c>
      <c r="I544" s="293">
        <f t="shared" si="17"/>
        <v>1.1846971278340338E-2</v>
      </c>
      <c r="J544" s="289"/>
      <c r="K544" s="275"/>
      <c r="L544" s="290"/>
      <c r="M544" s="275"/>
      <c r="N544" s="275"/>
      <c r="O544" s="275"/>
      <c r="P544" s="275"/>
      <c r="Q544" s="275"/>
      <c r="R544" s="275"/>
      <c r="S544" s="275"/>
      <c r="T544" s="275"/>
    </row>
    <row r="545" spans="1:20" ht="15" customHeight="1">
      <c r="A545" s="20"/>
      <c r="B545" s="294">
        <v>44720</v>
      </c>
      <c r="C545" s="295">
        <v>16356.25</v>
      </c>
      <c r="D545" s="296">
        <f t="shared" si="16"/>
        <v>-3.6609606157923498E-3</v>
      </c>
      <c r="E545" s="20"/>
      <c r="F545" s="297"/>
      <c r="G545" s="298">
        <v>44720</v>
      </c>
      <c r="H545" s="299">
        <v>2253.517578125</v>
      </c>
      <c r="I545" s="300">
        <f t="shared" si="17"/>
        <v>5.8734747767783708E-3</v>
      </c>
      <c r="J545" s="296"/>
      <c r="K545" s="20"/>
      <c r="L545" s="297"/>
      <c r="M545" s="275"/>
      <c r="N545" s="275"/>
      <c r="O545" s="275"/>
      <c r="P545" s="275"/>
      <c r="Q545" s="275"/>
      <c r="R545" s="275"/>
      <c r="S545" s="275"/>
      <c r="T545" s="275"/>
    </row>
    <row r="546" spans="1:20" ht="15" customHeight="1">
      <c r="A546" s="275"/>
      <c r="B546" s="303">
        <v>44721</v>
      </c>
      <c r="C546" s="304">
        <v>16478.099609375</v>
      </c>
      <c r="D546" s="289">
        <f t="shared" si="16"/>
        <v>7.4497277416889565E-3</v>
      </c>
      <c r="E546" s="275"/>
      <c r="F546" s="290"/>
      <c r="G546" s="305">
        <v>44721</v>
      </c>
      <c r="H546" s="306">
        <v>2264.1052246064801</v>
      </c>
      <c r="I546" s="293">
        <f t="shared" si="17"/>
        <v>4.6982755245642879E-3</v>
      </c>
      <c r="J546" s="289"/>
      <c r="K546" s="275"/>
      <c r="L546" s="290"/>
      <c r="M546" s="275"/>
      <c r="N546" s="275"/>
      <c r="O546" s="275"/>
      <c r="P546" s="275"/>
      <c r="Q546" s="275"/>
      <c r="R546" s="275"/>
      <c r="S546" s="275"/>
      <c r="T546" s="275"/>
    </row>
    <row r="547" spans="1:20" ht="15" customHeight="1">
      <c r="A547" s="20"/>
      <c r="B547" s="294">
        <v>44722</v>
      </c>
      <c r="C547" s="295">
        <v>16201.7998046875</v>
      </c>
      <c r="D547" s="296">
        <f t="shared" si="16"/>
        <v>-1.6767698414100061E-2</v>
      </c>
      <c r="E547" s="20"/>
      <c r="F547" s="297"/>
      <c r="G547" s="298">
        <v>44722</v>
      </c>
      <c r="H547" s="299">
        <v>2267.4604492129602</v>
      </c>
      <c r="I547" s="300">
        <f t="shared" si="17"/>
        <v>1.4819207914964481E-3</v>
      </c>
      <c r="J547" s="296"/>
      <c r="K547" s="20"/>
      <c r="L547" s="297"/>
      <c r="M547" s="275"/>
      <c r="N547" s="275"/>
      <c r="O547" s="275"/>
      <c r="P547" s="275"/>
      <c r="Q547" s="275"/>
      <c r="R547" s="275"/>
      <c r="S547" s="275"/>
      <c r="T547" s="275"/>
    </row>
    <row r="548" spans="1:20" ht="15" customHeight="1">
      <c r="A548" s="275"/>
      <c r="B548" s="303">
        <v>44725</v>
      </c>
      <c r="C548" s="304">
        <v>15774.400390625</v>
      </c>
      <c r="D548" s="289">
        <f t="shared" si="16"/>
        <v>-2.6379749115209097E-2</v>
      </c>
      <c r="E548" s="275"/>
      <c r="F548" s="290"/>
      <c r="G548" s="305">
        <v>44725</v>
      </c>
      <c r="H548" s="306">
        <v>2264.7158203125</v>
      </c>
      <c r="I548" s="293">
        <f t="shared" si="17"/>
        <v>-1.2104417968625749E-3</v>
      </c>
      <c r="J548" s="289"/>
      <c r="K548" s="275"/>
      <c r="L548" s="290"/>
      <c r="M548" s="275"/>
      <c r="N548" s="275"/>
      <c r="O548" s="275"/>
      <c r="P548" s="275"/>
      <c r="Q548" s="275"/>
      <c r="R548" s="275"/>
      <c r="S548" s="275"/>
      <c r="T548" s="275"/>
    </row>
    <row r="549" spans="1:20" ht="15" customHeight="1">
      <c r="A549" s="20"/>
      <c r="B549" s="294">
        <v>44726</v>
      </c>
      <c r="C549" s="295">
        <v>15732.099609375</v>
      </c>
      <c r="D549" s="296">
        <f t="shared" si="16"/>
        <v>-2.6816094559854137E-3</v>
      </c>
      <c r="E549" s="20"/>
      <c r="F549" s="297"/>
      <c r="G549" s="298">
        <v>44726</v>
      </c>
      <c r="H549" s="299">
        <v>2228.8120117129602</v>
      </c>
      <c r="I549" s="300">
        <f t="shared" si="17"/>
        <v>-1.5853560202792067E-2</v>
      </c>
      <c r="J549" s="296"/>
      <c r="K549" s="20"/>
      <c r="L549" s="297"/>
      <c r="M549" s="275"/>
      <c r="N549" s="275"/>
      <c r="O549" s="275"/>
      <c r="P549" s="275"/>
      <c r="Q549" s="275"/>
      <c r="R549" s="275"/>
      <c r="S549" s="275"/>
      <c r="T549" s="275"/>
    </row>
    <row r="550" spans="1:20" ht="15" customHeight="1">
      <c r="A550" s="275"/>
      <c r="B550" s="303">
        <v>44727</v>
      </c>
      <c r="C550" s="304">
        <v>15692.150390625</v>
      </c>
      <c r="D550" s="289">
        <f t="shared" si="16"/>
        <v>-2.5393443813560425E-3</v>
      </c>
      <c r="E550" s="275"/>
      <c r="F550" s="290"/>
      <c r="G550" s="305">
        <v>44727</v>
      </c>
      <c r="H550" s="306">
        <v>2270.3801269560199</v>
      </c>
      <c r="I550" s="293">
        <f t="shared" si="17"/>
        <v>1.8650346024971603E-2</v>
      </c>
      <c r="J550" s="289"/>
      <c r="K550" s="275"/>
      <c r="L550" s="290"/>
      <c r="M550" s="275"/>
      <c r="N550" s="275"/>
      <c r="O550" s="275"/>
      <c r="P550" s="275"/>
      <c r="Q550" s="275"/>
      <c r="R550" s="275"/>
      <c r="S550" s="275"/>
      <c r="T550" s="275"/>
    </row>
    <row r="551" spans="1:20" ht="15" customHeight="1">
      <c r="A551" s="20"/>
      <c r="B551" s="294">
        <v>44728</v>
      </c>
      <c r="C551" s="295">
        <v>15360.599609375</v>
      </c>
      <c r="D551" s="296">
        <f t="shared" si="16"/>
        <v>-2.1128447854290206E-2</v>
      </c>
      <c r="E551" s="20"/>
      <c r="F551" s="297"/>
      <c r="G551" s="298">
        <v>44728</v>
      </c>
      <c r="H551" s="299">
        <v>2195.2177734375</v>
      </c>
      <c r="I551" s="300">
        <f t="shared" si="17"/>
        <v>-3.3105625188541793E-2</v>
      </c>
      <c r="J551" s="296"/>
      <c r="K551" s="20"/>
      <c r="L551" s="297"/>
      <c r="M551" s="275"/>
      <c r="N551" s="275"/>
      <c r="O551" s="275"/>
      <c r="P551" s="275"/>
      <c r="Q551" s="275"/>
      <c r="R551" s="275"/>
      <c r="S551" s="275"/>
      <c r="T551" s="275"/>
    </row>
    <row r="552" spans="1:20" ht="15" customHeight="1">
      <c r="A552" s="275"/>
      <c r="B552" s="303">
        <v>44729</v>
      </c>
      <c r="C552" s="304">
        <v>15293.5</v>
      </c>
      <c r="D552" s="289">
        <f t="shared" si="16"/>
        <v>-4.3682936266398898E-3</v>
      </c>
      <c r="E552" s="275"/>
      <c r="F552" s="290"/>
      <c r="G552" s="305">
        <v>44729</v>
      </c>
      <c r="H552" s="306">
        <v>2150.2077636689801</v>
      </c>
      <c r="I552" s="293">
        <f t="shared" si="17"/>
        <v>-2.0503664972627556E-2</v>
      </c>
      <c r="J552" s="289"/>
      <c r="K552" s="275"/>
      <c r="L552" s="290"/>
      <c r="M552" s="275"/>
      <c r="N552" s="275"/>
      <c r="O552" s="275"/>
      <c r="P552" s="275"/>
      <c r="Q552" s="275"/>
      <c r="R552" s="275"/>
      <c r="S552" s="275"/>
      <c r="T552" s="275"/>
    </row>
    <row r="553" spans="1:20" ht="15" customHeight="1">
      <c r="A553" s="20"/>
      <c r="B553" s="294">
        <v>44732</v>
      </c>
      <c r="C553" s="295">
        <v>15350.150390625</v>
      </c>
      <c r="D553" s="296">
        <f t="shared" si="16"/>
        <v>3.7042135956452085E-3</v>
      </c>
      <c r="E553" s="20"/>
      <c r="F553" s="297"/>
      <c r="G553" s="298">
        <v>44732</v>
      </c>
      <c r="H553" s="299">
        <v>2137.2663574189801</v>
      </c>
      <c r="I553" s="300">
        <f t="shared" si="17"/>
        <v>-6.0186771104935432E-3</v>
      </c>
      <c r="J553" s="296"/>
      <c r="K553" s="20"/>
      <c r="L553" s="297"/>
      <c r="M553" s="275"/>
      <c r="N553" s="275"/>
      <c r="O553" s="275"/>
      <c r="P553" s="275"/>
      <c r="Q553" s="275"/>
      <c r="R553" s="275"/>
      <c r="S553" s="275"/>
      <c r="T553" s="275"/>
    </row>
    <row r="554" spans="1:20" ht="15" customHeight="1">
      <c r="A554" s="275"/>
      <c r="B554" s="303">
        <v>44733</v>
      </c>
      <c r="C554" s="304">
        <v>15638.7998046875</v>
      </c>
      <c r="D554" s="289">
        <f t="shared" si="16"/>
        <v>1.8804337854487124E-2</v>
      </c>
      <c r="E554" s="275"/>
      <c r="F554" s="290"/>
      <c r="G554" s="305">
        <v>44733</v>
      </c>
      <c r="H554" s="306">
        <v>2177.9194335879602</v>
      </c>
      <c r="I554" s="293">
        <f t="shared" si="17"/>
        <v>1.9021062128200913E-2</v>
      </c>
      <c r="J554" s="289"/>
      <c r="K554" s="275"/>
      <c r="L554" s="290"/>
      <c r="M554" s="275"/>
      <c r="N554" s="275"/>
      <c r="O554" s="275"/>
      <c r="P554" s="275"/>
      <c r="Q554" s="275"/>
      <c r="R554" s="275"/>
      <c r="S554" s="275"/>
      <c r="T554" s="275"/>
    </row>
    <row r="555" spans="1:20" ht="15" customHeight="1">
      <c r="A555" s="20"/>
      <c r="B555" s="294">
        <v>44734</v>
      </c>
      <c r="C555" s="295">
        <v>15413.2998046875</v>
      </c>
      <c r="D555" s="296">
        <f t="shared" si="16"/>
        <v>-1.4419265085317462E-2</v>
      </c>
      <c r="E555" s="20"/>
      <c r="F555" s="297"/>
      <c r="G555" s="298">
        <v>44734</v>
      </c>
      <c r="H555" s="299">
        <v>2199.9233398379602</v>
      </c>
      <c r="I555" s="300">
        <f t="shared" si="17"/>
        <v>1.0103177330921835E-2</v>
      </c>
      <c r="J555" s="296"/>
      <c r="K555" s="20"/>
      <c r="L555" s="297"/>
      <c r="M555" s="275"/>
      <c r="N555" s="275"/>
      <c r="O555" s="275"/>
      <c r="P555" s="275"/>
      <c r="Q555" s="275"/>
      <c r="R555" s="275"/>
      <c r="S555" s="275"/>
      <c r="T555" s="275"/>
    </row>
    <row r="556" spans="1:20" ht="15" customHeight="1">
      <c r="A556" s="275"/>
      <c r="B556" s="303">
        <v>44735</v>
      </c>
      <c r="C556" s="304">
        <v>15556.650390625</v>
      </c>
      <c r="D556" s="289">
        <f t="shared" si="16"/>
        <v>9.3004475196092756E-3</v>
      </c>
      <c r="E556" s="275"/>
      <c r="F556" s="290"/>
      <c r="G556" s="305">
        <v>44735</v>
      </c>
      <c r="H556" s="306">
        <v>2330.3354492129602</v>
      </c>
      <c r="I556" s="293">
        <f t="shared" si="17"/>
        <v>5.928029718735825E-2</v>
      </c>
      <c r="J556" s="289"/>
      <c r="K556" s="275"/>
      <c r="L556" s="290"/>
      <c r="M556" s="275"/>
      <c r="N556" s="275"/>
      <c r="O556" s="275"/>
      <c r="P556" s="275"/>
      <c r="Q556" s="275"/>
      <c r="R556" s="275"/>
      <c r="S556" s="275"/>
      <c r="T556" s="275"/>
    </row>
    <row r="557" spans="1:20" ht="15" customHeight="1">
      <c r="A557" s="20"/>
      <c r="B557" s="294">
        <v>44736</v>
      </c>
      <c r="C557" s="295">
        <v>15699.25</v>
      </c>
      <c r="D557" s="296">
        <f t="shared" si="16"/>
        <v>9.1664725885294493E-3</v>
      </c>
      <c r="E557" s="20"/>
      <c r="F557" s="297"/>
      <c r="G557" s="298">
        <v>44736</v>
      </c>
      <c r="H557" s="299">
        <v>2405.1489257870398</v>
      </c>
      <c r="I557" s="300">
        <f t="shared" si="17"/>
        <v>3.2104166204632446E-2</v>
      </c>
      <c r="J557" s="296"/>
      <c r="K557" s="20"/>
      <c r="L557" s="297"/>
      <c r="M557" s="275"/>
      <c r="N557" s="275"/>
      <c r="O557" s="275"/>
      <c r="P557" s="275"/>
      <c r="Q557" s="275"/>
      <c r="R557" s="275"/>
      <c r="S557" s="275"/>
      <c r="T557" s="275"/>
    </row>
    <row r="558" spans="1:20" ht="15" customHeight="1">
      <c r="A558" s="275"/>
      <c r="B558" s="303">
        <v>44739</v>
      </c>
      <c r="C558" s="304">
        <v>15832.0498046875</v>
      </c>
      <c r="D558" s="289">
        <f t="shared" si="16"/>
        <v>8.4589903777250505E-3</v>
      </c>
      <c r="E558" s="275"/>
      <c r="F558" s="290"/>
      <c r="G558" s="305">
        <v>44739</v>
      </c>
      <c r="H558" s="306">
        <v>2401.2712402314801</v>
      </c>
      <c r="I558" s="293">
        <f t="shared" si="17"/>
        <v>-1.6122434307434268E-3</v>
      </c>
      <c r="J558" s="289"/>
      <c r="K558" s="275"/>
      <c r="L558" s="290"/>
      <c r="M558" s="275"/>
      <c r="N558" s="275"/>
      <c r="O558" s="275"/>
      <c r="P558" s="275"/>
      <c r="Q558" s="275"/>
      <c r="R558" s="275"/>
      <c r="S558" s="275"/>
      <c r="T558" s="275"/>
    </row>
    <row r="559" spans="1:20" ht="15" customHeight="1">
      <c r="A559" s="20"/>
      <c r="B559" s="294">
        <v>44740</v>
      </c>
      <c r="C559" s="295">
        <v>15850.2001953125</v>
      </c>
      <c r="D559" s="296">
        <f t="shared" si="16"/>
        <v>1.14643339611186E-3</v>
      </c>
      <c r="E559" s="20"/>
      <c r="F559" s="297"/>
      <c r="G559" s="298">
        <v>44740</v>
      </c>
      <c r="H559" s="299">
        <v>2411.03125</v>
      </c>
      <c r="I559" s="300">
        <f t="shared" si="17"/>
        <v>4.0645178291391464E-3</v>
      </c>
      <c r="J559" s="296"/>
      <c r="K559" s="20"/>
      <c r="L559" s="297"/>
      <c r="M559" s="275"/>
      <c r="N559" s="275"/>
      <c r="O559" s="275"/>
      <c r="P559" s="275"/>
      <c r="Q559" s="275"/>
      <c r="R559" s="275"/>
      <c r="S559" s="275"/>
      <c r="T559" s="275"/>
    </row>
    <row r="560" spans="1:20" ht="15" customHeight="1">
      <c r="A560" s="275"/>
      <c r="B560" s="303">
        <v>44741</v>
      </c>
      <c r="C560" s="304">
        <v>15799.099609375</v>
      </c>
      <c r="D560" s="289">
        <f t="shared" si="16"/>
        <v>-3.2239710103227821E-3</v>
      </c>
      <c r="E560" s="275"/>
      <c r="F560" s="290"/>
      <c r="G560" s="305">
        <v>44741</v>
      </c>
      <c r="H560" s="306">
        <v>2398.5695800810199</v>
      </c>
      <c r="I560" s="293">
        <f t="shared" si="17"/>
        <v>-5.1686057237873119E-3</v>
      </c>
      <c r="J560" s="289"/>
      <c r="K560" s="275"/>
      <c r="L560" s="290"/>
      <c r="M560" s="275"/>
      <c r="N560" s="275"/>
      <c r="O560" s="275"/>
      <c r="P560" s="275"/>
      <c r="Q560" s="275"/>
      <c r="R560" s="275"/>
      <c r="S560" s="275"/>
      <c r="T560" s="275"/>
    </row>
    <row r="561" spans="1:20" ht="15" customHeight="1">
      <c r="A561" s="20"/>
      <c r="B561" s="294">
        <v>44742</v>
      </c>
      <c r="C561" s="295">
        <v>15780.25</v>
      </c>
      <c r="D561" s="296">
        <f t="shared" si="16"/>
        <v>-1.1930812414028243E-3</v>
      </c>
      <c r="E561" s="20"/>
      <c r="F561" s="297"/>
      <c r="G561" s="298">
        <v>44742</v>
      </c>
      <c r="H561" s="299">
        <v>2370.0737304629602</v>
      </c>
      <c r="I561" s="300">
        <f t="shared" si="17"/>
        <v>-1.1880351462264948E-2</v>
      </c>
      <c r="J561" s="296"/>
      <c r="K561" s="20"/>
      <c r="L561" s="297"/>
      <c r="M561" s="275"/>
      <c r="N561" s="275"/>
      <c r="O561" s="275"/>
      <c r="P561" s="275"/>
      <c r="Q561" s="275"/>
      <c r="R561" s="275"/>
      <c r="S561" s="275"/>
      <c r="T561" s="275"/>
    </row>
    <row r="562" spans="1:20" ht="15" customHeight="1">
      <c r="A562" s="275"/>
      <c r="B562" s="303">
        <v>44743</v>
      </c>
      <c r="C562" s="304">
        <v>15752.0498046875</v>
      </c>
      <c r="D562" s="289">
        <f t="shared" si="16"/>
        <v>-1.7870563085185596E-3</v>
      </c>
      <c r="E562" s="275"/>
      <c r="F562" s="290"/>
      <c r="G562" s="305">
        <v>44743</v>
      </c>
      <c r="H562" s="306">
        <v>2408.5041503935199</v>
      </c>
      <c r="I562" s="293">
        <f t="shared" si="17"/>
        <v>1.6214862616553676E-2</v>
      </c>
      <c r="J562" s="289"/>
      <c r="K562" s="275"/>
      <c r="L562" s="290"/>
      <c r="M562" s="275"/>
      <c r="N562" s="275"/>
      <c r="O562" s="275"/>
      <c r="P562" s="275"/>
      <c r="Q562" s="275"/>
      <c r="R562" s="275"/>
      <c r="S562" s="275"/>
      <c r="T562" s="275"/>
    </row>
    <row r="563" spans="1:20" ht="15" customHeight="1">
      <c r="A563" s="20"/>
      <c r="B563" s="294">
        <v>44746</v>
      </c>
      <c r="C563" s="295">
        <v>15835.349609375</v>
      </c>
      <c r="D563" s="296">
        <f t="shared" si="16"/>
        <v>5.288188249805534E-3</v>
      </c>
      <c r="E563" s="20"/>
      <c r="F563" s="297"/>
      <c r="G563" s="298">
        <v>44746</v>
      </c>
      <c r="H563" s="299">
        <v>2405.5852050810199</v>
      </c>
      <c r="I563" s="300">
        <f t="shared" si="17"/>
        <v>-1.2119328555124475E-3</v>
      </c>
      <c r="J563" s="296"/>
      <c r="K563" s="20"/>
      <c r="L563" s="297"/>
      <c r="M563" s="275"/>
      <c r="N563" s="275"/>
      <c r="O563" s="275"/>
      <c r="P563" s="275"/>
      <c r="Q563" s="275"/>
      <c r="R563" s="275"/>
      <c r="S563" s="275"/>
      <c r="T563" s="275"/>
    </row>
    <row r="564" spans="1:20" ht="15" customHeight="1">
      <c r="A564" s="275"/>
      <c r="B564" s="303">
        <v>44747</v>
      </c>
      <c r="C564" s="304">
        <v>15810.849609375</v>
      </c>
      <c r="D564" s="289">
        <f t="shared" si="16"/>
        <v>-1.5471713984448608E-3</v>
      </c>
      <c r="E564" s="275"/>
      <c r="F564" s="290"/>
      <c r="G564" s="305">
        <v>44747</v>
      </c>
      <c r="H564" s="306">
        <v>2385.3674316435199</v>
      </c>
      <c r="I564" s="293">
        <f t="shared" si="17"/>
        <v>-8.4045135440625838E-3</v>
      </c>
      <c r="J564" s="289"/>
      <c r="K564" s="275"/>
      <c r="L564" s="290"/>
      <c r="M564" s="275"/>
      <c r="N564" s="275"/>
      <c r="O564" s="275"/>
      <c r="P564" s="275"/>
      <c r="Q564" s="275"/>
      <c r="R564" s="275"/>
      <c r="S564" s="275"/>
      <c r="T564" s="275"/>
    </row>
    <row r="565" spans="1:20" ht="15" customHeight="1">
      <c r="A565" s="20"/>
      <c r="B565" s="294">
        <v>44748</v>
      </c>
      <c r="C565" s="295">
        <v>15989.7998046875</v>
      </c>
      <c r="D565" s="296">
        <f t="shared" si="16"/>
        <v>1.1318189707300232E-2</v>
      </c>
      <c r="E565" s="20"/>
      <c r="F565" s="297"/>
      <c r="G565" s="298">
        <v>44748</v>
      </c>
      <c r="H565" s="299">
        <v>2467.7629394560199</v>
      </c>
      <c r="I565" s="300">
        <f t="shared" si="17"/>
        <v>3.4542061201753488E-2</v>
      </c>
      <c r="J565" s="296"/>
      <c r="K565" s="20"/>
      <c r="L565" s="297"/>
      <c r="M565" s="275"/>
      <c r="N565" s="275"/>
      <c r="O565" s="275"/>
      <c r="P565" s="275"/>
      <c r="Q565" s="275"/>
      <c r="R565" s="275"/>
      <c r="S565" s="275"/>
      <c r="T565" s="275"/>
    </row>
    <row r="566" spans="1:20" ht="15" customHeight="1">
      <c r="A566" s="275"/>
      <c r="B566" s="303">
        <v>44749</v>
      </c>
      <c r="C566" s="304">
        <v>16132.900390625</v>
      </c>
      <c r="D566" s="289">
        <f t="shared" si="16"/>
        <v>8.9494920315105666E-3</v>
      </c>
      <c r="E566" s="275"/>
      <c r="F566" s="290"/>
      <c r="G566" s="305">
        <v>44749</v>
      </c>
      <c r="H566" s="306">
        <v>2474.4289550810199</v>
      </c>
      <c r="I566" s="293">
        <f t="shared" si="17"/>
        <v>2.7012382423043518E-3</v>
      </c>
      <c r="J566" s="289"/>
      <c r="K566" s="275"/>
      <c r="L566" s="290"/>
      <c r="M566" s="275"/>
      <c r="N566" s="275"/>
      <c r="O566" s="275"/>
      <c r="P566" s="275"/>
      <c r="Q566" s="275"/>
      <c r="R566" s="275"/>
      <c r="S566" s="275"/>
      <c r="T566" s="275"/>
    </row>
    <row r="567" spans="1:20" ht="15" customHeight="1">
      <c r="A567" s="20"/>
      <c r="B567" s="294">
        <v>44750</v>
      </c>
      <c r="C567" s="295">
        <v>16220.599609375</v>
      </c>
      <c r="D567" s="296">
        <f t="shared" si="16"/>
        <v>5.436047866567313E-3</v>
      </c>
      <c r="E567" s="20"/>
      <c r="F567" s="297"/>
      <c r="G567" s="298">
        <v>44750</v>
      </c>
      <c r="H567" s="299">
        <v>2483.0131835879602</v>
      </c>
      <c r="I567" s="300">
        <f t="shared" si="17"/>
        <v>3.4691755806176149E-3</v>
      </c>
      <c r="J567" s="296"/>
      <c r="K567" s="20"/>
      <c r="L567" s="297"/>
      <c r="M567" s="275"/>
      <c r="N567" s="275"/>
      <c r="O567" s="275"/>
      <c r="P567" s="275"/>
      <c r="Q567" s="275"/>
      <c r="R567" s="275"/>
      <c r="S567" s="275"/>
      <c r="T567" s="275"/>
    </row>
    <row r="568" spans="1:20" ht="15" customHeight="1">
      <c r="A568" s="275"/>
      <c r="B568" s="303">
        <v>44753</v>
      </c>
      <c r="C568" s="304">
        <v>16216</v>
      </c>
      <c r="D568" s="289">
        <f t="shared" si="16"/>
        <v>-2.8356592763325282E-4</v>
      </c>
      <c r="E568" s="275"/>
      <c r="F568" s="290"/>
      <c r="G568" s="305">
        <v>44753</v>
      </c>
      <c r="H568" s="306">
        <v>2499.3962402314801</v>
      </c>
      <c r="I568" s="293">
        <f t="shared" si="17"/>
        <v>6.5980546345091751E-3</v>
      </c>
      <c r="J568" s="289"/>
      <c r="K568" s="275"/>
      <c r="L568" s="290"/>
      <c r="M568" s="275"/>
      <c r="N568" s="275"/>
      <c r="O568" s="275"/>
      <c r="P568" s="275"/>
      <c r="Q568" s="275"/>
      <c r="R568" s="275"/>
      <c r="S568" s="275"/>
      <c r="T568" s="275"/>
    </row>
    <row r="569" spans="1:20" ht="15" customHeight="1">
      <c r="A569" s="20"/>
      <c r="B569" s="294">
        <v>44754</v>
      </c>
      <c r="C569" s="295">
        <v>16058.2998046875</v>
      </c>
      <c r="D569" s="296">
        <f t="shared" si="16"/>
        <v>-9.7249750439380861E-3</v>
      </c>
      <c r="E569" s="20"/>
      <c r="F569" s="297"/>
      <c r="G569" s="298">
        <v>44754</v>
      </c>
      <c r="H569" s="299">
        <v>2505.8452148379602</v>
      </c>
      <c r="I569" s="300">
        <f t="shared" si="17"/>
        <v>2.580212974107223E-3</v>
      </c>
      <c r="J569" s="296"/>
      <c r="K569" s="20"/>
      <c r="L569" s="297"/>
      <c r="M569" s="275"/>
      <c r="N569" s="275"/>
      <c r="O569" s="275"/>
      <c r="P569" s="275"/>
      <c r="Q569" s="275"/>
      <c r="R569" s="275"/>
      <c r="S569" s="275"/>
      <c r="T569" s="275"/>
    </row>
    <row r="570" spans="1:20" ht="15" customHeight="1">
      <c r="A570" s="275"/>
      <c r="B570" s="303">
        <v>44755</v>
      </c>
      <c r="C570" s="304">
        <v>15966.650390625</v>
      </c>
      <c r="D570" s="289">
        <f t="shared" si="16"/>
        <v>-5.707292501522924E-3</v>
      </c>
      <c r="E570" s="275"/>
      <c r="F570" s="290"/>
      <c r="G570" s="305">
        <v>44755</v>
      </c>
      <c r="H570" s="306">
        <v>2477.828125</v>
      </c>
      <c r="I570" s="293">
        <f t="shared" si="17"/>
        <v>-1.1180694510603231E-2</v>
      </c>
      <c r="J570" s="289"/>
      <c r="K570" s="275"/>
      <c r="L570" s="290"/>
      <c r="M570" s="275"/>
      <c r="N570" s="275"/>
      <c r="O570" s="275"/>
      <c r="P570" s="275"/>
      <c r="Q570" s="275"/>
      <c r="R570" s="275"/>
      <c r="S570" s="275"/>
      <c r="T570" s="275"/>
    </row>
    <row r="571" spans="1:20" ht="15" customHeight="1">
      <c r="A571" s="20"/>
      <c r="B571" s="294">
        <v>44756</v>
      </c>
      <c r="C571" s="295">
        <v>15938.650390625</v>
      </c>
      <c r="D571" s="296">
        <f t="shared" si="16"/>
        <v>-1.7536552323109999E-3</v>
      </c>
      <c r="E571" s="20"/>
      <c r="F571" s="297"/>
      <c r="G571" s="298">
        <v>44756</v>
      </c>
      <c r="H571" s="299">
        <v>2433.7763671875</v>
      </c>
      <c r="I571" s="300">
        <f t="shared" si="17"/>
        <v>-1.7778375089071201E-2</v>
      </c>
      <c r="J571" s="296"/>
      <c r="K571" s="20"/>
      <c r="L571" s="297"/>
      <c r="M571" s="275"/>
      <c r="N571" s="275"/>
      <c r="O571" s="275"/>
      <c r="P571" s="275"/>
      <c r="Q571" s="275"/>
      <c r="R571" s="275"/>
      <c r="S571" s="275"/>
      <c r="T571" s="275"/>
    </row>
    <row r="572" spans="1:20" ht="15" customHeight="1">
      <c r="A572" s="275"/>
      <c r="B572" s="303">
        <v>44757</v>
      </c>
      <c r="C572" s="304">
        <v>16049.2001953125</v>
      </c>
      <c r="D572" s="289">
        <f t="shared" si="16"/>
        <v>6.9359576863875878E-3</v>
      </c>
      <c r="E572" s="275"/>
      <c r="F572" s="290"/>
      <c r="G572" s="305">
        <v>44757</v>
      </c>
      <c r="H572" s="306">
        <v>2440.0942382870398</v>
      </c>
      <c r="I572" s="293">
        <f t="shared" si="17"/>
        <v>2.5959127488943646E-3</v>
      </c>
      <c r="J572" s="289"/>
      <c r="K572" s="275"/>
      <c r="L572" s="290"/>
      <c r="M572" s="275"/>
      <c r="N572" s="275"/>
      <c r="O572" s="275"/>
      <c r="P572" s="275"/>
      <c r="Q572" s="275"/>
      <c r="R572" s="275"/>
      <c r="S572" s="275"/>
      <c r="T572" s="275"/>
    </row>
    <row r="573" spans="1:20" ht="15" customHeight="1">
      <c r="A573" s="20"/>
      <c r="B573" s="294">
        <v>44760</v>
      </c>
      <c r="C573" s="295">
        <v>16278.5</v>
      </c>
      <c r="D573" s="296">
        <f t="shared" si="16"/>
        <v>1.4287304158276481E-2</v>
      </c>
      <c r="E573" s="20"/>
      <c r="F573" s="297"/>
      <c r="G573" s="298">
        <v>44760</v>
      </c>
      <c r="H573" s="299">
        <v>2455.6931152314801</v>
      </c>
      <c r="I573" s="300">
        <f t="shared" si="17"/>
        <v>6.3927354524597113E-3</v>
      </c>
      <c r="J573" s="296"/>
      <c r="K573" s="20"/>
      <c r="L573" s="297"/>
      <c r="M573" s="275"/>
      <c r="N573" s="275"/>
      <c r="O573" s="275"/>
      <c r="P573" s="275"/>
      <c r="Q573" s="275"/>
      <c r="R573" s="275"/>
      <c r="S573" s="275"/>
      <c r="T573" s="275"/>
    </row>
    <row r="574" spans="1:20" ht="15" customHeight="1">
      <c r="A574" s="275"/>
      <c r="B574" s="303">
        <v>44761</v>
      </c>
      <c r="C574" s="304">
        <v>16340.5498046875</v>
      </c>
      <c r="D574" s="289">
        <f t="shared" si="16"/>
        <v>3.8117642711244892E-3</v>
      </c>
      <c r="E574" s="275"/>
      <c r="F574" s="290"/>
      <c r="G574" s="305">
        <v>44761</v>
      </c>
      <c r="H574" s="306">
        <v>2441.0961914120398</v>
      </c>
      <c r="I574" s="293">
        <f t="shared" si="17"/>
        <v>-5.9441156262167111E-3</v>
      </c>
      <c r="J574" s="289"/>
      <c r="K574" s="275"/>
      <c r="L574" s="290"/>
      <c r="M574" s="275"/>
      <c r="N574" s="275"/>
      <c r="O574" s="275"/>
      <c r="P574" s="275"/>
      <c r="Q574" s="275"/>
      <c r="R574" s="275"/>
      <c r="S574" s="275"/>
      <c r="T574" s="275"/>
    </row>
    <row r="575" spans="1:20" ht="15" customHeight="1">
      <c r="A575" s="20"/>
      <c r="B575" s="294">
        <v>44762</v>
      </c>
      <c r="C575" s="295">
        <v>16520.849609375</v>
      </c>
      <c r="D575" s="296">
        <f t="shared" si="16"/>
        <v>1.1033888506969248E-2</v>
      </c>
      <c r="E575" s="20"/>
      <c r="F575" s="297"/>
      <c r="G575" s="298">
        <v>44762</v>
      </c>
      <c r="H575" s="299">
        <v>2463.3615722685199</v>
      </c>
      <c r="I575" s="300">
        <f t="shared" si="17"/>
        <v>9.1210583732060056E-3</v>
      </c>
      <c r="J575" s="296"/>
      <c r="K575" s="20"/>
      <c r="L575" s="297"/>
      <c r="M575" s="275"/>
      <c r="N575" s="275"/>
      <c r="O575" s="275"/>
      <c r="P575" s="275"/>
      <c r="Q575" s="275"/>
      <c r="R575" s="275"/>
      <c r="S575" s="275"/>
      <c r="T575" s="275"/>
    </row>
    <row r="576" spans="1:20" ht="15" customHeight="1">
      <c r="A576" s="275"/>
      <c r="B576" s="303">
        <v>44763</v>
      </c>
      <c r="C576" s="304">
        <v>16605.25</v>
      </c>
      <c r="D576" s="289">
        <f t="shared" si="16"/>
        <v>5.1087197462959628E-3</v>
      </c>
      <c r="E576" s="275"/>
      <c r="F576" s="290"/>
      <c r="G576" s="305">
        <v>44763</v>
      </c>
      <c r="H576" s="306">
        <v>2481.7058105439801</v>
      </c>
      <c r="I576" s="293">
        <f t="shared" si="17"/>
        <v>7.4468313876337984E-3</v>
      </c>
      <c r="J576" s="289"/>
      <c r="K576" s="275"/>
      <c r="L576" s="290"/>
      <c r="M576" s="275"/>
      <c r="N576" s="275"/>
      <c r="O576" s="275"/>
      <c r="P576" s="275"/>
      <c r="Q576" s="275"/>
      <c r="R576" s="275"/>
      <c r="S576" s="275"/>
      <c r="T576" s="275"/>
    </row>
    <row r="577" spans="1:20" ht="15" customHeight="1">
      <c r="A577" s="20"/>
      <c r="B577" s="294">
        <v>44764</v>
      </c>
      <c r="C577" s="295">
        <v>16719.44921875</v>
      </c>
      <c r="D577" s="296">
        <f t="shared" si="16"/>
        <v>6.8772959606148657E-3</v>
      </c>
      <c r="E577" s="20"/>
      <c r="F577" s="297"/>
      <c r="G577" s="298">
        <v>44764</v>
      </c>
      <c r="H577" s="299">
        <v>2502.4460449189801</v>
      </c>
      <c r="I577" s="300">
        <f t="shared" si="17"/>
        <v>8.3572493914795733E-3</v>
      </c>
      <c r="J577" s="296"/>
      <c r="K577" s="20"/>
      <c r="L577" s="297"/>
      <c r="M577" s="275"/>
      <c r="N577" s="275"/>
      <c r="O577" s="275"/>
      <c r="P577" s="275"/>
      <c r="Q577" s="275"/>
      <c r="R577" s="275"/>
      <c r="S577" s="275"/>
      <c r="T577" s="275"/>
    </row>
    <row r="578" spans="1:20" ht="15" customHeight="1">
      <c r="A578" s="275"/>
      <c r="B578" s="303">
        <v>44767</v>
      </c>
      <c r="C578" s="304">
        <v>16631</v>
      </c>
      <c r="D578" s="289">
        <f t="shared" si="16"/>
        <v>-5.2901993117577557E-3</v>
      </c>
      <c r="E578" s="275"/>
      <c r="F578" s="290"/>
      <c r="G578" s="305">
        <v>44767</v>
      </c>
      <c r="H578" s="306">
        <v>2473.9064941435199</v>
      </c>
      <c r="I578" s="293">
        <f t="shared" si="17"/>
        <v>-1.1404661784180111E-2</v>
      </c>
      <c r="J578" s="289"/>
      <c r="K578" s="275"/>
      <c r="L578" s="290"/>
      <c r="M578" s="275"/>
      <c r="N578" s="275"/>
      <c r="O578" s="275"/>
      <c r="P578" s="275"/>
      <c r="Q578" s="275"/>
      <c r="R578" s="275"/>
      <c r="S578" s="275"/>
      <c r="T578" s="275"/>
    </row>
    <row r="579" spans="1:20" ht="15" customHeight="1">
      <c r="A579" s="20"/>
      <c r="B579" s="294">
        <v>44768</v>
      </c>
      <c r="C579" s="295">
        <v>16483.849609375</v>
      </c>
      <c r="D579" s="296">
        <f t="shared" si="16"/>
        <v>-8.8479580677650171E-3</v>
      </c>
      <c r="E579" s="20"/>
      <c r="F579" s="297"/>
      <c r="G579" s="298">
        <v>44768</v>
      </c>
      <c r="H579" s="299">
        <v>2440.7043457060199</v>
      </c>
      <c r="I579" s="300">
        <f t="shared" si="17"/>
        <v>-1.3420939116373017E-2</v>
      </c>
      <c r="J579" s="296"/>
      <c r="K579" s="20"/>
      <c r="L579" s="297"/>
      <c r="M579" s="275"/>
      <c r="N579" s="275"/>
      <c r="O579" s="275"/>
      <c r="P579" s="275"/>
      <c r="Q579" s="275"/>
      <c r="R579" s="275"/>
      <c r="S579" s="275"/>
      <c r="T579" s="275"/>
    </row>
    <row r="580" spans="1:20" ht="15" customHeight="1">
      <c r="A580" s="275"/>
      <c r="B580" s="303">
        <v>44769</v>
      </c>
      <c r="C580" s="304">
        <v>16641.80078125</v>
      </c>
      <c r="D580" s="289">
        <f t="shared" si="16"/>
        <v>9.5821774414374099E-3</v>
      </c>
      <c r="E580" s="275"/>
      <c r="F580" s="290"/>
      <c r="G580" s="305">
        <v>44769</v>
      </c>
      <c r="H580" s="306">
        <v>2455.5295410185199</v>
      </c>
      <c r="I580" s="293">
        <f t="shared" si="17"/>
        <v>6.0741463170589519E-3</v>
      </c>
      <c r="J580" s="289"/>
      <c r="K580" s="275"/>
      <c r="L580" s="290"/>
      <c r="M580" s="275"/>
      <c r="N580" s="275"/>
      <c r="O580" s="275"/>
      <c r="P580" s="275"/>
      <c r="Q580" s="275"/>
      <c r="R580" s="275"/>
      <c r="S580" s="275"/>
      <c r="T580" s="275"/>
    </row>
    <row r="581" spans="1:20" ht="15" customHeight="1">
      <c r="A581" s="20"/>
      <c r="B581" s="294">
        <v>44770</v>
      </c>
      <c r="C581" s="295">
        <v>16929.599609375</v>
      </c>
      <c r="D581" s="296">
        <f t="shared" ref="D581:D644" si="18">(C581-C580)/C580</f>
        <v>1.7293731123692903E-2</v>
      </c>
      <c r="E581" s="20"/>
      <c r="F581" s="297"/>
      <c r="G581" s="298">
        <v>44770</v>
      </c>
      <c r="H581" s="299">
        <v>2453.8972167939801</v>
      </c>
      <c r="I581" s="300">
        <f t="shared" ref="I581:I644" si="19">(H581-H580)/H580</f>
        <v>-6.6475446427037392E-4</v>
      </c>
      <c r="J581" s="296"/>
      <c r="K581" s="20"/>
      <c r="L581" s="297"/>
      <c r="M581" s="275"/>
      <c r="N581" s="275"/>
      <c r="O581" s="275"/>
      <c r="P581" s="275"/>
      <c r="Q581" s="275"/>
      <c r="R581" s="275"/>
      <c r="S581" s="275"/>
      <c r="T581" s="275"/>
    </row>
    <row r="582" spans="1:20" ht="15" customHeight="1">
      <c r="A582" s="275"/>
      <c r="B582" s="303">
        <v>44771</v>
      </c>
      <c r="C582" s="304">
        <v>17158.25</v>
      </c>
      <c r="D582" s="289">
        <f t="shared" si="18"/>
        <v>1.3505953826479256E-2</v>
      </c>
      <c r="E582" s="275"/>
      <c r="F582" s="290"/>
      <c r="G582" s="305">
        <v>44771</v>
      </c>
      <c r="H582" s="306">
        <v>2486.8576660185199</v>
      </c>
      <c r="I582" s="293">
        <f t="shared" si="19"/>
        <v>1.3431878482507395E-2</v>
      </c>
      <c r="J582" s="289"/>
      <c r="K582" s="275"/>
      <c r="L582" s="290"/>
      <c r="M582" s="275"/>
      <c r="N582" s="275"/>
      <c r="O582" s="275"/>
      <c r="P582" s="275"/>
      <c r="Q582" s="275"/>
      <c r="R582" s="275"/>
      <c r="S582" s="275"/>
      <c r="T582" s="275"/>
    </row>
    <row r="583" spans="1:20" ht="15" customHeight="1">
      <c r="A583" s="20"/>
      <c r="B583" s="294">
        <v>44774</v>
      </c>
      <c r="C583" s="295">
        <v>17340.05078125</v>
      </c>
      <c r="D583" s="296">
        <f t="shared" si="18"/>
        <v>1.059553166843938E-2</v>
      </c>
      <c r="E583" s="20"/>
      <c r="F583" s="297"/>
      <c r="G583" s="298">
        <v>44774</v>
      </c>
      <c r="H583" s="299">
        <v>2506.9338378935199</v>
      </c>
      <c r="I583" s="300">
        <f t="shared" si="19"/>
        <v>8.0729074885665334E-3</v>
      </c>
      <c r="J583" s="296"/>
      <c r="K583" s="20"/>
      <c r="L583" s="297"/>
      <c r="M583" s="275"/>
      <c r="N583" s="275"/>
      <c r="O583" s="275"/>
      <c r="P583" s="275"/>
      <c r="Q583" s="275"/>
      <c r="R583" s="275"/>
      <c r="S583" s="275"/>
      <c r="T583" s="275"/>
    </row>
    <row r="584" spans="1:20" ht="15" customHeight="1">
      <c r="A584" s="275"/>
      <c r="B584" s="303">
        <v>44775</v>
      </c>
      <c r="C584" s="304">
        <v>17345.44921875</v>
      </c>
      <c r="D584" s="289">
        <f t="shared" si="18"/>
        <v>3.1132766380577117E-4</v>
      </c>
      <c r="E584" s="275"/>
      <c r="F584" s="290"/>
      <c r="G584" s="305">
        <v>44775</v>
      </c>
      <c r="H584" s="306">
        <v>2445.734375</v>
      </c>
      <c r="I584" s="293">
        <f t="shared" si="19"/>
        <v>-2.4412077402466863E-2</v>
      </c>
      <c r="J584" s="289"/>
      <c r="K584" s="275"/>
      <c r="L584" s="290"/>
      <c r="M584" s="275"/>
      <c r="N584" s="275"/>
      <c r="O584" s="275"/>
      <c r="P584" s="275"/>
      <c r="Q584" s="275"/>
      <c r="R584" s="275"/>
      <c r="S584" s="275"/>
      <c r="T584" s="275"/>
    </row>
    <row r="585" spans="1:20" ht="15" customHeight="1">
      <c r="A585" s="20"/>
      <c r="B585" s="294">
        <v>44776</v>
      </c>
      <c r="C585" s="295">
        <v>17388.150390625</v>
      </c>
      <c r="D585" s="296">
        <f t="shared" si="18"/>
        <v>2.4618083588657416E-3</v>
      </c>
      <c r="E585" s="20"/>
      <c r="F585" s="297"/>
      <c r="G585" s="298">
        <v>44776</v>
      </c>
      <c r="H585" s="299">
        <v>2472.6057128935199</v>
      </c>
      <c r="I585" s="300">
        <f t="shared" si="19"/>
        <v>1.0987022208215036E-2</v>
      </c>
      <c r="J585" s="296"/>
      <c r="K585" s="20"/>
      <c r="L585" s="297"/>
      <c r="M585" s="275"/>
      <c r="N585" s="275"/>
      <c r="O585" s="275"/>
      <c r="P585" s="275"/>
      <c r="Q585" s="275"/>
      <c r="R585" s="275"/>
      <c r="S585" s="275"/>
      <c r="T585" s="275"/>
    </row>
    <row r="586" spans="1:20" ht="15" customHeight="1">
      <c r="A586" s="275"/>
      <c r="B586" s="303">
        <v>44777</v>
      </c>
      <c r="C586" s="304">
        <v>17382</v>
      </c>
      <c r="D586" s="289">
        <f t="shared" si="18"/>
        <v>-3.537116074356043E-4</v>
      </c>
      <c r="E586" s="275"/>
      <c r="F586" s="290"/>
      <c r="G586" s="305">
        <v>44777</v>
      </c>
      <c r="H586" s="306">
        <v>2477.1059570370398</v>
      </c>
      <c r="I586" s="293">
        <f t="shared" si="19"/>
        <v>1.820041149324045E-3</v>
      </c>
      <c r="J586" s="289"/>
      <c r="K586" s="275"/>
      <c r="L586" s="290"/>
      <c r="M586" s="275"/>
      <c r="N586" s="275"/>
      <c r="O586" s="275"/>
      <c r="P586" s="275"/>
      <c r="Q586" s="275"/>
      <c r="R586" s="275"/>
      <c r="S586" s="275"/>
      <c r="T586" s="275"/>
    </row>
    <row r="587" spans="1:20" ht="15" customHeight="1">
      <c r="A587" s="20"/>
      <c r="B587" s="294">
        <v>44778</v>
      </c>
      <c r="C587" s="295">
        <v>17397.5</v>
      </c>
      <c r="D587" s="296">
        <f t="shared" si="18"/>
        <v>8.9172707398458174E-4</v>
      </c>
      <c r="E587" s="20"/>
      <c r="F587" s="297"/>
      <c r="G587" s="298">
        <v>44778</v>
      </c>
      <c r="H587" s="299">
        <v>2445.0725097685199</v>
      </c>
      <c r="I587" s="300">
        <f t="shared" si="19"/>
        <v>-1.2931803412574381E-2</v>
      </c>
      <c r="J587" s="296"/>
      <c r="K587" s="20"/>
      <c r="L587" s="297"/>
      <c r="M587" s="275"/>
      <c r="N587" s="275"/>
      <c r="O587" s="275"/>
      <c r="P587" s="275"/>
      <c r="Q587" s="275"/>
      <c r="R587" s="275"/>
      <c r="S587" s="275"/>
      <c r="T587" s="275"/>
    </row>
    <row r="588" spans="1:20" ht="15" customHeight="1">
      <c r="A588" s="275"/>
      <c r="B588" s="303">
        <v>44781</v>
      </c>
      <c r="C588" s="304">
        <v>17525.099609375</v>
      </c>
      <c r="D588" s="289">
        <f t="shared" si="18"/>
        <v>7.3343646716482252E-3</v>
      </c>
      <c r="E588" s="275"/>
      <c r="F588" s="290"/>
      <c r="G588" s="305">
        <v>44781</v>
      </c>
      <c r="H588" s="306">
        <v>2416.259765625</v>
      </c>
      <c r="I588" s="293">
        <f t="shared" si="19"/>
        <v>-1.1784003962421418E-2</v>
      </c>
      <c r="J588" s="289"/>
      <c r="K588" s="275"/>
      <c r="L588" s="290"/>
      <c r="M588" s="275"/>
      <c r="N588" s="275"/>
      <c r="O588" s="275"/>
      <c r="P588" s="275"/>
      <c r="Q588" s="275"/>
      <c r="R588" s="275"/>
      <c r="S588" s="275"/>
      <c r="T588" s="275"/>
    </row>
    <row r="589" spans="1:20" ht="15" customHeight="1">
      <c r="A589" s="20"/>
      <c r="B589" s="294">
        <v>44783</v>
      </c>
      <c r="C589" s="295">
        <v>17534.75</v>
      </c>
      <c r="D589" s="296">
        <f t="shared" si="18"/>
        <v>5.5066109979982946E-4</v>
      </c>
      <c r="E589" s="20"/>
      <c r="F589" s="297"/>
      <c r="G589" s="298">
        <v>44783</v>
      </c>
      <c r="H589" s="299">
        <v>2449.2646484375</v>
      </c>
      <c r="I589" s="300">
        <f t="shared" si="19"/>
        <v>1.3659492775588563E-2</v>
      </c>
      <c r="J589" s="296"/>
      <c r="K589" s="20"/>
      <c r="L589" s="297"/>
      <c r="M589" s="275"/>
      <c r="N589" s="275"/>
      <c r="O589" s="275"/>
      <c r="P589" s="275"/>
      <c r="Q589" s="275"/>
      <c r="R589" s="275"/>
      <c r="S589" s="275"/>
      <c r="T589" s="275"/>
    </row>
    <row r="590" spans="1:20" ht="15" customHeight="1">
      <c r="A590" s="275"/>
      <c r="B590" s="303">
        <v>44784</v>
      </c>
      <c r="C590" s="304">
        <v>17659</v>
      </c>
      <c r="D590" s="289">
        <f t="shared" si="18"/>
        <v>7.0859293688247619E-3</v>
      </c>
      <c r="E590" s="275"/>
      <c r="F590" s="290"/>
      <c r="G590" s="305">
        <v>44784</v>
      </c>
      <c r="H590" s="306">
        <v>2457.9567871064801</v>
      </c>
      <c r="I590" s="293">
        <f t="shared" si="19"/>
        <v>3.5488768739324263E-3</v>
      </c>
      <c r="J590" s="289"/>
      <c r="K590" s="275"/>
      <c r="L590" s="290"/>
      <c r="M590" s="275"/>
      <c r="N590" s="275"/>
      <c r="O590" s="275"/>
      <c r="P590" s="275"/>
      <c r="Q590" s="275"/>
      <c r="R590" s="275"/>
      <c r="S590" s="275"/>
      <c r="T590" s="275"/>
    </row>
    <row r="591" spans="1:20" ht="15" customHeight="1">
      <c r="A591" s="20"/>
      <c r="B591" s="294">
        <v>44785</v>
      </c>
      <c r="C591" s="295">
        <v>17698.150390625</v>
      </c>
      <c r="D591" s="296">
        <f t="shared" si="18"/>
        <v>2.2170219505634522E-3</v>
      </c>
      <c r="E591" s="20"/>
      <c r="F591" s="297"/>
      <c r="G591" s="298">
        <v>44785</v>
      </c>
      <c r="H591" s="299">
        <v>2437.3063964814801</v>
      </c>
      <c r="I591" s="300">
        <f t="shared" si="19"/>
        <v>-8.4014457590646865E-3</v>
      </c>
      <c r="J591" s="296"/>
      <c r="K591" s="20"/>
      <c r="L591" s="297"/>
      <c r="M591" s="275"/>
      <c r="N591" s="275"/>
      <c r="O591" s="275"/>
      <c r="P591" s="275"/>
      <c r="Q591" s="275"/>
      <c r="R591" s="275"/>
      <c r="S591" s="275"/>
      <c r="T591" s="275"/>
    </row>
    <row r="592" spans="1:20" ht="15" customHeight="1">
      <c r="A592" s="275"/>
      <c r="B592" s="303">
        <v>44789</v>
      </c>
      <c r="C592" s="304">
        <v>17825.25</v>
      </c>
      <c r="D592" s="289">
        <f t="shared" si="18"/>
        <v>7.18151934353133E-3</v>
      </c>
      <c r="E592" s="275"/>
      <c r="F592" s="290"/>
      <c r="G592" s="305">
        <v>44789</v>
      </c>
      <c r="H592" s="306">
        <v>2485.9309082060199</v>
      </c>
      <c r="I592" s="293">
        <f t="shared" si="19"/>
        <v>1.9950102209034808E-2</v>
      </c>
      <c r="J592" s="289"/>
      <c r="K592" s="275"/>
      <c r="L592" s="290"/>
      <c r="M592" s="275"/>
      <c r="N592" s="275"/>
      <c r="O592" s="275"/>
      <c r="P592" s="275"/>
      <c r="Q592" s="275"/>
      <c r="R592" s="275"/>
      <c r="S592" s="275"/>
      <c r="T592" s="275"/>
    </row>
    <row r="593" spans="1:20" ht="15" customHeight="1">
      <c r="A593" s="20"/>
      <c r="B593" s="294">
        <v>44790</v>
      </c>
      <c r="C593" s="295">
        <v>17944.25</v>
      </c>
      <c r="D593" s="296">
        <f t="shared" si="18"/>
        <v>6.675923198833116E-3</v>
      </c>
      <c r="E593" s="20"/>
      <c r="F593" s="297"/>
      <c r="G593" s="298">
        <v>44790</v>
      </c>
      <c r="H593" s="299">
        <v>2571.0456542939801</v>
      </c>
      <c r="I593" s="300">
        <f t="shared" si="19"/>
        <v>3.4238580729254252E-2</v>
      </c>
      <c r="J593" s="296"/>
      <c r="K593" s="20"/>
      <c r="L593" s="297"/>
      <c r="M593" s="275"/>
      <c r="N593" s="275"/>
      <c r="O593" s="275"/>
      <c r="P593" s="275"/>
      <c r="Q593" s="275"/>
      <c r="R593" s="275"/>
      <c r="S593" s="275"/>
      <c r="T593" s="275"/>
    </row>
    <row r="594" spans="1:20" ht="15" customHeight="1">
      <c r="A594" s="275"/>
      <c r="B594" s="303">
        <v>44791</v>
      </c>
      <c r="C594" s="304">
        <v>17956.5</v>
      </c>
      <c r="D594" s="289">
        <f t="shared" si="18"/>
        <v>6.8266993605193866E-4</v>
      </c>
      <c r="E594" s="275"/>
      <c r="F594" s="290"/>
      <c r="G594" s="305">
        <v>44791</v>
      </c>
      <c r="H594" s="306">
        <v>2566.4128417939801</v>
      </c>
      <c r="I594" s="293">
        <f t="shared" si="19"/>
        <v>-1.801917633108771E-3</v>
      </c>
      <c r="J594" s="289"/>
      <c r="K594" s="275"/>
      <c r="L594" s="290"/>
      <c r="M594" s="275"/>
      <c r="N594" s="275"/>
      <c r="O594" s="275"/>
      <c r="P594" s="275"/>
      <c r="Q594" s="275"/>
      <c r="R594" s="275"/>
      <c r="S594" s="275"/>
      <c r="T594" s="275"/>
    </row>
    <row r="595" spans="1:20" ht="15" customHeight="1">
      <c r="A595" s="20"/>
      <c r="B595" s="294">
        <v>44792</v>
      </c>
      <c r="C595" s="295">
        <v>17758.44921875</v>
      </c>
      <c r="D595" s="296">
        <f t="shared" si="18"/>
        <v>-1.1029475746944004E-2</v>
      </c>
      <c r="E595" s="20"/>
      <c r="F595" s="297"/>
      <c r="G595" s="298">
        <v>44792</v>
      </c>
      <c r="H595" s="299">
        <v>2505.0368652314801</v>
      </c>
      <c r="I595" s="300">
        <f t="shared" si="19"/>
        <v>-2.3915083170951101E-2</v>
      </c>
      <c r="J595" s="296"/>
      <c r="K595" s="20"/>
      <c r="L595" s="297"/>
      <c r="M595" s="275"/>
      <c r="N595" s="275"/>
      <c r="O595" s="275"/>
      <c r="P595" s="275"/>
      <c r="Q595" s="275"/>
      <c r="R595" s="275"/>
      <c r="S595" s="275"/>
      <c r="T595" s="275"/>
    </row>
    <row r="596" spans="1:20" ht="15" customHeight="1">
      <c r="A596" s="275"/>
      <c r="B596" s="303">
        <v>44795</v>
      </c>
      <c r="C596" s="304">
        <v>17490.69921875</v>
      </c>
      <c r="D596" s="289">
        <f t="shared" si="18"/>
        <v>-1.5077330047338822E-2</v>
      </c>
      <c r="E596" s="275"/>
      <c r="F596" s="290"/>
      <c r="G596" s="305">
        <v>44795</v>
      </c>
      <c r="H596" s="306">
        <v>2453.7651367129602</v>
      </c>
      <c r="I596" s="293">
        <f t="shared" si="19"/>
        <v>-2.0467454683059969E-2</v>
      </c>
      <c r="J596" s="289"/>
      <c r="K596" s="275"/>
      <c r="L596" s="290"/>
      <c r="M596" s="275"/>
      <c r="N596" s="275"/>
      <c r="O596" s="275"/>
      <c r="P596" s="275"/>
      <c r="Q596" s="275"/>
      <c r="R596" s="275"/>
      <c r="S596" s="275"/>
      <c r="T596" s="275"/>
    </row>
    <row r="597" spans="1:20" ht="15" customHeight="1">
      <c r="A597" s="20"/>
      <c r="B597" s="294">
        <v>44796</v>
      </c>
      <c r="C597" s="295">
        <v>17577.5</v>
      </c>
      <c r="D597" s="296">
        <f t="shared" si="18"/>
        <v>4.9626821755044369E-3</v>
      </c>
      <c r="E597" s="20"/>
      <c r="F597" s="297"/>
      <c r="G597" s="298">
        <v>44796</v>
      </c>
      <c r="H597" s="299">
        <v>2473.9294433564801</v>
      </c>
      <c r="I597" s="300">
        <f t="shared" si="19"/>
        <v>8.2177003584506993E-3</v>
      </c>
      <c r="J597" s="296"/>
      <c r="K597" s="20"/>
      <c r="L597" s="297"/>
      <c r="M597" s="275"/>
      <c r="N597" s="275"/>
      <c r="O597" s="275"/>
      <c r="P597" s="275"/>
      <c r="Q597" s="275"/>
      <c r="R597" s="275"/>
      <c r="S597" s="275"/>
      <c r="T597" s="275"/>
    </row>
    <row r="598" spans="1:20" ht="15" customHeight="1">
      <c r="A598" s="275"/>
      <c r="B598" s="303">
        <v>44797</v>
      </c>
      <c r="C598" s="304">
        <v>17604.94921875</v>
      </c>
      <c r="D598" s="289">
        <f t="shared" si="18"/>
        <v>1.5616110795050491E-3</v>
      </c>
      <c r="E598" s="275"/>
      <c r="F598" s="290"/>
      <c r="G598" s="305">
        <v>44797</v>
      </c>
      <c r="H598" s="306">
        <v>2476.5324707060199</v>
      </c>
      <c r="I598" s="293">
        <f t="shared" si="19"/>
        <v>1.052183341982547E-3</v>
      </c>
      <c r="J598" s="289"/>
      <c r="K598" s="275"/>
      <c r="L598" s="290"/>
      <c r="M598" s="275"/>
      <c r="N598" s="275"/>
      <c r="O598" s="275"/>
      <c r="P598" s="275"/>
      <c r="Q598" s="275"/>
      <c r="R598" s="275"/>
      <c r="S598" s="275"/>
      <c r="T598" s="275"/>
    </row>
    <row r="599" spans="1:20" ht="15" customHeight="1">
      <c r="A599" s="20"/>
      <c r="B599" s="294">
        <v>44798</v>
      </c>
      <c r="C599" s="295">
        <v>17522.44921875</v>
      </c>
      <c r="D599" s="296">
        <f t="shared" si="18"/>
        <v>-4.686182219266732E-3</v>
      </c>
      <c r="E599" s="20"/>
      <c r="F599" s="297"/>
      <c r="G599" s="298">
        <v>44798</v>
      </c>
      <c r="H599" s="299">
        <v>2470.7524414120398</v>
      </c>
      <c r="I599" s="300">
        <f t="shared" si="19"/>
        <v>-2.3339202543677063E-3</v>
      </c>
      <c r="J599" s="296"/>
      <c r="K599" s="20"/>
      <c r="L599" s="297"/>
      <c r="M599" s="275"/>
      <c r="N599" s="275"/>
      <c r="O599" s="275"/>
      <c r="P599" s="275"/>
      <c r="Q599" s="275"/>
      <c r="R599" s="275"/>
      <c r="S599" s="275"/>
      <c r="T599" s="275"/>
    </row>
    <row r="600" spans="1:20" ht="15" customHeight="1">
      <c r="A600" s="275"/>
      <c r="B600" s="303">
        <v>44799</v>
      </c>
      <c r="C600" s="304">
        <v>17558.900390625</v>
      </c>
      <c r="D600" s="289">
        <f t="shared" si="18"/>
        <v>2.0802555293466174E-3</v>
      </c>
      <c r="E600" s="275"/>
      <c r="F600" s="290"/>
      <c r="G600" s="305">
        <v>44799</v>
      </c>
      <c r="H600" s="306">
        <v>2494.5354003935199</v>
      </c>
      <c r="I600" s="293">
        <f t="shared" si="19"/>
        <v>9.6257960056443659E-3</v>
      </c>
      <c r="J600" s="289"/>
      <c r="K600" s="275"/>
      <c r="L600" s="290"/>
      <c r="M600" s="275"/>
      <c r="N600" s="275"/>
      <c r="O600" s="275"/>
      <c r="P600" s="275"/>
      <c r="Q600" s="275"/>
      <c r="R600" s="275"/>
      <c r="S600" s="275"/>
      <c r="T600" s="275"/>
    </row>
    <row r="601" spans="1:20" ht="15" customHeight="1">
      <c r="A601" s="20"/>
      <c r="B601" s="294">
        <v>44802</v>
      </c>
      <c r="C601" s="295">
        <v>17312.900390625</v>
      </c>
      <c r="D601" s="296">
        <f t="shared" si="18"/>
        <v>-1.400998892455382E-2</v>
      </c>
      <c r="E601" s="20"/>
      <c r="F601" s="297"/>
      <c r="G601" s="298">
        <v>44802</v>
      </c>
      <c r="H601" s="299">
        <v>2494.8000488310199</v>
      </c>
      <c r="I601" s="300">
        <f t="shared" si="19"/>
        <v>1.0609127353263897E-4</v>
      </c>
      <c r="J601" s="296"/>
      <c r="K601" s="20"/>
      <c r="L601" s="297"/>
      <c r="M601" s="275"/>
      <c r="N601" s="275"/>
      <c r="O601" s="275"/>
      <c r="P601" s="275"/>
      <c r="Q601" s="275"/>
      <c r="R601" s="275"/>
      <c r="S601" s="275"/>
      <c r="T601" s="275"/>
    </row>
    <row r="602" spans="1:20" ht="15" customHeight="1">
      <c r="A602" s="275"/>
      <c r="B602" s="303">
        <v>44803</v>
      </c>
      <c r="C602" s="304">
        <v>17759.30078125</v>
      </c>
      <c r="D602" s="289">
        <f t="shared" si="18"/>
        <v>2.5784263789025638E-2</v>
      </c>
      <c r="E602" s="275"/>
      <c r="F602" s="290"/>
      <c r="G602" s="305">
        <v>44803</v>
      </c>
      <c r="H602" s="306">
        <v>2504.1982421875</v>
      </c>
      <c r="I602" s="293">
        <f t="shared" si="19"/>
        <v>3.7671128637678832E-3</v>
      </c>
      <c r="J602" s="289"/>
      <c r="K602" s="275"/>
      <c r="L602" s="290"/>
      <c r="M602" s="275"/>
      <c r="N602" s="275"/>
      <c r="O602" s="275"/>
      <c r="P602" s="275"/>
      <c r="Q602" s="275"/>
      <c r="R602" s="275"/>
      <c r="S602" s="275"/>
      <c r="T602" s="275"/>
    </row>
    <row r="603" spans="1:20" ht="15" customHeight="1">
      <c r="A603" s="20"/>
      <c r="B603" s="294">
        <v>44805</v>
      </c>
      <c r="C603" s="295">
        <v>17542.80078125</v>
      </c>
      <c r="D603" s="296">
        <f t="shared" si="18"/>
        <v>-1.2190795272107639E-2</v>
      </c>
      <c r="E603" s="20"/>
      <c r="F603" s="297"/>
      <c r="G603" s="298">
        <v>44805</v>
      </c>
      <c r="H603" s="299">
        <v>2538.5705566435199</v>
      </c>
      <c r="I603" s="300">
        <f t="shared" si="19"/>
        <v>1.3725875961798683E-2</v>
      </c>
      <c r="J603" s="296"/>
      <c r="K603" s="20"/>
      <c r="L603" s="297"/>
      <c r="M603" s="275"/>
      <c r="N603" s="275"/>
      <c r="O603" s="275"/>
      <c r="P603" s="275"/>
      <c r="Q603" s="275"/>
      <c r="R603" s="275"/>
      <c r="S603" s="275"/>
      <c r="T603" s="275"/>
    </row>
    <row r="604" spans="1:20" ht="15" customHeight="1">
      <c r="A604" s="275"/>
      <c r="B604" s="303">
        <v>44806</v>
      </c>
      <c r="C604" s="304">
        <v>17539.44921875</v>
      </c>
      <c r="D604" s="289">
        <f t="shared" si="18"/>
        <v>-1.9105059344812252E-4</v>
      </c>
      <c r="E604" s="275"/>
      <c r="F604" s="290"/>
      <c r="G604" s="305">
        <v>44806</v>
      </c>
      <c r="H604" s="306">
        <v>2493.1232910185199</v>
      </c>
      <c r="I604" s="293">
        <f t="shared" si="19"/>
        <v>-1.7902699417222445E-2</v>
      </c>
      <c r="J604" s="289"/>
      <c r="K604" s="275"/>
      <c r="L604" s="290"/>
      <c r="M604" s="275"/>
      <c r="N604" s="275"/>
      <c r="O604" s="275"/>
      <c r="P604" s="275"/>
      <c r="Q604" s="275"/>
      <c r="R604" s="275"/>
      <c r="S604" s="275"/>
      <c r="T604" s="275"/>
    </row>
    <row r="605" spans="1:20" ht="15" customHeight="1">
      <c r="A605" s="20"/>
      <c r="B605" s="294">
        <v>44809</v>
      </c>
      <c r="C605" s="295">
        <v>17665.80078125</v>
      </c>
      <c r="D605" s="296">
        <f t="shared" si="18"/>
        <v>7.2038500710117975E-3</v>
      </c>
      <c r="E605" s="20"/>
      <c r="F605" s="297"/>
      <c r="G605" s="298">
        <v>44809</v>
      </c>
      <c r="H605" s="299">
        <v>2508.0375976620398</v>
      </c>
      <c r="I605" s="300">
        <f t="shared" si="19"/>
        <v>5.9821777355531236E-3</v>
      </c>
      <c r="J605" s="296"/>
      <c r="K605" s="20"/>
      <c r="L605" s="297"/>
      <c r="M605" s="275"/>
      <c r="N605" s="275"/>
      <c r="O605" s="275"/>
      <c r="P605" s="275"/>
      <c r="Q605" s="275"/>
      <c r="R605" s="275"/>
      <c r="S605" s="275"/>
      <c r="T605" s="275"/>
    </row>
    <row r="606" spans="1:20" ht="15" customHeight="1">
      <c r="A606" s="275"/>
      <c r="B606" s="303">
        <v>44810</v>
      </c>
      <c r="C606" s="304">
        <v>17655.599609375</v>
      </c>
      <c r="D606" s="289">
        <f t="shared" si="18"/>
        <v>-5.7745312546642362E-4</v>
      </c>
      <c r="E606" s="275"/>
      <c r="F606" s="290"/>
      <c r="G606" s="305">
        <v>44810</v>
      </c>
      <c r="H606" s="306">
        <v>2529.6579589814801</v>
      </c>
      <c r="I606" s="293">
        <f t="shared" si="19"/>
        <v>8.6204295101454838E-3</v>
      </c>
      <c r="J606" s="289"/>
      <c r="K606" s="275"/>
      <c r="L606" s="290"/>
      <c r="M606" s="275"/>
      <c r="N606" s="275"/>
      <c r="O606" s="275"/>
      <c r="P606" s="275"/>
      <c r="Q606" s="275"/>
      <c r="R606" s="275"/>
      <c r="S606" s="275"/>
      <c r="T606" s="275"/>
    </row>
    <row r="607" spans="1:20" ht="15" customHeight="1">
      <c r="A607" s="20"/>
      <c r="B607" s="294">
        <v>44811</v>
      </c>
      <c r="C607" s="295">
        <v>17624.400390625</v>
      </c>
      <c r="D607" s="296">
        <f t="shared" si="18"/>
        <v>-1.7671004916442166E-3</v>
      </c>
      <c r="E607" s="20"/>
      <c r="F607" s="297"/>
      <c r="G607" s="298">
        <v>44811</v>
      </c>
      <c r="H607" s="299">
        <v>2519.2446289120398</v>
      </c>
      <c r="I607" s="300">
        <f t="shared" si="19"/>
        <v>-4.1164972649634299E-3</v>
      </c>
      <c r="J607" s="296"/>
      <c r="K607" s="20"/>
      <c r="L607" s="297"/>
      <c r="M607" s="275"/>
      <c r="N607" s="275"/>
      <c r="O607" s="275"/>
      <c r="P607" s="275"/>
      <c r="Q607" s="275"/>
      <c r="R607" s="275"/>
      <c r="S607" s="275"/>
      <c r="T607" s="275"/>
    </row>
    <row r="608" spans="1:20" ht="15" customHeight="1">
      <c r="A608" s="275"/>
      <c r="B608" s="303">
        <v>44812</v>
      </c>
      <c r="C608" s="304">
        <v>17798.75</v>
      </c>
      <c r="D608" s="289">
        <f t="shared" si="18"/>
        <v>9.8925129655895866E-3</v>
      </c>
      <c r="E608" s="275"/>
      <c r="F608" s="290"/>
      <c r="G608" s="305">
        <v>44812</v>
      </c>
      <c r="H608" s="306">
        <v>2521.4948730439801</v>
      </c>
      <c r="I608" s="293">
        <f t="shared" si="19"/>
        <v>8.9322176422066042E-4</v>
      </c>
      <c r="J608" s="289"/>
      <c r="K608" s="275"/>
      <c r="L608" s="290"/>
      <c r="M608" s="275"/>
      <c r="N608" s="275"/>
      <c r="O608" s="275"/>
      <c r="P608" s="275"/>
      <c r="Q608" s="275"/>
      <c r="R608" s="275"/>
      <c r="S608" s="275"/>
      <c r="T608" s="275"/>
    </row>
    <row r="609" spans="1:20" ht="15" customHeight="1">
      <c r="A609" s="20"/>
      <c r="B609" s="294">
        <v>44813</v>
      </c>
      <c r="C609" s="295">
        <v>17833.349609375</v>
      </c>
      <c r="D609" s="296">
        <f t="shared" si="18"/>
        <v>1.943934791769085E-3</v>
      </c>
      <c r="E609" s="20"/>
      <c r="F609" s="297"/>
      <c r="G609" s="298">
        <v>44813</v>
      </c>
      <c r="H609" s="299">
        <v>2504.8601074189801</v>
      </c>
      <c r="I609" s="300">
        <f t="shared" si="19"/>
        <v>-6.5971839970145581E-3</v>
      </c>
      <c r="J609" s="296"/>
      <c r="K609" s="20"/>
      <c r="L609" s="297"/>
      <c r="M609" s="275"/>
      <c r="N609" s="275"/>
      <c r="O609" s="275"/>
      <c r="P609" s="275"/>
      <c r="Q609" s="275"/>
      <c r="R609" s="275"/>
      <c r="S609" s="275"/>
      <c r="T609" s="275"/>
    </row>
    <row r="610" spans="1:20" ht="15" customHeight="1">
      <c r="A610" s="275"/>
      <c r="B610" s="303">
        <v>44816</v>
      </c>
      <c r="C610" s="304">
        <v>17936.349609375</v>
      </c>
      <c r="D610" s="289">
        <f t="shared" si="18"/>
        <v>5.77569566324505E-3</v>
      </c>
      <c r="E610" s="275"/>
      <c r="F610" s="290"/>
      <c r="G610" s="305">
        <v>44816</v>
      </c>
      <c r="H610" s="306">
        <v>2522.0239257870398</v>
      </c>
      <c r="I610" s="293">
        <f t="shared" si="19"/>
        <v>6.852206363630201E-3</v>
      </c>
      <c r="J610" s="289"/>
      <c r="K610" s="275"/>
      <c r="L610" s="290"/>
      <c r="M610" s="275"/>
      <c r="N610" s="275"/>
      <c r="O610" s="275"/>
      <c r="P610" s="275"/>
      <c r="Q610" s="275"/>
      <c r="R610" s="275"/>
      <c r="S610" s="275"/>
      <c r="T610" s="275"/>
    </row>
    <row r="611" spans="1:20" ht="15" customHeight="1">
      <c r="A611" s="20"/>
      <c r="B611" s="294">
        <v>44817</v>
      </c>
      <c r="C611" s="295">
        <v>18070.05078125</v>
      </c>
      <c r="D611" s="296">
        <f t="shared" si="18"/>
        <v>7.4542019299800475E-3</v>
      </c>
      <c r="E611" s="20"/>
      <c r="F611" s="297"/>
      <c r="G611" s="298">
        <v>44817</v>
      </c>
      <c r="H611" s="299">
        <v>2532.7023925810199</v>
      </c>
      <c r="I611" s="300">
        <f t="shared" si="19"/>
        <v>4.2340862371667166E-3</v>
      </c>
      <c r="J611" s="296"/>
      <c r="K611" s="20"/>
      <c r="L611" s="297"/>
      <c r="M611" s="275"/>
      <c r="N611" s="275"/>
      <c r="O611" s="275"/>
      <c r="P611" s="275"/>
      <c r="Q611" s="275"/>
      <c r="R611" s="275"/>
      <c r="S611" s="275"/>
      <c r="T611" s="275"/>
    </row>
    <row r="612" spans="1:20" ht="15" customHeight="1">
      <c r="A612" s="275"/>
      <c r="B612" s="303">
        <v>44818</v>
      </c>
      <c r="C612" s="304">
        <v>18003.75</v>
      </c>
      <c r="D612" s="289">
        <f t="shared" si="18"/>
        <v>-3.6690976717561625E-3</v>
      </c>
      <c r="E612" s="275"/>
      <c r="F612" s="290"/>
      <c r="G612" s="305">
        <v>44818</v>
      </c>
      <c r="H612" s="306">
        <v>2516.3764648379602</v>
      </c>
      <c r="I612" s="293">
        <f t="shared" si="19"/>
        <v>-6.4460505864735174E-3</v>
      </c>
      <c r="J612" s="289"/>
      <c r="K612" s="275"/>
      <c r="L612" s="290"/>
      <c r="M612" s="275"/>
      <c r="N612" s="275"/>
      <c r="O612" s="275"/>
      <c r="P612" s="275"/>
      <c r="Q612" s="275"/>
      <c r="R612" s="275"/>
      <c r="S612" s="275"/>
      <c r="T612" s="275"/>
    </row>
    <row r="613" spans="1:20" ht="15" customHeight="1">
      <c r="A613" s="20"/>
      <c r="B613" s="294">
        <v>44819</v>
      </c>
      <c r="C613" s="295">
        <v>17877.400390625</v>
      </c>
      <c r="D613" s="296">
        <f t="shared" si="18"/>
        <v>-7.0179606679164064E-3</v>
      </c>
      <c r="E613" s="20"/>
      <c r="F613" s="297"/>
      <c r="G613" s="298">
        <v>44819</v>
      </c>
      <c r="H613" s="299">
        <v>2462.369140625</v>
      </c>
      <c r="I613" s="300">
        <f t="shared" si="19"/>
        <v>-2.1462338790566422E-2</v>
      </c>
      <c r="J613" s="296"/>
      <c r="K613" s="20"/>
      <c r="L613" s="297"/>
      <c r="M613" s="275"/>
      <c r="N613" s="275"/>
      <c r="O613" s="275"/>
      <c r="P613" s="275"/>
      <c r="Q613" s="275"/>
      <c r="R613" s="275"/>
      <c r="S613" s="275"/>
      <c r="T613" s="275"/>
    </row>
    <row r="614" spans="1:20" ht="15" customHeight="1">
      <c r="A614" s="275"/>
      <c r="B614" s="303">
        <v>44820</v>
      </c>
      <c r="C614" s="304">
        <v>17530.849609375</v>
      </c>
      <c r="D614" s="289">
        <f t="shared" si="18"/>
        <v>-1.9384853148544628E-2</v>
      </c>
      <c r="E614" s="275"/>
      <c r="F614" s="290"/>
      <c r="G614" s="305">
        <v>44820</v>
      </c>
      <c r="H614" s="306">
        <v>2369.62109375</v>
      </c>
      <c r="I614" s="293">
        <f t="shared" si="19"/>
        <v>-3.7666183085554195E-2</v>
      </c>
      <c r="J614" s="289"/>
      <c r="K614" s="275"/>
      <c r="L614" s="290"/>
      <c r="M614" s="275"/>
      <c r="N614" s="275"/>
      <c r="O614" s="275"/>
      <c r="P614" s="275"/>
      <c r="Q614" s="275"/>
      <c r="R614" s="275"/>
      <c r="S614" s="275"/>
      <c r="T614" s="275"/>
    </row>
    <row r="615" spans="1:20" ht="15" customHeight="1">
      <c r="A615" s="20"/>
      <c r="B615" s="294">
        <v>44823</v>
      </c>
      <c r="C615" s="295">
        <v>17622.25</v>
      </c>
      <c r="D615" s="296">
        <f t="shared" si="18"/>
        <v>5.2136885924867933E-3</v>
      </c>
      <c r="E615" s="20"/>
      <c r="F615" s="297"/>
      <c r="G615" s="298">
        <v>44823</v>
      </c>
      <c r="H615" s="299">
        <v>2386.564453125</v>
      </c>
      <c r="I615" s="300">
        <f t="shared" si="19"/>
        <v>7.1502399348524533E-3</v>
      </c>
      <c r="J615" s="296"/>
      <c r="K615" s="20"/>
      <c r="L615" s="297"/>
      <c r="M615" s="275"/>
      <c r="N615" s="275"/>
      <c r="O615" s="275"/>
      <c r="P615" s="275"/>
      <c r="Q615" s="275"/>
      <c r="R615" s="275"/>
      <c r="S615" s="275"/>
      <c r="T615" s="275"/>
    </row>
    <row r="616" spans="1:20" ht="15" customHeight="1">
      <c r="A616" s="275"/>
      <c r="B616" s="303">
        <v>44824</v>
      </c>
      <c r="C616" s="304">
        <v>17816.25</v>
      </c>
      <c r="D616" s="289">
        <f t="shared" si="18"/>
        <v>1.1008809885230319E-2</v>
      </c>
      <c r="E616" s="275"/>
      <c r="F616" s="290"/>
      <c r="G616" s="305">
        <v>44824</v>
      </c>
      <c r="H616" s="306">
        <v>2445.8227539120398</v>
      </c>
      <c r="I616" s="293">
        <f t="shared" si="19"/>
        <v>2.4829960368112504E-2</v>
      </c>
      <c r="J616" s="289"/>
      <c r="K616" s="275"/>
      <c r="L616" s="290"/>
      <c r="M616" s="275"/>
      <c r="N616" s="275"/>
      <c r="O616" s="275"/>
      <c r="P616" s="275"/>
      <c r="Q616" s="275"/>
      <c r="R616" s="275"/>
      <c r="S616" s="275"/>
      <c r="T616" s="275"/>
    </row>
    <row r="617" spans="1:20" ht="15" customHeight="1">
      <c r="A617" s="20"/>
      <c r="B617" s="294">
        <v>44825</v>
      </c>
      <c r="C617" s="295">
        <v>17718.349609375</v>
      </c>
      <c r="D617" s="296">
        <f t="shared" si="18"/>
        <v>-5.4950054374517648E-3</v>
      </c>
      <c r="E617" s="20"/>
      <c r="F617" s="297"/>
      <c r="G617" s="298">
        <v>44825</v>
      </c>
      <c r="H617" s="299">
        <v>2450.3229980439801</v>
      </c>
      <c r="I617" s="300">
        <f t="shared" si="19"/>
        <v>1.8399714880165349E-3</v>
      </c>
      <c r="J617" s="296"/>
      <c r="K617" s="20"/>
      <c r="L617" s="297"/>
      <c r="M617" s="275"/>
      <c r="N617" s="275"/>
      <c r="O617" s="275"/>
      <c r="P617" s="275"/>
      <c r="Q617" s="275"/>
      <c r="R617" s="275"/>
      <c r="S617" s="275"/>
      <c r="T617" s="275"/>
    </row>
    <row r="618" spans="1:20" ht="15" customHeight="1">
      <c r="A618" s="275"/>
      <c r="B618" s="303">
        <v>44826</v>
      </c>
      <c r="C618" s="304">
        <v>17629.80078125</v>
      </c>
      <c r="D618" s="289">
        <f t="shared" si="18"/>
        <v>-4.9975776569025207E-3</v>
      </c>
      <c r="E618" s="275"/>
      <c r="F618" s="290"/>
      <c r="G618" s="305">
        <v>44826</v>
      </c>
      <c r="H618" s="306">
        <v>2450.5876464814801</v>
      </c>
      <c r="I618" s="293">
        <f t="shared" si="19"/>
        <v>1.0800553139780387E-4</v>
      </c>
      <c r="J618" s="289"/>
      <c r="K618" s="275"/>
      <c r="L618" s="290"/>
      <c r="M618" s="275"/>
      <c r="N618" s="275"/>
      <c r="O618" s="275"/>
      <c r="P618" s="275"/>
      <c r="Q618" s="275"/>
      <c r="R618" s="275"/>
      <c r="S618" s="275"/>
      <c r="T618" s="275"/>
    </row>
    <row r="619" spans="1:20" ht="15" customHeight="1">
      <c r="A619" s="20"/>
      <c r="B619" s="294">
        <v>44827</v>
      </c>
      <c r="C619" s="295">
        <v>17327.349609375</v>
      </c>
      <c r="D619" s="296">
        <f t="shared" si="18"/>
        <v>-1.7155677232420515E-2</v>
      </c>
      <c r="E619" s="20"/>
      <c r="F619" s="297"/>
      <c r="G619" s="298">
        <v>44827</v>
      </c>
      <c r="H619" s="299">
        <v>2437.4389648379602</v>
      </c>
      <c r="I619" s="300">
        <f t="shared" si="19"/>
        <v>-5.3655218830465489E-3</v>
      </c>
      <c r="J619" s="296"/>
      <c r="K619" s="20"/>
      <c r="L619" s="297"/>
      <c r="M619" s="275"/>
      <c r="N619" s="275"/>
      <c r="O619" s="275"/>
      <c r="P619" s="275"/>
      <c r="Q619" s="275"/>
      <c r="R619" s="275"/>
      <c r="S619" s="275"/>
      <c r="T619" s="275"/>
    </row>
    <row r="620" spans="1:20" ht="15" customHeight="1">
      <c r="A620" s="275"/>
      <c r="B620" s="303">
        <v>44830</v>
      </c>
      <c r="C620" s="304">
        <v>17016.30078125</v>
      </c>
      <c r="D620" s="289">
        <f t="shared" si="18"/>
        <v>-1.7951321762256493E-2</v>
      </c>
      <c r="E620" s="275"/>
      <c r="F620" s="290"/>
      <c r="G620" s="305">
        <v>44830</v>
      </c>
      <c r="H620" s="306">
        <v>2401.5227050810199</v>
      </c>
      <c r="I620" s="293">
        <f t="shared" si="19"/>
        <v>-1.4735244769227661E-2</v>
      </c>
      <c r="J620" s="289"/>
      <c r="K620" s="275"/>
      <c r="L620" s="290"/>
      <c r="M620" s="275"/>
      <c r="N620" s="275"/>
      <c r="O620" s="275"/>
      <c r="P620" s="275"/>
      <c r="Q620" s="275"/>
      <c r="R620" s="275"/>
      <c r="S620" s="275"/>
      <c r="T620" s="275"/>
    </row>
    <row r="621" spans="1:20" ht="15" customHeight="1">
      <c r="A621" s="20"/>
      <c r="B621" s="294">
        <v>44831</v>
      </c>
      <c r="C621" s="295">
        <v>17007.400390625</v>
      </c>
      <c r="D621" s="296">
        <f t="shared" si="18"/>
        <v>-5.2305085220444639E-4</v>
      </c>
      <c r="E621" s="20"/>
      <c r="F621" s="297"/>
      <c r="G621" s="298">
        <v>44831</v>
      </c>
      <c r="H621" s="299">
        <v>2328.1884765625</v>
      </c>
      <c r="I621" s="300">
        <f t="shared" si="19"/>
        <v>-3.0536554313379208E-2</v>
      </c>
      <c r="J621" s="296"/>
      <c r="K621" s="20"/>
      <c r="L621" s="297"/>
      <c r="M621" s="275"/>
      <c r="N621" s="275"/>
      <c r="O621" s="275"/>
      <c r="P621" s="275"/>
      <c r="Q621" s="275"/>
      <c r="R621" s="275"/>
      <c r="S621" s="275"/>
      <c r="T621" s="275"/>
    </row>
    <row r="622" spans="1:20" ht="15" customHeight="1">
      <c r="A622" s="275"/>
      <c r="B622" s="303">
        <v>44832</v>
      </c>
      <c r="C622" s="304">
        <v>16858.599609375</v>
      </c>
      <c r="D622" s="289">
        <f t="shared" si="18"/>
        <v>-8.7491784653946029E-3</v>
      </c>
      <c r="E622" s="275"/>
      <c r="F622" s="290"/>
      <c r="G622" s="305">
        <v>44832</v>
      </c>
      <c r="H622" s="306">
        <v>2286.80078125</v>
      </c>
      <c r="I622" s="293">
        <f t="shared" si="19"/>
        <v>-1.7776780414963517E-2</v>
      </c>
      <c r="J622" s="289"/>
      <c r="K622" s="275"/>
      <c r="L622" s="290"/>
      <c r="M622" s="275"/>
      <c r="N622" s="275"/>
      <c r="O622" s="275"/>
      <c r="P622" s="275"/>
      <c r="Q622" s="275"/>
      <c r="R622" s="275"/>
      <c r="S622" s="275"/>
      <c r="T622" s="275"/>
    </row>
    <row r="623" spans="1:20" ht="15" customHeight="1">
      <c r="A623" s="20"/>
      <c r="B623" s="294">
        <v>44833</v>
      </c>
      <c r="C623" s="295">
        <v>16818.099609375</v>
      </c>
      <c r="D623" s="296">
        <f t="shared" si="18"/>
        <v>-2.4023347691037229E-3</v>
      </c>
      <c r="E623" s="20"/>
      <c r="F623" s="297"/>
      <c r="G623" s="298">
        <v>44833</v>
      </c>
      <c r="H623" s="299">
        <v>2238.2202148379602</v>
      </c>
      <c r="I623" s="300">
        <f t="shared" si="19"/>
        <v>-2.1243899691815293E-2</v>
      </c>
      <c r="J623" s="296"/>
      <c r="K623" s="20"/>
      <c r="L623" s="297"/>
      <c r="M623" s="275"/>
      <c r="N623" s="275"/>
      <c r="O623" s="275"/>
      <c r="P623" s="275"/>
      <c r="Q623" s="275"/>
      <c r="R623" s="275"/>
      <c r="S623" s="275"/>
      <c r="T623" s="275"/>
    </row>
    <row r="624" spans="1:20" ht="15" customHeight="1">
      <c r="A624" s="275"/>
      <c r="B624" s="303">
        <v>44834</v>
      </c>
      <c r="C624" s="304">
        <v>17094.349609375</v>
      </c>
      <c r="D624" s="289">
        <f t="shared" si="18"/>
        <v>1.6425755966269134E-2</v>
      </c>
      <c r="E624" s="275"/>
      <c r="F624" s="290"/>
      <c r="G624" s="305">
        <v>44834</v>
      </c>
      <c r="H624" s="306">
        <v>2249.6044921875</v>
      </c>
      <c r="I624" s="293">
        <f t="shared" si="19"/>
        <v>5.0863079843839355E-3</v>
      </c>
      <c r="J624" s="289"/>
      <c r="K624" s="275"/>
      <c r="L624" s="290"/>
      <c r="M624" s="275"/>
      <c r="N624" s="275"/>
      <c r="O624" s="275"/>
      <c r="P624" s="275"/>
      <c r="Q624" s="275"/>
      <c r="R624" s="275"/>
      <c r="S624" s="275"/>
      <c r="T624" s="275"/>
    </row>
    <row r="625" spans="1:20" ht="15" customHeight="1">
      <c r="A625" s="20"/>
      <c r="B625" s="294">
        <v>44837</v>
      </c>
      <c r="C625" s="295">
        <v>16887.349609375</v>
      </c>
      <c r="D625" s="296">
        <f t="shared" si="18"/>
        <v>-1.2109264448790473E-2</v>
      </c>
      <c r="E625" s="20"/>
      <c r="F625" s="297"/>
      <c r="G625" s="298">
        <v>44837</v>
      </c>
      <c r="H625" s="299">
        <v>2228.7338867129602</v>
      </c>
      <c r="I625" s="300">
        <f t="shared" si="19"/>
        <v>-9.2774554580682799E-3</v>
      </c>
      <c r="J625" s="296"/>
      <c r="K625" s="20"/>
      <c r="L625" s="297"/>
      <c r="M625" s="275"/>
      <c r="N625" s="275"/>
      <c r="O625" s="275"/>
      <c r="P625" s="275"/>
      <c r="Q625" s="275"/>
      <c r="R625" s="275"/>
      <c r="S625" s="275"/>
      <c r="T625" s="275"/>
    </row>
    <row r="626" spans="1:20" ht="15" customHeight="1">
      <c r="A626" s="275"/>
      <c r="B626" s="303">
        <v>44838</v>
      </c>
      <c r="C626" s="304">
        <v>17274.30078125</v>
      </c>
      <c r="D626" s="289">
        <f t="shared" si="18"/>
        <v>2.2913670932719031E-2</v>
      </c>
      <c r="E626" s="275"/>
      <c r="F626" s="290"/>
      <c r="G626" s="305">
        <v>44838</v>
      </c>
      <c r="H626" s="306">
        <v>2313.671875</v>
      </c>
      <c r="I626" s="293">
        <f t="shared" si="19"/>
        <v>3.811042170328837E-2</v>
      </c>
      <c r="J626" s="289"/>
      <c r="K626" s="275"/>
      <c r="L626" s="290"/>
      <c r="M626" s="275"/>
      <c r="N626" s="275"/>
      <c r="O626" s="275"/>
      <c r="P626" s="275"/>
      <c r="Q626" s="275"/>
      <c r="R626" s="275"/>
      <c r="S626" s="275"/>
      <c r="T626" s="275"/>
    </row>
    <row r="627" spans="1:20" ht="15" customHeight="1">
      <c r="A627" s="20"/>
      <c r="B627" s="294">
        <v>44840</v>
      </c>
      <c r="C627" s="295">
        <v>17331.80078125</v>
      </c>
      <c r="D627" s="296">
        <f t="shared" si="18"/>
        <v>3.3286441360574244E-3</v>
      </c>
      <c r="E627" s="20"/>
      <c r="F627" s="297"/>
      <c r="G627" s="298">
        <v>44840</v>
      </c>
      <c r="H627" s="299">
        <v>2335.1164550810199</v>
      </c>
      <c r="I627" s="300">
        <f t="shared" si="19"/>
        <v>9.2686349835237204E-3</v>
      </c>
      <c r="J627" s="296"/>
      <c r="K627" s="20"/>
      <c r="L627" s="297"/>
      <c r="M627" s="275"/>
      <c r="N627" s="275"/>
      <c r="O627" s="275"/>
      <c r="P627" s="275"/>
      <c r="Q627" s="275"/>
      <c r="R627" s="275"/>
      <c r="S627" s="275"/>
      <c r="T627" s="275"/>
    </row>
    <row r="628" spans="1:20" ht="15" customHeight="1">
      <c r="A628" s="275"/>
      <c r="B628" s="303">
        <v>44841</v>
      </c>
      <c r="C628" s="304">
        <v>17314.650390625</v>
      </c>
      <c r="D628" s="289">
        <f t="shared" si="18"/>
        <v>-9.8953310400115763E-4</v>
      </c>
      <c r="E628" s="275"/>
      <c r="F628" s="290"/>
      <c r="G628" s="305">
        <v>44841</v>
      </c>
      <c r="H628" s="306">
        <v>2316.4516601620398</v>
      </c>
      <c r="I628" s="293">
        <f t="shared" si="19"/>
        <v>-7.9930895430791182E-3</v>
      </c>
      <c r="J628" s="289"/>
      <c r="K628" s="275"/>
      <c r="L628" s="290"/>
      <c r="M628" s="275"/>
      <c r="N628" s="275"/>
      <c r="O628" s="275"/>
      <c r="P628" s="275"/>
      <c r="Q628" s="275"/>
      <c r="R628" s="275"/>
      <c r="S628" s="275"/>
      <c r="T628" s="275"/>
    </row>
    <row r="629" spans="1:20" ht="15" customHeight="1">
      <c r="A629" s="20"/>
      <c r="B629" s="294">
        <v>44844</v>
      </c>
      <c r="C629" s="295">
        <v>17241</v>
      </c>
      <c r="D629" s="296">
        <f t="shared" si="18"/>
        <v>-4.253645841147213E-3</v>
      </c>
      <c r="E629" s="20"/>
      <c r="F629" s="297"/>
      <c r="G629" s="298">
        <v>44844</v>
      </c>
      <c r="H629" s="299">
        <v>2268.4008789120398</v>
      </c>
      <c r="I629" s="300">
        <f t="shared" si="19"/>
        <v>-2.0743269577504917E-2</v>
      </c>
      <c r="J629" s="296"/>
      <c r="K629" s="20"/>
      <c r="L629" s="297"/>
      <c r="M629" s="275"/>
      <c r="N629" s="275"/>
      <c r="O629" s="275"/>
      <c r="P629" s="275"/>
      <c r="Q629" s="275"/>
      <c r="R629" s="275"/>
      <c r="S629" s="275"/>
      <c r="T629" s="275"/>
    </row>
    <row r="630" spans="1:20" ht="15" customHeight="1">
      <c r="A630" s="275"/>
      <c r="B630" s="303">
        <v>44845</v>
      </c>
      <c r="C630" s="304">
        <v>16983.55078125</v>
      </c>
      <c r="D630" s="289">
        <f t="shared" si="18"/>
        <v>-1.4932383199930399E-2</v>
      </c>
      <c r="E630" s="275"/>
      <c r="F630" s="290"/>
      <c r="G630" s="305">
        <v>44845</v>
      </c>
      <c r="H630" s="306">
        <v>2248.677734375</v>
      </c>
      <c r="I630" s="293">
        <f t="shared" si="19"/>
        <v>-8.6947350093160639E-3</v>
      </c>
      <c r="J630" s="289"/>
      <c r="K630" s="275"/>
      <c r="L630" s="290"/>
      <c r="M630" s="275"/>
      <c r="N630" s="275"/>
      <c r="O630" s="275"/>
      <c r="P630" s="275"/>
      <c r="Q630" s="275"/>
      <c r="R630" s="275"/>
      <c r="S630" s="275"/>
      <c r="T630" s="275"/>
    </row>
    <row r="631" spans="1:20" ht="15" customHeight="1">
      <c r="A631" s="20"/>
      <c r="B631" s="294">
        <v>44846</v>
      </c>
      <c r="C631" s="295">
        <v>17123.599609375</v>
      </c>
      <c r="D631" s="296">
        <f t="shared" si="18"/>
        <v>8.2461453396197471E-3</v>
      </c>
      <c r="E631" s="20"/>
      <c r="F631" s="297"/>
      <c r="G631" s="298">
        <v>44846</v>
      </c>
      <c r="H631" s="299">
        <v>2250.3544921875</v>
      </c>
      <c r="I631" s="300">
        <f t="shared" si="19"/>
        <v>7.4566390144208009E-4</v>
      </c>
      <c r="J631" s="296"/>
      <c r="K631" s="20"/>
      <c r="L631" s="297"/>
      <c r="M631" s="275"/>
      <c r="N631" s="275"/>
      <c r="O631" s="275"/>
      <c r="P631" s="275"/>
      <c r="Q631" s="275"/>
      <c r="R631" s="275"/>
      <c r="S631" s="275"/>
      <c r="T631" s="275"/>
    </row>
    <row r="632" spans="1:20" ht="15" customHeight="1">
      <c r="A632" s="275"/>
      <c r="B632" s="303">
        <v>44847</v>
      </c>
      <c r="C632" s="304">
        <v>17014.349609375</v>
      </c>
      <c r="D632" s="289">
        <f t="shared" si="18"/>
        <v>-6.3800837728176449E-3</v>
      </c>
      <c r="E632" s="275"/>
      <c r="F632" s="290"/>
      <c r="G632" s="305">
        <v>44847</v>
      </c>
      <c r="H632" s="306">
        <v>2247.177734375</v>
      </c>
      <c r="I632" s="293">
        <f t="shared" si="19"/>
        <v>-1.4116699495695774E-3</v>
      </c>
      <c r="J632" s="289"/>
      <c r="K632" s="275"/>
      <c r="L632" s="290"/>
      <c r="M632" s="275"/>
      <c r="N632" s="275"/>
      <c r="O632" s="275"/>
      <c r="P632" s="275"/>
      <c r="Q632" s="275"/>
      <c r="R632" s="275"/>
      <c r="S632" s="275"/>
      <c r="T632" s="275"/>
    </row>
    <row r="633" spans="1:20" ht="15" customHeight="1">
      <c r="A633" s="20"/>
      <c r="B633" s="294">
        <v>44848</v>
      </c>
      <c r="C633" s="295">
        <v>17185.69921875</v>
      </c>
      <c r="D633" s="296">
        <f t="shared" si="18"/>
        <v>1.0070888003887344E-2</v>
      </c>
      <c r="E633" s="20"/>
      <c r="F633" s="297"/>
      <c r="G633" s="298">
        <v>44848</v>
      </c>
      <c r="H633" s="299">
        <v>2237.8674316435199</v>
      </c>
      <c r="I633" s="300">
        <f t="shared" si="19"/>
        <v>-4.1431091938393212E-3</v>
      </c>
      <c r="J633" s="296"/>
      <c r="K633" s="20"/>
      <c r="L633" s="297"/>
      <c r="M633" s="275"/>
      <c r="N633" s="275"/>
      <c r="O633" s="275"/>
      <c r="P633" s="275"/>
      <c r="Q633" s="275"/>
      <c r="R633" s="275"/>
      <c r="S633" s="275"/>
      <c r="T633" s="275"/>
    </row>
    <row r="634" spans="1:20" ht="15" customHeight="1">
      <c r="A634" s="275"/>
      <c r="B634" s="303">
        <v>44851</v>
      </c>
      <c r="C634" s="304">
        <v>17311.80078125</v>
      </c>
      <c r="D634" s="289">
        <f t="shared" si="18"/>
        <v>7.3375869608156676E-3</v>
      </c>
      <c r="E634" s="275"/>
      <c r="F634" s="290"/>
      <c r="G634" s="305">
        <v>44851</v>
      </c>
      <c r="H634" s="306">
        <v>2253.5754394560199</v>
      </c>
      <c r="I634" s="293">
        <f t="shared" si="19"/>
        <v>7.0191860296942733E-3</v>
      </c>
      <c r="J634" s="289"/>
      <c r="K634" s="275"/>
      <c r="L634" s="290"/>
      <c r="M634" s="275"/>
      <c r="N634" s="275"/>
      <c r="O634" s="275"/>
      <c r="P634" s="275"/>
      <c r="Q634" s="275"/>
      <c r="R634" s="275"/>
      <c r="S634" s="275"/>
      <c r="T634" s="275"/>
    </row>
    <row r="635" spans="1:20" ht="15" customHeight="1">
      <c r="A635" s="20"/>
      <c r="B635" s="294">
        <v>44852</v>
      </c>
      <c r="C635" s="295">
        <v>17486.94921875</v>
      </c>
      <c r="D635" s="296">
        <f t="shared" si="18"/>
        <v>1.0117285874136163E-2</v>
      </c>
      <c r="E635" s="20"/>
      <c r="F635" s="297"/>
      <c r="G635" s="298">
        <v>44852</v>
      </c>
      <c r="H635" s="299">
        <v>2260.8999023379602</v>
      </c>
      <c r="I635" s="300">
        <f t="shared" si="19"/>
        <v>3.2501520711053955E-3</v>
      </c>
      <c r="J635" s="296"/>
      <c r="K635" s="20"/>
      <c r="L635" s="297"/>
      <c r="M635" s="275"/>
      <c r="N635" s="275"/>
      <c r="O635" s="275"/>
      <c r="P635" s="275"/>
      <c r="Q635" s="275"/>
      <c r="R635" s="275"/>
      <c r="S635" s="275"/>
      <c r="T635" s="275"/>
    </row>
    <row r="636" spans="1:20" ht="15" customHeight="1">
      <c r="A636" s="275"/>
      <c r="B636" s="303">
        <v>44853</v>
      </c>
      <c r="C636" s="304">
        <v>17512.25</v>
      </c>
      <c r="D636" s="289">
        <f t="shared" si="18"/>
        <v>1.4468379208691124E-3</v>
      </c>
      <c r="E636" s="275"/>
      <c r="F636" s="290"/>
      <c r="G636" s="305">
        <v>44853</v>
      </c>
      <c r="H636" s="306">
        <v>2242.5444335879602</v>
      </c>
      <c r="I636" s="293">
        <f t="shared" si="19"/>
        <v>-8.118656085136235E-3</v>
      </c>
      <c r="J636" s="289"/>
      <c r="K636" s="275"/>
      <c r="L636" s="290"/>
      <c r="M636" s="275"/>
      <c r="N636" s="275"/>
      <c r="O636" s="275"/>
      <c r="P636" s="275"/>
      <c r="Q636" s="275"/>
      <c r="R636" s="275"/>
      <c r="S636" s="275"/>
      <c r="T636" s="275"/>
    </row>
    <row r="637" spans="1:20" ht="15" customHeight="1">
      <c r="A637" s="20"/>
      <c r="B637" s="294">
        <v>44854</v>
      </c>
      <c r="C637" s="295">
        <v>17563.94921875</v>
      </c>
      <c r="D637" s="296">
        <f t="shared" si="18"/>
        <v>2.9521745492441004E-3</v>
      </c>
      <c r="E637" s="20"/>
      <c r="F637" s="297"/>
      <c r="G637" s="298">
        <v>44854</v>
      </c>
      <c r="H637" s="299">
        <v>2264.0324707060199</v>
      </c>
      <c r="I637" s="300">
        <f t="shared" si="19"/>
        <v>9.5819894563605006E-3</v>
      </c>
      <c r="J637" s="296"/>
      <c r="K637" s="20"/>
      <c r="L637" s="297"/>
      <c r="M637" s="275"/>
      <c r="N637" s="275"/>
      <c r="O637" s="275"/>
      <c r="P637" s="275"/>
      <c r="Q637" s="275"/>
      <c r="R637" s="275"/>
      <c r="S637" s="275"/>
      <c r="T637" s="275"/>
    </row>
    <row r="638" spans="1:20" ht="15" customHeight="1">
      <c r="A638" s="275"/>
      <c r="B638" s="303">
        <v>44855</v>
      </c>
      <c r="C638" s="304">
        <v>17576.30078125</v>
      </c>
      <c r="D638" s="289">
        <f t="shared" si="18"/>
        <v>7.0323378564624668E-4</v>
      </c>
      <c r="E638" s="275"/>
      <c r="F638" s="290"/>
      <c r="G638" s="305">
        <v>44855</v>
      </c>
      <c r="H638" s="306">
        <v>2267.8276367129602</v>
      </c>
      <c r="I638" s="293">
        <f t="shared" si="19"/>
        <v>1.6762860321330743E-3</v>
      </c>
      <c r="J638" s="289"/>
      <c r="K638" s="275"/>
      <c r="L638" s="290"/>
      <c r="M638" s="275"/>
      <c r="N638" s="275"/>
      <c r="O638" s="275"/>
      <c r="P638" s="275"/>
      <c r="Q638" s="275"/>
      <c r="R638" s="275"/>
      <c r="S638" s="275"/>
      <c r="T638" s="275"/>
    </row>
    <row r="639" spans="1:20" ht="15" customHeight="1">
      <c r="A639" s="20"/>
      <c r="B639" s="294">
        <v>44858</v>
      </c>
      <c r="C639" s="295">
        <v>17730.75</v>
      </c>
      <c r="D639" s="296">
        <f t="shared" si="18"/>
        <v>8.7873563767617655E-3</v>
      </c>
      <c r="E639" s="20"/>
      <c r="F639" s="297"/>
      <c r="G639" s="298">
        <v>44858</v>
      </c>
      <c r="H639" s="299">
        <v>2278.4614257870398</v>
      </c>
      <c r="I639" s="300">
        <f t="shared" si="19"/>
        <v>4.6889758736217433E-3</v>
      </c>
      <c r="J639" s="296"/>
      <c r="K639" s="20"/>
      <c r="L639" s="297"/>
      <c r="M639" s="275"/>
      <c r="N639" s="275"/>
      <c r="O639" s="275"/>
      <c r="P639" s="275"/>
      <c r="Q639" s="275"/>
      <c r="R639" s="275"/>
      <c r="S639" s="275"/>
      <c r="T639" s="275"/>
    </row>
    <row r="640" spans="1:20" ht="15" customHeight="1">
      <c r="A640" s="275"/>
      <c r="B640" s="303">
        <v>44859</v>
      </c>
      <c r="C640" s="304">
        <v>17656.349609375</v>
      </c>
      <c r="D640" s="289">
        <f t="shared" si="18"/>
        <v>-4.1961220267050185E-3</v>
      </c>
      <c r="E640" s="275"/>
      <c r="F640" s="290"/>
      <c r="G640" s="305">
        <v>44859</v>
      </c>
      <c r="H640" s="306">
        <v>2281.7263183564801</v>
      </c>
      <c r="I640" s="293">
        <f t="shared" si="19"/>
        <v>1.4329373903323626E-3</v>
      </c>
      <c r="J640" s="289"/>
      <c r="K640" s="275"/>
      <c r="L640" s="290"/>
      <c r="M640" s="275"/>
      <c r="N640" s="275"/>
      <c r="O640" s="275"/>
      <c r="P640" s="275"/>
      <c r="Q640" s="275"/>
      <c r="R640" s="275"/>
      <c r="S640" s="275"/>
      <c r="T640" s="275"/>
    </row>
    <row r="641" spans="1:20" ht="15" customHeight="1">
      <c r="A641" s="20"/>
      <c r="B641" s="294">
        <v>44861</v>
      </c>
      <c r="C641" s="295">
        <v>17736.94921875</v>
      </c>
      <c r="D641" s="296">
        <f t="shared" si="18"/>
        <v>4.5649078749666347E-3</v>
      </c>
      <c r="E641" s="20"/>
      <c r="F641" s="297"/>
      <c r="G641" s="298">
        <v>44861</v>
      </c>
      <c r="H641" s="299">
        <v>2303.9206542939801</v>
      </c>
      <c r="I641" s="300">
        <f t="shared" si="19"/>
        <v>9.7269930047905601E-3</v>
      </c>
      <c r="J641" s="296"/>
      <c r="K641" s="20"/>
      <c r="L641" s="297"/>
      <c r="M641" s="275"/>
      <c r="N641" s="275"/>
      <c r="O641" s="275"/>
      <c r="P641" s="275"/>
      <c r="Q641" s="275"/>
      <c r="R641" s="275"/>
      <c r="S641" s="275"/>
      <c r="T641" s="275"/>
    </row>
    <row r="642" spans="1:20" ht="15" customHeight="1">
      <c r="A642" s="275"/>
      <c r="B642" s="303">
        <v>44862</v>
      </c>
      <c r="C642" s="304">
        <v>17786.80078125</v>
      </c>
      <c r="D642" s="289">
        <f t="shared" si="18"/>
        <v>2.8106052447453111E-3</v>
      </c>
      <c r="E642" s="275"/>
      <c r="F642" s="290"/>
      <c r="G642" s="305">
        <v>44862</v>
      </c>
      <c r="H642" s="306">
        <v>2338.4255371064801</v>
      </c>
      <c r="I642" s="293">
        <f t="shared" si="19"/>
        <v>1.4976593377116007E-2</v>
      </c>
      <c r="J642" s="289"/>
      <c r="K642" s="275"/>
      <c r="L642" s="290"/>
      <c r="M642" s="275"/>
      <c r="N642" s="275"/>
      <c r="O642" s="275"/>
      <c r="P642" s="275"/>
      <c r="Q642" s="275"/>
      <c r="R642" s="275"/>
      <c r="S642" s="275"/>
      <c r="T642" s="275"/>
    </row>
    <row r="643" spans="1:20" ht="15" customHeight="1">
      <c r="A643" s="20"/>
      <c r="B643" s="294">
        <v>44865</v>
      </c>
      <c r="C643" s="295">
        <v>18012.19921875</v>
      </c>
      <c r="D643" s="296">
        <f t="shared" si="18"/>
        <v>1.2672230395564126E-2</v>
      </c>
      <c r="E643" s="20"/>
      <c r="F643" s="297"/>
      <c r="G643" s="298">
        <v>44865</v>
      </c>
      <c r="H643" s="299">
        <v>2362.2524414120398</v>
      </c>
      <c r="I643" s="300">
        <f t="shared" si="19"/>
        <v>1.0189293577011945E-2</v>
      </c>
      <c r="J643" s="296"/>
      <c r="K643" s="20"/>
      <c r="L643" s="297"/>
      <c r="M643" s="275"/>
      <c r="N643" s="275"/>
      <c r="O643" s="275"/>
      <c r="P643" s="275"/>
      <c r="Q643" s="275"/>
      <c r="R643" s="275"/>
      <c r="S643" s="275"/>
      <c r="T643" s="275"/>
    </row>
    <row r="644" spans="1:20" ht="15" customHeight="1">
      <c r="A644" s="275"/>
      <c r="B644" s="303">
        <v>44866</v>
      </c>
      <c r="C644" s="304">
        <v>18145.400390625</v>
      </c>
      <c r="D644" s="289">
        <f t="shared" si="18"/>
        <v>7.3950532223928962E-3</v>
      </c>
      <c r="E644" s="275"/>
      <c r="F644" s="290"/>
      <c r="G644" s="305">
        <v>44866</v>
      </c>
      <c r="H644" s="306">
        <v>2358.9870605439801</v>
      </c>
      <c r="I644" s="293">
        <f t="shared" si="19"/>
        <v>-1.382316644409045E-3</v>
      </c>
      <c r="J644" s="289"/>
      <c r="K644" s="275"/>
      <c r="L644" s="290"/>
      <c r="M644" s="275"/>
      <c r="N644" s="275"/>
      <c r="O644" s="275"/>
      <c r="P644" s="275"/>
      <c r="Q644" s="275"/>
      <c r="R644" s="275"/>
      <c r="S644" s="275"/>
      <c r="T644" s="275"/>
    </row>
    <row r="645" spans="1:20" ht="15" customHeight="1">
      <c r="A645" s="20"/>
      <c r="B645" s="294">
        <v>44867</v>
      </c>
      <c r="C645" s="295">
        <v>18082.849609375</v>
      </c>
      <c r="D645" s="296">
        <f t="shared" ref="D645:D708" si="20">(C645-C644)/C644</f>
        <v>-3.4471976315450983E-3</v>
      </c>
      <c r="E645" s="20"/>
      <c r="F645" s="297"/>
      <c r="G645" s="298">
        <v>44867</v>
      </c>
      <c r="H645" s="299">
        <v>2333.21875</v>
      </c>
      <c r="I645" s="300">
        <f t="shared" ref="I645:I708" si="21">(H645-H644)/H644</f>
        <v>-1.0923464132116914E-2</v>
      </c>
      <c r="J645" s="296"/>
      <c r="K645" s="20"/>
      <c r="L645" s="297"/>
      <c r="M645" s="275"/>
      <c r="N645" s="275"/>
      <c r="O645" s="275"/>
      <c r="P645" s="275"/>
      <c r="Q645" s="275"/>
      <c r="R645" s="275"/>
      <c r="S645" s="275"/>
      <c r="T645" s="275"/>
    </row>
    <row r="646" spans="1:20" ht="15" customHeight="1">
      <c r="A646" s="275"/>
      <c r="B646" s="303">
        <v>44868</v>
      </c>
      <c r="C646" s="304">
        <v>18052.69921875</v>
      </c>
      <c r="D646" s="289">
        <f t="shared" si="20"/>
        <v>-1.6673473084335456E-3</v>
      </c>
      <c r="E646" s="275"/>
      <c r="F646" s="290"/>
      <c r="G646" s="305">
        <v>44868</v>
      </c>
      <c r="H646" s="306">
        <v>2335.3371582060199</v>
      </c>
      <c r="I646" s="293">
        <f t="shared" si="21"/>
        <v>9.0793381718706041E-4</v>
      </c>
      <c r="J646" s="289"/>
      <c r="K646" s="275"/>
      <c r="L646" s="290"/>
      <c r="M646" s="275"/>
      <c r="N646" s="275"/>
      <c r="O646" s="275"/>
      <c r="P646" s="275"/>
      <c r="Q646" s="275"/>
      <c r="R646" s="275"/>
      <c r="S646" s="275"/>
      <c r="T646" s="275"/>
    </row>
    <row r="647" spans="1:20" ht="15" customHeight="1">
      <c r="A647" s="20"/>
      <c r="B647" s="294">
        <v>44869</v>
      </c>
      <c r="C647" s="295">
        <v>18117.150390625</v>
      </c>
      <c r="D647" s="296">
        <f t="shared" si="20"/>
        <v>3.5701681556882833E-3</v>
      </c>
      <c r="E647" s="20"/>
      <c r="F647" s="297"/>
      <c r="G647" s="298">
        <v>44869</v>
      </c>
      <c r="H647" s="299">
        <v>2284.6384277314801</v>
      </c>
      <c r="I647" s="300">
        <f t="shared" si="21"/>
        <v>-2.1709383716347855E-2</v>
      </c>
      <c r="J647" s="296"/>
      <c r="K647" s="20"/>
      <c r="L647" s="297"/>
      <c r="M647" s="275"/>
      <c r="N647" s="275"/>
      <c r="O647" s="275"/>
      <c r="P647" s="275"/>
      <c r="Q647" s="275"/>
      <c r="R647" s="275"/>
      <c r="S647" s="275"/>
      <c r="T647" s="275"/>
    </row>
    <row r="648" spans="1:20" ht="15" customHeight="1">
      <c r="A648" s="275"/>
      <c r="B648" s="303">
        <v>44872</v>
      </c>
      <c r="C648" s="304">
        <v>18202.80078125</v>
      </c>
      <c r="D648" s="289">
        <f t="shared" si="20"/>
        <v>4.7275862251119315E-3</v>
      </c>
      <c r="E648" s="275"/>
      <c r="F648" s="290"/>
      <c r="G648" s="305">
        <v>44872</v>
      </c>
      <c r="H648" s="306">
        <v>2313.0102539120398</v>
      </c>
      <c r="I648" s="293">
        <f t="shared" si="21"/>
        <v>1.2418519200314521E-2</v>
      </c>
      <c r="J648" s="289"/>
      <c r="K648" s="275"/>
      <c r="L648" s="290"/>
      <c r="M648" s="275"/>
      <c r="N648" s="275"/>
      <c r="O648" s="275"/>
      <c r="P648" s="275"/>
      <c r="Q648" s="275"/>
      <c r="R648" s="275"/>
      <c r="S648" s="275"/>
      <c r="T648" s="275"/>
    </row>
    <row r="649" spans="1:20" ht="15" customHeight="1">
      <c r="A649" s="20"/>
      <c r="B649" s="294">
        <v>44874</v>
      </c>
      <c r="C649" s="295">
        <v>18157</v>
      </c>
      <c r="D649" s="296">
        <f t="shared" si="20"/>
        <v>-2.5161392359563488E-3</v>
      </c>
      <c r="E649" s="20"/>
      <c r="F649" s="297"/>
      <c r="G649" s="298">
        <v>44874</v>
      </c>
      <c r="H649" s="299">
        <v>2339.8813476620398</v>
      </c>
      <c r="I649" s="300">
        <f t="shared" si="21"/>
        <v>1.1617369055996354E-2</v>
      </c>
      <c r="J649" s="296"/>
      <c r="K649" s="20"/>
      <c r="L649" s="297"/>
      <c r="M649" s="275"/>
      <c r="N649" s="275"/>
      <c r="O649" s="275"/>
      <c r="P649" s="275"/>
      <c r="Q649" s="275"/>
      <c r="R649" s="275"/>
      <c r="S649" s="275"/>
      <c r="T649" s="275"/>
    </row>
    <row r="650" spans="1:20" ht="15" customHeight="1">
      <c r="A650" s="275"/>
      <c r="B650" s="303">
        <v>44875</v>
      </c>
      <c r="C650" s="304">
        <v>18028.19921875</v>
      </c>
      <c r="D650" s="289">
        <f t="shared" si="20"/>
        <v>-7.093725904609792E-3</v>
      </c>
      <c r="E650" s="275"/>
      <c r="F650" s="290"/>
      <c r="G650" s="305">
        <v>44875</v>
      </c>
      <c r="H650" s="306">
        <v>2393.7126464814801</v>
      </c>
      <c r="I650" s="293">
        <f t="shared" si="21"/>
        <v>2.3005995100233323E-2</v>
      </c>
      <c r="J650" s="289"/>
      <c r="K650" s="275"/>
      <c r="L650" s="290"/>
      <c r="M650" s="275"/>
      <c r="N650" s="275"/>
      <c r="O650" s="275"/>
      <c r="P650" s="275"/>
      <c r="Q650" s="275"/>
      <c r="R650" s="275"/>
      <c r="S650" s="275"/>
      <c r="T650" s="275"/>
    </row>
    <row r="651" spans="1:20" ht="15" customHeight="1">
      <c r="A651" s="20"/>
      <c r="B651" s="294">
        <v>44876</v>
      </c>
      <c r="C651" s="295">
        <v>18349.69921875</v>
      </c>
      <c r="D651" s="296">
        <f t="shared" si="20"/>
        <v>1.7833173247033349E-2</v>
      </c>
      <c r="E651" s="20"/>
      <c r="F651" s="297"/>
      <c r="G651" s="298">
        <v>44876</v>
      </c>
      <c r="H651" s="299">
        <v>2354.8835449189801</v>
      </c>
      <c r="I651" s="300">
        <f t="shared" si="21"/>
        <v>-1.6221287722055912E-2</v>
      </c>
      <c r="J651" s="296"/>
      <c r="K651" s="20"/>
      <c r="L651" s="297"/>
      <c r="M651" s="275"/>
      <c r="N651" s="275"/>
      <c r="O651" s="275"/>
      <c r="P651" s="275"/>
      <c r="Q651" s="275"/>
      <c r="R651" s="275"/>
      <c r="S651" s="275"/>
      <c r="T651" s="275"/>
    </row>
    <row r="652" spans="1:20" ht="15" customHeight="1">
      <c r="A652" s="275"/>
      <c r="B652" s="303">
        <v>44879</v>
      </c>
      <c r="C652" s="304">
        <v>18329.150390625</v>
      </c>
      <c r="D652" s="289">
        <f t="shared" si="20"/>
        <v>-1.1198455015547556E-3</v>
      </c>
      <c r="E652" s="275"/>
      <c r="F652" s="290"/>
      <c r="G652" s="305">
        <v>44879</v>
      </c>
      <c r="H652" s="306">
        <v>2372.4445800810199</v>
      </c>
      <c r="I652" s="293">
        <f t="shared" si="21"/>
        <v>7.4572839068540999E-3</v>
      </c>
      <c r="J652" s="289"/>
      <c r="K652" s="275"/>
      <c r="L652" s="290"/>
      <c r="M652" s="275"/>
      <c r="N652" s="275"/>
      <c r="O652" s="275"/>
      <c r="P652" s="275"/>
      <c r="Q652" s="275"/>
      <c r="R652" s="275"/>
      <c r="S652" s="275"/>
      <c r="T652" s="275"/>
    </row>
    <row r="653" spans="1:20" ht="15" customHeight="1">
      <c r="A653" s="20"/>
      <c r="B653" s="294">
        <v>44880</v>
      </c>
      <c r="C653" s="295">
        <v>18403.400390625</v>
      </c>
      <c r="D653" s="296">
        <f t="shared" si="20"/>
        <v>4.0509242609508738E-3</v>
      </c>
      <c r="E653" s="20"/>
      <c r="F653" s="297"/>
      <c r="G653" s="298">
        <v>44880</v>
      </c>
      <c r="H653" s="299">
        <v>2409.8176269560199</v>
      </c>
      <c r="I653" s="300">
        <f t="shared" si="21"/>
        <v>1.5752969400753589E-2</v>
      </c>
      <c r="J653" s="296"/>
      <c r="K653" s="20"/>
      <c r="L653" s="297"/>
      <c r="M653" s="275"/>
      <c r="N653" s="275"/>
      <c r="O653" s="275"/>
      <c r="P653" s="275"/>
      <c r="Q653" s="275"/>
      <c r="R653" s="275"/>
      <c r="S653" s="275"/>
      <c r="T653" s="275"/>
    </row>
    <row r="654" spans="1:20" ht="15" customHeight="1">
      <c r="A654" s="275"/>
      <c r="B654" s="303">
        <v>44881</v>
      </c>
      <c r="C654" s="304">
        <v>18409.650390625</v>
      </c>
      <c r="D654" s="289">
        <f t="shared" si="20"/>
        <v>3.3961115159912808E-4</v>
      </c>
      <c r="E654" s="275"/>
      <c r="F654" s="290"/>
      <c r="G654" s="305">
        <v>44881</v>
      </c>
      <c r="H654" s="306">
        <v>2417.4951171875</v>
      </c>
      <c r="I654" s="293">
        <f t="shared" si="21"/>
        <v>3.1859216836993432E-3</v>
      </c>
      <c r="J654" s="289"/>
      <c r="K654" s="275"/>
      <c r="L654" s="290"/>
      <c r="M654" s="275"/>
      <c r="N654" s="275"/>
      <c r="O654" s="275"/>
      <c r="P654" s="275"/>
      <c r="Q654" s="275"/>
      <c r="R654" s="275"/>
      <c r="S654" s="275"/>
      <c r="T654" s="275"/>
    </row>
    <row r="655" spans="1:20" ht="15" customHeight="1">
      <c r="A655" s="20"/>
      <c r="B655" s="294">
        <v>44882</v>
      </c>
      <c r="C655" s="295">
        <v>18343.900390625</v>
      </c>
      <c r="D655" s="296">
        <f t="shared" si="20"/>
        <v>-3.5714963948192506E-3</v>
      </c>
      <c r="E655" s="20"/>
      <c r="F655" s="297"/>
      <c r="G655" s="298">
        <v>44882</v>
      </c>
      <c r="H655" s="299">
        <v>2421.5104980439801</v>
      </c>
      <c r="I655" s="300">
        <f t="shared" si="21"/>
        <v>1.6609675146527492E-3</v>
      </c>
      <c r="J655" s="296"/>
      <c r="K655" s="20"/>
      <c r="L655" s="297"/>
      <c r="M655" s="275"/>
      <c r="N655" s="275"/>
      <c r="O655" s="275"/>
      <c r="P655" s="275"/>
      <c r="Q655" s="275"/>
      <c r="R655" s="275"/>
      <c r="S655" s="275"/>
      <c r="T655" s="275"/>
    </row>
    <row r="656" spans="1:20" ht="15" customHeight="1">
      <c r="A656" s="275"/>
      <c r="B656" s="303">
        <v>44883</v>
      </c>
      <c r="C656" s="304">
        <v>18307.650390625</v>
      </c>
      <c r="D656" s="289">
        <f t="shared" si="20"/>
        <v>-1.9761337135545203E-3</v>
      </c>
      <c r="E656" s="275"/>
      <c r="F656" s="290"/>
      <c r="G656" s="305">
        <v>44883</v>
      </c>
      <c r="H656" s="306">
        <v>2403.1105957060199</v>
      </c>
      <c r="I656" s="293">
        <f t="shared" si="21"/>
        <v>-7.5985226381727515E-3</v>
      </c>
      <c r="J656" s="289"/>
      <c r="K656" s="275"/>
      <c r="L656" s="290"/>
      <c r="M656" s="275"/>
      <c r="N656" s="275"/>
      <c r="O656" s="275"/>
      <c r="P656" s="275"/>
      <c r="Q656" s="275"/>
      <c r="R656" s="275"/>
      <c r="S656" s="275"/>
      <c r="T656" s="275"/>
    </row>
    <row r="657" spans="1:20" ht="15" customHeight="1">
      <c r="A657" s="20"/>
      <c r="B657" s="294">
        <v>44886</v>
      </c>
      <c r="C657" s="295">
        <v>18159.94921875</v>
      </c>
      <c r="D657" s="296">
        <f t="shared" si="20"/>
        <v>-8.0677295405769262E-3</v>
      </c>
      <c r="E657" s="20"/>
      <c r="F657" s="297"/>
      <c r="G657" s="298">
        <v>44886</v>
      </c>
      <c r="H657" s="299">
        <v>2362.7814941435199</v>
      </c>
      <c r="I657" s="300">
        <f t="shared" si="21"/>
        <v>-1.6782041423545696E-2</v>
      </c>
      <c r="J657" s="296"/>
      <c r="K657" s="20"/>
      <c r="L657" s="297"/>
      <c r="M657" s="275"/>
      <c r="N657" s="275"/>
      <c r="O657" s="275"/>
      <c r="P657" s="275"/>
      <c r="Q657" s="275"/>
      <c r="R657" s="275"/>
      <c r="S657" s="275"/>
      <c r="T657" s="275"/>
    </row>
    <row r="658" spans="1:20" ht="15" customHeight="1">
      <c r="A658" s="275"/>
      <c r="B658" s="303">
        <v>44887</v>
      </c>
      <c r="C658" s="304">
        <v>18244.19921875</v>
      </c>
      <c r="D658" s="289">
        <f t="shared" si="20"/>
        <v>4.6393301536885668E-3</v>
      </c>
      <c r="E658" s="275"/>
      <c r="F658" s="290"/>
      <c r="G658" s="305">
        <v>44887</v>
      </c>
      <c r="H658" s="306">
        <v>2369.8413085879602</v>
      </c>
      <c r="I658" s="293">
        <f t="shared" si="21"/>
        <v>2.9879252321634311E-3</v>
      </c>
      <c r="J658" s="289"/>
      <c r="K658" s="275"/>
      <c r="L658" s="290"/>
      <c r="M658" s="275"/>
      <c r="N658" s="275"/>
      <c r="O658" s="275"/>
      <c r="P658" s="275"/>
      <c r="Q658" s="275"/>
      <c r="R658" s="275"/>
      <c r="S658" s="275"/>
      <c r="T658" s="275"/>
    </row>
    <row r="659" spans="1:20" ht="15" customHeight="1">
      <c r="A659" s="20"/>
      <c r="B659" s="294">
        <v>44888</v>
      </c>
      <c r="C659" s="295">
        <v>18267.25</v>
      </c>
      <c r="D659" s="296">
        <f t="shared" si="20"/>
        <v>1.2634580983039343E-3</v>
      </c>
      <c r="E659" s="20"/>
      <c r="F659" s="297"/>
      <c r="G659" s="298">
        <v>44888</v>
      </c>
      <c r="H659" s="299">
        <v>2346.3679199189801</v>
      </c>
      <c r="I659" s="300">
        <f t="shared" si="21"/>
        <v>-9.9050466307241472E-3</v>
      </c>
      <c r="J659" s="296"/>
      <c r="K659" s="20"/>
      <c r="L659" s="297"/>
      <c r="M659" s="275"/>
      <c r="N659" s="275"/>
      <c r="O659" s="275"/>
      <c r="P659" s="275"/>
      <c r="Q659" s="275"/>
      <c r="R659" s="275"/>
      <c r="S659" s="275"/>
      <c r="T659" s="275"/>
    </row>
    <row r="660" spans="1:20" ht="15" customHeight="1">
      <c r="A660" s="275"/>
      <c r="B660" s="303">
        <v>44889</v>
      </c>
      <c r="C660" s="304">
        <v>18484.099609375</v>
      </c>
      <c r="D660" s="289">
        <f t="shared" si="20"/>
        <v>1.1870949889830161E-2</v>
      </c>
      <c r="E660" s="275"/>
      <c r="F660" s="290"/>
      <c r="G660" s="305">
        <v>44889</v>
      </c>
      <c r="H660" s="306">
        <v>2358.9428710879602</v>
      </c>
      <c r="I660" s="293">
        <f t="shared" si="21"/>
        <v>5.3593262430106405E-3</v>
      </c>
      <c r="J660" s="289"/>
      <c r="K660" s="275"/>
      <c r="L660" s="290"/>
      <c r="M660" s="275"/>
      <c r="N660" s="275"/>
      <c r="O660" s="275"/>
      <c r="P660" s="275"/>
      <c r="Q660" s="275"/>
      <c r="R660" s="275"/>
      <c r="S660" s="275"/>
      <c r="T660" s="275"/>
    </row>
    <row r="661" spans="1:20" ht="15" customHeight="1">
      <c r="A661" s="20"/>
      <c r="B661" s="294">
        <v>44890</v>
      </c>
      <c r="C661" s="295">
        <v>18512.75</v>
      </c>
      <c r="D661" s="296">
        <f t="shared" si="20"/>
        <v>1.5500019600883741E-3</v>
      </c>
      <c r="E661" s="20"/>
      <c r="F661" s="297"/>
      <c r="G661" s="298">
        <v>44890</v>
      </c>
      <c r="H661" s="299">
        <v>2389.8737792939801</v>
      </c>
      <c r="I661" s="300">
        <f t="shared" si="21"/>
        <v>1.3112190458327793E-2</v>
      </c>
      <c r="J661" s="296"/>
      <c r="K661" s="20"/>
      <c r="L661" s="297"/>
      <c r="M661" s="275"/>
      <c r="N661" s="275"/>
      <c r="O661" s="275"/>
      <c r="P661" s="275"/>
      <c r="Q661" s="275"/>
      <c r="R661" s="275"/>
      <c r="S661" s="275"/>
      <c r="T661" s="275"/>
    </row>
    <row r="662" spans="1:20" ht="15" customHeight="1">
      <c r="A662" s="275"/>
      <c r="B662" s="303">
        <v>44893</v>
      </c>
      <c r="C662" s="304">
        <v>18562.75</v>
      </c>
      <c r="D662" s="289">
        <f t="shared" si="20"/>
        <v>2.7008413120687092E-3</v>
      </c>
      <c r="E662" s="275"/>
      <c r="F662" s="290"/>
      <c r="G662" s="305">
        <v>44893</v>
      </c>
      <c r="H662" s="306">
        <v>2456.3686523379602</v>
      </c>
      <c r="I662" s="293">
        <f t="shared" si="21"/>
        <v>2.7823592032389297E-2</v>
      </c>
      <c r="J662" s="289"/>
      <c r="K662" s="275"/>
      <c r="L662" s="290"/>
      <c r="M662" s="275"/>
      <c r="N662" s="275"/>
      <c r="O662" s="275"/>
      <c r="P662" s="275"/>
      <c r="Q662" s="275"/>
      <c r="R662" s="275"/>
      <c r="S662" s="275"/>
      <c r="T662" s="275"/>
    </row>
    <row r="663" spans="1:20" ht="15" customHeight="1">
      <c r="A663" s="20"/>
      <c r="B663" s="294">
        <v>44894</v>
      </c>
      <c r="C663" s="295">
        <v>18618.05078125</v>
      </c>
      <c r="D663" s="296">
        <f t="shared" si="20"/>
        <v>2.9791265437502526E-3</v>
      </c>
      <c r="E663" s="20"/>
      <c r="F663" s="297"/>
      <c r="G663" s="298">
        <v>44894</v>
      </c>
      <c r="H663" s="299">
        <v>2495.8591308564801</v>
      </c>
      <c r="I663" s="300">
        <f t="shared" si="21"/>
        <v>1.607677189697608E-2</v>
      </c>
      <c r="J663" s="296"/>
      <c r="K663" s="20"/>
      <c r="L663" s="297"/>
      <c r="M663" s="275"/>
      <c r="N663" s="275"/>
      <c r="O663" s="275"/>
      <c r="P663" s="275"/>
      <c r="Q663" s="275"/>
      <c r="R663" s="275"/>
      <c r="S663" s="275"/>
      <c r="T663" s="275"/>
    </row>
    <row r="664" spans="1:20" ht="15" customHeight="1">
      <c r="A664" s="275"/>
      <c r="B664" s="303">
        <v>44895</v>
      </c>
      <c r="C664" s="304">
        <v>18758.349609375</v>
      </c>
      <c r="D664" s="289">
        <f t="shared" si="20"/>
        <v>7.5356346254191742E-3</v>
      </c>
      <c r="E664" s="275"/>
      <c r="F664" s="290"/>
      <c r="G664" s="305">
        <v>44895</v>
      </c>
      <c r="H664" s="306">
        <v>2516.7292480439801</v>
      </c>
      <c r="I664" s="293">
        <f t="shared" si="21"/>
        <v>8.3618970836459843E-3</v>
      </c>
      <c r="J664" s="289"/>
      <c r="K664" s="275"/>
      <c r="L664" s="290"/>
      <c r="M664" s="275"/>
      <c r="N664" s="275"/>
      <c r="O664" s="275"/>
      <c r="P664" s="275"/>
      <c r="Q664" s="275"/>
      <c r="R664" s="275"/>
      <c r="S664" s="275"/>
      <c r="T664" s="275"/>
    </row>
    <row r="665" spans="1:20" ht="15" customHeight="1">
      <c r="A665" s="20"/>
      <c r="B665" s="294">
        <v>44896</v>
      </c>
      <c r="C665" s="295">
        <v>18812.5</v>
      </c>
      <c r="D665" s="296">
        <f t="shared" si="20"/>
        <v>2.8867353340049093E-3</v>
      </c>
      <c r="E665" s="20"/>
      <c r="F665" s="297"/>
      <c r="G665" s="298">
        <v>44896</v>
      </c>
      <c r="H665" s="299">
        <v>2534.291015625</v>
      </c>
      <c r="I665" s="300">
        <f t="shared" si="21"/>
        <v>6.9780122731394533E-3</v>
      </c>
      <c r="J665" s="296"/>
      <c r="K665" s="20"/>
      <c r="L665" s="297"/>
      <c r="M665" s="275"/>
      <c r="N665" s="275"/>
      <c r="O665" s="275"/>
      <c r="P665" s="275"/>
      <c r="Q665" s="275"/>
      <c r="R665" s="275"/>
      <c r="S665" s="275"/>
      <c r="T665" s="275"/>
    </row>
    <row r="666" spans="1:20" ht="15" customHeight="1">
      <c r="A666" s="275"/>
      <c r="B666" s="303">
        <v>44897</v>
      </c>
      <c r="C666" s="304">
        <v>18696.099609375</v>
      </c>
      <c r="D666" s="289">
        <f t="shared" si="20"/>
        <v>-6.1873961794019936E-3</v>
      </c>
      <c r="E666" s="275"/>
      <c r="F666" s="290"/>
      <c r="G666" s="305">
        <v>44897</v>
      </c>
      <c r="H666" s="306">
        <v>2488.9755859375</v>
      </c>
      <c r="I666" s="293">
        <f t="shared" si="21"/>
        <v>-1.7880910048652967E-2</v>
      </c>
      <c r="J666" s="289"/>
      <c r="K666" s="275"/>
      <c r="L666" s="290"/>
      <c r="M666" s="275"/>
      <c r="N666" s="275"/>
      <c r="O666" s="275"/>
      <c r="P666" s="275"/>
      <c r="Q666" s="275"/>
      <c r="R666" s="275"/>
      <c r="S666" s="275"/>
      <c r="T666" s="275"/>
    </row>
    <row r="667" spans="1:20" ht="15" customHeight="1">
      <c r="A667" s="20"/>
      <c r="B667" s="294">
        <v>44900</v>
      </c>
      <c r="C667" s="295">
        <v>18701.05078125</v>
      </c>
      <c r="D667" s="296">
        <f t="shared" si="20"/>
        <v>2.6482378562624241E-4</v>
      </c>
      <c r="E667" s="20"/>
      <c r="F667" s="297"/>
      <c r="G667" s="298">
        <v>44900</v>
      </c>
      <c r="H667" s="299">
        <v>2495.3291015625</v>
      </c>
      <c r="I667" s="300">
        <f t="shared" si="21"/>
        <v>2.5526628950869675E-3</v>
      </c>
      <c r="J667" s="296"/>
      <c r="K667" s="20"/>
      <c r="L667" s="297"/>
      <c r="M667" s="275"/>
      <c r="N667" s="275"/>
      <c r="O667" s="275"/>
      <c r="P667" s="275"/>
      <c r="Q667" s="275"/>
      <c r="R667" s="275"/>
      <c r="S667" s="275"/>
      <c r="T667" s="275"/>
    </row>
    <row r="668" spans="1:20" ht="15" customHeight="1">
      <c r="A668" s="275"/>
      <c r="B668" s="303">
        <v>44901</v>
      </c>
      <c r="C668" s="304">
        <v>18642.75</v>
      </c>
      <c r="D668" s="289">
        <f t="shared" si="20"/>
        <v>-3.1175136590962781E-3</v>
      </c>
      <c r="E668" s="275"/>
      <c r="F668" s="290"/>
      <c r="G668" s="305">
        <v>44901</v>
      </c>
      <c r="H668" s="306">
        <v>2469.8703613310199</v>
      </c>
      <c r="I668" s="293">
        <f t="shared" si="21"/>
        <v>-1.0202558137737657E-2</v>
      </c>
      <c r="J668" s="289"/>
      <c r="K668" s="275"/>
      <c r="L668" s="290"/>
      <c r="M668" s="275"/>
      <c r="N668" s="275"/>
      <c r="O668" s="275"/>
      <c r="P668" s="275"/>
      <c r="Q668" s="275"/>
      <c r="R668" s="275"/>
      <c r="S668" s="275"/>
      <c r="T668" s="275"/>
    </row>
    <row r="669" spans="1:20" ht="15" customHeight="1">
      <c r="A669" s="20"/>
      <c r="B669" s="294">
        <v>44902</v>
      </c>
      <c r="C669" s="295">
        <v>18560.5</v>
      </c>
      <c r="D669" s="296">
        <f t="shared" si="20"/>
        <v>-4.4119027503989484E-3</v>
      </c>
      <c r="E669" s="20"/>
      <c r="F669" s="297"/>
      <c r="G669" s="298">
        <v>44902</v>
      </c>
      <c r="H669" s="299">
        <v>2435.2329101620398</v>
      </c>
      <c r="I669" s="300">
        <f t="shared" si="21"/>
        <v>-1.4023995636076163E-2</v>
      </c>
      <c r="J669" s="296"/>
      <c r="K669" s="20"/>
      <c r="L669" s="297"/>
      <c r="M669" s="275"/>
      <c r="N669" s="275"/>
      <c r="O669" s="275"/>
      <c r="P669" s="275"/>
      <c r="Q669" s="275"/>
      <c r="R669" s="275"/>
      <c r="S669" s="275"/>
      <c r="T669" s="275"/>
    </row>
    <row r="670" spans="1:20" ht="15" customHeight="1">
      <c r="A670" s="275"/>
      <c r="B670" s="303">
        <v>44903</v>
      </c>
      <c r="C670" s="304">
        <v>18609.349609375</v>
      </c>
      <c r="D670" s="289">
        <f t="shared" si="20"/>
        <v>2.6319123609277765E-3</v>
      </c>
      <c r="E670" s="275"/>
      <c r="F670" s="290"/>
      <c r="G670" s="305">
        <v>44903</v>
      </c>
      <c r="H670" s="306">
        <v>2434.0417480439801</v>
      </c>
      <c r="I670" s="293">
        <f t="shared" si="21"/>
        <v>-4.8913683495699193E-4</v>
      </c>
      <c r="J670" s="289"/>
      <c r="K670" s="275"/>
      <c r="L670" s="290"/>
      <c r="M670" s="275"/>
      <c r="N670" s="275"/>
      <c r="O670" s="275"/>
      <c r="P670" s="275"/>
      <c r="Q670" s="275"/>
      <c r="R670" s="275"/>
      <c r="S670" s="275"/>
      <c r="T670" s="275"/>
    </row>
    <row r="671" spans="1:20" ht="15" customHeight="1">
      <c r="A671" s="20"/>
      <c r="B671" s="294">
        <v>44904</v>
      </c>
      <c r="C671" s="295">
        <v>18496.599609375</v>
      </c>
      <c r="D671" s="296">
        <f t="shared" si="20"/>
        <v>-6.058782405979353E-3</v>
      </c>
      <c r="E671" s="20"/>
      <c r="F671" s="297"/>
      <c r="G671" s="298">
        <v>44904</v>
      </c>
      <c r="H671" s="299">
        <v>2428.12890625</v>
      </c>
      <c r="I671" s="300">
        <f t="shared" si="21"/>
        <v>-2.4292277643683377E-3</v>
      </c>
      <c r="J671" s="296"/>
      <c r="K671" s="20"/>
      <c r="L671" s="297"/>
      <c r="M671" s="275"/>
      <c r="N671" s="275"/>
      <c r="O671" s="275"/>
      <c r="P671" s="275"/>
      <c r="Q671" s="275"/>
      <c r="R671" s="275"/>
      <c r="S671" s="275"/>
      <c r="T671" s="275"/>
    </row>
    <row r="672" spans="1:20" ht="15" customHeight="1">
      <c r="A672" s="275"/>
      <c r="B672" s="303">
        <v>44907</v>
      </c>
      <c r="C672" s="304">
        <v>18497.150390625</v>
      </c>
      <c r="D672" s="289">
        <f t="shared" si="20"/>
        <v>2.9777432697458433E-5</v>
      </c>
      <c r="E672" s="275"/>
      <c r="F672" s="290"/>
      <c r="G672" s="305">
        <v>44907</v>
      </c>
      <c r="H672" s="306">
        <v>2445.734375</v>
      </c>
      <c r="I672" s="293">
        <f t="shared" si="21"/>
        <v>7.2506318361778696E-3</v>
      </c>
      <c r="J672" s="289"/>
      <c r="K672" s="275"/>
      <c r="L672" s="290"/>
      <c r="M672" s="275"/>
      <c r="N672" s="275"/>
      <c r="O672" s="275"/>
      <c r="P672" s="275"/>
      <c r="Q672" s="275"/>
      <c r="R672" s="275"/>
      <c r="S672" s="275"/>
      <c r="T672" s="275"/>
    </row>
    <row r="673" spans="1:20" ht="15" customHeight="1">
      <c r="A673" s="20"/>
      <c r="B673" s="294">
        <v>44908</v>
      </c>
      <c r="C673" s="295">
        <v>18608</v>
      </c>
      <c r="D673" s="296">
        <f t="shared" si="20"/>
        <v>5.9927938646799584E-3</v>
      </c>
      <c r="E673" s="20"/>
      <c r="F673" s="297"/>
      <c r="G673" s="298">
        <v>44908</v>
      </c>
      <c r="H673" s="299">
        <v>2435.1447753935199</v>
      </c>
      <c r="I673" s="300">
        <f t="shared" si="21"/>
        <v>-4.3298240866733858E-3</v>
      </c>
      <c r="J673" s="296"/>
      <c r="K673" s="20"/>
      <c r="L673" s="297"/>
      <c r="M673" s="275"/>
      <c r="N673" s="275"/>
      <c r="O673" s="275"/>
      <c r="P673" s="275"/>
      <c r="Q673" s="275"/>
      <c r="R673" s="275"/>
      <c r="S673" s="275"/>
      <c r="T673" s="275"/>
    </row>
    <row r="674" spans="1:20" ht="15" customHeight="1">
      <c r="A674" s="275"/>
      <c r="B674" s="303">
        <v>44909</v>
      </c>
      <c r="C674" s="304">
        <v>18660.30078125</v>
      </c>
      <c r="D674" s="289">
        <f t="shared" si="20"/>
        <v>2.8106610731943251E-3</v>
      </c>
      <c r="E674" s="275"/>
      <c r="F674" s="290"/>
      <c r="G674" s="305">
        <v>44909</v>
      </c>
      <c r="H674" s="306">
        <v>2424.4670410185199</v>
      </c>
      <c r="I674" s="293">
        <f t="shared" si="21"/>
        <v>-4.3848458140541054E-3</v>
      </c>
      <c r="J674" s="289"/>
      <c r="K674" s="275"/>
      <c r="L674" s="290"/>
      <c r="M674" s="275"/>
      <c r="N674" s="275"/>
      <c r="O674" s="275"/>
      <c r="P674" s="275"/>
      <c r="Q674" s="275"/>
      <c r="R674" s="275"/>
      <c r="S674" s="275"/>
      <c r="T674" s="275"/>
    </row>
    <row r="675" spans="1:20" ht="15" customHeight="1">
      <c r="A675" s="20"/>
      <c r="B675" s="294">
        <v>44910</v>
      </c>
      <c r="C675" s="295">
        <v>18414.900390625</v>
      </c>
      <c r="D675" s="296">
        <f t="shared" si="20"/>
        <v>-1.3150934355333651E-2</v>
      </c>
      <c r="E675" s="20"/>
      <c r="F675" s="297"/>
      <c r="G675" s="298">
        <v>44910</v>
      </c>
      <c r="H675" s="299">
        <v>2445.2048339814801</v>
      </c>
      <c r="I675" s="300">
        <f t="shared" si="21"/>
        <v>8.553547073276855E-3</v>
      </c>
      <c r="J675" s="296"/>
      <c r="K675" s="20"/>
      <c r="L675" s="297"/>
      <c r="M675" s="275"/>
      <c r="N675" s="275"/>
      <c r="O675" s="275"/>
      <c r="P675" s="275"/>
      <c r="Q675" s="275"/>
      <c r="R675" s="275"/>
      <c r="S675" s="275"/>
      <c r="T675" s="275"/>
    </row>
    <row r="676" spans="1:20" ht="15" customHeight="1">
      <c r="A676" s="275"/>
      <c r="B676" s="303">
        <v>44911</v>
      </c>
      <c r="C676" s="304">
        <v>18269</v>
      </c>
      <c r="D676" s="289">
        <f t="shared" si="20"/>
        <v>-7.9229530179418008E-3</v>
      </c>
      <c r="E676" s="275"/>
      <c r="F676" s="290"/>
      <c r="G676" s="305">
        <v>44911</v>
      </c>
      <c r="H676" s="306">
        <v>2404.6108398379602</v>
      </c>
      <c r="I676" s="293">
        <f t="shared" si="21"/>
        <v>-1.6601469774383482E-2</v>
      </c>
      <c r="J676" s="289"/>
      <c r="K676" s="275"/>
      <c r="L676" s="290"/>
      <c r="M676" s="275"/>
      <c r="N676" s="275"/>
      <c r="O676" s="275"/>
      <c r="P676" s="275"/>
      <c r="Q676" s="275"/>
      <c r="R676" s="275"/>
      <c r="S676" s="275"/>
      <c r="T676" s="275"/>
    </row>
    <row r="677" spans="1:20" ht="15" customHeight="1">
      <c r="A677" s="20"/>
      <c r="B677" s="294">
        <v>44914</v>
      </c>
      <c r="C677" s="295">
        <v>18420.44921875</v>
      </c>
      <c r="D677" s="296">
        <f t="shared" si="20"/>
        <v>8.2899566889265974E-3</v>
      </c>
      <c r="E677" s="20"/>
      <c r="F677" s="297"/>
      <c r="G677" s="298">
        <v>44914</v>
      </c>
      <c r="H677" s="299">
        <v>2453.8090820370398</v>
      </c>
      <c r="I677" s="300">
        <f t="shared" si="21"/>
        <v>2.0459960249698872E-2</v>
      </c>
      <c r="J677" s="296"/>
      <c r="K677" s="20"/>
      <c r="L677" s="297"/>
      <c r="M677" s="275"/>
      <c r="N677" s="275"/>
      <c r="O677" s="275"/>
      <c r="P677" s="275"/>
      <c r="Q677" s="275"/>
      <c r="R677" s="275"/>
      <c r="S677" s="275"/>
      <c r="T677" s="275"/>
    </row>
    <row r="678" spans="1:20" ht="15" customHeight="1">
      <c r="A678" s="275"/>
      <c r="B678" s="303">
        <v>44915</v>
      </c>
      <c r="C678" s="304">
        <v>18385.30078125</v>
      </c>
      <c r="D678" s="289">
        <f t="shared" si="20"/>
        <v>-1.9081205394395452E-3</v>
      </c>
      <c r="E678" s="275"/>
      <c r="F678" s="290"/>
      <c r="G678" s="305">
        <v>44915</v>
      </c>
      <c r="H678" s="306">
        <v>2446.7048339814801</v>
      </c>
      <c r="I678" s="293">
        <f t="shared" si="21"/>
        <v>-2.8951918499144783E-3</v>
      </c>
      <c r="J678" s="289"/>
      <c r="K678" s="275"/>
      <c r="L678" s="290"/>
      <c r="M678" s="275"/>
      <c r="N678" s="275"/>
      <c r="O678" s="275"/>
      <c r="P678" s="275"/>
      <c r="Q678" s="275"/>
      <c r="R678" s="275"/>
      <c r="S678" s="275"/>
      <c r="T678" s="275"/>
    </row>
    <row r="679" spans="1:20" ht="15" customHeight="1">
      <c r="A679" s="20"/>
      <c r="B679" s="294">
        <v>44916</v>
      </c>
      <c r="C679" s="295">
        <v>18199.099609375</v>
      </c>
      <c r="D679" s="296">
        <f t="shared" si="20"/>
        <v>-1.012771964355866E-2</v>
      </c>
      <c r="E679" s="20"/>
      <c r="F679" s="297"/>
      <c r="G679" s="298">
        <v>44916</v>
      </c>
      <c r="H679" s="299">
        <v>2433.3798828125</v>
      </c>
      <c r="I679" s="300">
        <f t="shared" si="21"/>
        <v>-5.4460803705924012E-3</v>
      </c>
      <c r="J679" s="296"/>
      <c r="K679" s="20"/>
      <c r="L679" s="297"/>
      <c r="M679" s="275"/>
      <c r="N679" s="275"/>
      <c r="O679" s="275"/>
      <c r="P679" s="275"/>
      <c r="Q679" s="275"/>
      <c r="R679" s="275"/>
      <c r="S679" s="275"/>
      <c r="T679" s="275"/>
    </row>
    <row r="680" spans="1:20" ht="15" customHeight="1">
      <c r="A680" s="275"/>
      <c r="B680" s="303">
        <v>44917</v>
      </c>
      <c r="C680" s="304">
        <v>18127.349609375</v>
      </c>
      <c r="D680" s="289">
        <f t="shared" si="20"/>
        <v>-3.9425027358517802E-3</v>
      </c>
      <c r="E680" s="275"/>
      <c r="F680" s="290"/>
      <c r="G680" s="305">
        <v>44917</v>
      </c>
      <c r="H680" s="306">
        <v>2407.1257324189801</v>
      </c>
      <c r="I680" s="293">
        <f t="shared" si="21"/>
        <v>-1.0789170478049396E-2</v>
      </c>
      <c r="J680" s="289"/>
      <c r="K680" s="275"/>
      <c r="L680" s="290"/>
      <c r="M680" s="275"/>
      <c r="N680" s="275"/>
      <c r="O680" s="275"/>
      <c r="P680" s="275"/>
      <c r="Q680" s="275"/>
      <c r="R680" s="275"/>
      <c r="S680" s="275"/>
      <c r="T680" s="275"/>
    </row>
    <row r="681" spans="1:20" ht="15" customHeight="1">
      <c r="A681" s="20"/>
      <c r="B681" s="294">
        <v>44918</v>
      </c>
      <c r="C681" s="295">
        <v>17806.80078125</v>
      </c>
      <c r="D681" s="296">
        <f t="shared" si="20"/>
        <v>-1.7683160254117921E-2</v>
      </c>
      <c r="E681" s="20"/>
      <c r="F681" s="297"/>
      <c r="G681" s="298">
        <v>44918</v>
      </c>
      <c r="H681" s="299">
        <v>2326.9536132870398</v>
      </c>
      <c r="I681" s="300">
        <f t="shared" si="21"/>
        <v>-3.3306161806252343E-2</v>
      </c>
      <c r="J681" s="296"/>
      <c r="K681" s="20"/>
      <c r="L681" s="297"/>
      <c r="M681" s="275"/>
      <c r="N681" s="275"/>
      <c r="O681" s="275"/>
      <c r="P681" s="275"/>
      <c r="Q681" s="275"/>
      <c r="R681" s="275"/>
      <c r="S681" s="275"/>
      <c r="T681" s="275"/>
    </row>
    <row r="682" spans="1:20" ht="15" customHeight="1">
      <c r="A682" s="275"/>
      <c r="B682" s="303">
        <v>44921</v>
      </c>
      <c r="C682" s="304">
        <v>18014.599609375</v>
      </c>
      <c r="D682" s="289">
        <f t="shared" si="20"/>
        <v>1.1669632893506936E-2</v>
      </c>
      <c r="E682" s="275"/>
      <c r="F682" s="290"/>
      <c r="G682" s="305">
        <v>44921</v>
      </c>
      <c r="H682" s="306">
        <v>2370.5913085879602</v>
      </c>
      <c r="I682" s="293">
        <f t="shared" si="21"/>
        <v>1.8753143617365877E-2</v>
      </c>
      <c r="J682" s="289"/>
      <c r="K682" s="275"/>
      <c r="L682" s="290"/>
      <c r="M682" s="275"/>
      <c r="N682" s="275"/>
      <c r="O682" s="275"/>
      <c r="P682" s="275"/>
      <c r="Q682" s="275"/>
      <c r="R682" s="275"/>
      <c r="S682" s="275"/>
      <c r="T682" s="275"/>
    </row>
    <row r="683" spans="1:20" ht="15" customHeight="1">
      <c r="A683" s="20"/>
      <c r="B683" s="294">
        <v>44922</v>
      </c>
      <c r="C683" s="295">
        <v>18132.30078125</v>
      </c>
      <c r="D683" s="296">
        <f t="shared" si="20"/>
        <v>6.533654614990554E-3</v>
      </c>
      <c r="E683" s="20"/>
      <c r="F683" s="297"/>
      <c r="G683" s="298">
        <v>44922</v>
      </c>
      <c r="H683" s="299">
        <v>2384.7551269560199</v>
      </c>
      <c r="I683" s="300">
        <f t="shared" si="21"/>
        <v>5.9748039726410821E-3</v>
      </c>
      <c r="J683" s="296"/>
      <c r="K683" s="20"/>
      <c r="L683" s="297"/>
      <c r="M683" s="275"/>
      <c r="N683" s="275"/>
      <c r="O683" s="275"/>
      <c r="P683" s="275"/>
      <c r="Q683" s="275"/>
      <c r="R683" s="275"/>
      <c r="S683" s="275"/>
      <c r="T683" s="275"/>
    </row>
    <row r="684" spans="1:20" ht="15" customHeight="1">
      <c r="A684" s="275"/>
      <c r="B684" s="303">
        <v>44923</v>
      </c>
      <c r="C684" s="304">
        <v>18122.5</v>
      </c>
      <c r="D684" s="289">
        <f t="shared" si="20"/>
        <v>-5.405150382313676E-4</v>
      </c>
      <c r="E684" s="275"/>
      <c r="F684" s="290"/>
      <c r="G684" s="305">
        <v>44923</v>
      </c>
      <c r="H684" s="306">
        <v>2379.6813964814801</v>
      </c>
      <c r="I684" s="293">
        <f t="shared" si="21"/>
        <v>-2.1275687458175716E-3</v>
      </c>
      <c r="J684" s="289"/>
      <c r="K684" s="275"/>
      <c r="L684" s="290"/>
      <c r="M684" s="275"/>
      <c r="N684" s="275"/>
      <c r="O684" s="275"/>
      <c r="P684" s="275"/>
      <c r="Q684" s="275"/>
      <c r="R684" s="275"/>
      <c r="S684" s="275"/>
      <c r="T684" s="275"/>
    </row>
    <row r="685" spans="1:20" ht="15" customHeight="1">
      <c r="A685" s="20"/>
      <c r="B685" s="294">
        <v>44924</v>
      </c>
      <c r="C685" s="295">
        <v>18191</v>
      </c>
      <c r="D685" s="296">
        <f t="shared" si="20"/>
        <v>3.7798317009242652E-3</v>
      </c>
      <c r="E685" s="20"/>
      <c r="F685" s="297"/>
      <c r="G685" s="298">
        <v>44924</v>
      </c>
      <c r="H685" s="299">
        <v>2402.2727050810199</v>
      </c>
      <c r="I685" s="300">
        <f t="shared" si="21"/>
        <v>9.4934173259254885E-3</v>
      </c>
      <c r="J685" s="296"/>
      <c r="K685" s="20"/>
      <c r="L685" s="297"/>
      <c r="M685" s="275"/>
      <c r="N685" s="275"/>
      <c r="O685" s="275"/>
      <c r="P685" s="275"/>
      <c r="Q685" s="275"/>
      <c r="R685" s="275"/>
      <c r="S685" s="275"/>
      <c r="T685" s="275"/>
    </row>
    <row r="686" spans="1:20" ht="15" customHeight="1">
      <c r="A686" s="275"/>
      <c r="B686" s="303">
        <v>44925</v>
      </c>
      <c r="C686" s="304">
        <v>18105.30078125</v>
      </c>
      <c r="D686" s="289">
        <f t="shared" si="20"/>
        <v>-4.7110779368918698E-3</v>
      </c>
      <c r="E686" s="275"/>
      <c r="F686" s="290"/>
      <c r="G686" s="305">
        <v>44925</v>
      </c>
      <c r="H686" s="306">
        <v>2416.9660644560199</v>
      </c>
      <c r="I686" s="293">
        <f t="shared" si="21"/>
        <v>6.1164410451495545E-3</v>
      </c>
      <c r="J686" s="289"/>
      <c r="K686" s="275"/>
      <c r="L686" s="290"/>
      <c r="M686" s="275"/>
      <c r="N686" s="275"/>
      <c r="O686" s="275"/>
      <c r="P686" s="275"/>
      <c r="Q686" s="275"/>
      <c r="R686" s="275"/>
      <c r="S686" s="275"/>
      <c r="T686" s="275"/>
    </row>
    <row r="687" spans="1:20" ht="15" customHeight="1">
      <c r="A687" s="20"/>
      <c r="B687" s="294">
        <v>44928</v>
      </c>
      <c r="C687" s="295">
        <v>18197.44921875</v>
      </c>
      <c r="D687" s="296">
        <f t="shared" si="20"/>
        <v>5.0895833553579895E-3</v>
      </c>
      <c r="E687" s="20"/>
      <c r="F687" s="297"/>
      <c r="G687" s="298">
        <v>44928</v>
      </c>
      <c r="H687" s="299">
        <v>2396.7126464814801</v>
      </c>
      <c r="I687" s="300">
        <f t="shared" si="21"/>
        <v>-8.3796865303105636E-3</v>
      </c>
      <c r="J687" s="296"/>
      <c r="K687" s="20"/>
      <c r="L687" s="297"/>
      <c r="M687" s="275"/>
      <c r="N687" s="275"/>
      <c r="O687" s="275"/>
      <c r="P687" s="275"/>
      <c r="Q687" s="275"/>
      <c r="R687" s="275"/>
      <c r="S687" s="275"/>
      <c r="T687" s="275"/>
    </row>
    <row r="688" spans="1:20" ht="15" customHeight="1">
      <c r="A688" s="275"/>
      <c r="B688" s="303">
        <v>44929</v>
      </c>
      <c r="C688" s="304">
        <v>18232.55078125</v>
      </c>
      <c r="D688" s="289">
        <f t="shared" si="20"/>
        <v>1.928927624858137E-3</v>
      </c>
      <c r="E688" s="275"/>
      <c r="F688" s="290"/>
      <c r="G688" s="305">
        <v>44929</v>
      </c>
      <c r="H688" s="306">
        <v>2400.6838378935199</v>
      </c>
      <c r="I688" s="293">
        <f t="shared" si="21"/>
        <v>1.6569326397429386E-3</v>
      </c>
      <c r="J688" s="289"/>
      <c r="K688" s="275"/>
      <c r="L688" s="290"/>
      <c r="M688" s="275"/>
      <c r="N688" s="275"/>
      <c r="O688" s="275"/>
      <c r="P688" s="275"/>
      <c r="Q688" s="275"/>
      <c r="R688" s="275"/>
      <c r="S688" s="275"/>
      <c r="T688" s="275"/>
    </row>
    <row r="689" spans="1:20" ht="15" customHeight="1">
      <c r="A689" s="20"/>
      <c r="B689" s="294">
        <v>44930</v>
      </c>
      <c r="C689" s="295">
        <v>18042.94921875</v>
      </c>
      <c r="D689" s="296">
        <f t="shared" si="20"/>
        <v>-1.0399069487028801E-2</v>
      </c>
      <c r="E689" s="20"/>
      <c r="F689" s="297"/>
      <c r="G689" s="298">
        <v>44930</v>
      </c>
      <c r="H689" s="299">
        <v>2390.888671875</v>
      </c>
      <c r="I689" s="300">
        <f t="shared" si="21"/>
        <v>-4.0801566053423723E-3</v>
      </c>
      <c r="J689" s="296"/>
      <c r="K689" s="20"/>
      <c r="L689" s="297"/>
      <c r="M689" s="275"/>
      <c r="N689" s="275"/>
      <c r="O689" s="275"/>
      <c r="P689" s="275"/>
      <c r="Q689" s="275"/>
      <c r="R689" s="275"/>
      <c r="S689" s="275"/>
      <c r="T689" s="275"/>
    </row>
    <row r="690" spans="1:20" ht="15" customHeight="1">
      <c r="A690" s="275"/>
      <c r="B690" s="303">
        <v>44931</v>
      </c>
      <c r="C690" s="304">
        <v>17992.150390625</v>
      </c>
      <c r="D690" s="289">
        <f t="shared" si="20"/>
        <v>-2.8154392892826255E-3</v>
      </c>
      <c r="E690" s="275"/>
      <c r="F690" s="290"/>
      <c r="G690" s="305">
        <v>44931</v>
      </c>
      <c r="H690" s="306">
        <v>2441.9396972685199</v>
      </c>
      <c r="I690" s="293">
        <f t="shared" si="21"/>
        <v>2.1352322253250008E-2</v>
      </c>
      <c r="J690" s="289"/>
      <c r="K690" s="275"/>
      <c r="L690" s="290"/>
      <c r="M690" s="275"/>
      <c r="N690" s="275"/>
      <c r="O690" s="275"/>
      <c r="P690" s="275"/>
      <c r="Q690" s="275"/>
      <c r="R690" s="275"/>
      <c r="S690" s="275"/>
      <c r="T690" s="275"/>
    </row>
    <row r="691" spans="1:20" ht="15" customHeight="1">
      <c r="A691" s="20"/>
      <c r="B691" s="294">
        <v>44932</v>
      </c>
      <c r="C691" s="295">
        <v>17859.44921875</v>
      </c>
      <c r="D691" s="296">
        <f t="shared" si="20"/>
        <v>-7.3755037054462009E-3</v>
      </c>
      <c r="E691" s="20"/>
      <c r="F691" s="297"/>
      <c r="G691" s="298">
        <v>44932</v>
      </c>
      <c r="H691" s="299">
        <v>2420.2309570370398</v>
      </c>
      <c r="I691" s="300">
        <f t="shared" si="21"/>
        <v>-8.8899575430805358E-3</v>
      </c>
      <c r="J691" s="296"/>
      <c r="K691" s="20"/>
      <c r="L691" s="297"/>
      <c r="M691" s="275"/>
      <c r="N691" s="275"/>
      <c r="O691" s="275"/>
      <c r="P691" s="275"/>
      <c r="Q691" s="275"/>
      <c r="R691" s="275"/>
      <c r="S691" s="275"/>
      <c r="T691" s="275"/>
    </row>
    <row r="692" spans="1:20" ht="15" customHeight="1">
      <c r="A692" s="275"/>
      <c r="B692" s="303">
        <v>44935</v>
      </c>
      <c r="C692" s="304">
        <v>18101.19921875</v>
      </c>
      <c r="D692" s="289">
        <f t="shared" si="20"/>
        <v>1.3536251708490276E-2</v>
      </c>
      <c r="E692" s="275"/>
      <c r="F692" s="290"/>
      <c r="G692" s="305">
        <v>44935</v>
      </c>
      <c r="H692" s="306">
        <v>2428.8791503935199</v>
      </c>
      <c r="I692" s="293">
        <f t="shared" si="21"/>
        <v>3.5732925947974826E-3</v>
      </c>
      <c r="J692" s="289"/>
      <c r="K692" s="275"/>
      <c r="L692" s="290"/>
      <c r="M692" s="275"/>
      <c r="N692" s="275"/>
      <c r="O692" s="275"/>
      <c r="P692" s="275"/>
      <c r="Q692" s="275"/>
      <c r="R692" s="275"/>
      <c r="S692" s="275"/>
      <c r="T692" s="275"/>
    </row>
    <row r="693" spans="1:20" ht="15" customHeight="1">
      <c r="A693" s="20"/>
      <c r="B693" s="294">
        <v>44936</v>
      </c>
      <c r="C693" s="295">
        <v>17914.150390625</v>
      </c>
      <c r="D693" s="296">
        <f t="shared" si="20"/>
        <v>-1.0333504750958532E-2</v>
      </c>
      <c r="E693" s="20"/>
      <c r="F693" s="297"/>
      <c r="G693" s="298">
        <v>44936</v>
      </c>
      <c r="H693" s="299">
        <v>2393.3156738310199</v>
      </c>
      <c r="I693" s="300">
        <f t="shared" si="21"/>
        <v>-1.4641929202915719E-2</v>
      </c>
      <c r="J693" s="296"/>
      <c r="K693" s="20"/>
      <c r="L693" s="297"/>
      <c r="M693" s="275"/>
      <c r="N693" s="275"/>
      <c r="O693" s="275"/>
      <c r="P693" s="275"/>
      <c r="Q693" s="275"/>
      <c r="R693" s="275"/>
      <c r="S693" s="275"/>
      <c r="T693" s="275"/>
    </row>
    <row r="694" spans="1:20" ht="15" customHeight="1">
      <c r="A694" s="275"/>
      <c r="B694" s="303">
        <v>44937</v>
      </c>
      <c r="C694" s="304">
        <v>17895.69921875</v>
      </c>
      <c r="D694" s="289">
        <f t="shared" si="20"/>
        <v>-1.0299775022909285E-3</v>
      </c>
      <c r="E694" s="275"/>
      <c r="F694" s="290"/>
      <c r="G694" s="305">
        <v>44937</v>
      </c>
      <c r="H694" s="306">
        <v>2377.1662597685199</v>
      </c>
      <c r="I694" s="293">
        <f t="shared" si="21"/>
        <v>-6.7477158316727043E-3</v>
      </c>
      <c r="J694" s="289"/>
      <c r="K694" s="275"/>
      <c r="L694" s="290"/>
      <c r="M694" s="275"/>
      <c r="N694" s="275"/>
      <c r="O694" s="275"/>
      <c r="P694" s="275"/>
      <c r="Q694" s="275"/>
      <c r="R694" s="275"/>
      <c r="S694" s="275"/>
      <c r="T694" s="275"/>
    </row>
    <row r="695" spans="1:20" ht="15" customHeight="1">
      <c r="A695" s="20"/>
      <c r="B695" s="294">
        <v>44938</v>
      </c>
      <c r="C695" s="295">
        <v>17858.19921875</v>
      </c>
      <c r="D695" s="296">
        <f t="shared" si="20"/>
        <v>-2.0954755408891671E-3</v>
      </c>
      <c r="E695" s="20"/>
      <c r="F695" s="297"/>
      <c r="G695" s="298">
        <v>44938</v>
      </c>
      <c r="H695" s="299">
        <v>2377.607421875</v>
      </c>
      <c r="I695" s="300">
        <f t="shared" si="21"/>
        <v>1.8558319371529241E-4</v>
      </c>
      <c r="J695" s="296"/>
      <c r="K695" s="20"/>
      <c r="L695" s="297"/>
      <c r="M695" s="275"/>
      <c r="N695" s="275"/>
      <c r="O695" s="275"/>
      <c r="P695" s="275"/>
      <c r="Q695" s="275"/>
      <c r="R695" s="275"/>
      <c r="S695" s="275"/>
      <c r="T695" s="275"/>
    </row>
    <row r="696" spans="1:20" ht="15" customHeight="1">
      <c r="A696" s="275"/>
      <c r="B696" s="303">
        <v>44939</v>
      </c>
      <c r="C696" s="304">
        <v>17956.599609375</v>
      </c>
      <c r="D696" s="289">
        <f t="shared" si="20"/>
        <v>5.5100959183883276E-3</v>
      </c>
      <c r="E696" s="275"/>
      <c r="F696" s="290"/>
      <c r="G696" s="305">
        <v>44939</v>
      </c>
      <c r="H696" s="306">
        <v>2407.7880859375</v>
      </c>
      <c r="I696" s="293">
        <f t="shared" si="21"/>
        <v>1.2693712084183894E-2</v>
      </c>
      <c r="J696" s="289"/>
      <c r="K696" s="275"/>
      <c r="L696" s="290"/>
      <c r="M696" s="275"/>
      <c r="N696" s="275"/>
      <c r="O696" s="275"/>
      <c r="P696" s="275"/>
      <c r="Q696" s="275"/>
      <c r="R696" s="275"/>
      <c r="S696" s="275"/>
      <c r="T696" s="275"/>
    </row>
    <row r="697" spans="1:20" ht="15" customHeight="1">
      <c r="A697" s="20"/>
      <c r="B697" s="294">
        <v>44942</v>
      </c>
      <c r="C697" s="295">
        <v>17894.849609375</v>
      </c>
      <c r="D697" s="296">
        <f t="shared" si="20"/>
        <v>-3.4388470725693972E-3</v>
      </c>
      <c r="E697" s="20"/>
      <c r="F697" s="297"/>
      <c r="G697" s="298">
        <v>44942</v>
      </c>
      <c r="H697" s="299">
        <v>2434.3947753935199</v>
      </c>
      <c r="I697" s="300">
        <f t="shared" si="21"/>
        <v>1.105026211044661E-2</v>
      </c>
      <c r="J697" s="296"/>
      <c r="K697" s="20"/>
      <c r="L697" s="297"/>
      <c r="M697" s="275"/>
      <c r="N697" s="275"/>
      <c r="O697" s="275"/>
      <c r="P697" s="275"/>
      <c r="Q697" s="275"/>
      <c r="R697" s="275"/>
      <c r="S697" s="275"/>
      <c r="T697" s="275"/>
    </row>
    <row r="698" spans="1:20" ht="15" customHeight="1">
      <c r="A698" s="275"/>
      <c r="B698" s="303">
        <v>44943</v>
      </c>
      <c r="C698" s="304">
        <v>18053.30078125</v>
      </c>
      <c r="D698" s="289">
        <f t="shared" si="20"/>
        <v>8.854568511824118E-3</v>
      </c>
      <c r="E698" s="275"/>
      <c r="F698" s="290"/>
      <c r="G698" s="305">
        <v>44943</v>
      </c>
      <c r="H698" s="306">
        <v>2441.6750488310199</v>
      </c>
      <c r="I698" s="293">
        <f t="shared" si="21"/>
        <v>2.9905886716024288E-3</v>
      </c>
      <c r="J698" s="289"/>
      <c r="K698" s="275"/>
      <c r="L698" s="290"/>
      <c r="M698" s="275"/>
      <c r="N698" s="275"/>
      <c r="O698" s="275"/>
      <c r="P698" s="275"/>
      <c r="Q698" s="275"/>
      <c r="R698" s="275"/>
      <c r="S698" s="275"/>
      <c r="T698" s="275"/>
    </row>
    <row r="699" spans="1:20" ht="15" customHeight="1">
      <c r="A699" s="20"/>
      <c r="B699" s="294">
        <v>44944</v>
      </c>
      <c r="C699" s="295">
        <v>18165.349609375</v>
      </c>
      <c r="D699" s="296">
        <f t="shared" si="20"/>
        <v>6.2065563235601173E-3</v>
      </c>
      <c r="E699" s="20"/>
      <c r="F699" s="297"/>
      <c r="G699" s="298">
        <v>44944</v>
      </c>
      <c r="H699" s="299">
        <v>2444.4106445370398</v>
      </c>
      <c r="I699" s="300">
        <f t="shared" si="21"/>
        <v>1.1203766477155179E-3</v>
      </c>
      <c r="J699" s="296"/>
      <c r="K699" s="20"/>
      <c r="L699" s="297"/>
      <c r="M699" s="275"/>
      <c r="N699" s="275"/>
      <c r="O699" s="275"/>
      <c r="P699" s="275"/>
      <c r="Q699" s="275"/>
      <c r="R699" s="275"/>
      <c r="S699" s="275"/>
      <c r="T699" s="275"/>
    </row>
    <row r="700" spans="1:20" ht="15" customHeight="1">
      <c r="A700" s="275"/>
      <c r="B700" s="303">
        <v>44945</v>
      </c>
      <c r="C700" s="304">
        <v>18107.849609375</v>
      </c>
      <c r="D700" s="289">
        <f t="shared" si="20"/>
        <v>-3.1653670992560848E-3</v>
      </c>
      <c r="E700" s="275"/>
      <c r="F700" s="290"/>
      <c r="G700" s="305">
        <v>44945</v>
      </c>
      <c r="H700" s="306">
        <v>2444.0576171875</v>
      </c>
      <c r="I700" s="293">
        <f t="shared" si="21"/>
        <v>-1.4442227631794043E-4</v>
      </c>
      <c r="J700" s="289"/>
      <c r="K700" s="275"/>
      <c r="L700" s="290"/>
      <c r="M700" s="275"/>
      <c r="N700" s="275"/>
      <c r="O700" s="275"/>
      <c r="P700" s="275"/>
      <c r="Q700" s="275"/>
      <c r="R700" s="275"/>
      <c r="S700" s="275"/>
      <c r="T700" s="275"/>
    </row>
    <row r="701" spans="1:20" ht="15" customHeight="1">
      <c r="A701" s="20"/>
      <c r="B701" s="294">
        <v>44946</v>
      </c>
      <c r="C701" s="295">
        <v>18027.650390625</v>
      </c>
      <c r="D701" s="296">
        <f t="shared" si="20"/>
        <v>-4.4289753051891022E-3</v>
      </c>
      <c r="E701" s="20"/>
      <c r="F701" s="297"/>
      <c r="G701" s="298">
        <v>44946</v>
      </c>
      <c r="H701" s="299">
        <v>2423.6723632870398</v>
      </c>
      <c r="I701" s="300">
        <f t="shared" si="21"/>
        <v>-8.340741951868751E-3</v>
      </c>
      <c r="J701" s="296"/>
      <c r="K701" s="20"/>
      <c r="L701" s="297"/>
      <c r="M701" s="275"/>
      <c r="N701" s="275"/>
      <c r="O701" s="275"/>
      <c r="P701" s="275"/>
      <c r="Q701" s="275"/>
      <c r="R701" s="275"/>
      <c r="S701" s="275"/>
      <c r="T701" s="275"/>
    </row>
    <row r="702" spans="1:20" ht="15" customHeight="1">
      <c r="A702" s="275"/>
      <c r="B702" s="303">
        <v>44949</v>
      </c>
      <c r="C702" s="304">
        <v>18118.55078125</v>
      </c>
      <c r="D702" s="289">
        <f t="shared" si="20"/>
        <v>5.042276095628709E-3</v>
      </c>
      <c r="E702" s="275"/>
      <c r="F702" s="290"/>
      <c r="G702" s="305">
        <v>44949</v>
      </c>
      <c r="H702" s="306">
        <v>2448.5141601620398</v>
      </c>
      <c r="I702" s="293">
        <f t="shared" si="21"/>
        <v>1.0249651417945364E-2</v>
      </c>
      <c r="J702" s="289"/>
      <c r="K702" s="275"/>
      <c r="L702" s="290"/>
      <c r="M702" s="275"/>
      <c r="N702" s="275"/>
      <c r="O702" s="275"/>
      <c r="P702" s="275"/>
      <c r="Q702" s="275"/>
      <c r="R702" s="275"/>
      <c r="S702" s="275"/>
      <c r="T702" s="275"/>
    </row>
    <row r="703" spans="1:20" ht="15" customHeight="1">
      <c r="A703" s="20"/>
      <c r="B703" s="294">
        <v>44950</v>
      </c>
      <c r="C703" s="295">
        <v>18118.30078125</v>
      </c>
      <c r="D703" s="296">
        <f t="shared" si="20"/>
        <v>-1.3798013043003017E-5</v>
      </c>
      <c r="E703" s="20"/>
      <c r="F703" s="297"/>
      <c r="G703" s="298">
        <v>44950</v>
      </c>
      <c r="H703" s="299">
        <v>2446.1313476620398</v>
      </c>
      <c r="I703" s="300">
        <f t="shared" si="21"/>
        <v>-9.7316672240209065E-4</v>
      </c>
      <c r="J703" s="296"/>
      <c r="K703" s="20"/>
      <c r="L703" s="297"/>
      <c r="M703" s="275"/>
      <c r="N703" s="275"/>
      <c r="O703" s="275"/>
      <c r="P703" s="275"/>
      <c r="Q703" s="275"/>
      <c r="R703" s="275"/>
      <c r="S703" s="275"/>
      <c r="T703" s="275"/>
    </row>
    <row r="704" spans="1:20" ht="15" customHeight="1">
      <c r="A704" s="275"/>
      <c r="B704" s="303">
        <v>44951</v>
      </c>
      <c r="C704" s="304">
        <v>17891.94921875</v>
      </c>
      <c r="D704" s="289">
        <f t="shared" si="20"/>
        <v>-1.2492979625012262E-2</v>
      </c>
      <c r="E704" s="275"/>
      <c r="F704" s="290"/>
      <c r="G704" s="305">
        <v>44951</v>
      </c>
      <c r="H704" s="306">
        <v>2457.6918945370398</v>
      </c>
      <c r="I704" s="293">
        <f t="shared" si="21"/>
        <v>4.7260531966320301E-3</v>
      </c>
      <c r="J704" s="289"/>
      <c r="K704" s="275"/>
      <c r="L704" s="290"/>
      <c r="M704" s="275"/>
      <c r="N704" s="275"/>
      <c r="O704" s="275"/>
      <c r="P704" s="275"/>
      <c r="Q704" s="275"/>
      <c r="R704" s="275"/>
      <c r="S704" s="275"/>
      <c r="T704" s="275"/>
    </row>
    <row r="705" spans="1:20" ht="15" customHeight="1">
      <c r="A705" s="20"/>
      <c r="B705" s="294">
        <v>44953</v>
      </c>
      <c r="C705" s="295">
        <v>17604.349609375</v>
      </c>
      <c r="D705" s="296">
        <f t="shared" si="20"/>
        <v>-1.6074246906178778E-2</v>
      </c>
      <c r="E705" s="20"/>
      <c r="F705" s="297"/>
      <c r="G705" s="298">
        <v>44953</v>
      </c>
      <c r="H705" s="299">
        <v>2414.5830078125</v>
      </c>
      <c r="I705" s="300">
        <f t="shared" si="21"/>
        <v>-1.7540395043155053E-2</v>
      </c>
      <c r="J705" s="296"/>
      <c r="K705" s="20"/>
      <c r="L705" s="297"/>
      <c r="M705" s="275"/>
      <c r="N705" s="275"/>
      <c r="O705" s="275"/>
      <c r="P705" s="275"/>
      <c r="Q705" s="275"/>
      <c r="R705" s="275"/>
      <c r="S705" s="275"/>
      <c r="T705" s="275"/>
    </row>
    <row r="706" spans="1:20" ht="15" customHeight="1">
      <c r="A706" s="275"/>
      <c r="B706" s="303">
        <v>44956</v>
      </c>
      <c r="C706" s="304">
        <v>17648.94921875</v>
      </c>
      <c r="D706" s="289">
        <f t="shared" si="20"/>
        <v>2.5334426073456854E-3</v>
      </c>
      <c r="E706" s="275"/>
      <c r="F706" s="290"/>
      <c r="G706" s="305">
        <v>44956</v>
      </c>
      <c r="H706" s="306">
        <v>2384.7114257870398</v>
      </c>
      <c r="I706" s="293">
        <f t="shared" si="21"/>
        <v>-1.2371321229715114E-2</v>
      </c>
      <c r="J706" s="289"/>
      <c r="K706" s="275"/>
      <c r="L706" s="290"/>
      <c r="M706" s="275"/>
      <c r="N706" s="275"/>
      <c r="O706" s="275"/>
      <c r="P706" s="275"/>
      <c r="Q706" s="275"/>
      <c r="R706" s="275"/>
      <c r="S706" s="275"/>
      <c r="T706" s="275"/>
    </row>
    <row r="707" spans="1:20" ht="15" customHeight="1">
      <c r="A707" s="20"/>
      <c r="B707" s="294">
        <v>44957</v>
      </c>
      <c r="C707" s="295">
        <v>17662.150390625</v>
      </c>
      <c r="D707" s="296">
        <f t="shared" si="20"/>
        <v>7.4798628016761802E-4</v>
      </c>
      <c r="E707" s="20"/>
      <c r="F707" s="297"/>
      <c r="G707" s="298">
        <v>44957</v>
      </c>
      <c r="H707" s="299">
        <v>2438.498046875</v>
      </c>
      <c r="I707" s="300">
        <f t="shared" si="21"/>
        <v>2.255477141021734E-2</v>
      </c>
      <c r="J707" s="296"/>
      <c r="K707" s="20"/>
      <c r="L707" s="297"/>
      <c r="M707" s="275"/>
      <c r="N707" s="275"/>
      <c r="O707" s="275"/>
      <c r="P707" s="275"/>
      <c r="Q707" s="275"/>
      <c r="R707" s="275"/>
      <c r="S707" s="275"/>
      <c r="T707" s="275"/>
    </row>
    <row r="708" spans="1:20" ht="15" customHeight="1">
      <c r="A708" s="275"/>
      <c r="B708" s="303">
        <v>44958</v>
      </c>
      <c r="C708" s="304">
        <v>17616.30078125</v>
      </c>
      <c r="D708" s="289">
        <f t="shared" si="20"/>
        <v>-2.5959245256645981E-3</v>
      </c>
      <c r="E708" s="275"/>
      <c r="F708" s="290"/>
      <c r="G708" s="305">
        <v>44958</v>
      </c>
      <c r="H708" s="306">
        <v>2406.7287597685199</v>
      </c>
      <c r="I708" s="293">
        <f t="shared" si="21"/>
        <v>-1.3028219213541411E-2</v>
      </c>
      <c r="J708" s="289"/>
      <c r="K708" s="275"/>
      <c r="L708" s="290"/>
      <c r="M708" s="275"/>
      <c r="N708" s="275"/>
      <c r="O708" s="275"/>
      <c r="P708" s="275"/>
      <c r="Q708" s="275"/>
      <c r="R708" s="275"/>
      <c r="S708" s="275"/>
      <c r="T708" s="275"/>
    </row>
    <row r="709" spans="1:20" ht="15" customHeight="1">
      <c r="A709" s="20"/>
      <c r="B709" s="294">
        <v>44959</v>
      </c>
      <c r="C709" s="295">
        <v>17610.400390625</v>
      </c>
      <c r="D709" s="296">
        <f t="shared" ref="D709:D772" si="22">(C709-C708)/C708</f>
        <v>-3.3493925304000889E-4</v>
      </c>
      <c r="E709" s="20"/>
      <c r="F709" s="297"/>
      <c r="G709" s="298">
        <v>44959</v>
      </c>
      <c r="H709" s="299">
        <v>2348.2209472685199</v>
      </c>
      <c r="I709" s="300">
        <f t="shared" ref="I709:I772" si="23">(H709-H708)/H708</f>
        <v>-2.4310098203848822E-2</v>
      </c>
      <c r="J709" s="296"/>
      <c r="K709" s="20"/>
      <c r="L709" s="297"/>
      <c r="M709" s="275"/>
      <c r="N709" s="275"/>
      <c r="O709" s="275"/>
      <c r="P709" s="275"/>
      <c r="Q709" s="275"/>
      <c r="R709" s="275"/>
      <c r="S709" s="275"/>
      <c r="T709" s="275"/>
    </row>
    <row r="710" spans="1:20" ht="15" customHeight="1">
      <c r="A710" s="275"/>
      <c r="B710" s="303">
        <v>44960</v>
      </c>
      <c r="C710" s="304">
        <v>17854.05078125</v>
      </c>
      <c r="D710" s="289">
        <f t="shared" si="22"/>
        <v>1.3835596307890234E-2</v>
      </c>
      <c r="E710" s="275"/>
      <c r="F710" s="290"/>
      <c r="G710" s="305">
        <v>44960</v>
      </c>
      <c r="H710" s="306">
        <v>2342.3083496064801</v>
      </c>
      <c r="I710" s="293">
        <f t="shared" si="23"/>
        <v>-2.517905169408122E-3</v>
      </c>
      <c r="J710" s="289"/>
      <c r="K710" s="275"/>
      <c r="L710" s="290"/>
      <c r="M710" s="275"/>
      <c r="N710" s="275"/>
      <c r="O710" s="275"/>
      <c r="P710" s="275"/>
      <c r="Q710" s="275"/>
      <c r="R710" s="275"/>
      <c r="S710" s="275"/>
      <c r="T710" s="275"/>
    </row>
    <row r="711" spans="1:20" ht="15" customHeight="1">
      <c r="A711" s="20"/>
      <c r="B711" s="294">
        <v>44963</v>
      </c>
      <c r="C711" s="295">
        <v>17764.599609375</v>
      </c>
      <c r="D711" s="296">
        <f t="shared" si="22"/>
        <v>-5.0101331608701366E-3</v>
      </c>
      <c r="E711" s="20"/>
      <c r="F711" s="297"/>
      <c r="G711" s="298">
        <v>44963</v>
      </c>
      <c r="H711" s="299">
        <v>2378.2690429629602</v>
      </c>
      <c r="I711" s="300">
        <f t="shared" si="23"/>
        <v>1.5352672658372098E-2</v>
      </c>
      <c r="J711" s="296"/>
      <c r="K711" s="20"/>
      <c r="L711" s="297"/>
      <c r="M711" s="275"/>
      <c r="N711" s="275"/>
      <c r="O711" s="275"/>
      <c r="P711" s="275"/>
      <c r="Q711" s="275"/>
      <c r="R711" s="275"/>
      <c r="S711" s="275"/>
      <c r="T711" s="275"/>
    </row>
    <row r="712" spans="1:20" ht="15" customHeight="1">
      <c r="A712" s="275"/>
      <c r="B712" s="303">
        <v>44964</v>
      </c>
      <c r="C712" s="304">
        <v>17721.5</v>
      </c>
      <c r="D712" s="289">
        <f t="shared" si="22"/>
        <v>-2.4261514654264895E-3</v>
      </c>
      <c r="E712" s="275"/>
      <c r="F712" s="290"/>
      <c r="G712" s="305">
        <v>44964</v>
      </c>
      <c r="H712" s="306">
        <v>2340.8520507870398</v>
      </c>
      <c r="I712" s="293">
        <f t="shared" si="23"/>
        <v>-1.5732867686535774E-2</v>
      </c>
      <c r="J712" s="289"/>
      <c r="K712" s="275"/>
      <c r="L712" s="290"/>
      <c r="M712" s="275"/>
      <c r="N712" s="275"/>
      <c r="O712" s="275"/>
      <c r="P712" s="275"/>
      <c r="Q712" s="275"/>
      <c r="R712" s="275"/>
      <c r="S712" s="275"/>
      <c r="T712" s="275"/>
    </row>
    <row r="713" spans="1:20" ht="15" customHeight="1">
      <c r="A713" s="20"/>
      <c r="B713" s="294">
        <v>44965</v>
      </c>
      <c r="C713" s="295">
        <v>17871.69921875</v>
      </c>
      <c r="D713" s="296">
        <f t="shared" si="22"/>
        <v>8.4755364246818839E-3</v>
      </c>
      <c r="E713" s="20"/>
      <c r="F713" s="297"/>
      <c r="G713" s="298">
        <v>44965</v>
      </c>
      <c r="H713" s="299">
        <v>2307.3623046875</v>
      </c>
      <c r="I713" s="300">
        <f t="shared" si="23"/>
        <v>-1.4306647909798461E-2</v>
      </c>
      <c r="J713" s="296"/>
      <c r="K713" s="20"/>
      <c r="L713" s="297"/>
      <c r="M713" s="275"/>
      <c r="N713" s="275"/>
      <c r="O713" s="275"/>
      <c r="P713" s="275"/>
      <c r="Q713" s="275"/>
      <c r="R713" s="275"/>
      <c r="S713" s="275"/>
      <c r="T713" s="275"/>
    </row>
    <row r="714" spans="1:20" ht="15" customHeight="1">
      <c r="A714" s="275"/>
      <c r="B714" s="303">
        <v>44966</v>
      </c>
      <c r="C714" s="304">
        <v>17893.44921875</v>
      </c>
      <c r="D714" s="289">
        <f t="shared" si="22"/>
        <v>1.2170079483645908E-3</v>
      </c>
      <c r="E714" s="275"/>
      <c r="F714" s="290"/>
      <c r="G714" s="305">
        <v>44966</v>
      </c>
      <c r="H714" s="306">
        <v>2258.4289550810199</v>
      </c>
      <c r="I714" s="293">
        <f t="shared" si="23"/>
        <v>-2.120748419399502E-2</v>
      </c>
      <c r="J714" s="289"/>
      <c r="K714" s="275"/>
      <c r="L714" s="290"/>
      <c r="M714" s="275"/>
      <c r="N714" s="275"/>
      <c r="O714" s="275"/>
      <c r="P714" s="275"/>
      <c r="Q714" s="275"/>
      <c r="R714" s="275"/>
      <c r="S714" s="275"/>
      <c r="T714" s="275"/>
    </row>
    <row r="715" spans="1:20" ht="15" customHeight="1">
      <c r="A715" s="20"/>
      <c r="B715" s="294">
        <v>44967</v>
      </c>
      <c r="C715" s="295">
        <v>17856.5</v>
      </c>
      <c r="D715" s="296">
        <f t="shared" si="22"/>
        <v>-2.0649578680046795E-3</v>
      </c>
      <c r="E715" s="20"/>
      <c r="F715" s="297"/>
      <c r="G715" s="298">
        <v>44967</v>
      </c>
      <c r="H715" s="299">
        <v>2279.6965332060199</v>
      </c>
      <c r="I715" s="300">
        <f t="shared" si="23"/>
        <v>9.4169790363128943E-3</v>
      </c>
      <c r="J715" s="296"/>
      <c r="K715" s="20"/>
      <c r="L715" s="297"/>
      <c r="M715" s="275"/>
      <c r="N715" s="275"/>
      <c r="O715" s="275"/>
      <c r="P715" s="275"/>
      <c r="Q715" s="275"/>
      <c r="R715" s="275"/>
      <c r="S715" s="275"/>
      <c r="T715" s="275"/>
    </row>
    <row r="716" spans="1:20" ht="15" customHeight="1">
      <c r="A716" s="275"/>
      <c r="B716" s="303">
        <v>44970</v>
      </c>
      <c r="C716" s="304">
        <v>17770.900390625</v>
      </c>
      <c r="D716" s="289">
        <f t="shared" si="22"/>
        <v>-4.7937507000252013E-3</v>
      </c>
      <c r="E716" s="275"/>
      <c r="F716" s="290"/>
      <c r="G716" s="305">
        <v>44970</v>
      </c>
      <c r="H716" s="306">
        <v>2260.5029296875</v>
      </c>
      <c r="I716" s="293">
        <f t="shared" si="23"/>
        <v>-8.4193677706423768E-3</v>
      </c>
      <c r="J716" s="289"/>
      <c r="K716" s="275"/>
      <c r="L716" s="290"/>
      <c r="M716" s="275"/>
      <c r="N716" s="275"/>
      <c r="O716" s="275"/>
      <c r="P716" s="275"/>
      <c r="Q716" s="275"/>
      <c r="R716" s="275"/>
      <c r="S716" s="275"/>
      <c r="T716" s="275"/>
    </row>
    <row r="717" spans="1:20" ht="15" customHeight="1">
      <c r="A717" s="20"/>
      <c r="B717" s="294">
        <v>44971</v>
      </c>
      <c r="C717" s="295">
        <v>17929.849609375</v>
      </c>
      <c r="D717" s="296">
        <f t="shared" si="22"/>
        <v>8.944353704995911E-3</v>
      </c>
      <c r="E717" s="20"/>
      <c r="F717" s="297"/>
      <c r="G717" s="298">
        <v>44971</v>
      </c>
      <c r="H717" s="299">
        <v>2243.6916503935199</v>
      </c>
      <c r="I717" s="300">
        <f t="shared" si="23"/>
        <v>-7.4369641698735292E-3</v>
      </c>
      <c r="J717" s="296"/>
      <c r="K717" s="20"/>
      <c r="L717" s="297"/>
      <c r="M717" s="275"/>
      <c r="N717" s="275"/>
      <c r="O717" s="275"/>
      <c r="P717" s="275"/>
      <c r="Q717" s="275"/>
      <c r="R717" s="275"/>
      <c r="S717" s="275"/>
      <c r="T717" s="275"/>
    </row>
    <row r="718" spans="1:20" ht="15" customHeight="1">
      <c r="A718" s="275"/>
      <c r="B718" s="303">
        <v>44972</v>
      </c>
      <c r="C718" s="304">
        <v>18015.849609375</v>
      </c>
      <c r="D718" s="289">
        <f t="shared" si="22"/>
        <v>4.796470794436172E-3</v>
      </c>
      <c r="E718" s="275"/>
      <c r="F718" s="290"/>
      <c r="G718" s="305">
        <v>44972</v>
      </c>
      <c r="H718" s="306">
        <v>2269.724609375</v>
      </c>
      <c r="I718" s="293">
        <f t="shared" si="23"/>
        <v>1.160273470595399E-2</v>
      </c>
      <c r="J718" s="289"/>
      <c r="K718" s="275"/>
      <c r="L718" s="290"/>
      <c r="M718" s="275"/>
      <c r="N718" s="275"/>
      <c r="O718" s="275"/>
      <c r="P718" s="275"/>
      <c r="Q718" s="275"/>
      <c r="R718" s="275"/>
      <c r="S718" s="275"/>
      <c r="T718" s="275"/>
    </row>
    <row r="719" spans="1:20" ht="15" customHeight="1">
      <c r="A719" s="20"/>
      <c r="B719" s="294">
        <v>44973</v>
      </c>
      <c r="C719" s="295">
        <v>18035.849609375</v>
      </c>
      <c r="D719" s="296">
        <f t="shared" si="22"/>
        <v>1.110133600892877E-3</v>
      </c>
      <c r="E719" s="20"/>
      <c r="F719" s="297"/>
      <c r="G719" s="298">
        <v>44973</v>
      </c>
      <c r="H719" s="299">
        <v>2256.2229003935199</v>
      </c>
      <c r="I719" s="300">
        <f t="shared" si="23"/>
        <v>-5.9486110895180192E-3</v>
      </c>
      <c r="J719" s="296"/>
      <c r="K719" s="20"/>
      <c r="L719" s="297"/>
      <c r="M719" s="275"/>
      <c r="N719" s="275"/>
      <c r="O719" s="275"/>
      <c r="P719" s="275"/>
      <c r="Q719" s="275"/>
      <c r="R719" s="275"/>
      <c r="S719" s="275"/>
      <c r="T719" s="275"/>
    </row>
    <row r="720" spans="1:20" ht="15" customHeight="1">
      <c r="A720" s="275"/>
      <c r="B720" s="303">
        <v>44974</v>
      </c>
      <c r="C720" s="304">
        <v>17944.19921875</v>
      </c>
      <c r="D720" s="289">
        <f t="shared" si="22"/>
        <v>-5.0815676893513411E-3</v>
      </c>
      <c r="E720" s="275"/>
      <c r="F720" s="290"/>
      <c r="G720" s="305">
        <v>44974</v>
      </c>
      <c r="H720" s="306">
        <v>2295.9289550810199</v>
      </c>
      <c r="I720" s="293">
        <f t="shared" si="23"/>
        <v>1.7598462758522067E-2</v>
      </c>
      <c r="J720" s="289"/>
      <c r="K720" s="275"/>
      <c r="L720" s="290"/>
      <c r="M720" s="275"/>
      <c r="N720" s="275"/>
      <c r="O720" s="275"/>
      <c r="P720" s="275"/>
      <c r="Q720" s="275"/>
      <c r="R720" s="275"/>
      <c r="S720" s="275"/>
      <c r="T720" s="275"/>
    </row>
    <row r="721" spans="1:20" ht="15" customHeight="1">
      <c r="A721" s="20"/>
      <c r="B721" s="294">
        <v>44977</v>
      </c>
      <c r="C721" s="295">
        <v>17844.599609375</v>
      </c>
      <c r="D721" s="296">
        <f t="shared" si="22"/>
        <v>-5.5505184801408012E-3</v>
      </c>
      <c r="E721" s="20"/>
      <c r="F721" s="297"/>
      <c r="G721" s="298">
        <v>44977</v>
      </c>
      <c r="H721" s="299">
        <v>2288.5944824189801</v>
      </c>
      <c r="I721" s="300">
        <f t="shared" si="23"/>
        <v>-3.1945555831804999E-3</v>
      </c>
      <c r="J721" s="296"/>
      <c r="K721" s="20"/>
      <c r="L721" s="297"/>
      <c r="M721" s="275"/>
      <c r="N721" s="275"/>
      <c r="O721" s="275"/>
      <c r="P721" s="275"/>
      <c r="Q721" s="275"/>
      <c r="R721" s="275"/>
      <c r="S721" s="275"/>
      <c r="T721" s="275"/>
    </row>
    <row r="722" spans="1:20" ht="15" customHeight="1">
      <c r="A722" s="275"/>
      <c r="B722" s="303">
        <v>44978</v>
      </c>
      <c r="C722" s="304">
        <v>17826.69921875</v>
      </c>
      <c r="D722" s="289">
        <f t="shared" si="22"/>
        <v>-1.0031264929920697E-3</v>
      </c>
      <c r="E722" s="275"/>
      <c r="F722" s="290"/>
      <c r="G722" s="305">
        <v>44978</v>
      </c>
      <c r="H722" s="306">
        <v>2282.3464355439801</v>
      </c>
      <c r="I722" s="293">
        <f t="shared" si="23"/>
        <v>-2.7300803715982003E-3</v>
      </c>
      <c r="J722" s="289"/>
      <c r="K722" s="275"/>
      <c r="L722" s="290"/>
      <c r="M722" s="275"/>
      <c r="N722" s="275"/>
      <c r="O722" s="275"/>
      <c r="P722" s="275"/>
      <c r="Q722" s="275"/>
      <c r="R722" s="275"/>
      <c r="S722" s="275"/>
      <c r="T722" s="275"/>
    </row>
    <row r="723" spans="1:20" ht="15" customHeight="1">
      <c r="A723" s="20"/>
      <c r="B723" s="294">
        <v>44979</v>
      </c>
      <c r="C723" s="295">
        <v>17554.30078125</v>
      </c>
      <c r="D723" s="296">
        <f t="shared" si="22"/>
        <v>-1.5280363131582609E-2</v>
      </c>
      <c r="E723" s="20"/>
      <c r="F723" s="297"/>
      <c r="G723" s="298">
        <v>44979</v>
      </c>
      <c r="H723" s="299">
        <v>2263.240234375</v>
      </c>
      <c r="I723" s="300">
        <f t="shared" si="23"/>
        <v>-8.3712975696550018E-3</v>
      </c>
      <c r="J723" s="296"/>
      <c r="K723" s="20"/>
      <c r="L723" s="297"/>
      <c r="M723" s="275"/>
      <c r="N723" s="275"/>
      <c r="O723" s="275"/>
      <c r="P723" s="275"/>
      <c r="Q723" s="275"/>
      <c r="R723" s="275"/>
      <c r="S723" s="275"/>
      <c r="T723" s="275"/>
    </row>
    <row r="724" spans="1:20" ht="15" customHeight="1">
      <c r="A724" s="275"/>
      <c r="B724" s="303">
        <v>44980</v>
      </c>
      <c r="C724" s="304">
        <v>17511.25</v>
      </c>
      <c r="D724" s="289">
        <f t="shared" si="22"/>
        <v>-2.4524349779846064E-3</v>
      </c>
      <c r="E724" s="275"/>
      <c r="F724" s="290"/>
      <c r="G724" s="305">
        <v>44980</v>
      </c>
      <c r="H724" s="306">
        <v>2259.6638183564801</v>
      </c>
      <c r="I724" s="293">
        <f t="shared" si="23"/>
        <v>-1.5802193528552035E-3</v>
      </c>
      <c r="J724" s="289"/>
      <c r="K724" s="275"/>
      <c r="L724" s="290"/>
      <c r="M724" s="275"/>
      <c r="N724" s="275"/>
      <c r="O724" s="275"/>
      <c r="P724" s="275"/>
      <c r="Q724" s="275"/>
      <c r="R724" s="275"/>
      <c r="S724" s="275"/>
      <c r="T724" s="275"/>
    </row>
    <row r="725" spans="1:20" ht="15" customHeight="1">
      <c r="A725" s="20"/>
      <c r="B725" s="294">
        <v>44981</v>
      </c>
      <c r="C725" s="295">
        <v>17465.80078125</v>
      </c>
      <c r="D725" s="296">
        <f t="shared" si="22"/>
        <v>-2.5954297237490184E-3</v>
      </c>
      <c r="E725" s="20"/>
      <c r="F725" s="297"/>
      <c r="G725" s="298">
        <v>44981</v>
      </c>
      <c r="H725" s="299">
        <v>2250.7443847685199</v>
      </c>
      <c r="I725" s="300">
        <f t="shared" si="23"/>
        <v>-3.9472391935042456E-3</v>
      </c>
      <c r="J725" s="296"/>
      <c r="K725" s="20"/>
      <c r="L725" s="297"/>
      <c r="M725" s="275"/>
      <c r="N725" s="275"/>
      <c r="O725" s="275"/>
      <c r="P725" s="275"/>
      <c r="Q725" s="275"/>
      <c r="R725" s="275"/>
      <c r="S725" s="275"/>
      <c r="T725" s="275"/>
    </row>
    <row r="726" spans="1:20" ht="15" customHeight="1">
      <c r="A726" s="275"/>
      <c r="B726" s="303">
        <v>44984</v>
      </c>
      <c r="C726" s="304">
        <v>17392.69921875</v>
      </c>
      <c r="D726" s="289">
        <f t="shared" si="22"/>
        <v>-4.1854114458053631E-3</v>
      </c>
      <c r="E726" s="275"/>
      <c r="F726" s="290"/>
      <c r="G726" s="305">
        <v>44984</v>
      </c>
      <c r="H726" s="306">
        <v>2207.1904296875</v>
      </c>
      <c r="I726" s="293">
        <f t="shared" si="23"/>
        <v>-1.9350911358821082E-2</v>
      </c>
      <c r="J726" s="289"/>
      <c r="K726" s="275"/>
      <c r="L726" s="290"/>
      <c r="M726" s="275"/>
      <c r="N726" s="275"/>
      <c r="O726" s="275"/>
      <c r="P726" s="275"/>
      <c r="Q726" s="275"/>
      <c r="R726" s="275"/>
      <c r="S726" s="275"/>
      <c r="T726" s="275"/>
    </row>
    <row r="727" spans="1:20" ht="15" customHeight="1">
      <c r="A727" s="20"/>
      <c r="B727" s="294">
        <v>44985</v>
      </c>
      <c r="C727" s="295">
        <v>17303.94921875</v>
      </c>
      <c r="D727" s="296">
        <f t="shared" si="22"/>
        <v>-5.1027157362857215E-3</v>
      </c>
      <c r="E727" s="20"/>
      <c r="F727" s="297"/>
      <c r="G727" s="298">
        <v>44985</v>
      </c>
      <c r="H727" s="299">
        <v>2190.4841308564801</v>
      </c>
      <c r="I727" s="300">
        <f t="shared" si="23"/>
        <v>-7.5690337391437698E-3</v>
      </c>
      <c r="J727" s="296"/>
      <c r="K727" s="20"/>
      <c r="L727" s="297"/>
      <c r="M727" s="275"/>
      <c r="N727" s="275"/>
      <c r="O727" s="275"/>
      <c r="P727" s="275"/>
      <c r="Q727" s="275"/>
      <c r="R727" s="275"/>
      <c r="S727" s="275"/>
      <c r="T727" s="275"/>
    </row>
    <row r="728" spans="1:20" ht="15" customHeight="1">
      <c r="A728" s="275"/>
      <c r="B728" s="303">
        <v>44986</v>
      </c>
      <c r="C728" s="304">
        <v>17450.900390625</v>
      </c>
      <c r="D728" s="289">
        <f t="shared" si="22"/>
        <v>8.4923487706360379E-3</v>
      </c>
      <c r="E728" s="275"/>
      <c r="F728" s="290"/>
      <c r="G728" s="305">
        <v>44986</v>
      </c>
      <c r="H728" s="306">
        <v>2201.3498535185199</v>
      </c>
      <c r="I728" s="293">
        <f t="shared" si="23"/>
        <v>4.9604206252758113E-3</v>
      </c>
      <c r="J728" s="289"/>
      <c r="K728" s="275"/>
      <c r="L728" s="290"/>
      <c r="M728" s="275"/>
      <c r="N728" s="275"/>
      <c r="O728" s="275"/>
      <c r="P728" s="275"/>
      <c r="Q728" s="275"/>
      <c r="R728" s="275"/>
      <c r="S728" s="275"/>
      <c r="T728" s="275"/>
    </row>
    <row r="729" spans="1:20" ht="15" customHeight="1">
      <c r="A729" s="20"/>
      <c r="B729" s="294">
        <v>44987</v>
      </c>
      <c r="C729" s="295">
        <v>17321.900390625</v>
      </c>
      <c r="D729" s="296">
        <f t="shared" si="22"/>
        <v>-7.3921687198043708E-3</v>
      </c>
      <c r="E729" s="20"/>
      <c r="F729" s="297"/>
      <c r="G729" s="298">
        <v>44987</v>
      </c>
      <c r="H729" s="299">
        <v>2230.5522460879602</v>
      </c>
      <c r="I729" s="300">
        <f t="shared" si="23"/>
        <v>1.3265675386747224E-2</v>
      </c>
      <c r="J729" s="296"/>
      <c r="K729" s="20"/>
      <c r="L729" s="297"/>
      <c r="M729" s="275"/>
      <c r="N729" s="275"/>
      <c r="O729" s="275"/>
      <c r="P729" s="275"/>
      <c r="Q729" s="275"/>
      <c r="R729" s="275"/>
      <c r="S729" s="275"/>
      <c r="T729" s="275"/>
    </row>
    <row r="730" spans="1:20" ht="15" customHeight="1">
      <c r="A730" s="275"/>
      <c r="B730" s="303">
        <v>44988</v>
      </c>
      <c r="C730" s="304">
        <v>17594.349609375</v>
      </c>
      <c r="D730" s="289">
        <f t="shared" si="22"/>
        <v>1.5728598629827915E-2</v>
      </c>
      <c r="E730" s="275"/>
      <c r="F730" s="290"/>
      <c r="G730" s="305">
        <v>44988</v>
      </c>
      <c r="H730" s="306">
        <v>2228.9223632870398</v>
      </c>
      <c r="I730" s="293">
        <f t="shared" si="23"/>
        <v>-7.3070819290553405E-4</v>
      </c>
      <c r="J730" s="289"/>
      <c r="K730" s="275"/>
      <c r="L730" s="290"/>
      <c r="M730" s="275"/>
      <c r="N730" s="275"/>
      <c r="O730" s="275"/>
      <c r="P730" s="275"/>
      <c r="Q730" s="275"/>
      <c r="R730" s="275"/>
      <c r="S730" s="275"/>
      <c r="T730" s="275"/>
    </row>
    <row r="731" spans="1:20" ht="15" customHeight="1">
      <c r="A731" s="20"/>
      <c r="B731" s="294">
        <v>44991</v>
      </c>
      <c r="C731" s="295">
        <v>17711.44921875</v>
      </c>
      <c r="D731" s="296">
        <f t="shared" si="22"/>
        <v>6.6555236183669141E-3</v>
      </c>
      <c r="E731" s="20"/>
      <c r="F731" s="297"/>
      <c r="G731" s="298">
        <v>44991</v>
      </c>
      <c r="H731" s="299">
        <v>2245.3569335879602</v>
      </c>
      <c r="I731" s="300">
        <f t="shared" si="23"/>
        <v>7.3733255907055904E-3</v>
      </c>
      <c r="J731" s="296"/>
      <c r="K731" s="20"/>
      <c r="L731" s="297"/>
      <c r="M731" s="275"/>
      <c r="N731" s="275"/>
      <c r="O731" s="275"/>
      <c r="P731" s="275"/>
      <c r="Q731" s="275"/>
      <c r="R731" s="275"/>
      <c r="S731" s="275"/>
      <c r="T731" s="275"/>
    </row>
    <row r="732" spans="1:20" ht="15" customHeight="1">
      <c r="A732" s="275"/>
      <c r="B732" s="303">
        <v>44993</v>
      </c>
      <c r="C732" s="304">
        <v>17754.400390625</v>
      </c>
      <c r="D732" s="289">
        <f t="shared" si="22"/>
        <v>2.4250512391459354E-3</v>
      </c>
      <c r="E732" s="275"/>
      <c r="F732" s="290"/>
      <c r="G732" s="305">
        <v>44993</v>
      </c>
      <c r="H732" s="306">
        <v>2243.8630371064801</v>
      </c>
      <c r="I732" s="293">
        <f t="shared" si="23"/>
        <v>-6.6532695053205275E-4</v>
      </c>
      <c r="J732" s="289"/>
      <c r="K732" s="275"/>
      <c r="L732" s="290"/>
      <c r="M732" s="275"/>
      <c r="N732" s="275"/>
      <c r="O732" s="275"/>
      <c r="P732" s="275"/>
      <c r="Q732" s="275"/>
      <c r="R732" s="275"/>
      <c r="S732" s="275"/>
      <c r="T732" s="275"/>
    </row>
    <row r="733" spans="1:20" ht="15" customHeight="1">
      <c r="A733" s="20"/>
      <c r="B733" s="294">
        <v>44994</v>
      </c>
      <c r="C733" s="295">
        <v>17589.599609375</v>
      </c>
      <c r="D733" s="296">
        <f t="shared" si="22"/>
        <v>-9.2822498999752812E-3</v>
      </c>
      <c r="E733" s="20"/>
      <c r="F733" s="297"/>
      <c r="G733" s="298">
        <v>44994</v>
      </c>
      <c r="H733" s="299">
        <v>2212.8500976620398</v>
      </c>
      <c r="I733" s="300">
        <f t="shared" si="23"/>
        <v>-1.3821226577372668E-2</v>
      </c>
      <c r="J733" s="296"/>
      <c r="K733" s="20"/>
      <c r="L733" s="297"/>
      <c r="M733" s="275"/>
      <c r="N733" s="275"/>
      <c r="O733" s="275"/>
      <c r="P733" s="275"/>
      <c r="Q733" s="275"/>
      <c r="R733" s="275"/>
      <c r="S733" s="275"/>
      <c r="T733" s="275"/>
    </row>
    <row r="734" spans="1:20" ht="15" customHeight="1">
      <c r="A734" s="275"/>
      <c r="B734" s="303">
        <v>44995</v>
      </c>
      <c r="C734" s="304">
        <v>17412.900390625</v>
      </c>
      <c r="D734" s="289">
        <f t="shared" si="22"/>
        <v>-1.0045664635585105E-2</v>
      </c>
      <c r="E734" s="275"/>
      <c r="F734" s="290"/>
      <c r="G734" s="305">
        <v>44995</v>
      </c>
      <c r="H734" s="306">
        <v>2209.6806640625</v>
      </c>
      <c r="I734" s="293">
        <f t="shared" si="23"/>
        <v>-1.4322857218789786E-3</v>
      </c>
      <c r="J734" s="289"/>
      <c r="K734" s="275"/>
      <c r="L734" s="290"/>
      <c r="M734" s="275"/>
      <c r="N734" s="275"/>
      <c r="O734" s="275"/>
      <c r="P734" s="275"/>
      <c r="Q734" s="275"/>
      <c r="R734" s="275"/>
      <c r="S734" s="275"/>
      <c r="T734" s="275"/>
    </row>
    <row r="735" spans="1:20" ht="15" customHeight="1">
      <c r="A735" s="20"/>
      <c r="B735" s="294">
        <v>44998</v>
      </c>
      <c r="C735" s="295">
        <v>17154.30078125</v>
      </c>
      <c r="D735" s="296">
        <f t="shared" si="22"/>
        <v>-1.4851035931626214E-2</v>
      </c>
      <c r="E735" s="20"/>
      <c r="F735" s="297"/>
      <c r="G735" s="298">
        <v>44998</v>
      </c>
      <c r="H735" s="299">
        <v>2161.462890625</v>
      </c>
      <c r="I735" s="300">
        <f t="shared" si="23"/>
        <v>-2.1821150097250514E-2</v>
      </c>
      <c r="J735" s="296"/>
      <c r="K735" s="20"/>
      <c r="L735" s="297"/>
      <c r="M735" s="275"/>
      <c r="N735" s="275"/>
      <c r="O735" s="275"/>
      <c r="P735" s="275"/>
      <c r="Q735" s="275"/>
      <c r="R735" s="275"/>
      <c r="S735" s="275"/>
      <c r="T735" s="275"/>
    </row>
    <row r="736" spans="1:20" ht="15" customHeight="1">
      <c r="A736" s="275"/>
      <c r="B736" s="303">
        <v>44999</v>
      </c>
      <c r="C736" s="304">
        <v>17043.30078125</v>
      </c>
      <c r="D736" s="289">
        <f t="shared" si="22"/>
        <v>-6.470680525861203E-3</v>
      </c>
      <c r="E736" s="275"/>
      <c r="F736" s="290"/>
      <c r="G736" s="305">
        <v>44999</v>
      </c>
      <c r="H736" s="306">
        <v>2149.1481933564801</v>
      </c>
      <c r="I736" s="293">
        <f t="shared" si="23"/>
        <v>-5.6973900972035899E-3</v>
      </c>
      <c r="J736" s="289"/>
      <c r="K736" s="275"/>
      <c r="L736" s="290"/>
      <c r="M736" s="275"/>
      <c r="N736" s="275"/>
      <c r="O736" s="275"/>
      <c r="P736" s="275"/>
      <c r="Q736" s="275"/>
      <c r="R736" s="275"/>
      <c r="S736" s="275"/>
      <c r="T736" s="275"/>
    </row>
    <row r="737" spans="1:20" ht="15" customHeight="1">
      <c r="A737" s="20"/>
      <c r="B737" s="294">
        <v>45000</v>
      </c>
      <c r="C737" s="295">
        <v>16972.150390625</v>
      </c>
      <c r="D737" s="296">
        <f t="shared" si="22"/>
        <v>-4.1746837386848982E-3</v>
      </c>
      <c r="E737" s="20"/>
      <c r="F737" s="297"/>
      <c r="G737" s="298">
        <v>45000</v>
      </c>
      <c r="H737" s="299">
        <v>2154.5812988310199</v>
      </c>
      <c r="I737" s="300">
        <f t="shared" si="23"/>
        <v>2.5280273790959803E-3</v>
      </c>
      <c r="J737" s="296"/>
      <c r="K737" s="20"/>
      <c r="L737" s="297"/>
      <c r="M737" s="275"/>
      <c r="N737" s="275"/>
      <c r="O737" s="275"/>
      <c r="P737" s="275"/>
      <c r="Q737" s="275"/>
      <c r="R737" s="275"/>
      <c r="S737" s="275"/>
      <c r="T737" s="275"/>
    </row>
    <row r="738" spans="1:20" ht="15" customHeight="1">
      <c r="A738" s="275"/>
      <c r="B738" s="303">
        <v>45001</v>
      </c>
      <c r="C738" s="304">
        <v>16985.599609375</v>
      </c>
      <c r="D738" s="289">
        <f t="shared" si="22"/>
        <v>7.9242868113100259E-4</v>
      </c>
      <c r="E738" s="275"/>
      <c r="F738" s="290"/>
      <c r="G738" s="305">
        <v>45001</v>
      </c>
      <c r="H738" s="306">
        <v>2146.8845214814801</v>
      </c>
      <c r="I738" s="293">
        <f t="shared" si="23"/>
        <v>-3.5722844868818701E-3</v>
      </c>
      <c r="J738" s="289"/>
      <c r="K738" s="275"/>
      <c r="L738" s="290"/>
      <c r="M738" s="275"/>
      <c r="N738" s="275"/>
      <c r="O738" s="275"/>
      <c r="P738" s="275"/>
      <c r="Q738" s="275"/>
      <c r="R738" s="275"/>
      <c r="S738" s="275"/>
      <c r="T738" s="275"/>
    </row>
    <row r="739" spans="1:20" ht="15" customHeight="1">
      <c r="A739" s="20"/>
      <c r="B739" s="294">
        <v>45002</v>
      </c>
      <c r="C739" s="295">
        <v>17100.05078125</v>
      </c>
      <c r="D739" s="296">
        <f t="shared" si="22"/>
        <v>6.7381296219787279E-3</v>
      </c>
      <c r="E739" s="20"/>
      <c r="F739" s="297"/>
      <c r="G739" s="298">
        <v>45002</v>
      </c>
      <c r="H739" s="299">
        <v>2132.5773925810199</v>
      </c>
      <c r="I739" s="300">
        <f t="shared" si="23"/>
        <v>-6.664135288742672E-3</v>
      </c>
      <c r="J739" s="296"/>
      <c r="K739" s="20"/>
      <c r="L739" s="297"/>
      <c r="M739" s="275"/>
      <c r="N739" s="275"/>
      <c r="O739" s="275"/>
      <c r="P739" s="275"/>
      <c r="Q739" s="275"/>
      <c r="R739" s="275"/>
      <c r="S739" s="275"/>
      <c r="T739" s="275"/>
    </row>
    <row r="740" spans="1:20" ht="15" customHeight="1">
      <c r="A740" s="275"/>
      <c r="B740" s="303">
        <v>45005</v>
      </c>
      <c r="C740" s="304">
        <v>16988.400390625</v>
      </c>
      <c r="D740" s="289">
        <f t="shared" si="22"/>
        <v>-6.5292432199922654E-3</v>
      </c>
      <c r="E740" s="275"/>
      <c r="F740" s="290"/>
      <c r="G740" s="305">
        <v>45005</v>
      </c>
      <c r="H740" s="306">
        <v>2118.2709960879602</v>
      </c>
      <c r="I740" s="293">
        <f t="shared" si="23"/>
        <v>-6.7085004946737204E-3</v>
      </c>
      <c r="J740" s="289"/>
      <c r="K740" s="275"/>
      <c r="L740" s="290"/>
      <c r="M740" s="275"/>
      <c r="N740" s="275"/>
      <c r="O740" s="275"/>
      <c r="P740" s="275"/>
      <c r="Q740" s="275"/>
      <c r="R740" s="275"/>
      <c r="S740" s="275"/>
      <c r="T740" s="275"/>
    </row>
    <row r="741" spans="1:20" ht="15" customHeight="1">
      <c r="A741" s="20"/>
      <c r="B741" s="294">
        <v>45006</v>
      </c>
      <c r="C741" s="295">
        <v>17107.5</v>
      </c>
      <c r="D741" s="296">
        <f t="shared" si="22"/>
        <v>7.0106429467441077E-3</v>
      </c>
      <c r="E741" s="20"/>
      <c r="F741" s="297"/>
      <c r="G741" s="298">
        <v>45006</v>
      </c>
      <c r="H741" s="299">
        <v>2127.0544433564801</v>
      </c>
      <c r="I741" s="300">
        <f t="shared" si="23"/>
        <v>4.1465172703309735E-3</v>
      </c>
      <c r="J741" s="296"/>
      <c r="K741" s="20"/>
      <c r="L741" s="297"/>
      <c r="M741" s="275"/>
      <c r="N741" s="275"/>
      <c r="O741" s="275"/>
      <c r="P741" s="275"/>
      <c r="Q741" s="275"/>
      <c r="R741" s="275"/>
      <c r="S741" s="275"/>
      <c r="T741" s="275"/>
    </row>
    <row r="742" spans="1:20" ht="15" customHeight="1">
      <c r="A742" s="275"/>
      <c r="B742" s="303">
        <v>45007</v>
      </c>
      <c r="C742" s="304">
        <v>17151.900390625</v>
      </c>
      <c r="D742" s="289">
        <f t="shared" si="22"/>
        <v>2.5953757489405233E-3</v>
      </c>
      <c r="E742" s="275"/>
      <c r="F742" s="290"/>
      <c r="G742" s="305">
        <v>45007</v>
      </c>
      <c r="H742" s="306">
        <v>2130.8115234375</v>
      </c>
      <c r="I742" s="293">
        <f t="shared" si="23"/>
        <v>1.7663300028612668E-3</v>
      </c>
      <c r="J742" s="289"/>
      <c r="K742" s="275"/>
      <c r="L742" s="290"/>
      <c r="M742" s="275"/>
      <c r="N742" s="275"/>
      <c r="O742" s="275"/>
      <c r="P742" s="275"/>
      <c r="Q742" s="275"/>
      <c r="R742" s="275"/>
      <c r="S742" s="275"/>
      <c r="T742" s="275"/>
    </row>
    <row r="743" spans="1:20" ht="15" customHeight="1">
      <c r="A743" s="20"/>
      <c r="B743" s="294">
        <v>45008</v>
      </c>
      <c r="C743" s="295">
        <v>17076.900390625</v>
      </c>
      <c r="D743" s="296">
        <f t="shared" si="22"/>
        <v>-4.3726933046436068E-3</v>
      </c>
      <c r="E743" s="20"/>
      <c r="F743" s="297"/>
      <c r="G743" s="298">
        <v>45008</v>
      </c>
      <c r="H743" s="299">
        <v>2139.2326660185199</v>
      </c>
      <c r="I743" s="300">
        <f t="shared" si="23"/>
        <v>3.9520823350132055E-3</v>
      </c>
      <c r="J743" s="296"/>
      <c r="K743" s="20"/>
      <c r="L743" s="297"/>
      <c r="M743" s="275"/>
      <c r="N743" s="275"/>
      <c r="O743" s="275"/>
      <c r="P743" s="275"/>
      <c r="Q743" s="275"/>
      <c r="R743" s="275"/>
      <c r="S743" s="275"/>
      <c r="T743" s="275"/>
    </row>
    <row r="744" spans="1:20" ht="15" customHeight="1">
      <c r="A744" s="275"/>
      <c r="B744" s="303">
        <v>45009</v>
      </c>
      <c r="C744" s="304">
        <v>16945.05078125</v>
      </c>
      <c r="D744" s="289">
        <f t="shared" si="22"/>
        <v>-7.7209333285906939E-3</v>
      </c>
      <c r="E744" s="275"/>
      <c r="F744" s="290"/>
      <c r="G744" s="305">
        <v>45009</v>
      </c>
      <c r="H744" s="306">
        <v>2094.7280273379602</v>
      </c>
      <c r="I744" s="293">
        <f t="shared" si="23"/>
        <v>-2.0804019771907538E-2</v>
      </c>
      <c r="J744" s="289"/>
      <c r="K744" s="275"/>
      <c r="L744" s="290"/>
      <c r="M744" s="275"/>
      <c r="N744" s="275"/>
      <c r="O744" s="275"/>
      <c r="P744" s="275"/>
      <c r="Q744" s="275"/>
      <c r="R744" s="275"/>
      <c r="S744" s="275"/>
      <c r="T744" s="275"/>
    </row>
    <row r="745" spans="1:20" ht="15" customHeight="1">
      <c r="A745" s="20"/>
      <c r="B745" s="294">
        <v>45012</v>
      </c>
      <c r="C745" s="295">
        <v>16985.69921875</v>
      </c>
      <c r="D745" s="296">
        <f t="shared" si="22"/>
        <v>2.3988383407489234E-3</v>
      </c>
      <c r="E745" s="20"/>
      <c r="F745" s="297"/>
      <c r="G745" s="298">
        <v>45012</v>
      </c>
      <c r="H745" s="299">
        <v>2090.4270019560199</v>
      </c>
      <c r="I745" s="300">
        <f t="shared" si="23"/>
        <v>-2.0532619632755381E-3</v>
      </c>
      <c r="J745" s="296"/>
      <c r="K745" s="20"/>
      <c r="L745" s="297"/>
      <c r="M745" s="275"/>
      <c r="N745" s="275"/>
      <c r="O745" s="275"/>
      <c r="P745" s="275"/>
      <c r="Q745" s="275"/>
      <c r="R745" s="275"/>
      <c r="S745" s="275"/>
      <c r="T745" s="275"/>
    </row>
    <row r="746" spans="1:20" ht="15" customHeight="1">
      <c r="A746" s="275"/>
      <c r="B746" s="303">
        <v>45013</v>
      </c>
      <c r="C746" s="304">
        <v>16951.69921875</v>
      </c>
      <c r="D746" s="289">
        <f t="shared" si="22"/>
        <v>-2.0016838613548761E-3</v>
      </c>
      <c r="E746" s="275"/>
      <c r="F746" s="290"/>
      <c r="G746" s="305">
        <v>45013</v>
      </c>
      <c r="H746" s="306">
        <v>2036.912109375</v>
      </c>
      <c r="I746" s="293">
        <f t="shared" si="23"/>
        <v>-2.5599981501839505E-2</v>
      </c>
      <c r="J746" s="289"/>
      <c r="K746" s="275"/>
      <c r="L746" s="290"/>
      <c r="M746" s="275"/>
      <c r="N746" s="275"/>
      <c r="O746" s="275"/>
      <c r="P746" s="275"/>
      <c r="Q746" s="275"/>
      <c r="R746" s="275"/>
      <c r="S746" s="275"/>
      <c r="T746" s="275"/>
    </row>
    <row r="747" spans="1:20" ht="15" customHeight="1">
      <c r="A747" s="20"/>
      <c r="B747" s="294">
        <v>45014</v>
      </c>
      <c r="C747" s="295">
        <v>17080.69921875</v>
      </c>
      <c r="D747" s="296">
        <f t="shared" si="22"/>
        <v>7.6098565893214518E-3</v>
      </c>
      <c r="E747" s="20"/>
      <c r="F747" s="297"/>
      <c r="G747" s="298">
        <v>45014</v>
      </c>
      <c r="H747" s="299">
        <v>2086.3972167939801</v>
      </c>
      <c r="I747" s="300">
        <f t="shared" si="23"/>
        <v>2.4294179013037504E-2</v>
      </c>
      <c r="J747" s="296"/>
      <c r="K747" s="20"/>
      <c r="L747" s="297"/>
      <c r="M747" s="275"/>
      <c r="N747" s="275"/>
      <c r="O747" s="275"/>
      <c r="P747" s="275"/>
      <c r="Q747" s="275"/>
      <c r="R747" s="275"/>
      <c r="S747" s="275"/>
      <c r="T747" s="275"/>
    </row>
    <row r="748" spans="1:20" ht="15" customHeight="1">
      <c r="A748" s="275"/>
      <c r="B748" s="303">
        <v>45016</v>
      </c>
      <c r="C748" s="304">
        <v>17359.75</v>
      </c>
      <c r="D748" s="289">
        <f t="shared" si="22"/>
        <v>1.6337198944623856E-2</v>
      </c>
      <c r="E748" s="275"/>
      <c r="F748" s="290"/>
      <c r="G748" s="305">
        <v>45016</v>
      </c>
      <c r="H748" s="306">
        <v>2125.5148925810199</v>
      </c>
      <c r="I748" s="293">
        <f t="shared" si="23"/>
        <v>1.8748911028145073E-2</v>
      </c>
      <c r="J748" s="289"/>
      <c r="K748" s="275"/>
      <c r="L748" s="290"/>
      <c r="M748" s="275"/>
      <c r="N748" s="275"/>
      <c r="O748" s="275"/>
      <c r="P748" s="275"/>
      <c r="Q748" s="275"/>
      <c r="R748" s="275"/>
      <c r="S748" s="275"/>
      <c r="T748" s="275"/>
    </row>
    <row r="749" spans="1:20" ht="15" customHeight="1">
      <c r="A749" s="20"/>
      <c r="B749" s="294">
        <v>45019</v>
      </c>
      <c r="C749" s="295">
        <v>17398.05078125</v>
      </c>
      <c r="D749" s="296">
        <f t="shared" si="22"/>
        <v>2.2062979737611428E-3</v>
      </c>
      <c r="E749" s="20"/>
      <c r="F749" s="297"/>
      <c r="G749" s="298">
        <v>45019</v>
      </c>
      <c r="H749" s="299">
        <v>2201.3498535185199</v>
      </c>
      <c r="I749" s="300">
        <f t="shared" si="23"/>
        <v>3.5678395480642035E-2</v>
      </c>
      <c r="J749" s="296"/>
      <c r="K749" s="20"/>
      <c r="L749" s="297"/>
      <c r="M749" s="275"/>
      <c r="N749" s="275"/>
      <c r="O749" s="275"/>
      <c r="P749" s="275"/>
      <c r="Q749" s="275"/>
      <c r="R749" s="275"/>
      <c r="S749" s="275"/>
      <c r="T749" s="275"/>
    </row>
    <row r="750" spans="1:20" ht="15" customHeight="1">
      <c r="A750" s="275"/>
      <c r="B750" s="303">
        <v>45021</v>
      </c>
      <c r="C750" s="304">
        <v>17557.05078125</v>
      </c>
      <c r="D750" s="289">
        <f t="shared" si="22"/>
        <v>9.1389548173612303E-3</v>
      </c>
      <c r="E750" s="275"/>
      <c r="F750" s="290"/>
      <c r="G750" s="305">
        <v>45021</v>
      </c>
      <c r="H750" s="306">
        <v>2202.3459472685199</v>
      </c>
      <c r="I750" s="293">
        <f t="shared" si="23"/>
        <v>4.5249225079234769E-4</v>
      </c>
      <c r="J750" s="289"/>
      <c r="K750" s="275"/>
      <c r="L750" s="290"/>
      <c r="M750" s="275"/>
      <c r="N750" s="275"/>
      <c r="O750" s="275"/>
      <c r="P750" s="275"/>
      <c r="Q750" s="275"/>
      <c r="R750" s="275"/>
      <c r="S750" s="275"/>
      <c r="T750" s="275"/>
    </row>
    <row r="751" spans="1:20" ht="15" customHeight="1">
      <c r="A751" s="20"/>
      <c r="B751" s="294">
        <v>45022</v>
      </c>
      <c r="C751" s="295">
        <v>17599.150390625</v>
      </c>
      <c r="D751" s="296">
        <f t="shared" si="22"/>
        <v>2.3978747854372074E-3</v>
      </c>
      <c r="E751" s="20"/>
      <c r="F751" s="297"/>
      <c r="G751" s="298">
        <v>45022</v>
      </c>
      <c r="H751" s="299">
        <v>2197.1396484375</v>
      </c>
      <c r="I751" s="300">
        <f t="shared" si="23"/>
        <v>-2.3639786644224004E-3</v>
      </c>
      <c r="J751" s="296"/>
      <c r="K751" s="20"/>
      <c r="L751" s="297"/>
      <c r="M751" s="275"/>
      <c r="N751" s="275"/>
      <c r="O751" s="275"/>
      <c r="P751" s="275"/>
      <c r="Q751" s="275"/>
      <c r="R751" s="275"/>
      <c r="S751" s="275"/>
      <c r="T751" s="275"/>
    </row>
    <row r="752" spans="1:20" ht="15" customHeight="1">
      <c r="A752" s="275"/>
      <c r="B752" s="303">
        <v>45026</v>
      </c>
      <c r="C752" s="304">
        <v>17624.05078125</v>
      </c>
      <c r="D752" s="289">
        <f t="shared" si="22"/>
        <v>1.4148632219350965E-3</v>
      </c>
      <c r="E752" s="275"/>
      <c r="F752" s="290"/>
      <c r="G752" s="305">
        <v>45026</v>
      </c>
      <c r="H752" s="306">
        <v>2228.1071777314801</v>
      </c>
      <c r="I752" s="293">
        <f t="shared" si="23"/>
        <v>1.4094474748568073E-2</v>
      </c>
      <c r="J752" s="289"/>
      <c r="K752" s="275"/>
      <c r="L752" s="290"/>
      <c r="M752" s="275"/>
      <c r="N752" s="275"/>
      <c r="O752" s="275"/>
      <c r="P752" s="275"/>
      <c r="Q752" s="275"/>
      <c r="R752" s="275"/>
      <c r="S752" s="275"/>
      <c r="T752" s="275"/>
    </row>
    <row r="753" spans="1:20" ht="15" customHeight="1">
      <c r="A753" s="20"/>
      <c r="B753" s="294">
        <v>45027</v>
      </c>
      <c r="C753" s="295">
        <v>17722.30078125</v>
      </c>
      <c r="D753" s="296">
        <f t="shared" si="22"/>
        <v>5.574768321964148E-3</v>
      </c>
      <c r="E753" s="20"/>
      <c r="F753" s="297"/>
      <c r="G753" s="298">
        <v>45027</v>
      </c>
      <c r="H753" s="299">
        <v>2236.4379882870398</v>
      </c>
      <c r="I753" s="300">
        <f t="shared" si="23"/>
        <v>3.738963115787669E-3</v>
      </c>
      <c r="J753" s="296"/>
      <c r="K753" s="20"/>
      <c r="L753" s="297"/>
      <c r="M753" s="275"/>
      <c r="N753" s="275"/>
      <c r="O753" s="275"/>
      <c r="P753" s="275"/>
      <c r="Q753" s="275"/>
      <c r="R753" s="275"/>
      <c r="S753" s="275"/>
      <c r="T753" s="275"/>
    </row>
    <row r="754" spans="1:20" ht="15" customHeight="1">
      <c r="A754" s="275"/>
      <c r="B754" s="303">
        <v>45028</v>
      </c>
      <c r="C754" s="304">
        <v>17812.400390625</v>
      </c>
      <c r="D754" s="289">
        <f t="shared" si="22"/>
        <v>5.0839679614468796E-3</v>
      </c>
      <c r="E754" s="275"/>
      <c r="F754" s="290"/>
      <c r="G754" s="305">
        <v>45028</v>
      </c>
      <c r="H754" s="306">
        <v>2243.1840820370398</v>
      </c>
      <c r="I754" s="293">
        <f t="shared" si="23"/>
        <v>3.0164456986205334E-3</v>
      </c>
      <c r="J754" s="289"/>
      <c r="K754" s="275"/>
      <c r="L754" s="290"/>
      <c r="M754" s="275"/>
      <c r="N754" s="275"/>
      <c r="O754" s="275"/>
      <c r="P754" s="275"/>
      <c r="Q754" s="275"/>
      <c r="R754" s="275"/>
      <c r="S754" s="275"/>
      <c r="T754" s="275"/>
    </row>
    <row r="755" spans="1:20" ht="15" customHeight="1">
      <c r="A755" s="20"/>
      <c r="B755" s="294">
        <v>45029</v>
      </c>
      <c r="C755" s="295">
        <v>17828</v>
      </c>
      <c r="D755" s="296">
        <f t="shared" si="22"/>
        <v>8.7577244127132723E-4</v>
      </c>
      <c r="E755" s="20"/>
      <c r="F755" s="297"/>
      <c r="G755" s="298">
        <v>45029</v>
      </c>
      <c r="H755" s="299">
        <v>2215.7927246064801</v>
      </c>
      <c r="I755" s="300">
        <f t="shared" si="23"/>
        <v>-1.2210927159257309E-2</v>
      </c>
      <c r="J755" s="296"/>
      <c r="K755" s="20"/>
      <c r="L755" s="297"/>
      <c r="M755" s="275"/>
      <c r="N755" s="275"/>
      <c r="O755" s="275"/>
      <c r="P755" s="275"/>
      <c r="Q755" s="275"/>
      <c r="R755" s="275"/>
      <c r="S755" s="275"/>
      <c r="T755" s="275"/>
    </row>
    <row r="756" spans="1:20" ht="15" customHeight="1">
      <c r="A756" s="275"/>
      <c r="B756" s="303">
        <v>45033</v>
      </c>
      <c r="C756" s="304">
        <v>17706.849609375</v>
      </c>
      <c r="D756" s="289">
        <f t="shared" si="22"/>
        <v>-6.7955121508301549E-3</v>
      </c>
      <c r="E756" s="275"/>
      <c r="F756" s="290"/>
      <c r="G756" s="305">
        <v>45033</v>
      </c>
      <c r="H756" s="306">
        <v>2232.90625</v>
      </c>
      <c r="I756" s="293">
        <f t="shared" si="23"/>
        <v>7.7234324327692906E-3</v>
      </c>
      <c r="J756" s="289"/>
      <c r="K756" s="275"/>
      <c r="L756" s="290"/>
      <c r="M756" s="275"/>
      <c r="N756" s="275"/>
      <c r="O756" s="275"/>
      <c r="P756" s="275"/>
      <c r="Q756" s="275"/>
      <c r="R756" s="275"/>
      <c r="S756" s="275"/>
      <c r="T756" s="275"/>
    </row>
    <row r="757" spans="1:20" ht="15" customHeight="1">
      <c r="A757" s="20"/>
      <c r="B757" s="294">
        <v>45034</v>
      </c>
      <c r="C757" s="295">
        <v>17660.150390625</v>
      </c>
      <c r="D757" s="296">
        <f t="shared" si="22"/>
        <v>-2.6373533282439362E-3</v>
      </c>
      <c r="E757" s="20"/>
      <c r="F757" s="297"/>
      <c r="G757" s="298">
        <v>45034</v>
      </c>
      <c r="H757" s="299">
        <v>2209.1374511689801</v>
      </c>
      <c r="I757" s="300">
        <f t="shared" si="23"/>
        <v>-1.0644781361071439E-2</v>
      </c>
      <c r="J757" s="296"/>
      <c r="K757" s="20"/>
      <c r="L757" s="297"/>
      <c r="M757" s="275"/>
      <c r="N757" s="275"/>
      <c r="O757" s="275"/>
      <c r="P757" s="275"/>
      <c r="Q757" s="275"/>
      <c r="R757" s="275"/>
      <c r="S757" s="275"/>
      <c r="T757" s="275"/>
    </row>
    <row r="758" spans="1:20" ht="15" customHeight="1">
      <c r="A758" s="275"/>
      <c r="B758" s="303">
        <v>45035</v>
      </c>
      <c r="C758" s="304">
        <v>17618.75</v>
      </c>
      <c r="D758" s="289">
        <f t="shared" si="22"/>
        <v>-2.3442830162407708E-3</v>
      </c>
      <c r="E758" s="275"/>
      <c r="F758" s="290"/>
      <c r="G758" s="305">
        <v>45035</v>
      </c>
      <c r="H758" s="306">
        <v>2214.7963867129602</v>
      </c>
      <c r="I758" s="293">
        <f t="shared" si="23"/>
        <v>2.5616040961985477E-3</v>
      </c>
      <c r="J758" s="289"/>
      <c r="K758" s="275"/>
      <c r="L758" s="290"/>
      <c r="M758" s="275"/>
      <c r="N758" s="275"/>
      <c r="O758" s="275"/>
      <c r="P758" s="275"/>
      <c r="Q758" s="275"/>
      <c r="R758" s="275"/>
      <c r="S758" s="275"/>
      <c r="T758" s="275"/>
    </row>
    <row r="759" spans="1:20" ht="15" customHeight="1">
      <c r="A759" s="20"/>
      <c r="B759" s="294">
        <v>45036</v>
      </c>
      <c r="C759" s="295">
        <v>17624.44921875</v>
      </c>
      <c r="D759" s="296">
        <f t="shared" si="22"/>
        <v>3.2347463639588507E-4</v>
      </c>
      <c r="E759" s="20"/>
      <c r="F759" s="297"/>
      <c r="G759" s="298">
        <v>45036</v>
      </c>
      <c r="H759" s="299">
        <v>2217.1506347685199</v>
      </c>
      <c r="I759" s="300">
        <f t="shared" si="23"/>
        <v>1.0629636519561823E-3</v>
      </c>
      <c r="J759" s="296"/>
      <c r="K759" s="20"/>
      <c r="L759" s="297"/>
      <c r="M759" s="275"/>
      <c r="N759" s="275"/>
      <c r="O759" s="275"/>
      <c r="P759" s="275"/>
      <c r="Q759" s="275"/>
      <c r="R759" s="275"/>
      <c r="S759" s="275"/>
      <c r="T759" s="275"/>
    </row>
    <row r="760" spans="1:20" ht="15" customHeight="1">
      <c r="A760" s="275"/>
      <c r="B760" s="303">
        <v>45037</v>
      </c>
      <c r="C760" s="304">
        <v>17624.05078125</v>
      </c>
      <c r="D760" s="289">
        <f t="shared" si="22"/>
        <v>-2.2607089450268724E-5</v>
      </c>
      <c r="E760" s="275"/>
      <c r="F760" s="290"/>
      <c r="G760" s="305">
        <v>45037</v>
      </c>
      <c r="H760" s="306">
        <v>2226.9304199189801</v>
      </c>
      <c r="I760" s="293">
        <f t="shared" si="23"/>
        <v>4.4109700969781913E-3</v>
      </c>
      <c r="J760" s="289"/>
      <c r="K760" s="275"/>
      <c r="L760" s="290"/>
      <c r="M760" s="275"/>
      <c r="N760" s="275"/>
      <c r="O760" s="275"/>
      <c r="P760" s="275"/>
      <c r="Q760" s="275"/>
      <c r="R760" s="275"/>
      <c r="S760" s="275"/>
      <c r="T760" s="275"/>
    </row>
    <row r="761" spans="1:20" ht="15" customHeight="1">
      <c r="A761" s="20"/>
      <c r="B761" s="294">
        <v>45040</v>
      </c>
      <c r="C761" s="295">
        <v>17743.400390625</v>
      </c>
      <c r="D761" s="296">
        <f t="shared" si="22"/>
        <v>6.7719737565653465E-3</v>
      </c>
      <c r="E761" s="20"/>
      <c r="F761" s="297"/>
      <c r="G761" s="298">
        <v>45040</v>
      </c>
      <c r="H761" s="299">
        <v>2264.6892089814801</v>
      </c>
      <c r="I761" s="300">
        <f t="shared" si="23"/>
        <v>1.6955531580494437E-2</v>
      </c>
      <c r="J761" s="296"/>
      <c r="K761" s="20"/>
      <c r="L761" s="297"/>
      <c r="M761" s="275"/>
      <c r="N761" s="275"/>
      <c r="O761" s="275"/>
      <c r="P761" s="275"/>
      <c r="Q761" s="275"/>
      <c r="R761" s="275"/>
      <c r="S761" s="275"/>
      <c r="T761" s="275"/>
    </row>
    <row r="762" spans="1:20" ht="15" customHeight="1">
      <c r="A762" s="275"/>
      <c r="B762" s="303">
        <v>45041</v>
      </c>
      <c r="C762" s="304">
        <v>17769.25</v>
      </c>
      <c r="D762" s="289">
        <f t="shared" si="22"/>
        <v>1.4568576938982925E-3</v>
      </c>
      <c r="E762" s="275"/>
      <c r="F762" s="290"/>
      <c r="G762" s="305">
        <v>45041</v>
      </c>
      <c r="H762" s="306">
        <v>2261.701171875</v>
      </c>
      <c r="I762" s="293">
        <f t="shared" si="23"/>
        <v>-1.3194027218524683E-3</v>
      </c>
      <c r="J762" s="289"/>
      <c r="K762" s="275"/>
      <c r="L762" s="290"/>
      <c r="M762" s="275"/>
      <c r="N762" s="275"/>
      <c r="O762" s="275"/>
      <c r="P762" s="275"/>
      <c r="Q762" s="275"/>
      <c r="R762" s="275"/>
      <c r="S762" s="275"/>
      <c r="T762" s="275"/>
    </row>
    <row r="763" spans="1:20" ht="15" customHeight="1">
      <c r="A763" s="20"/>
      <c r="B763" s="294">
        <v>45042</v>
      </c>
      <c r="C763" s="295">
        <v>17813.599609375</v>
      </c>
      <c r="D763" s="296">
        <f t="shared" si="22"/>
        <v>2.495862761512163E-3</v>
      </c>
      <c r="E763" s="20"/>
      <c r="F763" s="297"/>
      <c r="G763" s="298">
        <v>45042</v>
      </c>
      <c r="H763" s="299">
        <v>2268.4016113310199</v>
      </c>
      <c r="I763" s="300">
        <f t="shared" si="23"/>
        <v>2.9625662042988242E-3</v>
      </c>
      <c r="J763" s="296"/>
      <c r="K763" s="20"/>
      <c r="L763" s="297"/>
      <c r="M763" s="275"/>
      <c r="N763" s="275"/>
      <c r="O763" s="275"/>
      <c r="P763" s="275"/>
      <c r="Q763" s="275"/>
      <c r="R763" s="275"/>
      <c r="S763" s="275"/>
      <c r="T763" s="275"/>
    </row>
    <row r="764" spans="1:20" ht="15" customHeight="1">
      <c r="A764" s="275"/>
      <c r="B764" s="303">
        <v>45043</v>
      </c>
      <c r="C764" s="304">
        <v>17915.05078125</v>
      </c>
      <c r="D764" s="289">
        <f t="shared" si="22"/>
        <v>5.6951528101938445E-3</v>
      </c>
      <c r="E764" s="275"/>
      <c r="F764" s="290"/>
      <c r="G764" s="305">
        <v>45043</v>
      </c>
      <c r="H764" s="306">
        <v>2271.5710449189801</v>
      </c>
      <c r="I764" s="293">
        <f t="shared" si="23"/>
        <v>1.3972100760854434E-3</v>
      </c>
      <c r="J764" s="289"/>
      <c r="K764" s="275"/>
      <c r="L764" s="290"/>
      <c r="M764" s="275"/>
      <c r="N764" s="275"/>
      <c r="O764" s="275"/>
      <c r="P764" s="275"/>
      <c r="Q764" s="275"/>
      <c r="R764" s="275"/>
      <c r="S764" s="275"/>
      <c r="T764" s="275"/>
    </row>
    <row r="765" spans="1:20" ht="15" customHeight="1">
      <c r="A765" s="20"/>
      <c r="B765" s="294">
        <v>45044</v>
      </c>
      <c r="C765" s="295">
        <v>18065</v>
      </c>
      <c r="D765" s="296">
        <f t="shared" si="22"/>
        <v>8.3700136036978338E-3</v>
      </c>
      <c r="E765" s="20"/>
      <c r="F765" s="297"/>
      <c r="G765" s="298">
        <v>45044</v>
      </c>
      <c r="H765" s="299">
        <v>2316.80078125</v>
      </c>
      <c r="I765" s="300">
        <f t="shared" si="23"/>
        <v>1.9911213621158448E-2</v>
      </c>
      <c r="J765" s="296"/>
      <c r="K765" s="20"/>
      <c r="L765" s="297"/>
      <c r="M765" s="275"/>
      <c r="N765" s="275"/>
      <c r="O765" s="275"/>
      <c r="P765" s="275"/>
      <c r="Q765" s="275"/>
      <c r="R765" s="275"/>
      <c r="S765" s="275"/>
      <c r="T765" s="275"/>
    </row>
    <row r="766" spans="1:20" ht="15" customHeight="1">
      <c r="A766" s="275"/>
      <c r="B766" s="303">
        <v>45048</v>
      </c>
      <c r="C766" s="304">
        <v>18147.650390625</v>
      </c>
      <c r="D766" s="289">
        <f t="shared" si="22"/>
        <v>4.5751669319125379E-3</v>
      </c>
      <c r="E766" s="275"/>
      <c r="F766" s="290"/>
      <c r="G766" s="305">
        <v>45048</v>
      </c>
      <c r="H766" s="306">
        <v>2260.0258789120398</v>
      </c>
      <c r="I766" s="293">
        <f t="shared" si="23"/>
        <v>-2.4505733422330766E-2</v>
      </c>
      <c r="J766" s="289"/>
      <c r="K766" s="275"/>
      <c r="L766" s="290"/>
      <c r="M766" s="275"/>
      <c r="N766" s="275"/>
      <c r="O766" s="275"/>
      <c r="P766" s="275"/>
      <c r="Q766" s="275"/>
      <c r="R766" s="275"/>
      <c r="S766" s="275"/>
      <c r="T766" s="275"/>
    </row>
    <row r="767" spans="1:20" ht="15" customHeight="1">
      <c r="A767" s="20"/>
      <c r="B767" s="294">
        <v>45049</v>
      </c>
      <c r="C767" s="295">
        <v>18089.849609375</v>
      </c>
      <c r="D767" s="296">
        <f t="shared" si="22"/>
        <v>-3.18502836487635E-3</v>
      </c>
      <c r="E767" s="20"/>
      <c r="F767" s="297"/>
      <c r="G767" s="298">
        <v>45049</v>
      </c>
      <c r="H767" s="299">
        <v>2266.1381835879602</v>
      </c>
      <c r="I767" s="300">
        <f t="shared" si="23"/>
        <v>2.7045286219743348E-3</v>
      </c>
      <c r="J767" s="296"/>
      <c r="K767" s="20"/>
      <c r="L767" s="297"/>
      <c r="M767" s="275"/>
      <c r="N767" s="275"/>
      <c r="O767" s="275"/>
      <c r="P767" s="275"/>
      <c r="Q767" s="275"/>
      <c r="R767" s="275"/>
      <c r="S767" s="275"/>
      <c r="T767" s="275"/>
    </row>
    <row r="768" spans="1:20" ht="15" customHeight="1">
      <c r="A768" s="275"/>
      <c r="B768" s="303">
        <v>45050</v>
      </c>
      <c r="C768" s="304">
        <v>18255.80078125</v>
      </c>
      <c r="D768" s="289">
        <f t="shared" si="22"/>
        <v>9.173717607303733E-3</v>
      </c>
      <c r="E768" s="275"/>
      <c r="F768" s="290"/>
      <c r="G768" s="305">
        <v>45050</v>
      </c>
      <c r="H768" s="306">
        <v>2276.8684082060199</v>
      </c>
      <c r="I768" s="293">
        <f t="shared" si="23"/>
        <v>4.7350266174283678E-3</v>
      </c>
      <c r="J768" s="289"/>
      <c r="K768" s="275"/>
      <c r="L768" s="290"/>
      <c r="M768" s="275"/>
      <c r="N768" s="275"/>
      <c r="O768" s="275"/>
      <c r="P768" s="275"/>
      <c r="Q768" s="275"/>
      <c r="R768" s="275"/>
      <c r="S768" s="275"/>
      <c r="T768" s="275"/>
    </row>
    <row r="769" spans="1:20" ht="15" customHeight="1">
      <c r="A769" s="20"/>
      <c r="B769" s="294">
        <v>45051</v>
      </c>
      <c r="C769" s="295">
        <v>18069</v>
      </c>
      <c r="D769" s="296">
        <f t="shared" si="22"/>
        <v>-1.0232406865540384E-2</v>
      </c>
      <c r="E769" s="20"/>
      <c r="F769" s="297"/>
      <c r="G769" s="298">
        <v>45051</v>
      </c>
      <c r="H769" s="299">
        <v>2306.5231933564801</v>
      </c>
      <c r="I769" s="300">
        <f t="shared" si="23"/>
        <v>1.3024373759845709E-2</v>
      </c>
      <c r="J769" s="296"/>
      <c r="K769" s="20"/>
      <c r="L769" s="297"/>
      <c r="M769" s="275"/>
      <c r="N769" s="275"/>
      <c r="O769" s="275"/>
      <c r="P769" s="275"/>
      <c r="Q769" s="275"/>
      <c r="R769" s="275"/>
      <c r="S769" s="275"/>
      <c r="T769" s="275"/>
    </row>
    <row r="770" spans="1:20" ht="15" customHeight="1">
      <c r="A770" s="275"/>
      <c r="B770" s="303">
        <v>45054</v>
      </c>
      <c r="C770" s="304">
        <v>18264.400390625</v>
      </c>
      <c r="D770" s="289">
        <f t="shared" si="22"/>
        <v>1.0814123118324201E-2</v>
      </c>
      <c r="E770" s="275"/>
      <c r="F770" s="290"/>
      <c r="G770" s="305">
        <v>45054</v>
      </c>
      <c r="H770" s="306">
        <v>2332.8732910185199</v>
      </c>
      <c r="I770" s="293">
        <f t="shared" si="23"/>
        <v>1.1424163319899188E-2</v>
      </c>
      <c r="J770" s="289"/>
      <c r="K770" s="275"/>
      <c r="L770" s="290"/>
      <c r="M770" s="275"/>
      <c r="N770" s="275"/>
      <c r="O770" s="275"/>
      <c r="P770" s="275"/>
      <c r="Q770" s="275"/>
      <c r="R770" s="275"/>
      <c r="S770" s="275"/>
      <c r="T770" s="275"/>
    </row>
    <row r="771" spans="1:20" ht="15" customHeight="1">
      <c r="A771" s="20"/>
      <c r="B771" s="294">
        <v>45055</v>
      </c>
      <c r="C771" s="295">
        <v>18265.94921875</v>
      </c>
      <c r="D771" s="296">
        <f t="shared" si="22"/>
        <v>8.4800381719347525E-5</v>
      </c>
      <c r="E771" s="20"/>
      <c r="F771" s="297"/>
      <c r="G771" s="298">
        <v>45055</v>
      </c>
      <c r="H771" s="299">
        <v>2346.6364746064801</v>
      </c>
      <c r="I771" s="300">
        <f t="shared" si="23"/>
        <v>5.8996704368590993E-3</v>
      </c>
      <c r="J771" s="296"/>
      <c r="K771" s="20"/>
      <c r="L771" s="297"/>
      <c r="M771" s="275"/>
      <c r="N771" s="275"/>
      <c r="O771" s="275"/>
      <c r="P771" s="275"/>
      <c r="Q771" s="275"/>
      <c r="R771" s="275"/>
      <c r="S771" s="275"/>
      <c r="T771" s="275"/>
    </row>
    <row r="772" spans="1:20" ht="15" customHeight="1">
      <c r="A772" s="275"/>
      <c r="B772" s="303">
        <v>45056</v>
      </c>
      <c r="C772" s="304">
        <v>18315.099609375</v>
      </c>
      <c r="D772" s="289">
        <f t="shared" si="22"/>
        <v>2.6908205008337105E-3</v>
      </c>
      <c r="E772" s="275"/>
      <c r="F772" s="290"/>
      <c r="G772" s="305">
        <v>45056</v>
      </c>
      <c r="H772" s="306">
        <v>2341.6564941435199</v>
      </c>
      <c r="I772" s="293">
        <f t="shared" si="23"/>
        <v>-2.1221780692705187E-3</v>
      </c>
      <c r="J772" s="289"/>
      <c r="K772" s="275"/>
      <c r="L772" s="290"/>
      <c r="M772" s="275"/>
      <c r="N772" s="275"/>
      <c r="O772" s="275"/>
      <c r="P772" s="275"/>
      <c r="Q772" s="275"/>
      <c r="R772" s="275"/>
      <c r="S772" s="275"/>
      <c r="T772" s="275"/>
    </row>
    <row r="773" spans="1:20" ht="15" customHeight="1">
      <c r="A773" s="20"/>
      <c r="B773" s="294">
        <v>45057</v>
      </c>
      <c r="C773" s="295">
        <v>18297</v>
      </c>
      <c r="D773" s="296">
        <f t="shared" ref="D773:D836" si="24">(C773-C772)/C772</f>
        <v>-9.8823428542727139E-4</v>
      </c>
      <c r="E773" s="20"/>
      <c r="F773" s="297"/>
      <c r="G773" s="298">
        <v>45057</v>
      </c>
      <c r="H773" s="299">
        <v>2341.1127929629602</v>
      </c>
      <c r="I773" s="300">
        <f t="shared" ref="I773:I836" si="25">(H773-H772)/H772</f>
        <v>-2.3218656618490411E-4</v>
      </c>
      <c r="J773" s="296"/>
      <c r="K773" s="20"/>
      <c r="L773" s="297"/>
      <c r="M773" s="275"/>
      <c r="N773" s="275"/>
      <c r="O773" s="275"/>
      <c r="P773" s="275"/>
      <c r="Q773" s="275"/>
      <c r="R773" s="275"/>
      <c r="S773" s="275"/>
      <c r="T773" s="275"/>
    </row>
    <row r="774" spans="1:20" ht="15" customHeight="1">
      <c r="A774" s="275"/>
      <c r="B774" s="303">
        <v>45058</v>
      </c>
      <c r="C774" s="304">
        <v>18314.80078125</v>
      </c>
      <c r="D774" s="289">
        <f t="shared" si="24"/>
        <v>9.7287977537301195E-4</v>
      </c>
      <c r="E774" s="275"/>
      <c r="F774" s="290"/>
      <c r="G774" s="305">
        <v>45058</v>
      </c>
      <c r="H774" s="306">
        <v>2359.6303710879602</v>
      </c>
      <c r="I774" s="293">
        <f t="shared" si="25"/>
        <v>7.9097334313242441E-3</v>
      </c>
      <c r="J774" s="289"/>
      <c r="K774" s="275"/>
      <c r="L774" s="290"/>
      <c r="M774" s="275"/>
      <c r="N774" s="275"/>
      <c r="O774" s="275"/>
      <c r="P774" s="275"/>
      <c r="Q774" s="275"/>
      <c r="R774" s="275"/>
      <c r="S774" s="275"/>
      <c r="T774" s="275"/>
    </row>
    <row r="775" spans="1:20" ht="15" customHeight="1">
      <c r="A775" s="20"/>
      <c r="B775" s="294">
        <v>45061</v>
      </c>
      <c r="C775" s="295">
        <v>18398.849609375</v>
      </c>
      <c r="D775" s="296">
        <f t="shared" si="24"/>
        <v>4.589120522186952E-3</v>
      </c>
      <c r="E775" s="20"/>
      <c r="F775" s="297"/>
      <c r="G775" s="298">
        <v>45061</v>
      </c>
      <c r="H775" s="299">
        <v>2437.5031738310199</v>
      </c>
      <c r="I775" s="300">
        <f t="shared" si="25"/>
        <v>3.3002119186639714E-2</v>
      </c>
      <c r="J775" s="296"/>
      <c r="K775" s="20"/>
      <c r="L775" s="297"/>
      <c r="M775" s="275"/>
      <c r="N775" s="275"/>
      <c r="O775" s="275"/>
      <c r="P775" s="275"/>
      <c r="Q775" s="275"/>
      <c r="R775" s="275"/>
      <c r="S775" s="275"/>
      <c r="T775" s="275"/>
    </row>
    <row r="776" spans="1:20" ht="15" customHeight="1">
      <c r="A776" s="275"/>
      <c r="B776" s="303">
        <v>45062</v>
      </c>
      <c r="C776" s="304">
        <v>18286.5</v>
      </c>
      <c r="D776" s="289">
        <f t="shared" si="24"/>
        <v>-6.1063388070606911E-3</v>
      </c>
      <c r="E776" s="275"/>
      <c r="F776" s="290"/>
      <c r="G776" s="305">
        <v>45062</v>
      </c>
      <c r="H776" s="306">
        <v>2432.1606445370398</v>
      </c>
      <c r="I776" s="293">
        <f t="shared" si="25"/>
        <v>-2.1918040359238727E-3</v>
      </c>
      <c r="J776" s="289"/>
      <c r="K776" s="275"/>
      <c r="L776" s="290"/>
      <c r="M776" s="275"/>
      <c r="N776" s="275"/>
      <c r="O776" s="275"/>
      <c r="P776" s="275"/>
      <c r="Q776" s="275"/>
      <c r="R776" s="275"/>
      <c r="S776" s="275"/>
      <c r="T776" s="275"/>
    </row>
    <row r="777" spans="1:20" ht="15" customHeight="1">
      <c r="A777" s="20"/>
      <c r="B777" s="294">
        <v>45063</v>
      </c>
      <c r="C777" s="295">
        <v>18181.75</v>
      </c>
      <c r="D777" s="296">
        <f t="shared" si="24"/>
        <v>-5.7282694884204198E-3</v>
      </c>
      <c r="E777" s="20"/>
      <c r="F777" s="297"/>
      <c r="G777" s="298">
        <v>45063</v>
      </c>
      <c r="H777" s="299">
        <v>2465.6186523379602</v>
      </c>
      <c r="I777" s="300">
        <f t="shared" si="25"/>
        <v>1.3756495844989312E-2</v>
      </c>
      <c r="J777" s="296"/>
      <c r="K777" s="20"/>
      <c r="L777" s="297"/>
      <c r="M777" s="275"/>
      <c r="N777" s="275"/>
      <c r="O777" s="275"/>
      <c r="P777" s="275"/>
      <c r="Q777" s="275"/>
      <c r="R777" s="275"/>
      <c r="S777" s="275"/>
      <c r="T777" s="275"/>
    </row>
    <row r="778" spans="1:20" ht="15" customHeight="1">
      <c r="A778" s="275"/>
      <c r="B778" s="303">
        <v>45064</v>
      </c>
      <c r="C778" s="304">
        <v>18129.94921875</v>
      </c>
      <c r="D778" s="289">
        <f t="shared" si="24"/>
        <v>-2.8490536527011976E-3</v>
      </c>
      <c r="E778" s="275"/>
      <c r="F778" s="290"/>
      <c r="G778" s="305">
        <v>45064</v>
      </c>
      <c r="H778" s="306">
        <v>2476.6657714814801</v>
      </c>
      <c r="I778" s="293">
        <f t="shared" si="25"/>
        <v>4.4804654333080954E-3</v>
      </c>
      <c r="J778" s="289"/>
      <c r="K778" s="275"/>
      <c r="L778" s="290"/>
      <c r="M778" s="275"/>
      <c r="N778" s="275"/>
      <c r="O778" s="275"/>
      <c r="P778" s="275"/>
      <c r="Q778" s="275"/>
      <c r="R778" s="275"/>
      <c r="S778" s="275"/>
      <c r="T778" s="275"/>
    </row>
    <row r="779" spans="1:20" ht="15" customHeight="1">
      <c r="A779" s="20"/>
      <c r="B779" s="294">
        <v>45065</v>
      </c>
      <c r="C779" s="295">
        <v>18203.400390625</v>
      </c>
      <c r="D779" s="296">
        <f t="shared" si="24"/>
        <v>4.051372179191587E-3</v>
      </c>
      <c r="E779" s="20"/>
      <c r="F779" s="297"/>
      <c r="G779" s="298">
        <v>45065</v>
      </c>
      <c r="H779" s="299">
        <v>2456.6088867129602</v>
      </c>
      <c r="I779" s="300">
        <f t="shared" si="25"/>
        <v>-8.098341326259131E-3</v>
      </c>
      <c r="J779" s="296"/>
      <c r="K779" s="20"/>
      <c r="L779" s="297"/>
      <c r="M779" s="275"/>
      <c r="N779" s="275"/>
      <c r="O779" s="275"/>
      <c r="P779" s="275"/>
      <c r="Q779" s="275"/>
      <c r="R779" s="275"/>
      <c r="S779" s="275"/>
      <c r="T779" s="275"/>
    </row>
    <row r="780" spans="1:20" ht="15" customHeight="1">
      <c r="A780" s="275"/>
      <c r="B780" s="303">
        <v>45068</v>
      </c>
      <c r="C780" s="304">
        <v>18314.400390625</v>
      </c>
      <c r="D780" s="289">
        <f t="shared" si="24"/>
        <v>6.0977618257062847E-3</v>
      </c>
      <c r="E780" s="275"/>
      <c r="F780" s="290"/>
      <c r="G780" s="305">
        <v>45068</v>
      </c>
      <c r="H780" s="306">
        <v>2437.7294921875</v>
      </c>
      <c r="I780" s="293">
        <f t="shared" si="25"/>
        <v>-7.6851446022087521E-3</v>
      </c>
      <c r="J780" s="289"/>
      <c r="K780" s="275"/>
      <c r="L780" s="290"/>
      <c r="M780" s="275"/>
      <c r="N780" s="275"/>
      <c r="O780" s="275"/>
      <c r="P780" s="275"/>
      <c r="Q780" s="275"/>
      <c r="R780" s="275"/>
      <c r="S780" s="275"/>
      <c r="T780" s="275"/>
    </row>
    <row r="781" spans="1:20" ht="15" customHeight="1">
      <c r="A781" s="20"/>
      <c r="B781" s="294">
        <v>45069</v>
      </c>
      <c r="C781" s="295">
        <v>18348</v>
      </c>
      <c r="D781" s="296">
        <f t="shared" si="24"/>
        <v>1.8346005688616145E-3</v>
      </c>
      <c r="E781" s="20"/>
      <c r="F781" s="297"/>
      <c r="G781" s="298">
        <v>45069</v>
      </c>
      <c r="H781" s="299">
        <v>2454.3000488310199</v>
      </c>
      <c r="I781" s="300">
        <f t="shared" si="25"/>
        <v>6.797537092046382E-3</v>
      </c>
      <c r="J781" s="296"/>
      <c r="K781" s="20"/>
      <c r="L781" s="297"/>
      <c r="M781" s="275"/>
      <c r="N781" s="275"/>
      <c r="O781" s="275"/>
      <c r="P781" s="275"/>
      <c r="Q781" s="275"/>
      <c r="R781" s="275"/>
      <c r="S781" s="275"/>
      <c r="T781" s="275"/>
    </row>
    <row r="782" spans="1:20" ht="15" customHeight="1">
      <c r="A782" s="275"/>
      <c r="B782" s="303">
        <v>45070</v>
      </c>
      <c r="C782" s="304">
        <v>18285.400390625</v>
      </c>
      <c r="D782" s="289">
        <f t="shared" si="24"/>
        <v>-3.4117947119577064E-3</v>
      </c>
      <c r="E782" s="275"/>
      <c r="F782" s="290"/>
      <c r="G782" s="305">
        <v>45070</v>
      </c>
      <c r="H782" s="306">
        <v>2479.8803710879602</v>
      </c>
      <c r="I782" s="293">
        <f t="shared" si="25"/>
        <v>1.0422654829479431E-2</v>
      </c>
      <c r="J782" s="289"/>
      <c r="K782" s="275"/>
      <c r="L782" s="290"/>
      <c r="M782" s="275"/>
      <c r="N782" s="275"/>
      <c r="O782" s="275"/>
      <c r="P782" s="275"/>
      <c r="Q782" s="275"/>
      <c r="R782" s="275"/>
      <c r="S782" s="275"/>
      <c r="T782" s="275"/>
    </row>
    <row r="783" spans="1:20" ht="15" customHeight="1">
      <c r="A783" s="20"/>
      <c r="B783" s="294">
        <v>45071</v>
      </c>
      <c r="C783" s="295">
        <v>18321.150390625</v>
      </c>
      <c r="D783" s="296">
        <f t="shared" si="24"/>
        <v>1.955111686716424E-3</v>
      </c>
      <c r="E783" s="20"/>
      <c r="F783" s="297"/>
      <c r="G783" s="298">
        <v>45071</v>
      </c>
      <c r="H783" s="299">
        <v>2474.5378417939801</v>
      </c>
      <c r="I783" s="300">
        <f t="shared" si="25"/>
        <v>-2.154349603419068E-3</v>
      </c>
      <c r="J783" s="296"/>
      <c r="K783" s="20"/>
      <c r="L783" s="297"/>
      <c r="M783" s="275"/>
      <c r="N783" s="275"/>
      <c r="O783" s="275"/>
      <c r="P783" s="275"/>
      <c r="Q783" s="275"/>
      <c r="R783" s="275"/>
      <c r="S783" s="275"/>
      <c r="T783" s="275"/>
    </row>
    <row r="784" spans="1:20" ht="15" customHeight="1">
      <c r="A784" s="275"/>
      <c r="B784" s="303">
        <v>45072</v>
      </c>
      <c r="C784" s="304">
        <v>18499.349609375</v>
      </c>
      <c r="D784" s="289">
        <f t="shared" si="24"/>
        <v>9.7264208278747162E-3</v>
      </c>
      <c r="E784" s="275"/>
      <c r="F784" s="290"/>
      <c r="G784" s="305">
        <v>45072</v>
      </c>
      <c r="H784" s="306">
        <v>2485.720703125</v>
      </c>
      <c r="I784" s="293">
        <f t="shared" si="25"/>
        <v>4.5191716780991383E-3</v>
      </c>
      <c r="J784" s="289"/>
      <c r="K784" s="275"/>
      <c r="L784" s="290"/>
      <c r="M784" s="275"/>
      <c r="N784" s="275"/>
      <c r="O784" s="275"/>
      <c r="P784" s="275"/>
      <c r="Q784" s="275"/>
      <c r="R784" s="275"/>
      <c r="S784" s="275"/>
      <c r="T784" s="275"/>
    </row>
    <row r="785" spans="1:20" ht="15" customHeight="1">
      <c r="A785" s="20"/>
      <c r="B785" s="294">
        <v>45075</v>
      </c>
      <c r="C785" s="295">
        <v>18598.650390625</v>
      </c>
      <c r="D785" s="296">
        <f t="shared" si="24"/>
        <v>5.3677985089636282E-3</v>
      </c>
      <c r="E785" s="20"/>
      <c r="F785" s="297"/>
      <c r="G785" s="298">
        <v>45075</v>
      </c>
      <c r="H785" s="299">
        <v>2514.4702148379602</v>
      </c>
      <c r="I785" s="300">
        <f t="shared" si="25"/>
        <v>1.1565865656916655E-2</v>
      </c>
      <c r="J785" s="296"/>
      <c r="K785" s="20"/>
      <c r="L785" s="297"/>
      <c r="M785" s="275"/>
      <c r="N785" s="275"/>
      <c r="O785" s="275"/>
      <c r="P785" s="275"/>
      <c r="Q785" s="275"/>
      <c r="R785" s="275"/>
      <c r="S785" s="275"/>
      <c r="T785" s="275"/>
    </row>
    <row r="786" spans="1:20" ht="15" customHeight="1">
      <c r="A786" s="275"/>
      <c r="B786" s="303">
        <v>45076</v>
      </c>
      <c r="C786" s="304">
        <v>18633.849609375</v>
      </c>
      <c r="D786" s="289">
        <f t="shared" si="24"/>
        <v>1.892568439683281E-3</v>
      </c>
      <c r="E786" s="275"/>
      <c r="F786" s="290"/>
      <c r="G786" s="305">
        <v>45076</v>
      </c>
      <c r="H786" s="306">
        <v>2516.5073242129602</v>
      </c>
      <c r="I786" s="293">
        <f t="shared" si="25"/>
        <v>8.1015450609792854E-4</v>
      </c>
      <c r="J786" s="289"/>
      <c r="K786" s="275"/>
      <c r="L786" s="290"/>
      <c r="M786" s="275"/>
      <c r="N786" s="275"/>
      <c r="O786" s="275"/>
      <c r="P786" s="275"/>
      <c r="Q786" s="275"/>
      <c r="R786" s="275"/>
      <c r="S786" s="275"/>
      <c r="T786" s="275"/>
    </row>
    <row r="787" spans="1:20" ht="15" customHeight="1">
      <c r="A787" s="20"/>
      <c r="B787" s="294">
        <v>45077</v>
      </c>
      <c r="C787" s="295">
        <v>18534.400390625</v>
      </c>
      <c r="D787" s="296">
        <f t="shared" si="24"/>
        <v>-5.33701950132545E-3</v>
      </c>
      <c r="E787" s="20"/>
      <c r="F787" s="297"/>
      <c r="G787" s="298">
        <v>45077</v>
      </c>
      <c r="H787" s="299">
        <v>2499.0769042939801</v>
      </c>
      <c r="I787" s="300">
        <f t="shared" si="25"/>
        <v>-6.9264332160970197E-3</v>
      </c>
      <c r="J787" s="296"/>
      <c r="K787" s="20"/>
      <c r="L787" s="297"/>
      <c r="M787" s="275"/>
      <c r="N787" s="275"/>
      <c r="O787" s="275"/>
      <c r="P787" s="275"/>
      <c r="Q787" s="275"/>
      <c r="R787" s="275"/>
      <c r="S787" s="275"/>
      <c r="T787" s="275"/>
    </row>
    <row r="788" spans="1:20" ht="15" customHeight="1">
      <c r="A788" s="275"/>
      <c r="B788" s="303">
        <v>45078</v>
      </c>
      <c r="C788" s="304">
        <v>18487.75</v>
      </c>
      <c r="D788" s="289">
        <f t="shared" si="24"/>
        <v>-2.5169624936232909E-3</v>
      </c>
      <c r="E788" s="275"/>
      <c r="F788" s="290"/>
      <c r="G788" s="305">
        <v>45078</v>
      </c>
      <c r="H788" s="306">
        <v>2535.7492675810199</v>
      </c>
      <c r="I788" s="293">
        <f t="shared" si="25"/>
        <v>1.4674363651646101E-2</v>
      </c>
      <c r="J788" s="289"/>
      <c r="K788" s="275"/>
      <c r="L788" s="290"/>
      <c r="M788" s="275"/>
      <c r="N788" s="275"/>
      <c r="O788" s="275"/>
      <c r="P788" s="275"/>
      <c r="Q788" s="275"/>
      <c r="R788" s="275"/>
      <c r="S788" s="275"/>
      <c r="T788" s="275"/>
    </row>
    <row r="789" spans="1:20" ht="15" customHeight="1">
      <c r="A789" s="20"/>
      <c r="B789" s="294">
        <v>45079</v>
      </c>
      <c r="C789" s="295">
        <v>18534.099609375</v>
      </c>
      <c r="D789" s="296">
        <f t="shared" si="24"/>
        <v>2.5070443604548959E-3</v>
      </c>
      <c r="E789" s="20"/>
      <c r="F789" s="297"/>
      <c r="G789" s="298">
        <v>45079</v>
      </c>
      <c r="H789" s="299">
        <v>2619.2810058564801</v>
      </c>
      <c r="I789" s="300">
        <f t="shared" si="25"/>
        <v>3.2941639515938939E-2</v>
      </c>
      <c r="J789" s="296"/>
      <c r="K789" s="20"/>
      <c r="L789" s="297"/>
      <c r="M789" s="275"/>
      <c r="N789" s="275"/>
      <c r="O789" s="275"/>
      <c r="P789" s="275"/>
      <c r="Q789" s="275"/>
      <c r="R789" s="275"/>
      <c r="S789" s="275"/>
      <c r="T789" s="275"/>
    </row>
    <row r="790" spans="1:20" ht="15" customHeight="1">
      <c r="A790" s="275"/>
      <c r="B790" s="303">
        <v>45082</v>
      </c>
      <c r="C790" s="304">
        <v>18593.849609375</v>
      </c>
      <c r="D790" s="289">
        <f t="shared" si="24"/>
        <v>3.2237875731377309E-3</v>
      </c>
      <c r="E790" s="275"/>
      <c r="F790" s="290"/>
      <c r="G790" s="305">
        <v>45082</v>
      </c>
      <c r="H790" s="306">
        <v>2599.3154296875</v>
      </c>
      <c r="I790" s="293">
        <f t="shared" si="25"/>
        <v>-7.6225407370720515E-3</v>
      </c>
      <c r="J790" s="289"/>
      <c r="K790" s="275"/>
      <c r="L790" s="290"/>
      <c r="M790" s="275"/>
      <c r="N790" s="275"/>
      <c r="O790" s="275"/>
      <c r="P790" s="275"/>
      <c r="Q790" s="275"/>
      <c r="R790" s="275"/>
      <c r="S790" s="275"/>
      <c r="T790" s="275"/>
    </row>
    <row r="791" spans="1:20" ht="15" customHeight="1">
      <c r="A791" s="20"/>
      <c r="B791" s="294">
        <v>45083</v>
      </c>
      <c r="C791" s="295">
        <v>18599</v>
      </c>
      <c r="D791" s="296">
        <f t="shared" si="24"/>
        <v>2.7699431442121478E-4</v>
      </c>
      <c r="E791" s="20"/>
      <c r="F791" s="297"/>
      <c r="G791" s="298">
        <v>45083</v>
      </c>
      <c r="H791" s="299">
        <v>2630.283203125</v>
      </c>
      <c r="I791" s="300">
        <f t="shared" si="25"/>
        <v>1.1913818955486702E-2</v>
      </c>
      <c r="J791" s="296"/>
      <c r="K791" s="20"/>
      <c r="L791" s="297"/>
      <c r="M791" s="275"/>
      <c r="N791" s="275"/>
      <c r="O791" s="275"/>
      <c r="P791" s="275"/>
      <c r="Q791" s="275"/>
      <c r="R791" s="275"/>
      <c r="S791" s="275"/>
      <c r="T791" s="275"/>
    </row>
    <row r="792" spans="1:20" ht="15" customHeight="1">
      <c r="A792" s="275"/>
      <c r="B792" s="303">
        <v>45084</v>
      </c>
      <c r="C792" s="304">
        <v>18726.400390625</v>
      </c>
      <c r="D792" s="289">
        <f t="shared" si="24"/>
        <v>6.8498516385289534E-3</v>
      </c>
      <c r="E792" s="275"/>
      <c r="F792" s="290"/>
      <c r="G792" s="305">
        <v>45084</v>
      </c>
      <c r="H792" s="306">
        <v>2678.4555664120398</v>
      </c>
      <c r="I792" s="293">
        <f t="shared" si="25"/>
        <v>1.8314515801875243E-2</v>
      </c>
      <c r="J792" s="289"/>
      <c r="K792" s="275"/>
      <c r="L792" s="290"/>
      <c r="M792" s="275"/>
      <c r="N792" s="275"/>
      <c r="O792" s="275"/>
      <c r="P792" s="275"/>
      <c r="Q792" s="275"/>
      <c r="R792" s="275"/>
      <c r="S792" s="275"/>
      <c r="T792" s="275"/>
    </row>
    <row r="793" spans="1:20" ht="15" customHeight="1">
      <c r="A793" s="20"/>
      <c r="B793" s="294">
        <v>45085</v>
      </c>
      <c r="C793" s="295">
        <v>18634.55078125</v>
      </c>
      <c r="D793" s="296">
        <f t="shared" si="24"/>
        <v>-4.904819263662796E-3</v>
      </c>
      <c r="E793" s="20"/>
      <c r="F793" s="297"/>
      <c r="G793" s="298">
        <v>45085</v>
      </c>
      <c r="H793" s="299">
        <v>2684.6127929629602</v>
      </c>
      <c r="I793" s="300">
        <f t="shared" si="25"/>
        <v>2.2987973472967881E-3</v>
      </c>
      <c r="J793" s="296"/>
      <c r="K793" s="20"/>
      <c r="L793" s="297"/>
      <c r="M793" s="275"/>
      <c r="N793" s="275"/>
      <c r="O793" s="275"/>
      <c r="P793" s="275"/>
      <c r="Q793" s="275"/>
      <c r="R793" s="275"/>
      <c r="S793" s="275"/>
      <c r="T793" s="275"/>
    </row>
    <row r="794" spans="1:20" ht="15" customHeight="1">
      <c r="A794" s="275"/>
      <c r="B794" s="303">
        <v>45086</v>
      </c>
      <c r="C794" s="304">
        <v>18563.400390625</v>
      </c>
      <c r="D794" s="289">
        <f t="shared" si="24"/>
        <v>-3.8181972541345725E-3</v>
      </c>
      <c r="E794" s="275"/>
      <c r="F794" s="290"/>
      <c r="G794" s="305">
        <v>45086</v>
      </c>
      <c r="H794" s="306">
        <v>2625.3024902314801</v>
      </c>
      <c r="I794" s="293">
        <f t="shared" si="25"/>
        <v>-2.2092684236232195E-2</v>
      </c>
      <c r="J794" s="289"/>
      <c r="K794" s="275"/>
      <c r="L794" s="290"/>
      <c r="M794" s="275"/>
      <c r="N794" s="275"/>
      <c r="O794" s="275"/>
      <c r="P794" s="275"/>
      <c r="Q794" s="275"/>
      <c r="R794" s="275"/>
      <c r="S794" s="275"/>
      <c r="T794" s="275"/>
    </row>
    <row r="795" spans="1:20" ht="15" customHeight="1">
      <c r="A795" s="20"/>
      <c r="B795" s="294">
        <v>45089</v>
      </c>
      <c r="C795" s="295">
        <v>18601.5</v>
      </c>
      <c r="D795" s="296">
        <f t="shared" si="24"/>
        <v>2.0524046550351462E-3</v>
      </c>
      <c r="E795" s="20"/>
      <c r="F795" s="297"/>
      <c r="G795" s="298">
        <v>45089</v>
      </c>
      <c r="H795" s="299">
        <v>2653.4636230439801</v>
      </c>
      <c r="I795" s="300">
        <f t="shared" si="25"/>
        <v>1.0726814497485566E-2</v>
      </c>
      <c r="J795" s="296"/>
      <c r="K795" s="20"/>
      <c r="L795" s="297"/>
      <c r="M795" s="275"/>
      <c r="N795" s="275"/>
      <c r="O795" s="275"/>
      <c r="P795" s="275"/>
      <c r="Q795" s="275"/>
      <c r="R795" s="275"/>
      <c r="S795" s="275"/>
      <c r="T795" s="275"/>
    </row>
    <row r="796" spans="1:20" ht="15" customHeight="1">
      <c r="A796" s="275"/>
      <c r="B796" s="303">
        <v>45090</v>
      </c>
      <c r="C796" s="304">
        <v>18716.150390625</v>
      </c>
      <c r="D796" s="289">
        <f t="shared" si="24"/>
        <v>6.1635024393194094E-3</v>
      </c>
      <c r="E796" s="275"/>
      <c r="F796" s="290"/>
      <c r="G796" s="305">
        <v>45090</v>
      </c>
      <c r="H796" s="306">
        <v>2673.4299316435199</v>
      </c>
      <c r="I796" s="293">
        <f t="shared" si="25"/>
        <v>7.5246211879984419E-3</v>
      </c>
      <c r="J796" s="289"/>
      <c r="K796" s="275"/>
      <c r="L796" s="290"/>
      <c r="M796" s="275"/>
      <c r="N796" s="275"/>
      <c r="O796" s="275"/>
      <c r="P796" s="275"/>
      <c r="Q796" s="275"/>
      <c r="R796" s="275"/>
      <c r="S796" s="275"/>
      <c r="T796" s="275"/>
    </row>
    <row r="797" spans="1:20" ht="15" customHeight="1">
      <c r="A797" s="20"/>
      <c r="B797" s="294">
        <v>45091</v>
      </c>
      <c r="C797" s="295">
        <v>18755.900390625</v>
      </c>
      <c r="D797" s="296">
        <f t="shared" si="24"/>
        <v>2.1238341844010264E-3</v>
      </c>
      <c r="E797" s="20"/>
      <c r="F797" s="297"/>
      <c r="G797" s="298">
        <v>45091</v>
      </c>
      <c r="H797" s="299">
        <v>2654.5505371064801</v>
      </c>
      <c r="I797" s="300">
        <f t="shared" si="25"/>
        <v>-7.061862483687213E-3</v>
      </c>
      <c r="J797" s="296"/>
      <c r="K797" s="20"/>
      <c r="L797" s="297"/>
      <c r="M797" s="275"/>
      <c r="N797" s="275"/>
      <c r="O797" s="275"/>
      <c r="P797" s="275"/>
      <c r="Q797" s="275"/>
      <c r="R797" s="275"/>
      <c r="S797" s="275"/>
      <c r="T797" s="275"/>
    </row>
    <row r="798" spans="1:20" ht="15" customHeight="1">
      <c r="A798" s="275"/>
      <c r="B798" s="303">
        <v>45092</v>
      </c>
      <c r="C798" s="304">
        <v>18688.099609375</v>
      </c>
      <c r="D798" s="289">
        <f t="shared" si="24"/>
        <v>-3.6149041015322157E-3</v>
      </c>
      <c r="E798" s="275"/>
      <c r="F798" s="290"/>
      <c r="G798" s="305">
        <v>45092</v>
      </c>
      <c r="H798" s="306">
        <v>2574.3688964814801</v>
      </c>
      <c r="I798" s="293">
        <f t="shared" si="25"/>
        <v>-3.020535473112514E-2</v>
      </c>
      <c r="J798" s="289"/>
      <c r="K798" s="275"/>
      <c r="L798" s="290"/>
      <c r="M798" s="275"/>
      <c r="N798" s="275"/>
      <c r="O798" s="275"/>
      <c r="P798" s="275"/>
      <c r="Q798" s="275"/>
      <c r="R798" s="275"/>
      <c r="S798" s="275"/>
      <c r="T798" s="275"/>
    </row>
    <row r="799" spans="1:20" ht="15" customHeight="1">
      <c r="A799" s="20"/>
      <c r="B799" s="294">
        <v>45093</v>
      </c>
      <c r="C799" s="295">
        <v>18826</v>
      </c>
      <c r="D799" s="296">
        <f t="shared" si="24"/>
        <v>7.3790483520229863E-3</v>
      </c>
      <c r="E799" s="20"/>
      <c r="F799" s="297"/>
      <c r="G799" s="298">
        <v>45093</v>
      </c>
      <c r="H799" s="299">
        <v>2564.4084472685199</v>
      </c>
      <c r="I799" s="300">
        <f t="shared" si="25"/>
        <v>-3.8690838855975945E-3</v>
      </c>
      <c r="J799" s="296"/>
      <c r="K799" s="20"/>
      <c r="L799" s="297"/>
      <c r="M799" s="275"/>
      <c r="N799" s="275"/>
      <c r="O799" s="275"/>
      <c r="P799" s="275"/>
      <c r="Q799" s="275"/>
      <c r="R799" s="275"/>
      <c r="S799" s="275"/>
      <c r="T799" s="275"/>
    </row>
    <row r="800" spans="1:20" ht="15" customHeight="1">
      <c r="A800" s="275"/>
      <c r="B800" s="303">
        <v>45096</v>
      </c>
      <c r="C800" s="304">
        <v>18755.44921875</v>
      </c>
      <c r="D800" s="289">
        <f t="shared" si="24"/>
        <v>-3.7475183921172844E-3</v>
      </c>
      <c r="E800" s="275"/>
      <c r="F800" s="290"/>
      <c r="G800" s="305">
        <v>45096</v>
      </c>
      <c r="H800" s="306">
        <v>2519.6315917939801</v>
      </c>
      <c r="I800" s="293">
        <f t="shared" si="25"/>
        <v>-1.7460890647990931E-2</v>
      </c>
      <c r="J800" s="289"/>
      <c r="K800" s="275"/>
      <c r="L800" s="290"/>
      <c r="M800" s="275"/>
      <c r="N800" s="275"/>
      <c r="O800" s="275"/>
      <c r="P800" s="275"/>
      <c r="Q800" s="275"/>
      <c r="R800" s="275"/>
      <c r="S800" s="275"/>
      <c r="T800" s="275"/>
    </row>
    <row r="801" spans="1:20" ht="15" customHeight="1">
      <c r="A801" s="20"/>
      <c r="B801" s="294">
        <v>45097</v>
      </c>
      <c r="C801" s="295">
        <v>18816.69921875</v>
      </c>
      <c r="D801" s="296">
        <f t="shared" si="24"/>
        <v>3.2657175674986124E-3</v>
      </c>
      <c r="E801" s="20"/>
      <c r="F801" s="297"/>
      <c r="G801" s="298">
        <v>45097</v>
      </c>
      <c r="H801" s="299">
        <v>2536.0209960879602</v>
      </c>
      <c r="I801" s="300">
        <f t="shared" si="25"/>
        <v>6.5046828065490345E-3</v>
      </c>
      <c r="J801" s="296"/>
      <c r="K801" s="20"/>
      <c r="L801" s="297"/>
      <c r="M801" s="275"/>
      <c r="N801" s="275"/>
      <c r="O801" s="275"/>
      <c r="P801" s="275"/>
      <c r="Q801" s="275"/>
      <c r="R801" s="275"/>
      <c r="S801" s="275"/>
      <c r="T801" s="275"/>
    </row>
    <row r="802" spans="1:20" ht="15" customHeight="1">
      <c r="A802" s="275"/>
      <c r="B802" s="303">
        <v>45098</v>
      </c>
      <c r="C802" s="304">
        <v>18856.849609375</v>
      </c>
      <c r="D802" s="289">
        <f t="shared" si="24"/>
        <v>2.133763746671995E-3</v>
      </c>
      <c r="E802" s="275"/>
      <c r="F802" s="290"/>
      <c r="G802" s="305">
        <v>45098</v>
      </c>
      <c r="H802" s="306">
        <v>2556.7116699189801</v>
      </c>
      <c r="I802" s="293">
        <f t="shared" si="25"/>
        <v>8.1587155086401651E-3</v>
      </c>
      <c r="J802" s="289"/>
      <c r="K802" s="275"/>
      <c r="L802" s="290"/>
      <c r="M802" s="275"/>
      <c r="N802" s="275"/>
      <c r="O802" s="275"/>
      <c r="P802" s="275"/>
      <c r="Q802" s="275"/>
      <c r="R802" s="275"/>
      <c r="S802" s="275"/>
      <c r="T802" s="275"/>
    </row>
    <row r="803" spans="1:20" ht="15" customHeight="1">
      <c r="A803" s="20"/>
      <c r="B803" s="294">
        <v>45099</v>
      </c>
      <c r="C803" s="295">
        <v>18771.25</v>
      </c>
      <c r="D803" s="296">
        <f t="shared" si="24"/>
        <v>-4.5394438174042985E-3</v>
      </c>
      <c r="E803" s="20"/>
      <c r="F803" s="297"/>
      <c r="G803" s="298">
        <v>45099</v>
      </c>
      <c r="H803" s="299">
        <v>2558.0700683564801</v>
      </c>
      <c r="I803" s="300">
        <f t="shared" si="25"/>
        <v>5.313068553964266E-4</v>
      </c>
      <c r="J803" s="296"/>
      <c r="K803" s="20"/>
      <c r="L803" s="297"/>
      <c r="M803" s="275"/>
      <c r="N803" s="275"/>
      <c r="O803" s="275"/>
      <c r="P803" s="275"/>
      <c r="Q803" s="275"/>
      <c r="R803" s="275"/>
      <c r="S803" s="275"/>
      <c r="T803" s="275"/>
    </row>
    <row r="804" spans="1:20" ht="15" customHeight="1">
      <c r="A804" s="275"/>
      <c r="B804" s="303">
        <v>45100</v>
      </c>
      <c r="C804" s="304">
        <v>18665.5</v>
      </c>
      <c r="D804" s="289">
        <f t="shared" si="24"/>
        <v>-5.6336152360657917E-3</v>
      </c>
      <c r="E804" s="275"/>
      <c r="F804" s="290"/>
      <c r="G804" s="305">
        <v>45100</v>
      </c>
      <c r="H804" s="306">
        <v>2514.0173339814801</v>
      </c>
      <c r="I804" s="293">
        <f t="shared" si="25"/>
        <v>-1.7221081986742916E-2</v>
      </c>
      <c r="J804" s="289"/>
      <c r="K804" s="275"/>
      <c r="L804" s="290"/>
      <c r="M804" s="275"/>
      <c r="N804" s="275"/>
      <c r="O804" s="275"/>
      <c r="P804" s="275"/>
      <c r="Q804" s="275"/>
      <c r="R804" s="275"/>
      <c r="S804" s="275"/>
      <c r="T804" s="275"/>
    </row>
    <row r="805" spans="1:20" ht="15" customHeight="1">
      <c r="A805" s="20"/>
      <c r="B805" s="294">
        <v>45103</v>
      </c>
      <c r="C805" s="295">
        <v>18691.19921875</v>
      </c>
      <c r="D805" s="296">
        <f t="shared" si="24"/>
        <v>1.3768299134767352E-3</v>
      </c>
      <c r="E805" s="20"/>
      <c r="F805" s="297"/>
      <c r="G805" s="298">
        <v>45103</v>
      </c>
      <c r="H805" s="299">
        <v>2581.7934570370398</v>
      </c>
      <c r="I805" s="300">
        <f t="shared" si="25"/>
        <v>2.6959290271965582E-2</v>
      </c>
      <c r="J805" s="296"/>
      <c r="K805" s="20"/>
      <c r="L805" s="297"/>
      <c r="M805" s="275"/>
      <c r="N805" s="275"/>
      <c r="O805" s="275"/>
      <c r="P805" s="275"/>
      <c r="Q805" s="275"/>
      <c r="R805" s="275"/>
      <c r="S805" s="275"/>
      <c r="T805" s="275"/>
    </row>
    <row r="806" spans="1:20" ht="15" customHeight="1">
      <c r="A806" s="275"/>
      <c r="B806" s="303">
        <v>45104</v>
      </c>
      <c r="C806" s="304">
        <v>18817.400390625</v>
      </c>
      <c r="D806" s="289">
        <f t="shared" si="24"/>
        <v>6.7519034171120394E-3</v>
      </c>
      <c r="E806" s="275"/>
      <c r="F806" s="290"/>
      <c r="G806" s="305">
        <v>45104</v>
      </c>
      <c r="H806" s="306">
        <v>2575.3195800810199</v>
      </c>
      <c r="I806" s="293">
        <f t="shared" si="25"/>
        <v>-2.5075115665718585E-3</v>
      </c>
      <c r="J806" s="289"/>
      <c r="K806" s="275"/>
      <c r="L806" s="290"/>
      <c r="M806" s="275"/>
      <c r="N806" s="275"/>
      <c r="O806" s="275"/>
      <c r="P806" s="275"/>
      <c r="Q806" s="275"/>
      <c r="R806" s="275"/>
      <c r="S806" s="275"/>
      <c r="T806" s="275"/>
    </row>
    <row r="807" spans="1:20" ht="15" customHeight="1">
      <c r="A807" s="20"/>
      <c r="B807" s="294">
        <v>45105</v>
      </c>
      <c r="C807" s="295">
        <v>18972.099609375</v>
      </c>
      <c r="D807" s="296">
        <f t="shared" si="24"/>
        <v>8.2210728123249463E-3</v>
      </c>
      <c r="E807" s="20"/>
      <c r="F807" s="297"/>
      <c r="G807" s="298">
        <v>45105</v>
      </c>
      <c r="H807" s="299">
        <v>2561.4201660185199</v>
      </c>
      <c r="I807" s="300">
        <f t="shared" si="25"/>
        <v>-5.3971608688901914E-3</v>
      </c>
      <c r="J807" s="296"/>
      <c r="K807" s="20"/>
      <c r="L807" s="297"/>
      <c r="M807" s="275"/>
      <c r="N807" s="275"/>
      <c r="O807" s="275"/>
      <c r="P807" s="275"/>
      <c r="Q807" s="275"/>
      <c r="R807" s="275"/>
      <c r="S807" s="275"/>
      <c r="T807" s="275"/>
    </row>
    <row r="808" spans="1:20" ht="15" customHeight="1">
      <c r="A808" s="275"/>
      <c r="B808" s="303">
        <v>45107</v>
      </c>
      <c r="C808" s="304">
        <v>19189.05078125</v>
      </c>
      <c r="D808" s="289">
        <f t="shared" si="24"/>
        <v>1.143527476356883E-2</v>
      </c>
      <c r="E808" s="275"/>
      <c r="F808" s="290"/>
      <c r="G808" s="305">
        <v>45107</v>
      </c>
      <c r="H808" s="306">
        <v>2635.0822753935199</v>
      </c>
      <c r="I808" s="293">
        <f t="shared" si="25"/>
        <v>2.8758307735782619E-2</v>
      </c>
      <c r="J808" s="289"/>
      <c r="K808" s="275"/>
      <c r="L808" s="290"/>
      <c r="M808" s="275"/>
      <c r="N808" s="275"/>
      <c r="O808" s="275"/>
      <c r="P808" s="275"/>
      <c r="Q808" s="275"/>
      <c r="R808" s="275"/>
      <c r="S808" s="275"/>
      <c r="T808" s="275"/>
    </row>
    <row r="809" spans="1:20" ht="15" customHeight="1">
      <c r="A809" s="20"/>
      <c r="B809" s="294">
        <v>45110</v>
      </c>
      <c r="C809" s="295">
        <v>19322.55078125</v>
      </c>
      <c r="D809" s="296">
        <f t="shared" si="24"/>
        <v>6.9570924336937751E-3</v>
      </c>
      <c r="E809" s="20"/>
      <c r="F809" s="297"/>
      <c r="G809" s="298">
        <v>45110</v>
      </c>
      <c r="H809" s="299">
        <v>2624.8049316435199</v>
      </c>
      <c r="I809" s="300">
        <f t="shared" si="25"/>
        <v>-3.9001984287056822E-3</v>
      </c>
      <c r="J809" s="296"/>
      <c r="K809" s="20"/>
      <c r="L809" s="297"/>
      <c r="M809" s="275"/>
      <c r="N809" s="275"/>
      <c r="O809" s="275"/>
      <c r="P809" s="275"/>
      <c r="Q809" s="275"/>
      <c r="R809" s="275"/>
      <c r="S809" s="275"/>
      <c r="T809" s="275"/>
    </row>
    <row r="810" spans="1:20" ht="15" customHeight="1">
      <c r="A810" s="275"/>
      <c r="B810" s="303">
        <v>45111</v>
      </c>
      <c r="C810" s="304">
        <v>19389</v>
      </c>
      <c r="D810" s="289">
        <f t="shared" si="24"/>
        <v>3.4389465191355714E-3</v>
      </c>
      <c r="E810" s="275"/>
      <c r="F810" s="290"/>
      <c r="G810" s="305">
        <v>45111</v>
      </c>
      <c r="H810" s="306">
        <v>2743.4699707060199</v>
      </c>
      <c r="I810" s="293">
        <f t="shared" si="25"/>
        <v>4.5209088733385597E-2</v>
      </c>
      <c r="J810" s="289"/>
      <c r="K810" s="275"/>
      <c r="L810" s="290"/>
      <c r="M810" s="275"/>
      <c r="N810" s="275"/>
      <c r="O810" s="275"/>
      <c r="P810" s="275"/>
      <c r="Q810" s="275"/>
      <c r="R810" s="275"/>
      <c r="S810" s="275"/>
      <c r="T810" s="275"/>
    </row>
    <row r="811" spans="1:20" ht="15" customHeight="1">
      <c r="A811" s="20"/>
      <c r="B811" s="294">
        <v>45112</v>
      </c>
      <c r="C811" s="295">
        <v>19398.5</v>
      </c>
      <c r="D811" s="296">
        <f t="shared" si="24"/>
        <v>4.8996853886224153E-4</v>
      </c>
      <c r="E811" s="20"/>
      <c r="F811" s="297"/>
      <c r="G811" s="298">
        <v>45112</v>
      </c>
      <c r="H811" s="299">
        <v>2859.7353515625</v>
      </c>
      <c r="I811" s="300">
        <f t="shared" si="25"/>
        <v>4.2378951509558421E-2</v>
      </c>
      <c r="J811" s="296"/>
      <c r="K811" s="20"/>
      <c r="L811" s="297"/>
      <c r="M811" s="275"/>
      <c r="N811" s="275"/>
      <c r="O811" s="275"/>
      <c r="P811" s="275"/>
      <c r="Q811" s="275"/>
      <c r="R811" s="275"/>
      <c r="S811" s="275"/>
      <c r="T811" s="275"/>
    </row>
    <row r="812" spans="1:20" ht="15" customHeight="1">
      <c r="A812" s="275"/>
      <c r="B812" s="303">
        <v>45113</v>
      </c>
      <c r="C812" s="304">
        <v>19497.30078125</v>
      </c>
      <c r="D812" s="289">
        <f t="shared" si="24"/>
        <v>5.0932175812562824E-3</v>
      </c>
      <c r="E812" s="275"/>
      <c r="F812" s="290"/>
      <c r="G812" s="305">
        <v>45113</v>
      </c>
      <c r="H812" s="306">
        <v>2872.3220214814801</v>
      </c>
      <c r="I812" s="293">
        <f t="shared" si="25"/>
        <v>4.4013408136186387E-3</v>
      </c>
      <c r="J812" s="289"/>
      <c r="K812" s="275"/>
      <c r="L812" s="290"/>
      <c r="M812" s="275"/>
      <c r="N812" s="275"/>
      <c r="O812" s="275"/>
      <c r="P812" s="275"/>
      <c r="Q812" s="275"/>
      <c r="R812" s="275"/>
      <c r="S812" s="275"/>
      <c r="T812" s="275"/>
    </row>
    <row r="813" spans="1:20" ht="15" customHeight="1">
      <c r="A813" s="20"/>
      <c r="B813" s="294">
        <v>45114</v>
      </c>
      <c r="C813" s="295">
        <v>19331.80078125</v>
      </c>
      <c r="D813" s="296">
        <f t="shared" si="24"/>
        <v>-8.4883544577184066E-3</v>
      </c>
      <c r="E813" s="20"/>
      <c r="F813" s="297"/>
      <c r="G813" s="298">
        <v>45114</v>
      </c>
      <c r="H813" s="299">
        <v>2850.6809082060199</v>
      </c>
      <c r="I813" s="300">
        <f t="shared" si="25"/>
        <v>-7.5343617859038488E-3</v>
      </c>
      <c r="J813" s="296"/>
      <c r="K813" s="20"/>
      <c r="L813" s="297"/>
      <c r="M813" s="275"/>
      <c r="N813" s="275"/>
      <c r="O813" s="275"/>
      <c r="P813" s="275"/>
      <c r="Q813" s="275"/>
      <c r="R813" s="275"/>
      <c r="S813" s="275"/>
      <c r="T813" s="275"/>
    </row>
    <row r="814" spans="1:20" ht="15" customHeight="1">
      <c r="A814" s="275"/>
      <c r="B814" s="303">
        <v>45117</v>
      </c>
      <c r="C814" s="304">
        <v>19355.900390625</v>
      </c>
      <c r="D814" s="289">
        <f t="shared" si="24"/>
        <v>1.2466303397029789E-3</v>
      </c>
      <c r="E814" s="275"/>
      <c r="F814" s="290"/>
      <c r="G814" s="305">
        <v>45117</v>
      </c>
      <c r="H814" s="306">
        <v>2828.4956054629602</v>
      </c>
      <c r="I814" s="293">
        <f t="shared" si="25"/>
        <v>-7.7824574048946564E-3</v>
      </c>
      <c r="J814" s="289"/>
      <c r="K814" s="275"/>
      <c r="L814" s="290"/>
      <c r="M814" s="275"/>
      <c r="N814" s="275"/>
      <c r="O814" s="275"/>
      <c r="P814" s="275"/>
      <c r="Q814" s="275"/>
      <c r="R814" s="275"/>
      <c r="S814" s="275"/>
      <c r="T814" s="275"/>
    </row>
    <row r="815" spans="1:20" ht="15" customHeight="1">
      <c r="A815" s="20"/>
      <c r="B815" s="294">
        <v>45118</v>
      </c>
      <c r="C815" s="295">
        <v>19439.400390625</v>
      </c>
      <c r="D815" s="296">
        <f t="shared" si="24"/>
        <v>4.3139300324382271E-3</v>
      </c>
      <c r="E815" s="20"/>
      <c r="F815" s="297"/>
      <c r="G815" s="298">
        <v>45118</v>
      </c>
      <c r="H815" s="299">
        <v>2809.3901367129602</v>
      </c>
      <c r="I815" s="300">
        <f t="shared" si="25"/>
        <v>-6.7546397148716348E-3</v>
      </c>
      <c r="J815" s="296"/>
      <c r="K815" s="20"/>
      <c r="L815" s="297"/>
      <c r="M815" s="275"/>
      <c r="N815" s="275"/>
      <c r="O815" s="275"/>
      <c r="P815" s="275"/>
      <c r="Q815" s="275"/>
      <c r="R815" s="275"/>
      <c r="S815" s="275"/>
      <c r="T815" s="275"/>
    </row>
    <row r="816" spans="1:20" ht="15" customHeight="1">
      <c r="A816" s="275"/>
      <c r="B816" s="303">
        <v>45119</v>
      </c>
      <c r="C816" s="304">
        <v>19384.30078125</v>
      </c>
      <c r="D816" s="289">
        <f t="shared" si="24"/>
        <v>-2.8344294714755078E-3</v>
      </c>
      <c r="E816" s="275"/>
      <c r="F816" s="290"/>
      <c r="G816" s="305">
        <v>45119</v>
      </c>
      <c r="H816" s="306">
        <v>2787.884765625</v>
      </c>
      <c r="I816" s="293">
        <f t="shared" si="25"/>
        <v>-7.6548183205063323E-3</v>
      </c>
      <c r="J816" s="289"/>
      <c r="K816" s="275"/>
      <c r="L816" s="290"/>
      <c r="M816" s="275"/>
      <c r="N816" s="275"/>
      <c r="O816" s="275"/>
      <c r="P816" s="275"/>
      <c r="Q816" s="275"/>
      <c r="R816" s="275"/>
      <c r="S816" s="275"/>
      <c r="T816" s="275"/>
    </row>
    <row r="817" spans="1:20" ht="15" customHeight="1">
      <c r="A817" s="20"/>
      <c r="B817" s="294">
        <v>45120</v>
      </c>
      <c r="C817" s="295">
        <v>19413.75</v>
      </c>
      <c r="D817" s="296">
        <f t="shared" si="24"/>
        <v>1.5192303855749891E-3</v>
      </c>
      <c r="E817" s="20"/>
      <c r="F817" s="297"/>
      <c r="G817" s="298">
        <v>45120</v>
      </c>
      <c r="H817" s="299">
        <v>2782.6782226620398</v>
      </c>
      <c r="I817" s="300">
        <f t="shared" si="25"/>
        <v>-1.8675603192633867E-3</v>
      </c>
      <c r="J817" s="296"/>
      <c r="K817" s="20"/>
      <c r="L817" s="297"/>
      <c r="M817" s="275"/>
      <c r="N817" s="275"/>
      <c r="O817" s="275"/>
      <c r="P817" s="275"/>
      <c r="Q817" s="275"/>
      <c r="R817" s="275"/>
      <c r="S817" s="275"/>
      <c r="T817" s="275"/>
    </row>
    <row r="818" spans="1:20" ht="15" customHeight="1">
      <c r="A818" s="275"/>
      <c r="B818" s="303">
        <v>45121</v>
      </c>
      <c r="C818" s="304">
        <v>19564.5</v>
      </c>
      <c r="D818" s="289">
        <f t="shared" si="24"/>
        <v>7.7651149314274673E-3</v>
      </c>
      <c r="E818" s="275"/>
      <c r="F818" s="290"/>
      <c r="G818" s="305">
        <v>45121</v>
      </c>
      <c r="H818" s="306">
        <v>2839.9055175810199</v>
      </c>
      <c r="I818" s="293">
        <f t="shared" si="25"/>
        <v>2.0565545255259079E-2</v>
      </c>
      <c r="J818" s="289"/>
      <c r="K818" s="275"/>
      <c r="L818" s="290"/>
      <c r="M818" s="275"/>
      <c r="N818" s="275"/>
      <c r="O818" s="275"/>
      <c r="P818" s="275"/>
      <c r="Q818" s="275"/>
      <c r="R818" s="275"/>
      <c r="S818" s="275"/>
      <c r="T818" s="275"/>
    </row>
    <row r="819" spans="1:20" ht="15" customHeight="1">
      <c r="A819" s="20"/>
      <c r="B819" s="294">
        <v>45124</v>
      </c>
      <c r="C819" s="295">
        <v>19711.44921875</v>
      </c>
      <c r="D819" s="296">
        <f t="shared" si="24"/>
        <v>7.5110132510414268E-3</v>
      </c>
      <c r="E819" s="20"/>
      <c r="F819" s="297"/>
      <c r="G819" s="298">
        <v>45124</v>
      </c>
      <c r="H819" s="299">
        <v>2799.4294433564801</v>
      </c>
      <c r="I819" s="300">
        <f t="shared" si="25"/>
        <v>-1.4252612973905072E-2</v>
      </c>
      <c r="J819" s="296"/>
      <c r="K819" s="20"/>
      <c r="L819" s="297"/>
      <c r="M819" s="275"/>
      <c r="N819" s="275"/>
      <c r="O819" s="275"/>
      <c r="P819" s="275"/>
      <c r="Q819" s="275"/>
      <c r="R819" s="275"/>
      <c r="S819" s="275"/>
      <c r="T819" s="275"/>
    </row>
    <row r="820" spans="1:20" ht="15" customHeight="1">
      <c r="A820" s="275"/>
      <c r="B820" s="303">
        <v>45125</v>
      </c>
      <c r="C820" s="304">
        <v>19749.25</v>
      </c>
      <c r="D820" s="289">
        <f t="shared" si="24"/>
        <v>1.917706853032551E-3</v>
      </c>
      <c r="E820" s="275"/>
      <c r="F820" s="290"/>
      <c r="G820" s="305">
        <v>45125</v>
      </c>
      <c r="H820" s="306">
        <v>2821.8857421875</v>
      </c>
      <c r="I820" s="293">
        <f t="shared" si="25"/>
        <v>8.021741317436137E-3</v>
      </c>
      <c r="J820" s="289"/>
      <c r="K820" s="275"/>
      <c r="L820" s="290"/>
      <c r="M820" s="275"/>
      <c r="N820" s="275"/>
      <c r="O820" s="275"/>
      <c r="P820" s="275"/>
      <c r="Q820" s="275"/>
      <c r="R820" s="275"/>
      <c r="S820" s="275"/>
      <c r="T820" s="275"/>
    </row>
    <row r="821" spans="1:20" ht="15" customHeight="1">
      <c r="A821" s="20"/>
      <c r="B821" s="294">
        <v>45126</v>
      </c>
      <c r="C821" s="295">
        <v>19833.150390625</v>
      </c>
      <c r="D821" s="296">
        <f t="shared" si="24"/>
        <v>4.248282371482461E-3</v>
      </c>
      <c r="E821" s="20"/>
      <c r="F821" s="297"/>
      <c r="G821" s="298">
        <v>45126</v>
      </c>
      <c r="H821" s="299">
        <v>2804.0024414120398</v>
      </c>
      <c r="I821" s="300">
        <f t="shared" si="25"/>
        <v>-6.3373582098321191E-3</v>
      </c>
      <c r="J821" s="296"/>
      <c r="K821" s="20"/>
      <c r="L821" s="297"/>
      <c r="M821" s="275"/>
      <c r="N821" s="275"/>
      <c r="O821" s="275"/>
      <c r="P821" s="275"/>
      <c r="Q821" s="275"/>
      <c r="R821" s="275"/>
      <c r="S821" s="275"/>
      <c r="T821" s="275"/>
    </row>
    <row r="822" spans="1:20" ht="15" customHeight="1">
      <c r="A822" s="275"/>
      <c r="B822" s="303">
        <v>45127</v>
      </c>
      <c r="C822" s="304">
        <v>19979.150390625</v>
      </c>
      <c r="D822" s="289">
        <f t="shared" si="24"/>
        <v>7.3614124394989332E-3</v>
      </c>
      <c r="E822" s="275"/>
      <c r="F822" s="290"/>
      <c r="G822" s="305">
        <v>45127</v>
      </c>
      <c r="H822" s="306">
        <v>2795.4001464814801</v>
      </c>
      <c r="I822" s="293">
        <f t="shared" si="25"/>
        <v>-3.0678628532961692E-3</v>
      </c>
      <c r="J822" s="289"/>
      <c r="K822" s="275"/>
      <c r="L822" s="290"/>
      <c r="M822" s="275"/>
      <c r="N822" s="275"/>
      <c r="O822" s="275"/>
      <c r="P822" s="275"/>
      <c r="Q822" s="275"/>
      <c r="R822" s="275"/>
      <c r="S822" s="275"/>
      <c r="T822" s="275"/>
    </row>
    <row r="823" spans="1:20" ht="15" customHeight="1">
      <c r="A823" s="20"/>
      <c r="B823" s="294">
        <v>45128</v>
      </c>
      <c r="C823" s="295">
        <v>19745</v>
      </c>
      <c r="D823" s="296">
        <f t="shared" si="24"/>
        <v>-1.1719737128305142E-2</v>
      </c>
      <c r="E823" s="20"/>
      <c r="F823" s="297"/>
      <c r="G823" s="298">
        <v>45128</v>
      </c>
      <c r="H823" s="299">
        <v>2808.8923339814801</v>
      </c>
      <c r="I823" s="300">
        <f t="shared" si="25"/>
        <v>4.8265675012510731E-3</v>
      </c>
      <c r="J823" s="296"/>
      <c r="K823" s="20"/>
      <c r="L823" s="297"/>
      <c r="M823" s="275"/>
      <c r="N823" s="275"/>
      <c r="O823" s="275"/>
      <c r="P823" s="275"/>
      <c r="Q823" s="275"/>
      <c r="R823" s="275"/>
      <c r="S823" s="275"/>
      <c r="T823" s="275"/>
    </row>
    <row r="824" spans="1:20" ht="15" customHeight="1">
      <c r="A824" s="275"/>
      <c r="B824" s="303">
        <v>45131</v>
      </c>
      <c r="C824" s="304">
        <v>19672.349609375</v>
      </c>
      <c r="D824" s="289">
        <f t="shared" si="24"/>
        <v>-3.6794322929855658E-3</v>
      </c>
      <c r="E824" s="275"/>
      <c r="F824" s="290"/>
      <c r="G824" s="305">
        <v>45131</v>
      </c>
      <c r="H824" s="306">
        <v>2837.8679199189801</v>
      </c>
      <c r="I824" s="293">
        <f t="shared" si="25"/>
        <v>1.0315662721193872E-2</v>
      </c>
      <c r="J824" s="289"/>
      <c r="K824" s="275"/>
      <c r="L824" s="290"/>
      <c r="M824" s="275"/>
      <c r="N824" s="275"/>
      <c r="O824" s="275"/>
      <c r="P824" s="275"/>
      <c r="Q824" s="275"/>
      <c r="R824" s="275"/>
      <c r="S824" s="275"/>
      <c r="T824" s="275"/>
    </row>
    <row r="825" spans="1:20" ht="15" customHeight="1">
      <c r="A825" s="20"/>
      <c r="B825" s="294">
        <v>45132</v>
      </c>
      <c r="C825" s="295">
        <v>19680.599609375</v>
      </c>
      <c r="D825" s="296">
        <f t="shared" si="24"/>
        <v>4.193703428322768E-4</v>
      </c>
      <c r="E825" s="20"/>
      <c r="F825" s="297"/>
      <c r="G825" s="298">
        <v>45132</v>
      </c>
      <c r="H825" s="299">
        <v>2843.5270996064801</v>
      </c>
      <c r="I825" s="300">
        <f t="shared" si="25"/>
        <v>1.994165989113957E-3</v>
      </c>
      <c r="J825" s="296"/>
      <c r="K825" s="20"/>
      <c r="L825" s="297"/>
      <c r="M825" s="275"/>
      <c r="N825" s="275"/>
      <c r="O825" s="275"/>
      <c r="P825" s="275"/>
      <c r="Q825" s="275"/>
      <c r="R825" s="275"/>
      <c r="S825" s="275"/>
      <c r="T825" s="275"/>
    </row>
    <row r="826" spans="1:20" ht="15" customHeight="1">
      <c r="A826" s="275"/>
      <c r="B826" s="303">
        <v>45133</v>
      </c>
      <c r="C826" s="304">
        <v>19778.30078125</v>
      </c>
      <c r="D826" s="289">
        <f t="shared" si="24"/>
        <v>4.9643391875346787E-3</v>
      </c>
      <c r="E826" s="275"/>
      <c r="F826" s="290"/>
      <c r="G826" s="305">
        <v>45133</v>
      </c>
      <c r="H826" s="306">
        <v>2848.4172363310199</v>
      </c>
      <c r="I826" s="293">
        <f t="shared" si="25"/>
        <v>1.7197433163962448E-3</v>
      </c>
      <c r="J826" s="289"/>
      <c r="K826" s="275"/>
      <c r="L826" s="290"/>
      <c r="M826" s="275"/>
      <c r="N826" s="275"/>
      <c r="O826" s="275"/>
      <c r="P826" s="275"/>
      <c r="Q826" s="275"/>
      <c r="R826" s="275"/>
      <c r="S826" s="275"/>
      <c r="T826" s="275"/>
    </row>
    <row r="827" spans="1:20" ht="15" customHeight="1">
      <c r="A827" s="20"/>
      <c r="B827" s="294">
        <v>45134</v>
      </c>
      <c r="C827" s="295">
        <v>19659.900390625</v>
      </c>
      <c r="D827" s="296">
        <f t="shared" si="24"/>
        <v>-5.9863783008722669E-3</v>
      </c>
      <c r="E827" s="20"/>
      <c r="F827" s="297"/>
      <c r="G827" s="298">
        <v>45134</v>
      </c>
      <c r="H827" s="299">
        <v>2872.4536132870398</v>
      </c>
      <c r="I827" s="300">
        <f t="shared" si="25"/>
        <v>8.4385028462264956E-3</v>
      </c>
      <c r="J827" s="296"/>
      <c r="K827" s="20"/>
      <c r="L827" s="297"/>
      <c r="M827" s="275"/>
      <c r="N827" s="275"/>
      <c r="O827" s="275"/>
      <c r="P827" s="275"/>
      <c r="Q827" s="275"/>
      <c r="R827" s="275"/>
      <c r="S827" s="275"/>
      <c r="T827" s="275"/>
    </row>
    <row r="828" spans="1:20" ht="15" customHeight="1">
      <c r="A828" s="275"/>
      <c r="B828" s="303">
        <v>45135</v>
      </c>
      <c r="C828" s="304">
        <v>19646.05078125</v>
      </c>
      <c r="D828" s="289">
        <f t="shared" si="24"/>
        <v>-7.0445979378432207E-4</v>
      </c>
      <c r="E828" s="275"/>
      <c r="F828" s="290"/>
      <c r="G828" s="305">
        <v>45135</v>
      </c>
      <c r="H828" s="306">
        <v>2905.0063476620398</v>
      </c>
      <c r="I828" s="293">
        <f t="shared" si="25"/>
        <v>1.1332727611134118E-2</v>
      </c>
      <c r="J828" s="289"/>
      <c r="K828" s="275"/>
      <c r="L828" s="290"/>
      <c r="M828" s="275"/>
      <c r="N828" s="275"/>
      <c r="O828" s="275"/>
      <c r="P828" s="275"/>
      <c r="Q828" s="275"/>
      <c r="R828" s="275"/>
      <c r="S828" s="275"/>
      <c r="T828" s="275"/>
    </row>
    <row r="829" spans="1:20" ht="15" customHeight="1">
      <c r="A829" s="20"/>
      <c r="B829" s="294">
        <v>45138</v>
      </c>
      <c r="C829" s="295">
        <v>19753.80078125</v>
      </c>
      <c r="D829" s="296">
        <f t="shared" si="24"/>
        <v>5.4845628365592716E-3</v>
      </c>
      <c r="E829" s="20"/>
      <c r="F829" s="297"/>
      <c r="G829" s="298">
        <v>45138</v>
      </c>
      <c r="H829" s="299">
        <v>2933.5756835879602</v>
      </c>
      <c r="I829" s="300">
        <f t="shared" si="25"/>
        <v>9.8345175558439048E-3</v>
      </c>
      <c r="J829" s="296"/>
      <c r="K829" s="20"/>
      <c r="L829" s="297"/>
      <c r="M829" s="275"/>
      <c r="N829" s="275"/>
      <c r="O829" s="275"/>
      <c r="P829" s="275"/>
      <c r="Q829" s="275"/>
      <c r="R829" s="275"/>
      <c r="S829" s="275"/>
      <c r="T829" s="275"/>
    </row>
    <row r="830" spans="1:20" ht="15" customHeight="1">
      <c r="A830" s="275"/>
      <c r="B830" s="303">
        <v>45139</v>
      </c>
      <c r="C830" s="304">
        <v>19733.55078125</v>
      </c>
      <c r="D830" s="289">
        <f t="shared" si="24"/>
        <v>-1.0251191770254656E-3</v>
      </c>
      <c r="E830" s="275"/>
      <c r="F830" s="290"/>
      <c r="G830" s="305">
        <v>45139</v>
      </c>
      <c r="H830" s="306">
        <v>2840.5419921875</v>
      </c>
      <c r="I830" s="293">
        <f t="shared" si="25"/>
        <v>-3.1713411016099542E-2</v>
      </c>
      <c r="J830" s="289"/>
      <c r="K830" s="275"/>
      <c r="L830" s="290"/>
      <c r="M830" s="275"/>
      <c r="N830" s="275"/>
      <c r="O830" s="275"/>
      <c r="P830" s="275"/>
      <c r="Q830" s="275"/>
      <c r="R830" s="275"/>
      <c r="S830" s="275"/>
      <c r="T830" s="275"/>
    </row>
    <row r="831" spans="1:20" ht="15" customHeight="1">
      <c r="A831" s="20"/>
      <c r="B831" s="294">
        <v>45140</v>
      </c>
      <c r="C831" s="295">
        <v>19526.55078125</v>
      </c>
      <c r="D831" s="296">
        <f t="shared" si="24"/>
        <v>-1.0489749274959822E-2</v>
      </c>
      <c r="E831" s="20"/>
      <c r="F831" s="297"/>
      <c r="G831" s="298">
        <v>45140</v>
      </c>
      <c r="H831" s="299">
        <v>2741.0529785185199</v>
      </c>
      <c r="I831" s="300">
        <f t="shared" si="25"/>
        <v>-3.5024658654091448E-2</v>
      </c>
      <c r="J831" s="296"/>
      <c r="K831" s="20"/>
      <c r="L831" s="297"/>
      <c r="M831" s="275"/>
      <c r="N831" s="275"/>
      <c r="O831" s="275"/>
      <c r="P831" s="275"/>
      <c r="Q831" s="275"/>
      <c r="R831" s="275"/>
      <c r="S831" s="275"/>
      <c r="T831" s="275"/>
    </row>
    <row r="832" spans="1:20" ht="15" customHeight="1">
      <c r="A832" s="275"/>
      <c r="B832" s="303">
        <v>45141</v>
      </c>
      <c r="C832" s="304">
        <v>19381.650390625</v>
      </c>
      <c r="D832" s="289">
        <f t="shared" si="24"/>
        <v>-7.4206854169113091E-3</v>
      </c>
      <c r="E832" s="275"/>
      <c r="F832" s="290"/>
      <c r="G832" s="305">
        <v>45141</v>
      </c>
      <c r="H832" s="306">
        <v>2703.4643554629602</v>
      </c>
      <c r="I832" s="293">
        <f t="shared" si="25"/>
        <v>-1.3713205600234552E-2</v>
      </c>
      <c r="J832" s="289"/>
      <c r="K832" s="275"/>
      <c r="L832" s="290"/>
      <c r="M832" s="275"/>
      <c r="N832" s="275"/>
      <c r="O832" s="275"/>
      <c r="P832" s="275"/>
      <c r="Q832" s="275"/>
      <c r="R832" s="275"/>
      <c r="S832" s="275"/>
      <c r="T832" s="275"/>
    </row>
    <row r="833" spans="1:20" ht="15" customHeight="1">
      <c r="A833" s="20"/>
      <c r="B833" s="294">
        <v>45142</v>
      </c>
      <c r="C833" s="295">
        <v>19517</v>
      </c>
      <c r="D833" s="296">
        <f t="shared" si="24"/>
        <v>6.9833892701144417E-3</v>
      </c>
      <c r="E833" s="20"/>
      <c r="F833" s="297"/>
      <c r="G833" s="298">
        <v>45142</v>
      </c>
      <c r="H833" s="299">
        <v>2696.4135742129602</v>
      </c>
      <c r="I833" s="300">
        <f t="shared" si="25"/>
        <v>-2.6080540828113028E-3</v>
      </c>
      <c r="J833" s="296"/>
      <c r="K833" s="20"/>
      <c r="L833" s="297"/>
      <c r="M833" s="275"/>
      <c r="N833" s="275"/>
      <c r="O833" s="275"/>
      <c r="P833" s="275"/>
      <c r="Q833" s="275"/>
      <c r="R833" s="275"/>
      <c r="S833" s="275"/>
      <c r="T833" s="275"/>
    </row>
    <row r="834" spans="1:20" ht="15" customHeight="1">
      <c r="A834" s="275"/>
      <c r="B834" s="303">
        <v>45145</v>
      </c>
      <c r="C834" s="304">
        <v>19597.30078125</v>
      </c>
      <c r="D834" s="289">
        <f t="shared" si="24"/>
        <v>4.1144018676026028E-3</v>
      </c>
      <c r="E834" s="275"/>
      <c r="F834" s="290"/>
      <c r="G834" s="305">
        <v>45145</v>
      </c>
      <c r="H834" s="306">
        <v>2704.9750976620398</v>
      </c>
      <c r="I834" s="293">
        <f t="shared" si="25"/>
        <v>3.1751521839815163E-3</v>
      </c>
      <c r="J834" s="289"/>
      <c r="K834" s="275"/>
      <c r="L834" s="290"/>
      <c r="M834" s="275"/>
      <c r="N834" s="275"/>
      <c r="O834" s="275"/>
      <c r="P834" s="275"/>
      <c r="Q834" s="275"/>
      <c r="R834" s="275"/>
      <c r="S834" s="275"/>
      <c r="T834" s="275"/>
    </row>
    <row r="835" spans="1:20" ht="15" customHeight="1">
      <c r="A835" s="20"/>
      <c r="B835" s="294">
        <v>45146</v>
      </c>
      <c r="C835" s="295">
        <v>19570.849609375</v>
      </c>
      <c r="D835" s="296">
        <f t="shared" si="24"/>
        <v>-1.349735464605796E-3</v>
      </c>
      <c r="E835" s="20"/>
      <c r="F835" s="297"/>
      <c r="G835" s="298">
        <v>45146</v>
      </c>
      <c r="H835" s="299">
        <v>2808.3095703125</v>
      </c>
      <c r="I835" s="300">
        <f t="shared" si="25"/>
        <v>3.8201635475230089E-2</v>
      </c>
      <c r="J835" s="296"/>
      <c r="K835" s="20"/>
      <c r="L835" s="297"/>
      <c r="M835" s="275"/>
      <c r="N835" s="275"/>
      <c r="O835" s="275"/>
      <c r="P835" s="275"/>
      <c r="Q835" s="275"/>
      <c r="R835" s="275"/>
      <c r="S835" s="275"/>
      <c r="T835" s="275"/>
    </row>
    <row r="836" spans="1:20" ht="15" customHeight="1">
      <c r="A836" s="275"/>
      <c r="B836" s="303">
        <v>45147</v>
      </c>
      <c r="C836" s="304">
        <v>19632.55078125</v>
      </c>
      <c r="D836" s="289">
        <f t="shared" si="24"/>
        <v>3.1527078847636415E-3</v>
      </c>
      <c r="E836" s="275"/>
      <c r="F836" s="290"/>
      <c r="G836" s="305">
        <v>45147</v>
      </c>
      <c r="H836" s="306">
        <v>2801.7170410185199</v>
      </c>
      <c r="I836" s="293">
        <f t="shared" si="25"/>
        <v>-2.3475080395949661E-3</v>
      </c>
      <c r="J836" s="289"/>
      <c r="K836" s="275"/>
      <c r="L836" s="290"/>
      <c r="M836" s="275"/>
      <c r="N836" s="275"/>
      <c r="O836" s="275"/>
      <c r="P836" s="275"/>
      <c r="Q836" s="275"/>
      <c r="R836" s="275"/>
      <c r="S836" s="275"/>
      <c r="T836" s="275"/>
    </row>
    <row r="837" spans="1:20" ht="15" customHeight="1">
      <c r="A837" s="20"/>
      <c r="B837" s="294">
        <v>45148</v>
      </c>
      <c r="C837" s="295">
        <v>19543.099609375</v>
      </c>
      <c r="D837" s="296">
        <f t="shared" ref="D837:D900" si="26">(C837-C836)/C836</f>
        <v>-4.5562684580156563E-3</v>
      </c>
      <c r="E837" s="20"/>
      <c r="F837" s="297"/>
      <c r="G837" s="298">
        <v>45148</v>
      </c>
      <c r="H837" s="299">
        <v>2779.9235839814801</v>
      </c>
      <c r="I837" s="300">
        <f t="shared" ref="I837:I900" si="27">(H837-H836)/H836</f>
        <v>-7.7786074460671362E-3</v>
      </c>
      <c r="J837" s="296"/>
      <c r="K837" s="20"/>
      <c r="L837" s="297"/>
      <c r="M837" s="275"/>
      <c r="N837" s="275"/>
      <c r="O837" s="275"/>
      <c r="P837" s="275"/>
      <c r="Q837" s="275"/>
      <c r="R837" s="275"/>
      <c r="S837" s="275"/>
      <c r="T837" s="275"/>
    </row>
    <row r="838" spans="1:20" ht="15" customHeight="1">
      <c r="A838" s="275"/>
      <c r="B838" s="303">
        <v>45149</v>
      </c>
      <c r="C838" s="304">
        <v>19428.30078125</v>
      </c>
      <c r="D838" s="289">
        <f t="shared" si="26"/>
        <v>-5.8741361615907628E-3</v>
      </c>
      <c r="E838" s="275"/>
      <c r="F838" s="290"/>
      <c r="G838" s="305">
        <v>45149</v>
      </c>
      <c r="H838" s="306">
        <v>2745.40234375</v>
      </c>
      <c r="I838" s="293">
        <f t="shared" si="27"/>
        <v>-1.2418053658164892E-2</v>
      </c>
      <c r="J838" s="289"/>
      <c r="K838" s="275"/>
      <c r="L838" s="290"/>
      <c r="M838" s="275"/>
      <c r="N838" s="275"/>
      <c r="O838" s="275"/>
      <c r="P838" s="275"/>
      <c r="Q838" s="275"/>
      <c r="R838" s="275"/>
      <c r="S838" s="275"/>
      <c r="T838" s="275"/>
    </row>
    <row r="839" spans="1:20" ht="15" customHeight="1">
      <c r="A839" s="20"/>
      <c r="B839" s="294">
        <v>45152</v>
      </c>
      <c r="C839" s="295">
        <v>19434.55078125</v>
      </c>
      <c r="D839" s="296">
        <f t="shared" si="26"/>
        <v>3.2169565781232879E-4</v>
      </c>
      <c r="E839" s="20"/>
      <c r="F839" s="297"/>
      <c r="G839" s="298">
        <v>45152</v>
      </c>
      <c r="H839" s="299">
        <v>2756.8024902314801</v>
      </c>
      <c r="I839" s="300">
        <f t="shared" si="27"/>
        <v>4.1524501891072145E-3</v>
      </c>
      <c r="J839" s="296"/>
      <c r="K839" s="20"/>
      <c r="L839" s="297"/>
      <c r="M839" s="275"/>
      <c r="N839" s="275"/>
      <c r="O839" s="275"/>
      <c r="P839" s="275"/>
      <c r="Q839" s="275"/>
      <c r="R839" s="275"/>
      <c r="S839" s="275"/>
      <c r="T839" s="275"/>
    </row>
    <row r="840" spans="1:20" ht="15" customHeight="1">
      <c r="A840" s="275"/>
      <c r="B840" s="303">
        <v>45154</v>
      </c>
      <c r="C840" s="304">
        <v>19465</v>
      </c>
      <c r="D840" s="289">
        <f t="shared" si="26"/>
        <v>1.5667570139761961E-3</v>
      </c>
      <c r="E840" s="275"/>
      <c r="F840" s="290"/>
      <c r="G840" s="305">
        <v>45154</v>
      </c>
      <c r="H840" s="306">
        <v>2730.3395996064801</v>
      </c>
      <c r="I840" s="293">
        <f t="shared" si="27"/>
        <v>-9.5991246085888413E-3</v>
      </c>
      <c r="J840" s="289"/>
      <c r="K840" s="275"/>
      <c r="L840" s="290"/>
      <c r="M840" s="275"/>
      <c r="N840" s="275"/>
      <c r="O840" s="275"/>
      <c r="P840" s="275"/>
      <c r="Q840" s="275"/>
      <c r="R840" s="275"/>
      <c r="S840" s="275"/>
      <c r="T840" s="275"/>
    </row>
    <row r="841" spans="1:20" ht="15" customHeight="1">
      <c r="A841" s="20"/>
      <c r="B841" s="294">
        <v>45155</v>
      </c>
      <c r="C841" s="295">
        <v>19365.25</v>
      </c>
      <c r="D841" s="296">
        <f t="shared" si="26"/>
        <v>-5.124582584125353E-3</v>
      </c>
      <c r="E841" s="20"/>
      <c r="F841" s="297"/>
      <c r="G841" s="298">
        <v>45155</v>
      </c>
      <c r="H841" s="299">
        <v>2738.85546875</v>
      </c>
      <c r="I841" s="300">
        <f t="shared" si="27"/>
        <v>3.1189779999335255E-3</v>
      </c>
      <c r="J841" s="296"/>
      <c r="K841" s="20"/>
      <c r="L841" s="297"/>
      <c r="M841" s="275"/>
      <c r="N841" s="275"/>
      <c r="O841" s="275"/>
      <c r="P841" s="275"/>
      <c r="Q841" s="275"/>
      <c r="R841" s="275"/>
      <c r="S841" s="275"/>
      <c r="T841" s="275"/>
    </row>
    <row r="842" spans="1:20" ht="15" customHeight="1">
      <c r="A842" s="275"/>
      <c r="B842" s="303">
        <v>45156</v>
      </c>
      <c r="C842" s="304">
        <v>19310.150390625</v>
      </c>
      <c r="D842" s="289">
        <f t="shared" si="26"/>
        <v>-2.8452826260957128E-3</v>
      </c>
      <c r="E842" s="275"/>
      <c r="F842" s="290"/>
      <c r="G842" s="305">
        <v>45156</v>
      </c>
      <c r="H842" s="306">
        <v>2680.2517089814801</v>
      </c>
      <c r="I842" s="293">
        <f t="shared" si="27"/>
        <v>-2.1397171350289027E-2</v>
      </c>
      <c r="J842" s="289"/>
      <c r="K842" s="275"/>
      <c r="L842" s="290"/>
      <c r="M842" s="275"/>
      <c r="N842" s="275"/>
      <c r="O842" s="275"/>
      <c r="P842" s="275"/>
      <c r="Q842" s="275"/>
      <c r="R842" s="275"/>
      <c r="S842" s="275"/>
      <c r="T842" s="275"/>
    </row>
    <row r="843" spans="1:20" ht="15" customHeight="1">
      <c r="A843" s="20"/>
      <c r="B843" s="294">
        <v>45159</v>
      </c>
      <c r="C843" s="295">
        <v>19393.599609375</v>
      </c>
      <c r="D843" s="296">
        <f t="shared" si="26"/>
        <v>4.3215209131936255E-3</v>
      </c>
      <c r="E843" s="20"/>
      <c r="F843" s="297"/>
      <c r="G843" s="298">
        <v>45159</v>
      </c>
      <c r="H843" s="299">
        <v>2684.3266601620398</v>
      </c>
      <c r="I843" s="300">
        <f t="shared" si="27"/>
        <v>1.5203613775917647E-3</v>
      </c>
      <c r="J843" s="296"/>
      <c r="K843" s="20"/>
      <c r="L843" s="297"/>
      <c r="M843" s="275"/>
      <c r="N843" s="275"/>
      <c r="O843" s="275"/>
      <c r="P843" s="275"/>
      <c r="Q843" s="275"/>
      <c r="R843" s="275"/>
      <c r="S843" s="275"/>
      <c r="T843" s="275"/>
    </row>
    <row r="844" spans="1:20" ht="15" customHeight="1">
      <c r="A844" s="275"/>
      <c r="B844" s="303">
        <v>45160</v>
      </c>
      <c r="C844" s="304">
        <v>19396.44921875</v>
      </c>
      <c r="D844" s="289">
        <f t="shared" si="26"/>
        <v>1.4693555773021523E-4</v>
      </c>
      <c r="E844" s="275"/>
      <c r="F844" s="290"/>
      <c r="G844" s="305">
        <v>45160</v>
      </c>
      <c r="H844" s="306">
        <v>2707.447265625</v>
      </c>
      <c r="I844" s="293">
        <f t="shared" si="27"/>
        <v>8.6131862437206046E-3</v>
      </c>
      <c r="J844" s="289"/>
      <c r="K844" s="275"/>
      <c r="L844" s="290"/>
      <c r="M844" s="275"/>
      <c r="N844" s="275"/>
      <c r="O844" s="275"/>
      <c r="P844" s="275"/>
      <c r="Q844" s="275"/>
      <c r="R844" s="275"/>
      <c r="S844" s="275"/>
      <c r="T844" s="275"/>
    </row>
    <row r="845" spans="1:20" ht="15" customHeight="1">
      <c r="A845" s="20"/>
      <c r="B845" s="294">
        <v>45161</v>
      </c>
      <c r="C845" s="295">
        <v>19444</v>
      </c>
      <c r="D845" s="296">
        <f t="shared" si="26"/>
        <v>2.4515199000461384E-3</v>
      </c>
      <c r="E845" s="20"/>
      <c r="F845" s="297"/>
      <c r="G845" s="298">
        <v>45161</v>
      </c>
      <c r="H845" s="299">
        <v>2702.869140625</v>
      </c>
      <c r="I845" s="300">
        <f t="shared" si="27"/>
        <v>-1.6909378284578199E-3</v>
      </c>
      <c r="J845" s="296"/>
      <c r="K845" s="20"/>
      <c r="L845" s="297"/>
      <c r="M845" s="275"/>
      <c r="N845" s="275"/>
      <c r="O845" s="275"/>
      <c r="P845" s="275"/>
      <c r="Q845" s="275"/>
      <c r="R845" s="275"/>
      <c r="S845" s="275"/>
      <c r="T845" s="275"/>
    </row>
    <row r="846" spans="1:20" ht="15" customHeight="1">
      <c r="A846" s="275"/>
      <c r="B846" s="303">
        <v>45162</v>
      </c>
      <c r="C846" s="304">
        <v>19386.69921875</v>
      </c>
      <c r="D846" s="289">
        <f t="shared" si="26"/>
        <v>-2.9469646806212714E-3</v>
      </c>
      <c r="E846" s="275"/>
      <c r="F846" s="290"/>
      <c r="G846" s="305">
        <v>45162</v>
      </c>
      <c r="H846" s="306">
        <v>2680.892578125</v>
      </c>
      <c r="I846" s="293">
        <f t="shared" si="27"/>
        <v>-8.1308274121322174E-3</v>
      </c>
      <c r="J846" s="289"/>
      <c r="K846" s="275"/>
      <c r="L846" s="290"/>
      <c r="M846" s="275"/>
      <c r="N846" s="275"/>
      <c r="O846" s="275"/>
      <c r="P846" s="275"/>
      <c r="Q846" s="275"/>
      <c r="R846" s="275"/>
      <c r="S846" s="275"/>
      <c r="T846" s="275"/>
    </row>
    <row r="847" spans="1:20" ht="15" customHeight="1">
      <c r="A847" s="20"/>
      <c r="B847" s="294">
        <v>45163</v>
      </c>
      <c r="C847" s="295">
        <v>19265.80078125</v>
      </c>
      <c r="D847" s="296">
        <f t="shared" si="26"/>
        <v>-6.2361537740819812E-3</v>
      </c>
      <c r="E847" s="20"/>
      <c r="F847" s="297"/>
      <c r="G847" s="298">
        <v>45163</v>
      </c>
      <c r="H847" s="299">
        <v>2665.4633789120398</v>
      </c>
      <c r="I847" s="300">
        <f t="shared" si="27"/>
        <v>-5.7552470915307038E-3</v>
      </c>
      <c r="J847" s="296"/>
      <c r="K847" s="20"/>
      <c r="L847" s="297"/>
      <c r="M847" s="275"/>
      <c r="N847" s="275"/>
      <c r="O847" s="275"/>
      <c r="P847" s="275"/>
      <c r="Q847" s="275"/>
      <c r="R847" s="275"/>
      <c r="S847" s="275"/>
      <c r="T847" s="275"/>
    </row>
    <row r="848" spans="1:20" ht="15" customHeight="1">
      <c r="A848" s="275"/>
      <c r="B848" s="303">
        <v>45166</v>
      </c>
      <c r="C848" s="304">
        <v>19306.05078125</v>
      </c>
      <c r="D848" s="289">
        <f t="shared" si="26"/>
        <v>2.089194238900902E-3</v>
      </c>
      <c r="E848" s="275"/>
      <c r="F848" s="290"/>
      <c r="G848" s="305">
        <v>45166</v>
      </c>
      <c r="H848" s="306">
        <v>2684.5554199189801</v>
      </c>
      <c r="I848" s="293">
        <f t="shared" si="27"/>
        <v>7.1627474449613409E-3</v>
      </c>
      <c r="J848" s="289"/>
      <c r="K848" s="275"/>
      <c r="L848" s="290"/>
      <c r="M848" s="275"/>
      <c r="N848" s="275"/>
      <c r="O848" s="275"/>
      <c r="P848" s="275"/>
      <c r="Q848" s="275"/>
      <c r="R848" s="275"/>
      <c r="S848" s="275"/>
      <c r="T848" s="275"/>
    </row>
    <row r="849" spans="1:20" ht="15" customHeight="1">
      <c r="A849" s="20"/>
      <c r="B849" s="294">
        <v>45167</v>
      </c>
      <c r="C849" s="295">
        <v>19342.650390625</v>
      </c>
      <c r="D849" s="296">
        <f t="shared" si="26"/>
        <v>1.8957584743610782E-3</v>
      </c>
      <c r="E849" s="20"/>
      <c r="F849" s="297"/>
      <c r="G849" s="298">
        <v>45167</v>
      </c>
      <c r="H849" s="299">
        <v>2736.1997070370398</v>
      </c>
      <c r="I849" s="300">
        <f t="shared" si="27"/>
        <v>1.9237556704870852E-2</v>
      </c>
      <c r="J849" s="296"/>
      <c r="K849" s="20"/>
      <c r="L849" s="297"/>
      <c r="M849" s="275"/>
      <c r="N849" s="275"/>
      <c r="O849" s="275"/>
      <c r="P849" s="275"/>
      <c r="Q849" s="275"/>
      <c r="R849" s="275"/>
      <c r="S849" s="275"/>
      <c r="T849" s="275"/>
    </row>
    <row r="850" spans="1:20" ht="15" customHeight="1">
      <c r="A850" s="275"/>
      <c r="B850" s="303">
        <v>45168</v>
      </c>
      <c r="C850" s="304">
        <v>19347.44921875</v>
      </c>
      <c r="D850" s="289">
        <f t="shared" si="26"/>
        <v>2.4809568637635602E-4</v>
      </c>
      <c r="E850" s="275"/>
      <c r="F850" s="290"/>
      <c r="G850" s="305">
        <v>45168</v>
      </c>
      <c r="H850" s="306">
        <v>2702.9604492129602</v>
      </c>
      <c r="I850" s="293">
        <f t="shared" si="27"/>
        <v>-1.2147964835532279E-2</v>
      </c>
      <c r="J850" s="289"/>
      <c r="K850" s="275"/>
      <c r="L850" s="290"/>
      <c r="M850" s="275"/>
      <c r="N850" s="275"/>
      <c r="O850" s="275"/>
      <c r="P850" s="275"/>
      <c r="Q850" s="275"/>
      <c r="R850" s="275"/>
      <c r="S850" s="275"/>
      <c r="T850" s="275"/>
    </row>
    <row r="851" spans="1:20" ht="15" customHeight="1">
      <c r="A851" s="20"/>
      <c r="B851" s="294">
        <v>45169</v>
      </c>
      <c r="C851" s="295">
        <v>19253.80078125</v>
      </c>
      <c r="D851" s="296">
        <f t="shared" si="26"/>
        <v>-4.8403506033882458E-3</v>
      </c>
      <c r="E851" s="20"/>
      <c r="F851" s="297"/>
      <c r="G851" s="298">
        <v>45169</v>
      </c>
      <c r="H851" s="299">
        <v>2670.0874023379602</v>
      </c>
      <c r="I851" s="300">
        <f t="shared" si="27"/>
        <v>-1.2161867512553458E-2</v>
      </c>
      <c r="J851" s="296"/>
      <c r="K851" s="20"/>
      <c r="L851" s="297"/>
      <c r="M851" s="275"/>
      <c r="N851" s="275"/>
      <c r="O851" s="275"/>
      <c r="P851" s="275"/>
      <c r="Q851" s="275"/>
      <c r="R851" s="275"/>
      <c r="S851" s="275"/>
      <c r="T851" s="275"/>
    </row>
    <row r="852" spans="1:20" ht="15" customHeight="1">
      <c r="A852" s="275"/>
      <c r="B852" s="303">
        <v>45170</v>
      </c>
      <c r="C852" s="304">
        <v>19435.30078125</v>
      </c>
      <c r="D852" s="289">
        <f t="shared" si="26"/>
        <v>9.4267101889176502E-3</v>
      </c>
      <c r="E852" s="275"/>
      <c r="F852" s="290"/>
      <c r="G852" s="305">
        <v>45170</v>
      </c>
      <c r="H852" s="306">
        <v>2680.5720214814801</v>
      </c>
      <c r="I852" s="293">
        <f t="shared" si="27"/>
        <v>3.9266951090587768E-3</v>
      </c>
      <c r="J852" s="289"/>
      <c r="K852" s="275"/>
      <c r="L852" s="290"/>
      <c r="M852" s="275"/>
      <c r="N852" s="275"/>
      <c r="O852" s="275"/>
      <c r="P852" s="275"/>
      <c r="Q852" s="275"/>
      <c r="R852" s="275"/>
      <c r="S852" s="275"/>
      <c r="T852" s="275"/>
    </row>
    <row r="853" spans="1:20" ht="15" customHeight="1">
      <c r="A853" s="20"/>
      <c r="B853" s="294">
        <v>45173</v>
      </c>
      <c r="C853" s="295">
        <v>19528.80078125</v>
      </c>
      <c r="D853" s="296">
        <f t="shared" si="26"/>
        <v>4.8108337016426897E-3</v>
      </c>
      <c r="E853" s="20"/>
      <c r="F853" s="297"/>
      <c r="G853" s="298">
        <v>45173</v>
      </c>
      <c r="H853" s="299">
        <v>2694.7194824189801</v>
      </c>
      <c r="I853" s="300">
        <f t="shared" si="27"/>
        <v>5.2777768417060023E-3</v>
      </c>
      <c r="J853" s="296"/>
      <c r="K853" s="20"/>
      <c r="L853" s="297"/>
      <c r="M853" s="275"/>
      <c r="N853" s="275"/>
      <c r="O853" s="275"/>
      <c r="P853" s="275"/>
      <c r="Q853" s="275"/>
      <c r="R853" s="275"/>
      <c r="S853" s="275"/>
      <c r="T853" s="275"/>
    </row>
    <row r="854" spans="1:20" ht="15" customHeight="1">
      <c r="A854" s="275"/>
      <c r="B854" s="303">
        <v>45174</v>
      </c>
      <c r="C854" s="304">
        <v>19574.900390625</v>
      </c>
      <c r="D854" s="289">
        <f t="shared" si="26"/>
        <v>2.3605960187407502E-3</v>
      </c>
      <c r="E854" s="275"/>
      <c r="F854" s="290"/>
      <c r="G854" s="305">
        <v>45174</v>
      </c>
      <c r="H854" s="306">
        <v>2687.8518066435199</v>
      </c>
      <c r="I854" s="293">
        <f t="shared" si="27"/>
        <v>-2.5485679753557209E-3</v>
      </c>
      <c r="J854" s="289"/>
      <c r="K854" s="275"/>
      <c r="L854" s="290"/>
      <c r="M854" s="275"/>
      <c r="N854" s="275"/>
      <c r="O854" s="275"/>
      <c r="P854" s="275"/>
      <c r="Q854" s="275"/>
      <c r="R854" s="275"/>
      <c r="S854" s="275"/>
      <c r="T854" s="275"/>
    </row>
    <row r="855" spans="1:20" ht="15" customHeight="1">
      <c r="A855" s="20"/>
      <c r="B855" s="294">
        <v>45175</v>
      </c>
      <c r="C855" s="295">
        <v>19611.05078125</v>
      </c>
      <c r="D855" s="296">
        <f t="shared" si="26"/>
        <v>1.8467726478094107E-3</v>
      </c>
      <c r="E855" s="20"/>
      <c r="F855" s="297"/>
      <c r="G855" s="298">
        <v>45175</v>
      </c>
      <c r="H855" s="299">
        <v>2690.2783203125</v>
      </c>
      <c r="I855" s="300">
        <f t="shared" si="27"/>
        <v>9.0277063005575822E-4</v>
      </c>
      <c r="J855" s="296"/>
      <c r="K855" s="20"/>
      <c r="L855" s="297"/>
      <c r="M855" s="275"/>
      <c r="N855" s="275"/>
      <c r="O855" s="275"/>
      <c r="P855" s="275"/>
      <c r="Q855" s="275"/>
      <c r="R855" s="275"/>
      <c r="S855" s="275"/>
      <c r="T855" s="275"/>
    </row>
    <row r="856" spans="1:20" ht="15" customHeight="1">
      <c r="A856" s="275"/>
      <c r="B856" s="303">
        <v>45176</v>
      </c>
      <c r="C856" s="304">
        <v>19727.05078125</v>
      </c>
      <c r="D856" s="289">
        <f t="shared" si="26"/>
        <v>5.9150323607803238E-3</v>
      </c>
      <c r="E856" s="275"/>
      <c r="F856" s="290"/>
      <c r="G856" s="305">
        <v>45176</v>
      </c>
      <c r="H856" s="306">
        <v>2711.2473144560199</v>
      </c>
      <c r="I856" s="293">
        <f t="shared" si="27"/>
        <v>7.7943586673531176E-3</v>
      </c>
      <c r="J856" s="289"/>
      <c r="K856" s="275"/>
      <c r="L856" s="290"/>
      <c r="M856" s="275"/>
      <c r="N856" s="275"/>
      <c r="O856" s="275"/>
      <c r="P856" s="275"/>
      <c r="Q856" s="275"/>
      <c r="R856" s="275"/>
      <c r="S856" s="275"/>
      <c r="T856" s="275"/>
    </row>
    <row r="857" spans="1:20" ht="15" customHeight="1">
      <c r="A857" s="20"/>
      <c r="B857" s="294">
        <v>45177</v>
      </c>
      <c r="C857" s="295">
        <v>19819.94921875</v>
      </c>
      <c r="D857" s="296">
        <f t="shared" si="26"/>
        <v>4.7091903665750848E-3</v>
      </c>
      <c r="E857" s="20"/>
      <c r="F857" s="297"/>
      <c r="G857" s="298">
        <v>45177</v>
      </c>
      <c r="H857" s="299">
        <v>2755.0629882870398</v>
      </c>
      <c r="I857" s="300">
        <f t="shared" si="27"/>
        <v>1.6160707139256686E-2</v>
      </c>
      <c r="J857" s="296"/>
      <c r="K857" s="20"/>
      <c r="L857" s="297"/>
      <c r="M857" s="275"/>
      <c r="N857" s="275"/>
      <c r="O857" s="275"/>
      <c r="P857" s="275"/>
      <c r="Q857" s="275"/>
      <c r="R857" s="275"/>
      <c r="S857" s="275"/>
      <c r="T857" s="275"/>
    </row>
    <row r="858" spans="1:20" ht="15" customHeight="1">
      <c r="A858" s="275"/>
      <c r="B858" s="303">
        <v>45180</v>
      </c>
      <c r="C858" s="304">
        <v>19996.349609375</v>
      </c>
      <c r="D858" s="289">
        <f t="shared" si="26"/>
        <v>8.9001434200508597E-3</v>
      </c>
      <c r="E858" s="275"/>
      <c r="F858" s="290"/>
      <c r="G858" s="305">
        <v>45180</v>
      </c>
      <c r="H858" s="306">
        <v>2796.8181152314801</v>
      </c>
      <c r="I858" s="293">
        <f t="shared" si="27"/>
        <v>1.5155779422089177E-2</v>
      </c>
      <c r="J858" s="289"/>
      <c r="K858" s="275"/>
      <c r="L858" s="290"/>
      <c r="M858" s="275"/>
      <c r="N858" s="275"/>
      <c r="O858" s="275"/>
      <c r="P858" s="275"/>
      <c r="Q858" s="275"/>
      <c r="R858" s="275"/>
      <c r="S858" s="275"/>
      <c r="T858" s="275"/>
    </row>
    <row r="859" spans="1:20" ht="15" customHeight="1">
      <c r="A859" s="20"/>
      <c r="B859" s="294">
        <v>45181</v>
      </c>
      <c r="C859" s="295">
        <v>19993.19921875</v>
      </c>
      <c r="D859" s="296">
        <f t="shared" si="26"/>
        <v>-1.5754828688947231E-4</v>
      </c>
      <c r="E859" s="20"/>
      <c r="F859" s="297"/>
      <c r="G859" s="298">
        <v>45181</v>
      </c>
      <c r="H859" s="299">
        <v>2765.41015625</v>
      </c>
      <c r="I859" s="300">
        <f t="shared" si="27"/>
        <v>-1.1229889713039341E-2</v>
      </c>
      <c r="J859" s="296"/>
      <c r="K859" s="20"/>
      <c r="L859" s="297"/>
      <c r="M859" s="275"/>
      <c r="N859" s="275"/>
      <c r="O859" s="275"/>
      <c r="P859" s="275"/>
      <c r="Q859" s="275"/>
      <c r="R859" s="275"/>
      <c r="S859" s="275"/>
      <c r="T859" s="275"/>
    </row>
    <row r="860" spans="1:20" ht="15" customHeight="1">
      <c r="A860" s="275"/>
      <c r="B860" s="303">
        <v>45182</v>
      </c>
      <c r="C860" s="304">
        <v>20070</v>
      </c>
      <c r="D860" s="289">
        <f t="shared" si="26"/>
        <v>3.8413452699443307E-3</v>
      </c>
      <c r="E860" s="275"/>
      <c r="F860" s="290"/>
      <c r="G860" s="305">
        <v>45182</v>
      </c>
      <c r="H860" s="306">
        <v>2741.9228515625</v>
      </c>
      <c r="I860" s="293">
        <f t="shared" si="27"/>
        <v>-8.4932445317079715E-3</v>
      </c>
      <c r="J860" s="289"/>
      <c r="K860" s="275"/>
      <c r="L860" s="290"/>
      <c r="M860" s="275"/>
      <c r="N860" s="275"/>
      <c r="O860" s="275"/>
      <c r="P860" s="275"/>
      <c r="Q860" s="275"/>
      <c r="R860" s="275"/>
      <c r="S860" s="275"/>
      <c r="T860" s="275"/>
    </row>
    <row r="861" spans="1:20" ht="15" customHeight="1">
      <c r="A861" s="20"/>
      <c r="B861" s="294">
        <v>45183</v>
      </c>
      <c r="C861" s="295">
        <v>20103.099609375</v>
      </c>
      <c r="D861" s="296">
        <f t="shared" si="26"/>
        <v>1.6492082399103139E-3</v>
      </c>
      <c r="E861" s="20"/>
      <c r="F861" s="297"/>
      <c r="G861" s="298">
        <v>45183</v>
      </c>
      <c r="H861" s="299">
        <v>2745.5856933564801</v>
      </c>
      <c r="I861" s="300">
        <f t="shared" si="27"/>
        <v>1.335866102831007E-3</v>
      </c>
      <c r="J861" s="296"/>
      <c r="K861" s="20"/>
      <c r="L861" s="297"/>
      <c r="M861" s="275"/>
      <c r="N861" s="275"/>
      <c r="O861" s="275"/>
      <c r="P861" s="275"/>
      <c r="Q861" s="275"/>
      <c r="R861" s="275"/>
      <c r="S861" s="275"/>
      <c r="T861" s="275"/>
    </row>
    <row r="862" spans="1:20" ht="15" customHeight="1">
      <c r="A862" s="275"/>
      <c r="B862" s="303">
        <v>45184</v>
      </c>
      <c r="C862" s="304">
        <v>20192.349609375</v>
      </c>
      <c r="D862" s="289">
        <f t="shared" si="26"/>
        <v>4.439613877174375E-3</v>
      </c>
      <c r="E862" s="275"/>
      <c r="F862" s="290"/>
      <c r="G862" s="305">
        <v>45184</v>
      </c>
      <c r="H862" s="306">
        <v>2806.4326171875</v>
      </c>
      <c r="I862" s="293">
        <f t="shared" si="27"/>
        <v>2.2161728179984259E-2</v>
      </c>
      <c r="J862" s="289"/>
      <c r="K862" s="275"/>
      <c r="L862" s="290"/>
      <c r="M862" s="275"/>
      <c r="N862" s="275"/>
      <c r="O862" s="275"/>
      <c r="P862" s="275"/>
      <c r="Q862" s="275"/>
      <c r="R862" s="275"/>
      <c r="S862" s="275"/>
      <c r="T862" s="275"/>
    </row>
    <row r="863" spans="1:20" ht="15" customHeight="1">
      <c r="A863" s="20"/>
      <c r="B863" s="294">
        <v>45187</v>
      </c>
      <c r="C863" s="295">
        <v>20133.30078125</v>
      </c>
      <c r="D863" s="296">
        <f t="shared" si="26"/>
        <v>-2.9243168460982138E-3</v>
      </c>
      <c r="E863" s="20"/>
      <c r="F863" s="297"/>
      <c r="G863" s="298">
        <v>45187</v>
      </c>
      <c r="H863" s="299">
        <v>2852.0336914120398</v>
      </c>
      <c r="I863" s="300">
        <f t="shared" si="27"/>
        <v>1.6248768612958719E-2</v>
      </c>
      <c r="J863" s="296"/>
      <c r="K863" s="20"/>
      <c r="L863" s="297"/>
      <c r="M863" s="275"/>
      <c r="N863" s="275"/>
      <c r="O863" s="275"/>
      <c r="P863" s="275"/>
      <c r="Q863" s="275"/>
      <c r="R863" s="275"/>
      <c r="S863" s="275"/>
      <c r="T863" s="275"/>
    </row>
    <row r="864" spans="1:20" ht="15" customHeight="1">
      <c r="A864" s="275"/>
      <c r="B864" s="303">
        <v>45189</v>
      </c>
      <c r="C864" s="304">
        <v>19901.400390625</v>
      </c>
      <c r="D864" s="289">
        <f t="shared" si="26"/>
        <v>-1.1518249945432057E-2</v>
      </c>
      <c r="E864" s="275"/>
      <c r="F864" s="290"/>
      <c r="G864" s="305">
        <v>45189</v>
      </c>
      <c r="H864" s="306">
        <v>2803.6857910185199</v>
      </c>
      <c r="I864" s="293">
        <f t="shared" si="27"/>
        <v>-1.695207898108066E-2</v>
      </c>
      <c r="J864" s="289"/>
      <c r="K864" s="275"/>
      <c r="L864" s="290"/>
      <c r="M864" s="275"/>
      <c r="N864" s="275"/>
      <c r="O864" s="275"/>
      <c r="P864" s="275"/>
      <c r="Q864" s="275"/>
      <c r="R864" s="275"/>
      <c r="S864" s="275"/>
      <c r="T864" s="275"/>
    </row>
    <row r="865" spans="1:20" ht="15" customHeight="1">
      <c r="A865" s="20"/>
      <c r="B865" s="294">
        <v>45190</v>
      </c>
      <c r="C865" s="295">
        <v>19742.349609375</v>
      </c>
      <c r="D865" s="296">
        <f t="shared" si="26"/>
        <v>-7.9919391664982752E-3</v>
      </c>
      <c r="E865" s="20"/>
      <c r="F865" s="297"/>
      <c r="G865" s="298">
        <v>45190</v>
      </c>
      <c r="H865" s="299">
        <v>2747.9206542939801</v>
      </c>
      <c r="I865" s="300">
        <f t="shared" si="27"/>
        <v>-1.9889938060527655E-2</v>
      </c>
      <c r="J865" s="296"/>
      <c r="K865" s="20"/>
      <c r="L865" s="297"/>
      <c r="M865" s="275"/>
      <c r="N865" s="275"/>
      <c r="O865" s="275"/>
      <c r="P865" s="275"/>
      <c r="Q865" s="275"/>
      <c r="R865" s="275"/>
      <c r="S865" s="275"/>
      <c r="T865" s="275"/>
    </row>
    <row r="866" spans="1:20" ht="15" customHeight="1">
      <c r="A866" s="275"/>
      <c r="B866" s="303">
        <v>45191</v>
      </c>
      <c r="C866" s="304">
        <v>19674.25</v>
      </c>
      <c r="D866" s="289">
        <f t="shared" si="26"/>
        <v>-3.4494176591149876E-3</v>
      </c>
      <c r="E866" s="275"/>
      <c r="F866" s="290"/>
      <c r="G866" s="305">
        <v>45191</v>
      </c>
      <c r="H866" s="306">
        <v>2767.8366699189801</v>
      </c>
      <c r="I866" s="293">
        <f t="shared" si="27"/>
        <v>7.2476676478553555E-3</v>
      </c>
      <c r="J866" s="289"/>
      <c r="K866" s="275"/>
      <c r="L866" s="290"/>
      <c r="M866" s="275"/>
      <c r="N866" s="275"/>
      <c r="O866" s="275"/>
      <c r="P866" s="275"/>
      <c r="Q866" s="275"/>
      <c r="R866" s="275"/>
      <c r="S866" s="275"/>
      <c r="T866" s="275"/>
    </row>
    <row r="867" spans="1:20" ht="15" customHeight="1">
      <c r="A867" s="20"/>
      <c r="B867" s="294">
        <v>45194</v>
      </c>
      <c r="C867" s="295">
        <v>19674.55078125</v>
      </c>
      <c r="D867" s="296">
        <f t="shared" si="26"/>
        <v>1.5288066889462116E-5</v>
      </c>
      <c r="E867" s="20"/>
      <c r="F867" s="297"/>
      <c r="G867" s="298">
        <v>45194</v>
      </c>
      <c r="H867" s="299">
        <v>2723.8840332060199</v>
      </c>
      <c r="I867" s="300">
        <f t="shared" si="27"/>
        <v>-1.5879779753856189E-2</v>
      </c>
      <c r="J867" s="296"/>
      <c r="K867" s="20"/>
      <c r="L867" s="297"/>
      <c r="M867" s="275"/>
      <c r="N867" s="275"/>
      <c r="O867" s="275"/>
      <c r="P867" s="275"/>
      <c r="Q867" s="275"/>
      <c r="R867" s="275"/>
      <c r="S867" s="275"/>
      <c r="T867" s="275"/>
    </row>
    <row r="868" spans="1:20" ht="15" customHeight="1">
      <c r="A868" s="275"/>
      <c r="B868" s="303">
        <v>45195</v>
      </c>
      <c r="C868" s="304">
        <v>19664.69921875</v>
      </c>
      <c r="D868" s="289">
        <f t="shared" si="26"/>
        <v>-5.0072617207548218E-4</v>
      </c>
      <c r="E868" s="275"/>
      <c r="F868" s="290"/>
      <c r="G868" s="305">
        <v>45195</v>
      </c>
      <c r="H868" s="306">
        <v>2778.5046386689801</v>
      </c>
      <c r="I868" s="293">
        <f t="shared" si="27"/>
        <v>2.0052470955847387E-2</v>
      </c>
      <c r="J868" s="289"/>
      <c r="K868" s="275"/>
      <c r="L868" s="290"/>
      <c r="M868" s="275"/>
      <c r="N868" s="275"/>
      <c r="O868" s="275"/>
      <c r="P868" s="275"/>
      <c r="Q868" s="275"/>
      <c r="R868" s="275"/>
      <c r="S868" s="275"/>
      <c r="T868" s="275"/>
    </row>
    <row r="869" spans="1:20" ht="15" customHeight="1">
      <c r="A869" s="20"/>
      <c r="B869" s="294">
        <v>45196</v>
      </c>
      <c r="C869" s="295">
        <v>19716.44921875</v>
      </c>
      <c r="D869" s="296">
        <f t="shared" si="26"/>
        <v>2.6316191986632139E-3</v>
      </c>
      <c r="E869" s="20"/>
      <c r="F869" s="297"/>
      <c r="G869" s="298">
        <v>45196</v>
      </c>
      <c r="H869" s="299">
        <v>2752.8657226620398</v>
      </c>
      <c r="I869" s="300">
        <f t="shared" si="27"/>
        <v>-9.2275951783986759E-3</v>
      </c>
      <c r="J869" s="296"/>
      <c r="K869" s="20"/>
      <c r="L869" s="297"/>
      <c r="M869" s="275"/>
      <c r="N869" s="275"/>
      <c r="O869" s="275"/>
      <c r="P869" s="275"/>
      <c r="Q869" s="275"/>
      <c r="R869" s="275"/>
      <c r="S869" s="275"/>
      <c r="T869" s="275"/>
    </row>
    <row r="870" spans="1:20" ht="15" customHeight="1">
      <c r="A870" s="275"/>
      <c r="B870" s="303">
        <v>45197</v>
      </c>
      <c r="C870" s="304">
        <v>19523.55078125</v>
      </c>
      <c r="D870" s="289">
        <f t="shared" si="26"/>
        <v>-9.7836296667737181E-3</v>
      </c>
      <c r="E870" s="275"/>
      <c r="F870" s="290"/>
      <c r="G870" s="305">
        <v>45197</v>
      </c>
      <c r="H870" s="306">
        <v>2719.5803222685199</v>
      </c>
      <c r="I870" s="293">
        <f t="shared" si="27"/>
        <v>-1.2091181970667539E-2</v>
      </c>
      <c r="J870" s="289"/>
      <c r="K870" s="275"/>
      <c r="L870" s="290"/>
      <c r="M870" s="275"/>
      <c r="N870" s="275"/>
      <c r="O870" s="275"/>
      <c r="P870" s="275"/>
      <c r="Q870" s="275"/>
      <c r="R870" s="275"/>
      <c r="S870" s="275"/>
      <c r="T870" s="275"/>
    </row>
    <row r="871" spans="1:20" ht="15" customHeight="1">
      <c r="A871" s="20"/>
      <c r="B871" s="294">
        <v>45198</v>
      </c>
      <c r="C871" s="295">
        <v>19638.30078125</v>
      </c>
      <c r="D871" s="296">
        <f t="shared" si="26"/>
        <v>5.8775169171687482E-3</v>
      </c>
      <c r="E871" s="20"/>
      <c r="F871" s="297"/>
      <c r="G871" s="298">
        <v>45198</v>
      </c>
      <c r="H871" s="299">
        <v>2799.4736328125</v>
      </c>
      <c r="I871" s="300">
        <f t="shared" si="27"/>
        <v>2.9377073326276166E-2</v>
      </c>
      <c r="J871" s="296"/>
      <c r="K871" s="20"/>
      <c r="L871" s="297"/>
      <c r="M871" s="275"/>
      <c r="N871" s="275"/>
      <c r="O871" s="275"/>
      <c r="P871" s="275"/>
      <c r="Q871" s="275"/>
      <c r="R871" s="275"/>
      <c r="S871" s="275"/>
      <c r="T871" s="275"/>
    </row>
    <row r="872" spans="1:20" ht="15" customHeight="1">
      <c r="A872" s="275"/>
      <c r="B872" s="303">
        <v>45202</v>
      </c>
      <c r="C872" s="304">
        <v>19528.75</v>
      </c>
      <c r="D872" s="289">
        <f t="shared" si="26"/>
        <v>-5.5784246544688561E-3</v>
      </c>
      <c r="E872" s="275"/>
      <c r="F872" s="290"/>
      <c r="G872" s="305">
        <v>45202</v>
      </c>
      <c r="H872" s="306">
        <v>2761.3356933564801</v>
      </c>
      <c r="I872" s="293">
        <f t="shared" si="27"/>
        <v>-1.3623253674907637E-2</v>
      </c>
      <c r="J872" s="289"/>
      <c r="K872" s="275"/>
      <c r="L872" s="290"/>
      <c r="M872" s="275"/>
      <c r="N872" s="275"/>
      <c r="O872" s="275"/>
      <c r="P872" s="275"/>
      <c r="Q872" s="275"/>
      <c r="R872" s="275"/>
      <c r="S872" s="275"/>
      <c r="T872" s="275"/>
    </row>
    <row r="873" spans="1:20" ht="15" customHeight="1">
      <c r="A873" s="20"/>
      <c r="B873" s="294">
        <v>45203</v>
      </c>
      <c r="C873" s="295">
        <v>19436.099609375</v>
      </c>
      <c r="D873" s="296">
        <f t="shared" si="26"/>
        <v>-4.7443072713307301E-3</v>
      </c>
      <c r="E873" s="20"/>
      <c r="F873" s="297"/>
      <c r="G873" s="298">
        <v>45203</v>
      </c>
      <c r="H873" s="299">
        <v>2737.0241699189801</v>
      </c>
      <c r="I873" s="300">
        <f t="shared" si="27"/>
        <v>-8.8042621894872438E-3</v>
      </c>
      <c r="J873" s="296"/>
      <c r="K873" s="20"/>
      <c r="L873" s="297"/>
      <c r="M873" s="275"/>
      <c r="N873" s="275"/>
      <c r="O873" s="275"/>
      <c r="P873" s="275"/>
      <c r="Q873" s="275"/>
      <c r="R873" s="275"/>
      <c r="S873" s="275"/>
      <c r="T873" s="275"/>
    </row>
    <row r="874" spans="1:20" ht="15" customHeight="1">
      <c r="A874" s="275"/>
      <c r="B874" s="303">
        <v>45204</v>
      </c>
      <c r="C874" s="304">
        <v>19545.75</v>
      </c>
      <c r="D874" s="289">
        <f t="shared" si="26"/>
        <v>5.6415841052857201E-3</v>
      </c>
      <c r="E874" s="275"/>
      <c r="F874" s="290"/>
      <c r="G874" s="305">
        <v>45204</v>
      </c>
      <c r="H874" s="306">
        <v>2762.2966308564801</v>
      </c>
      <c r="I874" s="293">
        <f t="shared" si="27"/>
        <v>9.2335541699831245E-3</v>
      </c>
      <c r="J874" s="289"/>
      <c r="K874" s="275"/>
      <c r="L874" s="290"/>
      <c r="M874" s="275"/>
      <c r="N874" s="275"/>
      <c r="O874" s="275"/>
      <c r="P874" s="275"/>
      <c r="Q874" s="275"/>
      <c r="R874" s="275"/>
      <c r="S874" s="275"/>
      <c r="T874" s="275"/>
    </row>
    <row r="875" spans="1:20" ht="15" customHeight="1">
      <c r="A875" s="20"/>
      <c r="B875" s="294">
        <v>45205</v>
      </c>
      <c r="C875" s="295">
        <v>19653.5</v>
      </c>
      <c r="D875" s="296">
        <f t="shared" si="26"/>
        <v>5.512707366051443E-3</v>
      </c>
      <c r="E875" s="20"/>
      <c r="F875" s="297"/>
      <c r="G875" s="298">
        <v>45205</v>
      </c>
      <c r="H875" s="299">
        <v>2781.8466796875</v>
      </c>
      <c r="I875" s="300">
        <f t="shared" si="27"/>
        <v>7.0774617804019897E-3</v>
      </c>
      <c r="J875" s="296"/>
      <c r="K875" s="20"/>
      <c r="L875" s="297"/>
      <c r="M875" s="275"/>
      <c r="N875" s="275"/>
      <c r="O875" s="275"/>
      <c r="P875" s="275"/>
      <c r="Q875" s="275"/>
      <c r="R875" s="275"/>
      <c r="S875" s="275"/>
      <c r="T875" s="275"/>
    </row>
    <row r="876" spans="1:20" ht="15" customHeight="1">
      <c r="A876" s="275"/>
      <c r="B876" s="303">
        <v>45208</v>
      </c>
      <c r="C876" s="304">
        <v>19512.349609375</v>
      </c>
      <c r="D876" s="289">
        <f t="shared" si="26"/>
        <v>-7.181946758847025E-3</v>
      </c>
      <c r="E876" s="275"/>
      <c r="F876" s="290"/>
      <c r="G876" s="305">
        <v>45208</v>
      </c>
      <c r="H876" s="306">
        <v>2705.9365234375</v>
      </c>
      <c r="I876" s="293">
        <f t="shared" si="27"/>
        <v>-2.7287685120923846E-2</v>
      </c>
      <c r="J876" s="289"/>
      <c r="K876" s="275"/>
      <c r="L876" s="290"/>
      <c r="M876" s="275"/>
      <c r="N876" s="275"/>
      <c r="O876" s="275"/>
      <c r="P876" s="275"/>
      <c r="Q876" s="275"/>
      <c r="R876" s="275"/>
      <c r="S876" s="275"/>
      <c r="T876" s="275"/>
    </row>
    <row r="877" spans="1:20" ht="15" customHeight="1">
      <c r="A877" s="20"/>
      <c r="B877" s="294">
        <v>45209</v>
      </c>
      <c r="C877" s="295">
        <v>19689.849609375</v>
      </c>
      <c r="D877" s="296">
        <f t="shared" si="26"/>
        <v>9.0968029762401072E-3</v>
      </c>
      <c r="E877" s="20"/>
      <c r="F877" s="297"/>
      <c r="G877" s="298">
        <v>45209</v>
      </c>
      <c r="H877" s="299">
        <v>2725.8068847685199</v>
      </c>
      <c r="I877" s="300">
        <f t="shared" si="27"/>
        <v>7.3432473965714127E-3</v>
      </c>
      <c r="J877" s="296"/>
      <c r="K877" s="20"/>
      <c r="L877" s="297"/>
      <c r="M877" s="275"/>
      <c r="N877" s="275"/>
      <c r="O877" s="275"/>
      <c r="P877" s="275"/>
      <c r="Q877" s="275"/>
      <c r="R877" s="275"/>
      <c r="S877" s="275"/>
      <c r="T877" s="275"/>
    </row>
    <row r="878" spans="1:20" ht="15" customHeight="1">
      <c r="A878" s="275"/>
      <c r="B878" s="303">
        <v>45210</v>
      </c>
      <c r="C878" s="304">
        <v>19811.349609375</v>
      </c>
      <c r="D878" s="289">
        <f t="shared" si="26"/>
        <v>6.1706921287072586E-3</v>
      </c>
      <c r="E878" s="275"/>
      <c r="F878" s="290"/>
      <c r="G878" s="305">
        <v>45210</v>
      </c>
      <c r="H878" s="306">
        <v>2839.3977050810199</v>
      </c>
      <c r="I878" s="293">
        <f t="shared" si="27"/>
        <v>4.1672365326843881E-2</v>
      </c>
      <c r="J878" s="289"/>
      <c r="K878" s="275"/>
      <c r="L878" s="290"/>
      <c r="M878" s="275"/>
      <c r="N878" s="275"/>
      <c r="O878" s="275"/>
      <c r="P878" s="275"/>
      <c r="Q878" s="275"/>
      <c r="R878" s="275"/>
      <c r="S878" s="275"/>
      <c r="T878" s="275"/>
    </row>
    <row r="879" spans="1:20" ht="15" customHeight="1">
      <c r="A879" s="20"/>
      <c r="B879" s="294">
        <v>45211</v>
      </c>
      <c r="C879" s="295">
        <v>19794</v>
      </c>
      <c r="D879" s="296">
        <f t="shared" si="26"/>
        <v>-8.7574091200681898E-4</v>
      </c>
      <c r="E879" s="20"/>
      <c r="F879" s="297"/>
      <c r="G879" s="298">
        <v>45211</v>
      </c>
      <c r="H879" s="299">
        <v>2827.8598632870398</v>
      </c>
      <c r="I879" s="300">
        <f t="shared" si="27"/>
        <v>-4.063482115708358E-3</v>
      </c>
      <c r="J879" s="296"/>
      <c r="K879" s="20"/>
      <c r="L879" s="297"/>
      <c r="M879" s="275"/>
      <c r="N879" s="275"/>
      <c r="O879" s="275"/>
      <c r="P879" s="275"/>
      <c r="Q879" s="275"/>
      <c r="R879" s="275"/>
      <c r="S879" s="275"/>
      <c r="T879" s="275"/>
    </row>
    <row r="880" spans="1:20" ht="15" customHeight="1">
      <c r="A880" s="275"/>
      <c r="B880" s="303">
        <v>45212</v>
      </c>
      <c r="C880" s="304">
        <v>19751.05078125</v>
      </c>
      <c r="D880" s="289">
        <f t="shared" si="26"/>
        <v>-2.1698099802970596E-3</v>
      </c>
      <c r="E880" s="275"/>
      <c r="F880" s="290"/>
      <c r="G880" s="305">
        <v>45212</v>
      </c>
      <c r="H880" s="306">
        <v>2837.1999511689801</v>
      </c>
      <c r="I880" s="293">
        <f t="shared" si="27"/>
        <v>3.302882155936656E-3</v>
      </c>
      <c r="J880" s="289"/>
      <c r="K880" s="275"/>
      <c r="L880" s="290"/>
      <c r="M880" s="275"/>
      <c r="N880" s="275"/>
      <c r="O880" s="275"/>
      <c r="P880" s="275"/>
      <c r="Q880" s="275"/>
      <c r="R880" s="275"/>
      <c r="S880" s="275"/>
      <c r="T880" s="275"/>
    </row>
    <row r="881" spans="1:20" ht="15" customHeight="1">
      <c r="A881" s="20"/>
      <c r="B881" s="294">
        <v>45215</v>
      </c>
      <c r="C881" s="295">
        <v>19731.75</v>
      </c>
      <c r="D881" s="296">
        <f t="shared" si="26"/>
        <v>-9.7720275562870559E-4</v>
      </c>
      <c r="E881" s="20"/>
      <c r="F881" s="297"/>
      <c r="G881" s="298">
        <v>45215</v>
      </c>
      <c r="H881" s="299">
        <v>2894.4755859375</v>
      </c>
      <c r="I881" s="300">
        <f t="shared" si="27"/>
        <v>2.0187380429398809E-2</v>
      </c>
      <c r="J881" s="296"/>
      <c r="K881" s="20"/>
      <c r="L881" s="297"/>
      <c r="M881" s="275"/>
      <c r="N881" s="275"/>
      <c r="O881" s="275"/>
      <c r="P881" s="275"/>
      <c r="Q881" s="275"/>
      <c r="R881" s="275"/>
      <c r="S881" s="275"/>
      <c r="T881" s="275"/>
    </row>
    <row r="882" spans="1:20" ht="15" customHeight="1">
      <c r="A882" s="275"/>
      <c r="B882" s="303">
        <v>45216</v>
      </c>
      <c r="C882" s="304">
        <v>19811.5</v>
      </c>
      <c r="D882" s="289">
        <f t="shared" si="26"/>
        <v>4.0417094276990126E-3</v>
      </c>
      <c r="E882" s="275"/>
      <c r="F882" s="290"/>
      <c r="G882" s="305">
        <v>45216</v>
      </c>
      <c r="H882" s="306">
        <v>2905.4182128935199</v>
      </c>
      <c r="I882" s="293">
        <f t="shared" si="27"/>
        <v>3.7805214212838774E-3</v>
      </c>
      <c r="J882" s="289"/>
      <c r="K882" s="275"/>
      <c r="L882" s="290"/>
      <c r="M882" s="275"/>
      <c r="N882" s="275"/>
      <c r="O882" s="275"/>
      <c r="P882" s="275"/>
      <c r="Q882" s="275"/>
      <c r="R882" s="275"/>
      <c r="S882" s="275"/>
      <c r="T882" s="275"/>
    </row>
    <row r="883" spans="1:20" ht="15" customHeight="1">
      <c r="A883" s="20"/>
      <c r="B883" s="294">
        <v>45217</v>
      </c>
      <c r="C883" s="295">
        <v>19671.099609375</v>
      </c>
      <c r="D883" s="296">
        <f t="shared" si="26"/>
        <v>-7.0868127413371024E-3</v>
      </c>
      <c r="E883" s="20"/>
      <c r="F883" s="297"/>
      <c r="G883" s="298">
        <v>45217</v>
      </c>
      <c r="H883" s="299">
        <v>2887.2873535185199</v>
      </c>
      <c r="I883" s="300">
        <f t="shared" si="27"/>
        <v>-6.2403612996365819E-3</v>
      </c>
      <c r="J883" s="296"/>
      <c r="K883" s="20"/>
      <c r="L883" s="297"/>
      <c r="M883" s="275"/>
      <c r="N883" s="275"/>
      <c r="O883" s="275"/>
      <c r="P883" s="275"/>
      <c r="Q883" s="275"/>
      <c r="R883" s="275"/>
      <c r="S883" s="275"/>
      <c r="T883" s="275"/>
    </row>
    <row r="884" spans="1:20" ht="15" customHeight="1">
      <c r="A884" s="275"/>
      <c r="B884" s="303">
        <v>45218</v>
      </c>
      <c r="C884" s="304">
        <v>19624.69921875</v>
      </c>
      <c r="D884" s="289">
        <f t="shared" si="26"/>
        <v>-2.3588102112444267E-3</v>
      </c>
      <c r="E884" s="275"/>
      <c r="F884" s="290"/>
      <c r="G884" s="305">
        <v>45218</v>
      </c>
      <c r="H884" s="306">
        <v>2990.4851074189801</v>
      </c>
      <c r="I884" s="293">
        <f t="shared" si="27"/>
        <v>3.5742114055499472E-2</v>
      </c>
      <c r="J884" s="289"/>
      <c r="K884" s="275"/>
      <c r="L884" s="290"/>
      <c r="M884" s="275"/>
      <c r="N884" s="275"/>
      <c r="O884" s="275"/>
      <c r="P884" s="275"/>
      <c r="Q884" s="275"/>
      <c r="R884" s="275"/>
      <c r="S884" s="275"/>
      <c r="T884" s="275"/>
    </row>
    <row r="885" spans="1:20" ht="15" customHeight="1">
      <c r="A885" s="20"/>
      <c r="B885" s="294">
        <v>45219</v>
      </c>
      <c r="C885" s="295">
        <v>19542.650390625</v>
      </c>
      <c r="D885" s="296">
        <f t="shared" si="26"/>
        <v>-4.1808960845936532E-3</v>
      </c>
      <c r="E885" s="20"/>
      <c r="F885" s="297"/>
      <c r="G885" s="298">
        <v>45219</v>
      </c>
      <c r="H885" s="299">
        <v>2940.4887695370398</v>
      </c>
      <c r="I885" s="300">
        <f t="shared" si="27"/>
        <v>-1.6718470778505544E-2</v>
      </c>
      <c r="J885" s="296"/>
      <c r="K885" s="20"/>
      <c r="L885" s="297"/>
      <c r="M885" s="275"/>
      <c r="N885" s="275"/>
      <c r="O885" s="275"/>
      <c r="P885" s="275"/>
      <c r="Q885" s="275"/>
      <c r="R885" s="275"/>
      <c r="S885" s="275"/>
      <c r="T885" s="275"/>
    </row>
    <row r="886" spans="1:20" ht="15" customHeight="1">
      <c r="A886" s="275"/>
      <c r="B886" s="303">
        <v>45222</v>
      </c>
      <c r="C886" s="304">
        <v>19281.75</v>
      </c>
      <c r="D886" s="289">
        <f t="shared" si="26"/>
        <v>-1.3350307425555702E-2</v>
      </c>
      <c r="E886" s="275"/>
      <c r="F886" s="290"/>
      <c r="G886" s="305">
        <v>45222</v>
      </c>
      <c r="H886" s="306">
        <v>2884.2658691435199</v>
      </c>
      <c r="I886" s="293">
        <f t="shared" si="27"/>
        <v>-1.9120256800835133E-2</v>
      </c>
      <c r="J886" s="289"/>
      <c r="K886" s="275"/>
      <c r="L886" s="290"/>
      <c r="M886" s="275"/>
      <c r="N886" s="275"/>
      <c r="O886" s="275"/>
      <c r="P886" s="275"/>
      <c r="Q886" s="275"/>
      <c r="R886" s="275"/>
      <c r="S886" s="275"/>
      <c r="T886" s="275"/>
    </row>
    <row r="887" spans="1:20" ht="15" customHeight="1">
      <c r="A887" s="20"/>
      <c r="B887" s="294">
        <v>45224</v>
      </c>
      <c r="C887" s="295">
        <v>19122.150390625</v>
      </c>
      <c r="D887" s="296">
        <f t="shared" si="26"/>
        <v>-8.2772367329210263E-3</v>
      </c>
      <c r="E887" s="20"/>
      <c r="F887" s="297"/>
      <c r="G887" s="298">
        <v>45224</v>
      </c>
      <c r="H887" s="299">
        <v>2876.0249023379602</v>
      </c>
      <c r="I887" s="300">
        <f t="shared" si="27"/>
        <v>-2.8572146880505547E-3</v>
      </c>
      <c r="J887" s="296"/>
      <c r="K887" s="20"/>
      <c r="L887" s="297"/>
      <c r="M887" s="275"/>
      <c r="N887" s="275"/>
      <c r="O887" s="275"/>
      <c r="P887" s="275"/>
      <c r="Q887" s="275"/>
      <c r="R887" s="275"/>
      <c r="S887" s="275"/>
      <c r="T887" s="275"/>
    </row>
    <row r="888" spans="1:20" ht="15" customHeight="1">
      <c r="A888" s="275"/>
      <c r="B888" s="303">
        <v>45225</v>
      </c>
      <c r="C888" s="304">
        <v>18857.25</v>
      </c>
      <c r="D888" s="289">
        <f t="shared" si="26"/>
        <v>-1.385306491234754E-2</v>
      </c>
      <c r="E888" s="275"/>
      <c r="F888" s="290"/>
      <c r="G888" s="305">
        <v>45225</v>
      </c>
      <c r="H888" s="306">
        <v>2849.5615234375</v>
      </c>
      <c r="I888" s="293">
        <f t="shared" si="27"/>
        <v>-9.201373353529628E-3</v>
      </c>
      <c r="J888" s="289"/>
      <c r="K888" s="275"/>
      <c r="L888" s="290"/>
      <c r="M888" s="275"/>
      <c r="N888" s="275"/>
      <c r="O888" s="275"/>
      <c r="P888" s="275"/>
      <c r="Q888" s="275"/>
      <c r="R888" s="275"/>
      <c r="S888" s="275"/>
      <c r="T888" s="275"/>
    </row>
    <row r="889" spans="1:20" ht="15" customHeight="1">
      <c r="A889" s="20"/>
      <c r="B889" s="294">
        <v>45226</v>
      </c>
      <c r="C889" s="295">
        <v>19047.25</v>
      </c>
      <c r="D889" s="296">
        <f t="shared" si="26"/>
        <v>1.007570032746026E-2</v>
      </c>
      <c r="E889" s="20"/>
      <c r="F889" s="297"/>
      <c r="G889" s="298">
        <v>45226</v>
      </c>
      <c r="H889" s="299">
        <v>2849.7902832060199</v>
      </c>
      <c r="I889" s="300">
        <f t="shared" si="27"/>
        <v>8.0278936474395825E-5</v>
      </c>
      <c r="J889" s="296"/>
      <c r="K889" s="20"/>
      <c r="L889" s="297"/>
      <c r="M889" s="275"/>
      <c r="N889" s="275"/>
      <c r="O889" s="275"/>
      <c r="P889" s="275"/>
      <c r="Q889" s="275"/>
      <c r="R889" s="275"/>
      <c r="S889" s="275"/>
      <c r="T889" s="275"/>
    </row>
    <row r="890" spans="1:20" ht="15" customHeight="1">
      <c r="A890" s="275"/>
      <c r="B890" s="303">
        <v>45229</v>
      </c>
      <c r="C890" s="304">
        <v>19140.900390625</v>
      </c>
      <c r="D890" s="289">
        <f t="shared" si="26"/>
        <v>4.9167407696649118E-3</v>
      </c>
      <c r="E890" s="275"/>
      <c r="F890" s="290"/>
      <c r="G890" s="305">
        <v>45229</v>
      </c>
      <c r="H890" s="306">
        <v>2848.0964355439801</v>
      </c>
      <c r="I890" s="293">
        <f t="shared" si="27"/>
        <v>-5.9437625007769388E-4</v>
      </c>
      <c r="J890" s="289"/>
      <c r="K890" s="275"/>
      <c r="L890" s="290"/>
      <c r="M890" s="275"/>
      <c r="N890" s="275"/>
      <c r="O890" s="275"/>
      <c r="P890" s="275"/>
      <c r="Q890" s="275"/>
      <c r="R890" s="275"/>
      <c r="S890" s="275"/>
      <c r="T890" s="275"/>
    </row>
    <row r="891" spans="1:20" ht="15" customHeight="1">
      <c r="A891" s="20"/>
      <c r="B891" s="294">
        <v>45230</v>
      </c>
      <c r="C891" s="295">
        <v>19079.599609375</v>
      </c>
      <c r="D891" s="296">
        <f t="shared" si="26"/>
        <v>-3.2026069828995319E-3</v>
      </c>
      <c r="E891" s="20"/>
      <c r="F891" s="297"/>
      <c r="G891" s="298">
        <v>45230</v>
      </c>
      <c r="H891" s="299">
        <v>2827.9516601620398</v>
      </c>
      <c r="I891" s="300">
        <f t="shared" si="27"/>
        <v>-7.0730664631068318E-3</v>
      </c>
      <c r="J891" s="296"/>
      <c r="K891" s="20"/>
      <c r="L891" s="297"/>
      <c r="M891" s="275"/>
      <c r="N891" s="275"/>
      <c r="O891" s="275"/>
      <c r="P891" s="275"/>
      <c r="Q891" s="275"/>
      <c r="R891" s="275"/>
      <c r="S891" s="275"/>
      <c r="T891" s="275"/>
    </row>
    <row r="892" spans="1:20" ht="15" customHeight="1">
      <c r="A892" s="275"/>
      <c r="B892" s="303">
        <v>45231</v>
      </c>
      <c r="C892" s="304">
        <v>18989.150390625</v>
      </c>
      <c r="D892" s="289">
        <f t="shared" si="26"/>
        <v>-4.7406245729368791E-3</v>
      </c>
      <c r="E892" s="275"/>
      <c r="F892" s="290"/>
      <c r="G892" s="305">
        <v>45231</v>
      </c>
      <c r="H892" s="306">
        <v>2831.7060546875</v>
      </c>
      <c r="I892" s="293">
        <f t="shared" si="27"/>
        <v>1.327602086821043E-3</v>
      </c>
      <c r="J892" s="289"/>
      <c r="K892" s="275"/>
      <c r="L892" s="290"/>
      <c r="M892" s="275"/>
      <c r="N892" s="275"/>
      <c r="O892" s="275"/>
      <c r="P892" s="275"/>
      <c r="Q892" s="275"/>
      <c r="R892" s="275"/>
      <c r="S892" s="275"/>
      <c r="T892" s="275"/>
    </row>
    <row r="893" spans="1:20" ht="15" customHeight="1">
      <c r="A893" s="20"/>
      <c r="B893" s="294">
        <v>45232</v>
      </c>
      <c r="C893" s="295">
        <v>19133.25</v>
      </c>
      <c r="D893" s="296">
        <f t="shared" si="26"/>
        <v>7.5885232572670764E-3</v>
      </c>
      <c r="E893" s="20"/>
      <c r="F893" s="297"/>
      <c r="G893" s="298">
        <v>45232</v>
      </c>
      <c r="H893" s="299">
        <v>2794.7578125</v>
      </c>
      <c r="I893" s="300">
        <f t="shared" si="27"/>
        <v>-1.3048050000224163E-2</v>
      </c>
      <c r="J893" s="296"/>
      <c r="K893" s="20"/>
      <c r="L893" s="297"/>
      <c r="M893" s="275"/>
      <c r="N893" s="275"/>
      <c r="O893" s="275"/>
      <c r="P893" s="275"/>
      <c r="Q893" s="275"/>
      <c r="R893" s="275"/>
      <c r="S893" s="275"/>
      <c r="T893" s="275"/>
    </row>
    <row r="894" spans="1:20" ht="15" customHeight="1">
      <c r="A894" s="275"/>
      <c r="B894" s="303">
        <v>45233</v>
      </c>
      <c r="C894" s="304">
        <v>19230.599609375</v>
      </c>
      <c r="D894" s="289">
        <f t="shared" si="26"/>
        <v>5.0879808383311777E-3</v>
      </c>
      <c r="E894" s="275"/>
      <c r="F894" s="290"/>
      <c r="G894" s="305">
        <v>45233</v>
      </c>
      <c r="H894" s="306">
        <v>2828.9125976620398</v>
      </c>
      <c r="I894" s="293">
        <f t="shared" si="27"/>
        <v>1.2221017867550855E-2</v>
      </c>
      <c r="J894" s="289"/>
      <c r="K894" s="275"/>
      <c r="L894" s="290"/>
      <c r="M894" s="275"/>
      <c r="N894" s="275"/>
      <c r="O894" s="275"/>
      <c r="P894" s="275"/>
      <c r="Q894" s="275"/>
      <c r="R894" s="275"/>
      <c r="S894" s="275"/>
      <c r="T894" s="275"/>
    </row>
    <row r="895" spans="1:20" ht="15" customHeight="1">
      <c r="A895" s="20"/>
      <c r="B895" s="294">
        <v>45236</v>
      </c>
      <c r="C895" s="295">
        <v>19411.75</v>
      </c>
      <c r="D895" s="296">
        <f t="shared" si="26"/>
        <v>9.4199033989916994E-3</v>
      </c>
      <c r="E895" s="20"/>
      <c r="F895" s="297"/>
      <c r="G895" s="298">
        <v>45236</v>
      </c>
      <c r="H895" s="299">
        <v>2899.8779296875</v>
      </c>
      <c r="I895" s="300">
        <f t="shared" si="27"/>
        <v>2.5085728022883984E-2</v>
      </c>
      <c r="J895" s="296"/>
      <c r="K895" s="20"/>
      <c r="L895" s="297"/>
      <c r="M895" s="275"/>
      <c r="N895" s="275"/>
      <c r="O895" s="275"/>
      <c r="P895" s="275"/>
      <c r="Q895" s="275"/>
      <c r="R895" s="275"/>
      <c r="S895" s="275"/>
      <c r="T895" s="275"/>
    </row>
    <row r="896" spans="1:20" ht="15" customHeight="1">
      <c r="A896" s="275"/>
      <c r="B896" s="303">
        <v>45237</v>
      </c>
      <c r="C896" s="304">
        <v>19406.69921875</v>
      </c>
      <c r="D896" s="289">
        <f t="shared" si="26"/>
        <v>-2.6019195847875644E-4</v>
      </c>
      <c r="E896" s="275"/>
      <c r="F896" s="290"/>
      <c r="G896" s="305">
        <v>45237</v>
      </c>
      <c r="H896" s="306">
        <v>2866.318359375</v>
      </c>
      <c r="I896" s="293">
        <f t="shared" si="27"/>
        <v>-1.1572752759326144E-2</v>
      </c>
      <c r="J896" s="289"/>
      <c r="K896" s="275"/>
      <c r="L896" s="290"/>
      <c r="M896" s="275"/>
      <c r="N896" s="275"/>
      <c r="O896" s="275"/>
      <c r="P896" s="275"/>
      <c r="Q896" s="275"/>
      <c r="R896" s="275"/>
      <c r="S896" s="275"/>
      <c r="T896" s="275"/>
    </row>
    <row r="897" spans="1:20" ht="15" customHeight="1">
      <c r="A897" s="20"/>
      <c r="B897" s="294">
        <v>45238</v>
      </c>
      <c r="C897" s="295">
        <v>19443.5</v>
      </c>
      <c r="D897" s="296">
        <f t="shared" si="26"/>
        <v>1.8962926582818634E-3</v>
      </c>
      <c r="E897" s="20"/>
      <c r="F897" s="297"/>
      <c r="G897" s="298">
        <v>45238</v>
      </c>
      <c r="H897" s="299">
        <v>2868.0129394560199</v>
      </c>
      <c r="I897" s="300">
        <f t="shared" si="27"/>
        <v>5.9120441924302659E-4</v>
      </c>
      <c r="J897" s="296"/>
      <c r="K897" s="20"/>
      <c r="L897" s="297"/>
      <c r="M897" s="275"/>
      <c r="N897" s="275"/>
      <c r="O897" s="275"/>
      <c r="P897" s="275"/>
      <c r="Q897" s="275"/>
      <c r="R897" s="275"/>
      <c r="S897" s="275"/>
      <c r="T897" s="275"/>
    </row>
    <row r="898" spans="1:20" ht="15" customHeight="1">
      <c r="A898" s="275"/>
      <c r="B898" s="303">
        <v>45239</v>
      </c>
      <c r="C898" s="304">
        <v>19395.30078125</v>
      </c>
      <c r="D898" s="289">
        <f t="shared" si="26"/>
        <v>-2.4789373698151053E-3</v>
      </c>
      <c r="E898" s="275"/>
      <c r="F898" s="290"/>
      <c r="G898" s="305">
        <v>45239</v>
      </c>
      <c r="H898" s="306">
        <v>2906.2880859375</v>
      </c>
      <c r="I898" s="293">
        <f t="shared" si="27"/>
        <v>1.334552782343436E-2</v>
      </c>
      <c r="J898" s="289"/>
      <c r="K898" s="275"/>
      <c r="L898" s="290"/>
      <c r="M898" s="275"/>
      <c r="N898" s="275"/>
      <c r="O898" s="275"/>
      <c r="P898" s="275"/>
      <c r="Q898" s="275"/>
      <c r="R898" s="275"/>
      <c r="S898" s="275"/>
      <c r="T898" s="275"/>
    </row>
    <row r="899" spans="1:20" ht="15" customHeight="1">
      <c r="A899" s="20"/>
      <c r="B899" s="294">
        <v>45240</v>
      </c>
      <c r="C899" s="295">
        <v>19425.349609375</v>
      </c>
      <c r="D899" s="296">
        <f t="shared" si="26"/>
        <v>1.5492839458333678E-3</v>
      </c>
      <c r="E899" s="20"/>
      <c r="F899" s="297"/>
      <c r="G899" s="298">
        <v>45240</v>
      </c>
      <c r="H899" s="299">
        <v>2843.3806152314801</v>
      </c>
      <c r="I899" s="300">
        <f t="shared" si="27"/>
        <v>-2.1645297660065746E-2</v>
      </c>
      <c r="J899" s="296"/>
      <c r="K899" s="20"/>
      <c r="L899" s="297"/>
      <c r="M899" s="275"/>
      <c r="N899" s="275"/>
      <c r="O899" s="275"/>
      <c r="P899" s="275"/>
      <c r="Q899" s="275"/>
      <c r="R899" s="275"/>
      <c r="S899" s="275"/>
      <c r="T899" s="275"/>
    </row>
    <row r="900" spans="1:20" ht="15" customHeight="1">
      <c r="A900" s="275"/>
      <c r="B900" s="303">
        <v>45243</v>
      </c>
      <c r="C900" s="304">
        <v>19443.55078125</v>
      </c>
      <c r="D900" s="289">
        <f t="shared" si="26"/>
        <v>9.3698040143461864E-4</v>
      </c>
      <c r="E900" s="275"/>
      <c r="F900" s="290"/>
      <c r="G900" s="305">
        <v>45243</v>
      </c>
      <c r="H900" s="306">
        <v>2855.8337402314801</v>
      </c>
      <c r="I900" s="293">
        <f t="shared" si="27"/>
        <v>4.3796897725513224E-3</v>
      </c>
      <c r="J900" s="289"/>
      <c r="K900" s="275"/>
      <c r="L900" s="290"/>
      <c r="M900" s="275"/>
      <c r="N900" s="275"/>
      <c r="O900" s="275"/>
      <c r="P900" s="275"/>
      <c r="Q900" s="275"/>
      <c r="R900" s="275"/>
      <c r="S900" s="275"/>
      <c r="T900" s="275"/>
    </row>
    <row r="901" spans="1:20" ht="15" customHeight="1">
      <c r="A901" s="20"/>
      <c r="B901" s="294">
        <v>45245</v>
      </c>
      <c r="C901" s="295">
        <v>19675.44921875</v>
      </c>
      <c r="D901" s="296">
        <f t="shared" ref="D901:D964" si="28">(C901-C900)/C900</f>
        <v>1.1926753508604336E-2</v>
      </c>
      <c r="E901" s="20"/>
      <c r="F901" s="297"/>
      <c r="G901" s="298">
        <v>45245</v>
      </c>
      <c r="H901" s="299">
        <v>2909.9050292939801</v>
      </c>
      <c r="I901" s="300">
        <f t="shared" ref="I901:I964" si="29">(H901-H900)/H900</f>
        <v>1.8933626387549172E-2</v>
      </c>
      <c r="J901" s="296"/>
      <c r="K901" s="20"/>
      <c r="L901" s="297"/>
      <c r="M901" s="275"/>
      <c r="N901" s="275"/>
      <c r="O901" s="275"/>
      <c r="P901" s="275"/>
      <c r="Q901" s="275"/>
      <c r="R901" s="275"/>
      <c r="S901" s="275"/>
      <c r="T901" s="275"/>
    </row>
    <row r="902" spans="1:20" ht="15" customHeight="1">
      <c r="A902" s="275"/>
      <c r="B902" s="303">
        <v>45246</v>
      </c>
      <c r="C902" s="304">
        <v>19765.19921875</v>
      </c>
      <c r="D902" s="289">
        <f t="shared" si="28"/>
        <v>4.5615222809993819E-3</v>
      </c>
      <c r="E902" s="275"/>
      <c r="F902" s="290"/>
      <c r="G902" s="305">
        <v>45246</v>
      </c>
      <c r="H902" s="306">
        <v>3003.4877929629602</v>
      </c>
      <c r="I902" s="293">
        <f t="shared" si="29"/>
        <v>3.2160074891408305E-2</v>
      </c>
      <c r="J902" s="289"/>
      <c r="K902" s="275"/>
      <c r="L902" s="290"/>
      <c r="M902" s="275"/>
      <c r="N902" s="275"/>
      <c r="O902" s="275"/>
      <c r="P902" s="275"/>
      <c r="Q902" s="275"/>
      <c r="R902" s="275"/>
      <c r="S902" s="275"/>
      <c r="T902" s="275"/>
    </row>
    <row r="903" spans="1:20" ht="15" customHeight="1">
      <c r="A903" s="20"/>
      <c r="B903" s="294">
        <v>45247</v>
      </c>
      <c r="C903" s="295">
        <v>19731.80078125</v>
      </c>
      <c r="D903" s="296">
        <f t="shared" si="28"/>
        <v>-1.6897597201204532E-3</v>
      </c>
      <c r="E903" s="20"/>
      <c r="F903" s="297"/>
      <c r="G903" s="298">
        <v>45247</v>
      </c>
      <c r="H903" s="299">
        <v>3053.5756835879602</v>
      </c>
      <c r="I903" s="300">
        <f t="shared" si="29"/>
        <v>1.667657539423124E-2</v>
      </c>
      <c r="J903" s="296"/>
      <c r="K903" s="20"/>
      <c r="L903" s="297"/>
      <c r="M903" s="275"/>
      <c r="N903" s="275"/>
      <c r="O903" s="275"/>
      <c r="P903" s="275"/>
      <c r="Q903" s="275"/>
      <c r="R903" s="275"/>
      <c r="S903" s="275"/>
      <c r="T903" s="275"/>
    </row>
    <row r="904" spans="1:20" ht="15" customHeight="1">
      <c r="A904" s="275"/>
      <c r="B904" s="303">
        <v>45250</v>
      </c>
      <c r="C904" s="304">
        <v>19694</v>
      </c>
      <c r="D904" s="289">
        <f t="shared" si="28"/>
        <v>-1.9157289123818803E-3</v>
      </c>
      <c r="E904" s="275"/>
      <c r="F904" s="290"/>
      <c r="G904" s="305">
        <v>45250</v>
      </c>
      <c r="H904" s="306">
        <v>3064.1979980439801</v>
      </c>
      <c r="I904" s="293">
        <f t="shared" si="29"/>
        <v>3.4786478400098708E-3</v>
      </c>
      <c r="J904" s="289"/>
      <c r="K904" s="275"/>
      <c r="L904" s="290"/>
      <c r="M904" s="275"/>
      <c r="N904" s="275"/>
      <c r="O904" s="275"/>
      <c r="P904" s="275"/>
      <c r="Q904" s="275"/>
      <c r="R904" s="275"/>
      <c r="S904" s="275"/>
      <c r="T904" s="275"/>
    </row>
    <row r="905" spans="1:20" ht="15" customHeight="1">
      <c r="A905" s="20"/>
      <c r="B905" s="294">
        <v>45251</v>
      </c>
      <c r="C905" s="295">
        <v>19783.400390625</v>
      </c>
      <c r="D905" s="296">
        <f t="shared" si="28"/>
        <v>4.5394734754239871E-3</v>
      </c>
      <c r="E905" s="20"/>
      <c r="F905" s="297"/>
      <c r="G905" s="298">
        <v>45251</v>
      </c>
      <c r="H905" s="299">
        <v>3091.8051757870398</v>
      </c>
      <c r="I905" s="300">
        <f t="shared" si="29"/>
        <v>9.0095932967395407E-3</v>
      </c>
      <c r="J905" s="296"/>
      <c r="K905" s="20"/>
      <c r="L905" s="297"/>
      <c r="M905" s="275"/>
      <c r="N905" s="275"/>
      <c r="O905" s="275"/>
      <c r="P905" s="275"/>
      <c r="Q905" s="275"/>
      <c r="R905" s="275"/>
      <c r="S905" s="275"/>
      <c r="T905" s="275"/>
    </row>
    <row r="906" spans="1:20" ht="15" customHeight="1">
      <c r="A906" s="275"/>
      <c r="B906" s="303">
        <v>45252</v>
      </c>
      <c r="C906" s="304">
        <v>19811.849609375</v>
      </c>
      <c r="D906" s="289">
        <f t="shared" si="28"/>
        <v>1.438034826585301E-3</v>
      </c>
      <c r="E906" s="275"/>
      <c r="F906" s="290"/>
      <c r="G906" s="305">
        <v>45252</v>
      </c>
      <c r="H906" s="306">
        <v>3125.7775878935199</v>
      </c>
      <c r="I906" s="293">
        <f t="shared" si="29"/>
        <v>1.0987889008185056E-2</v>
      </c>
      <c r="J906" s="289"/>
      <c r="K906" s="275"/>
      <c r="L906" s="290"/>
      <c r="M906" s="275"/>
      <c r="N906" s="275"/>
      <c r="O906" s="275"/>
      <c r="P906" s="275"/>
      <c r="Q906" s="275"/>
      <c r="R906" s="275"/>
      <c r="S906" s="275"/>
      <c r="T906" s="275"/>
    </row>
    <row r="907" spans="1:20" ht="15" customHeight="1">
      <c r="A907" s="20"/>
      <c r="B907" s="294">
        <v>45253</v>
      </c>
      <c r="C907" s="295">
        <v>19802</v>
      </c>
      <c r="D907" s="296">
        <f t="shared" si="28"/>
        <v>-4.9715748752398909E-4</v>
      </c>
      <c r="E907" s="20"/>
      <c r="F907" s="297"/>
      <c r="G907" s="298">
        <v>45253</v>
      </c>
      <c r="H907" s="299">
        <v>3267.1589355439801</v>
      </c>
      <c r="I907" s="300">
        <f t="shared" si="29"/>
        <v>4.5230776558781931E-2</v>
      </c>
      <c r="J907" s="296"/>
      <c r="K907" s="20"/>
      <c r="L907" s="297"/>
      <c r="M907" s="275"/>
      <c r="N907" s="275"/>
      <c r="O907" s="275"/>
      <c r="P907" s="275"/>
      <c r="Q907" s="275"/>
      <c r="R907" s="275"/>
      <c r="S907" s="275"/>
      <c r="T907" s="275"/>
    </row>
    <row r="908" spans="1:20" ht="15" customHeight="1">
      <c r="A908" s="275"/>
      <c r="B908" s="303">
        <v>45254</v>
      </c>
      <c r="C908" s="304">
        <v>19794.69921875</v>
      </c>
      <c r="D908" s="289">
        <f t="shared" si="28"/>
        <v>-3.6868908443591557E-4</v>
      </c>
      <c r="E908" s="275"/>
      <c r="F908" s="290"/>
      <c r="G908" s="305">
        <v>45254</v>
      </c>
      <c r="H908" s="306">
        <v>3249.3947753935199</v>
      </c>
      <c r="I908" s="293">
        <f t="shared" si="29"/>
        <v>-5.4371888545735637E-3</v>
      </c>
      <c r="J908" s="289"/>
      <c r="K908" s="275"/>
      <c r="L908" s="290"/>
      <c r="M908" s="275"/>
      <c r="N908" s="275"/>
      <c r="O908" s="275"/>
      <c r="P908" s="275"/>
      <c r="Q908" s="275"/>
      <c r="R908" s="275"/>
      <c r="S908" s="275"/>
      <c r="T908" s="275"/>
    </row>
    <row r="909" spans="1:20" ht="15" customHeight="1">
      <c r="A909" s="20"/>
      <c r="B909" s="294">
        <v>45258</v>
      </c>
      <c r="C909" s="295">
        <v>19889.69921875</v>
      </c>
      <c r="D909" s="296">
        <f t="shared" si="28"/>
        <v>4.7992646389905125E-3</v>
      </c>
      <c r="E909" s="20"/>
      <c r="F909" s="297"/>
      <c r="G909" s="298">
        <v>45258</v>
      </c>
      <c r="H909" s="299">
        <v>3316.6059570370398</v>
      </c>
      <c r="I909" s="300">
        <f t="shared" si="29"/>
        <v>2.0684215458363402E-2</v>
      </c>
      <c r="J909" s="296"/>
      <c r="K909" s="20"/>
      <c r="L909" s="297"/>
      <c r="M909" s="275"/>
      <c r="N909" s="275"/>
      <c r="O909" s="275"/>
      <c r="P909" s="275"/>
      <c r="Q909" s="275"/>
      <c r="R909" s="275"/>
      <c r="S909" s="275"/>
      <c r="T909" s="275"/>
    </row>
    <row r="910" spans="1:20" ht="15" customHeight="1">
      <c r="A910" s="275"/>
      <c r="B910" s="303">
        <v>45259</v>
      </c>
      <c r="C910" s="304">
        <v>20096.599609375</v>
      </c>
      <c r="D910" s="289">
        <f t="shared" si="28"/>
        <v>1.0402389113554579E-2</v>
      </c>
      <c r="E910" s="275"/>
      <c r="F910" s="290"/>
      <c r="G910" s="305">
        <v>45259</v>
      </c>
      <c r="H910" s="306">
        <v>3430.974609375</v>
      </c>
      <c r="I910" s="293">
        <f t="shared" si="29"/>
        <v>3.4483641957917067E-2</v>
      </c>
      <c r="J910" s="289"/>
      <c r="K910" s="275"/>
      <c r="L910" s="290"/>
      <c r="M910" s="275"/>
      <c r="N910" s="275"/>
      <c r="O910" s="275"/>
      <c r="P910" s="275"/>
      <c r="Q910" s="275"/>
      <c r="R910" s="275"/>
      <c r="S910" s="275"/>
      <c r="T910" s="275"/>
    </row>
    <row r="911" spans="1:20" ht="15" customHeight="1">
      <c r="A911" s="20"/>
      <c r="B911" s="294">
        <v>45260</v>
      </c>
      <c r="C911" s="295">
        <v>20133.150390625</v>
      </c>
      <c r="D911" s="296">
        <f t="shared" si="28"/>
        <v>1.8187545137212753E-3</v>
      </c>
      <c r="E911" s="20"/>
      <c r="F911" s="297"/>
      <c r="G911" s="298">
        <v>45260</v>
      </c>
      <c r="H911" s="299">
        <v>3497.0417480439801</v>
      </c>
      <c r="I911" s="300">
        <f t="shared" si="29"/>
        <v>1.9256084987762451E-2</v>
      </c>
      <c r="J911" s="296"/>
      <c r="K911" s="20"/>
      <c r="L911" s="297"/>
      <c r="M911" s="275"/>
      <c r="N911" s="275"/>
      <c r="O911" s="275"/>
      <c r="P911" s="275"/>
      <c r="Q911" s="275"/>
      <c r="R911" s="275"/>
      <c r="S911" s="275"/>
      <c r="T911" s="275"/>
    </row>
    <row r="912" spans="1:20" ht="15" customHeight="1">
      <c r="A912" s="275"/>
      <c r="B912" s="303">
        <v>45261</v>
      </c>
      <c r="C912" s="304">
        <v>20267.900390625</v>
      </c>
      <c r="D912" s="289">
        <f t="shared" si="28"/>
        <v>6.6929416105065368E-3</v>
      </c>
      <c r="E912" s="275"/>
      <c r="F912" s="290"/>
      <c r="G912" s="305">
        <v>45261</v>
      </c>
      <c r="H912" s="306">
        <v>3442.9702148379602</v>
      </c>
      <c r="I912" s="293">
        <f t="shared" si="29"/>
        <v>-1.5462078265512288E-2</v>
      </c>
      <c r="J912" s="289"/>
      <c r="K912" s="275"/>
      <c r="L912" s="290"/>
      <c r="M912" s="275"/>
      <c r="N912" s="275"/>
      <c r="O912" s="275"/>
      <c r="P912" s="275"/>
      <c r="Q912" s="275"/>
      <c r="R912" s="275"/>
      <c r="S912" s="275"/>
      <c r="T912" s="275"/>
    </row>
    <row r="913" spans="1:20" ht="15" customHeight="1">
      <c r="A913" s="20"/>
      <c r="B913" s="294">
        <v>45264</v>
      </c>
      <c r="C913" s="295">
        <v>20686.80078125</v>
      </c>
      <c r="D913" s="296">
        <f t="shared" si="28"/>
        <v>2.0668169003769332E-2</v>
      </c>
      <c r="E913" s="20"/>
      <c r="F913" s="297"/>
      <c r="G913" s="298">
        <v>45264</v>
      </c>
      <c r="H913" s="299">
        <v>3476.9423828125</v>
      </c>
      <c r="I913" s="300">
        <f t="shared" si="29"/>
        <v>9.8671106209783782E-3</v>
      </c>
      <c r="J913" s="296"/>
      <c r="K913" s="20"/>
      <c r="L913" s="297"/>
      <c r="M913" s="275"/>
      <c r="N913" s="275"/>
      <c r="O913" s="275"/>
      <c r="P913" s="275"/>
      <c r="Q913" s="275"/>
      <c r="R913" s="275"/>
      <c r="S913" s="275"/>
      <c r="T913" s="275"/>
    </row>
    <row r="914" spans="1:20" ht="15" customHeight="1">
      <c r="A914" s="275"/>
      <c r="B914" s="303">
        <v>45265</v>
      </c>
      <c r="C914" s="304">
        <v>20855.099609375</v>
      </c>
      <c r="D914" s="289">
        <f t="shared" si="28"/>
        <v>8.1355657602475619E-3</v>
      </c>
      <c r="E914" s="275"/>
      <c r="F914" s="290"/>
      <c r="G914" s="305">
        <v>45265</v>
      </c>
      <c r="H914" s="306">
        <v>3485.7780761689801</v>
      </c>
      <c r="I914" s="293">
        <f t="shared" si="29"/>
        <v>2.5412251293427768E-3</v>
      </c>
      <c r="J914" s="289"/>
      <c r="K914" s="275"/>
      <c r="L914" s="290"/>
      <c r="M914" s="275"/>
      <c r="N914" s="275"/>
      <c r="O914" s="275"/>
      <c r="P914" s="275"/>
      <c r="Q914" s="275"/>
      <c r="R914" s="275"/>
      <c r="S914" s="275"/>
      <c r="T914" s="275"/>
    </row>
    <row r="915" spans="1:20" ht="15" customHeight="1">
      <c r="A915" s="20"/>
      <c r="B915" s="294">
        <v>45266</v>
      </c>
      <c r="C915" s="295">
        <v>20937.69921875</v>
      </c>
      <c r="D915" s="296">
        <f t="shared" si="28"/>
        <v>3.9606432442005199E-3</v>
      </c>
      <c r="E915" s="20"/>
      <c r="F915" s="297"/>
      <c r="G915" s="298">
        <v>45266</v>
      </c>
      <c r="H915" s="299">
        <v>3443.9318847685199</v>
      </c>
      <c r="I915" s="300">
        <f t="shared" si="29"/>
        <v>-1.2004835214997657E-2</v>
      </c>
      <c r="J915" s="296"/>
      <c r="K915" s="20"/>
      <c r="L915" s="297"/>
      <c r="M915" s="275"/>
      <c r="N915" s="275"/>
      <c r="O915" s="275"/>
      <c r="P915" s="275"/>
      <c r="Q915" s="275"/>
      <c r="R915" s="275"/>
      <c r="S915" s="275"/>
      <c r="T915" s="275"/>
    </row>
    <row r="916" spans="1:20" ht="15" customHeight="1">
      <c r="A916" s="275"/>
      <c r="B916" s="303">
        <v>45267</v>
      </c>
      <c r="C916" s="304">
        <v>20901.150390625</v>
      </c>
      <c r="D916" s="289">
        <f t="shared" si="28"/>
        <v>-1.7455990623969808E-3</v>
      </c>
      <c r="E916" s="275"/>
      <c r="F916" s="290"/>
      <c r="G916" s="305">
        <v>45267</v>
      </c>
      <c r="H916" s="306">
        <v>3454.5534667939801</v>
      </c>
      <c r="I916" s="293">
        <f t="shared" si="29"/>
        <v>3.0841440483873202E-3</v>
      </c>
      <c r="J916" s="289"/>
      <c r="K916" s="275"/>
      <c r="L916" s="290"/>
      <c r="M916" s="275"/>
      <c r="N916" s="275"/>
      <c r="O916" s="275"/>
      <c r="P916" s="275"/>
      <c r="Q916" s="275"/>
      <c r="R916" s="275"/>
      <c r="S916" s="275"/>
      <c r="T916" s="275"/>
    </row>
    <row r="917" spans="1:20" ht="15" customHeight="1">
      <c r="A917" s="20"/>
      <c r="B917" s="294">
        <v>45268</v>
      </c>
      <c r="C917" s="295">
        <v>20969.400390625</v>
      </c>
      <c r="D917" s="296">
        <f t="shared" si="28"/>
        <v>3.2653705047073797E-3</v>
      </c>
      <c r="E917" s="20"/>
      <c r="F917" s="297"/>
      <c r="G917" s="298">
        <v>45268</v>
      </c>
      <c r="H917" s="299">
        <v>3402.4514160185199</v>
      </c>
      <c r="I917" s="300">
        <f t="shared" si="29"/>
        <v>-1.5082137612365222E-2</v>
      </c>
      <c r="J917" s="296"/>
      <c r="K917" s="20"/>
      <c r="L917" s="297"/>
      <c r="M917" s="275"/>
      <c r="N917" s="275"/>
      <c r="O917" s="275"/>
      <c r="P917" s="275"/>
      <c r="Q917" s="275"/>
      <c r="R917" s="275"/>
      <c r="S917" s="275"/>
      <c r="T917" s="275"/>
    </row>
    <row r="918" spans="1:20" ht="15" customHeight="1">
      <c r="A918" s="275"/>
      <c r="B918" s="303">
        <v>45271</v>
      </c>
      <c r="C918" s="304">
        <v>20997.099609375</v>
      </c>
      <c r="D918" s="289">
        <f t="shared" si="28"/>
        <v>1.3209351833628857E-3</v>
      </c>
      <c r="E918" s="275"/>
      <c r="F918" s="290"/>
      <c r="G918" s="305">
        <v>45271</v>
      </c>
      <c r="H918" s="306">
        <v>3392.287109375</v>
      </c>
      <c r="I918" s="293">
        <f t="shared" si="29"/>
        <v>-2.9873480619494013E-3</v>
      </c>
      <c r="J918" s="289"/>
      <c r="K918" s="275"/>
      <c r="L918" s="290"/>
      <c r="M918" s="275"/>
      <c r="N918" s="275"/>
      <c r="O918" s="275"/>
      <c r="P918" s="275"/>
      <c r="Q918" s="275"/>
      <c r="R918" s="275"/>
      <c r="S918" s="275"/>
      <c r="T918" s="275"/>
    </row>
    <row r="919" spans="1:20" ht="15" customHeight="1">
      <c r="A919" s="20"/>
      <c r="B919" s="294">
        <v>45272</v>
      </c>
      <c r="C919" s="295">
        <v>20906.400390625</v>
      </c>
      <c r="D919" s="296">
        <f t="shared" si="28"/>
        <v>-4.3196070141755995E-3</v>
      </c>
      <c r="E919" s="20"/>
      <c r="F919" s="297"/>
      <c r="G919" s="298">
        <v>45272</v>
      </c>
      <c r="H919" s="299">
        <v>3431.2036132870398</v>
      </c>
      <c r="I919" s="300">
        <f t="shared" si="29"/>
        <v>1.1472054887243868E-2</v>
      </c>
      <c r="J919" s="296"/>
      <c r="K919" s="20"/>
      <c r="L919" s="297"/>
      <c r="M919" s="275"/>
      <c r="N919" s="275"/>
      <c r="O919" s="275"/>
      <c r="P919" s="275"/>
      <c r="Q919" s="275"/>
      <c r="R919" s="275"/>
      <c r="S919" s="275"/>
      <c r="T919" s="275"/>
    </row>
    <row r="920" spans="1:20" ht="15" customHeight="1">
      <c r="A920" s="275"/>
      <c r="B920" s="303">
        <v>45273</v>
      </c>
      <c r="C920" s="304">
        <v>20926.349609375</v>
      </c>
      <c r="D920" s="289">
        <f t="shared" si="28"/>
        <v>9.5421585625738684E-4</v>
      </c>
      <c r="E920" s="275"/>
      <c r="F920" s="290"/>
      <c r="G920" s="305">
        <v>45273</v>
      </c>
      <c r="H920" s="306">
        <v>3537.5603027314801</v>
      </c>
      <c r="I920" s="293">
        <f t="shared" si="29"/>
        <v>3.0996904127922671E-2</v>
      </c>
      <c r="J920" s="289"/>
      <c r="K920" s="275"/>
      <c r="L920" s="290"/>
      <c r="M920" s="275"/>
      <c r="N920" s="275"/>
      <c r="O920" s="275"/>
      <c r="P920" s="275"/>
      <c r="Q920" s="275"/>
      <c r="R920" s="275"/>
      <c r="S920" s="275"/>
      <c r="T920" s="275"/>
    </row>
    <row r="921" spans="1:20" ht="15" customHeight="1">
      <c r="A921" s="20"/>
      <c r="B921" s="294">
        <v>45274</v>
      </c>
      <c r="C921" s="295">
        <v>21182.69921875</v>
      </c>
      <c r="D921" s="296">
        <f t="shared" si="28"/>
        <v>1.2250087289956937E-2</v>
      </c>
      <c r="E921" s="20"/>
      <c r="F921" s="297"/>
      <c r="G921" s="298">
        <v>45274</v>
      </c>
      <c r="H921" s="299">
        <v>3556.1943359375</v>
      </c>
      <c r="I921" s="300">
        <f t="shared" si="29"/>
        <v>5.2674814310958605E-3</v>
      </c>
      <c r="J921" s="296"/>
      <c r="K921" s="20"/>
      <c r="L921" s="297"/>
      <c r="M921" s="275"/>
      <c r="N921" s="275"/>
      <c r="O921" s="275"/>
      <c r="P921" s="275"/>
      <c r="Q921" s="275"/>
      <c r="R921" s="275"/>
      <c r="S921" s="275"/>
      <c r="T921" s="275"/>
    </row>
    <row r="922" spans="1:20" ht="15" customHeight="1">
      <c r="A922" s="275"/>
      <c r="B922" s="303">
        <v>45275</v>
      </c>
      <c r="C922" s="304">
        <v>21456.650390625</v>
      </c>
      <c r="D922" s="289">
        <f t="shared" si="28"/>
        <v>1.2932779200891942E-2</v>
      </c>
      <c r="E922" s="275"/>
      <c r="F922" s="290"/>
      <c r="G922" s="305">
        <v>45275</v>
      </c>
      <c r="H922" s="306">
        <v>3568.0070800810199</v>
      </c>
      <c r="I922" s="293">
        <f t="shared" si="29"/>
        <v>3.3217375170262716E-3</v>
      </c>
      <c r="J922" s="289"/>
      <c r="K922" s="275"/>
      <c r="L922" s="290"/>
      <c r="M922" s="275"/>
      <c r="N922" s="275"/>
      <c r="O922" s="275"/>
      <c r="P922" s="275"/>
      <c r="Q922" s="275"/>
      <c r="R922" s="275"/>
      <c r="S922" s="275"/>
      <c r="T922" s="275"/>
    </row>
    <row r="923" spans="1:20" ht="15" customHeight="1">
      <c r="A923" s="20"/>
      <c r="B923" s="294">
        <v>45278</v>
      </c>
      <c r="C923" s="295">
        <v>21418.650390625</v>
      </c>
      <c r="D923" s="296">
        <f t="shared" si="28"/>
        <v>-1.7710126840955215E-3</v>
      </c>
      <c r="E923" s="20"/>
      <c r="F923" s="297"/>
      <c r="G923" s="298">
        <v>45278</v>
      </c>
      <c r="H923" s="299">
        <v>3561.7805175810199</v>
      </c>
      <c r="I923" s="300">
        <f t="shared" si="29"/>
        <v>-1.7451093454272551E-3</v>
      </c>
      <c r="J923" s="296"/>
      <c r="K923" s="20"/>
      <c r="L923" s="297"/>
      <c r="M923" s="275"/>
      <c r="N923" s="275"/>
      <c r="O923" s="275"/>
      <c r="P923" s="275"/>
      <c r="Q923" s="275"/>
      <c r="R923" s="275"/>
      <c r="S923" s="275"/>
      <c r="T923" s="275"/>
    </row>
    <row r="924" spans="1:20" ht="15" customHeight="1">
      <c r="A924" s="275"/>
      <c r="B924" s="303">
        <v>45279</v>
      </c>
      <c r="C924" s="304">
        <v>21453.099609375</v>
      </c>
      <c r="D924" s="289">
        <f t="shared" si="28"/>
        <v>1.6083748565725931E-3</v>
      </c>
      <c r="E924" s="275"/>
      <c r="F924" s="290"/>
      <c r="G924" s="305">
        <v>45279</v>
      </c>
      <c r="H924" s="306">
        <v>3499.60546875</v>
      </c>
      <c r="I924" s="293">
        <f t="shared" si="29"/>
        <v>-1.7456170733744721E-2</v>
      </c>
      <c r="J924" s="289"/>
      <c r="K924" s="275"/>
      <c r="L924" s="290"/>
      <c r="M924" s="275"/>
      <c r="N924" s="275"/>
      <c r="O924" s="275"/>
      <c r="P924" s="275"/>
      <c r="Q924" s="275"/>
      <c r="R924" s="275"/>
      <c r="S924" s="275"/>
      <c r="T924" s="275"/>
    </row>
    <row r="925" spans="1:20" ht="15" customHeight="1">
      <c r="A925" s="20"/>
      <c r="B925" s="294">
        <v>45280</v>
      </c>
      <c r="C925" s="295">
        <v>21150.150390625</v>
      </c>
      <c r="D925" s="296">
        <f t="shared" si="28"/>
        <v>-1.412146609423336E-2</v>
      </c>
      <c r="E925" s="20"/>
      <c r="F925" s="297"/>
      <c r="G925" s="298">
        <v>45280</v>
      </c>
      <c r="H925" s="299">
        <v>3493.7905273379602</v>
      </c>
      <c r="I925" s="300">
        <f t="shared" si="29"/>
        <v>-1.6615991328064882E-3</v>
      </c>
      <c r="J925" s="296"/>
      <c r="K925" s="20"/>
      <c r="L925" s="297"/>
      <c r="M925" s="275"/>
      <c r="N925" s="275"/>
      <c r="O925" s="275"/>
      <c r="P925" s="275"/>
      <c r="Q925" s="275"/>
      <c r="R925" s="275"/>
      <c r="S925" s="275"/>
      <c r="T925" s="275"/>
    </row>
    <row r="926" spans="1:20" ht="15" customHeight="1">
      <c r="A926" s="275"/>
      <c r="B926" s="303">
        <v>45281</v>
      </c>
      <c r="C926" s="304">
        <v>21255.05078125</v>
      </c>
      <c r="D926" s="289">
        <f t="shared" si="28"/>
        <v>4.9597940765233554E-3</v>
      </c>
      <c r="E926" s="275"/>
      <c r="F926" s="290"/>
      <c r="G926" s="305">
        <v>45281</v>
      </c>
      <c r="H926" s="306">
        <v>3525.5190429629602</v>
      </c>
      <c r="I926" s="293">
        <f t="shared" si="29"/>
        <v>9.0814018117952398E-3</v>
      </c>
      <c r="J926" s="289"/>
      <c r="K926" s="275"/>
      <c r="L926" s="290"/>
      <c r="M926" s="275"/>
      <c r="N926" s="275"/>
      <c r="O926" s="275"/>
      <c r="P926" s="275"/>
      <c r="Q926" s="275"/>
      <c r="R926" s="275"/>
      <c r="S926" s="275"/>
      <c r="T926" s="275"/>
    </row>
    <row r="927" spans="1:20" ht="15" customHeight="1">
      <c r="A927" s="20"/>
      <c r="B927" s="294">
        <v>45282</v>
      </c>
      <c r="C927" s="295">
        <v>21349.400390625</v>
      </c>
      <c r="D927" s="296">
        <f t="shared" si="28"/>
        <v>4.4389265566107177E-3</v>
      </c>
      <c r="E927" s="20"/>
      <c r="F927" s="297"/>
      <c r="G927" s="298">
        <v>45282</v>
      </c>
      <c r="H927" s="299">
        <v>3603.8557128935199</v>
      </c>
      <c r="I927" s="300">
        <f t="shared" si="29"/>
        <v>2.2219896978551871E-2</v>
      </c>
      <c r="J927" s="296"/>
      <c r="K927" s="20"/>
      <c r="L927" s="297"/>
      <c r="M927" s="275"/>
      <c r="N927" s="275"/>
      <c r="O927" s="275"/>
      <c r="P927" s="275"/>
      <c r="Q927" s="275"/>
      <c r="R927" s="275"/>
      <c r="S927" s="275"/>
      <c r="T927" s="275"/>
    </row>
    <row r="928" spans="1:20" ht="15" customHeight="1">
      <c r="A928" s="275"/>
      <c r="B928" s="303">
        <v>45286</v>
      </c>
      <c r="C928" s="304">
        <v>21441.349609375</v>
      </c>
      <c r="D928" s="289">
        <f t="shared" si="28"/>
        <v>4.3068759341071223E-3</v>
      </c>
      <c r="E928" s="275"/>
      <c r="F928" s="290"/>
      <c r="G928" s="305">
        <v>45286</v>
      </c>
      <c r="H928" s="306">
        <v>3724.4973144560199</v>
      </c>
      <c r="I928" s="293">
        <f t="shared" si="29"/>
        <v>3.3475702462471058E-2</v>
      </c>
      <c r="J928" s="289"/>
      <c r="K928" s="275"/>
      <c r="L928" s="290"/>
      <c r="M928" s="275"/>
      <c r="N928" s="275"/>
      <c r="O928" s="275"/>
      <c r="P928" s="275"/>
      <c r="Q928" s="275"/>
      <c r="R928" s="275"/>
      <c r="S928" s="275"/>
      <c r="T928" s="275"/>
    </row>
    <row r="929" spans="1:20" ht="15" customHeight="1">
      <c r="A929" s="20"/>
      <c r="B929" s="294">
        <v>45287</v>
      </c>
      <c r="C929" s="295">
        <v>21654.75</v>
      </c>
      <c r="D929" s="296">
        <f t="shared" si="28"/>
        <v>9.9527499207276091E-3</v>
      </c>
      <c r="E929" s="20"/>
      <c r="F929" s="297"/>
      <c r="G929" s="298">
        <v>45287</v>
      </c>
      <c r="H929" s="299">
        <v>3721.6127929629602</v>
      </c>
      <c r="I929" s="300">
        <f t="shared" si="29"/>
        <v>-7.7447270048067217E-4</v>
      </c>
      <c r="J929" s="296"/>
      <c r="K929" s="20"/>
      <c r="L929" s="297"/>
      <c r="M929" s="275"/>
      <c r="N929" s="275"/>
      <c r="O929" s="275"/>
      <c r="P929" s="275"/>
      <c r="Q929" s="275"/>
      <c r="R929" s="275"/>
      <c r="S929" s="275"/>
      <c r="T929" s="275"/>
    </row>
    <row r="930" spans="1:20" ht="15" customHeight="1">
      <c r="A930" s="275"/>
      <c r="B930" s="303">
        <v>45288</v>
      </c>
      <c r="C930" s="304">
        <v>21778.69921875</v>
      </c>
      <c r="D930" s="289">
        <f t="shared" si="28"/>
        <v>5.7238813077962114E-3</v>
      </c>
      <c r="E930" s="275"/>
      <c r="F930" s="290"/>
      <c r="G930" s="305">
        <v>45288</v>
      </c>
      <c r="H930" s="306">
        <v>3821.3767089814801</v>
      </c>
      <c r="I930" s="293">
        <f t="shared" si="29"/>
        <v>2.6806635071536532E-2</v>
      </c>
      <c r="J930" s="289"/>
      <c r="K930" s="275"/>
      <c r="L930" s="290"/>
      <c r="M930" s="275"/>
      <c r="N930" s="275"/>
      <c r="O930" s="275"/>
      <c r="P930" s="275"/>
      <c r="Q930" s="275"/>
      <c r="R930" s="275"/>
      <c r="S930" s="275"/>
      <c r="T930" s="275"/>
    </row>
    <row r="931" spans="1:20" ht="15" customHeight="1">
      <c r="A931" s="20"/>
      <c r="B931" s="294">
        <v>45289</v>
      </c>
      <c r="C931" s="295">
        <v>21731.400390625</v>
      </c>
      <c r="D931" s="296">
        <f t="shared" si="28"/>
        <v>-2.171793074045436E-3</v>
      </c>
      <c r="E931" s="20"/>
      <c r="F931" s="297"/>
      <c r="G931" s="298">
        <v>45289</v>
      </c>
      <c r="H931" s="299">
        <v>3790.5178222685199</v>
      </c>
      <c r="I931" s="300">
        <f t="shared" si="29"/>
        <v>-8.075332285464483E-3</v>
      </c>
      <c r="J931" s="296"/>
      <c r="K931" s="20"/>
      <c r="L931" s="297"/>
      <c r="M931" s="275"/>
      <c r="N931" s="275"/>
      <c r="O931" s="275"/>
      <c r="P931" s="275"/>
      <c r="Q931" s="275"/>
      <c r="R931" s="275"/>
      <c r="S931" s="275"/>
      <c r="T931" s="275"/>
    </row>
    <row r="932" spans="1:20" ht="15" customHeight="1">
      <c r="A932" s="275"/>
      <c r="B932" s="303">
        <v>45292</v>
      </c>
      <c r="C932" s="304">
        <v>21741.900390625</v>
      </c>
      <c r="D932" s="289">
        <f t="shared" si="28"/>
        <v>4.8317180721265139E-4</v>
      </c>
      <c r="E932" s="275"/>
      <c r="F932" s="290"/>
      <c r="G932" s="305">
        <v>45292</v>
      </c>
      <c r="H932" s="306">
        <v>3771.2885742129602</v>
      </c>
      <c r="I932" s="293">
        <f t="shared" si="29"/>
        <v>-5.072987110782556E-3</v>
      </c>
      <c r="J932" s="289"/>
      <c r="K932" s="275"/>
      <c r="L932" s="290"/>
      <c r="M932" s="275"/>
      <c r="N932" s="275"/>
      <c r="O932" s="275"/>
      <c r="P932" s="275"/>
      <c r="Q932" s="275"/>
      <c r="R932" s="275"/>
      <c r="S932" s="275"/>
      <c r="T932" s="275"/>
    </row>
    <row r="933" spans="1:20" ht="15" customHeight="1">
      <c r="A933" s="20"/>
      <c r="B933" s="294">
        <v>45293</v>
      </c>
      <c r="C933" s="295">
        <v>21665.80078125</v>
      </c>
      <c r="D933" s="296">
        <f t="shared" si="28"/>
        <v>-3.5001360510240297E-3</v>
      </c>
      <c r="E933" s="20"/>
      <c r="F933" s="297"/>
      <c r="G933" s="298">
        <v>45293</v>
      </c>
      <c r="H933" s="299">
        <v>3743.4973144560199</v>
      </c>
      <c r="I933" s="300">
        <f t="shared" si="29"/>
        <v>-7.3691681795366362E-3</v>
      </c>
      <c r="J933" s="296"/>
      <c r="K933" s="20"/>
      <c r="L933" s="297"/>
      <c r="M933" s="275"/>
      <c r="N933" s="275"/>
      <c r="O933" s="275"/>
      <c r="P933" s="275"/>
      <c r="Q933" s="275"/>
      <c r="R933" s="275"/>
      <c r="S933" s="275"/>
      <c r="T933" s="275"/>
    </row>
    <row r="934" spans="1:20" ht="15" customHeight="1">
      <c r="A934" s="275"/>
      <c r="B934" s="303">
        <v>45294</v>
      </c>
      <c r="C934" s="304">
        <v>21517.349609375</v>
      </c>
      <c r="D934" s="289">
        <f t="shared" si="28"/>
        <v>-6.8518663756694607E-3</v>
      </c>
      <c r="E934" s="275"/>
      <c r="F934" s="290"/>
      <c r="G934" s="305">
        <v>45294</v>
      </c>
      <c r="H934" s="306">
        <v>3653.4404296875</v>
      </c>
      <c r="I934" s="293">
        <f t="shared" si="29"/>
        <v>-2.4056885100665924E-2</v>
      </c>
      <c r="J934" s="289"/>
      <c r="K934" s="275"/>
      <c r="L934" s="290"/>
      <c r="M934" s="275"/>
      <c r="N934" s="275"/>
      <c r="O934" s="275"/>
      <c r="P934" s="275"/>
      <c r="Q934" s="275"/>
      <c r="R934" s="275"/>
      <c r="S934" s="275"/>
      <c r="T934" s="275"/>
    </row>
    <row r="935" spans="1:20" ht="15" customHeight="1">
      <c r="A935" s="20"/>
      <c r="B935" s="294">
        <v>45295</v>
      </c>
      <c r="C935" s="295">
        <v>21658.599609375</v>
      </c>
      <c r="D935" s="296">
        <f t="shared" si="28"/>
        <v>6.5644701863494422E-3</v>
      </c>
      <c r="E935" s="20"/>
      <c r="F935" s="297"/>
      <c r="G935" s="298">
        <v>45295</v>
      </c>
      <c r="H935" s="299">
        <v>3614.1574707060199</v>
      </c>
      <c r="I935" s="300">
        <f t="shared" si="29"/>
        <v>-1.0752319556730854E-2</v>
      </c>
      <c r="J935" s="296"/>
      <c r="K935" s="20"/>
      <c r="L935" s="297"/>
      <c r="M935" s="275"/>
      <c r="N935" s="275"/>
      <c r="O935" s="275"/>
      <c r="P935" s="275"/>
      <c r="Q935" s="275"/>
      <c r="R935" s="275"/>
      <c r="S935" s="275"/>
      <c r="T935" s="275"/>
    </row>
    <row r="936" spans="1:20" ht="15" customHeight="1">
      <c r="A936" s="275"/>
      <c r="B936" s="303">
        <v>45296</v>
      </c>
      <c r="C936" s="304">
        <v>21710.80078125</v>
      </c>
      <c r="D936" s="289">
        <f t="shared" si="28"/>
        <v>2.4101822286056087E-3</v>
      </c>
      <c r="E936" s="275"/>
      <c r="F936" s="290"/>
      <c r="G936" s="305">
        <v>45296</v>
      </c>
      <c r="H936" s="306">
        <v>3653.8520507870398</v>
      </c>
      <c r="I936" s="293">
        <f t="shared" si="29"/>
        <v>1.0983079847172693E-2</v>
      </c>
      <c r="J936" s="289"/>
      <c r="K936" s="275"/>
      <c r="L936" s="290"/>
      <c r="M936" s="275"/>
      <c r="N936" s="275"/>
      <c r="O936" s="275"/>
      <c r="P936" s="275"/>
      <c r="Q936" s="275"/>
      <c r="R936" s="275"/>
      <c r="S936" s="275"/>
      <c r="T936" s="275"/>
    </row>
    <row r="937" spans="1:20" ht="15" customHeight="1">
      <c r="A937" s="20"/>
      <c r="B937" s="294">
        <v>45299</v>
      </c>
      <c r="C937" s="295">
        <v>21513</v>
      </c>
      <c r="D937" s="296">
        <f t="shared" si="28"/>
        <v>-9.1107086856430358E-3</v>
      </c>
      <c r="E937" s="20"/>
      <c r="F937" s="297"/>
      <c r="G937" s="298">
        <v>45299</v>
      </c>
      <c r="H937" s="299">
        <v>3671.4331054629602</v>
      </c>
      <c r="I937" s="300">
        <f t="shared" si="29"/>
        <v>4.8116493036803043E-3</v>
      </c>
      <c r="J937" s="296"/>
      <c r="K937" s="20"/>
      <c r="L937" s="297"/>
      <c r="M937" s="275"/>
      <c r="N937" s="275"/>
      <c r="O937" s="275"/>
      <c r="P937" s="275"/>
      <c r="Q937" s="275"/>
      <c r="R937" s="275"/>
      <c r="S937" s="275"/>
      <c r="T937" s="275"/>
    </row>
    <row r="938" spans="1:20" ht="15" customHeight="1">
      <c r="A938" s="275"/>
      <c r="B938" s="303">
        <v>45300</v>
      </c>
      <c r="C938" s="304">
        <v>21544.849609375</v>
      </c>
      <c r="D938" s="289">
        <f t="shared" si="28"/>
        <v>1.4804820050667038E-3</v>
      </c>
      <c r="E938" s="275"/>
      <c r="F938" s="290"/>
      <c r="G938" s="305">
        <v>45300</v>
      </c>
      <c r="H938" s="306">
        <v>3765.7487792939801</v>
      </c>
      <c r="I938" s="293">
        <f t="shared" si="29"/>
        <v>2.5689062314844194E-2</v>
      </c>
      <c r="J938" s="289"/>
      <c r="K938" s="275"/>
      <c r="L938" s="290"/>
      <c r="M938" s="275"/>
      <c r="N938" s="275"/>
      <c r="O938" s="275"/>
      <c r="P938" s="275"/>
      <c r="Q938" s="275"/>
      <c r="R938" s="275"/>
      <c r="S938" s="275"/>
      <c r="T938" s="275"/>
    </row>
    <row r="939" spans="1:20" ht="15" customHeight="1">
      <c r="A939" s="20"/>
      <c r="B939" s="294">
        <v>45301</v>
      </c>
      <c r="C939" s="295">
        <v>21618.69921875</v>
      </c>
      <c r="D939" s="296">
        <f t="shared" si="28"/>
        <v>3.4277152411806657E-3</v>
      </c>
      <c r="E939" s="20"/>
      <c r="F939" s="297"/>
      <c r="G939" s="298">
        <v>45301</v>
      </c>
      <c r="H939" s="299">
        <v>3789.1442871064801</v>
      </c>
      <c r="I939" s="300">
        <f t="shared" si="29"/>
        <v>6.2127107206780526E-3</v>
      </c>
      <c r="J939" s="296"/>
      <c r="K939" s="20"/>
      <c r="L939" s="297"/>
      <c r="M939" s="275"/>
      <c r="N939" s="275"/>
      <c r="O939" s="275"/>
      <c r="P939" s="275"/>
      <c r="Q939" s="275"/>
      <c r="R939" s="275"/>
      <c r="S939" s="275"/>
      <c r="T939" s="275"/>
    </row>
    <row r="940" spans="1:20" ht="15" customHeight="1">
      <c r="A940" s="275"/>
      <c r="B940" s="303">
        <v>45302</v>
      </c>
      <c r="C940" s="304">
        <v>21647.19921875</v>
      </c>
      <c r="D940" s="289">
        <f t="shared" si="28"/>
        <v>1.3183031833516521E-3</v>
      </c>
      <c r="E940" s="275"/>
      <c r="F940" s="290"/>
      <c r="G940" s="305">
        <v>45302</v>
      </c>
      <c r="H940" s="306">
        <v>3976.0812988310199</v>
      </c>
      <c r="I940" s="293">
        <f t="shared" si="29"/>
        <v>4.9334888713697234E-2</v>
      </c>
      <c r="J940" s="289"/>
      <c r="K940" s="275"/>
      <c r="L940" s="290"/>
      <c r="M940" s="275"/>
      <c r="N940" s="275"/>
      <c r="O940" s="275"/>
      <c r="P940" s="275"/>
      <c r="Q940" s="275"/>
      <c r="R940" s="275"/>
      <c r="S940" s="275"/>
      <c r="T940" s="275"/>
    </row>
    <row r="941" spans="1:20" ht="15" customHeight="1">
      <c r="A941" s="20"/>
      <c r="B941" s="294">
        <v>45303</v>
      </c>
      <c r="C941" s="295">
        <v>21894.55078125</v>
      </c>
      <c r="D941" s="296">
        <f t="shared" si="28"/>
        <v>1.1426492637705911E-2</v>
      </c>
      <c r="E941" s="20"/>
      <c r="F941" s="297"/>
      <c r="G941" s="298">
        <v>45303</v>
      </c>
      <c r="H941" s="299">
        <v>4013.5786132870398</v>
      </c>
      <c r="I941" s="300">
        <f t="shared" si="29"/>
        <v>9.4307212649409975E-3</v>
      </c>
      <c r="J941" s="296"/>
      <c r="K941" s="20"/>
      <c r="L941" s="297"/>
      <c r="M941" s="275"/>
      <c r="N941" s="275"/>
      <c r="O941" s="275"/>
      <c r="P941" s="275"/>
      <c r="Q941" s="275"/>
      <c r="R941" s="275"/>
      <c r="S941" s="275"/>
      <c r="T941" s="275"/>
    </row>
    <row r="942" spans="1:20" ht="15" customHeight="1">
      <c r="A942" s="275"/>
      <c r="B942" s="303">
        <v>45306</v>
      </c>
      <c r="C942" s="304">
        <v>22097.44921875</v>
      </c>
      <c r="D942" s="289">
        <f t="shared" si="28"/>
        <v>9.2670746948486215E-3</v>
      </c>
      <c r="E942" s="275"/>
      <c r="F942" s="290"/>
      <c r="G942" s="305">
        <v>45306</v>
      </c>
      <c r="H942" s="306">
        <v>4003.7346191435199</v>
      </c>
      <c r="I942" s="293">
        <f t="shared" si="29"/>
        <v>-2.4526725628174228E-3</v>
      </c>
      <c r="J942" s="289"/>
      <c r="K942" s="275"/>
      <c r="L942" s="290"/>
      <c r="M942" s="275"/>
      <c r="N942" s="275"/>
      <c r="O942" s="275"/>
      <c r="P942" s="275"/>
      <c r="Q942" s="275"/>
      <c r="R942" s="275"/>
      <c r="S942" s="275"/>
      <c r="T942" s="275"/>
    </row>
    <row r="943" spans="1:20" ht="15" customHeight="1">
      <c r="A943" s="20"/>
      <c r="B943" s="294">
        <v>45307</v>
      </c>
      <c r="C943" s="295">
        <v>22032.30078125</v>
      </c>
      <c r="D943" s="296">
        <f t="shared" si="28"/>
        <v>-2.9482333845447023E-3</v>
      </c>
      <c r="E943" s="20"/>
      <c r="F943" s="297"/>
      <c r="G943" s="298">
        <v>45307</v>
      </c>
      <c r="H943" s="299">
        <v>4014.9519042939801</v>
      </c>
      <c r="I943" s="300">
        <f t="shared" si="29"/>
        <v>2.8017054619019085E-3</v>
      </c>
      <c r="J943" s="296"/>
      <c r="K943" s="20"/>
      <c r="L943" s="297"/>
      <c r="M943" s="275"/>
      <c r="N943" s="275"/>
      <c r="O943" s="275"/>
      <c r="P943" s="275"/>
      <c r="Q943" s="275"/>
      <c r="R943" s="275"/>
      <c r="S943" s="275"/>
      <c r="T943" s="275"/>
    </row>
    <row r="944" spans="1:20" ht="15" customHeight="1">
      <c r="A944" s="275"/>
      <c r="B944" s="303">
        <v>45308</v>
      </c>
      <c r="C944" s="304">
        <v>21571.94921875</v>
      </c>
      <c r="D944" s="289">
        <f t="shared" si="28"/>
        <v>-2.0894393512082492E-2</v>
      </c>
      <c r="E944" s="275"/>
      <c r="F944" s="290"/>
      <c r="G944" s="305">
        <v>45308</v>
      </c>
      <c r="H944" s="306">
        <v>4002.3159179629602</v>
      </c>
      <c r="I944" s="293">
        <f t="shared" si="29"/>
        <v>-3.1472323037059968E-3</v>
      </c>
      <c r="J944" s="289"/>
      <c r="K944" s="275"/>
      <c r="L944" s="290"/>
      <c r="M944" s="275"/>
      <c r="N944" s="275"/>
      <c r="O944" s="275"/>
      <c r="P944" s="275"/>
      <c r="Q944" s="275"/>
      <c r="R944" s="275"/>
      <c r="S944" s="275"/>
      <c r="T944" s="275"/>
    </row>
    <row r="945" spans="1:20" ht="15" customHeight="1">
      <c r="A945" s="20"/>
      <c r="B945" s="294">
        <v>45309</v>
      </c>
      <c r="C945" s="295">
        <v>21462.25</v>
      </c>
      <c r="D945" s="296">
        <f t="shared" si="28"/>
        <v>-5.0852715087355742E-3</v>
      </c>
      <c r="E945" s="20"/>
      <c r="F945" s="297"/>
      <c r="G945" s="298">
        <v>45309</v>
      </c>
      <c r="H945" s="299">
        <v>4023.5139160185199</v>
      </c>
      <c r="I945" s="300">
        <f t="shared" si="29"/>
        <v>5.296432987815917E-3</v>
      </c>
      <c r="J945" s="296"/>
      <c r="K945" s="20"/>
      <c r="L945" s="297"/>
      <c r="M945" s="275"/>
      <c r="N945" s="275"/>
      <c r="O945" s="275"/>
      <c r="P945" s="275"/>
      <c r="Q945" s="275"/>
      <c r="R945" s="275"/>
      <c r="S945" s="275"/>
      <c r="T945" s="275"/>
    </row>
    <row r="946" spans="1:20" ht="15" customHeight="1">
      <c r="A946" s="275"/>
      <c r="B946" s="303">
        <v>45310</v>
      </c>
      <c r="C946" s="304">
        <v>21622.400390625</v>
      </c>
      <c r="D946" s="289">
        <f t="shared" si="28"/>
        <v>7.4619571864552878E-3</v>
      </c>
      <c r="E946" s="275"/>
      <c r="F946" s="290"/>
      <c r="G946" s="305">
        <v>45310</v>
      </c>
      <c r="H946" s="306">
        <v>4028.7790527314801</v>
      </c>
      <c r="I946" s="293">
        <f t="shared" si="29"/>
        <v>1.3085916497016341E-3</v>
      </c>
      <c r="J946" s="289"/>
      <c r="K946" s="275"/>
      <c r="L946" s="290"/>
      <c r="M946" s="275"/>
      <c r="N946" s="275"/>
      <c r="O946" s="275"/>
      <c r="P946" s="275"/>
      <c r="Q946" s="275"/>
      <c r="R946" s="275"/>
      <c r="S946" s="275"/>
      <c r="T946" s="275"/>
    </row>
    <row r="947" spans="1:20" ht="15" customHeight="1">
      <c r="A947" s="20"/>
      <c r="B947" s="294">
        <v>45314</v>
      </c>
      <c r="C947" s="295">
        <v>21238.80078125</v>
      </c>
      <c r="D947" s="296">
        <f t="shared" si="28"/>
        <v>-1.7740842942734536E-2</v>
      </c>
      <c r="E947" s="20"/>
      <c r="F947" s="297"/>
      <c r="G947" s="298">
        <v>45314</v>
      </c>
      <c r="H947" s="299">
        <v>4069.4812011689801</v>
      </c>
      <c r="I947" s="300">
        <f t="shared" si="29"/>
        <v>1.0102849499752107E-2</v>
      </c>
      <c r="J947" s="296"/>
      <c r="K947" s="20"/>
      <c r="L947" s="297"/>
      <c r="M947" s="275"/>
      <c r="N947" s="275"/>
      <c r="O947" s="275"/>
      <c r="P947" s="275"/>
      <c r="Q947" s="275"/>
      <c r="R947" s="275"/>
      <c r="S947" s="275"/>
      <c r="T947" s="275"/>
    </row>
    <row r="948" spans="1:20" ht="15" customHeight="1">
      <c r="A948" s="275"/>
      <c r="B948" s="303">
        <v>45315</v>
      </c>
      <c r="C948" s="304">
        <v>21453.94921875</v>
      </c>
      <c r="D948" s="289">
        <f t="shared" si="28"/>
        <v>1.0129971071150917E-2</v>
      </c>
      <c r="E948" s="275"/>
      <c r="F948" s="290"/>
      <c r="G948" s="305">
        <v>45315</v>
      </c>
      <c r="H948" s="306">
        <v>4059.8203125</v>
      </c>
      <c r="I948" s="293">
        <f t="shared" si="29"/>
        <v>-2.3739853291876462E-3</v>
      </c>
      <c r="J948" s="289"/>
      <c r="K948" s="275"/>
      <c r="L948" s="290"/>
      <c r="M948" s="275"/>
      <c r="N948" s="275"/>
      <c r="O948" s="275"/>
      <c r="P948" s="275"/>
      <c r="Q948" s="275"/>
      <c r="R948" s="275"/>
      <c r="S948" s="275"/>
      <c r="T948" s="275"/>
    </row>
    <row r="949" spans="1:20" ht="15" customHeight="1">
      <c r="A949" s="20"/>
      <c r="B949" s="294">
        <v>45316</v>
      </c>
      <c r="C949" s="295">
        <v>21352.599609375</v>
      </c>
      <c r="D949" s="296">
        <f t="shared" si="28"/>
        <v>-4.7240537554001476E-3</v>
      </c>
      <c r="E949" s="20"/>
      <c r="F949" s="297"/>
      <c r="G949" s="298">
        <v>45316</v>
      </c>
      <c r="H949" s="299">
        <v>4067.6032714814801</v>
      </c>
      <c r="I949" s="300">
        <f t="shared" si="29"/>
        <v>1.9170698164932831E-3</v>
      </c>
      <c r="J949" s="296"/>
      <c r="K949" s="20"/>
      <c r="L949" s="297"/>
      <c r="M949" s="275"/>
      <c r="N949" s="275"/>
      <c r="O949" s="275"/>
      <c r="P949" s="275"/>
      <c r="Q949" s="275"/>
      <c r="R949" s="275"/>
      <c r="S949" s="275"/>
      <c r="T949" s="275"/>
    </row>
    <row r="950" spans="1:20" ht="15" customHeight="1">
      <c r="A950" s="275"/>
      <c r="B950" s="303">
        <v>45320</v>
      </c>
      <c r="C950" s="304">
        <v>21737.599609375</v>
      </c>
      <c r="D950" s="289">
        <f t="shared" si="28"/>
        <v>1.8030591452244681E-2</v>
      </c>
      <c r="E950" s="275"/>
      <c r="F950" s="290"/>
      <c r="G950" s="305">
        <v>45320</v>
      </c>
      <c r="H950" s="306">
        <v>4206.1923828125</v>
      </c>
      <c r="I950" s="293">
        <f t="shared" si="29"/>
        <v>3.4071442587011135E-2</v>
      </c>
      <c r="J950" s="289"/>
      <c r="K950" s="275"/>
      <c r="L950" s="290"/>
      <c r="M950" s="275"/>
      <c r="N950" s="275"/>
      <c r="O950" s="275"/>
      <c r="P950" s="275"/>
      <c r="Q950" s="275"/>
      <c r="R950" s="275"/>
      <c r="S950" s="275"/>
      <c r="T950" s="275"/>
    </row>
    <row r="951" spans="1:20" ht="15" customHeight="1">
      <c r="A951" s="20"/>
      <c r="B951" s="294">
        <v>45321</v>
      </c>
      <c r="C951" s="295">
        <v>21522.099609375</v>
      </c>
      <c r="D951" s="296">
        <f t="shared" si="28"/>
        <v>-9.9136981024831768E-3</v>
      </c>
      <c r="E951" s="20"/>
      <c r="F951" s="297"/>
      <c r="G951" s="298">
        <v>45321</v>
      </c>
      <c r="H951" s="299">
        <v>4201.4775390625</v>
      </c>
      <c r="I951" s="300">
        <f t="shared" si="29"/>
        <v>-1.1209291732032919E-3</v>
      </c>
      <c r="J951" s="296"/>
      <c r="K951" s="20"/>
      <c r="L951" s="297"/>
      <c r="M951" s="275"/>
      <c r="N951" s="275"/>
      <c r="O951" s="275"/>
      <c r="P951" s="275"/>
      <c r="Q951" s="275"/>
      <c r="R951" s="275"/>
      <c r="S951" s="275"/>
      <c r="T951" s="275"/>
    </row>
    <row r="952" spans="1:20" ht="15" customHeight="1">
      <c r="A952" s="275"/>
      <c r="B952" s="303">
        <v>45322</v>
      </c>
      <c r="C952" s="304">
        <v>21725.69921875</v>
      </c>
      <c r="D952" s="289">
        <f t="shared" si="28"/>
        <v>9.4600254190029057E-3</v>
      </c>
      <c r="E952" s="275"/>
      <c r="F952" s="290"/>
      <c r="G952" s="305">
        <v>45322</v>
      </c>
      <c r="H952" s="306">
        <v>4231.876953125</v>
      </c>
      <c r="I952" s="293">
        <f t="shared" si="29"/>
        <v>7.2354103478756661E-3</v>
      </c>
      <c r="J952" s="289"/>
      <c r="K952" s="275"/>
      <c r="L952" s="290"/>
      <c r="M952" s="275"/>
      <c r="N952" s="275"/>
      <c r="O952" s="275"/>
      <c r="P952" s="275"/>
      <c r="Q952" s="275"/>
      <c r="R952" s="275"/>
      <c r="S952" s="275"/>
      <c r="T952" s="275"/>
    </row>
    <row r="953" spans="1:20" ht="15" customHeight="1">
      <c r="A953" s="20"/>
      <c r="B953" s="294">
        <v>45323</v>
      </c>
      <c r="C953" s="295">
        <v>21697.44921875</v>
      </c>
      <c r="D953" s="296">
        <f t="shared" si="28"/>
        <v>-1.3003033741542051E-3</v>
      </c>
      <c r="E953" s="20"/>
      <c r="F953" s="297"/>
      <c r="G953" s="298">
        <v>45323</v>
      </c>
      <c r="H953" s="299">
        <v>4199.9658203125</v>
      </c>
      <c r="I953" s="300">
        <f t="shared" si="29"/>
        <v>-7.5406570573691763E-3</v>
      </c>
      <c r="J953" s="296"/>
      <c r="K953" s="20"/>
      <c r="L953" s="297"/>
      <c r="M953" s="275"/>
      <c r="N953" s="275"/>
      <c r="O953" s="275"/>
      <c r="P953" s="275"/>
      <c r="Q953" s="275"/>
      <c r="R953" s="275"/>
      <c r="S953" s="275"/>
      <c r="T953" s="275"/>
    </row>
    <row r="954" spans="1:20" ht="15" customHeight="1">
      <c r="A954" s="275"/>
      <c r="B954" s="303">
        <v>45324</v>
      </c>
      <c r="C954" s="304">
        <v>21853.80078125</v>
      </c>
      <c r="D954" s="289">
        <f t="shared" si="28"/>
        <v>7.2059881750933062E-3</v>
      </c>
      <c r="E954" s="275"/>
      <c r="F954" s="290"/>
      <c r="G954" s="305">
        <v>45324</v>
      </c>
      <c r="H954" s="306">
        <v>4319.5537109375</v>
      </c>
      <c r="I954" s="293">
        <f t="shared" si="29"/>
        <v>2.8473539009920328E-2</v>
      </c>
      <c r="J954" s="289"/>
      <c r="K954" s="275"/>
      <c r="L954" s="290"/>
      <c r="M954" s="275"/>
      <c r="N954" s="275"/>
      <c r="O954" s="275"/>
      <c r="P954" s="275"/>
      <c r="Q954" s="275"/>
      <c r="R954" s="275"/>
      <c r="S954" s="275"/>
      <c r="T954" s="275"/>
    </row>
    <row r="955" spans="1:20" ht="15" customHeight="1">
      <c r="A955" s="20"/>
      <c r="B955" s="294">
        <v>45327</v>
      </c>
      <c r="C955" s="295">
        <v>21771.69921875</v>
      </c>
      <c r="D955" s="296">
        <f t="shared" si="28"/>
        <v>-3.7568550808077758E-3</v>
      </c>
      <c r="E955" s="20"/>
      <c r="F955" s="297"/>
      <c r="G955" s="298">
        <v>45327</v>
      </c>
      <c r="H955" s="299">
        <v>4346.4291992129602</v>
      </c>
      <c r="I955" s="300">
        <f t="shared" si="29"/>
        <v>6.2218206032278274E-3</v>
      </c>
      <c r="J955" s="296"/>
      <c r="K955" s="20"/>
      <c r="L955" s="297"/>
      <c r="M955" s="275"/>
      <c r="N955" s="275"/>
      <c r="O955" s="275"/>
      <c r="P955" s="275"/>
      <c r="Q955" s="275"/>
      <c r="R955" s="275"/>
      <c r="S955" s="275"/>
      <c r="T955" s="275"/>
    </row>
    <row r="956" spans="1:20" ht="15" customHeight="1">
      <c r="A956" s="275"/>
      <c r="B956" s="303">
        <v>45328</v>
      </c>
      <c r="C956" s="304">
        <v>21929.400390625</v>
      </c>
      <c r="D956" s="289">
        <f t="shared" si="28"/>
        <v>7.243402101531249E-3</v>
      </c>
      <c r="E956" s="275"/>
      <c r="F956" s="290"/>
      <c r="G956" s="305">
        <v>45328</v>
      </c>
      <c r="H956" s="306">
        <v>4380.1274414120398</v>
      </c>
      <c r="I956" s="293">
        <f t="shared" si="29"/>
        <v>7.7530866498830061E-3</v>
      </c>
      <c r="J956" s="289"/>
      <c r="K956" s="275"/>
      <c r="L956" s="290"/>
      <c r="M956" s="275"/>
      <c r="N956" s="275"/>
      <c r="O956" s="275"/>
      <c r="P956" s="275"/>
      <c r="Q956" s="275"/>
      <c r="R956" s="275"/>
      <c r="S956" s="275"/>
      <c r="T956" s="275"/>
    </row>
    <row r="957" spans="1:20" ht="15" customHeight="1">
      <c r="A957" s="20"/>
      <c r="B957" s="294">
        <v>45329</v>
      </c>
      <c r="C957" s="295">
        <v>21930.5</v>
      </c>
      <c r="D957" s="296">
        <f t="shared" si="28"/>
        <v>5.0143157378351857E-5</v>
      </c>
      <c r="E957" s="20"/>
      <c r="F957" s="297"/>
      <c r="G957" s="298">
        <v>45329</v>
      </c>
      <c r="H957" s="299">
        <v>4389.1918945370398</v>
      </c>
      <c r="I957" s="300">
        <f t="shared" si="29"/>
        <v>2.0694496327435291E-3</v>
      </c>
      <c r="J957" s="296"/>
      <c r="K957" s="20"/>
      <c r="L957" s="297"/>
      <c r="M957" s="275"/>
      <c r="N957" s="275"/>
      <c r="O957" s="275"/>
      <c r="P957" s="275"/>
      <c r="Q957" s="275"/>
      <c r="R957" s="275"/>
      <c r="S957" s="275"/>
      <c r="T957" s="275"/>
    </row>
    <row r="958" spans="1:20" ht="15" customHeight="1">
      <c r="A958" s="275"/>
      <c r="B958" s="303">
        <v>45330</v>
      </c>
      <c r="C958" s="304">
        <v>21717.94921875</v>
      </c>
      <c r="D958" s="289">
        <f t="shared" si="28"/>
        <v>-9.6920171108729851E-3</v>
      </c>
      <c r="E958" s="275"/>
      <c r="F958" s="290"/>
      <c r="G958" s="305">
        <v>45330</v>
      </c>
      <c r="H958" s="306">
        <v>4402.5146484375</v>
      </c>
      <c r="I958" s="293">
        <f t="shared" si="29"/>
        <v>3.0353546212099265E-3</v>
      </c>
      <c r="J958" s="289"/>
      <c r="K958" s="275"/>
      <c r="L958" s="290"/>
      <c r="M958" s="275"/>
      <c r="N958" s="275"/>
      <c r="O958" s="275"/>
      <c r="P958" s="275"/>
      <c r="Q958" s="275"/>
      <c r="R958" s="275"/>
      <c r="S958" s="275"/>
      <c r="T958" s="275"/>
    </row>
    <row r="959" spans="1:20" ht="15" customHeight="1">
      <c r="A959" s="20"/>
      <c r="B959" s="294">
        <v>45331</v>
      </c>
      <c r="C959" s="295">
        <v>21782.5</v>
      </c>
      <c r="D959" s="296">
        <f t="shared" si="28"/>
        <v>2.9722318898448593E-3</v>
      </c>
      <c r="E959" s="20"/>
      <c r="F959" s="297"/>
      <c r="G959" s="298">
        <v>45331</v>
      </c>
      <c r="H959" s="299">
        <v>4494.9536132870398</v>
      </c>
      <c r="I959" s="300">
        <f t="shared" si="29"/>
        <v>2.0996855713438099E-2</v>
      </c>
      <c r="J959" s="296"/>
      <c r="K959" s="20"/>
      <c r="L959" s="297"/>
      <c r="M959" s="275"/>
      <c r="N959" s="275"/>
      <c r="O959" s="275"/>
      <c r="P959" s="275"/>
      <c r="Q959" s="275"/>
      <c r="R959" s="275"/>
      <c r="S959" s="275"/>
      <c r="T959" s="275"/>
    </row>
    <row r="960" spans="1:20" ht="15" customHeight="1">
      <c r="A960" s="275"/>
      <c r="B960" s="303">
        <v>45334</v>
      </c>
      <c r="C960" s="304">
        <v>21616.05078125</v>
      </c>
      <c r="D960" s="289">
        <f t="shared" si="28"/>
        <v>-7.6414194307356824E-3</v>
      </c>
      <c r="E960" s="275"/>
      <c r="F960" s="290"/>
      <c r="G960" s="305">
        <v>45334</v>
      </c>
      <c r="H960" s="306">
        <v>4292.2666015625</v>
      </c>
      <c r="I960" s="293">
        <f t="shared" si="29"/>
        <v>-4.5092125339269123E-2</v>
      </c>
      <c r="J960" s="289"/>
      <c r="K960" s="275"/>
      <c r="L960" s="290"/>
      <c r="M960" s="275"/>
      <c r="N960" s="275"/>
      <c r="O960" s="275"/>
      <c r="P960" s="275"/>
      <c r="Q960" s="275"/>
      <c r="R960" s="275"/>
      <c r="S960" s="275"/>
      <c r="T960" s="275"/>
    </row>
    <row r="961" spans="1:20" ht="15" customHeight="1">
      <c r="A961" s="20"/>
      <c r="B961" s="294">
        <v>45335</v>
      </c>
      <c r="C961" s="295">
        <v>21743.25</v>
      </c>
      <c r="D961" s="296">
        <f t="shared" si="28"/>
        <v>5.8844800115076526E-3</v>
      </c>
      <c r="E961" s="20"/>
      <c r="F961" s="297"/>
      <c r="G961" s="298">
        <v>45335</v>
      </c>
      <c r="H961" s="299">
        <v>4344.7353515625</v>
      </c>
      <c r="I961" s="300">
        <f t="shared" si="29"/>
        <v>1.2224019351663751E-2</v>
      </c>
      <c r="J961" s="296"/>
      <c r="K961" s="20"/>
      <c r="L961" s="297"/>
      <c r="M961" s="275"/>
      <c r="N961" s="275"/>
      <c r="O961" s="275"/>
      <c r="P961" s="275"/>
      <c r="Q961" s="275"/>
      <c r="R961" s="275"/>
      <c r="S961" s="275"/>
      <c r="T961" s="275"/>
    </row>
    <row r="962" spans="1:20" ht="15" customHeight="1">
      <c r="A962" s="275"/>
      <c r="B962" s="303">
        <v>45336</v>
      </c>
      <c r="C962" s="304">
        <v>21840.05078125</v>
      </c>
      <c r="D962" s="289">
        <f t="shared" si="28"/>
        <v>4.4519922849619994E-3</v>
      </c>
      <c r="E962" s="275"/>
      <c r="F962" s="290"/>
      <c r="G962" s="305">
        <v>45336</v>
      </c>
      <c r="H962" s="306">
        <v>4408.146484375</v>
      </c>
      <c r="I962" s="293">
        <f t="shared" si="29"/>
        <v>1.4594935636228202E-2</v>
      </c>
      <c r="J962" s="289"/>
      <c r="K962" s="275"/>
      <c r="L962" s="290"/>
      <c r="M962" s="275"/>
      <c r="N962" s="275"/>
      <c r="O962" s="275"/>
      <c r="P962" s="275"/>
      <c r="Q962" s="275"/>
      <c r="R962" s="275"/>
      <c r="S962" s="275"/>
      <c r="T962" s="275"/>
    </row>
    <row r="963" spans="1:20" ht="15" customHeight="1">
      <c r="A963" s="20"/>
      <c r="B963" s="294">
        <v>45337</v>
      </c>
      <c r="C963" s="295">
        <v>21910.75</v>
      </c>
      <c r="D963" s="296">
        <f t="shared" si="28"/>
        <v>3.2371361888359849E-3</v>
      </c>
      <c r="E963" s="20"/>
      <c r="F963" s="297"/>
      <c r="G963" s="298">
        <v>45337</v>
      </c>
      <c r="H963" s="299">
        <v>4410.8022460879602</v>
      </c>
      <c r="I963" s="300">
        <f t="shared" si="29"/>
        <v>6.0246675612384926E-4</v>
      </c>
      <c r="J963" s="296"/>
      <c r="K963" s="20"/>
      <c r="L963" s="297"/>
      <c r="M963" s="275"/>
      <c r="N963" s="275"/>
      <c r="O963" s="275"/>
      <c r="P963" s="275"/>
      <c r="Q963" s="275"/>
      <c r="R963" s="275"/>
      <c r="S963" s="275"/>
      <c r="T963" s="275"/>
    </row>
    <row r="964" spans="1:20" ht="15" customHeight="1">
      <c r="A964" s="275"/>
      <c r="B964" s="303">
        <v>45338</v>
      </c>
      <c r="C964" s="304">
        <v>22040.69921875</v>
      </c>
      <c r="D964" s="289">
        <f t="shared" si="28"/>
        <v>5.9308430222607626E-3</v>
      </c>
      <c r="E964" s="275"/>
      <c r="F964" s="290"/>
      <c r="G964" s="305">
        <v>45338</v>
      </c>
      <c r="H964" s="306">
        <v>4481.6298828125</v>
      </c>
      <c r="I964" s="293">
        <f t="shared" si="29"/>
        <v>1.6057767447488373E-2</v>
      </c>
      <c r="J964" s="289"/>
      <c r="K964" s="275"/>
      <c r="L964" s="290"/>
      <c r="M964" s="275"/>
      <c r="N964" s="275"/>
      <c r="O964" s="275"/>
      <c r="P964" s="275"/>
      <c r="Q964" s="275"/>
      <c r="R964" s="275"/>
      <c r="S964" s="275"/>
      <c r="T964" s="275"/>
    </row>
    <row r="965" spans="1:20" ht="15" customHeight="1">
      <c r="A965" s="20"/>
      <c r="B965" s="294">
        <v>45341</v>
      </c>
      <c r="C965" s="295">
        <v>22122.25</v>
      </c>
      <c r="D965" s="296">
        <f t="shared" ref="D965:D1028" si="30">(C965-C964)/C964</f>
        <v>3.7000088082788604E-3</v>
      </c>
      <c r="E965" s="20"/>
      <c r="F965" s="297"/>
      <c r="G965" s="298">
        <v>45341</v>
      </c>
      <c r="H965" s="299">
        <v>4443.4458007870398</v>
      </c>
      <c r="I965" s="300">
        <f t="shared" ref="I965:I1028" si="31">(H965-H964)/H964</f>
        <v>-8.5201328587842431E-3</v>
      </c>
      <c r="J965" s="296"/>
      <c r="K965" s="20"/>
      <c r="L965" s="297"/>
      <c r="M965" s="275"/>
      <c r="N965" s="275"/>
      <c r="O965" s="275"/>
      <c r="P965" s="275"/>
      <c r="Q965" s="275"/>
      <c r="R965" s="275"/>
      <c r="S965" s="275"/>
      <c r="T965" s="275"/>
    </row>
    <row r="966" spans="1:20" ht="15" customHeight="1">
      <c r="A966" s="275"/>
      <c r="B966" s="303">
        <v>45342</v>
      </c>
      <c r="C966" s="304">
        <v>22196.94921875</v>
      </c>
      <c r="D966" s="289">
        <f t="shared" si="30"/>
        <v>3.3766555730090748E-3</v>
      </c>
      <c r="E966" s="275"/>
      <c r="F966" s="290"/>
      <c r="G966" s="305">
        <v>45342</v>
      </c>
      <c r="H966" s="306">
        <v>4270.1528320370398</v>
      </c>
      <c r="I966" s="293">
        <f t="shared" si="31"/>
        <v>-3.8999680995164994E-2</v>
      </c>
      <c r="J966" s="289"/>
      <c r="K966" s="275"/>
      <c r="L966" s="290"/>
      <c r="M966" s="275"/>
      <c r="N966" s="275"/>
      <c r="O966" s="275"/>
      <c r="P966" s="275"/>
      <c r="Q966" s="275"/>
      <c r="R966" s="275"/>
      <c r="S966" s="275"/>
      <c r="T966" s="275"/>
    </row>
    <row r="967" spans="1:20" ht="15" customHeight="1">
      <c r="A967" s="20"/>
      <c r="B967" s="294">
        <v>45343</v>
      </c>
      <c r="C967" s="295">
        <v>22055.05078125</v>
      </c>
      <c r="D967" s="296">
        <f t="shared" si="30"/>
        <v>-6.3927000103301077E-3</v>
      </c>
      <c r="E967" s="20"/>
      <c r="F967" s="297"/>
      <c r="G967" s="298">
        <v>45343</v>
      </c>
      <c r="H967" s="299">
        <v>4243.4838867129602</v>
      </c>
      <c r="I967" s="300">
        <f t="shared" si="31"/>
        <v>-6.2454311058832744E-3</v>
      </c>
      <c r="J967" s="296"/>
      <c r="K967" s="20"/>
      <c r="L967" s="297"/>
      <c r="M967" s="275"/>
      <c r="N967" s="275"/>
      <c r="O967" s="275"/>
      <c r="P967" s="275"/>
      <c r="Q967" s="275"/>
      <c r="R967" s="275"/>
      <c r="S967" s="275"/>
      <c r="T967" s="275"/>
    </row>
    <row r="968" spans="1:20" ht="15" customHeight="1">
      <c r="A968" s="275"/>
      <c r="B968" s="303">
        <v>45344</v>
      </c>
      <c r="C968" s="304">
        <v>22217.44921875</v>
      </c>
      <c r="D968" s="289">
        <f t="shared" si="30"/>
        <v>7.3633218581415499E-3</v>
      </c>
      <c r="E968" s="275"/>
      <c r="F968" s="290"/>
      <c r="G968" s="305">
        <v>45344</v>
      </c>
      <c r="H968" s="306">
        <v>4206.3349609375</v>
      </c>
      <c r="I968" s="293">
        <f t="shared" si="31"/>
        <v>-8.7543459023797631E-3</v>
      </c>
      <c r="J968" s="289"/>
      <c r="K968" s="275"/>
      <c r="L968" s="290"/>
      <c r="M968" s="275"/>
      <c r="N968" s="275"/>
      <c r="O968" s="275"/>
      <c r="P968" s="275"/>
      <c r="Q968" s="275"/>
      <c r="R968" s="275"/>
      <c r="S968" s="275"/>
      <c r="T968" s="275"/>
    </row>
    <row r="969" spans="1:20" ht="15" customHeight="1">
      <c r="A969" s="20"/>
      <c r="B969" s="294">
        <v>45345</v>
      </c>
      <c r="C969" s="295">
        <v>22212.69921875</v>
      </c>
      <c r="D969" s="296">
        <f t="shared" si="30"/>
        <v>-2.1379592019012364E-4</v>
      </c>
      <c r="E969" s="20"/>
      <c r="F969" s="297"/>
      <c r="G969" s="298">
        <v>45345</v>
      </c>
      <c r="H969" s="299">
        <v>4228.88671875</v>
      </c>
      <c r="I969" s="300">
        <f t="shared" si="31"/>
        <v>5.3613794483627396E-3</v>
      </c>
      <c r="J969" s="296"/>
      <c r="K969" s="20"/>
      <c r="L969" s="297"/>
      <c r="M969" s="275"/>
      <c r="N969" s="275"/>
      <c r="O969" s="275"/>
      <c r="P969" s="275"/>
      <c r="Q969" s="275"/>
      <c r="R969" s="275"/>
      <c r="S969" s="275"/>
      <c r="T969" s="275"/>
    </row>
    <row r="970" spans="1:20" ht="15" customHeight="1">
      <c r="A970" s="275"/>
      <c r="B970" s="303">
        <v>45348</v>
      </c>
      <c r="C970" s="304">
        <v>22122.05078125</v>
      </c>
      <c r="D970" s="289">
        <f t="shared" si="30"/>
        <v>-4.0809285088361791E-3</v>
      </c>
      <c r="E970" s="275"/>
      <c r="F970" s="290"/>
      <c r="G970" s="305">
        <v>45348</v>
      </c>
      <c r="H970" s="306">
        <v>4207.2236328125</v>
      </c>
      <c r="I970" s="293">
        <f t="shared" si="31"/>
        <v>-5.1226451258319129E-3</v>
      </c>
      <c r="J970" s="289"/>
      <c r="K970" s="275"/>
      <c r="L970" s="290"/>
      <c r="M970" s="275"/>
      <c r="N970" s="275"/>
      <c r="O970" s="275"/>
      <c r="P970" s="275"/>
      <c r="Q970" s="275"/>
      <c r="R970" s="275"/>
      <c r="S970" s="275"/>
      <c r="T970" s="275"/>
    </row>
    <row r="971" spans="1:20" ht="15" customHeight="1">
      <c r="A971" s="20"/>
      <c r="B971" s="294">
        <v>45349</v>
      </c>
      <c r="C971" s="295">
        <v>22198.349609375</v>
      </c>
      <c r="D971" s="296">
        <f t="shared" si="30"/>
        <v>3.4489943486464033E-3</v>
      </c>
      <c r="E971" s="20"/>
      <c r="F971" s="297"/>
      <c r="G971" s="298">
        <v>45349</v>
      </c>
      <c r="H971" s="299">
        <v>4145.4169921875</v>
      </c>
      <c r="I971" s="300">
        <f t="shared" si="31"/>
        <v>-1.469060026735082E-2</v>
      </c>
      <c r="J971" s="296"/>
      <c r="K971" s="20"/>
      <c r="L971" s="297"/>
      <c r="M971" s="275"/>
      <c r="N971" s="275"/>
      <c r="O971" s="275"/>
      <c r="P971" s="275"/>
      <c r="Q971" s="275"/>
      <c r="R971" s="275"/>
      <c r="S971" s="275"/>
      <c r="T971" s="275"/>
    </row>
    <row r="972" spans="1:20" ht="15" customHeight="1">
      <c r="A972" s="275"/>
      <c r="B972" s="303">
        <v>45350</v>
      </c>
      <c r="C972" s="304">
        <v>21951.150390625</v>
      </c>
      <c r="D972" s="289">
        <f t="shared" si="30"/>
        <v>-1.1135927809948569E-2</v>
      </c>
      <c r="E972" s="275"/>
      <c r="F972" s="290"/>
      <c r="G972" s="305">
        <v>45350</v>
      </c>
      <c r="H972" s="306">
        <v>4093.9514160185199</v>
      </c>
      <c r="I972" s="293">
        <f t="shared" si="31"/>
        <v>-1.2415054086470116E-2</v>
      </c>
      <c r="J972" s="289"/>
      <c r="K972" s="275"/>
      <c r="L972" s="290"/>
      <c r="M972" s="275"/>
      <c r="N972" s="275"/>
      <c r="O972" s="275"/>
      <c r="P972" s="275"/>
      <c r="Q972" s="275"/>
      <c r="R972" s="275"/>
      <c r="S972" s="275"/>
      <c r="T972" s="275"/>
    </row>
    <row r="973" spans="1:20" ht="15" customHeight="1">
      <c r="A973" s="20"/>
      <c r="B973" s="294">
        <v>45351</v>
      </c>
      <c r="C973" s="295">
        <v>21982.80078125</v>
      </c>
      <c r="D973" s="296">
        <f t="shared" si="30"/>
        <v>1.4418556686904846E-3</v>
      </c>
      <c r="E973" s="20"/>
      <c r="F973" s="297"/>
      <c r="G973" s="298">
        <v>45351</v>
      </c>
      <c r="H973" s="299">
        <v>4142.095703125</v>
      </c>
      <c r="I973" s="300">
        <f t="shared" si="31"/>
        <v>1.1759857949975801E-2</v>
      </c>
      <c r="J973" s="296"/>
      <c r="K973" s="20"/>
      <c r="L973" s="297"/>
      <c r="M973" s="275"/>
      <c r="N973" s="275"/>
      <c r="O973" s="275"/>
      <c r="P973" s="275"/>
      <c r="Q973" s="275"/>
      <c r="R973" s="275"/>
      <c r="S973" s="275"/>
      <c r="T973" s="275"/>
    </row>
    <row r="974" spans="1:20" ht="15" customHeight="1">
      <c r="A974" s="275"/>
      <c r="B974" s="303">
        <v>45352</v>
      </c>
      <c r="C974" s="304">
        <v>22338.75</v>
      </c>
      <c r="D974" s="289">
        <f t="shared" si="30"/>
        <v>1.6192168700068607E-2</v>
      </c>
      <c r="E974" s="275"/>
      <c r="F974" s="290"/>
      <c r="G974" s="305">
        <v>45352</v>
      </c>
      <c r="H974" s="306">
        <v>4217.5170898379602</v>
      </c>
      <c r="I974" s="293">
        <f t="shared" si="31"/>
        <v>1.8208508957448417E-2</v>
      </c>
      <c r="J974" s="289"/>
      <c r="K974" s="275"/>
      <c r="L974" s="290"/>
      <c r="M974" s="275"/>
      <c r="N974" s="275"/>
      <c r="O974" s="275"/>
      <c r="P974" s="275"/>
      <c r="Q974" s="275"/>
      <c r="R974" s="275"/>
      <c r="S974" s="275"/>
      <c r="T974" s="275"/>
    </row>
    <row r="975" spans="1:20" ht="15" customHeight="1">
      <c r="A975" s="20"/>
      <c r="B975" s="294">
        <v>45355</v>
      </c>
      <c r="C975" s="295">
        <v>22405.599609375</v>
      </c>
      <c r="D975" s="296">
        <f t="shared" si="30"/>
        <v>2.9925402887359411E-3</v>
      </c>
      <c r="E975" s="20"/>
      <c r="F975" s="297"/>
      <c r="G975" s="298">
        <v>45355</v>
      </c>
      <c r="H975" s="299">
        <v>4315.3969726620398</v>
      </c>
      <c r="I975" s="300">
        <f t="shared" si="31"/>
        <v>2.3207939823153223E-2</v>
      </c>
      <c r="J975" s="296"/>
      <c r="K975" s="20"/>
      <c r="L975" s="297"/>
      <c r="M975" s="275"/>
      <c r="N975" s="275"/>
      <c r="O975" s="275"/>
      <c r="P975" s="275"/>
      <c r="Q975" s="275"/>
      <c r="R975" s="275"/>
      <c r="S975" s="275"/>
      <c r="T975" s="275"/>
    </row>
    <row r="976" spans="1:20" ht="15" customHeight="1">
      <c r="A976" s="275"/>
      <c r="B976" s="303">
        <v>45356</v>
      </c>
      <c r="C976" s="304">
        <v>22356.30078125</v>
      </c>
      <c r="D976" s="289">
        <f t="shared" si="30"/>
        <v>-2.2002905070379049E-3</v>
      </c>
      <c r="E976" s="275"/>
      <c r="F976" s="290"/>
      <c r="G976" s="305">
        <v>45356</v>
      </c>
      <c r="H976" s="306">
        <v>4295.0903320370398</v>
      </c>
      <c r="I976" s="293">
        <f t="shared" si="31"/>
        <v>-4.705625172757499E-3</v>
      </c>
      <c r="J976" s="289"/>
      <c r="K976" s="275"/>
      <c r="L976" s="290"/>
      <c r="M976" s="275"/>
      <c r="N976" s="275"/>
      <c r="O976" s="275"/>
      <c r="P976" s="275"/>
      <c r="Q976" s="275"/>
      <c r="R976" s="275"/>
      <c r="S976" s="275"/>
      <c r="T976" s="275"/>
    </row>
    <row r="977" spans="1:20" ht="15" customHeight="1">
      <c r="A977" s="20"/>
      <c r="B977" s="294">
        <v>45357</v>
      </c>
      <c r="C977" s="295">
        <v>22474.05078125</v>
      </c>
      <c r="D977" s="296">
        <f t="shared" si="30"/>
        <v>5.2669715420341689E-3</v>
      </c>
      <c r="E977" s="20"/>
      <c r="F977" s="297"/>
      <c r="G977" s="298">
        <v>45357</v>
      </c>
      <c r="H977" s="299">
        <v>4337.4799804629602</v>
      </c>
      <c r="I977" s="300">
        <f t="shared" si="31"/>
        <v>9.8693264050202408E-3</v>
      </c>
      <c r="J977" s="296"/>
      <c r="K977" s="20"/>
      <c r="L977" s="297"/>
      <c r="M977" s="275"/>
      <c r="N977" s="275"/>
      <c r="O977" s="275"/>
      <c r="P977" s="275"/>
      <c r="Q977" s="275"/>
      <c r="R977" s="275"/>
      <c r="S977" s="275"/>
      <c r="T977" s="275"/>
    </row>
    <row r="978" spans="1:20" ht="15" customHeight="1">
      <c r="A978" s="275"/>
      <c r="B978" s="303">
        <v>45358</v>
      </c>
      <c r="C978" s="304">
        <v>22493.55078125</v>
      </c>
      <c r="D978" s="289">
        <f t="shared" si="30"/>
        <v>8.6766734621195941E-4</v>
      </c>
      <c r="E978" s="275"/>
      <c r="F978" s="290"/>
      <c r="G978" s="305">
        <v>45358</v>
      </c>
      <c r="H978" s="306">
        <v>4353.9487304629602</v>
      </c>
      <c r="I978" s="293">
        <f t="shared" si="31"/>
        <v>3.7968474953611682E-3</v>
      </c>
      <c r="J978" s="289"/>
      <c r="K978" s="275"/>
      <c r="L978" s="290"/>
      <c r="M978" s="275"/>
      <c r="N978" s="275"/>
      <c r="O978" s="275"/>
      <c r="P978" s="275"/>
      <c r="Q978" s="275"/>
      <c r="R978" s="275"/>
      <c r="S978" s="275"/>
      <c r="T978" s="275"/>
    </row>
    <row r="979" spans="1:20" ht="15" customHeight="1">
      <c r="A979" s="20"/>
      <c r="B979" s="294">
        <v>45362</v>
      </c>
      <c r="C979" s="295">
        <v>22332.650390625</v>
      </c>
      <c r="D979" s="296">
        <f t="shared" si="30"/>
        <v>-7.1531788017711326E-3</v>
      </c>
      <c r="E979" s="20"/>
      <c r="F979" s="297"/>
      <c r="G979" s="298">
        <v>45362</v>
      </c>
      <c r="H979" s="299">
        <v>4371.5415039120398</v>
      </c>
      <c r="I979" s="300">
        <f t="shared" si="31"/>
        <v>4.0406478206758828E-3</v>
      </c>
      <c r="J979" s="296"/>
      <c r="K979" s="20"/>
      <c r="L979" s="297"/>
      <c r="M979" s="275"/>
      <c r="N979" s="275"/>
      <c r="O979" s="275"/>
      <c r="P979" s="275"/>
      <c r="Q979" s="275"/>
      <c r="R979" s="275"/>
      <c r="S979" s="275"/>
      <c r="T979" s="275"/>
    </row>
    <row r="980" spans="1:20" ht="15" customHeight="1">
      <c r="A980" s="275"/>
      <c r="B980" s="303">
        <v>45363</v>
      </c>
      <c r="C980" s="304">
        <v>22335.69921875</v>
      </c>
      <c r="D980" s="289">
        <f t="shared" si="30"/>
        <v>1.3651886684617893E-4</v>
      </c>
      <c r="E980" s="275"/>
      <c r="F980" s="290"/>
      <c r="G980" s="305">
        <v>45363</v>
      </c>
      <c r="H980" s="306">
        <v>4359.5639648379602</v>
      </c>
      <c r="I980" s="293">
        <f t="shared" si="31"/>
        <v>-2.7398891359858143E-3</v>
      </c>
      <c r="J980" s="289"/>
      <c r="K980" s="275"/>
      <c r="L980" s="290"/>
      <c r="M980" s="275"/>
      <c r="N980" s="275"/>
      <c r="O980" s="275"/>
      <c r="P980" s="275"/>
      <c r="Q980" s="275"/>
      <c r="R980" s="275"/>
      <c r="S980" s="275"/>
      <c r="T980" s="275"/>
    </row>
    <row r="981" spans="1:20" ht="15" customHeight="1">
      <c r="A981" s="20"/>
      <c r="B981" s="294">
        <v>45364</v>
      </c>
      <c r="C981" s="295">
        <v>21997.69921875</v>
      </c>
      <c r="D981" s="296">
        <f t="shared" si="30"/>
        <v>-1.5132725270416491E-2</v>
      </c>
      <c r="E981" s="20"/>
      <c r="F981" s="297"/>
      <c r="G981" s="298">
        <v>45364</v>
      </c>
      <c r="H981" s="299">
        <v>4222.1953125</v>
      </c>
      <c r="I981" s="300">
        <f t="shared" si="31"/>
        <v>-3.1509722863549264E-2</v>
      </c>
      <c r="J981" s="296"/>
      <c r="K981" s="20"/>
      <c r="L981" s="297"/>
      <c r="M981" s="275"/>
      <c r="N981" s="275"/>
      <c r="O981" s="275"/>
      <c r="P981" s="275"/>
      <c r="Q981" s="275"/>
      <c r="R981" s="275"/>
      <c r="S981" s="275"/>
      <c r="T981" s="275"/>
    </row>
    <row r="982" spans="1:20" ht="15" customHeight="1">
      <c r="A982" s="275"/>
      <c r="B982" s="303">
        <v>45365</v>
      </c>
      <c r="C982" s="304">
        <v>22146.650390625</v>
      </c>
      <c r="D982" s="289">
        <f t="shared" si="30"/>
        <v>6.7712159528047237E-3</v>
      </c>
      <c r="E982" s="275"/>
      <c r="F982" s="290"/>
      <c r="G982" s="305">
        <v>45365</v>
      </c>
      <c r="H982" s="306">
        <v>4374.9096679629602</v>
      </c>
      <c r="I982" s="293">
        <f t="shared" si="31"/>
        <v>3.6169419972316867E-2</v>
      </c>
      <c r="J982" s="289"/>
      <c r="K982" s="275"/>
      <c r="L982" s="290"/>
      <c r="M982" s="275"/>
      <c r="N982" s="275"/>
      <c r="O982" s="275"/>
      <c r="P982" s="275"/>
      <c r="Q982" s="275"/>
      <c r="R982" s="275"/>
      <c r="S982" s="275"/>
      <c r="T982" s="275"/>
    </row>
    <row r="983" spans="1:20" ht="15" customHeight="1">
      <c r="A983" s="20"/>
      <c r="B983" s="294">
        <v>45366</v>
      </c>
      <c r="C983" s="295">
        <v>22023.349609375</v>
      </c>
      <c r="D983" s="296">
        <f t="shared" si="30"/>
        <v>-5.5674686273186943E-3</v>
      </c>
      <c r="E983" s="20"/>
      <c r="F983" s="297"/>
      <c r="G983" s="298">
        <v>45366</v>
      </c>
      <c r="H983" s="299">
        <v>4290.6918945370398</v>
      </c>
      <c r="I983" s="300">
        <f t="shared" si="31"/>
        <v>-1.9250174247628222E-2</v>
      </c>
      <c r="J983" s="296"/>
      <c r="K983" s="20"/>
      <c r="L983" s="297"/>
      <c r="M983" s="275"/>
      <c r="N983" s="275"/>
      <c r="O983" s="275"/>
      <c r="P983" s="275"/>
      <c r="Q983" s="275"/>
      <c r="R983" s="275"/>
      <c r="S983" s="275"/>
      <c r="T983" s="275"/>
    </row>
    <row r="984" spans="1:20" ht="15" customHeight="1">
      <c r="A984" s="275"/>
      <c r="B984" s="303">
        <v>45369</v>
      </c>
      <c r="C984" s="304">
        <v>22055.69921875</v>
      </c>
      <c r="D984" s="289">
        <f t="shared" si="30"/>
        <v>1.4688778023679591E-3</v>
      </c>
      <c r="E984" s="275"/>
      <c r="F984" s="290"/>
      <c r="G984" s="305">
        <v>45369</v>
      </c>
      <c r="H984" s="306">
        <v>4261.5908203125</v>
      </c>
      <c r="I984" s="293">
        <f t="shared" si="31"/>
        <v>-6.782373318762803E-3</v>
      </c>
      <c r="J984" s="289"/>
      <c r="K984" s="275"/>
      <c r="L984" s="290"/>
      <c r="M984" s="275"/>
      <c r="N984" s="275"/>
      <c r="O984" s="275"/>
      <c r="P984" s="275"/>
      <c r="Q984" s="275"/>
      <c r="R984" s="275"/>
      <c r="S984" s="275"/>
      <c r="T984" s="275"/>
    </row>
    <row r="985" spans="1:20" ht="15" customHeight="1">
      <c r="A985" s="20"/>
      <c r="B985" s="294">
        <v>45370</v>
      </c>
      <c r="C985" s="295">
        <v>21817.44921875</v>
      </c>
      <c r="D985" s="296">
        <f t="shared" si="30"/>
        <v>-1.080219664028873E-2</v>
      </c>
      <c r="E985" s="20"/>
      <c r="F985" s="297"/>
      <c r="G985" s="298">
        <v>45370</v>
      </c>
      <c r="H985" s="299">
        <v>4249.9409179629602</v>
      </c>
      <c r="I985" s="300">
        <f t="shared" si="31"/>
        <v>-2.7336980110834672E-3</v>
      </c>
      <c r="J985" s="296"/>
      <c r="K985" s="20"/>
      <c r="L985" s="297"/>
      <c r="M985" s="275"/>
      <c r="N985" s="275"/>
      <c r="O985" s="275"/>
      <c r="P985" s="275"/>
      <c r="Q985" s="275"/>
      <c r="R985" s="275"/>
      <c r="S985" s="275"/>
      <c r="T985" s="275"/>
    </row>
    <row r="986" spans="1:20" ht="15" customHeight="1">
      <c r="A986" s="275"/>
      <c r="B986" s="303">
        <v>45371</v>
      </c>
      <c r="C986" s="304">
        <v>21839.099609375</v>
      </c>
      <c r="D986" s="289">
        <f t="shared" si="30"/>
        <v>9.9234289068006964E-4</v>
      </c>
      <c r="E986" s="275"/>
      <c r="F986" s="290"/>
      <c r="G986" s="305">
        <v>45371</v>
      </c>
      <c r="H986" s="306">
        <v>4220.6513671875</v>
      </c>
      <c r="I986" s="293">
        <f t="shared" si="31"/>
        <v>-6.8917548127937116E-3</v>
      </c>
      <c r="J986" s="289"/>
      <c r="K986" s="275"/>
      <c r="L986" s="290"/>
      <c r="M986" s="275"/>
      <c r="N986" s="275"/>
      <c r="O986" s="275"/>
      <c r="P986" s="275"/>
      <c r="Q986" s="275"/>
      <c r="R986" s="275"/>
      <c r="S986" s="275"/>
      <c r="T986" s="275"/>
    </row>
    <row r="987" spans="1:20" ht="15" customHeight="1">
      <c r="A987" s="20"/>
      <c r="B987" s="294">
        <v>45372</v>
      </c>
      <c r="C987" s="295">
        <v>22011.94921875</v>
      </c>
      <c r="D987" s="296">
        <f t="shared" si="30"/>
        <v>7.9146856998078725E-3</v>
      </c>
      <c r="E987" s="20"/>
      <c r="F987" s="297"/>
      <c r="G987" s="298">
        <v>45372</v>
      </c>
      <c r="H987" s="299">
        <v>4229.4951171875</v>
      </c>
      <c r="I987" s="300">
        <f t="shared" si="31"/>
        <v>2.095351932821018E-3</v>
      </c>
      <c r="J987" s="296"/>
      <c r="K987" s="20"/>
      <c r="L987" s="297"/>
      <c r="M987" s="275"/>
      <c r="N987" s="275"/>
      <c r="O987" s="275"/>
      <c r="P987" s="275"/>
      <c r="Q987" s="275"/>
      <c r="R987" s="275"/>
      <c r="S987" s="275"/>
      <c r="T987" s="275"/>
    </row>
    <row r="988" spans="1:20" ht="15" customHeight="1">
      <c r="A988" s="275"/>
      <c r="B988" s="303">
        <v>45373</v>
      </c>
      <c r="C988" s="304">
        <v>22096.75</v>
      </c>
      <c r="D988" s="289">
        <f t="shared" si="30"/>
        <v>3.8524885010077091E-3</v>
      </c>
      <c r="E988" s="275"/>
      <c r="F988" s="290"/>
      <c r="G988" s="305">
        <v>45373</v>
      </c>
      <c r="H988" s="306">
        <v>4383.0512695370398</v>
      </c>
      <c r="I988" s="293">
        <f t="shared" si="31"/>
        <v>3.6306024264108984E-2</v>
      </c>
      <c r="J988" s="289"/>
      <c r="K988" s="275"/>
      <c r="L988" s="290"/>
      <c r="M988" s="275"/>
      <c r="N988" s="275"/>
      <c r="O988" s="275"/>
      <c r="P988" s="275"/>
      <c r="Q988" s="275"/>
      <c r="R988" s="275"/>
      <c r="S988" s="275"/>
      <c r="T988" s="275"/>
    </row>
    <row r="989" spans="1:20" ht="15" customHeight="1">
      <c r="A989" s="20"/>
      <c r="B989" s="294">
        <v>45377</v>
      </c>
      <c r="C989" s="295">
        <v>22004.69921875</v>
      </c>
      <c r="D989" s="296">
        <f t="shared" si="30"/>
        <v>-4.1658063402989125E-3</v>
      </c>
      <c r="E989" s="20"/>
      <c r="F989" s="297"/>
      <c r="G989" s="298">
        <v>45377</v>
      </c>
      <c r="H989" s="299">
        <v>4371.0268554629602</v>
      </c>
      <c r="I989" s="300">
        <f t="shared" si="31"/>
        <v>-2.7433888710477637E-3</v>
      </c>
      <c r="J989" s="296"/>
      <c r="K989" s="20"/>
      <c r="L989" s="297"/>
      <c r="M989" s="275"/>
      <c r="N989" s="275"/>
      <c r="O989" s="275"/>
      <c r="P989" s="275"/>
      <c r="Q989" s="275"/>
      <c r="R989" s="275"/>
      <c r="S989" s="275"/>
      <c r="T989" s="275"/>
    </row>
    <row r="990" spans="1:20" ht="15" customHeight="1">
      <c r="A990" s="275"/>
      <c r="B990" s="303">
        <v>45378</v>
      </c>
      <c r="C990" s="304">
        <v>22123.650390625</v>
      </c>
      <c r="D990" s="289">
        <f t="shared" si="30"/>
        <v>5.40571678315161E-3</v>
      </c>
      <c r="E990" s="275"/>
      <c r="F990" s="290"/>
      <c r="G990" s="305">
        <v>45378</v>
      </c>
      <c r="H990" s="306">
        <v>4278.7622070370398</v>
      </c>
      <c r="I990" s="293">
        <f t="shared" si="31"/>
        <v>-2.1108231881624539E-2</v>
      </c>
      <c r="J990" s="289"/>
      <c r="K990" s="275"/>
      <c r="L990" s="290"/>
      <c r="M990" s="275"/>
      <c r="N990" s="275"/>
      <c r="O990" s="275"/>
      <c r="P990" s="275"/>
      <c r="Q990" s="275"/>
      <c r="R990" s="275"/>
      <c r="S990" s="275"/>
      <c r="T990" s="275"/>
    </row>
    <row r="991" spans="1:20" ht="15" customHeight="1">
      <c r="A991" s="20"/>
      <c r="B991" s="294">
        <v>45379</v>
      </c>
      <c r="C991" s="295">
        <v>22326.900390625</v>
      </c>
      <c r="D991" s="296">
        <f t="shared" si="30"/>
        <v>9.1870010785438973E-3</v>
      </c>
      <c r="E991" s="20"/>
      <c r="F991" s="297"/>
      <c r="G991" s="298">
        <v>45379</v>
      </c>
      <c r="H991" s="299">
        <v>4418.8901367129602</v>
      </c>
      <c r="I991" s="300">
        <f t="shared" si="31"/>
        <v>3.2749641811236851E-2</v>
      </c>
      <c r="J991" s="296"/>
      <c r="K991" s="20"/>
      <c r="L991" s="297"/>
      <c r="M991" s="275"/>
      <c r="N991" s="275"/>
      <c r="O991" s="275"/>
      <c r="P991" s="275"/>
      <c r="Q991" s="275"/>
      <c r="R991" s="275"/>
      <c r="S991" s="275"/>
      <c r="T991" s="275"/>
    </row>
    <row r="992" spans="1:20" ht="15" customHeight="1">
      <c r="A992" s="275"/>
      <c r="B992" s="303">
        <v>45383</v>
      </c>
      <c r="C992" s="304">
        <v>22462</v>
      </c>
      <c r="D992" s="289">
        <f t="shared" si="30"/>
        <v>6.0509791780917303E-3</v>
      </c>
      <c r="E992" s="275"/>
      <c r="F992" s="290"/>
      <c r="G992" s="305">
        <v>45383</v>
      </c>
      <c r="H992" s="306">
        <v>4380.009765625</v>
      </c>
      <c r="I992" s="293">
        <f t="shared" si="31"/>
        <v>-8.7986733965017168E-3</v>
      </c>
      <c r="J992" s="289"/>
      <c r="K992" s="275"/>
      <c r="L992" s="290"/>
      <c r="M992" s="275"/>
      <c r="N992" s="275"/>
      <c r="O992" s="275"/>
      <c r="P992" s="275"/>
      <c r="Q992" s="275"/>
      <c r="R992" s="275"/>
      <c r="S992" s="275"/>
      <c r="T992" s="275"/>
    </row>
    <row r="993" spans="1:20" ht="15" customHeight="1">
      <c r="A993" s="20"/>
      <c r="B993" s="294">
        <v>45384</v>
      </c>
      <c r="C993" s="295">
        <v>22453.30078125</v>
      </c>
      <c r="D993" s="296">
        <f t="shared" si="30"/>
        <v>-3.872860275131333E-4</v>
      </c>
      <c r="E993" s="20"/>
      <c r="F993" s="297"/>
      <c r="G993" s="298">
        <v>45384</v>
      </c>
      <c r="H993" s="299">
        <v>4267.7670898379602</v>
      </c>
      <c r="I993" s="300">
        <f t="shared" si="31"/>
        <v>-2.5626124550666044E-2</v>
      </c>
      <c r="J993" s="296"/>
      <c r="K993" s="20"/>
      <c r="L993" s="297"/>
      <c r="M993" s="275"/>
      <c r="N993" s="275"/>
      <c r="O993" s="275"/>
      <c r="P993" s="275"/>
      <c r="Q993" s="275"/>
      <c r="R993" s="275"/>
      <c r="S993" s="275"/>
      <c r="T993" s="275"/>
    </row>
    <row r="994" spans="1:20" ht="15" customHeight="1">
      <c r="A994" s="275"/>
      <c r="B994" s="303">
        <v>45385</v>
      </c>
      <c r="C994" s="304">
        <v>22434.650390625</v>
      </c>
      <c r="D994" s="289">
        <f t="shared" si="30"/>
        <v>-8.3063024036868183E-4</v>
      </c>
      <c r="E994" s="275"/>
      <c r="F994" s="290"/>
      <c r="G994" s="305">
        <v>45385</v>
      </c>
      <c r="H994" s="306">
        <v>4264.3989257870398</v>
      </c>
      <c r="I994" s="293">
        <f t="shared" si="31"/>
        <v>-7.8920990298188862E-4</v>
      </c>
      <c r="J994" s="289"/>
      <c r="K994" s="275"/>
      <c r="L994" s="290"/>
      <c r="M994" s="275"/>
      <c r="N994" s="275"/>
      <c r="O994" s="275"/>
      <c r="P994" s="275"/>
      <c r="Q994" s="275"/>
      <c r="R994" s="275"/>
      <c r="S994" s="275"/>
      <c r="T994" s="275"/>
    </row>
    <row r="995" spans="1:20" ht="15" customHeight="1">
      <c r="A995" s="20"/>
      <c r="B995" s="294">
        <v>45386</v>
      </c>
      <c r="C995" s="295">
        <v>22514.650390625</v>
      </c>
      <c r="D995" s="296">
        <f t="shared" si="30"/>
        <v>3.5659124883635554E-3</v>
      </c>
      <c r="E995" s="20"/>
      <c r="F995" s="297"/>
      <c r="G995" s="298">
        <v>45386</v>
      </c>
      <c r="H995" s="299">
        <v>4232.3491210879602</v>
      </c>
      <c r="I995" s="300">
        <f t="shared" si="31"/>
        <v>-7.5156675669513159E-3</v>
      </c>
      <c r="J995" s="296"/>
      <c r="K995" s="20"/>
      <c r="L995" s="297"/>
      <c r="M995" s="275"/>
      <c r="N995" s="275"/>
      <c r="O995" s="275"/>
      <c r="P995" s="275"/>
      <c r="Q995" s="275"/>
      <c r="R995" s="275"/>
      <c r="S995" s="275"/>
      <c r="T995" s="275"/>
    </row>
    <row r="996" spans="1:20" ht="15" customHeight="1">
      <c r="A996" s="275"/>
      <c r="B996" s="303">
        <v>45387</v>
      </c>
      <c r="C996" s="304">
        <v>22513.69921875</v>
      </c>
      <c r="D996" s="289">
        <f t="shared" si="30"/>
        <v>-4.2246797462867275E-5</v>
      </c>
      <c r="E996" s="275"/>
      <c r="F996" s="290"/>
      <c r="G996" s="305">
        <v>45387</v>
      </c>
      <c r="H996" s="306">
        <v>4234.1733398379602</v>
      </c>
      <c r="I996" s="293">
        <f t="shared" si="31"/>
        <v>4.3101802280693459E-4</v>
      </c>
      <c r="J996" s="289"/>
      <c r="K996" s="275"/>
      <c r="L996" s="290"/>
      <c r="M996" s="275"/>
      <c r="N996" s="275"/>
      <c r="O996" s="275"/>
      <c r="P996" s="275"/>
      <c r="Q996" s="275"/>
      <c r="R996" s="275"/>
      <c r="S996" s="275"/>
      <c r="T996" s="275"/>
    </row>
    <row r="997" spans="1:20" ht="15" customHeight="1">
      <c r="A997" s="20"/>
      <c r="B997" s="294">
        <v>45390</v>
      </c>
      <c r="C997" s="295">
        <v>22666.30078125</v>
      </c>
      <c r="D997" s="296">
        <f t="shared" si="30"/>
        <v>6.7781647528145621E-3</v>
      </c>
      <c r="E997" s="20"/>
      <c r="F997" s="297"/>
      <c r="G997" s="298">
        <v>45390</v>
      </c>
      <c r="H997" s="299">
        <v>4299.8627929629602</v>
      </c>
      <c r="I997" s="300">
        <f t="shared" si="31"/>
        <v>1.5514115236367226E-2</v>
      </c>
      <c r="J997" s="296"/>
      <c r="K997" s="20"/>
      <c r="L997" s="297"/>
      <c r="M997" s="275"/>
      <c r="N997" s="275"/>
      <c r="O997" s="275"/>
      <c r="P997" s="275"/>
      <c r="Q997" s="275"/>
      <c r="R997" s="275"/>
      <c r="S997" s="275"/>
      <c r="T997" s="275"/>
    </row>
    <row r="998" spans="1:20" ht="15" customHeight="1">
      <c r="A998" s="275"/>
      <c r="B998" s="303">
        <v>45391</v>
      </c>
      <c r="C998" s="304">
        <v>22642.75</v>
      </c>
      <c r="D998" s="289">
        <f t="shared" si="30"/>
        <v>-1.0390218270412109E-3</v>
      </c>
      <c r="E998" s="275"/>
      <c r="F998" s="290"/>
      <c r="G998" s="305">
        <v>45391</v>
      </c>
      <c r="H998" s="306">
        <v>4231.1791992129602</v>
      </c>
      <c r="I998" s="293">
        <f t="shared" si="31"/>
        <v>-1.5973438469340399E-2</v>
      </c>
      <c r="J998" s="289"/>
      <c r="K998" s="275"/>
      <c r="L998" s="290"/>
      <c r="M998" s="275"/>
      <c r="N998" s="275"/>
      <c r="O998" s="275"/>
      <c r="P998" s="275"/>
      <c r="Q998" s="275"/>
      <c r="R998" s="275"/>
      <c r="S998" s="275"/>
      <c r="T998" s="275"/>
    </row>
    <row r="999" spans="1:20" ht="15" customHeight="1">
      <c r="A999" s="20"/>
      <c r="B999" s="294">
        <v>45392</v>
      </c>
      <c r="C999" s="295">
        <v>22753.80078125</v>
      </c>
      <c r="D999" s="296">
        <f t="shared" si="30"/>
        <v>4.9044741142308243E-3</v>
      </c>
      <c r="E999" s="20"/>
      <c r="F999" s="297"/>
      <c r="G999" s="298">
        <v>45392</v>
      </c>
      <c r="H999" s="299">
        <v>4206.1005859375</v>
      </c>
      <c r="I999" s="300">
        <f t="shared" si="31"/>
        <v>-5.9270978832863001E-3</v>
      </c>
      <c r="J999" s="296"/>
      <c r="K999" s="20"/>
      <c r="L999" s="297"/>
      <c r="M999" s="275"/>
      <c r="N999" s="275"/>
      <c r="O999" s="275"/>
      <c r="P999" s="275"/>
      <c r="Q999" s="275"/>
      <c r="R999" s="275"/>
      <c r="S999" s="275"/>
      <c r="T999" s="275"/>
    </row>
    <row r="1000" spans="1:20" ht="15" customHeight="1">
      <c r="A1000" s="275"/>
      <c r="B1000" s="303">
        <v>45394</v>
      </c>
      <c r="C1000" s="304">
        <v>22519.400390625</v>
      </c>
      <c r="D1000" s="289">
        <f t="shared" si="30"/>
        <v>-1.0301592814249954E-2</v>
      </c>
      <c r="E1000" s="275"/>
      <c r="F1000" s="290"/>
      <c r="G1000" s="305">
        <v>45394</v>
      </c>
      <c r="H1000" s="306">
        <v>4155.4765625</v>
      </c>
      <c r="I1000" s="293">
        <f t="shared" si="31"/>
        <v>-1.2035856585730316E-2</v>
      </c>
      <c r="J1000" s="289"/>
      <c r="K1000" s="275"/>
      <c r="L1000" s="290"/>
      <c r="M1000" s="275"/>
      <c r="N1000" s="275"/>
      <c r="O1000" s="275"/>
      <c r="P1000" s="275"/>
      <c r="Q1000" s="275"/>
      <c r="R1000" s="275"/>
      <c r="S1000" s="275"/>
      <c r="T1000" s="275"/>
    </row>
    <row r="1001" spans="1:20" ht="15" customHeight="1">
      <c r="A1001" s="20"/>
      <c r="B1001" s="294">
        <v>45397</v>
      </c>
      <c r="C1001" s="295">
        <v>22272.5</v>
      </c>
      <c r="D1001" s="296">
        <f t="shared" si="30"/>
        <v>-1.0963897188301094E-2</v>
      </c>
      <c r="E1001" s="20"/>
      <c r="F1001" s="297"/>
      <c r="G1001" s="298">
        <v>45397</v>
      </c>
      <c r="H1001" s="299">
        <v>4099.7060546875</v>
      </c>
      <c r="I1001" s="300">
        <f t="shared" si="31"/>
        <v>-1.3420965555620314E-2</v>
      </c>
      <c r="J1001" s="296"/>
      <c r="K1001" s="20"/>
      <c r="L1001" s="297"/>
      <c r="M1001" s="275"/>
      <c r="N1001" s="275"/>
      <c r="O1001" s="275"/>
      <c r="P1001" s="275"/>
      <c r="Q1001" s="275"/>
      <c r="R1001" s="275"/>
      <c r="S1001" s="275"/>
      <c r="T1001" s="275"/>
    </row>
    <row r="1002" spans="1:20" ht="15" customHeight="1">
      <c r="A1002" s="275"/>
      <c r="B1002" s="303">
        <v>45398</v>
      </c>
      <c r="C1002" s="304">
        <v>22147.900390625</v>
      </c>
      <c r="D1002" s="289">
        <f t="shared" si="30"/>
        <v>-5.5943252609720511E-3</v>
      </c>
      <c r="E1002" s="275"/>
      <c r="F1002" s="290"/>
      <c r="G1002" s="305">
        <v>45398</v>
      </c>
      <c r="H1002" s="306">
        <v>4045.1518554629602</v>
      </c>
      <c r="I1002" s="293">
        <f t="shared" si="31"/>
        <v>-1.3306856271357298E-2</v>
      </c>
      <c r="J1002" s="289"/>
      <c r="K1002" s="275"/>
      <c r="L1002" s="290"/>
      <c r="M1002" s="275"/>
      <c r="N1002" s="275"/>
      <c r="O1002" s="275"/>
      <c r="P1002" s="275"/>
      <c r="Q1002" s="275"/>
      <c r="R1002" s="275"/>
      <c r="S1002" s="275"/>
      <c r="T1002" s="275"/>
    </row>
    <row r="1003" spans="1:20" ht="15" customHeight="1">
      <c r="A1003" s="20"/>
      <c r="B1003" s="294">
        <v>45400</v>
      </c>
      <c r="C1003" s="295">
        <v>21995.849609375</v>
      </c>
      <c r="D1003" s="296">
        <f t="shared" si="30"/>
        <v>-6.8652458503182393E-3</v>
      </c>
      <c r="E1003" s="20"/>
      <c r="F1003" s="297"/>
      <c r="G1003" s="298">
        <v>45400</v>
      </c>
      <c r="H1003" s="299">
        <v>3978.1518554629602</v>
      </c>
      <c r="I1003" s="300">
        <f t="shared" si="31"/>
        <v>-1.656303703642591E-2</v>
      </c>
      <c r="J1003" s="296"/>
      <c r="K1003" s="20"/>
      <c r="L1003" s="297"/>
      <c r="M1003" s="275"/>
      <c r="N1003" s="275"/>
      <c r="O1003" s="275"/>
      <c r="P1003" s="275"/>
      <c r="Q1003" s="275"/>
      <c r="R1003" s="275"/>
      <c r="S1003" s="275"/>
      <c r="T1003" s="275"/>
    </row>
    <row r="1004" spans="1:20" ht="15" customHeight="1">
      <c r="A1004" s="275"/>
      <c r="B1004" s="303">
        <v>45401</v>
      </c>
      <c r="C1004" s="304">
        <v>22147</v>
      </c>
      <c r="D1004" s="289">
        <f t="shared" si="30"/>
        <v>6.8717686886064708E-3</v>
      </c>
      <c r="E1004" s="275"/>
      <c r="F1004" s="290"/>
      <c r="G1004" s="305">
        <v>45401</v>
      </c>
      <c r="H1004" s="306">
        <v>3942.9680175810199</v>
      </c>
      <c r="I1004" s="293">
        <f t="shared" si="31"/>
        <v>-8.8442671773890074E-3</v>
      </c>
      <c r="J1004" s="289"/>
      <c r="K1004" s="275"/>
      <c r="L1004" s="290"/>
      <c r="M1004" s="275"/>
      <c r="N1004" s="275"/>
      <c r="O1004" s="275"/>
      <c r="P1004" s="275"/>
      <c r="Q1004" s="275"/>
      <c r="R1004" s="275"/>
      <c r="S1004" s="275"/>
      <c r="T1004" s="275"/>
    </row>
    <row r="1005" spans="1:20" ht="15" customHeight="1">
      <c r="A1005" s="20"/>
      <c r="B1005" s="294">
        <v>45404</v>
      </c>
      <c r="C1005" s="295">
        <v>22336.400390625</v>
      </c>
      <c r="D1005" s="296">
        <f t="shared" si="30"/>
        <v>8.5519659829773782E-3</v>
      </c>
      <c r="E1005" s="20"/>
      <c r="F1005" s="297"/>
      <c r="G1005" s="298">
        <v>45404</v>
      </c>
      <c r="H1005" s="299">
        <v>4034.8583984375</v>
      </c>
      <c r="I1005" s="300">
        <f t="shared" si="31"/>
        <v>2.330487603418455E-2</v>
      </c>
      <c r="J1005" s="296"/>
      <c r="K1005" s="20"/>
      <c r="L1005" s="297"/>
      <c r="M1005" s="275"/>
      <c r="N1005" s="275"/>
      <c r="O1005" s="275"/>
      <c r="P1005" s="275"/>
      <c r="Q1005" s="275"/>
      <c r="R1005" s="275"/>
      <c r="S1005" s="275"/>
      <c r="T1005" s="275"/>
    </row>
    <row r="1006" spans="1:20" ht="15" customHeight="1">
      <c r="A1006" s="275"/>
      <c r="B1006" s="303">
        <v>45405</v>
      </c>
      <c r="C1006" s="304">
        <v>22368</v>
      </c>
      <c r="D1006" s="289">
        <f t="shared" si="30"/>
        <v>1.4147135985377009E-3</v>
      </c>
      <c r="E1006" s="275"/>
      <c r="F1006" s="290"/>
      <c r="G1006" s="305">
        <v>45405</v>
      </c>
      <c r="H1006" s="306">
        <v>4065.8784179629602</v>
      </c>
      <c r="I1006" s="293">
        <f t="shared" si="31"/>
        <v>7.6880069787511425E-3</v>
      </c>
      <c r="J1006" s="289"/>
      <c r="K1006" s="275"/>
      <c r="L1006" s="290"/>
      <c r="M1006" s="275"/>
      <c r="N1006" s="275"/>
      <c r="O1006" s="275"/>
      <c r="P1006" s="275"/>
      <c r="Q1006" s="275"/>
      <c r="R1006" s="275"/>
      <c r="S1006" s="275"/>
      <c r="T1006" s="275"/>
    </row>
    <row r="1007" spans="1:20" ht="15" customHeight="1">
      <c r="A1007" s="20"/>
      <c r="B1007" s="294">
        <v>45406</v>
      </c>
      <c r="C1007" s="295">
        <v>22402.400390625</v>
      </c>
      <c r="D1007" s="296">
        <f t="shared" si="30"/>
        <v>1.5379287654238199E-3</v>
      </c>
      <c r="E1007" s="20"/>
      <c r="F1007" s="297"/>
      <c r="G1007" s="298">
        <v>45406</v>
      </c>
      <c r="H1007" s="299">
        <v>4111.0756835879602</v>
      </c>
      <c r="I1007" s="300">
        <f t="shared" si="31"/>
        <v>1.1116236389489536E-2</v>
      </c>
      <c r="J1007" s="296"/>
      <c r="K1007" s="20"/>
      <c r="L1007" s="297"/>
      <c r="M1007" s="275"/>
      <c r="N1007" s="275"/>
      <c r="O1007" s="275"/>
      <c r="P1007" s="275"/>
      <c r="Q1007" s="275"/>
      <c r="R1007" s="275"/>
      <c r="S1007" s="275"/>
      <c r="T1007" s="275"/>
    </row>
    <row r="1008" spans="1:20" ht="15" customHeight="1">
      <c r="A1008" s="275"/>
      <c r="B1008" s="303">
        <v>45407</v>
      </c>
      <c r="C1008" s="304">
        <v>22570.349609375</v>
      </c>
      <c r="D1008" s="289">
        <f t="shared" si="30"/>
        <v>7.4969296067167743E-3</v>
      </c>
      <c r="E1008" s="275"/>
      <c r="F1008" s="290"/>
      <c r="G1008" s="305">
        <v>45407</v>
      </c>
      <c r="H1008" s="306">
        <v>4209.2822265625</v>
      </c>
      <c r="I1008" s="293">
        <f t="shared" si="31"/>
        <v>2.3888283878254857E-2</v>
      </c>
      <c r="J1008" s="289"/>
      <c r="K1008" s="275"/>
      <c r="L1008" s="290"/>
      <c r="M1008" s="275"/>
      <c r="N1008" s="275"/>
      <c r="O1008" s="275"/>
      <c r="P1008" s="275"/>
      <c r="Q1008" s="275"/>
      <c r="R1008" s="275"/>
      <c r="S1008" s="275"/>
      <c r="T1008" s="275"/>
    </row>
    <row r="1009" spans="1:20" ht="15" customHeight="1">
      <c r="A1009" s="20"/>
      <c r="B1009" s="294">
        <v>45408</v>
      </c>
      <c r="C1009" s="295">
        <v>22419.94921875</v>
      </c>
      <c r="D1009" s="296">
        <f t="shared" si="30"/>
        <v>-6.6636269808832953E-3</v>
      </c>
      <c r="E1009" s="20"/>
      <c r="F1009" s="297"/>
      <c r="G1009" s="298">
        <v>45408</v>
      </c>
      <c r="H1009" s="299">
        <v>4203.0131835879602</v>
      </c>
      <c r="I1009" s="300">
        <f t="shared" si="31"/>
        <v>-1.4893377628564103E-3</v>
      </c>
      <c r="J1009" s="296"/>
      <c r="K1009" s="20"/>
      <c r="L1009" s="297"/>
      <c r="M1009" s="275"/>
      <c r="N1009" s="275"/>
      <c r="O1009" s="275"/>
      <c r="P1009" s="275"/>
      <c r="Q1009" s="275"/>
      <c r="R1009" s="275"/>
      <c r="S1009" s="275"/>
      <c r="T1009" s="275"/>
    </row>
    <row r="1010" spans="1:20" ht="15" customHeight="1">
      <c r="A1010" s="275"/>
      <c r="B1010" s="303">
        <v>45411</v>
      </c>
      <c r="C1010" s="304">
        <v>22643.400390625</v>
      </c>
      <c r="D1010" s="289">
        <f t="shared" si="30"/>
        <v>9.9666225688025117E-3</v>
      </c>
      <c r="E1010" s="275"/>
      <c r="F1010" s="290"/>
      <c r="G1010" s="305">
        <v>45411</v>
      </c>
      <c r="H1010" s="306">
        <v>4171.2915039120398</v>
      </c>
      <c r="I1010" s="293">
        <f t="shared" si="31"/>
        <v>-7.5473662085543741E-3</v>
      </c>
      <c r="J1010" s="289"/>
      <c r="K1010" s="275"/>
      <c r="L1010" s="290"/>
      <c r="M1010" s="275"/>
      <c r="N1010" s="275"/>
      <c r="O1010" s="275"/>
      <c r="P1010" s="275"/>
      <c r="Q1010" s="275"/>
      <c r="R1010" s="275"/>
      <c r="S1010" s="275"/>
      <c r="T1010" s="275"/>
    </row>
    <row r="1011" spans="1:20" ht="15" customHeight="1">
      <c r="A1011" s="20"/>
      <c r="B1011" s="294">
        <v>45412</v>
      </c>
      <c r="C1011" s="295">
        <v>22604.849609375</v>
      </c>
      <c r="D1011" s="296">
        <f t="shared" si="30"/>
        <v>-1.7025173156396201E-3</v>
      </c>
      <c r="E1011" s="20"/>
      <c r="F1011" s="297"/>
      <c r="G1011" s="298">
        <v>45412</v>
      </c>
      <c r="H1011" s="299">
        <v>4251.1572265625</v>
      </c>
      <c r="I1011" s="300">
        <f t="shared" si="31"/>
        <v>1.914652154507979E-2</v>
      </c>
      <c r="J1011" s="296"/>
      <c r="K1011" s="20"/>
      <c r="L1011" s="297"/>
      <c r="M1011" s="275"/>
      <c r="N1011" s="275"/>
      <c r="O1011" s="275"/>
      <c r="P1011" s="275"/>
      <c r="Q1011" s="275"/>
      <c r="R1011" s="275"/>
      <c r="S1011" s="275"/>
      <c r="T1011" s="275"/>
    </row>
    <row r="1012" spans="1:20" ht="15" customHeight="1">
      <c r="A1012" s="275"/>
      <c r="B1012" s="303">
        <v>45414</v>
      </c>
      <c r="C1012" s="304">
        <v>22648.19921875</v>
      </c>
      <c r="D1012" s="289">
        <f t="shared" si="30"/>
        <v>1.9177127972141625E-3</v>
      </c>
      <c r="E1012" s="275"/>
      <c r="F1012" s="290"/>
      <c r="G1012" s="305">
        <v>45414</v>
      </c>
      <c r="H1012" s="306">
        <v>4268.4213867129602</v>
      </c>
      <c r="I1012" s="293">
        <f t="shared" si="31"/>
        <v>4.0610495520110451E-3</v>
      </c>
      <c r="J1012" s="289"/>
      <c r="K1012" s="275"/>
      <c r="L1012" s="290"/>
      <c r="M1012" s="275"/>
      <c r="N1012" s="275"/>
      <c r="O1012" s="275"/>
      <c r="P1012" s="275"/>
      <c r="Q1012" s="275"/>
      <c r="R1012" s="275"/>
      <c r="S1012" s="275"/>
      <c r="T1012" s="275"/>
    </row>
    <row r="1013" spans="1:20" ht="15" customHeight="1">
      <c r="A1013" s="20"/>
      <c r="B1013" s="294">
        <v>45415</v>
      </c>
      <c r="C1013" s="295">
        <v>22475.849609375</v>
      </c>
      <c r="D1013" s="296">
        <f t="shared" si="30"/>
        <v>-7.6098592965534824E-3</v>
      </c>
      <c r="E1013" s="20"/>
      <c r="F1013" s="297"/>
      <c r="G1013" s="298">
        <v>45415</v>
      </c>
      <c r="H1013" s="299">
        <v>4260.2338867129602</v>
      </c>
      <c r="I1013" s="300">
        <f t="shared" si="31"/>
        <v>-1.9181564466635419E-3</v>
      </c>
      <c r="J1013" s="296"/>
      <c r="K1013" s="20"/>
      <c r="L1013" s="297"/>
      <c r="M1013" s="275"/>
      <c r="N1013" s="275"/>
      <c r="O1013" s="275"/>
      <c r="P1013" s="275"/>
      <c r="Q1013" s="275"/>
      <c r="R1013" s="275"/>
      <c r="S1013" s="275"/>
      <c r="T1013" s="275"/>
    </row>
    <row r="1014" spans="1:20" ht="15" customHeight="1">
      <c r="A1014" s="275"/>
      <c r="B1014" s="303">
        <v>45418</v>
      </c>
      <c r="C1014" s="304">
        <v>22442.69921875</v>
      </c>
      <c r="D1014" s="289">
        <f t="shared" si="30"/>
        <v>-1.4749338156797639E-3</v>
      </c>
      <c r="E1014" s="275"/>
      <c r="F1014" s="290"/>
      <c r="G1014" s="305">
        <v>45418</v>
      </c>
      <c r="H1014" s="306">
        <v>4219.9970703125</v>
      </c>
      <c r="I1014" s="293">
        <f t="shared" si="31"/>
        <v>-9.4447435212308035E-3</v>
      </c>
      <c r="J1014" s="289"/>
      <c r="K1014" s="275"/>
      <c r="L1014" s="290"/>
      <c r="M1014" s="275"/>
      <c r="N1014" s="275"/>
      <c r="O1014" s="275"/>
      <c r="P1014" s="275"/>
      <c r="Q1014" s="275"/>
      <c r="R1014" s="275"/>
      <c r="S1014" s="275"/>
      <c r="T1014" s="275"/>
    </row>
    <row r="1015" spans="1:20" ht="15" customHeight="1">
      <c r="A1015" s="20"/>
      <c r="B1015" s="294">
        <v>45419</v>
      </c>
      <c r="C1015" s="295">
        <v>22302.5</v>
      </c>
      <c r="D1015" s="296">
        <f t="shared" si="30"/>
        <v>-6.2469855957820357E-3</v>
      </c>
      <c r="E1015" s="20"/>
      <c r="F1015" s="297"/>
      <c r="G1015" s="298">
        <v>45419</v>
      </c>
      <c r="H1015" s="299">
        <v>4189.1171875</v>
      </c>
      <c r="I1015" s="300">
        <f t="shared" si="31"/>
        <v>-7.3175128555748679E-3</v>
      </c>
      <c r="J1015" s="296"/>
      <c r="K1015" s="20"/>
      <c r="L1015" s="297"/>
      <c r="M1015" s="275"/>
      <c r="N1015" s="275"/>
      <c r="O1015" s="275"/>
      <c r="P1015" s="275"/>
      <c r="Q1015" s="275"/>
      <c r="R1015" s="275"/>
      <c r="S1015" s="275"/>
      <c r="T1015" s="275"/>
    </row>
    <row r="1016" spans="1:20" ht="15" customHeight="1">
      <c r="A1016" s="275"/>
      <c r="B1016" s="303">
        <v>45420</v>
      </c>
      <c r="C1016" s="304">
        <v>22302.5</v>
      </c>
      <c r="D1016" s="289">
        <f t="shared" si="30"/>
        <v>0</v>
      </c>
      <c r="E1016" s="275"/>
      <c r="F1016" s="290"/>
      <c r="G1016" s="305">
        <v>45420</v>
      </c>
      <c r="H1016" s="306">
        <v>4317.455078125</v>
      </c>
      <c r="I1016" s="293">
        <f t="shared" si="31"/>
        <v>3.0636023028419994E-2</v>
      </c>
      <c r="J1016" s="289"/>
      <c r="K1016" s="275"/>
      <c r="L1016" s="290"/>
      <c r="M1016" s="275"/>
      <c r="N1016" s="275"/>
      <c r="O1016" s="275"/>
      <c r="P1016" s="275"/>
      <c r="Q1016" s="275"/>
      <c r="R1016" s="275"/>
      <c r="S1016" s="275"/>
      <c r="T1016" s="275"/>
    </row>
    <row r="1017" spans="1:20" ht="15" customHeight="1">
      <c r="A1017" s="20"/>
      <c r="B1017" s="294">
        <v>45421</v>
      </c>
      <c r="C1017" s="295">
        <v>21957.5</v>
      </c>
      <c r="D1017" s="296">
        <f t="shared" si="30"/>
        <v>-1.5469117811904494E-2</v>
      </c>
      <c r="E1017" s="20"/>
      <c r="F1017" s="297"/>
      <c r="G1017" s="298">
        <v>45421</v>
      </c>
      <c r="H1017" s="299">
        <v>4458.7529296875</v>
      </c>
      <c r="I1017" s="300">
        <f t="shared" si="31"/>
        <v>3.2727115628464941E-2</v>
      </c>
      <c r="J1017" s="296"/>
      <c r="K1017" s="20"/>
      <c r="L1017" s="297"/>
      <c r="M1017" s="275"/>
      <c r="N1017" s="275"/>
      <c r="O1017" s="275"/>
      <c r="P1017" s="275"/>
      <c r="Q1017" s="275"/>
      <c r="R1017" s="275"/>
      <c r="S1017" s="275"/>
      <c r="T1017" s="275"/>
    </row>
    <row r="1018" spans="1:20" ht="15" customHeight="1">
      <c r="A1018" s="275"/>
      <c r="B1018" s="303">
        <v>45422</v>
      </c>
      <c r="C1018" s="304">
        <v>22055.19921875</v>
      </c>
      <c r="D1018" s="289">
        <f t="shared" si="30"/>
        <v>4.4494691449390869E-3</v>
      </c>
      <c r="E1018" s="275"/>
      <c r="F1018" s="290"/>
      <c r="G1018" s="305">
        <v>45422</v>
      </c>
      <c r="H1018" s="306">
        <v>4564.0249023379602</v>
      </c>
      <c r="I1018" s="293">
        <f t="shared" si="31"/>
        <v>2.3610183006448474E-2</v>
      </c>
      <c r="J1018" s="289"/>
      <c r="K1018" s="275"/>
      <c r="L1018" s="290"/>
      <c r="M1018" s="275"/>
      <c r="N1018" s="275"/>
      <c r="O1018" s="275"/>
      <c r="P1018" s="275"/>
      <c r="Q1018" s="275"/>
      <c r="R1018" s="275"/>
      <c r="S1018" s="275"/>
      <c r="T1018" s="275"/>
    </row>
    <row r="1019" spans="1:20" ht="15" customHeight="1">
      <c r="A1019" s="20"/>
      <c r="B1019" s="294">
        <v>45425</v>
      </c>
      <c r="C1019" s="295">
        <v>22104.05078125</v>
      </c>
      <c r="D1019" s="296">
        <f t="shared" si="30"/>
        <v>2.214968090538459E-3</v>
      </c>
      <c r="E1019" s="20"/>
      <c r="F1019" s="297"/>
      <c r="G1019" s="298">
        <v>45425</v>
      </c>
      <c r="H1019" s="299">
        <v>4571.6513671875</v>
      </c>
      <c r="I1019" s="300">
        <f t="shared" si="31"/>
        <v>1.6709954508865898E-3</v>
      </c>
      <c r="J1019" s="296"/>
      <c r="K1019" s="20"/>
      <c r="L1019" s="297"/>
      <c r="M1019" s="275"/>
      <c r="N1019" s="275"/>
      <c r="O1019" s="275"/>
      <c r="P1019" s="275"/>
      <c r="Q1019" s="275"/>
      <c r="R1019" s="275"/>
      <c r="S1019" s="275"/>
      <c r="T1019" s="275"/>
    </row>
    <row r="1020" spans="1:20" ht="15" customHeight="1">
      <c r="A1020" s="275"/>
      <c r="B1020" s="303">
        <v>45426</v>
      </c>
      <c r="C1020" s="304">
        <v>22217.849609375</v>
      </c>
      <c r="D1020" s="289">
        <f t="shared" si="30"/>
        <v>5.1483245877054842E-3</v>
      </c>
      <c r="E1020" s="275"/>
      <c r="F1020" s="290"/>
      <c r="G1020" s="305">
        <v>45426</v>
      </c>
      <c r="H1020" s="306">
        <v>4719.40625</v>
      </c>
      <c r="I1020" s="293">
        <f t="shared" si="31"/>
        <v>3.2319805458700029E-2</v>
      </c>
      <c r="J1020" s="289"/>
      <c r="K1020" s="275"/>
      <c r="L1020" s="290"/>
      <c r="M1020" s="275"/>
      <c r="N1020" s="275"/>
      <c r="O1020" s="275"/>
      <c r="P1020" s="275"/>
      <c r="Q1020" s="275"/>
      <c r="R1020" s="275"/>
      <c r="S1020" s="275"/>
      <c r="T1020" s="275"/>
    </row>
    <row r="1021" spans="1:20" ht="15" customHeight="1">
      <c r="A1021" s="20"/>
      <c r="B1021" s="294">
        <v>45427</v>
      </c>
      <c r="C1021" s="295">
        <v>22200.55078125</v>
      </c>
      <c r="D1021" s="296">
        <f t="shared" si="30"/>
        <v>-7.7860046895360301E-4</v>
      </c>
      <c r="E1021" s="20"/>
      <c r="F1021" s="297"/>
      <c r="G1021" s="298">
        <v>45427</v>
      </c>
      <c r="H1021" s="299">
        <v>4732.3666992129602</v>
      </c>
      <c r="I1021" s="300">
        <f t="shared" si="31"/>
        <v>2.7462033413546793E-3</v>
      </c>
      <c r="J1021" s="296"/>
      <c r="K1021" s="20"/>
      <c r="L1021" s="297"/>
      <c r="M1021" s="275"/>
      <c r="N1021" s="275"/>
      <c r="O1021" s="275"/>
      <c r="P1021" s="275"/>
      <c r="Q1021" s="275"/>
      <c r="R1021" s="275"/>
      <c r="S1021" s="275"/>
      <c r="T1021" s="275"/>
    </row>
    <row r="1022" spans="1:20" ht="15" customHeight="1">
      <c r="A1022" s="275"/>
      <c r="B1022" s="303">
        <v>45428</v>
      </c>
      <c r="C1022" s="304">
        <v>22403.849609375</v>
      </c>
      <c r="D1022" s="289">
        <f t="shared" si="30"/>
        <v>9.1573776762647191E-3</v>
      </c>
      <c r="E1022" s="275"/>
      <c r="F1022" s="290"/>
      <c r="G1022" s="305">
        <v>45428</v>
      </c>
      <c r="H1022" s="306">
        <v>4811.0161132870398</v>
      </c>
      <c r="I1022" s="293">
        <f t="shared" si="31"/>
        <v>1.6619467398238576E-2</v>
      </c>
      <c r="J1022" s="289"/>
      <c r="K1022" s="275"/>
      <c r="L1022" s="290"/>
      <c r="M1022" s="275"/>
      <c r="N1022" s="275"/>
      <c r="O1022" s="275"/>
      <c r="P1022" s="275"/>
      <c r="Q1022" s="275"/>
      <c r="R1022" s="275"/>
      <c r="S1022" s="275"/>
      <c r="T1022" s="275"/>
    </row>
    <row r="1023" spans="1:20" ht="15" customHeight="1">
      <c r="A1023" s="20"/>
      <c r="B1023" s="294">
        <v>45429</v>
      </c>
      <c r="C1023" s="295">
        <v>22466.099609375</v>
      </c>
      <c r="D1023" s="296">
        <f t="shared" si="30"/>
        <v>2.7785403439751347E-3</v>
      </c>
      <c r="E1023" s="20"/>
      <c r="F1023" s="297"/>
      <c r="G1023" s="298">
        <v>45429</v>
      </c>
      <c r="H1023" s="299">
        <v>4762.216796875</v>
      </c>
      <c r="I1023" s="300">
        <f t="shared" si="31"/>
        <v>-1.0143245265229136E-2</v>
      </c>
      <c r="J1023" s="296"/>
      <c r="K1023" s="20"/>
      <c r="L1023" s="297"/>
      <c r="M1023" s="275"/>
      <c r="N1023" s="275"/>
      <c r="O1023" s="275"/>
      <c r="P1023" s="275"/>
      <c r="Q1023" s="275"/>
      <c r="R1023" s="275"/>
      <c r="S1023" s="275"/>
      <c r="T1023" s="275"/>
    </row>
    <row r="1024" spans="1:20" ht="15" customHeight="1">
      <c r="A1024" s="275"/>
      <c r="B1024" s="303">
        <v>45433</v>
      </c>
      <c r="C1024" s="304">
        <v>22529.05078125</v>
      </c>
      <c r="D1024" s="289">
        <f t="shared" si="30"/>
        <v>2.8020516676036979E-3</v>
      </c>
      <c r="E1024" s="275"/>
      <c r="F1024" s="290"/>
      <c r="G1024" s="305">
        <v>45433</v>
      </c>
      <c r="H1024" s="306">
        <v>4729.1376953125</v>
      </c>
      <c r="I1024" s="293">
        <f t="shared" si="31"/>
        <v>-6.9461561649622377E-3</v>
      </c>
      <c r="J1024" s="289"/>
      <c r="K1024" s="275"/>
      <c r="L1024" s="290"/>
      <c r="M1024" s="275"/>
      <c r="N1024" s="275"/>
      <c r="O1024" s="275"/>
      <c r="P1024" s="275"/>
      <c r="Q1024" s="275"/>
      <c r="R1024" s="275"/>
      <c r="S1024" s="275"/>
      <c r="T1024" s="275"/>
    </row>
    <row r="1025" spans="1:20" ht="15" customHeight="1">
      <c r="A1025" s="20"/>
      <c r="B1025" s="294">
        <v>45434</v>
      </c>
      <c r="C1025" s="295">
        <v>22597.80078125</v>
      </c>
      <c r="D1025" s="296">
        <f t="shared" si="30"/>
        <v>3.051615474950138E-3</v>
      </c>
      <c r="E1025" s="20"/>
      <c r="F1025" s="297"/>
      <c r="G1025" s="298">
        <v>45434</v>
      </c>
      <c r="H1025" s="299">
        <v>4674.9580078125</v>
      </c>
      <c r="I1025" s="300">
        <f t="shared" si="31"/>
        <v>-1.1456567981453079E-2</v>
      </c>
      <c r="J1025" s="296"/>
      <c r="K1025" s="20"/>
      <c r="L1025" s="297"/>
      <c r="M1025" s="275"/>
      <c r="N1025" s="275"/>
      <c r="O1025" s="275"/>
      <c r="P1025" s="275"/>
      <c r="Q1025" s="275"/>
      <c r="R1025" s="275"/>
      <c r="S1025" s="275"/>
      <c r="T1025" s="275"/>
    </row>
    <row r="1026" spans="1:20" ht="15" customHeight="1">
      <c r="A1026" s="275"/>
      <c r="B1026" s="303">
        <v>45435</v>
      </c>
      <c r="C1026" s="304">
        <v>22967.650390625</v>
      </c>
      <c r="D1026" s="289">
        <f t="shared" si="30"/>
        <v>1.6366619608483058E-2</v>
      </c>
      <c r="E1026" s="275"/>
      <c r="F1026" s="290"/>
      <c r="G1026" s="305">
        <v>45435</v>
      </c>
      <c r="H1026" s="306">
        <v>4814.619140625</v>
      </c>
      <c r="I1026" s="293">
        <f t="shared" si="31"/>
        <v>2.9874307443854463E-2</v>
      </c>
      <c r="J1026" s="289"/>
      <c r="K1026" s="275"/>
      <c r="L1026" s="290"/>
      <c r="M1026" s="275"/>
      <c r="N1026" s="275"/>
      <c r="O1026" s="275"/>
      <c r="P1026" s="275"/>
      <c r="Q1026" s="275"/>
      <c r="R1026" s="275"/>
      <c r="S1026" s="275"/>
      <c r="T1026" s="275"/>
    </row>
    <row r="1027" spans="1:20" ht="15" customHeight="1">
      <c r="A1027" s="20"/>
      <c r="B1027" s="294">
        <v>45436</v>
      </c>
      <c r="C1027" s="295">
        <v>22957.099609375</v>
      </c>
      <c r="D1027" s="296">
        <f t="shared" si="30"/>
        <v>-4.5937573371922485E-4</v>
      </c>
      <c r="E1027" s="20"/>
      <c r="F1027" s="297"/>
      <c r="G1027" s="298">
        <v>45436</v>
      </c>
      <c r="H1027" s="299">
        <v>4789.447265625</v>
      </c>
      <c r="I1027" s="300">
        <f t="shared" si="31"/>
        <v>-5.2282172825683492E-3</v>
      </c>
      <c r="J1027" s="296"/>
      <c r="K1027" s="20"/>
      <c r="L1027" s="297"/>
      <c r="M1027" s="275"/>
      <c r="N1027" s="275"/>
      <c r="O1027" s="275"/>
      <c r="P1027" s="275"/>
      <c r="Q1027" s="275"/>
      <c r="R1027" s="275"/>
      <c r="S1027" s="275"/>
      <c r="T1027" s="275"/>
    </row>
    <row r="1028" spans="1:20" ht="15" customHeight="1">
      <c r="A1028" s="275"/>
      <c r="B1028" s="303">
        <v>45439</v>
      </c>
      <c r="C1028" s="304">
        <v>22932.44921875</v>
      </c>
      <c r="D1028" s="289">
        <f t="shared" si="30"/>
        <v>-1.0737589261900274E-3</v>
      </c>
      <c r="E1028" s="275"/>
      <c r="F1028" s="290"/>
      <c r="G1028" s="305">
        <v>45439</v>
      </c>
      <c r="H1028" s="306">
        <v>4757.2573242129602</v>
      </c>
      <c r="I1028" s="293">
        <f t="shared" si="31"/>
        <v>-6.7210138512380528E-3</v>
      </c>
      <c r="J1028" s="289"/>
      <c r="K1028" s="275"/>
      <c r="L1028" s="290"/>
      <c r="M1028" s="275"/>
      <c r="N1028" s="275"/>
      <c r="O1028" s="275"/>
      <c r="P1028" s="275"/>
      <c r="Q1028" s="275"/>
      <c r="R1028" s="275"/>
      <c r="S1028" s="275"/>
      <c r="T1028" s="275"/>
    </row>
    <row r="1029" spans="1:20" ht="15" customHeight="1">
      <c r="A1029" s="20"/>
      <c r="B1029" s="294">
        <v>45440</v>
      </c>
      <c r="C1029" s="295">
        <v>22888.150390625</v>
      </c>
      <c r="D1029" s="296">
        <f t="shared" ref="D1029:D1092" si="32">(C1029-C1028)/C1028</f>
        <v>-1.9317094176221025E-3</v>
      </c>
      <c r="E1029" s="20"/>
      <c r="F1029" s="297"/>
      <c r="G1029" s="298">
        <v>45440</v>
      </c>
      <c r="H1029" s="299">
        <v>4850.8798828125</v>
      </c>
      <c r="I1029" s="300">
        <f t="shared" ref="I1029:I1092" si="33">(H1029-H1028)/H1028</f>
        <v>1.9679944181919724E-2</v>
      </c>
      <c r="J1029" s="296"/>
      <c r="K1029" s="20"/>
      <c r="L1029" s="297"/>
      <c r="M1029" s="275"/>
      <c r="N1029" s="275"/>
      <c r="O1029" s="275"/>
      <c r="P1029" s="275"/>
      <c r="Q1029" s="275"/>
      <c r="R1029" s="275"/>
      <c r="S1029" s="275"/>
      <c r="T1029" s="275"/>
    </row>
    <row r="1030" spans="1:20" ht="15" customHeight="1">
      <c r="A1030" s="275"/>
      <c r="B1030" s="303">
        <v>45441</v>
      </c>
      <c r="C1030" s="304">
        <v>22704.69921875</v>
      </c>
      <c r="D1030" s="289">
        <f t="shared" si="32"/>
        <v>-8.0151156272610692E-3</v>
      </c>
      <c r="E1030" s="275"/>
      <c r="F1030" s="290"/>
      <c r="G1030" s="305">
        <v>45441</v>
      </c>
      <c r="H1030" s="306">
        <v>4813.26171875</v>
      </c>
      <c r="I1030" s="293">
        <f t="shared" si="33"/>
        <v>-7.7549155970214004E-3</v>
      </c>
      <c r="J1030" s="289"/>
      <c r="K1030" s="275"/>
      <c r="L1030" s="290"/>
      <c r="M1030" s="275"/>
      <c r="N1030" s="275"/>
      <c r="O1030" s="275"/>
      <c r="P1030" s="275"/>
      <c r="Q1030" s="275"/>
      <c r="R1030" s="275"/>
      <c r="S1030" s="275"/>
      <c r="T1030" s="275"/>
    </row>
    <row r="1031" spans="1:20" ht="15" customHeight="1">
      <c r="A1031" s="20"/>
      <c r="B1031" s="294">
        <v>45442</v>
      </c>
      <c r="C1031" s="295">
        <v>22488.650390625</v>
      </c>
      <c r="D1031" s="296">
        <f t="shared" si="32"/>
        <v>-9.5155996581792416E-3</v>
      </c>
      <c r="E1031" s="20"/>
      <c r="F1031" s="297"/>
      <c r="G1031" s="298">
        <v>45442</v>
      </c>
      <c r="H1031" s="299">
        <v>4806.009765625</v>
      </c>
      <c r="I1031" s="300">
        <f t="shared" si="33"/>
        <v>-1.5066608775396752E-3</v>
      </c>
      <c r="J1031" s="296"/>
      <c r="K1031" s="20"/>
      <c r="L1031" s="297"/>
      <c r="M1031" s="275"/>
      <c r="N1031" s="275"/>
      <c r="O1031" s="275"/>
      <c r="P1031" s="275"/>
      <c r="Q1031" s="275"/>
      <c r="R1031" s="275"/>
      <c r="S1031" s="275"/>
      <c r="T1031" s="275"/>
    </row>
    <row r="1032" spans="1:20" ht="15" customHeight="1">
      <c r="A1032" s="275"/>
      <c r="B1032" s="303">
        <v>45443</v>
      </c>
      <c r="C1032" s="304">
        <v>22530.69921875</v>
      </c>
      <c r="D1032" s="289">
        <f t="shared" si="32"/>
        <v>1.869779973213919E-3</v>
      </c>
      <c r="E1032" s="275"/>
      <c r="F1032" s="290"/>
      <c r="G1032" s="305">
        <v>45443</v>
      </c>
      <c r="H1032" s="306">
        <v>4790.6640625</v>
      </c>
      <c r="I1032" s="293">
        <f t="shared" si="33"/>
        <v>-3.1930237085159895E-3</v>
      </c>
      <c r="J1032" s="289"/>
      <c r="K1032" s="275"/>
      <c r="L1032" s="290"/>
      <c r="M1032" s="275"/>
      <c r="N1032" s="275"/>
      <c r="O1032" s="275"/>
      <c r="P1032" s="275"/>
      <c r="Q1032" s="275"/>
      <c r="R1032" s="275"/>
      <c r="S1032" s="275"/>
      <c r="T1032" s="275"/>
    </row>
    <row r="1033" spans="1:20" ht="15" customHeight="1">
      <c r="A1033" s="20"/>
      <c r="B1033" s="294">
        <v>45446</v>
      </c>
      <c r="C1033" s="295">
        <v>23263.900390625</v>
      </c>
      <c r="D1033" s="296">
        <f t="shared" si="32"/>
        <v>3.2542317695352818E-2</v>
      </c>
      <c r="E1033" s="20"/>
      <c r="F1033" s="297"/>
      <c r="G1033" s="298">
        <v>45446</v>
      </c>
      <c r="H1033" s="299">
        <v>4829.029296875</v>
      </c>
      <c r="I1033" s="300">
        <f t="shared" si="33"/>
        <v>8.0083332653843337E-3</v>
      </c>
      <c r="J1033" s="296"/>
      <c r="K1033" s="20"/>
      <c r="L1033" s="297"/>
      <c r="M1033" s="275"/>
      <c r="N1033" s="275"/>
      <c r="O1033" s="275"/>
      <c r="P1033" s="275"/>
      <c r="Q1033" s="275"/>
      <c r="R1033" s="275"/>
      <c r="S1033" s="275"/>
      <c r="T1033" s="275"/>
    </row>
    <row r="1034" spans="1:20" ht="15" customHeight="1">
      <c r="A1034" s="275"/>
      <c r="B1034" s="303">
        <v>45447</v>
      </c>
      <c r="C1034" s="304">
        <v>21884.5</v>
      </c>
      <c r="D1034" s="289">
        <f t="shared" si="32"/>
        <v>-5.9293599416410735E-2</v>
      </c>
      <c r="E1034" s="275"/>
      <c r="F1034" s="290"/>
      <c r="G1034" s="305">
        <v>45447</v>
      </c>
      <c r="H1034" s="306">
        <v>4969.4853515625</v>
      </c>
      <c r="I1034" s="293">
        <f t="shared" si="33"/>
        <v>2.9085773983270932E-2</v>
      </c>
      <c r="J1034" s="289"/>
      <c r="K1034" s="275"/>
      <c r="L1034" s="290"/>
      <c r="M1034" s="275"/>
      <c r="N1034" s="275"/>
      <c r="O1034" s="275"/>
      <c r="P1034" s="275"/>
      <c r="Q1034" s="275"/>
      <c r="R1034" s="275"/>
      <c r="S1034" s="275"/>
      <c r="T1034" s="275"/>
    </row>
    <row r="1035" spans="1:20" ht="15" customHeight="1">
      <c r="A1035" s="20"/>
      <c r="B1035" s="294">
        <v>45448</v>
      </c>
      <c r="C1035" s="295">
        <v>22620.349609375</v>
      </c>
      <c r="D1035" s="296">
        <f t="shared" si="32"/>
        <v>3.362423676003564E-2</v>
      </c>
      <c r="E1035" s="20"/>
      <c r="F1035" s="297"/>
      <c r="G1035" s="298">
        <v>45448</v>
      </c>
      <c r="H1035" s="299">
        <v>5294.9389648379602</v>
      </c>
      <c r="I1035" s="300">
        <f t="shared" si="33"/>
        <v>6.5490405998104295E-2</v>
      </c>
      <c r="J1035" s="296"/>
      <c r="K1035" s="20"/>
      <c r="L1035" s="297"/>
      <c r="M1035" s="275"/>
      <c r="N1035" s="275"/>
      <c r="O1035" s="275"/>
      <c r="P1035" s="275"/>
      <c r="Q1035" s="275"/>
      <c r="R1035" s="275"/>
      <c r="S1035" s="275"/>
      <c r="T1035" s="275"/>
    </row>
    <row r="1036" spans="1:20" ht="15" customHeight="1">
      <c r="A1036" s="275"/>
      <c r="B1036" s="303">
        <v>45449</v>
      </c>
      <c r="C1036" s="304">
        <v>22821.400390625</v>
      </c>
      <c r="D1036" s="289">
        <f t="shared" si="32"/>
        <v>8.8880492442377883E-3</v>
      </c>
      <c r="E1036" s="275"/>
      <c r="F1036" s="290"/>
      <c r="G1036" s="305">
        <v>45449</v>
      </c>
      <c r="H1036" s="306">
        <v>5178.671875</v>
      </c>
      <c r="I1036" s="293">
        <f t="shared" si="33"/>
        <v>-2.1958154873937864E-2</v>
      </c>
      <c r="J1036" s="289"/>
      <c r="K1036" s="275"/>
      <c r="L1036" s="290"/>
      <c r="M1036" s="275"/>
      <c r="N1036" s="275"/>
      <c r="O1036" s="275"/>
      <c r="P1036" s="275"/>
      <c r="Q1036" s="275"/>
      <c r="R1036" s="275"/>
      <c r="S1036" s="275"/>
      <c r="T1036" s="275"/>
    </row>
    <row r="1037" spans="1:20" ht="15" customHeight="1">
      <c r="A1037" s="20"/>
      <c r="B1037" s="294">
        <v>45450</v>
      </c>
      <c r="C1037" s="295">
        <v>23290.150390625</v>
      </c>
      <c r="D1037" s="296">
        <f t="shared" si="32"/>
        <v>2.0539931466807E-2</v>
      </c>
      <c r="E1037" s="20"/>
      <c r="F1037" s="297"/>
      <c r="G1037" s="298">
        <v>45450</v>
      </c>
      <c r="H1037" s="299">
        <v>5223.2138671875</v>
      </c>
      <c r="I1037" s="300">
        <f t="shared" si="33"/>
        <v>8.6010454538597309E-3</v>
      </c>
      <c r="J1037" s="296"/>
      <c r="K1037" s="20"/>
      <c r="L1037" s="297"/>
      <c r="M1037" s="275"/>
      <c r="N1037" s="275"/>
      <c r="O1037" s="275"/>
      <c r="P1037" s="275"/>
      <c r="Q1037" s="275"/>
      <c r="R1037" s="275"/>
      <c r="S1037" s="275"/>
      <c r="T1037" s="275"/>
    </row>
    <row r="1038" spans="1:20" ht="15" customHeight="1">
      <c r="A1038" s="275"/>
      <c r="B1038" s="303">
        <v>45453</v>
      </c>
      <c r="C1038" s="304">
        <v>23259.19921875</v>
      </c>
      <c r="D1038" s="289">
        <f t="shared" si="32"/>
        <v>-1.328938257412833E-3</v>
      </c>
      <c r="E1038" s="275"/>
      <c r="F1038" s="290"/>
      <c r="G1038" s="305">
        <v>45453</v>
      </c>
      <c r="H1038" s="306">
        <v>5354.546875</v>
      </c>
      <c r="I1038" s="293">
        <f t="shared" si="33"/>
        <v>2.5144099236973763E-2</v>
      </c>
      <c r="J1038" s="289"/>
      <c r="K1038" s="275"/>
      <c r="L1038" s="290"/>
      <c r="M1038" s="275"/>
      <c r="N1038" s="275"/>
      <c r="O1038" s="275"/>
      <c r="P1038" s="275"/>
      <c r="Q1038" s="275"/>
      <c r="R1038" s="275"/>
      <c r="S1038" s="275"/>
      <c r="T1038" s="275"/>
    </row>
    <row r="1039" spans="1:20" ht="15" customHeight="1">
      <c r="A1039" s="20"/>
      <c r="B1039" s="294">
        <v>45454</v>
      </c>
      <c r="C1039" s="295">
        <v>23264.849609375</v>
      </c>
      <c r="D1039" s="296">
        <f t="shared" si="32"/>
        <v>2.4293143421915555E-4</v>
      </c>
      <c r="E1039" s="20"/>
      <c r="F1039" s="297"/>
      <c r="G1039" s="298">
        <v>45454</v>
      </c>
      <c r="H1039" s="299">
        <v>5414.8090820370398</v>
      </c>
      <c r="I1039" s="300">
        <f t="shared" si="33"/>
        <v>1.1254399007766617E-2</v>
      </c>
      <c r="J1039" s="296"/>
      <c r="K1039" s="20"/>
      <c r="L1039" s="297"/>
      <c r="M1039" s="275"/>
      <c r="N1039" s="275"/>
      <c r="O1039" s="275"/>
      <c r="P1039" s="275"/>
      <c r="Q1039" s="275"/>
      <c r="R1039" s="275"/>
      <c r="S1039" s="275"/>
      <c r="T1039" s="275"/>
    </row>
    <row r="1040" spans="1:20" ht="15" customHeight="1">
      <c r="A1040" s="275"/>
      <c r="B1040" s="303">
        <v>45455</v>
      </c>
      <c r="C1040" s="304">
        <v>23322.94921875</v>
      </c>
      <c r="D1040" s="289">
        <f t="shared" si="32"/>
        <v>2.4973129141392641E-3</v>
      </c>
      <c r="E1040" s="275"/>
      <c r="F1040" s="290"/>
      <c r="G1040" s="305">
        <v>45455</v>
      </c>
      <c r="H1040" s="306">
        <v>5418.1772460879602</v>
      </c>
      <c r="I1040" s="293">
        <f t="shared" si="33"/>
        <v>6.2202821925777248E-4</v>
      </c>
      <c r="J1040" s="289"/>
      <c r="K1040" s="275"/>
      <c r="L1040" s="290"/>
      <c r="M1040" s="275"/>
      <c r="N1040" s="275"/>
      <c r="O1040" s="275"/>
      <c r="P1040" s="275"/>
      <c r="Q1040" s="275"/>
      <c r="R1040" s="275"/>
      <c r="S1040" s="275"/>
      <c r="T1040" s="275"/>
    </row>
    <row r="1041" spans="1:20" ht="15" customHeight="1">
      <c r="A1041" s="20"/>
      <c r="B1041" s="294">
        <v>45456</v>
      </c>
      <c r="C1041" s="295">
        <v>23398.900390625</v>
      </c>
      <c r="D1041" s="296">
        <f t="shared" si="32"/>
        <v>3.2564994745150257E-3</v>
      </c>
      <c r="E1041" s="20"/>
      <c r="F1041" s="297"/>
      <c r="G1041" s="298">
        <v>45456</v>
      </c>
      <c r="H1041" s="299">
        <v>5442.3198242129602</v>
      </c>
      <c r="I1041" s="300">
        <f t="shared" si="33"/>
        <v>4.4558487159923488E-3</v>
      </c>
      <c r="J1041" s="296"/>
      <c r="K1041" s="20"/>
      <c r="L1041" s="297"/>
      <c r="M1041" s="275"/>
      <c r="N1041" s="275"/>
      <c r="O1041" s="275"/>
      <c r="P1041" s="275"/>
      <c r="Q1041" s="275"/>
      <c r="R1041" s="275"/>
      <c r="S1041" s="275"/>
      <c r="T1041" s="275"/>
    </row>
    <row r="1042" spans="1:20" ht="15" customHeight="1">
      <c r="A1042" s="275"/>
      <c r="B1042" s="303">
        <v>45457</v>
      </c>
      <c r="C1042" s="304">
        <v>23465.599609375</v>
      </c>
      <c r="D1042" s="289">
        <f t="shared" si="32"/>
        <v>2.8505279152657831E-3</v>
      </c>
      <c r="E1042" s="275"/>
      <c r="F1042" s="290"/>
      <c r="G1042" s="305">
        <v>45457</v>
      </c>
      <c r="H1042" s="306">
        <v>5431.2778320370398</v>
      </c>
      <c r="I1042" s="293">
        <f t="shared" si="33"/>
        <v>-2.0289127674552182E-3</v>
      </c>
      <c r="J1042" s="289"/>
      <c r="K1042" s="275"/>
      <c r="L1042" s="290"/>
      <c r="M1042" s="275"/>
      <c r="N1042" s="275"/>
      <c r="O1042" s="275"/>
      <c r="P1042" s="275"/>
      <c r="Q1042" s="275"/>
      <c r="R1042" s="275"/>
      <c r="S1042" s="275"/>
      <c r="T1042" s="275"/>
    </row>
    <row r="1043" spans="1:20" ht="15" customHeight="1">
      <c r="A1043" s="20"/>
      <c r="B1043" s="294">
        <v>45461</v>
      </c>
      <c r="C1043" s="295">
        <v>23557.900390625</v>
      </c>
      <c r="D1043" s="296">
        <f t="shared" si="32"/>
        <v>3.9334507869606666E-3</v>
      </c>
      <c r="E1043" s="20"/>
      <c r="F1043" s="297"/>
      <c r="G1043" s="298">
        <v>45461</v>
      </c>
      <c r="H1043" s="299">
        <v>5385.0986328125</v>
      </c>
      <c r="I1043" s="300">
        <f t="shared" si="33"/>
        <v>-8.502455711646038E-3</v>
      </c>
      <c r="J1043" s="296"/>
      <c r="K1043" s="20"/>
      <c r="L1043" s="297"/>
      <c r="M1043" s="275"/>
      <c r="N1043" s="275"/>
      <c r="O1043" s="275"/>
      <c r="P1043" s="275"/>
      <c r="Q1043" s="275"/>
      <c r="R1043" s="275"/>
      <c r="S1043" s="275"/>
      <c r="T1043" s="275"/>
    </row>
    <row r="1044" spans="1:20" ht="15" customHeight="1">
      <c r="A1044" s="275"/>
      <c r="B1044" s="303">
        <v>45462</v>
      </c>
      <c r="C1044" s="304">
        <v>23516</v>
      </c>
      <c r="D1044" s="289">
        <f t="shared" si="32"/>
        <v>-1.7786131162042989E-3</v>
      </c>
      <c r="E1044" s="275"/>
      <c r="F1044" s="290"/>
      <c r="G1044" s="305">
        <v>45462</v>
      </c>
      <c r="H1044" s="306">
        <v>5284.8330078125</v>
      </c>
      <c r="I1044" s="293">
        <f t="shared" si="33"/>
        <v>-1.8619087938159792E-2</v>
      </c>
      <c r="J1044" s="289"/>
      <c r="K1044" s="275"/>
      <c r="L1044" s="290"/>
      <c r="M1044" s="275"/>
      <c r="N1044" s="275"/>
      <c r="O1044" s="275"/>
      <c r="P1044" s="275"/>
      <c r="Q1044" s="275"/>
      <c r="R1044" s="275"/>
      <c r="S1044" s="275"/>
      <c r="T1044" s="275"/>
    </row>
    <row r="1045" spans="1:20" ht="15" customHeight="1">
      <c r="A1045" s="20"/>
      <c r="B1045" s="294">
        <v>45463</v>
      </c>
      <c r="C1045" s="295">
        <v>23567</v>
      </c>
      <c r="D1045" s="296">
        <f t="shared" si="32"/>
        <v>2.1687361796223848E-3</v>
      </c>
      <c r="E1045" s="20"/>
      <c r="F1045" s="297"/>
      <c r="G1045" s="298">
        <v>45463</v>
      </c>
      <c r="H1045" s="299">
        <v>5150.9272460879602</v>
      </c>
      <c r="I1045" s="300">
        <f t="shared" si="33"/>
        <v>-2.5337747006686624E-2</v>
      </c>
      <c r="J1045" s="296"/>
      <c r="K1045" s="20"/>
      <c r="L1045" s="297"/>
      <c r="M1045" s="275"/>
      <c r="N1045" s="275"/>
      <c r="O1045" s="275"/>
      <c r="P1045" s="275"/>
      <c r="Q1045" s="275"/>
      <c r="R1045" s="275"/>
      <c r="S1045" s="275"/>
      <c r="T1045" s="275"/>
    </row>
    <row r="1046" spans="1:20" ht="15" customHeight="1">
      <c r="A1046" s="275"/>
      <c r="B1046" s="303">
        <v>45464</v>
      </c>
      <c r="C1046" s="304">
        <v>23501.099609375</v>
      </c>
      <c r="D1046" s="289">
        <f t="shared" si="32"/>
        <v>-2.7962995130903384E-3</v>
      </c>
      <c r="E1046" s="275"/>
      <c r="F1046" s="290"/>
      <c r="G1046" s="305">
        <v>45464</v>
      </c>
      <c r="H1046" s="306">
        <v>5101.7065429629602</v>
      </c>
      <c r="I1046" s="293">
        <f t="shared" si="33"/>
        <v>-9.5556976003460872E-3</v>
      </c>
      <c r="J1046" s="289"/>
      <c r="K1046" s="275"/>
      <c r="L1046" s="290"/>
      <c r="M1046" s="275"/>
      <c r="N1046" s="275"/>
      <c r="O1046" s="275"/>
      <c r="P1046" s="275"/>
      <c r="Q1046" s="275"/>
      <c r="R1046" s="275"/>
      <c r="S1046" s="275"/>
      <c r="T1046" s="275"/>
    </row>
    <row r="1047" spans="1:20" ht="15" customHeight="1">
      <c r="A1047" s="20"/>
      <c r="B1047" s="294">
        <v>45467</v>
      </c>
      <c r="C1047" s="295">
        <v>23537.849609375</v>
      </c>
      <c r="D1047" s="296">
        <f t="shared" si="32"/>
        <v>1.5637566161091365E-3</v>
      </c>
      <c r="E1047" s="20"/>
      <c r="F1047" s="297"/>
      <c r="G1047" s="298">
        <v>45467</v>
      </c>
      <c r="H1047" s="299">
        <v>5169.501953125</v>
      </c>
      <c r="I1047" s="300">
        <f t="shared" si="33"/>
        <v>1.328877103986968E-2</v>
      </c>
      <c r="J1047" s="296"/>
      <c r="K1047" s="20"/>
      <c r="L1047" s="297"/>
      <c r="M1047" s="275"/>
      <c r="N1047" s="275"/>
      <c r="O1047" s="275"/>
      <c r="P1047" s="275"/>
      <c r="Q1047" s="275"/>
      <c r="R1047" s="275"/>
      <c r="S1047" s="275"/>
      <c r="T1047" s="275"/>
    </row>
    <row r="1048" spans="1:20" ht="15" customHeight="1">
      <c r="A1048" s="275"/>
      <c r="B1048" s="303">
        <v>45468</v>
      </c>
      <c r="C1048" s="304">
        <v>23721.30078125</v>
      </c>
      <c r="D1048" s="289">
        <f t="shared" si="32"/>
        <v>7.7938798539154731E-3</v>
      </c>
      <c r="E1048" s="275"/>
      <c r="F1048" s="290"/>
      <c r="G1048" s="305">
        <v>45468</v>
      </c>
      <c r="H1048" s="306">
        <v>5155.9799804629602</v>
      </c>
      <c r="I1048" s="293">
        <f t="shared" si="33"/>
        <v>-2.6157205828824027E-3</v>
      </c>
      <c r="J1048" s="289"/>
      <c r="K1048" s="275"/>
      <c r="L1048" s="290"/>
      <c r="M1048" s="275"/>
      <c r="N1048" s="275"/>
      <c r="O1048" s="275"/>
      <c r="P1048" s="275"/>
      <c r="Q1048" s="275"/>
      <c r="R1048" s="275"/>
      <c r="S1048" s="275"/>
      <c r="T1048" s="275"/>
    </row>
    <row r="1049" spans="1:20" ht="15" customHeight="1">
      <c r="A1049" s="20"/>
      <c r="B1049" s="294">
        <v>45469</v>
      </c>
      <c r="C1049" s="295">
        <v>23868.80078125</v>
      </c>
      <c r="D1049" s="296">
        <f t="shared" si="32"/>
        <v>6.2180401218380173E-3</v>
      </c>
      <c r="E1049" s="20"/>
      <c r="F1049" s="297"/>
      <c r="G1049" s="298">
        <v>45469</v>
      </c>
      <c r="H1049" s="299">
        <v>5102.6420898379602</v>
      </c>
      <c r="I1049" s="300">
        <f t="shared" si="33"/>
        <v>-1.0344859915497721E-2</v>
      </c>
      <c r="J1049" s="296"/>
      <c r="K1049" s="20"/>
      <c r="L1049" s="297"/>
      <c r="M1049" s="275"/>
      <c r="N1049" s="275"/>
      <c r="O1049" s="275"/>
      <c r="P1049" s="275"/>
      <c r="Q1049" s="275"/>
      <c r="R1049" s="275"/>
      <c r="S1049" s="275"/>
      <c r="T1049" s="275"/>
    </row>
    <row r="1050" spans="1:20" ht="15" customHeight="1">
      <c r="A1050" s="275"/>
      <c r="B1050" s="303">
        <v>45470</v>
      </c>
      <c r="C1050" s="304">
        <v>24044.5</v>
      </c>
      <c r="D1050" s="289">
        <f t="shared" si="32"/>
        <v>7.3610408985448281E-3</v>
      </c>
      <c r="E1050" s="275"/>
      <c r="F1050" s="290"/>
      <c r="G1050" s="305">
        <v>45470</v>
      </c>
      <c r="H1050" s="306">
        <v>5132.7734375</v>
      </c>
      <c r="I1050" s="293">
        <f t="shared" si="33"/>
        <v>5.9050482341387765E-3</v>
      </c>
      <c r="J1050" s="289"/>
      <c r="K1050" s="275"/>
      <c r="L1050" s="290"/>
      <c r="M1050" s="275"/>
      <c r="N1050" s="275"/>
      <c r="O1050" s="275"/>
      <c r="P1050" s="275"/>
      <c r="Q1050" s="275"/>
      <c r="R1050" s="275"/>
      <c r="S1050" s="275"/>
      <c r="T1050" s="275"/>
    </row>
    <row r="1051" spans="1:20" ht="15" customHeight="1">
      <c r="A1051" s="20"/>
      <c r="B1051" s="294">
        <v>45471</v>
      </c>
      <c r="C1051" s="295">
        <v>24010.599609375</v>
      </c>
      <c r="D1051" s="296">
        <f t="shared" si="32"/>
        <v>-1.4099020825968517E-3</v>
      </c>
      <c r="E1051" s="20"/>
      <c r="F1051" s="297"/>
      <c r="G1051" s="298">
        <v>45471</v>
      </c>
      <c r="H1051" s="299">
        <v>5221.1083984375</v>
      </c>
      <c r="I1051" s="300">
        <f t="shared" si="33"/>
        <v>1.7209986377369691E-2</v>
      </c>
      <c r="J1051" s="296"/>
      <c r="K1051" s="20"/>
      <c r="L1051" s="297"/>
      <c r="M1051" s="275"/>
      <c r="N1051" s="275"/>
      <c r="O1051" s="275"/>
      <c r="P1051" s="275"/>
      <c r="Q1051" s="275"/>
      <c r="R1051" s="275"/>
      <c r="S1051" s="275"/>
      <c r="T1051" s="275"/>
    </row>
    <row r="1052" spans="1:20" ht="15" customHeight="1">
      <c r="A1052" s="275"/>
      <c r="B1052" s="303">
        <v>45474</v>
      </c>
      <c r="C1052" s="304">
        <v>24141.94921875</v>
      </c>
      <c r="D1052" s="289">
        <f t="shared" si="32"/>
        <v>5.4704843490753228E-3</v>
      </c>
      <c r="E1052" s="275"/>
      <c r="F1052" s="290"/>
      <c r="G1052" s="305">
        <v>45474</v>
      </c>
      <c r="H1052" s="306">
        <v>5243.0981445370398</v>
      </c>
      <c r="I1052" s="293">
        <f t="shared" si="33"/>
        <v>4.2117007388930341E-3</v>
      </c>
      <c r="J1052" s="289"/>
      <c r="K1052" s="275"/>
      <c r="L1052" s="290"/>
      <c r="M1052" s="275"/>
      <c r="N1052" s="275"/>
      <c r="O1052" s="275"/>
      <c r="P1052" s="275"/>
      <c r="Q1052" s="275"/>
      <c r="R1052" s="275"/>
      <c r="S1052" s="275"/>
      <c r="T1052" s="275"/>
    </row>
    <row r="1053" spans="1:20" ht="15" customHeight="1">
      <c r="A1053" s="20"/>
      <c r="B1053" s="294">
        <v>45475</v>
      </c>
      <c r="C1053" s="295">
        <v>24123.849609375</v>
      </c>
      <c r="D1053" s="296">
        <f t="shared" si="32"/>
        <v>-7.4971615634676354E-4</v>
      </c>
      <c r="E1053" s="20"/>
      <c r="F1053" s="297"/>
      <c r="G1053" s="298">
        <v>45475</v>
      </c>
      <c r="H1053" s="299">
        <v>5209.4116210879602</v>
      </c>
      <c r="I1053" s="300">
        <f t="shared" si="33"/>
        <v>-6.4249271176010326E-3</v>
      </c>
      <c r="J1053" s="296"/>
      <c r="K1053" s="20"/>
      <c r="L1053" s="297"/>
      <c r="M1053" s="275"/>
      <c r="N1053" s="275"/>
      <c r="O1053" s="275"/>
      <c r="P1053" s="275"/>
      <c r="Q1053" s="275"/>
      <c r="R1053" s="275"/>
      <c r="S1053" s="275"/>
      <c r="T1053" s="275"/>
    </row>
    <row r="1054" spans="1:20" ht="15" customHeight="1">
      <c r="A1054" s="275"/>
      <c r="B1054" s="303">
        <v>45476</v>
      </c>
      <c r="C1054" s="304">
        <v>24286.5</v>
      </c>
      <c r="D1054" s="289">
        <f t="shared" si="32"/>
        <v>6.742306607722794E-3</v>
      </c>
      <c r="E1054" s="275"/>
      <c r="F1054" s="290"/>
      <c r="G1054" s="305">
        <v>45476</v>
      </c>
      <c r="H1054" s="306">
        <v>5221.2485351620398</v>
      </c>
      <c r="I1054" s="293">
        <f t="shared" si="33"/>
        <v>2.2722170822830094E-3</v>
      </c>
      <c r="J1054" s="289"/>
      <c r="K1054" s="275"/>
      <c r="L1054" s="290"/>
      <c r="M1054" s="275"/>
      <c r="N1054" s="275"/>
      <c r="O1054" s="275"/>
      <c r="P1054" s="275"/>
      <c r="Q1054" s="275"/>
      <c r="R1054" s="275"/>
      <c r="S1054" s="275"/>
      <c r="T1054" s="275"/>
    </row>
    <row r="1055" spans="1:20" ht="15" customHeight="1">
      <c r="A1055" s="20"/>
      <c r="B1055" s="294">
        <v>45477</v>
      </c>
      <c r="C1055" s="295">
        <v>24302.150390625</v>
      </c>
      <c r="D1055" s="296">
        <f t="shared" si="32"/>
        <v>6.4440700080291519E-4</v>
      </c>
      <c r="E1055" s="20"/>
      <c r="F1055" s="297"/>
      <c r="G1055" s="298">
        <v>45477</v>
      </c>
      <c r="H1055" s="299">
        <v>5201.2236328125</v>
      </c>
      <c r="I1055" s="300">
        <f t="shared" si="33"/>
        <v>-3.8352708580493529E-3</v>
      </c>
      <c r="J1055" s="296"/>
      <c r="K1055" s="20"/>
      <c r="L1055" s="297"/>
      <c r="M1055" s="275"/>
      <c r="N1055" s="275"/>
      <c r="O1055" s="275"/>
      <c r="P1055" s="275"/>
      <c r="Q1055" s="275"/>
      <c r="R1055" s="275"/>
      <c r="S1055" s="275"/>
      <c r="T1055" s="275"/>
    </row>
    <row r="1056" spans="1:20" ht="15" customHeight="1">
      <c r="A1056" s="275"/>
      <c r="B1056" s="303">
        <v>45478</v>
      </c>
      <c r="C1056" s="304">
        <v>24323.849609375</v>
      </c>
      <c r="D1056" s="289">
        <f t="shared" si="32"/>
        <v>8.928929498506795E-4</v>
      </c>
      <c r="E1056" s="275"/>
      <c r="F1056" s="290"/>
      <c r="G1056" s="305">
        <v>45478</v>
      </c>
      <c r="H1056" s="306">
        <v>5200.9423828125</v>
      </c>
      <c r="I1056" s="293">
        <f t="shared" si="33"/>
        <v>-5.4073814135908898E-5</v>
      </c>
      <c r="J1056" s="289"/>
      <c r="K1056" s="275"/>
      <c r="L1056" s="290"/>
      <c r="M1056" s="275"/>
      <c r="N1056" s="275"/>
      <c r="O1056" s="275"/>
      <c r="P1056" s="275"/>
      <c r="Q1056" s="275"/>
      <c r="R1056" s="275"/>
      <c r="S1056" s="275"/>
      <c r="T1056" s="275"/>
    </row>
    <row r="1057" spans="1:20" ht="15" customHeight="1">
      <c r="A1057" s="20"/>
      <c r="B1057" s="294">
        <v>45481</v>
      </c>
      <c r="C1057" s="295">
        <v>24320.55078125</v>
      </c>
      <c r="D1057" s="296">
        <f t="shared" si="32"/>
        <v>-1.3562113637343622E-4</v>
      </c>
      <c r="E1057" s="20"/>
      <c r="F1057" s="297"/>
      <c r="G1057" s="298">
        <v>45481</v>
      </c>
      <c r="H1057" s="299">
        <v>5148.400390625</v>
      </c>
      <c r="I1057" s="300">
        <f t="shared" si="33"/>
        <v>-1.0102398434778854E-2</v>
      </c>
      <c r="J1057" s="296"/>
      <c r="K1057" s="20"/>
      <c r="L1057" s="297"/>
      <c r="M1057" s="275"/>
      <c r="N1057" s="275"/>
      <c r="O1057" s="275"/>
      <c r="P1057" s="275"/>
      <c r="Q1057" s="275"/>
      <c r="R1057" s="275"/>
      <c r="S1057" s="275"/>
      <c r="T1057" s="275"/>
    </row>
    <row r="1058" spans="1:20" ht="15" customHeight="1">
      <c r="A1058" s="275"/>
      <c r="B1058" s="303">
        <v>45482</v>
      </c>
      <c r="C1058" s="304">
        <v>24433.19921875</v>
      </c>
      <c r="D1058" s="289">
        <f t="shared" si="32"/>
        <v>4.631820986013468E-3</v>
      </c>
      <c r="E1058" s="275"/>
      <c r="F1058" s="290"/>
      <c r="G1058" s="305">
        <v>45482</v>
      </c>
      <c r="H1058" s="306">
        <v>5230.044921875</v>
      </c>
      <c r="I1058" s="293">
        <f t="shared" si="33"/>
        <v>1.5858232665561703E-2</v>
      </c>
      <c r="J1058" s="289"/>
      <c r="K1058" s="275"/>
      <c r="L1058" s="290"/>
      <c r="M1058" s="275"/>
      <c r="N1058" s="275"/>
      <c r="O1058" s="275"/>
      <c r="P1058" s="275"/>
      <c r="Q1058" s="275"/>
      <c r="R1058" s="275"/>
      <c r="S1058" s="275"/>
      <c r="T1058" s="275"/>
    </row>
    <row r="1059" spans="1:20" ht="15" customHeight="1">
      <c r="A1059" s="20"/>
      <c r="B1059" s="294">
        <v>45483</v>
      </c>
      <c r="C1059" s="295">
        <v>24324.44921875</v>
      </c>
      <c r="D1059" s="296">
        <f t="shared" si="32"/>
        <v>-4.4509111977667423E-3</v>
      </c>
      <c r="E1059" s="20"/>
      <c r="F1059" s="297"/>
      <c r="G1059" s="298">
        <v>45483</v>
      </c>
      <c r="H1059" s="299">
        <v>5154.8100585879602</v>
      </c>
      <c r="I1059" s="300">
        <f t="shared" si="33"/>
        <v>-1.4385127548783601E-2</v>
      </c>
      <c r="J1059" s="296"/>
      <c r="K1059" s="20"/>
      <c r="L1059" s="297"/>
      <c r="M1059" s="275"/>
      <c r="N1059" s="275"/>
      <c r="O1059" s="275"/>
      <c r="P1059" s="275"/>
      <c r="Q1059" s="275"/>
      <c r="R1059" s="275"/>
      <c r="S1059" s="275"/>
      <c r="T1059" s="275"/>
    </row>
    <row r="1060" spans="1:20" ht="15" customHeight="1">
      <c r="A1060" s="275"/>
      <c r="B1060" s="303">
        <v>45484</v>
      </c>
      <c r="C1060" s="304">
        <v>24315.94921875</v>
      </c>
      <c r="D1060" s="289">
        <f t="shared" si="32"/>
        <v>-3.4944265021417015E-4</v>
      </c>
      <c r="E1060" s="275"/>
      <c r="F1060" s="290"/>
      <c r="G1060" s="305">
        <v>45484</v>
      </c>
      <c r="H1060" s="306">
        <v>5171.1865234375</v>
      </c>
      <c r="I1060" s="293">
        <f t="shared" si="33"/>
        <v>3.1769288612790892E-3</v>
      </c>
      <c r="J1060" s="289"/>
      <c r="K1060" s="275"/>
      <c r="L1060" s="290"/>
      <c r="M1060" s="275"/>
      <c r="N1060" s="275"/>
      <c r="O1060" s="275"/>
      <c r="P1060" s="275"/>
      <c r="Q1060" s="275"/>
      <c r="R1060" s="275"/>
      <c r="S1060" s="275"/>
      <c r="T1060" s="275"/>
    </row>
    <row r="1061" spans="1:20" ht="15" customHeight="1">
      <c r="A1061" s="20"/>
      <c r="B1061" s="294">
        <v>45485</v>
      </c>
      <c r="C1061" s="295">
        <v>24502.150390625</v>
      </c>
      <c r="D1061" s="296">
        <f t="shared" si="32"/>
        <v>7.6575736443560468E-3</v>
      </c>
      <c r="E1061" s="20"/>
      <c r="F1061" s="297"/>
      <c r="G1061" s="298">
        <v>45485</v>
      </c>
      <c r="H1061" s="299">
        <v>5190.5092773379602</v>
      </c>
      <c r="I1061" s="300">
        <f t="shared" si="33"/>
        <v>3.7366190163288732E-3</v>
      </c>
      <c r="J1061" s="296"/>
      <c r="K1061" s="20"/>
      <c r="L1061" s="297"/>
      <c r="M1061" s="275"/>
      <c r="N1061" s="275"/>
      <c r="O1061" s="275"/>
      <c r="P1061" s="275"/>
      <c r="Q1061" s="275"/>
      <c r="R1061" s="275"/>
      <c r="S1061" s="275"/>
      <c r="T1061" s="275"/>
    </row>
    <row r="1062" spans="1:20" ht="15" customHeight="1">
      <c r="A1062" s="275"/>
      <c r="B1062" s="303">
        <v>45488</v>
      </c>
      <c r="C1062" s="304">
        <v>24586.69921875</v>
      </c>
      <c r="D1062" s="289">
        <f t="shared" si="32"/>
        <v>3.4506697076412537E-3</v>
      </c>
      <c r="E1062" s="275"/>
      <c r="F1062" s="290"/>
      <c r="G1062" s="305">
        <v>45488</v>
      </c>
      <c r="H1062" s="306">
        <v>5246.1396484375</v>
      </c>
      <c r="I1062" s="293">
        <f t="shared" si="33"/>
        <v>1.0717709597866438E-2</v>
      </c>
      <c r="J1062" s="289"/>
      <c r="K1062" s="275"/>
      <c r="L1062" s="290"/>
      <c r="M1062" s="275"/>
      <c r="N1062" s="275"/>
      <c r="O1062" s="275"/>
      <c r="P1062" s="275"/>
      <c r="Q1062" s="275"/>
      <c r="R1062" s="275"/>
      <c r="S1062" s="275"/>
      <c r="T1062" s="275"/>
    </row>
    <row r="1063" spans="1:20" ht="15" customHeight="1">
      <c r="A1063" s="20"/>
      <c r="B1063" s="294">
        <v>45489</v>
      </c>
      <c r="C1063" s="295">
        <v>24613</v>
      </c>
      <c r="D1063" s="296">
        <f t="shared" si="32"/>
        <v>1.0697158254550424E-3</v>
      </c>
      <c r="E1063" s="20"/>
      <c r="F1063" s="297"/>
      <c r="G1063" s="298">
        <v>45489</v>
      </c>
      <c r="H1063" s="299">
        <v>5219.7045898379602</v>
      </c>
      <c r="I1063" s="300">
        <f t="shared" si="33"/>
        <v>-5.0389544257391644E-3</v>
      </c>
      <c r="J1063" s="296"/>
      <c r="K1063" s="20"/>
      <c r="L1063" s="297"/>
      <c r="M1063" s="275"/>
      <c r="N1063" s="275"/>
      <c r="O1063" s="275"/>
      <c r="P1063" s="275"/>
      <c r="Q1063" s="275"/>
      <c r="R1063" s="275"/>
      <c r="S1063" s="275"/>
      <c r="T1063" s="275"/>
    </row>
    <row r="1064" spans="1:20" ht="15" customHeight="1">
      <c r="A1064" s="275"/>
      <c r="B1064" s="303">
        <v>45491</v>
      </c>
      <c r="C1064" s="304">
        <v>24800.849609375</v>
      </c>
      <c r="D1064" s="289">
        <f t="shared" si="32"/>
        <v>7.63212974342827E-3</v>
      </c>
      <c r="E1064" s="275"/>
      <c r="F1064" s="290"/>
      <c r="G1064" s="305">
        <v>45491</v>
      </c>
      <c r="H1064" s="306">
        <v>5148.681640625</v>
      </c>
      <c r="I1064" s="293">
        <f t="shared" si="33"/>
        <v>-1.3606698998106516E-2</v>
      </c>
      <c r="J1064" s="289"/>
      <c r="K1064" s="275"/>
      <c r="L1064" s="290"/>
      <c r="M1064" s="275"/>
      <c r="N1064" s="275"/>
      <c r="O1064" s="275"/>
      <c r="P1064" s="275"/>
      <c r="Q1064" s="275"/>
      <c r="R1064" s="275"/>
      <c r="S1064" s="275"/>
      <c r="T1064" s="275"/>
    </row>
    <row r="1065" spans="1:20" ht="15" customHeight="1">
      <c r="A1065" s="20"/>
      <c r="B1065" s="294">
        <v>45492</v>
      </c>
      <c r="C1065" s="295">
        <v>24530.900390625</v>
      </c>
      <c r="D1065" s="296">
        <f t="shared" si="32"/>
        <v>-1.0884676251089243E-2</v>
      </c>
      <c r="E1065" s="20"/>
      <c r="F1065" s="297"/>
      <c r="G1065" s="298">
        <v>45492</v>
      </c>
      <c r="H1065" s="299">
        <v>5078.9677734375</v>
      </c>
      <c r="I1065" s="300">
        <f t="shared" si="33"/>
        <v>-1.3540139409170657E-2</v>
      </c>
      <c r="J1065" s="296"/>
      <c r="K1065" s="20"/>
      <c r="L1065" s="297"/>
      <c r="M1065" s="275"/>
      <c r="N1065" s="275"/>
      <c r="O1065" s="275"/>
      <c r="P1065" s="275"/>
      <c r="Q1065" s="275"/>
      <c r="R1065" s="275"/>
      <c r="S1065" s="275"/>
      <c r="T1065" s="275"/>
    </row>
    <row r="1066" spans="1:20" ht="15" customHeight="1">
      <c r="A1066" s="275"/>
      <c r="B1066" s="303">
        <v>45495</v>
      </c>
      <c r="C1066" s="304">
        <v>24509.25</v>
      </c>
      <c r="D1066" s="289">
        <f t="shared" si="32"/>
        <v>-8.8257627238477363E-4</v>
      </c>
      <c r="E1066" s="275"/>
      <c r="F1066" s="290"/>
      <c r="G1066" s="305">
        <v>45495</v>
      </c>
      <c r="H1066" s="306">
        <v>5112.140625</v>
      </c>
      <c r="I1066" s="293">
        <f t="shared" si="33"/>
        <v>6.531416036146309E-3</v>
      </c>
      <c r="J1066" s="289"/>
      <c r="K1066" s="275"/>
      <c r="L1066" s="290"/>
      <c r="M1066" s="275"/>
      <c r="N1066" s="275"/>
      <c r="O1066" s="275"/>
      <c r="P1066" s="275"/>
      <c r="Q1066" s="275"/>
      <c r="R1066" s="275"/>
      <c r="S1066" s="275"/>
      <c r="T1066" s="275"/>
    </row>
    <row r="1067" spans="1:20" ht="15" customHeight="1">
      <c r="A1067" s="20"/>
      <c r="B1067" s="294">
        <v>45496</v>
      </c>
      <c r="C1067" s="295">
        <v>24479.05078125</v>
      </c>
      <c r="D1067" s="296">
        <f t="shared" si="32"/>
        <v>-1.2321559717249609E-3</v>
      </c>
      <c r="E1067" s="20"/>
      <c r="F1067" s="297"/>
      <c r="G1067" s="298">
        <v>45496</v>
      </c>
      <c r="H1067" s="299">
        <v>5159.3012695370398</v>
      </c>
      <c r="I1067" s="300">
        <f t="shared" si="33"/>
        <v>9.2252244209420284E-3</v>
      </c>
      <c r="J1067" s="296"/>
      <c r="K1067" s="20"/>
      <c r="L1067" s="297"/>
      <c r="M1067" s="275"/>
      <c r="N1067" s="275"/>
      <c r="O1067" s="275"/>
      <c r="P1067" s="275"/>
      <c r="Q1067" s="275"/>
      <c r="R1067" s="275"/>
      <c r="S1067" s="275"/>
      <c r="T1067" s="275"/>
    </row>
    <row r="1068" spans="1:20" ht="15" customHeight="1">
      <c r="A1068" s="275"/>
      <c r="B1068" s="303">
        <v>45497</v>
      </c>
      <c r="C1068" s="304">
        <v>24413.5</v>
      </c>
      <c r="D1068" s="289">
        <f t="shared" si="32"/>
        <v>-2.6778318259059845E-3</v>
      </c>
      <c r="E1068" s="275"/>
      <c r="F1068" s="290"/>
      <c r="G1068" s="305">
        <v>45497</v>
      </c>
      <c r="H1068" s="306">
        <v>5069.6577148379602</v>
      </c>
      <c r="I1068" s="293">
        <f t="shared" si="33"/>
        <v>-1.7375134735468489E-2</v>
      </c>
      <c r="J1068" s="289"/>
      <c r="K1068" s="275"/>
      <c r="L1068" s="290"/>
      <c r="M1068" s="275"/>
      <c r="N1068" s="275"/>
      <c r="O1068" s="275"/>
      <c r="P1068" s="275"/>
      <c r="Q1068" s="275"/>
      <c r="R1068" s="275"/>
      <c r="S1068" s="275"/>
      <c r="T1068" s="275"/>
    </row>
    <row r="1069" spans="1:20" ht="15" customHeight="1">
      <c r="A1069" s="20"/>
      <c r="B1069" s="294">
        <v>45498</v>
      </c>
      <c r="C1069" s="295">
        <v>24406.099609375</v>
      </c>
      <c r="D1069" s="296">
        <f t="shared" si="32"/>
        <v>-3.031269840457124E-4</v>
      </c>
      <c r="E1069" s="20"/>
      <c r="F1069" s="297"/>
      <c r="G1069" s="298">
        <v>45498</v>
      </c>
      <c r="H1069" s="299">
        <v>5056.0419921875</v>
      </c>
      <c r="I1069" s="300">
        <f t="shared" si="33"/>
        <v>-2.6857281923806076E-3</v>
      </c>
      <c r="J1069" s="296"/>
      <c r="K1069" s="20"/>
      <c r="L1069" s="297"/>
      <c r="M1069" s="275"/>
      <c r="N1069" s="275"/>
      <c r="O1069" s="275"/>
      <c r="P1069" s="275"/>
      <c r="Q1069" s="275"/>
      <c r="R1069" s="275"/>
      <c r="S1069" s="275"/>
      <c r="T1069" s="275"/>
    </row>
    <row r="1070" spans="1:20" ht="15" customHeight="1">
      <c r="A1070" s="275"/>
      <c r="B1070" s="303">
        <v>45499</v>
      </c>
      <c r="C1070" s="304">
        <v>24834.849609375</v>
      </c>
      <c r="D1070" s="289">
        <f t="shared" si="32"/>
        <v>1.756732976027461E-2</v>
      </c>
      <c r="E1070" s="275"/>
      <c r="F1070" s="290"/>
      <c r="G1070" s="305">
        <v>45499</v>
      </c>
      <c r="H1070" s="306">
        <v>5126.8784179629602</v>
      </c>
      <c r="I1070" s="293">
        <f t="shared" si="33"/>
        <v>1.4010252661056861E-2</v>
      </c>
      <c r="J1070" s="289"/>
      <c r="K1070" s="275"/>
      <c r="L1070" s="290"/>
      <c r="M1070" s="275"/>
      <c r="N1070" s="275"/>
      <c r="O1070" s="275"/>
      <c r="P1070" s="275"/>
      <c r="Q1070" s="275"/>
      <c r="R1070" s="275"/>
      <c r="S1070" s="275"/>
      <c r="T1070" s="275"/>
    </row>
    <row r="1071" spans="1:20" ht="15" customHeight="1">
      <c r="A1071" s="20"/>
      <c r="B1071" s="294">
        <v>45502</v>
      </c>
      <c r="C1071" s="295">
        <v>24836.099609375</v>
      </c>
      <c r="D1071" s="296">
        <f t="shared" si="32"/>
        <v>5.0332497263367071E-5</v>
      </c>
      <c r="E1071" s="20"/>
      <c r="F1071" s="297"/>
      <c r="G1071" s="298">
        <v>45502</v>
      </c>
      <c r="H1071" s="299">
        <v>5075.8330078125</v>
      </c>
      <c r="I1071" s="300">
        <f t="shared" si="33"/>
        <v>-9.9564307925877841E-3</v>
      </c>
      <c r="J1071" s="296"/>
      <c r="K1071" s="20"/>
      <c r="L1071" s="297"/>
      <c r="M1071" s="275"/>
      <c r="N1071" s="275"/>
      <c r="O1071" s="275"/>
      <c r="P1071" s="275"/>
      <c r="Q1071" s="275"/>
      <c r="R1071" s="275"/>
      <c r="S1071" s="275"/>
      <c r="T1071" s="275"/>
    </row>
    <row r="1072" spans="1:20" ht="15" customHeight="1">
      <c r="A1072" s="275"/>
      <c r="B1072" s="303">
        <v>45503</v>
      </c>
      <c r="C1072" s="304">
        <v>24857.30078125</v>
      </c>
      <c r="D1072" s="289">
        <f t="shared" si="32"/>
        <v>8.5364337430008915E-4</v>
      </c>
      <c r="E1072" s="275"/>
      <c r="F1072" s="290"/>
      <c r="G1072" s="305">
        <v>45503</v>
      </c>
      <c r="H1072" s="306">
        <v>5094.5014648379602</v>
      </c>
      <c r="I1072" s="293">
        <f t="shared" si="33"/>
        <v>3.6779100093967797E-3</v>
      </c>
      <c r="J1072" s="289"/>
      <c r="K1072" s="275"/>
      <c r="L1072" s="290"/>
      <c r="M1072" s="275"/>
      <c r="N1072" s="275"/>
      <c r="O1072" s="275"/>
      <c r="P1072" s="275"/>
      <c r="Q1072" s="275"/>
      <c r="R1072" s="275"/>
      <c r="S1072" s="275"/>
      <c r="T1072" s="275"/>
    </row>
    <row r="1073" spans="1:20" ht="15" customHeight="1">
      <c r="A1073" s="20"/>
      <c r="B1073" s="294">
        <v>45504</v>
      </c>
      <c r="C1073" s="295">
        <v>24951.150390625</v>
      </c>
      <c r="D1073" s="296">
        <f t="shared" si="32"/>
        <v>3.7755350108564997E-3</v>
      </c>
      <c r="E1073" s="20"/>
      <c r="F1073" s="297"/>
      <c r="G1073" s="298">
        <v>45504</v>
      </c>
      <c r="H1073" s="299">
        <v>5135.8149414120398</v>
      </c>
      <c r="I1073" s="300">
        <f t="shared" si="33"/>
        <v>8.109424810106269E-3</v>
      </c>
      <c r="J1073" s="296"/>
      <c r="K1073" s="20"/>
      <c r="L1073" s="297"/>
      <c r="M1073" s="275"/>
      <c r="N1073" s="275"/>
      <c r="O1073" s="275"/>
      <c r="P1073" s="275"/>
      <c r="Q1073" s="275"/>
      <c r="R1073" s="275"/>
      <c r="S1073" s="275"/>
      <c r="T1073" s="275"/>
    </row>
    <row r="1074" spans="1:20" ht="15" customHeight="1">
      <c r="A1074" s="275"/>
      <c r="B1074" s="303">
        <v>45505</v>
      </c>
      <c r="C1074" s="304">
        <v>25010.900390625</v>
      </c>
      <c r="D1074" s="289">
        <f t="shared" si="32"/>
        <v>2.3946791656728628E-3</v>
      </c>
      <c r="E1074" s="275"/>
      <c r="F1074" s="290"/>
      <c r="G1074" s="305">
        <v>45505</v>
      </c>
      <c r="H1074" s="306">
        <v>5063.6108398379602</v>
      </c>
      <c r="I1074" s="293">
        <f t="shared" si="33"/>
        <v>-1.4058937558647296E-2</v>
      </c>
      <c r="J1074" s="289"/>
      <c r="K1074" s="275"/>
      <c r="L1074" s="290"/>
      <c r="M1074" s="275"/>
      <c r="N1074" s="275"/>
      <c r="O1074" s="275"/>
      <c r="P1074" s="275"/>
      <c r="Q1074" s="275"/>
      <c r="R1074" s="275"/>
      <c r="S1074" s="275"/>
      <c r="T1074" s="275"/>
    </row>
    <row r="1075" spans="1:20" ht="15" customHeight="1">
      <c r="A1075" s="20"/>
      <c r="B1075" s="294">
        <v>45506</v>
      </c>
      <c r="C1075" s="295">
        <v>24717.69921875</v>
      </c>
      <c r="D1075" s="296">
        <f t="shared" si="32"/>
        <v>-1.1722935491954641E-2</v>
      </c>
      <c r="E1075" s="20"/>
      <c r="F1075" s="297"/>
      <c r="G1075" s="298">
        <v>45506</v>
      </c>
      <c r="H1075" s="299">
        <v>4971.5634765625</v>
      </c>
      <c r="I1075" s="300">
        <f t="shared" si="33"/>
        <v>-1.8178206459168917E-2</v>
      </c>
      <c r="J1075" s="296"/>
      <c r="K1075" s="20"/>
      <c r="L1075" s="297"/>
      <c r="M1075" s="275"/>
      <c r="N1075" s="275"/>
      <c r="O1075" s="275"/>
      <c r="P1075" s="275"/>
      <c r="Q1075" s="275"/>
      <c r="R1075" s="275"/>
      <c r="S1075" s="275"/>
      <c r="T1075" s="275"/>
    </row>
    <row r="1076" spans="1:20" ht="15" customHeight="1">
      <c r="A1076" s="275"/>
      <c r="B1076" s="303">
        <v>45509</v>
      </c>
      <c r="C1076" s="304">
        <v>24055.599609375</v>
      </c>
      <c r="D1076" s="289">
        <f t="shared" si="32"/>
        <v>-2.6786457894622889E-2</v>
      </c>
      <c r="E1076" s="275"/>
      <c r="F1076" s="290"/>
      <c r="G1076" s="305">
        <v>45509</v>
      </c>
      <c r="H1076" s="306">
        <v>4886.4448242129602</v>
      </c>
      <c r="I1076" s="293">
        <f t="shared" si="33"/>
        <v>-1.7121103401538711E-2</v>
      </c>
      <c r="J1076" s="289"/>
      <c r="K1076" s="275"/>
      <c r="L1076" s="290"/>
      <c r="M1076" s="275"/>
      <c r="N1076" s="275"/>
      <c r="O1076" s="275"/>
      <c r="P1076" s="275"/>
      <c r="Q1076" s="275"/>
      <c r="R1076" s="275"/>
      <c r="S1076" s="275"/>
      <c r="T1076" s="275"/>
    </row>
    <row r="1077" spans="1:20" ht="15" customHeight="1">
      <c r="A1077" s="20"/>
      <c r="B1077" s="294">
        <v>45510</v>
      </c>
      <c r="C1077" s="295">
        <v>23992.55078125</v>
      </c>
      <c r="D1077" s="296">
        <f t="shared" si="32"/>
        <v>-2.6209626510589443E-3</v>
      </c>
      <c r="E1077" s="20"/>
      <c r="F1077" s="297"/>
      <c r="G1077" s="298">
        <v>45510</v>
      </c>
      <c r="H1077" s="299">
        <v>4876.9243164120398</v>
      </c>
      <c r="I1077" s="300">
        <f t="shared" si="33"/>
        <v>-1.9483506196048665E-3</v>
      </c>
      <c r="J1077" s="296"/>
      <c r="K1077" s="20"/>
      <c r="L1077" s="297"/>
      <c r="M1077" s="275"/>
      <c r="N1077" s="275"/>
      <c r="O1077" s="275"/>
      <c r="P1077" s="275"/>
      <c r="Q1077" s="275"/>
      <c r="R1077" s="275"/>
      <c r="S1077" s="275"/>
      <c r="T1077" s="275"/>
    </row>
    <row r="1078" spans="1:20" ht="15" customHeight="1">
      <c r="A1078" s="275"/>
      <c r="B1078" s="303">
        <v>45511</v>
      </c>
      <c r="C1078" s="304">
        <v>24297.5</v>
      </c>
      <c r="D1078" s="289">
        <f t="shared" si="32"/>
        <v>1.2710162480444369E-2</v>
      </c>
      <c r="E1078" s="275"/>
      <c r="F1078" s="290"/>
      <c r="G1078" s="305">
        <v>45511</v>
      </c>
      <c r="H1078" s="306">
        <v>4940.4096679629602</v>
      </c>
      <c r="I1078" s="293">
        <f t="shared" si="33"/>
        <v>1.3017497798207904E-2</v>
      </c>
      <c r="J1078" s="289"/>
      <c r="K1078" s="275"/>
      <c r="L1078" s="290"/>
      <c r="M1078" s="275"/>
      <c r="N1078" s="275"/>
      <c r="O1078" s="275"/>
      <c r="P1078" s="275"/>
      <c r="Q1078" s="275"/>
      <c r="R1078" s="275"/>
      <c r="S1078" s="275"/>
      <c r="T1078" s="275"/>
    </row>
    <row r="1079" spans="1:20" ht="15" customHeight="1">
      <c r="A1079" s="20"/>
      <c r="B1079" s="294">
        <v>45512</v>
      </c>
      <c r="C1079" s="295">
        <v>24117</v>
      </c>
      <c r="D1079" s="296">
        <f t="shared" si="32"/>
        <v>-7.428747813561066E-3</v>
      </c>
      <c r="E1079" s="20"/>
      <c r="F1079" s="297"/>
      <c r="G1079" s="298">
        <v>45512</v>
      </c>
      <c r="H1079" s="299">
        <v>4862.8793945370398</v>
      </c>
      <c r="I1079" s="300">
        <f t="shared" si="33"/>
        <v>-1.56930859253799E-2</v>
      </c>
      <c r="J1079" s="296"/>
      <c r="K1079" s="20"/>
      <c r="L1079" s="297"/>
      <c r="M1079" s="275"/>
      <c r="N1079" s="275"/>
      <c r="O1079" s="275"/>
      <c r="P1079" s="275"/>
      <c r="Q1079" s="275"/>
      <c r="R1079" s="275"/>
      <c r="S1079" s="275"/>
      <c r="T1079" s="275"/>
    </row>
    <row r="1080" spans="1:20" ht="15" customHeight="1">
      <c r="A1080" s="275"/>
      <c r="B1080" s="303">
        <v>45513</v>
      </c>
      <c r="C1080" s="304">
        <v>24367.5</v>
      </c>
      <c r="D1080" s="289">
        <f t="shared" si="32"/>
        <v>1.0386864037815649E-2</v>
      </c>
      <c r="E1080" s="275"/>
      <c r="F1080" s="290"/>
      <c r="G1080" s="305">
        <v>45513</v>
      </c>
      <c r="H1080" s="306">
        <v>4908.408203125</v>
      </c>
      <c r="I1080" s="293">
        <f t="shared" si="33"/>
        <v>9.3625206167167619E-3</v>
      </c>
      <c r="J1080" s="289"/>
      <c r="K1080" s="275"/>
      <c r="L1080" s="290"/>
      <c r="M1080" s="275"/>
      <c r="N1080" s="275"/>
      <c r="O1080" s="275"/>
      <c r="P1080" s="275"/>
      <c r="Q1080" s="275"/>
      <c r="R1080" s="275"/>
      <c r="S1080" s="275"/>
      <c r="T1080" s="275"/>
    </row>
    <row r="1081" spans="1:20" ht="15" customHeight="1">
      <c r="A1081" s="20"/>
      <c r="B1081" s="294">
        <v>45516</v>
      </c>
      <c r="C1081" s="295">
        <v>24347</v>
      </c>
      <c r="D1081" s="296">
        <f t="shared" si="32"/>
        <v>-8.412844977941931E-4</v>
      </c>
      <c r="E1081" s="20"/>
      <c r="F1081" s="297"/>
      <c r="G1081" s="298">
        <v>45516</v>
      </c>
      <c r="H1081" s="299">
        <v>5007.0532226620398</v>
      </c>
      <c r="I1081" s="300">
        <f t="shared" si="33"/>
        <v>2.0097150737022288E-2</v>
      </c>
      <c r="J1081" s="296"/>
      <c r="K1081" s="20"/>
      <c r="L1081" s="297"/>
      <c r="M1081" s="275"/>
      <c r="N1081" s="275"/>
      <c r="O1081" s="275"/>
      <c r="P1081" s="275"/>
      <c r="Q1081" s="275"/>
      <c r="R1081" s="275"/>
      <c r="S1081" s="275"/>
      <c r="T1081" s="275"/>
    </row>
    <row r="1082" spans="1:20" ht="15" customHeight="1">
      <c r="A1082" s="275"/>
      <c r="B1082" s="303">
        <v>45517</v>
      </c>
      <c r="C1082" s="304">
        <v>24139</v>
      </c>
      <c r="D1082" s="289">
        <f t="shared" si="32"/>
        <v>-8.5431469996303452E-3</v>
      </c>
      <c r="E1082" s="275"/>
      <c r="F1082" s="290"/>
      <c r="G1082" s="305">
        <v>45517</v>
      </c>
      <c r="H1082" s="306">
        <v>4944.5102539120398</v>
      </c>
      <c r="I1082" s="293">
        <f t="shared" si="33"/>
        <v>-1.2490973426631269E-2</v>
      </c>
      <c r="J1082" s="289"/>
      <c r="K1082" s="275"/>
      <c r="L1082" s="290"/>
      <c r="M1082" s="275"/>
      <c r="N1082" s="275"/>
      <c r="O1082" s="275"/>
      <c r="P1082" s="275"/>
      <c r="Q1082" s="275"/>
      <c r="R1082" s="275"/>
      <c r="S1082" s="275"/>
      <c r="T1082" s="275"/>
    </row>
    <row r="1083" spans="1:20" ht="15" customHeight="1">
      <c r="A1083" s="20"/>
      <c r="B1083" s="294">
        <v>45518</v>
      </c>
      <c r="C1083" s="295">
        <v>24143.75</v>
      </c>
      <c r="D1083" s="296">
        <f t="shared" si="32"/>
        <v>1.9677699987571978E-4</v>
      </c>
      <c r="E1083" s="20"/>
      <c r="F1083" s="297"/>
      <c r="G1083" s="298">
        <v>45518</v>
      </c>
      <c r="H1083" s="299">
        <v>4781.3901367129602</v>
      </c>
      <c r="I1083" s="300">
        <f t="shared" si="33"/>
        <v>-3.2990146409347804E-2</v>
      </c>
      <c r="J1083" s="296"/>
      <c r="K1083" s="20"/>
      <c r="L1083" s="297"/>
      <c r="M1083" s="275"/>
      <c r="N1083" s="275"/>
      <c r="O1083" s="275"/>
      <c r="P1083" s="275"/>
      <c r="Q1083" s="275"/>
      <c r="R1083" s="275"/>
      <c r="S1083" s="275"/>
      <c r="T1083" s="275"/>
    </row>
    <row r="1084" spans="1:20" ht="15" customHeight="1">
      <c r="A1084" s="275"/>
      <c r="B1084" s="303">
        <v>45520</v>
      </c>
      <c r="C1084" s="304">
        <v>24541.150390625</v>
      </c>
      <c r="D1084" s="289">
        <f t="shared" si="32"/>
        <v>1.6459762490292518E-2</v>
      </c>
      <c r="E1084" s="275"/>
      <c r="F1084" s="290"/>
      <c r="G1084" s="305">
        <v>45520</v>
      </c>
      <c r="H1084" s="306">
        <v>4833.8471679629602</v>
      </c>
      <c r="I1084" s="293">
        <f t="shared" si="33"/>
        <v>1.0971083670252934E-2</v>
      </c>
      <c r="J1084" s="289"/>
      <c r="K1084" s="275"/>
      <c r="L1084" s="290"/>
      <c r="M1084" s="275"/>
      <c r="N1084" s="275"/>
      <c r="O1084" s="275"/>
      <c r="P1084" s="275"/>
      <c r="Q1084" s="275"/>
      <c r="R1084" s="275"/>
      <c r="S1084" s="275"/>
      <c r="T1084" s="275"/>
    </row>
    <row r="1085" spans="1:20" ht="15" customHeight="1">
      <c r="A1085" s="20"/>
      <c r="B1085" s="294">
        <v>45523</v>
      </c>
      <c r="C1085" s="295">
        <v>24572.650390625</v>
      </c>
      <c r="D1085" s="296">
        <f t="shared" si="32"/>
        <v>1.2835584110202657E-3</v>
      </c>
      <c r="E1085" s="20"/>
      <c r="F1085" s="297"/>
      <c r="G1085" s="298">
        <v>45523</v>
      </c>
      <c r="H1085" s="299">
        <v>4891.1577148379602</v>
      </c>
      <c r="I1085" s="300">
        <f t="shared" si="33"/>
        <v>1.1856094097230496E-2</v>
      </c>
      <c r="J1085" s="296"/>
      <c r="K1085" s="20"/>
      <c r="L1085" s="297"/>
      <c r="M1085" s="275"/>
      <c r="N1085" s="275"/>
      <c r="O1085" s="275"/>
      <c r="P1085" s="275"/>
      <c r="Q1085" s="275"/>
      <c r="R1085" s="275"/>
      <c r="S1085" s="275"/>
      <c r="T1085" s="275"/>
    </row>
    <row r="1086" spans="1:20" ht="15" customHeight="1">
      <c r="A1086" s="275"/>
      <c r="B1086" s="303">
        <v>45524</v>
      </c>
      <c r="C1086" s="304">
        <v>24698.849609375</v>
      </c>
      <c r="D1086" s="289">
        <f t="shared" si="32"/>
        <v>5.1357593399101852E-3</v>
      </c>
      <c r="E1086" s="275"/>
      <c r="F1086" s="290"/>
      <c r="G1086" s="305">
        <v>45524</v>
      </c>
      <c r="H1086" s="306">
        <v>4943.4731445370398</v>
      </c>
      <c r="I1086" s="293">
        <f t="shared" si="33"/>
        <v>1.0695919606185272E-2</v>
      </c>
      <c r="J1086" s="289"/>
      <c r="K1086" s="275"/>
      <c r="L1086" s="290"/>
      <c r="M1086" s="275"/>
      <c r="N1086" s="275"/>
      <c r="O1086" s="275"/>
      <c r="P1086" s="275"/>
      <c r="Q1086" s="275"/>
      <c r="R1086" s="275"/>
      <c r="S1086" s="275"/>
      <c r="T1086" s="275"/>
    </row>
    <row r="1087" spans="1:20" ht="15" customHeight="1">
      <c r="A1087" s="20"/>
      <c r="B1087" s="294">
        <v>45525</v>
      </c>
      <c r="C1087" s="295">
        <v>24770.19921875</v>
      </c>
      <c r="D1087" s="296">
        <f t="shared" si="32"/>
        <v>2.8887826964992596E-3</v>
      </c>
      <c r="E1087" s="20"/>
      <c r="F1087" s="297"/>
      <c r="G1087" s="298">
        <v>45525</v>
      </c>
      <c r="H1087" s="299">
        <v>4981.4614257870398</v>
      </c>
      <c r="I1087" s="300">
        <f t="shared" si="33"/>
        <v>7.6845327443480294E-3</v>
      </c>
      <c r="J1087" s="296"/>
      <c r="K1087" s="20"/>
      <c r="L1087" s="297"/>
      <c r="M1087" s="275"/>
      <c r="N1087" s="275"/>
      <c r="O1087" s="275"/>
      <c r="P1087" s="275"/>
      <c r="Q1087" s="275"/>
      <c r="R1087" s="275"/>
      <c r="S1087" s="275"/>
      <c r="T1087" s="275"/>
    </row>
    <row r="1088" spans="1:20" ht="15" customHeight="1">
      <c r="A1088" s="275"/>
      <c r="B1088" s="303">
        <v>45526</v>
      </c>
      <c r="C1088" s="304">
        <v>24811.5</v>
      </c>
      <c r="D1088" s="289">
        <f t="shared" si="32"/>
        <v>1.667357653657345E-3</v>
      </c>
      <c r="E1088" s="275"/>
      <c r="F1088" s="290"/>
      <c r="G1088" s="305">
        <v>45526</v>
      </c>
      <c r="H1088" s="306">
        <v>5024.1147460879602</v>
      </c>
      <c r="I1088" s="293">
        <f t="shared" si="33"/>
        <v>8.5624110386805525E-3</v>
      </c>
      <c r="J1088" s="289"/>
      <c r="K1088" s="275"/>
      <c r="L1088" s="290"/>
      <c r="M1088" s="275"/>
      <c r="N1088" s="275"/>
      <c r="O1088" s="275"/>
      <c r="P1088" s="275"/>
      <c r="Q1088" s="275"/>
      <c r="R1088" s="275"/>
      <c r="S1088" s="275"/>
      <c r="T1088" s="275"/>
    </row>
    <row r="1089" spans="1:20" ht="15" customHeight="1">
      <c r="A1089" s="20"/>
      <c r="B1089" s="294">
        <v>45527</v>
      </c>
      <c r="C1089" s="295">
        <v>24823.150390625</v>
      </c>
      <c r="D1089" s="296">
        <f t="shared" si="32"/>
        <v>4.6955607782681415E-4</v>
      </c>
      <c r="E1089" s="20"/>
      <c r="F1089" s="297"/>
      <c r="G1089" s="298">
        <v>45527</v>
      </c>
      <c r="H1089" s="299">
        <v>5075.9116210879602</v>
      </c>
      <c r="I1089" s="300">
        <f t="shared" si="33"/>
        <v>1.0309652071607594E-2</v>
      </c>
      <c r="J1089" s="296"/>
      <c r="K1089" s="20"/>
      <c r="L1089" s="297"/>
      <c r="M1089" s="275"/>
      <c r="N1089" s="275"/>
      <c r="O1089" s="275"/>
      <c r="P1089" s="275"/>
      <c r="Q1089" s="275"/>
      <c r="R1089" s="275"/>
      <c r="S1089" s="275"/>
      <c r="T1089" s="275"/>
    </row>
    <row r="1090" spans="1:20" ht="15" customHeight="1">
      <c r="A1090" s="275"/>
      <c r="B1090" s="303">
        <v>45530</v>
      </c>
      <c r="C1090" s="304">
        <v>25010.599609375</v>
      </c>
      <c r="D1090" s="289">
        <f t="shared" si="32"/>
        <v>7.551387144670978E-3</v>
      </c>
      <c r="E1090" s="275"/>
      <c r="F1090" s="290"/>
      <c r="G1090" s="305">
        <v>45530</v>
      </c>
      <c r="H1090" s="306">
        <v>5037.1225585879602</v>
      </c>
      <c r="I1090" s="293">
        <f t="shared" si="33"/>
        <v>-7.641792331223851E-3</v>
      </c>
      <c r="J1090" s="289"/>
      <c r="K1090" s="275"/>
      <c r="L1090" s="290"/>
      <c r="M1090" s="275"/>
      <c r="N1090" s="275"/>
      <c r="O1090" s="275"/>
      <c r="P1090" s="275"/>
      <c r="Q1090" s="275"/>
      <c r="R1090" s="275"/>
      <c r="S1090" s="275"/>
      <c r="T1090" s="275"/>
    </row>
    <row r="1091" spans="1:20" ht="15" customHeight="1">
      <c r="A1091" s="20"/>
      <c r="B1091" s="294">
        <v>45531</v>
      </c>
      <c r="C1091" s="295">
        <v>25017.75</v>
      </c>
      <c r="D1091" s="296">
        <f t="shared" si="32"/>
        <v>2.8589441023715959E-4</v>
      </c>
      <c r="E1091" s="20"/>
      <c r="F1091" s="297"/>
      <c r="G1091" s="298">
        <v>45531</v>
      </c>
      <c r="H1091" s="299">
        <v>5049.1879882870398</v>
      </c>
      <c r="I1091" s="300">
        <f t="shared" si="33"/>
        <v>2.3953019921083571E-3</v>
      </c>
      <c r="J1091" s="296"/>
      <c r="K1091" s="20"/>
      <c r="L1091" s="297"/>
      <c r="M1091" s="275"/>
      <c r="N1091" s="275"/>
      <c r="O1091" s="275"/>
      <c r="P1091" s="275"/>
      <c r="Q1091" s="275"/>
      <c r="R1091" s="275"/>
      <c r="S1091" s="275"/>
      <c r="T1091" s="275"/>
    </row>
    <row r="1092" spans="1:20" ht="15" customHeight="1">
      <c r="A1092" s="275"/>
      <c r="B1092" s="303">
        <v>45532</v>
      </c>
      <c r="C1092" s="304">
        <v>25052.349609375</v>
      </c>
      <c r="D1092" s="289">
        <f t="shared" si="32"/>
        <v>1.3830024432652816E-3</v>
      </c>
      <c r="E1092" s="275"/>
      <c r="F1092" s="290"/>
      <c r="G1092" s="305">
        <v>45532</v>
      </c>
      <c r="H1092" s="306">
        <v>5006.62890625</v>
      </c>
      <c r="I1092" s="293">
        <f t="shared" si="33"/>
        <v>-8.4288963167477964E-3</v>
      </c>
      <c r="J1092" s="289"/>
      <c r="K1092" s="275"/>
      <c r="L1092" s="290"/>
      <c r="M1092" s="275"/>
      <c r="N1092" s="275"/>
      <c r="O1092" s="275"/>
      <c r="P1092" s="275"/>
      <c r="Q1092" s="275"/>
      <c r="R1092" s="275"/>
      <c r="S1092" s="275"/>
      <c r="T1092" s="275"/>
    </row>
    <row r="1093" spans="1:20" ht="15" customHeight="1">
      <c r="A1093" s="20"/>
      <c r="B1093" s="294">
        <v>45533</v>
      </c>
      <c r="C1093" s="295">
        <v>25151.94921875</v>
      </c>
      <c r="D1093" s="296">
        <f t="shared" ref="D1093:D1156" si="34">(C1093-C1092)/C1092</f>
        <v>3.9756594063228385E-3</v>
      </c>
      <c r="E1093" s="20"/>
      <c r="F1093" s="297"/>
      <c r="G1093" s="298">
        <v>45533</v>
      </c>
      <c r="H1093" s="299">
        <v>5066.1079101620398</v>
      </c>
      <c r="I1093" s="300">
        <f t="shared" ref="I1093:I1156" si="35">(H1093-H1092)/H1092</f>
        <v>1.1880050434293129E-2</v>
      </c>
      <c r="J1093" s="296"/>
      <c r="K1093" s="20"/>
      <c r="L1093" s="297"/>
      <c r="M1093" s="275"/>
      <c r="N1093" s="275"/>
      <c r="O1093" s="275"/>
      <c r="P1093" s="275"/>
      <c r="Q1093" s="275"/>
      <c r="R1093" s="275"/>
      <c r="S1093" s="275"/>
      <c r="T1093" s="275"/>
    </row>
    <row r="1094" spans="1:20" ht="15" customHeight="1">
      <c r="A1094" s="275"/>
      <c r="B1094" s="303">
        <v>45534</v>
      </c>
      <c r="C1094" s="304">
        <v>25235.900390625</v>
      </c>
      <c r="D1094" s="289">
        <f t="shared" si="34"/>
        <v>3.3377600735777966E-3</v>
      </c>
      <c r="E1094" s="275"/>
      <c r="F1094" s="290"/>
      <c r="G1094" s="305">
        <v>45534</v>
      </c>
      <c r="H1094" s="306">
        <v>5142.3657226620398</v>
      </c>
      <c r="I1094" s="293">
        <f t="shared" si="35"/>
        <v>1.5052544053993687E-2</v>
      </c>
      <c r="J1094" s="289"/>
      <c r="K1094" s="275"/>
      <c r="L1094" s="290"/>
      <c r="M1094" s="275"/>
      <c r="N1094" s="275"/>
      <c r="O1094" s="275"/>
      <c r="P1094" s="275"/>
      <c r="Q1094" s="275"/>
      <c r="R1094" s="275"/>
      <c r="S1094" s="275"/>
      <c r="T1094" s="275"/>
    </row>
    <row r="1095" spans="1:20" ht="15" customHeight="1">
      <c r="A1095" s="20"/>
      <c r="B1095" s="294">
        <v>45537</v>
      </c>
      <c r="C1095" s="295">
        <v>25278.69921875</v>
      </c>
      <c r="D1095" s="296">
        <f t="shared" si="34"/>
        <v>1.6959501132323192E-3</v>
      </c>
      <c r="E1095" s="20"/>
      <c r="F1095" s="297"/>
      <c r="G1095" s="298">
        <v>45537</v>
      </c>
      <c r="H1095" s="299">
        <v>5258.1196289120398</v>
      </c>
      <c r="I1095" s="300">
        <f t="shared" si="35"/>
        <v>2.2509854898083343E-2</v>
      </c>
      <c r="J1095" s="296"/>
      <c r="K1095" s="20"/>
      <c r="L1095" s="297"/>
      <c r="M1095" s="275"/>
      <c r="N1095" s="275"/>
      <c r="O1095" s="275"/>
      <c r="P1095" s="275"/>
      <c r="Q1095" s="275"/>
      <c r="R1095" s="275"/>
      <c r="S1095" s="275"/>
      <c r="T1095" s="275"/>
    </row>
    <row r="1096" spans="1:20" ht="15" customHeight="1">
      <c r="A1096" s="275"/>
      <c r="B1096" s="303">
        <v>45538</v>
      </c>
      <c r="C1096" s="304">
        <v>25279.849609375</v>
      </c>
      <c r="D1096" s="289">
        <f t="shared" si="34"/>
        <v>4.5508299894905958E-5</v>
      </c>
      <c r="E1096" s="275"/>
      <c r="F1096" s="290"/>
      <c r="G1096" s="305">
        <v>45538</v>
      </c>
      <c r="H1096" s="306">
        <v>5322.5004882870398</v>
      </c>
      <c r="I1096" s="293">
        <f t="shared" si="35"/>
        <v>1.2244084181919055E-2</v>
      </c>
      <c r="J1096" s="289"/>
      <c r="K1096" s="275"/>
      <c r="L1096" s="290"/>
      <c r="M1096" s="275"/>
      <c r="N1096" s="275"/>
      <c r="O1096" s="275"/>
      <c r="P1096" s="275"/>
      <c r="Q1096" s="275"/>
      <c r="R1096" s="275"/>
      <c r="S1096" s="275"/>
      <c r="T1096" s="275"/>
    </row>
    <row r="1097" spans="1:20" ht="15" customHeight="1">
      <c r="A1097" s="20"/>
      <c r="B1097" s="294">
        <v>45539</v>
      </c>
      <c r="C1097" s="295">
        <v>25198.69921875</v>
      </c>
      <c r="D1097" s="296">
        <f t="shared" si="34"/>
        <v>-3.2100820170585776E-3</v>
      </c>
      <c r="E1097" s="20"/>
      <c r="F1097" s="297"/>
      <c r="G1097" s="298">
        <v>45539</v>
      </c>
      <c r="H1097" s="299">
        <v>5357.61328125</v>
      </c>
      <c r="I1097" s="300">
        <f t="shared" si="35"/>
        <v>6.5970483309923823E-3</v>
      </c>
      <c r="J1097" s="296"/>
      <c r="K1097" s="20"/>
      <c r="L1097" s="297"/>
      <c r="M1097" s="275"/>
      <c r="N1097" s="275"/>
      <c r="O1097" s="275"/>
      <c r="P1097" s="275"/>
      <c r="Q1097" s="275"/>
      <c r="R1097" s="275"/>
      <c r="S1097" s="275"/>
      <c r="T1097" s="275"/>
    </row>
    <row r="1098" spans="1:20" ht="15" customHeight="1">
      <c r="A1098" s="275"/>
      <c r="B1098" s="303">
        <v>45540</v>
      </c>
      <c r="C1098" s="304">
        <v>25145.099609375</v>
      </c>
      <c r="D1098" s="289">
        <f t="shared" si="34"/>
        <v>-2.1270784221717794E-3</v>
      </c>
      <c r="E1098" s="275"/>
      <c r="F1098" s="290"/>
      <c r="G1098" s="305">
        <v>45540</v>
      </c>
      <c r="H1098" s="306">
        <v>5405.1684570370398</v>
      </c>
      <c r="I1098" s="293">
        <f t="shared" si="35"/>
        <v>8.8761867067689154E-3</v>
      </c>
      <c r="J1098" s="289"/>
      <c r="K1098" s="275"/>
      <c r="L1098" s="290"/>
      <c r="M1098" s="275"/>
      <c r="N1098" s="275"/>
      <c r="O1098" s="275"/>
      <c r="P1098" s="275"/>
      <c r="Q1098" s="275"/>
      <c r="R1098" s="275"/>
      <c r="S1098" s="275"/>
      <c r="T1098" s="275"/>
    </row>
    <row r="1099" spans="1:20" ht="15" customHeight="1">
      <c r="A1099" s="20"/>
      <c r="B1099" s="294">
        <v>45541</v>
      </c>
      <c r="C1099" s="295">
        <v>24852.150390625</v>
      </c>
      <c r="D1099" s="296">
        <f t="shared" si="34"/>
        <v>-1.1650350298901897E-2</v>
      </c>
      <c r="E1099" s="20"/>
      <c r="F1099" s="297"/>
      <c r="G1099" s="298">
        <v>45541</v>
      </c>
      <c r="H1099" s="299">
        <v>5414.1704101620398</v>
      </c>
      <c r="I1099" s="300">
        <f t="shared" si="35"/>
        <v>1.6654343331853555E-3</v>
      </c>
      <c r="J1099" s="296"/>
      <c r="K1099" s="20"/>
      <c r="L1099" s="297"/>
      <c r="M1099" s="275"/>
      <c r="N1099" s="275"/>
      <c r="O1099" s="275"/>
      <c r="P1099" s="275"/>
      <c r="Q1099" s="275"/>
      <c r="R1099" s="275"/>
      <c r="S1099" s="275"/>
      <c r="T1099" s="275"/>
    </row>
    <row r="1100" spans="1:20" ht="15" customHeight="1">
      <c r="A1100" s="275"/>
      <c r="B1100" s="303">
        <v>45544</v>
      </c>
      <c r="C1100" s="304">
        <v>24936.400390625</v>
      </c>
      <c r="D1100" s="289">
        <f t="shared" si="34"/>
        <v>3.3900486950127948E-3</v>
      </c>
      <c r="E1100" s="275"/>
      <c r="F1100" s="290"/>
      <c r="G1100" s="305">
        <v>45544</v>
      </c>
      <c r="H1100" s="306">
        <v>5415.630859375</v>
      </c>
      <c r="I1100" s="293">
        <f t="shared" si="35"/>
        <v>2.6974570475635381E-4</v>
      </c>
      <c r="J1100" s="289"/>
      <c r="K1100" s="275"/>
      <c r="L1100" s="290"/>
      <c r="M1100" s="275"/>
      <c r="N1100" s="275"/>
      <c r="O1100" s="275"/>
      <c r="P1100" s="275"/>
      <c r="Q1100" s="275"/>
      <c r="R1100" s="275"/>
      <c r="S1100" s="275"/>
      <c r="T1100" s="275"/>
    </row>
    <row r="1101" spans="1:20" ht="15" customHeight="1">
      <c r="A1101" s="20"/>
      <c r="B1101" s="294">
        <v>45545</v>
      </c>
      <c r="C1101" s="295">
        <v>25041.099609375</v>
      </c>
      <c r="D1101" s="296">
        <f t="shared" si="34"/>
        <v>4.1986500501236075E-3</v>
      </c>
      <c r="E1101" s="20"/>
      <c r="F1101" s="297"/>
      <c r="G1101" s="298">
        <v>45545</v>
      </c>
      <c r="H1101" s="299">
        <v>5344.369140625</v>
      </c>
      <c r="I1101" s="300">
        <f t="shared" si="35"/>
        <v>-1.3158525867145989E-2</v>
      </c>
      <c r="J1101" s="296"/>
      <c r="K1101" s="20"/>
      <c r="L1101" s="297"/>
      <c r="M1101" s="275"/>
      <c r="N1101" s="275"/>
      <c r="O1101" s="275"/>
      <c r="P1101" s="275"/>
      <c r="Q1101" s="275"/>
      <c r="R1101" s="275"/>
      <c r="S1101" s="275"/>
      <c r="T1101" s="275"/>
    </row>
    <row r="1102" spans="1:20" ht="15" customHeight="1">
      <c r="A1102" s="275"/>
      <c r="B1102" s="303">
        <v>45546</v>
      </c>
      <c r="C1102" s="304">
        <v>24918.44921875</v>
      </c>
      <c r="D1102" s="289">
        <f t="shared" si="34"/>
        <v>-4.8979634496195048E-3</v>
      </c>
      <c r="E1102" s="275"/>
      <c r="F1102" s="290"/>
      <c r="G1102" s="305">
        <v>45546</v>
      </c>
      <c r="H1102" s="306">
        <v>5329.994140625</v>
      </c>
      <c r="I1102" s="293">
        <f t="shared" si="35"/>
        <v>-2.689746838542464E-3</v>
      </c>
      <c r="J1102" s="289"/>
      <c r="K1102" s="275"/>
      <c r="L1102" s="290"/>
      <c r="M1102" s="275"/>
      <c r="N1102" s="275"/>
      <c r="O1102" s="275"/>
      <c r="P1102" s="275"/>
      <c r="Q1102" s="275"/>
      <c r="R1102" s="275"/>
      <c r="S1102" s="275"/>
      <c r="T1102" s="275"/>
    </row>
    <row r="1103" spans="1:20" ht="15" customHeight="1">
      <c r="A1103" s="20"/>
      <c r="B1103" s="294">
        <v>45547</v>
      </c>
      <c r="C1103" s="295">
        <v>25388.900390625</v>
      </c>
      <c r="D1103" s="296">
        <f t="shared" si="34"/>
        <v>1.8879632827271085E-2</v>
      </c>
      <c r="E1103" s="20"/>
      <c r="F1103" s="297"/>
      <c r="G1103" s="298">
        <v>45547</v>
      </c>
      <c r="H1103" s="299">
        <v>5470.162109375</v>
      </c>
      <c r="I1103" s="300">
        <f t="shared" si="35"/>
        <v>2.6297959256961542E-2</v>
      </c>
      <c r="J1103" s="296"/>
      <c r="K1103" s="20"/>
      <c r="L1103" s="297"/>
      <c r="M1103" s="275"/>
      <c r="N1103" s="275"/>
      <c r="O1103" s="275"/>
      <c r="P1103" s="275"/>
      <c r="Q1103" s="275"/>
      <c r="R1103" s="275"/>
      <c r="S1103" s="275"/>
      <c r="T1103" s="275"/>
    </row>
    <row r="1104" spans="1:20" ht="15" customHeight="1">
      <c r="A1104" s="275"/>
      <c r="B1104" s="303">
        <v>45548</v>
      </c>
      <c r="C1104" s="304">
        <v>25356.5</v>
      </c>
      <c r="D1104" s="289">
        <f t="shared" si="34"/>
        <v>-1.2761636040355664E-3</v>
      </c>
      <c r="E1104" s="275"/>
      <c r="F1104" s="290"/>
      <c r="G1104" s="305">
        <v>45548</v>
      </c>
      <c r="H1104" s="306">
        <v>5463.2333984375</v>
      </c>
      <c r="I1104" s="293">
        <f t="shared" si="35"/>
        <v>-1.2666372218887766E-3</v>
      </c>
      <c r="J1104" s="289"/>
      <c r="K1104" s="275"/>
      <c r="L1104" s="290"/>
      <c r="M1104" s="275"/>
      <c r="N1104" s="275"/>
      <c r="O1104" s="275"/>
      <c r="P1104" s="275"/>
      <c r="Q1104" s="275"/>
      <c r="R1104" s="275"/>
      <c r="S1104" s="275"/>
      <c r="T1104" s="275"/>
    </row>
    <row r="1105" spans="1:20" ht="15" customHeight="1">
      <c r="A1105" s="20"/>
      <c r="B1105" s="294">
        <v>45551</v>
      </c>
      <c r="C1105" s="295">
        <v>25383.75</v>
      </c>
      <c r="D1105" s="296">
        <f t="shared" si="34"/>
        <v>1.0746751326089958E-3</v>
      </c>
      <c r="E1105" s="20"/>
      <c r="F1105" s="297"/>
      <c r="G1105" s="298">
        <v>45551</v>
      </c>
      <c r="H1105" s="299">
        <v>5447.822265625</v>
      </c>
      <c r="I1105" s="300">
        <f t="shared" si="35"/>
        <v>-2.8208812782751745E-3</v>
      </c>
      <c r="J1105" s="296"/>
      <c r="K1105" s="20"/>
      <c r="L1105" s="297"/>
      <c r="M1105" s="275"/>
      <c r="N1105" s="275"/>
      <c r="O1105" s="275"/>
      <c r="P1105" s="275"/>
      <c r="Q1105" s="275"/>
      <c r="R1105" s="275"/>
      <c r="S1105" s="275"/>
      <c r="T1105" s="275"/>
    </row>
    <row r="1106" spans="1:20" ht="15" customHeight="1">
      <c r="A1106" s="275"/>
      <c r="B1106" s="303">
        <v>45552</v>
      </c>
      <c r="C1106" s="304">
        <v>25418.55078125</v>
      </c>
      <c r="D1106" s="289">
        <f t="shared" si="34"/>
        <v>1.3709866056039789E-3</v>
      </c>
      <c r="E1106" s="275"/>
      <c r="F1106" s="290"/>
      <c r="G1106" s="305">
        <v>45552</v>
      </c>
      <c r="H1106" s="306">
        <v>5619.1430664120398</v>
      </c>
      <c r="I1106" s="293">
        <f t="shared" si="35"/>
        <v>3.1447575275729944E-2</v>
      </c>
      <c r="J1106" s="289"/>
      <c r="K1106" s="275"/>
      <c r="L1106" s="290"/>
      <c r="M1106" s="275"/>
      <c r="N1106" s="275"/>
      <c r="O1106" s="275"/>
      <c r="P1106" s="275"/>
      <c r="Q1106" s="275"/>
      <c r="R1106" s="275"/>
      <c r="S1106" s="275"/>
      <c r="T1106" s="275"/>
    </row>
    <row r="1107" spans="1:20" ht="15" customHeight="1">
      <c r="A1107" s="20"/>
      <c r="B1107" s="294">
        <v>45553</v>
      </c>
      <c r="C1107" s="295">
        <v>25377.55078125</v>
      </c>
      <c r="D1107" s="296">
        <f t="shared" si="34"/>
        <v>-1.6129951842196943E-3</v>
      </c>
      <c r="E1107" s="20"/>
      <c r="F1107" s="297"/>
      <c r="G1107" s="298">
        <v>45553</v>
      </c>
      <c r="H1107" s="299">
        <v>5622.4897460879602</v>
      </c>
      <c r="I1107" s="300">
        <f t="shared" si="35"/>
        <v>5.9558541869574608E-4</v>
      </c>
      <c r="J1107" s="296"/>
      <c r="K1107" s="20"/>
      <c r="L1107" s="297"/>
      <c r="M1107" s="275"/>
      <c r="N1107" s="275"/>
      <c r="O1107" s="275"/>
      <c r="P1107" s="275"/>
      <c r="Q1107" s="275"/>
      <c r="R1107" s="275"/>
      <c r="S1107" s="275"/>
      <c r="T1107" s="275"/>
    </row>
    <row r="1108" spans="1:20" ht="15" customHeight="1">
      <c r="A1108" s="275"/>
      <c r="B1108" s="303">
        <v>45554</v>
      </c>
      <c r="C1108" s="304">
        <v>25415.80078125</v>
      </c>
      <c r="D1108" s="289">
        <f t="shared" si="34"/>
        <v>1.5072376499098844E-3</v>
      </c>
      <c r="E1108" s="275"/>
      <c r="F1108" s="290"/>
      <c r="G1108" s="305">
        <v>45554</v>
      </c>
      <c r="H1108" s="306">
        <v>5661.4189453125</v>
      </c>
      <c r="I1108" s="293">
        <f t="shared" si="35"/>
        <v>6.9238364110181198E-3</v>
      </c>
      <c r="J1108" s="289"/>
      <c r="K1108" s="275"/>
      <c r="L1108" s="290"/>
      <c r="M1108" s="275"/>
      <c r="N1108" s="275"/>
      <c r="O1108" s="275"/>
      <c r="P1108" s="275"/>
      <c r="Q1108" s="275"/>
      <c r="R1108" s="275"/>
      <c r="S1108" s="275"/>
      <c r="T1108" s="275"/>
    </row>
    <row r="1109" spans="1:20" ht="15" customHeight="1">
      <c r="A1109" s="20"/>
      <c r="B1109" s="294">
        <v>45555</v>
      </c>
      <c r="C1109" s="295">
        <v>25790.94921875</v>
      </c>
      <c r="D1109" s="296">
        <f t="shared" si="34"/>
        <v>1.4760441377741608E-2</v>
      </c>
      <c r="E1109" s="20"/>
      <c r="F1109" s="297"/>
      <c r="G1109" s="298">
        <v>45555</v>
      </c>
      <c r="H1109" s="299">
        <v>5668.2065429629602</v>
      </c>
      <c r="I1109" s="300">
        <f t="shared" si="35"/>
        <v>1.1989216336092037E-3</v>
      </c>
      <c r="J1109" s="296"/>
      <c r="K1109" s="20"/>
      <c r="L1109" s="297"/>
      <c r="M1109" s="275"/>
      <c r="N1109" s="275"/>
      <c r="O1109" s="275"/>
      <c r="P1109" s="275"/>
      <c r="Q1109" s="275"/>
      <c r="R1109" s="275"/>
      <c r="S1109" s="275"/>
      <c r="T1109" s="275"/>
    </row>
    <row r="1110" spans="1:20" ht="15" customHeight="1">
      <c r="A1110" s="275"/>
      <c r="B1110" s="303">
        <v>45558</v>
      </c>
      <c r="C1110" s="304">
        <v>25939.05078125</v>
      </c>
      <c r="D1110" s="289">
        <f t="shared" si="34"/>
        <v>5.7423850996662926E-3</v>
      </c>
      <c r="E1110" s="275"/>
      <c r="F1110" s="290"/>
      <c r="G1110" s="305">
        <v>45558</v>
      </c>
      <c r="H1110" s="306">
        <v>5835.33203125</v>
      </c>
      <c r="I1110" s="293">
        <f t="shared" si="35"/>
        <v>2.9484720964257204E-2</v>
      </c>
      <c r="J1110" s="289"/>
      <c r="K1110" s="275"/>
      <c r="L1110" s="290"/>
      <c r="M1110" s="275"/>
      <c r="N1110" s="275"/>
      <c r="O1110" s="275"/>
      <c r="P1110" s="275"/>
      <c r="Q1110" s="275"/>
      <c r="R1110" s="275"/>
      <c r="S1110" s="275"/>
      <c r="T1110" s="275"/>
    </row>
    <row r="1111" spans="1:20" ht="15" customHeight="1">
      <c r="A1111" s="20"/>
      <c r="B1111" s="294">
        <v>45559</v>
      </c>
      <c r="C1111" s="295">
        <v>25940.400390625</v>
      </c>
      <c r="D1111" s="296">
        <f t="shared" si="34"/>
        <v>5.2030021699003842E-5</v>
      </c>
      <c r="E1111" s="20"/>
      <c r="F1111" s="297"/>
      <c r="G1111" s="298">
        <v>45559</v>
      </c>
      <c r="H1111" s="299">
        <v>5774.76953125</v>
      </c>
      <c r="I1111" s="300">
        <f t="shared" si="35"/>
        <v>-1.0378586801174152E-2</v>
      </c>
      <c r="J1111" s="296"/>
      <c r="K1111" s="20"/>
      <c r="L1111" s="297"/>
      <c r="M1111" s="275"/>
      <c r="N1111" s="275"/>
      <c r="O1111" s="275"/>
      <c r="P1111" s="275"/>
      <c r="Q1111" s="275"/>
      <c r="R1111" s="275"/>
      <c r="S1111" s="275"/>
      <c r="T1111" s="275"/>
    </row>
    <row r="1112" spans="1:20" ht="15" customHeight="1">
      <c r="A1112" s="275"/>
      <c r="B1112" s="303">
        <v>45560</v>
      </c>
      <c r="C1112" s="304">
        <v>26004.150390625</v>
      </c>
      <c r="D1112" s="289">
        <f t="shared" si="34"/>
        <v>2.4575565157058869E-3</v>
      </c>
      <c r="E1112" s="275"/>
      <c r="F1112" s="290"/>
      <c r="G1112" s="305">
        <v>45560</v>
      </c>
      <c r="H1112" s="306">
        <v>5738.9497070370398</v>
      </c>
      <c r="I1112" s="293">
        <f t="shared" si="35"/>
        <v>-6.2028145052581236E-3</v>
      </c>
      <c r="J1112" s="289"/>
      <c r="K1112" s="275"/>
      <c r="L1112" s="290"/>
      <c r="M1112" s="275"/>
      <c r="N1112" s="275"/>
      <c r="O1112" s="275"/>
      <c r="P1112" s="275"/>
      <c r="Q1112" s="275"/>
      <c r="R1112" s="275"/>
      <c r="S1112" s="275"/>
      <c r="T1112" s="275"/>
    </row>
    <row r="1113" spans="1:20" ht="15" customHeight="1">
      <c r="A1113" s="20"/>
      <c r="B1113" s="294">
        <v>45561</v>
      </c>
      <c r="C1113" s="295">
        <v>26216.05078125</v>
      </c>
      <c r="D1113" s="296">
        <f t="shared" si="34"/>
        <v>8.1487142414540942E-3</v>
      </c>
      <c r="E1113" s="20"/>
      <c r="F1113" s="297"/>
      <c r="G1113" s="298">
        <v>45561</v>
      </c>
      <c r="H1113" s="299">
        <v>5704.21484375</v>
      </c>
      <c r="I1113" s="300">
        <f t="shared" si="35"/>
        <v>-6.0524773800419126E-3</v>
      </c>
      <c r="J1113" s="296"/>
      <c r="K1113" s="20"/>
      <c r="L1113" s="297"/>
      <c r="M1113" s="275"/>
      <c r="N1113" s="275"/>
      <c r="O1113" s="275"/>
      <c r="P1113" s="275"/>
      <c r="Q1113" s="275"/>
      <c r="R1113" s="275"/>
      <c r="S1113" s="275"/>
      <c r="T1113" s="275"/>
    </row>
    <row r="1114" spans="1:20" ht="15" customHeight="1">
      <c r="A1114" s="275"/>
      <c r="B1114" s="303">
        <v>45562</v>
      </c>
      <c r="C1114" s="304">
        <v>26178.94921875</v>
      </c>
      <c r="D1114" s="289">
        <f t="shared" si="34"/>
        <v>-1.4152231703234049E-3</v>
      </c>
      <c r="E1114" s="275"/>
      <c r="F1114" s="290"/>
      <c r="G1114" s="305">
        <v>45562</v>
      </c>
      <c r="H1114" s="306">
        <v>5615.5141601620398</v>
      </c>
      <c r="I1114" s="293">
        <f t="shared" si="35"/>
        <v>-1.5550025028448535E-2</v>
      </c>
      <c r="J1114" s="289"/>
      <c r="K1114" s="275"/>
      <c r="L1114" s="290"/>
      <c r="M1114" s="275"/>
      <c r="N1114" s="275"/>
      <c r="O1114" s="275"/>
      <c r="P1114" s="275"/>
      <c r="Q1114" s="275"/>
      <c r="R1114" s="275"/>
      <c r="S1114" s="275"/>
      <c r="T1114" s="275"/>
    </row>
    <row r="1115" spans="1:20" ht="15" customHeight="1">
      <c r="A1115" s="20"/>
      <c r="B1115" s="294">
        <v>45565</v>
      </c>
      <c r="C1115" s="295">
        <v>25810.849609375</v>
      </c>
      <c r="D1115" s="296">
        <f t="shared" si="34"/>
        <v>-1.406090085202343E-2</v>
      </c>
      <c r="E1115" s="20"/>
      <c r="F1115" s="297"/>
      <c r="G1115" s="298">
        <v>45565</v>
      </c>
      <c r="H1115" s="299">
        <v>5384.619140625</v>
      </c>
      <c r="I1115" s="300">
        <f t="shared" si="35"/>
        <v>-4.1117342589049262E-2</v>
      </c>
      <c r="J1115" s="296"/>
      <c r="K1115" s="20"/>
      <c r="L1115" s="297"/>
      <c r="M1115" s="275"/>
      <c r="N1115" s="275"/>
      <c r="O1115" s="275"/>
      <c r="P1115" s="275"/>
      <c r="Q1115" s="275"/>
      <c r="R1115" s="275"/>
      <c r="S1115" s="275"/>
      <c r="T1115" s="275"/>
    </row>
    <row r="1116" spans="1:20" ht="15" customHeight="1">
      <c r="A1116" s="275"/>
      <c r="B1116" s="303">
        <v>45566</v>
      </c>
      <c r="C1116" s="304">
        <v>25796.900390625</v>
      </c>
      <c r="D1116" s="289">
        <f t="shared" si="34"/>
        <v>-5.4044012347944466E-4</v>
      </c>
      <c r="E1116" s="275"/>
      <c r="F1116" s="290"/>
      <c r="G1116" s="305">
        <v>45566</v>
      </c>
      <c r="H1116" s="306">
        <v>5420.1557617129602</v>
      </c>
      <c r="I1116" s="293">
        <f t="shared" si="35"/>
        <v>6.5996535984967309E-3</v>
      </c>
      <c r="J1116" s="289"/>
      <c r="K1116" s="275"/>
      <c r="L1116" s="290"/>
      <c r="M1116" s="275"/>
      <c r="N1116" s="275"/>
      <c r="O1116" s="275"/>
      <c r="P1116" s="275"/>
      <c r="Q1116" s="275"/>
      <c r="R1116" s="275"/>
      <c r="S1116" s="275"/>
      <c r="T1116" s="275"/>
    </row>
    <row r="1117" spans="1:20" ht="15" customHeight="1">
      <c r="A1117" s="20"/>
      <c r="B1117" s="294">
        <v>45568</v>
      </c>
      <c r="C1117" s="295">
        <v>25250.099609375</v>
      </c>
      <c r="D1117" s="296">
        <f t="shared" si="34"/>
        <v>-2.1196375260987402E-2</v>
      </c>
      <c r="E1117" s="20"/>
      <c r="F1117" s="297"/>
      <c r="G1117" s="298">
        <v>45568</v>
      </c>
      <c r="H1117" s="299">
        <v>5337.8178710879602</v>
      </c>
      <c r="I1117" s="300">
        <f t="shared" si="35"/>
        <v>-1.5191056169754488E-2</v>
      </c>
      <c r="J1117" s="296"/>
      <c r="K1117" s="20"/>
      <c r="L1117" s="297"/>
      <c r="M1117" s="275"/>
      <c r="N1117" s="275"/>
      <c r="O1117" s="275"/>
      <c r="P1117" s="275"/>
      <c r="Q1117" s="275"/>
      <c r="R1117" s="275"/>
      <c r="S1117" s="275"/>
      <c r="T1117" s="275"/>
    </row>
    <row r="1118" spans="1:20" ht="15" customHeight="1">
      <c r="A1118" s="275"/>
      <c r="B1118" s="303">
        <v>45569</v>
      </c>
      <c r="C1118" s="304">
        <v>25014.599609375</v>
      </c>
      <c r="D1118" s="289">
        <f t="shared" si="34"/>
        <v>-9.3266958801446562E-3</v>
      </c>
      <c r="E1118" s="275"/>
      <c r="F1118" s="290"/>
      <c r="G1118" s="305">
        <v>45569</v>
      </c>
      <c r="H1118" s="306">
        <v>5204.060546875</v>
      </c>
      <c r="I1118" s="293">
        <f t="shared" si="35"/>
        <v>-2.5058427890065418E-2</v>
      </c>
      <c r="J1118" s="289"/>
      <c r="K1118" s="275"/>
      <c r="L1118" s="290"/>
      <c r="M1118" s="275"/>
      <c r="N1118" s="275"/>
      <c r="O1118" s="275"/>
      <c r="P1118" s="275"/>
      <c r="Q1118" s="275"/>
      <c r="R1118" s="275"/>
      <c r="S1118" s="275"/>
      <c r="T1118" s="275"/>
    </row>
    <row r="1119" spans="1:20" ht="15" customHeight="1">
      <c r="A1119" s="20"/>
      <c r="B1119" s="294">
        <v>45572</v>
      </c>
      <c r="C1119" s="295">
        <v>24795.75</v>
      </c>
      <c r="D1119" s="296">
        <f t="shared" si="34"/>
        <v>-8.7488751686027114E-3</v>
      </c>
      <c r="E1119" s="20"/>
      <c r="F1119" s="297"/>
      <c r="G1119" s="298">
        <v>45572</v>
      </c>
      <c r="H1119" s="299">
        <v>5185.8676757870398</v>
      </c>
      <c r="I1119" s="300">
        <f t="shared" si="35"/>
        <v>-3.4958991971922467E-3</v>
      </c>
      <c r="J1119" s="296"/>
      <c r="K1119" s="20"/>
      <c r="L1119" s="297"/>
      <c r="M1119" s="275"/>
      <c r="N1119" s="275"/>
      <c r="O1119" s="275"/>
      <c r="P1119" s="275"/>
      <c r="Q1119" s="275"/>
      <c r="R1119" s="275"/>
      <c r="S1119" s="275"/>
      <c r="T1119" s="275"/>
    </row>
    <row r="1120" spans="1:20" ht="15" customHeight="1">
      <c r="A1120" s="275"/>
      <c r="B1120" s="303">
        <v>45573</v>
      </c>
      <c r="C1120" s="304">
        <v>25013.150390625</v>
      </c>
      <c r="D1120" s="289">
        <f t="shared" si="34"/>
        <v>8.7676473034693451E-3</v>
      </c>
      <c r="E1120" s="275"/>
      <c r="F1120" s="290"/>
      <c r="G1120" s="305">
        <v>45573</v>
      </c>
      <c r="H1120" s="306">
        <v>5212.5444335879602</v>
      </c>
      <c r="I1120" s="293">
        <f t="shared" si="35"/>
        <v>5.144126203889628E-3</v>
      </c>
      <c r="J1120" s="289"/>
      <c r="K1120" s="275"/>
      <c r="L1120" s="290"/>
      <c r="M1120" s="275"/>
      <c r="N1120" s="275"/>
      <c r="O1120" s="275"/>
      <c r="P1120" s="275"/>
      <c r="Q1120" s="275"/>
      <c r="R1120" s="275"/>
      <c r="S1120" s="275"/>
      <c r="T1120" s="275"/>
    </row>
    <row r="1121" spans="1:20" ht="15" customHeight="1">
      <c r="A1121" s="20"/>
      <c r="B1121" s="294">
        <v>45574</v>
      </c>
      <c r="C1121" s="295">
        <v>24981.94921875</v>
      </c>
      <c r="D1121" s="296">
        <f t="shared" si="34"/>
        <v>-1.2473907279865989E-3</v>
      </c>
      <c r="E1121" s="20"/>
      <c r="F1121" s="297"/>
      <c r="G1121" s="298">
        <v>45574</v>
      </c>
      <c r="H1121" s="299">
        <v>5235.8740234375</v>
      </c>
      <c r="I1121" s="300">
        <f t="shared" si="35"/>
        <v>4.4756625380901255E-3</v>
      </c>
      <c r="J1121" s="296"/>
      <c r="K1121" s="20"/>
      <c r="L1121" s="297"/>
      <c r="M1121" s="275"/>
      <c r="N1121" s="275"/>
      <c r="O1121" s="275"/>
      <c r="P1121" s="275"/>
      <c r="Q1121" s="275"/>
      <c r="R1121" s="275"/>
      <c r="S1121" s="275"/>
      <c r="T1121" s="275"/>
    </row>
    <row r="1122" spans="1:20" ht="15" customHeight="1">
      <c r="A1122" s="275"/>
      <c r="B1122" s="303">
        <v>45575</v>
      </c>
      <c r="C1122" s="304">
        <v>24998.44921875</v>
      </c>
      <c r="D1122" s="289">
        <f t="shared" si="34"/>
        <v>6.6047688495083712E-4</v>
      </c>
      <c r="E1122" s="275"/>
      <c r="F1122" s="290"/>
      <c r="G1122" s="305">
        <v>45575</v>
      </c>
      <c r="H1122" s="306">
        <v>5143.0258789120398</v>
      </c>
      <c r="I1122" s="293">
        <f t="shared" si="35"/>
        <v>-1.7733074575484672E-2</v>
      </c>
      <c r="J1122" s="289"/>
      <c r="K1122" s="275"/>
      <c r="L1122" s="290"/>
      <c r="M1122" s="275"/>
      <c r="N1122" s="275"/>
      <c r="O1122" s="275"/>
      <c r="P1122" s="275"/>
      <c r="Q1122" s="275"/>
      <c r="R1122" s="275"/>
      <c r="S1122" s="275"/>
      <c r="T1122" s="275"/>
    </row>
    <row r="1123" spans="1:20" ht="15" customHeight="1">
      <c r="A1123" s="20"/>
      <c r="B1123" s="294">
        <v>45576</v>
      </c>
      <c r="C1123" s="295">
        <v>24964.25</v>
      </c>
      <c r="D1123" s="296">
        <f t="shared" si="34"/>
        <v>-1.3680536120756241E-3</v>
      </c>
      <c r="E1123" s="20"/>
      <c r="F1123" s="297"/>
      <c r="G1123" s="298">
        <v>45576</v>
      </c>
      <c r="H1123" s="299">
        <v>5162.0668945370398</v>
      </c>
      <c r="I1123" s="300">
        <f t="shared" si="35"/>
        <v>3.7022982332392917E-3</v>
      </c>
      <c r="J1123" s="296"/>
      <c r="K1123" s="20"/>
      <c r="L1123" s="297"/>
      <c r="M1123" s="275"/>
      <c r="N1123" s="275"/>
      <c r="O1123" s="275"/>
      <c r="P1123" s="275"/>
      <c r="Q1123" s="275"/>
      <c r="R1123" s="275"/>
      <c r="S1123" s="275"/>
      <c r="T1123" s="275"/>
    </row>
    <row r="1124" spans="1:20" ht="15" customHeight="1">
      <c r="A1124" s="275"/>
      <c r="B1124" s="303">
        <v>45579</v>
      </c>
      <c r="C1124" s="304">
        <v>25127.94921875</v>
      </c>
      <c r="D1124" s="289">
        <f t="shared" si="34"/>
        <v>6.5573457544288337E-3</v>
      </c>
      <c r="E1124" s="275"/>
      <c r="F1124" s="290"/>
      <c r="G1124" s="305">
        <v>45579</v>
      </c>
      <c r="H1124" s="306">
        <v>5236.5810546875</v>
      </c>
      <c r="I1124" s="293">
        <f t="shared" si="35"/>
        <v>1.4434946635294032E-2</v>
      </c>
      <c r="J1124" s="289"/>
      <c r="K1124" s="275"/>
      <c r="L1124" s="290"/>
      <c r="M1124" s="275"/>
      <c r="N1124" s="275"/>
      <c r="O1124" s="275"/>
      <c r="P1124" s="275"/>
      <c r="Q1124" s="275"/>
      <c r="R1124" s="275"/>
      <c r="S1124" s="275"/>
      <c r="T1124" s="275"/>
    </row>
    <row r="1125" spans="1:20" ht="15" customHeight="1">
      <c r="A1125" s="20"/>
      <c r="B1125" s="294">
        <v>45580</v>
      </c>
      <c r="C1125" s="295">
        <v>25057.349609375</v>
      </c>
      <c r="D1125" s="296">
        <f t="shared" si="34"/>
        <v>-2.8096049048968912E-3</v>
      </c>
      <c r="E1125" s="20"/>
      <c r="F1125" s="297"/>
      <c r="G1125" s="298">
        <v>45580</v>
      </c>
      <c r="H1125" s="299">
        <v>5189.7329101620398</v>
      </c>
      <c r="I1125" s="300">
        <f t="shared" si="35"/>
        <v>-8.9463228079940185E-3</v>
      </c>
      <c r="J1125" s="296"/>
      <c r="K1125" s="20"/>
      <c r="L1125" s="297"/>
      <c r="M1125" s="275"/>
      <c r="N1125" s="275"/>
      <c r="O1125" s="275"/>
      <c r="P1125" s="275"/>
      <c r="Q1125" s="275"/>
      <c r="R1125" s="275"/>
      <c r="S1125" s="275"/>
      <c r="T1125" s="275"/>
    </row>
    <row r="1126" spans="1:20" ht="15" customHeight="1">
      <c r="A1126" s="275"/>
      <c r="B1126" s="303">
        <v>45581</v>
      </c>
      <c r="C1126" s="304">
        <v>24971.30078125</v>
      </c>
      <c r="D1126" s="289">
        <f t="shared" si="34"/>
        <v>-3.4340754096676505E-3</v>
      </c>
      <c r="E1126" s="275"/>
      <c r="F1126" s="290"/>
      <c r="G1126" s="305">
        <v>45581</v>
      </c>
      <c r="H1126" s="306">
        <v>5088.4482421875</v>
      </c>
      <c r="I1126" s="293">
        <f t="shared" si="35"/>
        <v>-1.9516354642493041E-2</v>
      </c>
      <c r="J1126" s="289"/>
      <c r="K1126" s="275"/>
      <c r="L1126" s="290"/>
      <c r="M1126" s="275"/>
      <c r="N1126" s="275"/>
      <c r="O1126" s="275"/>
      <c r="P1126" s="275"/>
      <c r="Q1126" s="275"/>
      <c r="R1126" s="275"/>
      <c r="S1126" s="275"/>
      <c r="T1126" s="275"/>
    </row>
    <row r="1127" spans="1:20" ht="15" customHeight="1">
      <c r="A1127" s="20"/>
      <c r="B1127" s="294">
        <v>45582</v>
      </c>
      <c r="C1127" s="295">
        <v>24749.849609375</v>
      </c>
      <c r="D1127" s="296">
        <f t="shared" si="34"/>
        <v>-8.8682273228345102E-3</v>
      </c>
      <c r="E1127" s="20"/>
      <c r="F1127" s="297"/>
      <c r="G1127" s="298">
        <v>45582</v>
      </c>
      <c r="H1127" s="299">
        <v>4918.0698242129602</v>
      </c>
      <c r="I1127" s="300">
        <f t="shared" si="35"/>
        <v>-3.3483374471997174E-2</v>
      </c>
      <c r="J1127" s="296"/>
      <c r="K1127" s="20"/>
      <c r="L1127" s="297"/>
      <c r="M1127" s="275"/>
      <c r="N1127" s="275"/>
      <c r="O1127" s="275"/>
      <c r="P1127" s="275"/>
      <c r="Q1127" s="275"/>
      <c r="R1127" s="275"/>
      <c r="S1127" s="275"/>
      <c r="T1127" s="275"/>
    </row>
    <row r="1128" spans="1:20" ht="15" customHeight="1">
      <c r="A1128" s="275"/>
      <c r="B1128" s="303">
        <v>45583</v>
      </c>
      <c r="C1128" s="304">
        <v>24854.05078125</v>
      </c>
      <c r="D1128" s="289">
        <f t="shared" si="34"/>
        <v>4.2101739412400158E-3</v>
      </c>
      <c r="E1128" s="275"/>
      <c r="F1128" s="290"/>
      <c r="G1128" s="305">
        <v>45583</v>
      </c>
      <c r="H1128" s="306">
        <v>4916.8916015625</v>
      </c>
      <c r="I1128" s="293">
        <f t="shared" si="35"/>
        <v>-2.3957013474258836E-4</v>
      </c>
      <c r="J1128" s="289"/>
      <c r="K1128" s="275"/>
      <c r="L1128" s="290"/>
      <c r="M1128" s="275"/>
      <c r="N1128" s="275"/>
      <c r="O1128" s="275"/>
      <c r="P1128" s="275"/>
      <c r="Q1128" s="275"/>
      <c r="R1128" s="275"/>
      <c r="S1128" s="275"/>
      <c r="T1128" s="275"/>
    </row>
    <row r="1129" spans="1:20" ht="15" customHeight="1">
      <c r="A1129" s="20"/>
      <c r="B1129" s="294">
        <v>45586</v>
      </c>
      <c r="C1129" s="295">
        <v>24781.099609375</v>
      </c>
      <c r="D1129" s="296">
        <f t="shared" si="34"/>
        <v>-2.9351823779983047E-3</v>
      </c>
      <c r="E1129" s="20"/>
      <c r="F1129" s="297"/>
      <c r="G1129" s="298">
        <v>45586</v>
      </c>
      <c r="H1129" s="299">
        <v>4941.4467773379602</v>
      </c>
      <c r="I1129" s="300">
        <f t="shared" si="35"/>
        <v>4.9940445641829811E-3</v>
      </c>
      <c r="J1129" s="296"/>
      <c r="K1129" s="20"/>
      <c r="L1129" s="297"/>
      <c r="M1129" s="275"/>
      <c r="N1129" s="275"/>
      <c r="O1129" s="275"/>
      <c r="P1129" s="275"/>
      <c r="Q1129" s="275"/>
      <c r="R1129" s="275"/>
      <c r="S1129" s="275"/>
      <c r="T1129" s="275"/>
    </row>
    <row r="1130" spans="1:20" ht="15" customHeight="1">
      <c r="A1130" s="275"/>
      <c r="B1130" s="303">
        <v>45587</v>
      </c>
      <c r="C1130" s="304">
        <v>24472.099609375</v>
      </c>
      <c r="D1130" s="289">
        <f t="shared" si="34"/>
        <v>-1.2469180337869326E-2</v>
      </c>
      <c r="E1130" s="275"/>
      <c r="F1130" s="290"/>
      <c r="G1130" s="305">
        <v>45587</v>
      </c>
      <c r="H1130" s="306">
        <v>4878.8090820370398</v>
      </c>
      <c r="I1130" s="293">
        <f t="shared" si="35"/>
        <v>-1.2675982991091586E-2</v>
      </c>
      <c r="J1130" s="289"/>
      <c r="K1130" s="275"/>
      <c r="L1130" s="290"/>
      <c r="M1130" s="275"/>
      <c r="N1130" s="275"/>
      <c r="O1130" s="275"/>
      <c r="P1130" s="275"/>
      <c r="Q1130" s="275"/>
      <c r="R1130" s="275"/>
      <c r="S1130" s="275"/>
      <c r="T1130" s="275"/>
    </row>
    <row r="1131" spans="1:20" ht="15" customHeight="1">
      <c r="A1131" s="20"/>
      <c r="B1131" s="294">
        <v>45588</v>
      </c>
      <c r="C1131" s="295">
        <v>24435.5</v>
      </c>
      <c r="D1131" s="296">
        <f t="shared" si="34"/>
        <v>-1.4955647434917714E-3</v>
      </c>
      <c r="E1131" s="20"/>
      <c r="F1131" s="297"/>
      <c r="G1131" s="298">
        <v>45588</v>
      </c>
      <c r="H1131" s="299">
        <v>4850.4370117129602</v>
      </c>
      <c r="I1131" s="300">
        <f t="shared" si="35"/>
        <v>-5.8153680226063591E-3</v>
      </c>
      <c r="J1131" s="296"/>
      <c r="K1131" s="20"/>
      <c r="L1131" s="297"/>
      <c r="M1131" s="275"/>
      <c r="N1131" s="275"/>
      <c r="O1131" s="275"/>
      <c r="P1131" s="275"/>
      <c r="Q1131" s="275"/>
      <c r="R1131" s="275"/>
      <c r="S1131" s="275"/>
      <c r="T1131" s="275"/>
    </row>
    <row r="1132" spans="1:20" ht="15" customHeight="1">
      <c r="A1132" s="275"/>
      <c r="B1132" s="303">
        <v>45589</v>
      </c>
      <c r="C1132" s="304">
        <v>24399.400390625</v>
      </c>
      <c r="D1132" s="289">
        <f t="shared" si="34"/>
        <v>-1.4773427748562542E-3</v>
      </c>
      <c r="E1132" s="275"/>
      <c r="F1132" s="290"/>
      <c r="G1132" s="305">
        <v>45589</v>
      </c>
      <c r="H1132" s="306">
        <v>4820.1791992129602</v>
      </c>
      <c r="I1132" s="293">
        <f t="shared" si="35"/>
        <v>-6.2381621340371306E-3</v>
      </c>
      <c r="J1132" s="289"/>
      <c r="K1132" s="275"/>
      <c r="L1132" s="290"/>
      <c r="M1132" s="275"/>
      <c r="N1132" s="275"/>
      <c r="O1132" s="275"/>
      <c r="P1132" s="275"/>
      <c r="Q1132" s="275"/>
      <c r="R1132" s="275"/>
      <c r="S1132" s="275"/>
      <c r="T1132" s="275"/>
    </row>
    <row r="1133" spans="1:20" ht="15" customHeight="1">
      <c r="A1133" s="20"/>
      <c r="B1133" s="294">
        <v>45590</v>
      </c>
      <c r="C1133" s="295">
        <v>24180.80078125</v>
      </c>
      <c r="D1133" s="296">
        <f t="shared" si="34"/>
        <v>-8.9592205494932031E-3</v>
      </c>
      <c r="E1133" s="20"/>
      <c r="F1133" s="297"/>
      <c r="G1133" s="298">
        <v>45590</v>
      </c>
      <c r="H1133" s="299">
        <v>4687.9291992129602</v>
      </c>
      <c r="I1133" s="300">
        <f t="shared" si="35"/>
        <v>-2.7436739285874229E-2</v>
      </c>
      <c r="J1133" s="296"/>
      <c r="K1133" s="20"/>
      <c r="L1133" s="297"/>
      <c r="M1133" s="275"/>
      <c r="N1133" s="275"/>
      <c r="O1133" s="275"/>
      <c r="P1133" s="275"/>
      <c r="Q1133" s="275"/>
      <c r="R1133" s="275"/>
      <c r="S1133" s="275"/>
      <c r="T1133" s="275"/>
    </row>
    <row r="1134" spans="1:20" ht="15" customHeight="1">
      <c r="A1134" s="275"/>
      <c r="B1134" s="303">
        <v>45593</v>
      </c>
      <c r="C1134" s="304">
        <v>24339.150390625</v>
      </c>
      <c r="D1134" s="289">
        <f t="shared" si="34"/>
        <v>6.5485676346080995E-3</v>
      </c>
      <c r="E1134" s="275"/>
      <c r="F1134" s="290"/>
      <c r="G1134" s="305">
        <v>45593</v>
      </c>
      <c r="H1134" s="306">
        <v>4645.0400390625</v>
      </c>
      <c r="I1134" s="293">
        <f t="shared" si="35"/>
        <v>-9.1488498072156612E-3</v>
      </c>
      <c r="J1134" s="289"/>
      <c r="K1134" s="275"/>
      <c r="L1134" s="290"/>
      <c r="M1134" s="275"/>
      <c r="N1134" s="275"/>
      <c r="O1134" s="275"/>
      <c r="P1134" s="275"/>
      <c r="Q1134" s="275"/>
      <c r="R1134" s="275"/>
      <c r="S1134" s="275"/>
      <c r="T1134" s="275"/>
    </row>
    <row r="1135" spans="1:20" ht="15" customHeight="1">
      <c r="A1135" s="20"/>
      <c r="B1135" s="294">
        <v>45594</v>
      </c>
      <c r="C1135" s="295">
        <v>24466.849609375</v>
      </c>
      <c r="D1135" s="296">
        <f t="shared" si="34"/>
        <v>5.2466588480092318E-3</v>
      </c>
      <c r="E1135" s="20"/>
      <c r="F1135" s="297"/>
      <c r="G1135" s="298">
        <v>45594</v>
      </c>
      <c r="H1135" s="299">
        <v>4512.7436523379602</v>
      </c>
      <c r="I1135" s="300">
        <f t="shared" si="35"/>
        <v>-2.8481215578766244E-2</v>
      </c>
      <c r="J1135" s="296"/>
      <c r="K1135" s="20"/>
      <c r="L1135" s="297"/>
      <c r="M1135" s="275"/>
      <c r="N1135" s="275"/>
      <c r="O1135" s="275"/>
      <c r="P1135" s="275"/>
      <c r="Q1135" s="275"/>
      <c r="R1135" s="275"/>
      <c r="S1135" s="275"/>
      <c r="T1135" s="275"/>
    </row>
    <row r="1136" spans="1:20" ht="15" customHeight="1">
      <c r="A1136" s="275"/>
      <c r="B1136" s="303">
        <v>45595</v>
      </c>
      <c r="C1136" s="304">
        <v>24340.849609375</v>
      </c>
      <c r="D1136" s="289">
        <f t="shared" si="34"/>
        <v>-5.149825253829181E-3</v>
      </c>
      <c r="E1136" s="275"/>
      <c r="F1136" s="290"/>
      <c r="G1136" s="305">
        <v>45595</v>
      </c>
      <c r="H1136" s="306">
        <v>4627.6015625</v>
      </c>
      <c r="I1136" s="293">
        <f t="shared" si="35"/>
        <v>2.5451902215304054E-2</v>
      </c>
      <c r="J1136" s="289"/>
      <c r="K1136" s="275"/>
      <c r="L1136" s="290"/>
      <c r="M1136" s="275"/>
      <c r="N1136" s="275"/>
      <c r="O1136" s="275"/>
      <c r="P1136" s="275"/>
      <c r="Q1136" s="275"/>
      <c r="R1136" s="275"/>
      <c r="S1136" s="275"/>
      <c r="T1136" s="275"/>
    </row>
    <row r="1137" spans="1:20" ht="15" customHeight="1">
      <c r="A1137" s="20"/>
      <c r="B1137" s="294">
        <v>45596</v>
      </c>
      <c r="C1137" s="295">
        <v>24205.349609375</v>
      </c>
      <c r="D1137" s="296">
        <f t="shared" si="34"/>
        <v>-5.566773640794013E-3</v>
      </c>
      <c r="E1137" s="20"/>
      <c r="F1137" s="297"/>
      <c r="G1137" s="298">
        <v>45596</v>
      </c>
      <c r="H1137" s="299">
        <v>4703.2465820370398</v>
      </c>
      <c r="I1137" s="300">
        <f t="shared" si="35"/>
        <v>1.6346485002086832E-2</v>
      </c>
      <c r="J1137" s="296"/>
      <c r="K1137" s="20"/>
      <c r="L1137" s="297"/>
      <c r="M1137" s="275"/>
      <c r="N1137" s="275"/>
      <c r="O1137" s="275"/>
      <c r="P1137" s="275"/>
      <c r="Q1137" s="275"/>
      <c r="R1137" s="275"/>
      <c r="S1137" s="275"/>
      <c r="T1137" s="275"/>
    </row>
    <row r="1138" spans="1:20" ht="15" customHeight="1">
      <c r="A1138" s="275"/>
      <c r="B1138" s="303">
        <v>45597</v>
      </c>
      <c r="C1138" s="304">
        <v>24304.349609375</v>
      </c>
      <c r="D1138" s="289">
        <f t="shared" si="34"/>
        <v>4.0900049616162618E-3</v>
      </c>
      <c r="E1138" s="275"/>
      <c r="F1138" s="290"/>
      <c r="G1138" s="305">
        <v>45597</v>
      </c>
      <c r="H1138" s="306">
        <v>4732.4208984375</v>
      </c>
      <c r="I1138" s="293">
        <f t="shared" si="35"/>
        <v>6.2030165528392019E-3</v>
      </c>
      <c r="J1138" s="289"/>
      <c r="K1138" s="275"/>
      <c r="L1138" s="290"/>
      <c r="M1138" s="275"/>
      <c r="N1138" s="275"/>
      <c r="O1138" s="275"/>
      <c r="P1138" s="275"/>
      <c r="Q1138" s="275"/>
      <c r="R1138" s="275"/>
      <c r="S1138" s="275"/>
      <c r="T1138" s="275"/>
    </row>
    <row r="1139" spans="1:20" ht="15" customHeight="1">
      <c r="A1139" s="20"/>
      <c r="B1139" s="294">
        <v>45600</v>
      </c>
      <c r="C1139" s="295">
        <v>23995.349609375</v>
      </c>
      <c r="D1139" s="296">
        <f t="shared" si="34"/>
        <v>-1.2713773664645128E-2</v>
      </c>
      <c r="E1139" s="20"/>
      <c r="F1139" s="297"/>
      <c r="G1139" s="298">
        <v>45600</v>
      </c>
      <c r="H1139" s="299">
        <v>4530.2763671875</v>
      </c>
      <c r="I1139" s="300">
        <f t="shared" si="35"/>
        <v>-4.2714825157826077E-2</v>
      </c>
      <c r="J1139" s="296"/>
      <c r="K1139" s="20"/>
      <c r="L1139" s="297"/>
      <c r="M1139" s="275"/>
      <c r="N1139" s="275"/>
      <c r="O1139" s="275"/>
      <c r="P1139" s="275"/>
      <c r="Q1139" s="275"/>
      <c r="R1139" s="275"/>
      <c r="S1139" s="275"/>
      <c r="T1139" s="275"/>
    </row>
    <row r="1140" spans="1:20" ht="15" customHeight="1">
      <c r="A1140" s="275"/>
      <c r="B1140" s="303">
        <v>45601</v>
      </c>
      <c r="C1140" s="304">
        <v>24213.30078125</v>
      </c>
      <c r="D1140" s="289">
        <f t="shared" si="34"/>
        <v>9.0830588186073483E-3</v>
      </c>
      <c r="E1140" s="275"/>
      <c r="F1140" s="290"/>
      <c r="G1140" s="305">
        <v>45601</v>
      </c>
      <c r="H1140" s="306">
        <v>4544.0854492129602</v>
      </c>
      <c r="I1140" s="293">
        <f t="shared" si="35"/>
        <v>3.0481765142361841E-3</v>
      </c>
      <c r="J1140" s="289"/>
      <c r="K1140" s="275"/>
      <c r="L1140" s="290"/>
      <c r="M1140" s="275"/>
      <c r="N1140" s="275"/>
      <c r="O1140" s="275"/>
      <c r="P1140" s="275"/>
      <c r="Q1140" s="275"/>
      <c r="R1140" s="275"/>
      <c r="S1140" s="275"/>
      <c r="T1140" s="275"/>
    </row>
    <row r="1141" spans="1:20" ht="15" customHeight="1">
      <c r="A1141" s="20"/>
      <c r="B1141" s="294">
        <v>45602</v>
      </c>
      <c r="C1141" s="295">
        <v>24484.05078125</v>
      </c>
      <c r="D1141" s="296">
        <f t="shared" si="34"/>
        <v>1.1181870759630595E-2</v>
      </c>
      <c r="E1141" s="20"/>
      <c r="F1141" s="297"/>
      <c r="G1141" s="298">
        <v>45602</v>
      </c>
      <c r="H1141" s="299">
        <v>4612.0478515625</v>
      </c>
      <c r="I1141" s="300">
        <f t="shared" si="35"/>
        <v>1.4956233351930253E-2</v>
      </c>
      <c r="J1141" s="296"/>
      <c r="K1141" s="20"/>
      <c r="L1141" s="297"/>
      <c r="M1141" s="275"/>
      <c r="N1141" s="275"/>
      <c r="O1141" s="275"/>
      <c r="P1141" s="275"/>
      <c r="Q1141" s="275"/>
      <c r="R1141" s="275"/>
      <c r="S1141" s="275"/>
      <c r="T1141" s="275"/>
    </row>
    <row r="1142" spans="1:20" ht="15" customHeight="1">
      <c r="A1142" s="275"/>
      <c r="B1142" s="303">
        <v>45603</v>
      </c>
      <c r="C1142" s="304">
        <v>24199.349609375</v>
      </c>
      <c r="D1142" s="289">
        <f t="shared" si="34"/>
        <v>-1.1628025706147672E-2</v>
      </c>
      <c r="E1142" s="275"/>
      <c r="F1142" s="290"/>
      <c r="G1142" s="305">
        <v>45603</v>
      </c>
      <c r="H1142" s="306">
        <v>4539.6547851620398</v>
      </c>
      <c r="I1142" s="293">
        <f t="shared" si="35"/>
        <v>-1.5696512423637225E-2</v>
      </c>
      <c r="J1142" s="289"/>
      <c r="K1142" s="275"/>
      <c r="L1142" s="290"/>
      <c r="M1142" s="275"/>
      <c r="N1142" s="275"/>
      <c r="O1142" s="275"/>
      <c r="P1142" s="275"/>
      <c r="Q1142" s="275"/>
      <c r="R1142" s="275"/>
      <c r="S1142" s="275"/>
      <c r="T1142" s="275"/>
    </row>
    <row r="1143" spans="1:20" ht="15" customHeight="1">
      <c r="A1143" s="20"/>
      <c r="B1143" s="294">
        <v>45604</v>
      </c>
      <c r="C1143" s="295">
        <v>24148.19921875</v>
      </c>
      <c r="D1143" s="296">
        <f t="shared" si="34"/>
        <v>-2.1137093124678017E-3</v>
      </c>
      <c r="E1143" s="20"/>
      <c r="F1143" s="297"/>
      <c r="G1143" s="298">
        <v>45604</v>
      </c>
      <c r="H1143" s="299">
        <v>4495.2573242129602</v>
      </c>
      <c r="I1143" s="300">
        <f t="shared" si="35"/>
        <v>-9.7799200710577718E-3</v>
      </c>
      <c r="J1143" s="296"/>
      <c r="K1143" s="20"/>
      <c r="L1143" s="297"/>
      <c r="M1143" s="275"/>
      <c r="N1143" s="275"/>
      <c r="O1143" s="275"/>
      <c r="P1143" s="275"/>
      <c r="Q1143" s="275"/>
      <c r="R1143" s="275"/>
      <c r="S1143" s="275"/>
      <c r="T1143" s="275"/>
    </row>
    <row r="1144" spans="1:20" ht="15" customHeight="1">
      <c r="A1144" s="275"/>
      <c r="B1144" s="303">
        <v>45607</v>
      </c>
      <c r="C1144" s="304">
        <v>24141.30078125</v>
      </c>
      <c r="D1144" s="289">
        <f t="shared" si="34"/>
        <v>-2.8567088740280355E-4</v>
      </c>
      <c r="E1144" s="275"/>
      <c r="F1144" s="290"/>
      <c r="G1144" s="305">
        <v>45607</v>
      </c>
      <c r="H1144" s="306">
        <v>4484.5122070370398</v>
      </c>
      <c r="I1144" s="293">
        <f t="shared" si="35"/>
        <v>-2.3903230451443828E-3</v>
      </c>
      <c r="J1144" s="289"/>
      <c r="K1144" s="275"/>
      <c r="L1144" s="290"/>
      <c r="M1144" s="275"/>
      <c r="N1144" s="275"/>
      <c r="O1144" s="275"/>
      <c r="P1144" s="275"/>
      <c r="Q1144" s="275"/>
      <c r="R1144" s="275"/>
      <c r="S1144" s="275"/>
      <c r="T1144" s="275"/>
    </row>
    <row r="1145" spans="1:20" ht="15" customHeight="1">
      <c r="A1145" s="20"/>
      <c r="B1145" s="294">
        <v>45608</v>
      </c>
      <c r="C1145" s="295">
        <v>23883.44921875</v>
      </c>
      <c r="D1145" s="296">
        <f t="shared" si="34"/>
        <v>-1.0680930776533279E-2</v>
      </c>
      <c r="E1145" s="20"/>
      <c r="F1145" s="297"/>
      <c r="G1145" s="298">
        <v>45608</v>
      </c>
      <c r="H1145" s="299">
        <v>4453.123046875</v>
      </c>
      <c r="I1145" s="300">
        <f t="shared" si="35"/>
        <v>-6.9994591859476648E-3</v>
      </c>
      <c r="J1145" s="296"/>
      <c r="K1145" s="20"/>
      <c r="L1145" s="297"/>
      <c r="M1145" s="275"/>
      <c r="N1145" s="275"/>
      <c r="O1145" s="275"/>
      <c r="P1145" s="275"/>
      <c r="Q1145" s="275"/>
      <c r="R1145" s="275"/>
      <c r="S1145" s="275"/>
      <c r="T1145" s="275"/>
    </row>
    <row r="1146" spans="1:20" ht="15" customHeight="1">
      <c r="A1146" s="275"/>
      <c r="B1146" s="303">
        <v>45609</v>
      </c>
      <c r="C1146" s="304">
        <v>23559.05078125</v>
      </c>
      <c r="D1146" s="289">
        <f t="shared" si="34"/>
        <v>-1.3582562322921387E-2</v>
      </c>
      <c r="E1146" s="275"/>
      <c r="F1146" s="290"/>
      <c r="G1146" s="305">
        <v>45609</v>
      </c>
      <c r="H1146" s="306">
        <v>4260.2626953125</v>
      </c>
      <c r="I1146" s="293">
        <f t="shared" si="35"/>
        <v>-4.3309010223250101E-2</v>
      </c>
      <c r="J1146" s="289"/>
      <c r="K1146" s="275"/>
      <c r="L1146" s="290"/>
      <c r="M1146" s="275"/>
      <c r="N1146" s="275"/>
      <c r="O1146" s="275"/>
      <c r="P1146" s="275"/>
      <c r="Q1146" s="275"/>
      <c r="R1146" s="275"/>
      <c r="S1146" s="275"/>
      <c r="T1146" s="275"/>
    </row>
    <row r="1147" spans="1:20" ht="15" customHeight="1">
      <c r="A1147" s="20"/>
      <c r="B1147" s="294">
        <v>45610</v>
      </c>
      <c r="C1147" s="295">
        <v>23532.69921875</v>
      </c>
      <c r="D1147" s="296">
        <f t="shared" si="34"/>
        <v>-1.1185324376894032E-3</v>
      </c>
      <c r="E1147" s="20"/>
      <c r="F1147" s="297"/>
      <c r="G1147" s="298">
        <v>45610</v>
      </c>
      <c r="H1147" s="299">
        <v>4339.8198242129602</v>
      </c>
      <c r="I1147" s="300">
        <f t="shared" si="35"/>
        <v>1.8674230813981403E-2</v>
      </c>
      <c r="J1147" s="296"/>
      <c r="K1147" s="20"/>
      <c r="L1147" s="297"/>
      <c r="M1147" s="275"/>
      <c r="N1147" s="275"/>
      <c r="O1147" s="275"/>
      <c r="P1147" s="275"/>
      <c r="Q1147" s="275"/>
      <c r="R1147" s="275"/>
      <c r="S1147" s="275"/>
      <c r="T1147" s="275"/>
    </row>
    <row r="1148" spans="1:20" ht="15" customHeight="1">
      <c r="A1148" s="275"/>
      <c r="B1148" s="303">
        <v>45614</v>
      </c>
      <c r="C1148" s="304">
        <v>23453.80078125</v>
      </c>
      <c r="D1148" s="289">
        <f t="shared" si="34"/>
        <v>-3.3527151631265739E-3</v>
      </c>
      <c r="E1148" s="275"/>
      <c r="F1148" s="290"/>
      <c r="G1148" s="305">
        <v>45614</v>
      </c>
      <c r="H1148" s="306">
        <v>4461.41796875</v>
      </c>
      <c r="I1148" s="293">
        <f t="shared" si="35"/>
        <v>2.8019168873927167E-2</v>
      </c>
      <c r="J1148" s="289"/>
      <c r="K1148" s="275"/>
      <c r="L1148" s="290"/>
      <c r="M1148" s="275"/>
      <c r="N1148" s="275"/>
      <c r="O1148" s="275"/>
      <c r="P1148" s="275"/>
      <c r="Q1148" s="275"/>
      <c r="R1148" s="275"/>
      <c r="S1148" s="275"/>
      <c r="T1148" s="275"/>
    </row>
    <row r="1149" spans="1:20" ht="15" customHeight="1">
      <c r="A1149" s="20"/>
      <c r="B1149" s="294">
        <v>45615</v>
      </c>
      <c r="C1149" s="295">
        <v>23518.5</v>
      </c>
      <c r="D1149" s="296">
        <f t="shared" si="34"/>
        <v>2.7585814066316875E-3</v>
      </c>
      <c r="E1149" s="20"/>
      <c r="F1149" s="297"/>
      <c r="G1149" s="298">
        <v>45615</v>
      </c>
      <c r="H1149" s="299">
        <v>4501.76171875</v>
      </c>
      <c r="I1149" s="300">
        <f t="shared" si="35"/>
        <v>9.0428088743506607E-3</v>
      </c>
      <c r="J1149" s="296"/>
      <c r="K1149" s="20"/>
      <c r="L1149" s="297"/>
      <c r="M1149" s="275"/>
      <c r="N1149" s="275"/>
      <c r="O1149" s="275"/>
      <c r="P1149" s="275"/>
      <c r="Q1149" s="275"/>
      <c r="R1149" s="275"/>
      <c r="S1149" s="275"/>
      <c r="T1149" s="275"/>
    </row>
    <row r="1150" spans="1:20" ht="15" customHeight="1">
      <c r="A1150" s="275"/>
      <c r="B1150" s="303">
        <v>45617</v>
      </c>
      <c r="C1150" s="304">
        <v>23349.900390625</v>
      </c>
      <c r="D1150" s="289">
        <f t="shared" si="34"/>
        <v>-7.1688079331164827E-3</v>
      </c>
      <c r="E1150" s="275"/>
      <c r="F1150" s="290"/>
      <c r="G1150" s="305">
        <v>45617</v>
      </c>
      <c r="H1150" s="306">
        <v>4494.2685546875</v>
      </c>
      <c r="I1150" s="293">
        <f t="shared" si="35"/>
        <v>-1.6644959308465175E-3</v>
      </c>
      <c r="J1150" s="289"/>
      <c r="K1150" s="275"/>
      <c r="L1150" s="290"/>
      <c r="M1150" s="275"/>
      <c r="N1150" s="275"/>
      <c r="O1150" s="275"/>
      <c r="P1150" s="275"/>
      <c r="Q1150" s="275"/>
      <c r="R1150" s="275"/>
      <c r="S1150" s="275"/>
      <c r="T1150" s="275"/>
    </row>
    <row r="1151" spans="1:20" ht="15" customHeight="1">
      <c r="A1151" s="20"/>
      <c r="B1151" s="294">
        <v>45618</v>
      </c>
      <c r="C1151" s="295">
        <v>23907.25</v>
      </c>
      <c r="D1151" s="296">
        <f t="shared" si="34"/>
        <v>2.3869464111237762E-2</v>
      </c>
      <c r="E1151" s="20"/>
      <c r="F1151" s="297"/>
      <c r="G1151" s="298">
        <v>45618</v>
      </c>
      <c r="H1151" s="299">
        <v>4519.01171875</v>
      </c>
      <c r="I1151" s="300">
        <f t="shared" si="35"/>
        <v>5.5054929987868664E-3</v>
      </c>
      <c r="J1151" s="296"/>
      <c r="K1151" s="20"/>
      <c r="L1151" s="297"/>
      <c r="M1151" s="275"/>
      <c r="N1151" s="275"/>
      <c r="O1151" s="275"/>
      <c r="P1151" s="275"/>
      <c r="Q1151" s="275"/>
      <c r="R1151" s="275"/>
      <c r="S1151" s="275"/>
      <c r="T1151" s="275"/>
    </row>
    <row r="1152" spans="1:20" ht="15" customHeight="1">
      <c r="A1152" s="275"/>
      <c r="B1152" s="303">
        <v>45621</v>
      </c>
      <c r="C1152" s="304">
        <v>24221.900390625</v>
      </c>
      <c r="D1152" s="289">
        <f t="shared" si="34"/>
        <v>1.3161295867362411E-2</v>
      </c>
      <c r="E1152" s="275"/>
      <c r="F1152" s="290"/>
      <c r="G1152" s="305">
        <v>45621</v>
      </c>
      <c r="H1152" s="306">
        <v>4579.5278320370398</v>
      </c>
      <c r="I1152" s="293">
        <f t="shared" si="35"/>
        <v>1.3391448629343045E-2</v>
      </c>
      <c r="J1152" s="289"/>
      <c r="K1152" s="275"/>
      <c r="L1152" s="290"/>
      <c r="M1152" s="275"/>
      <c r="N1152" s="275"/>
      <c r="O1152" s="275"/>
      <c r="P1152" s="275"/>
      <c r="Q1152" s="275"/>
      <c r="R1152" s="275"/>
      <c r="S1152" s="275"/>
      <c r="T1152" s="275"/>
    </row>
    <row r="1153" spans="1:20" ht="15" customHeight="1">
      <c r="A1153" s="20"/>
      <c r="B1153" s="294">
        <v>45622</v>
      </c>
      <c r="C1153" s="295">
        <v>24194.5</v>
      </c>
      <c r="D1153" s="296">
        <f t="shared" si="34"/>
        <v>-1.1312238174179439E-3</v>
      </c>
      <c r="E1153" s="20"/>
      <c r="F1153" s="297"/>
      <c r="G1153" s="298">
        <v>45622</v>
      </c>
      <c r="H1153" s="299">
        <v>4561.052734375</v>
      </c>
      <c r="I1153" s="300">
        <f t="shared" si="35"/>
        <v>-4.034280026161967E-3</v>
      </c>
      <c r="J1153" s="296"/>
      <c r="K1153" s="20"/>
      <c r="L1153" s="297"/>
      <c r="M1153" s="275"/>
      <c r="N1153" s="275"/>
      <c r="O1153" s="275"/>
      <c r="P1153" s="275"/>
      <c r="Q1153" s="275"/>
      <c r="R1153" s="275"/>
      <c r="S1153" s="275"/>
      <c r="T1153" s="275"/>
    </row>
    <row r="1154" spans="1:20" ht="15" customHeight="1">
      <c r="A1154" s="275"/>
      <c r="B1154" s="303">
        <v>45623</v>
      </c>
      <c r="C1154" s="304">
        <v>24274.900390625</v>
      </c>
      <c r="D1154" s="289">
        <f t="shared" si="34"/>
        <v>3.3230854378061129E-3</v>
      </c>
      <c r="E1154" s="275"/>
      <c r="F1154" s="290"/>
      <c r="G1154" s="305">
        <v>45623</v>
      </c>
      <c r="H1154" s="306">
        <v>4591.7348632870398</v>
      </c>
      <c r="I1154" s="293">
        <f t="shared" si="35"/>
        <v>6.7269840317345526E-3</v>
      </c>
      <c r="J1154" s="289"/>
      <c r="K1154" s="275"/>
      <c r="L1154" s="290"/>
      <c r="M1154" s="275"/>
      <c r="N1154" s="275"/>
      <c r="O1154" s="275"/>
      <c r="P1154" s="275"/>
      <c r="Q1154" s="275"/>
      <c r="R1154" s="275"/>
      <c r="S1154" s="275"/>
      <c r="T1154" s="275"/>
    </row>
    <row r="1155" spans="1:20" ht="15" customHeight="1">
      <c r="A1155" s="20"/>
      <c r="B1155" s="294">
        <v>45624</v>
      </c>
      <c r="C1155" s="295">
        <v>23914.150390625</v>
      </c>
      <c r="D1155" s="296">
        <f t="shared" si="34"/>
        <v>-1.4861029054492934E-2</v>
      </c>
      <c r="E1155" s="20"/>
      <c r="F1155" s="297"/>
      <c r="G1155" s="298">
        <v>45624</v>
      </c>
      <c r="H1155" s="299">
        <v>4509.0200195370398</v>
      </c>
      <c r="I1155" s="300">
        <f t="shared" si="35"/>
        <v>-1.8013854504392648E-2</v>
      </c>
      <c r="J1155" s="296"/>
      <c r="K1155" s="20"/>
      <c r="L1155" s="297"/>
      <c r="M1155" s="275"/>
      <c r="N1155" s="275"/>
      <c r="O1155" s="275"/>
      <c r="P1155" s="275"/>
      <c r="Q1155" s="275"/>
      <c r="R1155" s="275"/>
      <c r="S1155" s="275"/>
      <c r="T1155" s="275"/>
    </row>
    <row r="1156" spans="1:20" ht="15" customHeight="1">
      <c r="A1156" s="275"/>
      <c r="B1156" s="303">
        <v>45625</v>
      </c>
      <c r="C1156" s="304">
        <v>24131.099609375</v>
      </c>
      <c r="D1156" s="289">
        <f t="shared" si="34"/>
        <v>9.0720019405351737E-3</v>
      </c>
      <c r="E1156" s="275"/>
      <c r="F1156" s="290"/>
      <c r="G1156" s="305">
        <v>45625</v>
      </c>
      <c r="H1156" s="306">
        <v>4488.470703125</v>
      </c>
      <c r="I1156" s="293">
        <f t="shared" si="35"/>
        <v>-4.5573797239759715E-3</v>
      </c>
      <c r="J1156" s="289"/>
      <c r="K1156" s="275"/>
      <c r="L1156" s="290"/>
      <c r="M1156" s="275"/>
      <c r="N1156" s="275"/>
      <c r="O1156" s="275"/>
      <c r="P1156" s="275"/>
      <c r="Q1156" s="275"/>
      <c r="R1156" s="275"/>
      <c r="S1156" s="275"/>
      <c r="T1156" s="275"/>
    </row>
    <row r="1157" spans="1:20" ht="15" customHeight="1">
      <c r="A1157" s="20"/>
      <c r="B1157" s="294">
        <v>45628</v>
      </c>
      <c r="C1157" s="295">
        <v>24276.05078125</v>
      </c>
      <c r="D1157" s="296">
        <f t="shared" ref="D1157:D1220" si="36">(C1157-C1156)/C1156</f>
        <v>6.0068200049485541E-3</v>
      </c>
      <c r="E1157" s="20"/>
      <c r="F1157" s="297"/>
      <c r="G1157" s="298">
        <v>45628</v>
      </c>
      <c r="H1157" s="299">
        <v>4475.9814453125</v>
      </c>
      <c r="I1157" s="300">
        <f t="shared" ref="I1157:I1220" si="37">(H1157-H1156)/H1156</f>
        <v>-2.7825196238452947E-3</v>
      </c>
      <c r="J1157" s="296"/>
      <c r="K1157" s="20"/>
      <c r="L1157" s="297"/>
      <c r="M1157" s="275"/>
      <c r="N1157" s="275"/>
      <c r="O1157" s="275"/>
      <c r="P1157" s="275"/>
      <c r="Q1157" s="275"/>
      <c r="R1157" s="275"/>
      <c r="S1157" s="275"/>
      <c r="T1157" s="275"/>
    </row>
    <row r="1158" spans="1:20" ht="15" customHeight="1">
      <c r="A1158" s="275"/>
      <c r="B1158" s="303">
        <v>45629</v>
      </c>
      <c r="C1158" s="304">
        <v>24457.150390625</v>
      </c>
      <c r="D1158" s="289">
        <f t="shared" si="36"/>
        <v>7.4600111445999777E-3</v>
      </c>
      <c r="E1158" s="275"/>
      <c r="F1158" s="290"/>
      <c r="G1158" s="305">
        <v>45629</v>
      </c>
      <c r="H1158" s="306">
        <v>4427.4838867129602</v>
      </c>
      <c r="I1158" s="293">
        <f t="shared" si="37"/>
        <v>-1.0835066943883162E-2</v>
      </c>
      <c r="J1158" s="289"/>
      <c r="K1158" s="275"/>
      <c r="L1158" s="290"/>
      <c r="M1158" s="275"/>
      <c r="N1158" s="275"/>
      <c r="O1158" s="275"/>
      <c r="P1158" s="275"/>
      <c r="Q1158" s="275"/>
      <c r="R1158" s="275"/>
      <c r="S1158" s="275"/>
      <c r="T1158" s="275"/>
    </row>
    <row r="1159" spans="1:20" ht="15" customHeight="1">
      <c r="A1159" s="20"/>
      <c r="B1159" s="294">
        <v>45630</v>
      </c>
      <c r="C1159" s="295">
        <v>24467.44921875</v>
      </c>
      <c r="D1159" s="296">
        <f t="shared" si="36"/>
        <v>4.2109681465375389E-4</v>
      </c>
      <c r="E1159" s="20"/>
      <c r="F1159" s="297"/>
      <c r="G1159" s="298">
        <v>45630</v>
      </c>
      <c r="H1159" s="299">
        <v>4369.8422851620398</v>
      </c>
      <c r="I1159" s="300">
        <f t="shared" si="37"/>
        <v>-1.3019042649461661E-2</v>
      </c>
      <c r="J1159" s="296"/>
      <c r="K1159" s="20"/>
      <c r="L1159" s="297"/>
      <c r="M1159" s="275"/>
      <c r="N1159" s="275"/>
      <c r="O1159" s="275"/>
      <c r="P1159" s="275"/>
      <c r="Q1159" s="275"/>
      <c r="R1159" s="275"/>
      <c r="S1159" s="275"/>
      <c r="T1159" s="275"/>
    </row>
    <row r="1160" spans="1:20" ht="15" customHeight="1">
      <c r="A1160" s="275"/>
      <c r="B1160" s="303">
        <v>45631</v>
      </c>
      <c r="C1160" s="304">
        <v>24708.400390625</v>
      </c>
      <c r="D1160" s="289">
        <f t="shared" si="36"/>
        <v>9.8478255628851284E-3</v>
      </c>
      <c r="E1160" s="275"/>
      <c r="F1160" s="290"/>
      <c r="G1160" s="305">
        <v>45631</v>
      </c>
      <c r="H1160" s="306">
        <v>4377.8544921875</v>
      </c>
      <c r="I1160" s="293">
        <f t="shared" si="37"/>
        <v>1.8335231577272023E-3</v>
      </c>
      <c r="J1160" s="289"/>
      <c r="K1160" s="275"/>
      <c r="L1160" s="290"/>
      <c r="M1160" s="275"/>
      <c r="N1160" s="275"/>
      <c r="O1160" s="275"/>
      <c r="P1160" s="275"/>
      <c r="Q1160" s="275"/>
      <c r="R1160" s="275"/>
      <c r="S1160" s="275"/>
      <c r="T1160" s="275"/>
    </row>
    <row r="1161" spans="1:20" ht="15" customHeight="1">
      <c r="A1161" s="20"/>
      <c r="B1161" s="294">
        <v>45632</v>
      </c>
      <c r="C1161" s="295">
        <v>24677.80078125</v>
      </c>
      <c r="D1161" s="296">
        <f t="shared" si="36"/>
        <v>-1.2384293961259537E-3</v>
      </c>
      <c r="E1161" s="20"/>
      <c r="F1161" s="297"/>
      <c r="G1161" s="298">
        <v>45632</v>
      </c>
      <c r="H1161" s="299">
        <v>4363.951171875</v>
      </c>
      <c r="I1161" s="300">
        <f t="shared" si="37"/>
        <v>-3.1758296986140514E-3</v>
      </c>
      <c r="J1161" s="296"/>
      <c r="K1161" s="20"/>
      <c r="L1161" s="297"/>
      <c r="M1161" s="275"/>
      <c r="N1161" s="275"/>
      <c r="O1161" s="275"/>
      <c r="P1161" s="275"/>
      <c r="Q1161" s="275"/>
      <c r="R1161" s="275"/>
      <c r="S1161" s="275"/>
      <c r="T1161" s="275"/>
    </row>
    <row r="1162" spans="1:20" ht="15" customHeight="1">
      <c r="A1162" s="275"/>
      <c r="B1162" s="303">
        <v>45635</v>
      </c>
      <c r="C1162" s="304">
        <v>24619</v>
      </c>
      <c r="D1162" s="289">
        <f t="shared" si="36"/>
        <v>-2.3827399277279349E-3</v>
      </c>
      <c r="E1162" s="275"/>
      <c r="F1162" s="290"/>
      <c r="G1162" s="305">
        <v>45635</v>
      </c>
      <c r="H1162" s="306">
        <v>4332.2319335879602</v>
      </c>
      <c r="I1162" s="293">
        <f t="shared" si="37"/>
        <v>-7.2684677343471437E-3</v>
      </c>
      <c r="J1162" s="289"/>
      <c r="K1162" s="275"/>
      <c r="L1162" s="290"/>
      <c r="M1162" s="275"/>
      <c r="N1162" s="275"/>
      <c r="O1162" s="275"/>
      <c r="P1162" s="275"/>
      <c r="Q1162" s="275"/>
      <c r="R1162" s="275"/>
      <c r="S1162" s="275"/>
      <c r="T1162" s="275"/>
    </row>
    <row r="1163" spans="1:20" ht="15" customHeight="1">
      <c r="A1163" s="20"/>
      <c r="B1163" s="294">
        <v>45636</v>
      </c>
      <c r="C1163" s="295">
        <v>24610.05078125</v>
      </c>
      <c r="D1163" s="296">
        <f t="shared" si="36"/>
        <v>-3.6350862138998332E-4</v>
      </c>
      <c r="E1163" s="20"/>
      <c r="F1163" s="297"/>
      <c r="G1163" s="298">
        <v>45636</v>
      </c>
      <c r="H1163" s="299">
        <v>4325.0205078125</v>
      </c>
      <c r="I1163" s="300">
        <f t="shared" si="37"/>
        <v>-1.6645982685159805E-3</v>
      </c>
      <c r="J1163" s="296"/>
      <c r="K1163" s="20"/>
      <c r="L1163" s="297"/>
      <c r="M1163" s="275"/>
      <c r="N1163" s="275"/>
      <c r="O1163" s="275"/>
      <c r="P1163" s="275"/>
      <c r="Q1163" s="275"/>
      <c r="R1163" s="275"/>
      <c r="S1163" s="275"/>
      <c r="T1163" s="275"/>
    </row>
    <row r="1164" spans="1:20" ht="15" customHeight="1">
      <c r="A1164" s="275"/>
      <c r="B1164" s="303">
        <v>45637</v>
      </c>
      <c r="C1164" s="304">
        <v>24641.80078125</v>
      </c>
      <c r="D1164" s="289">
        <f t="shared" si="36"/>
        <v>1.2901233029632678E-3</v>
      </c>
      <c r="E1164" s="275"/>
      <c r="F1164" s="290"/>
      <c r="G1164" s="305">
        <v>45637</v>
      </c>
      <c r="H1164" s="306">
        <v>4383.6044921875</v>
      </c>
      <c r="I1164" s="293">
        <f t="shared" si="37"/>
        <v>1.3545365685359603E-2</v>
      </c>
      <c r="J1164" s="289"/>
      <c r="K1164" s="275"/>
      <c r="L1164" s="290"/>
      <c r="M1164" s="275"/>
      <c r="N1164" s="275"/>
      <c r="O1164" s="275"/>
      <c r="P1164" s="275"/>
      <c r="Q1164" s="275"/>
      <c r="R1164" s="275"/>
      <c r="S1164" s="275"/>
      <c r="T1164" s="275"/>
    </row>
    <row r="1165" spans="1:20" ht="15" customHeight="1">
      <c r="A1165" s="20"/>
      <c r="B1165" s="294">
        <v>45638</v>
      </c>
      <c r="C1165" s="295">
        <v>24548.69921875</v>
      </c>
      <c r="D1165" s="296">
        <f t="shared" si="36"/>
        <v>-3.778196379659119E-3</v>
      </c>
      <c r="E1165" s="20"/>
      <c r="F1165" s="297"/>
      <c r="G1165" s="298">
        <v>45638</v>
      </c>
      <c r="H1165" s="299">
        <v>4295.28125</v>
      </c>
      <c r="I1165" s="300">
        <f t="shared" si="37"/>
        <v>-2.0148542676445946E-2</v>
      </c>
      <c r="J1165" s="296"/>
      <c r="K1165" s="20"/>
      <c r="L1165" s="297"/>
      <c r="M1165" s="275"/>
      <c r="N1165" s="275"/>
      <c r="O1165" s="275"/>
      <c r="P1165" s="275"/>
      <c r="Q1165" s="275"/>
      <c r="R1165" s="275"/>
      <c r="S1165" s="275"/>
      <c r="T1165" s="275"/>
    </row>
    <row r="1166" spans="1:20" ht="15" customHeight="1">
      <c r="A1166" s="275"/>
      <c r="B1166" s="303">
        <v>45639</v>
      </c>
      <c r="C1166" s="304">
        <v>24768.30078125</v>
      </c>
      <c r="D1166" s="289">
        <f t="shared" si="36"/>
        <v>8.9455478085890185E-3</v>
      </c>
      <c r="E1166" s="275"/>
      <c r="F1166" s="290"/>
      <c r="G1166" s="305">
        <v>45639</v>
      </c>
      <c r="H1166" s="306">
        <v>4312.908203125</v>
      </c>
      <c r="I1166" s="293">
        <f t="shared" si="37"/>
        <v>4.1037948620943039E-3</v>
      </c>
      <c r="J1166" s="289"/>
      <c r="K1166" s="275"/>
      <c r="L1166" s="290"/>
      <c r="M1166" s="275"/>
      <c r="N1166" s="275"/>
      <c r="O1166" s="275"/>
      <c r="P1166" s="275"/>
      <c r="Q1166" s="275"/>
      <c r="R1166" s="275"/>
      <c r="S1166" s="275"/>
      <c r="T1166" s="275"/>
    </row>
    <row r="1167" spans="1:20" ht="15" customHeight="1">
      <c r="A1167" s="20"/>
      <c r="B1167" s="294">
        <v>45642</v>
      </c>
      <c r="C1167" s="295">
        <v>24668.25</v>
      </c>
      <c r="D1167" s="296">
        <f t="shared" si="36"/>
        <v>-4.0394689217332193E-3</v>
      </c>
      <c r="E1167" s="20"/>
      <c r="F1167" s="297"/>
      <c r="G1167" s="298">
        <v>45642</v>
      </c>
      <c r="H1167" s="299">
        <v>4278.5493164120398</v>
      </c>
      <c r="I1167" s="300">
        <f t="shared" si="37"/>
        <v>-7.9665240006881605E-3</v>
      </c>
      <c r="J1167" s="296"/>
      <c r="K1167" s="20"/>
      <c r="L1167" s="297"/>
      <c r="M1167" s="275"/>
      <c r="N1167" s="275"/>
      <c r="O1167" s="275"/>
      <c r="P1167" s="275"/>
      <c r="Q1167" s="275"/>
      <c r="R1167" s="275"/>
      <c r="S1167" s="275"/>
      <c r="T1167" s="275"/>
    </row>
    <row r="1168" spans="1:20" ht="15" customHeight="1">
      <c r="A1168" s="275"/>
      <c r="B1168" s="303">
        <v>45643</v>
      </c>
      <c r="C1168" s="304">
        <v>24336</v>
      </c>
      <c r="D1168" s="289">
        <f t="shared" si="36"/>
        <v>-1.3468730047733423E-2</v>
      </c>
      <c r="E1168" s="275"/>
      <c r="F1168" s="290"/>
      <c r="G1168" s="305">
        <v>45643</v>
      </c>
      <c r="H1168" s="306">
        <v>4161.759765625</v>
      </c>
      <c r="I1168" s="293">
        <f t="shared" si="37"/>
        <v>-2.7296530237257779E-2</v>
      </c>
      <c r="J1168" s="289"/>
      <c r="K1168" s="275"/>
      <c r="L1168" s="290"/>
      <c r="M1168" s="275"/>
      <c r="N1168" s="275"/>
      <c r="O1168" s="275"/>
      <c r="P1168" s="275"/>
      <c r="Q1168" s="275"/>
      <c r="R1168" s="275"/>
      <c r="S1168" s="275"/>
      <c r="T1168" s="275"/>
    </row>
    <row r="1169" spans="1:20" ht="15" customHeight="1">
      <c r="A1169" s="20"/>
      <c r="B1169" s="294">
        <v>45644</v>
      </c>
      <c r="C1169" s="295">
        <v>24198.849609375</v>
      </c>
      <c r="D1169" s="296">
        <f t="shared" si="36"/>
        <v>-5.6356998120069036E-3</v>
      </c>
      <c r="E1169" s="20"/>
      <c r="F1169" s="297"/>
      <c r="G1169" s="298">
        <v>45644</v>
      </c>
      <c r="H1169" s="299">
        <v>4137.5810546875</v>
      </c>
      <c r="I1169" s="300">
        <f t="shared" si="37"/>
        <v>-5.8097324927809512E-3</v>
      </c>
      <c r="J1169" s="296"/>
      <c r="K1169" s="20"/>
      <c r="L1169" s="297"/>
      <c r="M1169" s="275"/>
      <c r="N1169" s="275"/>
      <c r="O1169" s="275"/>
      <c r="P1169" s="275"/>
      <c r="Q1169" s="275"/>
      <c r="R1169" s="275"/>
      <c r="S1169" s="275"/>
      <c r="T1169" s="275"/>
    </row>
    <row r="1170" spans="1:20" ht="15" customHeight="1">
      <c r="A1170" s="275"/>
      <c r="B1170" s="303">
        <v>45645</v>
      </c>
      <c r="C1170" s="304">
        <v>23951.69921875</v>
      </c>
      <c r="D1170" s="289">
        <f t="shared" si="36"/>
        <v>-1.0213311567061031E-2</v>
      </c>
      <c r="E1170" s="275"/>
      <c r="F1170" s="290"/>
      <c r="G1170" s="305">
        <v>45645</v>
      </c>
      <c r="H1170" s="306">
        <v>4154.0771484375</v>
      </c>
      <c r="I1170" s="293">
        <f t="shared" si="37"/>
        <v>3.9868931948321444E-3</v>
      </c>
      <c r="J1170" s="289"/>
      <c r="K1170" s="275"/>
      <c r="L1170" s="290"/>
      <c r="M1170" s="275"/>
      <c r="N1170" s="275"/>
      <c r="O1170" s="275"/>
      <c r="P1170" s="275"/>
      <c r="Q1170" s="275"/>
      <c r="R1170" s="275"/>
      <c r="S1170" s="275"/>
      <c r="T1170" s="275"/>
    </row>
    <row r="1171" spans="1:20" ht="15" customHeight="1">
      <c r="A1171" s="20"/>
      <c r="B1171" s="294">
        <v>45646</v>
      </c>
      <c r="C1171" s="295">
        <v>23587.5</v>
      </c>
      <c r="D1171" s="296">
        <f t="shared" si="36"/>
        <v>-1.5205569150805617E-2</v>
      </c>
      <c r="E1171" s="20"/>
      <c r="F1171" s="297"/>
      <c r="G1171" s="298">
        <v>45646</v>
      </c>
      <c r="H1171" s="299">
        <v>4090.9216308564801</v>
      </c>
      <c r="I1171" s="300">
        <f t="shared" si="37"/>
        <v>-1.520326063389916E-2</v>
      </c>
      <c r="J1171" s="296"/>
      <c r="K1171" s="20"/>
      <c r="L1171" s="297"/>
      <c r="M1171" s="275"/>
      <c r="N1171" s="275"/>
      <c r="O1171" s="275"/>
      <c r="P1171" s="275"/>
      <c r="Q1171" s="275"/>
      <c r="R1171" s="275"/>
      <c r="S1171" s="275"/>
      <c r="T1171" s="275"/>
    </row>
    <row r="1172" spans="1:20" ht="15" customHeight="1">
      <c r="A1172" s="275"/>
      <c r="B1172" s="303">
        <v>45649</v>
      </c>
      <c r="C1172" s="304">
        <v>23753.44921875</v>
      </c>
      <c r="D1172" s="289">
        <f t="shared" si="36"/>
        <v>7.0354729729729731E-3</v>
      </c>
      <c r="E1172" s="275"/>
      <c r="F1172" s="290"/>
      <c r="G1172" s="305">
        <v>45649</v>
      </c>
      <c r="H1172" s="306">
        <v>4027.4357910185199</v>
      </c>
      <c r="I1172" s="293">
        <f t="shared" si="37"/>
        <v>-1.5518713279449621E-2</v>
      </c>
      <c r="J1172" s="289"/>
      <c r="K1172" s="275"/>
      <c r="L1172" s="290"/>
      <c r="M1172" s="275"/>
      <c r="N1172" s="275"/>
      <c r="O1172" s="275"/>
      <c r="P1172" s="275"/>
      <c r="Q1172" s="275"/>
      <c r="R1172" s="275"/>
      <c r="S1172" s="275"/>
      <c r="T1172" s="275"/>
    </row>
    <row r="1173" spans="1:20" ht="15" customHeight="1">
      <c r="A1173" s="20"/>
      <c r="B1173" s="294">
        <v>45650</v>
      </c>
      <c r="C1173" s="295">
        <v>23727.650390625</v>
      </c>
      <c r="D1173" s="296">
        <f t="shared" si="36"/>
        <v>-1.0861087115144297E-3</v>
      </c>
      <c r="E1173" s="20"/>
      <c r="F1173" s="297"/>
      <c r="G1173" s="298">
        <v>45650</v>
      </c>
      <c r="H1173" s="299">
        <v>4014.7106933564801</v>
      </c>
      <c r="I1173" s="300">
        <f t="shared" si="37"/>
        <v>-3.1596028645367244E-3</v>
      </c>
      <c r="J1173" s="296"/>
      <c r="K1173" s="20"/>
      <c r="L1173" s="297"/>
      <c r="M1173" s="275"/>
      <c r="N1173" s="275"/>
      <c r="O1173" s="275"/>
      <c r="P1173" s="275"/>
      <c r="Q1173" s="275"/>
      <c r="R1173" s="275"/>
      <c r="S1173" s="275"/>
      <c r="T1173" s="275"/>
    </row>
    <row r="1174" spans="1:20" ht="15" customHeight="1">
      <c r="A1174" s="275"/>
      <c r="B1174" s="303">
        <v>45652</v>
      </c>
      <c r="C1174" s="304">
        <v>23750.19921875</v>
      </c>
      <c r="D1174" s="289">
        <f t="shared" si="36"/>
        <v>9.5031862631915877E-4</v>
      </c>
      <c r="E1174" s="275"/>
      <c r="F1174" s="290"/>
      <c r="G1174" s="305">
        <v>45652</v>
      </c>
      <c r="H1174" s="306">
        <v>4029.6979980439801</v>
      </c>
      <c r="I1174" s="293">
        <f t="shared" si="37"/>
        <v>3.7330970603438262E-3</v>
      </c>
      <c r="J1174" s="289"/>
      <c r="K1174" s="275"/>
      <c r="L1174" s="290"/>
      <c r="M1174" s="275"/>
      <c r="N1174" s="275"/>
      <c r="O1174" s="275"/>
      <c r="P1174" s="275"/>
      <c r="Q1174" s="275"/>
      <c r="R1174" s="275"/>
      <c r="S1174" s="275"/>
      <c r="T1174" s="275"/>
    </row>
    <row r="1175" spans="1:20" ht="15" customHeight="1">
      <c r="A1175" s="20"/>
      <c r="B1175" s="294">
        <v>45653</v>
      </c>
      <c r="C1175" s="295">
        <v>23813.400390625</v>
      </c>
      <c r="D1175" s="296">
        <f t="shared" si="36"/>
        <v>2.6610796521279179E-3</v>
      </c>
      <c r="E1175" s="20"/>
      <c r="F1175" s="297"/>
      <c r="G1175" s="298">
        <v>45653</v>
      </c>
      <c r="H1175" s="299">
        <v>3994.7744140625</v>
      </c>
      <c r="I1175" s="300">
        <f t="shared" si="37"/>
        <v>-8.6665511902956557E-3</v>
      </c>
      <c r="J1175" s="296"/>
      <c r="K1175" s="20"/>
      <c r="L1175" s="297"/>
      <c r="M1175" s="275"/>
      <c r="N1175" s="275"/>
      <c r="O1175" s="275"/>
      <c r="P1175" s="275"/>
      <c r="Q1175" s="275"/>
      <c r="R1175" s="275"/>
      <c r="S1175" s="275"/>
      <c r="T1175" s="275"/>
    </row>
    <row r="1176" spans="1:20" ht="15" customHeight="1">
      <c r="A1176" s="275"/>
      <c r="B1176" s="303">
        <v>45656</v>
      </c>
      <c r="C1176" s="304">
        <v>23644.900390625</v>
      </c>
      <c r="D1176" s="289">
        <f t="shared" si="36"/>
        <v>-7.0758479358679106E-3</v>
      </c>
      <c r="E1176" s="275"/>
      <c r="F1176" s="290"/>
      <c r="G1176" s="305">
        <v>45656</v>
      </c>
      <c r="H1176" s="306">
        <v>3947.3129882870398</v>
      </c>
      <c r="I1176" s="293">
        <f t="shared" si="37"/>
        <v>-1.1880877580567582E-2</v>
      </c>
      <c r="J1176" s="289"/>
      <c r="K1176" s="275"/>
      <c r="L1176" s="290"/>
      <c r="M1176" s="275"/>
      <c r="N1176" s="275"/>
      <c r="O1176" s="275"/>
      <c r="P1176" s="275"/>
      <c r="Q1176" s="275"/>
      <c r="R1176" s="275"/>
      <c r="S1176" s="275"/>
      <c r="T1176" s="275"/>
    </row>
    <row r="1177" spans="1:20" ht="15" customHeight="1">
      <c r="A1177" s="20"/>
      <c r="B1177" s="294">
        <v>45657</v>
      </c>
      <c r="C1177" s="295">
        <v>23644.80078125</v>
      </c>
      <c r="D1177" s="296">
        <f t="shared" si="36"/>
        <v>-4.2127212783477941E-6</v>
      </c>
      <c r="E1177" s="20"/>
      <c r="F1177" s="297"/>
      <c r="G1177" s="298">
        <v>45657</v>
      </c>
      <c r="H1177" s="299">
        <v>3921.8623046875</v>
      </c>
      <c r="I1177" s="300">
        <f t="shared" si="37"/>
        <v>-6.44759705527793E-3</v>
      </c>
      <c r="J1177" s="296"/>
      <c r="K1177" s="20"/>
      <c r="L1177" s="297"/>
      <c r="M1177" s="275"/>
      <c r="N1177" s="275"/>
      <c r="O1177" s="275"/>
      <c r="P1177" s="275"/>
      <c r="Q1177" s="275"/>
      <c r="R1177" s="275"/>
      <c r="S1177" s="275"/>
      <c r="T1177" s="275"/>
    </row>
    <row r="1178" spans="1:20" ht="15" customHeight="1">
      <c r="A1178" s="275"/>
      <c r="B1178" s="303">
        <v>45658</v>
      </c>
      <c r="C1178" s="304">
        <v>23742.900390625</v>
      </c>
      <c r="D1178" s="289">
        <f t="shared" si="36"/>
        <v>4.1488871182535671E-3</v>
      </c>
      <c r="E1178" s="275"/>
      <c r="F1178" s="290"/>
      <c r="G1178" s="305">
        <v>45658</v>
      </c>
      <c r="H1178" s="306">
        <v>3944.25</v>
      </c>
      <c r="I1178" s="293">
        <f t="shared" si="37"/>
        <v>5.7084348131605008E-3</v>
      </c>
      <c r="J1178" s="289"/>
      <c r="K1178" s="275"/>
      <c r="L1178" s="290"/>
      <c r="M1178" s="275"/>
      <c r="N1178" s="275"/>
      <c r="O1178" s="275"/>
      <c r="P1178" s="275"/>
      <c r="Q1178" s="275"/>
      <c r="R1178" s="275"/>
      <c r="S1178" s="275"/>
      <c r="T1178" s="275"/>
    </row>
    <row r="1179" spans="1:20" ht="15" customHeight="1">
      <c r="A1179" s="20"/>
      <c r="B1179" s="294">
        <v>45659</v>
      </c>
      <c r="C1179" s="295">
        <v>24188.650390625</v>
      </c>
      <c r="D1179" s="296">
        <f t="shared" si="36"/>
        <v>1.8774033191665436E-2</v>
      </c>
      <c r="E1179" s="20"/>
      <c r="F1179" s="297"/>
      <c r="G1179" s="298">
        <v>45659</v>
      </c>
      <c r="H1179" s="299">
        <v>4064.1040039120398</v>
      </c>
      <c r="I1179" s="300">
        <f t="shared" si="37"/>
        <v>3.0387020070238916E-2</v>
      </c>
      <c r="J1179" s="296"/>
      <c r="K1179" s="20"/>
      <c r="L1179" s="297"/>
      <c r="M1179" s="275"/>
      <c r="N1179" s="275"/>
      <c r="O1179" s="275"/>
      <c r="P1179" s="275"/>
      <c r="Q1179" s="275"/>
      <c r="R1179" s="275"/>
      <c r="S1179" s="275"/>
      <c r="T1179" s="275"/>
    </row>
    <row r="1180" spans="1:20" ht="15" customHeight="1">
      <c r="A1180" s="275"/>
      <c r="B1180" s="303">
        <v>45660</v>
      </c>
      <c r="C1180" s="304">
        <v>24004.75</v>
      </c>
      <c r="D1180" s="289">
        <f t="shared" si="36"/>
        <v>-7.602755327609176E-3</v>
      </c>
      <c r="E1180" s="275"/>
      <c r="F1180" s="290"/>
      <c r="G1180" s="305">
        <v>45660</v>
      </c>
      <c r="H1180" s="306">
        <v>3999.6284179629602</v>
      </c>
      <c r="I1180" s="293">
        <f t="shared" si="37"/>
        <v>-1.5864649597307684E-2</v>
      </c>
      <c r="J1180" s="289"/>
      <c r="K1180" s="275"/>
      <c r="L1180" s="290"/>
      <c r="M1180" s="275"/>
      <c r="N1180" s="275"/>
      <c r="O1180" s="275"/>
      <c r="P1180" s="275"/>
      <c r="Q1180" s="275"/>
      <c r="R1180" s="275"/>
      <c r="S1180" s="275"/>
      <c r="T1180" s="275"/>
    </row>
    <row r="1181" spans="1:20" ht="15" customHeight="1">
      <c r="A1181" s="20"/>
      <c r="B1181" s="294">
        <v>45663</v>
      </c>
      <c r="C1181" s="295">
        <v>23616.05078125</v>
      </c>
      <c r="D1181" s="296">
        <f t="shared" si="36"/>
        <v>-1.6192595996625668E-2</v>
      </c>
      <c r="E1181" s="20"/>
      <c r="F1181" s="297"/>
      <c r="G1181" s="298">
        <v>45663</v>
      </c>
      <c r="H1181" s="299">
        <v>3961.6408691435199</v>
      </c>
      <c r="I1181" s="300">
        <f t="shared" si="37"/>
        <v>-9.4977695049950593E-3</v>
      </c>
      <c r="J1181" s="296"/>
      <c r="K1181" s="20"/>
      <c r="L1181" s="297"/>
      <c r="M1181" s="275"/>
      <c r="N1181" s="275"/>
      <c r="O1181" s="275"/>
      <c r="P1181" s="275"/>
      <c r="Q1181" s="275"/>
      <c r="R1181" s="275"/>
      <c r="S1181" s="275"/>
      <c r="T1181" s="275"/>
    </row>
    <row r="1182" spans="1:20" ht="15" customHeight="1">
      <c r="A1182" s="275"/>
      <c r="B1182" s="303">
        <v>45664</v>
      </c>
      <c r="C1182" s="304">
        <v>23707.900390625</v>
      </c>
      <c r="D1182" s="289">
        <f t="shared" si="36"/>
        <v>3.8892874268344705E-3</v>
      </c>
      <c r="E1182" s="275"/>
      <c r="F1182" s="290"/>
      <c r="G1182" s="305">
        <v>45664</v>
      </c>
      <c r="H1182" s="306">
        <v>3923.2292480439801</v>
      </c>
      <c r="I1182" s="293">
        <f t="shared" si="37"/>
        <v>-9.6958867217674313E-3</v>
      </c>
      <c r="J1182" s="289"/>
      <c r="K1182" s="275"/>
      <c r="L1182" s="290"/>
      <c r="M1182" s="275"/>
      <c r="N1182" s="275"/>
      <c r="O1182" s="275"/>
      <c r="P1182" s="275"/>
      <c r="Q1182" s="275"/>
      <c r="R1182" s="275"/>
      <c r="S1182" s="275"/>
      <c r="T1182" s="275"/>
    </row>
    <row r="1183" spans="1:20" ht="15" customHeight="1">
      <c r="A1183" s="20"/>
      <c r="B1183" s="294">
        <v>45665</v>
      </c>
      <c r="C1183" s="295">
        <v>23688.94921875</v>
      </c>
      <c r="D1183" s="296">
        <f t="shared" si="36"/>
        <v>-7.9936103841966573E-4</v>
      </c>
      <c r="E1183" s="20"/>
      <c r="F1183" s="297"/>
      <c r="G1183" s="298">
        <v>45665</v>
      </c>
      <c r="H1183" s="299">
        <v>3900.6535644560199</v>
      </c>
      <c r="I1183" s="300">
        <f t="shared" si="37"/>
        <v>-5.7543625826137496E-3</v>
      </c>
      <c r="J1183" s="296"/>
      <c r="K1183" s="20"/>
      <c r="L1183" s="297"/>
      <c r="M1183" s="275"/>
      <c r="N1183" s="275"/>
      <c r="O1183" s="275"/>
      <c r="P1183" s="275"/>
      <c r="Q1183" s="275"/>
      <c r="R1183" s="275"/>
      <c r="S1183" s="275"/>
      <c r="T1183" s="275"/>
    </row>
    <row r="1184" spans="1:20" ht="15" customHeight="1">
      <c r="A1184" s="275"/>
      <c r="B1184" s="303">
        <v>45666</v>
      </c>
      <c r="C1184" s="304">
        <v>23526.5</v>
      </c>
      <c r="D1184" s="289">
        <f t="shared" si="36"/>
        <v>-6.8575949591474531E-3</v>
      </c>
      <c r="E1184" s="275"/>
      <c r="F1184" s="290"/>
      <c r="G1184" s="305">
        <v>45666</v>
      </c>
      <c r="H1184" s="306">
        <v>3903.6225585879602</v>
      </c>
      <c r="I1184" s="293">
        <f t="shared" si="37"/>
        <v>7.6115299215358213E-4</v>
      </c>
      <c r="J1184" s="289"/>
      <c r="K1184" s="275"/>
      <c r="L1184" s="290"/>
      <c r="M1184" s="275"/>
      <c r="N1184" s="275"/>
      <c r="O1184" s="275"/>
      <c r="P1184" s="275"/>
      <c r="Q1184" s="275"/>
      <c r="R1184" s="275"/>
      <c r="S1184" s="275"/>
      <c r="T1184" s="275"/>
    </row>
    <row r="1185" spans="1:20" ht="15" customHeight="1">
      <c r="A1185" s="20"/>
      <c r="B1185" s="294">
        <v>45667</v>
      </c>
      <c r="C1185" s="295">
        <v>23431.5</v>
      </c>
      <c r="D1185" s="296">
        <f t="shared" si="36"/>
        <v>-4.0379997024631801E-3</v>
      </c>
      <c r="E1185" s="20"/>
      <c r="F1185" s="297"/>
      <c r="G1185" s="298">
        <v>45667</v>
      </c>
      <c r="H1185" s="299">
        <v>3885.666015625</v>
      </c>
      <c r="I1185" s="300">
        <f t="shared" si="37"/>
        <v>-4.5999690527086965E-3</v>
      </c>
      <c r="J1185" s="296"/>
      <c r="K1185" s="20"/>
      <c r="L1185" s="297"/>
      <c r="M1185" s="275"/>
      <c r="N1185" s="275"/>
      <c r="O1185" s="275"/>
      <c r="P1185" s="275"/>
      <c r="Q1185" s="275"/>
      <c r="R1185" s="275"/>
      <c r="S1185" s="275"/>
      <c r="T1185" s="275"/>
    </row>
    <row r="1186" spans="1:20" ht="15" customHeight="1">
      <c r="A1186" s="275"/>
      <c r="B1186" s="303">
        <v>45670</v>
      </c>
      <c r="C1186" s="304">
        <v>23085.94921875</v>
      </c>
      <c r="D1186" s="289">
        <f t="shared" si="36"/>
        <v>-1.4747275302477434E-2</v>
      </c>
      <c r="E1186" s="275"/>
      <c r="F1186" s="290"/>
      <c r="G1186" s="305">
        <v>45670</v>
      </c>
      <c r="H1186" s="306">
        <v>3811.623046875</v>
      </c>
      <c r="I1186" s="293">
        <f t="shared" si="37"/>
        <v>-1.9055412496148453E-2</v>
      </c>
      <c r="J1186" s="289"/>
      <c r="K1186" s="275"/>
      <c r="L1186" s="290"/>
      <c r="M1186" s="275"/>
      <c r="N1186" s="275"/>
      <c r="O1186" s="275"/>
      <c r="P1186" s="275"/>
      <c r="Q1186" s="275"/>
      <c r="R1186" s="275"/>
      <c r="S1186" s="275"/>
      <c r="T1186" s="275"/>
    </row>
    <row r="1187" spans="1:20" ht="15" customHeight="1">
      <c r="A1187" s="20"/>
      <c r="B1187" s="294">
        <v>45671</v>
      </c>
      <c r="C1187" s="295">
        <v>23176.05078125</v>
      </c>
      <c r="D1187" s="296">
        <f t="shared" si="36"/>
        <v>3.9028744993868871E-3</v>
      </c>
      <c r="E1187" s="20"/>
      <c r="F1187" s="297"/>
      <c r="G1187" s="298">
        <v>45671</v>
      </c>
      <c r="H1187" s="299">
        <v>3867.2375488310199</v>
      </c>
      <c r="I1187" s="300">
        <f t="shared" si="37"/>
        <v>1.4590766524411712E-2</v>
      </c>
      <c r="J1187" s="296"/>
      <c r="K1187" s="20"/>
      <c r="L1187" s="297"/>
      <c r="M1187" s="275"/>
      <c r="N1187" s="275"/>
      <c r="O1187" s="275"/>
      <c r="P1187" s="275"/>
      <c r="Q1187" s="275"/>
      <c r="R1187" s="275"/>
      <c r="S1187" s="275"/>
      <c r="T1187" s="275"/>
    </row>
    <row r="1188" spans="1:20" ht="15" customHeight="1">
      <c r="A1188" s="275"/>
      <c r="B1188" s="303">
        <v>45672</v>
      </c>
      <c r="C1188" s="304">
        <v>23213.19921875</v>
      </c>
      <c r="D1188" s="289">
        <f t="shared" si="36"/>
        <v>1.6028803979862699E-3</v>
      </c>
      <c r="E1188" s="275"/>
      <c r="F1188" s="290"/>
      <c r="G1188" s="305">
        <v>45672</v>
      </c>
      <c r="H1188" s="306">
        <v>3875.95703125</v>
      </c>
      <c r="I1188" s="293">
        <f t="shared" si="37"/>
        <v>2.2547056675160243E-3</v>
      </c>
      <c r="J1188" s="289"/>
      <c r="K1188" s="275"/>
      <c r="L1188" s="290"/>
      <c r="M1188" s="275"/>
      <c r="N1188" s="275"/>
      <c r="O1188" s="275"/>
      <c r="P1188" s="275"/>
      <c r="Q1188" s="275"/>
      <c r="R1188" s="275"/>
      <c r="S1188" s="275"/>
      <c r="T1188" s="275"/>
    </row>
    <row r="1189" spans="1:20" ht="15" customHeight="1">
      <c r="A1189" s="20"/>
      <c r="B1189" s="294">
        <v>45673</v>
      </c>
      <c r="C1189" s="295">
        <v>23311.80078125</v>
      </c>
      <c r="D1189" s="296">
        <f t="shared" si="36"/>
        <v>4.2476507253837101E-3</v>
      </c>
      <c r="E1189" s="20"/>
      <c r="F1189" s="297"/>
      <c r="G1189" s="298">
        <v>45673</v>
      </c>
      <c r="H1189" s="299">
        <v>3840.3259277314801</v>
      </c>
      <c r="I1189" s="300">
        <f t="shared" si="37"/>
        <v>-9.1928530763481803E-3</v>
      </c>
      <c r="J1189" s="296"/>
      <c r="K1189" s="20"/>
      <c r="L1189" s="297"/>
      <c r="M1189" s="275"/>
      <c r="N1189" s="275"/>
      <c r="O1189" s="275"/>
      <c r="P1189" s="275"/>
      <c r="Q1189" s="275"/>
      <c r="R1189" s="275"/>
      <c r="S1189" s="275"/>
      <c r="T1189" s="275"/>
    </row>
    <row r="1190" spans="1:20" ht="15" customHeight="1">
      <c r="A1190" s="275"/>
      <c r="B1190" s="303">
        <v>45674</v>
      </c>
      <c r="C1190" s="304">
        <v>23203.19921875</v>
      </c>
      <c r="D1190" s="289">
        <f t="shared" si="36"/>
        <v>-4.6586517926727362E-3</v>
      </c>
      <c r="E1190" s="275"/>
      <c r="F1190" s="290"/>
      <c r="G1190" s="305">
        <v>45674</v>
      </c>
      <c r="H1190" s="306">
        <v>3862.8542480439801</v>
      </c>
      <c r="I1190" s="293">
        <f t="shared" si="37"/>
        <v>5.8662521714160105E-3</v>
      </c>
      <c r="J1190" s="289"/>
      <c r="K1190" s="275"/>
      <c r="L1190" s="290"/>
      <c r="M1190" s="275"/>
      <c r="N1190" s="275"/>
      <c r="O1190" s="275"/>
      <c r="P1190" s="275"/>
      <c r="Q1190" s="275"/>
      <c r="R1190" s="275"/>
      <c r="S1190" s="275"/>
      <c r="T1190" s="275"/>
    </row>
    <row r="1191" spans="1:20" ht="15" customHeight="1">
      <c r="A1191" s="20"/>
      <c r="B1191" s="294">
        <v>45677</v>
      </c>
      <c r="C1191" s="295">
        <v>23344.75</v>
      </c>
      <c r="D1191" s="296">
        <f t="shared" si="36"/>
        <v>6.1004855371674738E-3</v>
      </c>
      <c r="E1191" s="20"/>
      <c r="F1191" s="297"/>
      <c r="G1191" s="298">
        <v>45677</v>
      </c>
      <c r="H1191" s="299">
        <v>3857.2932128935199</v>
      </c>
      <c r="I1191" s="300">
        <f t="shared" si="37"/>
        <v>-1.4396181666124417E-3</v>
      </c>
      <c r="J1191" s="296"/>
      <c r="K1191" s="20"/>
      <c r="L1191" s="297"/>
      <c r="M1191" s="275"/>
      <c r="N1191" s="275"/>
      <c r="O1191" s="275"/>
      <c r="P1191" s="275"/>
      <c r="Q1191" s="275"/>
      <c r="R1191" s="275"/>
      <c r="S1191" s="275"/>
      <c r="T1191" s="275"/>
    </row>
    <row r="1192" spans="1:20" ht="15" customHeight="1">
      <c r="A1192" s="275"/>
      <c r="B1192" s="303">
        <v>45678</v>
      </c>
      <c r="C1192" s="304">
        <v>23024.650390625</v>
      </c>
      <c r="D1192" s="289">
        <f t="shared" si="36"/>
        <v>-1.371184567729361E-2</v>
      </c>
      <c r="E1192" s="275"/>
      <c r="F1192" s="290"/>
      <c r="G1192" s="305">
        <v>45678</v>
      </c>
      <c r="H1192" s="306">
        <v>3793.8549804629602</v>
      </c>
      <c r="I1192" s="293">
        <f t="shared" si="37"/>
        <v>-1.6446308053146948E-2</v>
      </c>
      <c r="J1192" s="289"/>
      <c r="K1192" s="275"/>
      <c r="L1192" s="290"/>
      <c r="M1192" s="275"/>
      <c r="N1192" s="275"/>
      <c r="O1192" s="275"/>
      <c r="P1192" s="275"/>
      <c r="Q1192" s="275"/>
      <c r="R1192" s="275"/>
      <c r="S1192" s="275"/>
      <c r="T1192" s="275"/>
    </row>
    <row r="1193" spans="1:20" ht="15" customHeight="1">
      <c r="A1193" s="20"/>
      <c r="B1193" s="294">
        <v>45679</v>
      </c>
      <c r="C1193" s="295">
        <v>23155.349609375</v>
      </c>
      <c r="D1193" s="296">
        <f t="shared" si="36"/>
        <v>5.6764909144165375E-3</v>
      </c>
      <c r="E1193" s="20"/>
      <c r="F1193" s="297"/>
      <c r="G1193" s="298">
        <v>45679</v>
      </c>
      <c r="H1193" s="299">
        <v>3822.9816894560199</v>
      </c>
      <c r="I1193" s="300">
        <f t="shared" si="37"/>
        <v>7.6773385232309175E-3</v>
      </c>
      <c r="J1193" s="296"/>
      <c r="K1193" s="20"/>
      <c r="L1193" s="297"/>
      <c r="M1193" s="275"/>
      <c r="N1193" s="275"/>
      <c r="O1193" s="275"/>
      <c r="P1193" s="275"/>
      <c r="Q1193" s="275"/>
      <c r="R1193" s="275"/>
      <c r="S1193" s="275"/>
      <c r="T1193" s="275"/>
    </row>
    <row r="1194" spans="1:20" ht="15" customHeight="1">
      <c r="A1194" s="275"/>
      <c r="B1194" s="303">
        <v>45680</v>
      </c>
      <c r="C1194" s="304">
        <v>23205.349609375</v>
      </c>
      <c r="D1194" s="289">
        <f t="shared" si="36"/>
        <v>2.1593282262409156E-3</v>
      </c>
      <c r="E1194" s="275"/>
      <c r="F1194" s="290"/>
      <c r="G1194" s="305">
        <v>45680</v>
      </c>
      <c r="H1194" s="306">
        <v>3865.0695800810199</v>
      </c>
      <c r="I1194" s="293">
        <f t="shared" si="37"/>
        <v>1.1009179233340449E-2</v>
      </c>
      <c r="J1194" s="289"/>
      <c r="K1194" s="275"/>
      <c r="L1194" s="290"/>
      <c r="M1194" s="275"/>
      <c r="N1194" s="275"/>
      <c r="O1194" s="275"/>
      <c r="P1194" s="275"/>
      <c r="Q1194" s="275"/>
      <c r="R1194" s="275"/>
      <c r="S1194" s="275"/>
      <c r="T1194" s="275"/>
    </row>
    <row r="1195" spans="1:20" ht="15" customHeight="1">
      <c r="A1195" s="20"/>
      <c r="B1195" s="294">
        <v>45681</v>
      </c>
      <c r="C1195" s="295">
        <v>23092.19921875</v>
      </c>
      <c r="D1195" s="296">
        <f t="shared" si="36"/>
        <v>-4.8760476583936943E-3</v>
      </c>
      <c r="E1195" s="20"/>
      <c r="F1195" s="297"/>
      <c r="G1195" s="298">
        <v>45681</v>
      </c>
      <c r="H1195" s="299">
        <v>3819.3996582060199</v>
      </c>
      <c r="I1195" s="300">
        <f t="shared" si="37"/>
        <v>-1.1816067195882839E-2</v>
      </c>
      <c r="J1195" s="296"/>
      <c r="K1195" s="20"/>
      <c r="L1195" s="297"/>
      <c r="M1195" s="275"/>
      <c r="N1195" s="275"/>
      <c r="O1195" s="275"/>
      <c r="P1195" s="275"/>
      <c r="Q1195" s="275"/>
      <c r="R1195" s="275"/>
      <c r="S1195" s="275"/>
      <c r="T1195" s="275"/>
    </row>
    <row r="1196" spans="1:20" ht="15" customHeight="1">
      <c r="A1196" s="275"/>
      <c r="B1196" s="303">
        <v>45684</v>
      </c>
      <c r="C1196" s="304">
        <v>22829.150390625</v>
      </c>
      <c r="D1196" s="289">
        <f t="shared" si="36"/>
        <v>-1.1391241935562993E-2</v>
      </c>
      <c r="E1196" s="275"/>
      <c r="F1196" s="290"/>
      <c r="G1196" s="305">
        <v>45684</v>
      </c>
      <c r="H1196" s="306">
        <v>3785.5124511689801</v>
      </c>
      <c r="I1196" s="293">
        <f t="shared" si="37"/>
        <v>-8.8723909696731603E-3</v>
      </c>
      <c r="J1196" s="289"/>
      <c r="K1196" s="275"/>
      <c r="L1196" s="290"/>
      <c r="M1196" s="275"/>
      <c r="N1196" s="275"/>
      <c r="O1196" s="275"/>
      <c r="P1196" s="275"/>
      <c r="Q1196" s="275"/>
      <c r="R1196" s="275"/>
      <c r="S1196" s="275"/>
      <c r="T1196" s="275"/>
    </row>
    <row r="1197" spans="1:20" ht="15" customHeight="1">
      <c r="A1197" s="20"/>
      <c r="B1197" s="294">
        <v>45685</v>
      </c>
      <c r="C1197" s="295">
        <v>22957.25</v>
      </c>
      <c r="D1197" s="296">
        <f t="shared" si="36"/>
        <v>5.6112298172780566E-3</v>
      </c>
      <c r="E1197" s="20"/>
      <c r="F1197" s="297"/>
      <c r="G1197" s="298">
        <v>45685</v>
      </c>
      <c r="H1197" s="299">
        <v>3795.3156738310199</v>
      </c>
      <c r="I1197" s="300">
        <f t="shared" si="37"/>
        <v>2.5896685821261986E-3</v>
      </c>
      <c r="J1197" s="296"/>
      <c r="K1197" s="20"/>
      <c r="L1197" s="297"/>
      <c r="M1197" s="275"/>
      <c r="N1197" s="275"/>
      <c r="O1197" s="275"/>
      <c r="P1197" s="275"/>
      <c r="Q1197" s="275"/>
      <c r="R1197" s="275"/>
      <c r="S1197" s="275"/>
      <c r="T1197" s="275"/>
    </row>
    <row r="1198" spans="1:20" ht="15" customHeight="1">
      <c r="A1198" s="275"/>
      <c r="B1198" s="303">
        <v>45686</v>
      </c>
      <c r="C1198" s="304">
        <v>23163.099609375</v>
      </c>
      <c r="D1198" s="289">
        <f t="shared" si="36"/>
        <v>8.9666492883511747E-3</v>
      </c>
      <c r="E1198" s="275"/>
      <c r="F1198" s="290"/>
      <c r="G1198" s="305">
        <v>45686</v>
      </c>
      <c r="H1198" s="306">
        <v>3838.7705078125</v>
      </c>
      <c r="I1198" s="293">
        <f t="shared" si="37"/>
        <v>1.1449596743982153E-2</v>
      </c>
      <c r="J1198" s="289"/>
      <c r="K1198" s="275"/>
      <c r="L1198" s="290"/>
      <c r="M1198" s="275"/>
      <c r="N1198" s="275"/>
      <c r="O1198" s="275"/>
      <c r="P1198" s="275"/>
      <c r="Q1198" s="275"/>
      <c r="R1198" s="275"/>
      <c r="S1198" s="275"/>
      <c r="T1198" s="275"/>
    </row>
    <row r="1199" spans="1:20" ht="15" customHeight="1">
      <c r="A1199" s="20"/>
      <c r="B1199" s="294">
        <v>45687</v>
      </c>
      <c r="C1199" s="295">
        <v>23249.5</v>
      </c>
      <c r="D1199" s="296">
        <f t="shared" si="36"/>
        <v>3.7300875997627893E-3</v>
      </c>
      <c r="E1199" s="20"/>
      <c r="F1199" s="297"/>
      <c r="G1199" s="298">
        <v>45687</v>
      </c>
      <c r="H1199" s="299">
        <v>3938.0751953125</v>
      </c>
      <c r="I1199" s="300">
        <f t="shared" si="37"/>
        <v>2.5868878407265917E-2</v>
      </c>
      <c r="J1199" s="296"/>
      <c r="K1199" s="20"/>
      <c r="L1199" s="297"/>
      <c r="M1199" s="275"/>
      <c r="N1199" s="275"/>
      <c r="O1199" s="275"/>
      <c r="P1199" s="275"/>
      <c r="Q1199" s="275"/>
      <c r="R1199" s="275"/>
      <c r="S1199" s="275"/>
      <c r="T1199" s="275"/>
    </row>
    <row r="1200" spans="1:20" ht="15" customHeight="1">
      <c r="A1200" s="275"/>
      <c r="B1200" s="303">
        <v>45688</v>
      </c>
      <c r="C1200" s="304">
        <v>23508.400390625</v>
      </c>
      <c r="D1200" s="289">
        <f t="shared" si="36"/>
        <v>1.1135740150325814E-2</v>
      </c>
      <c r="E1200" s="275"/>
      <c r="F1200" s="290"/>
      <c r="G1200" s="305">
        <v>45688</v>
      </c>
      <c r="H1200" s="306">
        <v>4090.1667480439801</v>
      </c>
      <c r="I1200" s="293">
        <f t="shared" si="37"/>
        <v>3.8620784314254586E-2</v>
      </c>
      <c r="J1200" s="289"/>
      <c r="K1200" s="275"/>
      <c r="L1200" s="290"/>
      <c r="M1200" s="275"/>
      <c r="N1200" s="275"/>
      <c r="O1200" s="275"/>
      <c r="P1200" s="275"/>
      <c r="Q1200" s="275"/>
      <c r="R1200" s="275"/>
      <c r="S1200" s="275"/>
      <c r="T1200" s="275"/>
    </row>
    <row r="1201" spans="1:20" ht="15" customHeight="1">
      <c r="A1201" s="20"/>
      <c r="B1201" s="294">
        <v>45689</v>
      </c>
      <c r="C1201" s="295">
        <v>23482.150390625</v>
      </c>
      <c r="D1201" s="296">
        <f t="shared" si="36"/>
        <v>-1.1166221250199708E-3</v>
      </c>
      <c r="E1201" s="20"/>
      <c r="F1201" s="297"/>
      <c r="G1201" s="298">
        <v>45689</v>
      </c>
      <c r="H1201" s="299">
        <v>4149.5522460879602</v>
      </c>
      <c r="I1201" s="300">
        <f t="shared" si="37"/>
        <v>1.4519089734515031E-2</v>
      </c>
      <c r="J1201" s="296"/>
      <c r="K1201" s="20"/>
      <c r="L1201" s="297"/>
      <c r="M1201" s="275"/>
      <c r="N1201" s="275"/>
      <c r="O1201" s="275"/>
      <c r="P1201" s="275"/>
      <c r="Q1201" s="275"/>
      <c r="R1201" s="275"/>
      <c r="S1201" s="275"/>
      <c r="T1201" s="275"/>
    </row>
    <row r="1202" spans="1:20" ht="15" customHeight="1">
      <c r="A1202" s="275"/>
      <c r="B1202" s="303">
        <v>45691</v>
      </c>
      <c r="C1202" s="304">
        <v>23361.05078125</v>
      </c>
      <c r="D1202" s="289">
        <f t="shared" si="36"/>
        <v>-5.1570919766934014E-3</v>
      </c>
      <c r="E1202" s="275"/>
      <c r="F1202" s="290"/>
      <c r="G1202" s="305">
        <v>45691</v>
      </c>
      <c r="H1202" s="306">
        <v>4040.6791992129602</v>
      </c>
      <c r="I1202" s="293">
        <f t="shared" si="37"/>
        <v>-2.6237299934623395E-2</v>
      </c>
      <c r="J1202" s="289"/>
      <c r="K1202" s="275"/>
      <c r="L1202" s="290"/>
      <c r="M1202" s="275"/>
      <c r="N1202" s="275"/>
      <c r="O1202" s="275"/>
      <c r="P1202" s="275"/>
      <c r="Q1202" s="275"/>
      <c r="R1202" s="275"/>
      <c r="S1202" s="275"/>
      <c r="T1202" s="275"/>
    </row>
    <row r="1203" spans="1:20" ht="15" customHeight="1">
      <c r="A1203" s="20"/>
      <c r="B1203" s="294">
        <v>45692</v>
      </c>
      <c r="C1203" s="295">
        <v>23739.25</v>
      </c>
      <c r="D1203" s="296">
        <f t="shared" si="36"/>
        <v>1.6189306820631095E-2</v>
      </c>
      <c r="E1203" s="20"/>
      <c r="F1203" s="297"/>
      <c r="G1203" s="298">
        <v>45692</v>
      </c>
      <c r="H1203" s="299">
        <v>3993.97265625</v>
      </c>
      <c r="I1203" s="300">
        <f t="shared" si="37"/>
        <v>-1.1559082188969026E-2</v>
      </c>
      <c r="J1203" s="296"/>
      <c r="K1203" s="20"/>
      <c r="L1203" s="297"/>
      <c r="M1203" s="275"/>
      <c r="N1203" s="275"/>
      <c r="O1203" s="275"/>
      <c r="P1203" s="275"/>
      <c r="Q1203" s="275"/>
      <c r="R1203" s="275"/>
      <c r="S1203" s="275"/>
      <c r="T1203" s="275"/>
    </row>
    <row r="1204" spans="1:20" ht="15" customHeight="1">
      <c r="A1204" s="275"/>
      <c r="B1204" s="303">
        <v>45693</v>
      </c>
      <c r="C1204" s="304">
        <v>23696.30078125</v>
      </c>
      <c r="D1204" s="289">
        <f t="shared" si="36"/>
        <v>-1.8092070621439178E-3</v>
      </c>
      <c r="E1204" s="275"/>
      <c r="F1204" s="290"/>
      <c r="G1204" s="305">
        <v>45693</v>
      </c>
      <c r="H1204" s="306">
        <v>4025.3618164120398</v>
      </c>
      <c r="I1204" s="293">
        <f t="shared" si="37"/>
        <v>7.8591324637439022E-3</v>
      </c>
      <c r="J1204" s="289"/>
      <c r="K1204" s="275"/>
      <c r="L1204" s="290"/>
      <c r="M1204" s="275"/>
      <c r="N1204" s="275"/>
      <c r="O1204" s="275"/>
      <c r="P1204" s="275"/>
      <c r="Q1204" s="275"/>
      <c r="R1204" s="275"/>
      <c r="S1204" s="275"/>
      <c r="T1204" s="275"/>
    </row>
    <row r="1205" spans="1:20" ht="15" customHeight="1">
      <c r="A1205" s="20"/>
      <c r="B1205" s="294">
        <v>45694</v>
      </c>
      <c r="C1205" s="295">
        <v>23603.349609375</v>
      </c>
      <c r="D1205" s="296">
        <f t="shared" si="36"/>
        <v>-3.9226026346082174E-3</v>
      </c>
      <c r="E1205" s="20"/>
      <c r="F1205" s="297"/>
      <c r="G1205" s="298">
        <v>45694</v>
      </c>
      <c r="H1205" s="299">
        <v>3987.3271484375</v>
      </c>
      <c r="I1205" s="300">
        <f t="shared" si="37"/>
        <v>-9.4487575798693317E-3</v>
      </c>
      <c r="J1205" s="296"/>
      <c r="K1205" s="20"/>
      <c r="L1205" s="297"/>
      <c r="M1205" s="275"/>
      <c r="N1205" s="275"/>
      <c r="O1205" s="275"/>
      <c r="P1205" s="275"/>
      <c r="Q1205" s="275"/>
      <c r="R1205" s="275"/>
      <c r="S1205" s="275"/>
      <c r="T1205" s="275"/>
    </row>
    <row r="1206" spans="1:20" ht="15" customHeight="1">
      <c r="A1206" s="275"/>
      <c r="B1206" s="303">
        <v>45695</v>
      </c>
      <c r="C1206" s="304">
        <v>23559.94921875</v>
      </c>
      <c r="D1206" s="289">
        <f t="shared" si="36"/>
        <v>-1.8387386257991884E-3</v>
      </c>
      <c r="E1206" s="275"/>
      <c r="F1206" s="290"/>
      <c r="G1206" s="305">
        <v>45695</v>
      </c>
      <c r="H1206" s="306">
        <v>4029.3681640625</v>
      </c>
      <c r="I1206" s="293">
        <f t="shared" si="37"/>
        <v>1.0543658460900171E-2</v>
      </c>
      <c r="J1206" s="289"/>
      <c r="K1206" s="275"/>
      <c r="L1206" s="290"/>
      <c r="M1206" s="275"/>
      <c r="N1206" s="275"/>
      <c r="O1206" s="275"/>
      <c r="P1206" s="275"/>
      <c r="Q1206" s="275"/>
      <c r="R1206" s="275"/>
      <c r="S1206" s="275"/>
      <c r="T1206" s="275"/>
    </row>
    <row r="1207" spans="1:20" ht="15" customHeight="1">
      <c r="A1207" s="20"/>
      <c r="B1207" s="294">
        <v>45698</v>
      </c>
      <c r="C1207" s="295">
        <v>23381.599609375</v>
      </c>
      <c r="D1207" s="296">
        <f t="shared" si="36"/>
        <v>-7.5700336923078711E-3</v>
      </c>
      <c r="E1207" s="20"/>
      <c r="F1207" s="297"/>
      <c r="G1207" s="298">
        <v>45698</v>
      </c>
      <c r="H1207" s="299">
        <v>3955.6555175810199</v>
      </c>
      <c r="I1207" s="300">
        <f t="shared" si="37"/>
        <v>-1.8293847442116415E-2</v>
      </c>
      <c r="J1207" s="296"/>
      <c r="K1207" s="20"/>
      <c r="L1207" s="297"/>
      <c r="M1207" s="275"/>
      <c r="N1207" s="275"/>
      <c r="O1207" s="275"/>
      <c r="P1207" s="275"/>
      <c r="Q1207" s="275"/>
      <c r="R1207" s="275"/>
      <c r="S1207" s="275"/>
      <c r="T1207" s="275"/>
    </row>
    <row r="1208" spans="1:20" ht="15" customHeight="1">
      <c r="A1208" s="275"/>
      <c r="B1208" s="303">
        <v>45699</v>
      </c>
      <c r="C1208" s="304">
        <v>23071.80078125</v>
      </c>
      <c r="D1208" s="289">
        <f t="shared" si="36"/>
        <v>-1.3249684936046216E-2</v>
      </c>
      <c r="E1208" s="275"/>
      <c r="F1208" s="290"/>
      <c r="G1208" s="305">
        <v>45699</v>
      </c>
      <c r="H1208" s="306">
        <v>3851.1188964814801</v>
      </c>
      <c r="I1208" s="293">
        <f t="shared" si="37"/>
        <v>-2.6427129621101723E-2</v>
      </c>
      <c r="J1208" s="289"/>
      <c r="K1208" s="275"/>
      <c r="L1208" s="290"/>
      <c r="M1208" s="275"/>
      <c r="N1208" s="275"/>
      <c r="O1208" s="275"/>
      <c r="P1208" s="275"/>
      <c r="Q1208" s="275"/>
      <c r="R1208" s="275"/>
      <c r="S1208" s="275"/>
      <c r="T1208" s="275"/>
    </row>
    <row r="1209" spans="1:20" ht="15" customHeight="1">
      <c r="A1209" s="20"/>
      <c r="B1209" s="294">
        <v>45700</v>
      </c>
      <c r="C1209" s="295">
        <v>23045.25</v>
      </c>
      <c r="D1209" s="296">
        <f t="shared" si="36"/>
        <v>-1.1507892904301298E-3</v>
      </c>
      <c r="E1209" s="20"/>
      <c r="F1209" s="297"/>
      <c r="G1209" s="298">
        <v>45700</v>
      </c>
      <c r="H1209" s="299">
        <v>3880.3002929629602</v>
      </c>
      <c r="I1209" s="300">
        <f t="shared" si="37"/>
        <v>7.5773813444558269E-3</v>
      </c>
      <c r="J1209" s="296"/>
      <c r="K1209" s="20"/>
      <c r="L1209" s="297"/>
      <c r="M1209" s="275"/>
      <c r="N1209" s="275"/>
      <c r="O1209" s="275"/>
      <c r="P1209" s="275"/>
      <c r="Q1209" s="275"/>
      <c r="R1209" s="275"/>
      <c r="S1209" s="275"/>
      <c r="T1209" s="275"/>
    </row>
    <row r="1210" spans="1:20" ht="15" customHeight="1">
      <c r="A1210" s="275"/>
      <c r="B1210" s="303">
        <v>45701</v>
      </c>
      <c r="C1210" s="304">
        <v>23031.400390625</v>
      </c>
      <c r="D1210" s="289">
        <f t="shared" si="36"/>
        <v>-6.0097457719052736E-4</v>
      </c>
      <c r="E1210" s="275"/>
      <c r="F1210" s="290"/>
      <c r="G1210" s="305">
        <v>45701</v>
      </c>
      <c r="H1210" s="306">
        <v>3823.0969238310199</v>
      </c>
      <c r="I1210" s="293">
        <f t="shared" si="37"/>
        <v>-1.4741995416097111E-2</v>
      </c>
      <c r="J1210" s="289"/>
      <c r="K1210" s="275"/>
      <c r="L1210" s="290"/>
      <c r="M1210" s="275"/>
      <c r="N1210" s="275"/>
      <c r="O1210" s="275"/>
      <c r="P1210" s="275"/>
      <c r="Q1210" s="275"/>
      <c r="R1210" s="275"/>
      <c r="S1210" s="275"/>
      <c r="T1210" s="275"/>
    </row>
    <row r="1211" spans="1:20" ht="15" customHeight="1">
      <c r="A1211" s="20"/>
      <c r="B1211" s="294">
        <v>45702</v>
      </c>
      <c r="C1211" s="295">
        <v>22929.25</v>
      </c>
      <c r="D1211" s="296">
        <f t="shared" si="36"/>
        <v>-4.4352661537064254E-3</v>
      </c>
      <c r="E1211" s="20"/>
      <c r="F1211" s="297"/>
      <c r="G1211" s="298">
        <v>45702</v>
      </c>
      <c r="H1211" s="299">
        <v>3732.1225585879602</v>
      </c>
      <c r="I1211" s="300">
        <f t="shared" si="37"/>
        <v>-2.3795987142250338E-2</v>
      </c>
      <c r="J1211" s="296"/>
      <c r="K1211" s="20"/>
      <c r="L1211" s="297"/>
      <c r="M1211" s="275"/>
      <c r="N1211" s="275"/>
      <c r="O1211" s="275"/>
      <c r="P1211" s="275"/>
      <c r="Q1211" s="275"/>
      <c r="R1211" s="275"/>
      <c r="S1211" s="275"/>
      <c r="T1211" s="275"/>
    </row>
    <row r="1212" spans="1:20" ht="15" customHeight="1">
      <c r="A1212" s="275"/>
      <c r="B1212" s="303">
        <v>45705</v>
      </c>
      <c r="C1212" s="304">
        <v>22959.5</v>
      </c>
      <c r="D1212" s="289">
        <f t="shared" si="36"/>
        <v>1.3192755977626831E-3</v>
      </c>
      <c r="E1212" s="275"/>
      <c r="F1212" s="290"/>
      <c r="G1212" s="305">
        <v>45705</v>
      </c>
      <c r="H1212" s="306">
        <v>3745.6987304629602</v>
      </c>
      <c r="I1212" s="293">
        <f t="shared" si="37"/>
        <v>3.6376543540243525E-3</v>
      </c>
      <c r="J1212" s="289"/>
      <c r="K1212" s="275"/>
      <c r="L1212" s="290"/>
      <c r="M1212" s="275"/>
      <c r="N1212" s="275"/>
      <c r="O1212" s="275"/>
      <c r="P1212" s="275"/>
      <c r="Q1212" s="275"/>
      <c r="R1212" s="275"/>
      <c r="S1212" s="275"/>
      <c r="T1212" s="275"/>
    </row>
    <row r="1213" spans="1:20" ht="15" customHeight="1">
      <c r="A1213" s="20"/>
      <c r="B1213" s="294">
        <v>45706</v>
      </c>
      <c r="C1213" s="295">
        <v>22945.30078125</v>
      </c>
      <c r="D1213" s="296">
        <f t="shared" si="36"/>
        <v>-6.1844634029486708E-4</v>
      </c>
      <c r="E1213" s="20"/>
      <c r="F1213" s="297"/>
      <c r="G1213" s="298">
        <v>45706</v>
      </c>
      <c r="H1213" s="299">
        <v>3710.9614257870398</v>
      </c>
      <c r="I1213" s="300">
        <f t="shared" si="37"/>
        <v>-9.2739184797243045E-3</v>
      </c>
      <c r="J1213" s="296"/>
      <c r="K1213" s="20"/>
      <c r="L1213" s="297"/>
      <c r="M1213" s="275"/>
      <c r="N1213" s="275"/>
      <c r="O1213" s="275"/>
      <c r="P1213" s="275"/>
      <c r="Q1213" s="275"/>
      <c r="R1213" s="275"/>
      <c r="S1213" s="275"/>
      <c r="T1213" s="275"/>
    </row>
    <row r="1214" spans="1:20" ht="15" customHeight="1">
      <c r="A1214" s="275"/>
      <c r="B1214" s="303">
        <v>45707</v>
      </c>
      <c r="C1214" s="304">
        <v>22932.900390625</v>
      </c>
      <c r="D1214" s="289">
        <f t="shared" si="36"/>
        <v>-5.4043269004052947E-4</v>
      </c>
      <c r="E1214" s="275"/>
      <c r="F1214" s="290"/>
      <c r="G1214" s="305">
        <v>45707</v>
      </c>
      <c r="H1214" s="306">
        <v>3748.3078613310199</v>
      </c>
      <c r="I1214" s="293">
        <f t="shared" si="37"/>
        <v>1.006381669301762E-2</v>
      </c>
      <c r="J1214" s="289"/>
      <c r="K1214" s="275"/>
      <c r="L1214" s="290"/>
      <c r="M1214" s="275"/>
      <c r="N1214" s="275"/>
      <c r="O1214" s="275"/>
      <c r="P1214" s="275"/>
      <c r="Q1214" s="275"/>
      <c r="R1214" s="275"/>
      <c r="S1214" s="275"/>
      <c r="T1214" s="275"/>
    </row>
    <row r="1215" spans="1:20" ht="15" customHeight="1">
      <c r="A1215" s="20"/>
      <c r="B1215" s="294">
        <v>45708</v>
      </c>
      <c r="C1215" s="295">
        <v>22913.150390625</v>
      </c>
      <c r="D1215" s="296">
        <f t="shared" si="36"/>
        <v>-8.6120811862392364E-4</v>
      </c>
      <c r="E1215" s="20"/>
      <c r="F1215" s="297"/>
      <c r="G1215" s="298">
        <v>45708</v>
      </c>
      <c r="H1215" s="299">
        <v>3777.2475585879602</v>
      </c>
      <c r="I1215" s="300">
        <f t="shared" si="37"/>
        <v>7.7207364836525943E-3</v>
      </c>
      <c r="J1215" s="296"/>
      <c r="K1215" s="20"/>
      <c r="L1215" s="297"/>
      <c r="M1215" s="275"/>
      <c r="N1215" s="275"/>
      <c r="O1215" s="275"/>
      <c r="P1215" s="275"/>
      <c r="Q1215" s="275"/>
      <c r="R1215" s="275"/>
      <c r="S1215" s="275"/>
      <c r="T1215" s="275"/>
    </row>
    <row r="1216" spans="1:20" ht="15" customHeight="1">
      <c r="A1216" s="275"/>
      <c r="B1216" s="303">
        <v>45709</v>
      </c>
      <c r="C1216" s="304">
        <v>22795.900390625</v>
      </c>
      <c r="D1216" s="289">
        <f t="shared" si="36"/>
        <v>-5.1171487988824647E-3</v>
      </c>
      <c r="E1216" s="275"/>
      <c r="F1216" s="290"/>
      <c r="G1216" s="305">
        <v>45709</v>
      </c>
      <c r="H1216" s="306">
        <v>3722.6533203125</v>
      </c>
      <c r="I1216" s="293">
        <f t="shared" si="37"/>
        <v>-1.4453444585948451E-2</v>
      </c>
      <c r="J1216" s="289"/>
      <c r="K1216" s="275"/>
      <c r="L1216" s="290"/>
      <c r="M1216" s="275"/>
      <c r="N1216" s="275"/>
      <c r="O1216" s="275"/>
      <c r="P1216" s="275"/>
      <c r="Q1216" s="275"/>
      <c r="R1216" s="275"/>
      <c r="S1216" s="275"/>
      <c r="T1216" s="275"/>
    </row>
    <row r="1217" spans="1:20" ht="15" customHeight="1">
      <c r="A1217" s="20"/>
      <c r="B1217" s="294">
        <v>45712</v>
      </c>
      <c r="C1217" s="295">
        <v>22553.349609375</v>
      </c>
      <c r="D1217" s="296">
        <f t="shared" si="36"/>
        <v>-1.0640105330068515E-2</v>
      </c>
      <c r="E1217" s="20"/>
      <c r="F1217" s="297"/>
      <c r="G1217" s="298">
        <v>45712</v>
      </c>
      <c r="H1217" s="299">
        <v>3753.8154296875</v>
      </c>
      <c r="I1217" s="300">
        <f t="shared" si="37"/>
        <v>8.370940480803106E-3</v>
      </c>
      <c r="J1217" s="296"/>
      <c r="K1217" s="20"/>
      <c r="L1217" s="297"/>
      <c r="M1217" s="275"/>
      <c r="N1217" s="275"/>
      <c r="O1217" s="275"/>
      <c r="P1217" s="275"/>
      <c r="Q1217" s="275"/>
      <c r="R1217" s="275"/>
      <c r="S1217" s="275"/>
      <c r="T1217" s="275"/>
    </row>
    <row r="1218" spans="1:20" ht="15" customHeight="1">
      <c r="A1218" s="275"/>
      <c r="B1218" s="303">
        <v>45713</v>
      </c>
      <c r="C1218" s="304">
        <v>22547.55078125</v>
      </c>
      <c r="D1218" s="289">
        <f t="shared" si="36"/>
        <v>-2.5711604818955748E-4</v>
      </c>
      <c r="E1218" s="275"/>
      <c r="F1218" s="290"/>
      <c r="G1218" s="305">
        <v>45713</v>
      </c>
      <c r="H1218" s="306">
        <v>3699.1247558564801</v>
      </c>
      <c r="I1218" s="293">
        <f t="shared" si="37"/>
        <v>-1.4569356127233151E-2</v>
      </c>
      <c r="J1218" s="289"/>
      <c r="K1218" s="275"/>
      <c r="L1218" s="290"/>
      <c r="M1218" s="275"/>
      <c r="N1218" s="275"/>
      <c r="O1218" s="275"/>
      <c r="P1218" s="275"/>
      <c r="Q1218" s="275"/>
      <c r="R1218" s="275"/>
      <c r="S1218" s="275"/>
      <c r="T1218" s="275"/>
    </row>
    <row r="1219" spans="1:20" ht="15" customHeight="1">
      <c r="A1219" s="20"/>
      <c r="B1219" s="294">
        <v>45715</v>
      </c>
      <c r="C1219" s="295">
        <v>22545.05078125</v>
      </c>
      <c r="D1219" s="296">
        <f t="shared" si="36"/>
        <v>-1.1087678764998901E-4</v>
      </c>
      <c r="E1219" s="20"/>
      <c r="F1219" s="297"/>
      <c r="G1219" s="298">
        <v>45715</v>
      </c>
      <c r="H1219" s="299">
        <v>3632.7419433564801</v>
      </c>
      <c r="I1219" s="300">
        <f t="shared" si="37"/>
        <v>-1.7945545738867624E-2</v>
      </c>
      <c r="J1219" s="296"/>
      <c r="K1219" s="20"/>
      <c r="L1219" s="297"/>
      <c r="M1219" s="275"/>
      <c r="N1219" s="275"/>
      <c r="O1219" s="275"/>
      <c r="P1219" s="275"/>
      <c r="Q1219" s="275"/>
      <c r="R1219" s="275"/>
      <c r="S1219" s="275"/>
      <c r="T1219" s="275"/>
    </row>
    <row r="1220" spans="1:20" ht="15" customHeight="1">
      <c r="A1220" s="275"/>
      <c r="B1220" s="303">
        <v>45716</v>
      </c>
      <c r="C1220" s="304">
        <v>22124.69921875</v>
      </c>
      <c r="D1220" s="289">
        <f t="shared" si="36"/>
        <v>-1.8644959666695139E-2</v>
      </c>
      <c r="E1220" s="275"/>
      <c r="F1220" s="290"/>
      <c r="G1220" s="305">
        <v>45716</v>
      </c>
      <c r="H1220" s="306">
        <v>3556.9379882870398</v>
      </c>
      <c r="I1220" s="293">
        <f t="shared" si="37"/>
        <v>-2.0866870328642446E-2</v>
      </c>
      <c r="J1220" s="289"/>
      <c r="K1220" s="275"/>
      <c r="L1220" s="290"/>
      <c r="M1220" s="275"/>
      <c r="N1220" s="275"/>
      <c r="O1220" s="275"/>
      <c r="P1220" s="275"/>
      <c r="Q1220" s="275"/>
      <c r="R1220" s="275"/>
      <c r="S1220" s="275"/>
      <c r="T1220" s="275"/>
    </row>
    <row r="1221" spans="1:20" ht="15" customHeight="1">
      <c r="A1221" s="20"/>
      <c r="B1221" s="294">
        <v>45719</v>
      </c>
      <c r="C1221" s="295">
        <v>22119.30078125</v>
      </c>
      <c r="D1221" s="296">
        <f t="shared" ref="D1221:D1284" si="38">(C1221-C1220)/C1220</f>
        <v>-2.4400049223833022E-4</v>
      </c>
      <c r="E1221" s="20"/>
      <c r="F1221" s="297"/>
      <c r="G1221" s="298">
        <v>45719</v>
      </c>
      <c r="H1221" s="299">
        <v>3508.2861328125</v>
      </c>
      <c r="I1221" s="300">
        <f t="shared" ref="I1221:I1284" si="39">(H1221-H1220)/H1220</f>
        <v>-1.3678016213594362E-2</v>
      </c>
      <c r="J1221" s="296"/>
      <c r="K1221" s="20"/>
      <c r="L1221" s="297"/>
      <c r="M1221" s="275"/>
      <c r="N1221" s="275"/>
      <c r="O1221" s="275"/>
      <c r="P1221" s="275"/>
      <c r="Q1221" s="275"/>
      <c r="R1221" s="275"/>
      <c r="S1221" s="275"/>
      <c r="T1221" s="275"/>
    </row>
    <row r="1222" spans="1:20" ht="15" customHeight="1">
      <c r="A1222" s="275"/>
      <c r="B1222" s="303">
        <v>45720</v>
      </c>
      <c r="C1222" s="304">
        <v>22082.650390625</v>
      </c>
      <c r="D1222" s="289">
        <f t="shared" si="38"/>
        <v>-1.6569416451024373E-3</v>
      </c>
      <c r="E1222" s="275"/>
      <c r="F1222" s="290"/>
      <c r="G1222" s="305">
        <v>45720</v>
      </c>
      <c r="H1222" s="306">
        <v>3396.2954101620398</v>
      </c>
      <c r="I1222" s="293">
        <f t="shared" si="39"/>
        <v>-3.1921775593794048E-2</v>
      </c>
      <c r="J1222" s="289"/>
      <c r="K1222" s="275"/>
      <c r="L1222" s="290"/>
      <c r="M1222" s="275"/>
      <c r="N1222" s="275"/>
      <c r="O1222" s="275"/>
      <c r="P1222" s="275"/>
      <c r="Q1222" s="275"/>
      <c r="R1222" s="275"/>
      <c r="S1222" s="275"/>
      <c r="T1222" s="275"/>
    </row>
    <row r="1223" spans="1:20" ht="15" customHeight="1">
      <c r="A1223" s="20"/>
      <c r="B1223" s="294">
        <v>45721</v>
      </c>
      <c r="C1223" s="295">
        <v>22337.30078125</v>
      </c>
      <c r="D1223" s="296">
        <f t="shared" si="38"/>
        <v>1.153169506922546E-2</v>
      </c>
      <c r="E1223" s="20"/>
      <c r="F1223" s="297"/>
      <c r="G1223" s="298">
        <v>45721</v>
      </c>
      <c r="H1223" s="299">
        <v>3467.7028808564801</v>
      </c>
      <c r="I1223" s="300">
        <f t="shared" si="39"/>
        <v>2.1025105908273549E-2</v>
      </c>
      <c r="J1223" s="296"/>
      <c r="K1223" s="20"/>
      <c r="L1223" s="297"/>
      <c r="M1223" s="275"/>
      <c r="N1223" s="275"/>
      <c r="O1223" s="275"/>
      <c r="P1223" s="275"/>
      <c r="Q1223" s="275"/>
      <c r="R1223" s="275"/>
      <c r="S1223" s="275"/>
      <c r="T1223" s="275"/>
    </row>
    <row r="1224" spans="1:20" ht="15" customHeight="1">
      <c r="A1224" s="275"/>
      <c r="B1224" s="303">
        <v>45722</v>
      </c>
      <c r="C1224" s="304">
        <v>22544.69921875</v>
      </c>
      <c r="D1224" s="289">
        <f t="shared" si="38"/>
        <v>9.2848477768670643E-3</v>
      </c>
      <c r="E1224" s="275"/>
      <c r="F1224" s="290"/>
      <c r="G1224" s="305">
        <v>45722</v>
      </c>
      <c r="H1224" s="306">
        <v>3525.6789550810199</v>
      </c>
      <c r="I1224" s="293">
        <f t="shared" si="39"/>
        <v>1.6718870161742481E-2</v>
      </c>
      <c r="J1224" s="289"/>
      <c r="K1224" s="275"/>
      <c r="L1224" s="290"/>
      <c r="M1224" s="275"/>
      <c r="N1224" s="275"/>
      <c r="O1224" s="275"/>
      <c r="P1224" s="275"/>
      <c r="Q1224" s="275"/>
      <c r="R1224" s="275"/>
      <c r="S1224" s="275"/>
      <c r="T1224" s="275"/>
    </row>
    <row r="1225" spans="1:20" ht="15" customHeight="1">
      <c r="A1225" s="20"/>
      <c r="B1225" s="294">
        <v>45723</v>
      </c>
      <c r="C1225" s="295">
        <v>22552.5</v>
      </c>
      <c r="D1225" s="296">
        <f t="shared" si="38"/>
        <v>3.4601398645018238E-4</v>
      </c>
      <c r="E1225" s="20"/>
      <c r="F1225" s="297"/>
      <c r="G1225" s="298">
        <v>45723</v>
      </c>
      <c r="H1225" s="299">
        <v>3529.302734375</v>
      </c>
      <c r="I1225" s="300">
        <f t="shared" si="39"/>
        <v>1.0278245240559075E-3</v>
      </c>
      <c r="J1225" s="296"/>
      <c r="K1225" s="20"/>
      <c r="L1225" s="297"/>
      <c r="M1225" s="275"/>
      <c r="N1225" s="275"/>
      <c r="O1225" s="275"/>
      <c r="P1225" s="275"/>
      <c r="Q1225" s="275"/>
      <c r="R1225" s="275"/>
      <c r="S1225" s="275"/>
      <c r="T1225" s="275"/>
    </row>
    <row r="1226" spans="1:20" ht="15" customHeight="1">
      <c r="A1226" s="275"/>
      <c r="B1226" s="303">
        <v>45726</v>
      </c>
      <c r="C1226" s="304">
        <v>22460.30078125</v>
      </c>
      <c r="D1226" s="289">
        <f t="shared" si="38"/>
        <v>-4.0882039130916746E-3</v>
      </c>
      <c r="E1226" s="275"/>
      <c r="F1226" s="290"/>
      <c r="G1226" s="305">
        <v>45726</v>
      </c>
      <c r="H1226" s="306">
        <v>3462.001953125</v>
      </c>
      <c r="I1226" s="293">
        <f t="shared" si="39"/>
        <v>-1.9069143770098888E-2</v>
      </c>
      <c r="J1226" s="289"/>
      <c r="K1226" s="275"/>
      <c r="L1226" s="290"/>
      <c r="M1226" s="275"/>
      <c r="N1226" s="275"/>
      <c r="O1226" s="275"/>
      <c r="P1226" s="275"/>
      <c r="Q1226" s="275"/>
      <c r="R1226" s="275"/>
      <c r="S1226" s="275"/>
      <c r="T1226" s="275"/>
    </row>
    <row r="1227" spans="1:20" ht="15" customHeight="1">
      <c r="A1227" s="20"/>
      <c r="B1227" s="294">
        <v>45727</v>
      </c>
      <c r="C1227" s="295">
        <v>22497.900390625</v>
      </c>
      <c r="D1227" s="296">
        <f t="shared" si="38"/>
        <v>1.6740474556061328E-3</v>
      </c>
      <c r="E1227" s="20"/>
      <c r="F1227" s="297"/>
      <c r="G1227" s="298">
        <v>45727</v>
      </c>
      <c r="H1227" s="299">
        <v>3527.5148925810199</v>
      </c>
      <c r="I1227" s="300">
        <f t="shared" si="39"/>
        <v>1.8923426486482542E-2</v>
      </c>
      <c r="J1227" s="296"/>
      <c r="K1227" s="20"/>
      <c r="L1227" s="297"/>
      <c r="M1227" s="275"/>
      <c r="N1227" s="275"/>
      <c r="O1227" s="275"/>
      <c r="P1227" s="275"/>
      <c r="Q1227" s="275"/>
      <c r="R1227" s="275"/>
      <c r="S1227" s="275"/>
      <c r="T1227" s="275"/>
    </row>
    <row r="1228" spans="1:20" ht="15" customHeight="1">
      <c r="A1228" s="275"/>
      <c r="B1228" s="303">
        <v>45728</v>
      </c>
      <c r="C1228" s="304">
        <v>22470.5</v>
      </c>
      <c r="D1228" s="289">
        <f t="shared" si="38"/>
        <v>-1.217908789231634E-3</v>
      </c>
      <c r="E1228" s="275"/>
      <c r="F1228" s="290"/>
      <c r="G1228" s="305">
        <v>45728</v>
      </c>
      <c r="H1228" s="306">
        <v>3488.4775390625</v>
      </c>
      <c r="I1228" s="293">
        <f t="shared" si="39"/>
        <v>-1.1066531172022064E-2</v>
      </c>
      <c r="J1228" s="289"/>
      <c r="K1228" s="275"/>
      <c r="L1228" s="290"/>
      <c r="M1228" s="275"/>
      <c r="N1228" s="275"/>
      <c r="O1228" s="275"/>
      <c r="P1228" s="275"/>
      <c r="Q1228" s="275"/>
      <c r="R1228" s="275"/>
      <c r="S1228" s="275"/>
      <c r="T1228" s="275"/>
    </row>
    <row r="1229" spans="1:20" ht="15" customHeight="1">
      <c r="A1229" s="20"/>
      <c r="B1229" s="294">
        <v>45729</v>
      </c>
      <c r="C1229" s="295">
        <v>22397.19921875</v>
      </c>
      <c r="D1229" s="296">
        <f t="shared" si="38"/>
        <v>-3.2620894617387242E-3</v>
      </c>
      <c r="E1229" s="20"/>
      <c r="F1229" s="297"/>
      <c r="G1229" s="298">
        <v>45729</v>
      </c>
      <c r="H1229" s="299">
        <v>3410.1130371064801</v>
      </c>
      <c r="I1229" s="300">
        <f t="shared" si="39"/>
        <v>-2.2463811527672826E-2</v>
      </c>
      <c r="J1229" s="296"/>
      <c r="K1229" s="20"/>
      <c r="L1229" s="297"/>
      <c r="M1229" s="275"/>
      <c r="N1229" s="275"/>
      <c r="O1229" s="275"/>
      <c r="P1229" s="275"/>
      <c r="Q1229" s="275"/>
      <c r="R1229" s="275"/>
      <c r="S1229" s="275"/>
      <c r="T1229" s="275"/>
    </row>
    <row r="1230" spans="1:20" ht="15" customHeight="1">
      <c r="A1230" s="275"/>
      <c r="B1230" s="303">
        <v>45733</v>
      </c>
      <c r="C1230" s="304">
        <v>22508.75</v>
      </c>
      <c r="D1230" s="289">
        <f t="shared" si="38"/>
        <v>4.9805683362683286E-3</v>
      </c>
      <c r="E1230" s="275"/>
      <c r="F1230" s="290"/>
      <c r="G1230" s="305">
        <v>45733</v>
      </c>
      <c r="H1230" s="306">
        <v>3375.2790527314801</v>
      </c>
      <c r="I1230" s="293">
        <f t="shared" si="39"/>
        <v>-1.0214906073775501E-2</v>
      </c>
      <c r="J1230" s="289"/>
      <c r="K1230" s="275"/>
      <c r="L1230" s="290"/>
      <c r="M1230" s="275"/>
      <c r="N1230" s="275"/>
      <c r="O1230" s="275"/>
      <c r="P1230" s="275"/>
      <c r="Q1230" s="275"/>
      <c r="R1230" s="275"/>
      <c r="S1230" s="275"/>
      <c r="T1230" s="275"/>
    </row>
    <row r="1231" spans="1:20" ht="15" customHeight="1">
      <c r="A1231" s="20"/>
      <c r="B1231" s="294">
        <v>45734</v>
      </c>
      <c r="C1231" s="295">
        <v>22834.30078125</v>
      </c>
      <c r="D1231" s="296">
        <f t="shared" si="38"/>
        <v>1.4463298994835342E-2</v>
      </c>
      <c r="E1231" s="20"/>
      <c r="F1231" s="297"/>
      <c r="G1231" s="298">
        <v>45734</v>
      </c>
      <c r="H1231" s="299">
        <v>3375.2790527314801</v>
      </c>
      <c r="I1231" s="300">
        <f t="shared" si="39"/>
        <v>0</v>
      </c>
      <c r="J1231" s="296"/>
      <c r="K1231" s="20"/>
      <c r="L1231" s="297"/>
      <c r="M1231" s="275"/>
      <c r="N1231" s="275"/>
      <c r="O1231" s="275"/>
      <c r="P1231" s="275"/>
      <c r="Q1231" s="275"/>
      <c r="R1231" s="275"/>
      <c r="S1231" s="275"/>
      <c r="T1231" s="275"/>
    </row>
    <row r="1232" spans="1:20" ht="15" customHeight="1">
      <c r="A1232" s="275"/>
      <c r="B1232" s="303">
        <v>45735</v>
      </c>
      <c r="C1232" s="304">
        <v>22907.599609375</v>
      </c>
      <c r="D1232" s="289">
        <f t="shared" si="38"/>
        <v>3.2100316461272198E-3</v>
      </c>
      <c r="E1232" s="275"/>
      <c r="F1232" s="290"/>
      <c r="G1232" s="305">
        <v>45735</v>
      </c>
      <c r="H1232" s="306">
        <v>3417.6984863310199</v>
      </c>
      <c r="I1232" s="293">
        <f t="shared" si="39"/>
        <v>1.2567681941797219E-2</v>
      </c>
      <c r="J1232" s="289"/>
      <c r="K1232" s="275"/>
      <c r="L1232" s="290"/>
      <c r="M1232" s="275"/>
      <c r="N1232" s="275"/>
      <c r="O1232" s="275"/>
      <c r="P1232" s="275"/>
      <c r="Q1232" s="275"/>
      <c r="R1232" s="275"/>
      <c r="S1232" s="275"/>
      <c r="T1232" s="275"/>
    </row>
    <row r="1233" spans="1:20" ht="15" customHeight="1">
      <c r="A1233" s="20"/>
      <c r="B1233" s="294">
        <v>45736</v>
      </c>
      <c r="C1233" s="295">
        <v>23190.650390625</v>
      </c>
      <c r="D1233" s="296">
        <f t="shared" si="38"/>
        <v>1.2356195589090036E-2</v>
      </c>
      <c r="E1233" s="20"/>
      <c r="F1233" s="297"/>
      <c r="G1233" s="298">
        <v>45736</v>
      </c>
      <c r="H1233" s="299">
        <v>3475.8193359375</v>
      </c>
      <c r="I1233" s="300">
        <f t="shared" si="39"/>
        <v>1.7005844675571185E-2</v>
      </c>
      <c r="J1233" s="296"/>
      <c r="K1233" s="20"/>
      <c r="L1233" s="297"/>
      <c r="M1233" s="275"/>
      <c r="N1233" s="275"/>
      <c r="O1233" s="275"/>
      <c r="P1233" s="275"/>
      <c r="Q1233" s="275"/>
      <c r="R1233" s="275"/>
      <c r="S1233" s="275"/>
      <c r="T1233" s="275"/>
    </row>
    <row r="1234" spans="1:20" ht="15" customHeight="1">
      <c r="A1234" s="275"/>
      <c r="B1234" s="303">
        <v>45737</v>
      </c>
      <c r="C1234" s="304">
        <v>23350.400390625</v>
      </c>
      <c r="D1234" s="289">
        <f t="shared" si="38"/>
        <v>6.8885519512889631E-3</v>
      </c>
      <c r="E1234" s="275"/>
      <c r="F1234" s="290"/>
      <c r="G1234" s="305">
        <v>45737</v>
      </c>
      <c r="H1234" s="306">
        <v>3506.5952148379602</v>
      </c>
      <c r="I1234" s="293">
        <f t="shared" si="39"/>
        <v>8.854280365570056E-3</v>
      </c>
      <c r="J1234" s="289"/>
      <c r="K1234" s="275"/>
      <c r="L1234" s="290"/>
      <c r="M1234" s="275"/>
      <c r="N1234" s="275"/>
      <c r="O1234" s="275"/>
      <c r="P1234" s="275"/>
      <c r="Q1234" s="275"/>
      <c r="R1234" s="275"/>
      <c r="S1234" s="275"/>
      <c r="T1234" s="275"/>
    </row>
    <row r="1235" spans="1:20" ht="15" customHeight="1">
      <c r="A1235" s="20"/>
      <c r="B1235" s="294">
        <v>45740</v>
      </c>
      <c r="C1235" s="295">
        <v>23658.349609375</v>
      </c>
      <c r="D1235" s="296">
        <f t="shared" si="38"/>
        <v>1.3188177230298765E-2</v>
      </c>
      <c r="E1235" s="20"/>
      <c r="F1235" s="297"/>
      <c r="G1235" s="298">
        <v>45740</v>
      </c>
      <c r="H1235" s="299">
        <v>3504.0349121064801</v>
      </c>
      <c r="I1235" s="300">
        <f t="shared" si="39"/>
        <v>-7.3013923039827965E-4</v>
      </c>
      <c r="J1235" s="296"/>
      <c r="K1235" s="20"/>
      <c r="L1235" s="297"/>
      <c r="M1235" s="275"/>
      <c r="N1235" s="275"/>
      <c r="O1235" s="275"/>
      <c r="P1235" s="275"/>
      <c r="Q1235" s="275"/>
      <c r="R1235" s="275"/>
      <c r="S1235" s="275"/>
      <c r="T1235" s="275"/>
    </row>
    <row r="1236" spans="1:20" ht="15" customHeight="1">
      <c r="A1236" s="275"/>
      <c r="B1236" s="303">
        <v>45741</v>
      </c>
      <c r="C1236" s="304">
        <v>23668.650390625</v>
      </c>
      <c r="D1236" s="289">
        <f t="shared" si="38"/>
        <v>4.3539728764165997E-4</v>
      </c>
      <c r="E1236" s="275"/>
      <c r="F1236" s="290"/>
      <c r="G1236" s="305">
        <v>45741</v>
      </c>
      <c r="H1236" s="306">
        <v>3505.5805664120398</v>
      </c>
      <c r="I1236" s="293">
        <f t="shared" si="39"/>
        <v>4.4110699360314928E-4</v>
      </c>
      <c r="J1236" s="289"/>
      <c r="K1236" s="275"/>
      <c r="L1236" s="290"/>
      <c r="M1236" s="275"/>
      <c r="N1236" s="275"/>
      <c r="O1236" s="275"/>
      <c r="P1236" s="275"/>
      <c r="Q1236" s="275"/>
      <c r="R1236" s="275"/>
      <c r="S1236" s="275"/>
      <c r="T1236" s="275"/>
    </row>
    <row r="1237" spans="1:20" ht="15" customHeight="1">
      <c r="A1237" s="20"/>
      <c r="B1237" s="294">
        <v>45742</v>
      </c>
      <c r="C1237" s="295">
        <v>23486.849609375</v>
      </c>
      <c r="D1237" s="296">
        <f t="shared" si="38"/>
        <v>-7.6810793285454976E-3</v>
      </c>
      <c r="E1237" s="20"/>
      <c r="F1237" s="297"/>
      <c r="G1237" s="298">
        <v>45742</v>
      </c>
      <c r="H1237" s="299">
        <v>3522.9736328125</v>
      </c>
      <c r="I1237" s="300">
        <f t="shared" si="39"/>
        <v>4.9615366330781419E-3</v>
      </c>
      <c r="J1237" s="296"/>
      <c r="K1237" s="20"/>
      <c r="L1237" s="297"/>
      <c r="M1237" s="275"/>
      <c r="N1237" s="275"/>
      <c r="O1237" s="275"/>
      <c r="P1237" s="275"/>
      <c r="Q1237" s="275"/>
      <c r="R1237" s="275"/>
      <c r="S1237" s="275"/>
      <c r="T1237" s="275"/>
    </row>
    <row r="1238" spans="1:20" ht="15" customHeight="1">
      <c r="A1238" s="275"/>
      <c r="B1238" s="303">
        <v>45743</v>
      </c>
      <c r="C1238" s="304">
        <v>23591.94921875</v>
      </c>
      <c r="D1238" s="289">
        <f t="shared" si="38"/>
        <v>4.4748278770026483E-3</v>
      </c>
      <c r="E1238" s="275"/>
      <c r="F1238" s="290"/>
      <c r="G1238" s="305">
        <v>45743</v>
      </c>
      <c r="H1238" s="306">
        <v>3644.8203125</v>
      </c>
      <c r="I1238" s="293">
        <f t="shared" si="39"/>
        <v>3.4586316103145505E-2</v>
      </c>
      <c r="J1238" s="289"/>
      <c r="K1238" s="275"/>
      <c r="L1238" s="290"/>
      <c r="M1238" s="275"/>
      <c r="N1238" s="275"/>
      <c r="O1238" s="275"/>
      <c r="P1238" s="275"/>
      <c r="Q1238" s="275"/>
      <c r="R1238" s="275"/>
      <c r="S1238" s="275"/>
      <c r="T1238" s="275"/>
    </row>
    <row r="1239" spans="1:20" ht="15" customHeight="1">
      <c r="A1239" s="20"/>
      <c r="B1239" s="294">
        <v>45744</v>
      </c>
      <c r="C1239" s="295">
        <v>23519.349609375</v>
      </c>
      <c r="D1239" s="296">
        <f t="shared" si="38"/>
        <v>-3.0773044101544836E-3</v>
      </c>
      <c r="E1239" s="20"/>
      <c r="F1239" s="297"/>
      <c r="G1239" s="298">
        <v>45744</v>
      </c>
      <c r="H1239" s="299">
        <v>3597.3762207060199</v>
      </c>
      <c r="I1239" s="300">
        <f t="shared" si="39"/>
        <v>-1.3016853432052443E-2</v>
      </c>
      <c r="J1239" s="296"/>
      <c r="K1239" s="20"/>
      <c r="L1239" s="297"/>
      <c r="M1239" s="275"/>
      <c r="N1239" s="275"/>
      <c r="O1239" s="275"/>
      <c r="P1239" s="275"/>
      <c r="Q1239" s="275"/>
      <c r="R1239" s="275"/>
      <c r="S1239" s="275"/>
      <c r="T1239" s="275"/>
    </row>
    <row r="1240" spans="1:20" ht="15" customHeight="1">
      <c r="A1240" s="275"/>
      <c r="B1240" s="303">
        <v>45748</v>
      </c>
      <c r="C1240" s="304">
        <v>23165.69921875</v>
      </c>
      <c r="D1240" s="289">
        <f t="shared" si="38"/>
        <v>-1.5036571865236959E-2</v>
      </c>
      <c r="E1240" s="275"/>
      <c r="F1240" s="290"/>
      <c r="G1240" s="305">
        <v>45748</v>
      </c>
      <c r="H1240" s="306">
        <v>3635.1574707060199</v>
      </c>
      <c r="I1240" s="293">
        <f t="shared" si="39"/>
        <v>1.0502446139087745E-2</v>
      </c>
      <c r="J1240" s="289"/>
      <c r="K1240" s="275"/>
      <c r="L1240" s="290"/>
      <c r="M1240" s="275"/>
      <c r="N1240" s="275"/>
      <c r="O1240" s="275"/>
      <c r="P1240" s="275"/>
      <c r="Q1240" s="275"/>
      <c r="R1240" s="275"/>
      <c r="S1240" s="275"/>
      <c r="T1240" s="275"/>
    </row>
    <row r="1241" spans="1:20" ht="15" customHeight="1">
      <c r="A1241" s="20"/>
      <c r="B1241" s="294">
        <v>45749</v>
      </c>
      <c r="C1241" s="295">
        <v>23332.349609375</v>
      </c>
      <c r="D1241" s="296">
        <f t="shared" si="38"/>
        <v>7.1938424586863083E-3</v>
      </c>
      <c r="E1241" s="20"/>
      <c r="F1241" s="297"/>
      <c r="G1241" s="298">
        <v>45749</v>
      </c>
      <c r="H1241" s="299">
        <v>3656.3188476620398</v>
      </c>
      <c r="I1241" s="300">
        <f t="shared" si="39"/>
        <v>5.8213095654175229E-3</v>
      </c>
      <c r="J1241" s="296"/>
      <c r="K1241" s="20"/>
      <c r="L1241" s="297"/>
      <c r="M1241" s="275"/>
      <c r="N1241" s="275"/>
      <c r="O1241" s="275"/>
      <c r="P1241" s="275"/>
      <c r="Q1241" s="275"/>
      <c r="R1241" s="275"/>
      <c r="S1241" s="275"/>
      <c r="T1241" s="275"/>
    </row>
    <row r="1242" spans="1:20" ht="15" customHeight="1">
      <c r="A1242" s="275"/>
      <c r="B1242" s="303">
        <v>45750</v>
      </c>
      <c r="C1242" s="304">
        <v>23250.099609375</v>
      </c>
      <c r="D1242" s="289">
        <f t="shared" si="38"/>
        <v>-3.5251486188494162E-3</v>
      </c>
      <c r="E1242" s="275"/>
      <c r="F1242" s="290"/>
      <c r="G1242" s="305">
        <v>45750</v>
      </c>
      <c r="H1242" s="306">
        <v>3626.7509765625</v>
      </c>
      <c r="I1242" s="293">
        <f t="shared" si="39"/>
        <v>-8.0867868289020879E-3</v>
      </c>
      <c r="J1242" s="289"/>
      <c r="K1242" s="275"/>
      <c r="L1242" s="290"/>
      <c r="M1242" s="275"/>
      <c r="N1242" s="275"/>
      <c r="O1242" s="275"/>
      <c r="P1242" s="275"/>
      <c r="Q1242" s="275"/>
      <c r="R1242" s="275"/>
      <c r="S1242" s="275"/>
      <c r="T1242" s="275"/>
    </row>
    <row r="1243" spans="1:20" ht="15" customHeight="1">
      <c r="A1243" s="20"/>
      <c r="B1243" s="294">
        <v>45751</v>
      </c>
      <c r="C1243" s="295">
        <v>22904.44921875</v>
      </c>
      <c r="D1243" s="296">
        <f t="shared" si="38"/>
        <v>-1.4866619775066488E-2</v>
      </c>
      <c r="E1243" s="20"/>
      <c r="F1243" s="297"/>
      <c r="G1243" s="298">
        <v>45751</v>
      </c>
      <c r="H1243" s="299">
        <v>3535.7766113310199</v>
      </c>
      <c r="I1243" s="300">
        <f t="shared" si="39"/>
        <v>-2.5084260215105042E-2</v>
      </c>
      <c r="J1243" s="296"/>
      <c r="K1243" s="20"/>
      <c r="L1243" s="297"/>
      <c r="M1243" s="275"/>
      <c r="N1243" s="275"/>
      <c r="O1243" s="275"/>
      <c r="P1243" s="275"/>
      <c r="Q1243" s="275"/>
      <c r="R1243" s="275"/>
      <c r="S1243" s="275"/>
      <c r="T1243" s="275"/>
    </row>
    <row r="1244" spans="1:20" ht="15" customHeight="1">
      <c r="A1244" s="275"/>
      <c r="B1244" s="303">
        <v>45754</v>
      </c>
      <c r="C1244" s="304">
        <v>22161.599609375</v>
      </c>
      <c r="D1244" s="289">
        <f t="shared" si="38"/>
        <v>-3.2432546283055336E-2</v>
      </c>
      <c r="E1244" s="275"/>
      <c r="F1244" s="290"/>
      <c r="G1244" s="305">
        <v>45754</v>
      </c>
      <c r="H1244" s="306">
        <v>3407.9389648379602</v>
      </c>
      <c r="I1244" s="293">
        <f t="shared" si="39"/>
        <v>-3.6155464709897528E-2</v>
      </c>
      <c r="J1244" s="289"/>
      <c r="K1244" s="275"/>
      <c r="L1244" s="290"/>
      <c r="M1244" s="275"/>
      <c r="N1244" s="275"/>
      <c r="O1244" s="275"/>
      <c r="P1244" s="275"/>
      <c r="Q1244" s="275"/>
      <c r="R1244" s="275"/>
      <c r="S1244" s="275"/>
      <c r="T1244" s="275"/>
    </row>
    <row r="1245" spans="1:20" ht="15" customHeight="1">
      <c r="A1245" s="20"/>
      <c r="B1245" s="294">
        <v>45755</v>
      </c>
      <c r="C1245" s="295">
        <v>22535.849609375</v>
      </c>
      <c r="D1245" s="296">
        <f t="shared" si="38"/>
        <v>1.688731890281428E-2</v>
      </c>
      <c r="E1245" s="20"/>
      <c r="F1245" s="297"/>
      <c r="G1245" s="298">
        <v>45755</v>
      </c>
      <c r="H1245" s="299">
        <v>3453.5952148379602</v>
      </c>
      <c r="I1245" s="300">
        <f t="shared" si="39"/>
        <v>1.3397026904257028E-2</v>
      </c>
      <c r="J1245" s="296"/>
      <c r="K1245" s="20"/>
      <c r="L1245" s="297"/>
      <c r="M1245" s="275"/>
      <c r="N1245" s="275"/>
      <c r="O1245" s="275"/>
      <c r="P1245" s="275"/>
      <c r="Q1245" s="275"/>
      <c r="R1245" s="275"/>
      <c r="S1245" s="275"/>
      <c r="T1245" s="275"/>
    </row>
    <row r="1246" spans="1:20" ht="15" customHeight="1">
      <c r="A1246" s="275"/>
      <c r="B1246" s="303">
        <v>45756</v>
      </c>
      <c r="C1246" s="304">
        <v>22399.150390625</v>
      </c>
      <c r="D1246" s="289">
        <f t="shared" si="38"/>
        <v>-6.0658560080704745E-3</v>
      </c>
      <c r="E1246" s="275"/>
      <c r="F1246" s="290"/>
      <c r="G1246" s="305">
        <v>45756</v>
      </c>
      <c r="H1246" s="306">
        <v>3489.10546875</v>
      </c>
      <c r="I1246" s="293">
        <f t="shared" si="39"/>
        <v>1.0282112321523458E-2</v>
      </c>
      <c r="J1246" s="289"/>
      <c r="K1246" s="275"/>
      <c r="L1246" s="290"/>
      <c r="M1246" s="275"/>
      <c r="N1246" s="275"/>
      <c r="O1246" s="275"/>
      <c r="P1246" s="275"/>
      <c r="Q1246" s="275"/>
      <c r="R1246" s="275"/>
      <c r="S1246" s="275"/>
      <c r="T1246" s="275"/>
    </row>
    <row r="1247" spans="1:20" ht="15" customHeight="1">
      <c r="A1247" s="20"/>
      <c r="B1247" s="294">
        <v>45758</v>
      </c>
      <c r="C1247" s="295">
        <v>22828.55078125</v>
      </c>
      <c r="D1247" s="296">
        <f t="shared" si="38"/>
        <v>1.9170387409190411E-2</v>
      </c>
      <c r="E1247" s="20"/>
      <c r="F1247" s="297"/>
      <c r="G1247" s="298">
        <v>45758</v>
      </c>
      <c r="H1247" s="299">
        <v>3542.3474121064801</v>
      </c>
      <c r="I1247" s="300">
        <f t="shared" si="39"/>
        <v>1.5259482361120609E-2</v>
      </c>
      <c r="J1247" s="296"/>
      <c r="K1247" s="20"/>
      <c r="L1247" s="297"/>
      <c r="M1247" s="275"/>
      <c r="N1247" s="275"/>
      <c r="O1247" s="275"/>
      <c r="P1247" s="275"/>
      <c r="Q1247" s="275"/>
      <c r="R1247" s="275"/>
      <c r="S1247" s="275"/>
      <c r="T1247" s="275"/>
    </row>
    <row r="1248" spans="1:20" ht="15" customHeight="1">
      <c r="A1248" s="275"/>
      <c r="B1248" s="303">
        <v>45762</v>
      </c>
      <c r="C1248" s="304">
        <v>23328.55078125</v>
      </c>
      <c r="D1248" s="289">
        <f t="shared" si="38"/>
        <v>2.1902397782108445E-2</v>
      </c>
      <c r="E1248" s="275"/>
      <c r="F1248" s="290"/>
      <c r="G1248" s="305">
        <v>45762</v>
      </c>
      <c r="H1248" s="306">
        <v>3675.5959472685199</v>
      </c>
      <c r="I1248" s="293">
        <f t="shared" si="39"/>
        <v>3.7615885643131411E-2</v>
      </c>
      <c r="J1248" s="289"/>
      <c r="K1248" s="275"/>
      <c r="L1248" s="290"/>
      <c r="M1248" s="275"/>
      <c r="N1248" s="275"/>
      <c r="O1248" s="275"/>
      <c r="P1248" s="275"/>
      <c r="Q1248" s="275"/>
      <c r="R1248" s="275"/>
      <c r="S1248" s="275"/>
      <c r="T1248" s="275"/>
    </row>
    <row r="1249" spans="1:20" ht="15" customHeight="1">
      <c r="A1249" s="20"/>
      <c r="B1249" s="294">
        <v>45763</v>
      </c>
      <c r="C1249" s="295">
        <v>23437.19921875</v>
      </c>
      <c r="D1249" s="296">
        <f t="shared" si="38"/>
        <v>4.657316201027141E-3</v>
      </c>
      <c r="E1249" s="20"/>
      <c r="F1249" s="297"/>
      <c r="G1249" s="298">
        <v>45763</v>
      </c>
      <c r="H1249" s="299">
        <v>3654.337890625</v>
      </c>
      <c r="I1249" s="300">
        <f t="shared" si="39"/>
        <v>-5.7835673312562064E-3</v>
      </c>
      <c r="J1249" s="296"/>
      <c r="K1249" s="20"/>
      <c r="L1249" s="297"/>
      <c r="M1249" s="275"/>
      <c r="N1249" s="275"/>
      <c r="O1249" s="275"/>
      <c r="P1249" s="275"/>
      <c r="Q1249" s="275"/>
      <c r="R1249" s="275"/>
      <c r="S1249" s="275"/>
      <c r="T1249" s="275"/>
    </row>
    <row r="1250" spans="1:20" ht="15" customHeight="1">
      <c r="A1250" s="275"/>
      <c r="B1250" s="303">
        <v>45764</v>
      </c>
      <c r="C1250" s="304">
        <v>23851.650390625</v>
      </c>
      <c r="D1250" s="289">
        <f t="shared" si="38"/>
        <v>1.7683476937954037E-2</v>
      </c>
      <c r="E1250" s="275"/>
      <c r="F1250" s="290"/>
      <c r="G1250" s="305">
        <v>45764</v>
      </c>
      <c r="H1250" s="306">
        <v>3644.5786132870398</v>
      </c>
      <c r="I1250" s="293">
        <f t="shared" si="39"/>
        <v>-2.6706007025231681E-3</v>
      </c>
      <c r="J1250" s="289"/>
      <c r="K1250" s="275"/>
      <c r="L1250" s="290"/>
      <c r="M1250" s="275"/>
      <c r="N1250" s="275"/>
      <c r="O1250" s="275"/>
      <c r="P1250" s="275"/>
      <c r="Q1250" s="275"/>
      <c r="R1250" s="275"/>
      <c r="S1250" s="275"/>
      <c r="T1250" s="275"/>
    </row>
    <row r="1251" spans="1:20" ht="15" customHeight="1">
      <c r="A1251" s="20"/>
      <c r="B1251" s="294">
        <v>45768</v>
      </c>
      <c r="C1251" s="295">
        <v>24125.55078125</v>
      </c>
      <c r="D1251" s="296">
        <f t="shared" si="38"/>
        <v>1.1483498464016469E-2</v>
      </c>
      <c r="E1251" s="20"/>
      <c r="F1251" s="297"/>
      <c r="G1251" s="298">
        <v>45768</v>
      </c>
      <c r="H1251" s="299">
        <v>3784.8811035185199</v>
      </c>
      <c r="I1251" s="300">
        <f t="shared" si="39"/>
        <v>3.8496217291068793E-2</v>
      </c>
      <c r="J1251" s="296"/>
      <c r="K1251" s="20"/>
      <c r="L1251" s="297"/>
      <c r="M1251" s="275"/>
      <c r="N1251" s="275"/>
      <c r="O1251" s="275"/>
      <c r="P1251" s="275"/>
      <c r="Q1251" s="275"/>
      <c r="R1251" s="275"/>
      <c r="S1251" s="275"/>
      <c r="T1251" s="275"/>
    </row>
    <row r="1252" spans="1:20" ht="15" customHeight="1">
      <c r="A1252" s="275"/>
      <c r="B1252" s="303">
        <v>45769</v>
      </c>
      <c r="C1252" s="304">
        <v>24167.25</v>
      </c>
      <c r="D1252" s="289">
        <f t="shared" si="38"/>
        <v>1.728425565413743E-3</v>
      </c>
      <c r="E1252" s="275"/>
      <c r="F1252" s="290"/>
      <c r="G1252" s="305">
        <v>45769</v>
      </c>
      <c r="H1252" s="306">
        <v>3704.2941894560199</v>
      </c>
      <c r="I1252" s="293">
        <f t="shared" si="39"/>
        <v>-2.1291795398165714E-2</v>
      </c>
      <c r="J1252" s="289"/>
      <c r="K1252" s="275"/>
      <c r="L1252" s="290"/>
      <c r="M1252" s="275"/>
      <c r="N1252" s="275"/>
      <c r="O1252" s="275"/>
      <c r="P1252" s="275"/>
      <c r="Q1252" s="275"/>
      <c r="R1252" s="275"/>
      <c r="S1252" s="275"/>
      <c r="T1252" s="275"/>
    </row>
    <row r="1253" spans="1:20" ht="15" customHeight="1">
      <c r="A1253" s="20"/>
      <c r="B1253" s="294">
        <v>45770</v>
      </c>
      <c r="C1253" s="295">
        <v>24328.94921875</v>
      </c>
      <c r="D1253" s="296">
        <f t="shared" si="38"/>
        <v>6.6908406521221904E-3</v>
      </c>
      <c r="E1253" s="20"/>
      <c r="F1253" s="297"/>
      <c r="G1253" s="298">
        <v>45770</v>
      </c>
      <c r="H1253" s="299">
        <v>3807.5883789120398</v>
      </c>
      <c r="I1253" s="300">
        <f t="shared" si="39"/>
        <v>2.7884985417745343E-2</v>
      </c>
      <c r="J1253" s="296"/>
      <c r="K1253" s="20"/>
      <c r="L1253" s="297"/>
      <c r="M1253" s="275"/>
      <c r="N1253" s="275"/>
      <c r="O1253" s="275"/>
      <c r="P1253" s="275"/>
      <c r="Q1253" s="275"/>
      <c r="R1253" s="275"/>
      <c r="S1253" s="275"/>
      <c r="T1253" s="275"/>
    </row>
    <row r="1254" spans="1:20" ht="15" customHeight="1">
      <c r="A1254" s="275"/>
      <c r="B1254" s="303">
        <v>45771</v>
      </c>
      <c r="C1254" s="304">
        <v>24246.69921875</v>
      </c>
      <c r="D1254" s="289">
        <f t="shared" si="38"/>
        <v>-3.3807460922566689E-3</v>
      </c>
      <c r="E1254" s="275"/>
      <c r="F1254" s="290"/>
      <c r="G1254" s="305">
        <v>45771</v>
      </c>
      <c r="H1254" s="306">
        <v>3821.1162109375</v>
      </c>
      <c r="I1254" s="293">
        <f t="shared" si="39"/>
        <v>3.5528609395865233E-3</v>
      </c>
      <c r="J1254" s="289"/>
      <c r="K1254" s="275"/>
      <c r="L1254" s="290"/>
      <c r="M1254" s="275"/>
      <c r="N1254" s="275"/>
      <c r="O1254" s="275"/>
      <c r="P1254" s="275"/>
      <c r="Q1254" s="275"/>
      <c r="R1254" s="275"/>
      <c r="S1254" s="275"/>
      <c r="T1254" s="275"/>
    </row>
    <row r="1255" spans="1:20" ht="15" customHeight="1">
      <c r="A1255" s="20"/>
      <c r="B1255" s="294">
        <v>45772</v>
      </c>
      <c r="C1255" s="295">
        <v>24039.349609375</v>
      </c>
      <c r="D1255" s="296">
        <f t="shared" si="38"/>
        <v>-8.5516633626838701E-3</v>
      </c>
      <c r="E1255" s="20"/>
      <c r="F1255" s="297"/>
      <c r="G1255" s="298">
        <v>45772</v>
      </c>
      <c r="H1255" s="299">
        <v>3764.1062011689801</v>
      </c>
      <c r="I1255" s="300">
        <f t="shared" si="39"/>
        <v>-1.4919726755583985E-2</v>
      </c>
      <c r="J1255" s="296"/>
      <c r="K1255" s="20"/>
      <c r="L1255" s="297"/>
      <c r="M1255" s="275"/>
      <c r="N1255" s="275"/>
      <c r="O1255" s="275"/>
      <c r="P1255" s="275"/>
      <c r="Q1255" s="275"/>
      <c r="R1255" s="275"/>
      <c r="S1255" s="275"/>
      <c r="T1255" s="275"/>
    </row>
    <row r="1256" spans="1:20" ht="15" customHeight="1">
      <c r="A1256" s="275"/>
      <c r="B1256" s="303">
        <v>45775</v>
      </c>
      <c r="C1256" s="304">
        <v>24328.5</v>
      </c>
      <c r="D1256" s="289">
        <f t="shared" si="38"/>
        <v>1.2028211882747256E-2</v>
      </c>
      <c r="E1256" s="275"/>
      <c r="F1256" s="290"/>
      <c r="G1256" s="305">
        <v>45775</v>
      </c>
      <c r="H1256" s="306">
        <v>3779.7600097685199</v>
      </c>
      <c r="I1256" s="293">
        <f t="shared" si="39"/>
        <v>4.1587053507359598E-3</v>
      </c>
      <c r="J1256" s="289"/>
      <c r="K1256" s="275"/>
      <c r="L1256" s="290"/>
      <c r="M1256" s="275"/>
      <c r="N1256" s="275"/>
      <c r="O1256" s="275"/>
      <c r="P1256" s="275"/>
      <c r="Q1256" s="275"/>
      <c r="R1256" s="275"/>
      <c r="S1256" s="275"/>
      <c r="T1256" s="275"/>
    </row>
    <row r="1257" spans="1:20" ht="15" customHeight="1">
      <c r="A1257" s="20"/>
      <c r="B1257" s="294">
        <v>45776</v>
      </c>
      <c r="C1257" s="295">
        <v>24335.94921875</v>
      </c>
      <c r="D1257" s="296">
        <f t="shared" si="38"/>
        <v>3.0619309657397702E-4</v>
      </c>
      <c r="E1257" s="20"/>
      <c r="F1257" s="297"/>
      <c r="G1257" s="298">
        <v>45776</v>
      </c>
      <c r="H1257" s="299">
        <v>3722.7497558564801</v>
      </c>
      <c r="I1257" s="300">
        <f t="shared" si="39"/>
        <v>-1.5083035368568616E-2</v>
      </c>
      <c r="J1257" s="296"/>
      <c r="K1257" s="20"/>
      <c r="L1257" s="297"/>
      <c r="M1257" s="275"/>
      <c r="N1257" s="275"/>
      <c r="O1257" s="275"/>
      <c r="P1257" s="275"/>
      <c r="Q1257" s="275"/>
      <c r="R1257" s="275"/>
      <c r="S1257" s="275"/>
      <c r="T1257" s="275"/>
    </row>
    <row r="1258" spans="1:20" ht="15" customHeight="1">
      <c r="A1258" s="275"/>
      <c r="B1258" s="303">
        <v>45777</v>
      </c>
      <c r="C1258" s="304">
        <v>24334.19921875</v>
      </c>
      <c r="D1258" s="289">
        <f t="shared" si="38"/>
        <v>-7.1910077731904783E-5</v>
      </c>
      <c r="E1258" s="275"/>
      <c r="F1258" s="290"/>
      <c r="G1258" s="305">
        <v>45777</v>
      </c>
      <c r="H1258" s="306">
        <v>3698.3032226620398</v>
      </c>
      <c r="I1258" s="293">
        <f t="shared" si="39"/>
        <v>-6.5667946538662536E-3</v>
      </c>
      <c r="J1258" s="289"/>
      <c r="K1258" s="275"/>
      <c r="L1258" s="290"/>
      <c r="M1258" s="275"/>
      <c r="N1258" s="275"/>
      <c r="O1258" s="275"/>
      <c r="P1258" s="275"/>
      <c r="Q1258" s="275"/>
      <c r="R1258" s="275"/>
      <c r="S1258" s="275"/>
      <c r="T1258" s="275"/>
    </row>
    <row r="1259" spans="1:20" ht="15" customHeight="1">
      <c r="A1259" s="20"/>
      <c r="B1259" s="294">
        <v>45779</v>
      </c>
      <c r="C1259" s="295">
        <v>24346.69921875</v>
      </c>
      <c r="D1259" s="296">
        <f t="shared" si="38"/>
        <v>5.1368035116473008E-4</v>
      </c>
      <c r="E1259" s="20"/>
      <c r="F1259" s="297"/>
      <c r="G1259" s="298">
        <v>45779</v>
      </c>
      <c r="H1259" s="299">
        <v>3611.3388671875</v>
      </c>
      <c r="I1259" s="300">
        <f t="shared" si="39"/>
        <v>-2.3514663411493573E-2</v>
      </c>
      <c r="J1259" s="296"/>
      <c r="K1259" s="20"/>
      <c r="L1259" s="297"/>
      <c r="M1259" s="275"/>
      <c r="N1259" s="275"/>
      <c r="O1259" s="275"/>
      <c r="P1259" s="275"/>
      <c r="Q1259" s="275"/>
      <c r="R1259" s="275"/>
      <c r="S1259" s="275"/>
      <c r="T1259" s="275"/>
    </row>
    <row r="1260" spans="1:20" ht="15" customHeight="1">
      <c r="A1260" s="275"/>
      <c r="B1260" s="303">
        <v>45782</v>
      </c>
      <c r="C1260" s="304">
        <v>24461.150390625</v>
      </c>
      <c r="D1260" s="289">
        <f t="shared" si="38"/>
        <v>4.700890697612853E-3</v>
      </c>
      <c r="E1260" s="275"/>
      <c r="F1260" s="290"/>
      <c r="G1260" s="305">
        <v>45782</v>
      </c>
      <c r="H1260" s="306">
        <v>3640.5202636689801</v>
      </c>
      <c r="I1260" s="293">
        <f t="shared" si="39"/>
        <v>8.080492458523136E-3</v>
      </c>
      <c r="J1260" s="289"/>
      <c r="K1260" s="275"/>
      <c r="L1260" s="290"/>
      <c r="M1260" s="275"/>
      <c r="N1260" s="275"/>
      <c r="O1260" s="275"/>
      <c r="P1260" s="275"/>
      <c r="Q1260" s="275"/>
      <c r="R1260" s="275"/>
      <c r="S1260" s="275"/>
      <c r="T1260" s="275"/>
    </row>
    <row r="1261" spans="1:20" ht="15" customHeight="1">
      <c r="A1261" s="20"/>
      <c r="B1261" s="294">
        <v>45783</v>
      </c>
      <c r="C1261" s="295">
        <v>24379.599609375</v>
      </c>
      <c r="D1261" s="296">
        <f t="shared" si="38"/>
        <v>-3.3338898599493184E-3</v>
      </c>
      <c r="E1261" s="20"/>
      <c r="F1261" s="297"/>
      <c r="G1261" s="298">
        <v>45783</v>
      </c>
      <c r="H1261" s="299">
        <v>3741.9787597685199</v>
      </c>
      <c r="I1261" s="300">
        <f t="shared" si="39"/>
        <v>2.7869229876855073E-2</v>
      </c>
      <c r="J1261" s="296"/>
      <c r="K1261" s="20"/>
      <c r="L1261" s="297"/>
      <c r="M1261" s="275"/>
      <c r="N1261" s="275"/>
      <c r="O1261" s="275"/>
      <c r="P1261" s="275"/>
      <c r="Q1261" s="275"/>
      <c r="R1261" s="275"/>
      <c r="S1261" s="275"/>
      <c r="T1261" s="275"/>
    </row>
    <row r="1262" spans="1:20" ht="15" customHeight="1">
      <c r="A1262" s="275"/>
      <c r="B1262" s="303">
        <v>45784</v>
      </c>
      <c r="C1262" s="304">
        <v>24414.400390625</v>
      </c>
      <c r="D1262" s="289">
        <f t="shared" si="38"/>
        <v>1.4274549954716078E-3</v>
      </c>
      <c r="E1262" s="275"/>
      <c r="F1262" s="290"/>
      <c r="G1262" s="305">
        <v>45784</v>
      </c>
      <c r="H1262" s="306">
        <v>3737.5339355439801</v>
      </c>
      <c r="I1262" s="293">
        <f t="shared" si="39"/>
        <v>-1.1878272192049539E-3</v>
      </c>
      <c r="J1262" s="289"/>
      <c r="K1262" s="275"/>
      <c r="L1262" s="290"/>
      <c r="M1262" s="275"/>
      <c r="N1262" s="275"/>
      <c r="O1262" s="275"/>
      <c r="P1262" s="275"/>
      <c r="Q1262" s="275"/>
      <c r="R1262" s="275"/>
      <c r="S1262" s="275"/>
      <c r="T1262" s="275"/>
    </row>
    <row r="1263" spans="1:20" ht="15" customHeight="1">
      <c r="A1263" s="20"/>
      <c r="B1263" s="294">
        <v>45785</v>
      </c>
      <c r="C1263" s="295">
        <v>24273.80078125</v>
      </c>
      <c r="D1263" s="296">
        <f t="shared" si="38"/>
        <v>-5.7588802970966885E-3</v>
      </c>
      <c r="E1263" s="20"/>
      <c r="F1263" s="297"/>
      <c r="G1263" s="298">
        <v>45785</v>
      </c>
      <c r="H1263" s="299">
        <v>3672.310546875</v>
      </c>
      <c r="I1263" s="300">
        <f t="shared" si="39"/>
        <v>-1.745091544151749E-2</v>
      </c>
      <c r="J1263" s="296"/>
      <c r="K1263" s="20"/>
      <c r="L1263" s="297"/>
      <c r="M1263" s="275"/>
      <c r="N1263" s="275"/>
      <c r="O1263" s="275"/>
      <c r="P1263" s="275"/>
      <c r="Q1263" s="275"/>
      <c r="R1263" s="275"/>
      <c r="S1263" s="275"/>
      <c r="T1263" s="275"/>
    </row>
    <row r="1264" spans="1:20" ht="15" customHeight="1">
      <c r="A1264" s="275"/>
      <c r="B1264" s="303">
        <v>45786</v>
      </c>
      <c r="C1264" s="304">
        <v>24008</v>
      </c>
      <c r="D1264" s="289">
        <f t="shared" si="38"/>
        <v>-1.0950109694206379E-2</v>
      </c>
      <c r="E1264" s="275"/>
      <c r="F1264" s="290"/>
      <c r="G1264" s="305">
        <v>45786</v>
      </c>
      <c r="H1264" s="306">
        <v>3723.9094238310199</v>
      </c>
      <c r="I1264" s="293">
        <f t="shared" si="39"/>
        <v>1.4050793443906494E-2</v>
      </c>
      <c r="J1264" s="289"/>
      <c r="K1264" s="275"/>
      <c r="L1264" s="290"/>
      <c r="M1264" s="275"/>
      <c r="N1264" s="275"/>
      <c r="O1264" s="275"/>
      <c r="P1264" s="275"/>
      <c r="Q1264" s="275"/>
      <c r="R1264" s="275"/>
      <c r="S1264" s="275"/>
      <c r="T1264" s="275"/>
    </row>
    <row r="1265" spans="1:20" ht="15" customHeight="1">
      <c r="A1265" s="20"/>
      <c r="B1265" s="294">
        <v>45789</v>
      </c>
      <c r="C1265" s="295">
        <v>24924.69921875</v>
      </c>
      <c r="D1265" s="296">
        <f t="shared" si="38"/>
        <v>3.8183073090219927E-2</v>
      </c>
      <c r="E1265" s="20"/>
      <c r="F1265" s="297"/>
      <c r="G1265" s="298">
        <v>45789</v>
      </c>
      <c r="H1265" s="299">
        <v>3850.4907226620398</v>
      </c>
      <c r="I1265" s="300">
        <f t="shared" si="39"/>
        <v>3.3991508499365643E-2</v>
      </c>
      <c r="J1265" s="296"/>
      <c r="K1265" s="20"/>
      <c r="L1265" s="297"/>
      <c r="M1265" s="275"/>
      <c r="N1265" s="275"/>
      <c r="O1265" s="275"/>
      <c r="P1265" s="275"/>
      <c r="Q1265" s="275"/>
      <c r="R1265" s="275"/>
      <c r="S1265" s="275"/>
      <c r="T1265" s="275"/>
    </row>
    <row r="1266" spans="1:20" ht="15" customHeight="1">
      <c r="A1266" s="275"/>
      <c r="B1266" s="303">
        <v>45790</v>
      </c>
      <c r="C1266" s="304">
        <v>24578.349609375</v>
      </c>
      <c r="D1266" s="289">
        <f t="shared" si="38"/>
        <v>-1.389583907654352E-2</v>
      </c>
      <c r="E1266" s="275"/>
      <c r="F1266" s="290"/>
      <c r="G1266" s="305">
        <v>45790</v>
      </c>
      <c r="H1266" s="306">
        <v>3926.5363769560199</v>
      </c>
      <c r="I1266" s="293">
        <f t="shared" si="39"/>
        <v>1.9749600705804546E-2</v>
      </c>
      <c r="J1266" s="289"/>
      <c r="K1266" s="275"/>
      <c r="L1266" s="290"/>
      <c r="M1266" s="275"/>
      <c r="N1266" s="275"/>
      <c r="O1266" s="275"/>
      <c r="P1266" s="275"/>
      <c r="Q1266" s="275"/>
      <c r="R1266" s="275"/>
      <c r="S1266" s="275"/>
      <c r="T1266" s="275"/>
    </row>
    <row r="1267" spans="1:20" ht="15" customHeight="1">
      <c r="A1267" s="20"/>
      <c r="B1267" s="294">
        <v>45791</v>
      </c>
      <c r="C1267" s="295">
        <v>24666.900390625</v>
      </c>
      <c r="D1267" s="296">
        <f t="shared" si="38"/>
        <v>3.6027960647212775E-3</v>
      </c>
      <c r="E1267" s="20"/>
      <c r="F1267" s="297"/>
      <c r="G1267" s="298">
        <v>45791</v>
      </c>
      <c r="H1267" s="299">
        <v>3930.0146484375</v>
      </c>
      <c r="I1267" s="300">
        <f t="shared" si="39"/>
        <v>8.8583707052691276E-4</v>
      </c>
      <c r="J1267" s="296"/>
      <c r="K1267" s="20"/>
      <c r="L1267" s="297"/>
      <c r="M1267" s="275"/>
      <c r="N1267" s="275"/>
      <c r="O1267" s="275"/>
      <c r="P1267" s="275"/>
      <c r="Q1267" s="275"/>
      <c r="R1267" s="275"/>
      <c r="S1267" s="275"/>
      <c r="T1267" s="275"/>
    </row>
    <row r="1268" spans="1:20" ht="15" customHeight="1">
      <c r="A1268" s="275"/>
      <c r="B1268" s="303">
        <v>45792</v>
      </c>
      <c r="C1268" s="304">
        <v>25062.099609375</v>
      </c>
      <c r="D1268" s="289">
        <f t="shared" si="38"/>
        <v>1.6021438141461865E-2</v>
      </c>
      <c r="E1268" s="275"/>
      <c r="F1268" s="290"/>
      <c r="G1268" s="305">
        <v>45792</v>
      </c>
      <c r="H1268" s="306">
        <v>4179.119140625</v>
      </c>
      <c r="I1268" s="293">
        <f t="shared" si="39"/>
        <v>6.3385130711036727E-2</v>
      </c>
      <c r="J1268" s="289"/>
      <c r="K1268" s="275"/>
      <c r="L1268" s="290"/>
      <c r="M1268" s="275"/>
      <c r="N1268" s="275"/>
      <c r="O1268" s="275"/>
      <c r="P1268" s="275"/>
      <c r="Q1268" s="275"/>
      <c r="R1268" s="275"/>
      <c r="S1268" s="275"/>
      <c r="T1268" s="275"/>
    </row>
    <row r="1269" spans="1:20" ht="15" customHeight="1">
      <c r="A1269" s="20"/>
      <c r="B1269" s="294">
        <v>45793</v>
      </c>
      <c r="C1269" s="295">
        <v>25019.80078125</v>
      </c>
      <c r="D1269" s="296">
        <f t="shared" si="38"/>
        <v>-1.6877607536591724E-3</v>
      </c>
      <c r="E1269" s="20"/>
      <c r="F1269" s="297"/>
      <c r="G1269" s="298">
        <v>45793</v>
      </c>
      <c r="H1269" s="299">
        <v>4198.7348632870398</v>
      </c>
      <c r="I1269" s="300">
        <f t="shared" si="39"/>
        <v>4.6937457397077829E-3</v>
      </c>
      <c r="J1269" s="296"/>
      <c r="K1269" s="20"/>
      <c r="L1269" s="297"/>
      <c r="M1269" s="275"/>
      <c r="N1269" s="275"/>
      <c r="O1269" s="275"/>
      <c r="P1269" s="275"/>
      <c r="Q1269" s="275"/>
      <c r="R1269" s="275"/>
      <c r="S1269" s="275"/>
      <c r="T1269" s="275"/>
    </row>
    <row r="1270" spans="1:20" ht="15" customHeight="1">
      <c r="A1270" s="275"/>
      <c r="B1270" s="303">
        <v>45796</v>
      </c>
      <c r="C1270" s="304">
        <v>24945.44921875</v>
      </c>
      <c r="D1270" s="289">
        <f t="shared" si="38"/>
        <v>-2.9717088137536066E-3</v>
      </c>
      <c r="E1270" s="275"/>
      <c r="F1270" s="290"/>
      <c r="G1270" s="305">
        <v>45796</v>
      </c>
      <c r="H1270" s="306">
        <v>4239.7045898379602</v>
      </c>
      <c r="I1270" s="293">
        <f t="shared" si="39"/>
        <v>9.7576360224962081E-3</v>
      </c>
      <c r="J1270" s="289"/>
      <c r="K1270" s="275"/>
      <c r="L1270" s="290"/>
      <c r="M1270" s="275"/>
      <c r="N1270" s="275"/>
      <c r="O1270" s="275"/>
      <c r="P1270" s="275"/>
      <c r="Q1270" s="275"/>
      <c r="R1270" s="275"/>
      <c r="S1270" s="275"/>
      <c r="T1270" s="275"/>
    </row>
    <row r="1271" spans="1:20" ht="15" customHeight="1">
      <c r="A1271" s="20"/>
      <c r="B1271" s="294">
        <v>45797</v>
      </c>
      <c r="C1271" s="295">
        <v>24683.900390625</v>
      </c>
      <c r="D1271" s="296">
        <f t="shared" si="38"/>
        <v>-1.0484831354666864E-2</v>
      </c>
      <c r="E1271" s="20"/>
      <c r="F1271" s="297"/>
      <c r="G1271" s="298">
        <v>45797</v>
      </c>
      <c r="H1271" s="299">
        <v>4098.5327148379602</v>
      </c>
      <c r="I1271" s="300">
        <f t="shared" si="39"/>
        <v>-3.3297573453200315E-2</v>
      </c>
      <c r="J1271" s="296"/>
      <c r="K1271" s="20"/>
      <c r="L1271" s="297"/>
      <c r="M1271" s="275"/>
      <c r="N1271" s="275"/>
      <c r="O1271" s="275"/>
      <c r="P1271" s="275"/>
      <c r="Q1271" s="275"/>
      <c r="R1271" s="275"/>
      <c r="S1271" s="275"/>
      <c r="T1271" s="275"/>
    </row>
    <row r="1272" spans="1:20" ht="15" customHeight="1">
      <c r="A1272" s="275"/>
      <c r="B1272" s="303">
        <v>45798</v>
      </c>
      <c r="C1272" s="304">
        <v>24813.44921875</v>
      </c>
      <c r="D1272" s="289">
        <f t="shared" si="38"/>
        <v>5.2483127088862724E-3</v>
      </c>
      <c r="E1272" s="275"/>
      <c r="F1272" s="290"/>
      <c r="G1272" s="305">
        <v>45798</v>
      </c>
      <c r="H1272" s="306">
        <v>4119.9833984375</v>
      </c>
      <c r="I1272" s="293">
        <f t="shared" si="39"/>
        <v>5.2337470729175136E-3</v>
      </c>
      <c r="J1272" s="289"/>
      <c r="K1272" s="275"/>
      <c r="L1272" s="290"/>
      <c r="M1272" s="275"/>
      <c r="N1272" s="275"/>
      <c r="O1272" s="275"/>
      <c r="P1272" s="275"/>
      <c r="Q1272" s="275"/>
      <c r="R1272" s="275"/>
      <c r="S1272" s="275"/>
      <c r="T1272" s="275"/>
    </row>
    <row r="1273" spans="1:20" ht="15" customHeight="1">
      <c r="A1273" s="20"/>
      <c r="B1273" s="294">
        <v>45799</v>
      </c>
      <c r="C1273" s="295">
        <v>24609.69921875</v>
      </c>
      <c r="D1273" s="296">
        <f t="shared" si="38"/>
        <v>-8.2112727740421762E-3</v>
      </c>
      <c r="E1273" s="20"/>
      <c r="F1273" s="297"/>
      <c r="G1273" s="298">
        <v>45799</v>
      </c>
      <c r="H1273" s="299">
        <v>4132.0615234375</v>
      </c>
      <c r="I1273" s="300">
        <f t="shared" si="39"/>
        <v>2.9315955507443594E-3</v>
      </c>
      <c r="J1273" s="296"/>
      <c r="K1273" s="20"/>
      <c r="L1273" s="297"/>
      <c r="M1273" s="275"/>
      <c r="N1273" s="275"/>
      <c r="O1273" s="275"/>
      <c r="P1273" s="275"/>
      <c r="Q1273" s="275"/>
      <c r="R1273" s="275"/>
      <c r="S1273" s="275"/>
      <c r="T1273" s="275"/>
    </row>
    <row r="1274" spans="1:20" ht="15" customHeight="1">
      <c r="A1274" s="275"/>
      <c r="B1274" s="303">
        <v>45800</v>
      </c>
      <c r="C1274" s="304">
        <v>24853.150390625</v>
      </c>
      <c r="D1274" s="289">
        <f t="shared" si="38"/>
        <v>9.8924887180057795E-3</v>
      </c>
      <c r="E1274" s="275"/>
      <c r="F1274" s="290"/>
      <c r="G1274" s="305">
        <v>45800</v>
      </c>
      <c r="H1274" s="306">
        <v>4163.4658203125</v>
      </c>
      <c r="I1274" s="293">
        <f t="shared" si="39"/>
        <v>7.6001522961048453E-3</v>
      </c>
      <c r="J1274" s="289"/>
      <c r="K1274" s="275"/>
      <c r="L1274" s="290"/>
      <c r="M1274" s="275"/>
      <c r="N1274" s="275"/>
      <c r="O1274" s="275"/>
      <c r="P1274" s="275"/>
      <c r="Q1274" s="275"/>
      <c r="R1274" s="275"/>
      <c r="S1274" s="275"/>
      <c r="T1274" s="275"/>
    </row>
    <row r="1275" spans="1:20" ht="15" customHeight="1">
      <c r="A1275" s="20"/>
      <c r="B1275" s="294">
        <v>45803</v>
      </c>
      <c r="C1275" s="295">
        <v>25001.150390625</v>
      </c>
      <c r="D1275" s="296">
        <f t="shared" si="38"/>
        <v>5.9549794562796321E-3</v>
      </c>
      <c r="E1275" s="20"/>
      <c r="F1275" s="297"/>
      <c r="G1275" s="298">
        <v>45803</v>
      </c>
      <c r="H1275" s="299">
        <v>4212.359375</v>
      </c>
      <c r="I1275" s="300">
        <f t="shared" si="39"/>
        <v>1.1743474498808342E-2</v>
      </c>
      <c r="J1275" s="296"/>
      <c r="K1275" s="20"/>
      <c r="L1275" s="297"/>
      <c r="M1275" s="275"/>
      <c r="N1275" s="275"/>
      <c r="O1275" s="275"/>
      <c r="P1275" s="275"/>
      <c r="Q1275" s="275"/>
      <c r="R1275" s="275"/>
      <c r="S1275" s="275"/>
      <c r="T1275" s="275"/>
    </row>
    <row r="1276" spans="1:20" ht="15" customHeight="1">
      <c r="A1276" s="275"/>
      <c r="B1276" s="303">
        <v>45804</v>
      </c>
      <c r="C1276" s="304">
        <v>24826.19921875</v>
      </c>
      <c r="D1276" s="289">
        <f t="shared" si="38"/>
        <v>-6.9977248703165145E-3</v>
      </c>
      <c r="E1276" s="275"/>
      <c r="F1276" s="290"/>
      <c r="G1276" s="305">
        <v>45804</v>
      </c>
      <c r="H1276" s="306">
        <v>4191.8745117129602</v>
      </c>
      <c r="I1276" s="293">
        <f t="shared" si="39"/>
        <v>-4.8630378995239082E-3</v>
      </c>
      <c r="J1276" s="289"/>
      <c r="K1276" s="275"/>
      <c r="L1276" s="290"/>
      <c r="M1276" s="275"/>
      <c r="N1276" s="275"/>
      <c r="O1276" s="275"/>
      <c r="P1276" s="275"/>
      <c r="Q1276" s="275"/>
      <c r="R1276" s="275"/>
      <c r="S1276" s="275"/>
      <c r="T1276" s="275"/>
    </row>
    <row r="1277" spans="1:20" ht="15" customHeight="1">
      <c r="A1277" s="20"/>
      <c r="B1277" s="294">
        <v>45805</v>
      </c>
      <c r="C1277" s="295">
        <v>24752.44921875</v>
      </c>
      <c r="D1277" s="296">
        <f t="shared" si="38"/>
        <v>-2.9706520659956788E-3</v>
      </c>
      <c r="E1277" s="20"/>
      <c r="F1277" s="297"/>
      <c r="G1277" s="298">
        <v>45805</v>
      </c>
      <c r="H1277" s="299">
        <v>4215.0649414120398</v>
      </c>
      <c r="I1277" s="300">
        <f t="shared" si="39"/>
        <v>5.5322337618363459E-3</v>
      </c>
      <c r="J1277" s="296"/>
      <c r="K1277" s="20"/>
      <c r="L1277" s="297"/>
      <c r="M1277" s="275"/>
      <c r="N1277" s="275"/>
      <c r="O1277" s="275"/>
      <c r="P1277" s="275"/>
      <c r="Q1277" s="275"/>
      <c r="R1277" s="275"/>
      <c r="S1277" s="275"/>
      <c r="T1277" s="275"/>
    </row>
    <row r="1278" spans="1:20" ht="15" customHeight="1">
      <c r="A1278" s="275"/>
      <c r="B1278" s="303">
        <v>45806</v>
      </c>
      <c r="C1278" s="304">
        <v>24833.599609375</v>
      </c>
      <c r="D1278" s="289">
        <f t="shared" si="38"/>
        <v>3.2784792287758142E-3</v>
      </c>
      <c r="E1278" s="275"/>
      <c r="F1278" s="290"/>
      <c r="G1278" s="305">
        <v>45806</v>
      </c>
      <c r="H1278" s="306">
        <v>4209.6538085879602</v>
      </c>
      <c r="I1278" s="293">
        <f t="shared" si="39"/>
        <v>-1.2837602502672155E-3</v>
      </c>
      <c r="J1278" s="289"/>
      <c r="K1278" s="275"/>
      <c r="L1278" s="290"/>
      <c r="M1278" s="275"/>
      <c r="N1278" s="275"/>
      <c r="O1278" s="275"/>
      <c r="P1278" s="275"/>
      <c r="Q1278" s="275"/>
      <c r="R1278" s="275"/>
      <c r="S1278" s="275"/>
      <c r="T1278" s="275"/>
    </row>
    <row r="1279" spans="1:20" ht="15" customHeight="1">
      <c r="A1279" s="20"/>
      <c r="B1279" s="294">
        <v>45807</v>
      </c>
      <c r="C1279" s="295">
        <v>24750.69921875</v>
      </c>
      <c r="D1279" s="296">
        <f t="shared" si="38"/>
        <v>-3.3382349691143463E-3</v>
      </c>
      <c r="E1279" s="20"/>
      <c r="F1279" s="297"/>
      <c r="G1279" s="298">
        <v>45807</v>
      </c>
      <c r="H1279" s="299">
        <v>4163.9487304629602</v>
      </c>
      <c r="I1279" s="300">
        <f t="shared" si="39"/>
        <v>-1.0857205889890221E-2</v>
      </c>
      <c r="J1279" s="296"/>
      <c r="K1279" s="20"/>
      <c r="L1279" s="297"/>
      <c r="M1279" s="275"/>
      <c r="N1279" s="275"/>
      <c r="O1279" s="275"/>
      <c r="P1279" s="275"/>
      <c r="Q1279" s="275"/>
      <c r="R1279" s="275"/>
      <c r="S1279" s="275"/>
      <c r="T1279" s="275"/>
    </row>
    <row r="1280" spans="1:20" ht="15" customHeight="1">
      <c r="A1280" s="275"/>
      <c r="B1280" s="303">
        <v>45810</v>
      </c>
      <c r="C1280" s="304">
        <v>24716.599609375</v>
      </c>
      <c r="D1280" s="289">
        <f t="shared" si="38"/>
        <v>-1.3777230725331466E-3</v>
      </c>
      <c r="E1280" s="275"/>
      <c r="F1280" s="290"/>
      <c r="G1280" s="305">
        <v>45810</v>
      </c>
      <c r="H1280" s="306">
        <v>4089.5458984375</v>
      </c>
      <c r="I1280" s="293">
        <f t="shared" si="39"/>
        <v>-1.7868335284999495E-2</v>
      </c>
      <c r="J1280" s="289"/>
      <c r="K1280" s="275"/>
      <c r="L1280" s="290"/>
      <c r="M1280" s="275"/>
      <c r="N1280" s="275"/>
      <c r="O1280" s="275"/>
      <c r="P1280" s="275"/>
      <c r="Q1280" s="275"/>
      <c r="R1280" s="275"/>
      <c r="S1280" s="275"/>
      <c r="T1280" s="275"/>
    </row>
    <row r="1281" spans="1:20" ht="15" customHeight="1">
      <c r="A1281" s="20"/>
      <c r="B1281" s="294">
        <v>45811</v>
      </c>
      <c r="C1281" s="295">
        <v>24542.5</v>
      </c>
      <c r="D1281" s="296">
        <f t="shared" si="38"/>
        <v>-7.0438333802585072E-3</v>
      </c>
      <c r="E1281" s="20"/>
      <c r="F1281" s="297"/>
      <c r="G1281" s="298">
        <v>45811</v>
      </c>
      <c r="H1281" s="299">
        <v>4066.6455078125</v>
      </c>
      <c r="I1281" s="300">
        <f t="shared" si="39"/>
        <v>-5.5997392360236358E-3</v>
      </c>
      <c r="J1281" s="296"/>
      <c r="K1281" s="20"/>
      <c r="L1281" s="297"/>
      <c r="M1281" s="275"/>
      <c r="N1281" s="275"/>
      <c r="O1281" s="275"/>
      <c r="P1281" s="275"/>
      <c r="Q1281" s="275"/>
      <c r="R1281" s="275"/>
      <c r="S1281" s="275"/>
      <c r="T1281" s="275"/>
    </row>
    <row r="1282" spans="1:20" ht="15" customHeight="1">
      <c r="A1282" s="275"/>
      <c r="B1282" s="303">
        <v>45812</v>
      </c>
      <c r="C1282" s="304">
        <v>24620.19921875</v>
      </c>
      <c r="D1282" s="289">
        <f t="shared" si="38"/>
        <v>3.1659048079861465E-3</v>
      </c>
      <c r="E1282" s="275"/>
      <c r="F1282" s="290"/>
      <c r="G1282" s="305">
        <v>45812</v>
      </c>
      <c r="H1282" s="306">
        <v>4058.9152832060199</v>
      </c>
      <c r="I1282" s="293">
        <f t="shared" si="39"/>
        <v>-1.900884793530544E-3</v>
      </c>
      <c r="J1282" s="289"/>
      <c r="K1282" s="275"/>
      <c r="L1282" s="290"/>
      <c r="M1282" s="275"/>
      <c r="N1282" s="275"/>
      <c r="O1282" s="275"/>
      <c r="P1282" s="275"/>
      <c r="Q1282" s="275"/>
      <c r="R1282" s="275"/>
      <c r="S1282" s="275"/>
      <c r="T1282" s="275"/>
    </row>
    <row r="1283" spans="1:20" ht="15" customHeight="1">
      <c r="A1283" s="20"/>
      <c r="B1283" s="294">
        <v>45813</v>
      </c>
      <c r="C1283" s="295">
        <v>24750.900390625</v>
      </c>
      <c r="D1283" s="296">
        <f t="shared" si="38"/>
        <v>5.3086967621066988E-3</v>
      </c>
      <c r="E1283" s="20"/>
      <c r="F1283" s="297"/>
      <c r="G1283" s="298">
        <v>45813</v>
      </c>
      <c r="H1283" s="299">
        <v>4037.947265625</v>
      </c>
      <c r="I1283" s="300">
        <f t="shared" si="39"/>
        <v>-5.1659165363160502E-3</v>
      </c>
      <c r="J1283" s="296"/>
      <c r="K1283" s="20"/>
      <c r="L1283" s="297"/>
      <c r="M1283" s="275"/>
      <c r="N1283" s="275"/>
      <c r="O1283" s="275"/>
      <c r="P1283" s="275"/>
      <c r="Q1283" s="275"/>
      <c r="R1283" s="275"/>
      <c r="S1283" s="275"/>
      <c r="T1283" s="275"/>
    </row>
    <row r="1284" spans="1:20" ht="15" customHeight="1">
      <c r="A1284" s="275"/>
      <c r="B1284" s="303">
        <v>45814</v>
      </c>
      <c r="C1284" s="304">
        <v>25003.05078125</v>
      </c>
      <c r="D1284" s="289">
        <f t="shared" si="38"/>
        <v>1.0187523954502602E-2</v>
      </c>
      <c r="E1284" s="275"/>
      <c r="F1284" s="290"/>
      <c r="G1284" s="305">
        <v>45814</v>
      </c>
      <c r="H1284" s="306">
        <v>4124.0419921875</v>
      </c>
      <c r="I1284" s="293">
        <f t="shared" si="39"/>
        <v>2.1321409344649805E-2</v>
      </c>
      <c r="J1284" s="289"/>
      <c r="K1284" s="275"/>
      <c r="L1284" s="290"/>
      <c r="M1284" s="275"/>
      <c r="N1284" s="275"/>
      <c r="O1284" s="275"/>
      <c r="P1284" s="275"/>
      <c r="Q1284" s="275"/>
      <c r="R1284" s="275"/>
      <c r="S1284" s="275"/>
      <c r="T1284" s="275"/>
    </row>
    <row r="1285" spans="1:20" ht="15" customHeight="1">
      <c r="A1285" s="20"/>
      <c r="B1285" s="294">
        <v>45817</v>
      </c>
      <c r="C1285" s="295">
        <v>25103.19921875</v>
      </c>
      <c r="D1285" s="296">
        <f t="shared" ref="D1285:D1348" si="40">(C1285-C1284)/C1284</f>
        <v>4.0054487100870968E-3</v>
      </c>
      <c r="E1285" s="20"/>
      <c r="F1285" s="297"/>
      <c r="G1285" s="298">
        <v>45817</v>
      </c>
      <c r="H1285" s="299">
        <v>4202.6962890625</v>
      </c>
      <c r="I1285" s="300">
        <f t="shared" ref="I1285:I1348" si="41">(H1285-H1284)/H1284</f>
        <v>1.9072137728956464E-2</v>
      </c>
      <c r="J1285" s="296"/>
      <c r="K1285" s="20"/>
      <c r="L1285" s="297"/>
      <c r="M1285" s="275"/>
      <c r="N1285" s="275"/>
      <c r="O1285" s="275"/>
      <c r="P1285" s="275"/>
      <c r="Q1285" s="275"/>
      <c r="R1285" s="275"/>
      <c r="S1285" s="275"/>
      <c r="T1285" s="275"/>
    </row>
    <row r="1286" spans="1:20" ht="15" customHeight="1">
      <c r="A1286" s="275"/>
      <c r="B1286" s="303">
        <v>45818</v>
      </c>
      <c r="C1286" s="304">
        <v>25104.25</v>
      </c>
      <c r="D1286" s="289">
        <f t="shared" si="40"/>
        <v>4.185845958690213E-5</v>
      </c>
      <c r="E1286" s="275"/>
      <c r="F1286" s="290"/>
      <c r="G1286" s="305">
        <v>45818</v>
      </c>
      <c r="H1286" s="306">
        <v>4231.2978515625</v>
      </c>
      <c r="I1286" s="293">
        <f t="shared" si="41"/>
        <v>6.8055268648451826E-3</v>
      </c>
      <c r="J1286" s="289"/>
      <c r="K1286" s="275"/>
      <c r="L1286" s="290"/>
      <c r="M1286" s="275"/>
      <c r="N1286" s="275"/>
      <c r="O1286" s="275"/>
      <c r="P1286" s="275"/>
      <c r="Q1286" s="275"/>
      <c r="R1286" s="275"/>
      <c r="S1286" s="275"/>
      <c r="T1286" s="275"/>
    </row>
    <row r="1287" spans="1:20" ht="15" customHeight="1">
      <c r="A1287" s="20"/>
      <c r="B1287" s="294">
        <v>45819</v>
      </c>
      <c r="C1287" s="295">
        <v>25141.400390625</v>
      </c>
      <c r="D1287" s="296">
        <f t="shared" si="40"/>
        <v>1.4798446727147794E-3</v>
      </c>
      <c r="E1287" s="20"/>
      <c r="F1287" s="297"/>
      <c r="G1287" s="298">
        <v>45819</v>
      </c>
      <c r="H1287" s="299">
        <v>4261.5424804629602</v>
      </c>
      <c r="I1287" s="300">
        <f t="shared" si="41"/>
        <v>7.1478373684546129E-3</v>
      </c>
      <c r="J1287" s="296"/>
      <c r="K1287" s="20"/>
      <c r="L1287" s="297"/>
      <c r="M1287" s="275"/>
      <c r="N1287" s="275"/>
      <c r="O1287" s="275"/>
      <c r="P1287" s="275"/>
      <c r="Q1287" s="275"/>
      <c r="R1287" s="275"/>
      <c r="S1287" s="275"/>
      <c r="T1287" s="275"/>
    </row>
    <row r="1288" spans="1:20" ht="15" customHeight="1">
      <c r="A1288" s="275"/>
      <c r="B1288" s="303">
        <v>45820</v>
      </c>
      <c r="C1288" s="304">
        <v>24888.19921875</v>
      </c>
      <c r="D1288" s="289">
        <f t="shared" si="40"/>
        <v>-1.0071084662786582E-2</v>
      </c>
      <c r="E1288" s="275"/>
      <c r="F1288" s="290"/>
      <c r="G1288" s="305">
        <v>45820</v>
      </c>
      <c r="H1288" s="306">
        <v>4215.6440429629602</v>
      </c>
      <c r="I1288" s="293">
        <f t="shared" si="41"/>
        <v>-1.07703813139072E-2</v>
      </c>
      <c r="J1288" s="289"/>
      <c r="K1288" s="275"/>
      <c r="L1288" s="290"/>
      <c r="M1288" s="275"/>
      <c r="N1288" s="275"/>
      <c r="O1288" s="275"/>
      <c r="P1288" s="275"/>
      <c r="Q1288" s="275"/>
      <c r="R1288" s="275"/>
      <c r="S1288" s="275"/>
      <c r="T1288" s="275"/>
    </row>
    <row r="1289" spans="1:20" ht="15" customHeight="1">
      <c r="A1289" s="20"/>
      <c r="B1289" s="294">
        <v>45821</v>
      </c>
      <c r="C1289" s="295">
        <v>24718.599609375</v>
      </c>
      <c r="D1289" s="296">
        <f t="shared" si="40"/>
        <v>-6.814458847919736E-3</v>
      </c>
      <c r="E1289" s="20"/>
      <c r="F1289" s="297"/>
      <c r="G1289" s="298">
        <v>45821</v>
      </c>
      <c r="H1289" s="299">
        <v>4187.6225585879602</v>
      </c>
      <c r="I1289" s="300">
        <f t="shared" si="41"/>
        <v>-6.6470233467114869E-3</v>
      </c>
      <c r="J1289" s="296"/>
      <c r="K1289" s="20"/>
      <c r="L1289" s="297"/>
      <c r="M1289" s="275"/>
      <c r="N1289" s="275"/>
      <c r="O1289" s="275"/>
      <c r="P1289" s="275"/>
      <c r="Q1289" s="275"/>
      <c r="R1289" s="275"/>
      <c r="S1289" s="275"/>
      <c r="T1289" s="275"/>
    </row>
    <row r="1290" spans="1:20" ht="15" customHeight="1">
      <c r="A1290" s="275"/>
      <c r="B1290" s="303">
        <v>45824</v>
      </c>
      <c r="C1290" s="304">
        <v>24946.5</v>
      </c>
      <c r="D1290" s="289">
        <f t="shared" si="40"/>
        <v>9.2197937677086055E-3</v>
      </c>
      <c r="E1290" s="275"/>
      <c r="F1290" s="290"/>
      <c r="G1290" s="305">
        <v>45824</v>
      </c>
      <c r="H1290" s="306">
        <v>4217.287109375</v>
      </c>
      <c r="I1290" s="293">
        <f t="shared" si="41"/>
        <v>7.0838645011604253E-3</v>
      </c>
      <c r="J1290" s="289"/>
      <c r="K1290" s="275"/>
      <c r="L1290" s="290"/>
      <c r="M1290" s="275"/>
      <c r="N1290" s="275"/>
      <c r="O1290" s="275"/>
      <c r="P1290" s="275"/>
      <c r="Q1290" s="275"/>
      <c r="R1290" s="275"/>
      <c r="S1290" s="275"/>
      <c r="T1290" s="275"/>
    </row>
    <row r="1291" spans="1:20" ht="15" customHeight="1">
      <c r="A1291" s="20"/>
      <c r="B1291" s="294">
        <v>45825</v>
      </c>
      <c r="C1291" s="295">
        <v>24853.400390625</v>
      </c>
      <c r="D1291" s="296">
        <f t="shared" si="40"/>
        <v>-3.7319707924959415E-3</v>
      </c>
      <c r="E1291" s="20"/>
      <c r="F1291" s="297"/>
      <c r="G1291" s="298">
        <v>45825</v>
      </c>
      <c r="H1291" s="299">
        <v>4223.5678710879602</v>
      </c>
      <c r="I1291" s="300">
        <f t="shared" si="41"/>
        <v>1.4892895717244546E-3</v>
      </c>
      <c r="J1291" s="296"/>
      <c r="K1291" s="20"/>
      <c r="L1291" s="297"/>
      <c r="M1291" s="275"/>
      <c r="N1291" s="275"/>
      <c r="O1291" s="275"/>
      <c r="P1291" s="275"/>
      <c r="Q1291" s="275"/>
      <c r="R1291" s="275"/>
      <c r="S1291" s="275"/>
      <c r="T1291" s="275"/>
    </row>
    <row r="1292" spans="1:20" ht="15" customHeight="1">
      <c r="A1292" s="275"/>
      <c r="B1292" s="303">
        <v>45826</v>
      </c>
      <c r="C1292" s="304">
        <v>24812.05078125</v>
      </c>
      <c r="D1292" s="289">
        <f t="shared" si="40"/>
        <v>-1.6637405234334682E-3</v>
      </c>
      <c r="E1292" s="275"/>
      <c r="F1292" s="290"/>
      <c r="G1292" s="305">
        <v>45826</v>
      </c>
      <c r="H1292" s="306">
        <v>4210.9096679629602</v>
      </c>
      <c r="I1292" s="293">
        <f t="shared" si="41"/>
        <v>-2.9970403013174119E-3</v>
      </c>
      <c r="J1292" s="289"/>
      <c r="K1292" s="275"/>
      <c r="L1292" s="290"/>
      <c r="M1292" s="275"/>
      <c r="N1292" s="275"/>
      <c r="O1292" s="275"/>
      <c r="P1292" s="275"/>
      <c r="Q1292" s="275"/>
      <c r="R1292" s="275"/>
      <c r="S1292" s="275"/>
      <c r="T1292" s="275"/>
    </row>
    <row r="1293" spans="1:20" ht="15" customHeight="1">
      <c r="A1293" s="20"/>
      <c r="B1293" s="294">
        <v>45827</v>
      </c>
      <c r="C1293" s="295">
        <v>24793.25</v>
      </c>
      <c r="D1293" s="296">
        <f t="shared" si="40"/>
        <v>-7.5772782410260889E-4</v>
      </c>
      <c r="E1293" s="20"/>
      <c r="F1293" s="297"/>
      <c r="G1293" s="298">
        <v>45827</v>
      </c>
      <c r="H1293" s="299">
        <v>4236.4194335879602</v>
      </c>
      <c r="I1293" s="300">
        <f t="shared" si="41"/>
        <v>6.0580177767955833E-3</v>
      </c>
      <c r="J1293" s="296"/>
      <c r="K1293" s="20"/>
      <c r="L1293" s="297"/>
      <c r="M1293" s="275"/>
      <c r="N1293" s="275"/>
      <c r="O1293" s="275"/>
      <c r="P1293" s="275"/>
      <c r="Q1293" s="275"/>
      <c r="R1293" s="275"/>
      <c r="S1293" s="275"/>
      <c r="T1293" s="275"/>
    </row>
    <row r="1294" spans="1:20" ht="15" customHeight="1">
      <c r="A1294" s="275"/>
      <c r="B1294" s="303">
        <v>45828</v>
      </c>
      <c r="C1294" s="304">
        <v>25112.400390625</v>
      </c>
      <c r="D1294" s="289">
        <f t="shared" si="40"/>
        <v>1.2872470959837859E-2</v>
      </c>
      <c r="E1294" s="275"/>
      <c r="F1294" s="290"/>
      <c r="G1294" s="305">
        <v>45828</v>
      </c>
      <c r="H1294" s="306">
        <v>4192.1640625</v>
      </c>
      <c r="I1294" s="293">
        <f t="shared" si="41"/>
        <v>-1.0446409233487738E-2</v>
      </c>
      <c r="J1294" s="289"/>
      <c r="K1294" s="275"/>
      <c r="L1294" s="290"/>
      <c r="M1294" s="275"/>
      <c r="N1294" s="275"/>
      <c r="O1294" s="275"/>
      <c r="P1294" s="275"/>
      <c r="Q1294" s="275"/>
      <c r="R1294" s="275"/>
      <c r="S1294" s="275"/>
      <c r="T1294" s="275"/>
    </row>
    <row r="1295" spans="1:20" ht="15" customHeight="1">
      <c r="A1295" s="20"/>
      <c r="B1295" s="294">
        <v>45831</v>
      </c>
      <c r="C1295" s="295">
        <v>24971.900390625</v>
      </c>
      <c r="D1295" s="296">
        <f t="shared" si="40"/>
        <v>-5.5948454872697742E-3</v>
      </c>
      <c r="E1295" s="20"/>
      <c r="F1295" s="297"/>
      <c r="G1295" s="298">
        <v>45831</v>
      </c>
      <c r="H1295" s="299">
        <v>4109.6450195370398</v>
      </c>
      <c r="I1295" s="300">
        <f t="shared" si="41"/>
        <v>-1.9684115824834838E-2</v>
      </c>
      <c r="J1295" s="296"/>
      <c r="K1295" s="20"/>
      <c r="L1295" s="297"/>
      <c r="M1295" s="275"/>
      <c r="N1295" s="275"/>
      <c r="O1295" s="275"/>
      <c r="P1295" s="275"/>
      <c r="Q1295" s="275"/>
      <c r="R1295" s="275"/>
      <c r="S1295" s="275"/>
      <c r="T1295" s="275"/>
    </row>
    <row r="1296" spans="1:20" ht="15" customHeight="1">
      <c r="A1296" s="275"/>
      <c r="B1296" s="303">
        <v>45832</v>
      </c>
      <c r="C1296" s="304">
        <v>25044.349609375</v>
      </c>
      <c r="D1296" s="289">
        <f t="shared" si="40"/>
        <v>2.9012296868362901E-3</v>
      </c>
      <c r="E1296" s="275"/>
      <c r="F1296" s="290"/>
      <c r="G1296" s="305">
        <v>45832</v>
      </c>
      <c r="H1296" s="306">
        <v>4147.7158203125</v>
      </c>
      <c r="I1296" s="293">
        <f t="shared" si="41"/>
        <v>9.2637686696718426E-3</v>
      </c>
      <c r="J1296" s="289"/>
      <c r="K1296" s="275"/>
      <c r="L1296" s="290"/>
      <c r="M1296" s="275"/>
      <c r="N1296" s="275"/>
      <c r="O1296" s="275"/>
      <c r="P1296" s="275"/>
      <c r="Q1296" s="275"/>
      <c r="R1296" s="275"/>
      <c r="S1296" s="275"/>
      <c r="T1296" s="275"/>
    </row>
    <row r="1297" spans="1:20" ht="15" customHeight="1">
      <c r="A1297" s="20"/>
      <c r="B1297" s="294">
        <v>45833</v>
      </c>
      <c r="C1297" s="295">
        <v>25244.75</v>
      </c>
      <c r="D1297" s="296">
        <f t="shared" si="40"/>
        <v>8.0018205204252114E-3</v>
      </c>
      <c r="E1297" s="20"/>
      <c r="F1297" s="297"/>
      <c r="G1297" s="298">
        <v>45833</v>
      </c>
      <c r="H1297" s="299">
        <v>4155.7353515625</v>
      </c>
      <c r="I1297" s="300">
        <f t="shared" si="41"/>
        <v>1.9334813659909293E-3</v>
      </c>
      <c r="J1297" s="296"/>
      <c r="K1297" s="20"/>
      <c r="L1297" s="297"/>
      <c r="M1297" s="275"/>
      <c r="N1297" s="275"/>
      <c r="O1297" s="275"/>
      <c r="P1297" s="275"/>
      <c r="Q1297" s="275"/>
      <c r="R1297" s="275"/>
      <c r="S1297" s="275"/>
      <c r="T1297" s="275"/>
    </row>
    <row r="1298" spans="1:20" ht="15" customHeight="1">
      <c r="A1298" s="275"/>
      <c r="B1298" s="303">
        <v>45834</v>
      </c>
      <c r="C1298" s="304">
        <v>25549</v>
      </c>
      <c r="D1298" s="289">
        <f t="shared" si="40"/>
        <v>1.205201081412967E-2</v>
      </c>
      <c r="E1298" s="275"/>
      <c r="F1298" s="290"/>
      <c r="G1298" s="305">
        <v>45834</v>
      </c>
      <c r="H1298" s="306">
        <v>4133.7045898379602</v>
      </c>
      <c r="I1298" s="293">
        <f t="shared" si="41"/>
        <v>-5.3012908332231929E-3</v>
      </c>
      <c r="J1298" s="289"/>
      <c r="K1298" s="275"/>
      <c r="L1298" s="290"/>
      <c r="M1298" s="275"/>
      <c r="N1298" s="275"/>
      <c r="O1298" s="275"/>
      <c r="P1298" s="275"/>
      <c r="Q1298" s="275"/>
      <c r="R1298" s="275"/>
      <c r="S1298" s="275"/>
      <c r="T1298" s="275"/>
    </row>
    <row r="1299" spans="1:20" ht="15" customHeight="1">
      <c r="A1299" s="20"/>
      <c r="B1299" s="294">
        <v>45835</v>
      </c>
      <c r="C1299" s="295">
        <v>25637.80078125</v>
      </c>
      <c r="D1299" s="296">
        <f t="shared" si="40"/>
        <v>3.4757047731809464E-3</v>
      </c>
      <c r="E1299" s="20"/>
      <c r="F1299" s="297"/>
      <c r="G1299" s="298">
        <v>45835</v>
      </c>
      <c r="H1299" s="299">
        <v>4174.5776367129602</v>
      </c>
      <c r="I1299" s="300">
        <f t="shared" si="41"/>
        <v>9.8877522538692603E-3</v>
      </c>
      <c r="J1299" s="296"/>
      <c r="K1299" s="20"/>
      <c r="L1299" s="297"/>
      <c r="M1299" s="275"/>
      <c r="N1299" s="275"/>
      <c r="O1299" s="275"/>
      <c r="P1299" s="275"/>
      <c r="Q1299" s="275"/>
      <c r="R1299" s="275"/>
      <c r="S1299" s="275"/>
      <c r="T1299" s="275"/>
    </row>
    <row r="1300" spans="1:20" ht="15" customHeight="1">
      <c r="A1300" s="275"/>
      <c r="B1300" s="303">
        <v>45838</v>
      </c>
      <c r="C1300" s="304">
        <v>25517.05078125</v>
      </c>
      <c r="D1300" s="289">
        <f t="shared" si="40"/>
        <v>-4.7098423546652075E-3</v>
      </c>
      <c r="E1300" s="275"/>
      <c r="F1300" s="290"/>
      <c r="G1300" s="305">
        <v>45838</v>
      </c>
      <c r="H1300" s="306">
        <v>4094.1843261689801</v>
      </c>
      <c r="I1300" s="293">
        <f t="shared" si="41"/>
        <v>-1.9257830980784284E-2</v>
      </c>
      <c r="J1300" s="289"/>
      <c r="K1300" s="275"/>
      <c r="L1300" s="290"/>
      <c r="M1300" s="275"/>
      <c r="N1300" s="275"/>
      <c r="O1300" s="275"/>
      <c r="P1300" s="275"/>
      <c r="Q1300" s="275"/>
      <c r="R1300" s="275"/>
      <c r="S1300" s="275"/>
      <c r="T1300" s="275"/>
    </row>
    <row r="1301" spans="1:20" ht="15" customHeight="1">
      <c r="A1301" s="20"/>
      <c r="B1301" s="294">
        <v>45839</v>
      </c>
      <c r="C1301" s="295">
        <v>25541.80078125</v>
      </c>
      <c r="D1301" s="296">
        <f t="shared" si="40"/>
        <v>9.6993967728380148E-4</v>
      </c>
      <c r="E1301" s="20"/>
      <c r="F1301" s="297"/>
      <c r="G1301" s="298">
        <v>45839</v>
      </c>
      <c r="H1301" s="299">
        <v>4083.4587402314801</v>
      </c>
      <c r="I1301" s="300">
        <f t="shared" si="41"/>
        <v>-2.6197125197673188E-3</v>
      </c>
      <c r="J1301" s="296"/>
      <c r="K1301" s="20"/>
      <c r="L1301" s="297"/>
      <c r="M1301" s="275"/>
      <c r="N1301" s="275"/>
      <c r="O1301" s="275"/>
      <c r="P1301" s="275"/>
      <c r="Q1301" s="275"/>
      <c r="R1301" s="275"/>
      <c r="S1301" s="275"/>
      <c r="T1301" s="275"/>
    </row>
    <row r="1302" spans="1:20" ht="15" customHeight="1">
      <c r="A1302" s="275"/>
      <c r="B1302" s="303">
        <v>45840</v>
      </c>
      <c r="C1302" s="304">
        <v>25453.400390625</v>
      </c>
      <c r="D1302" s="289">
        <f t="shared" si="40"/>
        <v>-3.4610085397695964E-3</v>
      </c>
      <c r="E1302" s="275"/>
      <c r="F1302" s="290"/>
      <c r="G1302" s="305">
        <v>45840</v>
      </c>
      <c r="H1302" s="306">
        <v>4100.5620117129602</v>
      </c>
      <c r="I1302" s="293">
        <f t="shared" si="41"/>
        <v>4.188427646635298E-3</v>
      </c>
      <c r="J1302" s="289"/>
      <c r="K1302" s="275"/>
      <c r="L1302" s="290"/>
      <c r="M1302" s="275"/>
      <c r="N1302" s="275"/>
      <c r="O1302" s="275"/>
      <c r="P1302" s="275"/>
      <c r="Q1302" s="275"/>
      <c r="R1302" s="275"/>
      <c r="S1302" s="275"/>
      <c r="T1302" s="275"/>
    </row>
    <row r="1303" spans="1:20" ht="15" customHeight="1">
      <c r="A1303" s="20"/>
      <c r="B1303" s="294">
        <v>45841</v>
      </c>
      <c r="C1303" s="295">
        <v>25405.30078125</v>
      </c>
      <c r="D1303" s="296">
        <f t="shared" si="40"/>
        <v>-1.8897125192245848E-3</v>
      </c>
      <c r="E1303" s="20"/>
      <c r="F1303" s="297"/>
      <c r="G1303" s="298">
        <v>45841</v>
      </c>
      <c r="H1303" s="299">
        <v>4165.205078125</v>
      </c>
      <c r="I1303" s="300">
        <f t="shared" si="41"/>
        <v>1.5764440637013068E-2</v>
      </c>
      <c r="J1303" s="296"/>
      <c r="K1303" s="20"/>
      <c r="L1303" s="297"/>
      <c r="M1303" s="275"/>
      <c r="N1303" s="275"/>
      <c r="O1303" s="275"/>
      <c r="P1303" s="275"/>
      <c r="Q1303" s="275"/>
      <c r="R1303" s="275"/>
      <c r="S1303" s="275"/>
      <c r="T1303" s="275"/>
    </row>
    <row r="1304" spans="1:20" ht="15" customHeight="1">
      <c r="A1304" s="275"/>
      <c r="B1304" s="303">
        <v>45842</v>
      </c>
      <c r="C1304" s="304">
        <v>25461</v>
      </c>
      <c r="D1304" s="289">
        <f t="shared" si="40"/>
        <v>2.1924250859926041E-3</v>
      </c>
      <c r="E1304" s="275"/>
      <c r="F1304" s="290"/>
      <c r="G1304" s="305">
        <v>45842</v>
      </c>
      <c r="H1304" s="306">
        <v>4198.4448242129602</v>
      </c>
      <c r="I1304" s="293">
        <f t="shared" si="41"/>
        <v>7.9803384141947913E-3</v>
      </c>
      <c r="J1304" s="289"/>
      <c r="K1304" s="275"/>
      <c r="L1304" s="290"/>
      <c r="M1304" s="275"/>
      <c r="N1304" s="275"/>
      <c r="O1304" s="275"/>
      <c r="P1304" s="275"/>
      <c r="Q1304" s="275"/>
      <c r="R1304" s="275"/>
      <c r="S1304" s="275"/>
      <c r="T1304" s="275"/>
    </row>
    <row r="1305" spans="1:20" ht="15" customHeight="1">
      <c r="A1305" s="20"/>
      <c r="B1305" s="294">
        <v>45845</v>
      </c>
      <c r="C1305" s="295">
        <v>25461.30078125</v>
      </c>
      <c r="D1305" s="296">
        <f t="shared" si="40"/>
        <v>1.1813410706570834E-5</v>
      </c>
      <c r="E1305" s="20"/>
      <c r="F1305" s="297"/>
      <c r="G1305" s="298">
        <v>45845</v>
      </c>
      <c r="H1305" s="299">
        <v>4161.7265625</v>
      </c>
      <c r="I1305" s="300">
        <f t="shared" si="41"/>
        <v>-8.7456816155356658E-3</v>
      </c>
      <c r="J1305" s="296"/>
      <c r="K1305" s="20"/>
      <c r="L1305" s="297"/>
      <c r="M1305" s="275"/>
      <c r="N1305" s="275"/>
      <c r="O1305" s="275"/>
      <c r="P1305" s="275"/>
      <c r="Q1305" s="275"/>
      <c r="R1305" s="275"/>
      <c r="S1305" s="275"/>
      <c r="T1305" s="275"/>
    </row>
    <row r="1306" spans="1:20" ht="15" customHeight="1">
      <c r="A1306" s="275"/>
      <c r="B1306" s="303">
        <v>45846</v>
      </c>
      <c r="C1306" s="304">
        <v>25522.5</v>
      </c>
      <c r="D1306" s="289">
        <f t="shared" si="40"/>
        <v>2.4036171315751404E-3</v>
      </c>
      <c r="E1306" s="275"/>
      <c r="F1306" s="290"/>
      <c r="G1306" s="305">
        <v>45846</v>
      </c>
      <c r="H1306" s="306">
        <v>4155.3491210879602</v>
      </c>
      <c r="I1306" s="293">
        <f t="shared" si="41"/>
        <v>-1.5324027939521419E-3</v>
      </c>
      <c r="J1306" s="289"/>
      <c r="K1306" s="275"/>
      <c r="L1306" s="290"/>
      <c r="M1306" s="275"/>
      <c r="N1306" s="275"/>
      <c r="O1306" s="275"/>
      <c r="P1306" s="275"/>
      <c r="Q1306" s="275"/>
      <c r="R1306" s="275"/>
      <c r="S1306" s="275"/>
      <c r="T1306" s="275"/>
    </row>
    <row r="1307" spans="1:20" ht="15" customHeight="1">
      <c r="A1307" s="20"/>
      <c r="B1307" s="294">
        <v>45847</v>
      </c>
      <c r="C1307" s="295">
        <v>25476.099609375</v>
      </c>
      <c r="D1307" s="296">
        <f t="shared" si="40"/>
        <v>-1.8180190273288275E-3</v>
      </c>
      <c r="E1307" s="20"/>
      <c r="F1307" s="297"/>
      <c r="G1307" s="298">
        <v>45847</v>
      </c>
      <c r="H1307" s="299">
        <v>4186.9462890625</v>
      </c>
      <c r="I1307" s="300">
        <f t="shared" si="41"/>
        <v>7.6039743120951105E-3</v>
      </c>
      <c r="J1307" s="296"/>
      <c r="K1307" s="20"/>
      <c r="L1307" s="297"/>
      <c r="M1307" s="275"/>
      <c r="N1307" s="275"/>
      <c r="O1307" s="275"/>
      <c r="P1307" s="275"/>
      <c r="Q1307" s="275"/>
      <c r="R1307" s="275"/>
      <c r="S1307" s="275"/>
      <c r="T1307" s="275"/>
    </row>
    <row r="1308" spans="1:20" ht="15" customHeight="1">
      <c r="A1308" s="275"/>
      <c r="B1308" s="303">
        <v>45848</v>
      </c>
      <c r="C1308" s="304">
        <v>25355.25</v>
      </c>
      <c r="D1308" s="289">
        <f t="shared" si="40"/>
        <v>-4.7436464461980792E-3</v>
      </c>
      <c r="E1308" s="275"/>
      <c r="F1308" s="290"/>
      <c r="G1308" s="305">
        <v>45848</v>
      </c>
      <c r="H1308" s="306">
        <v>4175.5439453125</v>
      </c>
      <c r="I1308" s="293">
        <f t="shared" si="41"/>
        <v>-2.7233078627701005E-3</v>
      </c>
      <c r="J1308" s="289"/>
      <c r="K1308" s="275"/>
      <c r="L1308" s="290"/>
      <c r="M1308" s="275"/>
      <c r="N1308" s="275"/>
      <c r="O1308" s="275"/>
      <c r="P1308" s="275"/>
      <c r="Q1308" s="275"/>
      <c r="R1308" s="275"/>
      <c r="S1308" s="275"/>
      <c r="T1308" s="275"/>
    </row>
    <row r="1309" spans="1:20" ht="15" customHeight="1">
      <c r="A1309" s="20"/>
      <c r="B1309" s="294">
        <v>45849</v>
      </c>
      <c r="C1309" s="295">
        <v>25149.849609375</v>
      </c>
      <c r="D1309" s="296">
        <f t="shared" si="40"/>
        <v>-8.1009018102759789E-3</v>
      </c>
      <c r="E1309" s="20"/>
      <c r="F1309" s="297"/>
      <c r="G1309" s="298">
        <v>45849</v>
      </c>
      <c r="H1309" s="299">
        <v>4076.4052734375</v>
      </c>
      <c r="I1309" s="300">
        <f t="shared" si="41"/>
        <v>-2.3742696322545925E-2</v>
      </c>
      <c r="J1309" s="296"/>
      <c r="K1309" s="20"/>
      <c r="L1309" s="297"/>
      <c r="M1309" s="275"/>
      <c r="N1309" s="275"/>
      <c r="O1309" s="275"/>
      <c r="P1309" s="275"/>
      <c r="Q1309" s="275"/>
      <c r="R1309" s="275"/>
      <c r="S1309" s="275"/>
      <c r="T1309" s="275"/>
    </row>
    <row r="1310" spans="1:20" ht="15" customHeight="1">
      <c r="A1310" s="275"/>
      <c r="B1310" s="303">
        <v>45852</v>
      </c>
      <c r="C1310" s="304">
        <v>25082.30078125</v>
      </c>
      <c r="D1310" s="289">
        <f t="shared" si="40"/>
        <v>-2.685854157148523E-3</v>
      </c>
      <c r="E1310" s="275"/>
      <c r="F1310" s="290"/>
      <c r="G1310" s="305">
        <v>45852</v>
      </c>
      <c r="H1310" s="306">
        <v>4108.2919921875</v>
      </c>
      <c r="I1310" s="293">
        <f t="shared" si="41"/>
        <v>7.8222641300605932E-3</v>
      </c>
      <c r="J1310" s="289"/>
      <c r="K1310" s="275"/>
      <c r="L1310" s="290"/>
      <c r="M1310" s="275"/>
      <c r="N1310" s="275"/>
      <c r="O1310" s="275"/>
      <c r="P1310" s="275"/>
      <c r="Q1310" s="275"/>
      <c r="R1310" s="275"/>
      <c r="S1310" s="275"/>
      <c r="T1310" s="275"/>
    </row>
    <row r="1311" spans="1:20" ht="15" customHeight="1">
      <c r="A1311" s="20"/>
      <c r="B1311" s="294">
        <v>45853</v>
      </c>
      <c r="C1311" s="295">
        <v>25195.80078125</v>
      </c>
      <c r="D1311" s="296">
        <f t="shared" si="40"/>
        <v>4.5251032187942535E-3</v>
      </c>
      <c r="E1311" s="20"/>
      <c r="F1311" s="297"/>
      <c r="G1311" s="298">
        <v>45853</v>
      </c>
      <c r="H1311" s="299">
        <v>4303.7680664120398</v>
      </c>
      <c r="I1311" s="300">
        <f t="shared" si="41"/>
        <v>4.7580861972874693E-2</v>
      </c>
      <c r="J1311" s="296"/>
      <c r="K1311" s="20"/>
      <c r="L1311" s="297"/>
      <c r="M1311" s="275"/>
      <c r="N1311" s="275"/>
      <c r="O1311" s="275"/>
      <c r="P1311" s="275"/>
      <c r="Q1311" s="275"/>
      <c r="R1311" s="275"/>
      <c r="S1311" s="275"/>
      <c r="T1311" s="275"/>
    </row>
    <row r="1312" spans="1:20" ht="15" customHeight="1">
      <c r="A1312" s="275"/>
      <c r="B1312" s="303">
        <v>45854</v>
      </c>
      <c r="C1312" s="304">
        <v>25212.05078125</v>
      </c>
      <c r="D1312" s="289">
        <f t="shared" si="40"/>
        <v>6.4494874130346306E-4</v>
      </c>
      <c r="E1312" s="275"/>
      <c r="F1312" s="290"/>
      <c r="G1312" s="305">
        <v>45854</v>
      </c>
      <c r="H1312" s="306">
        <v>4275.2631835879602</v>
      </c>
      <c r="I1312" s="293">
        <f t="shared" si="41"/>
        <v>-6.623238609566524E-3</v>
      </c>
      <c r="J1312" s="289"/>
      <c r="K1312" s="275"/>
      <c r="L1312" s="290"/>
      <c r="M1312" s="275"/>
      <c r="N1312" s="275"/>
      <c r="O1312" s="275"/>
      <c r="P1312" s="275"/>
      <c r="Q1312" s="275"/>
      <c r="R1312" s="275"/>
      <c r="S1312" s="275"/>
      <c r="T1312" s="275"/>
    </row>
    <row r="1313" spans="1:20" ht="15" customHeight="1">
      <c r="A1313" s="20"/>
      <c r="B1313" s="294">
        <v>45855</v>
      </c>
      <c r="C1313" s="295">
        <v>25111.44921875</v>
      </c>
      <c r="D1313" s="296">
        <f t="shared" si="40"/>
        <v>-3.9902173517283477E-3</v>
      </c>
      <c r="E1313" s="20"/>
      <c r="F1313" s="297"/>
      <c r="G1313" s="298">
        <v>45855</v>
      </c>
      <c r="H1313" s="299">
        <v>4293.7192382870398</v>
      </c>
      <c r="I1313" s="300">
        <f t="shared" si="41"/>
        <v>4.3169400120042847E-3</v>
      </c>
      <c r="J1313" s="296"/>
      <c r="K1313" s="20"/>
      <c r="L1313" s="297"/>
      <c r="M1313" s="275"/>
      <c r="N1313" s="275"/>
      <c r="O1313" s="275"/>
      <c r="P1313" s="275"/>
      <c r="Q1313" s="275"/>
      <c r="R1313" s="275"/>
      <c r="S1313" s="275"/>
      <c r="T1313" s="275"/>
    </row>
    <row r="1314" spans="1:20" ht="15" customHeight="1">
      <c r="A1314" s="275"/>
      <c r="B1314" s="303">
        <v>45856</v>
      </c>
      <c r="C1314" s="304">
        <v>24968.400390625</v>
      </c>
      <c r="D1314" s="289">
        <f t="shared" si="40"/>
        <v>-5.6965580472428303E-3</v>
      </c>
      <c r="E1314" s="275"/>
      <c r="F1314" s="290"/>
      <c r="G1314" s="305">
        <v>45856</v>
      </c>
      <c r="H1314" s="306">
        <v>4248.4013671875</v>
      </c>
      <c r="I1314" s="293">
        <f t="shared" si="41"/>
        <v>-1.0554456075152973E-2</v>
      </c>
      <c r="J1314" s="289"/>
      <c r="K1314" s="275"/>
      <c r="L1314" s="290"/>
      <c r="M1314" s="275"/>
      <c r="N1314" s="275"/>
      <c r="O1314" s="275"/>
      <c r="P1314" s="275"/>
      <c r="Q1314" s="275"/>
      <c r="R1314" s="275"/>
      <c r="S1314" s="275"/>
      <c r="T1314" s="275"/>
    </row>
    <row r="1315" spans="1:20" ht="15" customHeight="1">
      <c r="A1315" s="20"/>
      <c r="B1315" s="294">
        <v>45859</v>
      </c>
      <c r="C1315" s="295">
        <v>25090.69921875</v>
      </c>
      <c r="D1315" s="296">
        <f t="shared" si="40"/>
        <v>4.8981443028653171E-3</v>
      </c>
      <c r="E1315" s="20"/>
      <c r="F1315" s="297"/>
      <c r="G1315" s="298">
        <v>45859</v>
      </c>
      <c r="H1315" s="299">
        <v>4259.5131835879602</v>
      </c>
      <c r="I1315" s="300">
        <f t="shared" si="41"/>
        <v>2.6155288636996962E-3</v>
      </c>
      <c r="J1315" s="296"/>
      <c r="K1315" s="20"/>
      <c r="L1315" s="297"/>
      <c r="M1315" s="275"/>
      <c r="N1315" s="275"/>
      <c r="O1315" s="275"/>
      <c r="P1315" s="275"/>
      <c r="Q1315" s="275"/>
      <c r="R1315" s="275"/>
      <c r="S1315" s="275"/>
      <c r="T1315" s="275"/>
    </row>
    <row r="1316" spans="1:20" ht="15" customHeight="1">
      <c r="A1316" s="275"/>
      <c r="B1316" s="303">
        <v>45860</v>
      </c>
      <c r="C1316" s="304">
        <v>25060.900390625</v>
      </c>
      <c r="D1316" s="289">
        <f t="shared" si="40"/>
        <v>-1.1876443882732318E-3</v>
      </c>
      <c r="E1316" s="275"/>
      <c r="F1316" s="290"/>
      <c r="G1316" s="305">
        <v>45860</v>
      </c>
      <c r="H1316" s="306">
        <v>4195.9321289120398</v>
      </c>
      <c r="I1316" s="293">
        <f t="shared" si="41"/>
        <v>-1.4926835987009064E-2</v>
      </c>
      <c r="J1316" s="289"/>
      <c r="K1316" s="275"/>
      <c r="L1316" s="290"/>
      <c r="M1316" s="275"/>
      <c r="N1316" s="275"/>
      <c r="O1316" s="275"/>
      <c r="P1316" s="275"/>
      <c r="Q1316" s="275"/>
      <c r="R1316" s="275"/>
      <c r="S1316" s="275"/>
      <c r="T1316" s="275"/>
    </row>
    <row r="1317" spans="1:20" ht="15" customHeight="1">
      <c r="A1317" s="20"/>
      <c r="B1317" s="294">
        <v>45861</v>
      </c>
      <c r="C1317" s="295">
        <v>25219.900390625</v>
      </c>
      <c r="D1317" s="296">
        <f t="shared" si="40"/>
        <v>6.3445445902446549E-3</v>
      </c>
      <c r="E1317" s="20"/>
      <c r="F1317" s="297"/>
      <c r="G1317" s="298">
        <v>45861</v>
      </c>
      <c r="H1317" s="299">
        <v>4216.5141601620398</v>
      </c>
      <c r="I1317" s="300">
        <f t="shared" si="41"/>
        <v>4.9052345504303234E-3</v>
      </c>
      <c r="J1317" s="296"/>
      <c r="K1317" s="20"/>
      <c r="L1317" s="297"/>
      <c r="M1317" s="275"/>
      <c r="N1317" s="275"/>
      <c r="O1317" s="275"/>
      <c r="P1317" s="275"/>
      <c r="Q1317" s="275"/>
      <c r="R1317" s="275"/>
      <c r="S1317" s="275"/>
      <c r="T1317" s="275"/>
    </row>
    <row r="1318" spans="1:20" ht="15" customHeight="1">
      <c r="A1318" s="275"/>
      <c r="B1318" s="303">
        <v>45862</v>
      </c>
      <c r="C1318" s="304">
        <v>25062.099609375</v>
      </c>
      <c r="D1318" s="289">
        <f t="shared" si="40"/>
        <v>-6.2569946274910479E-3</v>
      </c>
      <c r="E1318" s="275"/>
      <c r="F1318" s="290"/>
      <c r="G1318" s="305">
        <v>45862</v>
      </c>
      <c r="H1318" s="306">
        <v>4219.6528320370398</v>
      </c>
      <c r="I1318" s="293">
        <f t="shared" si="41"/>
        <v>7.4437598352080042E-4</v>
      </c>
      <c r="J1318" s="289"/>
      <c r="K1318" s="275"/>
      <c r="L1318" s="290"/>
      <c r="M1318" s="275"/>
      <c r="N1318" s="275"/>
      <c r="O1318" s="275"/>
      <c r="P1318" s="275"/>
      <c r="Q1318" s="275"/>
      <c r="R1318" s="275"/>
      <c r="S1318" s="275"/>
      <c r="T1318" s="275"/>
    </row>
    <row r="1319" spans="1:20" ht="15" customHeight="1">
      <c r="A1319" s="20"/>
      <c r="B1319" s="294">
        <v>45863</v>
      </c>
      <c r="C1319" s="295">
        <v>24837</v>
      </c>
      <c r="D1319" s="296">
        <f t="shared" si="40"/>
        <v>-8.9816740370306722E-3</v>
      </c>
      <c r="E1319" s="20"/>
      <c r="F1319" s="297"/>
      <c r="G1319" s="298">
        <v>45863</v>
      </c>
      <c r="H1319" s="299">
        <v>4149.814453125</v>
      </c>
      <c r="I1319" s="300">
        <f t="shared" si="41"/>
        <v>-1.6550740473671936E-2</v>
      </c>
      <c r="J1319" s="296"/>
      <c r="K1319" s="20"/>
      <c r="L1319" s="297"/>
      <c r="M1319" s="275"/>
      <c r="N1319" s="275"/>
      <c r="O1319" s="275"/>
      <c r="P1319" s="275"/>
      <c r="Q1319" s="275"/>
      <c r="R1319" s="275"/>
      <c r="S1319" s="275"/>
      <c r="T1319" s="275"/>
    </row>
    <row r="1320" spans="1:20" ht="15" customHeight="1">
      <c r="A1320" s="275"/>
      <c r="B1320" s="303">
        <v>45866</v>
      </c>
      <c r="C1320" s="304">
        <v>24680.900390625</v>
      </c>
      <c r="D1320" s="289">
        <f t="shared" si="40"/>
        <v>-6.2849623293876073E-3</v>
      </c>
      <c r="E1320" s="275"/>
      <c r="F1320" s="290"/>
      <c r="G1320" s="305">
        <v>45866</v>
      </c>
      <c r="H1320" s="306">
        <v>4209.0595703125</v>
      </c>
      <c r="I1320" s="293">
        <f t="shared" si="41"/>
        <v>1.4276570159151505E-2</v>
      </c>
      <c r="J1320" s="289"/>
      <c r="K1320" s="275"/>
      <c r="L1320" s="290"/>
      <c r="M1320" s="275"/>
      <c r="N1320" s="275"/>
      <c r="O1320" s="275"/>
      <c r="P1320" s="275"/>
      <c r="Q1320" s="275"/>
      <c r="R1320" s="275"/>
      <c r="S1320" s="275"/>
      <c r="T1320" s="275"/>
    </row>
    <row r="1321" spans="1:20" ht="15" customHeight="1">
      <c r="A1321" s="20"/>
      <c r="B1321" s="294">
        <v>45867</v>
      </c>
      <c r="C1321" s="295">
        <v>24821.099609375</v>
      </c>
      <c r="D1321" s="296">
        <f t="shared" si="40"/>
        <v>5.6804742343700898E-3</v>
      </c>
      <c r="E1321" s="20"/>
      <c r="F1321" s="297"/>
      <c r="G1321" s="298">
        <v>45867</v>
      </c>
      <c r="H1321" s="299">
        <v>4242.5078125</v>
      </c>
      <c r="I1321" s="300">
        <f t="shared" si="41"/>
        <v>7.9467257777529263E-3</v>
      </c>
      <c r="J1321" s="296"/>
      <c r="K1321" s="20"/>
      <c r="L1321" s="297"/>
      <c r="M1321" s="275"/>
      <c r="N1321" s="275"/>
      <c r="O1321" s="275"/>
      <c r="P1321" s="275"/>
      <c r="Q1321" s="275"/>
      <c r="R1321" s="275"/>
      <c r="S1321" s="275"/>
      <c r="T1321" s="275"/>
    </row>
    <row r="1322" spans="1:20" ht="15" customHeight="1">
      <c r="A1322" s="275"/>
      <c r="B1322" s="303">
        <v>45868</v>
      </c>
      <c r="C1322" s="304">
        <v>24855.05078125</v>
      </c>
      <c r="D1322" s="289">
        <f t="shared" si="40"/>
        <v>1.3678351245235141E-3</v>
      </c>
      <c r="E1322" s="275"/>
      <c r="F1322" s="290"/>
      <c r="G1322" s="305">
        <v>45868</v>
      </c>
      <c r="H1322" s="306">
        <v>4170.0200195370398</v>
      </c>
      <c r="I1322" s="293">
        <f t="shared" si="41"/>
        <v>-1.708607176853847E-2</v>
      </c>
      <c r="J1322" s="289"/>
      <c r="K1322" s="275"/>
      <c r="L1322" s="290"/>
      <c r="M1322" s="275"/>
      <c r="N1322" s="275"/>
      <c r="O1322" s="275"/>
      <c r="P1322" s="275"/>
      <c r="Q1322" s="275"/>
      <c r="R1322" s="275"/>
      <c r="S1322" s="275"/>
      <c r="T1322" s="275"/>
    </row>
    <row r="1323" spans="1:20" ht="15" customHeight="1">
      <c r="A1323" s="20"/>
      <c r="B1323" s="294">
        <v>45869</v>
      </c>
      <c r="C1323" s="295">
        <v>24768.349609375</v>
      </c>
      <c r="D1323" s="296">
        <f t="shared" si="40"/>
        <v>-3.4882717656889721E-3</v>
      </c>
      <c r="E1323" s="20"/>
      <c r="F1323" s="297"/>
      <c r="G1323" s="298">
        <v>45869</v>
      </c>
      <c r="H1323" s="299">
        <v>4179.2407226620398</v>
      </c>
      <c r="I1323" s="300">
        <f t="shared" si="41"/>
        <v>2.2111891745842729E-3</v>
      </c>
      <c r="J1323" s="296"/>
      <c r="K1323" s="20"/>
      <c r="L1323" s="297"/>
      <c r="M1323" s="275"/>
      <c r="N1323" s="275"/>
      <c r="O1323" s="275"/>
      <c r="P1323" s="275"/>
      <c r="Q1323" s="275"/>
      <c r="R1323" s="275"/>
      <c r="S1323" s="275"/>
      <c r="T1323" s="275"/>
    </row>
    <row r="1324" spans="1:20" ht="15" customHeight="1">
      <c r="A1324" s="275"/>
      <c r="B1324" s="303">
        <v>45870</v>
      </c>
      <c r="C1324" s="304">
        <v>24565.349609375</v>
      </c>
      <c r="D1324" s="289">
        <f t="shared" si="40"/>
        <v>-8.1959437427822409E-3</v>
      </c>
      <c r="E1324" s="275"/>
      <c r="F1324" s="290"/>
      <c r="G1324" s="305">
        <v>45870</v>
      </c>
      <c r="H1324" s="306">
        <v>4229.1674804629602</v>
      </c>
      <c r="I1324" s="293">
        <f t="shared" si="41"/>
        <v>1.1946370432837522E-2</v>
      </c>
      <c r="J1324" s="289"/>
      <c r="K1324" s="275"/>
      <c r="L1324" s="290"/>
      <c r="M1324" s="275"/>
      <c r="N1324" s="275"/>
      <c r="O1324" s="275"/>
      <c r="P1324" s="275"/>
      <c r="Q1324" s="275"/>
      <c r="R1324" s="275"/>
      <c r="S1324" s="275"/>
      <c r="T1324" s="275"/>
    </row>
    <row r="1325" spans="1:20" ht="15" customHeight="1">
      <c r="A1325" s="20"/>
      <c r="B1325" s="294">
        <v>45873</v>
      </c>
      <c r="C1325" s="295">
        <v>24722.75</v>
      </c>
      <c r="D1325" s="296">
        <f t="shared" si="40"/>
        <v>6.4074150430544043E-3</v>
      </c>
      <c r="E1325" s="20"/>
      <c r="F1325" s="297"/>
      <c r="G1325" s="298">
        <v>45873</v>
      </c>
      <c r="H1325" s="299">
        <v>4449.1791992129602</v>
      </c>
      <c r="I1325" s="300">
        <f t="shared" si="41"/>
        <v>5.2022465359048795E-2</v>
      </c>
      <c r="J1325" s="296"/>
      <c r="K1325" s="20"/>
      <c r="L1325" s="297"/>
      <c r="M1325" s="275"/>
      <c r="N1325" s="275"/>
      <c r="O1325" s="275"/>
      <c r="P1325" s="275"/>
      <c r="Q1325" s="275"/>
      <c r="R1325" s="275"/>
      <c r="S1325" s="275"/>
      <c r="T1325" s="275"/>
    </row>
    <row r="1326" spans="1:20" ht="15" customHeight="1">
      <c r="A1326" s="275"/>
      <c r="B1326" s="303">
        <v>45874</v>
      </c>
      <c r="C1326" s="304">
        <v>24649.55078125</v>
      </c>
      <c r="D1326" s="289">
        <f t="shared" si="40"/>
        <v>-2.9608040671041855E-3</v>
      </c>
      <c r="E1326" s="275"/>
      <c r="F1326" s="290"/>
      <c r="G1326" s="305">
        <v>45874</v>
      </c>
      <c r="H1326" s="306">
        <v>4459.8706054629602</v>
      </c>
      <c r="I1326" s="293">
        <f t="shared" si="41"/>
        <v>2.4030064358592845E-3</v>
      </c>
      <c r="J1326" s="289"/>
      <c r="K1326" s="275"/>
      <c r="L1326" s="290"/>
      <c r="M1326" s="275"/>
      <c r="N1326" s="275"/>
      <c r="O1326" s="275"/>
      <c r="P1326" s="275"/>
      <c r="Q1326" s="275"/>
      <c r="R1326" s="275"/>
      <c r="S1326" s="275"/>
      <c r="T1326" s="275"/>
    </row>
    <row r="1327" spans="1:20" ht="15" customHeight="1">
      <c r="A1327" s="20"/>
      <c r="B1327" s="294">
        <v>45875</v>
      </c>
      <c r="C1327" s="295">
        <v>24574.19921875</v>
      </c>
      <c r="D1327" s="296">
        <f t="shared" si="40"/>
        <v>-3.0569142281212337E-3</v>
      </c>
      <c r="E1327" s="20"/>
      <c r="F1327" s="297"/>
      <c r="G1327" s="298">
        <v>45875</v>
      </c>
      <c r="H1327" s="299">
        <v>4389.3452148379602</v>
      </c>
      <c r="I1327" s="300">
        <f t="shared" si="41"/>
        <v>-1.5813326632977295E-2</v>
      </c>
      <c r="J1327" s="296"/>
      <c r="K1327" s="20"/>
      <c r="L1327" s="297"/>
      <c r="M1327" s="275"/>
      <c r="N1327" s="275"/>
      <c r="O1327" s="275"/>
      <c r="P1327" s="275"/>
      <c r="Q1327" s="275"/>
      <c r="R1327" s="275"/>
      <c r="S1327" s="275"/>
      <c r="T1327" s="275"/>
    </row>
    <row r="1328" spans="1:20" ht="15" customHeight="1">
      <c r="A1328" s="275"/>
      <c r="B1328" s="303">
        <v>45876</v>
      </c>
      <c r="C1328" s="304">
        <v>24596.150390625</v>
      </c>
      <c r="D1328" s="289">
        <f t="shared" si="40"/>
        <v>8.9326092295415906E-4</v>
      </c>
      <c r="E1328" s="275"/>
      <c r="F1328" s="290"/>
      <c r="G1328" s="305">
        <v>45876</v>
      </c>
      <c r="H1328" s="306">
        <v>4571.5932617129602</v>
      </c>
      <c r="I1328" s="293">
        <f t="shared" si="41"/>
        <v>4.1520554423224602E-2</v>
      </c>
      <c r="J1328" s="289"/>
      <c r="K1328" s="275"/>
      <c r="L1328" s="290"/>
      <c r="M1328" s="275"/>
      <c r="N1328" s="275"/>
      <c r="O1328" s="275"/>
      <c r="P1328" s="275"/>
      <c r="Q1328" s="275"/>
      <c r="R1328" s="275"/>
      <c r="S1328" s="275"/>
      <c r="T1328" s="275"/>
    </row>
    <row r="1329" spans="1:20" ht="15" customHeight="1">
      <c r="A1329" s="20"/>
      <c r="B1329" s="294">
        <v>45877</v>
      </c>
      <c r="C1329" s="295">
        <v>24363.30078125</v>
      </c>
      <c r="D1329" s="296">
        <f t="shared" si="40"/>
        <v>-9.4669127354072569E-3</v>
      </c>
      <c r="E1329" s="20"/>
      <c r="F1329" s="297"/>
      <c r="G1329" s="298">
        <v>45877</v>
      </c>
      <c r="H1329" s="299">
        <v>4511.857421875</v>
      </c>
      <c r="I1329" s="300">
        <f t="shared" si="41"/>
        <v>-1.3066744222030231E-2</v>
      </c>
      <c r="J1329" s="296"/>
      <c r="K1329" s="20"/>
      <c r="L1329" s="297"/>
      <c r="M1329" s="275"/>
      <c r="N1329" s="275"/>
      <c r="O1329" s="275"/>
      <c r="P1329" s="275"/>
      <c r="Q1329" s="275"/>
      <c r="R1329" s="275"/>
      <c r="S1329" s="275"/>
      <c r="T1329" s="275"/>
    </row>
    <row r="1330" spans="1:20" ht="15" customHeight="1">
      <c r="A1330" s="275"/>
      <c r="B1330" s="303">
        <v>45880</v>
      </c>
      <c r="C1330" s="304">
        <v>24585.05078125</v>
      </c>
      <c r="D1330" s="289">
        <f t="shared" si="40"/>
        <v>9.1018044718578876E-3</v>
      </c>
      <c r="E1330" s="275"/>
      <c r="F1330" s="290"/>
      <c r="G1330" s="305">
        <v>45880</v>
      </c>
      <c r="H1330" s="306">
        <v>4474.9765625</v>
      </c>
      <c r="I1330" s="293">
        <f t="shared" si="41"/>
        <v>-8.1742076325792591E-3</v>
      </c>
      <c r="J1330" s="289"/>
      <c r="K1330" s="275"/>
      <c r="L1330" s="290"/>
      <c r="M1330" s="275"/>
      <c r="N1330" s="275"/>
      <c r="O1330" s="275"/>
      <c r="P1330" s="275"/>
      <c r="Q1330" s="275"/>
      <c r="R1330" s="275"/>
      <c r="S1330" s="275"/>
      <c r="T1330" s="275"/>
    </row>
    <row r="1331" spans="1:20" ht="15" customHeight="1">
      <c r="A1331" s="20"/>
      <c r="B1331" s="294">
        <v>45881</v>
      </c>
      <c r="C1331" s="295">
        <v>24487.400390625</v>
      </c>
      <c r="D1331" s="296">
        <f t="shared" si="40"/>
        <v>-3.9719417907191756E-3</v>
      </c>
      <c r="E1331" s="20"/>
      <c r="F1331" s="297"/>
      <c r="G1331" s="298">
        <v>45881</v>
      </c>
      <c r="H1331" s="299">
        <v>4556.3896484375</v>
      </c>
      <c r="I1331" s="300">
        <f t="shared" si="41"/>
        <v>1.8192963650298447E-2</v>
      </c>
      <c r="J1331" s="296"/>
      <c r="K1331" s="20"/>
      <c r="L1331" s="297"/>
      <c r="M1331" s="275"/>
      <c r="N1331" s="275"/>
      <c r="O1331" s="275"/>
      <c r="P1331" s="275"/>
      <c r="Q1331" s="275"/>
      <c r="R1331" s="275"/>
      <c r="S1331" s="275"/>
      <c r="T1331" s="275"/>
    </row>
    <row r="1332" spans="1:20" ht="15" customHeight="1">
      <c r="A1332" s="275"/>
      <c r="B1332" s="303">
        <v>45882</v>
      </c>
      <c r="C1332" s="304">
        <v>24619.349609375</v>
      </c>
      <c r="D1332" s="289">
        <f t="shared" si="40"/>
        <v>5.3884535167120782E-3</v>
      </c>
      <c r="E1332" s="275"/>
      <c r="F1332" s="290"/>
      <c r="G1332" s="305">
        <v>45882</v>
      </c>
      <c r="H1332" s="306">
        <v>4677.5283203125</v>
      </c>
      <c r="I1332" s="293">
        <f t="shared" si="41"/>
        <v>2.6586547951741018E-2</v>
      </c>
      <c r="J1332" s="289"/>
      <c r="K1332" s="275"/>
      <c r="L1332" s="290"/>
      <c r="M1332" s="275"/>
      <c r="N1332" s="275"/>
      <c r="O1332" s="275"/>
      <c r="P1332" s="275"/>
      <c r="Q1332" s="275"/>
      <c r="R1332" s="275"/>
      <c r="S1332" s="275"/>
      <c r="T1332" s="275"/>
    </row>
    <row r="1333" spans="1:20" ht="15" customHeight="1">
      <c r="A1333" s="20"/>
      <c r="B1333" s="294">
        <v>45883</v>
      </c>
      <c r="C1333" s="295">
        <v>24631.30078125</v>
      </c>
      <c r="D1333" s="296">
        <f t="shared" si="40"/>
        <v>4.8543816407111817E-4</v>
      </c>
      <c r="E1333" s="20"/>
      <c r="F1333" s="297"/>
      <c r="G1333" s="298">
        <v>45883</v>
      </c>
      <c r="H1333" s="299">
        <v>4618.0869140625</v>
      </c>
      <c r="I1333" s="300">
        <f t="shared" si="41"/>
        <v>-1.2707866672206228E-2</v>
      </c>
      <c r="J1333" s="296"/>
      <c r="K1333" s="20"/>
      <c r="L1333" s="297"/>
      <c r="M1333" s="275"/>
      <c r="N1333" s="275"/>
      <c r="O1333" s="275"/>
      <c r="P1333" s="275"/>
      <c r="Q1333" s="275"/>
      <c r="R1333" s="275"/>
      <c r="S1333" s="275"/>
      <c r="T1333" s="275"/>
    </row>
    <row r="1334" spans="1:20" ht="15" customHeight="1">
      <c r="A1334" s="275"/>
      <c r="B1334" s="303">
        <v>45887</v>
      </c>
      <c r="C1334" s="304">
        <v>24876.94921875</v>
      </c>
      <c r="D1334" s="289">
        <f t="shared" si="40"/>
        <v>9.9730192766349594E-3</v>
      </c>
      <c r="E1334" s="275"/>
      <c r="F1334" s="290"/>
      <c r="G1334" s="305">
        <v>45887</v>
      </c>
      <c r="H1334" s="306">
        <v>4888.7119140625</v>
      </c>
      <c r="I1334" s="293">
        <f t="shared" si="41"/>
        <v>5.8601105833656346E-2</v>
      </c>
      <c r="J1334" s="289"/>
      <c r="K1334" s="275"/>
      <c r="L1334" s="290"/>
      <c r="M1334" s="275"/>
      <c r="N1334" s="275"/>
      <c r="O1334" s="275"/>
      <c r="P1334" s="275"/>
      <c r="Q1334" s="275"/>
      <c r="R1334" s="275"/>
      <c r="S1334" s="275"/>
      <c r="T1334" s="275"/>
    </row>
    <row r="1335" spans="1:20" ht="15" customHeight="1">
      <c r="A1335" s="20"/>
      <c r="B1335" s="294">
        <v>45888</v>
      </c>
      <c r="C1335" s="295">
        <v>24980.650390625</v>
      </c>
      <c r="D1335" s="296">
        <f t="shared" si="40"/>
        <v>4.1685646806256856E-3</v>
      </c>
      <c r="E1335" s="20"/>
      <c r="F1335" s="297"/>
      <c r="G1335" s="298">
        <v>45888</v>
      </c>
      <c r="H1335" s="299">
        <v>5020.3461914120398</v>
      </c>
      <c r="I1335" s="300">
        <f t="shared" si="41"/>
        <v>2.6926167805243463E-2</v>
      </c>
      <c r="J1335" s="296"/>
      <c r="K1335" s="20"/>
      <c r="L1335" s="297"/>
      <c r="M1335" s="275"/>
      <c r="N1335" s="275"/>
      <c r="O1335" s="275"/>
      <c r="P1335" s="275"/>
      <c r="Q1335" s="275"/>
      <c r="R1335" s="275"/>
      <c r="S1335" s="275"/>
      <c r="T1335" s="275"/>
    </row>
    <row r="1336" spans="1:20" ht="15" customHeight="1">
      <c r="A1336" s="275"/>
      <c r="B1336" s="303">
        <v>45889</v>
      </c>
      <c r="C1336" s="304">
        <v>25050.55078125</v>
      </c>
      <c r="D1336" s="289">
        <f t="shared" si="40"/>
        <v>2.7981813736616301E-3</v>
      </c>
      <c r="E1336" s="275"/>
      <c r="F1336" s="290"/>
      <c r="G1336" s="305">
        <v>45889</v>
      </c>
      <c r="H1336" s="306">
        <v>5037.8061523379602</v>
      </c>
      <c r="I1336" s="293">
        <f t="shared" si="41"/>
        <v>3.4778400254125634E-3</v>
      </c>
      <c r="J1336" s="289"/>
      <c r="K1336" s="275"/>
      <c r="L1336" s="290"/>
      <c r="M1336" s="275"/>
      <c r="N1336" s="275"/>
      <c r="O1336" s="275"/>
      <c r="P1336" s="275"/>
      <c r="Q1336" s="275"/>
      <c r="R1336" s="275"/>
      <c r="S1336" s="275"/>
      <c r="T1336" s="275"/>
    </row>
    <row r="1337" spans="1:20" ht="15" customHeight="1">
      <c r="A1337" s="20"/>
      <c r="B1337" s="294">
        <v>45890</v>
      </c>
      <c r="C1337" s="295">
        <v>25083.75</v>
      </c>
      <c r="D1337" s="296">
        <f t="shared" si="40"/>
        <v>1.325288974278728E-3</v>
      </c>
      <c r="E1337" s="20"/>
      <c r="F1337" s="297"/>
      <c r="G1337" s="298">
        <v>45890</v>
      </c>
      <c r="H1337" s="299">
        <v>4999.6499023379602</v>
      </c>
      <c r="I1337" s="300">
        <f t="shared" si="41"/>
        <v>-7.5739813812193491E-3</v>
      </c>
      <c r="J1337" s="296"/>
      <c r="K1337" s="20"/>
      <c r="L1337" s="297"/>
      <c r="M1337" s="275"/>
      <c r="N1337" s="275"/>
      <c r="O1337" s="275"/>
      <c r="P1337" s="275"/>
      <c r="Q1337" s="275"/>
      <c r="R1337" s="275"/>
      <c r="S1337" s="275"/>
      <c r="T1337" s="275"/>
    </row>
    <row r="1338" spans="1:20" ht="15" customHeight="1">
      <c r="A1338" s="275"/>
      <c r="B1338" s="303">
        <v>45891</v>
      </c>
      <c r="C1338" s="304">
        <v>24870.099609375</v>
      </c>
      <c r="D1338" s="289">
        <f t="shared" si="40"/>
        <v>-8.5174820600986689E-3</v>
      </c>
      <c r="E1338" s="275"/>
      <c r="F1338" s="290"/>
      <c r="G1338" s="305">
        <v>45891</v>
      </c>
      <c r="H1338" s="306">
        <v>4902.3461914120398</v>
      </c>
      <c r="I1338" s="293">
        <f t="shared" si="41"/>
        <v>-1.9462104912669722E-2</v>
      </c>
      <c r="J1338" s="289"/>
      <c r="K1338" s="275"/>
      <c r="L1338" s="290"/>
      <c r="M1338" s="275"/>
      <c r="N1338" s="275"/>
      <c r="O1338" s="275"/>
      <c r="P1338" s="275"/>
      <c r="Q1338" s="275"/>
      <c r="R1338" s="275"/>
      <c r="S1338" s="275"/>
      <c r="T1338" s="275"/>
    </row>
    <row r="1339" spans="1:20" ht="15" customHeight="1">
      <c r="A1339" s="20"/>
      <c r="B1339" s="294">
        <v>45894</v>
      </c>
      <c r="C1339" s="295">
        <v>24967.75</v>
      </c>
      <c r="D1339" s="296">
        <f t="shared" si="40"/>
        <v>3.9264173509055761E-3</v>
      </c>
      <c r="E1339" s="20"/>
      <c r="F1339" s="297"/>
      <c r="G1339" s="298">
        <v>45894</v>
      </c>
      <c r="H1339" s="299">
        <v>4966.986328125</v>
      </c>
      <c r="I1339" s="300">
        <f t="shared" si="41"/>
        <v>1.3185551201218133E-2</v>
      </c>
      <c r="J1339" s="296"/>
      <c r="K1339" s="20"/>
      <c r="L1339" s="297"/>
      <c r="M1339" s="275"/>
      <c r="N1339" s="275"/>
      <c r="O1339" s="275"/>
      <c r="P1339" s="275"/>
      <c r="Q1339" s="275"/>
      <c r="R1339" s="275"/>
      <c r="S1339" s="275"/>
      <c r="T1339" s="275"/>
    </row>
    <row r="1340" spans="1:20" ht="15" customHeight="1">
      <c r="A1340" s="275"/>
      <c r="B1340" s="303">
        <v>45895</v>
      </c>
      <c r="C1340" s="304">
        <v>24712.05078125</v>
      </c>
      <c r="D1340" s="289">
        <f t="shared" si="40"/>
        <v>-1.0241179872034925E-2</v>
      </c>
      <c r="E1340" s="275"/>
      <c r="F1340" s="290"/>
      <c r="G1340" s="305">
        <v>45895</v>
      </c>
      <c r="H1340" s="306">
        <v>4976.4028320370398</v>
      </c>
      <c r="I1340" s="293">
        <f t="shared" si="41"/>
        <v>1.8958183675118958E-3</v>
      </c>
      <c r="J1340" s="289"/>
      <c r="K1340" s="275"/>
      <c r="L1340" s="290"/>
      <c r="M1340" s="275"/>
      <c r="N1340" s="275"/>
      <c r="O1340" s="275"/>
      <c r="P1340" s="275"/>
      <c r="Q1340" s="275"/>
      <c r="R1340" s="275"/>
      <c r="S1340" s="275"/>
      <c r="T1340" s="275"/>
    </row>
    <row r="1341" spans="1:20" ht="15" customHeight="1">
      <c r="A1341" s="20"/>
      <c r="B1341" s="294">
        <v>45897</v>
      </c>
      <c r="C1341" s="295">
        <v>24500.900390625</v>
      </c>
      <c r="D1341" s="296">
        <f t="shared" si="40"/>
        <v>-8.5444301039235507E-3</v>
      </c>
      <c r="E1341" s="20"/>
      <c r="F1341" s="297"/>
      <c r="G1341" s="298">
        <v>45897</v>
      </c>
      <c r="H1341" s="299">
        <v>4994.3530273379602</v>
      </c>
      <c r="I1341" s="300">
        <f t="shared" si="41"/>
        <v>3.6070623514159088E-3</v>
      </c>
      <c r="J1341" s="296"/>
      <c r="K1341" s="20"/>
      <c r="L1341" s="297"/>
      <c r="M1341" s="275"/>
      <c r="N1341" s="275"/>
      <c r="O1341" s="275"/>
      <c r="P1341" s="275"/>
      <c r="Q1341" s="275"/>
      <c r="R1341" s="275"/>
      <c r="S1341" s="275"/>
      <c r="T1341" s="275"/>
    </row>
    <row r="1342" spans="1:20" ht="15" customHeight="1">
      <c r="A1342" s="275"/>
      <c r="B1342" s="303">
        <v>45898</v>
      </c>
      <c r="C1342" s="304">
        <v>24426.849609375</v>
      </c>
      <c r="D1342" s="289">
        <f t="shared" si="40"/>
        <v>-3.0223697933295024E-3</v>
      </c>
      <c r="E1342" s="275"/>
      <c r="F1342" s="290"/>
      <c r="G1342" s="305">
        <v>45898</v>
      </c>
      <c r="H1342" s="306">
        <v>4990.4296875</v>
      </c>
      <c r="I1342" s="293">
        <f t="shared" si="41"/>
        <v>-7.8555516930514939E-4</v>
      </c>
      <c r="J1342" s="289"/>
      <c r="K1342" s="275"/>
      <c r="L1342" s="290"/>
      <c r="M1342" s="275"/>
      <c r="N1342" s="275"/>
      <c r="O1342" s="275"/>
      <c r="P1342" s="275"/>
      <c r="Q1342" s="275"/>
      <c r="R1342" s="275"/>
      <c r="S1342" s="275"/>
      <c r="T1342" s="275"/>
    </row>
    <row r="1343" spans="1:20" ht="15" customHeight="1">
      <c r="A1343" s="20"/>
      <c r="B1343" s="294">
        <v>45901</v>
      </c>
      <c r="C1343" s="295">
        <v>24625.05078125</v>
      </c>
      <c r="D1343" s="296">
        <f t="shared" si="40"/>
        <v>8.1140701746053485E-3</v>
      </c>
      <c r="E1343" s="20"/>
      <c r="F1343" s="297"/>
      <c r="G1343" s="298">
        <v>45901</v>
      </c>
      <c r="H1343" s="299">
        <v>5143.7412109375</v>
      </c>
      <c r="I1343" s="300">
        <f t="shared" si="41"/>
        <v>3.0721106805995851E-2</v>
      </c>
      <c r="J1343" s="296"/>
      <c r="K1343" s="20"/>
      <c r="L1343" s="297"/>
      <c r="M1343" s="275"/>
      <c r="N1343" s="275"/>
      <c r="O1343" s="275"/>
      <c r="P1343" s="275"/>
      <c r="Q1343" s="275"/>
      <c r="R1343" s="275"/>
      <c r="S1343" s="275"/>
      <c r="T1343" s="275"/>
    </row>
    <row r="1344" spans="1:20" ht="15" customHeight="1">
      <c r="A1344" s="275"/>
      <c r="B1344" s="303">
        <v>45902</v>
      </c>
      <c r="C1344" s="304">
        <v>24579.599609375</v>
      </c>
      <c r="D1344" s="289">
        <f t="shared" si="40"/>
        <v>-1.8457290617896885E-3</v>
      </c>
      <c r="E1344" s="275"/>
      <c r="F1344" s="290"/>
      <c r="G1344" s="305">
        <v>45902</v>
      </c>
      <c r="H1344" s="306">
        <v>5210.4409179629602</v>
      </c>
      <c r="I1344" s="293">
        <f t="shared" si="41"/>
        <v>1.2967158395066972E-2</v>
      </c>
      <c r="J1344" s="289"/>
      <c r="K1344" s="275"/>
      <c r="L1344" s="290"/>
      <c r="M1344" s="275"/>
      <c r="N1344" s="275"/>
      <c r="O1344" s="275"/>
      <c r="P1344" s="275"/>
      <c r="Q1344" s="275"/>
      <c r="R1344" s="275"/>
      <c r="S1344" s="275"/>
      <c r="T1344" s="275"/>
    </row>
    <row r="1345" spans="1:20" ht="15" customHeight="1">
      <c r="A1345" s="20"/>
      <c r="B1345" s="294">
        <v>45903</v>
      </c>
      <c r="C1345" s="295">
        <v>24715.05078125</v>
      </c>
      <c r="D1345" s="296">
        <f t="shared" si="40"/>
        <v>5.5107151470171652E-3</v>
      </c>
      <c r="E1345" s="20"/>
      <c r="F1345" s="297"/>
      <c r="G1345" s="298">
        <v>45903</v>
      </c>
      <c r="H1345" s="299">
        <v>5246.7333984375</v>
      </c>
      <c r="I1345" s="300">
        <f t="shared" si="41"/>
        <v>6.9653376836923261E-3</v>
      </c>
      <c r="J1345" s="296"/>
      <c r="K1345" s="20"/>
      <c r="L1345" s="297"/>
      <c r="M1345" s="275"/>
      <c r="N1345" s="275"/>
      <c r="O1345" s="275"/>
      <c r="P1345" s="275"/>
      <c r="Q1345" s="275"/>
      <c r="R1345" s="275"/>
      <c r="S1345" s="275"/>
      <c r="T1345" s="275"/>
    </row>
    <row r="1346" spans="1:20" ht="15" customHeight="1">
      <c r="A1346" s="275"/>
      <c r="B1346" s="303">
        <v>45904</v>
      </c>
      <c r="C1346" s="304">
        <v>24734.30078125</v>
      </c>
      <c r="D1346" s="289">
        <f t="shared" si="40"/>
        <v>7.7887762280480347E-4</v>
      </c>
      <c r="E1346" s="275"/>
      <c r="F1346" s="290"/>
      <c r="G1346" s="305">
        <v>45904</v>
      </c>
      <c r="H1346" s="306">
        <v>5248.6953125</v>
      </c>
      <c r="I1346" s="293">
        <f t="shared" si="41"/>
        <v>3.7393057994604157E-4</v>
      </c>
      <c r="J1346" s="289"/>
      <c r="K1346" s="275"/>
      <c r="L1346" s="290"/>
      <c r="M1346" s="275"/>
      <c r="N1346" s="275"/>
      <c r="O1346" s="275"/>
      <c r="P1346" s="275"/>
      <c r="Q1346" s="275"/>
      <c r="R1346" s="275"/>
      <c r="S1346" s="275"/>
      <c r="T1346" s="275"/>
    </row>
    <row r="1347" spans="1:20" ht="15" customHeight="1">
      <c r="A1347" s="20"/>
      <c r="B1347" s="294">
        <v>45905</v>
      </c>
      <c r="C1347" s="295">
        <v>24741</v>
      </c>
      <c r="D1347" s="296">
        <f t="shared" si="40"/>
        <v>2.708473067117542E-4</v>
      </c>
      <c r="E1347" s="20"/>
      <c r="F1347" s="297"/>
      <c r="G1347" s="298">
        <v>45905</v>
      </c>
      <c r="H1347" s="299">
        <v>5260.4658203125</v>
      </c>
      <c r="I1347" s="300">
        <f t="shared" si="41"/>
        <v>2.2425587906518434E-3</v>
      </c>
      <c r="J1347" s="296"/>
      <c r="K1347" s="20"/>
      <c r="L1347" s="297"/>
      <c r="M1347" s="275"/>
      <c r="N1347" s="275"/>
      <c r="O1347" s="275"/>
      <c r="P1347" s="275"/>
      <c r="Q1347" s="275"/>
      <c r="R1347" s="275"/>
      <c r="S1347" s="275"/>
      <c r="T1347" s="275"/>
    </row>
    <row r="1348" spans="1:20" ht="15" customHeight="1">
      <c r="A1348" s="275"/>
      <c r="B1348" s="303">
        <v>45908</v>
      </c>
      <c r="C1348" s="304">
        <v>24773.150390625</v>
      </c>
      <c r="D1348" s="289">
        <f t="shared" si="40"/>
        <v>1.2994782193524919E-3</v>
      </c>
      <c r="E1348" s="275"/>
      <c r="F1348" s="290"/>
      <c r="G1348" s="305">
        <v>45908</v>
      </c>
      <c r="H1348" s="306">
        <v>5338.9365234375</v>
      </c>
      <c r="I1348" s="293">
        <f t="shared" si="41"/>
        <v>1.4917063584368735E-2</v>
      </c>
      <c r="J1348" s="289"/>
      <c r="K1348" s="275"/>
      <c r="L1348" s="290"/>
      <c r="M1348" s="275"/>
      <c r="N1348" s="275"/>
      <c r="O1348" s="275"/>
      <c r="P1348" s="275"/>
      <c r="Q1348" s="275"/>
      <c r="R1348" s="275"/>
      <c r="S1348" s="275"/>
      <c r="T1348" s="275"/>
    </row>
    <row r="1349" spans="1:20" ht="15" customHeight="1">
      <c r="A1349" s="20"/>
      <c r="B1349" s="294">
        <v>45909</v>
      </c>
      <c r="C1349" s="295">
        <v>24868.599609375</v>
      </c>
      <c r="D1349" s="296">
        <f t="shared" ref="D1349:D1412" si="42">(C1349-C1348)/C1348</f>
        <v>3.852930178235273E-3</v>
      </c>
      <c r="E1349" s="20"/>
      <c r="F1349" s="297"/>
      <c r="G1349" s="298">
        <v>45909</v>
      </c>
      <c r="H1349" s="299">
        <v>5319.8090820370398</v>
      </c>
      <c r="I1349" s="300">
        <f t="shared" ref="I1349:I1412" si="43">(H1349-H1348)/H1348</f>
        <v>-3.582631356730359E-3</v>
      </c>
      <c r="J1349" s="296"/>
      <c r="K1349" s="20"/>
      <c r="L1349" s="297"/>
      <c r="M1349" s="275"/>
      <c r="N1349" s="275"/>
      <c r="O1349" s="275"/>
      <c r="P1349" s="275"/>
      <c r="Q1349" s="275"/>
      <c r="R1349" s="275"/>
      <c r="S1349" s="275"/>
      <c r="T1349" s="275"/>
    </row>
    <row r="1350" spans="1:20" ht="15" customHeight="1">
      <c r="A1350" s="275"/>
      <c r="B1350" s="303">
        <v>45910</v>
      </c>
      <c r="C1350" s="304">
        <v>24973.099609375</v>
      </c>
      <c r="D1350" s="289">
        <f t="shared" si="42"/>
        <v>4.20208623088714E-3</v>
      </c>
      <c r="E1350" s="275"/>
      <c r="F1350" s="290"/>
      <c r="G1350" s="305">
        <v>45910</v>
      </c>
      <c r="H1350" s="306">
        <v>5248.205078125</v>
      </c>
      <c r="I1350" s="293">
        <f t="shared" si="43"/>
        <v>-1.3459882264162294E-2</v>
      </c>
      <c r="J1350" s="289"/>
      <c r="K1350" s="275"/>
      <c r="L1350" s="290"/>
      <c r="M1350" s="275"/>
      <c r="N1350" s="275"/>
      <c r="O1350" s="275"/>
      <c r="P1350" s="275"/>
      <c r="Q1350" s="275"/>
      <c r="R1350" s="275"/>
      <c r="S1350" s="275"/>
      <c r="T1350" s="275"/>
    </row>
    <row r="1351" spans="1:20" ht="15" customHeight="1">
      <c r="A1351" s="20"/>
      <c r="B1351" s="294">
        <v>45911</v>
      </c>
      <c r="C1351" s="295">
        <v>25005.5</v>
      </c>
      <c r="D1351" s="296">
        <f t="shared" si="42"/>
        <v>1.2974116602184522E-3</v>
      </c>
      <c r="E1351" s="20"/>
      <c r="F1351" s="297"/>
      <c r="G1351" s="298">
        <v>45911</v>
      </c>
      <c r="H1351" s="299">
        <v>5200.6323242129602</v>
      </c>
      <c r="I1351" s="300">
        <f t="shared" si="43"/>
        <v>-9.0645760224438345E-3</v>
      </c>
      <c r="J1351" s="296"/>
      <c r="K1351" s="20"/>
      <c r="L1351" s="297"/>
      <c r="M1351" s="275"/>
      <c r="N1351" s="275"/>
      <c r="O1351" s="275"/>
      <c r="P1351" s="275"/>
      <c r="Q1351" s="275"/>
      <c r="R1351" s="275"/>
      <c r="S1351" s="275"/>
      <c r="T1351" s="275"/>
    </row>
    <row r="1352" spans="1:20" ht="15" customHeight="1">
      <c r="A1352" s="275"/>
      <c r="B1352" s="303">
        <v>45912</v>
      </c>
      <c r="C1352" s="304">
        <v>25114</v>
      </c>
      <c r="D1352" s="289">
        <f t="shared" si="42"/>
        <v>4.3390454100097975E-3</v>
      </c>
      <c r="E1352" s="275"/>
      <c r="F1352" s="290"/>
      <c r="G1352" s="305">
        <v>45912</v>
      </c>
      <c r="H1352" s="306">
        <v>5200.1416015625</v>
      </c>
      <c r="I1352" s="293">
        <f t="shared" si="43"/>
        <v>-9.4358266431461373E-5</v>
      </c>
      <c r="J1352" s="289"/>
      <c r="K1352" s="275"/>
      <c r="L1352" s="290"/>
      <c r="M1352" s="275"/>
      <c r="N1352" s="275"/>
      <c r="O1352" s="275"/>
      <c r="P1352" s="275"/>
      <c r="Q1352" s="275"/>
      <c r="R1352" s="275"/>
      <c r="S1352" s="275"/>
      <c r="T1352" s="275"/>
    </row>
    <row r="1353" spans="1:20" ht="15" customHeight="1">
      <c r="A1353" s="20"/>
      <c r="B1353" s="294">
        <v>45915</v>
      </c>
      <c r="C1353" s="295">
        <v>25069.19921875</v>
      </c>
      <c r="D1353" s="296">
        <f t="shared" si="42"/>
        <v>-1.7838966811340288E-3</v>
      </c>
      <c r="E1353" s="20"/>
      <c r="F1353" s="297"/>
      <c r="G1353" s="298">
        <v>45915</v>
      </c>
      <c r="H1353" s="299">
        <v>5187.3901367129602</v>
      </c>
      <c r="I1353" s="300">
        <f t="shared" si="43"/>
        <v>-2.4521380044167217E-3</v>
      </c>
      <c r="J1353" s="296"/>
      <c r="K1353" s="20"/>
      <c r="L1353" s="297"/>
      <c r="M1353" s="275"/>
      <c r="N1353" s="275"/>
      <c r="O1353" s="275"/>
      <c r="P1353" s="275"/>
      <c r="Q1353" s="275"/>
      <c r="R1353" s="275"/>
      <c r="S1353" s="275"/>
      <c r="T1353" s="275"/>
    </row>
    <row r="1354" spans="1:20" ht="15" customHeight="1">
      <c r="A1354" s="275"/>
      <c r="B1354" s="303">
        <v>45916</v>
      </c>
      <c r="C1354" s="304">
        <v>25239.099609375</v>
      </c>
      <c r="D1354" s="289">
        <f t="shared" si="42"/>
        <v>6.7772563910987009E-3</v>
      </c>
      <c r="E1354" s="275"/>
      <c r="F1354" s="290"/>
      <c r="G1354" s="305">
        <v>45916</v>
      </c>
      <c r="H1354" s="306">
        <v>5214.3647460879602</v>
      </c>
      <c r="I1354" s="293">
        <f t="shared" si="43"/>
        <v>5.2000348275506271E-3</v>
      </c>
      <c r="J1354" s="289"/>
      <c r="K1354" s="275"/>
      <c r="L1354" s="290"/>
      <c r="M1354" s="275"/>
      <c r="N1354" s="275"/>
      <c r="O1354" s="275"/>
      <c r="P1354" s="275"/>
      <c r="Q1354" s="275"/>
      <c r="R1354" s="275"/>
      <c r="S1354" s="275"/>
      <c r="T1354" s="275"/>
    </row>
    <row r="1355" spans="1:20" ht="15" customHeight="1">
      <c r="A1355" s="20"/>
      <c r="B1355" s="294">
        <v>45917</v>
      </c>
      <c r="C1355" s="295">
        <v>25330.25</v>
      </c>
      <c r="D1355" s="296">
        <f t="shared" si="42"/>
        <v>3.6114755294654973E-3</v>
      </c>
      <c r="E1355" s="20"/>
      <c r="F1355" s="297"/>
      <c r="G1355" s="298">
        <v>45917</v>
      </c>
      <c r="H1355" s="299">
        <v>5247.7143554629602</v>
      </c>
      <c r="I1355" s="300">
        <f t="shared" si="43"/>
        <v>6.3957185580506819E-3</v>
      </c>
      <c r="J1355" s="296"/>
      <c r="K1355" s="20"/>
      <c r="L1355" s="297"/>
      <c r="M1355" s="275"/>
      <c r="N1355" s="275"/>
      <c r="O1355" s="275"/>
      <c r="P1355" s="275"/>
      <c r="Q1355" s="275"/>
      <c r="R1355" s="275"/>
      <c r="S1355" s="275"/>
      <c r="T1355" s="275"/>
    </row>
    <row r="1356" spans="1:20" ht="15" customHeight="1">
      <c r="A1356" s="275"/>
      <c r="B1356" s="303">
        <v>45918</v>
      </c>
      <c r="C1356" s="304">
        <v>25423.599609375</v>
      </c>
      <c r="D1356" s="289">
        <f t="shared" si="42"/>
        <v>3.6853015416350018E-3</v>
      </c>
      <c r="E1356" s="275"/>
      <c r="F1356" s="290"/>
      <c r="G1356" s="305">
        <v>45918</v>
      </c>
      <c r="H1356" s="306">
        <v>5267.33203125</v>
      </c>
      <c r="I1356" s="293">
        <f t="shared" si="43"/>
        <v>3.7383276714780611E-3</v>
      </c>
      <c r="J1356" s="289"/>
      <c r="K1356" s="275"/>
      <c r="L1356" s="290"/>
      <c r="M1356" s="275"/>
      <c r="N1356" s="275"/>
      <c r="O1356" s="275"/>
      <c r="P1356" s="275"/>
      <c r="Q1356" s="275"/>
      <c r="R1356" s="275"/>
      <c r="S1356" s="275"/>
      <c r="T1356" s="275"/>
    </row>
    <row r="1357" spans="1:20" ht="15" customHeight="1">
      <c r="A1357" s="20"/>
      <c r="B1357" s="294">
        <v>45919</v>
      </c>
      <c r="C1357" s="295">
        <v>25327.05078125</v>
      </c>
      <c r="D1357" s="296">
        <f t="shared" si="42"/>
        <v>-3.7976065391384403E-3</v>
      </c>
      <c r="E1357" s="20"/>
      <c r="F1357" s="297"/>
      <c r="G1357" s="298">
        <v>45919</v>
      </c>
      <c r="H1357" s="299">
        <v>5304.60546875</v>
      </c>
      <c r="I1357" s="300">
        <f t="shared" si="43"/>
        <v>7.0763409784810119E-3</v>
      </c>
      <c r="J1357" s="296"/>
      <c r="K1357" s="20"/>
      <c r="L1357" s="297"/>
      <c r="M1357" s="275"/>
      <c r="N1357" s="275"/>
      <c r="O1357" s="275"/>
      <c r="P1357" s="275"/>
      <c r="Q1357" s="275"/>
      <c r="R1357" s="275"/>
      <c r="S1357" s="275"/>
      <c r="T1357" s="275"/>
    </row>
    <row r="1358" spans="1:20" ht="15" customHeight="1">
      <c r="A1358" s="275"/>
      <c r="B1358" s="303">
        <v>45922</v>
      </c>
      <c r="C1358" s="304">
        <v>25202.349609375</v>
      </c>
      <c r="D1358" s="289">
        <f t="shared" si="42"/>
        <v>-4.9236357186648108E-3</v>
      </c>
      <c r="E1358" s="275"/>
      <c r="F1358" s="290"/>
      <c r="G1358" s="305">
        <v>45922</v>
      </c>
      <c r="H1358" s="306">
        <v>5325.6943359375</v>
      </c>
      <c r="I1358" s="293">
        <f t="shared" si="43"/>
        <v>3.9755769419114731E-3</v>
      </c>
      <c r="J1358" s="289"/>
      <c r="K1358" s="275"/>
      <c r="L1358" s="290"/>
      <c r="M1358" s="275"/>
      <c r="N1358" s="275"/>
      <c r="O1358" s="275"/>
      <c r="P1358" s="275"/>
      <c r="Q1358" s="275"/>
      <c r="R1358" s="275"/>
      <c r="S1358" s="275"/>
      <c r="T1358" s="275"/>
    </row>
    <row r="1359" spans="1:20" ht="15" customHeight="1">
      <c r="A1359" s="20"/>
      <c r="B1359" s="294">
        <v>45923</v>
      </c>
      <c r="C1359" s="295">
        <v>25169.5</v>
      </c>
      <c r="D1359" s="296">
        <f t="shared" si="42"/>
        <v>-1.3034343973539794E-3</v>
      </c>
      <c r="E1359" s="20"/>
      <c r="F1359" s="297"/>
      <c r="G1359" s="298">
        <v>45923</v>
      </c>
      <c r="H1359" s="299">
        <v>5267.8227539120398</v>
      </c>
      <c r="I1359" s="300">
        <f t="shared" si="43"/>
        <v>-1.0866485827950325E-2</v>
      </c>
      <c r="J1359" s="296"/>
      <c r="K1359" s="20"/>
      <c r="L1359" s="297"/>
      <c r="M1359" s="275"/>
      <c r="N1359" s="275"/>
      <c r="O1359" s="275"/>
      <c r="P1359" s="275"/>
      <c r="Q1359" s="275"/>
      <c r="R1359" s="275"/>
      <c r="S1359" s="275"/>
      <c r="T1359" s="275"/>
    </row>
    <row r="1360" spans="1:20" ht="15" customHeight="1">
      <c r="A1360" s="275"/>
      <c r="B1360" s="303">
        <v>45924</v>
      </c>
      <c r="C1360" s="304">
        <v>25056.900390625</v>
      </c>
      <c r="D1360" s="289">
        <f t="shared" si="42"/>
        <v>-4.4736530076084149E-3</v>
      </c>
      <c r="E1360" s="275"/>
      <c r="F1360" s="290"/>
      <c r="G1360" s="305">
        <v>45924</v>
      </c>
      <c r="H1360" s="306">
        <v>5176.1103515625</v>
      </c>
      <c r="I1360" s="293">
        <f t="shared" si="43"/>
        <v>-1.7409925624667519E-2</v>
      </c>
      <c r="J1360" s="289"/>
      <c r="K1360" s="275"/>
      <c r="L1360" s="290"/>
      <c r="M1360" s="275"/>
      <c r="N1360" s="275"/>
      <c r="O1360" s="275"/>
      <c r="P1360" s="275"/>
      <c r="Q1360" s="275"/>
      <c r="R1360" s="275"/>
      <c r="S1360" s="275"/>
      <c r="T1360" s="275"/>
    </row>
    <row r="1361" spans="1:20" ht="15" customHeight="1">
      <c r="A1361" s="20"/>
      <c r="B1361" s="294">
        <v>45925</v>
      </c>
      <c r="C1361" s="295">
        <v>24890.849609375</v>
      </c>
      <c r="D1361" s="296">
        <f t="shared" si="42"/>
        <v>-6.6269482123226878E-3</v>
      </c>
      <c r="E1361" s="20"/>
      <c r="F1361" s="297"/>
      <c r="G1361" s="298">
        <v>45925</v>
      </c>
      <c r="H1361" s="299">
        <v>5252.1284179629602</v>
      </c>
      <c r="I1361" s="300">
        <f t="shared" si="43"/>
        <v>1.4686330320896803E-2</v>
      </c>
      <c r="J1361" s="296"/>
      <c r="K1361" s="20"/>
      <c r="L1361" s="297"/>
      <c r="M1361" s="275"/>
      <c r="N1361" s="275"/>
      <c r="O1361" s="275"/>
      <c r="P1361" s="275"/>
      <c r="Q1361" s="275"/>
      <c r="R1361" s="275"/>
      <c r="S1361" s="275"/>
      <c r="T1361" s="275"/>
    </row>
    <row r="1362" spans="1:20" ht="15" customHeight="1">
      <c r="A1362" s="275"/>
      <c r="B1362" s="303">
        <v>45926</v>
      </c>
      <c r="C1362" s="304">
        <v>24654.69921875</v>
      </c>
      <c r="D1362" s="289">
        <f t="shared" si="42"/>
        <v>-9.4874379272315099E-3</v>
      </c>
      <c r="E1362" s="275"/>
      <c r="F1362" s="290"/>
      <c r="G1362" s="305">
        <v>45926</v>
      </c>
      <c r="H1362" s="306">
        <v>5226.1352539120398</v>
      </c>
      <c r="I1362" s="293">
        <f t="shared" si="43"/>
        <v>-4.9490724488038644E-3</v>
      </c>
      <c r="J1362" s="289"/>
      <c r="K1362" s="275"/>
      <c r="L1362" s="290"/>
      <c r="M1362" s="275"/>
      <c r="N1362" s="275"/>
      <c r="O1362" s="275"/>
      <c r="P1362" s="275"/>
      <c r="Q1362" s="275"/>
      <c r="R1362" s="275"/>
      <c r="S1362" s="275"/>
      <c r="T1362" s="275"/>
    </row>
    <row r="1363" spans="1:20" ht="15" customHeight="1">
      <c r="A1363" s="20"/>
      <c r="B1363" s="294">
        <v>45929</v>
      </c>
      <c r="C1363" s="295">
        <v>24634.900390625</v>
      </c>
      <c r="D1363" s="296">
        <f t="shared" si="42"/>
        <v>-8.030448049409952E-4</v>
      </c>
      <c r="E1363" s="20"/>
      <c r="F1363" s="297"/>
      <c r="G1363" s="298">
        <v>45929</v>
      </c>
      <c r="H1363" s="299">
        <v>5199.1606445370398</v>
      </c>
      <c r="I1363" s="300">
        <f t="shared" si="43"/>
        <v>-5.1614832116731136E-3</v>
      </c>
      <c r="J1363" s="296"/>
      <c r="K1363" s="20"/>
      <c r="L1363" s="297"/>
      <c r="M1363" s="275"/>
      <c r="N1363" s="275"/>
      <c r="O1363" s="275"/>
      <c r="P1363" s="275"/>
      <c r="Q1363" s="275"/>
      <c r="R1363" s="275"/>
      <c r="S1363" s="275"/>
      <c r="T1363" s="275"/>
    </row>
    <row r="1364" spans="1:20" ht="15" customHeight="1">
      <c r="A1364" s="275"/>
      <c r="B1364" s="303">
        <v>45930</v>
      </c>
      <c r="C1364" s="304">
        <v>24611.099609375</v>
      </c>
      <c r="D1364" s="289">
        <f t="shared" si="42"/>
        <v>-9.6614075448251335E-4</v>
      </c>
      <c r="E1364" s="275"/>
      <c r="F1364" s="290"/>
      <c r="G1364" s="305">
        <v>45930</v>
      </c>
      <c r="H1364" s="306">
        <v>5367.8725585879602</v>
      </c>
      <c r="I1364" s="293">
        <f t="shared" si="43"/>
        <v>3.2449836730510044E-2</v>
      </c>
      <c r="J1364" s="289"/>
      <c r="K1364" s="275"/>
      <c r="L1364" s="290"/>
      <c r="M1364" s="275"/>
      <c r="N1364" s="275"/>
      <c r="O1364" s="275"/>
      <c r="P1364" s="275"/>
      <c r="Q1364" s="275"/>
      <c r="R1364" s="275"/>
      <c r="S1364" s="275"/>
      <c r="T1364" s="275"/>
    </row>
    <row r="1365" spans="1:20" ht="15" customHeight="1">
      <c r="A1365" s="20"/>
      <c r="B1365" s="294">
        <v>45931</v>
      </c>
      <c r="C1365" s="295">
        <v>24836.30078125</v>
      </c>
      <c r="D1365" s="296">
        <f t="shared" si="42"/>
        <v>9.1503904924758045E-3</v>
      </c>
      <c r="E1365" s="20"/>
      <c r="F1365" s="297"/>
      <c r="G1365" s="298">
        <v>45931</v>
      </c>
      <c r="H1365" s="299">
        <v>5328.6372070370398</v>
      </c>
      <c r="I1365" s="300">
        <f t="shared" si="43"/>
        <v>-7.3092926709201391E-3</v>
      </c>
      <c r="J1365" s="296"/>
      <c r="K1365" s="20"/>
      <c r="L1365" s="297"/>
      <c r="M1365" s="275"/>
      <c r="N1365" s="275"/>
      <c r="O1365" s="275"/>
      <c r="P1365" s="275"/>
      <c r="Q1365" s="275"/>
      <c r="R1365" s="275"/>
      <c r="S1365" s="275"/>
      <c r="T1365" s="275"/>
    </row>
    <row r="1366" spans="1:20" ht="15" customHeight="1">
      <c r="A1366" s="275"/>
      <c r="B1366" s="303">
        <v>45933</v>
      </c>
      <c r="C1366" s="304">
        <v>24894.25</v>
      </c>
      <c r="D1366" s="289">
        <f t="shared" si="42"/>
        <v>2.3332467769817144E-3</v>
      </c>
      <c r="E1366" s="275"/>
      <c r="F1366" s="290"/>
      <c r="G1366" s="305">
        <v>45933</v>
      </c>
      <c r="H1366" s="306">
        <v>5444.3813476620398</v>
      </c>
      <c r="I1366" s="293">
        <f t="shared" si="43"/>
        <v>2.1721152356206083E-2</v>
      </c>
      <c r="J1366" s="289"/>
      <c r="K1366" s="275"/>
      <c r="L1366" s="290"/>
      <c r="M1366" s="275"/>
      <c r="N1366" s="275"/>
      <c r="O1366" s="275"/>
      <c r="P1366" s="275"/>
      <c r="Q1366" s="275"/>
      <c r="R1366" s="275"/>
      <c r="S1366" s="275"/>
      <c r="T1366" s="275"/>
    </row>
    <row r="1367" spans="1:20" ht="15" customHeight="1">
      <c r="A1367" s="20"/>
      <c r="B1367" s="294">
        <v>45936</v>
      </c>
      <c r="C1367" s="295">
        <v>25077.650390625</v>
      </c>
      <c r="D1367" s="296">
        <f t="shared" si="42"/>
        <v>7.3671787912871446E-3</v>
      </c>
      <c r="E1367" s="20"/>
      <c r="F1367" s="297"/>
      <c r="G1367" s="298">
        <v>45936</v>
      </c>
      <c r="H1367" s="299">
        <v>5474.7885742129602</v>
      </c>
      <c r="I1367" s="300">
        <f t="shared" si="43"/>
        <v>5.5850655215358806E-3</v>
      </c>
      <c r="J1367" s="296"/>
      <c r="K1367" s="20"/>
      <c r="L1367" s="297"/>
      <c r="M1367" s="275"/>
      <c r="N1367" s="275"/>
      <c r="O1367" s="275"/>
      <c r="P1367" s="275"/>
      <c r="Q1367" s="275"/>
      <c r="R1367" s="275"/>
      <c r="S1367" s="275"/>
      <c r="T1367" s="275"/>
    </row>
    <row r="1368" spans="1:20" ht="15" customHeight="1">
      <c r="A1368" s="275"/>
      <c r="B1368" s="303">
        <v>45937</v>
      </c>
      <c r="C1368" s="304">
        <v>25108.30078125</v>
      </c>
      <c r="D1368" s="289">
        <f t="shared" si="42"/>
        <v>1.2222193924698109E-3</v>
      </c>
      <c r="E1368" s="275"/>
      <c r="F1368" s="290"/>
      <c r="G1368" s="305">
        <v>45937</v>
      </c>
      <c r="H1368" s="306">
        <v>5507.6479492129602</v>
      </c>
      <c r="I1368" s="293">
        <f t="shared" si="43"/>
        <v>6.0019441033343961E-3</v>
      </c>
      <c r="J1368" s="289"/>
      <c r="K1368" s="275"/>
      <c r="L1368" s="290"/>
      <c r="M1368" s="275"/>
      <c r="N1368" s="275"/>
      <c r="O1368" s="275"/>
      <c r="P1368" s="275"/>
      <c r="Q1368" s="275"/>
      <c r="R1368" s="275"/>
      <c r="S1368" s="275"/>
      <c r="T1368" s="275"/>
    </row>
    <row r="1369" spans="1:20" ht="15" customHeight="1">
      <c r="A1369" s="20"/>
      <c r="B1369" s="294">
        <v>45938</v>
      </c>
      <c r="C1369" s="295">
        <v>25046.150390625</v>
      </c>
      <c r="D1369" s="296">
        <f t="shared" si="42"/>
        <v>-2.4752925801897249E-3</v>
      </c>
      <c r="E1369" s="20"/>
      <c r="F1369" s="297"/>
      <c r="G1369" s="298">
        <v>45938</v>
      </c>
      <c r="H1369" s="299">
        <v>5407.1079101620398</v>
      </c>
      <c r="I1369" s="300">
        <f t="shared" si="43"/>
        <v>-1.8254623385157983E-2</v>
      </c>
      <c r="J1369" s="296"/>
      <c r="K1369" s="20"/>
      <c r="L1369" s="297"/>
      <c r="M1369" s="275"/>
      <c r="N1369" s="275"/>
      <c r="O1369" s="275"/>
      <c r="P1369" s="275"/>
      <c r="Q1369" s="275"/>
      <c r="R1369" s="275"/>
      <c r="S1369" s="275"/>
      <c r="T1369" s="275"/>
    </row>
    <row r="1370" spans="1:20" ht="15" customHeight="1">
      <c r="A1370" s="275"/>
      <c r="B1370" s="303">
        <v>45939</v>
      </c>
      <c r="C1370" s="304">
        <v>25181.80078125</v>
      </c>
      <c r="D1370" s="289">
        <f t="shared" si="42"/>
        <v>5.4160175719369296E-3</v>
      </c>
      <c r="E1370" s="275"/>
      <c r="F1370" s="290"/>
      <c r="G1370" s="305">
        <v>45939</v>
      </c>
      <c r="H1370" s="306">
        <v>5406.6171875</v>
      </c>
      <c r="I1370" s="293">
        <f t="shared" si="43"/>
        <v>-9.0755107941823442E-5</v>
      </c>
      <c r="J1370" s="289"/>
      <c r="K1370" s="275"/>
      <c r="L1370" s="290"/>
      <c r="M1370" s="275"/>
      <c r="N1370" s="275"/>
      <c r="O1370" s="275"/>
      <c r="P1370" s="275"/>
      <c r="Q1370" s="275"/>
      <c r="R1370" s="275"/>
      <c r="S1370" s="275"/>
      <c r="T1370" s="275"/>
    </row>
    <row r="1371" spans="1:20" ht="15" customHeight="1">
      <c r="A1371" s="20"/>
      <c r="B1371" s="294">
        <v>45940</v>
      </c>
      <c r="C1371" s="295">
        <v>25285.349609375</v>
      </c>
      <c r="D1371" s="296">
        <f t="shared" si="42"/>
        <v>4.1120501676790702E-3</v>
      </c>
      <c r="E1371" s="20"/>
      <c r="F1371" s="297"/>
      <c r="G1371" s="298">
        <v>45940</v>
      </c>
      <c r="H1371" s="299">
        <v>5394.8466796875</v>
      </c>
      <c r="I1371" s="300">
        <f t="shared" si="43"/>
        <v>-2.1770558936026023E-3</v>
      </c>
      <c r="J1371" s="296"/>
      <c r="K1371" s="20"/>
      <c r="L1371" s="297"/>
      <c r="M1371" s="275"/>
      <c r="N1371" s="275"/>
      <c r="O1371" s="275"/>
      <c r="P1371" s="275"/>
      <c r="Q1371" s="275"/>
      <c r="R1371" s="275"/>
      <c r="S1371" s="275"/>
      <c r="T1371" s="275"/>
    </row>
    <row r="1372" spans="1:20" ht="15" customHeight="1">
      <c r="A1372" s="275"/>
      <c r="B1372" s="303">
        <v>45943</v>
      </c>
      <c r="C1372" s="304">
        <v>25227.349609375</v>
      </c>
      <c r="D1372" s="289">
        <f t="shared" si="42"/>
        <v>-2.2938183927065595E-3</v>
      </c>
      <c r="E1372" s="275"/>
      <c r="F1372" s="290"/>
      <c r="G1372" s="305">
        <v>45943</v>
      </c>
      <c r="H1372" s="306">
        <v>5452.71875</v>
      </c>
      <c r="I1372" s="293">
        <f t="shared" si="43"/>
        <v>1.0727287307422104E-2</v>
      </c>
      <c r="J1372" s="289"/>
      <c r="K1372" s="275"/>
      <c r="L1372" s="290"/>
      <c r="M1372" s="275"/>
      <c r="N1372" s="275"/>
      <c r="O1372" s="275"/>
      <c r="P1372" s="275"/>
      <c r="Q1372" s="275"/>
      <c r="R1372" s="275"/>
      <c r="S1372" s="275"/>
      <c r="T1372" s="275"/>
    </row>
    <row r="1373" spans="1:20" ht="15" customHeight="1">
      <c r="A1373" s="20"/>
      <c r="B1373" s="294">
        <v>45944</v>
      </c>
      <c r="C1373" s="295">
        <v>25145.5</v>
      </c>
      <c r="D1373" s="296">
        <f t="shared" si="42"/>
        <v>-3.2444791324643557E-3</v>
      </c>
      <c r="E1373" s="20"/>
      <c r="F1373" s="297"/>
      <c r="G1373" s="298">
        <v>45944</v>
      </c>
      <c r="H1373" s="299">
        <v>5464.9794921875</v>
      </c>
      <c r="I1373" s="300">
        <f t="shared" si="43"/>
        <v>2.2485557663321624E-3</v>
      </c>
      <c r="J1373" s="296"/>
      <c r="K1373" s="20"/>
      <c r="L1373" s="297"/>
      <c r="M1373" s="275"/>
      <c r="N1373" s="275"/>
      <c r="O1373" s="275"/>
      <c r="P1373" s="275"/>
      <c r="Q1373" s="275"/>
      <c r="R1373" s="275"/>
      <c r="S1373" s="275"/>
      <c r="T1373" s="275"/>
    </row>
    <row r="1374" spans="1:20" ht="15" customHeight="1">
      <c r="A1374" s="275"/>
      <c r="B1374" s="303">
        <v>45945</v>
      </c>
      <c r="C1374" s="304">
        <v>25323.55078125</v>
      </c>
      <c r="D1374" s="289">
        <f t="shared" si="42"/>
        <v>7.0808208725219226E-3</v>
      </c>
      <c r="E1374" s="275"/>
      <c r="F1374" s="290"/>
      <c r="G1374" s="305">
        <v>45945</v>
      </c>
      <c r="H1374" s="306">
        <v>5431.6298828125</v>
      </c>
      <c r="I1374" s="293">
        <f t="shared" si="43"/>
        <v>-6.1024216875242019E-3</v>
      </c>
      <c r="J1374" s="289"/>
      <c r="K1374" s="275"/>
      <c r="L1374" s="290"/>
      <c r="M1374" s="275"/>
      <c r="N1374" s="275"/>
      <c r="O1374" s="275"/>
      <c r="P1374" s="275"/>
      <c r="Q1374" s="275"/>
      <c r="R1374" s="275"/>
      <c r="S1374" s="275"/>
      <c r="T1374" s="275"/>
    </row>
    <row r="1375" spans="1:20" ht="15" customHeight="1">
      <c r="A1375" s="20"/>
      <c r="B1375" s="294">
        <v>45946</v>
      </c>
      <c r="C1375" s="295">
        <v>25585.30078125</v>
      </c>
      <c r="D1375" s="296">
        <f t="shared" si="42"/>
        <v>1.0336228211479895E-2</v>
      </c>
      <c r="E1375" s="20"/>
      <c r="F1375" s="297"/>
      <c r="G1375" s="298">
        <v>45946</v>
      </c>
      <c r="H1375" s="299">
        <v>5472.8266601620398</v>
      </c>
      <c r="I1375" s="300">
        <f t="shared" si="43"/>
        <v>7.5846068746142428E-3</v>
      </c>
      <c r="J1375" s="296"/>
      <c r="K1375" s="20"/>
      <c r="L1375" s="297"/>
      <c r="M1375" s="275"/>
      <c r="N1375" s="275"/>
      <c r="O1375" s="275"/>
      <c r="P1375" s="275"/>
      <c r="Q1375" s="275"/>
      <c r="R1375" s="275"/>
      <c r="S1375" s="275"/>
      <c r="T1375" s="275"/>
    </row>
    <row r="1376" spans="1:20" ht="15" customHeight="1">
      <c r="A1376" s="275"/>
      <c r="B1376" s="303">
        <v>45947</v>
      </c>
      <c r="C1376" s="304">
        <v>25709.849609375</v>
      </c>
      <c r="D1376" s="289">
        <f t="shared" si="42"/>
        <v>4.8679837376105692E-3</v>
      </c>
      <c r="E1376" s="275"/>
      <c r="F1376" s="290"/>
      <c r="G1376" s="305">
        <v>45947</v>
      </c>
      <c r="H1376" s="306">
        <v>5485.578125</v>
      </c>
      <c r="I1376" s="293">
        <f t="shared" si="43"/>
        <v>2.32995956747196E-3</v>
      </c>
      <c r="J1376" s="289"/>
      <c r="K1376" s="275"/>
      <c r="L1376" s="290"/>
      <c r="M1376" s="275"/>
      <c r="N1376" s="275"/>
      <c r="O1376" s="275"/>
      <c r="P1376" s="275"/>
      <c r="Q1376" s="275"/>
      <c r="R1376" s="275"/>
      <c r="S1376" s="275"/>
      <c r="T1376" s="275"/>
    </row>
    <row r="1377" spans="1:20" ht="15" customHeight="1">
      <c r="A1377" s="20"/>
      <c r="B1377" s="294">
        <v>45950</v>
      </c>
      <c r="C1377" s="295">
        <v>25843.150390625</v>
      </c>
      <c r="D1377" s="296">
        <f t="shared" si="42"/>
        <v>5.1848137299641134E-3</v>
      </c>
      <c r="E1377" s="20"/>
      <c r="F1377" s="297"/>
      <c r="G1377" s="298">
        <v>45950</v>
      </c>
      <c r="H1377" s="299">
        <v>5533.1508789120398</v>
      </c>
      <c r="I1377" s="300">
        <f t="shared" si="43"/>
        <v>8.6723318541817029E-3</v>
      </c>
      <c r="J1377" s="296"/>
      <c r="K1377" s="20"/>
      <c r="L1377" s="297"/>
      <c r="M1377" s="275"/>
      <c r="N1377" s="275"/>
      <c r="O1377" s="275"/>
      <c r="P1377" s="275"/>
      <c r="Q1377" s="275"/>
      <c r="R1377" s="275"/>
      <c r="S1377" s="275"/>
      <c r="T1377" s="275"/>
    </row>
    <row r="1378" spans="1:20" ht="15" customHeight="1">
      <c r="A1378" s="275"/>
      <c r="B1378" s="303">
        <v>45951</v>
      </c>
      <c r="C1378" s="304">
        <v>25868.599609375</v>
      </c>
      <c r="D1378" s="289">
        <f t="shared" si="42"/>
        <v>9.8475682590277742E-4</v>
      </c>
      <c r="E1378" s="275"/>
      <c r="F1378" s="290"/>
      <c r="G1378" s="305">
        <v>45951</v>
      </c>
      <c r="H1378" s="306">
        <v>5538.5458984375</v>
      </c>
      <c r="I1378" s="293">
        <f t="shared" si="43"/>
        <v>9.7503567922242469E-4</v>
      </c>
      <c r="J1378" s="289"/>
      <c r="K1378" s="275"/>
      <c r="L1378" s="290"/>
      <c r="M1378" s="275"/>
      <c r="N1378" s="275"/>
      <c r="O1378" s="275"/>
      <c r="P1378" s="275"/>
      <c r="Q1378" s="275"/>
      <c r="R1378" s="275"/>
      <c r="S1378" s="275"/>
      <c r="T1378" s="275"/>
    </row>
    <row r="1379" spans="1:20" ht="15" customHeight="1">
      <c r="A1379" s="20"/>
      <c r="B1379" s="294">
        <v>45953</v>
      </c>
      <c r="C1379" s="295">
        <v>25891.400390625</v>
      </c>
      <c r="D1379" s="296">
        <f t="shared" si="42"/>
        <v>8.8140763683770514E-4</v>
      </c>
      <c r="E1379" s="20"/>
      <c r="F1379" s="297"/>
      <c r="G1379" s="298">
        <v>45953</v>
      </c>
      <c r="H1379" s="299">
        <v>5481.6547851620398</v>
      </c>
      <c r="I1379" s="300">
        <f t="shared" si="43"/>
        <v>-1.0271850106272464E-2</v>
      </c>
      <c r="J1379" s="296"/>
      <c r="K1379" s="20"/>
      <c r="L1379" s="297"/>
      <c r="M1379" s="275"/>
      <c r="N1379" s="275"/>
      <c r="O1379" s="275"/>
      <c r="P1379" s="275"/>
      <c r="Q1379" s="275"/>
      <c r="R1379" s="275"/>
      <c r="S1379" s="275"/>
      <c r="T1379" s="275"/>
    </row>
    <row r="1380" spans="1:20" ht="15" customHeight="1">
      <c r="A1380" s="275"/>
      <c r="B1380" s="303">
        <v>45954</v>
      </c>
      <c r="C1380" s="304">
        <v>25795.150390625</v>
      </c>
      <c r="D1380" s="289">
        <f t="shared" si="42"/>
        <v>-3.7174505259611641E-3</v>
      </c>
      <c r="E1380" s="275"/>
      <c r="F1380" s="290"/>
      <c r="G1380" s="305">
        <v>45954</v>
      </c>
      <c r="H1380" s="306">
        <v>5434.572265625</v>
      </c>
      <c r="I1380" s="293">
        <f t="shared" si="43"/>
        <v>-8.5891070091616631E-3</v>
      </c>
      <c r="J1380" s="289"/>
      <c r="K1380" s="275"/>
      <c r="L1380" s="290"/>
      <c r="M1380" s="275"/>
      <c r="N1380" s="275"/>
      <c r="O1380" s="275"/>
      <c r="P1380" s="275"/>
      <c r="Q1380" s="275"/>
      <c r="R1380" s="275"/>
      <c r="S1380" s="275"/>
      <c r="T1380" s="275"/>
    </row>
    <row r="1381" spans="1:20" ht="15" customHeight="1">
      <c r="A1381" s="20"/>
      <c r="B1381" s="294">
        <v>45957</v>
      </c>
      <c r="C1381" s="295">
        <v>25966.05078125</v>
      </c>
      <c r="D1381" s="296">
        <f t="shared" si="42"/>
        <v>6.6252915000298701E-3</v>
      </c>
      <c r="E1381" s="20"/>
      <c r="F1381" s="297"/>
      <c r="G1381" s="298">
        <v>45957</v>
      </c>
      <c r="H1381" s="299">
        <v>5538.5458984375</v>
      </c>
      <c r="I1381" s="300">
        <f t="shared" si="43"/>
        <v>1.9131888901387638E-2</v>
      </c>
      <c r="J1381" s="296"/>
      <c r="K1381" s="20"/>
      <c r="L1381" s="297"/>
      <c r="M1381" s="275"/>
      <c r="N1381" s="275"/>
      <c r="O1381" s="275"/>
      <c r="P1381" s="275"/>
      <c r="Q1381" s="275"/>
      <c r="R1381" s="275"/>
      <c r="S1381" s="275"/>
      <c r="T1381" s="275"/>
    </row>
    <row r="1382" spans="1:20" ht="15" customHeight="1">
      <c r="A1382" s="275"/>
      <c r="B1382" s="303">
        <v>45958</v>
      </c>
      <c r="C1382" s="304">
        <v>25936.19921875</v>
      </c>
      <c r="D1382" s="289">
        <f t="shared" si="42"/>
        <v>-1.1496381468049702E-3</v>
      </c>
      <c r="E1382" s="275"/>
      <c r="F1382" s="290"/>
      <c r="G1382" s="305">
        <v>45958</v>
      </c>
      <c r="H1382" s="306">
        <v>5502.2529296875</v>
      </c>
      <c r="I1382" s="293">
        <f t="shared" si="43"/>
        <v>-6.5527973254205125E-3</v>
      </c>
      <c r="J1382" s="289"/>
      <c r="K1382" s="275"/>
      <c r="L1382" s="290"/>
      <c r="M1382" s="275"/>
      <c r="N1382" s="275"/>
      <c r="O1382" s="275"/>
      <c r="P1382" s="275"/>
      <c r="Q1382" s="275"/>
      <c r="R1382" s="275"/>
      <c r="S1382" s="275"/>
      <c r="T1382" s="275"/>
    </row>
    <row r="1383" spans="1:20" ht="15" customHeight="1">
      <c r="A1383" s="20"/>
      <c r="B1383" s="294">
        <v>45959</v>
      </c>
      <c r="C1383" s="295">
        <v>26053.900390625</v>
      </c>
      <c r="D1383" s="296">
        <f t="shared" si="42"/>
        <v>4.5381040946782421E-3</v>
      </c>
      <c r="E1383" s="20"/>
      <c r="F1383" s="297"/>
      <c r="G1383" s="298">
        <v>45959</v>
      </c>
      <c r="H1383" s="299">
        <v>5445.3618164120398</v>
      </c>
      <c r="I1383" s="300">
        <f t="shared" si="43"/>
        <v>-1.0339603431987501E-2</v>
      </c>
      <c r="J1383" s="296"/>
      <c r="K1383" s="20"/>
      <c r="L1383" s="297"/>
      <c r="M1383" s="275"/>
      <c r="N1383" s="275"/>
      <c r="O1383" s="275"/>
      <c r="P1383" s="275"/>
      <c r="Q1383" s="275"/>
      <c r="R1383" s="275"/>
      <c r="S1383" s="275"/>
      <c r="T1383" s="275"/>
    </row>
    <row r="1384" spans="1:20" ht="15" customHeight="1">
      <c r="A1384" s="275"/>
      <c r="B1384" s="303">
        <v>45960</v>
      </c>
      <c r="C1384" s="304">
        <v>25877.849609375</v>
      </c>
      <c r="D1384" s="289">
        <f t="shared" si="42"/>
        <v>-6.7571756478100502E-3</v>
      </c>
      <c r="E1384" s="275"/>
      <c r="F1384" s="290"/>
      <c r="G1384" s="305">
        <v>45960</v>
      </c>
      <c r="H1384" s="306">
        <v>5409.5600585879602</v>
      </c>
      <c r="I1384" s="293">
        <f t="shared" si="43"/>
        <v>-6.5747252489586705E-3</v>
      </c>
      <c r="J1384" s="289"/>
      <c r="K1384" s="275"/>
      <c r="L1384" s="290"/>
      <c r="M1384" s="275"/>
      <c r="N1384" s="275"/>
      <c r="O1384" s="275"/>
      <c r="P1384" s="275"/>
      <c r="Q1384" s="275"/>
      <c r="R1384" s="275"/>
      <c r="S1384" s="275"/>
      <c r="T1384" s="275"/>
    </row>
    <row r="1385" spans="1:20" ht="15" customHeight="1">
      <c r="A1385" s="20"/>
      <c r="B1385" s="294">
        <v>45961</v>
      </c>
      <c r="C1385" s="295">
        <v>25722.099609375</v>
      </c>
      <c r="D1385" s="296">
        <f t="shared" si="42"/>
        <v>-6.0186608373972101E-3</v>
      </c>
      <c r="E1385" s="20"/>
      <c r="F1385" s="297"/>
      <c r="G1385" s="298">
        <v>45961</v>
      </c>
      <c r="H1385" s="299">
        <v>5438.0053710879602</v>
      </c>
      <c r="I1385" s="300">
        <f t="shared" si="43"/>
        <v>5.2583411944639707E-3</v>
      </c>
      <c r="J1385" s="296"/>
      <c r="K1385" s="20"/>
      <c r="L1385" s="297"/>
      <c r="M1385" s="275"/>
      <c r="N1385" s="275"/>
      <c r="O1385" s="275"/>
      <c r="P1385" s="275"/>
      <c r="Q1385" s="275"/>
      <c r="R1385" s="275"/>
      <c r="S1385" s="275"/>
      <c r="T1385" s="275"/>
    </row>
    <row r="1386" spans="1:20" ht="15" customHeight="1">
      <c r="A1386" s="275"/>
      <c r="B1386" s="303">
        <v>45964</v>
      </c>
      <c r="C1386" s="304">
        <v>25763.349609375</v>
      </c>
      <c r="D1386" s="289">
        <f t="shared" si="42"/>
        <v>1.6036793506920993E-3</v>
      </c>
      <c r="E1386" s="275"/>
      <c r="F1386" s="290"/>
      <c r="G1386" s="305">
        <v>45964</v>
      </c>
      <c r="H1386" s="306">
        <v>5433.1010742129602</v>
      </c>
      <c r="I1386" s="293">
        <f t="shared" si="43"/>
        <v>-9.0185583505939361E-4</v>
      </c>
      <c r="J1386" s="289"/>
      <c r="K1386" s="275"/>
      <c r="L1386" s="290"/>
      <c r="M1386" s="275"/>
      <c r="N1386" s="275"/>
      <c r="O1386" s="275"/>
      <c r="P1386" s="275"/>
      <c r="Q1386" s="275"/>
      <c r="R1386" s="275"/>
      <c r="S1386" s="275"/>
      <c r="T1386" s="275"/>
    </row>
    <row r="1387" spans="1:20" ht="15" customHeight="1">
      <c r="A1387" s="20"/>
      <c r="B1387" s="294">
        <v>45965</v>
      </c>
      <c r="C1387" s="295">
        <v>25597.650390625</v>
      </c>
      <c r="D1387" s="296">
        <f t="shared" si="42"/>
        <v>-6.4315867797603409E-3</v>
      </c>
      <c r="E1387" s="20"/>
      <c r="F1387" s="297"/>
      <c r="G1387" s="298">
        <v>45965</v>
      </c>
      <c r="H1387" s="299">
        <v>5207.4985351620398</v>
      </c>
      <c r="I1387" s="300">
        <f t="shared" si="43"/>
        <v>-4.1523714720069167E-2</v>
      </c>
      <c r="J1387" s="296"/>
      <c r="K1387" s="20"/>
      <c r="L1387" s="297"/>
      <c r="M1387" s="275"/>
      <c r="N1387" s="275"/>
      <c r="O1387" s="275"/>
      <c r="P1387" s="275"/>
      <c r="Q1387" s="275"/>
      <c r="R1387" s="275"/>
      <c r="S1387" s="275"/>
      <c r="T1387" s="275"/>
    </row>
    <row r="1388" spans="1:20" ht="15" customHeight="1">
      <c r="A1388" s="275"/>
      <c r="B1388" s="303">
        <v>45967</v>
      </c>
      <c r="C1388" s="304">
        <v>25509.69921875</v>
      </c>
      <c r="D1388" s="289">
        <f t="shared" si="42"/>
        <v>-3.4359080045569977E-3</v>
      </c>
      <c r="E1388" s="275"/>
      <c r="F1388" s="290"/>
      <c r="G1388" s="305">
        <v>45967</v>
      </c>
      <c r="H1388" s="306">
        <v>5224.1733398379602</v>
      </c>
      <c r="I1388" s="293">
        <f t="shared" si="43"/>
        <v>3.2020757304738155E-3</v>
      </c>
      <c r="J1388" s="289"/>
      <c r="K1388" s="275"/>
      <c r="L1388" s="290"/>
      <c r="M1388" s="275"/>
      <c r="N1388" s="275"/>
      <c r="O1388" s="275"/>
      <c r="P1388" s="275"/>
      <c r="Q1388" s="275"/>
      <c r="R1388" s="275"/>
      <c r="S1388" s="275"/>
      <c r="T1388" s="275"/>
    </row>
    <row r="1389" spans="1:20" ht="15" customHeight="1">
      <c r="A1389" s="20"/>
      <c r="B1389" s="294">
        <v>45968</v>
      </c>
      <c r="C1389" s="295">
        <v>25492.30078125</v>
      </c>
      <c r="D1389" s="296">
        <f t="shared" si="42"/>
        <v>-6.8203224784445498E-4</v>
      </c>
      <c r="E1389" s="20"/>
      <c r="F1389" s="297"/>
      <c r="G1389" s="298">
        <v>45968</v>
      </c>
      <c r="H1389" s="299">
        <v>5194.7470703125</v>
      </c>
      <c r="I1389" s="300">
        <f t="shared" si="43"/>
        <v>-5.6327130842049895E-3</v>
      </c>
      <c r="J1389" s="296"/>
      <c r="K1389" s="20"/>
      <c r="L1389" s="297"/>
      <c r="M1389" s="275"/>
      <c r="N1389" s="275"/>
      <c r="O1389" s="275"/>
      <c r="P1389" s="275"/>
      <c r="Q1389" s="275"/>
      <c r="R1389" s="275"/>
      <c r="S1389" s="275"/>
      <c r="T1389" s="275"/>
    </row>
    <row r="1390" spans="1:20" ht="15" customHeight="1">
      <c r="A1390" s="275"/>
      <c r="B1390" s="303">
        <v>45971</v>
      </c>
      <c r="C1390" s="304">
        <v>25574.349609375</v>
      </c>
      <c r="D1390" s="289">
        <f t="shared" si="42"/>
        <v>3.2185728871263058E-3</v>
      </c>
      <c r="E1390" s="275"/>
      <c r="F1390" s="290"/>
      <c r="G1390" s="305">
        <v>45971</v>
      </c>
      <c r="H1390" s="306">
        <v>5257.0327148379602</v>
      </c>
      <c r="I1390" s="293">
        <f t="shared" si="43"/>
        <v>1.1990120728190379E-2</v>
      </c>
      <c r="J1390" s="289"/>
      <c r="K1390" s="275"/>
      <c r="L1390" s="290"/>
      <c r="M1390" s="275"/>
      <c r="N1390" s="275"/>
      <c r="O1390" s="275"/>
      <c r="P1390" s="275"/>
      <c r="Q1390" s="275"/>
      <c r="R1390" s="275"/>
      <c r="S1390" s="275"/>
      <c r="T1390" s="275"/>
    </row>
    <row r="1391" spans="1:20" ht="15" customHeight="1">
      <c r="A1391" s="20"/>
      <c r="B1391" s="294">
        <v>45972</v>
      </c>
      <c r="C1391" s="295">
        <v>25694.94921875</v>
      </c>
      <c r="D1391" s="296">
        <f t="shared" si="42"/>
        <v>4.7156471705849679E-3</v>
      </c>
      <c r="E1391" s="20"/>
      <c r="F1391" s="297"/>
      <c r="G1391" s="298">
        <v>45972</v>
      </c>
      <c r="H1391" s="299">
        <v>5313.923828125</v>
      </c>
      <c r="I1391" s="300">
        <f t="shared" si="43"/>
        <v>1.0821905887415316E-2</v>
      </c>
      <c r="J1391" s="296"/>
      <c r="K1391" s="20"/>
      <c r="L1391" s="297"/>
      <c r="M1391" s="275"/>
      <c r="N1391" s="275"/>
      <c r="O1391" s="275"/>
      <c r="P1391" s="275"/>
      <c r="Q1391" s="275"/>
      <c r="R1391" s="275"/>
      <c r="S1391" s="275"/>
      <c r="T1391" s="275"/>
    </row>
    <row r="1392" spans="1:20" ht="15" customHeight="1">
      <c r="A1392" s="275"/>
      <c r="B1392" s="303">
        <v>45973</v>
      </c>
      <c r="C1392" s="304">
        <v>25875.80078125</v>
      </c>
      <c r="D1392" s="289">
        <f t="shared" si="42"/>
        <v>7.0384090258497119E-3</v>
      </c>
      <c r="E1392" s="275"/>
      <c r="F1392" s="290"/>
      <c r="G1392" s="305">
        <v>45973</v>
      </c>
      <c r="H1392" s="306">
        <v>5428.1967773379602</v>
      </c>
      <c r="I1392" s="293">
        <f t="shared" si="43"/>
        <v>2.1504438698979427E-2</v>
      </c>
      <c r="J1392" s="289"/>
      <c r="K1392" s="275"/>
      <c r="L1392" s="290"/>
      <c r="M1392" s="275"/>
      <c r="N1392" s="275"/>
      <c r="O1392" s="275"/>
      <c r="P1392" s="275"/>
      <c r="Q1392" s="275"/>
      <c r="R1392" s="275"/>
      <c r="S1392" s="275"/>
      <c r="T1392" s="275"/>
    </row>
    <row r="1393" spans="1:20" ht="15" customHeight="1">
      <c r="A1393" s="20"/>
      <c r="B1393" s="294">
        <v>45974</v>
      </c>
      <c r="C1393" s="295">
        <v>25879.150390625</v>
      </c>
      <c r="D1393" s="296">
        <f t="shared" si="42"/>
        <v>1.2944949620369539E-4</v>
      </c>
      <c r="E1393" s="20"/>
      <c r="F1393" s="297"/>
      <c r="G1393" s="298">
        <v>45974</v>
      </c>
      <c r="H1393" s="299">
        <v>5403.1840820370398</v>
      </c>
      <c r="I1393" s="300">
        <f t="shared" si="43"/>
        <v>-4.6079197801644142E-3</v>
      </c>
      <c r="J1393" s="296"/>
      <c r="K1393" s="20"/>
      <c r="L1393" s="297"/>
      <c r="M1393" s="275"/>
      <c r="N1393" s="275"/>
      <c r="O1393" s="275"/>
      <c r="P1393" s="275"/>
      <c r="Q1393" s="275"/>
      <c r="R1393" s="275"/>
      <c r="S1393" s="275"/>
      <c r="T1393" s="275"/>
    </row>
    <row r="1394" spans="1:20" ht="15" customHeight="1">
      <c r="A1394" s="275"/>
      <c r="B1394" s="303">
        <v>45975</v>
      </c>
      <c r="C1394" s="304">
        <v>25910.05078125</v>
      </c>
      <c r="D1394" s="289">
        <f t="shared" si="42"/>
        <v>1.1940264714483827E-3</v>
      </c>
      <c r="E1394" s="275"/>
      <c r="F1394" s="290"/>
      <c r="G1394" s="305">
        <v>45975</v>
      </c>
      <c r="H1394" s="306">
        <v>5432.6108398379602</v>
      </c>
      <c r="I1394" s="293">
        <f t="shared" si="43"/>
        <v>5.4461882760481872E-3</v>
      </c>
      <c r="J1394" s="289"/>
      <c r="K1394" s="275"/>
      <c r="L1394" s="290"/>
      <c r="M1394" s="275"/>
      <c r="N1394" s="275"/>
      <c r="O1394" s="275"/>
      <c r="P1394" s="275"/>
      <c r="Q1394" s="275"/>
      <c r="R1394" s="275"/>
      <c r="S1394" s="275"/>
      <c r="T1394" s="275"/>
    </row>
    <row r="1395" spans="1:20" ht="15" customHeight="1">
      <c r="A1395" s="20"/>
      <c r="B1395" s="294">
        <v>45978</v>
      </c>
      <c r="C1395" s="295">
        <v>26013.44921875</v>
      </c>
      <c r="D1395" s="296">
        <f t="shared" si="42"/>
        <v>3.9906690408659891E-3</v>
      </c>
      <c r="E1395" s="20"/>
      <c r="F1395" s="297"/>
      <c r="G1395" s="298">
        <v>45978</v>
      </c>
      <c r="H1395" s="299">
        <v>5687.6396484375</v>
      </c>
      <c r="I1395" s="300">
        <f t="shared" si="43"/>
        <v>4.6944059885420886E-2</v>
      </c>
      <c r="J1395" s="296"/>
      <c r="K1395" s="20"/>
      <c r="L1395" s="297"/>
      <c r="M1395" s="275"/>
      <c r="N1395" s="275"/>
      <c r="O1395" s="275"/>
      <c r="P1395" s="275"/>
      <c r="Q1395" s="275"/>
      <c r="R1395" s="275"/>
      <c r="S1395" s="275"/>
      <c r="T1395" s="275"/>
    </row>
    <row r="1396" spans="1:20" ht="15" customHeight="1">
      <c r="A1396" s="275"/>
      <c r="B1396" s="303">
        <v>45979</v>
      </c>
      <c r="C1396" s="304">
        <v>25910.05078125</v>
      </c>
      <c r="D1396" s="289">
        <f t="shared" si="42"/>
        <v>-3.974806902018682E-3</v>
      </c>
      <c r="E1396" s="275"/>
      <c r="F1396" s="290"/>
      <c r="G1396" s="305">
        <v>45979</v>
      </c>
      <c r="H1396" s="306">
        <v>5688.6206054629602</v>
      </c>
      <c r="I1396" s="293">
        <f t="shared" si="43"/>
        <v>1.7247172572363017E-4</v>
      </c>
      <c r="J1396" s="289"/>
      <c r="K1396" s="275"/>
      <c r="L1396" s="290"/>
      <c r="M1396" s="275"/>
      <c r="N1396" s="275"/>
      <c r="O1396" s="275"/>
      <c r="P1396" s="275"/>
      <c r="Q1396" s="275"/>
      <c r="R1396" s="275"/>
      <c r="S1396" s="275"/>
      <c r="T1396" s="275"/>
    </row>
    <row r="1397" spans="1:20" ht="15" customHeight="1">
      <c r="A1397" s="20"/>
      <c r="B1397" s="294">
        <v>45980</v>
      </c>
      <c r="C1397" s="295">
        <v>26052.650390625</v>
      </c>
      <c r="D1397" s="296">
        <f t="shared" si="42"/>
        <v>5.503640675154263E-3</v>
      </c>
      <c r="E1397" s="20"/>
      <c r="F1397" s="297"/>
      <c r="G1397" s="298">
        <v>45980</v>
      </c>
      <c r="H1397" s="299">
        <v>5764.1484375</v>
      </c>
      <c r="I1397" s="300">
        <f t="shared" si="43"/>
        <v>1.3277002858040508E-2</v>
      </c>
      <c r="J1397" s="296"/>
      <c r="K1397" s="20"/>
      <c r="L1397" s="297"/>
      <c r="M1397" s="275"/>
      <c r="N1397" s="275"/>
      <c r="O1397" s="275"/>
      <c r="P1397" s="275"/>
      <c r="Q1397" s="275"/>
      <c r="R1397" s="275"/>
      <c r="S1397" s="275"/>
      <c r="T1397" s="275"/>
    </row>
    <row r="1398" spans="1:20" ht="15" customHeight="1">
      <c r="A1398" s="275"/>
      <c r="B1398" s="303">
        <v>45981</v>
      </c>
      <c r="C1398" s="304">
        <v>26192.150390625</v>
      </c>
      <c r="D1398" s="289">
        <f t="shared" si="42"/>
        <v>5.3545415882216276E-3</v>
      </c>
      <c r="E1398" s="275"/>
      <c r="F1398" s="290"/>
      <c r="G1398" s="305">
        <v>45981</v>
      </c>
      <c r="H1398" s="306">
        <v>5884.796875</v>
      </c>
      <c r="I1398" s="293">
        <f t="shared" si="43"/>
        <v>2.0930834590430339E-2</v>
      </c>
      <c r="J1398" s="289"/>
      <c r="K1398" s="275"/>
      <c r="L1398" s="290"/>
      <c r="M1398" s="275"/>
      <c r="N1398" s="275"/>
      <c r="O1398" s="275"/>
      <c r="P1398" s="275"/>
      <c r="Q1398" s="275"/>
      <c r="R1398" s="275"/>
      <c r="S1398" s="275"/>
      <c r="T1398" s="275"/>
    </row>
    <row r="1399" spans="1:20" ht="15" customHeight="1">
      <c r="A1399" s="20"/>
      <c r="B1399" s="294">
        <v>45982</v>
      </c>
      <c r="C1399" s="295">
        <v>26068.150390625</v>
      </c>
      <c r="D1399" s="296">
        <f t="shared" si="42"/>
        <v>-4.7342428227803521E-3</v>
      </c>
      <c r="E1399" s="20"/>
      <c r="F1399" s="297"/>
      <c r="G1399" s="298">
        <v>45982</v>
      </c>
      <c r="H1399" s="299">
        <v>5887.7392578125</v>
      </c>
      <c r="I1399" s="300">
        <f t="shared" si="43"/>
        <v>4.999973448531305E-4</v>
      </c>
      <c r="J1399" s="296"/>
      <c r="K1399" s="20"/>
      <c r="L1399" s="297"/>
      <c r="M1399" s="275"/>
      <c r="N1399" s="275"/>
      <c r="O1399" s="275"/>
      <c r="P1399" s="275"/>
      <c r="Q1399" s="275"/>
      <c r="R1399" s="275"/>
      <c r="S1399" s="275"/>
      <c r="T1399" s="275"/>
    </row>
    <row r="1400" spans="1:20" ht="15" customHeight="1">
      <c r="A1400" s="275"/>
      <c r="B1400" s="303">
        <v>45985</v>
      </c>
      <c r="C1400" s="304">
        <v>25959.5</v>
      </c>
      <c r="D1400" s="289">
        <f t="shared" si="42"/>
        <v>-4.167936312968119E-3</v>
      </c>
      <c r="E1400" s="275"/>
      <c r="F1400" s="290"/>
      <c r="G1400" s="305">
        <v>45985</v>
      </c>
      <c r="H1400" s="306">
        <v>5867.6313476620398</v>
      </c>
      <c r="I1400" s="293">
        <f t="shared" si="43"/>
        <v>-3.4152175002958511E-3</v>
      </c>
      <c r="J1400" s="289"/>
      <c r="K1400" s="275"/>
      <c r="L1400" s="290"/>
      <c r="M1400" s="275"/>
      <c r="N1400" s="275"/>
      <c r="O1400" s="275"/>
      <c r="P1400" s="275"/>
      <c r="Q1400" s="275"/>
      <c r="R1400" s="275"/>
      <c r="S1400" s="275"/>
      <c r="T1400" s="275"/>
    </row>
    <row r="1401" spans="1:20" ht="15" customHeight="1">
      <c r="A1401" s="20"/>
      <c r="B1401" s="294">
        <v>45986</v>
      </c>
      <c r="C1401" s="295">
        <v>25884.80078125</v>
      </c>
      <c r="D1401" s="296">
        <f t="shared" si="42"/>
        <v>-2.8775291800689534E-3</v>
      </c>
      <c r="E1401" s="20"/>
      <c r="F1401" s="297"/>
      <c r="G1401" s="298">
        <v>45986</v>
      </c>
      <c r="H1401" s="299">
        <v>5965.2290039120398</v>
      </c>
      <c r="I1401" s="300">
        <f t="shared" si="43"/>
        <v>1.6633229060801141E-2</v>
      </c>
      <c r="J1401" s="296"/>
      <c r="K1401" s="20"/>
      <c r="L1401" s="297"/>
      <c r="M1401" s="275"/>
      <c r="N1401" s="275"/>
      <c r="O1401" s="275"/>
      <c r="P1401" s="275"/>
      <c r="Q1401" s="275"/>
      <c r="R1401" s="275"/>
      <c r="S1401" s="275"/>
      <c r="T1401" s="275"/>
    </row>
    <row r="1402" spans="1:20" ht="15" customHeight="1">
      <c r="A1402" s="275"/>
      <c r="B1402" s="303">
        <v>45987</v>
      </c>
      <c r="C1402" s="304">
        <v>26205.30078125</v>
      </c>
      <c r="D1402" s="289">
        <f t="shared" si="42"/>
        <v>1.2381783530362669E-2</v>
      </c>
      <c r="E1402" s="275"/>
      <c r="F1402" s="290"/>
      <c r="G1402" s="305">
        <v>45987</v>
      </c>
      <c r="H1402" s="306">
        <v>6019.177734375</v>
      </c>
      <c r="I1402" s="293">
        <f t="shared" si="43"/>
        <v>9.0438657807739142E-3</v>
      </c>
      <c r="J1402" s="289"/>
      <c r="K1402" s="275"/>
      <c r="L1402" s="290"/>
      <c r="M1402" s="275"/>
      <c r="N1402" s="275"/>
      <c r="O1402" s="275"/>
      <c r="P1402" s="275"/>
      <c r="Q1402" s="275"/>
      <c r="R1402" s="275"/>
      <c r="S1402" s="275"/>
      <c r="T1402" s="275"/>
    </row>
    <row r="1403" spans="1:20" ht="15" customHeight="1">
      <c r="A1403" s="20"/>
      <c r="B1403" s="294">
        <v>45988</v>
      </c>
      <c r="C1403" s="295">
        <v>26215.55078125</v>
      </c>
      <c r="D1403" s="296">
        <f t="shared" si="42"/>
        <v>3.9114223818922608E-4</v>
      </c>
      <c r="E1403" s="20"/>
      <c r="F1403" s="297"/>
      <c r="G1403" s="298">
        <v>45988</v>
      </c>
      <c r="H1403" s="299">
        <v>6033.400390625</v>
      </c>
      <c r="I1403" s="300">
        <f t="shared" si="43"/>
        <v>2.3628902281412375E-3</v>
      </c>
      <c r="J1403" s="296"/>
      <c r="K1403" s="20"/>
      <c r="L1403" s="297"/>
      <c r="M1403" s="275"/>
      <c r="N1403" s="275"/>
      <c r="O1403" s="275"/>
      <c r="P1403" s="275"/>
      <c r="Q1403" s="275"/>
      <c r="R1403" s="275"/>
      <c r="S1403" s="275"/>
      <c r="T1403" s="275"/>
    </row>
    <row r="1404" spans="1:20" ht="15" customHeight="1">
      <c r="A1404" s="275"/>
      <c r="B1404" s="303">
        <v>45989</v>
      </c>
      <c r="C1404" s="304">
        <v>26202.94921875</v>
      </c>
      <c r="D1404" s="289">
        <f t="shared" si="42"/>
        <v>-4.8069035837358583E-4</v>
      </c>
      <c r="E1404" s="275"/>
      <c r="F1404" s="290"/>
      <c r="G1404" s="305">
        <v>45989</v>
      </c>
      <c r="H1404" s="306">
        <v>6056.451171875</v>
      </c>
      <c r="I1404" s="293">
        <f t="shared" si="43"/>
        <v>3.8205290147521882E-3</v>
      </c>
      <c r="J1404" s="289"/>
      <c r="K1404" s="275"/>
      <c r="L1404" s="290"/>
      <c r="M1404" s="275"/>
      <c r="N1404" s="275"/>
      <c r="O1404" s="275"/>
      <c r="P1404" s="275"/>
      <c r="Q1404" s="275"/>
      <c r="R1404" s="275"/>
      <c r="S1404" s="275"/>
      <c r="T1404" s="275"/>
    </row>
    <row r="1405" spans="1:20" ht="15" customHeight="1">
      <c r="A1405" s="20"/>
      <c r="B1405" s="294">
        <v>45992</v>
      </c>
      <c r="C1405" s="295">
        <v>26175.75</v>
      </c>
      <c r="D1405" s="296">
        <f t="shared" si="42"/>
        <v>-1.0380212747402153E-3</v>
      </c>
      <c r="E1405" s="20"/>
      <c r="F1405" s="297"/>
      <c r="G1405" s="298">
        <v>45992</v>
      </c>
      <c r="H1405" s="299">
        <v>6175.1376953125</v>
      </c>
      <c r="I1405" s="300">
        <f t="shared" si="43"/>
        <v>1.9596711022563426E-2</v>
      </c>
      <c r="J1405" s="296"/>
      <c r="K1405" s="20"/>
      <c r="L1405" s="297"/>
      <c r="M1405" s="275"/>
      <c r="N1405" s="275"/>
      <c r="O1405" s="275"/>
      <c r="P1405" s="275"/>
      <c r="Q1405" s="275"/>
      <c r="R1405" s="275"/>
      <c r="S1405" s="275"/>
      <c r="T1405" s="275"/>
    </row>
    <row r="1406" spans="1:20" ht="15" customHeight="1">
      <c r="A1406" s="275"/>
      <c r="B1406" s="303">
        <v>45993</v>
      </c>
      <c r="C1406" s="304">
        <v>26032.19921875</v>
      </c>
      <c r="D1406" s="289">
        <f t="shared" si="42"/>
        <v>-5.4841133969418263E-3</v>
      </c>
      <c r="E1406" s="275"/>
      <c r="F1406" s="290"/>
      <c r="G1406" s="305">
        <v>45993</v>
      </c>
      <c r="H1406" s="306">
        <v>6150.6157226620398</v>
      </c>
      <c r="I1406" s="293">
        <f t="shared" si="43"/>
        <v>-3.971081109507015E-3</v>
      </c>
      <c r="J1406" s="289"/>
      <c r="K1406" s="275"/>
      <c r="L1406" s="290"/>
      <c r="M1406" s="275"/>
      <c r="N1406" s="275"/>
      <c r="O1406" s="275"/>
      <c r="P1406" s="275"/>
      <c r="Q1406" s="275"/>
      <c r="R1406" s="275"/>
      <c r="S1406" s="275"/>
      <c r="T1406" s="275"/>
    </row>
    <row r="1407" spans="1:20" ht="15" customHeight="1">
      <c r="A1407" s="20"/>
      <c r="B1407" s="294">
        <v>45994</v>
      </c>
      <c r="C1407" s="295">
        <v>25986</v>
      </c>
      <c r="D1407" s="296">
        <f t="shared" si="42"/>
        <v>-1.7746951904364832E-3</v>
      </c>
      <c r="E1407" s="20"/>
      <c r="F1407" s="297"/>
      <c r="G1407" s="298">
        <v>45994</v>
      </c>
      <c r="H1407" s="299">
        <v>6092.7436523379602</v>
      </c>
      <c r="I1407" s="300">
        <f t="shared" si="43"/>
        <v>-9.409150714919344E-3</v>
      </c>
      <c r="J1407" s="296"/>
      <c r="K1407" s="20"/>
      <c r="L1407" s="297"/>
      <c r="M1407" s="275"/>
      <c r="N1407" s="275"/>
      <c r="O1407" s="275"/>
      <c r="P1407" s="275"/>
      <c r="Q1407" s="275"/>
      <c r="R1407" s="275"/>
      <c r="S1407" s="275"/>
      <c r="T1407" s="275"/>
    </row>
    <row r="1408" spans="1:20" ht="15" customHeight="1">
      <c r="A1408" s="275"/>
      <c r="B1408" s="303">
        <v>45995</v>
      </c>
      <c r="C1408" s="304">
        <v>26033.75</v>
      </c>
      <c r="D1408" s="289">
        <f t="shared" si="42"/>
        <v>1.8375278996382667E-3</v>
      </c>
      <c r="E1408" s="275"/>
      <c r="F1408" s="290"/>
      <c r="G1408" s="305">
        <v>45995</v>
      </c>
      <c r="H1408" s="306">
        <v>6218.787109375</v>
      </c>
      <c r="I1408" s="293">
        <f t="shared" si="43"/>
        <v>2.0687470904618376E-2</v>
      </c>
      <c r="J1408" s="289"/>
      <c r="K1408" s="275"/>
      <c r="L1408" s="290"/>
      <c r="M1408" s="275"/>
      <c r="N1408" s="275"/>
      <c r="O1408" s="275"/>
      <c r="P1408" s="275"/>
      <c r="Q1408" s="275"/>
      <c r="R1408" s="275"/>
      <c r="S1408" s="275"/>
      <c r="T1408" s="275"/>
    </row>
    <row r="1409" spans="1:20" ht="15" customHeight="1">
      <c r="A1409" s="20"/>
      <c r="B1409" s="294">
        <v>45996</v>
      </c>
      <c r="C1409" s="295">
        <v>26186.44921875</v>
      </c>
      <c r="D1409" s="296">
        <f t="shared" si="42"/>
        <v>5.8654330916598644E-3</v>
      </c>
      <c r="E1409" s="20"/>
      <c r="F1409" s="297"/>
      <c r="G1409" s="298">
        <v>45996</v>
      </c>
      <c r="H1409" s="299">
        <v>6229.0859375</v>
      </c>
      <c r="I1409" s="300">
        <f t="shared" si="43"/>
        <v>1.6560830824187921E-3</v>
      </c>
      <c r="J1409" s="296"/>
      <c r="K1409" s="20"/>
      <c r="L1409" s="297"/>
      <c r="M1409" s="275"/>
      <c r="N1409" s="275"/>
      <c r="O1409" s="275"/>
      <c r="P1409" s="275"/>
      <c r="Q1409" s="275"/>
      <c r="R1409" s="275"/>
      <c r="S1409" s="275"/>
      <c r="T1409" s="275"/>
    </row>
    <row r="1410" spans="1:20" ht="15" customHeight="1">
      <c r="A1410" s="275"/>
      <c r="B1410" s="303">
        <v>45999</v>
      </c>
      <c r="C1410" s="304">
        <v>25960.55078125</v>
      </c>
      <c r="D1410" s="289">
        <f t="shared" si="42"/>
        <v>-8.6265394598918129E-3</v>
      </c>
      <c r="E1410" s="275"/>
      <c r="F1410" s="290"/>
      <c r="G1410" s="305">
        <v>45999</v>
      </c>
      <c r="H1410" s="306">
        <v>6049.0942382870398</v>
      </c>
      <c r="I1410" s="293">
        <f t="shared" si="43"/>
        <v>-2.8895362982453661E-2</v>
      </c>
      <c r="J1410" s="289"/>
      <c r="K1410" s="275"/>
      <c r="L1410" s="290"/>
      <c r="M1410" s="275"/>
      <c r="N1410" s="275"/>
      <c r="O1410" s="275"/>
      <c r="P1410" s="275"/>
      <c r="Q1410" s="275"/>
      <c r="R1410" s="275"/>
      <c r="S1410" s="275"/>
      <c r="T1410" s="275"/>
    </row>
    <row r="1411" spans="1:20" ht="15" customHeight="1">
      <c r="A1411" s="20"/>
      <c r="B1411" s="294">
        <v>46000</v>
      </c>
      <c r="C1411" s="295">
        <v>25839.650390625</v>
      </c>
      <c r="D1411" s="296">
        <f t="shared" si="42"/>
        <v>-4.6570811090926572E-3</v>
      </c>
      <c r="E1411" s="20"/>
      <c r="F1411" s="297"/>
      <c r="G1411" s="298">
        <v>46000</v>
      </c>
      <c r="H1411" s="299">
        <v>5886.2680664120398</v>
      </c>
      <c r="I1411" s="300">
        <f t="shared" si="43"/>
        <v>-2.6917446721925847E-2</v>
      </c>
      <c r="J1411" s="296"/>
      <c r="K1411" s="20"/>
      <c r="L1411" s="297"/>
      <c r="M1411" s="275"/>
      <c r="N1411" s="275"/>
      <c r="O1411" s="275"/>
      <c r="P1411" s="275"/>
      <c r="Q1411" s="275"/>
      <c r="R1411" s="275"/>
      <c r="S1411" s="275"/>
      <c r="T1411" s="275"/>
    </row>
    <row r="1412" spans="1:20" ht="15" customHeight="1">
      <c r="A1412" s="275"/>
      <c r="B1412" s="303">
        <v>46001</v>
      </c>
      <c r="C1412" s="304">
        <v>25758</v>
      </c>
      <c r="D1412" s="289">
        <f t="shared" si="42"/>
        <v>-3.159887590995579E-3</v>
      </c>
      <c r="E1412" s="275"/>
      <c r="F1412" s="290"/>
      <c r="G1412" s="305">
        <v>46001</v>
      </c>
      <c r="H1412" s="306">
        <v>5831.8291015625</v>
      </c>
      <c r="I1412" s="293">
        <f t="shared" si="43"/>
        <v>-9.2484685093050783E-3</v>
      </c>
      <c r="J1412" s="289"/>
      <c r="K1412" s="275"/>
      <c r="L1412" s="290"/>
      <c r="M1412" s="275"/>
      <c r="N1412" s="275"/>
      <c r="O1412" s="275"/>
      <c r="P1412" s="275"/>
      <c r="Q1412" s="275"/>
      <c r="R1412" s="275"/>
      <c r="S1412" s="275"/>
      <c r="T1412" s="275"/>
    </row>
    <row r="1413" spans="1:20" ht="15" customHeight="1">
      <c r="A1413" s="20"/>
      <c r="B1413" s="294">
        <v>46002</v>
      </c>
      <c r="C1413" s="295">
        <v>25898.55078125</v>
      </c>
      <c r="D1413" s="296">
        <f t="shared" ref="D1413:D1476" si="44">(C1413-C1412)/C1412</f>
        <v>5.4565875164997281E-3</v>
      </c>
      <c r="E1413" s="20"/>
      <c r="F1413" s="297"/>
      <c r="G1413" s="298">
        <v>46002</v>
      </c>
      <c r="H1413" s="299">
        <v>5865.1791992129602</v>
      </c>
      <c r="I1413" s="300">
        <f t="shared" ref="I1413:I1476" si="45">(H1413-H1412)/H1412</f>
        <v>5.7186342517349812E-3</v>
      </c>
      <c r="J1413" s="296"/>
      <c r="K1413" s="20"/>
      <c r="L1413" s="297"/>
      <c r="M1413" s="275"/>
      <c r="N1413" s="275"/>
      <c r="O1413" s="275"/>
      <c r="P1413" s="275"/>
      <c r="Q1413" s="275"/>
      <c r="R1413" s="275"/>
      <c r="S1413" s="275"/>
      <c r="T1413" s="275"/>
    </row>
    <row r="1414" spans="1:20" ht="15" customHeight="1">
      <c r="A1414" s="275"/>
      <c r="B1414" s="303">
        <v>46003</v>
      </c>
      <c r="C1414" s="304">
        <v>26046.94921875</v>
      </c>
      <c r="D1414" s="289">
        <f t="shared" si="44"/>
        <v>5.7299900196514974E-3</v>
      </c>
      <c r="E1414" s="275"/>
      <c r="F1414" s="290"/>
      <c r="G1414" s="305">
        <v>46003</v>
      </c>
      <c r="H1414" s="306">
        <v>5846.0522460879602</v>
      </c>
      <c r="I1414" s="293">
        <f t="shared" si="45"/>
        <v>-3.2611029391167823E-3</v>
      </c>
      <c r="J1414" s="289"/>
      <c r="K1414" s="275"/>
      <c r="L1414" s="290"/>
      <c r="M1414" s="275"/>
      <c r="N1414" s="275"/>
      <c r="O1414" s="275"/>
      <c r="P1414" s="275"/>
      <c r="Q1414" s="275"/>
      <c r="R1414" s="275"/>
      <c r="S1414" s="275"/>
      <c r="T1414" s="275"/>
    </row>
    <row r="1415" spans="1:20" ht="15" customHeight="1">
      <c r="A1415" s="20"/>
      <c r="B1415" s="294">
        <v>46006</v>
      </c>
      <c r="C1415" s="295">
        <v>26027.30078125</v>
      </c>
      <c r="D1415" s="296">
        <f t="shared" si="44"/>
        <v>-7.5434698071496196E-4</v>
      </c>
      <c r="E1415" s="20"/>
      <c r="F1415" s="297"/>
      <c r="G1415" s="298">
        <v>46006</v>
      </c>
      <c r="H1415" s="299">
        <v>5845.5615234375</v>
      </c>
      <c r="I1415" s="300">
        <f t="shared" si="45"/>
        <v>-8.39408595413318E-5</v>
      </c>
      <c r="J1415" s="296"/>
      <c r="K1415" s="20"/>
      <c r="L1415" s="297"/>
      <c r="M1415" s="275"/>
      <c r="N1415" s="275"/>
      <c r="O1415" s="275"/>
      <c r="P1415" s="275"/>
      <c r="Q1415" s="275"/>
      <c r="R1415" s="275"/>
      <c r="S1415" s="275"/>
      <c r="T1415" s="275"/>
    </row>
    <row r="1416" spans="1:20" ht="15" customHeight="1">
      <c r="A1416" s="275"/>
      <c r="B1416" s="303">
        <v>46007</v>
      </c>
      <c r="C1416" s="304">
        <v>25860.099609375</v>
      </c>
      <c r="D1416" s="289">
        <f t="shared" si="44"/>
        <v>-6.4240688375742476E-3</v>
      </c>
      <c r="E1416" s="275"/>
      <c r="F1416" s="290"/>
      <c r="G1416" s="305">
        <v>46007</v>
      </c>
      <c r="H1416" s="306">
        <v>5832.8100585879602</v>
      </c>
      <c r="I1416" s="293">
        <f t="shared" si="45"/>
        <v>-2.1813926341230786E-3</v>
      </c>
      <c r="J1416" s="289"/>
      <c r="K1416" s="275"/>
      <c r="L1416" s="290"/>
      <c r="M1416" s="275"/>
      <c r="N1416" s="275"/>
      <c r="O1416" s="275"/>
      <c r="P1416" s="275"/>
      <c r="Q1416" s="275"/>
      <c r="R1416" s="275"/>
      <c r="S1416" s="275"/>
      <c r="T1416" s="275"/>
    </row>
    <row r="1417" spans="1:20" ht="15" customHeight="1">
      <c r="A1417" s="20"/>
      <c r="B1417" s="294">
        <v>46008</v>
      </c>
      <c r="C1417" s="295">
        <v>25818.55078125</v>
      </c>
      <c r="D1417" s="296">
        <f t="shared" si="44"/>
        <v>-1.6066770334456639E-3</v>
      </c>
      <c r="E1417" s="20"/>
      <c r="F1417" s="297"/>
      <c r="G1417" s="298">
        <v>46008</v>
      </c>
      <c r="H1417" s="299">
        <v>5705.7861328125</v>
      </c>
      <c r="I1417" s="300">
        <f t="shared" si="45"/>
        <v>-2.177748366560231E-2</v>
      </c>
      <c r="J1417" s="296"/>
      <c r="K1417" s="20"/>
      <c r="L1417" s="297"/>
      <c r="M1417" s="275"/>
      <c r="N1417" s="275"/>
      <c r="O1417" s="275"/>
      <c r="P1417" s="275"/>
      <c r="Q1417" s="275"/>
      <c r="R1417" s="275"/>
      <c r="S1417" s="275"/>
      <c r="T1417" s="275"/>
    </row>
    <row r="1418" spans="1:20" ht="15" customHeight="1">
      <c r="A1418" s="275"/>
      <c r="B1418" s="303">
        <v>46009</v>
      </c>
      <c r="C1418" s="304">
        <v>25815.55078125</v>
      </c>
      <c r="D1418" s="289">
        <f t="shared" si="44"/>
        <v>-1.1619552256893776E-4</v>
      </c>
      <c r="E1418" s="275"/>
      <c r="F1418" s="290"/>
      <c r="G1418" s="305">
        <v>46009</v>
      </c>
      <c r="H1418" s="306">
        <v>5638.595703125</v>
      </c>
      <c r="I1418" s="293">
        <f t="shared" si="45"/>
        <v>-1.1775840896157188E-2</v>
      </c>
      <c r="J1418" s="289"/>
      <c r="K1418" s="275"/>
      <c r="L1418" s="290"/>
      <c r="M1418" s="275"/>
      <c r="N1418" s="275"/>
      <c r="O1418" s="275"/>
      <c r="P1418" s="275"/>
      <c r="Q1418" s="275"/>
      <c r="R1418" s="275"/>
      <c r="S1418" s="275"/>
      <c r="T1418" s="275"/>
    </row>
    <row r="1419" spans="1:20" ht="15" customHeight="1">
      <c r="A1419" s="20"/>
      <c r="B1419" s="294">
        <v>46010</v>
      </c>
      <c r="C1419" s="295">
        <v>25966.400390625</v>
      </c>
      <c r="D1419" s="296">
        <f t="shared" si="44"/>
        <v>5.8433620360547577E-3</v>
      </c>
      <c r="E1419" s="20"/>
      <c r="F1419" s="297"/>
      <c r="G1419" s="298">
        <v>46010</v>
      </c>
      <c r="H1419" s="299">
        <v>5670.4741210879602</v>
      </c>
      <c r="I1419" s="300">
        <f t="shared" si="45"/>
        <v>5.6536094519585127E-3</v>
      </c>
      <c r="J1419" s="296"/>
      <c r="K1419" s="20"/>
      <c r="L1419" s="297"/>
      <c r="M1419" s="275"/>
      <c r="N1419" s="275"/>
      <c r="O1419" s="275"/>
      <c r="P1419" s="275"/>
      <c r="Q1419" s="275"/>
      <c r="R1419" s="275"/>
      <c r="S1419" s="275"/>
      <c r="T1419" s="275"/>
    </row>
    <row r="1420" spans="1:20" ht="15" customHeight="1">
      <c r="A1420" s="275"/>
      <c r="B1420" s="303">
        <v>46013</v>
      </c>
      <c r="C1420" s="304">
        <v>26172.400390625</v>
      </c>
      <c r="D1420" s="289">
        <f t="shared" si="44"/>
        <v>7.9333291061157232E-3</v>
      </c>
      <c r="E1420" s="275"/>
      <c r="F1420" s="290"/>
      <c r="G1420" s="305">
        <v>46013</v>
      </c>
      <c r="H1420" s="306">
        <v>5590.5327148379602</v>
      </c>
      <c r="I1420" s="293">
        <f t="shared" si="45"/>
        <v>-1.4097834597764132E-2</v>
      </c>
      <c r="J1420" s="289"/>
      <c r="K1420" s="275"/>
      <c r="L1420" s="290"/>
      <c r="M1420" s="275"/>
      <c r="N1420" s="275"/>
      <c r="O1420" s="275"/>
      <c r="P1420" s="275"/>
      <c r="Q1420" s="275"/>
      <c r="R1420" s="275"/>
      <c r="S1420" s="275"/>
      <c r="T1420" s="275"/>
    </row>
    <row r="1421" spans="1:20" ht="15" customHeight="1">
      <c r="A1421" s="20"/>
      <c r="B1421" s="294">
        <v>46014</v>
      </c>
      <c r="C1421" s="295">
        <v>26177.150390625</v>
      </c>
      <c r="D1421" s="296">
        <f t="shared" si="44"/>
        <v>1.814888939916057E-4</v>
      </c>
      <c r="E1421" s="20"/>
      <c r="F1421" s="297"/>
      <c r="G1421" s="298">
        <v>46014</v>
      </c>
      <c r="H1421" s="299">
        <v>5634.181640625</v>
      </c>
      <c r="I1421" s="300">
        <f t="shared" si="45"/>
        <v>7.8076505430672528E-3</v>
      </c>
      <c r="J1421" s="296"/>
      <c r="K1421" s="20"/>
      <c r="L1421" s="297"/>
      <c r="M1421" s="275"/>
      <c r="N1421" s="275"/>
      <c r="O1421" s="275"/>
      <c r="P1421" s="275"/>
      <c r="Q1421" s="275"/>
      <c r="R1421" s="275"/>
      <c r="S1421" s="275"/>
      <c r="T1421" s="275"/>
    </row>
    <row r="1422" spans="1:20" ht="15" customHeight="1">
      <c r="A1422" s="275"/>
      <c r="B1422" s="303">
        <v>46015</v>
      </c>
      <c r="C1422" s="304">
        <v>26142.099609375</v>
      </c>
      <c r="D1422" s="289">
        <f t="shared" si="44"/>
        <v>-1.3389838361685454E-3</v>
      </c>
      <c r="E1422" s="275"/>
      <c r="F1422" s="290"/>
      <c r="G1422" s="305">
        <v>46015</v>
      </c>
      <c r="H1422" s="306">
        <v>5589.5517578125</v>
      </c>
      <c r="I1422" s="293">
        <f t="shared" si="45"/>
        <v>-7.9212715633266671E-3</v>
      </c>
      <c r="J1422" s="289"/>
      <c r="K1422" s="275"/>
      <c r="L1422" s="290"/>
      <c r="M1422" s="275"/>
      <c r="N1422" s="275"/>
      <c r="O1422" s="275"/>
      <c r="P1422" s="275"/>
      <c r="Q1422" s="275"/>
      <c r="R1422" s="275"/>
      <c r="S1422" s="275"/>
      <c r="T1422" s="275"/>
    </row>
    <row r="1423" spans="1:20" ht="15" customHeight="1">
      <c r="A1423" s="20"/>
      <c r="B1423" s="294">
        <v>46017</v>
      </c>
      <c r="C1423" s="295">
        <v>26042.30078125</v>
      </c>
      <c r="D1423" s="296">
        <f t="shared" si="44"/>
        <v>-3.8175521330050493E-3</v>
      </c>
      <c r="E1423" s="20"/>
      <c r="F1423" s="297"/>
      <c r="G1423" s="298">
        <v>46017</v>
      </c>
      <c r="H1423" s="299">
        <v>5529.2275390625</v>
      </c>
      <c r="I1423" s="300">
        <f t="shared" si="45"/>
        <v>-1.0792317767821904E-2</v>
      </c>
      <c r="J1423" s="296"/>
      <c r="K1423" s="20"/>
      <c r="L1423" s="297"/>
      <c r="M1423" s="275"/>
      <c r="N1423" s="275"/>
      <c r="O1423" s="275"/>
      <c r="P1423" s="275"/>
      <c r="Q1423" s="275"/>
      <c r="R1423" s="275"/>
      <c r="S1423" s="275"/>
      <c r="T1423" s="275"/>
    </row>
    <row r="1424" spans="1:20" ht="15" customHeight="1">
      <c r="A1424" s="275"/>
      <c r="B1424" s="303">
        <v>46020</v>
      </c>
      <c r="C1424" s="304">
        <v>25942.099609375</v>
      </c>
      <c r="D1424" s="289">
        <f t="shared" si="44"/>
        <v>-3.8476313101775974E-3</v>
      </c>
      <c r="E1424" s="275"/>
      <c r="F1424" s="290"/>
      <c r="G1424" s="305">
        <v>46020</v>
      </c>
      <c r="H1424" s="306">
        <v>5459.5849609375</v>
      </c>
      <c r="I1424" s="293">
        <f t="shared" si="45"/>
        <v>-1.2595353986247443E-2</v>
      </c>
      <c r="J1424" s="289"/>
      <c r="K1424" s="275"/>
      <c r="L1424" s="290"/>
      <c r="M1424" s="275"/>
      <c r="N1424" s="275"/>
      <c r="O1424" s="275"/>
      <c r="P1424" s="275"/>
      <c r="Q1424" s="275"/>
      <c r="R1424" s="275"/>
      <c r="S1424" s="275"/>
      <c r="T1424" s="275"/>
    </row>
    <row r="1425" spans="1:20" ht="15" customHeight="1">
      <c r="A1425" s="20"/>
      <c r="B1425" s="294">
        <v>46021</v>
      </c>
      <c r="C1425" s="295">
        <v>25938.849609375</v>
      </c>
      <c r="D1425" s="296">
        <f t="shared" si="44"/>
        <v>-1.2527898855285829E-4</v>
      </c>
      <c r="E1425" s="20"/>
      <c r="F1425" s="297"/>
      <c r="G1425" s="298">
        <v>46021</v>
      </c>
      <c r="H1425" s="299">
        <v>5601.8125</v>
      </c>
      <c r="I1425" s="300">
        <f t="shared" si="45"/>
        <v>2.6050980080009088E-2</v>
      </c>
      <c r="J1425" s="296"/>
      <c r="K1425" s="20"/>
      <c r="L1425" s="297"/>
      <c r="M1425" s="275"/>
      <c r="N1425" s="275"/>
      <c r="O1425" s="275"/>
      <c r="P1425" s="275"/>
      <c r="Q1425" s="275"/>
      <c r="R1425" s="275"/>
      <c r="S1425" s="275"/>
      <c r="T1425" s="275"/>
    </row>
    <row r="1426" spans="1:20" ht="15" customHeight="1">
      <c r="A1426" s="275"/>
      <c r="B1426" s="303">
        <v>46022</v>
      </c>
      <c r="C1426" s="304">
        <v>26129.599609375</v>
      </c>
      <c r="D1426" s="289">
        <f t="shared" si="44"/>
        <v>7.353834224439075E-3</v>
      </c>
      <c r="E1426" s="275"/>
      <c r="F1426" s="290"/>
      <c r="G1426" s="305">
        <v>46022</v>
      </c>
      <c r="H1426" s="306">
        <v>5660.6655273379602</v>
      </c>
      <c r="I1426" s="293">
        <f t="shared" si="45"/>
        <v>1.0506068765771821E-2</v>
      </c>
      <c r="J1426" s="289"/>
      <c r="K1426" s="275"/>
      <c r="L1426" s="290"/>
      <c r="M1426" s="275"/>
      <c r="N1426" s="275"/>
      <c r="O1426" s="275"/>
      <c r="P1426" s="275"/>
      <c r="Q1426" s="275"/>
      <c r="R1426" s="275"/>
      <c r="S1426" s="275"/>
      <c r="T1426" s="275"/>
    </row>
    <row r="1427" spans="1:20" ht="15" customHeight="1">
      <c r="A1427" s="20"/>
      <c r="B1427" s="294">
        <v>46023</v>
      </c>
      <c r="C1427" s="295">
        <v>26146.55078125</v>
      </c>
      <c r="D1427" s="296">
        <f t="shared" si="44"/>
        <v>6.4873446698043217E-4</v>
      </c>
      <c r="E1427" s="20"/>
      <c r="F1427" s="297"/>
      <c r="G1427" s="298">
        <v>46023</v>
      </c>
      <c r="H1427" s="299">
        <v>5729.8173828125</v>
      </c>
      <c r="I1427" s="300">
        <f t="shared" si="45"/>
        <v>1.2216205875541258E-2</v>
      </c>
      <c r="J1427" s="296"/>
      <c r="K1427" s="20"/>
      <c r="L1427" s="297"/>
      <c r="M1427" s="275"/>
      <c r="N1427" s="275"/>
      <c r="O1427" s="275"/>
      <c r="P1427" s="275"/>
      <c r="Q1427" s="275"/>
      <c r="R1427" s="275"/>
      <c r="S1427" s="275"/>
      <c r="T1427" s="275"/>
    </row>
    <row r="1428" spans="1:20" ht="15" customHeight="1">
      <c r="A1428" s="275"/>
      <c r="B1428" s="303">
        <v>46024</v>
      </c>
      <c r="C1428" s="304">
        <v>26328.55078125</v>
      </c>
      <c r="D1428" s="289">
        <f t="shared" si="44"/>
        <v>6.9607651702386052E-3</v>
      </c>
      <c r="E1428" s="275"/>
      <c r="F1428" s="290"/>
      <c r="G1428" s="305">
        <v>46024</v>
      </c>
      <c r="H1428" s="306">
        <v>5819.568359375</v>
      </c>
      <c r="I1428" s="293">
        <f t="shared" si="45"/>
        <v>1.5663845907501757E-2</v>
      </c>
      <c r="J1428" s="289"/>
      <c r="K1428" s="275"/>
      <c r="L1428" s="290"/>
      <c r="M1428" s="275"/>
      <c r="N1428" s="275"/>
      <c r="O1428" s="275"/>
      <c r="P1428" s="275"/>
      <c r="Q1428" s="275"/>
      <c r="R1428" s="275"/>
      <c r="S1428" s="275"/>
      <c r="T1428" s="275"/>
    </row>
    <row r="1429" spans="1:20" ht="15" customHeight="1">
      <c r="A1429" s="20"/>
      <c r="B1429" s="294">
        <v>46027</v>
      </c>
      <c r="C1429" s="295">
        <v>26250.30078125</v>
      </c>
      <c r="D1429" s="296">
        <f t="shared" si="44"/>
        <v>-2.9720587604740519E-3</v>
      </c>
      <c r="E1429" s="20"/>
      <c r="F1429" s="297"/>
      <c r="G1429" s="298">
        <v>46027</v>
      </c>
      <c r="H1429" s="299">
        <v>5871.064453125</v>
      </c>
      <c r="I1429" s="300">
        <f t="shared" si="45"/>
        <v>8.8487823443198603E-3</v>
      </c>
      <c r="J1429" s="296"/>
      <c r="K1429" s="20"/>
      <c r="L1429" s="297"/>
      <c r="M1429" s="275"/>
      <c r="N1429" s="275"/>
      <c r="O1429" s="275"/>
      <c r="P1429" s="275"/>
      <c r="Q1429" s="275"/>
      <c r="R1429" s="275"/>
      <c r="S1429" s="275"/>
      <c r="T1429" s="275"/>
    </row>
    <row r="1430" spans="1:20" ht="15" customHeight="1">
      <c r="A1430" s="275"/>
      <c r="B1430" s="303">
        <v>46028</v>
      </c>
      <c r="C1430" s="304">
        <v>26178.69921875</v>
      </c>
      <c r="D1430" s="289">
        <f t="shared" si="44"/>
        <v>-2.7276473171363958E-3</v>
      </c>
      <c r="E1430" s="275"/>
      <c r="F1430" s="290"/>
      <c r="G1430" s="305">
        <v>46028</v>
      </c>
      <c r="H1430" s="306">
        <v>5885.287109375</v>
      </c>
      <c r="I1430" s="293">
        <f t="shared" si="45"/>
        <v>2.4225004449456669E-3</v>
      </c>
      <c r="J1430" s="289"/>
      <c r="K1430" s="275"/>
      <c r="L1430" s="290"/>
      <c r="M1430" s="275"/>
      <c r="N1430" s="275"/>
      <c r="O1430" s="275"/>
      <c r="P1430" s="275"/>
      <c r="Q1430" s="275"/>
      <c r="R1430" s="275"/>
      <c r="S1430" s="275"/>
      <c r="T1430" s="275"/>
    </row>
    <row r="1431" spans="1:20" ht="15" customHeight="1">
      <c r="A1431" s="20"/>
      <c r="B1431" s="294">
        <v>46029</v>
      </c>
      <c r="C1431" s="295">
        <v>26140.75</v>
      </c>
      <c r="D1431" s="296">
        <f t="shared" si="44"/>
        <v>-1.4496220164682432E-3</v>
      </c>
      <c r="E1431" s="20"/>
      <c r="F1431" s="297"/>
      <c r="G1431" s="298">
        <v>46029</v>
      </c>
      <c r="H1431" s="299">
        <v>5866.650390625</v>
      </c>
      <c r="I1431" s="300">
        <f t="shared" si="45"/>
        <v>-3.1666626289671642E-3</v>
      </c>
      <c r="J1431" s="296"/>
      <c r="K1431" s="20"/>
      <c r="L1431" s="297"/>
      <c r="M1431" s="275"/>
      <c r="N1431" s="275"/>
      <c r="O1431" s="275"/>
      <c r="P1431" s="275"/>
      <c r="Q1431" s="275"/>
      <c r="R1431" s="275"/>
      <c r="S1431" s="275"/>
      <c r="T1431" s="275"/>
    </row>
    <row r="1432" spans="1:20" ht="15" customHeight="1">
      <c r="A1432" s="275"/>
      <c r="B1432" s="303">
        <v>46030</v>
      </c>
      <c r="C1432" s="304">
        <v>25876.849609375</v>
      </c>
      <c r="D1432" s="289">
        <f t="shared" si="44"/>
        <v>-1.0095364158449929E-2</v>
      </c>
      <c r="E1432" s="275"/>
      <c r="F1432" s="290"/>
      <c r="G1432" s="305">
        <v>46030</v>
      </c>
      <c r="H1432" s="306">
        <v>5738.1552734375</v>
      </c>
      <c r="I1432" s="293">
        <f t="shared" si="45"/>
        <v>-2.190263755836503E-2</v>
      </c>
      <c r="J1432" s="289"/>
      <c r="K1432" s="275"/>
      <c r="L1432" s="290"/>
      <c r="M1432" s="275"/>
      <c r="N1432" s="275"/>
      <c r="O1432" s="275"/>
      <c r="P1432" s="275"/>
      <c r="Q1432" s="275"/>
      <c r="R1432" s="275"/>
      <c r="S1432" s="275"/>
      <c r="T1432" s="275"/>
    </row>
    <row r="1433" spans="1:20" ht="15" customHeight="1">
      <c r="A1433" s="20"/>
      <c r="B1433" s="294">
        <v>46031</v>
      </c>
      <c r="C1433" s="295">
        <v>25683.30078125</v>
      </c>
      <c r="D1433" s="296">
        <f t="shared" si="44"/>
        <v>-7.4796132854935563E-3</v>
      </c>
      <c r="E1433" s="20"/>
      <c r="F1433" s="297"/>
      <c r="G1433" s="298">
        <v>46031</v>
      </c>
      <c r="H1433" s="299">
        <v>5662.6274414120398</v>
      </c>
      <c r="I1433" s="300">
        <f t="shared" si="45"/>
        <v>-1.3162389030336303E-2</v>
      </c>
      <c r="J1433" s="296"/>
      <c r="K1433" s="20"/>
      <c r="L1433" s="297"/>
      <c r="M1433" s="275"/>
      <c r="N1433" s="275"/>
      <c r="O1433" s="275"/>
      <c r="P1433" s="275"/>
      <c r="Q1433" s="275"/>
      <c r="R1433" s="275"/>
      <c r="S1433" s="275"/>
      <c r="T1433" s="275"/>
    </row>
    <row r="1434" spans="1:20" ht="15" customHeight="1">
      <c r="A1434" s="275"/>
      <c r="B1434" s="303">
        <v>46034</v>
      </c>
      <c r="C1434" s="304">
        <v>25790.25</v>
      </c>
      <c r="D1434" s="289">
        <f t="shared" si="44"/>
        <v>4.1641539637334267E-3</v>
      </c>
      <c r="E1434" s="275"/>
      <c r="F1434" s="290"/>
      <c r="G1434" s="305">
        <v>46034</v>
      </c>
      <c r="H1434" s="306">
        <v>5617.0161132870398</v>
      </c>
      <c r="I1434" s="293">
        <f t="shared" si="45"/>
        <v>-8.0547994013228427E-3</v>
      </c>
      <c r="J1434" s="289"/>
      <c r="K1434" s="275"/>
      <c r="L1434" s="290"/>
      <c r="M1434" s="275"/>
      <c r="N1434" s="275"/>
      <c r="O1434" s="275"/>
      <c r="P1434" s="275"/>
      <c r="Q1434" s="275"/>
      <c r="R1434" s="275"/>
      <c r="S1434" s="275"/>
      <c r="T1434" s="275"/>
    </row>
    <row r="1435" spans="1:20" ht="15" customHeight="1">
      <c r="A1435" s="20"/>
      <c r="B1435" s="294">
        <v>46035</v>
      </c>
      <c r="C1435" s="295">
        <v>25732.30078125</v>
      </c>
      <c r="D1435" s="296">
        <f t="shared" si="44"/>
        <v>-2.2469428853927357E-3</v>
      </c>
      <c r="E1435" s="20"/>
      <c r="F1435" s="297"/>
      <c r="G1435" s="298">
        <v>46035</v>
      </c>
      <c r="H1435" s="299">
        <v>5624.86328125</v>
      </c>
      <c r="I1435" s="300">
        <f t="shared" si="45"/>
        <v>1.3970349745655345E-3</v>
      </c>
      <c r="J1435" s="296"/>
      <c r="K1435" s="20"/>
      <c r="L1435" s="297"/>
      <c r="M1435" s="275"/>
      <c r="N1435" s="275"/>
      <c r="O1435" s="275"/>
      <c r="P1435" s="275"/>
      <c r="Q1435" s="275"/>
      <c r="R1435" s="275"/>
      <c r="S1435" s="275"/>
      <c r="T1435" s="275"/>
    </row>
    <row r="1436" spans="1:20" ht="15" customHeight="1">
      <c r="A1436" s="275"/>
      <c r="B1436" s="303">
        <v>46036</v>
      </c>
      <c r="C1436" s="304">
        <v>25665.599609375</v>
      </c>
      <c r="D1436" s="289">
        <f t="shared" si="44"/>
        <v>-2.5921184600641006E-3</v>
      </c>
      <c r="E1436" s="275"/>
      <c r="F1436" s="290"/>
      <c r="G1436" s="305">
        <v>46036</v>
      </c>
      <c r="H1436" s="306">
        <v>5567.9721679629602</v>
      </c>
      <c r="I1436" s="293">
        <f t="shared" si="45"/>
        <v>-1.0114221527246982E-2</v>
      </c>
      <c r="J1436" s="289"/>
      <c r="K1436" s="275"/>
      <c r="L1436" s="290"/>
      <c r="M1436" s="275"/>
      <c r="N1436" s="275"/>
      <c r="O1436" s="275"/>
      <c r="P1436" s="275"/>
      <c r="Q1436" s="275"/>
      <c r="R1436" s="275"/>
      <c r="S1436" s="275"/>
      <c r="T1436" s="275"/>
    </row>
    <row r="1437" spans="1:20" ht="15" customHeight="1">
      <c r="A1437" s="20"/>
      <c r="B1437" s="294">
        <v>46038</v>
      </c>
      <c r="C1437" s="295">
        <v>25694.349609375</v>
      </c>
      <c r="D1437" s="296">
        <f t="shared" si="44"/>
        <v>1.1201764399651254E-3</v>
      </c>
      <c r="E1437" s="20"/>
      <c r="F1437" s="297"/>
      <c r="G1437" s="298">
        <v>46038</v>
      </c>
      <c r="H1437" s="299">
        <v>5543.4501953125</v>
      </c>
      <c r="I1437" s="300">
        <f t="shared" si="45"/>
        <v>-4.4041119299329237E-3</v>
      </c>
      <c r="J1437" s="296"/>
      <c r="K1437" s="20"/>
      <c r="L1437" s="297"/>
      <c r="M1437" s="275"/>
      <c r="N1437" s="275"/>
      <c r="O1437" s="275"/>
      <c r="P1437" s="275"/>
      <c r="Q1437" s="275"/>
      <c r="R1437" s="275"/>
      <c r="S1437" s="275"/>
      <c r="T1437" s="275"/>
    </row>
    <row r="1438" spans="1:20" ht="15" customHeight="1">
      <c r="A1438" s="275"/>
      <c r="B1438" s="303">
        <v>46041</v>
      </c>
      <c r="C1438" s="304">
        <v>25585.5</v>
      </c>
      <c r="D1438" s="289">
        <f t="shared" si="44"/>
        <v>-4.2363247573810724E-3</v>
      </c>
      <c r="E1438" s="275"/>
      <c r="F1438" s="290"/>
      <c r="G1438" s="305">
        <v>46041</v>
      </c>
      <c r="H1438" s="306">
        <v>5652.328125</v>
      </c>
      <c r="I1438" s="293">
        <f t="shared" si="45"/>
        <v>1.9640824008767384E-2</v>
      </c>
      <c r="J1438" s="289"/>
      <c r="K1438" s="275"/>
      <c r="L1438" s="290"/>
      <c r="M1438" s="275"/>
      <c r="N1438" s="275"/>
      <c r="O1438" s="275"/>
      <c r="P1438" s="275"/>
      <c r="Q1438" s="275"/>
      <c r="R1438" s="275"/>
      <c r="S1438" s="275"/>
      <c r="T1438" s="275"/>
    </row>
    <row r="1439" spans="1:20" ht="15" customHeight="1">
      <c r="A1439" s="20"/>
      <c r="B1439" s="294">
        <v>46042</v>
      </c>
      <c r="C1439" s="295">
        <v>25232.5</v>
      </c>
      <c r="D1439" s="296">
        <f t="shared" si="44"/>
        <v>-1.3796877137441129E-2</v>
      </c>
      <c r="E1439" s="20"/>
      <c r="F1439" s="297"/>
      <c r="G1439" s="298">
        <v>46042</v>
      </c>
      <c r="H1439" s="299">
        <v>5473.8076171875</v>
      </c>
      <c r="I1439" s="300">
        <f t="shared" si="45"/>
        <v>-3.158353582179909E-2</v>
      </c>
      <c r="J1439" s="296"/>
      <c r="K1439" s="20"/>
      <c r="L1439" s="297"/>
      <c r="M1439" s="275"/>
      <c r="N1439" s="275"/>
      <c r="O1439" s="275"/>
      <c r="P1439" s="275"/>
      <c r="Q1439" s="275"/>
      <c r="R1439" s="275"/>
      <c r="S1439" s="275"/>
      <c r="T1439" s="275"/>
    </row>
    <row r="1440" spans="1:20" ht="15" customHeight="1">
      <c r="A1440" s="275"/>
      <c r="B1440" s="303">
        <v>46043</v>
      </c>
      <c r="C1440" s="304">
        <v>25157.5</v>
      </c>
      <c r="D1440" s="289">
        <f t="shared" si="44"/>
        <v>-2.9723570791637768E-3</v>
      </c>
      <c r="E1440" s="275"/>
      <c r="F1440" s="290"/>
      <c r="G1440" s="305">
        <v>46043</v>
      </c>
      <c r="H1440" s="306">
        <v>5432.6108398379602</v>
      </c>
      <c r="I1440" s="293">
        <f t="shared" si="45"/>
        <v>-7.5261646427221681E-3</v>
      </c>
      <c r="J1440" s="289"/>
      <c r="K1440" s="275"/>
      <c r="L1440" s="290"/>
      <c r="M1440" s="275"/>
      <c r="N1440" s="275"/>
      <c r="O1440" s="275"/>
      <c r="P1440" s="275"/>
      <c r="Q1440" s="275"/>
      <c r="R1440" s="275"/>
      <c r="S1440" s="275"/>
      <c r="T1440" s="275"/>
    </row>
    <row r="1441" spans="1:20" ht="15" customHeight="1">
      <c r="A1441" s="20"/>
      <c r="B1441" s="294">
        <v>46044</v>
      </c>
      <c r="C1441" s="295">
        <v>25289.900390625</v>
      </c>
      <c r="D1441" s="296">
        <f t="shared" si="44"/>
        <v>5.2628596094603996E-3</v>
      </c>
      <c r="E1441" s="20"/>
      <c r="F1441" s="297"/>
      <c r="G1441" s="298">
        <v>46044</v>
      </c>
      <c r="H1441" s="299">
        <v>5383.56640625</v>
      </c>
      <c r="I1441" s="300">
        <f t="shared" si="45"/>
        <v>-9.027783331784358E-3</v>
      </c>
      <c r="J1441" s="296"/>
      <c r="K1441" s="20"/>
      <c r="L1441" s="297"/>
      <c r="M1441" s="275"/>
      <c r="N1441" s="275"/>
      <c r="O1441" s="275"/>
      <c r="P1441" s="275"/>
      <c r="Q1441" s="275"/>
      <c r="R1441" s="275"/>
      <c r="S1441" s="275"/>
      <c r="T1441" s="275"/>
    </row>
    <row r="1442" spans="1:20" ht="15" customHeight="1">
      <c r="A1442" s="275"/>
      <c r="B1442" s="303">
        <v>46045</v>
      </c>
      <c r="C1442" s="304">
        <v>25048.650390625</v>
      </c>
      <c r="D1442" s="289">
        <f t="shared" si="44"/>
        <v>-9.5393811867061241E-3</v>
      </c>
      <c r="E1442" s="275"/>
      <c r="F1442" s="290"/>
      <c r="G1442" s="305">
        <v>46045</v>
      </c>
      <c r="H1442" s="306">
        <v>5281.064453125</v>
      </c>
      <c r="I1442" s="293">
        <f t="shared" si="45"/>
        <v>-1.9039786154769325E-2</v>
      </c>
      <c r="J1442" s="289"/>
      <c r="K1442" s="275"/>
      <c r="L1442" s="290"/>
      <c r="M1442" s="275"/>
      <c r="N1442" s="275"/>
      <c r="O1442" s="275"/>
      <c r="P1442" s="275"/>
      <c r="Q1442" s="275"/>
      <c r="R1442" s="275"/>
      <c r="S1442" s="275"/>
      <c r="T1442" s="275"/>
    </row>
    <row r="1443" spans="1:20" ht="15" customHeight="1">
      <c r="A1443" s="20"/>
      <c r="B1443" s="294">
        <v>46049</v>
      </c>
      <c r="C1443" s="295">
        <v>25175.400390625</v>
      </c>
      <c r="D1443" s="296">
        <f t="shared" si="44"/>
        <v>5.0601528634628126E-3</v>
      </c>
      <c r="E1443" s="20"/>
      <c r="F1443" s="297"/>
      <c r="G1443" s="298">
        <v>46049</v>
      </c>
      <c r="H1443" s="299">
        <v>5277.1411132870398</v>
      </c>
      <c r="I1443" s="300">
        <f t="shared" si="45"/>
        <v>-7.4290701671678562E-4</v>
      </c>
      <c r="J1443" s="296"/>
      <c r="K1443" s="20"/>
      <c r="L1443" s="297"/>
      <c r="M1443" s="275"/>
      <c r="N1443" s="275"/>
      <c r="O1443" s="275"/>
      <c r="P1443" s="275"/>
      <c r="Q1443" s="275"/>
      <c r="R1443" s="275"/>
      <c r="S1443" s="275"/>
      <c r="T1443" s="275"/>
    </row>
    <row r="1444" spans="1:20" ht="15" customHeight="1">
      <c r="A1444" s="275"/>
      <c r="B1444" s="303">
        <v>46050</v>
      </c>
      <c r="C1444" s="304">
        <v>25342.75</v>
      </c>
      <c r="D1444" s="289">
        <f t="shared" si="44"/>
        <v>6.6473464881741809E-3</v>
      </c>
      <c r="E1444" s="275"/>
      <c r="F1444" s="290"/>
      <c r="G1444" s="305">
        <v>46050</v>
      </c>
      <c r="H1444" s="306">
        <v>5407.1079101620398</v>
      </c>
      <c r="I1444" s="293">
        <f t="shared" si="45"/>
        <v>2.4628258764535088E-2</v>
      </c>
      <c r="J1444" s="289"/>
      <c r="K1444" s="275"/>
      <c r="L1444" s="290"/>
      <c r="M1444" s="275"/>
      <c r="N1444" s="275"/>
      <c r="O1444" s="275"/>
      <c r="P1444" s="275"/>
      <c r="Q1444" s="275"/>
      <c r="R1444" s="275"/>
      <c r="S1444" s="275"/>
      <c r="T1444" s="275"/>
    </row>
    <row r="1445" spans="1:20" ht="15" customHeight="1">
      <c r="A1445" s="20"/>
      <c r="B1445" s="294">
        <v>46051</v>
      </c>
      <c r="C1445" s="295">
        <v>25418.900390625</v>
      </c>
      <c r="D1445" s="296">
        <f t="shared" si="44"/>
        <v>3.004819548983437E-3</v>
      </c>
      <c r="E1445" s="20"/>
      <c r="F1445" s="297"/>
      <c r="G1445" s="298">
        <v>46051</v>
      </c>
      <c r="H1445" s="299">
        <v>5473.3173828125</v>
      </c>
      <c r="I1445" s="300">
        <f t="shared" si="45"/>
        <v>1.2244895746583315E-2</v>
      </c>
      <c r="J1445" s="296"/>
      <c r="K1445" s="20"/>
      <c r="L1445" s="297"/>
      <c r="M1445" s="275"/>
      <c r="N1445" s="275"/>
      <c r="O1445" s="275"/>
      <c r="P1445" s="275"/>
      <c r="Q1445" s="275"/>
      <c r="R1445" s="275"/>
      <c r="S1445" s="275"/>
      <c r="T1445" s="275"/>
    </row>
    <row r="1446" spans="1:20" ht="15" customHeight="1">
      <c r="A1446" s="275"/>
      <c r="B1446" s="303">
        <v>46052</v>
      </c>
      <c r="C1446" s="304">
        <v>25320.650390625</v>
      </c>
      <c r="D1446" s="289">
        <f t="shared" si="44"/>
        <v>-3.8652340774047241E-3</v>
      </c>
      <c r="E1446" s="275"/>
      <c r="F1446" s="290"/>
      <c r="G1446" s="305">
        <v>46052</v>
      </c>
      <c r="H1446" s="306">
        <v>5428.1967773379602</v>
      </c>
      <c r="I1446" s="293">
        <f t="shared" si="45"/>
        <v>-8.243740006057227E-3</v>
      </c>
      <c r="J1446" s="289"/>
      <c r="K1446" s="275"/>
      <c r="L1446" s="290"/>
      <c r="M1446" s="275"/>
      <c r="N1446" s="275"/>
      <c r="O1446" s="275"/>
      <c r="P1446" s="275"/>
      <c r="Q1446" s="275"/>
      <c r="R1446" s="275"/>
      <c r="S1446" s="275"/>
      <c r="T1446" s="275"/>
    </row>
    <row r="1447" spans="1:20" ht="15" customHeight="1">
      <c r="A1447" s="20"/>
      <c r="B1447" s="294">
        <v>46055</v>
      </c>
      <c r="C1447" s="295">
        <v>25088.400390625</v>
      </c>
      <c r="D1447" s="296">
        <f t="shared" si="44"/>
        <v>-9.1723552285209401E-3</v>
      </c>
      <c r="E1447" s="20"/>
      <c r="F1447" s="297"/>
      <c r="G1447" s="298">
        <v>46055</v>
      </c>
      <c r="H1447" s="299">
        <v>5515.4951171875</v>
      </c>
      <c r="I1447" s="300">
        <f t="shared" si="45"/>
        <v>1.6082383051034453E-2</v>
      </c>
      <c r="J1447" s="296"/>
      <c r="K1447" s="20"/>
      <c r="L1447" s="297"/>
      <c r="M1447" s="275"/>
      <c r="N1447" s="275"/>
      <c r="O1447" s="275"/>
      <c r="P1447" s="275"/>
      <c r="Q1447" s="275"/>
      <c r="R1447" s="275"/>
      <c r="S1447" s="275"/>
      <c r="T1447" s="275"/>
    </row>
    <row r="1448" spans="1:20" ht="15" customHeight="1">
      <c r="A1448" s="275"/>
      <c r="B1448" s="303">
        <v>46056</v>
      </c>
      <c r="C1448" s="304">
        <v>25727.55078125</v>
      </c>
      <c r="D1448" s="289">
        <f t="shared" si="44"/>
        <v>2.5475932330218904E-2</v>
      </c>
      <c r="E1448" s="275"/>
      <c r="F1448" s="290"/>
      <c r="G1448" s="305">
        <v>46056</v>
      </c>
      <c r="H1448" s="306">
        <v>5652.818359375</v>
      </c>
      <c r="I1448" s="293">
        <f t="shared" si="45"/>
        <v>2.4897718023459123E-2</v>
      </c>
      <c r="J1448" s="289"/>
      <c r="K1448" s="275"/>
      <c r="L1448" s="290"/>
      <c r="M1448" s="275"/>
      <c r="N1448" s="275"/>
      <c r="O1448" s="275"/>
      <c r="P1448" s="275"/>
      <c r="Q1448" s="275"/>
      <c r="R1448" s="275"/>
      <c r="S1448" s="275"/>
      <c r="T1448" s="275"/>
    </row>
    <row r="1449" spans="1:20" ht="15" customHeight="1">
      <c r="A1449" s="20"/>
      <c r="B1449" s="294">
        <v>46057</v>
      </c>
      <c r="C1449" s="295">
        <v>25776</v>
      </c>
      <c r="D1449" s="296">
        <f t="shared" si="44"/>
        <v>1.8831648283174059E-3</v>
      </c>
      <c r="E1449" s="20"/>
      <c r="F1449" s="297"/>
      <c r="G1449" s="298">
        <v>46057</v>
      </c>
      <c r="H1449" s="299">
        <v>5739.6264648379602</v>
      </c>
      <c r="I1449" s="300">
        <f t="shared" si="45"/>
        <v>1.5356606199629955E-2</v>
      </c>
      <c r="J1449" s="296"/>
      <c r="K1449" s="20"/>
      <c r="L1449" s="297"/>
      <c r="M1449" s="275"/>
      <c r="N1449" s="275"/>
      <c r="O1449" s="275"/>
      <c r="P1449" s="275"/>
      <c r="Q1449" s="275"/>
      <c r="R1449" s="275"/>
      <c r="S1449" s="275"/>
      <c r="T1449" s="275"/>
    </row>
    <row r="1450" spans="1:20" ht="15" customHeight="1">
      <c r="A1450" s="275"/>
      <c r="B1450" s="303">
        <v>46058</v>
      </c>
      <c r="C1450" s="304">
        <v>25642.80078125</v>
      </c>
      <c r="D1450" s="289">
        <f t="shared" si="44"/>
        <v>-5.1675674561607694E-3</v>
      </c>
      <c r="E1450" s="275"/>
      <c r="F1450" s="290"/>
      <c r="G1450" s="305">
        <v>46058</v>
      </c>
      <c r="H1450" s="306">
        <v>5655.7612304629602</v>
      </c>
      <c r="I1450" s="293">
        <f t="shared" si="45"/>
        <v>-1.46116188725476E-2</v>
      </c>
      <c r="J1450" s="289"/>
      <c r="K1450" s="275"/>
      <c r="L1450" s="290"/>
      <c r="M1450" s="275"/>
      <c r="N1450" s="275"/>
      <c r="O1450" s="275"/>
      <c r="P1450" s="275"/>
      <c r="Q1450" s="275"/>
      <c r="R1450" s="275"/>
      <c r="S1450" s="275"/>
      <c r="T1450" s="275"/>
    </row>
    <row r="1451" spans="1:20" ht="15" customHeight="1">
      <c r="A1451" s="20"/>
      <c r="B1451" s="294">
        <v>46059</v>
      </c>
      <c r="C1451" s="295">
        <v>25693.69921875</v>
      </c>
      <c r="D1451" s="296">
        <f t="shared" si="44"/>
        <v>1.9849016468285676E-3</v>
      </c>
      <c r="E1451" s="20"/>
      <c r="F1451" s="297"/>
      <c r="G1451" s="298">
        <v>46059</v>
      </c>
      <c r="H1451" s="299">
        <v>5643.5</v>
      </c>
      <c r="I1451" s="300">
        <f t="shared" si="45"/>
        <v>-2.1679186873941807E-3</v>
      </c>
      <c r="J1451" s="296"/>
      <c r="K1451" s="20"/>
      <c r="L1451" s="297"/>
      <c r="M1451" s="275"/>
      <c r="N1451" s="275"/>
      <c r="O1451" s="275"/>
      <c r="P1451" s="275"/>
      <c r="Q1451" s="275"/>
      <c r="R1451" s="275"/>
      <c r="S1451" s="275"/>
      <c r="T1451" s="275"/>
    </row>
    <row r="1452" spans="1:20" ht="15" customHeight="1">
      <c r="A1452" s="275"/>
      <c r="B1452" s="303">
        <v>46062</v>
      </c>
      <c r="C1452" s="304">
        <v>25867.30078125</v>
      </c>
      <c r="D1452" s="289">
        <f t="shared" si="44"/>
        <v>6.7565810988132885E-3</v>
      </c>
      <c r="E1452" s="275"/>
      <c r="F1452" s="290"/>
      <c r="G1452" s="305">
        <v>46062</v>
      </c>
      <c r="H1452" s="306">
        <v>5646.4428710879602</v>
      </c>
      <c r="I1452" s="293">
        <f t="shared" si="45"/>
        <v>5.2146205155668588E-4</v>
      </c>
      <c r="J1452" s="289"/>
      <c r="K1452" s="275"/>
      <c r="L1452" s="290"/>
      <c r="M1452" s="275"/>
      <c r="N1452" s="275"/>
      <c r="O1452" s="275"/>
      <c r="P1452" s="275"/>
      <c r="Q1452" s="275"/>
      <c r="R1452" s="275"/>
      <c r="S1452" s="275"/>
      <c r="T1452" s="275"/>
    </row>
    <row r="1453" spans="1:20" ht="15" customHeight="1">
      <c r="A1453" s="20"/>
      <c r="B1453" s="294">
        <v>46063</v>
      </c>
      <c r="C1453" s="295">
        <v>25935.150390625</v>
      </c>
      <c r="D1453" s="296">
        <f t="shared" si="44"/>
        <v>2.6229876069706129E-3</v>
      </c>
      <c r="E1453" s="20"/>
      <c r="F1453" s="297"/>
      <c r="G1453" s="298">
        <v>46063</v>
      </c>
      <c r="H1453" s="299">
        <v>5643.5</v>
      </c>
      <c r="I1453" s="300">
        <f t="shared" si="45"/>
        <v>-5.2119027060892279E-4</v>
      </c>
      <c r="J1453" s="296"/>
      <c r="K1453" s="20"/>
      <c r="L1453" s="297"/>
      <c r="M1453" s="275"/>
      <c r="N1453" s="275"/>
      <c r="O1453" s="275"/>
      <c r="P1453" s="275"/>
      <c r="Q1453" s="275"/>
      <c r="R1453" s="275"/>
      <c r="S1453" s="275"/>
      <c r="T1453" s="275"/>
    </row>
    <row r="1454" spans="1:20" ht="15" customHeight="1">
      <c r="A1454" s="275"/>
      <c r="B1454" s="303">
        <v>46064</v>
      </c>
      <c r="C1454" s="304">
        <v>25953.849609375</v>
      </c>
      <c r="D1454" s="289">
        <f t="shared" si="44"/>
        <v>7.2099904833246569E-4</v>
      </c>
      <c r="E1454" s="275"/>
      <c r="F1454" s="290"/>
      <c r="G1454" s="305">
        <v>46064</v>
      </c>
      <c r="H1454" s="306">
        <v>5682.5</v>
      </c>
      <c r="I1454" s="293">
        <f t="shared" si="45"/>
        <v>6.9106051209355899E-3</v>
      </c>
      <c r="J1454" s="289"/>
      <c r="K1454" s="275"/>
      <c r="L1454" s="290"/>
      <c r="M1454" s="275"/>
      <c r="N1454" s="275"/>
      <c r="O1454" s="275"/>
      <c r="P1454" s="275"/>
      <c r="Q1454" s="275"/>
      <c r="R1454" s="275"/>
      <c r="S1454" s="275"/>
      <c r="T1454" s="275"/>
    </row>
    <row r="1455" spans="1:20" ht="15" customHeight="1">
      <c r="A1455" s="20"/>
      <c r="B1455" s="294">
        <v>46065</v>
      </c>
      <c r="C1455" s="295">
        <v>25807.19921875</v>
      </c>
      <c r="D1455" s="296">
        <f t="shared" si="44"/>
        <v>-5.6504292362096155E-3</v>
      </c>
      <c r="E1455" s="20"/>
      <c r="F1455" s="297"/>
      <c r="G1455" s="298">
        <v>46065</v>
      </c>
      <c r="H1455" s="299">
        <v>5733</v>
      </c>
      <c r="I1455" s="300">
        <f t="shared" si="45"/>
        <v>8.8869335679718428E-3</v>
      </c>
      <c r="J1455" s="296"/>
      <c r="K1455" s="20"/>
      <c r="L1455" s="297"/>
      <c r="M1455" s="275"/>
      <c r="N1455" s="275"/>
      <c r="O1455" s="275"/>
      <c r="P1455" s="275"/>
      <c r="Q1455" s="275"/>
      <c r="R1455" s="275"/>
      <c r="S1455" s="275"/>
      <c r="T1455" s="275"/>
    </row>
    <row r="1456" spans="1:20" ht="15" customHeight="1">
      <c r="A1456" s="275"/>
      <c r="B1456" s="303">
        <v>46066</v>
      </c>
      <c r="C1456" s="304">
        <v>25471.099609375</v>
      </c>
      <c r="D1456" s="289">
        <f t="shared" si="44"/>
        <v>-1.3023482576552116E-2</v>
      </c>
      <c r="E1456" s="275"/>
      <c r="F1456" s="290"/>
      <c r="G1456" s="305">
        <v>46066</v>
      </c>
      <c r="H1456" s="306">
        <v>5584</v>
      </c>
      <c r="I1456" s="293">
        <f t="shared" si="45"/>
        <v>-2.5989883132740275E-2</v>
      </c>
      <c r="J1456" s="289"/>
      <c r="K1456" s="275"/>
      <c r="L1456" s="290"/>
      <c r="M1456" s="275"/>
      <c r="N1456" s="275"/>
      <c r="O1456" s="275"/>
      <c r="P1456" s="275"/>
      <c r="Q1456" s="275"/>
      <c r="R1456" s="275"/>
      <c r="S1456" s="275"/>
      <c r="T1456" s="275"/>
    </row>
    <row r="1457" spans="1:20" ht="15" customHeight="1">
      <c r="A1457" s="20"/>
      <c r="B1457" s="294">
        <v>46069</v>
      </c>
      <c r="C1457" s="295">
        <v>25682.75</v>
      </c>
      <c r="D1457" s="296">
        <f t="shared" si="44"/>
        <v>8.3094328030933959E-3</v>
      </c>
      <c r="E1457" s="20"/>
      <c r="F1457" s="297"/>
      <c r="G1457" s="298">
        <v>46069</v>
      </c>
      <c r="H1457" s="299">
        <v>5492</v>
      </c>
      <c r="I1457" s="300">
        <f t="shared" si="45"/>
        <v>-1.6475644699140399E-2</v>
      </c>
      <c r="J1457" s="296"/>
      <c r="K1457" s="20"/>
      <c r="L1457" s="297"/>
      <c r="M1457" s="275"/>
      <c r="N1457" s="275"/>
      <c r="O1457" s="275"/>
      <c r="P1457" s="275"/>
      <c r="Q1457" s="275"/>
      <c r="R1457" s="275"/>
      <c r="S1457" s="275"/>
      <c r="T1457" s="275"/>
    </row>
    <row r="1458" spans="1:20" ht="15" customHeight="1">
      <c r="A1458" s="275"/>
      <c r="B1458" s="303">
        <v>46070</v>
      </c>
      <c r="C1458" s="304">
        <v>25725.400390625</v>
      </c>
      <c r="D1458" s="289">
        <f t="shared" si="44"/>
        <v>1.6606629206373927E-3</v>
      </c>
      <c r="E1458" s="275"/>
      <c r="F1458" s="290"/>
      <c r="G1458" s="305">
        <v>46070</v>
      </c>
      <c r="H1458" s="306">
        <v>5577</v>
      </c>
      <c r="I1458" s="293">
        <f t="shared" si="45"/>
        <v>1.5477057538237436E-2</v>
      </c>
      <c r="J1458" s="289"/>
      <c r="K1458" s="275"/>
      <c r="L1458" s="290"/>
      <c r="M1458" s="275"/>
      <c r="N1458" s="275"/>
      <c r="O1458" s="275"/>
      <c r="P1458" s="275"/>
      <c r="Q1458" s="275"/>
      <c r="R1458" s="275"/>
      <c r="S1458" s="275"/>
      <c r="T1458" s="275"/>
    </row>
    <row r="1459" spans="1:20" ht="15" customHeight="1">
      <c r="A1459" s="20"/>
      <c r="B1459" s="294">
        <v>46071</v>
      </c>
      <c r="C1459" s="295">
        <v>25819.349609375</v>
      </c>
      <c r="D1459" s="296">
        <f t="shared" si="44"/>
        <v>3.6520021971839754E-3</v>
      </c>
      <c r="E1459" s="20"/>
      <c r="F1459" s="297"/>
      <c r="G1459" s="298">
        <v>46071</v>
      </c>
      <c r="H1459" s="299">
        <v>5592</v>
      </c>
      <c r="I1459" s="300">
        <f t="shared" si="45"/>
        <v>2.6896180742334587E-3</v>
      </c>
      <c r="J1459" s="296"/>
      <c r="K1459" s="20"/>
      <c r="L1459" s="297"/>
      <c r="M1459" s="275"/>
      <c r="N1459" s="275"/>
      <c r="O1459" s="275"/>
      <c r="P1459" s="275"/>
      <c r="Q1459" s="275"/>
      <c r="R1459" s="275"/>
      <c r="S1459" s="275"/>
      <c r="T1459" s="275"/>
    </row>
    <row r="1460" spans="1:20" ht="15" customHeight="1">
      <c r="A1460" s="275"/>
      <c r="B1460" s="303">
        <v>46072</v>
      </c>
      <c r="C1460" s="304">
        <v>25454.349609375</v>
      </c>
      <c r="D1460" s="289">
        <f t="shared" si="44"/>
        <v>-1.4136684522350191E-2</v>
      </c>
      <c r="E1460" s="275"/>
      <c r="F1460" s="290"/>
      <c r="G1460" s="305">
        <v>46072</v>
      </c>
      <c r="H1460" s="306">
        <v>5414.5</v>
      </c>
      <c r="I1460" s="293">
        <f t="shared" si="45"/>
        <v>-3.1741773962804004E-2</v>
      </c>
      <c r="J1460" s="289"/>
      <c r="K1460" s="275"/>
      <c r="L1460" s="290"/>
      <c r="M1460" s="275"/>
      <c r="N1460" s="275"/>
      <c r="O1460" s="275"/>
      <c r="P1460" s="275"/>
      <c r="Q1460" s="275"/>
      <c r="R1460" s="275"/>
      <c r="S1460" s="275"/>
      <c r="T1460" s="275"/>
    </row>
    <row r="1461" spans="1:20" ht="15" customHeight="1">
      <c r="A1461" s="20"/>
      <c r="B1461" s="294">
        <v>46073</v>
      </c>
      <c r="C1461" s="295">
        <v>25571.25</v>
      </c>
      <c r="D1461" s="296">
        <f t="shared" si="44"/>
        <v>4.5925506806877847E-3</v>
      </c>
      <c r="E1461" s="20"/>
      <c r="F1461" s="297"/>
      <c r="G1461" s="298">
        <v>46073</v>
      </c>
      <c r="H1461" s="299">
        <v>5465</v>
      </c>
      <c r="I1461" s="300">
        <f t="shared" si="45"/>
        <v>9.3268076461353773E-3</v>
      </c>
      <c r="J1461" s="296"/>
      <c r="K1461" s="20"/>
      <c r="L1461" s="297"/>
      <c r="M1461" s="275"/>
      <c r="N1461" s="275"/>
      <c r="O1461" s="275"/>
      <c r="P1461" s="275"/>
      <c r="Q1461" s="275"/>
      <c r="R1461" s="275"/>
      <c r="S1461" s="275"/>
      <c r="T1461" s="275"/>
    </row>
    <row r="1462" spans="1:20" ht="15" customHeight="1">
      <c r="A1462" s="275"/>
      <c r="B1462" s="303">
        <v>46076</v>
      </c>
      <c r="C1462" s="304">
        <v>25713</v>
      </c>
      <c r="D1462" s="289">
        <f t="shared" si="44"/>
        <v>5.5433347998240208E-3</v>
      </c>
      <c r="E1462" s="275"/>
      <c r="F1462" s="290"/>
      <c r="G1462" s="305">
        <v>46076</v>
      </c>
      <c r="H1462" s="306">
        <v>5488.5</v>
      </c>
      <c r="I1462" s="293">
        <f t="shared" si="45"/>
        <v>4.3000914913083254E-3</v>
      </c>
      <c r="J1462" s="289"/>
      <c r="K1462" s="275"/>
      <c r="L1462" s="290"/>
      <c r="M1462" s="275"/>
      <c r="N1462" s="275"/>
      <c r="O1462" s="275"/>
      <c r="P1462" s="275"/>
      <c r="Q1462" s="275"/>
      <c r="R1462" s="275"/>
      <c r="S1462" s="275"/>
      <c r="T1462" s="275"/>
    </row>
    <row r="1463" spans="1:20" ht="15" customHeight="1">
      <c r="A1463" s="20"/>
      <c r="B1463" s="294">
        <v>46077</v>
      </c>
      <c r="C1463" s="295">
        <v>25424.650390625</v>
      </c>
      <c r="D1463" s="296">
        <f t="shared" si="44"/>
        <v>-1.1214156627970288E-2</v>
      </c>
      <c r="E1463" s="20"/>
      <c r="F1463" s="297"/>
      <c r="G1463" s="298">
        <v>46077</v>
      </c>
      <c r="H1463" s="299">
        <v>5511</v>
      </c>
      <c r="I1463" s="300">
        <f t="shared" si="45"/>
        <v>4.0994807324405578E-3</v>
      </c>
      <c r="J1463" s="296"/>
      <c r="K1463" s="20"/>
      <c r="L1463" s="297"/>
      <c r="M1463" s="275"/>
      <c r="N1463" s="275"/>
      <c r="O1463" s="275"/>
      <c r="P1463" s="275"/>
      <c r="Q1463" s="275"/>
      <c r="R1463" s="275"/>
      <c r="S1463" s="275"/>
      <c r="T1463" s="275"/>
    </row>
    <row r="1464" spans="1:20" ht="15" customHeight="1">
      <c r="A1464" s="275"/>
      <c r="B1464" s="303">
        <v>46078</v>
      </c>
      <c r="C1464" s="304">
        <v>25482.5</v>
      </c>
      <c r="D1464" s="289">
        <f t="shared" si="44"/>
        <v>2.2753354908011348E-3</v>
      </c>
      <c r="E1464" s="275"/>
      <c r="F1464" s="290"/>
      <c r="G1464" s="305">
        <v>46078</v>
      </c>
      <c r="H1464" s="306">
        <v>5737.5</v>
      </c>
      <c r="I1464" s="293">
        <f t="shared" si="45"/>
        <v>4.109961894393032E-2</v>
      </c>
      <c r="J1464" s="289"/>
      <c r="K1464" s="275"/>
      <c r="L1464" s="290"/>
      <c r="M1464" s="275"/>
      <c r="N1464" s="275"/>
      <c r="O1464" s="275"/>
      <c r="P1464" s="275"/>
      <c r="Q1464" s="275"/>
      <c r="R1464" s="275"/>
      <c r="S1464" s="275"/>
      <c r="T1464" s="275"/>
    </row>
    <row r="1465" spans="1:20" ht="15" customHeight="1">
      <c r="A1465" s="20"/>
      <c r="B1465" s="294">
        <v>46079</v>
      </c>
      <c r="C1465" s="295">
        <v>25496.55078125</v>
      </c>
      <c r="D1465" s="296">
        <f t="shared" si="44"/>
        <v>5.5138943392524285E-4</v>
      </c>
      <c r="E1465" s="20"/>
      <c r="F1465" s="297"/>
      <c r="G1465" s="298">
        <v>46079</v>
      </c>
      <c r="H1465" s="299">
        <v>5787</v>
      </c>
      <c r="I1465" s="300">
        <f t="shared" si="45"/>
        <v>8.6274509803921564E-3</v>
      </c>
      <c r="J1465" s="296"/>
      <c r="K1465" s="20"/>
      <c r="L1465" s="297"/>
      <c r="M1465" s="275"/>
      <c r="N1465" s="275"/>
      <c r="O1465" s="275"/>
      <c r="P1465" s="275"/>
      <c r="Q1465" s="275"/>
      <c r="R1465" s="275"/>
      <c r="S1465" s="275"/>
      <c r="T1465" s="275"/>
    </row>
    <row r="1466" spans="1:20" ht="15" customHeight="1">
      <c r="A1466" s="275"/>
      <c r="B1466" s="303">
        <v>46080</v>
      </c>
      <c r="C1466" s="304">
        <v>25178.650390625</v>
      </c>
      <c r="D1466" s="289">
        <f t="shared" si="44"/>
        <v>-1.2468368500212268E-2</v>
      </c>
      <c r="E1466" s="275"/>
      <c r="F1466" s="290"/>
      <c r="G1466" s="305">
        <v>46080</v>
      </c>
      <c r="H1466" s="306">
        <v>5710</v>
      </c>
      <c r="I1466" s="293">
        <f t="shared" si="45"/>
        <v>-1.3305685156385002E-2</v>
      </c>
      <c r="J1466" s="289"/>
      <c r="K1466" s="275"/>
      <c r="L1466" s="290"/>
      <c r="M1466" s="275"/>
      <c r="N1466" s="275"/>
      <c r="O1466" s="275"/>
      <c r="P1466" s="275"/>
      <c r="Q1466" s="275"/>
      <c r="R1466" s="275"/>
      <c r="S1466" s="275"/>
      <c r="T1466" s="275"/>
    </row>
    <row r="1467" spans="1:20" ht="15" customHeight="1">
      <c r="A1467" s="20"/>
      <c r="B1467" s="294">
        <v>46083</v>
      </c>
      <c r="C1467" s="295">
        <v>24865.69921875</v>
      </c>
      <c r="D1467" s="296">
        <f t="shared" si="44"/>
        <v>-1.2429227421638295E-2</v>
      </c>
      <c r="E1467" s="20"/>
      <c r="F1467" s="297"/>
      <c r="G1467" s="298">
        <v>46083</v>
      </c>
      <c r="H1467" s="299">
        <v>5591.5</v>
      </c>
      <c r="I1467" s="300">
        <f t="shared" si="45"/>
        <v>-2.0753064798598949E-2</v>
      </c>
      <c r="J1467" s="296"/>
      <c r="K1467" s="20"/>
      <c r="L1467" s="297"/>
      <c r="M1467" s="275"/>
      <c r="N1467" s="275"/>
      <c r="O1467" s="275"/>
      <c r="P1467" s="275"/>
      <c r="Q1467" s="275"/>
      <c r="R1467" s="275"/>
      <c r="S1467" s="275"/>
      <c r="T1467" s="275"/>
    </row>
    <row r="1468" spans="1:20" ht="15" customHeight="1">
      <c r="A1468" s="275"/>
      <c r="B1468" s="303">
        <v>46085</v>
      </c>
      <c r="C1468" s="304">
        <v>24480.5</v>
      </c>
      <c r="D1468" s="289">
        <f t="shared" si="44"/>
        <v>-1.5491187895474108E-2</v>
      </c>
      <c r="E1468" s="275"/>
      <c r="F1468" s="290"/>
      <c r="G1468" s="305">
        <v>46085</v>
      </c>
      <c r="H1468" s="306">
        <v>5500</v>
      </c>
      <c r="I1468" s="293">
        <f t="shared" si="45"/>
        <v>-1.6364124116963249E-2</v>
      </c>
      <c r="J1468" s="289"/>
      <c r="K1468" s="275"/>
      <c r="L1468" s="290"/>
      <c r="M1468" s="275"/>
      <c r="N1468" s="275"/>
      <c r="O1468" s="275"/>
      <c r="P1468" s="275"/>
      <c r="Q1468" s="275"/>
      <c r="R1468" s="275"/>
      <c r="S1468" s="275"/>
      <c r="T1468" s="275"/>
    </row>
    <row r="1469" spans="1:20" ht="15" customHeight="1">
      <c r="A1469" s="20"/>
      <c r="B1469" s="294">
        <v>46086</v>
      </c>
      <c r="C1469" s="295">
        <v>24765.900390625</v>
      </c>
      <c r="D1469" s="296">
        <f t="shared" si="44"/>
        <v>1.165827457057658E-2</v>
      </c>
      <c r="E1469" s="20"/>
      <c r="F1469" s="297"/>
      <c r="G1469" s="298">
        <v>46086</v>
      </c>
      <c r="H1469" s="299">
        <v>5588.5</v>
      </c>
      <c r="I1469" s="300">
        <f t="shared" si="45"/>
        <v>1.609090909090909E-2</v>
      </c>
      <c r="J1469" s="296"/>
      <c r="K1469" s="20"/>
      <c r="L1469" s="297"/>
      <c r="M1469" s="275"/>
      <c r="N1469" s="275"/>
      <c r="O1469" s="275"/>
      <c r="P1469" s="275"/>
      <c r="Q1469" s="275"/>
      <c r="R1469" s="275"/>
      <c r="S1469" s="275"/>
      <c r="T1469" s="275"/>
    </row>
    <row r="1470" spans="1:20" ht="15" customHeight="1">
      <c r="A1470" s="275"/>
      <c r="B1470" s="303">
        <v>46087</v>
      </c>
      <c r="C1470" s="304">
        <v>24450.44921875</v>
      </c>
      <c r="D1470" s="289">
        <f t="shared" si="44"/>
        <v>-1.273731893044407E-2</v>
      </c>
      <c r="E1470" s="275"/>
      <c r="F1470" s="290"/>
      <c r="G1470" s="305">
        <v>46087</v>
      </c>
      <c r="H1470" s="306">
        <v>5512.5</v>
      </c>
      <c r="I1470" s="293">
        <f t="shared" si="45"/>
        <v>-1.3599355819987474E-2</v>
      </c>
      <c r="J1470" s="289"/>
      <c r="K1470" s="275"/>
      <c r="L1470" s="290"/>
      <c r="M1470" s="275"/>
      <c r="N1470" s="275"/>
      <c r="O1470" s="275"/>
      <c r="P1470" s="275"/>
      <c r="Q1470" s="275"/>
      <c r="R1470" s="275"/>
      <c r="S1470" s="275"/>
      <c r="T1470" s="275"/>
    </row>
    <row r="1471" spans="1:20" ht="15" customHeight="1">
      <c r="A1471" s="20"/>
      <c r="B1471" s="294">
        <v>46090</v>
      </c>
      <c r="C1471" s="295">
        <v>24028.05078125</v>
      </c>
      <c r="D1471" s="296">
        <f t="shared" si="44"/>
        <v>-1.7275692308183883E-2</v>
      </c>
      <c r="E1471" s="20"/>
      <c r="F1471" s="297"/>
      <c r="G1471" s="298">
        <v>46090</v>
      </c>
      <c r="H1471" s="299">
        <v>5480</v>
      </c>
      <c r="I1471" s="300">
        <f t="shared" si="45"/>
        <v>-5.8956916099773245E-3</v>
      </c>
      <c r="J1471" s="296"/>
      <c r="K1471" s="20"/>
      <c r="L1471" s="297"/>
      <c r="M1471" s="275"/>
      <c r="N1471" s="275"/>
      <c r="O1471" s="275"/>
      <c r="P1471" s="275"/>
      <c r="Q1471" s="275"/>
      <c r="R1471" s="275"/>
      <c r="S1471" s="275"/>
      <c r="T1471" s="275"/>
    </row>
    <row r="1472" spans="1:20" ht="15" customHeight="1">
      <c r="A1472" s="275"/>
      <c r="B1472" s="303">
        <v>46091</v>
      </c>
      <c r="C1472" s="304">
        <v>24261.599609375</v>
      </c>
      <c r="D1472" s="289">
        <f t="shared" si="44"/>
        <v>9.7198407915488096E-3</v>
      </c>
      <c r="E1472" s="275"/>
      <c r="F1472" s="290"/>
      <c r="G1472" s="305">
        <v>46091</v>
      </c>
      <c r="H1472" s="306">
        <v>5711.5</v>
      </c>
      <c r="I1472" s="293">
        <f t="shared" si="45"/>
        <v>4.2244525547445254E-2</v>
      </c>
      <c r="J1472" s="289"/>
      <c r="K1472" s="275"/>
      <c r="L1472" s="290"/>
      <c r="M1472" s="275"/>
      <c r="N1472" s="275"/>
      <c r="O1472" s="275"/>
      <c r="P1472" s="275"/>
      <c r="Q1472" s="275"/>
      <c r="R1472" s="275"/>
      <c r="S1472" s="275"/>
      <c r="T1472" s="275"/>
    </row>
    <row r="1473" spans="1:20" ht="15" customHeight="1">
      <c r="A1473" s="20"/>
      <c r="B1473" s="294">
        <v>46092</v>
      </c>
      <c r="C1473" s="295">
        <v>23866.849609375</v>
      </c>
      <c r="D1473" s="296">
        <f t="shared" si="44"/>
        <v>-1.6270567743087452E-2</v>
      </c>
      <c r="E1473" s="20"/>
      <c r="F1473" s="297"/>
      <c r="G1473" s="298">
        <v>46092</v>
      </c>
      <c r="H1473" s="299">
        <v>5575</v>
      </c>
      <c r="I1473" s="300">
        <f t="shared" si="45"/>
        <v>-2.3899150836032567E-2</v>
      </c>
      <c r="J1473" s="296"/>
      <c r="K1473" s="20"/>
      <c r="L1473" s="297"/>
      <c r="M1473" s="275"/>
      <c r="N1473" s="275"/>
      <c r="O1473" s="275"/>
      <c r="P1473" s="275"/>
      <c r="Q1473" s="275"/>
      <c r="R1473" s="275"/>
      <c r="S1473" s="275"/>
      <c r="T1473" s="275"/>
    </row>
    <row r="1474" spans="1:20" ht="15" customHeight="1">
      <c r="A1474" s="275"/>
      <c r="B1474" s="303">
        <v>46093</v>
      </c>
      <c r="C1474" s="304">
        <v>23639.150390625</v>
      </c>
      <c r="D1474" s="289">
        <f t="shared" si="44"/>
        <v>-9.5403969303329752E-3</v>
      </c>
      <c r="E1474" s="275"/>
      <c r="F1474" s="290"/>
      <c r="G1474" s="305">
        <v>46093</v>
      </c>
      <c r="H1474" s="306">
        <v>5394.5</v>
      </c>
      <c r="I1474" s="293">
        <f t="shared" si="45"/>
        <v>-3.2376681614349777E-2</v>
      </c>
      <c r="J1474" s="289"/>
      <c r="K1474" s="275"/>
      <c r="L1474" s="290"/>
      <c r="M1474" s="275"/>
      <c r="N1474" s="275"/>
      <c r="O1474" s="275"/>
      <c r="P1474" s="275"/>
      <c r="Q1474" s="275"/>
      <c r="R1474" s="275"/>
      <c r="S1474" s="275"/>
      <c r="T1474" s="275"/>
    </row>
    <row r="1475" spans="1:20" ht="15" customHeight="1">
      <c r="A1475" s="20"/>
      <c r="B1475" s="294">
        <v>46094</v>
      </c>
      <c r="C1475" s="295">
        <v>23151.099609375</v>
      </c>
      <c r="D1475" s="296">
        <f t="shared" si="44"/>
        <v>-2.0645868112229408E-2</v>
      </c>
      <c r="E1475" s="20"/>
      <c r="F1475" s="297"/>
      <c r="G1475" s="298">
        <v>46094</v>
      </c>
      <c r="H1475" s="299">
        <v>5206</v>
      </c>
      <c r="I1475" s="300">
        <f t="shared" si="45"/>
        <v>-3.4942997497451105E-2</v>
      </c>
      <c r="J1475" s="296"/>
      <c r="K1475" s="20"/>
      <c r="L1475" s="297"/>
      <c r="M1475" s="275"/>
      <c r="N1475" s="275"/>
      <c r="O1475" s="275"/>
      <c r="P1475" s="275"/>
      <c r="Q1475" s="275"/>
      <c r="R1475" s="275"/>
      <c r="S1475" s="275"/>
      <c r="T1475" s="275"/>
    </row>
    <row r="1476" spans="1:20" ht="15" customHeight="1">
      <c r="A1476" s="275"/>
      <c r="B1476" s="303">
        <v>46097</v>
      </c>
      <c r="C1476" s="304">
        <v>23408.80078125</v>
      </c>
      <c r="D1476" s="289">
        <f t="shared" si="44"/>
        <v>1.1131271353117254E-2</v>
      </c>
      <c r="E1476" s="275"/>
      <c r="F1476" s="290"/>
      <c r="G1476" s="305">
        <v>46097</v>
      </c>
      <c r="H1476" s="306">
        <v>5278.5</v>
      </c>
      <c r="I1476" s="293">
        <f t="shared" si="45"/>
        <v>1.3926238955051863E-2</v>
      </c>
      <c r="J1476" s="289"/>
      <c r="K1476" s="275"/>
      <c r="L1476" s="290"/>
      <c r="M1476" s="275"/>
      <c r="N1476" s="275"/>
      <c r="O1476" s="275"/>
      <c r="P1476" s="275"/>
      <c r="Q1476" s="275"/>
      <c r="R1476" s="275"/>
      <c r="S1476" s="275"/>
      <c r="T1476" s="275"/>
    </row>
    <row r="1477" spans="1:20" ht="15" customHeight="1">
      <c r="A1477" s="20"/>
      <c r="B1477" s="294">
        <v>46098</v>
      </c>
      <c r="C1477" s="295">
        <v>23581.150390625</v>
      </c>
      <c r="D1477" s="296">
        <f t="shared" ref="D1477:D1540" si="46">(C1477-C1476)/C1476</f>
        <v>7.3625988356075351E-3</v>
      </c>
      <c r="E1477" s="20"/>
      <c r="F1477" s="297"/>
      <c r="G1477" s="298">
        <v>46098</v>
      </c>
      <c r="H1477" s="299">
        <v>5355</v>
      </c>
      <c r="I1477" s="300">
        <f t="shared" ref="I1477:I1540" si="47">(H1477-H1476)/H1476</f>
        <v>1.4492753623188406E-2</v>
      </c>
      <c r="J1477" s="296"/>
      <c r="K1477" s="20"/>
      <c r="L1477" s="297"/>
      <c r="M1477" s="275"/>
      <c r="N1477" s="275"/>
      <c r="O1477" s="275"/>
      <c r="P1477" s="275"/>
      <c r="Q1477" s="275"/>
      <c r="R1477" s="275"/>
      <c r="S1477" s="275"/>
      <c r="T1477" s="275"/>
    </row>
    <row r="1478" spans="1:20" ht="15" customHeight="1">
      <c r="A1478" s="275"/>
      <c r="B1478" s="303">
        <v>46099</v>
      </c>
      <c r="C1478" s="304">
        <v>23777.80078125</v>
      </c>
      <c r="D1478" s="289">
        <f t="shared" si="46"/>
        <v>8.339304375208979E-3</v>
      </c>
      <c r="E1478" s="275"/>
      <c r="F1478" s="290"/>
      <c r="G1478" s="305">
        <v>46099</v>
      </c>
      <c r="H1478" s="306">
        <v>5426</v>
      </c>
      <c r="I1478" s="293">
        <f t="shared" si="47"/>
        <v>1.3258636788048552E-2</v>
      </c>
      <c r="J1478" s="289"/>
      <c r="K1478" s="275"/>
      <c r="L1478" s="290"/>
      <c r="M1478" s="275"/>
      <c r="N1478" s="275"/>
      <c r="O1478" s="275"/>
      <c r="P1478" s="275"/>
      <c r="Q1478" s="275"/>
      <c r="R1478" s="275"/>
      <c r="S1478" s="275"/>
      <c r="T1478" s="275"/>
    </row>
    <row r="1479" spans="1:20" ht="15" customHeight="1">
      <c r="A1479" s="20"/>
      <c r="B1479" s="294">
        <v>46100</v>
      </c>
      <c r="C1479" s="295">
        <v>23002.150390625</v>
      </c>
      <c r="D1479" s="296">
        <f t="shared" si="46"/>
        <v>-3.2620779262169594E-2</v>
      </c>
      <c r="E1479" s="20"/>
      <c r="F1479" s="297"/>
      <c r="G1479" s="298">
        <v>46100</v>
      </c>
      <c r="H1479" s="299">
        <v>5172.5</v>
      </c>
      <c r="I1479" s="300">
        <f t="shared" si="47"/>
        <v>-4.6719498709915222E-2</v>
      </c>
      <c r="J1479" s="296"/>
      <c r="K1479" s="20"/>
      <c r="L1479" s="297"/>
      <c r="M1479" s="275"/>
      <c r="N1479" s="275"/>
      <c r="O1479" s="275"/>
      <c r="P1479" s="275"/>
      <c r="Q1479" s="275"/>
      <c r="R1479" s="275"/>
      <c r="S1479" s="275"/>
      <c r="T1479" s="275"/>
    </row>
    <row r="1480" spans="1:20" ht="15" customHeight="1">
      <c r="A1480" s="275"/>
      <c r="B1480" s="303">
        <v>46101</v>
      </c>
      <c r="C1480" s="304">
        <v>23114.5</v>
      </c>
      <c r="D1480" s="289">
        <f t="shared" si="46"/>
        <v>4.8843089653387538E-3</v>
      </c>
      <c r="E1480" s="275"/>
      <c r="F1480" s="290"/>
      <c r="G1480" s="305">
        <v>46101</v>
      </c>
      <c r="H1480" s="306">
        <v>5275.5</v>
      </c>
      <c r="I1480" s="293">
        <f t="shared" si="47"/>
        <v>1.9913001449975834E-2</v>
      </c>
      <c r="J1480" s="289"/>
      <c r="K1480" s="275"/>
      <c r="L1480" s="290"/>
      <c r="M1480" s="275"/>
      <c r="N1480" s="275"/>
      <c r="O1480" s="275"/>
      <c r="P1480" s="275"/>
      <c r="Q1480" s="275"/>
      <c r="R1480" s="275"/>
      <c r="S1480" s="275"/>
      <c r="T1480" s="275"/>
    </row>
    <row r="1481" spans="1:20" ht="15" customHeight="1">
      <c r="A1481" s="20"/>
      <c r="B1481" s="294">
        <v>46104</v>
      </c>
      <c r="C1481" s="295">
        <v>22512.650390625</v>
      </c>
      <c r="D1481" s="296">
        <f t="shared" si="46"/>
        <v>-2.6037751600726817E-2</v>
      </c>
      <c r="E1481" s="20"/>
      <c r="F1481" s="297"/>
      <c r="G1481" s="298">
        <v>46104</v>
      </c>
      <c r="H1481" s="299">
        <v>5065</v>
      </c>
      <c r="I1481" s="300">
        <f t="shared" si="47"/>
        <v>-3.9901431143967395E-2</v>
      </c>
      <c r="J1481" s="296"/>
      <c r="K1481" s="20"/>
      <c r="L1481" s="297"/>
      <c r="M1481" s="275"/>
      <c r="N1481" s="275"/>
      <c r="O1481" s="275"/>
      <c r="P1481" s="275"/>
      <c r="Q1481" s="275"/>
      <c r="R1481" s="275"/>
      <c r="S1481" s="275"/>
      <c r="T1481" s="275"/>
    </row>
    <row r="1482" spans="1:20" ht="15" customHeight="1">
      <c r="A1482" s="275"/>
      <c r="B1482" s="303">
        <v>46105</v>
      </c>
      <c r="C1482" s="304">
        <v>22912.400390625</v>
      </c>
      <c r="D1482" s="289">
        <f t="shared" si="46"/>
        <v>1.7756683156527359E-2</v>
      </c>
      <c r="E1482" s="275"/>
      <c r="F1482" s="290"/>
      <c r="G1482" s="305">
        <v>46105</v>
      </c>
      <c r="H1482" s="306">
        <v>5253</v>
      </c>
      <c r="I1482" s="293">
        <f t="shared" si="47"/>
        <v>3.7117472852912142E-2</v>
      </c>
      <c r="J1482" s="289"/>
      <c r="K1482" s="275"/>
      <c r="L1482" s="290"/>
      <c r="M1482" s="275"/>
      <c r="N1482" s="275"/>
      <c r="O1482" s="275"/>
      <c r="P1482" s="275"/>
      <c r="Q1482" s="275"/>
      <c r="R1482" s="275"/>
      <c r="S1482" s="275"/>
      <c r="T1482" s="275"/>
    </row>
    <row r="1483" spans="1:20" ht="15" customHeight="1">
      <c r="A1483" s="20"/>
      <c r="B1483" s="294">
        <v>46106</v>
      </c>
      <c r="C1483" s="295">
        <v>23306.44921875</v>
      </c>
      <c r="D1483" s="296">
        <f t="shared" si="46"/>
        <v>1.719805962740734E-2</v>
      </c>
      <c r="E1483" s="20"/>
      <c r="F1483" s="297"/>
      <c r="G1483" s="298">
        <v>46106</v>
      </c>
      <c r="H1483" s="299">
        <v>5289.5</v>
      </c>
      <c r="I1483" s="300">
        <f t="shared" si="47"/>
        <v>6.948410432134019E-3</v>
      </c>
      <c r="J1483" s="296"/>
      <c r="K1483" s="20"/>
      <c r="L1483" s="297"/>
      <c r="M1483" s="275"/>
      <c r="N1483" s="275"/>
      <c r="O1483" s="275"/>
      <c r="P1483" s="275"/>
      <c r="Q1483" s="275"/>
      <c r="R1483" s="275"/>
      <c r="S1483" s="275"/>
      <c r="T1483" s="275"/>
    </row>
    <row r="1484" spans="1:20" ht="15" customHeight="1">
      <c r="A1484" s="275"/>
      <c r="B1484" s="303">
        <v>46108</v>
      </c>
      <c r="C1484" s="304">
        <v>22819.599609375</v>
      </c>
      <c r="D1484" s="289">
        <f t="shared" si="46"/>
        <v>-2.0889051129389984E-2</v>
      </c>
      <c r="E1484" s="275"/>
      <c r="F1484" s="290"/>
      <c r="G1484" s="305">
        <v>46108</v>
      </c>
      <c r="H1484" s="306">
        <v>5143</v>
      </c>
      <c r="I1484" s="293">
        <f t="shared" si="47"/>
        <v>-2.769637962000189E-2</v>
      </c>
      <c r="J1484" s="289"/>
      <c r="K1484" s="275"/>
      <c r="L1484" s="290"/>
      <c r="M1484" s="275"/>
      <c r="N1484" s="275"/>
      <c r="O1484" s="275"/>
      <c r="P1484" s="275"/>
      <c r="Q1484" s="275"/>
      <c r="R1484" s="275"/>
      <c r="S1484" s="275"/>
      <c r="T1484" s="275"/>
    </row>
    <row r="1485" spans="1:20" ht="15" customHeight="1">
      <c r="A1485" s="20"/>
      <c r="B1485" s="294">
        <v>46111</v>
      </c>
      <c r="C1485" s="295">
        <v>22331.400390625</v>
      </c>
      <c r="D1485" s="296">
        <f t="shared" si="46"/>
        <v>-2.1393855593742871E-2</v>
      </c>
      <c r="E1485" s="20"/>
      <c r="F1485" s="297"/>
      <c r="G1485" s="298">
        <v>46111</v>
      </c>
      <c r="H1485" s="299">
        <v>5063</v>
      </c>
      <c r="I1485" s="300">
        <f t="shared" si="47"/>
        <v>-1.5555123468792533E-2</v>
      </c>
      <c r="J1485" s="296"/>
      <c r="K1485" s="20"/>
      <c r="L1485" s="297"/>
      <c r="M1485" s="275"/>
      <c r="N1485" s="275"/>
      <c r="O1485" s="275"/>
      <c r="P1485" s="275"/>
      <c r="Q1485" s="275"/>
      <c r="R1485" s="275"/>
      <c r="S1485" s="275"/>
      <c r="T1485" s="275"/>
    </row>
  </sheetData>
  <mergeCells count="3">
    <mergeCell ref="B2:C2"/>
    <mergeCell ref="G2:H2"/>
    <mergeCell ref="L12:M12"/>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43"/>
  <sheetViews>
    <sheetView showGridLines="0" topLeftCell="B3" zoomScaleNormal="100" workbookViewId="0">
      <selection activeCell="G6" sqref="G6"/>
    </sheetView>
  </sheetViews>
  <sheetFormatPr defaultColWidth="8.6640625" defaultRowHeight="14.4"/>
  <cols>
    <col min="1" max="1" width="1.44140625" customWidth="1"/>
    <col min="2" max="2" width="48.109375" customWidth="1"/>
    <col min="3" max="7" width="14.77734375" customWidth="1"/>
    <col min="8" max="12" width="13" customWidth="1"/>
  </cols>
  <sheetData>
    <row r="1" spans="1:13" ht="19.5" customHeight="1">
      <c r="A1" s="326"/>
      <c r="B1" s="327"/>
      <c r="C1" s="328"/>
      <c r="D1" s="328"/>
      <c r="E1" s="328"/>
      <c r="F1" s="328"/>
      <c r="G1" s="328"/>
      <c r="H1" s="328"/>
      <c r="I1" s="328"/>
      <c r="J1" s="328"/>
      <c r="K1" s="328"/>
      <c r="L1" s="328"/>
    </row>
    <row r="2" spans="1:13" ht="12.75" customHeight="1">
      <c r="A2" s="26"/>
      <c r="B2" s="663" t="s">
        <v>385</v>
      </c>
      <c r="C2" s="663"/>
      <c r="D2" s="663"/>
      <c r="E2" s="663"/>
      <c r="F2" s="663"/>
      <c r="G2" s="663"/>
      <c r="H2" s="185"/>
      <c r="I2" s="185"/>
      <c r="J2" s="185"/>
      <c r="K2" s="185"/>
      <c r="L2" s="185"/>
    </row>
    <row r="3" spans="1:13" ht="13.5" customHeight="1">
      <c r="A3" s="24"/>
      <c r="B3" s="664" t="s">
        <v>386</v>
      </c>
      <c r="C3" s="664"/>
      <c r="D3" s="664"/>
      <c r="E3" s="664"/>
      <c r="F3" s="664"/>
      <c r="G3" s="664"/>
      <c r="H3" s="329"/>
      <c r="I3" s="329"/>
      <c r="J3" s="329"/>
      <c r="K3" s="329"/>
      <c r="L3" s="329"/>
    </row>
    <row r="4" spans="1:13" ht="17.25" customHeight="1">
      <c r="A4" s="25"/>
      <c r="B4" s="330"/>
      <c r="C4" s="331">
        <v>44256</v>
      </c>
      <c r="D4" s="331">
        <v>44621</v>
      </c>
      <c r="E4" s="331">
        <v>44986</v>
      </c>
      <c r="F4" s="331">
        <v>45352</v>
      </c>
      <c r="G4" s="332" t="s">
        <v>387</v>
      </c>
      <c r="H4" s="333"/>
      <c r="I4" s="333"/>
      <c r="J4" s="333"/>
      <c r="K4" s="333"/>
      <c r="L4" s="333"/>
    </row>
    <row r="5" spans="1:13" ht="15.75" customHeight="1">
      <c r="A5" s="91"/>
      <c r="B5" s="334" t="s">
        <v>194</v>
      </c>
      <c r="C5" s="335"/>
      <c r="D5" s="336"/>
      <c r="E5" s="336"/>
      <c r="F5" s="336"/>
      <c r="G5" s="335"/>
      <c r="H5" s="337"/>
      <c r="I5" s="96"/>
      <c r="J5" s="96"/>
      <c r="K5" s="96"/>
      <c r="L5" s="96"/>
    </row>
    <row r="6" spans="1:13" ht="15.75" customHeight="1">
      <c r="A6" s="34"/>
      <c r="B6" s="338" t="s">
        <v>388</v>
      </c>
      <c r="C6" s="339">
        <v>30451.59</v>
      </c>
      <c r="D6" s="340">
        <v>28977.64</v>
      </c>
      <c r="E6" s="340">
        <v>33737.72</v>
      </c>
      <c r="F6" s="340">
        <v>37599.03</v>
      </c>
      <c r="G6" s="340">
        <v>40712.49</v>
      </c>
      <c r="H6" s="90"/>
      <c r="I6" s="90">
        <f>(D6-C6)/C6</f>
        <v>-4.8403055472637083E-2</v>
      </c>
      <c r="J6" s="90">
        <f>(E6-D6)/D6</f>
        <v>0.16426734544290017</v>
      </c>
      <c r="K6" s="90">
        <f>(F6-E6)/E6</f>
        <v>0.11445082833101933</v>
      </c>
      <c r="L6" s="90">
        <f>(G6-F6)/F6</f>
        <v>8.2806923476483288E-2</v>
      </c>
      <c r="M6" s="341"/>
    </row>
    <row r="7" spans="1:13" ht="15.75" customHeight="1">
      <c r="A7" s="30"/>
      <c r="B7" s="342" t="s">
        <v>389</v>
      </c>
      <c r="C7" s="343">
        <v>30451.59</v>
      </c>
      <c r="D7" s="344">
        <v>28977.64</v>
      </c>
      <c r="E7" s="344">
        <v>33737.72</v>
      </c>
      <c r="F7" s="344">
        <v>37599.03</v>
      </c>
      <c r="G7" s="344">
        <v>40712.49</v>
      </c>
      <c r="H7" s="345"/>
      <c r="I7" s="101"/>
      <c r="J7" s="101"/>
      <c r="K7" s="101"/>
      <c r="L7" s="101"/>
    </row>
    <row r="8" spans="1:13" ht="15.75" customHeight="1">
      <c r="A8" s="34"/>
      <c r="B8" s="338" t="s">
        <v>390</v>
      </c>
      <c r="C8" s="339">
        <v>507.6</v>
      </c>
      <c r="D8" s="340">
        <v>573.64</v>
      </c>
      <c r="E8" s="340">
        <v>420.66</v>
      </c>
      <c r="F8" s="340">
        <v>189.59</v>
      </c>
      <c r="G8" s="340">
        <v>210.93</v>
      </c>
      <c r="H8" s="90"/>
      <c r="I8" s="90"/>
      <c r="J8" s="90"/>
      <c r="K8" s="90"/>
      <c r="L8" s="90"/>
    </row>
    <row r="9" spans="1:13" ht="15.75" customHeight="1">
      <c r="A9" s="40"/>
      <c r="B9" s="346" t="s">
        <v>391</v>
      </c>
      <c r="C9" s="347">
        <v>30959.19</v>
      </c>
      <c r="D9" s="348">
        <v>29551.279999999999</v>
      </c>
      <c r="E9" s="348">
        <v>34158.379999999997</v>
      </c>
      <c r="F9" s="348">
        <v>37788.620000000003</v>
      </c>
      <c r="G9" s="348">
        <v>40923.42</v>
      </c>
      <c r="H9" s="110"/>
      <c r="I9" s="110"/>
      <c r="J9" s="110"/>
      <c r="K9" s="110"/>
      <c r="L9" s="110"/>
    </row>
    <row r="10" spans="1:13" ht="15.75" customHeight="1">
      <c r="A10" s="34"/>
      <c r="B10" s="338" t="s">
        <v>392</v>
      </c>
      <c r="C10" s="339">
        <v>557.9</v>
      </c>
      <c r="D10" s="340">
        <v>555.01</v>
      </c>
      <c r="E10" s="340">
        <v>569.01</v>
      </c>
      <c r="F10" s="340">
        <v>854.54</v>
      </c>
      <c r="G10" s="340">
        <v>1044.08</v>
      </c>
      <c r="H10" s="90"/>
      <c r="I10" s="90"/>
      <c r="J10" s="90"/>
      <c r="K10" s="90"/>
      <c r="L10" s="90"/>
    </row>
    <row r="11" spans="1:13" ht="15.75" customHeight="1">
      <c r="A11" s="40"/>
      <c r="B11" s="346" t="s">
        <v>393</v>
      </c>
      <c r="C11" s="347">
        <v>31517.09</v>
      </c>
      <c r="D11" s="348">
        <v>30106.29</v>
      </c>
      <c r="E11" s="348">
        <v>34727.39</v>
      </c>
      <c r="F11" s="348">
        <v>38643.160000000003</v>
      </c>
      <c r="G11" s="348">
        <v>41967.5</v>
      </c>
      <c r="H11" s="110"/>
      <c r="I11" s="110"/>
      <c r="J11" s="110"/>
      <c r="K11" s="110"/>
      <c r="L11" s="110"/>
    </row>
    <row r="12" spans="1:13" ht="15.75" customHeight="1">
      <c r="A12" s="91"/>
      <c r="B12" s="334" t="s">
        <v>198</v>
      </c>
      <c r="C12" s="335"/>
      <c r="D12" s="336"/>
      <c r="E12" s="336"/>
      <c r="F12" s="336"/>
      <c r="G12" s="335"/>
      <c r="H12" s="96"/>
      <c r="I12" s="96"/>
      <c r="J12" s="96"/>
      <c r="K12" s="96"/>
      <c r="L12" s="96"/>
    </row>
    <row r="13" spans="1:13" ht="15.75" customHeight="1">
      <c r="A13" s="30"/>
      <c r="B13" s="342" t="s">
        <v>394</v>
      </c>
      <c r="C13" s="343">
        <v>21968.04</v>
      </c>
      <c r="D13" s="344">
        <v>20845.740000000002</v>
      </c>
      <c r="E13" s="344">
        <v>24060.29</v>
      </c>
      <c r="F13" s="344">
        <v>24836.89</v>
      </c>
      <c r="G13" s="344">
        <v>26607.07</v>
      </c>
      <c r="H13" s="101"/>
      <c r="I13" s="101"/>
      <c r="J13" s="101"/>
      <c r="K13" s="101"/>
      <c r="L13" s="101"/>
    </row>
    <row r="14" spans="1:13" ht="15.75" customHeight="1">
      <c r="A14" s="34"/>
      <c r="B14" s="338" t="s">
        <v>395</v>
      </c>
      <c r="C14" s="339">
        <v>31.14</v>
      </c>
      <c r="D14" s="340">
        <v>45.95</v>
      </c>
      <c r="E14" s="340">
        <v>47.43</v>
      </c>
      <c r="F14" s="340">
        <v>484.2</v>
      </c>
      <c r="G14" s="340">
        <v>547.91</v>
      </c>
      <c r="H14" s="90"/>
      <c r="I14" s="90"/>
      <c r="J14" s="90"/>
      <c r="K14" s="90"/>
      <c r="L14" s="90"/>
    </row>
    <row r="15" spans="1:13" ht="15.75" customHeight="1">
      <c r="A15" s="30"/>
      <c r="B15" s="342" t="s">
        <v>396</v>
      </c>
      <c r="C15" s="343">
        <v>-255.57</v>
      </c>
      <c r="D15" s="344">
        <v>28.67</v>
      </c>
      <c r="E15" s="344">
        <v>-163.69</v>
      </c>
      <c r="F15" s="344">
        <v>188.35</v>
      </c>
      <c r="G15" s="344">
        <v>-244.34</v>
      </c>
      <c r="H15" s="101"/>
      <c r="I15" s="101"/>
      <c r="J15" s="101"/>
      <c r="K15" s="101"/>
      <c r="L15" s="101"/>
    </row>
    <row r="16" spans="1:13" ht="15.75" customHeight="1">
      <c r="A16" s="34"/>
      <c r="B16" s="338" t="s">
        <v>397</v>
      </c>
      <c r="C16" s="339">
        <v>1951.02</v>
      </c>
      <c r="D16" s="340">
        <v>1995.78</v>
      </c>
      <c r="E16" s="340">
        <v>2250.0500000000002</v>
      </c>
      <c r="F16" s="340">
        <v>2471.5500000000002</v>
      </c>
      <c r="G16" s="340">
        <v>2680.07</v>
      </c>
      <c r="H16" s="90"/>
      <c r="I16" s="90"/>
      <c r="J16" s="90"/>
      <c r="K16" s="90"/>
      <c r="L16" s="90"/>
    </row>
    <row r="17" spans="1:12" ht="15.75" customHeight="1">
      <c r="A17" s="30"/>
      <c r="B17" s="342" t="s">
        <v>398</v>
      </c>
      <c r="C17" s="343">
        <v>46.41</v>
      </c>
      <c r="D17" s="344">
        <v>53.1</v>
      </c>
      <c r="E17" s="344">
        <v>104.88</v>
      </c>
      <c r="F17" s="344">
        <v>76.37</v>
      </c>
      <c r="G17" s="344">
        <v>70.650000000000006</v>
      </c>
      <c r="H17" s="101"/>
      <c r="I17" s="101"/>
      <c r="J17" s="101"/>
      <c r="K17" s="101"/>
      <c r="L17" s="101"/>
    </row>
    <row r="18" spans="1:12" ht="15.75" customHeight="1">
      <c r="A18" s="34"/>
      <c r="B18" s="338" t="s">
        <v>399</v>
      </c>
      <c r="C18" s="339">
        <v>715.12</v>
      </c>
      <c r="D18" s="340">
        <v>689.52</v>
      </c>
      <c r="E18" s="340">
        <v>697.39</v>
      </c>
      <c r="F18" s="340">
        <v>757.36</v>
      </c>
      <c r="G18" s="340">
        <v>824.59</v>
      </c>
      <c r="H18" s="90"/>
      <c r="I18" s="90"/>
      <c r="J18" s="90"/>
      <c r="K18" s="90"/>
      <c r="L18" s="90"/>
    </row>
    <row r="19" spans="1:12" ht="15.75" customHeight="1">
      <c r="A19" s="30"/>
      <c r="B19" s="342" t="s">
        <v>400</v>
      </c>
      <c r="C19" s="343">
        <v>3165.05</v>
      </c>
      <c r="D19" s="344">
        <v>3190.37</v>
      </c>
      <c r="E19" s="344">
        <v>3870.53</v>
      </c>
      <c r="F19" s="344">
        <v>4458</v>
      </c>
      <c r="G19" s="344">
        <v>5386.87</v>
      </c>
      <c r="H19" s="101"/>
      <c r="I19" s="101"/>
      <c r="J19" s="101"/>
      <c r="K19" s="101"/>
      <c r="L19" s="101"/>
    </row>
    <row r="20" spans="1:12" ht="15.75" customHeight="1">
      <c r="A20" s="114"/>
      <c r="B20" s="349" t="s">
        <v>206</v>
      </c>
      <c r="C20" s="350">
        <v>27621.21</v>
      </c>
      <c r="D20" s="351">
        <v>26849.13</v>
      </c>
      <c r="E20" s="351">
        <v>30866.880000000001</v>
      </c>
      <c r="F20" s="351">
        <v>33272.720000000001</v>
      </c>
      <c r="G20" s="351">
        <v>35872.82</v>
      </c>
      <c r="H20" s="119"/>
      <c r="I20" s="119"/>
      <c r="J20" s="119"/>
      <c r="K20" s="119"/>
      <c r="L20" s="119"/>
    </row>
    <row r="21" spans="1:12" ht="15.75" customHeight="1">
      <c r="A21" s="133"/>
      <c r="B21" s="352" t="s">
        <v>401</v>
      </c>
      <c r="C21" s="353">
        <v>3895.88</v>
      </c>
      <c r="D21" s="354">
        <v>3257.16</v>
      </c>
      <c r="E21" s="354">
        <v>3860.51</v>
      </c>
      <c r="F21" s="354">
        <v>5370.44</v>
      </c>
      <c r="G21" s="354">
        <v>6094.68</v>
      </c>
      <c r="H21" s="138"/>
      <c r="I21" s="138"/>
      <c r="J21" s="138"/>
      <c r="K21" s="138"/>
      <c r="L21" s="138"/>
    </row>
    <row r="22" spans="1:12" ht="15.75" customHeight="1">
      <c r="A22" s="34"/>
      <c r="B22" s="338" t="s">
        <v>402</v>
      </c>
      <c r="C22" s="339">
        <v>0</v>
      </c>
      <c r="D22" s="340">
        <v>0</v>
      </c>
      <c r="E22" s="340">
        <v>0</v>
      </c>
      <c r="F22" s="340">
        <v>-159.99</v>
      </c>
      <c r="G22" s="340">
        <v>0</v>
      </c>
      <c r="H22" s="90"/>
      <c r="I22" s="90"/>
      <c r="J22" s="90"/>
      <c r="K22" s="90"/>
      <c r="L22" s="90"/>
    </row>
    <row r="23" spans="1:12" ht="15.75" customHeight="1">
      <c r="A23" s="40"/>
      <c r="B23" s="346" t="s">
        <v>403</v>
      </c>
      <c r="C23" s="347">
        <v>3895.88</v>
      </c>
      <c r="D23" s="348">
        <v>3257.16</v>
      </c>
      <c r="E23" s="348">
        <v>3860.51</v>
      </c>
      <c r="F23" s="348">
        <v>5210.45</v>
      </c>
      <c r="G23" s="348">
        <v>6094.68</v>
      </c>
      <c r="H23" s="110"/>
      <c r="I23" s="110"/>
      <c r="J23" s="110"/>
      <c r="K23" s="110"/>
      <c r="L23" s="110"/>
    </row>
    <row r="24" spans="1:12" ht="15.75" customHeight="1">
      <c r="A24" s="34"/>
      <c r="B24" s="338" t="s">
        <v>404</v>
      </c>
      <c r="C24" s="339"/>
      <c r="D24" s="340"/>
      <c r="E24" s="340"/>
      <c r="F24" s="340"/>
      <c r="G24" s="339"/>
      <c r="H24" s="90"/>
      <c r="I24" s="90"/>
      <c r="J24" s="90"/>
      <c r="K24" s="90"/>
      <c r="L24" s="90"/>
    </row>
    <row r="25" spans="1:12" ht="15.75" customHeight="1">
      <c r="A25" s="30"/>
      <c r="B25" s="342" t="s">
        <v>405</v>
      </c>
      <c r="C25" s="343">
        <v>931.38</v>
      </c>
      <c r="D25" s="344">
        <v>805.44</v>
      </c>
      <c r="E25" s="344">
        <v>947.69</v>
      </c>
      <c r="F25" s="344">
        <v>1264.18</v>
      </c>
      <c r="G25" s="344">
        <v>1448.02</v>
      </c>
      <c r="H25" s="101"/>
      <c r="I25" s="101"/>
      <c r="J25" s="101"/>
      <c r="K25" s="101"/>
      <c r="L25" s="101"/>
    </row>
    <row r="26" spans="1:12" ht="15.75" customHeight="1">
      <c r="A26" s="34"/>
      <c r="B26" s="338" t="s">
        <v>406</v>
      </c>
      <c r="C26" s="339">
        <v>-18.11</v>
      </c>
      <c r="D26" s="340">
        <v>-76.38</v>
      </c>
      <c r="E26" s="340">
        <v>116.03</v>
      </c>
      <c r="F26" s="340">
        <v>83.86</v>
      </c>
      <c r="G26" s="340">
        <v>109.73</v>
      </c>
      <c r="H26" s="90"/>
      <c r="I26" s="90"/>
      <c r="J26" s="90"/>
      <c r="K26" s="90"/>
      <c r="L26" s="90"/>
    </row>
    <row r="27" spans="1:12" ht="15.75" customHeight="1">
      <c r="A27" s="114"/>
      <c r="B27" s="349" t="s">
        <v>407</v>
      </c>
      <c r="C27" s="350">
        <v>913.27</v>
      </c>
      <c r="D27" s="351">
        <v>729.06</v>
      </c>
      <c r="E27" s="351">
        <v>1063.72</v>
      </c>
      <c r="F27" s="351">
        <v>1348.04</v>
      </c>
      <c r="G27" s="351">
        <v>1557.75</v>
      </c>
      <c r="H27" s="119"/>
      <c r="I27" s="119"/>
      <c r="J27" s="119"/>
      <c r="K27" s="119"/>
      <c r="L27" s="119"/>
    </row>
    <row r="28" spans="1:12" ht="15.75" customHeight="1">
      <c r="A28" s="126"/>
      <c r="B28" s="355" t="s">
        <v>408</v>
      </c>
      <c r="C28" s="356">
        <v>2982.61</v>
      </c>
      <c r="D28" s="357">
        <v>2528.1</v>
      </c>
      <c r="E28" s="357">
        <v>2796.79</v>
      </c>
      <c r="F28" s="357">
        <v>3862.41</v>
      </c>
      <c r="G28" s="357">
        <v>4536.93</v>
      </c>
      <c r="H28" s="131"/>
      <c r="I28" s="131"/>
      <c r="J28" s="131"/>
      <c r="K28" s="131"/>
      <c r="L28" s="131"/>
    </row>
    <row r="29" spans="1:12" ht="15.75" customHeight="1">
      <c r="A29" s="126"/>
      <c r="B29" s="355" t="s">
        <v>409</v>
      </c>
      <c r="C29" s="356">
        <v>2982.61</v>
      </c>
      <c r="D29" s="357">
        <v>2528.1</v>
      </c>
      <c r="E29" s="357">
        <v>2796.79</v>
      </c>
      <c r="F29" s="357">
        <v>3862.41</v>
      </c>
      <c r="G29" s="357">
        <v>4536.93</v>
      </c>
      <c r="H29" s="131"/>
      <c r="I29" s="131"/>
      <c r="J29" s="131"/>
      <c r="K29" s="131"/>
      <c r="L29" s="131"/>
    </row>
    <row r="30" spans="1:12" ht="15.75" customHeight="1">
      <c r="A30" s="143"/>
      <c r="B30" s="358" t="s">
        <v>410</v>
      </c>
      <c r="C30" s="359">
        <v>2982.61</v>
      </c>
      <c r="D30" s="360">
        <v>2528.1</v>
      </c>
      <c r="E30" s="360">
        <v>2796.79</v>
      </c>
      <c r="F30" s="360">
        <v>3862.41</v>
      </c>
      <c r="G30" s="360">
        <v>4536.93</v>
      </c>
      <c r="H30" s="148"/>
      <c r="I30" s="148"/>
      <c r="J30" s="148"/>
      <c r="K30" s="148"/>
      <c r="L30" s="148"/>
    </row>
    <row r="31" spans="1:12" ht="15.75" customHeight="1">
      <c r="A31" s="361"/>
      <c r="B31" s="362" t="s">
        <v>411</v>
      </c>
      <c r="C31" s="363">
        <v>-18.3</v>
      </c>
      <c r="D31" s="364">
        <v>-12.17</v>
      </c>
      <c r="E31" s="364">
        <v>10.06</v>
      </c>
      <c r="F31" s="364">
        <v>2.67</v>
      </c>
      <c r="G31" s="364">
        <v>2.67</v>
      </c>
      <c r="H31" s="365"/>
      <c r="I31" s="365"/>
      <c r="J31" s="365"/>
      <c r="K31" s="365"/>
      <c r="L31" s="365"/>
    </row>
    <row r="32" spans="1:12" ht="15.75" customHeight="1">
      <c r="A32" s="126"/>
      <c r="B32" s="355" t="s">
        <v>412</v>
      </c>
      <c r="C32" s="356">
        <v>-46.56</v>
      </c>
      <c r="D32" s="357">
        <v>-199.05</v>
      </c>
      <c r="E32" s="357">
        <v>3.11</v>
      </c>
      <c r="F32" s="357">
        <v>-120.25</v>
      </c>
      <c r="G32" s="357">
        <v>-161.12</v>
      </c>
      <c r="H32" s="131"/>
      <c r="I32" s="131"/>
      <c r="J32" s="131"/>
      <c r="K32" s="131"/>
      <c r="L32" s="131"/>
    </row>
    <row r="33" spans="1:12" ht="15.75" customHeight="1">
      <c r="A33" s="120"/>
      <c r="B33" s="366" t="s">
        <v>413</v>
      </c>
      <c r="C33" s="367">
        <v>2917.75</v>
      </c>
      <c r="D33" s="368">
        <v>2316.88</v>
      </c>
      <c r="E33" s="368">
        <v>2809.96</v>
      </c>
      <c r="F33" s="368">
        <v>3744.83</v>
      </c>
      <c r="G33" s="368">
        <v>4378.4799999999996</v>
      </c>
      <c r="H33" s="125"/>
      <c r="I33" s="125"/>
      <c r="J33" s="125"/>
      <c r="K33" s="125"/>
      <c r="L33" s="125"/>
    </row>
    <row r="34" spans="1:12" ht="15.75" customHeight="1">
      <c r="A34" s="91"/>
      <c r="B34" s="334" t="s">
        <v>414</v>
      </c>
      <c r="C34" s="335"/>
      <c r="D34" s="336"/>
      <c r="E34" s="336"/>
      <c r="F34" s="336"/>
      <c r="G34" s="335"/>
      <c r="H34" s="96"/>
      <c r="I34" s="96"/>
      <c r="J34" s="96"/>
      <c r="K34" s="96"/>
      <c r="L34" s="96"/>
    </row>
    <row r="35" spans="1:12" ht="15.75" customHeight="1">
      <c r="A35" s="40"/>
      <c r="B35" s="346" t="s">
        <v>415</v>
      </c>
      <c r="C35" s="347"/>
      <c r="D35" s="348"/>
      <c r="E35" s="348"/>
      <c r="F35" s="348"/>
      <c r="G35" s="347"/>
      <c r="H35" s="110"/>
      <c r="I35" s="110"/>
      <c r="J35" s="110"/>
      <c r="K35" s="110"/>
      <c r="L35" s="110"/>
    </row>
    <row r="36" spans="1:12" ht="15.75" customHeight="1">
      <c r="A36" s="34"/>
      <c r="B36" s="338" t="s">
        <v>416</v>
      </c>
      <c r="C36" s="339">
        <v>146</v>
      </c>
      <c r="D36" s="340">
        <v>116</v>
      </c>
      <c r="E36" s="340">
        <v>141</v>
      </c>
      <c r="F36" s="340">
        <v>187</v>
      </c>
      <c r="G36" s="340">
        <v>219</v>
      </c>
      <c r="H36" s="90"/>
      <c r="I36" s="90"/>
      <c r="J36" s="90"/>
      <c r="K36" s="90"/>
      <c r="L36" s="90"/>
    </row>
    <row r="37" spans="1:12" ht="15.75" customHeight="1">
      <c r="A37" s="30"/>
      <c r="B37" s="342" t="s">
        <v>417</v>
      </c>
      <c r="C37" s="343">
        <v>146</v>
      </c>
      <c r="D37" s="344">
        <v>116</v>
      </c>
      <c r="E37" s="344">
        <v>141</v>
      </c>
      <c r="F37" s="344">
        <v>187</v>
      </c>
      <c r="G37" s="344">
        <v>219</v>
      </c>
      <c r="H37" s="101"/>
      <c r="I37" s="101"/>
      <c r="J37" s="101"/>
      <c r="K37" s="101"/>
      <c r="L37" s="101"/>
    </row>
    <row r="38" spans="1:12" ht="15.75" customHeight="1">
      <c r="A38" s="114"/>
      <c r="B38" s="349" t="s">
        <v>418</v>
      </c>
      <c r="C38" s="350"/>
      <c r="D38" s="351"/>
      <c r="E38" s="351"/>
      <c r="F38" s="351"/>
      <c r="G38" s="350"/>
      <c r="H38" s="119"/>
      <c r="I38" s="119"/>
      <c r="J38" s="119"/>
      <c r="K38" s="119"/>
      <c r="L38" s="119"/>
    </row>
    <row r="39" spans="1:12" ht="15.75" customHeight="1">
      <c r="A39" s="126"/>
      <c r="B39" s="355" t="s">
        <v>419</v>
      </c>
      <c r="C39" s="356">
        <v>1897.81</v>
      </c>
      <c r="D39" s="357">
        <v>1898.13</v>
      </c>
      <c r="E39" s="357">
        <v>1998.33</v>
      </c>
      <c r="F39" s="357">
        <v>2698.67</v>
      </c>
      <c r="G39" s="357">
        <v>2799.83</v>
      </c>
      <c r="H39" s="131"/>
      <c r="I39" s="131"/>
      <c r="J39" s="131"/>
      <c r="K39" s="131"/>
      <c r="L39" s="131"/>
    </row>
    <row r="40" spans="1:12" ht="15.75" customHeight="1">
      <c r="A40" s="133"/>
      <c r="B40" s="352" t="s">
        <v>420</v>
      </c>
      <c r="C40" s="353">
        <v>2.4900000000000002</v>
      </c>
      <c r="D40" s="354">
        <v>1.1200000000000001</v>
      </c>
      <c r="E40" s="354">
        <v>0</v>
      </c>
      <c r="F40" s="354">
        <v>0</v>
      </c>
      <c r="G40" s="354">
        <v>0</v>
      </c>
      <c r="H40" s="138"/>
      <c r="I40" s="138"/>
      <c r="J40" s="138"/>
      <c r="K40" s="138"/>
      <c r="L40" s="138"/>
    </row>
    <row r="41" spans="1:12">
      <c r="H41" s="369"/>
    </row>
    <row r="42" spans="1:12">
      <c r="H42" s="369"/>
    </row>
    <row r="43" spans="1:12">
      <c r="H43" s="369"/>
    </row>
  </sheetData>
  <mergeCells count="2">
    <mergeCell ref="B2:G2"/>
    <mergeCell ref="B3:G3"/>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58"/>
  <sheetViews>
    <sheetView showGridLines="0" topLeftCell="A10" zoomScaleNormal="100" workbookViewId="0">
      <selection activeCell="C41" sqref="C41"/>
    </sheetView>
  </sheetViews>
  <sheetFormatPr defaultColWidth="8.6640625" defaultRowHeight="14.4"/>
  <cols>
    <col min="1" max="1" width="1.44140625" customWidth="1"/>
    <col min="2" max="2" width="42.5546875" customWidth="1"/>
    <col min="3" max="7" width="15.77734375" customWidth="1"/>
  </cols>
  <sheetData>
    <row r="1" spans="1:7" ht="19.5" customHeight="1">
      <c r="A1" s="326"/>
      <c r="B1" s="370"/>
      <c r="C1" s="328"/>
      <c r="D1" s="328"/>
      <c r="E1" s="328"/>
      <c r="F1" s="328"/>
      <c r="G1" s="328"/>
    </row>
    <row r="2" spans="1:7" ht="12.75" customHeight="1">
      <c r="A2" s="26"/>
      <c r="B2" s="665" t="s">
        <v>385</v>
      </c>
      <c r="C2" s="665"/>
      <c r="D2" s="665"/>
      <c r="E2" s="665"/>
      <c r="F2" s="665"/>
      <c r="G2" s="665"/>
    </row>
    <row r="3" spans="1:7" ht="12.75" customHeight="1">
      <c r="A3" s="371"/>
      <c r="B3" s="666" t="s">
        <v>421</v>
      </c>
      <c r="C3" s="666"/>
      <c r="D3" s="666"/>
      <c r="E3" s="666"/>
      <c r="F3" s="666"/>
      <c r="G3" s="666"/>
    </row>
    <row r="4" spans="1:7" ht="13.5" customHeight="1">
      <c r="A4" s="84"/>
      <c r="B4" s="667"/>
      <c r="C4" s="667"/>
      <c r="D4" s="667"/>
      <c r="E4" s="667"/>
      <c r="F4" s="667"/>
      <c r="G4" s="667"/>
    </row>
    <row r="5" spans="1:7">
      <c r="A5" s="25"/>
      <c r="B5" s="372"/>
      <c r="C5" s="331">
        <v>44256</v>
      </c>
      <c r="D5" s="331">
        <v>44621</v>
      </c>
      <c r="E5" s="331">
        <v>44986</v>
      </c>
      <c r="F5" s="331">
        <v>45352</v>
      </c>
      <c r="G5" s="332" t="s">
        <v>387</v>
      </c>
    </row>
    <row r="6" spans="1:7">
      <c r="A6" s="114"/>
      <c r="B6" s="373" t="s">
        <v>422</v>
      </c>
      <c r="C6" s="118"/>
      <c r="D6" s="118"/>
      <c r="E6" s="118"/>
      <c r="F6" s="118"/>
      <c r="G6" s="118"/>
    </row>
    <row r="7" spans="1:7">
      <c r="A7" s="133"/>
      <c r="B7" s="374" t="s">
        <v>423</v>
      </c>
      <c r="C7" s="137"/>
      <c r="D7" s="137"/>
      <c r="E7" s="137"/>
      <c r="F7" s="137"/>
      <c r="G7" s="137"/>
    </row>
    <row r="8" spans="1:7">
      <c r="A8" s="30"/>
      <c r="B8" s="375" t="s">
        <v>424</v>
      </c>
      <c r="C8" s="100">
        <v>39.96</v>
      </c>
      <c r="D8" s="100">
        <v>39.96</v>
      </c>
      <c r="E8" s="100">
        <v>39.97</v>
      </c>
      <c r="F8" s="100">
        <v>39.979999999999997</v>
      </c>
      <c r="G8" s="100">
        <v>40</v>
      </c>
    </row>
    <row r="9" spans="1:7">
      <c r="A9" s="40"/>
      <c r="B9" s="376" t="s">
        <v>425</v>
      </c>
      <c r="C9" s="109">
        <v>39.96</v>
      </c>
      <c r="D9" s="109">
        <v>39.96</v>
      </c>
      <c r="E9" s="109">
        <v>39.97</v>
      </c>
      <c r="F9" s="109">
        <v>39.979999999999997</v>
      </c>
      <c r="G9" s="109">
        <v>40</v>
      </c>
    </row>
    <row r="10" spans="1:7">
      <c r="A10" s="30"/>
      <c r="B10" s="375" t="s">
        <v>426</v>
      </c>
      <c r="C10" s="100">
        <v>15357.42</v>
      </c>
      <c r="D10" s="100">
        <v>15782.24</v>
      </c>
      <c r="E10" s="100">
        <v>16579.97</v>
      </c>
      <c r="F10" s="100">
        <v>17613.310000000001</v>
      </c>
      <c r="G10" s="100">
        <v>19232.04</v>
      </c>
    </row>
    <row r="11" spans="1:7">
      <c r="A11" s="40"/>
      <c r="B11" s="376" t="s">
        <v>427</v>
      </c>
      <c r="C11" s="109">
        <v>15357.42</v>
      </c>
      <c r="D11" s="109">
        <v>15782.24</v>
      </c>
      <c r="E11" s="109">
        <v>16579.97</v>
      </c>
      <c r="F11" s="109">
        <v>17613.310000000001</v>
      </c>
      <c r="G11" s="109">
        <v>19232.04</v>
      </c>
    </row>
    <row r="12" spans="1:7">
      <c r="A12" s="30"/>
      <c r="B12" s="375" t="s">
        <v>428</v>
      </c>
      <c r="C12" s="100">
        <v>19.04</v>
      </c>
      <c r="D12" s="100">
        <v>24.45</v>
      </c>
      <c r="E12" s="100">
        <v>35.630000000000003</v>
      </c>
      <c r="F12" s="100">
        <v>45.63</v>
      </c>
      <c r="G12" s="100">
        <v>0</v>
      </c>
    </row>
    <row r="13" spans="1:7">
      <c r="A13" s="114"/>
      <c r="B13" s="373" t="s">
        <v>429</v>
      </c>
      <c r="C13" s="118">
        <v>15416.42</v>
      </c>
      <c r="D13" s="118">
        <v>15846.65</v>
      </c>
      <c r="E13" s="118">
        <v>16655.57</v>
      </c>
      <c r="F13" s="118">
        <v>17698.919999999998</v>
      </c>
      <c r="G13" s="118">
        <v>19272.04</v>
      </c>
    </row>
    <row r="14" spans="1:7">
      <c r="A14" s="126"/>
      <c r="B14" s="377" t="s">
        <v>411</v>
      </c>
      <c r="C14" s="130">
        <v>143.19</v>
      </c>
      <c r="D14" s="130">
        <v>148.05000000000001</v>
      </c>
      <c r="E14" s="130">
        <v>125.06</v>
      </c>
      <c r="F14" s="130">
        <v>135.65</v>
      </c>
      <c r="G14" s="130">
        <v>132.05000000000001</v>
      </c>
    </row>
    <row r="15" spans="1:7">
      <c r="A15" s="133"/>
      <c r="B15" s="374" t="s">
        <v>430</v>
      </c>
      <c r="C15" s="137"/>
      <c r="D15" s="137"/>
      <c r="E15" s="137"/>
      <c r="F15" s="137"/>
      <c r="G15" s="137"/>
    </row>
    <row r="16" spans="1:7">
      <c r="A16" s="30"/>
      <c r="B16" s="375" t="s">
        <v>431</v>
      </c>
      <c r="C16" s="100">
        <v>45.18</v>
      </c>
      <c r="D16" s="100">
        <v>36.17</v>
      </c>
      <c r="E16" s="100">
        <v>20.09</v>
      </c>
      <c r="F16" s="100">
        <v>0</v>
      </c>
      <c r="G16" s="100">
        <v>0</v>
      </c>
    </row>
    <row r="17" spans="1:7">
      <c r="A17" s="114"/>
      <c r="B17" s="373" t="s">
        <v>432</v>
      </c>
      <c r="C17" s="118">
        <v>452.74</v>
      </c>
      <c r="D17" s="118">
        <v>378.21</v>
      </c>
      <c r="E17" s="118">
        <v>485.79</v>
      </c>
      <c r="F17" s="118">
        <v>570.13</v>
      </c>
      <c r="G17" s="118">
        <v>674.92</v>
      </c>
    </row>
    <row r="18" spans="1:7">
      <c r="A18" s="133"/>
      <c r="B18" s="374" t="s">
        <v>433</v>
      </c>
      <c r="C18" s="137">
        <v>358.46</v>
      </c>
      <c r="D18" s="137">
        <v>370.55</v>
      </c>
      <c r="E18" s="137">
        <v>415.96</v>
      </c>
      <c r="F18" s="137">
        <v>377.26</v>
      </c>
      <c r="G18" s="137">
        <v>340.04</v>
      </c>
    </row>
    <row r="19" spans="1:7">
      <c r="A19" s="34"/>
      <c r="B19" s="378" t="s">
        <v>434</v>
      </c>
      <c r="C19" s="89">
        <v>175.57</v>
      </c>
      <c r="D19" s="89">
        <v>181.13</v>
      </c>
      <c r="E19" s="89">
        <v>201.94</v>
      </c>
      <c r="F19" s="89">
        <v>322.45999999999998</v>
      </c>
      <c r="G19" s="89">
        <v>495.29</v>
      </c>
    </row>
    <row r="20" spans="1:7">
      <c r="A20" s="114"/>
      <c r="B20" s="373" t="s">
        <v>180</v>
      </c>
      <c r="C20" s="118">
        <v>1031.95</v>
      </c>
      <c r="D20" s="118">
        <v>966.06</v>
      </c>
      <c r="E20" s="118">
        <v>1123.78</v>
      </c>
      <c r="F20" s="118">
        <v>1269.8499999999999</v>
      </c>
      <c r="G20" s="118">
        <v>1510.25</v>
      </c>
    </row>
    <row r="21" spans="1:7">
      <c r="A21" s="133"/>
      <c r="B21" s="374" t="s">
        <v>435</v>
      </c>
      <c r="C21" s="137"/>
      <c r="D21" s="137"/>
      <c r="E21" s="137"/>
      <c r="F21" s="137"/>
      <c r="G21" s="137"/>
    </row>
    <row r="22" spans="1:7">
      <c r="A22" s="30"/>
      <c r="B22" s="375" t="s">
        <v>436</v>
      </c>
      <c r="C22" s="100">
        <v>285.16000000000003</v>
      </c>
      <c r="D22" s="100">
        <v>317.31</v>
      </c>
      <c r="E22" s="100">
        <v>293.14999999999998</v>
      </c>
      <c r="F22" s="100">
        <v>363.43</v>
      </c>
      <c r="G22" s="100">
        <v>456.76</v>
      </c>
    </row>
    <row r="23" spans="1:7">
      <c r="A23" s="34"/>
      <c r="B23" s="378" t="s">
        <v>437</v>
      </c>
      <c r="C23" s="89">
        <v>5264.18</v>
      </c>
      <c r="D23" s="89">
        <v>4343.09</v>
      </c>
      <c r="E23" s="89">
        <v>4760.1400000000003</v>
      </c>
      <c r="F23" s="89">
        <v>5622.9</v>
      </c>
      <c r="G23" s="89">
        <v>5699.66</v>
      </c>
    </row>
    <row r="24" spans="1:7">
      <c r="A24" s="40"/>
      <c r="B24" s="376" t="s">
        <v>438</v>
      </c>
      <c r="C24" s="109">
        <v>779.37</v>
      </c>
      <c r="D24" s="109">
        <v>678.08</v>
      </c>
      <c r="E24" s="109">
        <v>766.65</v>
      </c>
      <c r="F24" s="109">
        <v>902.6</v>
      </c>
      <c r="G24" s="109">
        <v>1098.07</v>
      </c>
    </row>
    <row r="25" spans="1:7">
      <c r="A25" s="34"/>
      <c r="B25" s="378" t="s">
        <v>439</v>
      </c>
      <c r="C25" s="89">
        <v>175.82</v>
      </c>
      <c r="D25" s="89">
        <v>179.15</v>
      </c>
      <c r="E25" s="89">
        <v>192.68</v>
      </c>
      <c r="F25" s="89">
        <v>159.44</v>
      </c>
      <c r="G25" s="89">
        <v>221.49</v>
      </c>
    </row>
    <row r="26" spans="1:7">
      <c r="A26" s="114"/>
      <c r="B26" s="373" t="s">
        <v>189</v>
      </c>
      <c r="C26" s="118">
        <v>6504.53</v>
      </c>
      <c r="D26" s="118">
        <v>5517.63</v>
      </c>
      <c r="E26" s="118">
        <v>6012.62</v>
      </c>
      <c r="F26" s="118">
        <v>7048.37</v>
      </c>
      <c r="G26" s="118">
        <v>7475.98</v>
      </c>
    </row>
    <row r="27" spans="1:7">
      <c r="A27" s="143"/>
      <c r="B27" s="379" t="s">
        <v>440</v>
      </c>
      <c r="C27" s="147">
        <v>23096.09</v>
      </c>
      <c r="D27" s="147">
        <v>22478.39</v>
      </c>
      <c r="E27" s="147">
        <v>23917.03</v>
      </c>
      <c r="F27" s="147">
        <v>26152.79</v>
      </c>
      <c r="G27" s="147">
        <v>28390.32</v>
      </c>
    </row>
    <row r="28" spans="1:7">
      <c r="A28" s="361"/>
      <c r="B28" s="380" t="s">
        <v>142</v>
      </c>
      <c r="C28" s="381"/>
      <c r="D28" s="381"/>
      <c r="E28" s="381"/>
      <c r="F28" s="381"/>
      <c r="G28" s="381"/>
    </row>
    <row r="29" spans="1:7">
      <c r="A29" s="126"/>
      <c r="B29" s="377" t="s">
        <v>441</v>
      </c>
      <c r="C29" s="130"/>
      <c r="D29" s="130"/>
      <c r="E29" s="130"/>
      <c r="F29" s="130"/>
      <c r="G29" s="130"/>
    </row>
    <row r="30" spans="1:7">
      <c r="A30" s="126"/>
      <c r="B30" s="377" t="s">
        <v>442</v>
      </c>
      <c r="C30" s="130">
        <v>6061.91</v>
      </c>
      <c r="D30" s="130">
        <v>5872.24</v>
      </c>
      <c r="E30" s="130">
        <v>5640.7</v>
      </c>
      <c r="F30" s="130">
        <v>5688.55</v>
      </c>
      <c r="G30" s="130">
        <v>5702.52</v>
      </c>
    </row>
    <row r="31" spans="1:7">
      <c r="A31" s="133"/>
      <c r="B31" s="374" t="s">
        <v>443</v>
      </c>
      <c r="C31" s="137">
        <v>318.48</v>
      </c>
      <c r="D31" s="137">
        <v>321.3</v>
      </c>
      <c r="E31" s="137">
        <v>518.5</v>
      </c>
      <c r="F31" s="137">
        <v>543.65</v>
      </c>
      <c r="G31" s="137">
        <v>580.46</v>
      </c>
    </row>
    <row r="32" spans="1:7">
      <c r="A32" s="30"/>
      <c r="B32" s="375" t="s">
        <v>444</v>
      </c>
      <c r="C32" s="100">
        <v>236.4</v>
      </c>
      <c r="D32" s="100">
        <v>149.13</v>
      </c>
      <c r="E32" s="100">
        <v>122.09</v>
      </c>
      <c r="F32" s="100">
        <v>127.16</v>
      </c>
      <c r="G32" s="100">
        <v>105.37</v>
      </c>
    </row>
    <row r="33" spans="1:7">
      <c r="A33" s="114"/>
      <c r="B33" s="373" t="s">
        <v>445</v>
      </c>
      <c r="C33" s="118">
        <v>258.73</v>
      </c>
      <c r="D33" s="118">
        <v>368.09</v>
      </c>
      <c r="E33" s="118">
        <v>331.62</v>
      </c>
      <c r="F33" s="118">
        <v>356.9</v>
      </c>
      <c r="G33" s="118">
        <v>381.81</v>
      </c>
    </row>
    <row r="34" spans="1:7">
      <c r="A34" s="133"/>
      <c r="B34" s="374" t="s">
        <v>446</v>
      </c>
      <c r="C34" s="137">
        <v>6875.52</v>
      </c>
      <c r="D34" s="137">
        <v>6710.76</v>
      </c>
      <c r="E34" s="137">
        <v>6612.91</v>
      </c>
      <c r="F34" s="137">
        <v>6716.26</v>
      </c>
      <c r="G34" s="137">
        <v>6770.16</v>
      </c>
    </row>
    <row r="35" spans="1:7">
      <c r="A35" s="91"/>
      <c r="B35" s="382" t="s">
        <v>447</v>
      </c>
      <c r="C35" s="95">
        <v>4356.28</v>
      </c>
      <c r="D35" s="95">
        <v>4657.5600000000004</v>
      </c>
      <c r="E35" s="95">
        <v>7219.08</v>
      </c>
      <c r="F35" s="95">
        <v>8446.16</v>
      </c>
      <c r="G35" s="95">
        <v>7748.27</v>
      </c>
    </row>
    <row r="36" spans="1:7">
      <c r="A36" s="30"/>
      <c r="B36" s="375" t="s">
        <v>448</v>
      </c>
      <c r="C36" s="100">
        <v>52.64</v>
      </c>
      <c r="D36" s="100">
        <v>59.44</v>
      </c>
      <c r="E36" s="100">
        <v>19.87</v>
      </c>
      <c r="F36" s="100">
        <v>21.15</v>
      </c>
      <c r="G36" s="100">
        <v>24.87</v>
      </c>
    </row>
    <row r="37" spans="1:7">
      <c r="A37" s="114"/>
      <c r="B37" s="373" t="s">
        <v>449</v>
      </c>
      <c r="C37" s="118">
        <v>441.17</v>
      </c>
      <c r="D37" s="118">
        <v>478.41</v>
      </c>
      <c r="E37" s="118">
        <v>629.84</v>
      </c>
      <c r="F37" s="118">
        <v>653.77</v>
      </c>
      <c r="G37" s="118">
        <v>413.13</v>
      </c>
    </row>
    <row r="38" spans="1:7">
      <c r="A38" s="126"/>
      <c r="B38" s="377" t="s">
        <v>155</v>
      </c>
      <c r="C38" s="130">
        <v>11725.61</v>
      </c>
      <c r="D38" s="130">
        <v>11906.17</v>
      </c>
      <c r="E38" s="130">
        <v>14481.7</v>
      </c>
      <c r="F38" s="130">
        <v>15837.34</v>
      </c>
      <c r="G38" s="130">
        <v>14956.43</v>
      </c>
    </row>
    <row r="39" spans="1:7">
      <c r="A39" s="133"/>
      <c r="B39" s="374" t="s">
        <v>450</v>
      </c>
      <c r="C39" s="137"/>
      <c r="D39" s="137"/>
      <c r="E39" s="137"/>
      <c r="F39" s="137"/>
      <c r="G39" s="137"/>
    </row>
    <row r="40" spans="1:7">
      <c r="A40" s="91"/>
      <c r="B40" s="382" t="s">
        <v>451</v>
      </c>
      <c r="C40" s="95">
        <v>6225.34</v>
      </c>
      <c r="D40" s="95">
        <v>5870.31</v>
      </c>
      <c r="E40" s="95">
        <v>3671.85</v>
      </c>
      <c r="F40" s="95">
        <v>4305.08</v>
      </c>
      <c r="G40" s="95">
        <v>6635.99</v>
      </c>
    </row>
    <row r="41" spans="1:7">
      <c r="A41" s="34"/>
      <c r="B41" s="378" t="s">
        <v>452</v>
      </c>
      <c r="C41" s="89">
        <v>1789.27</v>
      </c>
      <c r="D41" s="89">
        <v>1472.41</v>
      </c>
      <c r="E41" s="89">
        <v>1756.39</v>
      </c>
      <c r="F41" s="89">
        <v>1755.9</v>
      </c>
      <c r="G41" s="89">
        <v>2013.34</v>
      </c>
    </row>
    <row r="42" spans="1:7">
      <c r="A42" s="30"/>
      <c r="B42" s="375" t="s">
        <v>453</v>
      </c>
      <c r="C42" s="100">
        <v>2274.6799999999998</v>
      </c>
      <c r="D42" s="100">
        <v>2158.4899999999998</v>
      </c>
      <c r="E42" s="100">
        <v>2719.47</v>
      </c>
      <c r="F42" s="100">
        <v>2630.22</v>
      </c>
      <c r="G42" s="100">
        <v>3381.29</v>
      </c>
    </row>
    <row r="43" spans="1:7">
      <c r="A43" s="34"/>
      <c r="B43" s="378" t="s">
        <v>454</v>
      </c>
      <c r="C43" s="89">
        <v>396.24</v>
      </c>
      <c r="D43" s="89">
        <v>299.74</v>
      </c>
      <c r="E43" s="89">
        <v>422.8</v>
      </c>
      <c r="F43" s="89">
        <v>696.47</v>
      </c>
      <c r="G43" s="89">
        <v>574.08000000000004</v>
      </c>
    </row>
    <row r="44" spans="1:7">
      <c r="A44" s="30"/>
      <c r="B44" s="375" t="s">
        <v>455</v>
      </c>
      <c r="C44" s="100">
        <v>39.770000000000003</v>
      </c>
      <c r="D44" s="100">
        <v>22.81</v>
      </c>
      <c r="E44" s="100">
        <v>23.71</v>
      </c>
      <c r="F44" s="100">
        <v>24.56</v>
      </c>
      <c r="G44" s="100">
        <v>27.07</v>
      </c>
    </row>
    <row r="45" spans="1:7">
      <c r="A45" s="114"/>
      <c r="B45" s="373" t="s">
        <v>456</v>
      </c>
      <c r="C45" s="118">
        <v>645.17999999999995</v>
      </c>
      <c r="D45" s="118">
        <v>748.46</v>
      </c>
      <c r="E45" s="118">
        <v>841.11</v>
      </c>
      <c r="F45" s="118">
        <v>903.22</v>
      </c>
      <c r="G45" s="118">
        <v>802.12</v>
      </c>
    </row>
    <row r="46" spans="1:7">
      <c r="A46" s="126"/>
      <c r="B46" s="377" t="s">
        <v>166</v>
      </c>
      <c r="C46" s="130">
        <v>11370.48</v>
      </c>
      <c r="D46" s="130">
        <v>10572.22</v>
      </c>
      <c r="E46" s="130">
        <v>9435.33</v>
      </c>
      <c r="F46" s="130">
        <v>10315.450000000001</v>
      </c>
      <c r="G46" s="130">
        <v>13433.89</v>
      </c>
    </row>
    <row r="47" spans="1:7">
      <c r="A47" s="120"/>
      <c r="B47" s="383" t="s">
        <v>457</v>
      </c>
      <c r="C47" s="124">
        <v>23096.09</v>
      </c>
      <c r="D47" s="124">
        <v>22478.39</v>
      </c>
      <c r="E47" s="124">
        <v>23917.03</v>
      </c>
      <c r="F47" s="124">
        <v>26152.79</v>
      </c>
      <c r="G47" s="124">
        <v>28390.32</v>
      </c>
    </row>
    <row r="48" spans="1:7">
      <c r="A48" s="91"/>
      <c r="B48" s="382" t="s">
        <v>414</v>
      </c>
      <c r="C48" s="95"/>
      <c r="D48" s="95"/>
      <c r="E48" s="95"/>
      <c r="F48" s="95"/>
      <c r="G48" s="95"/>
    </row>
    <row r="49" spans="1:7">
      <c r="A49" s="114"/>
      <c r="B49" s="373" t="s">
        <v>458</v>
      </c>
      <c r="C49" s="118"/>
      <c r="D49" s="118"/>
      <c r="E49" s="118"/>
      <c r="F49" s="118"/>
      <c r="G49" s="118"/>
    </row>
    <row r="50" spans="1:7">
      <c r="A50" s="133"/>
      <c r="B50" s="374" t="s">
        <v>459</v>
      </c>
      <c r="C50" s="137">
        <v>488.61</v>
      </c>
      <c r="D50" s="137">
        <v>659.37</v>
      </c>
      <c r="E50" s="137">
        <v>965.03</v>
      </c>
      <c r="F50" s="137">
        <v>1177.01</v>
      </c>
      <c r="G50" s="137">
        <v>2031.07</v>
      </c>
    </row>
    <row r="51" spans="1:7">
      <c r="A51" s="91"/>
      <c r="B51" s="382" t="s">
        <v>460</v>
      </c>
      <c r="C51" s="95"/>
      <c r="D51" s="95"/>
      <c r="E51" s="95"/>
      <c r="F51" s="95"/>
      <c r="G51" s="95"/>
    </row>
    <row r="52" spans="1:7">
      <c r="A52" s="91"/>
      <c r="B52" s="382" t="s">
        <v>461</v>
      </c>
      <c r="C52" s="95">
        <v>23.96</v>
      </c>
      <c r="D52" s="95">
        <v>23.96</v>
      </c>
      <c r="E52" s="95">
        <v>23.96</v>
      </c>
      <c r="F52" s="95">
        <v>23.96</v>
      </c>
      <c r="G52" s="95">
        <v>23.96</v>
      </c>
    </row>
    <row r="53" spans="1:7">
      <c r="A53" s="91"/>
      <c r="B53" s="382" t="s">
        <v>462</v>
      </c>
      <c r="C53" s="95"/>
      <c r="D53" s="95"/>
      <c r="E53" s="95"/>
      <c r="F53" s="95"/>
      <c r="G53" s="95"/>
    </row>
    <row r="54" spans="1:7">
      <c r="A54" s="91"/>
      <c r="B54" s="382" t="s">
        <v>463</v>
      </c>
      <c r="C54" s="95">
        <v>614.74</v>
      </c>
      <c r="D54" s="95">
        <v>989.37</v>
      </c>
      <c r="E54" s="95">
        <v>1390.6</v>
      </c>
      <c r="F54" s="95">
        <v>1555.29</v>
      </c>
      <c r="G54" s="95">
        <v>1317.39</v>
      </c>
    </row>
    <row r="55" spans="1:7">
      <c r="A55" s="91"/>
      <c r="B55" s="382" t="s">
        <v>464</v>
      </c>
      <c r="C55" s="95">
        <v>3741.78</v>
      </c>
      <c r="D55" s="95">
        <v>3668.19</v>
      </c>
      <c r="E55" s="95">
        <v>5781.21</v>
      </c>
      <c r="F55" s="95">
        <v>6826.25</v>
      </c>
      <c r="G55" s="95">
        <v>6383.57</v>
      </c>
    </row>
    <row r="56" spans="1:7">
      <c r="A56" s="91"/>
      <c r="B56" s="382" t="s">
        <v>465</v>
      </c>
      <c r="C56" s="95"/>
      <c r="D56" s="95"/>
      <c r="E56" s="95"/>
      <c r="F56" s="95"/>
      <c r="G56" s="95"/>
    </row>
    <row r="57" spans="1:7">
      <c r="A57" s="91"/>
      <c r="B57" s="382" t="s">
        <v>466</v>
      </c>
      <c r="C57" s="95">
        <v>89.44</v>
      </c>
      <c r="D57" s="95">
        <v>85.48</v>
      </c>
      <c r="E57" s="95">
        <v>115.26</v>
      </c>
      <c r="F57" s="95">
        <v>177.49</v>
      </c>
      <c r="G57" s="95">
        <v>526.5</v>
      </c>
    </row>
    <row r="58" spans="1:7">
      <c r="A58" s="91"/>
      <c r="B58" s="382" t="s">
        <v>467</v>
      </c>
      <c r="C58" s="95">
        <v>6136.94</v>
      </c>
      <c r="D58" s="95">
        <v>5786.62</v>
      </c>
      <c r="E58" s="95">
        <v>3561.63</v>
      </c>
      <c r="F58" s="95">
        <v>4127.59</v>
      </c>
      <c r="G58" s="95">
        <v>6097.33</v>
      </c>
    </row>
  </sheetData>
  <mergeCells count="3">
    <mergeCell ref="B2:G2"/>
    <mergeCell ref="B3:G3"/>
    <mergeCell ref="B4:G4"/>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M54"/>
  <sheetViews>
    <sheetView showGridLines="0" zoomScaleNormal="100" workbookViewId="0">
      <selection activeCell="H9" sqref="H9"/>
    </sheetView>
  </sheetViews>
  <sheetFormatPr defaultColWidth="8.6640625" defaultRowHeight="14.4"/>
  <cols>
    <col min="1" max="1" width="1.88671875" customWidth="1"/>
    <col min="3" max="3" width="27.33203125" customWidth="1"/>
    <col min="5" max="9" width="9" customWidth="1"/>
  </cols>
  <sheetData>
    <row r="1" spans="2:13" ht="15.75" customHeight="1">
      <c r="B1" s="16"/>
      <c r="C1" s="16"/>
      <c r="D1" s="16"/>
      <c r="E1" s="16"/>
      <c r="F1" s="16"/>
      <c r="G1" s="16"/>
      <c r="H1" s="16"/>
      <c r="I1" s="16"/>
    </row>
    <row r="2" spans="2:13" ht="21.75" customHeight="1">
      <c r="B2" s="384"/>
      <c r="C2" s="80" t="s">
        <v>468</v>
      </c>
      <c r="D2" s="385" t="s">
        <v>385</v>
      </c>
      <c r="E2" s="385"/>
      <c r="F2" s="385"/>
      <c r="G2" s="385"/>
      <c r="H2" s="385"/>
      <c r="I2" s="385"/>
    </row>
    <row r="3" spans="2:13" ht="12.75" customHeight="1">
      <c r="B3" s="386"/>
      <c r="C3" s="387"/>
      <c r="D3" s="388" t="s">
        <v>386</v>
      </c>
      <c r="E3" s="388"/>
      <c r="F3" s="388"/>
      <c r="G3" s="388"/>
      <c r="H3" s="388"/>
      <c r="I3" s="389"/>
    </row>
    <row r="4" spans="2:13" ht="13.5" customHeight="1">
      <c r="B4" s="85"/>
      <c r="C4" s="390"/>
      <c r="D4" s="391"/>
      <c r="E4" s="392">
        <v>44256</v>
      </c>
      <c r="F4" s="392">
        <v>44621</v>
      </c>
      <c r="G4" s="392">
        <v>44986</v>
      </c>
      <c r="H4" s="392">
        <v>45352</v>
      </c>
      <c r="I4" s="393" t="s">
        <v>387</v>
      </c>
    </row>
    <row r="5" spans="2:13" ht="13.5" customHeight="1">
      <c r="B5" s="26"/>
      <c r="C5" s="394" t="s">
        <v>139</v>
      </c>
      <c r="D5" s="26"/>
      <c r="E5" s="185"/>
      <c r="F5" s="185"/>
      <c r="G5" s="185"/>
      <c r="H5" s="185"/>
      <c r="I5" s="185"/>
    </row>
    <row r="6" spans="2:13" s="395" customFormat="1" ht="16.5" customHeight="1">
      <c r="B6" s="40"/>
      <c r="C6" s="376" t="str">
        <f>'Consolidated PL 5y'!B7</f>
        <v>Revenue From Operations [Net]</v>
      </c>
      <c r="D6" s="40"/>
      <c r="E6" s="109">
        <f>'Consolidated PL 5y'!C7</f>
        <v>30451.59</v>
      </c>
      <c r="F6" s="109">
        <f>'Consolidated PL 5y'!D7</f>
        <v>28977.64</v>
      </c>
      <c r="G6" s="109">
        <f>'Consolidated PL 5y'!E7</f>
        <v>33737.72</v>
      </c>
      <c r="H6" s="109">
        <f>'Consolidated PL 5y'!F7</f>
        <v>37599.03</v>
      </c>
      <c r="I6" s="109">
        <f>'Consolidated PL 5y'!G7</f>
        <v>40712.49</v>
      </c>
    </row>
    <row r="7" spans="2:13" ht="13.5" customHeight="1">
      <c r="B7" s="396"/>
      <c r="C7" s="397" t="s">
        <v>469</v>
      </c>
      <c r="D7" s="396"/>
      <c r="E7" s="398"/>
      <c r="F7" s="398">
        <f>'Consolidated PL 5y'!I6</f>
        <v>-4.8403055472637083E-2</v>
      </c>
      <c r="G7" s="398">
        <f>'Consolidated PL 5y'!J6</f>
        <v>0.16426734544290017</v>
      </c>
      <c r="H7" s="398">
        <f>'Consolidated PL 5y'!K6</f>
        <v>0.11445082833101933</v>
      </c>
      <c r="I7" s="398">
        <f>'Consolidated PL 5y'!L6</f>
        <v>8.2806923476483288E-2</v>
      </c>
      <c r="K7" s="399">
        <f>AVERAGE(F7:I7)</f>
        <v>7.8280510444441426E-2</v>
      </c>
      <c r="L7" s="399">
        <f>MEDIAN(F7:G7)</f>
        <v>5.7932144985131537E-2</v>
      </c>
      <c r="M7" s="399">
        <f>MEDIAN(F7:I7)</f>
        <v>9.8628875903751301E-2</v>
      </c>
    </row>
    <row r="8" spans="2:13" ht="4.5" customHeight="1">
      <c r="B8" s="25"/>
      <c r="C8" s="400"/>
      <c r="D8" s="25"/>
      <c r="E8" s="401"/>
      <c r="F8" s="401"/>
      <c r="G8" s="401"/>
      <c r="H8" s="401"/>
      <c r="I8" s="401"/>
    </row>
    <row r="9" spans="2:13" ht="15" customHeight="1">
      <c r="B9" s="34"/>
      <c r="C9" s="378" t="s">
        <v>470</v>
      </c>
      <c r="D9" s="34"/>
      <c r="E9" s="89">
        <f>SUM('Consolidated PL 5y'!C13:C15)</f>
        <v>21743.61</v>
      </c>
      <c r="F9" s="89">
        <f>SUM('Consolidated PL 5y'!D13:D15)</f>
        <v>20920.36</v>
      </c>
      <c r="G9" s="89">
        <f>SUM('Consolidated PL 5y'!E13:E15)</f>
        <v>23944.030000000002</v>
      </c>
      <c r="H9" s="89">
        <f>SUM('Consolidated PL 5y'!F13:F15)</f>
        <v>25509.439999999999</v>
      </c>
      <c r="I9" s="89">
        <f>SUM('Consolidated PL 5y'!G13:G15)</f>
        <v>26910.639999999999</v>
      </c>
    </row>
    <row r="10" spans="2:13" ht="15" customHeight="1">
      <c r="B10" s="30"/>
      <c r="C10" s="375" t="s">
        <v>471</v>
      </c>
      <c r="D10" s="30"/>
      <c r="E10" s="100">
        <f>'Consolidated PL 5y'!C16</f>
        <v>1951.02</v>
      </c>
      <c r="F10" s="100">
        <f>'Consolidated PL 5y'!D16</f>
        <v>1995.78</v>
      </c>
      <c r="G10" s="100">
        <f>'Consolidated PL 5y'!E16</f>
        <v>2250.0500000000002</v>
      </c>
      <c r="H10" s="100">
        <f>'Consolidated PL 5y'!F16</f>
        <v>2471.5500000000002</v>
      </c>
      <c r="I10" s="100">
        <f>'Consolidated PL 5y'!G16</f>
        <v>2680.07</v>
      </c>
    </row>
    <row r="11" spans="2:13" ht="15" customHeight="1">
      <c r="B11" s="34"/>
      <c r="C11" s="378" t="s">
        <v>472</v>
      </c>
      <c r="D11" s="34"/>
      <c r="E11" s="89">
        <f>'Consolidated PL 5y'!C19</f>
        <v>3165.05</v>
      </c>
      <c r="F11" s="89">
        <f>'Consolidated PL 5y'!D19</f>
        <v>3190.37</v>
      </c>
      <c r="G11" s="89">
        <f>'Consolidated PL 5y'!E19</f>
        <v>3870.53</v>
      </c>
      <c r="H11" s="89">
        <f>'Consolidated PL 5y'!F19</f>
        <v>4458</v>
      </c>
      <c r="I11" s="89">
        <f>'Consolidated PL 5y'!G19</f>
        <v>5386.87</v>
      </c>
    </row>
    <row r="12" spans="2:13" s="395" customFormat="1" ht="15" customHeight="1">
      <c r="B12" s="402"/>
      <c r="C12" s="403" t="s">
        <v>206</v>
      </c>
      <c r="D12" s="402"/>
      <c r="E12" s="404">
        <f>SUM(Assumptions!E9:E11)</f>
        <v>26859.68</v>
      </c>
      <c r="F12" s="404">
        <f>SUM(Assumptions!F9:F11)</f>
        <v>26106.51</v>
      </c>
      <c r="G12" s="404">
        <f>SUM(Assumptions!G9:G11)</f>
        <v>30064.61</v>
      </c>
      <c r="H12" s="404">
        <f>SUM(Assumptions!H9:H11)</f>
        <v>32438.989999999998</v>
      </c>
      <c r="I12" s="404">
        <f>SUM(Assumptions!I9:I11)</f>
        <v>34977.58</v>
      </c>
    </row>
    <row r="13" spans="2:13" ht="4.5" customHeight="1">
      <c r="B13" s="25"/>
      <c r="C13" s="400"/>
      <c r="D13" s="25"/>
      <c r="E13" s="401"/>
      <c r="F13" s="401"/>
      <c r="G13" s="401"/>
      <c r="H13" s="401"/>
      <c r="I13" s="401"/>
    </row>
    <row r="14" spans="2:13" s="395" customFormat="1" ht="16.5" customHeight="1">
      <c r="B14" s="40"/>
      <c r="C14" s="376" t="s">
        <v>473</v>
      </c>
      <c r="D14" s="40"/>
      <c r="E14" s="109">
        <f>E6-E12</f>
        <v>3591.91</v>
      </c>
      <c r="F14" s="109">
        <f>F6-F12</f>
        <v>2871.130000000001</v>
      </c>
      <c r="G14" s="109">
        <f>G6-G12</f>
        <v>3673.1100000000006</v>
      </c>
      <c r="H14" s="109">
        <f>H6-H12</f>
        <v>5160.0400000000009</v>
      </c>
      <c r="I14" s="109">
        <f>I6-I12</f>
        <v>5734.9099999999962</v>
      </c>
    </row>
    <row r="15" spans="2:13" ht="4.5" customHeight="1">
      <c r="B15" s="25"/>
      <c r="C15" s="400"/>
      <c r="D15" s="25"/>
      <c r="E15" s="401"/>
      <c r="F15" s="401"/>
      <c r="G15" s="401"/>
      <c r="H15" s="401"/>
      <c r="I15" s="401"/>
    </row>
    <row r="16" spans="2:13" ht="15" customHeight="1">
      <c r="B16" s="30"/>
      <c r="C16" s="375" t="s">
        <v>474</v>
      </c>
      <c r="D16" s="30"/>
      <c r="E16" s="100">
        <f>'Consolidated PL 5y'!C18</f>
        <v>715.12</v>
      </c>
      <c r="F16" s="100">
        <f>'Consolidated PL 5y'!D18</f>
        <v>689.52</v>
      </c>
      <c r="G16" s="100">
        <f>'Consolidated PL 5y'!E18</f>
        <v>697.39</v>
      </c>
      <c r="H16" s="100">
        <f>'Consolidated PL 5y'!F18</f>
        <v>757.36</v>
      </c>
      <c r="I16" s="100">
        <f>'Consolidated PL 5y'!G18</f>
        <v>824.59</v>
      </c>
    </row>
    <row r="17" spans="2:9" ht="4.5" customHeight="1">
      <c r="B17" s="25"/>
      <c r="C17" s="400"/>
      <c r="D17" s="25"/>
      <c r="E17" s="401"/>
      <c r="F17" s="401"/>
      <c r="G17" s="401"/>
      <c r="H17" s="401"/>
      <c r="I17" s="401"/>
    </row>
    <row r="18" spans="2:9" s="395" customFormat="1" ht="16.5" customHeight="1">
      <c r="B18" s="40"/>
      <c r="C18" s="376" t="s">
        <v>475</v>
      </c>
      <c r="D18" s="40"/>
      <c r="E18" s="109">
        <f>E14-E16</f>
        <v>2876.79</v>
      </c>
      <c r="F18" s="109">
        <f>F14-F16</f>
        <v>2181.610000000001</v>
      </c>
      <c r="G18" s="109">
        <f>G14-G16</f>
        <v>2975.7200000000007</v>
      </c>
      <c r="H18" s="109">
        <f>H14-H16</f>
        <v>4402.6800000000012</v>
      </c>
      <c r="I18" s="109">
        <f>I14-I16</f>
        <v>4910.3199999999961</v>
      </c>
    </row>
    <row r="19" spans="2:9" ht="4.5" customHeight="1">
      <c r="B19" s="25"/>
      <c r="C19" s="400"/>
      <c r="D19" s="25"/>
      <c r="E19" s="401"/>
      <c r="F19" s="401"/>
      <c r="G19" s="401"/>
      <c r="H19" s="401"/>
      <c r="I19" s="401"/>
    </row>
    <row r="20" spans="2:9" ht="15" customHeight="1">
      <c r="B20" s="34"/>
      <c r="C20" s="378" t="s">
        <v>476</v>
      </c>
      <c r="D20" s="34"/>
      <c r="E20" s="89">
        <f>'Consolidated PL 5y'!C10+'Consolidated PL 5y'!C22</f>
        <v>557.9</v>
      </c>
      <c r="F20" s="89">
        <f>'Consolidated PL 5y'!D10+'Consolidated PL 5y'!D22</f>
        <v>555.01</v>
      </c>
      <c r="G20" s="89">
        <f>'Consolidated PL 5y'!E10+'Consolidated PL 5y'!E22</f>
        <v>569.01</v>
      </c>
      <c r="H20" s="89">
        <f>'Consolidated PL 5y'!F10+'Consolidated PL 5y'!F22</f>
        <v>694.55</v>
      </c>
      <c r="I20" s="89">
        <f>'Consolidated PL 5y'!G10+'Consolidated PL 5y'!G22</f>
        <v>1044.08</v>
      </c>
    </row>
    <row r="21" spans="2:9" ht="15" customHeight="1">
      <c r="B21" s="30"/>
      <c r="C21" s="375" t="s">
        <v>477</v>
      </c>
      <c r="D21" s="30"/>
      <c r="E21" s="100">
        <f>'Consolidated PL 5y'!C17</f>
        <v>46.41</v>
      </c>
      <c r="F21" s="100">
        <f>'Consolidated PL 5y'!D17</f>
        <v>53.1</v>
      </c>
      <c r="G21" s="100">
        <f>'Consolidated PL 5y'!E17</f>
        <v>104.88</v>
      </c>
      <c r="H21" s="100">
        <f>'Consolidated PL 5y'!F17</f>
        <v>76.37</v>
      </c>
      <c r="I21" s="100">
        <f>'Consolidated PL 5y'!G17</f>
        <v>70.650000000000006</v>
      </c>
    </row>
    <row r="22" spans="2:9" ht="4.5" customHeight="1">
      <c r="B22" s="25"/>
      <c r="C22" s="400"/>
      <c r="D22" s="25"/>
      <c r="E22" s="401"/>
      <c r="F22" s="401"/>
      <c r="G22" s="401"/>
      <c r="H22" s="401"/>
      <c r="I22" s="401"/>
    </row>
    <row r="23" spans="2:9" s="395" customFormat="1" ht="16.5" customHeight="1">
      <c r="B23" s="40"/>
      <c r="C23" s="376" t="s">
        <v>478</v>
      </c>
      <c r="D23" s="40"/>
      <c r="E23" s="109">
        <f>E18+E20-E21</f>
        <v>3388.28</v>
      </c>
      <c r="F23" s="109">
        <f>F18+F20-F21</f>
        <v>2683.5200000000009</v>
      </c>
      <c r="G23" s="109">
        <f>G18+G20-G21</f>
        <v>3439.8500000000004</v>
      </c>
      <c r="H23" s="109">
        <f>H18+H20-H21</f>
        <v>5020.8600000000015</v>
      </c>
      <c r="I23" s="109">
        <f>I18+I20-I21</f>
        <v>5883.7499999999964</v>
      </c>
    </row>
    <row r="24" spans="2:9" ht="4.5" customHeight="1">
      <c r="B24" s="25"/>
      <c r="C24" s="400"/>
      <c r="D24" s="25"/>
      <c r="E24" s="401"/>
      <c r="F24" s="401"/>
      <c r="G24" s="401"/>
      <c r="H24" s="401"/>
      <c r="I24" s="401"/>
    </row>
    <row r="25" spans="2:9" ht="15" customHeight="1">
      <c r="B25" s="34"/>
      <c r="C25" s="378" t="s">
        <v>479</v>
      </c>
      <c r="D25" s="34"/>
      <c r="E25" s="89">
        <f>'Consolidated PL 5y'!C27</f>
        <v>913.27</v>
      </c>
      <c r="F25" s="89">
        <f>'Consolidated PL 5y'!D27</f>
        <v>729.06</v>
      </c>
      <c r="G25" s="89">
        <f>'Consolidated PL 5y'!E27</f>
        <v>1063.72</v>
      </c>
      <c r="H25" s="89">
        <f>'Consolidated PL 5y'!F27</f>
        <v>1348.04</v>
      </c>
      <c r="I25" s="89">
        <f>'Consolidated PL 5y'!G27</f>
        <v>1557.75</v>
      </c>
    </row>
    <row r="26" spans="2:9" ht="15" customHeight="1">
      <c r="B26" s="30"/>
      <c r="C26" s="375" t="s">
        <v>480</v>
      </c>
      <c r="D26" s="30"/>
      <c r="E26" s="100">
        <f>'Consolidated PL 5y'!C31</f>
        <v>-18.3</v>
      </c>
      <c r="F26" s="100">
        <f>'Consolidated PL 5y'!D31</f>
        <v>-12.17</v>
      </c>
      <c r="G26" s="100">
        <f>'Consolidated PL 5y'!E31</f>
        <v>10.06</v>
      </c>
      <c r="H26" s="100">
        <f>'Consolidated PL 5y'!F31</f>
        <v>2.67</v>
      </c>
      <c r="I26" s="100">
        <f>'Consolidated PL 5y'!G31</f>
        <v>2.67</v>
      </c>
    </row>
    <row r="27" spans="2:9" ht="4.5" customHeight="1">
      <c r="B27" s="25"/>
      <c r="C27" s="400"/>
      <c r="D27" s="25"/>
      <c r="E27" s="401"/>
      <c r="F27" s="401"/>
      <c r="G27" s="401"/>
      <c r="H27" s="401"/>
      <c r="I27" s="401"/>
    </row>
    <row r="28" spans="2:9" s="395" customFormat="1" ht="16.5" customHeight="1">
      <c r="B28" s="405"/>
      <c r="C28" s="406" t="s">
        <v>481</v>
      </c>
      <c r="D28" s="405"/>
      <c r="E28" s="407">
        <f>E23-E25-E26</f>
        <v>2493.3100000000004</v>
      </c>
      <c r="F28" s="407">
        <f>F23-F25-F26</f>
        <v>1966.630000000001</v>
      </c>
      <c r="G28" s="407">
        <f>G23-G25-G26</f>
        <v>2366.0700000000002</v>
      </c>
      <c r="H28" s="407">
        <f>H23-H25-H26</f>
        <v>3670.1500000000015</v>
      </c>
      <c r="I28" s="407">
        <f>I23-I25-I26</f>
        <v>4323.3299999999963</v>
      </c>
    </row>
    <row r="29" spans="2:9" ht="6" customHeight="1">
      <c r="B29" s="25"/>
      <c r="C29" s="400"/>
      <c r="D29" s="25"/>
      <c r="E29" s="401"/>
      <c r="F29" s="401"/>
      <c r="G29" s="401"/>
      <c r="H29" s="401"/>
      <c r="I29" s="401"/>
    </row>
    <row r="30" spans="2:9" ht="13.5" customHeight="1">
      <c r="B30" s="91"/>
      <c r="C30" s="408" t="s">
        <v>482</v>
      </c>
      <c r="D30" s="244"/>
      <c r="E30" s="259"/>
      <c r="F30" s="259"/>
      <c r="G30" s="259"/>
      <c r="H30" s="259"/>
      <c r="I30" s="259"/>
    </row>
    <row r="31" spans="2:9" ht="15.75" customHeight="1">
      <c r="B31" s="34"/>
      <c r="C31" s="378" t="s">
        <v>483</v>
      </c>
      <c r="D31" s="34"/>
      <c r="E31" s="90">
        <f>AVERAGE(F7:I7)</f>
        <v>7.8280510444441426E-2</v>
      </c>
      <c r="F31" s="90"/>
      <c r="G31" s="239"/>
      <c r="H31" s="239"/>
      <c r="I31" s="239"/>
    </row>
    <row r="32" spans="2:9" ht="15.75" customHeight="1">
      <c r="B32" s="30"/>
      <c r="C32" s="409" t="s">
        <v>484</v>
      </c>
      <c r="D32" s="410"/>
      <c r="E32" s="411">
        <f>(I6/E6)^(1/4)-1</f>
        <v>7.5299447774104022E-2</v>
      </c>
      <c r="F32" s="411">
        <f>_xlfn.RRI(4,E6,I6)</f>
        <v>7.5299447774104022E-2</v>
      </c>
      <c r="G32" s="412"/>
      <c r="H32" s="412"/>
      <c r="I32" s="412"/>
    </row>
    <row r="33" spans="2:9" ht="6" customHeight="1">
      <c r="B33" s="25"/>
      <c r="C33" s="400"/>
      <c r="D33" s="25"/>
      <c r="E33" s="401"/>
      <c r="F33" s="401"/>
      <c r="G33" s="401"/>
      <c r="H33" s="401"/>
      <c r="I33" s="401"/>
    </row>
    <row r="34" spans="2:9" ht="13.5" customHeight="1">
      <c r="B34" s="16"/>
      <c r="C34" s="413" t="s">
        <v>485</v>
      </c>
      <c r="D34" s="414"/>
      <c r="E34" s="415"/>
      <c r="F34" s="415"/>
      <c r="G34" s="415"/>
      <c r="H34" s="415"/>
      <c r="I34" s="415"/>
    </row>
    <row r="35" spans="2:9" ht="15.75" customHeight="1">
      <c r="B35" s="34"/>
      <c r="C35" s="378" t="s">
        <v>486</v>
      </c>
      <c r="D35" s="34"/>
      <c r="E35" s="90">
        <f>E14/E6</f>
        <v>0.11795476032614388</v>
      </c>
      <c r="F35" s="90">
        <f>F14/F6</f>
        <v>9.9080877531779715E-2</v>
      </c>
      <c r="G35" s="90">
        <f>G14/G6</f>
        <v>0.10887250235048487</v>
      </c>
      <c r="H35" s="90">
        <f>H14/H6</f>
        <v>0.1372386468480703</v>
      </c>
      <c r="I35" s="90">
        <f>I14/I6</f>
        <v>0.14086365142490662</v>
      </c>
    </row>
    <row r="36" spans="2:9" ht="15.75" customHeight="1">
      <c r="B36" s="30"/>
      <c r="C36" s="416" t="s">
        <v>487</v>
      </c>
      <c r="D36" s="417"/>
      <c r="E36" s="418">
        <f>E18/E6</f>
        <v>9.4470929104194551E-2</v>
      </c>
      <c r="F36" s="418">
        <f>F18/F6</f>
        <v>7.5285979120452914E-2</v>
      </c>
      <c r="G36" s="418">
        <f>G18/G6</f>
        <v>8.8201573787440313E-2</v>
      </c>
      <c r="H36" s="418">
        <f>H18/H6</f>
        <v>0.11709557400815929</v>
      </c>
      <c r="I36" s="418">
        <f>I18/I6</f>
        <v>0.1206096703984452</v>
      </c>
    </row>
    <row r="37" spans="2:9" ht="15.75" customHeight="1">
      <c r="B37" s="34"/>
      <c r="C37" s="419" t="s">
        <v>488</v>
      </c>
      <c r="D37" s="207"/>
      <c r="E37" s="420">
        <f>E23/E6</f>
        <v>0.11126775317807708</v>
      </c>
      <c r="F37" s="420">
        <f>F23/F6</f>
        <v>9.2606575276661621E-2</v>
      </c>
      <c r="G37" s="420">
        <f>G23/G6</f>
        <v>0.10195857929937174</v>
      </c>
      <c r="H37" s="420">
        <f>H23/H6</f>
        <v>0.1335369556076314</v>
      </c>
      <c r="I37" s="420">
        <f>I23/I6</f>
        <v>0.1445195319667256</v>
      </c>
    </row>
    <row r="38" spans="2:9" ht="16.5" customHeight="1">
      <c r="B38" s="421"/>
      <c r="C38" s="422" t="s">
        <v>489</v>
      </c>
      <c r="D38" s="423"/>
      <c r="E38" s="424">
        <f>E28/E6</f>
        <v>8.1877826412348267E-2</v>
      </c>
      <c r="F38" s="424">
        <f>F28/F6</f>
        <v>6.7867155503346752E-2</v>
      </c>
      <c r="G38" s="424">
        <f>G28/G6</f>
        <v>7.0131295179401573E-2</v>
      </c>
      <c r="H38" s="424">
        <f>H28/H6</f>
        <v>9.7612890545314648E-2</v>
      </c>
      <c r="I38" s="424">
        <f>I28/I6</f>
        <v>0.10619173624605119</v>
      </c>
    </row>
    <row r="39" spans="2:9" ht="6" customHeight="1">
      <c r="B39" s="25"/>
      <c r="C39" s="400"/>
      <c r="D39" s="25"/>
      <c r="E39" s="401"/>
      <c r="F39" s="401"/>
      <c r="G39" s="401"/>
      <c r="H39" s="401"/>
      <c r="I39" s="401"/>
    </row>
    <row r="40" spans="2:9" ht="13.5" customHeight="1">
      <c r="B40" s="91"/>
      <c r="C40" s="408" t="s">
        <v>490</v>
      </c>
      <c r="D40" s="244"/>
      <c r="E40" s="259"/>
      <c r="F40" s="259"/>
      <c r="G40" s="259"/>
      <c r="H40" s="259"/>
      <c r="I40" s="259"/>
    </row>
    <row r="41" spans="2:9" ht="15.75" customHeight="1">
      <c r="B41" s="34"/>
      <c r="C41" s="378" t="s">
        <v>491</v>
      </c>
      <c r="D41" s="90">
        <f>E25/E23</f>
        <v>0.2695379366522247</v>
      </c>
      <c r="E41" s="90">
        <f>F25/F23</f>
        <v>0.27168047937037909</v>
      </c>
      <c r="F41" s="90">
        <f>G25/G23</f>
        <v>0.30923441429132081</v>
      </c>
      <c r="G41" s="90">
        <f>H25/H23</f>
        <v>0.26848786861215002</v>
      </c>
      <c r="H41" s="90">
        <f>I25/I23</f>
        <v>0.26475462077756551</v>
      </c>
      <c r="I41" s="239"/>
    </row>
    <row r="42" spans="2:9" ht="15.75" customHeight="1">
      <c r="B42" s="30"/>
      <c r="C42" s="409" t="s">
        <v>492</v>
      </c>
      <c r="D42" s="425">
        <v>0.25</v>
      </c>
      <c r="E42" s="425">
        <v>0.25</v>
      </c>
      <c r="F42" s="425">
        <v>0.25</v>
      </c>
      <c r="G42" s="425">
        <v>0.25</v>
      </c>
      <c r="H42" s="425">
        <v>0.25</v>
      </c>
      <c r="I42" s="412"/>
    </row>
    <row r="43" spans="2:9" ht="6" customHeight="1">
      <c r="B43" s="25"/>
      <c r="C43" s="400"/>
      <c r="D43" s="25"/>
      <c r="E43" s="401"/>
      <c r="F43" s="401"/>
      <c r="G43" s="401"/>
      <c r="H43" s="401"/>
      <c r="I43" s="401"/>
    </row>
    <row r="44" spans="2:9" ht="13.5" customHeight="1">
      <c r="B44" s="91"/>
      <c r="C44" s="408" t="s">
        <v>493</v>
      </c>
      <c r="D44" s="244"/>
      <c r="E44" s="259"/>
      <c r="F44" s="259"/>
      <c r="G44" s="259"/>
      <c r="H44" s="259"/>
      <c r="I44" s="259"/>
    </row>
    <row r="45" spans="2:9" ht="15" customHeight="1">
      <c r="B45" s="34"/>
      <c r="C45" s="378" t="s">
        <v>494</v>
      </c>
      <c r="D45" s="89">
        <f>E18*(1-D42)</f>
        <v>2157.5924999999997</v>
      </c>
      <c r="E45" s="89">
        <f>F18*(1-E42)</f>
        <v>1636.2075000000009</v>
      </c>
      <c r="F45" s="89">
        <f>G18*(1-F42)</f>
        <v>2231.7900000000004</v>
      </c>
      <c r="G45" s="89">
        <f>H18*(1-G42)</f>
        <v>3302.0100000000011</v>
      </c>
      <c r="H45" s="89">
        <f>I18*(1-H42)</f>
        <v>3682.7399999999971</v>
      </c>
      <c r="I45" s="239"/>
    </row>
    <row r="46" spans="2:9" ht="15" customHeight="1">
      <c r="B46" s="30"/>
      <c r="C46" s="416" t="s">
        <v>495</v>
      </c>
      <c r="D46" s="426">
        <f>'Consolidated BS 5y'!C13</f>
        <v>15416.42</v>
      </c>
      <c r="E46" s="426">
        <f>'Consolidated BS 5y'!D13</f>
        <v>15846.65</v>
      </c>
      <c r="F46" s="426">
        <f>'Consolidated BS 5y'!E13</f>
        <v>16655.57</v>
      </c>
      <c r="G46" s="426">
        <f>'Consolidated BS 5y'!F13</f>
        <v>17698.919999999998</v>
      </c>
      <c r="H46" s="426">
        <f>'Consolidated BS 5y'!G13</f>
        <v>19272.04</v>
      </c>
      <c r="I46" s="427"/>
    </row>
    <row r="47" spans="2:9" ht="15" customHeight="1">
      <c r="B47" s="34"/>
      <c r="C47" s="419" t="s">
        <v>496</v>
      </c>
      <c r="D47" s="428">
        <f>'Consolidated BS 5y'!C22+'Consolidated BS 5y'!C16</f>
        <v>330.34000000000003</v>
      </c>
      <c r="E47" s="428">
        <f>'Consolidated BS 5y'!D22+'Consolidated BS 5y'!D16</f>
        <v>353.48</v>
      </c>
      <c r="F47" s="428">
        <f>'Consolidated BS 5y'!E22+'Consolidated BS 5y'!E16</f>
        <v>313.23999999999995</v>
      </c>
      <c r="G47" s="428">
        <f>'Consolidated BS 5y'!F22+'Consolidated BS 5y'!F16</f>
        <v>363.43</v>
      </c>
      <c r="H47" s="428">
        <f>'Consolidated BS 5y'!G22+'Consolidated BS 5y'!G16</f>
        <v>456.76</v>
      </c>
      <c r="I47" s="429"/>
    </row>
    <row r="48" spans="2:9" ht="15" customHeight="1">
      <c r="B48" s="30"/>
      <c r="C48" s="416" t="s">
        <v>497</v>
      </c>
      <c r="D48" s="426">
        <f>'Consolidated BS 5y'!C43</f>
        <v>396.24</v>
      </c>
      <c r="E48" s="426">
        <f>'Consolidated BS 5y'!D43</f>
        <v>299.74</v>
      </c>
      <c r="F48" s="426">
        <f>'Consolidated BS 5y'!E43</f>
        <v>422.8</v>
      </c>
      <c r="G48" s="426">
        <f>'Consolidated BS 5y'!F43</f>
        <v>696.47</v>
      </c>
      <c r="H48" s="426">
        <f>'Consolidated BS 5y'!G43</f>
        <v>574.08000000000004</v>
      </c>
      <c r="I48" s="427"/>
    </row>
    <row r="49" spans="2:9" ht="15.75" customHeight="1">
      <c r="B49" s="430"/>
      <c r="C49" s="431" t="s">
        <v>498</v>
      </c>
      <c r="D49" s="432">
        <f>D46+D47-D48</f>
        <v>15350.52</v>
      </c>
      <c r="E49" s="432">
        <f>E46+E47-E48</f>
        <v>15900.39</v>
      </c>
      <c r="F49" s="432">
        <f>F46+F47-F48</f>
        <v>16546.010000000002</v>
      </c>
      <c r="G49" s="432">
        <f>G46+G47-G48</f>
        <v>17365.879999999997</v>
      </c>
      <c r="H49" s="432">
        <f>H46+H47-H48</f>
        <v>19154.719999999998</v>
      </c>
      <c r="I49" s="433"/>
    </row>
    <row r="50" spans="2:9" ht="6" customHeight="1">
      <c r="B50" s="25"/>
      <c r="C50" s="400"/>
      <c r="D50" s="25"/>
      <c r="E50" s="401"/>
      <c r="F50" s="401"/>
      <c r="G50" s="401"/>
      <c r="H50" s="401"/>
      <c r="I50" s="401"/>
    </row>
    <row r="51" spans="2:9" ht="16.5" customHeight="1">
      <c r="B51" s="114"/>
      <c r="C51" s="380" t="s">
        <v>499</v>
      </c>
      <c r="D51" s="365">
        <f>E18/D49</f>
        <v>0.18740668068573571</v>
      </c>
      <c r="E51" s="365">
        <f>F18/E49</f>
        <v>0.13720481069961185</v>
      </c>
      <c r="F51" s="365">
        <f>G18/F49</f>
        <v>0.17984517113189225</v>
      </c>
      <c r="G51" s="365">
        <f>H18/G49</f>
        <v>0.2535247277995703</v>
      </c>
      <c r="H51" s="365">
        <f>I18/H49</f>
        <v>0.2563503930101822</v>
      </c>
      <c r="I51" s="434"/>
    </row>
    <row r="52" spans="2:9" ht="16.5" customHeight="1">
      <c r="B52" s="421"/>
      <c r="C52" s="435" t="s">
        <v>500</v>
      </c>
      <c r="D52" s="436">
        <f>D45/D49</f>
        <v>0.14055501051430178</v>
      </c>
      <c r="E52" s="436">
        <f>E45/E49</f>
        <v>0.10290360802470888</v>
      </c>
      <c r="F52" s="436">
        <f>F45/F49</f>
        <v>0.13488387834891918</v>
      </c>
      <c r="G52" s="436">
        <f>G45/G49</f>
        <v>0.19014354584967774</v>
      </c>
      <c r="H52" s="436">
        <f>H45/H49</f>
        <v>0.19226279475763663</v>
      </c>
      <c r="I52" s="437"/>
    </row>
    <row r="54" spans="2:9">
      <c r="B54" t="s">
        <v>501</v>
      </c>
      <c r="D54">
        <f>FCFF!C13*Assumptions!H52</f>
        <v>-1.2400204172902716E-2</v>
      </c>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J40"/>
  <sheetViews>
    <sheetView topLeftCell="A13" zoomScaleNormal="100" workbookViewId="0">
      <selection activeCell="C23" sqref="C23"/>
    </sheetView>
  </sheetViews>
  <sheetFormatPr defaultColWidth="8.6640625" defaultRowHeight="14.4"/>
  <cols>
    <col min="2" max="2" width="33.33203125" customWidth="1"/>
    <col min="3" max="10" width="16.6640625" customWidth="1"/>
  </cols>
  <sheetData>
    <row r="2" spans="2:10" ht="18" customHeight="1">
      <c r="B2" s="668" t="s">
        <v>502</v>
      </c>
      <c r="C2" s="668"/>
      <c r="D2" s="668"/>
      <c r="E2" s="668"/>
      <c r="F2" s="668"/>
      <c r="G2" s="668"/>
      <c r="H2" s="668"/>
      <c r="I2" s="668"/>
      <c r="J2" s="668"/>
    </row>
    <row r="3" spans="2:10">
      <c r="B3" s="438" t="s">
        <v>503</v>
      </c>
      <c r="C3" s="439">
        <v>46102</v>
      </c>
      <c r="D3" s="439">
        <v>46103</v>
      </c>
      <c r="E3" s="439">
        <v>46104</v>
      </c>
      <c r="F3" s="439">
        <v>46105</v>
      </c>
      <c r="G3" s="439">
        <v>46106</v>
      </c>
      <c r="H3" s="438" t="s">
        <v>504</v>
      </c>
      <c r="I3" s="438" t="s">
        <v>505</v>
      </c>
      <c r="J3" s="438" t="s">
        <v>506</v>
      </c>
    </row>
    <row r="5" spans="2:10">
      <c r="B5" t="s">
        <v>507</v>
      </c>
      <c r="C5" s="341"/>
      <c r="D5" s="341">
        <f>('Consolidated PL 5y'!D9-'Consolidated PL 5y'!C9)/'Consolidated PL 5y'!C9</f>
        <v>-4.5476318986381749E-2</v>
      </c>
      <c r="E5" s="341">
        <f>('Consolidated PL 5y'!E9-'Consolidated PL 5y'!D9)/'Consolidated PL 5y'!D9</f>
        <v>0.15590187633158356</v>
      </c>
      <c r="F5" s="341">
        <f>('Consolidated PL 5y'!F9-'Consolidated PL 5y'!E9)/'Consolidated PL 5y'!E9</f>
        <v>0.10627670281787384</v>
      </c>
      <c r="G5" s="341">
        <f>('Consolidated PL 5y'!G9-'Consolidated PL 5y'!F9)/'Consolidated PL 5y'!F9</f>
        <v>8.2956191573018423E-2</v>
      </c>
      <c r="H5" s="341"/>
      <c r="I5" s="341"/>
      <c r="J5" s="341"/>
    </row>
    <row r="6" spans="2:10">
      <c r="B6" t="s">
        <v>508</v>
      </c>
      <c r="C6" s="341"/>
      <c r="D6" s="341">
        <f>(Assumptions!F14-Assumptions!E14)/Assumptions!E14</f>
        <v>-0.20066761138224479</v>
      </c>
      <c r="E6" s="341">
        <f>(Assumptions!G14-Assumptions!F14)/Assumptions!F14</f>
        <v>0.27932556171263556</v>
      </c>
      <c r="F6" s="341">
        <f>(Assumptions!H14-Assumptions!G14)/Assumptions!G14</f>
        <v>0.40481499328906567</v>
      </c>
      <c r="G6" s="341">
        <f>(Assumptions!I14-Assumptions!H14)/Assumptions!H14</f>
        <v>0.11140805110037814</v>
      </c>
      <c r="H6" s="341"/>
      <c r="I6" s="341"/>
      <c r="J6" s="341"/>
    </row>
    <row r="7" spans="2:10">
      <c r="B7" t="s">
        <v>509</v>
      </c>
      <c r="C7" s="341"/>
      <c r="D7" s="341">
        <f>(Assumptions!F18-Assumptions!E18)/Assumptions!E18</f>
        <v>-0.24165128493911581</v>
      </c>
      <c r="E7" s="341">
        <f>(Assumptions!G18-Assumptions!F18)/Assumptions!F18</f>
        <v>0.36400181517319746</v>
      </c>
      <c r="F7" s="341">
        <f>(Assumptions!H18-Assumptions!G18)/Assumptions!G18</f>
        <v>0.47953436479238642</v>
      </c>
      <c r="G7" s="341">
        <f>(Assumptions!I18-Assumptions!H18)/Assumptions!H18</f>
        <v>0.11530249756966092</v>
      </c>
      <c r="H7" s="341"/>
      <c r="I7" s="341"/>
      <c r="J7" s="341"/>
    </row>
    <row r="8" spans="2:10">
      <c r="B8" t="s">
        <v>510</v>
      </c>
      <c r="C8" s="341"/>
      <c r="D8" s="341">
        <f>(Assumptions!F28-Assumptions!E28)/Assumptions!E28</f>
        <v>-0.21123727093702721</v>
      </c>
      <c r="E8" s="341">
        <f>(Assumptions!G28-Assumptions!F28)/Assumptions!F28</f>
        <v>0.20310887152133292</v>
      </c>
      <c r="F8" s="341">
        <f>(Assumptions!H28-Assumptions!G28)/Assumptions!G28</f>
        <v>0.55115867239768945</v>
      </c>
      <c r="G8" s="341">
        <f>(Assumptions!I28-Assumptions!H28)/Assumptions!H28</f>
        <v>0.17797092761876071</v>
      </c>
      <c r="H8" s="341"/>
      <c r="I8" s="341"/>
      <c r="J8" s="341"/>
    </row>
    <row r="9" spans="2:10">
      <c r="B9" t="s">
        <v>511</v>
      </c>
      <c r="C9" s="341"/>
      <c r="D9" s="341">
        <f>('Consolidated PL 5y'!D39-'Consolidated PL 5y'!C39)/'Consolidated PL 5y'!C39</f>
        <v>1.6861540407109443E-4</v>
      </c>
      <c r="E9" s="341">
        <f>('Consolidated PL 5y'!E39-'Consolidated PL 5y'!D39)/'Consolidated PL 5y'!D39</f>
        <v>5.2788797395331093E-2</v>
      </c>
      <c r="F9" s="341">
        <f>('Consolidated PL 5y'!F39-'Consolidated PL 5y'!E39)/'Consolidated PL 5y'!E39</f>
        <v>0.35046263630131169</v>
      </c>
      <c r="G9" s="341">
        <f>('Consolidated PL 5y'!G39-'Consolidated PL 5y'!F39)/'Consolidated PL 5y'!F39</f>
        <v>3.7485131564807796E-2</v>
      </c>
      <c r="H9" s="341"/>
      <c r="I9" s="341"/>
      <c r="J9" s="341"/>
    </row>
    <row r="11" spans="2:10">
      <c r="B11" t="s">
        <v>512</v>
      </c>
      <c r="C11" s="341">
        <f>(Assumptions!E6-Assumptions!E9)/Assumptions!E6</f>
        <v>0.28596142270403613</v>
      </c>
      <c r="D11" s="341">
        <f>(Assumptions!F6-Assumptions!F9)/Assumptions!F6</f>
        <v>0.27805162877308154</v>
      </c>
      <c r="E11" s="341">
        <f>(Assumptions!G6-Assumptions!G9)/Assumptions!G6</f>
        <v>0.29028902960840264</v>
      </c>
      <c r="F11" s="341">
        <f>(Assumptions!H6-Assumptions!H9)/Assumptions!H6</f>
        <v>0.32153994398259744</v>
      </c>
      <c r="G11" s="341">
        <f>(Assumptions!I6-Assumptions!I9)/Assumptions!I6</f>
        <v>0.33900775904396907</v>
      </c>
      <c r="H11" s="341"/>
      <c r="I11" s="341"/>
      <c r="J11" s="341"/>
    </row>
    <row r="12" spans="2:10">
      <c r="B12" t="s">
        <v>486</v>
      </c>
      <c r="C12" s="341">
        <f>Assumptions!E14/Assumptions!E6</f>
        <v>0.11795476032614388</v>
      </c>
      <c r="D12" s="341">
        <f>Assumptions!F14/Assumptions!F6</f>
        <v>9.9080877531779715E-2</v>
      </c>
      <c r="E12" s="341">
        <f>Assumptions!G14/Assumptions!G6</f>
        <v>0.10887250235048487</v>
      </c>
      <c r="F12" s="341">
        <f>Assumptions!H14/Assumptions!H6</f>
        <v>0.1372386468480703</v>
      </c>
      <c r="G12" s="341">
        <f>Assumptions!I14/Assumptions!I6</f>
        <v>0.14086365142490662</v>
      </c>
      <c r="H12" s="341"/>
      <c r="I12" s="341"/>
      <c r="J12" s="341"/>
    </row>
    <row r="13" spans="2:10">
      <c r="B13" t="s">
        <v>487</v>
      </c>
      <c r="C13" s="341">
        <f>Assumptions!E18/Assumptions!E6</f>
        <v>9.4470929104194551E-2</v>
      </c>
      <c r="D13" s="341">
        <f>Assumptions!F18/Assumptions!F6</f>
        <v>7.5285979120452914E-2</v>
      </c>
      <c r="E13" s="341">
        <f>Assumptions!G18/Assumptions!G6</f>
        <v>8.8201573787440313E-2</v>
      </c>
      <c r="F13" s="341">
        <f>Assumptions!H18/Assumptions!H6</f>
        <v>0.11709557400815929</v>
      </c>
      <c r="G13" s="341">
        <f>Assumptions!I18/Assumptions!I6</f>
        <v>0.1206096703984452</v>
      </c>
      <c r="H13" s="341"/>
      <c r="I13" s="341"/>
      <c r="J13" s="341"/>
    </row>
    <row r="14" spans="2:10">
      <c r="B14" t="s">
        <v>488</v>
      </c>
      <c r="C14" s="341">
        <f>Assumptions!E23/Assumptions!E6</f>
        <v>0.11126775317807708</v>
      </c>
      <c r="D14" s="341">
        <f>Assumptions!F23/Assumptions!F6</f>
        <v>9.2606575276661621E-2</v>
      </c>
      <c r="E14" s="341">
        <f>Assumptions!G23/Assumptions!G6</f>
        <v>0.10195857929937174</v>
      </c>
      <c r="F14" s="341">
        <f>Assumptions!H23/Assumptions!H6</f>
        <v>0.1335369556076314</v>
      </c>
      <c r="G14" s="341">
        <f>Assumptions!I23/Assumptions!I6</f>
        <v>0.1445195319667256</v>
      </c>
      <c r="H14" s="341"/>
      <c r="I14" s="341"/>
      <c r="J14" s="341"/>
    </row>
    <row r="15" spans="2:10">
      <c r="B15" t="s">
        <v>513</v>
      </c>
      <c r="C15" s="341">
        <f>Assumptions!E28/Assumptions!E6</f>
        <v>8.1877826412348267E-2</v>
      </c>
      <c r="D15" s="341">
        <f>Assumptions!F28/Assumptions!F6</f>
        <v>6.7867155503346752E-2</v>
      </c>
      <c r="E15" s="341">
        <f>Assumptions!G28/Assumptions!G6</f>
        <v>7.0131295179401573E-2</v>
      </c>
      <c r="F15" s="341">
        <f>Assumptions!H28/Assumptions!H6</f>
        <v>9.7612890545314648E-2</v>
      </c>
      <c r="G15" s="341">
        <f>Assumptions!I28/Assumptions!I6</f>
        <v>0.10619173624605119</v>
      </c>
      <c r="H15" s="341"/>
      <c r="I15" s="341"/>
      <c r="J15" s="341"/>
    </row>
    <row r="17" spans="2:10">
      <c r="B17" t="s">
        <v>514</v>
      </c>
      <c r="C17" s="341">
        <f>('Consolidated PL 5y'!C18+'Consolidated PL 5y'!C20)/'Consolidated PL 5y'!C9</f>
        <v>0.91528008323215171</v>
      </c>
      <c r="D17" s="341">
        <f>('Consolidated PL 5y'!D18+'Consolidated PL 5y'!D20)/'Consolidated PL 5y'!D9</f>
        <v>0.93189364386246565</v>
      </c>
      <c r="E17" s="341">
        <f>('Consolidated PL 5y'!E18+'Consolidated PL 5y'!E20)/'Consolidated PL 5y'!E9</f>
        <v>0.92405641016933482</v>
      </c>
      <c r="F17" s="341">
        <f>('Consolidated PL 5y'!F18+'Consolidated PL 5y'!F20)/'Consolidated PL 5y'!F9</f>
        <v>0.90053778095098469</v>
      </c>
      <c r="G17" s="341">
        <f>('Consolidated PL 5y'!G18+'Consolidated PL 5y'!G20)/'Consolidated PL 5y'!G9</f>
        <v>0.89673370407458608</v>
      </c>
      <c r="H17" s="341"/>
      <c r="I17" s="341"/>
      <c r="J17" s="341"/>
    </row>
    <row r="18" spans="2:10">
      <c r="B18" t="s">
        <v>515</v>
      </c>
      <c r="C18" s="341">
        <f>'Consolidated PL 5y'!C19/'Consolidated PL 5y'!C9</f>
        <v>0.10223297185746785</v>
      </c>
      <c r="D18" s="341">
        <f>'Consolidated PL 5y'!D19/'Consolidated PL 5y'!D9</f>
        <v>0.10796046736385023</v>
      </c>
      <c r="E18" s="341">
        <f>'Consolidated PL 5y'!E19/'Consolidated PL 5y'!E9</f>
        <v>0.11331128701068377</v>
      </c>
      <c r="F18" s="341">
        <f>'Consolidated PL 5y'!F19/'Consolidated PL 5y'!F9</f>
        <v>0.11797202438194355</v>
      </c>
      <c r="G18" s="341">
        <f>'Consolidated PL 5y'!G19/'Consolidated PL 5y'!G9</f>
        <v>0.13163293781409277</v>
      </c>
      <c r="H18" s="341"/>
      <c r="I18" s="341"/>
      <c r="J18" s="341"/>
    </row>
    <row r="19" spans="2:10">
      <c r="B19" t="s">
        <v>516</v>
      </c>
      <c r="C19" s="341">
        <f>Assumptions!E18/Assumptions!E6</f>
        <v>9.4470929104194551E-2</v>
      </c>
      <c r="D19" s="341">
        <f>Assumptions!F18/Assumptions!F6</f>
        <v>7.5285979120452914E-2</v>
      </c>
      <c r="E19" s="341">
        <f>Assumptions!G18/Assumptions!G6</f>
        <v>8.8201573787440313E-2</v>
      </c>
      <c r="F19" s="341">
        <f>Assumptions!H18/Assumptions!H6</f>
        <v>0.11709557400815929</v>
      </c>
      <c r="G19" s="341">
        <f>Assumptions!I18/Assumptions!I6</f>
        <v>0.1206096703984452</v>
      </c>
      <c r="H19" s="341"/>
      <c r="I19" s="341"/>
      <c r="J19" s="341"/>
    </row>
    <row r="21" spans="2:10">
      <c r="B21" t="s">
        <v>517</v>
      </c>
      <c r="C21" s="440">
        <f>(Assumptions!E18*(1-'Consolidated PL 5y'!C27/'Consolidated PL 5y'!C23))/('Consolidated BS 5y'!C13+'Consolidated BS 5y'!C16+'Consolidated BS 5y'!C22)</f>
        <v>0.13986461373903095</v>
      </c>
      <c r="D21" s="440">
        <f>(Assumptions!F18*(1-'Consolidated PL 5y'!D27/'Consolidated PL 5y'!D23))/('Consolidated BS 5y'!D13+'Consolidated BS 5y'!D16+'Consolidated BS 5y'!D22)</f>
        <v>0.10452345864261002</v>
      </c>
      <c r="E21" s="440">
        <f>(Assumptions!G18*(1-'Consolidated PL 5y'!E27/'Consolidated PL 5y'!E23))/('Consolidated BS 5y'!E13+'Consolidated BS 5y'!E16+'Consolidated BS 5y'!E22)</f>
        <v>0.1270444956215516</v>
      </c>
      <c r="F21" s="440">
        <f>(Assumptions!H18*(1-'Consolidated PL 5y'!F27/'Consolidated PL 5y'!F23))/('Consolidated BS 5y'!F13+'Consolidated BS 5y'!F16+'Consolidated BS 5y'!F22)</f>
        <v>0.18068662563067117</v>
      </c>
      <c r="G21" s="440">
        <f>(Assumptions!I18*(1-'Consolidated PL 5y'!G27/'Consolidated PL 5y'!G23))/('Consolidated BS 5y'!G13+'Consolidated BS 5y'!G16+'Consolidated BS 5y'!G22)</f>
        <v>0.18527648205857597</v>
      </c>
      <c r="H21" s="440"/>
      <c r="I21" s="440"/>
      <c r="J21" s="440"/>
    </row>
    <row r="22" spans="2:10">
      <c r="B22" t="s">
        <v>518</v>
      </c>
      <c r="C22">
        <f>(Assumptions!E28-ABS('Consolidated PL 5y'!C39))/Assumptions!E28</f>
        <v>0.23883913352130315</v>
      </c>
      <c r="D22" s="341">
        <f>(Assumptions!F28-ABS('Consolidated PL 5y'!D39))/Assumptions!F28</f>
        <v>3.4831157869045462E-2</v>
      </c>
      <c r="E22" s="341">
        <f>(Assumptions!G28-ABS('Consolidated PL 5y'!E39))/Assumptions!G28</f>
        <v>0.15542228251911405</v>
      </c>
      <c r="F22" s="341">
        <f>(Assumptions!H28-ABS('Consolidated PL 5y'!F39))/Assumptions!H28</f>
        <v>0.26469762816233694</v>
      </c>
      <c r="G22" s="341">
        <f>(Assumptions!I28-ABS('Consolidated PL 5y'!G39))/Assumptions!I28</f>
        <v>0.35239040276823597</v>
      </c>
      <c r="H22" s="341"/>
      <c r="I22" s="341"/>
      <c r="J22" s="341"/>
    </row>
    <row r="23" spans="2:10">
      <c r="B23" t="s">
        <v>519</v>
      </c>
      <c r="C23" s="341">
        <f>Assumptions!E28/'Consolidated BS 5y'!C13</f>
        <v>0.16173080390907879</v>
      </c>
      <c r="D23" s="341">
        <f>Assumptions!F28/(('Consolidated BS 5y'!C13+'Consolidated BS 5y'!D13)/2)</f>
        <v>0.12581170051437693</v>
      </c>
      <c r="E23" s="341">
        <f>Assumptions!G28/(('Consolidated BS 5y'!D13+'Consolidated BS 5y'!E13)/2)</f>
        <v>0.14559436247739385</v>
      </c>
      <c r="F23" s="341">
        <f>Assumptions!H28/(('Consolidated BS 5y'!E13+'Consolidated BS 5y'!F13)/2)</f>
        <v>0.21366348328850182</v>
      </c>
      <c r="G23" s="341">
        <f>Assumptions!I28/(('Consolidated BS 5y'!F13+'Consolidated BS 5y'!G13)/2)</f>
        <v>0.23387707541270211</v>
      </c>
      <c r="H23" s="341"/>
      <c r="I23" s="341"/>
      <c r="J23" s="341"/>
    </row>
    <row r="24" spans="2:10">
      <c r="B24" t="s">
        <v>520</v>
      </c>
      <c r="C24" s="440">
        <f>(Assumptions!E28/'Consolidated BS 5y'!C20)*((Assumptions!E28-ABS('Consolidated PL 5y'!C39))/Assumptions!E28)</f>
        <v>0.57706284219196713</v>
      </c>
      <c r="D24" s="440">
        <f>(Assumptions!F28/(('Consolidated BS 5y'!C20+'Consolidated BS 5y'!D20)/2))*((Assumptions!F28-ABS('Consolidated PL 5y'!D39))/Assumptions!F28)</f>
        <v>6.8568225384258247E-2</v>
      </c>
      <c r="E24" s="440">
        <f>(Assumptions!G28/(('Consolidated BS 5y'!D20+'Consolidated BS 5y'!E20)/2))*((Assumptions!G28-ABS('Consolidated PL 5y'!E39))/Assumptions!G28)</f>
        <v>0.35193124832523082</v>
      </c>
      <c r="F24" s="440">
        <f>(Assumptions!H28/(('Consolidated BS 5y'!E20+'Consolidated BS 5y'!F20)/2))*((Assumptions!H28-ABS('Consolidated PL 5y'!F39))/Assumptions!H28)</f>
        <v>0.81172110977887246</v>
      </c>
      <c r="G24" s="440">
        <f>(Assumptions!I28/(('Consolidated BS 5y'!F20+'Consolidated BS 5y'!G20)/2))*((Assumptions!I28-ABS('Consolidated PL 5y'!G39))/Assumptions!I28)</f>
        <v>1.0960037408726278</v>
      </c>
      <c r="H24" s="440"/>
      <c r="I24" s="440"/>
      <c r="J24" s="440"/>
    </row>
    <row r="25" spans="2:10">
      <c r="B25" t="s">
        <v>521</v>
      </c>
      <c r="C25" s="440">
        <f>'Consolidated PL 5y'!C21/'Consolidated PL 5y'!C17</f>
        <v>83.944839474251253</v>
      </c>
      <c r="D25" s="440">
        <f>'Consolidated PL 5y'!D21/'Consolidated PL 5y'!D17</f>
        <v>61.340112994350278</v>
      </c>
      <c r="E25" s="440">
        <f>'Consolidated PL 5y'!E21/'Consolidated PL 5y'!E17</f>
        <v>36.808829138062549</v>
      </c>
      <c r="F25" s="440">
        <f>'Consolidated PL 5y'!F21/'Consolidated PL 5y'!F17</f>
        <v>70.321330365326688</v>
      </c>
      <c r="G25" s="440">
        <f>'Consolidated PL 5y'!G21/'Consolidated PL 5y'!G17</f>
        <v>86.265817409766456</v>
      </c>
      <c r="H25" s="440"/>
      <c r="I25" s="440"/>
      <c r="J25" s="440"/>
    </row>
    <row r="27" spans="2:10">
      <c r="B27" t="s">
        <v>522</v>
      </c>
      <c r="C27" s="440">
        <f>'Consolidated PL 5y'!C11/'Consolidated BS 5y'!C47</f>
        <v>1.3646071694386366</v>
      </c>
      <c r="D27" s="440">
        <f>'Consolidated PL 5y'!D11/(('Consolidated BS 5y'!C47+'Consolidated BS 5y'!D47)/2)</f>
        <v>1.3211907190164323</v>
      </c>
      <c r="E27" s="440">
        <f>'Consolidated PL 5y'!E11/(('Consolidated BS 5y'!D47+'Consolidated BS 5y'!E47)/2)</f>
        <v>1.4970180246239824</v>
      </c>
      <c r="F27" s="440">
        <f>'Consolidated PL 5y'!F11/(('Consolidated BS 5y'!E47+'Consolidated BS 5y'!F47)/2)</f>
        <v>1.5435709575149263</v>
      </c>
      <c r="G27" s="440">
        <f>'Consolidated PL 5y'!G11/(('Consolidated BS 5y'!F47+'Consolidated BS 5y'!G47)/2)</f>
        <v>1.5388744792880347</v>
      </c>
      <c r="H27" s="440"/>
      <c r="I27" s="440"/>
      <c r="J27" s="440"/>
    </row>
    <row r="28" spans="2:10">
      <c r="B28" t="s">
        <v>523</v>
      </c>
      <c r="C28" s="440">
        <f>(Assumptions!E9+'Consolidated PL 5y'!C16+'Consolidated PL 5y'!C17)/'Consolidated BS 5y'!C26</f>
        <v>3.6499239760597617</v>
      </c>
      <c r="D28" s="440">
        <f>(Assumptions!F9+'Consolidated PL 5y'!D16+'Consolidated PL 5y'!D17)/(('Consolidated BS 5y'!C26+'Consolidated BS 5y'!D26)/2)</f>
        <v>3.8211502758239781</v>
      </c>
      <c r="E28" s="440">
        <f>(Assumptions!G9+'Consolidated PL 5y'!E16+'Consolidated PL 5y'!E17)/(('Consolidated BS 5y'!D26+'Consolidated BS 5y'!E26)/2)</f>
        <v>4.5617328331996276</v>
      </c>
      <c r="F28" s="440">
        <f>(Assumptions!H9+'Consolidated PL 5y'!F16+'Consolidated PL 5y'!F17)/(('Consolidated BS 5y'!E26+'Consolidated BS 5y'!F26)/2)</f>
        <v>4.2963603830950028</v>
      </c>
      <c r="G28" s="440">
        <f>(Assumptions!I9+'Consolidated PL 5y'!G16+'Consolidated PL 5y'!G17)/(('Consolidated BS 5y'!F26+'Consolidated BS 5y'!G26)/2)</f>
        <v>4.0843631556661748</v>
      </c>
      <c r="H28" s="440"/>
      <c r="I28" s="440"/>
      <c r="J28" s="440"/>
    </row>
    <row r="29" spans="2:10">
      <c r="B29" t="s">
        <v>524</v>
      </c>
      <c r="C29" s="440">
        <f>(Assumptions!E9+'Consolidated PL 5y'!C16+'Consolidated PL 5y'!C17)/'Consolidated BS 5y'!C41</f>
        <v>13.268562039267412</v>
      </c>
      <c r="D29" s="440">
        <f>(Assumptions!F9+'Consolidated PL 5y'!D16+'Consolidated PL 5y'!D17)/(('Consolidated BS 5y'!C41+'Consolidated BS 5y'!D41)/2)</f>
        <v>14.084300115278014</v>
      </c>
      <c r="E29" s="440">
        <f>(Assumptions!G9+'Consolidated PL 5y'!E16+'Consolidated PL 5y'!E17)/(('Consolidated BS 5y'!D41+'Consolidated BS 5y'!E41)/2)</f>
        <v>16.2902378592666</v>
      </c>
      <c r="F29" s="440">
        <f>(Assumptions!H9+'Consolidated PL 5y'!F16+'Consolidated PL 5y'!F17)/(('Consolidated BS 5y'!E41+'Consolidated BS 5y'!F41)/2)</f>
        <v>15.976676185622484</v>
      </c>
      <c r="G29" s="440">
        <f>(Assumptions!I9+'Consolidated PL 5y'!G16+'Consolidated PL 5y'!G17)/(('Consolidated BS 5y'!F41+'Consolidated BS 5y'!G41)/2)</f>
        <v>15.738642272712802</v>
      </c>
      <c r="H29" s="440"/>
      <c r="I29" s="440"/>
      <c r="J29" s="440"/>
    </row>
    <row r="30" spans="2:10">
      <c r="B30" t="s">
        <v>525</v>
      </c>
      <c r="C30" s="440">
        <f>'Consolidated PL 5y'!C11/'Consolidated BS 5y'!C38</f>
        <v>2.6878848946877816</v>
      </c>
      <c r="D30" s="440">
        <f>'Consolidated PL 5y'!D11/(('Consolidated BS 5y'!C38+'Consolidated BS 5y'!D38)/2)</f>
        <v>2.5479494138824923</v>
      </c>
      <c r="E30" s="440">
        <f>'Consolidated PL 5y'!E11/(('Consolidated BS 5y'!D38+'Consolidated BS 5y'!E38)/2)</f>
        <v>2.6320722362206572</v>
      </c>
      <c r="F30" s="440">
        <f>'Consolidated PL 5y'!F11/(('Consolidated BS 5y'!E38+'Consolidated BS 5y'!F38)/2)</f>
        <v>2.5491018185272361</v>
      </c>
      <c r="G30" s="440">
        <f>'Consolidated PL 5y'!G11/(('Consolidated BS 5y'!F38+'Consolidated BS 5y'!G38)/2)</f>
        <v>2.725713675201185</v>
      </c>
      <c r="H30" s="440"/>
      <c r="I30" s="440"/>
      <c r="J30" s="440"/>
    </row>
    <row r="31" spans="2:10">
      <c r="B31" t="s">
        <v>526</v>
      </c>
      <c r="C31" s="440">
        <f>'Consolidated PL 5y'!C11/'Consolidated BS 5y'!C20</f>
        <v>30.541295605407239</v>
      </c>
      <c r="D31" s="440">
        <f>'Consolidated PL 5y'!D11/(('Consolidated BS 5y'!C20+'Consolidated BS 5y'!D20)/2)</f>
        <v>30.136275594216247</v>
      </c>
      <c r="E31" s="440">
        <f>'Consolidated PL 5y'!E11/(('Consolidated BS 5y'!D20+'Consolidated BS 5y'!E20)/2)</f>
        <v>33.234496420778619</v>
      </c>
      <c r="F31" s="440">
        <f>'Consolidated PL 5y'!F11/(('Consolidated BS 5y'!E20+'Consolidated BS 5y'!F20)/2)</f>
        <v>32.288331947711221</v>
      </c>
      <c r="G31" s="440">
        <f>'Consolidated PL 5y'!G11/(('Consolidated BS 5y'!F20+'Consolidated BS 5y'!G20)/2)</f>
        <v>30.191360023020756</v>
      </c>
      <c r="H31" s="440"/>
      <c r="I31" s="440"/>
      <c r="J31" s="440"/>
    </row>
    <row r="33" spans="2:10">
      <c r="B33" t="s">
        <v>322</v>
      </c>
      <c r="C33" s="440">
        <f t="shared" ref="C33:G35" si="0">365/C27</f>
        <v>267.47624384103989</v>
      </c>
      <c r="D33" s="440">
        <f t="shared" si="0"/>
        <v>276.26594309694082</v>
      </c>
      <c r="E33" s="440">
        <f t="shared" si="0"/>
        <v>243.81803959353121</v>
      </c>
      <c r="F33" s="440">
        <f t="shared" si="0"/>
        <v>236.46467188501146</v>
      </c>
      <c r="G33" s="440">
        <f t="shared" si="0"/>
        <v>237.18633645082505</v>
      </c>
      <c r="H33" s="440"/>
      <c r="I33" s="440"/>
      <c r="J33" s="440"/>
    </row>
    <row r="34" spans="2:10">
      <c r="B34" t="s">
        <v>527</v>
      </c>
      <c r="C34" s="440">
        <f t="shared" si="0"/>
        <v>100.00208289106121</v>
      </c>
      <c r="D34" s="440">
        <f t="shared" si="0"/>
        <v>95.520975008315474</v>
      </c>
      <c r="E34" s="440">
        <f t="shared" si="0"/>
        <v>80.013453954072702</v>
      </c>
      <c r="F34" s="440">
        <f t="shared" si="0"/>
        <v>84.955629289427094</v>
      </c>
      <c r="G34" s="440">
        <f t="shared" si="0"/>
        <v>89.365217070289418</v>
      </c>
      <c r="H34" s="440"/>
      <c r="I34" s="440"/>
      <c r="J34" s="440"/>
    </row>
    <row r="35" spans="2:10">
      <c r="B35" t="s">
        <v>323</v>
      </c>
      <c r="C35" s="440">
        <f t="shared" si="0"/>
        <v>27.508632730495375</v>
      </c>
      <c r="D35" s="440">
        <f t="shared" si="0"/>
        <v>25.915380743986312</v>
      </c>
      <c r="E35" s="440">
        <f t="shared" si="0"/>
        <v>22.406057121650438</v>
      </c>
      <c r="F35" s="440">
        <f t="shared" si="0"/>
        <v>22.845803204578054</v>
      </c>
      <c r="G35" s="440">
        <f t="shared" si="0"/>
        <v>23.191327032880487</v>
      </c>
      <c r="H35" s="440"/>
      <c r="I35" s="440"/>
      <c r="J35" s="440"/>
    </row>
    <row r="36" spans="2:10">
      <c r="B36" t="s">
        <v>528</v>
      </c>
      <c r="C36" s="440">
        <f>C33+C35-C34</f>
        <v>194.98279368047406</v>
      </c>
      <c r="D36" s="440">
        <f>D33+D35-D34</f>
        <v>206.66034883261165</v>
      </c>
      <c r="E36" s="440">
        <f>E33+E35-E34</f>
        <v>186.21064276110894</v>
      </c>
      <c r="F36" s="440">
        <f>F33+F35-F34</f>
        <v>174.35484580016239</v>
      </c>
      <c r="G36" s="440">
        <f>G33+G35-G34</f>
        <v>171.01244641341611</v>
      </c>
      <c r="H36" s="440"/>
      <c r="I36" s="440"/>
      <c r="J36" s="440"/>
    </row>
    <row r="38" spans="2:10">
      <c r="B38" t="s">
        <v>529</v>
      </c>
      <c r="C38" s="341"/>
      <c r="D38" s="341"/>
      <c r="E38" s="341"/>
      <c r="F38" s="341"/>
      <c r="G38" s="341"/>
      <c r="H38" s="341"/>
      <c r="I38" s="341"/>
      <c r="J38" s="341"/>
    </row>
    <row r="39" spans="2:10">
      <c r="B39" t="s">
        <v>530</v>
      </c>
      <c r="C39" s="341"/>
      <c r="D39" s="341"/>
      <c r="E39" s="341"/>
      <c r="F39" s="341"/>
      <c r="G39" s="341"/>
      <c r="H39" s="341"/>
      <c r="I39" s="341"/>
      <c r="J39" s="341"/>
    </row>
    <row r="40" spans="2:10">
      <c r="B40" t="s">
        <v>531</v>
      </c>
      <c r="C40" s="341"/>
      <c r="D40" s="341"/>
      <c r="E40" s="341"/>
      <c r="F40" s="341"/>
      <c r="G40" s="341"/>
      <c r="H40" s="341"/>
      <c r="I40" s="341"/>
      <c r="J40" s="341"/>
    </row>
  </sheetData>
  <mergeCells count="1">
    <mergeCell ref="B2:J2"/>
  </mergeCell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3"/>
  <sheetViews>
    <sheetView topLeftCell="B1" zoomScaleNormal="100" workbookViewId="0">
      <selection activeCell="C8" sqref="C8"/>
    </sheetView>
  </sheetViews>
  <sheetFormatPr defaultColWidth="8.77734375" defaultRowHeight="14.4"/>
  <cols>
    <col min="1" max="1" width="0.88671875" customWidth="1"/>
    <col min="2" max="2" width="51.88671875" customWidth="1"/>
    <col min="3" max="7" width="17.5546875" customWidth="1"/>
    <col min="8" max="8" width="10.77734375" customWidth="1"/>
    <col min="9" max="9" width="11" customWidth="1"/>
    <col min="10" max="10" width="9.6640625" customWidth="1"/>
  </cols>
  <sheetData>
    <row r="1" spans="1:7" ht="31.5" customHeight="1">
      <c r="A1" s="369"/>
      <c r="B1" s="669" t="s">
        <v>532</v>
      </c>
      <c r="C1" s="669"/>
      <c r="D1" s="669"/>
      <c r="E1" s="669"/>
      <c r="F1" s="669"/>
      <c r="G1" s="669"/>
    </row>
    <row r="2" spans="1:7" ht="21.75" customHeight="1">
      <c r="A2" s="369"/>
      <c r="B2" s="441" t="s">
        <v>533</v>
      </c>
      <c r="C2" s="442">
        <v>44256</v>
      </c>
      <c r="D2" s="442">
        <v>44621</v>
      </c>
      <c r="E2" s="442">
        <v>44986</v>
      </c>
      <c r="F2" s="442">
        <v>45352</v>
      </c>
      <c r="G2" s="443">
        <v>45717</v>
      </c>
    </row>
    <row r="3" spans="1:7">
      <c r="A3" s="369"/>
      <c r="B3" s="444" t="s">
        <v>534</v>
      </c>
      <c r="C3" s="445"/>
      <c r="D3" s="445">
        <f>C7</f>
        <v>6875.52</v>
      </c>
      <c r="E3" s="445">
        <f>D7</f>
        <v>6710.76</v>
      </c>
      <c r="F3" s="445">
        <f>E7</f>
        <v>6612.91</v>
      </c>
      <c r="G3" s="446">
        <f>F7</f>
        <v>6716.26</v>
      </c>
    </row>
    <row r="4" spans="1:7">
      <c r="A4" s="369"/>
      <c r="B4" s="447" t="s">
        <v>535</v>
      </c>
      <c r="C4" s="448"/>
      <c r="D4" s="448">
        <f>D5-D3</f>
        <v>524.76000000000022</v>
      </c>
      <c r="E4" s="448">
        <f>E5-E3</f>
        <v>599.54</v>
      </c>
      <c r="F4" s="448">
        <f>F5-F3</f>
        <v>860.71</v>
      </c>
      <c r="G4" s="449">
        <f>G5-G3</f>
        <v>878.48999999999978</v>
      </c>
    </row>
    <row r="5" spans="1:7">
      <c r="A5" s="369"/>
      <c r="B5" s="450" t="s">
        <v>536</v>
      </c>
      <c r="C5" s="451">
        <f>C6+C7</f>
        <v>7590.64</v>
      </c>
      <c r="D5" s="451">
        <f>D6+D7</f>
        <v>7400.2800000000007</v>
      </c>
      <c r="E5" s="451">
        <f>E6+E7</f>
        <v>7310.3</v>
      </c>
      <c r="F5" s="451">
        <f>F6+F7</f>
        <v>7473.62</v>
      </c>
      <c r="G5" s="452">
        <f>G6+G7</f>
        <v>7594.75</v>
      </c>
    </row>
    <row r="6" spans="1:7">
      <c r="A6" s="369"/>
      <c r="B6" s="453" t="s">
        <v>537</v>
      </c>
      <c r="C6" s="454">
        <f>'Consolidated PL 5y'!C18</f>
        <v>715.12</v>
      </c>
      <c r="D6" s="454">
        <f>'Consolidated PL 5y'!D18</f>
        <v>689.52</v>
      </c>
      <c r="E6" s="454">
        <f>'Consolidated PL 5y'!E18</f>
        <v>697.39</v>
      </c>
      <c r="F6" s="454">
        <f>'Consolidated PL 5y'!F18</f>
        <v>757.36</v>
      </c>
      <c r="G6" s="455">
        <f>'Consolidated PL 5y'!G18</f>
        <v>824.59</v>
      </c>
    </row>
    <row r="7" spans="1:7" ht="15" customHeight="1">
      <c r="A7" s="369"/>
      <c r="B7" s="456" t="s">
        <v>538</v>
      </c>
      <c r="C7" s="457">
        <f>'Consolidated BS 5y'!C34</f>
        <v>6875.52</v>
      </c>
      <c r="D7" s="457">
        <f>'Consolidated BS 5y'!D34</f>
        <v>6710.76</v>
      </c>
      <c r="E7" s="457">
        <f>'Consolidated BS 5y'!E34</f>
        <v>6612.91</v>
      </c>
      <c r="F7" s="457">
        <f>'Consolidated BS 5y'!F34</f>
        <v>6716.26</v>
      </c>
      <c r="G7" s="458">
        <f>'Consolidated BS 5y'!G34</f>
        <v>6770.16</v>
      </c>
    </row>
    <row r="8" spans="1:7" ht="7.5" customHeight="1">
      <c r="A8" s="369"/>
      <c r="B8" s="459"/>
      <c r="C8" s="460"/>
      <c r="D8" s="460"/>
      <c r="E8" s="460"/>
      <c r="F8" s="460"/>
      <c r="G8" s="460"/>
    </row>
    <row r="9" spans="1:7">
      <c r="A9" s="369"/>
      <c r="B9" s="461" t="s">
        <v>539</v>
      </c>
      <c r="C9" s="462"/>
      <c r="D9" s="462">
        <f>D4-D6</f>
        <v>-164.75999999999976</v>
      </c>
      <c r="E9" s="462">
        <f>E4-E6</f>
        <v>-97.850000000000023</v>
      </c>
      <c r="F9" s="462">
        <f>F4-F6</f>
        <v>103.35000000000002</v>
      </c>
      <c r="G9" s="463">
        <f>G4-G6</f>
        <v>53.89999999999975</v>
      </c>
    </row>
    <row r="10" spans="1:7" ht="15" customHeight="1">
      <c r="A10" s="369"/>
      <c r="B10" s="464" t="s">
        <v>540</v>
      </c>
      <c r="C10" s="465"/>
      <c r="D10" s="465">
        <f>IFERROR(D9/D3,0)</f>
        <v>-2.3963278413850844E-2</v>
      </c>
      <c r="E10" s="465">
        <f>IFERROR(E9/E3,0)</f>
        <v>-1.4581060863449151E-2</v>
      </c>
      <c r="F10" s="465">
        <f>IFERROR(F9/F3,0)</f>
        <v>1.5628520575661851E-2</v>
      </c>
      <c r="G10" s="466">
        <f>IFERROR(G9/G3,0)</f>
        <v>8.0252997948262496E-3</v>
      </c>
    </row>
    <row r="11" spans="1:7" ht="7.5" customHeight="1">
      <c r="A11" s="369"/>
      <c r="B11" s="459"/>
      <c r="C11" s="460"/>
      <c r="D11" s="460"/>
      <c r="E11" s="460"/>
      <c r="F11" s="460"/>
      <c r="G11" s="460"/>
    </row>
    <row r="12" spans="1:7">
      <c r="A12" s="369"/>
      <c r="B12" s="467" t="s">
        <v>541</v>
      </c>
      <c r="C12" s="468">
        <f>MEDIAN(D10:G10)</f>
        <v>-3.2778805343114514E-3</v>
      </c>
      <c r="D12" s="460"/>
      <c r="E12" s="460"/>
      <c r="F12" s="460"/>
      <c r="G12" s="460"/>
    </row>
    <row r="13" spans="1:7" ht="15" customHeight="1">
      <c r="A13" s="369"/>
      <c r="B13" s="464" t="s">
        <v>542</v>
      </c>
      <c r="C13" s="466">
        <f>AVERAGE(D10:G10)</f>
        <v>-3.7226297267029728E-3</v>
      </c>
      <c r="D13" s="460"/>
      <c r="E13" s="460"/>
      <c r="F13" s="460"/>
      <c r="G13" s="460"/>
    </row>
  </sheetData>
  <mergeCells count="1">
    <mergeCell ref="B1:G1"/>
  </mergeCell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12"/>
  <sheetViews>
    <sheetView topLeftCell="B1" zoomScaleNormal="100" workbookViewId="0">
      <selection activeCell="D9" sqref="D9:G9"/>
    </sheetView>
  </sheetViews>
  <sheetFormatPr defaultColWidth="8.77734375" defaultRowHeight="14.4"/>
  <cols>
    <col min="2" max="2" width="46" customWidth="1"/>
    <col min="3" max="7" width="12.6640625" customWidth="1"/>
    <col min="8" max="8" width="11.33203125" customWidth="1"/>
  </cols>
  <sheetData>
    <row r="2" spans="2:7" ht="20.25" customHeight="1">
      <c r="B2" s="469" t="s">
        <v>543</v>
      </c>
    </row>
    <row r="3" spans="2:7">
      <c r="B3" s="470" t="s">
        <v>533</v>
      </c>
      <c r="C3" s="471">
        <v>44256</v>
      </c>
      <c r="D3" s="471">
        <v>44621</v>
      </c>
      <c r="E3" s="471">
        <v>44986</v>
      </c>
      <c r="F3" s="471">
        <v>45352</v>
      </c>
      <c r="G3" s="471">
        <v>45717</v>
      </c>
    </row>
    <row r="4" spans="2:7">
      <c r="B4" s="472" t="s">
        <v>544</v>
      </c>
      <c r="C4" s="473">
        <f>'Consolidated BS 5y'!C41</f>
        <v>1789.27</v>
      </c>
      <c r="D4" s="473">
        <f>'Consolidated BS 5y'!D41</f>
        <v>1472.41</v>
      </c>
      <c r="E4" s="473">
        <f>'Consolidated BS 5y'!E41</f>
        <v>1756.39</v>
      </c>
      <c r="F4" s="473">
        <f>'Consolidated BS 5y'!F41</f>
        <v>1755.9</v>
      </c>
      <c r="G4" s="473">
        <f>'Consolidated BS 5y'!G41</f>
        <v>2013.34</v>
      </c>
    </row>
    <row r="5" spans="2:7">
      <c r="B5" s="472" t="s">
        <v>545</v>
      </c>
      <c r="C5" s="473">
        <f>'Consolidated BS 5y'!C42</f>
        <v>2274.6799999999998</v>
      </c>
      <c r="D5" s="473">
        <f>'Consolidated BS 5y'!D42</f>
        <v>2158.4899999999998</v>
      </c>
      <c r="E5" s="473">
        <f>'Consolidated BS 5y'!E42</f>
        <v>2719.47</v>
      </c>
      <c r="F5" s="473">
        <f>'Consolidated BS 5y'!F42</f>
        <v>2630.22</v>
      </c>
      <c r="G5" s="473">
        <f>'Consolidated BS 5y'!G42</f>
        <v>3381.29</v>
      </c>
    </row>
    <row r="6" spans="2:7">
      <c r="B6" s="472" t="s">
        <v>546</v>
      </c>
      <c r="C6" s="473">
        <f>'Consolidated BS 5y'!C23</f>
        <v>5264.18</v>
      </c>
      <c r="D6" s="473">
        <f>'Consolidated BS 5y'!D23</f>
        <v>4343.09</v>
      </c>
      <c r="E6" s="473">
        <f>'Consolidated BS 5y'!E23</f>
        <v>4760.1400000000003</v>
      </c>
      <c r="F6" s="473">
        <f>'Consolidated BS 5y'!F23</f>
        <v>5622.9</v>
      </c>
      <c r="G6" s="473">
        <f>'Consolidated BS 5y'!G23</f>
        <v>5699.66</v>
      </c>
    </row>
    <row r="7" spans="2:7">
      <c r="B7" s="472" t="s">
        <v>547</v>
      </c>
      <c r="C7" s="473">
        <f>C4+C5-C6</f>
        <v>-1200.2300000000005</v>
      </c>
      <c r="D7" s="473">
        <f>D4+D5-D6</f>
        <v>-712.19000000000051</v>
      </c>
      <c r="E7" s="473">
        <f>E4+E5-E6</f>
        <v>-284.28000000000065</v>
      </c>
      <c r="F7" s="473">
        <f>F4+F5-F6</f>
        <v>-1236.7799999999997</v>
      </c>
      <c r="G7" s="473">
        <f>G4+G5-G6</f>
        <v>-305.02999999999975</v>
      </c>
    </row>
    <row r="8" spans="2:7">
      <c r="B8" s="474" t="s">
        <v>548</v>
      </c>
      <c r="C8" s="473"/>
      <c r="D8" s="473">
        <f>D7-C7</f>
        <v>488.03999999999996</v>
      </c>
      <c r="E8" s="473">
        <f>E7-D7</f>
        <v>427.90999999999985</v>
      </c>
      <c r="F8" s="473">
        <f>F7-E7</f>
        <v>-952.49999999999909</v>
      </c>
      <c r="G8" s="473">
        <f>G7-F7</f>
        <v>931.75</v>
      </c>
    </row>
    <row r="9" spans="2:7">
      <c r="B9" s="472" t="s">
        <v>549</v>
      </c>
      <c r="C9" s="475"/>
      <c r="D9" s="475">
        <f>D7/'Consolidated PL 5y'!D7</f>
        <v>-2.457722575061325E-2</v>
      </c>
      <c r="E9" s="475">
        <f>E7/'Consolidated PL 5y'!E7</f>
        <v>-8.4261769912134139E-3</v>
      </c>
      <c r="F9" s="475">
        <f>F7/'Consolidated PL 5y'!F7</f>
        <v>-3.2893933699885337E-2</v>
      </c>
      <c r="G9" s="475">
        <f>G7/'Consolidated PL 5y'!G7</f>
        <v>-7.4922953619392905E-3</v>
      </c>
    </row>
    <row r="11" spans="2:7">
      <c r="B11" s="472" t="s">
        <v>550</v>
      </c>
      <c r="C11" s="476">
        <f>MEDIAN(D9:G9)</f>
        <v>-1.6501701370913332E-2</v>
      </c>
      <c r="D11" s="341"/>
    </row>
    <row r="12" spans="2:7">
      <c r="B12" s="472" t="s">
        <v>551</v>
      </c>
      <c r="C12" s="477">
        <f>AVERAGE(D9:G9)</f>
        <v>-1.8347407950912824E-2</v>
      </c>
      <c r="D12" s="341"/>
    </row>
  </sheetData>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4"/>
  <sheetViews>
    <sheetView topLeftCell="B1" zoomScaleNormal="100" workbookViewId="0">
      <selection activeCell="C11" sqref="C11"/>
    </sheetView>
  </sheetViews>
  <sheetFormatPr defaultColWidth="8.77734375" defaultRowHeight="14.4"/>
  <cols>
    <col min="1" max="1" width="0.88671875" customWidth="1"/>
    <col min="2" max="2" width="51.88671875" customWidth="1"/>
    <col min="3" max="7" width="17.5546875" customWidth="1"/>
    <col min="8" max="8" width="12.109375" customWidth="1"/>
  </cols>
  <sheetData>
    <row r="1" spans="1:7" ht="31.5" customHeight="1">
      <c r="A1" s="369"/>
      <c r="B1" s="669" t="s">
        <v>552</v>
      </c>
      <c r="C1" s="669"/>
      <c r="D1" s="669"/>
      <c r="E1" s="669"/>
      <c r="F1" s="669"/>
      <c r="G1" s="669"/>
    </row>
    <row r="2" spans="1:7" ht="21.75" customHeight="1">
      <c r="A2" s="369"/>
      <c r="B2" s="478" t="s">
        <v>533</v>
      </c>
      <c r="C2" s="479">
        <v>44256</v>
      </c>
      <c r="D2" s="479">
        <v>44621</v>
      </c>
      <c r="E2" s="479">
        <v>44986</v>
      </c>
      <c r="F2" s="479">
        <v>45352</v>
      </c>
      <c r="G2" s="480">
        <v>45717</v>
      </c>
    </row>
    <row r="3" spans="1:7">
      <c r="A3" s="369"/>
      <c r="B3" s="481" t="s">
        <v>475</v>
      </c>
      <c r="C3" s="482">
        <f>Assumptions!E18</f>
        <v>2876.79</v>
      </c>
      <c r="D3" s="482">
        <f>Assumptions!F18</f>
        <v>2181.610000000001</v>
      </c>
      <c r="E3" s="482">
        <f>Assumptions!G18</f>
        <v>2975.7200000000007</v>
      </c>
      <c r="F3" s="482">
        <f>Assumptions!H18</f>
        <v>4402.6800000000012</v>
      </c>
      <c r="G3" s="483">
        <f>Assumptions!I18</f>
        <v>4910.3199999999961</v>
      </c>
    </row>
    <row r="4" spans="1:7">
      <c r="A4" s="369"/>
      <c r="B4" s="447" t="s">
        <v>553</v>
      </c>
      <c r="C4" s="484">
        <f>25%*C3</f>
        <v>719.19749999999999</v>
      </c>
      <c r="D4" s="484">
        <f>25%*D3</f>
        <v>545.40250000000026</v>
      </c>
      <c r="E4" s="484">
        <f>25%*E3</f>
        <v>743.93000000000018</v>
      </c>
      <c r="F4" s="484">
        <f>25%*F3</f>
        <v>1100.6700000000003</v>
      </c>
      <c r="G4" s="485">
        <f>25%*G3</f>
        <v>1227.579999999999</v>
      </c>
    </row>
    <row r="5" spans="1:7">
      <c r="A5" s="369"/>
      <c r="B5" s="450" t="s">
        <v>554</v>
      </c>
      <c r="C5" s="451">
        <f>C3-C4</f>
        <v>2157.5924999999997</v>
      </c>
      <c r="D5" s="451">
        <f>D3-D4</f>
        <v>1636.2075000000009</v>
      </c>
      <c r="E5" s="451">
        <f>E3-E4</f>
        <v>2231.7900000000004</v>
      </c>
      <c r="F5" s="451">
        <f>F3-F4</f>
        <v>3302.0100000000011</v>
      </c>
      <c r="G5" s="452">
        <f>G3-G4</f>
        <v>3682.7399999999971</v>
      </c>
    </row>
    <row r="6" spans="1:7">
      <c r="A6" s="369"/>
      <c r="B6" s="447" t="s">
        <v>555</v>
      </c>
      <c r="C6" s="486">
        <f>'Consolidated CF.'!B12</f>
        <v>-581</v>
      </c>
      <c r="D6" s="486">
        <f>'Consolidated CF.'!C12</f>
        <v>-570</v>
      </c>
      <c r="E6" s="486">
        <f>'Consolidated CF.'!D12</f>
        <v>-604</v>
      </c>
      <c r="F6" s="486">
        <f>'Consolidated CF.'!E12</f>
        <v>-788</v>
      </c>
      <c r="G6" s="486">
        <f>'Consolidated CF.'!F12</f>
        <v>-857</v>
      </c>
    </row>
    <row r="7" spans="1:7">
      <c r="A7" s="369"/>
      <c r="B7" s="487" t="s">
        <v>556</v>
      </c>
      <c r="C7" s="488"/>
      <c r="D7" s="488">
        <f>'Change in Working Cap'!D8</f>
        <v>488.03999999999996</v>
      </c>
      <c r="E7" s="488">
        <f>'Change in Working Cap'!E8</f>
        <v>427.90999999999985</v>
      </c>
      <c r="F7" s="488">
        <f>'Change in Working Cap'!F8</f>
        <v>-952.49999999999909</v>
      </c>
      <c r="G7" s="488">
        <f>'Change in Working Cap'!G8</f>
        <v>931.75</v>
      </c>
    </row>
    <row r="8" spans="1:7">
      <c r="A8" s="369"/>
      <c r="B8" s="489" t="s">
        <v>557</v>
      </c>
      <c r="C8" s="490"/>
      <c r="D8" s="490">
        <f>SUM(D6:D7)</f>
        <v>-81.960000000000036</v>
      </c>
      <c r="E8" s="490">
        <f>SUM(E6:E7)</f>
        <v>-176.09000000000015</v>
      </c>
      <c r="F8" s="490">
        <f>SUM(F6:F7)</f>
        <v>-1740.4999999999991</v>
      </c>
      <c r="G8" s="491">
        <f>SUM(G6:G7)</f>
        <v>74.75</v>
      </c>
    </row>
    <row r="9" spans="1:7" ht="15" customHeight="1">
      <c r="A9" s="369"/>
      <c r="B9" s="456" t="s">
        <v>558</v>
      </c>
      <c r="C9" s="457">
        <f>C5-C8</f>
        <v>2157.5924999999997</v>
      </c>
      <c r="D9" s="457">
        <f>D5-D8</f>
        <v>1718.1675000000009</v>
      </c>
      <c r="E9" s="457">
        <f>E5-E8</f>
        <v>2407.8800000000006</v>
      </c>
      <c r="F9" s="457">
        <f>F5-F8</f>
        <v>5042.51</v>
      </c>
      <c r="G9" s="458">
        <f>G5-G8</f>
        <v>3607.9899999999971</v>
      </c>
    </row>
    <row r="10" spans="1:7" ht="7.5" customHeight="1">
      <c r="A10" s="369"/>
      <c r="B10" s="459"/>
      <c r="C10" s="460"/>
      <c r="D10" s="460"/>
      <c r="E10" s="460"/>
      <c r="F10" s="460"/>
      <c r="G10" s="460"/>
    </row>
    <row r="11" spans="1:7" ht="15" customHeight="1">
      <c r="A11" s="369"/>
      <c r="B11" s="492" t="s">
        <v>559</v>
      </c>
      <c r="C11" s="493"/>
      <c r="D11" s="493">
        <f>D8/D5</f>
        <v>-5.009144622549401E-2</v>
      </c>
      <c r="E11" s="493">
        <f>E8/E5</f>
        <v>-7.8900792637300154E-2</v>
      </c>
      <c r="F11" s="493">
        <f>F8/F5</f>
        <v>-0.52710318866387396</v>
      </c>
      <c r="G11" s="493">
        <f>G8/G5</f>
        <v>2.0297387271433785E-2</v>
      </c>
    </row>
    <row r="12" spans="1:7" ht="7.5" customHeight="1">
      <c r="A12" s="369"/>
      <c r="B12" s="459"/>
      <c r="C12" s="460"/>
      <c r="D12" s="460"/>
      <c r="E12" s="460"/>
      <c r="F12" s="460"/>
      <c r="G12" s="460"/>
    </row>
    <row r="13" spans="1:7">
      <c r="A13" s="369"/>
      <c r="B13" s="467" t="s">
        <v>560</v>
      </c>
      <c r="C13" s="468">
        <f>MEDIAN(D11:G11)</f>
        <v>-6.4496119431397075E-2</v>
      </c>
      <c r="D13" s="494"/>
      <c r="E13" s="494"/>
      <c r="F13" s="494"/>
      <c r="G13" s="494"/>
    </row>
    <row r="14" spans="1:7" ht="15" customHeight="1">
      <c r="A14" s="369"/>
      <c r="B14" s="464" t="s">
        <v>561</v>
      </c>
      <c r="C14" s="466">
        <f>AVERAGE(D11:G11)</f>
        <v>-0.15894951006380859</v>
      </c>
      <c r="D14" s="494"/>
      <c r="E14" s="494"/>
      <c r="F14" s="494"/>
      <c r="G14" s="494"/>
    </row>
  </sheetData>
  <mergeCells count="1">
    <mergeCell ref="B1:G1"/>
  </mergeCells>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N9"/>
  <sheetViews>
    <sheetView topLeftCell="E1" zoomScaleNormal="100" workbookViewId="0">
      <selection activeCell="E3" sqref="E3"/>
    </sheetView>
  </sheetViews>
  <sheetFormatPr defaultColWidth="8.6640625" defaultRowHeight="14.4"/>
  <cols>
    <col min="1" max="1" width="1.88671875" customWidth="1"/>
    <col min="2" max="2" width="8.33203125" customWidth="1"/>
    <col min="3" max="3" width="15.77734375" customWidth="1"/>
    <col min="4" max="5" width="9.33203125" customWidth="1"/>
    <col min="6" max="6" width="12.77734375" customWidth="1"/>
    <col min="7" max="7" width="13.77734375" customWidth="1"/>
    <col min="8" max="8" width="10.44140625" customWidth="1"/>
    <col min="9" max="9" width="15.77734375" customWidth="1"/>
    <col min="10" max="10" width="10.5546875" customWidth="1"/>
    <col min="11" max="11" width="13.44140625" customWidth="1"/>
    <col min="12" max="12" width="10.88671875" customWidth="1"/>
    <col min="13" max="13" width="14.88671875" customWidth="1"/>
    <col min="14" max="14" width="9.33203125" customWidth="1"/>
  </cols>
  <sheetData>
    <row r="2" spans="1:14" ht="42" customHeight="1">
      <c r="A2" s="369"/>
      <c r="B2" s="495" t="s">
        <v>562</v>
      </c>
      <c r="C2" s="496" t="s">
        <v>563</v>
      </c>
      <c r="D2" s="497" t="s">
        <v>564</v>
      </c>
      <c r="E2" s="497" t="s">
        <v>565</v>
      </c>
      <c r="F2" s="497" t="s">
        <v>566</v>
      </c>
      <c r="G2" s="497" t="s">
        <v>567</v>
      </c>
      <c r="H2" s="497" t="s">
        <v>568</v>
      </c>
      <c r="I2" s="497" t="s">
        <v>569</v>
      </c>
      <c r="J2" s="497" t="s">
        <v>570</v>
      </c>
      <c r="K2" s="497" t="s">
        <v>571</v>
      </c>
      <c r="L2" s="497" t="s">
        <v>572</v>
      </c>
      <c r="M2" s="498"/>
    </row>
    <row r="3" spans="1:14">
      <c r="A3" s="369"/>
      <c r="B3" s="499">
        <v>1</v>
      </c>
      <c r="C3" s="500" t="s">
        <v>573</v>
      </c>
      <c r="D3" s="501">
        <v>10581.5</v>
      </c>
      <c r="E3" s="502">
        <v>10574.5</v>
      </c>
      <c r="F3" s="501">
        <v>27.95</v>
      </c>
      <c r="G3" s="501">
        <v>295750.57</v>
      </c>
      <c r="H3" s="501">
        <v>3071.89</v>
      </c>
      <c r="I3" s="501">
        <v>22713.15</v>
      </c>
      <c r="J3" s="501">
        <v>62905</v>
      </c>
      <c r="K3" s="501">
        <v>19.96</v>
      </c>
      <c r="L3" s="501">
        <v>15804.03</v>
      </c>
      <c r="M3" s="501"/>
      <c r="N3" s="503"/>
    </row>
    <row r="4" spans="1:14">
      <c r="A4" s="369"/>
      <c r="B4" s="504">
        <v>2</v>
      </c>
      <c r="C4" s="505" t="s">
        <v>574</v>
      </c>
      <c r="D4" s="506">
        <v>7255.4</v>
      </c>
      <c r="E4" s="502">
        <v>5357.43</v>
      </c>
      <c r="F4" s="506">
        <v>27.43</v>
      </c>
      <c r="G4" s="506">
        <v>199025.88</v>
      </c>
      <c r="H4" s="506">
        <v>263.01</v>
      </c>
      <c r="I4" s="506">
        <v>445.78</v>
      </c>
      <c r="J4" s="506">
        <v>22568.58</v>
      </c>
      <c r="K4" s="506">
        <v>25.64</v>
      </c>
      <c r="L4" s="506">
        <v>6724.45</v>
      </c>
      <c r="M4" s="501"/>
      <c r="N4" s="503"/>
    </row>
    <row r="5" spans="1:14">
      <c r="A5" s="369"/>
      <c r="B5" s="499">
        <v>3</v>
      </c>
      <c r="C5" s="500" t="s">
        <v>575</v>
      </c>
      <c r="D5" s="501">
        <v>3565.95</v>
      </c>
      <c r="E5" s="502">
        <v>3064.39</v>
      </c>
      <c r="F5" s="501">
        <v>47.51</v>
      </c>
      <c r="G5" s="501">
        <v>169413.67</v>
      </c>
      <c r="H5" s="501">
        <v>4386.24</v>
      </c>
      <c r="I5" s="501">
        <v>31589.29</v>
      </c>
      <c r="J5" s="501">
        <v>52558.79</v>
      </c>
      <c r="K5" s="501">
        <v>24.44</v>
      </c>
      <c r="L5" s="501">
        <v>6538.85</v>
      </c>
      <c r="M5" s="506"/>
      <c r="N5" s="503"/>
    </row>
    <row r="6" spans="1:14" ht="15" customHeight="1">
      <c r="A6" s="369"/>
      <c r="B6" s="507">
        <v>4</v>
      </c>
      <c r="C6" s="508" t="s">
        <v>385</v>
      </c>
      <c r="D6" s="509">
        <v>5178</v>
      </c>
      <c r="E6" s="510">
        <v>5775.7</v>
      </c>
      <c r="F6" s="509">
        <v>20.010000000000002</v>
      </c>
      <c r="G6" s="509">
        <v>103608.16</v>
      </c>
      <c r="H6" s="509">
        <v>766.7</v>
      </c>
      <c r="I6" s="509">
        <v>778.61</v>
      </c>
      <c r="J6" s="509">
        <v>47411.24</v>
      </c>
      <c r="K6" s="509">
        <v>12.21</v>
      </c>
      <c r="L6" s="509">
        <v>8487.84</v>
      </c>
      <c r="M6" s="501"/>
      <c r="N6" s="503"/>
    </row>
    <row r="7" spans="1:14" ht="15" customHeight="1">
      <c r="A7" s="369"/>
      <c r="B7" s="511">
        <v>5</v>
      </c>
      <c r="C7" s="512" t="s">
        <v>576</v>
      </c>
      <c r="D7" s="513">
        <v>948.2</v>
      </c>
      <c r="E7" s="513">
        <v>-517.16999999999996</v>
      </c>
      <c r="F7" s="513">
        <v>38.299999999999997</v>
      </c>
      <c r="G7" s="513">
        <v>36314.370000000003</v>
      </c>
      <c r="H7" s="513">
        <v>823.15</v>
      </c>
      <c r="I7" s="513">
        <v>664.22</v>
      </c>
      <c r="J7" s="513">
        <v>3671.76</v>
      </c>
      <c r="K7" s="513">
        <v>-140.66</v>
      </c>
      <c r="L7" s="513">
        <v>-257.04000000000002</v>
      </c>
      <c r="M7" s="506"/>
      <c r="N7" s="503"/>
    </row>
    <row r="8" spans="1:14" s="369" customFormat="1">
      <c r="B8" s="504"/>
      <c r="C8" s="505"/>
      <c r="D8" s="506"/>
      <c r="E8" s="506"/>
      <c r="F8" s="506"/>
      <c r="G8" s="506"/>
      <c r="H8" s="506"/>
      <c r="I8" s="506"/>
      <c r="J8" s="506"/>
      <c r="K8" s="506"/>
      <c r="L8" s="506"/>
      <c r="M8" s="506"/>
      <c r="N8" s="514"/>
    </row>
    <row r="9" spans="1:14">
      <c r="A9" s="369"/>
      <c r="B9" s="499"/>
      <c r="C9" s="500"/>
      <c r="D9" s="501"/>
      <c r="E9" s="501"/>
      <c r="F9" s="501"/>
      <c r="G9" s="501"/>
      <c r="H9" s="501"/>
      <c r="I9" s="501"/>
      <c r="J9" s="501"/>
      <c r="K9" s="501"/>
      <c r="L9" s="501"/>
      <c r="M9" s="501"/>
      <c r="N9" s="515"/>
    </row>
  </sheetData>
  <hyperlinks>
    <hyperlink ref="C3" r:id="rId1" xr:uid="{00000000-0004-0000-1100-000000000000}"/>
    <hyperlink ref="C4" r:id="rId2" xr:uid="{00000000-0004-0000-1100-000001000000}"/>
    <hyperlink ref="C5" r:id="rId3" xr:uid="{00000000-0004-0000-1100-000002000000}"/>
    <hyperlink ref="C6" r:id="rId4" xr:uid="{00000000-0004-0000-1100-000003000000}"/>
    <hyperlink ref="C7" r:id="rId5" xr:uid="{00000000-0004-0000-1100-000004000000}"/>
  </hyperlinks>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T31"/>
  <sheetViews>
    <sheetView topLeftCell="F1" zoomScale="86" zoomScaleNormal="86" workbookViewId="0">
      <selection activeCell="B3" sqref="B3"/>
    </sheetView>
  </sheetViews>
  <sheetFormatPr defaultColWidth="8.6640625" defaultRowHeight="14.4"/>
  <cols>
    <col min="1" max="1" width="1.88671875" customWidth="1"/>
    <col min="2" max="2" width="31.5546875" customWidth="1"/>
    <col min="3" max="3" width="13.5546875" customWidth="1"/>
    <col min="4" max="4" width="12" customWidth="1"/>
    <col min="5" max="5" width="10.33203125" customWidth="1"/>
    <col min="6" max="6" width="11.33203125" customWidth="1"/>
    <col min="7" max="7" width="9" customWidth="1"/>
    <col min="8" max="8" width="8" customWidth="1"/>
    <col min="9" max="9" width="11" customWidth="1"/>
    <col min="16" max="16" width="11.44140625" customWidth="1"/>
    <col min="17" max="18" width="12" customWidth="1"/>
  </cols>
  <sheetData>
    <row r="2" spans="2:20">
      <c r="B2" s="516" t="s">
        <v>577</v>
      </c>
      <c r="C2" s="516"/>
      <c r="D2" s="516"/>
      <c r="E2" s="516"/>
      <c r="F2" s="516"/>
      <c r="G2" s="516"/>
      <c r="H2" s="516"/>
      <c r="I2" s="516"/>
      <c r="J2" s="517"/>
      <c r="K2" s="517"/>
      <c r="L2" s="517"/>
      <c r="M2" s="517"/>
      <c r="N2" s="517"/>
      <c r="O2" s="517"/>
      <c r="P2" s="517"/>
      <c r="Q2" s="517"/>
      <c r="R2" s="517"/>
    </row>
    <row r="4" spans="2:20">
      <c r="B4" s="518" t="s">
        <v>578</v>
      </c>
    </row>
    <row r="5" spans="2:20">
      <c r="B5" s="670" t="s">
        <v>579</v>
      </c>
      <c r="C5" s="670"/>
      <c r="D5" s="670"/>
      <c r="E5" s="670"/>
      <c r="F5" s="670"/>
      <c r="G5" s="670"/>
      <c r="H5" s="670"/>
      <c r="I5" s="670"/>
      <c r="J5" s="670"/>
      <c r="K5" s="670"/>
      <c r="L5" s="670"/>
      <c r="M5" s="670"/>
      <c r="N5" s="670"/>
      <c r="O5" s="670"/>
      <c r="P5" s="670"/>
      <c r="Q5" s="670"/>
      <c r="R5" s="670"/>
    </row>
    <row r="7" spans="2:20">
      <c r="B7" s="671" t="s">
        <v>580</v>
      </c>
      <c r="C7" s="672" t="s">
        <v>581</v>
      </c>
      <c r="D7" s="673" t="s">
        <v>582</v>
      </c>
      <c r="E7" s="673"/>
      <c r="F7" s="673"/>
      <c r="G7" s="673"/>
      <c r="H7" s="673"/>
      <c r="I7" s="673"/>
      <c r="J7" s="674"/>
      <c r="K7" s="675" t="s">
        <v>583</v>
      </c>
      <c r="L7" s="675"/>
      <c r="M7" s="675"/>
      <c r="N7" s="675"/>
      <c r="O7" s="672"/>
      <c r="P7" s="672" t="s">
        <v>584</v>
      </c>
      <c r="Q7" s="672"/>
      <c r="R7" s="672"/>
    </row>
    <row r="8" spans="2:20" ht="28.5" customHeight="1">
      <c r="B8" s="671"/>
      <c r="C8" s="672"/>
      <c r="D8" s="519" t="s">
        <v>585</v>
      </c>
      <c r="E8" s="519" t="s">
        <v>586</v>
      </c>
      <c r="F8" s="519" t="s">
        <v>587</v>
      </c>
      <c r="G8" s="519" t="s">
        <v>588</v>
      </c>
      <c r="H8" s="519" t="s">
        <v>589</v>
      </c>
      <c r="I8" s="520" t="s">
        <v>590</v>
      </c>
      <c r="J8" s="674"/>
      <c r="K8" s="521" t="s">
        <v>591</v>
      </c>
      <c r="L8" s="521" t="s">
        <v>473</v>
      </c>
      <c r="M8" s="521" t="s">
        <v>565</v>
      </c>
      <c r="N8" s="522" t="s">
        <v>592</v>
      </c>
      <c r="O8" s="672"/>
      <c r="P8" s="523" t="s">
        <v>593</v>
      </c>
      <c r="Q8" s="521" t="s">
        <v>594</v>
      </c>
      <c r="R8" s="522" t="s">
        <v>595</v>
      </c>
    </row>
    <row r="9" spans="2:20">
      <c r="B9" s="500" t="s">
        <v>573</v>
      </c>
      <c r="C9" s="524"/>
      <c r="D9" s="525">
        <f>'Raw Data Relative Valuation'!F3</f>
        <v>27.95</v>
      </c>
      <c r="E9" s="526">
        <f>'Raw Data Relative Valuation'!D3</f>
        <v>10581.5</v>
      </c>
      <c r="F9" s="526">
        <f>IFERROR(D9*E9,0)</f>
        <v>295752.92499999999</v>
      </c>
      <c r="G9" s="526">
        <f>'Raw Data Relative Valuation'!I3</f>
        <v>22713.15</v>
      </c>
      <c r="H9" s="526">
        <f>'Raw Data Relative Valuation'!H3</f>
        <v>3071.89</v>
      </c>
      <c r="I9" s="526">
        <f>IFERROR(F9+G9-H9,0)</f>
        <v>315394.185</v>
      </c>
      <c r="J9" s="527"/>
      <c r="K9" s="528">
        <f>'Raw Data Relative Valuation'!J3</f>
        <v>62905</v>
      </c>
      <c r="L9" s="529">
        <f>'Raw Data Relative Valuation'!L3</f>
        <v>15804.03</v>
      </c>
      <c r="M9" s="529">
        <f>'Raw Data Relative Valuation'!E3</f>
        <v>10574.5</v>
      </c>
      <c r="N9" s="529">
        <f>IFERROR(M9/D9,0)</f>
        <v>378.33631484794279</v>
      </c>
      <c r="O9" s="530"/>
      <c r="P9" s="531">
        <f>IFERROR(I9/K9,0)</f>
        <v>5.013817423098323</v>
      </c>
      <c r="Q9" s="531">
        <f>IFERROR(I9/L9,0)</f>
        <v>19.956567090798991</v>
      </c>
      <c r="R9" s="532">
        <f>IFERROR(E9/N9,0)</f>
        <v>27.968502056834836</v>
      </c>
    </row>
    <row r="10" spans="2:20">
      <c r="B10" s="505" t="s">
        <v>574</v>
      </c>
      <c r="C10" s="533"/>
      <c r="D10" s="525">
        <f>'Raw Data Relative Valuation'!F4</f>
        <v>27.43</v>
      </c>
      <c r="E10" s="526">
        <f>'Raw Data Relative Valuation'!D4</f>
        <v>7255.4</v>
      </c>
      <c r="F10" s="526">
        <f>IFERROR(D10*E10,0)</f>
        <v>199015.62199999997</v>
      </c>
      <c r="G10" s="526">
        <f>'Raw Data Relative Valuation'!I4</f>
        <v>445.78</v>
      </c>
      <c r="H10" s="526">
        <f>'Raw Data Relative Valuation'!H4</f>
        <v>263.01</v>
      </c>
      <c r="I10" s="526">
        <f>IFERROR(F10+G10-H10,0)</f>
        <v>199198.39199999996</v>
      </c>
      <c r="J10" s="534"/>
      <c r="K10" s="528">
        <f>'Raw Data Relative Valuation'!J4</f>
        <v>22568.58</v>
      </c>
      <c r="L10" s="529">
        <f>'Raw Data Relative Valuation'!L4</f>
        <v>6724.45</v>
      </c>
      <c r="M10" s="529">
        <f>'Raw Data Relative Valuation'!E4</f>
        <v>5357.43</v>
      </c>
      <c r="N10" s="526">
        <f>IFERROR(M10/D10,0)</f>
        <v>195.31279620853081</v>
      </c>
      <c r="O10" s="535"/>
      <c r="P10" s="531">
        <f>IFERROR(I10/K10,0)</f>
        <v>8.8263591240565393</v>
      </c>
      <c r="Q10" s="531">
        <f>IFERROR(I10/L10,0)</f>
        <v>29.6230014350616</v>
      </c>
      <c r="R10" s="532">
        <f>IFERROR(E10/N10,0)</f>
        <v>37.147591662420226</v>
      </c>
      <c r="T10" s="536"/>
    </row>
    <row r="11" spans="2:20">
      <c r="B11" s="500" t="s">
        <v>575</v>
      </c>
      <c r="C11" s="533"/>
      <c r="D11" s="525">
        <f>'Raw Data Relative Valuation'!F5</f>
        <v>47.51</v>
      </c>
      <c r="E11" s="526">
        <f>'Raw Data Relative Valuation'!D5</f>
        <v>3565.95</v>
      </c>
      <c r="F11" s="526">
        <f>IFERROR(D11*E11,0)</f>
        <v>169418.28449999998</v>
      </c>
      <c r="G11" s="526">
        <f>'Raw Data Relative Valuation'!I5</f>
        <v>31589.29</v>
      </c>
      <c r="H11" s="526">
        <f>'Raw Data Relative Valuation'!H5</f>
        <v>4386.24</v>
      </c>
      <c r="I11" s="526">
        <f>IFERROR(F11+G11-H11,0)</f>
        <v>196621.3345</v>
      </c>
      <c r="J11" s="534"/>
      <c r="K11" s="528">
        <f>'Raw Data Relative Valuation'!J5</f>
        <v>52558.79</v>
      </c>
      <c r="L11" s="529">
        <f>'Raw Data Relative Valuation'!L5</f>
        <v>6538.85</v>
      </c>
      <c r="M11" s="529">
        <f>'Raw Data Relative Valuation'!E5</f>
        <v>3064.39</v>
      </c>
      <c r="N11" s="526">
        <f>IFERROR(M11/D11,0)</f>
        <v>64.49989475899811</v>
      </c>
      <c r="O11" s="535"/>
      <c r="P11" s="531">
        <f>IFERROR(I11/K11,0)</f>
        <v>3.7409790921746864</v>
      </c>
      <c r="Q11" s="531">
        <f>IFERROR(I11/L11,0)</f>
        <v>30.069711723009394</v>
      </c>
      <c r="R11" s="532">
        <f>IFERROR(E11/N11,0)</f>
        <v>55.286136718890212</v>
      </c>
    </row>
    <row r="12" spans="2:20" ht="15" customHeight="1">
      <c r="B12" s="537" t="s">
        <v>385</v>
      </c>
      <c r="C12" s="538"/>
      <c r="D12" s="539">
        <f>'Raw Data Relative Valuation'!F6</f>
        <v>20.010000000000002</v>
      </c>
      <c r="E12" s="540">
        <f>'Raw Data Relative Valuation'!D6</f>
        <v>5178</v>
      </c>
      <c r="F12" s="540">
        <f>IFERROR(D12*E12,0)</f>
        <v>103611.78000000001</v>
      </c>
      <c r="G12" s="540">
        <f>'Raw Data Relative Valuation'!I6</f>
        <v>778.61</v>
      </c>
      <c r="H12" s="540">
        <f>'Raw Data Relative Valuation'!H6</f>
        <v>766.7</v>
      </c>
      <c r="I12" s="540">
        <f>IFERROR(F12+G12-H12,0)</f>
        <v>103623.69000000002</v>
      </c>
      <c r="J12" s="539"/>
      <c r="K12" s="541">
        <f>'Raw Data Relative Valuation'!J6</f>
        <v>47411.24</v>
      </c>
      <c r="L12" s="542">
        <f>'Raw Data Relative Valuation'!L6</f>
        <v>8487.84</v>
      </c>
      <c r="M12" s="542">
        <f>'Raw Data Relative Valuation'!E6</f>
        <v>5775.7</v>
      </c>
      <c r="N12" s="540">
        <f>IFERROR(M12/D12,0)</f>
        <v>288.64067966016989</v>
      </c>
      <c r="O12" s="543"/>
      <c r="P12" s="544">
        <f>IFERROR(I12/K12,0)</f>
        <v>2.1856355159662564</v>
      </c>
      <c r="Q12" s="544">
        <f>IFERROR(I12/L12,0)</f>
        <v>12.208487671775153</v>
      </c>
      <c r="R12" s="545">
        <f>IFERROR(E12/N12,0)</f>
        <v>17.939259310559759</v>
      </c>
    </row>
    <row r="13" spans="2:20" ht="15" customHeight="1">
      <c r="B13" s="512" t="s">
        <v>576</v>
      </c>
      <c r="C13" s="533"/>
      <c r="D13" s="525">
        <f>'Raw Data Relative Valuation'!F7</f>
        <v>38.299999999999997</v>
      </c>
      <c r="E13" s="526">
        <f>'Raw Data Relative Valuation'!D7</f>
        <v>948.2</v>
      </c>
      <c r="F13" s="526">
        <f>IFERROR(D13*E13,0)</f>
        <v>36316.06</v>
      </c>
      <c r="G13" s="526">
        <f>'Raw Data Relative Valuation'!I7</f>
        <v>664.22</v>
      </c>
      <c r="H13" s="526">
        <f>'Raw Data Relative Valuation'!H7</f>
        <v>823.15</v>
      </c>
      <c r="I13" s="526">
        <f>IFERROR(F13+G13-H13,0)</f>
        <v>36157.129999999997</v>
      </c>
      <c r="J13" s="534"/>
      <c r="K13" s="528">
        <f>'Raw Data Relative Valuation'!J7</f>
        <v>3671.76</v>
      </c>
      <c r="L13" s="529">
        <f>'Raw Data Relative Valuation'!L7</f>
        <v>-257.04000000000002</v>
      </c>
      <c r="M13" s="529">
        <f>'Raw Data Relative Valuation'!E7</f>
        <v>-517.16999999999996</v>
      </c>
      <c r="N13" s="526">
        <f>IFERROR(M13/D13,0)</f>
        <v>-13.503133159268929</v>
      </c>
      <c r="O13" s="535"/>
      <c r="P13" s="531">
        <f>IFERROR(I13/K13,0)</f>
        <v>9.8473565810401542</v>
      </c>
      <c r="Q13" s="531">
        <f>IFERROR(I13/L13,0)</f>
        <v>-140.66732804232802</v>
      </c>
      <c r="R13" s="532">
        <f>IFERROR(E13/N13,0)</f>
        <v>-70.220739795425104</v>
      </c>
    </row>
    <row r="14" spans="2:20">
      <c r="B14" s="546"/>
      <c r="C14" s="547"/>
      <c r="D14" s="526"/>
      <c r="E14" s="503"/>
      <c r="F14" s="503"/>
      <c r="G14" s="503"/>
      <c r="H14" s="503"/>
      <c r="I14" s="503"/>
      <c r="J14" s="547"/>
      <c r="K14" s="503"/>
      <c r="L14" s="503"/>
      <c r="M14" s="503"/>
      <c r="N14" s="548"/>
      <c r="O14" s="547"/>
      <c r="P14" s="531"/>
      <c r="Q14" s="531"/>
      <c r="R14" s="549"/>
    </row>
    <row r="15" spans="2:20">
      <c r="B15" t="s">
        <v>596</v>
      </c>
      <c r="P15" s="550">
        <f>IFERROR(MAX(P9:P13),0)</f>
        <v>9.8473565810401542</v>
      </c>
      <c r="Q15" s="550">
        <f>IFERROR(MAX(Q9:Q13),0)</f>
        <v>30.069711723009394</v>
      </c>
      <c r="R15" s="550">
        <f>IFERROR(MAX(R9:R13),0)</f>
        <v>55.286136718890212</v>
      </c>
    </row>
    <row r="16" spans="2:20">
      <c r="B16" t="s">
        <v>597</v>
      </c>
      <c r="P16" s="440">
        <f>IFERROR(QUARTILE(P9:P13,3),0)</f>
        <v>8.8263591240565393</v>
      </c>
      <c r="Q16" s="440">
        <f>IFERROR(QUARTILE(Q9:Q13,3),0)</f>
        <v>29.6230014350616</v>
      </c>
      <c r="R16" s="440">
        <f>IFERROR(QUARTILE(R9:R13,3),0)</f>
        <v>37.147591662420226</v>
      </c>
      <c r="S16" s="440"/>
    </row>
    <row r="17" spans="2:18">
      <c r="B17" s="518" t="s">
        <v>598</v>
      </c>
      <c r="P17" s="550">
        <f>IFERROR(AVERAGE(P9:P13),0)</f>
        <v>5.9228295472671917</v>
      </c>
      <c r="Q17" s="550">
        <f>IFERROR(AVERAGE(Q9:Q13),0)</f>
        <v>-9.7619120243365778</v>
      </c>
      <c r="R17" s="550">
        <f>IFERROR(AVERAGE(R9:R13),0)</f>
        <v>13.624149990655983</v>
      </c>
    </row>
    <row r="18" spans="2:18">
      <c r="B18" s="518" t="s">
        <v>599</v>
      </c>
      <c r="M18" s="531"/>
      <c r="P18" s="550">
        <f>IFERROR(MEDIAN(P9:P13),0)</f>
        <v>5.013817423098323</v>
      </c>
      <c r="Q18" s="550">
        <f>IFERROR(MEDIAN(Q9:Q13),0)</f>
        <v>19.956567090798991</v>
      </c>
      <c r="R18" s="550">
        <f>IFERROR(MEDIAN(R9:R13),0)</f>
        <v>27.968502056834836</v>
      </c>
    </row>
    <row r="19" spans="2:18">
      <c r="B19" t="s">
        <v>600</v>
      </c>
      <c r="P19" s="550">
        <f>IFERROR(QUARTILE(P9:P13,1),0)</f>
        <v>3.7409790921746864</v>
      </c>
      <c r="Q19" s="550">
        <f>IFERROR(QUARTILE(Q9:Q13,1),0)</f>
        <v>12.208487671775153</v>
      </c>
      <c r="R19" s="550">
        <f>IFERROR(QUARTILE(R9:R13,1),0)</f>
        <v>17.939259310559759</v>
      </c>
    </row>
    <row r="20" spans="2:18">
      <c r="B20" t="s">
        <v>601</v>
      </c>
      <c r="P20" s="550">
        <f>IFERROR(MIN(P9:P13),0)</f>
        <v>2.1856355159662564</v>
      </c>
      <c r="Q20" s="550">
        <f>IFERROR(MIN(Q9:Q13),0)</f>
        <v>-140.66732804232802</v>
      </c>
      <c r="R20" s="550">
        <f>IFERROR(MIN(R9:R13),0)</f>
        <v>-70.220739795425104</v>
      </c>
    </row>
    <row r="22" spans="2:18">
      <c r="B22" s="516" t="s">
        <v>602</v>
      </c>
      <c r="C22" s="516"/>
      <c r="D22" s="516"/>
      <c r="E22" s="516"/>
      <c r="F22" s="516"/>
      <c r="G22" s="516"/>
      <c r="H22" s="516"/>
      <c r="I22" s="516"/>
      <c r="J22" s="516"/>
      <c r="K22" s="516"/>
      <c r="L22" s="516"/>
      <c r="M22" s="516"/>
      <c r="N22" s="516"/>
      <c r="O22" s="516"/>
      <c r="P22" s="551" t="s">
        <v>593</v>
      </c>
      <c r="Q22" s="551" t="s">
        <v>594</v>
      </c>
      <c r="R22" s="551" t="s">
        <v>595</v>
      </c>
    </row>
    <row r="23" spans="2:18">
      <c r="P23" s="551" t="s">
        <v>603</v>
      </c>
      <c r="Q23" s="551" t="s">
        <v>604</v>
      </c>
      <c r="R23" s="551" t="s">
        <v>604</v>
      </c>
    </row>
    <row r="24" spans="2:18">
      <c r="B24" t="s">
        <v>605</v>
      </c>
      <c r="P24" s="440">
        <f>P18*K12</f>
        <v>237711.30116269612</v>
      </c>
      <c r="Q24" s="440">
        <f>Q18*L12</f>
        <v>169388.1484159673</v>
      </c>
      <c r="R24" s="440">
        <f>SUM(R26+R25)</f>
        <v>161549.58732966095</v>
      </c>
    </row>
    <row r="25" spans="2:18">
      <c r="B25" t="s">
        <v>606</v>
      </c>
      <c r="P25" s="440">
        <f>G12-H12</f>
        <v>11.909999999999968</v>
      </c>
      <c r="Q25" s="440">
        <f>P25</f>
        <v>11.909999999999968</v>
      </c>
      <c r="R25" s="440">
        <f>Q25</f>
        <v>11.909999999999968</v>
      </c>
    </row>
    <row r="26" spans="2:18">
      <c r="B26" t="s">
        <v>607</v>
      </c>
      <c r="P26" s="440">
        <f>P24-P25</f>
        <v>237699.39116269612</v>
      </c>
      <c r="Q26" s="440">
        <f>Q24-Q25</f>
        <v>169376.23841596729</v>
      </c>
      <c r="R26" s="440">
        <f>R18*M12</f>
        <v>161537.67732966095</v>
      </c>
    </row>
    <row r="27" spans="2:18">
      <c r="B27" t="s">
        <v>608</v>
      </c>
      <c r="P27" s="440">
        <f>D12</f>
        <v>20.010000000000002</v>
      </c>
      <c r="Q27" s="440">
        <f>P27</f>
        <v>20.010000000000002</v>
      </c>
      <c r="R27" s="440">
        <f>Q27</f>
        <v>20.010000000000002</v>
      </c>
    </row>
    <row r="29" spans="2:18" ht="15" customHeight="1">
      <c r="B29" s="552" t="s">
        <v>609</v>
      </c>
      <c r="C29" s="553"/>
      <c r="D29" s="553"/>
      <c r="E29" s="553"/>
      <c r="F29" s="553"/>
      <c r="G29" s="553"/>
      <c r="H29" s="553"/>
      <c r="I29" s="553"/>
      <c r="J29" s="553"/>
      <c r="K29" s="553"/>
      <c r="L29" s="553"/>
      <c r="M29" s="553"/>
      <c r="N29" s="553"/>
      <c r="O29" s="553"/>
      <c r="P29" s="552">
        <f>P26/P27</f>
        <v>11879.030043113249</v>
      </c>
      <c r="Q29" s="554">
        <f>Q26/Q27</f>
        <v>8464.5796309828729</v>
      </c>
      <c r="R29" s="554">
        <f>R26/R27</f>
        <v>8072.8474427616657</v>
      </c>
    </row>
    <row r="30" spans="2:18" ht="15" customHeight="1">
      <c r="P30" s="555"/>
      <c r="Q30" s="555"/>
      <c r="R30" s="555"/>
    </row>
    <row r="31" spans="2:18">
      <c r="P31" s="556"/>
      <c r="Q31" s="556"/>
      <c r="R31" s="556"/>
    </row>
  </sheetData>
  <mergeCells count="8">
    <mergeCell ref="B5:R5"/>
    <mergeCell ref="B7:B8"/>
    <mergeCell ref="C7:C8"/>
    <mergeCell ref="D7:I7"/>
    <mergeCell ref="J7:J8"/>
    <mergeCell ref="K7:N7"/>
    <mergeCell ref="O7:O8"/>
    <mergeCell ref="P7:R7"/>
  </mergeCells>
  <hyperlinks>
    <hyperlink ref="B9" r:id="rId1" xr:uid="{00000000-0004-0000-1200-000000000000}"/>
    <hyperlink ref="B10" r:id="rId2" xr:uid="{00000000-0004-0000-1200-000001000000}"/>
    <hyperlink ref="B11" r:id="rId3" xr:uid="{00000000-0004-0000-1200-000002000000}"/>
    <hyperlink ref="B12" r:id="rId4" xr:uid="{00000000-0004-0000-1200-000003000000}"/>
    <hyperlink ref="B13" r:id="rId5" xr:uid="{00000000-0004-0000-1200-000004000000}"/>
  </hyperlinks>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33"/>
  <sheetViews>
    <sheetView zoomScale="60" zoomScaleNormal="100" workbookViewId="0">
      <selection activeCell="K14" sqref="K14"/>
    </sheetView>
  </sheetViews>
  <sheetFormatPr defaultColWidth="8.6640625" defaultRowHeight="14.4"/>
  <cols>
    <col min="1" max="1" width="42.5546875" customWidth="1"/>
    <col min="2" max="6" width="16.6640625" customWidth="1"/>
    <col min="7" max="7" width="7.77734375" customWidth="1"/>
  </cols>
  <sheetData>
    <row r="1" spans="1:7" ht="24" customHeight="1">
      <c r="A1" s="557" t="s">
        <v>139</v>
      </c>
      <c r="B1" s="558">
        <v>44256</v>
      </c>
      <c r="C1" s="558">
        <v>44621</v>
      </c>
      <c r="D1" s="558">
        <v>44986</v>
      </c>
      <c r="E1" s="558">
        <v>45352</v>
      </c>
      <c r="F1" s="559">
        <v>45717</v>
      </c>
      <c r="G1" s="369"/>
    </row>
    <row r="2" spans="1:7" ht="21.75" customHeight="1">
      <c r="A2" s="560" t="s">
        <v>610</v>
      </c>
      <c r="B2" s="561">
        <v>4110</v>
      </c>
      <c r="C2" s="561">
        <v>2104</v>
      </c>
      <c r="D2" s="561">
        <v>2614</v>
      </c>
      <c r="E2" s="561">
        <v>4923</v>
      </c>
      <c r="F2" s="562">
        <v>4297</v>
      </c>
    </row>
    <row r="3" spans="1:7">
      <c r="A3" s="563" t="s">
        <v>611</v>
      </c>
      <c r="B3" s="564">
        <v>4154</v>
      </c>
      <c r="C3" s="564">
        <v>3556</v>
      </c>
      <c r="D3" s="564">
        <v>4091</v>
      </c>
      <c r="E3" s="564">
        <v>5245</v>
      </c>
      <c r="F3" s="565">
        <v>6105</v>
      </c>
    </row>
    <row r="4" spans="1:7">
      <c r="A4" s="566" t="s">
        <v>612</v>
      </c>
      <c r="B4" s="567">
        <v>-810</v>
      </c>
      <c r="C4" s="567">
        <v>115</v>
      </c>
      <c r="D4" s="567">
        <v>-571</v>
      </c>
      <c r="E4" s="567">
        <v>70</v>
      </c>
      <c r="F4" s="568">
        <v>-759</v>
      </c>
    </row>
    <row r="5" spans="1:7">
      <c r="A5" s="563" t="s">
        <v>613</v>
      </c>
      <c r="B5" s="564">
        <v>-507</v>
      </c>
      <c r="C5" s="564">
        <v>317</v>
      </c>
      <c r="D5" s="564">
        <v>-284</v>
      </c>
      <c r="E5" s="564">
        <v>0</v>
      </c>
      <c r="F5" s="565">
        <v>-257</v>
      </c>
    </row>
    <row r="6" spans="1:7">
      <c r="A6" s="566" t="s">
        <v>614</v>
      </c>
      <c r="B6" s="567">
        <v>2137</v>
      </c>
      <c r="C6" s="567">
        <v>-921</v>
      </c>
      <c r="D6" s="567">
        <v>417</v>
      </c>
      <c r="E6" s="567">
        <v>863</v>
      </c>
      <c r="F6" s="568">
        <v>77</v>
      </c>
    </row>
    <row r="7" spans="1:7">
      <c r="A7" s="563" t="s">
        <v>615</v>
      </c>
      <c r="B7" s="564">
        <v>-11</v>
      </c>
      <c r="C7" s="564">
        <v>-1</v>
      </c>
      <c r="D7" s="564">
        <v>-3</v>
      </c>
      <c r="E7" s="564">
        <v>-2</v>
      </c>
      <c r="F7" s="565">
        <v>-6</v>
      </c>
    </row>
    <row r="8" spans="1:7">
      <c r="A8" s="566" t="s">
        <v>616</v>
      </c>
      <c r="B8" s="567">
        <v>128</v>
      </c>
      <c r="C8" s="567">
        <v>-179</v>
      </c>
      <c r="D8" s="567">
        <v>-179</v>
      </c>
      <c r="E8" s="567">
        <v>76</v>
      </c>
      <c r="F8" s="568">
        <v>704</v>
      </c>
    </row>
    <row r="9" spans="1:7">
      <c r="A9" s="569" t="s">
        <v>617</v>
      </c>
      <c r="B9" s="570">
        <v>938</v>
      </c>
      <c r="C9" s="570">
        <v>-668</v>
      </c>
      <c r="D9" s="570">
        <v>-620</v>
      </c>
      <c r="E9" s="570">
        <v>1007</v>
      </c>
      <c r="F9" s="571">
        <v>-243</v>
      </c>
    </row>
    <row r="10" spans="1:7" ht="15" customHeight="1">
      <c r="A10" s="563" t="s">
        <v>618</v>
      </c>
      <c r="B10" s="564">
        <v>-981</v>
      </c>
      <c r="C10" s="564">
        <v>-784</v>
      </c>
      <c r="D10" s="564">
        <v>-857</v>
      </c>
      <c r="E10" s="564">
        <v>-1329</v>
      </c>
      <c r="F10" s="565">
        <v>-1565</v>
      </c>
    </row>
    <row r="11" spans="1:7" ht="21.75" customHeight="1">
      <c r="A11" s="560" t="s">
        <v>619</v>
      </c>
      <c r="B11" s="561">
        <v>-2289</v>
      </c>
      <c r="C11" s="561">
        <v>-222</v>
      </c>
      <c r="D11" s="561">
        <v>-421</v>
      </c>
      <c r="E11" s="561">
        <v>-1828</v>
      </c>
      <c r="F11" s="562">
        <v>-1703</v>
      </c>
    </row>
    <row r="12" spans="1:7">
      <c r="A12" s="563" t="s">
        <v>620</v>
      </c>
      <c r="B12" s="564">
        <v>-581</v>
      </c>
      <c r="C12" s="564">
        <v>-570</v>
      </c>
      <c r="D12" s="564">
        <v>-604</v>
      </c>
      <c r="E12" s="564">
        <v>-788</v>
      </c>
      <c r="F12" s="565">
        <v>-857</v>
      </c>
    </row>
    <row r="13" spans="1:7">
      <c r="A13" s="566" t="s">
        <v>621</v>
      </c>
      <c r="B13" s="567">
        <v>7</v>
      </c>
      <c r="C13" s="567">
        <v>11</v>
      </c>
      <c r="D13" s="567">
        <v>43</v>
      </c>
      <c r="E13" s="567">
        <v>11</v>
      </c>
      <c r="F13" s="568">
        <v>22</v>
      </c>
    </row>
    <row r="14" spans="1:7">
      <c r="A14" s="563" t="s">
        <v>622</v>
      </c>
      <c r="B14" s="564">
        <v>-49389</v>
      </c>
      <c r="C14" s="564">
        <v>-42105</v>
      </c>
      <c r="D14" s="564">
        <v>-44433</v>
      </c>
      <c r="E14" s="564">
        <v>-46178</v>
      </c>
      <c r="F14" s="565">
        <v>-50498</v>
      </c>
    </row>
    <row r="15" spans="1:7">
      <c r="A15" s="566" t="s">
        <v>623</v>
      </c>
      <c r="B15" s="567">
        <v>47929</v>
      </c>
      <c r="C15" s="567">
        <v>42437</v>
      </c>
      <c r="D15" s="567">
        <v>45336</v>
      </c>
      <c r="E15" s="567">
        <v>45307</v>
      </c>
      <c r="F15" s="568">
        <v>49336</v>
      </c>
    </row>
    <row r="16" spans="1:7">
      <c r="A16" s="563" t="s">
        <v>624</v>
      </c>
      <c r="B16" s="564">
        <v>97</v>
      </c>
      <c r="C16" s="564">
        <v>157</v>
      </c>
      <c r="D16" s="564">
        <v>277</v>
      </c>
      <c r="E16" s="564">
        <v>301</v>
      </c>
      <c r="F16" s="565">
        <v>446</v>
      </c>
    </row>
    <row r="17" spans="1:6">
      <c r="A17" s="566" t="s">
        <v>625</v>
      </c>
      <c r="B17" s="567">
        <v>14</v>
      </c>
      <c r="C17" s="567">
        <v>7</v>
      </c>
      <c r="D17" s="567">
        <v>2</v>
      </c>
      <c r="E17" s="567">
        <v>61</v>
      </c>
      <c r="F17" s="568">
        <v>75</v>
      </c>
    </row>
    <row r="18" spans="1:6">
      <c r="A18" s="563" t="s">
        <v>626</v>
      </c>
      <c r="B18" s="564">
        <v>0</v>
      </c>
      <c r="C18" s="564">
        <v>0</v>
      </c>
      <c r="D18" s="564">
        <v>-962</v>
      </c>
      <c r="E18" s="564">
        <v>-639</v>
      </c>
      <c r="F18" s="565">
        <v>-124</v>
      </c>
    </row>
    <row r="19" spans="1:6">
      <c r="A19" s="566" t="s">
        <v>627</v>
      </c>
      <c r="B19" s="567">
        <v>0</v>
      </c>
      <c r="C19" s="567">
        <v>0</v>
      </c>
      <c r="D19" s="567">
        <v>0</v>
      </c>
      <c r="E19" s="567">
        <v>0</v>
      </c>
      <c r="F19" s="568">
        <v>0</v>
      </c>
    </row>
    <row r="20" spans="1:6">
      <c r="A20" s="563" t="s">
        <v>628</v>
      </c>
      <c r="B20" s="564">
        <v>-368</v>
      </c>
      <c r="C20" s="564">
        <v>-150</v>
      </c>
      <c r="D20" s="564">
        <v>0</v>
      </c>
      <c r="E20" s="564">
        <v>0</v>
      </c>
      <c r="F20" s="565">
        <v>0</v>
      </c>
    </row>
    <row r="21" spans="1:6">
      <c r="A21" s="566" t="s">
        <v>629</v>
      </c>
      <c r="B21" s="567">
        <v>0</v>
      </c>
      <c r="C21" s="567">
        <v>0</v>
      </c>
      <c r="D21" s="567">
        <v>0</v>
      </c>
      <c r="E21" s="567">
        <v>0</v>
      </c>
      <c r="F21" s="568">
        <v>0</v>
      </c>
    </row>
    <row r="22" spans="1:6" ht="15" customHeight="1">
      <c r="A22" s="563" t="s">
        <v>630</v>
      </c>
      <c r="B22" s="564">
        <v>1</v>
      </c>
      <c r="C22" s="564">
        <v>-10</v>
      </c>
      <c r="D22" s="564">
        <v>-80</v>
      </c>
      <c r="E22" s="564">
        <v>98</v>
      </c>
      <c r="F22" s="565">
        <v>-104</v>
      </c>
    </row>
    <row r="23" spans="1:6" ht="21.75" customHeight="1">
      <c r="A23" s="560" t="s">
        <v>631</v>
      </c>
      <c r="B23" s="561">
        <v>-1852</v>
      </c>
      <c r="C23" s="561">
        <v>-1975</v>
      </c>
      <c r="D23" s="561">
        <v>-2147</v>
      </c>
      <c r="E23" s="561">
        <v>-2717</v>
      </c>
      <c r="F23" s="562">
        <v>-2815</v>
      </c>
    </row>
    <row r="24" spans="1:6">
      <c r="A24" s="563" t="s">
        <v>632</v>
      </c>
      <c r="B24" s="564">
        <v>8</v>
      </c>
      <c r="C24" s="564">
        <v>5</v>
      </c>
      <c r="D24" s="564">
        <v>3</v>
      </c>
      <c r="E24" s="564">
        <v>10</v>
      </c>
      <c r="F24" s="565">
        <v>7</v>
      </c>
    </row>
    <row r="25" spans="1:6">
      <c r="A25" s="566" t="s">
        <v>633</v>
      </c>
      <c r="B25" s="567">
        <v>130</v>
      </c>
      <c r="C25" s="567">
        <v>20</v>
      </c>
      <c r="D25" s="567">
        <v>0</v>
      </c>
      <c r="E25" s="567">
        <v>70</v>
      </c>
      <c r="F25" s="568">
        <v>93</v>
      </c>
    </row>
    <row r="26" spans="1:6">
      <c r="A26" s="563" t="s">
        <v>634</v>
      </c>
      <c r="B26" s="564">
        <v>0</v>
      </c>
      <c r="C26" s="564">
        <v>-9</v>
      </c>
      <c r="D26" s="564">
        <v>-40</v>
      </c>
      <c r="E26" s="564">
        <v>-20</v>
      </c>
      <c r="F26" s="565">
        <v>0</v>
      </c>
    </row>
    <row r="27" spans="1:6">
      <c r="A27" s="566" t="s">
        <v>635</v>
      </c>
      <c r="B27" s="567">
        <v>-46</v>
      </c>
      <c r="C27" s="567">
        <v>-53</v>
      </c>
      <c r="D27" s="567">
        <v>-105</v>
      </c>
      <c r="E27" s="567">
        <v>-76</v>
      </c>
      <c r="F27" s="568">
        <v>-71</v>
      </c>
    </row>
    <row r="28" spans="1:6">
      <c r="A28" s="563" t="s">
        <v>636</v>
      </c>
      <c r="B28" s="564">
        <v>-1918</v>
      </c>
      <c r="C28" s="564">
        <v>-1907</v>
      </c>
      <c r="D28" s="564">
        <v>-1998</v>
      </c>
      <c r="E28" s="564">
        <v>-2702</v>
      </c>
      <c r="F28" s="565">
        <v>-2800</v>
      </c>
    </row>
    <row r="29" spans="1:6">
      <c r="A29" s="566" t="s">
        <v>637</v>
      </c>
      <c r="B29" s="567">
        <v>-29</v>
      </c>
      <c r="C29" s="567">
        <v>-31</v>
      </c>
      <c r="D29" s="567">
        <v>-7</v>
      </c>
      <c r="E29" s="567">
        <v>-11</v>
      </c>
      <c r="F29" s="568">
        <v>-55</v>
      </c>
    </row>
    <row r="30" spans="1:6" ht="15" customHeight="1">
      <c r="A30" s="563" t="s">
        <v>638</v>
      </c>
      <c r="B30" s="564">
        <v>4</v>
      </c>
      <c r="C30" s="564">
        <v>-1</v>
      </c>
      <c r="D30" s="564">
        <v>0</v>
      </c>
      <c r="E30" s="564">
        <v>13</v>
      </c>
      <c r="F30" s="565">
        <v>10</v>
      </c>
    </row>
    <row r="31" spans="1:6">
      <c r="A31" s="572" t="s">
        <v>639</v>
      </c>
      <c r="B31" s="573">
        <v>-31</v>
      </c>
      <c r="C31" s="573">
        <v>-94</v>
      </c>
      <c r="D31" s="573">
        <v>45</v>
      </c>
      <c r="E31" s="573">
        <v>379</v>
      </c>
      <c r="F31" s="574">
        <v>-221</v>
      </c>
    </row>
    <row r="32" spans="1:6">
      <c r="A32" s="575" t="s">
        <v>558</v>
      </c>
      <c r="B32" s="576">
        <v>3537</v>
      </c>
      <c r="C32" s="576">
        <v>1545</v>
      </c>
      <c r="D32" s="576">
        <v>2052</v>
      </c>
      <c r="E32" s="576">
        <v>4146</v>
      </c>
      <c r="F32" s="577">
        <v>3463</v>
      </c>
    </row>
    <row r="33" spans="1:6" ht="15" customHeight="1">
      <c r="A33" s="578" t="s">
        <v>640</v>
      </c>
      <c r="B33" s="579">
        <v>1.25</v>
      </c>
      <c r="C33" s="579">
        <v>0.89</v>
      </c>
      <c r="D33" s="579">
        <v>0.85</v>
      </c>
      <c r="E33" s="579">
        <v>1.19</v>
      </c>
      <c r="F33" s="580">
        <v>1.01</v>
      </c>
    </row>
  </sheetData>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M25"/>
  <sheetViews>
    <sheetView zoomScale="81" zoomScaleNormal="100" workbookViewId="0">
      <selection activeCell="F16" sqref="F16"/>
    </sheetView>
  </sheetViews>
  <sheetFormatPr defaultColWidth="8.6640625" defaultRowHeight="14.4"/>
  <cols>
    <col min="1" max="1" width="1.88671875" customWidth="1"/>
    <col min="2" max="2" width="32" customWidth="1"/>
    <col min="3" max="3" width="16" customWidth="1"/>
    <col min="4" max="4" width="14" customWidth="1"/>
    <col min="5" max="5" width="28" customWidth="1"/>
    <col min="6" max="6" width="14" customWidth="1"/>
  </cols>
  <sheetData>
    <row r="1" spans="2:13" ht="17.25" customHeight="1">
      <c r="B1" s="581" t="s">
        <v>641</v>
      </c>
      <c r="C1" s="582"/>
      <c r="D1" s="582"/>
      <c r="E1" s="582"/>
      <c r="F1" s="582"/>
      <c r="G1" s="582"/>
      <c r="H1" s="582"/>
      <c r="I1" s="582"/>
      <c r="J1" s="582"/>
      <c r="K1" s="582"/>
      <c r="L1" s="582"/>
      <c r="M1" s="582"/>
    </row>
    <row r="4" spans="2:13" ht="19.5" customHeight="1">
      <c r="B4" s="676" t="s">
        <v>642</v>
      </c>
      <c r="C4" s="676"/>
      <c r="D4" s="583"/>
      <c r="E4" s="583"/>
      <c r="F4" s="583"/>
    </row>
    <row r="5" spans="2:13" ht="15.75" customHeight="1">
      <c r="B5" s="584" t="s">
        <v>643</v>
      </c>
      <c r="C5" s="585">
        <f>'Consolidated BS 5y'!G16+'Consolidated BS 5y'!G22</f>
        <v>456.76</v>
      </c>
    </row>
    <row r="6" spans="2:13" ht="15.75" customHeight="1">
      <c r="B6" s="584" t="s">
        <v>174</v>
      </c>
      <c r="C6" s="585">
        <f>'Consolidated BS 5y'!G8</f>
        <v>40</v>
      </c>
    </row>
    <row r="7" spans="2:13" ht="15.75" customHeight="1">
      <c r="B7" s="586" t="s">
        <v>644</v>
      </c>
      <c r="C7" s="587">
        <f>SUM(C5:C6)</f>
        <v>496.76</v>
      </c>
    </row>
    <row r="8" spans="2:13" ht="15.75" customHeight="1">
      <c r="B8" s="588" t="s">
        <v>645</v>
      </c>
      <c r="C8" s="589">
        <f>C5/C7</f>
        <v>0.91947821885820114</v>
      </c>
    </row>
    <row r="9" spans="2:13" ht="15.75" customHeight="1">
      <c r="B9" s="588" t="s">
        <v>646</v>
      </c>
      <c r="C9" s="589">
        <f>C6/C7</f>
        <v>8.0521781141798865E-2</v>
      </c>
      <c r="I9" t="s">
        <v>647</v>
      </c>
    </row>
    <row r="10" spans="2:13" ht="15.75" customHeight="1">
      <c r="B10" s="590" t="s">
        <v>648</v>
      </c>
      <c r="C10" s="591">
        <f>C5/C6</f>
        <v>11.419</v>
      </c>
    </row>
    <row r="11" spans="2:13" ht="15.75" customHeight="1">
      <c r="B11" s="592"/>
      <c r="C11" s="593"/>
    </row>
    <row r="12" spans="2:13" ht="15.75" customHeight="1">
      <c r="B12" s="592"/>
      <c r="C12" s="593"/>
    </row>
    <row r="14" spans="2:13" ht="19.5" customHeight="1">
      <c r="B14" s="676" t="s">
        <v>649</v>
      </c>
      <c r="C14" s="676"/>
      <c r="E14" s="677" t="s">
        <v>650</v>
      </c>
      <c r="F14" s="677"/>
      <c r="H14" t="s">
        <v>651</v>
      </c>
    </row>
    <row r="15" spans="2:13" ht="15.75" customHeight="1">
      <c r="B15" s="588" t="s">
        <v>652</v>
      </c>
      <c r="C15" s="594">
        <v>6.6000000000000003E-2</v>
      </c>
      <c r="E15" s="595" t="s">
        <v>653</v>
      </c>
      <c r="F15" s="596" t="s">
        <v>654</v>
      </c>
      <c r="H15" t="s">
        <v>655</v>
      </c>
    </row>
    <row r="16" spans="2:13" ht="15.75" customHeight="1">
      <c r="B16" s="588" t="s">
        <v>656</v>
      </c>
      <c r="C16" s="597">
        <f>'BETA '!L5</f>
        <v>0.9065983275736913</v>
      </c>
      <c r="E16" s="588" t="s">
        <v>657</v>
      </c>
      <c r="F16" s="598">
        <f>'Consolidated PL 5y'!G17/'Consolidated BS 5y'!G19</f>
        <v>0.14264370368874801</v>
      </c>
      <c r="H16" t="s">
        <v>658</v>
      </c>
    </row>
    <row r="17" spans="2:8" ht="15.75" customHeight="1">
      <c r="B17" s="599" t="s">
        <v>659</v>
      </c>
      <c r="C17" s="594">
        <v>7.0000000000000007E-2</v>
      </c>
      <c r="E17" s="599" t="s">
        <v>660</v>
      </c>
      <c r="F17" s="589">
        <v>0.25</v>
      </c>
      <c r="H17" t="s">
        <v>661</v>
      </c>
    </row>
    <row r="18" spans="2:8" ht="15.75" customHeight="1">
      <c r="B18" s="600" t="s">
        <v>662</v>
      </c>
      <c r="C18" s="601">
        <f>C15+C16*C17</f>
        <v>0.1294618829301584</v>
      </c>
      <c r="E18" s="602" t="s">
        <v>663</v>
      </c>
      <c r="F18" s="603">
        <f>F16*(1+F17)</f>
        <v>0.17830462961093502</v>
      </c>
      <c r="H18" t="s">
        <v>664</v>
      </c>
    </row>
    <row r="19" spans="2:8" ht="15.75" customHeight="1">
      <c r="B19" s="592"/>
      <c r="C19" s="593"/>
      <c r="E19" s="592"/>
      <c r="F19" s="593"/>
    </row>
    <row r="20" spans="2:8" ht="15.75" customHeight="1">
      <c r="B20" s="592"/>
      <c r="C20" s="593"/>
      <c r="E20" s="592"/>
      <c r="F20" s="593"/>
    </row>
    <row r="21" spans="2:8" ht="19.5" customHeight="1">
      <c r="B21" s="678" t="s">
        <v>665</v>
      </c>
      <c r="C21" s="678"/>
      <c r="D21" s="678"/>
      <c r="E21" s="678"/>
      <c r="F21" s="604"/>
    </row>
    <row r="22" spans="2:8">
      <c r="B22" s="605" t="s">
        <v>653</v>
      </c>
      <c r="C22" s="606" t="s">
        <v>666</v>
      </c>
      <c r="D22" s="606" t="s">
        <v>654</v>
      </c>
      <c r="E22" s="607" t="s">
        <v>667</v>
      </c>
      <c r="F22" s="608"/>
    </row>
    <row r="23" spans="2:8" ht="15.75" customHeight="1">
      <c r="B23" s="595" t="s">
        <v>668</v>
      </c>
      <c r="C23" s="589">
        <f>C8</f>
        <v>0.91947821885820114</v>
      </c>
      <c r="D23" s="589">
        <f>F18</f>
        <v>0.17830462961093502</v>
      </c>
      <c r="E23" s="589">
        <f>C23*D23</f>
        <v>0.16394722324883379</v>
      </c>
      <c r="F23" s="593"/>
    </row>
    <row r="24" spans="2:8" ht="15" customHeight="1">
      <c r="B24" s="595" t="s">
        <v>169</v>
      </c>
      <c r="C24" s="589">
        <f>C9</f>
        <v>8.0521781141798865E-2</v>
      </c>
      <c r="D24" s="589">
        <f>C18</f>
        <v>0.1294618829301584</v>
      </c>
      <c r="E24" s="589">
        <f>C24*D24</f>
        <v>1.04245014035074E-2</v>
      </c>
      <c r="F24" s="593"/>
    </row>
    <row r="25" spans="2:8" ht="15" customHeight="1">
      <c r="B25" s="609" t="s">
        <v>665</v>
      </c>
      <c r="C25" s="610"/>
      <c r="D25" s="611"/>
      <c r="E25" s="612">
        <f>SUM(E23:E24)</f>
        <v>0.17437172465234119</v>
      </c>
      <c r="F25" s="613"/>
    </row>
  </sheetData>
  <mergeCells count="4">
    <mergeCell ref="B4:C4"/>
    <mergeCell ref="B14:C14"/>
    <mergeCell ref="E14:F14"/>
    <mergeCell ref="B21:E21"/>
  </mergeCells>
  <pageMargins left="0.7" right="0.7" top="0.75" bottom="0.75" header="0.511811023622047" footer="0.511811023622047"/>
  <pageSetup paperSize="9" orientation="portrait" horizontalDpi="300" verticalDpi="30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Q22"/>
  <sheetViews>
    <sheetView topLeftCell="B1" zoomScaleNormal="100" workbookViewId="0">
      <selection activeCell="C21" sqref="C21"/>
    </sheetView>
  </sheetViews>
  <sheetFormatPr defaultColWidth="8.6640625" defaultRowHeight="14.4"/>
  <cols>
    <col min="1" max="1" width="1.88671875" customWidth="1"/>
    <col min="2" max="2" width="31" customWidth="1"/>
    <col min="3" max="9" width="11.33203125" customWidth="1"/>
    <col min="10" max="13" width="12.33203125" customWidth="1"/>
    <col min="14" max="14" width="12.21875" customWidth="1"/>
  </cols>
  <sheetData>
    <row r="2" spans="2:17">
      <c r="B2" s="614" t="s">
        <v>669</v>
      </c>
    </row>
    <row r="3" spans="2:17">
      <c r="Q3" s="615"/>
    </row>
    <row r="4" spans="2:17">
      <c r="B4" s="518" t="s">
        <v>670</v>
      </c>
    </row>
    <row r="5" spans="2:17">
      <c r="B5" s="616" t="s">
        <v>671</v>
      </c>
      <c r="C5" s="617" t="s">
        <v>672</v>
      </c>
      <c r="D5" s="617" t="s">
        <v>673</v>
      </c>
      <c r="E5" s="617" t="s">
        <v>674</v>
      </c>
      <c r="F5" s="617" t="s">
        <v>675</v>
      </c>
      <c r="G5" s="617" t="s">
        <v>676</v>
      </c>
      <c r="H5" s="617" t="s">
        <v>677</v>
      </c>
      <c r="I5" s="617" t="s">
        <v>678</v>
      </c>
      <c r="J5" s="617" t="s">
        <v>679</v>
      </c>
      <c r="K5" s="617" t="s">
        <v>680</v>
      </c>
      <c r="L5" s="617" t="s">
        <v>681</v>
      </c>
      <c r="M5" s="617" t="s">
        <v>682</v>
      </c>
    </row>
    <row r="6" spans="2:17">
      <c r="B6" t="s">
        <v>683</v>
      </c>
      <c r="C6" s="618">
        <f>'Consolidated PL 5y'!G6</f>
        <v>40712.49</v>
      </c>
      <c r="D6" s="618">
        <f t="shared" ref="D6:M6" si="0">C6*(1+D7)</f>
        <v>44727.917123942709</v>
      </c>
      <c r="E6" s="618">
        <f t="shared" si="0"/>
        <v>48977.223349474385</v>
      </c>
      <c r="F6" s="618">
        <f t="shared" si="0"/>
        <v>53452.664779368824</v>
      </c>
      <c r="G6" s="618">
        <f t="shared" si="0"/>
        <v>58143.274232014395</v>
      </c>
      <c r="H6" s="618">
        <f t="shared" si="0"/>
        <v>63034.70237552411</v>
      </c>
      <c r="I6" s="618">
        <f t="shared" si="0"/>
        <v>68109.104501837981</v>
      </c>
      <c r="J6" s="618">
        <f t="shared" si="0"/>
        <v>73345.079905194652</v>
      </c>
      <c r="K6" s="618">
        <f t="shared" si="0"/>
        <v>78717.670181243564</v>
      </c>
      <c r="L6" s="618">
        <f t="shared" si="0"/>
        <v>84198.421867847428</v>
      </c>
      <c r="M6" s="618">
        <f t="shared" si="0"/>
        <v>89755.517711125343</v>
      </c>
    </row>
    <row r="7" spans="2:17">
      <c r="B7" t="s">
        <v>684</v>
      </c>
      <c r="C7" s="619"/>
      <c r="D7" s="620">
        <f>N7</f>
        <v>9.8628875903751301E-2</v>
      </c>
      <c r="E7" s="620">
        <f t="shared" ref="E7:M7" si="1">D7-$P$9</f>
        <v>9.5003445247778928E-2</v>
      </c>
      <c r="F7" s="620">
        <f t="shared" si="1"/>
        <v>9.1378014591806556E-2</v>
      </c>
      <c r="G7" s="620">
        <f t="shared" si="1"/>
        <v>8.7752583935834183E-2</v>
      </c>
      <c r="H7" s="620">
        <f t="shared" si="1"/>
        <v>8.412715327986181E-2</v>
      </c>
      <c r="I7" s="620">
        <f t="shared" si="1"/>
        <v>8.0501722623889438E-2</v>
      </c>
      <c r="J7" s="620">
        <f t="shared" si="1"/>
        <v>7.6876291967917065E-2</v>
      </c>
      <c r="K7" s="620">
        <f t="shared" si="1"/>
        <v>7.3250861311944693E-2</v>
      </c>
      <c r="L7" s="620">
        <f t="shared" si="1"/>
        <v>6.962543065597232E-2</v>
      </c>
      <c r="M7" s="620">
        <f t="shared" si="1"/>
        <v>6.5999999999999948E-2</v>
      </c>
      <c r="N7" s="621">
        <f>MEDIAN(Assumptions!F7:I7)</f>
        <v>9.8628875903751301E-2</v>
      </c>
    </row>
    <row r="8" spans="2:17">
      <c r="C8" s="619"/>
      <c r="D8" s="622"/>
      <c r="E8" s="622"/>
      <c r="F8" s="622"/>
      <c r="G8" s="622"/>
      <c r="H8" s="622"/>
      <c r="I8" s="622"/>
      <c r="J8" s="622"/>
      <c r="K8" s="622"/>
      <c r="L8" s="622"/>
      <c r="M8" s="622"/>
      <c r="N8" s="621"/>
    </row>
    <row r="9" spans="2:17">
      <c r="B9" s="518" t="s">
        <v>685</v>
      </c>
      <c r="C9" s="623"/>
      <c r="D9" s="623"/>
      <c r="E9" s="623"/>
      <c r="F9" s="623"/>
      <c r="G9" s="623"/>
      <c r="H9" s="623"/>
      <c r="I9" s="623"/>
      <c r="J9" s="623"/>
      <c r="K9" s="623"/>
      <c r="L9" s="623"/>
      <c r="M9" s="623"/>
      <c r="N9" s="341">
        <v>6.6000000000000003E-2</v>
      </c>
      <c r="O9" s="624">
        <f>N7-N9</f>
        <v>3.2628875903751298E-2</v>
      </c>
      <c r="P9" s="625">
        <f>O9/9</f>
        <v>3.6254306559723665E-3</v>
      </c>
    </row>
    <row r="10" spans="2:17">
      <c r="B10" s="616" t="s">
        <v>671</v>
      </c>
      <c r="C10" s="617" t="s">
        <v>672</v>
      </c>
      <c r="D10" s="617" t="s">
        <v>673</v>
      </c>
      <c r="E10" s="617" t="s">
        <v>674</v>
      </c>
      <c r="F10" s="617" t="s">
        <v>675</v>
      </c>
      <c r="G10" s="617" t="s">
        <v>676</v>
      </c>
      <c r="H10" s="617" t="s">
        <v>677</v>
      </c>
      <c r="I10" s="617" t="s">
        <v>678</v>
      </c>
      <c r="J10" s="617" t="s">
        <v>679</v>
      </c>
      <c r="K10" s="617" t="s">
        <v>680</v>
      </c>
      <c r="L10" s="617" t="s">
        <v>681</v>
      </c>
      <c r="M10" s="617" t="s">
        <v>682</v>
      </c>
    </row>
    <row r="11" spans="2:17">
      <c r="B11" t="s">
        <v>683</v>
      </c>
      <c r="C11" s="618">
        <f>C6</f>
        <v>40712.49</v>
      </c>
      <c r="D11" s="618">
        <f t="shared" ref="D11:M11" si="2">C11*(1+D12)</f>
        <v>43899.48449866422</v>
      </c>
      <c r="E11" s="618">
        <f t="shared" si="2"/>
        <v>47283.374236673786</v>
      </c>
      <c r="F11" s="618">
        <f t="shared" si="2"/>
        <v>50871.465594165747</v>
      </c>
      <c r="G11" s="618">
        <f t="shared" si="2"/>
        <v>54670.903099213239</v>
      </c>
      <c r="H11" s="618">
        <f t="shared" si="2"/>
        <v>58688.622526114646</v>
      </c>
      <c r="I11" s="618">
        <f t="shared" si="2"/>
        <v>62931.301572455239</v>
      </c>
      <c r="J11" s="618">
        <f t="shared" si="2"/>
        <v>67405.308279890683</v>
      </c>
      <c r="K11" s="618">
        <f t="shared" si="2"/>
        <v>72116.647395432679</v>
      </c>
      <c r="L11" s="618">
        <f t="shared" si="2"/>
        <v>77070.904902453796</v>
      </c>
      <c r="M11" s="618">
        <f t="shared" si="2"/>
        <v>82273.190983369423</v>
      </c>
    </row>
    <row r="12" spans="2:17">
      <c r="B12" t="s">
        <v>684</v>
      </c>
      <c r="C12" s="619"/>
      <c r="D12" s="626">
        <f>AVERAGE(Assumptions!F7:I7)</f>
        <v>7.8280510444441426E-2</v>
      </c>
      <c r="E12" s="622">
        <f>D12-O12</f>
        <v>7.7082675950614604E-2</v>
      </c>
      <c r="F12" s="622">
        <f>E12-O12</f>
        <v>7.5884841456787783E-2</v>
      </c>
      <c r="G12" s="622">
        <f>F12-O12</f>
        <v>7.4687006962960961E-2</v>
      </c>
      <c r="H12" s="622">
        <f>G12-O12</f>
        <v>7.348917246913414E-2</v>
      </c>
      <c r="I12" s="622">
        <f>H12-O12</f>
        <v>7.2291337975307318E-2</v>
      </c>
      <c r="J12" s="622">
        <f>I12-O12</f>
        <v>7.1093503481480497E-2</v>
      </c>
      <c r="K12" s="622">
        <f>J12-O12</f>
        <v>6.9895668987653675E-2</v>
      </c>
      <c r="L12" s="622">
        <f>K12-O12</f>
        <v>6.8697834493826854E-2</v>
      </c>
      <c r="M12" s="622">
        <v>6.7500000000000004E-2</v>
      </c>
      <c r="N12" s="341">
        <f>D12-M12</f>
        <v>1.0780510444441421E-2</v>
      </c>
      <c r="O12" s="627">
        <f>N12/9</f>
        <v>1.1978344938268245E-3</v>
      </c>
    </row>
    <row r="13" spans="2:17">
      <c r="C13" s="619"/>
      <c r="D13" s="619"/>
      <c r="E13" s="619"/>
      <c r="F13" s="619"/>
      <c r="G13" s="619"/>
      <c r="H13" s="619"/>
      <c r="I13" s="619"/>
      <c r="J13" s="619"/>
      <c r="K13" s="619"/>
      <c r="L13" s="619"/>
      <c r="M13" s="619"/>
    </row>
    <row r="14" spans="2:17">
      <c r="B14" s="518" t="s">
        <v>686</v>
      </c>
      <c r="C14" s="619"/>
      <c r="D14" s="619"/>
      <c r="E14" s="619"/>
      <c r="F14" s="619"/>
      <c r="G14" s="619"/>
      <c r="H14" s="619"/>
      <c r="I14" s="619"/>
      <c r="J14" s="619"/>
      <c r="K14" s="619"/>
      <c r="L14" s="619"/>
      <c r="M14" s="619"/>
    </row>
    <row r="15" spans="2:17">
      <c r="B15" s="616" t="s">
        <v>671</v>
      </c>
      <c r="C15" s="617" t="s">
        <v>672</v>
      </c>
      <c r="D15" s="617" t="s">
        <v>673</v>
      </c>
      <c r="E15" s="617" t="s">
        <v>674</v>
      </c>
      <c r="F15" s="617" t="s">
        <v>675</v>
      </c>
      <c r="G15" s="617" t="s">
        <v>676</v>
      </c>
      <c r="H15" s="617" t="s">
        <v>677</v>
      </c>
      <c r="I15" s="617" t="s">
        <v>678</v>
      </c>
      <c r="J15" s="617" t="s">
        <v>679</v>
      </c>
      <c r="K15" s="617" t="s">
        <v>680</v>
      </c>
      <c r="L15" s="617" t="s">
        <v>681</v>
      </c>
      <c r="M15" s="617" t="s">
        <v>682</v>
      </c>
    </row>
    <row r="16" spans="2:17">
      <c r="B16" t="s">
        <v>683</v>
      </c>
      <c r="C16" s="618">
        <f>C11</f>
        <v>40712.49</v>
      </c>
      <c r="D16" s="618">
        <f t="shared" ref="D16:M16" si="3">C16*(1+D17)</f>
        <v>40207.646811612743</v>
      </c>
      <c r="E16" s="618">
        <f t="shared" si="3"/>
        <v>40066.019247343429</v>
      </c>
      <c r="F16" s="618">
        <f t="shared" si="3"/>
        <v>40280.588676782747</v>
      </c>
      <c r="G16" s="618">
        <f t="shared" si="3"/>
        <v>40853.910239479148</v>
      </c>
      <c r="H16" s="618">
        <f t="shared" si="3"/>
        <v>41798.084864312979</v>
      </c>
      <c r="I16" s="618">
        <f t="shared" si="3"/>
        <v>43135.155363900805</v>
      </c>
      <c r="J16" s="618">
        <f t="shared" si="3"/>
        <v>44897.942444095592</v>
      </c>
      <c r="K16" s="618">
        <f t="shared" si="3"/>
        <v>47131.363610577268</v>
      </c>
      <c r="L16" s="618">
        <f t="shared" si="3"/>
        <v>49894.307812576517</v>
      </c>
      <c r="M16" s="618">
        <f t="shared" si="3"/>
        <v>53262.173589925427</v>
      </c>
    </row>
    <row r="17" spans="2:15">
      <c r="B17" t="s">
        <v>684</v>
      </c>
      <c r="C17" s="619"/>
      <c r="D17" s="622">
        <f>Assumptions!D54</f>
        <v>-1.2400204172902716E-2</v>
      </c>
      <c r="E17" s="622">
        <f t="shared" ref="E17:L17" si="4">D17-$O$17</f>
        <v>-3.5224037092468578E-3</v>
      </c>
      <c r="F17" s="622">
        <f t="shared" si="4"/>
        <v>5.3553967544090007E-3</v>
      </c>
      <c r="G17" s="622">
        <f t="shared" si="4"/>
        <v>1.4233197218064859E-2</v>
      </c>
      <c r="H17" s="622">
        <f t="shared" si="4"/>
        <v>2.3110997681720716E-2</v>
      </c>
      <c r="I17" s="622">
        <f t="shared" si="4"/>
        <v>3.1988798145376571E-2</v>
      </c>
      <c r="J17" s="622">
        <f t="shared" si="4"/>
        <v>4.0866598609032426E-2</v>
      </c>
      <c r="K17" s="622">
        <f t="shared" si="4"/>
        <v>4.9744399072688281E-2</v>
      </c>
      <c r="L17" s="622">
        <f t="shared" si="4"/>
        <v>5.8622199536344136E-2</v>
      </c>
      <c r="M17" s="622">
        <v>6.7500000000000004E-2</v>
      </c>
      <c r="N17" s="341">
        <f>D17-M17</f>
        <v>-7.9900204172902722E-2</v>
      </c>
      <c r="O17">
        <f>N17/9</f>
        <v>-8.8778004636558584E-3</v>
      </c>
    </row>
    <row r="18" spans="2:15">
      <c r="C18" s="619"/>
      <c r="D18" s="619"/>
      <c r="E18" s="619"/>
      <c r="F18" s="619"/>
      <c r="G18" s="619"/>
      <c r="H18" s="619"/>
      <c r="I18" s="619"/>
      <c r="J18" s="619"/>
      <c r="K18" s="619"/>
      <c r="L18" s="619"/>
      <c r="M18" s="619"/>
    </row>
    <row r="19" spans="2:15">
      <c r="B19" s="518" t="s">
        <v>687</v>
      </c>
      <c r="C19" s="628">
        <v>3</v>
      </c>
      <c r="D19" s="619"/>
      <c r="E19" s="619"/>
      <c r="F19" s="619"/>
      <c r="G19" s="619"/>
      <c r="H19" s="619"/>
      <c r="I19" s="619"/>
      <c r="J19" s="619"/>
      <c r="K19" s="619"/>
      <c r="L19" s="619"/>
      <c r="M19" s="619"/>
    </row>
    <row r="20" spans="2:15">
      <c r="B20" s="616" t="s">
        <v>671</v>
      </c>
      <c r="C20" s="617" t="s">
        <v>672</v>
      </c>
      <c r="D20" s="617" t="s">
        <v>673</v>
      </c>
      <c r="E20" s="617" t="s">
        <v>674</v>
      </c>
      <c r="F20" s="617" t="s">
        <v>675</v>
      </c>
      <c r="G20" s="617" t="s">
        <v>676</v>
      </c>
      <c r="H20" s="617" t="s">
        <v>677</v>
      </c>
      <c r="I20" s="617" t="s">
        <v>678</v>
      </c>
      <c r="J20" s="617" t="s">
        <v>679</v>
      </c>
      <c r="K20" s="617" t="s">
        <v>680</v>
      </c>
      <c r="L20" s="617" t="s">
        <v>681</v>
      </c>
      <c r="M20" s="617" t="s">
        <v>682</v>
      </c>
    </row>
    <row r="21" spans="2:15">
      <c r="B21" t="s">
        <v>683</v>
      </c>
      <c r="C21" s="618">
        <f>C6</f>
        <v>40712.49</v>
      </c>
      <c r="D21" s="618">
        <f t="shared" ref="D21:M21" si="5">C21*(1+D22)</f>
        <v>40207.646811612743</v>
      </c>
      <c r="E21" s="618">
        <f t="shared" si="5"/>
        <v>40066.019247343429</v>
      </c>
      <c r="F21" s="618">
        <f t="shared" si="5"/>
        <v>40280.588676782747</v>
      </c>
      <c r="G21" s="618">
        <f t="shared" si="5"/>
        <v>40853.910239479148</v>
      </c>
      <c r="H21" s="618">
        <f t="shared" si="5"/>
        <v>41798.084864312979</v>
      </c>
      <c r="I21" s="618">
        <f t="shared" si="5"/>
        <v>43135.155363900805</v>
      </c>
      <c r="J21" s="618">
        <f t="shared" si="5"/>
        <v>44897.942444095592</v>
      </c>
      <c r="K21" s="618">
        <f t="shared" si="5"/>
        <v>47131.363610577268</v>
      </c>
      <c r="L21" s="618">
        <f t="shared" si="5"/>
        <v>49894.307812576517</v>
      </c>
      <c r="M21" s="618">
        <f t="shared" si="5"/>
        <v>53262.173589925427</v>
      </c>
    </row>
    <row r="22" spans="2:15">
      <c r="B22" t="s">
        <v>684</v>
      </c>
      <c r="C22" s="619"/>
      <c r="D22" s="629">
        <f t="shared" ref="D22:M22" si="6">CHOOSE($C$19,D7,D12,D17)</f>
        <v>-1.2400204172902716E-2</v>
      </c>
      <c r="E22" s="629">
        <f t="shared" si="6"/>
        <v>-3.5224037092468578E-3</v>
      </c>
      <c r="F22" s="629">
        <f t="shared" si="6"/>
        <v>5.3553967544090007E-3</v>
      </c>
      <c r="G22" s="629">
        <f t="shared" si="6"/>
        <v>1.4233197218064859E-2</v>
      </c>
      <c r="H22" s="629">
        <f t="shared" si="6"/>
        <v>2.3110997681720716E-2</v>
      </c>
      <c r="I22" s="629">
        <f t="shared" si="6"/>
        <v>3.1988798145376571E-2</v>
      </c>
      <c r="J22" s="629">
        <f t="shared" si="6"/>
        <v>4.0866598609032426E-2</v>
      </c>
      <c r="K22" s="629">
        <f t="shared" si="6"/>
        <v>4.9744399072688281E-2</v>
      </c>
      <c r="L22" s="629">
        <f t="shared" si="6"/>
        <v>5.8622199536344136E-2</v>
      </c>
      <c r="M22" s="629">
        <f t="shared" si="6"/>
        <v>6.7500000000000004E-2</v>
      </c>
    </row>
  </sheetData>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R32"/>
  <sheetViews>
    <sheetView tabSelected="1" zoomScale="79" zoomScaleNormal="79" workbookViewId="0">
      <selection activeCell="C11" sqref="C11"/>
    </sheetView>
  </sheetViews>
  <sheetFormatPr defaultColWidth="8.6640625" defaultRowHeight="14.4"/>
  <cols>
    <col min="1" max="1" width="1.88671875" customWidth="1"/>
    <col min="2" max="2" width="29.88671875" customWidth="1"/>
    <col min="3" max="3" width="11.88671875" customWidth="1"/>
    <col min="4" max="12" width="12.44140625" customWidth="1"/>
    <col min="13" max="13" width="12.88671875" customWidth="1"/>
    <col min="14" max="14" width="2.44140625" customWidth="1"/>
    <col min="15" max="15" width="13.21875" customWidth="1"/>
    <col min="16" max="16" width="2.44140625" customWidth="1"/>
    <col min="17" max="17" width="44.44140625" customWidth="1"/>
    <col min="18" max="18" width="7" customWidth="1"/>
  </cols>
  <sheetData>
    <row r="1" spans="2:18">
      <c r="B1" s="614" t="s">
        <v>688</v>
      </c>
    </row>
    <row r="2" spans="2:18">
      <c r="D2">
        <v>1</v>
      </c>
      <c r="E2">
        <v>2</v>
      </c>
      <c r="F2">
        <v>3</v>
      </c>
      <c r="G2">
        <v>4</v>
      </c>
      <c r="H2">
        <v>5</v>
      </c>
      <c r="I2">
        <v>6</v>
      </c>
      <c r="J2">
        <v>7</v>
      </c>
      <c r="K2">
        <v>8</v>
      </c>
      <c r="L2">
        <v>9</v>
      </c>
      <c r="M2">
        <v>10</v>
      </c>
    </row>
    <row r="3" spans="2:18">
      <c r="B3" s="630" t="s">
        <v>689</v>
      </c>
      <c r="C3" s="617" t="s">
        <v>672</v>
      </c>
      <c r="D3" s="617" t="s">
        <v>673</v>
      </c>
      <c r="E3" s="617" t="s">
        <v>674</v>
      </c>
      <c r="F3" s="617" t="s">
        <v>675</v>
      </c>
      <c r="G3" s="617" t="s">
        <v>676</v>
      </c>
      <c r="H3" s="617" t="s">
        <v>677</v>
      </c>
      <c r="I3" s="617" t="s">
        <v>678</v>
      </c>
      <c r="J3" s="617" t="s">
        <v>679</v>
      </c>
      <c r="K3" s="617" t="s">
        <v>680</v>
      </c>
      <c r="L3" s="617" t="s">
        <v>681</v>
      </c>
      <c r="M3" s="617" t="s">
        <v>682</v>
      </c>
      <c r="N3" s="518"/>
      <c r="O3" s="630" t="s">
        <v>690</v>
      </c>
      <c r="Q3" s="631" t="s">
        <v>691</v>
      </c>
      <c r="R3" s="341">
        <v>0.05</v>
      </c>
    </row>
    <row r="4" spans="2:18">
      <c r="B4" s="632" t="s">
        <v>692</v>
      </c>
      <c r="C4" s="633">
        <f>'Growth Scenario'!C21</f>
        <v>40712.49</v>
      </c>
      <c r="D4" s="633">
        <f>'Growth Scenario'!D21</f>
        <v>40207.646811612743</v>
      </c>
      <c r="E4" s="633">
        <f>'Growth Scenario'!E21</f>
        <v>40066.019247343429</v>
      </c>
      <c r="F4" s="633">
        <f>'Growth Scenario'!F21</f>
        <v>40280.588676782747</v>
      </c>
      <c r="G4" s="633">
        <f>'Growth Scenario'!G21</f>
        <v>40853.910239479148</v>
      </c>
      <c r="H4" s="633">
        <f>'Growth Scenario'!H21</f>
        <v>41798.084864312979</v>
      </c>
      <c r="I4" s="633">
        <f>'Growth Scenario'!I21</f>
        <v>43135.155363900805</v>
      </c>
      <c r="J4" s="633">
        <f>'Growth Scenario'!J21</f>
        <v>44897.942444095592</v>
      </c>
      <c r="K4" s="633">
        <f>'Growth Scenario'!K21</f>
        <v>47131.363610577268</v>
      </c>
      <c r="L4" s="633">
        <f>'Growth Scenario'!L21</f>
        <v>49894.307812576517</v>
      </c>
      <c r="M4" s="633">
        <f>'Growth Scenario'!M21</f>
        <v>53262.173589925427</v>
      </c>
      <c r="O4" s="633">
        <f>M4*(1+R3)</f>
        <v>55925.282269421703</v>
      </c>
      <c r="Q4" s="631" t="s">
        <v>693</v>
      </c>
      <c r="R4" s="341">
        <f>WACC!E25</f>
        <v>0.17437172465234119</v>
      </c>
    </row>
    <row r="5" spans="2:18">
      <c r="B5" s="632" t="s">
        <v>694</v>
      </c>
      <c r="D5" s="341">
        <f>'Growth Scenario'!D22</f>
        <v>-1.2400204172902716E-2</v>
      </c>
      <c r="E5" s="341">
        <f>'Growth Scenario'!E22</f>
        <v>-3.5224037092468578E-3</v>
      </c>
      <c r="F5" s="341">
        <f>'Growth Scenario'!F22</f>
        <v>5.3553967544090007E-3</v>
      </c>
      <c r="G5" s="341">
        <f>'Growth Scenario'!G22</f>
        <v>1.4233197218064859E-2</v>
      </c>
      <c r="H5" s="341">
        <f>'Growth Scenario'!H22</f>
        <v>2.3110997681720716E-2</v>
      </c>
      <c r="I5" s="341">
        <f>'Growth Scenario'!I22</f>
        <v>3.1988798145376571E-2</v>
      </c>
      <c r="J5" s="341">
        <f>'Growth Scenario'!J22</f>
        <v>4.0866598609032426E-2</v>
      </c>
      <c r="K5" s="341">
        <f>'Growth Scenario'!K22</f>
        <v>4.9744399072688281E-2</v>
      </c>
      <c r="L5" s="341">
        <f>'Growth Scenario'!L22</f>
        <v>5.8622199536344136E-2</v>
      </c>
      <c r="M5" s="341">
        <f>'Growth Scenario'!M22</f>
        <v>6.7500000000000004E-2</v>
      </c>
      <c r="O5" s="341">
        <f>R3</f>
        <v>0.05</v>
      </c>
      <c r="Q5" s="631" t="s">
        <v>695</v>
      </c>
      <c r="R5" s="341">
        <f>R3*R4</f>
        <v>8.7185862326170597E-3</v>
      </c>
    </row>
    <row r="6" spans="2:18">
      <c r="B6" s="632" t="s">
        <v>475</v>
      </c>
      <c r="D6" s="634">
        <f t="shared" ref="D6:M6" si="0">D7*D4</f>
        <v>3985.8944098341249</v>
      </c>
      <c r="E6" s="634">
        <f t="shared" si="0"/>
        <v>3971.8544805802585</v>
      </c>
      <c r="F6" s="634">
        <f t="shared" si="0"/>
        <v>3993.1253371745433</v>
      </c>
      <c r="G6" s="634">
        <f t="shared" si="0"/>
        <v>4049.9602776150009</v>
      </c>
      <c r="H6" s="634">
        <f t="shared" si="0"/>
        <v>4143.5589002020224</v>
      </c>
      <c r="I6" s="634">
        <f t="shared" si="0"/>
        <v>4276.1063694640634</v>
      </c>
      <c r="J6" s="634">
        <f t="shared" si="0"/>
        <v>4450.856292074478</v>
      </c>
      <c r="K6" s="634">
        <f t="shared" si="0"/>
        <v>4672.2614636826156</v>
      </c>
      <c r="L6" s="634">
        <f t="shared" si="0"/>
        <v>4946.1597074925894</v>
      </c>
      <c r="M6" s="634">
        <f t="shared" si="0"/>
        <v>5280.0254877483385</v>
      </c>
      <c r="O6" s="440">
        <f>O7*O4</f>
        <v>5544.0267621357561</v>
      </c>
      <c r="Q6" s="631"/>
    </row>
    <row r="7" spans="2:18">
      <c r="B7" s="632" t="s">
        <v>696</v>
      </c>
      <c r="D7" s="341">
        <f>AVERAGE(Ratios!C13:G13)</f>
        <v>9.9132745283738458E-2</v>
      </c>
      <c r="E7" s="341">
        <f t="shared" ref="E7:M7" si="1">D7</f>
        <v>9.9132745283738458E-2</v>
      </c>
      <c r="F7" s="341">
        <f t="shared" si="1"/>
        <v>9.9132745283738458E-2</v>
      </c>
      <c r="G7" s="341">
        <f t="shared" si="1"/>
        <v>9.9132745283738458E-2</v>
      </c>
      <c r="H7" s="341">
        <f t="shared" si="1"/>
        <v>9.9132745283738458E-2</v>
      </c>
      <c r="I7" s="341">
        <f t="shared" si="1"/>
        <v>9.9132745283738458E-2</v>
      </c>
      <c r="J7" s="341">
        <f t="shared" si="1"/>
        <v>9.9132745283738458E-2</v>
      </c>
      <c r="K7" s="341">
        <f t="shared" si="1"/>
        <v>9.9132745283738458E-2</v>
      </c>
      <c r="L7" s="341">
        <f t="shared" si="1"/>
        <v>9.9132745283738458E-2</v>
      </c>
      <c r="M7" s="341">
        <f t="shared" si="1"/>
        <v>9.9132745283738458E-2</v>
      </c>
      <c r="O7" s="341">
        <f>M7</f>
        <v>9.9132745283738458E-2</v>
      </c>
      <c r="Q7" s="631" t="s">
        <v>697</v>
      </c>
    </row>
    <row r="8" spans="2:18">
      <c r="B8" s="632" t="s">
        <v>553</v>
      </c>
      <c r="D8" s="633">
        <f t="shared" ref="D8:M8" si="2">25%*D6</f>
        <v>996.47360245853122</v>
      </c>
      <c r="E8" s="633">
        <f t="shared" si="2"/>
        <v>992.96362014506462</v>
      </c>
      <c r="F8" s="633">
        <f t="shared" si="2"/>
        <v>998.28133429363584</v>
      </c>
      <c r="G8" s="633">
        <f t="shared" si="2"/>
        <v>1012.4900694037502</v>
      </c>
      <c r="H8" s="633">
        <f t="shared" si="2"/>
        <v>1035.8897250505056</v>
      </c>
      <c r="I8" s="633">
        <f t="shared" si="2"/>
        <v>1069.0265923660158</v>
      </c>
      <c r="J8" s="633">
        <f t="shared" si="2"/>
        <v>1112.7140730186195</v>
      </c>
      <c r="K8" s="633">
        <f t="shared" si="2"/>
        <v>1168.0653659206539</v>
      </c>
      <c r="L8" s="633">
        <f t="shared" si="2"/>
        <v>1236.5399268731474</v>
      </c>
      <c r="M8" s="633">
        <f t="shared" si="2"/>
        <v>1320.0063719370846</v>
      </c>
      <c r="O8" s="440">
        <f>25%*O6</f>
        <v>1386.006690533939</v>
      </c>
    </row>
    <row r="9" spans="2:18" s="518" customFormat="1">
      <c r="B9" s="635" t="s">
        <v>698</v>
      </c>
      <c r="D9" s="636">
        <f t="shared" ref="D9:M9" si="3">D6-D8</f>
        <v>2989.4208073755935</v>
      </c>
      <c r="E9" s="636">
        <f t="shared" si="3"/>
        <v>2978.8908604351936</v>
      </c>
      <c r="F9" s="636">
        <f t="shared" si="3"/>
        <v>2994.8440028809073</v>
      </c>
      <c r="G9" s="636">
        <f t="shared" si="3"/>
        <v>3037.4702082112508</v>
      </c>
      <c r="H9" s="636">
        <f t="shared" si="3"/>
        <v>3107.6691751515168</v>
      </c>
      <c r="I9" s="636">
        <f t="shared" si="3"/>
        <v>3207.0797770980475</v>
      </c>
      <c r="J9" s="636">
        <f t="shared" si="3"/>
        <v>3338.1422190558587</v>
      </c>
      <c r="K9" s="636">
        <f t="shared" si="3"/>
        <v>3504.1960977619619</v>
      </c>
      <c r="L9" s="636">
        <f t="shared" si="3"/>
        <v>3709.6197806194423</v>
      </c>
      <c r="M9" s="636">
        <f t="shared" si="3"/>
        <v>3960.0191158112539</v>
      </c>
      <c r="O9" s="637">
        <f>O6-O8</f>
        <v>4158.0200716018171</v>
      </c>
    </row>
    <row r="10" spans="2:18">
      <c r="B10" s="632" t="s">
        <v>699</v>
      </c>
      <c r="D10" s="440">
        <f>'Fixed Asset Schedule '!$C$12*'Valuation '!D4</f>
        <v>-131.79586281425532</v>
      </c>
      <c r="E10" s="440">
        <f>'Fixed Asset Schedule '!$C$12*'Valuation '!E4</f>
        <v>-131.33162457821498</v>
      </c>
      <c r="F10" s="440">
        <f>'Fixed Asset Schedule '!$C$12*'Valuation '!F4</f>
        <v>-132.03495753423243</v>
      </c>
      <c r="G10" s="440">
        <f>'Fixed Asset Schedule '!$C$12*'Valuation '!G4</f>
        <v>-133.914237124496</v>
      </c>
      <c r="H10" s="440">
        <f>'Fixed Asset Schedule '!$C$12*'Valuation '!H4</f>
        <v>-137.00912874822961</v>
      </c>
      <c r="I10" s="440">
        <f>'Fixed Asset Schedule '!$C$12*'Valuation '!I4</f>
        <v>-141.39188611183064</v>
      </c>
      <c r="J10" s="440">
        <f>'Fixed Asset Schedule '!$C$12*'Valuation '!J4</f>
        <v>-147.17009156813685</v>
      </c>
      <c r="K10" s="440">
        <f>'Fixed Asset Schedule '!$C$12*'Valuation '!K4</f>
        <v>-154.49097933466632</v>
      </c>
      <c r="L10" s="440">
        <f>'Fixed Asset Schedule '!$C$12*'Valuation '!L4</f>
        <v>-163.54758035178833</v>
      </c>
      <c r="M10" s="440">
        <f>'Fixed Asset Schedule '!$C$12*'Valuation '!M4</f>
        <v>-174.58704202553403</v>
      </c>
    </row>
    <row r="11" spans="2:18">
      <c r="B11" s="632" t="s">
        <v>700</v>
      </c>
      <c r="C11" s="638">
        <f>'Change in Working Cap'!G7</f>
        <v>-305.02999999999975</v>
      </c>
      <c r="D11" s="633">
        <f>'Change in Working Cap'!$C$11*'Valuation '!D4</f>
        <v>-663.49458051238912</v>
      </c>
      <c r="E11" s="633">
        <f>'Change in Working Cap'!$C$11*'Valuation '!E4</f>
        <v>-661.15748474092698</v>
      </c>
      <c r="F11" s="633">
        <f>'Change in Working Cap'!$C$11*'Valuation '!F4</f>
        <v>-664.69824538886189</v>
      </c>
      <c r="G11" s="633">
        <f>'Change in Working Cap'!$C$11*'Valuation '!G4</f>
        <v>-674.15902660598329</v>
      </c>
      <c r="H11" s="633">
        <f>'Change in Working Cap'!$C$11*'Valuation '!H4</f>
        <v>-689.73951430698526</v>
      </c>
      <c r="I11" s="633">
        <f>'Change in Working Cap'!$C$11*'Valuation '!I4</f>
        <v>-711.80345240304143</v>
      </c>
      <c r="J11" s="633">
        <f>'Change in Working Cap'!$C$11*'Valuation '!J4</f>
        <v>-740.89243838092011</v>
      </c>
      <c r="K11" s="633">
        <f>'Change in Working Cap'!$C$11*'Valuation '!K4</f>
        <v>-777.74768750567762</v>
      </c>
      <c r="L11" s="633">
        <f>'Change in Working Cap'!$C$11*'Valuation '!L4</f>
        <v>-823.34096763156572</v>
      </c>
      <c r="M11" s="633">
        <f>'Change in Working Cap'!$C$11*'Valuation '!M4</f>
        <v>-878.91648294669631</v>
      </c>
    </row>
    <row r="12" spans="2:18">
      <c r="B12" s="632" t="s">
        <v>701</v>
      </c>
      <c r="D12" s="633">
        <f t="shared" ref="D12:M12" si="4">D11-C11</f>
        <v>-358.46458051238938</v>
      </c>
      <c r="E12" s="633">
        <f t="shared" si="4"/>
        <v>2.3370957714621454</v>
      </c>
      <c r="F12" s="633">
        <f t="shared" si="4"/>
        <v>-3.540760647934917</v>
      </c>
      <c r="G12" s="633">
        <f t="shared" si="4"/>
        <v>-9.4607812171213936</v>
      </c>
      <c r="H12" s="633">
        <f t="shared" si="4"/>
        <v>-15.580487701001971</v>
      </c>
      <c r="I12" s="633">
        <f t="shared" si="4"/>
        <v>-22.063938096056177</v>
      </c>
      <c r="J12" s="633">
        <f t="shared" si="4"/>
        <v>-29.088985977878679</v>
      </c>
      <c r="K12" s="633">
        <f t="shared" si="4"/>
        <v>-36.855249124757506</v>
      </c>
      <c r="L12" s="633">
        <f t="shared" si="4"/>
        <v>-45.5932801258881</v>
      </c>
      <c r="M12" s="633">
        <f t="shared" si="4"/>
        <v>-55.575515315130588</v>
      </c>
    </row>
    <row r="13" spans="2:18">
      <c r="B13" s="632" t="s">
        <v>557</v>
      </c>
      <c r="D13" s="440">
        <f t="shared" ref="D13:M13" si="5">D10+D12</f>
        <v>-490.26044332664469</v>
      </c>
      <c r="E13" s="440">
        <f t="shared" si="5"/>
        <v>-128.99452880675284</v>
      </c>
      <c r="F13" s="440">
        <f t="shared" si="5"/>
        <v>-135.57571818216735</v>
      </c>
      <c r="G13" s="440">
        <f t="shared" si="5"/>
        <v>-143.37501834161739</v>
      </c>
      <c r="H13" s="440">
        <f t="shared" si="5"/>
        <v>-152.58961644923158</v>
      </c>
      <c r="I13" s="440">
        <f t="shared" si="5"/>
        <v>-163.45582420788682</v>
      </c>
      <c r="J13" s="440">
        <f t="shared" si="5"/>
        <v>-176.25907754601553</v>
      </c>
      <c r="K13" s="440">
        <f t="shared" si="5"/>
        <v>-191.34622845942383</v>
      </c>
      <c r="L13" s="440">
        <f t="shared" si="5"/>
        <v>-209.14086047767643</v>
      </c>
      <c r="M13" s="440">
        <f t="shared" si="5"/>
        <v>-230.16255734066462</v>
      </c>
      <c r="O13" s="440">
        <f>O9*O15</f>
        <v>36.252056551213002</v>
      </c>
    </row>
    <row r="14" spans="2:18">
      <c r="B14" s="635" t="s">
        <v>702</v>
      </c>
      <c r="D14" s="636">
        <f t="shared" ref="D14:M14" si="6">D9-D13</f>
        <v>3479.6812507022382</v>
      </c>
      <c r="E14" s="636">
        <f t="shared" si="6"/>
        <v>3107.8853892419465</v>
      </c>
      <c r="F14" s="636">
        <f t="shared" si="6"/>
        <v>3130.4197210630746</v>
      </c>
      <c r="G14" s="636">
        <f t="shared" si="6"/>
        <v>3180.8452265528681</v>
      </c>
      <c r="H14" s="636">
        <f t="shared" si="6"/>
        <v>3260.2587916007483</v>
      </c>
      <c r="I14" s="636">
        <f t="shared" si="6"/>
        <v>3370.5356013059345</v>
      </c>
      <c r="J14" s="636">
        <f t="shared" si="6"/>
        <v>3514.4012966018745</v>
      </c>
      <c r="K14" s="636">
        <f t="shared" si="6"/>
        <v>3695.5423262213858</v>
      </c>
      <c r="L14" s="636">
        <f t="shared" si="6"/>
        <v>3918.7606410971189</v>
      </c>
      <c r="M14" s="636">
        <f t="shared" si="6"/>
        <v>4190.1816731519184</v>
      </c>
      <c r="O14" s="440">
        <f>O9-O13</f>
        <v>4121.7680150506039</v>
      </c>
    </row>
    <row r="15" spans="2:18">
      <c r="B15" t="s">
        <v>703</v>
      </c>
      <c r="D15" s="639">
        <f t="shared" ref="D15:M15" si="7">D13/D9</f>
        <v>-0.16399847158254155</v>
      </c>
      <c r="E15" s="639">
        <f t="shared" si="7"/>
        <v>-4.3302871723171391E-2</v>
      </c>
      <c r="F15" s="639">
        <f t="shared" si="7"/>
        <v>-4.5269709558076986E-2</v>
      </c>
      <c r="G15" s="639">
        <f t="shared" si="7"/>
        <v>-4.7202115087097478E-2</v>
      </c>
      <c r="H15" s="639">
        <f t="shared" si="7"/>
        <v>-4.9100984644477791E-2</v>
      </c>
      <c r="I15" s="639">
        <f t="shared" si="7"/>
        <v>-5.0967183721195478E-2</v>
      </c>
      <c r="J15" s="639">
        <f t="shared" si="7"/>
        <v>-5.2801548280308933E-2</v>
      </c>
      <c r="K15" s="639">
        <f t="shared" si="7"/>
        <v>-5.4604886005561057E-2</v>
      </c>
      <c r="L15" s="639">
        <f t="shared" si="7"/>
        <v>-5.6377977487157331E-2</v>
      </c>
      <c r="M15" s="639">
        <f t="shared" si="7"/>
        <v>-5.8121577348374309E-2</v>
      </c>
      <c r="O15" s="341">
        <f>R5</f>
        <v>8.7185862326170597E-3</v>
      </c>
    </row>
    <row r="17" spans="2:13">
      <c r="B17" t="s">
        <v>704</v>
      </c>
      <c r="M17" s="633">
        <f>-M14/(R4-R3)</f>
        <v>-33690.790128261215</v>
      </c>
    </row>
    <row r="19" spans="2:13">
      <c r="B19" t="s">
        <v>705</v>
      </c>
      <c r="D19" s="440">
        <f t="shared" ref="D19:M19" si="8">1/(1+$R$4)^D2</f>
        <v>0.85151913913461963</v>
      </c>
      <c r="E19" s="440">
        <f t="shared" si="8"/>
        <v>0.7250848443125637</v>
      </c>
      <c r="F19" s="440">
        <f t="shared" si="8"/>
        <v>0.61742362242859394</v>
      </c>
      <c r="G19" s="440">
        <f t="shared" si="8"/>
        <v>0.52574803145177473</v>
      </c>
      <c r="H19" s="440">
        <f t="shared" si="8"/>
        <v>0.44768451114353613</v>
      </c>
      <c r="I19" s="440">
        <f t="shared" si="8"/>
        <v>0.38121192953284688</v>
      </c>
      <c r="J19" s="440">
        <f t="shared" si="8"/>
        <v>0.32460925406365709</v>
      </c>
      <c r="K19" s="440">
        <f t="shared" si="8"/>
        <v>0.27641099257541629</v>
      </c>
      <c r="L19" s="440">
        <f t="shared" si="8"/>
        <v>0.23536925044516424</v>
      </c>
      <c r="M19" s="440">
        <f t="shared" si="8"/>
        <v>0.20042142151782694</v>
      </c>
    </row>
    <row r="21" spans="2:13">
      <c r="B21" t="s">
        <v>706</v>
      </c>
      <c r="D21">
        <f>SUMPRODUCT(D14:M14,D19:M19)</f>
        <v>15490.523348212131</v>
      </c>
    </row>
    <row r="22" spans="2:13">
      <c r="B22" t="s">
        <v>707</v>
      </c>
      <c r="D22" s="633">
        <f>M17*M19</f>
        <v>-6752.3560495648835</v>
      </c>
    </row>
    <row r="23" spans="2:13">
      <c r="D23" s="633"/>
      <c r="I23" s="516" t="s">
        <v>708</v>
      </c>
      <c r="J23" s="516"/>
      <c r="K23" s="516"/>
      <c r="L23" s="516"/>
      <c r="M23" s="516"/>
    </row>
    <row r="24" spans="2:13">
      <c r="B24" s="518" t="s">
        <v>709</v>
      </c>
      <c r="D24" s="636">
        <f>D21+D22</f>
        <v>8738.1672986472477</v>
      </c>
      <c r="I24" s="640">
        <f>D31</f>
        <v>4427.7436493236237</v>
      </c>
      <c r="J24" s="641">
        <f>K24-1%</f>
        <v>0.16437172465234118</v>
      </c>
      <c r="K24" s="641">
        <f>R4</f>
        <v>0.17437172465234119</v>
      </c>
      <c r="L24" s="641">
        <f>K24+1%</f>
        <v>0.1843717246523412</v>
      </c>
      <c r="M24" s="641">
        <f>L24+1%</f>
        <v>0.1943717246523412</v>
      </c>
    </row>
    <row r="25" spans="2:13">
      <c r="B25" s="632" t="s">
        <v>710</v>
      </c>
      <c r="D25" s="638">
        <f>'Consolidated BS 5y'!G43</f>
        <v>574.08000000000004</v>
      </c>
      <c r="I25" s="642">
        <f>I26-1%</f>
        <v>4.7E-2</v>
      </c>
      <c r="J25" s="273">
        <v>647.64580620614595</v>
      </c>
      <c r="K25" s="273">
        <v>647.64580620614595</v>
      </c>
      <c r="L25" s="273">
        <v>525.46010599211502</v>
      </c>
      <c r="M25" s="273">
        <v>380.79479708645698</v>
      </c>
    </row>
    <row r="26" spans="2:13">
      <c r="B26" s="632" t="s">
        <v>711</v>
      </c>
      <c r="D26" s="638">
        <f>'Consolidated BS 5y'!G16+'Consolidated BS 5y'!G22</f>
        <v>456.76</v>
      </c>
      <c r="I26" s="642">
        <f>I27-1%</f>
        <v>5.7000000000000002E-2</v>
      </c>
      <c r="J26" s="643">
        <v>488.12562856699702</v>
      </c>
      <c r="K26" s="643">
        <v>488.12562856699702</v>
      </c>
      <c r="L26" s="643">
        <v>411.636913568811</v>
      </c>
      <c r="M26" s="643">
        <v>313.33095938802302</v>
      </c>
    </row>
    <row r="27" spans="2:13">
      <c r="B27" s="632" t="s">
        <v>712</v>
      </c>
      <c r="I27" s="642">
        <v>6.7000000000000004E-2</v>
      </c>
      <c r="J27" s="643">
        <v>384.07289250976402</v>
      </c>
      <c r="K27" s="644">
        <v>384.07289250976402</v>
      </c>
      <c r="L27" s="643">
        <v>332.973848335573</v>
      </c>
      <c r="M27" s="643">
        <v>263.15812672608303</v>
      </c>
    </row>
    <row r="28" spans="2:13" ht="15" customHeight="1">
      <c r="B28" s="552" t="s">
        <v>713</v>
      </c>
      <c r="C28" s="553"/>
      <c r="D28" s="645">
        <f>D24+D25-D26-D27</f>
        <v>8855.4872986472474</v>
      </c>
      <c r="I28" s="642">
        <f>I27+1%</f>
        <v>7.6999999999999999E-2</v>
      </c>
      <c r="J28" s="643">
        <v>311.96099915341898</v>
      </c>
      <c r="K28" s="646">
        <v>311.96099915341898</v>
      </c>
      <c r="L28" s="643">
        <v>276.13090880691499</v>
      </c>
      <c r="M28" s="643">
        <v>224.78524187873401</v>
      </c>
    </row>
    <row r="29" spans="2:13" ht="15" customHeight="1">
      <c r="I29" s="642">
        <f>I28+1%</f>
        <v>8.6999999999999994E-2</v>
      </c>
      <c r="J29" s="643">
        <v>259.700083446272</v>
      </c>
      <c r="K29" s="643">
        <v>259.700083446272</v>
      </c>
      <c r="L29" s="643">
        <v>233.60487919839599</v>
      </c>
      <c r="M29" s="643">
        <v>194.742479081602</v>
      </c>
    </row>
    <row r="30" spans="2:13">
      <c r="B30" s="632" t="s">
        <v>714</v>
      </c>
      <c r="D30">
        <v>2</v>
      </c>
    </row>
    <row r="31" spans="2:13" ht="15" customHeight="1">
      <c r="B31" s="552" t="s">
        <v>715</v>
      </c>
      <c r="C31" s="553"/>
      <c r="D31" s="554">
        <f>D28/D30</f>
        <v>4427.7436493236237</v>
      </c>
      <c r="F31" s="552" t="s">
        <v>716</v>
      </c>
    </row>
    <row r="32" spans="2:13" ht="15" customHeight="1"/>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About </vt:lpstr>
      <vt:lpstr>Promoter </vt:lpstr>
      <vt:lpstr>Public Holdings</vt:lpstr>
      <vt:lpstr>Consolidated Balance sheet </vt:lpstr>
      <vt:lpstr>Consolidated PL</vt:lpstr>
      <vt:lpstr>Consolidated CF</vt:lpstr>
      <vt:lpstr>ConsolidatedQuaterly </vt:lpstr>
      <vt:lpstr>Peers</vt:lpstr>
      <vt:lpstr>Stock Analysis</vt:lpstr>
      <vt:lpstr>BETA </vt:lpstr>
      <vt:lpstr>Consolidated PL 5y</vt:lpstr>
      <vt:lpstr>Consolidated BS 5y</vt:lpstr>
      <vt:lpstr>Assumptions</vt:lpstr>
      <vt:lpstr>Ratios</vt:lpstr>
      <vt:lpstr>Fixed Asset Schedule </vt:lpstr>
      <vt:lpstr>Change in Working Cap</vt:lpstr>
      <vt:lpstr>FCFF</vt:lpstr>
      <vt:lpstr>Raw Data Relative Valuation</vt:lpstr>
      <vt:lpstr>Relative Valuation</vt:lpstr>
      <vt:lpstr>Consolidated CF.</vt:lpstr>
      <vt:lpstr>WACC</vt:lpstr>
      <vt:lpstr>Growth Scenario</vt:lpstr>
      <vt:lpstr>Valuation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 singh</dc:creator>
  <dc:description/>
  <cp:lastModifiedBy>hi singh</cp:lastModifiedBy>
  <cp:revision>1</cp:revision>
  <dcterms:created xsi:type="dcterms:W3CDTF">2026-04-20T04:35:32Z</dcterms:created>
  <dcterms:modified xsi:type="dcterms:W3CDTF">2026-06-10T07:18:16Z</dcterms:modified>
  <dc:language>en-US</dc:language>
</cp:coreProperties>
</file>