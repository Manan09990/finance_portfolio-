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an\Desktop\cip hero\Finalized\"/>
    </mc:Choice>
  </mc:AlternateContent>
  <xr:revisionPtr revIDLastSave="0" documentId="13_ncr:1_{F15B808C-6248-4498-9179-643D0196E153}" xr6:coauthVersionLast="47" xr6:coauthVersionMax="47" xr10:uidLastSave="{00000000-0000-0000-0000-000000000000}"/>
  <bookViews>
    <workbookView xWindow="-108" yWindow="-108" windowWidth="23256" windowHeight="13896" tabRatio="500" firstSheet="9" activeTab="13" xr2:uid="{00000000-000D-0000-FFFF-FFFF00000000}"/>
  </bookViews>
  <sheets>
    <sheet name="About" sheetId="1" r:id="rId1"/>
    <sheet name="Shareholding " sheetId="2" r:id="rId2"/>
    <sheet name="Data Sheet" sheetId="3" r:id="rId3"/>
    <sheet name="Historical FS" sheetId="4" r:id="rId4"/>
    <sheet name="Assumptions" sheetId="5" r:id="rId5"/>
    <sheet name="Ratio Analysis" sheetId="6" r:id="rId6"/>
    <sheet name="Fixed Assets Schedule" sheetId="7" r:id="rId7"/>
    <sheet name="Changes In Working Capital" sheetId="8" r:id="rId8"/>
    <sheet name="FCFF" sheetId="9" r:id="rId9"/>
    <sheet name="Beta Calculation" sheetId="10" r:id="rId10"/>
    <sheet name="WACC" sheetId="11" r:id="rId11"/>
    <sheet name="Growth Scenarios" sheetId="12" r:id="rId12"/>
    <sheet name="Valuation" sheetId="13" r:id="rId13"/>
    <sheet name="Relative Valuation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4" l="1"/>
  <c r="P26" i="14" s="1"/>
  <c r="Q26" i="14" s="1"/>
  <c r="P24" i="14"/>
  <c r="Q24" i="14" s="1"/>
  <c r="O24" i="14"/>
  <c r="Q16" i="14"/>
  <c r="Q13" i="14"/>
  <c r="M13" i="14"/>
  <c r="E13" i="14"/>
  <c r="H13" i="14" s="1"/>
  <c r="P13" i="14" s="1"/>
  <c r="Q12" i="14"/>
  <c r="M12" i="14"/>
  <c r="E12" i="14"/>
  <c r="H12" i="14" s="1"/>
  <c r="Q11" i="14"/>
  <c r="Q18" i="14" s="1"/>
  <c r="Q25" i="14" s="1"/>
  <c r="P11" i="14"/>
  <c r="O11" i="14"/>
  <c r="M11" i="14"/>
  <c r="E11" i="14"/>
  <c r="H11" i="14" s="1"/>
  <c r="Q10" i="14"/>
  <c r="M10" i="14"/>
  <c r="E10" i="14"/>
  <c r="H10" i="14" s="1"/>
  <c r="Q9" i="14"/>
  <c r="M9" i="14"/>
  <c r="E9" i="14"/>
  <c r="H9" i="14" s="1"/>
  <c r="O9" i="14" s="1"/>
  <c r="F34" i="12"/>
  <c r="E34" i="12"/>
  <c r="M22" i="12"/>
  <c r="C21" i="12"/>
  <c r="C30" i="11"/>
  <c r="C20" i="11"/>
  <c r="C23" i="11" s="1"/>
  <c r="C17" i="11"/>
  <c r="C12" i="11"/>
  <c r="C10" i="13" s="1"/>
  <c r="I72" i="10"/>
  <c r="D72" i="10"/>
  <c r="I71" i="10"/>
  <c r="D71" i="10"/>
  <c r="I70" i="10"/>
  <c r="D70" i="10"/>
  <c r="I69" i="10"/>
  <c r="D69" i="10"/>
  <c r="I68" i="10"/>
  <c r="D68" i="10"/>
  <c r="I67" i="10"/>
  <c r="D67" i="10"/>
  <c r="I66" i="10"/>
  <c r="D66" i="10"/>
  <c r="I65" i="10"/>
  <c r="D65" i="10"/>
  <c r="I64" i="10"/>
  <c r="D64" i="10"/>
  <c r="I63" i="10"/>
  <c r="D63" i="10"/>
  <c r="I62" i="10"/>
  <c r="D62" i="10"/>
  <c r="I61" i="10"/>
  <c r="D61" i="10"/>
  <c r="I60" i="10"/>
  <c r="D60" i="10"/>
  <c r="I59" i="10"/>
  <c r="D59" i="10"/>
  <c r="I58" i="10"/>
  <c r="D58" i="10"/>
  <c r="I57" i="10"/>
  <c r="D57" i="10"/>
  <c r="I56" i="10"/>
  <c r="D56" i="10"/>
  <c r="I55" i="10"/>
  <c r="D55" i="10"/>
  <c r="I54" i="10"/>
  <c r="D54" i="10"/>
  <c r="I53" i="10"/>
  <c r="D53" i="10"/>
  <c r="I52" i="10"/>
  <c r="D52" i="10"/>
  <c r="I51" i="10"/>
  <c r="D51" i="10"/>
  <c r="I50" i="10"/>
  <c r="D50" i="10"/>
  <c r="I49" i="10"/>
  <c r="D49" i="10"/>
  <c r="I48" i="10"/>
  <c r="D48" i="10"/>
  <c r="I47" i="10"/>
  <c r="D47" i="10"/>
  <c r="I46" i="10"/>
  <c r="D46" i="10"/>
  <c r="I45" i="10"/>
  <c r="D45" i="10"/>
  <c r="I44" i="10"/>
  <c r="D44" i="10"/>
  <c r="I43" i="10"/>
  <c r="D43" i="10"/>
  <c r="I42" i="10"/>
  <c r="D42" i="10"/>
  <c r="I41" i="10"/>
  <c r="D41" i="10"/>
  <c r="I40" i="10"/>
  <c r="D40" i="10"/>
  <c r="I39" i="10"/>
  <c r="D39" i="10"/>
  <c r="I38" i="10"/>
  <c r="D38" i="10"/>
  <c r="I37" i="10"/>
  <c r="D37" i="10"/>
  <c r="I36" i="10"/>
  <c r="D36" i="10"/>
  <c r="I35" i="10"/>
  <c r="D35" i="10"/>
  <c r="I34" i="10"/>
  <c r="D34" i="10"/>
  <c r="I33" i="10"/>
  <c r="D33" i="10"/>
  <c r="I32" i="10"/>
  <c r="D32" i="10"/>
  <c r="I31" i="10"/>
  <c r="D31" i="10"/>
  <c r="I30" i="10"/>
  <c r="D30" i="10"/>
  <c r="I29" i="10"/>
  <c r="D29" i="10"/>
  <c r="I28" i="10"/>
  <c r="D28" i="10"/>
  <c r="I27" i="10"/>
  <c r="D27" i="10"/>
  <c r="I26" i="10"/>
  <c r="D26" i="10"/>
  <c r="I25" i="10"/>
  <c r="D25" i="10"/>
  <c r="I24" i="10"/>
  <c r="D24" i="10"/>
  <c r="I23" i="10"/>
  <c r="D23" i="10"/>
  <c r="I22" i="10"/>
  <c r="D22" i="10"/>
  <c r="I21" i="10"/>
  <c r="D21" i="10"/>
  <c r="I20" i="10"/>
  <c r="D20" i="10"/>
  <c r="I19" i="10"/>
  <c r="D19" i="10"/>
  <c r="I18" i="10"/>
  <c r="D18" i="10"/>
  <c r="I17" i="10"/>
  <c r="D17" i="10"/>
  <c r="I16" i="10"/>
  <c r="D16" i="10"/>
  <c r="I15" i="10"/>
  <c r="D15" i="10"/>
  <c r="I14" i="10"/>
  <c r="D14" i="10"/>
  <c r="I13" i="10"/>
  <c r="D13" i="10"/>
  <c r="I12" i="10"/>
  <c r="D12" i="10"/>
  <c r="I11" i="10"/>
  <c r="D11" i="10"/>
  <c r="I10" i="10"/>
  <c r="D10" i="10"/>
  <c r="I9" i="10"/>
  <c r="L7" i="10" s="1"/>
  <c r="D9" i="10"/>
  <c r="I8" i="10"/>
  <c r="D8" i="10"/>
  <c r="I7" i="10"/>
  <c r="D7" i="10"/>
  <c r="E7" i="8"/>
  <c r="G6" i="8"/>
  <c r="F6" i="8"/>
  <c r="E6" i="8"/>
  <c r="D6" i="8"/>
  <c r="C6" i="8"/>
  <c r="E5" i="8"/>
  <c r="K25" i="6"/>
  <c r="J25" i="6"/>
  <c r="H18" i="6"/>
  <c r="D18" i="6"/>
  <c r="H17" i="6"/>
  <c r="D11" i="6"/>
  <c r="G20" i="5"/>
  <c r="F20" i="5"/>
  <c r="E20" i="5"/>
  <c r="C20" i="5"/>
  <c r="D11" i="5"/>
  <c r="C105" i="4"/>
  <c r="H104" i="4"/>
  <c r="G104" i="4"/>
  <c r="F104" i="4"/>
  <c r="E104" i="4"/>
  <c r="D104" i="4"/>
  <c r="C104" i="4"/>
  <c r="H103" i="4"/>
  <c r="G103" i="4"/>
  <c r="F103" i="4"/>
  <c r="E103" i="4"/>
  <c r="D103" i="4"/>
  <c r="C103" i="4"/>
  <c r="H102" i="4"/>
  <c r="G102" i="4"/>
  <c r="F102" i="4"/>
  <c r="E102" i="4"/>
  <c r="D102" i="4"/>
  <c r="C102" i="4"/>
  <c r="H101" i="4"/>
  <c r="G101" i="4"/>
  <c r="F101" i="4"/>
  <c r="E101" i="4"/>
  <c r="D101" i="4"/>
  <c r="C101" i="4"/>
  <c r="H100" i="4"/>
  <c r="G100" i="4"/>
  <c r="F100" i="4"/>
  <c r="E100" i="4"/>
  <c r="D100" i="4"/>
  <c r="C100" i="4"/>
  <c r="H99" i="4"/>
  <c r="G99" i="4"/>
  <c r="F99" i="4"/>
  <c r="E99" i="4"/>
  <c r="D99" i="4"/>
  <c r="C99" i="4"/>
  <c r="H98" i="4"/>
  <c r="H105" i="4" s="1"/>
  <c r="G98" i="4"/>
  <c r="F98" i="4"/>
  <c r="F105" i="4" s="1"/>
  <c r="E98" i="4"/>
  <c r="E105" i="4" s="1"/>
  <c r="D98" i="4"/>
  <c r="C98" i="4"/>
  <c r="H94" i="4"/>
  <c r="G94" i="4"/>
  <c r="F94" i="4"/>
  <c r="E94" i="4"/>
  <c r="D94" i="4"/>
  <c r="C94" i="4"/>
  <c r="H93" i="4"/>
  <c r="G93" i="4"/>
  <c r="F93" i="4"/>
  <c r="E93" i="4"/>
  <c r="D93" i="4"/>
  <c r="C93" i="4"/>
  <c r="H92" i="4"/>
  <c r="G92" i="4"/>
  <c r="F92" i="4"/>
  <c r="E92" i="4"/>
  <c r="D92" i="4"/>
  <c r="C92" i="4"/>
  <c r="H91" i="4"/>
  <c r="G91" i="4"/>
  <c r="F91" i="4"/>
  <c r="E91" i="4"/>
  <c r="D91" i="4"/>
  <c r="C91" i="4"/>
  <c r="H90" i="4"/>
  <c r="G90" i="4"/>
  <c r="F90" i="4"/>
  <c r="E90" i="4"/>
  <c r="D90" i="4"/>
  <c r="C90" i="4"/>
  <c r="H89" i="4"/>
  <c r="G89" i="4"/>
  <c r="F89" i="4"/>
  <c r="E89" i="4"/>
  <c r="D89" i="4"/>
  <c r="C89" i="4"/>
  <c r="H88" i="4"/>
  <c r="G88" i="4"/>
  <c r="F88" i="4"/>
  <c r="E88" i="4"/>
  <c r="D88" i="4"/>
  <c r="C88" i="4"/>
  <c r="H87" i="4"/>
  <c r="H95" i="4" s="1"/>
  <c r="G87" i="4"/>
  <c r="F87" i="4"/>
  <c r="E87" i="4"/>
  <c r="D87" i="4"/>
  <c r="C87" i="4"/>
  <c r="H86" i="4"/>
  <c r="G86" i="4"/>
  <c r="G95" i="4" s="1"/>
  <c r="F86" i="4"/>
  <c r="F95" i="4" s="1"/>
  <c r="F107" i="4" s="1"/>
  <c r="E86" i="4"/>
  <c r="E95" i="4" s="1"/>
  <c r="D86" i="4"/>
  <c r="D95" i="4" s="1"/>
  <c r="C86" i="4"/>
  <c r="C95" i="4" s="1"/>
  <c r="H83" i="4"/>
  <c r="H107" i="4" s="1"/>
  <c r="G83" i="4"/>
  <c r="F83" i="4"/>
  <c r="E83" i="4"/>
  <c r="D83" i="4"/>
  <c r="C83" i="4"/>
  <c r="H82" i="4"/>
  <c r="G82" i="4"/>
  <c r="F82" i="4"/>
  <c r="E82" i="4"/>
  <c r="D82" i="4"/>
  <c r="C82" i="4"/>
  <c r="H81" i="4"/>
  <c r="H80" i="4"/>
  <c r="G80" i="4"/>
  <c r="F80" i="4"/>
  <c r="E80" i="4"/>
  <c r="H79" i="4"/>
  <c r="G79" i="4"/>
  <c r="F79" i="4"/>
  <c r="E79" i="4"/>
  <c r="D79" i="4"/>
  <c r="C79" i="4"/>
  <c r="H78" i="4"/>
  <c r="G78" i="4"/>
  <c r="F78" i="4"/>
  <c r="E78" i="4"/>
  <c r="D78" i="4"/>
  <c r="C78" i="4"/>
  <c r="H77" i="4"/>
  <c r="G77" i="4"/>
  <c r="F77" i="4"/>
  <c r="E77" i="4"/>
  <c r="D77" i="4"/>
  <c r="C77" i="4"/>
  <c r="H76" i="4"/>
  <c r="G76" i="4"/>
  <c r="G81" i="4" s="1"/>
  <c r="F76" i="4"/>
  <c r="F81" i="4" s="1"/>
  <c r="E76" i="4"/>
  <c r="E81" i="4" s="1"/>
  <c r="D76" i="4"/>
  <c r="C76" i="4"/>
  <c r="H75" i="4"/>
  <c r="G75" i="4"/>
  <c r="F75" i="4"/>
  <c r="E75" i="4"/>
  <c r="D75" i="4"/>
  <c r="D80" i="4" s="1"/>
  <c r="C75" i="4"/>
  <c r="C80" i="4" s="1"/>
  <c r="H73" i="4"/>
  <c r="G73" i="4"/>
  <c r="C73" i="4"/>
  <c r="F69" i="4"/>
  <c r="F71" i="4" s="1"/>
  <c r="H66" i="4"/>
  <c r="G66" i="4"/>
  <c r="G21" i="5" s="1"/>
  <c r="F66" i="4"/>
  <c r="F21" i="5" s="1"/>
  <c r="E66" i="4"/>
  <c r="E21" i="5" s="1"/>
  <c r="D66" i="4"/>
  <c r="D21" i="5" s="1"/>
  <c r="C66" i="4"/>
  <c r="C21" i="5" s="1"/>
  <c r="H65" i="4"/>
  <c r="H67" i="4" s="1"/>
  <c r="G65" i="4"/>
  <c r="F65" i="4"/>
  <c r="E65" i="4"/>
  <c r="D65" i="4"/>
  <c r="C65" i="4"/>
  <c r="H64" i="4"/>
  <c r="G64" i="4"/>
  <c r="G67" i="4" s="1"/>
  <c r="F64" i="4"/>
  <c r="F67" i="4" s="1"/>
  <c r="E64" i="4"/>
  <c r="E67" i="4" s="1"/>
  <c r="D64" i="4"/>
  <c r="D5" i="8" s="1"/>
  <c r="D7" i="8" s="1"/>
  <c r="C64" i="4"/>
  <c r="C67" i="4" s="1"/>
  <c r="H62" i="4"/>
  <c r="H61" i="4"/>
  <c r="G61" i="4"/>
  <c r="F61" i="4"/>
  <c r="E61" i="4"/>
  <c r="D61" i="4"/>
  <c r="C61" i="4"/>
  <c r="H60" i="4"/>
  <c r="G60" i="4"/>
  <c r="F60" i="4"/>
  <c r="E60" i="4"/>
  <c r="D60" i="4"/>
  <c r="D62" i="4" s="1"/>
  <c r="C60" i="4"/>
  <c r="H59" i="4"/>
  <c r="G59" i="4"/>
  <c r="F59" i="4"/>
  <c r="E59" i="4"/>
  <c r="D59" i="4"/>
  <c r="C59" i="4"/>
  <c r="H58" i="4"/>
  <c r="G58" i="4"/>
  <c r="G8" i="7" s="1"/>
  <c r="D58" i="4"/>
  <c r="D8" i="7" s="1"/>
  <c r="E4" i="7" s="1"/>
  <c r="C58" i="4"/>
  <c r="C8" i="7" s="1"/>
  <c r="D4" i="7" s="1"/>
  <c r="H56" i="4"/>
  <c r="G56" i="4"/>
  <c r="F56" i="4"/>
  <c r="E56" i="4"/>
  <c r="D56" i="4"/>
  <c r="D34" i="12" s="1"/>
  <c r="D35" i="12" s="1"/>
  <c r="C56" i="4"/>
  <c r="C34" i="12" s="1"/>
  <c r="H55" i="4"/>
  <c r="G55" i="4"/>
  <c r="F55" i="4"/>
  <c r="E55" i="4"/>
  <c r="D55" i="4"/>
  <c r="C55" i="4"/>
  <c r="H54" i="4"/>
  <c r="C27" i="11" s="1"/>
  <c r="C34" i="11" s="1"/>
  <c r="G54" i="4"/>
  <c r="F54" i="4"/>
  <c r="E54" i="4"/>
  <c r="D54" i="4"/>
  <c r="D20" i="5" s="1"/>
  <c r="C54" i="4"/>
  <c r="H53" i="4"/>
  <c r="G53" i="4"/>
  <c r="F53" i="4"/>
  <c r="E53" i="4"/>
  <c r="D53" i="4"/>
  <c r="C53" i="4"/>
  <c r="H52" i="4"/>
  <c r="G52" i="4"/>
  <c r="G19" i="5" s="1"/>
  <c r="G22" i="5" s="1"/>
  <c r="F52" i="4"/>
  <c r="F19" i="5" s="1"/>
  <c r="F22" i="5" s="1"/>
  <c r="E52" i="4"/>
  <c r="E19" i="5" s="1"/>
  <c r="E22" i="5" s="1"/>
  <c r="D52" i="4"/>
  <c r="C52" i="4"/>
  <c r="H51" i="4"/>
  <c r="C51" i="4"/>
  <c r="F49" i="4"/>
  <c r="F22" i="6" s="1"/>
  <c r="D49" i="4"/>
  <c r="D22" i="6" s="1"/>
  <c r="H46" i="4"/>
  <c r="G46" i="4"/>
  <c r="F46" i="4"/>
  <c r="D53" i="13" s="1"/>
  <c r="D54" i="13" s="1"/>
  <c r="D46" i="4"/>
  <c r="C46" i="4"/>
  <c r="C47" i="4" s="1"/>
  <c r="D44" i="4"/>
  <c r="H43" i="4"/>
  <c r="H47" i="4" s="1"/>
  <c r="G43" i="4"/>
  <c r="F43" i="4"/>
  <c r="E43" i="4"/>
  <c r="D43" i="4"/>
  <c r="C43" i="4"/>
  <c r="C49" i="4" s="1"/>
  <c r="C22" i="6" s="1"/>
  <c r="F41" i="4"/>
  <c r="E41" i="4"/>
  <c r="E46" i="4" s="1"/>
  <c r="D41" i="4"/>
  <c r="C41" i="4"/>
  <c r="H35" i="4"/>
  <c r="G35" i="4"/>
  <c r="F35" i="4"/>
  <c r="E35" i="4"/>
  <c r="D35" i="4"/>
  <c r="C35" i="4"/>
  <c r="H30" i="4"/>
  <c r="G30" i="4"/>
  <c r="F30" i="4"/>
  <c r="E30" i="4"/>
  <c r="D30" i="4"/>
  <c r="C30" i="4"/>
  <c r="H28" i="4"/>
  <c r="F28" i="4"/>
  <c r="E28" i="4"/>
  <c r="H27" i="4"/>
  <c r="G27" i="4"/>
  <c r="G28" i="4" s="1"/>
  <c r="F27" i="4"/>
  <c r="E27" i="4"/>
  <c r="D27" i="4"/>
  <c r="C27" i="4"/>
  <c r="H22" i="4"/>
  <c r="H21" i="4"/>
  <c r="G21" i="4"/>
  <c r="G7" i="7" s="1"/>
  <c r="G6" i="7" s="1"/>
  <c r="F21" i="4"/>
  <c r="F7" i="7" s="1"/>
  <c r="E21" i="4"/>
  <c r="E7" i="7" s="1"/>
  <c r="D21" i="4"/>
  <c r="D22" i="4" s="1"/>
  <c r="C21" i="4"/>
  <c r="C22" i="4" s="1"/>
  <c r="C18" i="6" s="1"/>
  <c r="H16" i="4"/>
  <c r="F16" i="4"/>
  <c r="F17" i="6" s="1"/>
  <c r="E16" i="4"/>
  <c r="E17" i="6" s="1"/>
  <c r="H15" i="4"/>
  <c r="G15" i="4"/>
  <c r="G16" i="4" s="1"/>
  <c r="G17" i="6" s="1"/>
  <c r="F15" i="4"/>
  <c r="E15" i="4"/>
  <c r="D15" i="4"/>
  <c r="C15" i="4"/>
  <c r="G12" i="4"/>
  <c r="G18" i="4" s="1"/>
  <c r="F12" i="4"/>
  <c r="F18" i="4" s="1"/>
  <c r="E12" i="4"/>
  <c r="E13" i="4" s="1"/>
  <c r="E11" i="6" s="1"/>
  <c r="D12" i="4"/>
  <c r="D13" i="4" s="1"/>
  <c r="C12" i="4"/>
  <c r="C13" i="4" s="1"/>
  <c r="C11" i="6" s="1"/>
  <c r="H10" i="4"/>
  <c r="H9" i="4"/>
  <c r="G9" i="4"/>
  <c r="G10" i="4" s="1"/>
  <c r="F9" i="4"/>
  <c r="F10" i="4" s="1"/>
  <c r="E9" i="4"/>
  <c r="E10" i="4" s="1"/>
  <c r="D9" i="4"/>
  <c r="D10" i="4" s="1"/>
  <c r="C9" i="4"/>
  <c r="C10" i="4" s="1"/>
  <c r="H7" i="4"/>
  <c r="H5" i="6" s="1"/>
  <c r="G7" i="4"/>
  <c r="G5" i="6" s="1"/>
  <c r="H6" i="4"/>
  <c r="C6" i="12" s="1"/>
  <c r="G6" i="4"/>
  <c r="C11" i="5" s="1"/>
  <c r="F6" i="4"/>
  <c r="F7" i="4" s="1"/>
  <c r="F5" i="6" s="1"/>
  <c r="E6" i="4"/>
  <c r="D6" i="4"/>
  <c r="C6" i="4"/>
  <c r="G3" i="4"/>
  <c r="G51" i="4" s="1"/>
  <c r="F3" i="4"/>
  <c r="F51" i="4" s="1"/>
  <c r="E3" i="4"/>
  <c r="D3" i="4"/>
  <c r="D73" i="4" s="1"/>
  <c r="C3" i="4"/>
  <c r="G91" i="3"/>
  <c r="F91" i="3"/>
  <c r="E91" i="3"/>
  <c r="D91" i="3"/>
  <c r="C91" i="3"/>
  <c r="D76" i="3"/>
  <c r="E76" i="3" s="1"/>
  <c r="F76" i="3" s="1"/>
  <c r="G76" i="3" s="1"/>
  <c r="F57" i="3"/>
  <c r="F58" i="4" s="1"/>
  <c r="F62" i="4" s="1"/>
  <c r="E57" i="3"/>
  <c r="E58" i="4" s="1"/>
  <c r="E62" i="4" s="1"/>
  <c r="E69" i="4" s="1"/>
  <c r="E71" i="4" s="1"/>
  <c r="D57" i="3"/>
  <c r="C57" i="3"/>
  <c r="G25" i="3"/>
  <c r="F25" i="3"/>
  <c r="E25" i="3"/>
  <c r="D25" i="3"/>
  <c r="C25" i="3"/>
  <c r="E65" i="13"/>
  <c r="D56" i="13"/>
  <c r="C18" i="13"/>
  <c r="F67" i="13" s="1"/>
  <c r="C13" i="13"/>
  <c r="C12" i="13"/>
  <c r="F46" i="13" s="1"/>
  <c r="C8" i="13"/>
  <c r="F27" i="13" l="1"/>
  <c r="G6" i="6"/>
  <c r="G24" i="4"/>
  <c r="G19" i="4"/>
  <c r="G5" i="7"/>
  <c r="G10" i="7" s="1"/>
  <c r="O18" i="14"/>
  <c r="O23" i="14" s="1"/>
  <c r="O25" i="14" s="1"/>
  <c r="O28" i="14" s="1"/>
  <c r="O17" i="14"/>
  <c r="O15" i="14"/>
  <c r="G30" i="12"/>
  <c r="C30" i="12"/>
  <c r="D30" i="12"/>
  <c r="C107" i="4"/>
  <c r="E9" i="8"/>
  <c r="H69" i="4"/>
  <c r="H71" i="4" s="1"/>
  <c r="D107" i="4"/>
  <c r="F6" i="7"/>
  <c r="F5" i="7" s="1"/>
  <c r="F10" i="7" s="1"/>
  <c r="F30" i="12"/>
  <c r="Q28" i="14"/>
  <c r="Q23" i="14"/>
  <c r="D81" i="4"/>
  <c r="C81" i="4"/>
  <c r="F6" i="6"/>
  <c r="F24" i="4"/>
  <c r="F19" i="4"/>
  <c r="G35" i="12"/>
  <c r="J18" i="6"/>
  <c r="H49" i="4"/>
  <c r="H22" i="6" s="1"/>
  <c r="G105" i="4"/>
  <c r="G107" i="4" s="1"/>
  <c r="D9" i="6"/>
  <c r="D105" i="4"/>
  <c r="E73" i="4"/>
  <c r="E51" i="4"/>
  <c r="H44" i="4"/>
  <c r="E35" i="12"/>
  <c r="F35" i="12"/>
  <c r="G34" i="12"/>
  <c r="C18" i="4"/>
  <c r="D51" i="4"/>
  <c r="C33" i="11"/>
  <c r="C5" i="8"/>
  <c r="C7" i="8" s="1"/>
  <c r="D9" i="8" s="1"/>
  <c r="D36" i="13"/>
  <c r="E7" i="4"/>
  <c r="E5" i="6" s="1"/>
  <c r="G13" i="4"/>
  <c r="G11" i="6" s="1"/>
  <c r="D18" i="4"/>
  <c r="C19" i="5"/>
  <c r="C22" i="5" s="1"/>
  <c r="C7" i="7"/>
  <c r="C6" i="7" s="1"/>
  <c r="C35" i="11"/>
  <c r="P9" i="14"/>
  <c r="P12" i="14"/>
  <c r="O12" i="14"/>
  <c r="D7" i="4"/>
  <c r="F13" i="4"/>
  <c r="F11" i="6" s="1"/>
  <c r="G9" i="6"/>
  <c r="G47" i="4"/>
  <c r="G49" i="4" s="1"/>
  <c r="G22" i="6" s="1"/>
  <c r="C16" i="4"/>
  <c r="C17" i="6" s="1"/>
  <c r="E18" i="4"/>
  <c r="E22" i="4"/>
  <c r="E18" i="6" s="1"/>
  <c r="C28" i="4"/>
  <c r="D19" i="5"/>
  <c r="D22" i="5" s="1"/>
  <c r="D7" i="7"/>
  <c r="D6" i="7" s="1"/>
  <c r="D5" i="7" s="1"/>
  <c r="D10" i="7" s="1"/>
  <c r="F5" i="8"/>
  <c r="F7" i="8" s="1"/>
  <c r="F9" i="8" s="1"/>
  <c r="Q17" i="14"/>
  <c r="Q19" i="14"/>
  <c r="Q15" i="14"/>
  <c r="Q20" i="14"/>
  <c r="F9" i="6"/>
  <c r="F47" i="4"/>
  <c r="D16" i="4"/>
  <c r="D17" i="6" s="1"/>
  <c r="F22" i="4"/>
  <c r="F18" i="6" s="1"/>
  <c r="D28" i="4"/>
  <c r="E49" i="4"/>
  <c r="E22" i="6" s="1"/>
  <c r="D37" i="13" s="1"/>
  <c r="E44" i="4"/>
  <c r="D47" i="4"/>
  <c r="D67" i="4"/>
  <c r="D69" i="4" s="1"/>
  <c r="D71" i="4" s="1"/>
  <c r="F73" i="4"/>
  <c r="H9" i="6"/>
  <c r="G5" i="8"/>
  <c r="G7" i="8" s="1"/>
  <c r="G9" i="8" s="1"/>
  <c r="L6" i="10"/>
  <c r="P10" i="14"/>
  <c r="O10" i="14"/>
  <c r="O16" i="14" s="1"/>
  <c r="E9" i="6"/>
  <c r="E47" i="4"/>
  <c r="G22" i="4"/>
  <c r="G18" i="6" s="1"/>
  <c r="K18" i="6" s="1"/>
  <c r="E8" i="7"/>
  <c r="F4" i="7" s="1"/>
  <c r="O13" i="14"/>
  <c r="E107" i="4"/>
  <c r="C11" i="12"/>
  <c r="F44" i="4"/>
  <c r="F25" i="13"/>
  <c r="G44" i="4"/>
  <c r="C62" i="4"/>
  <c r="C69" i="4" s="1"/>
  <c r="C71" i="4" s="1"/>
  <c r="F8" i="7"/>
  <c r="G4" i="7" s="1"/>
  <c r="H12" i="4"/>
  <c r="G62" i="4"/>
  <c r="G69" i="4" s="1"/>
  <c r="G71" i="4" s="1"/>
  <c r="D8" i="9" l="1"/>
  <c r="D10" i="8"/>
  <c r="H37" i="13"/>
  <c r="G37" i="13"/>
  <c r="F37" i="13"/>
  <c r="E37" i="13"/>
  <c r="O19" i="14"/>
  <c r="P17" i="14"/>
  <c r="P20" i="14"/>
  <c r="P16" i="14"/>
  <c r="P15" i="14"/>
  <c r="P19" i="14"/>
  <c r="P18" i="14"/>
  <c r="P23" i="14" s="1"/>
  <c r="P25" i="14" s="1"/>
  <c r="P28" i="14" s="1"/>
  <c r="E6" i="7"/>
  <c r="E5" i="7" s="1"/>
  <c r="E10" i="7" s="1"/>
  <c r="O20" i="14"/>
  <c r="E8" i="9"/>
  <c r="E10" i="8"/>
  <c r="C19" i="4"/>
  <c r="C24" i="4"/>
  <c r="F11" i="7"/>
  <c r="F7" i="9"/>
  <c r="F9" i="9" s="1"/>
  <c r="D11" i="7"/>
  <c r="D7" i="9"/>
  <c r="D9" i="9" s="1"/>
  <c r="E30" i="12"/>
  <c r="F4" i="5"/>
  <c r="F12" i="6"/>
  <c r="F25" i="5"/>
  <c r="F25" i="4"/>
  <c r="F4" i="9"/>
  <c r="F32" i="4"/>
  <c r="K9" i="6"/>
  <c r="J9" i="6"/>
  <c r="C16" i="12"/>
  <c r="C10" i="5"/>
  <c r="D12" i="12" s="1"/>
  <c r="K7" i="4"/>
  <c r="N7" i="12"/>
  <c r="D5" i="6"/>
  <c r="F10" i="8"/>
  <c r="F8" i="9"/>
  <c r="H13" i="4"/>
  <c r="H11" i="6" s="1"/>
  <c r="J11" i="6" s="1"/>
  <c r="H18" i="4"/>
  <c r="G11" i="7"/>
  <c r="G7" i="9"/>
  <c r="G12" i="6"/>
  <c r="G4" i="5"/>
  <c r="L8" i="10"/>
  <c r="C10" i="11"/>
  <c r="C9" i="13"/>
  <c r="E19" i="4"/>
  <c r="E6" i="6"/>
  <c r="E24" i="4"/>
  <c r="F7" i="6" s="1"/>
  <c r="D6" i="6"/>
  <c r="D19" i="4"/>
  <c r="D24" i="4"/>
  <c r="J22" i="6"/>
  <c r="G7" i="6"/>
  <c r="G25" i="5"/>
  <c r="G25" i="4"/>
  <c r="G4" i="9"/>
  <c r="G32" i="4"/>
  <c r="G10" i="8"/>
  <c r="G8" i="9"/>
  <c r="J17" i="6"/>
  <c r="K17" i="6"/>
  <c r="K22" i="6"/>
  <c r="G5" i="9" l="1"/>
  <c r="G6" i="9"/>
  <c r="E4" i="5"/>
  <c r="E12" i="6"/>
  <c r="C4" i="9"/>
  <c r="C32" i="4"/>
  <c r="C25" i="4"/>
  <c r="C25" i="5"/>
  <c r="K6" i="6"/>
  <c r="J6" i="6"/>
  <c r="K5" i="6"/>
  <c r="J5" i="6"/>
  <c r="G13" i="6"/>
  <c r="G19" i="6" s="1"/>
  <c r="G5" i="5"/>
  <c r="D7" i="12"/>
  <c r="O9" i="12"/>
  <c r="P9" i="12" s="1"/>
  <c r="E13" i="11"/>
  <c r="E37" i="11" s="1"/>
  <c r="C13" i="11"/>
  <c r="E12" i="12"/>
  <c r="F12" i="12" s="1"/>
  <c r="G12" i="12" s="1"/>
  <c r="H12" i="12" s="1"/>
  <c r="I12" i="12" s="1"/>
  <c r="J12" i="12" s="1"/>
  <c r="K12" i="12" s="1"/>
  <c r="L12" i="12" s="1"/>
  <c r="N12" i="12"/>
  <c r="O12" i="12" s="1"/>
  <c r="D11" i="12"/>
  <c r="K11" i="6"/>
  <c r="G9" i="9"/>
  <c r="G12" i="9" s="1"/>
  <c r="E11" i="7"/>
  <c r="D13" i="7" s="1"/>
  <c r="E7" i="9"/>
  <c r="E9" i="9" s="1"/>
  <c r="C28" i="5"/>
  <c r="D17" i="12" s="1"/>
  <c r="D12" i="8"/>
  <c r="D13" i="8"/>
  <c r="F5" i="9"/>
  <c r="F6" i="9"/>
  <c r="F10" i="9" s="1"/>
  <c r="E25" i="5"/>
  <c r="E25" i="4"/>
  <c r="E7" i="6"/>
  <c r="E32" i="4"/>
  <c r="E4" i="9"/>
  <c r="F5" i="5"/>
  <c r="F13" i="6"/>
  <c r="F19" i="6" s="1"/>
  <c r="G38" i="4"/>
  <c r="G33" i="4"/>
  <c r="G36" i="4"/>
  <c r="G14" i="5" s="1"/>
  <c r="C12" i="6"/>
  <c r="C4" i="5"/>
  <c r="D32" i="4"/>
  <c r="D25" i="4"/>
  <c r="D25" i="5"/>
  <c r="D4" i="9"/>
  <c r="D7" i="6"/>
  <c r="D4" i="5"/>
  <c r="D12" i="6"/>
  <c r="H6" i="6"/>
  <c r="H19" i="4"/>
  <c r="H12" i="6" s="1"/>
  <c r="H24" i="4"/>
  <c r="F38" i="4"/>
  <c r="F33" i="4"/>
  <c r="F36" i="4"/>
  <c r="F14" i="5" s="1"/>
  <c r="G6" i="5" l="1"/>
  <c r="G14" i="6"/>
  <c r="C13" i="6"/>
  <c r="C5" i="5"/>
  <c r="F23" i="6"/>
  <c r="F39" i="4"/>
  <c r="E38" i="4"/>
  <c r="E33" i="4"/>
  <c r="E36" i="4"/>
  <c r="E14" i="5" s="1"/>
  <c r="D55" i="13"/>
  <c r="D57" i="13" s="1"/>
  <c r="D64" i="13" s="1"/>
  <c r="F64" i="13" s="1"/>
  <c r="I38" i="13"/>
  <c r="F40" i="13"/>
  <c r="F23" i="13"/>
  <c r="E40" i="13"/>
  <c r="D38" i="13"/>
  <c r="D40" i="13"/>
  <c r="G40" i="13"/>
  <c r="C37" i="11"/>
  <c r="C7" i="13"/>
  <c r="H40" i="13"/>
  <c r="I42" i="13" s="1"/>
  <c r="F45" i="13" s="1"/>
  <c r="D22" i="12"/>
  <c r="D21" i="12" s="1"/>
  <c r="N17" i="12"/>
  <c r="O17" i="12" s="1"/>
  <c r="E17" i="12"/>
  <c r="D16" i="12"/>
  <c r="E16" i="12" s="1"/>
  <c r="E5" i="9"/>
  <c r="E6" i="9" s="1"/>
  <c r="G10" i="9"/>
  <c r="K12" i="6"/>
  <c r="J12" i="6"/>
  <c r="G23" i="6"/>
  <c r="G8" i="6"/>
  <c r="G39" i="4"/>
  <c r="C38" i="4"/>
  <c r="C36" i="4"/>
  <c r="C14" i="5" s="1"/>
  <c r="C15" i="5" s="1"/>
  <c r="C33" i="4"/>
  <c r="C5" i="9"/>
  <c r="C6" i="9"/>
  <c r="D5" i="9"/>
  <c r="D6" i="9"/>
  <c r="D13" i="6"/>
  <c r="D19" i="6" s="1"/>
  <c r="D5" i="5"/>
  <c r="E13" i="6"/>
  <c r="E19" i="6" s="1"/>
  <c r="E5" i="5"/>
  <c r="D14" i="7"/>
  <c r="H32" i="4"/>
  <c r="H25" i="4"/>
  <c r="H13" i="6" s="1"/>
  <c r="H19" i="6" s="1"/>
  <c r="H7" i="6"/>
  <c r="J7" i="6" s="1"/>
  <c r="E7" i="12"/>
  <c r="F7" i="12" s="1"/>
  <c r="G7" i="12" s="1"/>
  <c r="H7" i="12" s="1"/>
  <c r="I7" i="12" s="1"/>
  <c r="J7" i="12" s="1"/>
  <c r="K7" i="12" s="1"/>
  <c r="L7" i="12" s="1"/>
  <c r="D6" i="12"/>
  <c r="F6" i="5"/>
  <c r="F14" i="6"/>
  <c r="D38" i="4"/>
  <c r="D33" i="4"/>
  <c r="D36" i="4"/>
  <c r="D14" i="5" s="1"/>
  <c r="E11" i="12"/>
  <c r="F11" i="12" s="1"/>
  <c r="G11" i="12" s="1"/>
  <c r="H11" i="12" s="1"/>
  <c r="I11" i="12" s="1"/>
  <c r="J11" i="12" s="1"/>
  <c r="K11" i="12" s="1"/>
  <c r="L11" i="12" s="1"/>
  <c r="M11" i="12" s="1"/>
  <c r="F12" i="9"/>
  <c r="E10" i="9" l="1"/>
  <c r="E12" i="9"/>
  <c r="E6" i="5"/>
  <c r="E14" i="6"/>
  <c r="D10" i="9"/>
  <c r="D12" i="9"/>
  <c r="D15" i="5"/>
  <c r="E15" i="5" s="1"/>
  <c r="F15" i="5" s="1"/>
  <c r="G15" i="5" s="1"/>
  <c r="G18" i="5"/>
  <c r="G26" i="5" s="1"/>
  <c r="F18" i="5"/>
  <c r="F26" i="5" s="1"/>
  <c r="F21" i="6" s="1"/>
  <c r="E18" i="5"/>
  <c r="E26" i="5" s="1"/>
  <c r="E21" i="6" s="1"/>
  <c r="D18" i="5"/>
  <c r="D26" i="5" s="1"/>
  <c r="D21" i="6" s="1"/>
  <c r="C18" i="5"/>
  <c r="C26" i="5" s="1"/>
  <c r="C21" i="6" s="1"/>
  <c r="C23" i="6"/>
  <c r="C39" i="4"/>
  <c r="E6" i="12"/>
  <c r="F6" i="12" s="1"/>
  <c r="G6" i="12" s="1"/>
  <c r="H6" i="12" s="1"/>
  <c r="I6" i="12" s="1"/>
  <c r="J6" i="12" s="1"/>
  <c r="K6" i="12" s="1"/>
  <c r="L6" i="12" s="1"/>
  <c r="M6" i="12" s="1"/>
  <c r="C14" i="6"/>
  <c r="C6" i="5"/>
  <c r="H38" i="4"/>
  <c r="H33" i="4"/>
  <c r="H14" i="6" s="1"/>
  <c r="H36" i="4"/>
  <c r="E22" i="12"/>
  <c r="E21" i="12" s="1"/>
  <c r="F17" i="12"/>
  <c r="F7" i="5"/>
  <c r="F15" i="6"/>
  <c r="G15" i="6"/>
  <c r="G7" i="5"/>
  <c r="D35" i="13"/>
  <c r="C14" i="13"/>
  <c r="G24" i="6"/>
  <c r="C19" i="6"/>
  <c r="K13" i="6"/>
  <c r="J13" i="6"/>
  <c r="E8" i="6"/>
  <c r="E39" i="4"/>
  <c r="E23" i="6"/>
  <c r="F8" i="6"/>
  <c r="K7" i="6"/>
  <c r="F29" i="12"/>
  <c r="F31" i="12" s="1"/>
  <c r="F24" i="6"/>
  <c r="D6" i="5"/>
  <c r="D14" i="6"/>
  <c r="D23" i="6"/>
  <c r="D39" i="4"/>
  <c r="D8" i="6"/>
  <c r="D29" i="12" l="1"/>
  <c r="D31" i="12" s="1"/>
  <c r="F22" i="13"/>
  <c r="F24" i="13" s="1"/>
  <c r="F26" i="13" s="1"/>
  <c r="D24" i="6"/>
  <c r="D7" i="5"/>
  <c r="D15" i="6"/>
  <c r="D39" i="13"/>
  <c r="D41" i="13" s="1"/>
  <c r="E36" i="13"/>
  <c r="G17" i="12"/>
  <c r="F22" i="12"/>
  <c r="F21" i="12" s="1"/>
  <c r="J19" i="6"/>
  <c r="K19" i="6"/>
  <c r="D14" i="9"/>
  <c r="D13" i="9"/>
  <c r="C15" i="13"/>
  <c r="C16" i="13" s="1"/>
  <c r="D34" i="13" s="1"/>
  <c r="E35" i="13" s="1"/>
  <c r="F16" i="12"/>
  <c r="E29" i="12"/>
  <c r="E31" i="12" s="1"/>
  <c r="E24" i="6"/>
  <c r="E7" i="5"/>
  <c r="E15" i="6"/>
  <c r="G21" i="6"/>
  <c r="K21" i="6" s="1"/>
  <c r="H21" i="6"/>
  <c r="H39" i="4"/>
  <c r="H15" i="6" s="1"/>
  <c r="H8" i="6"/>
  <c r="K8" i="6" s="1"/>
  <c r="H23" i="6"/>
  <c r="H24" i="6" s="1"/>
  <c r="K14" i="6"/>
  <c r="J14" i="6"/>
  <c r="C15" i="6"/>
  <c r="C7" i="5"/>
  <c r="K23" i="6"/>
  <c r="C29" i="12"/>
  <c r="C31" i="12" s="1"/>
  <c r="G29" i="12"/>
  <c r="G31" i="12" s="1"/>
  <c r="C24" i="6"/>
  <c r="F35" i="13" l="1"/>
  <c r="F36" i="13"/>
  <c r="E38" i="13"/>
  <c r="E39" i="13" s="1"/>
  <c r="E41" i="13" s="1"/>
  <c r="H17" i="12"/>
  <c r="G22" i="12"/>
  <c r="G21" i="12" s="1"/>
  <c r="K15" i="6"/>
  <c r="J15" i="6"/>
  <c r="F28" i="13"/>
  <c r="D62" i="13"/>
  <c r="F62" i="13" s="1"/>
  <c r="K24" i="6"/>
  <c r="J24" i="6"/>
  <c r="J23" i="6"/>
  <c r="J8" i="6"/>
  <c r="J21" i="6"/>
  <c r="G16" i="12"/>
  <c r="H16" i="12" s="1"/>
  <c r="G35" i="13" l="1"/>
  <c r="I17" i="12"/>
  <c r="I16" i="12" s="1"/>
  <c r="H22" i="12"/>
  <c r="H21" i="12" s="1"/>
  <c r="G36" i="13"/>
  <c r="F38" i="13"/>
  <c r="F39" i="13" s="1"/>
  <c r="F41" i="13" s="1"/>
  <c r="H36" i="13" l="1"/>
  <c r="H38" i="13" s="1"/>
  <c r="G38" i="13"/>
  <c r="G39" i="13" s="1"/>
  <c r="G41" i="13" s="1"/>
  <c r="H35" i="13"/>
  <c r="J17" i="12"/>
  <c r="I22" i="12"/>
  <c r="I21" i="12" s="1"/>
  <c r="J21" i="12" l="1"/>
  <c r="J22" i="12"/>
  <c r="K17" i="12"/>
  <c r="I35" i="13"/>
  <c r="H39" i="13"/>
  <c r="H41" i="13" s="1"/>
  <c r="F44" i="13" s="1"/>
  <c r="F47" i="13" s="1"/>
  <c r="J16" i="12"/>
  <c r="K16" i="12" s="1"/>
  <c r="F49" i="13" l="1"/>
  <c r="D63" i="13"/>
  <c r="F63" i="13" s="1"/>
  <c r="F66" i="13" s="1"/>
  <c r="F68" i="13" s="1"/>
  <c r="F69" i="13" s="1"/>
  <c r="K22" i="12"/>
  <c r="L17" i="12"/>
  <c r="L22" i="12" s="1"/>
  <c r="K21" i="12"/>
  <c r="L21" i="12" s="1"/>
  <c r="M21" i="12" s="1"/>
  <c r="L16" i="12" l="1"/>
  <c r="M16" i="12" s="1"/>
</calcChain>
</file>

<file path=xl/sharedStrings.xml><?xml version="1.0" encoding="utf-8"?>
<sst xmlns="http://schemas.openxmlformats.org/spreadsheetml/2006/main" count="548" uniqueCount="451">
  <si>
    <t>ICICI AMC  LTD. – NBFC VALUATION MODEL</t>
  </si>
  <si>
    <t>SECTION A – KEY INPUTS &amp; ASSUMPTIONS</t>
  </si>
  <si>
    <t>Item</t>
  </si>
  <si>
    <t>Source</t>
  </si>
  <si>
    <t>Value</t>
  </si>
  <si>
    <t>Cost of Equity (Ke)</t>
  </si>
  <si>
    <t>% – CAPM</t>
  </si>
  <si>
    <t>Risk-Free Rate (Rf)</t>
  </si>
  <si>
    <t>% – 10Y GOI bond</t>
  </si>
  <si>
    <t>Beta (5Y Monthly)</t>
  </si>
  <si>
    <t>ICICI AMC  vs Nifty 50</t>
  </si>
  <si>
    <t>Equity Risk Premium</t>
  </si>
  <si>
    <t>Market Rtn - Rf</t>
  </si>
  <si>
    <t>Shares Outstanding (Cr)</t>
  </si>
  <si>
    <t>Cr shares</t>
  </si>
  <si>
    <t>Book Value Per Share (BVPS)</t>
  </si>
  <si>
    <t>Rs per share</t>
  </si>
  <si>
    <t>Latest EPS (FY25)</t>
  </si>
  <si>
    <t>Rs</t>
  </si>
  <si>
    <t>ROE (FY25)</t>
  </si>
  <si>
    <t>%</t>
  </si>
  <si>
    <t>Retention Ratio (b)</t>
  </si>
  <si>
    <t>1 - Payout</t>
  </si>
  <si>
    <t>Sustainable Growth (g=ROE×b)</t>
  </si>
  <si>
    <t>Terminal Growth Rate</t>
  </si>
  <si>
    <t>% – Long-run nominal GDP</t>
  </si>
  <si>
    <t>Current Share Price</t>
  </si>
  <si>
    <t>Rs – Market reference</t>
  </si>
  <si>
    <t>SECTION B – P/BOOK VALUATION</t>
  </si>
  <si>
    <t>Justified P/B = ROE / Cost of Equity</t>
  </si>
  <si>
    <t>ROE (LTM avg)</t>
  </si>
  <si>
    <t>Justified P/B Multiple</t>
  </si>
  <si>
    <t>Book Value Per Share (Rs)</t>
  </si>
  <si>
    <t>Intrinsic Value (P/B) – Rs/share</t>
  </si>
  <si>
    <t>Current Price (Rs)</t>
  </si>
  <si>
    <t>Upside / (Downside)</t>
  </si>
  <si>
    <t>SECTION C – RESIDUAL INCOME MODEL</t>
  </si>
  <si>
    <t>Intrinsic Value = BVPS + PV(Residual Income) where RI = EPS - (Ke × BVPS_prev)</t>
  </si>
  <si>
    <t>FY26E</t>
  </si>
  <si>
    <t>FY27E</t>
  </si>
  <si>
    <t>FY28E</t>
  </si>
  <si>
    <t>FY29E</t>
  </si>
  <si>
    <t>FY30E</t>
  </si>
  <si>
    <t>Terminal</t>
  </si>
  <si>
    <t>EPS Growth Assumption (g)</t>
  </si>
  <si>
    <t>EPS (Rs)</t>
  </si>
  <si>
    <t>BVPS start of year (Rs)</t>
  </si>
  <si>
    <t>Retention Ratio</t>
  </si>
  <si>
    <t>Equity Charge (Ke × BVPS)</t>
  </si>
  <si>
    <t>Residual Income (RI)</t>
  </si>
  <si>
    <t>PV Factor</t>
  </si>
  <si>
    <t>PV of RI</t>
  </si>
  <si>
    <t>Terminal RI Value (PV)</t>
  </si>
  <si>
    <t>Sum of PV(RI) Years 1-5</t>
  </si>
  <si>
    <t>PV of Terminal RI</t>
  </si>
  <si>
    <t>Current BVPS</t>
  </si>
  <si>
    <t>Intrinsic Value (RI Model) – Rs/share</t>
  </si>
  <si>
    <t>Current Price</t>
  </si>
  <si>
    <t>x</t>
  </si>
  <si>
    <t>SECTION D – DIVIDEND DISCOUNT MODEL (DDM)</t>
  </si>
  <si>
    <t>Gordon Growth DDM: P = DPS / (Ke – g)</t>
  </si>
  <si>
    <t>LTM DPS (Rs)</t>
  </si>
  <si>
    <t>Expected DPS FY26E (Rs) – at terminal g</t>
  </si>
  <si>
    <t>Terminal Growth Rate (g) – for DDM</t>
  </si>
  <si>
    <t>Intrinsic Value (DDM) – Rs/share</t>
  </si>
  <si>
    <t>SECTION E – VALUATION SUMMARY</t>
  </si>
  <si>
    <t>Method</t>
  </si>
  <si>
    <t>Intrinsic Value (Rs/share)</t>
  </si>
  <si>
    <t>Weight</t>
  </si>
  <si>
    <t>Weighted Value</t>
  </si>
  <si>
    <t>P/Book Valuation</t>
  </si>
  <si>
    <t>Residual Income Model</t>
  </si>
  <si>
    <t>DDM (Cross-check)</t>
  </si>
  <si>
    <t>TOTAL WEIGHTS</t>
  </si>
  <si>
    <t>BLENDED INTRINSIC VALUE – Rs/share</t>
  </si>
  <si>
    <t>Current Market Price</t>
  </si>
  <si>
    <t>Upside / (Downside) to Intrinsic Value</t>
  </si>
  <si>
    <t>Verdict</t>
  </si>
  <si>
    <t xml:space="preserve">ABOUT </t>
  </si>
  <si>
    <t>ICICI Prudential Asset Management Company Limited is one of India's leading asset management companies and a joint venture between ICICI Bank Limited and Prudential Corporation Holdings Limited. Established in 1993, the company manages a diverse range of investment products including equity, debt, hybrid, exchange traded funds, portfolio management services, and alternative investment solutions. With a strong distribution network, extensive investor base, and a well diversified product portfolio, ICICI Prudential AMC has established itself as a prominent player in the Indian mutual fund industry. The company focuses on delivering long term wealth creation through disciplined investment management, innovation, and customer-centric financial solutions.</t>
  </si>
  <si>
    <t>(A) Promoter &amp; Promoter Group</t>
  </si>
  <si>
    <t>43,29,29,855</t>
  </si>
  <si>
    <t>(B) Public</t>
  </si>
  <si>
    <t>6,13,28,665</t>
  </si>
  <si>
    <t>(C1) Shares underlying DRs</t>
  </si>
  <si>
    <t>-</t>
  </si>
  <si>
    <t>--</t>
  </si>
  <si>
    <t>(C2) Shares held by Employee Trust</t>
  </si>
  <si>
    <t>(C) Non Promoter-Non Public</t>
  </si>
  <si>
    <t>Grand Total</t>
  </si>
  <si>
    <t>49,42,58,520</t>
  </si>
  <si>
    <t>ICICI AMC  LIMITED – Consolidated Profit &amp; Loss Account  (Rs. Cr.)</t>
  </si>
  <si>
    <t>Particulars</t>
  </si>
  <si>
    <t>Mar '22</t>
  </si>
  <si>
    <t>Mar '23</t>
  </si>
  <si>
    <t>Mar '24</t>
  </si>
  <si>
    <t>Mar '25</t>
  </si>
  <si>
    <t>Mar '26</t>
  </si>
  <si>
    <t>── INCOME ──</t>
  </si>
  <si>
    <t>Revenue From Operations [Net]</t>
  </si>
  <si>
    <t>Other Operating Revenues</t>
  </si>
  <si>
    <t>Total Operating Revenues</t>
  </si>
  <si>
    <t>Other Income</t>
  </si>
  <si>
    <t>Total Revenue</t>
  </si>
  <si>
    <t>── EXPENSES ──</t>
  </si>
  <si>
    <t>Operating &amp; DiICICI AMC t Expenses</t>
  </si>
  <si>
    <t>Employee Benefit Expenses</t>
  </si>
  <si>
    <t>Finance Costs</t>
  </si>
  <si>
    <t>Provisions &amp; Contingencies</t>
  </si>
  <si>
    <t>Depreciation &amp; Amortisation</t>
  </si>
  <si>
    <t>Other Expenses</t>
  </si>
  <si>
    <t>Total Expenses</t>
  </si>
  <si>
    <t>── PROFIT ──</t>
  </si>
  <si>
    <t>Profit Before Exceptional Items &amp; Tax</t>
  </si>
  <si>
    <t>Exceptional Items</t>
  </si>
  <si>
    <t>Profit Before Tax</t>
  </si>
  <si>
    <t>Current Tax</t>
  </si>
  <si>
    <t>Deferred Tax</t>
  </si>
  <si>
    <t>Total Tax Expenses</t>
  </si>
  <si>
    <t>Profit After Tax</t>
  </si>
  <si>
    <t>Consolidated PAT (After MI &amp; Associates)</t>
  </si>
  <si>
    <t>── EPS ──</t>
  </si>
  <si>
    <t>Basic EPS (Rs.)</t>
  </si>
  <si>
    <t>Diluted EPS (Rs.)</t>
  </si>
  <si>
    <t>── DIVIDEND ──</t>
  </si>
  <si>
    <t>Equity Share Dividend</t>
  </si>
  <si>
    <t>Equity Dividend Rate (%)</t>
  </si>
  <si>
    <t>ICICI AMC  LIMITED – Consolidated Balance Sheet  (Rs. Cr.)</t>
  </si>
  <si>
    <t>── EQUITIES &amp; LIABILITIES ──</t>
  </si>
  <si>
    <t>── SHAREHOLDER'S FUNDS ──</t>
  </si>
  <si>
    <t>Equity Share Capital</t>
  </si>
  <si>
    <t>Total Share Capital</t>
  </si>
  <si>
    <t>Reserves and Surplus</t>
  </si>
  <si>
    <t>Total Reserves and Surplus</t>
  </si>
  <si>
    <t>Total Shareholders Funds</t>
  </si>
  <si>
    <t>Hybrid/Debt/Other Securities</t>
  </si>
  <si>
    <t>── NON-CURRENT LIABILITIES ──</t>
  </si>
  <si>
    <t>Deferred Tax Liabilities [Net]</t>
  </si>
  <si>
    <t>Other Long Term Liabilities</t>
  </si>
  <si>
    <t>Long Term Provisions</t>
  </si>
  <si>
    <t>Total Non-Current Liabilities</t>
  </si>
  <si>
    <t>── CURRENT LIABILITIES ──</t>
  </si>
  <si>
    <t>Short Term Borrowings</t>
  </si>
  <si>
    <t>Trade Payables</t>
  </si>
  <si>
    <t>Other Current Liabilities</t>
  </si>
  <si>
    <t>Total Current Liabilities</t>
  </si>
  <si>
    <t>Total Capital and Liabilities</t>
  </si>
  <si>
    <t>── ASSETS ──</t>
  </si>
  <si>
    <t>── NON-CURRENT ASSETS ──</t>
  </si>
  <si>
    <t>Tangible Assets</t>
  </si>
  <si>
    <t>Intangible Assets</t>
  </si>
  <si>
    <t>Capital Work-In-Progress</t>
  </si>
  <si>
    <t>Fixed Assets</t>
  </si>
  <si>
    <t>Deferred Tax Assets [Net]</t>
  </si>
  <si>
    <t>Other Non-Current Assets</t>
  </si>
  <si>
    <t>Total Non-Current Assets</t>
  </si>
  <si>
    <t>── CURRENT ASSETS ──</t>
  </si>
  <si>
    <t>Current Investments</t>
  </si>
  <si>
    <t>Trade ICICI AMC eivables</t>
  </si>
  <si>
    <t>Cash and Cash Equivalents</t>
  </si>
  <si>
    <t>Short Term Loans &amp; Advances</t>
  </si>
  <si>
    <t>Other Current Assets</t>
  </si>
  <si>
    <t>Total Current Assets</t>
  </si>
  <si>
    <t>Total Assets</t>
  </si>
  <si>
    <t>── CONTINGENT LIABILITIES ──</t>
  </si>
  <si>
    <t>Contingent Liabilities</t>
  </si>
  <si>
    <t>ICICI AMC  LIMITED – Consolidated Cash Flow Statement  (Rs. Cr.)</t>
  </si>
  <si>
    <t>Net Profit Before Tax</t>
  </si>
  <si>
    <t>Net Cash from Operating Activities</t>
  </si>
  <si>
    <t>Net Cash from Investing Activities</t>
  </si>
  <si>
    <t>Net Cash from Financing Activities</t>
  </si>
  <si>
    <t>Net Change in Cash &amp; Equivalents</t>
  </si>
  <si>
    <t>Opening Cash &amp; Cash Equivalents</t>
  </si>
  <si>
    <t>Closing Cash &amp; Cash Equivalents</t>
  </si>
  <si>
    <t>ICICI AMC  LIMITED – Consolidated Key Financial Ratios</t>
  </si>
  <si>
    <t>Ratio</t>
  </si>
  <si>
    <t>── INVESTMENT VALUATION ──</t>
  </si>
  <si>
    <t>Face Value (Rs.)</t>
  </si>
  <si>
    <t>Operating Profit Per Share (Rs.)</t>
  </si>
  <si>
    <t>Net Operating Profit Per Share (Rs.)</t>
  </si>
  <si>
    <t>── PROFITABILITY RATIOS ──</t>
  </si>
  <si>
    <t>Operating Profit Margin (%)</t>
  </si>
  <si>
    <t>Gross Profit Margin (%)</t>
  </si>
  <si>
    <t>Net Profit Margin (%)</t>
  </si>
  <si>
    <t>Cash Profit Margin (%)</t>
  </si>
  <si>
    <t>Return on Capital Employed (%)</t>
  </si>
  <si>
    <t>Return on Net Worth (%)</t>
  </si>
  <si>
    <t>── LIQUIDITY &amp; SOLVENCY ──</t>
  </si>
  <si>
    <t>Current Ratio</t>
  </si>
  <si>
    <t>Quick Ratio</t>
  </si>
  <si>
    <t>Debt Equity Ratio</t>
  </si>
  <si>
    <t>── DEBT COVERAGE ──</t>
  </si>
  <si>
    <t>Interest Cover</t>
  </si>
  <si>
    <t>Total Debt to Owners Fund</t>
  </si>
  <si>
    <t>Financial Charges Coverage Ratio</t>
  </si>
  <si>
    <t>Financial Charges Coverage Ratio Post Tax</t>
  </si>
  <si>
    <t>── MANAGEMENT EFFICIENCY ──</t>
  </si>
  <si>
    <t>Debtors Turnover Ratio</t>
  </si>
  <si>
    <t>Fixed Assets Turnover Ratio</t>
  </si>
  <si>
    <t>Total Assets Turnover Ratio</t>
  </si>
  <si>
    <t>Number of Days in Working Capital</t>
  </si>
  <si>
    <t>── CASH FLOW INDICATORS ──</t>
  </si>
  <si>
    <t>Dividend Payout Ratio - Net Profit (%)</t>
  </si>
  <si>
    <t>Earning Retention Ratio (%)</t>
  </si>
  <si>
    <t>Adjusted Cash Flow Times</t>
  </si>
  <si>
    <t>Historical Financial Statement - ICICI AMC  LIMITED</t>
  </si>
  <si>
    <t>Years</t>
  </si>
  <si>
    <t>LTM</t>
  </si>
  <si>
    <t xml:space="preserve"># </t>
  </si>
  <si>
    <t>Income statement</t>
  </si>
  <si>
    <t>Interest Income (Revenue)</t>
  </si>
  <si>
    <t>Sales Growth</t>
  </si>
  <si>
    <t>Finance Costs (Cost of Funds)</t>
  </si>
  <si>
    <t>Cost of Funds % Revenue</t>
  </si>
  <si>
    <t>Net Interest Income (NII)</t>
  </si>
  <si>
    <t>NIM (Net Interest Margin)</t>
  </si>
  <si>
    <t>Operating Expenses (OpEx)</t>
  </si>
  <si>
    <t>OpEx % Revenue</t>
  </si>
  <si>
    <t>EBITDA</t>
  </si>
  <si>
    <t>EBITDA Margins</t>
  </si>
  <si>
    <t xml:space="preserve">Depriciation </t>
  </si>
  <si>
    <t xml:space="preserve">Depriciation % of Sales </t>
  </si>
  <si>
    <t>EBIT</t>
  </si>
  <si>
    <t>EBIT Margin</t>
  </si>
  <si>
    <t>Provisions % Revenue</t>
  </si>
  <si>
    <t>Profit Before Tax (PBT)</t>
  </si>
  <si>
    <t>EBT % Sales</t>
  </si>
  <si>
    <t>Tax</t>
  </si>
  <si>
    <t xml:space="preserve">Effective Tax Rate </t>
  </si>
  <si>
    <t>Net Profit</t>
  </si>
  <si>
    <t>Net Margins</t>
  </si>
  <si>
    <t xml:space="preserve">No. of Equity Shares </t>
  </si>
  <si>
    <t>Earnings Per Share (Basic EPS)</t>
  </si>
  <si>
    <t>EPS Growth %</t>
  </si>
  <si>
    <t>Dividend per Share</t>
  </si>
  <si>
    <t xml:space="preserve">Divident Payout Ratio </t>
  </si>
  <si>
    <t xml:space="preserve">Retained Earnings </t>
  </si>
  <si>
    <t>Balance statement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</si>
  <si>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</si>
  <si>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</si>
  <si>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</si>
  <si>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</si>
  <si>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</si>
  <si>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</si>
  <si>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</si>
  <si>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</si>
  <si>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</si>
  <si>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ICICI AMC eivables</t>
  </si>
  <si>
    <t>Loan Book &amp; Other Assets (incl. in Other)</t>
  </si>
  <si>
    <t>Cash &amp; Bank</t>
  </si>
  <si>
    <t xml:space="preserve">Total Current Assets </t>
  </si>
  <si>
    <t xml:space="preserve">Total Assets </t>
  </si>
  <si>
    <t>Check</t>
  </si>
  <si>
    <t>Cash Flow Statement</t>
  </si>
  <si>
    <t xml:space="preserve">Operating Activities </t>
  </si>
  <si>
    <t>Profit from operations</t>
  </si>
  <si>
    <t>Inventory</t>
  </si>
  <si>
    <t>Payables</t>
  </si>
  <si>
    <t>Loans Advances</t>
  </si>
  <si>
    <t>Other WC items</t>
  </si>
  <si>
    <t>Working capital changes</t>
  </si>
  <si>
    <t>DiICICI AMC t taxes</t>
  </si>
  <si>
    <t xml:space="preserve">Cash from Operating Activities </t>
  </si>
  <si>
    <t xml:space="preserve"> Investing Activity -</t>
  </si>
  <si>
    <t>Fixed assets purchased</t>
  </si>
  <si>
    <t>Fixed assets sold</t>
  </si>
  <si>
    <t>Subsidy ICICI AMC eived</t>
  </si>
  <si>
    <t>Investments sold</t>
  </si>
  <si>
    <t>Interest ICICI AMC eived</t>
  </si>
  <si>
    <t>Dividends ICICI AMC eived</t>
  </si>
  <si>
    <t>Capital WIP</t>
  </si>
  <si>
    <t>Acquisition of companies</t>
  </si>
  <si>
    <t>Other investing items</t>
  </si>
  <si>
    <t xml:space="preserve">Cash from Investing Activities </t>
  </si>
  <si>
    <t xml:space="preserve">Financing Activities 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</si>
  <si>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</si>
  <si>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</si>
  <si>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</si>
  <si>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</si>
  <si>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</si>
  <si>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</si>
  <si>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</si>
  <si>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Cash from Financing Activities </t>
  </si>
  <si>
    <t>Net Cash Flow</t>
  </si>
  <si>
    <t>Assumptions: ICICI AMC  Ltd.</t>
  </si>
  <si>
    <t>Margins</t>
  </si>
  <si>
    <t>EBT</t>
  </si>
  <si>
    <t>Historical Growth</t>
  </si>
  <si>
    <t>Average Growth</t>
  </si>
  <si>
    <t>CAGR %</t>
  </si>
  <si>
    <t>(RRI Formula)</t>
  </si>
  <si>
    <t>Tax Rate</t>
  </si>
  <si>
    <t>Effective Tax Rate</t>
  </si>
  <si>
    <t>Marginal Tax Rate</t>
  </si>
  <si>
    <t>Return On Capital Employed</t>
  </si>
  <si>
    <t>EBIT*(1-T)</t>
  </si>
  <si>
    <t xml:space="preserve">Book Equity </t>
  </si>
  <si>
    <t>Book Debt</t>
  </si>
  <si>
    <t xml:space="preserve">Cash and Equivalents </t>
  </si>
  <si>
    <t>Capital Employed</t>
  </si>
  <si>
    <t>Pre/Post Tax Return on Capital Employed</t>
  </si>
  <si>
    <t xml:space="preserve">Pre Tax Return on Capital </t>
  </si>
  <si>
    <t xml:space="preserve">Post Tax Return on Capital </t>
  </si>
  <si>
    <t xml:space="preserve"> </t>
  </si>
  <si>
    <t>Growth in EBIT</t>
  </si>
  <si>
    <t>Ratio Analysis - ICICI AMC  LTD</t>
  </si>
  <si>
    <t>Trends</t>
  </si>
  <si>
    <t>Mean</t>
  </si>
  <si>
    <t>EBITDA Growth</t>
  </si>
  <si>
    <t>EBIT Growth</t>
  </si>
  <si>
    <t>Net Profit Growth</t>
  </si>
  <si>
    <t xml:space="preserve">Dividend Growth </t>
  </si>
  <si>
    <t>Gross Margin</t>
  </si>
  <si>
    <t>EBITDA Margin</t>
  </si>
  <si>
    <t>EBT Margin</t>
  </si>
  <si>
    <t>Net Profit Margin</t>
  </si>
  <si>
    <t>Sales Expenses%Sales</t>
  </si>
  <si>
    <t>Depriciation%Sales</t>
  </si>
  <si>
    <t>Operating Income%Sales</t>
  </si>
  <si>
    <t xml:space="preserve">Return on Capital Employed </t>
  </si>
  <si>
    <t>Retained Earning %</t>
  </si>
  <si>
    <t>Return on Equity %</t>
  </si>
  <si>
    <t xml:space="preserve">Self Sustained Growth Rate </t>
  </si>
  <si>
    <t xml:space="preserve">Interest Coverage Ratio </t>
  </si>
  <si>
    <t>Fixed Asset Schedule</t>
  </si>
  <si>
    <t xml:space="preserve">Beginning Balance </t>
  </si>
  <si>
    <t>Add: Net Purchases</t>
  </si>
  <si>
    <t>Total Fixed Assets</t>
  </si>
  <si>
    <t xml:space="preserve">Less: Depriciation </t>
  </si>
  <si>
    <t>Closing Balance (Fixed Assets)</t>
  </si>
  <si>
    <t xml:space="preserve">Net Capital Expenditure </t>
  </si>
  <si>
    <t>Net Capital Expenditure / Sales %</t>
  </si>
  <si>
    <t>Median Capex / sales %</t>
  </si>
  <si>
    <t>Average capital expenditure / sales %</t>
  </si>
  <si>
    <t>Change in Working Capital</t>
  </si>
  <si>
    <t xml:space="preserve">Inventories </t>
  </si>
  <si>
    <t>Non Cash WC</t>
  </si>
  <si>
    <t>Change in working capital</t>
  </si>
  <si>
    <t>Change in Working Capital / % of sales</t>
  </si>
  <si>
    <t>Median Change in working capital / % of sales</t>
  </si>
  <si>
    <t>Average Change in  working capital / % of sales</t>
  </si>
  <si>
    <t>FCFF</t>
  </si>
  <si>
    <t>Less: Tax on EBIT</t>
  </si>
  <si>
    <t>EBIT*(1-tax)</t>
  </si>
  <si>
    <t>Less: Net capital expenditure</t>
  </si>
  <si>
    <t>Less: Change in WC</t>
  </si>
  <si>
    <t>Reinvestment</t>
  </si>
  <si>
    <t>Free Cah Flow to Firm</t>
  </si>
  <si>
    <t>Reinvestment Rate %</t>
  </si>
  <si>
    <t xml:space="preserve">Medium Reinvestment Rate </t>
  </si>
  <si>
    <t xml:space="preserve">Average Reinvestment Rate </t>
  </si>
  <si>
    <t>Beta Calculation for ICICI AMC  Limited</t>
  </si>
  <si>
    <t>ICICI AMC  LTD</t>
  </si>
  <si>
    <t>Nifty 50</t>
  </si>
  <si>
    <t>BETA-</t>
  </si>
  <si>
    <t>Date</t>
  </si>
  <si>
    <t>Close</t>
  </si>
  <si>
    <t>Return</t>
  </si>
  <si>
    <t>(Check Alpha Spread)</t>
  </si>
  <si>
    <t>ICICI AMC  Ltd.</t>
  </si>
  <si>
    <t>Cost of capital</t>
  </si>
  <si>
    <t>As On Date: Jun 2025</t>
  </si>
  <si>
    <t>Cost of equity using CAPM:</t>
  </si>
  <si>
    <t>Risk-free rate</t>
  </si>
  <si>
    <t>India default spread</t>
  </si>
  <si>
    <t>Beta</t>
  </si>
  <si>
    <t>Market Return</t>
  </si>
  <si>
    <t>Equity risk premium</t>
  </si>
  <si>
    <t>Cost of equity</t>
  </si>
  <si>
    <t>Cost of debt:</t>
  </si>
  <si>
    <t>Company credit rating</t>
  </si>
  <si>
    <t>Rating default spread</t>
  </si>
  <si>
    <t>Pre-tax cost of debt</t>
  </si>
  <si>
    <t>Marginal tax rate %</t>
  </si>
  <si>
    <t>Post-tax cost of debt</t>
  </si>
  <si>
    <t>Market value weights:</t>
  </si>
  <si>
    <t>Book value of Debt</t>
  </si>
  <si>
    <t>Share price (as on above date)</t>
  </si>
  <si>
    <t>No. of shares outstanding</t>
  </si>
  <si>
    <t>Market value of Equity</t>
  </si>
  <si>
    <t>D/E Ratio</t>
  </si>
  <si>
    <t xml:space="preserve">weight of debt, wa </t>
  </si>
  <si>
    <t>Weightof equity, we</t>
  </si>
  <si>
    <t>Cost of Capital</t>
  </si>
  <si>
    <t>ICICI AMC  LTD. "Growth Scenarios"</t>
  </si>
  <si>
    <t>take 23%</t>
  </si>
  <si>
    <t>Scenario 1: High Growth</t>
  </si>
  <si>
    <t>INR Cr.</t>
  </si>
  <si>
    <t>Y1E</t>
  </si>
  <si>
    <t>Y2E</t>
  </si>
  <si>
    <t>Y3E</t>
  </si>
  <si>
    <t>Y4W</t>
  </si>
  <si>
    <t>Y5E</t>
  </si>
  <si>
    <t>Y6E</t>
  </si>
  <si>
    <t>Y7E</t>
  </si>
  <si>
    <t>Y8E</t>
  </si>
  <si>
    <t>Y9E</t>
  </si>
  <si>
    <t>Y10E</t>
  </si>
  <si>
    <t>Sales</t>
  </si>
  <si>
    <t>Sales Growth %</t>
  </si>
  <si>
    <t>Scenario 2: Average Growth</t>
  </si>
  <si>
    <t>Scenario 3: EBIT Growth</t>
  </si>
  <si>
    <t>Live Scenario</t>
  </si>
  <si>
    <t>── NBFC GROWTH FRAMEWORK (ROE × Retention) ──</t>
  </si>
  <si>
    <t>Sustainable Growth Rate = ROE × Retention Ratio</t>
  </si>
  <si>
    <t>Metric</t>
  </si>
  <si>
    <t>FY22</t>
  </si>
  <si>
    <t>FY23</t>
  </si>
  <si>
    <t>FY24</t>
  </si>
  <si>
    <t>FY25</t>
  </si>
  <si>
    <t>Average</t>
  </si>
  <si>
    <t>ROE (%)</t>
  </si>
  <si>
    <t>Retention Ratio (b = 1 - Payout)</t>
  </si>
  <si>
    <t>Sustainable Growth (ROE × b)</t>
  </si>
  <si>
    <t>Loan Book / AUM Growth (primary driver for NBFC)</t>
  </si>
  <si>
    <t>Loan Book (Cr)</t>
  </si>
  <si>
    <t>YoY Loan Book Growth</t>
  </si>
  <si>
    <t>Relative Valuation</t>
  </si>
  <si>
    <t>Figures in Crore</t>
  </si>
  <si>
    <t>Comparable Company Valuation</t>
  </si>
  <si>
    <t>Company Name</t>
  </si>
  <si>
    <t>Market Data</t>
  </si>
  <si>
    <t>Financials</t>
  </si>
  <si>
    <t>Valuation</t>
  </si>
  <si>
    <t>No. of shares</t>
  </si>
  <si>
    <t>Share Price</t>
  </si>
  <si>
    <t>Equity value</t>
  </si>
  <si>
    <t>Debt</t>
  </si>
  <si>
    <t>cash</t>
  </si>
  <si>
    <t>Enterprises value</t>
  </si>
  <si>
    <t>Revenue</t>
  </si>
  <si>
    <t>EPS</t>
  </si>
  <si>
    <t>EV/Revenue</t>
  </si>
  <si>
    <t>EV/EBITDA</t>
  </si>
  <si>
    <t>P/E Ratio</t>
  </si>
  <si>
    <t>UTI</t>
  </si>
  <si>
    <t>Aditya AMC</t>
  </si>
  <si>
    <t>Nippon</t>
  </si>
  <si>
    <t xml:space="preserve">ICICI </t>
  </si>
  <si>
    <t>HDFC</t>
  </si>
  <si>
    <t>Max</t>
  </si>
  <si>
    <t>75th Percentile</t>
  </si>
  <si>
    <t>median</t>
  </si>
  <si>
    <t>25th Percentile</t>
  </si>
  <si>
    <t>Min.</t>
  </si>
  <si>
    <t>M&amp;M Industry Comparable comps</t>
  </si>
  <si>
    <t>Implied Enterprise Value</t>
  </si>
  <si>
    <t>Net Debt</t>
  </si>
  <si>
    <t>Implied Market Value</t>
  </si>
  <si>
    <t>Share Outstanding</t>
  </si>
  <si>
    <t>Implied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</si>
</sst>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.00;\(#,##0.00\);\-"/>
    <numFmt numFmtId="165" formatCode="0.0%;\(0.0%\);\-"/>
    <numFmt numFmtId="166" formatCode="&quot;₹ &quot;#,##0.00;&quot;(₹ -&quot;#,##0.0\);\-"/>
    <numFmt numFmtId="167" formatCode="_ * #,##0.00_ ;_ * \-#,##0.00_ ;_ * \-??_ ;_ @_ "/>
    <numFmt numFmtId="168" formatCode="[$-409]mmm\-yy;@"/>
    <numFmt numFmtId="169" formatCode="0.0%"/>
    <numFmt numFmtId="170" formatCode="0.0"/>
    <numFmt numFmtId="171" formatCode="0.0\x"/>
    <numFmt numFmtId="172" formatCode="0.00\x"/>
    <numFmt numFmtId="173" formatCode="&quot;₹ &quot;#,##0.00"/>
    <numFmt numFmtId="174" formatCode="0.000%"/>
    <numFmt numFmtId="175" formatCode="0.0000%"/>
    <numFmt numFmtId="176" formatCode="0.00000"/>
    <numFmt numFmtId="177" formatCode="_ * #,##0.0000_ ;_ * \-#,##0.0000_ ;_ * \-??_ ;_ @_ "/>
    <numFmt numFmtId="178" formatCode="#,##0.0"/>
    <numFmt numFmtId="179" formatCode="0.000000000000%"/>
    <numFmt numFmtId="180" formatCode="0.\X"/>
    <numFmt numFmtId="181" formatCode="0.000000"/>
    <numFmt numFmtId="182" formatCode="0.0000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1"/>
      <color rgb="FF000000"/>
      <name val="Arial"/>
    </font>
    <font>
      <b/>
      <sz val="12"/>
      <color rgb="FF000000"/>
      <name val="Arial"/>
    </font>
    <font>
      <sz val="11"/>
      <color rgb="FF0000FF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8CCE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theme="7" tint="-0.249977111117893"/>
      </top>
      <bottom style="hair">
        <color theme="7" tint="-0.24997711111789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645DF9"/>
      </top>
      <bottom style="medium">
        <color rgb="FF645DF9"/>
      </bottom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EEEEEE"/>
      </right>
      <top/>
      <bottom/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9" fontId="2" fillId="0" borderId="0"/>
  </cellStyleXfs>
  <cellXfs count="117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left"/>
    </xf>
    <xf numFmtId="4" fontId="5" fillId="4" borderId="17" xfId="0" applyNumberFormat="1" applyFont="1" applyFill="1" applyBorder="1" applyAlignment="1">
      <alignment horizontal="right"/>
    </xf>
    <xf numFmtId="0" fontId="5" fillId="4" borderId="17" xfId="0" applyFont="1" applyFill="1" applyBorder="1" applyAlignment="1">
      <alignment horizontal="right"/>
    </xf>
    <xf numFmtId="4" fontId="5" fillId="4" borderId="1" xfId="0" applyNumberFormat="1" applyFont="1" applyFill="1" applyBorder="1" applyAlignment="1">
      <alignment horizontal="right"/>
    </xf>
    <xf numFmtId="4" fontId="3" fillId="2" borderId="17" xfId="0" applyNumberFormat="1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right"/>
    </xf>
    <xf numFmtId="0" fontId="5" fillId="4" borderId="0" xfId="0" applyFont="1" applyFill="1" applyAlignment="1">
      <alignment horizontal="right"/>
    </xf>
    <xf numFmtId="0" fontId="3" fillId="2" borderId="26" xfId="0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left"/>
    </xf>
    <xf numFmtId="17" fontId="4" fillId="3" borderId="0" xfId="0" applyNumberFormat="1" applyFont="1" applyFill="1" applyAlignment="1">
      <alignment horizontal="center"/>
    </xf>
    <xf numFmtId="17" fontId="3" fillId="2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165" fontId="3" fillId="2" borderId="0" xfId="0" applyNumberFormat="1" applyFont="1" applyFill="1" applyAlignment="1">
      <alignment horizontal="left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9" fontId="3" fillId="2" borderId="0" xfId="0" applyNumberFormat="1" applyFont="1" applyFill="1" applyAlignment="1">
      <alignment horizontal="left"/>
    </xf>
    <xf numFmtId="0" fontId="3" fillId="2" borderId="3" xfId="0" applyFont="1" applyFill="1" applyBorder="1" applyAlignment="1">
      <alignment horizontal="left"/>
    </xf>
    <xf numFmtId="164" fontId="3" fillId="2" borderId="3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left"/>
    </xf>
    <xf numFmtId="0" fontId="3" fillId="2" borderId="4" xfId="0" applyFont="1" applyFill="1" applyBorder="1" applyAlignment="1">
      <alignment horizontal="left"/>
    </xf>
    <xf numFmtId="164" fontId="3" fillId="2" borderId="4" xfId="0" applyNumberFormat="1" applyFont="1" applyFill="1" applyBorder="1" applyAlignment="1">
      <alignment horizontal="left"/>
    </xf>
    <xf numFmtId="168" fontId="4" fillId="3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left"/>
    </xf>
    <xf numFmtId="168" fontId="3" fillId="2" borderId="0" xfId="0" applyNumberFormat="1" applyFont="1" applyFill="1" applyAlignment="1">
      <alignment horizontal="left"/>
    </xf>
    <xf numFmtId="170" fontId="3" fillId="2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  <xf numFmtId="4" fontId="3" fillId="2" borderId="3" xfId="0" applyNumberFormat="1" applyFont="1" applyFill="1" applyBorder="1" applyAlignment="1">
      <alignment horizontal="left"/>
    </xf>
    <xf numFmtId="10" fontId="3" fillId="2" borderId="3" xfId="0" applyNumberFormat="1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10" fontId="3" fillId="2" borderId="2" xfId="0" applyNumberFormat="1" applyFont="1" applyFill="1" applyBorder="1" applyAlignment="1">
      <alignment horizontal="left"/>
    </xf>
    <xf numFmtId="16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169" fontId="3" fillId="5" borderId="0" xfId="0" applyNumberFormat="1" applyFont="1" applyFill="1" applyAlignment="1">
      <alignment horizontal="left"/>
    </xf>
    <xf numFmtId="171" fontId="3" fillId="2" borderId="2" xfId="0" applyNumberFormat="1" applyFont="1" applyFill="1" applyBorder="1" applyAlignment="1">
      <alignment horizontal="right"/>
    </xf>
    <xf numFmtId="172" fontId="3" fillId="2" borderId="2" xfId="0" applyNumberFormat="1" applyFont="1" applyFill="1" applyBorder="1" applyAlignment="1">
      <alignment horizontal="left"/>
    </xf>
    <xf numFmtId="173" fontId="3" fillId="2" borderId="0" xfId="0" applyNumberFormat="1" applyFont="1" applyFill="1" applyAlignment="1">
      <alignment horizontal="left"/>
    </xf>
    <xf numFmtId="173" fontId="3" fillId="2" borderId="2" xfId="0" applyNumberFormat="1" applyFont="1" applyFill="1" applyBorder="1" applyAlignment="1">
      <alignment horizontal="left"/>
    </xf>
    <xf numFmtId="10" fontId="3" fillId="2" borderId="0" xfId="0" applyNumberFormat="1" applyFont="1" applyFill="1" applyAlignment="1">
      <alignment horizontal="left"/>
    </xf>
    <xf numFmtId="10" fontId="3" fillId="5" borderId="0" xfId="0" applyNumberFormat="1" applyFont="1" applyFill="1" applyAlignment="1">
      <alignment horizontal="left"/>
    </xf>
    <xf numFmtId="173" fontId="3" fillId="2" borderId="0" xfId="0" applyNumberFormat="1" applyFont="1" applyFill="1" applyAlignment="1">
      <alignment horizontal="right"/>
    </xf>
    <xf numFmtId="4" fontId="3" fillId="2" borderId="2" xfId="0" applyNumberFormat="1" applyFont="1" applyFill="1" applyBorder="1" applyAlignment="1">
      <alignment horizontal="left"/>
    </xf>
    <xf numFmtId="166" fontId="3" fillId="2" borderId="2" xfId="0" applyNumberFormat="1" applyFont="1" applyFill="1" applyBorder="1" applyAlignment="1">
      <alignment horizontal="left"/>
    </xf>
    <xf numFmtId="4" fontId="3" fillId="5" borderId="0" xfId="0" applyNumberFormat="1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right"/>
    </xf>
    <xf numFmtId="10" fontId="5" fillId="4" borderId="0" xfId="0" applyNumberFormat="1" applyFont="1" applyFill="1" applyAlignment="1">
      <alignment horizontal="right"/>
    </xf>
    <xf numFmtId="2" fontId="3" fillId="2" borderId="0" xfId="0" applyNumberFormat="1" applyFont="1" applyFill="1" applyAlignment="1">
      <alignment horizontal="left"/>
    </xf>
    <xf numFmtId="9" fontId="5" fillId="4" borderId="0" xfId="0" applyNumberFormat="1" applyFont="1" applyFill="1" applyAlignment="1">
      <alignment horizontal="right"/>
    </xf>
    <xf numFmtId="174" fontId="3" fillId="2" borderId="0" xfId="0" applyNumberFormat="1" applyFont="1" applyFill="1" applyAlignment="1">
      <alignment horizontal="left"/>
    </xf>
    <xf numFmtId="175" fontId="3" fillId="2" borderId="3" xfId="0" applyNumberFormat="1" applyFont="1" applyFill="1" applyBorder="1" applyAlignment="1">
      <alignment horizontal="left"/>
    </xf>
    <xf numFmtId="3" fontId="3" fillId="2" borderId="0" xfId="0" applyNumberFormat="1" applyFont="1" applyFill="1" applyAlignment="1">
      <alignment horizontal="left"/>
    </xf>
    <xf numFmtId="167" fontId="5" fillId="4" borderId="0" xfId="0" applyNumberFormat="1" applyFont="1" applyFill="1" applyAlignment="1">
      <alignment horizontal="right"/>
    </xf>
    <xf numFmtId="0" fontId="4" fillId="3" borderId="6" xfId="0" applyFont="1" applyFill="1" applyBorder="1" applyAlignment="1">
      <alignment horizontal="center"/>
    </xf>
    <xf numFmtId="169" fontId="5" fillId="4" borderId="0" xfId="0" applyNumberFormat="1" applyFont="1" applyFill="1" applyAlignment="1">
      <alignment horizontal="right"/>
    </xf>
    <xf numFmtId="0" fontId="3" fillId="2" borderId="6" xfId="0" applyFont="1" applyFill="1" applyBorder="1" applyAlignment="1">
      <alignment horizontal="left"/>
    </xf>
    <xf numFmtId="176" fontId="3" fillId="2" borderId="0" xfId="0" applyNumberFormat="1" applyFont="1" applyFill="1" applyAlignment="1">
      <alignment horizontal="left"/>
    </xf>
    <xf numFmtId="172" fontId="3" fillId="2" borderId="0" xfId="0" applyNumberFormat="1" applyFont="1" applyFill="1" applyAlignment="1">
      <alignment horizontal="left"/>
    </xf>
    <xf numFmtId="10" fontId="4" fillId="3" borderId="0" xfId="0" applyNumberFormat="1" applyFont="1" applyFill="1" applyAlignment="1">
      <alignment horizontal="center"/>
    </xf>
    <xf numFmtId="177" fontId="3" fillId="2" borderId="0" xfId="0" applyNumberFormat="1" applyFont="1" applyFill="1" applyAlignment="1">
      <alignment horizontal="left"/>
    </xf>
    <xf numFmtId="164" fontId="5" fillId="4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178" fontId="3" fillId="2" borderId="0" xfId="0" applyNumberFormat="1" applyFont="1" applyFill="1" applyAlignment="1">
      <alignment horizontal="left"/>
    </xf>
    <xf numFmtId="0" fontId="3" fillId="2" borderId="7" xfId="0" applyFont="1" applyFill="1" applyBorder="1" applyAlignment="1">
      <alignment horizontal="left"/>
    </xf>
    <xf numFmtId="167" fontId="3" fillId="2" borderId="7" xfId="0" applyNumberFormat="1" applyFont="1" applyFill="1" applyBorder="1" applyAlignment="1">
      <alignment horizontal="left"/>
    </xf>
    <xf numFmtId="2" fontId="3" fillId="2" borderId="7" xfId="0" applyNumberFormat="1" applyFont="1" applyFill="1" applyBorder="1" applyAlignment="1">
      <alignment horizontal="left"/>
    </xf>
    <xf numFmtId="179" fontId="3" fillId="2" borderId="0" xfId="0" applyNumberFormat="1" applyFont="1" applyFill="1" applyAlignment="1">
      <alignment horizontal="left"/>
    </xf>
    <xf numFmtId="0" fontId="3" fillId="2" borderId="18" xfId="0" applyFont="1" applyFill="1" applyBorder="1" applyAlignment="1">
      <alignment horizontal="left"/>
    </xf>
    <xf numFmtId="4" fontId="3" fillId="2" borderId="18" xfId="0" applyNumberFormat="1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170" fontId="3" fillId="2" borderId="14" xfId="0" applyNumberFormat="1" applyFont="1" applyFill="1" applyBorder="1" applyAlignment="1">
      <alignment horizontal="right"/>
    </xf>
    <xf numFmtId="170" fontId="3" fillId="2" borderId="0" xfId="0" applyNumberFormat="1" applyFont="1" applyFill="1" applyAlignment="1">
      <alignment horizontal="right"/>
    </xf>
    <xf numFmtId="170" fontId="3" fillId="2" borderId="8" xfId="0" applyNumberFormat="1" applyFont="1" applyFill="1" applyBorder="1" applyAlignment="1">
      <alignment horizontal="left"/>
    </xf>
    <xf numFmtId="170" fontId="3" fillId="2" borderId="8" xfId="0" applyNumberFormat="1" applyFont="1" applyFill="1" applyBorder="1" applyAlignment="1">
      <alignment horizontal="right"/>
    </xf>
    <xf numFmtId="170" fontId="3" fillId="2" borderId="13" xfId="0" applyNumberFormat="1" applyFont="1" applyFill="1" applyBorder="1" applyAlignment="1">
      <alignment horizontal="right"/>
    </xf>
    <xf numFmtId="170" fontId="3" fillId="2" borderId="13" xfId="0" applyNumberFormat="1" applyFont="1" applyFill="1" applyBorder="1" applyAlignment="1">
      <alignment horizontal="left"/>
    </xf>
    <xf numFmtId="180" fontId="3" fillId="2" borderId="0" xfId="0" applyNumberFormat="1" applyFont="1" applyFill="1" applyAlignment="1">
      <alignment horizontal="left"/>
    </xf>
    <xf numFmtId="180" fontId="3" fillId="2" borderId="22" xfId="0" applyNumberFormat="1" applyFont="1" applyFill="1" applyBorder="1" applyAlignment="1">
      <alignment horizontal="left"/>
    </xf>
    <xf numFmtId="170" fontId="3" fillId="2" borderId="14" xfId="0" applyNumberFormat="1" applyFont="1" applyFill="1" applyBorder="1" applyAlignment="1">
      <alignment horizontal="left"/>
    </xf>
    <xf numFmtId="181" fontId="3" fillId="2" borderId="0" xfId="0" applyNumberFormat="1" applyFont="1" applyFill="1" applyAlignment="1">
      <alignment horizontal="left"/>
    </xf>
    <xf numFmtId="182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3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</cellXfs>
  <cellStyles count="2">
    <cellStyle name="Normal" xfId="0" builtinId="0"/>
    <cellStyle name="Percent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7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1F4E79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6E4F0"/>
      <rgbColor rgb="FFFFFF99"/>
      <rgbColor rgb="FFDAE3F3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FF6600"/>
      <rgbColor rgb="FF595959"/>
      <rgbColor rgb="FF969696"/>
      <rgbColor rgb="FF002060"/>
      <rgbColor rgb="FF339966"/>
      <rgbColor rgb="FF006100"/>
      <rgbColor rgb="FF333300"/>
      <rgbColor rgb="FF993300"/>
      <rgbColor rgb="FF993366"/>
      <rgbColor rgb="FF1F3864"/>
      <rgbColor rgb="FF2222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114300</xdr:rowOff>
    </xdr:from>
    <xdr:to>
      <xdr:col>16</xdr:col>
      <xdr:colOff>57010</xdr:colOff>
      <xdr:row>16</xdr:row>
      <xdr:rowOff>22860</xdr:rowOff>
    </xdr:to>
    <xdr:pic>
      <xdr:nvPicPr>
        <xdr:cNvPr id="3" name="Picture 2" descr="ICICI Prudential AMC ..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67100" y="114300"/>
          <a:ext cx="6099670" cy="283464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72720</xdr:colOff>
      <xdr:row>3</xdr:row>
      <xdr:rowOff>72720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542880"/>
          <a:ext cx="72720" cy="727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72720</xdr:colOff>
      <xdr:row>3</xdr:row>
      <xdr:rowOff>72720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20" y="542880"/>
          <a:ext cx="72720" cy="727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GLENMARK/consolidated/" TargetMode="External"/><Relationship Id="rId2" Type="http://schemas.openxmlformats.org/officeDocument/2006/relationships/hyperlink" Target="https://www.screener.in/company/LAURUSLABS/consolidated/" TargetMode="External"/><Relationship Id="rId1" Type="http://schemas.openxmlformats.org/officeDocument/2006/relationships/hyperlink" Target="https://www.screener.in/company/AUROPHARMA/consolidated/" TargetMode="External"/><Relationship Id="rId5" Type="http://schemas.openxmlformats.org/officeDocument/2006/relationships/hyperlink" Target="https://www.screener.in/company/ANTHEM/consolidated/" TargetMode="External"/><Relationship Id="rId4" Type="http://schemas.openxmlformats.org/officeDocument/2006/relationships/hyperlink" Target="https://www.screener.in/company/BIOCON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showGridLines="0" zoomScaleNormal="100" workbookViewId="0">
      <pane ySplit="1" topLeftCell="A2" activePane="bottomLeft" state="frozen"/>
      <selection pane="bottomLeft" activeCell="D14" sqref="D14"/>
    </sheetView>
  </sheetViews>
  <sheetFormatPr defaultColWidth="8.6640625" defaultRowHeight="14.4" x14ac:dyDescent="0.3"/>
  <sheetData>
    <row r="1" spans="1:20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">
      <c r="A19" s="2"/>
      <c r="B19" s="2"/>
      <c r="C19" s="2"/>
      <c r="D19" s="2"/>
      <c r="E19" s="2"/>
      <c r="F19" s="2"/>
      <c r="G19" s="2"/>
      <c r="H19" s="2"/>
      <c r="I19" s="101" t="s">
        <v>78</v>
      </c>
      <c r="J19" s="101"/>
      <c r="K19" s="101"/>
      <c r="L19" s="101"/>
      <c r="M19" s="101"/>
      <c r="N19" s="101"/>
      <c r="O19" s="2"/>
      <c r="P19" s="2"/>
      <c r="Q19" s="2"/>
      <c r="R19" s="2"/>
      <c r="S19" s="2"/>
      <c r="T19" s="2"/>
    </row>
    <row r="20" spans="1:20" x14ac:dyDescent="0.3">
      <c r="A20" s="2"/>
      <c r="B20" s="2"/>
      <c r="C20" s="2"/>
      <c r="D20" s="116" t="s">
        <v>79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</row>
    <row r="21" spans="1:20" x14ac:dyDescent="0.3">
      <c r="A21" s="2"/>
      <c r="B21" s="2"/>
      <c r="C21" s="2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</row>
    <row r="22" spans="1:20" x14ac:dyDescent="0.3">
      <c r="A22" s="2"/>
      <c r="B22" s="2"/>
      <c r="C22" s="2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</row>
    <row r="23" spans="1:20" x14ac:dyDescent="0.3">
      <c r="A23" s="2"/>
      <c r="B23" s="2"/>
      <c r="C23" s="2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</row>
    <row r="24" spans="1:20" x14ac:dyDescent="0.3">
      <c r="A24" s="2"/>
      <c r="B24" s="2"/>
      <c r="C24" s="2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</row>
    <row r="25" spans="1:20" x14ac:dyDescent="0.3">
      <c r="A25" s="2"/>
      <c r="B25" s="2"/>
      <c r="C25" s="2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</row>
    <row r="26" spans="1:20" x14ac:dyDescent="0.3">
      <c r="A26" s="2"/>
      <c r="B26" s="2"/>
      <c r="C26" s="2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</row>
    <row r="27" spans="1:20" x14ac:dyDescent="0.3">
      <c r="A27" s="2"/>
      <c r="B27" s="2"/>
      <c r="C27" s="2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</row>
    <row r="28" spans="1:20" x14ac:dyDescent="0.3">
      <c r="A28" s="2"/>
      <c r="B28" s="2"/>
      <c r="C28" s="2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</row>
    <row r="29" spans="1:20" x14ac:dyDescent="0.3">
      <c r="A29" s="2"/>
      <c r="B29" s="2"/>
      <c r="C29" s="2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</row>
    <row r="30" spans="1:20" x14ac:dyDescent="0.3">
      <c r="A30" s="2"/>
      <c r="B30" s="2"/>
      <c r="C30" s="2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</row>
    <row r="31" spans="1:20" x14ac:dyDescent="0.3">
      <c r="A31" s="2"/>
      <c r="B31" s="2"/>
      <c r="C31" s="2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</row>
    <row r="32" spans="1:20" x14ac:dyDescent="0.3">
      <c r="A32" s="2"/>
      <c r="B32" s="2"/>
      <c r="C32" s="2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</row>
  </sheetData>
  <mergeCells count="2">
    <mergeCell ref="D20:T32"/>
    <mergeCell ref="I19:N1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zoomScaleNormal="100" workbookViewId="0">
      <pane ySplit="1" topLeftCell="A2" activePane="bottomLeft" state="frozen"/>
      <selection pane="bottomLeft" activeCell="B7" sqref="B7"/>
    </sheetView>
  </sheetViews>
  <sheetFormatPr defaultColWidth="8.6640625" defaultRowHeight="14.4" x14ac:dyDescent="0.3"/>
  <cols>
    <col min="2" max="2" width="24.44140625" bestFit="1" customWidth="1"/>
    <col min="3" max="3" width="16.6640625" bestFit="1" customWidth="1"/>
    <col min="4" max="4" width="73.44140625" bestFit="1" customWidth="1"/>
  </cols>
  <sheetData>
    <row r="1" spans="1:4" ht="14.25" customHeight="1" x14ac:dyDescent="0.3">
      <c r="A1" s="2"/>
      <c r="B1" s="2"/>
      <c r="C1" s="2"/>
      <c r="D1" s="2"/>
    </row>
    <row r="2" spans="1:4" ht="20.399999999999999" customHeight="1" x14ac:dyDescent="0.3">
      <c r="A2" s="2"/>
      <c r="B2" s="103"/>
      <c r="C2" s="103"/>
      <c r="D2" s="103"/>
    </row>
    <row r="3" spans="1:4" ht="15" customHeight="1" thickBot="1" x14ac:dyDescent="0.35">
      <c r="A3" s="2"/>
      <c r="B3" s="102"/>
      <c r="C3" s="102"/>
      <c r="D3" s="102"/>
    </row>
    <row r="4" spans="1:4" x14ac:dyDescent="0.3">
      <c r="A4" s="2"/>
      <c r="B4" s="3" t="s">
        <v>80</v>
      </c>
      <c r="C4" s="3" t="s">
        <v>81</v>
      </c>
      <c r="D4" s="4">
        <v>87.59</v>
      </c>
    </row>
    <row r="5" spans="1:4" x14ac:dyDescent="0.3">
      <c r="A5" s="2"/>
      <c r="B5" s="3" t="s">
        <v>82</v>
      </c>
      <c r="C5" s="3" t="s">
        <v>83</v>
      </c>
      <c r="D5" s="4">
        <v>12.41</v>
      </c>
    </row>
    <row r="6" spans="1:4" x14ac:dyDescent="0.3">
      <c r="A6" s="2"/>
      <c r="B6" s="3" t="s">
        <v>84</v>
      </c>
      <c r="C6" s="3" t="s">
        <v>85</v>
      </c>
      <c r="D6" s="3" t="s">
        <v>86</v>
      </c>
    </row>
    <row r="7" spans="1:4" x14ac:dyDescent="0.3">
      <c r="A7" s="2"/>
      <c r="B7" s="3" t="s">
        <v>87</v>
      </c>
      <c r="C7" s="3" t="s">
        <v>85</v>
      </c>
      <c r="D7" s="3" t="s">
        <v>86</v>
      </c>
    </row>
    <row r="8" spans="1:4" x14ac:dyDescent="0.3">
      <c r="A8" s="2"/>
      <c r="B8" s="3" t="s">
        <v>88</v>
      </c>
      <c r="C8" s="3" t="s">
        <v>85</v>
      </c>
      <c r="D8" s="3" t="s">
        <v>86</v>
      </c>
    </row>
    <row r="9" spans="1:4" x14ac:dyDescent="0.3">
      <c r="A9" s="2"/>
      <c r="B9" s="3" t="s">
        <v>89</v>
      </c>
      <c r="C9" s="3" t="s">
        <v>90</v>
      </c>
      <c r="D9" s="4">
        <v>100</v>
      </c>
    </row>
  </sheetData>
  <mergeCells count="3">
    <mergeCell ref="D2:D3"/>
    <mergeCell ref="C2:C3"/>
    <mergeCell ref="B2:B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9"/>
  <sheetViews>
    <sheetView showGridLines="0" topLeftCell="A100" zoomScale="86" zoomScaleNormal="100" workbookViewId="0">
      <selection activeCell="I73" sqref="I73"/>
    </sheetView>
  </sheetViews>
  <sheetFormatPr defaultColWidth="16" defaultRowHeight="14.4" x14ac:dyDescent="0.3"/>
  <cols>
    <col min="1" max="1" width="40" style="1" customWidth="1"/>
    <col min="2" max="4" width="16" style="1" customWidth="1"/>
    <col min="5" max="7" width="16" customWidth="1"/>
    <col min="8" max="8" width="16" style="1" customWidth="1"/>
    <col min="9" max="13" width="16" customWidth="1"/>
    <col min="14" max="16384" width="16" style="1"/>
  </cols>
  <sheetData>
    <row r="1" spans="1:13" ht="15" customHeight="1" x14ac:dyDescent="0.3">
      <c r="A1" s="5"/>
      <c r="B1" s="105" t="s">
        <v>91</v>
      </c>
      <c r="C1" s="105"/>
      <c r="D1" s="105"/>
      <c r="E1" s="105"/>
      <c r="F1" s="105"/>
      <c r="G1" s="105"/>
      <c r="H1" s="5"/>
      <c r="I1" s="5"/>
      <c r="J1" s="5"/>
      <c r="K1" s="5"/>
      <c r="L1" s="5"/>
      <c r="M1" s="5"/>
    </row>
    <row r="2" spans="1:13" ht="14.25" customHeight="1" x14ac:dyDescent="0.3">
      <c r="A2" s="5"/>
      <c r="B2" s="6" t="s">
        <v>92</v>
      </c>
      <c r="C2" s="6" t="s">
        <v>93</v>
      </c>
      <c r="D2" s="6" t="s">
        <v>94</v>
      </c>
      <c r="E2" s="6" t="s">
        <v>95</v>
      </c>
      <c r="F2" s="6" t="s">
        <v>96</v>
      </c>
      <c r="G2" s="6" t="s">
        <v>97</v>
      </c>
      <c r="H2" s="7"/>
      <c r="I2" s="7"/>
      <c r="J2" s="7"/>
      <c r="K2" s="7"/>
      <c r="L2" s="7"/>
      <c r="M2" s="7"/>
    </row>
    <row r="3" spans="1:13" ht="14.25" customHeight="1" x14ac:dyDescent="0.3">
      <c r="A3" s="2"/>
      <c r="B3" s="104" t="s">
        <v>98</v>
      </c>
      <c r="C3" s="104"/>
      <c r="D3" s="104"/>
      <c r="E3" s="104"/>
      <c r="F3" s="104"/>
      <c r="G3" s="104"/>
      <c r="H3" s="2"/>
      <c r="I3" s="2"/>
      <c r="J3" s="2"/>
      <c r="K3" s="2"/>
      <c r="L3" s="2"/>
      <c r="M3" s="2"/>
    </row>
    <row r="4" spans="1:13" ht="14.25" customHeight="1" x14ac:dyDescent="0.3">
      <c r="A4" s="2"/>
      <c r="B4" s="8" t="s">
        <v>99</v>
      </c>
      <c r="C4" s="9">
        <v>2634.07</v>
      </c>
      <c r="D4" s="9">
        <v>2837.35</v>
      </c>
      <c r="E4" s="9">
        <v>3758.23</v>
      </c>
      <c r="F4" s="9">
        <v>4977.33</v>
      </c>
      <c r="G4" s="9">
        <v>5764.63</v>
      </c>
      <c r="H4" s="2"/>
      <c r="I4" s="2"/>
      <c r="J4" s="2"/>
      <c r="K4" s="2"/>
      <c r="L4" s="2"/>
      <c r="M4" s="2"/>
    </row>
    <row r="5" spans="1:13" ht="14.25" customHeight="1" x14ac:dyDescent="0.3">
      <c r="A5" s="2"/>
      <c r="B5" s="8" t="s">
        <v>100</v>
      </c>
      <c r="C5" s="9">
        <v>2634.07</v>
      </c>
      <c r="D5" s="9">
        <v>2837.35</v>
      </c>
      <c r="E5" s="9">
        <v>3758.23</v>
      </c>
      <c r="F5" s="9">
        <v>4977.33</v>
      </c>
      <c r="G5" s="9">
        <v>5764.63</v>
      </c>
      <c r="H5" s="2"/>
      <c r="I5" s="2"/>
      <c r="J5" s="2"/>
      <c r="K5" s="2"/>
      <c r="L5" s="2"/>
      <c r="M5" s="2"/>
    </row>
    <row r="6" spans="1:13" ht="14.25" customHeight="1" x14ac:dyDescent="0.3">
      <c r="A6" s="2"/>
      <c r="B6" s="8" t="s">
        <v>101</v>
      </c>
      <c r="C6" s="9">
        <v>2634.07</v>
      </c>
      <c r="D6" s="9">
        <v>2837.35</v>
      </c>
      <c r="E6" s="9">
        <v>3758.23</v>
      </c>
      <c r="F6" s="9">
        <v>4977.33</v>
      </c>
      <c r="G6" s="9">
        <v>5764.63</v>
      </c>
      <c r="H6" s="2"/>
      <c r="I6" s="2"/>
      <c r="J6" s="2"/>
      <c r="K6" s="2"/>
      <c r="L6" s="2"/>
      <c r="M6" s="2"/>
    </row>
    <row r="7" spans="1:13" ht="14.25" customHeight="1" x14ac:dyDescent="0.3">
      <c r="A7" s="2"/>
      <c r="B7" s="8" t="s">
        <v>102</v>
      </c>
      <c r="C7" s="10">
        <v>1.22</v>
      </c>
      <c r="D7" s="10">
        <v>0.83</v>
      </c>
      <c r="E7" s="10">
        <v>2.98</v>
      </c>
      <c r="F7" s="10">
        <v>2.34</v>
      </c>
      <c r="G7" s="10">
        <v>236.29</v>
      </c>
      <c r="H7" s="2"/>
      <c r="I7" s="2"/>
      <c r="J7" s="2"/>
      <c r="K7" s="2"/>
      <c r="L7" s="2"/>
      <c r="M7" s="2"/>
    </row>
    <row r="8" spans="1:13" ht="14.25" customHeight="1" x14ac:dyDescent="0.3">
      <c r="A8" s="2"/>
      <c r="B8" s="8" t="s">
        <v>103</v>
      </c>
      <c r="C8" s="9">
        <v>2635.29</v>
      </c>
      <c r="D8" s="9">
        <v>2838.18</v>
      </c>
      <c r="E8" s="9">
        <v>3761.21</v>
      </c>
      <c r="F8" s="9">
        <v>4979.67</v>
      </c>
      <c r="G8" s="9">
        <v>6000.92</v>
      </c>
      <c r="H8" s="2"/>
      <c r="I8" s="2"/>
      <c r="J8" s="2"/>
      <c r="K8" s="2"/>
      <c r="L8" s="2"/>
      <c r="M8" s="2"/>
    </row>
    <row r="9" spans="1:13" ht="14.25" customHeight="1" x14ac:dyDescent="0.3">
      <c r="A9" s="2"/>
      <c r="B9" s="104" t="s">
        <v>104</v>
      </c>
      <c r="C9" s="104"/>
      <c r="D9" s="104"/>
      <c r="E9" s="104"/>
      <c r="F9" s="104"/>
      <c r="G9" s="104"/>
      <c r="H9" s="2"/>
      <c r="I9" s="2"/>
      <c r="J9" s="2"/>
      <c r="K9" s="2"/>
      <c r="L9" s="2"/>
      <c r="M9" s="2"/>
    </row>
    <row r="10" spans="1:13" ht="14.25" customHeight="1" x14ac:dyDescent="0.3">
      <c r="A10" s="2"/>
      <c r="B10" s="8" t="s">
        <v>105</v>
      </c>
      <c r="C10" s="10">
        <v>0</v>
      </c>
      <c r="D10" s="10">
        <v>95.75</v>
      </c>
      <c r="E10" s="10">
        <v>152.97</v>
      </c>
      <c r="F10" s="10">
        <v>319.42</v>
      </c>
      <c r="G10" s="10">
        <v>0</v>
      </c>
      <c r="H10" s="2"/>
      <c r="I10" s="2"/>
      <c r="J10" s="2"/>
      <c r="K10" s="2"/>
      <c r="L10" s="2"/>
      <c r="M10" s="2"/>
    </row>
    <row r="11" spans="1:13" ht="14.25" customHeight="1" x14ac:dyDescent="0.3">
      <c r="A11" s="2"/>
      <c r="B11" s="8" t="s">
        <v>106</v>
      </c>
      <c r="C11" s="10">
        <v>331.84</v>
      </c>
      <c r="D11" s="10">
        <v>411.71</v>
      </c>
      <c r="E11" s="10">
        <v>521.55999999999995</v>
      </c>
      <c r="F11" s="10">
        <v>614.21</v>
      </c>
      <c r="G11" s="10">
        <v>637.64</v>
      </c>
      <c r="H11" s="2"/>
      <c r="I11" s="2"/>
      <c r="J11" s="2"/>
      <c r="K11" s="2"/>
      <c r="L11" s="2"/>
      <c r="M11" s="2"/>
    </row>
    <row r="12" spans="1:13" ht="14.25" customHeight="1" x14ac:dyDescent="0.3">
      <c r="A12" s="2"/>
      <c r="B12" s="8" t="s">
        <v>107</v>
      </c>
      <c r="C12" s="10">
        <v>13.87</v>
      </c>
      <c r="D12" s="10">
        <v>14.91</v>
      </c>
      <c r="E12" s="10">
        <v>16.190000000000001</v>
      </c>
      <c r="F12" s="10">
        <v>18.55</v>
      </c>
      <c r="G12" s="10">
        <v>17.77</v>
      </c>
      <c r="H12" s="2"/>
      <c r="I12" s="2"/>
      <c r="J12" s="2"/>
      <c r="K12" s="2"/>
      <c r="L12" s="2"/>
      <c r="M12" s="2"/>
    </row>
    <row r="13" spans="1:13" ht="14.25" customHeight="1" x14ac:dyDescent="0.3">
      <c r="A13" s="2"/>
      <c r="B13" s="8" t="s">
        <v>108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2"/>
      <c r="I13" s="2"/>
      <c r="J13" s="2"/>
      <c r="K13" s="2"/>
      <c r="L13" s="2"/>
      <c r="M13" s="2"/>
    </row>
    <row r="14" spans="1:13" ht="14.25" customHeight="1" x14ac:dyDescent="0.3">
      <c r="A14" s="2"/>
      <c r="B14" s="8" t="s">
        <v>109</v>
      </c>
      <c r="C14" s="10">
        <v>50.9</v>
      </c>
      <c r="D14" s="10">
        <v>50.5</v>
      </c>
      <c r="E14" s="10">
        <v>65.709999999999994</v>
      </c>
      <c r="F14" s="10">
        <v>85.39</v>
      </c>
      <c r="G14" s="10">
        <v>105.51</v>
      </c>
      <c r="H14" s="2"/>
      <c r="I14" s="2"/>
      <c r="J14" s="2"/>
      <c r="K14" s="2"/>
      <c r="L14" s="2"/>
      <c r="M14" s="2"/>
    </row>
    <row r="15" spans="1:13" ht="14.25" customHeight="1" x14ac:dyDescent="0.3">
      <c r="A15" s="2"/>
      <c r="B15" s="8" t="s">
        <v>110</v>
      </c>
      <c r="C15" s="10">
        <v>309.64999999999998</v>
      </c>
      <c r="D15" s="10">
        <v>258.14</v>
      </c>
      <c r="E15" s="10">
        <v>306.67</v>
      </c>
      <c r="F15" s="10">
        <v>409.05</v>
      </c>
      <c r="G15" s="10">
        <v>833.16</v>
      </c>
      <c r="H15" s="2"/>
      <c r="I15" s="2"/>
      <c r="J15" s="2"/>
      <c r="K15" s="2"/>
      <c r="L15" s="2"/>
      <c r="M15" s="2"/>
    </row>
    <row r="16" spans="1:13" ht="14.25" customHeight="1" x14ac:dyDescent="0.3">
      <c r="A16" s="2"/>
      <c r="B16" s="8" t="s">
        <v>111</v>
      </c>
      <c r="C16" s="10">
        <v>706.26</v>
      </c>
      <c r="D16" s="10">
        <v>831.01</v>
      </c>
      <c r="E16" s="9">
        <v>1063.0999999999999</v>
      </c>
      <c r="F16" s="9">
        <v>1446.62</v>
      </c>
      <c r="G16" s="9">
        <v>1594.08</v>
      </c>
      <c r="H16" s="2"/>
      <c r="I16" s="2"/>
      <c r="J16" s="2"/>
      <c r="K16" s="2"/>
      <c r="L16" s="2"/>
      <c r="M16" s="2"/>
    </row>
    <row r="17" spans="1:13" ht="14.25" customHeight="1" x14ac:dyDescent="0.3">
      <c r="A17" s="2"/>
      <c r="B17" s="104" t="s">
        <v>112</v>
      </c>
      <c r="C17" s="104"/>
      <c r="D17" s="104"/>
      <c r="E17" s="104"/>
      <c r="F17" s="104"/>
      <c r="G17" s="104"/>
      <c r="H17" s="2"/>
      <c r="I17" s="2"/>
      <c r="J17" s="2"/>
      <c r="K17" s="2"/>
      <c r="L17" s="2"/>
      <c r="M17" s="2"/>
    </row>
    <row r="18" spans="1:13" ht="26.25" customHeight="1" x14ac:dyDescent="0.3">
      <c r="A18" s="2"/>
      <c r="B18" s="8" t="s">
        <v>113</v>
      </c>
      <c r="C18" s="9">
        <v>1929.03</v>
      </c>
      <c r="D18" s="9">
        <v>2007.17</v>
      </c>
      <c r="E18" s="9">
        <v>2698.11</v>
      </c>
      <c r="F18" s="9">
        <v>3533.05</v>
      </c>
      <c r="G18" s="9">
        <v>4406.84</v>
      </c>
      <c r="H18" s="2"/>
      <c r="I18" s="2"/>
      <c r="J18" s="2"/>
      <c r="K18" s="2"/>
      <c r="L18" s="2"/>
      <c r="M18" s="2"/>
    </row>
    <row r="19" spans="1:13" ht="14.25" customHeight="1" x14ac:dyDescent="0.3">
      <c r="A19" s="2"/>
      <c r="B19" s="8" t="s">
        <v>114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2"/>
      <c r="I19" s="2"/>
      <c r="J19" s="2"/>
      <c r="K19" s="2"/>
      <c r="L19" s="2"/>
      <c r="M19" s="2"/>
    </row>
    <row r="20" spans="1:13" ht="14.25" customHeight="1" x14ac:dyDescent="0.3">
      <c r="A20" s="2"/>
      <c r="B20" s="8" t="s">
        <v>115</v>
      </c>
      <c r="C20" s="9">
        <v>1929.03</v>
      </c>
      <c r="D20" s="9">
        <v>2007.17</v>
      </c>
      <c r="E20" s="9">
        <v>2698.11</v>
      </c>
      <c r="F20" s="9">
        <v>3533.05</v>
      </c>
      <c r="G20" s="9">
        <v>4406.84</v>
      </c>
      <c r="H20" s="2"/>
      <c r="I20" s="2"/>
      <c r="J20" s="2"/>
      <c r="K20" s="2"/>
      <c r="L20" s="2"/>
      <c r="M20" s="2"/>
    </row>
    <row r="21" spans="1:13" ht="14.25" customHeight="1" x14ac:dyDescent="0.3">
      <c r="A21" s="2"/>
      <c r="B21" s="8" t="s">
        <v>116</v>
      </c>
      <c r="C21" s="10">
        <v>476.65</v>
      </c>
      <c r="D21" s="10">
        <v>509.5</v>
      </c>
      <c r="E21" s="10">
        <v>612.14</v>
      </c>
      <c r="F21" s="10">
        <v>870.49</v>
      </c>
      <c r="G21" s="9">
        <v>1108.58</v>
      </c>
      <c r="H21" s="2"/>
      <c r="I21" s="2"/>
      <c r="J21" s="2"/>
      <c r="K21" s="2"/>
      <c r="L21" s="2"/>
      <c r="M21" s="2"/>
    </row>
    <row r="22" spans="1:13" ht="14.25" customHeight="1" x14ac:dyDescent="0.3">
      <c r="A22" s="2"/>
      <c r="B22" s="8" t="s">
        <v>117</v>
      </c>
      <c r="C22" s="10">
        <v>-1.71</v>
      </c>
      <c r="D22" s="10">
        <v>-18.11</v>
      </c>
      <c r="E22" s="10">
        <v>36.24</v>
      </c>
      <c r="F22" s="10">
        <v>11.9</v>
      </c>
      <c r="G22" s="10">
        <v>0</v>
      </c>
      <c r="H22" s="2"/>
      <c r="I22" s="2"/>
      <c r="J22" s="2"/>
      <c r="K22" s="2"/>
      <c r="L22" s="2"/>
      <c r="M22" s="2"/>
    </row>
    <row r="23" spans="1:13" ht="14.25" customHeight="1" x14ac:dyDescent="0.3">
      <c r="A23" s="2"/>
      <c r="B23" s="8" t="s">
        <v>118</v>
      </c>
      <c r="C23" s="10">
        <v>474.94</v>
      </c>
      <c r="D23" s="10">
        <v>491.39</v>
      </c>
      <c r="E23" s="10">
        <v>648.38</v>
      </c>
      <c r="F23" s="10">
        <v>882.39</v>
      </c>
      <c r="G23" s="9">
        <v>1108.58</v>
      </c>
      <c r="H23" s="2"/>
      <c r="I23" s="2"/>
      <c r="J23" s="2"/>
      <c r="K23" s="2"/>
      <c r="L23" s="2"/>
      <c r="M23" s="2"/>
    </row>
    <row r="24" spans="1:13" ht="19.2" customHeight="1" x14ac:dyDescent="0.3">
      <c r="A24" s="2"/>
      <c r="B24" s="8" t="s">
        <v>119</v>
      </c>
      <c r="C24" s="9">
        <v>1454.09</v>
      </c>
      <c r="D24" s="9">
        <v>1515.78</v>
      </c>
      <c r="E24" s="9">
        <v>2049.73</v>
      </c>
      <c r="F24" s="9">
        <v>2650.66</v>
      </c>
      <c r="G24" s="9">
        <v>3298.26</v>
      </c>
      <c r="H24" s="2"/>
      <c r="I24" s="2"/>
      <c r="J24" s="2"/>
      <c r="K24" s="2"/>
      <c r="L24" s="2"/>
      <c r="M24" s="2"/>
    </row>
    <row r="25" spans="1:13" ht="26.25" customHeight="1" x14ac:dyDescent="0.3">
      <c r="A25" s="2"/>
      <c r="B25" s="8" t="s">
        <v>120</v>
      </c>
      <c r="C25" s="12">
        <f>C24</f>
        <v>1454.09</v>
      </c>
      <c r="D25" s="12">
        <f>D24</f>
        <v>1515.78</v>
      </c>
      <c r="E25" s="12">
        <f>E24</f>
        <v>2049.73</v>
      </c>
      <c r="F25" s="12">
        <f>F24</f>
        <v>2650.66</v>
      </c>
      <c r="G25" s="12">
        <f>G24</f>
        <v>3298.26</v>
      </c>
      <c r="H25" s="2"/>
      <c r="I25" s="2"/>
      <c r="J25" s="2"/>
      <c r="K25" s="2"/>
      <c r="L25" s="2"/>
      <c r="M25" s="2"/>
    </row>
    <row r="26" spans="1:13" ht="14.25" customHeight="1" x14ac:dyDescent="0.3">
      <c r="A26" s="2"/>
      <c r="B26" s="104" t="s">
        <v>121</v>
      </c>
      <c r="C26" s="104"/>
      <c r="D26" s="104"/>
      <c r="E26" s="104"/>
      <c r="F26" s="104"/>
      <c r="G26" s="104"/>
      <c r="H26" s="2"/>
      <c r="I26" s="2"/>
      <c r="J26" s="2"/>
      <c r="K26" s="2"/>
      <c r="L26" s="2"/>
      <c r="M26" s="2"/>
    </row>
    <row r="27" spans="1:13" ht="14.25" customHeight="1" x14ac:dyDescent="0.3">
      <c r="A27" s="2"/>
      <c r="B27" s="8" t="s">
        <v>122</v>
      </c>
      <c r="C27" s="10">
        <v>66.73</v>
      </c>
      <c r="D27" s="10">
        <v>53.6</v>
      </c>
      <c r="E27" s="10">
        <v>41.5</v>
      </c>
      <c r="F27" s="10">
        <v>30.7</v>
      </c>
      <c r="G27" s="10">
        <v>29.37</v>
      </c>
      <c r="H27" s="2"/>
      <c r="I27" s="2"/>
      <c r="J27" s="2"/>
      <c r="K27" s="2"/>
      <c r="L27" s="2"/>
      <c r="M27" s="2"/>
    </row>
    <row r="28" spans="1:13" ht="14.25" customHeight="1" x14ac:dyDescent="0.3">
      <c r="A28" s="2"/>
      <c r="B28" s="8" t="s">
        <v>123</v>
      </c>
      <c r="C28" s="10">
        <v>66.73</v>
      </c>
      <c r="D28" s="10">
        <v>53.6</v>
      </c>
      <c r="E28" s="10">
        <v>41.5</v>
      </c>
      <c r="F28" s="10">
        <v>30.7</v>
      </c>
      <c r="G28" s="10">
        <v>29.37</v>
      </c>
      <c r="H28" s="2"/>
      <c r="I28" s="2"/>
      <c r="J28" s="2"/>
      <c r="K28" s="2"/>
      <c r="L28" s="2"/>
      <c r="M28" s="2"/>
    </row>
    <row r="29" spans="1:13" ht="14.25" customHeight="1" x14ac:dyDescent="0.3">
      <c r="A29" s="2"/>
      <c r="B29" s="104" t="s">
        <v>124</v>
      </c>
      <c r="C29" s="104"/>
      <c r="D29" s="104"/>
      <c r="E29" s="104"/>
      <c r="F29" s="104"/>
      <c r="G29" s="104"/>
      <c r="H29" s="2"/>
      <c r="I29" s="2"/>
      <c r="J29" s="2"/>
      <c r="K29" s="2"/>
      <c r="L29" s="2"/>
      <c r="M29" s="2"/>
    </row>
    <row r="30" spans="1:13" ht="14.25" customHeight="1" x14ac:dyDescent="0.3">
      <c r="A30" s="2"/>
      <c r="B30" s="8" t="s">
        <v>125</v>
      </c>
      <c r="C30" s="9">
        <v>1203.8699999999999</v>
      </c>
      <c r="D30" s="9">
        <v>1219.76</v>
      </c>
      <c r="E30" s="9">
        <v>1477.48</v>
      </c>
      <c r="F30" s="9">
        <v>2012.34</v>
      </c>
      <c r="G30" s="10">
        <v>0</v>
      </c>
      <c r="H30" s="2"/>
      <c r="I30" s="2"/>
      <c r="J30" s="2"/>
      <c r="K30" s="2"/>
      <c r="L30" s="2"/>
      <c r="M30" s="2"/>
    </row>
    <row r="31" spans="1:13" x14ac:dyDescent="0.3">
      <c r="A31" s="2"/>
      <c r="B31" s="13" t="s">
        <v>126</v>
      </c>
      <c r="C31" s="10">
        <v>0</v>
      </c>
      <c r="D31" s="10">
        <v>84</v>
      </c>
      <c r="E31" s="10">
        <v>76</v>
      </c>
      <c r="F31" s="10">
        <v>81</v>
      </c>
      <c r="G31" s="9">
        <v>2725</v>
      </c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 customHeight="1" x14ac:dyDescent="0.3">
      <c r="A33" s="2"/>
      <c r="B33" s="101" t="s">
        <v>127</v>
      </c>
      <c r="C33" s="101"/>
      <c r="D33" s="101"/>
      <c r="E33" s="101"/>
      <c r="F33" s="101"/>
      <c r="G33" s="101"/>
      <c r="H33" s="2"/>
      <c r="I33" s="2"/>
      <c r="J33" s="2"/>
      <c r="K33" s="2"/>
      <c r="L33" s="2"/>
      <c r="M33" s="2"/>
    </row>
    <row r="34" spans="1:13" ht="14.25" customHeight="1" x14ac:dyDescent="0.3">
      <c r="A34" s="2"/>
      <c r="B34" s="8" t="s">
        <v>92</v>
      </c>
      <c r="C34" s="8" t="s">
        <v>93</v>
      </c>
      <c r="D34" s="8" t="s">
        <v>94</v>
      </c>
      <c r="E34" s="8" t="s">
        <v>95</v>
      </c>
      <c r="F34" s="8" t="s">
        <v>96</v>
      </c>
      <c r="G34" s="8" t="s">
        <v>97</v>
      </c>
      <c r="H34" s="2"/>
      <c r="I34" s="2"/>
      <c r="J34" s="2"/>
      <c r="K34" s="2"/>
      <c r="L34" s="2"/>
      <c r="M34" s="2"/>
    </row>
    <row r="35" spans="1:13" ht="19.2" customHeight="1" x14ac:dyDescent="0.3">
      <c r="A35" s="2"/>
      <c r="B35" s="104" t="s">
        <v>128</v>
      </c>
      <c r="C35" s="104"/>
      <c r="D35" s="104"/>
      <c r="E35" s="104"/>
      <c r="F35" s="104"/>
      <c r="G35" s="104"/>
      <c r="H35" s="2"/>
      <c r="I35" s="2"/>
      <c r="J35" s="2"/>
      <c r="K35" s="2"/>
      <c r="L35" s="2"/>
      <c r="M35" s="2"/>
    </row>
    <row r="36" spans="1:13" ht="19.2" customHeight="1" x14ac:dyDescent="0.3">
      <c r="A36" s="2"/>
      <c r="B36" s="104" t="s">
        <v>129</v>
      </c>
      <c r="C36" s="104"/>
      <c r="D36" s="104"/>
      <c r="E36" s="104"/>
      <c r="F36" s="104"/>
      <c r="G36" s="104"/>
      <c r="H36" s="2"/>
      <c r="I36" s="2"/>
      <c r="J36" s="2"/>
      <c r="K36" s="2"/>
      <c r="L36" s="2"/>
      <c r="M36" s="2"/>
    </row>
    <row r="37" spans="1:13" ht="14.25" customHeight="1" x14ac:dyDescent="0.3">
      <c r="A37" s="2"/>
      <c r="B37" s="8" t="s">
        <v>130</v>
      </c>
      <c r="C37" s="10">
        <v>17.649999999999999</v>
      </c>
      <c r="D37" s="10">
        <v>17.649999999999999</v>
      </c>
      <c r="E37" s="10">
        <v>17.649999999999999</v>
      </c>
      <c r="F37" s="10">
        <v>17.649999999999999</v>
      </c>
      <c r="G37" s="10">
        <v>49.43</v>
      </c>
      <c r="H37" s="2"/>
      <c r="I37" s="2"/>
      <c r="J37" s="2"/>
      <c r="K37" s="2"/>
      <c r="L37" s="2"/>
      <c r="M37" s="2"/>
    </row>
    <row r="38" spans="1:13" ht="14.25" customHeight="1" x14ac:dyDescent="0.3">
      <c r="A38" s="2"/>
      <c r="B38" s="8" t="s">
        <v>131</v>
      </c>
      <c r="C38" s="10">
        <v>17.649999999999999</v>
      </c>
      <c r="D38" s="10">
        <v>17.649999999999999</v>
      </c>
      <c r="E38" s="10">
        <v>17.649999999999999</v>
      </c>
      <c r="F38" s="10">
        <v>17.649999999999999</v>
      </c>
      <c r="G38" s="10">
        <v>49.43</v>
      </c>
      <c r="H38" s="2"/>
      <c r="I38" s="2"/>
      <c r="J38" s="2"/>
      <c r="K38" s="2"/>
      <c r="L38" s="2"/>
      <c r="M38" s="2"/>
    </row>
    <row r="39" spans="1:13" x14ac:dyDescent="0.3">
      <c r="A39" s="2"/>
      <c r="B39" s="8" t="s">
        <v>132</v>
      </c>
      <c r="C39" s="9">
        <v>1999.76</v>
      </c>
      <c r="D39" s="9">
        <v>2295.41</v>
      </c>
      <c r="E39" s="9">
        <v>2865.19</v>
      </c>
      <c r="F39" s="9">
        <v>3499.29</v>
      </c>
      <c r="G39" s="9">
        <v>4121.74</v>
      </c>
      <c r="H39" s="2"/>
      <c r="I39" s="2"/>
      <c r="J39" s="2"/>
      <c r="K39" s="2"/>
      <c r="L39" s="2"/>
      <c r="M39" s="2"/>
    </row>
    <row r="40" spans="1:13" ht="28.8" customHeight="1" x14ac:dyDescent="0.3">
      <c r="A40" s="2"/>
      <c r="B40" s="8" t="s">
        <v>133</v>
      </c>
      <c r="C40" s="9">
        <v>1999.76</v>
      </c>
      <c r="D40" s="9">
        <v>2295.41</v>
      </c>
      <c r="E40" s="9">
        <v>2865.19</v>
      </c>
      <c r="F40" s="9">
        <v>3499.29</v>
      </c>
      <c r="G40" s="9">
        <v>4121.74</v>
      </c>
      <c r="H40" s="2"/>
      <c r="I40" s="2"/>
      <c r="J40" s="2"/>
      <c r="K40" s="2"/>
      <c r="L40" s="2"/>
      <c r="M40" s="2"/>
    </row>
    <row r="41" spans="1:13" ht="19.2" customHeight="1" x14ac:dyDescent="0.3">
      <c r="A41" s="2"/>
      <c r="B41" s="8" t="s">
        <v>134</v>
      </c>
      <c r="C41" s="9">
        <v>2017.41</v>
      </c>
      <c r="D41" s="9">
        <v>2313.06</v>
      </c>
      <c r="E41" s="9">
        <v>2882.84</v>
      </c>
      <c r="F41" s="9">
        <v>3516.94</v>
      </c>
      <c r="G41" s="9">
        <v>4171.17</v>
      </c>
      <c r="H41" s="2"/>
      <c r="I41" s="2"/>
      <c r="J41" s="2"/>
      <c r="K41" s="2"/>
      <c r="L41" s="2"/>
      <c r="M41" s="2"/>
    </row>
    <row r="42" spans="1:13" ht="19.2" customHeight="1" x14ac:dyDescent="0.3">
      <c r="A42" s="2"/>
      <c r="B42" s="8" t="s">
        <v>135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2"/>
      <c r="I42" s="2"/>
      <c r="J42" s="2"/>
      <c r="K42" s="2"/>
      <c r="L42" s="2"/>
      <c r="M42" s="2"/>
    </row>
    <row r="43" spans="1:13" ht="14.25" customHeight="1" x14ac:dyDescent="0.3">
      <c r="A43" s="2"/>
      <c r="B43" s="104" t="s">
        <v>136</v>
      </c>
      <c r="C43" s="104"/>
      <c r="D43" s="104"/>
      <c r="E43" s="104"/>
      <c r="F43" s="104"/>
      <c r="G43" s="104"/>
      <c r="H43" s="2"/>
      <c r="I43" s="2"/>
      <c r="J43" s="2"/>
      <c r="K43" s="2"/>
      <c r="L43" s="2"/>
      <c r="M43" s="2"/>
    </row>
    <row r="44" spans="1:13" ht="14.25" customHeight="1" x14ac:dyDescent="0.3">
      <c r="A44" s="2"/>
      <c r="B44" s="13" t="s">
        <v>137</v>
      </c>
      <c r="C44" s="10">
        <v>35.36</v>
      </c>
      <c r="D44" s="10">
        <v>20.29</v>
      </c>
      <c r="E44" s="10">
        <v>58.26</v>
      </c>
      <c r="F44" s="10">
        <v>84.98</v>
      </c>
      <c r="G44" s="10">
        <v>98.5</v>
      </c>
      <c r="H44" s="2"/>
      <c r="I44" s="2"/>
      <c r="J44" s="2"/>
      <c r="K44" s="2"/>
      <c r="L44" s="2"/>
      <c r="M44" s="2"/>
    </row>
    <row r="45" spans="1:13" ht="14.25" customHeight="1" x14ac:dyDescent="0.3">
      <c r="A45" s="2"/>
      <c r="B45" s="8" t="s">
        <v>138</v>
      </c>
      <c r="C45" s="10">
        <v>69.31</v>
      </c>
      <c r="D45" s="10">
        <v>81.37</v>
      </c>
      <c r="E45" s="10">
        <v>96.68</v>
      </c>
      <c r="F45" s="10">
        <v>120.62</v>
      </c>
      <c r="G45" s="10">
        <v>114.34</v>
      </c>
      <c r="H45" s="2"/>
      <c r="I45" s="2"/>
      <c r="J45" s="2"/>
      <c r="K45" s="2"/>
      <c r="L45" s="2"/>
      <c r="M45" s="2"/>
    </row>
    <row r="46" spans="1:13" ht="14.25" customHeight="1" x14ac:dyDescent="0.3">
      <c r="A46" s="2"/>
      <c r="B46" s="8" t="s">
        <v>139</v>
      </c>
      <c r="C46" s="10">
        <v>9.3699999999999992</v>
      </c>
      <c r="D46" s="10">
        <v>13.71</v>
      </c>
      <c r="E46" s="10">
        <v>18.850000000000001</v>
      </c>
      <c r="F46" s="10">
        <v>24.12</v>
      </c>
      <c r="G46" s="10">
        <v>33.86</v>
      </c>
      <c r="H46" s="2"/>
      <c r="I46" s="2"/>
      <c r="J46" s="2"/>
      <c r="K46" s="2"/>
      <c r="L46" s="2"/>
      <c r="M46" s="2"/>
    </row>
    <row r="47" spans="1:13" ht="14.25" customHeight="1" x14ac:dyDescent="0.3">
      <c r="A47" s="2"/>
      <c r="B47" s="8" t="s">
        <v>140</v>
      </c>
      <c r="C47" s="10">
        <v>114.03</v>
      </c>
      <c r="D47" s="10">
        <v>115.37</v>
      </c>
      <c r="E47" s="10">
        <v>173.79</v>
      </c>
      <c r="F47" s="10">
        <v>229.72</v>
      </c>
      <c r="G47" s="10">
        <v>246.7</v>
      </c>
      <c r="H47" s="2"/>
      <c r="I47" s="2"/>
      <c r="J47" s="2"/>
      <c r="K47" s="2"/>
      <c r="L47" s="2"/>
      <c r="M47" s="2"/>
    </row>
    <row r="48" spans="1:13" ht="14.25" customHeight="1" x14ac:dyDescent="0.3">
      <c r="A48" s="2"/>
      <c r="B48" s="104" t="s">
        <v>141</v>
      </c>
      <c r="C48" s="104"/>
      <c r="D48" s="104"/>
      <c r="E48" s="104"/>
      <c r="F48" s="104"/>
      <c r="G48" s="104"/>
      <c r="H48" s="2"/>
      <c r="I48" s="2"/>
      <c r="J48" s="2"/>
      <c r="K48" s="2"/>
      <c r="L48" s="2"/>
      <c r="M48" s="2"/>
    </row>
    <row r="49" spans="1:13" ht="14.25" customHeight="1" x14ac:dyDescent="0.3">
      <c r="A49" s="2"/>
      <c r="B49" s="8" t="s">
        <v>142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2"/>
      <c r="I49" s="2"/>
      <c r="J49" s="2"/>
      <c r="K49" s="2"/>
      <c r="L49" s="2"/>
      <c r="M49" s="2"/>
    </row>
    <row r="50" spans="1:13" ht="14.25" customHeight="1" x14ac:dyDescent="0.3">
      <c r="A50" s="2"/>
      <c r="B50" s="8" t="s">
        <v>143</v>
      </c>
      <c r="C50" s="10">
        <v>75.41</v>
      </c>
      <c r="D50" s="10">
        <v>84.62</v>
      </c>
      <c r="E50" s="10">
        <v>121.57</v>
      </c>
      <c r="F50" s="10">
        <v>175.35</v>
      </c>
      <c r="G50" s="10">
        <v>198.2</v>
      </c>
      <c r="H50" s="2"/>
      <c r="I50" s="2"/>
      <c r="J50" s="2"/>
      <c r="K50" s="2"/>
      <c r="L50" s="2"/>
      <c r="M50" s="2"/>
    </row>
    <row r="51" spans="1:13" ht="14.25" customHeight="1" x14ac:dyDescent="0.3">
      <c r="A51" s="2"/>
      <c r="B51" s="8" t="s">
        <v>144</v>
      </c>
      <c r="C51" s="10">
        <v>273.47000000000003</v>
      </c>
      <c r="D51" s="10">
        <v>291.70999999999998</v>
      </c>
      <c r="E51" s="10">
        <v>375.89</v>
      </c>
      <c r="F51" s="10">
        <v>461.67</v>
      </c>
      <c r="G51" s="10">
        <v>434.32</v>
      </c>
      <c r="H51" s="2"/>
      <c r="I51" s="2"/>
      <c r="J51" s="2"/>
      <c r="K51" s="2"/>
      <c r="L51" s="2"/>
      <c r="M51" s="2"/>
    </row>
    <row r="52" spans="1:13" ht="14.25" customHeight="1" x14ac:dyDescent="0.3">
      <c r="A52" s="2"/>
      <c r="B52" s="8" t="s">
        <v>145</v>
      </c>
      <c r="C52" s="10">
        <v>348.88</v>
      </c>
      <c r="D52" s="10">
        <v>376.33</v>
      </c>
      <c r="E52" s="10">
        <v>497.46</v>
      </c>
      <c r="F52" s="10">
        <v>637.02</v>
      </c>
      <c r="G52" s="10">
        <v>632.51</v>
      </c>
      <c r="H52" s="2"/>
      <c r="I52" s="2"/>
      <c r="J52" s="2"/>
      <c r="K52" s="2"/>
      <c r="L52" s="2"/>
      <c r="M52" s="2"/>
    </row>
    <row r="53" spans="1:13" ht="14.25" customHeight="1" x14ac:dyDescent="0.3">
      <c r="A53" s="2"/>
      <c r="B53" s="8" t="s">
        <v>146</v>
      </c>
      <c r="C53" s="9">
        <v>2480.3200000000002</v>
      </c>
      <c r="D53" s="9">
        <v>2804.76</v>
      </c>
      <c r="E53" s="9">
        <v>3554.09</v>
      </c>
      <c r="F53" s="9">
        <v>4383.68</v>
      </c>
      <c r="G53" s="9">
        <v>5050.38</v>
      </c>
      <c r="H53" s="2"/>
      <c r="I53" s="2"/>
      <c r="J53" s="2"/>
      <c r="K53" s="2"/>
      <c r="L53" s="2"/>
      <c r="M53" s="2"/>
    </row>
    <row r="54" spans="1:13" ht="14.25" customHeight="1" x14ac:dyDescent="0.3">
      <c r="A54" s="2"/>
      <c r="B54" s="104" t="s">
        <v>147</v>
      </c>
      <c r="C54" s="104"/>
      <c r="D54" s="104"/>
      <c r="E54" s="104"/>
      <c r="F54" s="104"/>
      <c r="G54" s="104"/>
      <c r="H54" s="2"/>
      <c r="I54" s="2"/>
      <c r="J54" s="2"/>
      <c r="K54" s="2"/>
      <c r="L54" s="2"/>
      <c r="M54" s="2"/>
    </row>
    <row r="55" spans="1:13" ht="14.25" customHeight="1" x14ac:dyDescent="0.3">
      <c r="A55" s="2"/>
      <c r="B55" s="104" t="s">
        <v>148</v>
      </c>
      <c r="C55" s="104"/>
      <c r="D55" s="104"/>
      <c r="E55" s="104"/>
      <c r="F55" s="104"/>
      <c r="G55" s="104"/>
      <c r="H55" s="2"/>
      <c r="I55" s="2"/>
      <c r="J55" s="2"/>
      <c r="K55" s="2"/>
      <c r="L55" s="2"/>
      <c r="M55" s="2"/>
    </row>
    <row r="56" spans="1:13" ht="14.25" customHeight="1" x14ac:dyDescent="0.3">
      <c r="A56" s="2"/>
      <c r="B56" s="8" t="s">
        <v>149</v>
      </c>
      <c r="C56" s="10">
        <v>33.21</v>
      </c>
      <c r="D56" s="10">
        <v>132.27000000000001</v>
      </c>
      <c r="E56" s="10">
        <v>171.86</v>
      </c>
      <c r="F56" s="10">
        <v>268.76</v>
      </c>
      <c r="G56" s="10">
        <v>590.70000000000005</v>
      </c>
      <c r="H56" s="2"/>
      <c r="I56" s="2"/>
      <c r="J56" s="2"/>
      <c r="K56" s="2"/>
      <c r="L56" s="2"/>
      <c r="M56" s="2"/>
    </row>
    <row r="57" spans="1:13" ht="14.25" customHeight="1" x14ac:dyDescent="0.3">
      <c r="A57" s="2"/>
      <c r="B57" s="8" t="s">
        <v>150</v>
      </c>
      <c r="C57" s="13">
        <f>11.68+2.49</f>
        <v>14.17</v>
      </c>
      <c r="D57" s="13">
        <f>17.62+1.83</f>
        <v>19.450000000000003</v>
      </c>
      <c r="E57" s="13">
        <f>27.5+3.33</f>
        <v>30.83</v>
      </c>
      <c r="F57" s="13">
        <f>40.47+4.56</f>
        <v>45.03</v>
      </c>
      <c r="G57" s="10">
        <v>44.24</v>
      </c>
      <c r="H57" s="2"/>
      <c r="I57" s="2"/>
      <c r="J57" s="2"/>
      <c r="K57" s="2"/>
      <c r="L57" s="2"/>
      <c r="M57" s="2"/>
    </row>
    <row r="58" spans="1:13" ht="14.25" customHeight="1" x14ac:dyDescent="0.3">
      <c r="A58" s="2"/>
      <c r="B58" s="8" t="s">
        <v>151</v>
      </c>
      <c r="C58" s="10">
        <v>1.92</v>
      </c>
      <c r="D58" s="10">
        <v>4.87</v>
      </c>
      <c r="E58" s="10">
        <v>3.17</v>
      </c>
      <c r="F58" s="10">
        <v>284.14</v>
      </c>
      <c r="G58" s="10">
        <v>6.39</v>
      </c>
      <c r="H58" s="2"/>
      <c r="I58" s="2"/>
      <c r="J58" s="2"/>
      <c r="K58" s="2"/>
      <c r="L58" s="2"/>
      <c r="M58" s="2"/>
    </row>
    <row r="59" spans="1:13" ht="14.25" customHeight="1" x14ac:dyDescent="0.3">
      <c r="A59" s="2"/>
      <c r="B59" s="8" t="s">
        <v>152</v>
      </c>
      <c r="C59" s="10">
        <v>49.3</v>
      </c>
      <c r="D59" s="10">
        <v>156.59</v>
      </c>
      <c r="E59" s="10">
        <v>205.86</v>
      </c>
      <c r="F59" s="10">
        <v>597.92999999999995</v>
      </c>
      <c r="G59" s="10">
        <v>641.33000000000004</v>
      </c>
      <c r="H59" s="2"/>
      <c r="I59" s="2"/>
      <c r="J59" s="2"/>
      <c r="K59" s="2"/>
      <c r="L59" s="2"/>
      <c r="M59" s="2"/>
    </row>
    <row r="60" spans="1:13" ht="14.25" customHeight="1" x14ac:dyDescent="0.3">
      <c r="A60" s="2"/>
      <c r="B60" s="8" t="s">
        <v>153</v>
      </c>
      <c r="C60" s="10">
        <v>36.69</v>
      </c>
      <c r="D60" s="10">
        <v>39.72</v>
      </c>
      <c r="E60" s="10">
        <v>41.46</v>
      </c>
      <c r="F60" s="10">
        <v>56.28</v>
      </c>
      <c r="G60" s="10">
        <v>47.13</v>
      </c>
      <c r="H60" s="2"/>
      <c r="I60" s="2"/>
      <c r="J60" s="2"/>
      <c r="K60" s="2"/>
      <c r="L60" s="2"/>
      <c r="M60" s="2"/>
    </row>
    <row r="61" spans="1:13" ht="14.25" customHeight="1" x14ac:dyDescent="0.3">
      <c r="A61" s="2"/>
      <c r="B61" s="8" t="s">
        <v>154</v>
      </c>
      <c r="C61" s="10">
        <v>166.44</v>
      </c>
      <c r="D61" s="10">
        <v>123.59</v>
      </c>
      <c r="E61" s="10">
        <v>143.91999999999999</v>
      </c>
      <c r="F61" s="10">
        <v>126.46</v>
      </c>
      <c r="G61" s="10">
        <v>115.09</v>
      </c>
      <c r="H61" s="2"/>
      <c r="I61" s="2"/>
      <c r="J61" s="2"/>
      <c r="K61" s="2"/>
      <c r="L61" s="2"/>
      <c r="M61" s="2"/>
    </row>
    <row r="62" spans="1:13" ht="14.25" customHeight="1" x14ac:dyDescent="0.3">
      <c r="A62" s="2"/>
      <c r="B62" s="8" t="s">
        <v>155</v>
      </c>
      <c r="C62" s="10">
        <v>252.44</v>
      </c>
      <c r="D62" s="10">
        <v>319.89999999999998</v>
      </c>
      <c r="E62" s="10">
        <v>391.24</v>
      </c>
      <c r="F62" s="10">
        <v>780.67</v>
      </c>
      <c r="G62" s="10">
        <v>803.54</v>
      </c>
      <c r="H62" s="2"/>
      <c r="I62" s="2"/>
      <c r="J62" s="2"/>
      <c r="K62" s="2"/>
      <c r="L62" s="2"/>
      <c r="M62" s="2"/>
    </row>
    <row r="63" spans="1:13" ht="14.25" customHeight="1" x14ac:dyDescent="0.3">
      <c r="A63" s="2"/>
      <c r="B63" s="8" t="s">
        <v>156</v>
      </c>
      <c r="C63" s="14"/>
      <c r="D63" s="13"/>
      <c r="E63" s="13"/>
      <c r="F63" s="13"/>
      <c r="G63" s="13"/>
      <c r="H63" s="2"/>
      <c r="I63" s="2"/>
      <c r="J63" s="2"/>
      <c r="K63" s="2"/>
      <c r="L63" s="2"/>
      <c r="M63" s="2"/>
    </row>
    <row r="64" spans="1:13" ht="14.25" customHeight="1" x14ac:dyDescent="0.3">
      <c r="A64" s="2"/>
      <c r="B64" s="8" t="s">
        <v>157</v>
      </c>
      <c r="C64" s="9">
        <v>2041.1</v>
      </c>
      <c r="D64" s="9">
        <v>2287.4899999999998</v>
      </c>
      <c r="E64" s="9">
        <v>2882.62</v>
      </c>
      <c r="F64" s="9">
        <v>3285.19</v>
      </c>
      <c r="G64" s="9">
        <v>3856.54</v>
      </c>
      <c r="H64" s="2"/>
      <c r="I64" s="2"/>
      <c r="J64" s="2"/>
      <c r="K64" s="2"/>
      <c r="L64" s="2"/>
      <c r="M64" s="2"/>
    </row>
    <row r="65" spans="1:13" ht="14.25" customHeight="1" x14ac:dyDescent="0.3">
      <c r="A65" s="2"/>
      <c r="B65" s="8" t="s">
        <v>158</v>
      </c>
      <c r="C65" s="10">
        <v>100.36</v>
      </c>
      <c r="D65" s="10">
        <v>112.43</v>
      </c>
      <c r="E65" s="10">
        <v>195.97</v>
      </c>
      <c r="F65" s="10">
        <v>237.49</v>
      </c>
      <c r="G65" s="10">
        <v>186.82</v>
      </c>
      <c r="H65" s="2"/>
      <c r="I65" s="2"/>
      <c r="J65" s="2"/>
      <c r="K65" s="2"/>
      <c r="L65" s="2"/>
      <c r="M65" s="2"/>
    </row>
    <row r="66" spans="1:13" ht="14.25" customHeight="1" x14ac:dyDescent="0.3">
      <c r="A66" s="2"/>
      <c r="B66" s="8" t="s">
        <v>159</v>
      </c>
      <c r="C66" s="10">
        <v>25.19</v>
      </c>
      <c r="D66" s="10">
        <v>31.45</v>
      </c>
      <c r="E66" s="10">
        <v>33.81</v>
      </c>
      <c r="F66" s="10">
        <v>28.01</v>
      </c>
      <c r="G66" s="10">
        <v>147.49</v>
      </c>
      <c r="H66" s="2"/>
      <c r="I66" s="2"/>
      <c r="J66" s="2"/>
      <c r="K66" s="2"/>
      <c r="L66" s="2"/>
      <c r="M66" s="2"/>
    </row>
    <row r="67" spans="1:13" ht="14.25" customHeight="1" x14ac:dyDescent="0.3">
      <c r="A67" s="2"/>
      <c r="B67" s="8" t="s">
        <v>160</v>
      </c>
      <c r="C67" s="10">
        <v>0.21</v>
      </c>
      <c r="D67" s="10">
        <v>0.19</v>
      </c>
      <c r="E67" s="10">
        <v>0.26</v>
      </c>
      <c r="F67" s="10">
        <v>0.24</v>
      </c>
      <c r="G67" s="10">
        <v>0.28000000000000003</v>
      </c>
      <c r="H67" s="2"/>
      <c r="I67" s="2"/>
      <c r="J67" s="2"/>
      <c r="K67" s="2"/>
      <c r="L67" s="2"/>
      <c r="M67" s="2"/>
    </row>
    <row r="68" spans="1:13" ht="14.25" customHeight="1" x14ac:dyDescent="0.3">
      <c r="A68" s="2"/>
      <c r="B68" s="8" t="s">
        <v>161</v>
      </c>
      <c r="C68" s="10">
        <v>61.03</v>
      </c>
      <c r="D68" s="10">
        <v>53.3</v>
      </c>
      <c r="E68" s="10">
        <v>50.19</v>
      </c>
      <c r="F68" s="10">
        <v>52.08</v>
      </c>
      <c r="G68" s="10">
        <v>55.72</v>
      </c>
      <c r="H68" s="2"/>
      <c r="I68" s="2"/>
      <c r="J68" s="2"/>
      <c r="K68" s="2"/>
      <c r="L68" s="2"/>
      <c r="M68" s="2"/>
    </row>
    <row r="69" spans="1:13" ht="19.2" customHeight="1" x14ac:dyDescent="0.3">
      <c r="A69" s="2"/>
      <c r="B69" s="8" t="s">
        <v>162</v>
      </c>
      <c r="C69" s="9">
        <v>2227.89</v>
      </c>
      <c r="D69" s="9">
        <v>2484.86</v>
      </c>
      <c r="E69" s="9">
        <v>3162.85</v>
      </c>
      <c r="F69" s="9">
        <v>3603.01</v>
      </c>
      <c r="G69" s="9">
        <v>4246.84</v>
      </c>
      <c r="H69" s="2"/>
      <c r="I69" s="2"/>
      <c r="J69" s="2"/>
      <c r="K69" s="2"/>
      <c r="L69" s="2"/>
      <c r="M69" s="2"/>
    </row>
    <row r="70" spans="1:13" ht="19.2" customHeight="1" x14ac:dyDescent="0.3">
      <c r="A70" s="2"/>
      <c r="B70" s="8" t="s">
        <v>163</v>
      </c>
      <c r="C70" s="9">
        <v>2480.3200000000002</v>
      </c>
      <c r="D70" s="9">
        <v>2804.76</v>
      </c>
      <c r="E70" s="9">
        <v>3554.09</v>
      </c>
      <c r="F70" s="9">
        <v>4383.68</v>
      </c>
      <c r="G70" s="9">
        <v>5050.38</v>
      </c>
      <c r="H70" s="2"/>
      <c r="I70" s="2"/>
      <c r="J70" s="2"/>
      <c r="K70" s="2"/>
      <c r="L70" s="2"/>
      <c r="M70" s="2"/>
    </row>
    <row r="71" spans="1:13" ht="14.25" customHeight="1" x14ac:dyDescent="0.3">
      <c r="A71" s="2"/>
      <c r="B71" s="104" t="s">
        <v>164</v>
      </c>
      <c r="C71" s="104"/>
      <c r="D71" s="104"/>
      <c r="E71" s="104"/>
      <c r="F71" s="104"/>
      <c r="G71" s="104"/>
      <c r="H71" s="2"/>
      <c r="I71" s="2"/>
      <c r="J71" s="2"/>
      <c r="K71" s="2"/>
      <c r="L71" s="2"/>
      <c r="M71" s="2"/>
    </row>
    <row r="72" spans="1:13" ht="14.25" customHeight="1" x14ac:dyDescent="0.3">
      <c r="A72" s="2"/>
      <c r="B72" s="8" t="s">
        <v>165</v>
      </c>
      <c r="C72" s="10">
        <v>0</v>
      </c>
      <c r="D72" s="10">
        <v>96.85</v>
      </c>
      <c r="E72" s="10">
        <v>182.32</v>
      </c>
      <c r="F72" s="10">
        <v>205.79</v>
      </c>
      <c r="G72" s="10">
        <v>0</v>
      </c>
      <c r="H72" s="2"/>
      <c r="I72" s="2"/>
      <c r="J72" s="2"/>
      <c r="K72" s="2"/>
      <c r="L72" s="2"/>
      <c r="M72" s="2"/>
    </row>
    <row r="73" spans="1:13" ht="19.2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4.4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28.8" customHeight="1" x14ac:dyDescent="0.3">
      <c r="A75" s="2"/>
      <c r="B75" s="101" t="s">
        <v>166</v>
      </c>
      <c r="C75" s="101"/>
      <c r="D75" s="101"/>
      <c r="E75" s="101"/>
      <c r="F75" s="101"/>
      <c r="G75" s="101"/>
      <c r="H75" s="2"/>
      <c r="I75" s="2"/>
      <c r="J75" s="2"/>
      <c r="K75" s="2"/>
      <c r="L75" s="2"/>
      <c r="M75" s="2"/>
    </row>
    <row r="76" spans="1:13" ht="14.25" customHeight="1" x14ac:dyDescent="0.3">
      <c r="A76" s="2"/>
      <c r="B76" s="8" t="s">
        <v>92</v>
      </c>
      <c r="C76" s="15">
        <v>2022</v>
      </c>
      <c r="D76" s="8">
        <f>C76+1</f>
        <v>2023</v>
      </c>
      <c r="E76" s="8">
        <f>D76+1</f>
        <v>2024</v>
      </c>
      <c r="F76" s="8">
        <f>E76+1</f>
        <v>2025</v>
      </c>
      <c r="G76" s="8">
        <f>F76+1</f>
        <v>2026</v>
      </c>
      <c r="H76" s="2"/>
      <c r="I76" s="2"/>
      <c r="J76" s="2"/>
      <c r="K76" s="2"/>
      <c r="L76" s="2"/>
      <c r="M76" s="2"/>
    </row>
    <row r="77" spans="1:13" ht="19.2" customHeight="1" x14ac:dyDescent="0.3">
      <c r="A77" s="2"/>
      <c r="B77" s="8" t="s">
        <v>167</v>
      </c>
      <c r="C77" s="16">
        <v>0</v>
      </c>
      <c r="D77" s="16">
        <v>2007.17</v>
      </c>
      <c r="E77" s="16">
        <v>2698.11</v>
      </c>
      <c r="F77" s="16">
        <v>3533.05</v>
      </c>
      <c r="G77" s="16">
        <v>4406.84</v>
      </c>
      <c r="H77" s="2"/>
      <c r="I77" s="2"/>
      <c r="J77" s="2"/>
      <c r="K77" s="2"/>
      <c r="L77" s="2"/>
      <c r="M77" s="2"/>
    </row>
    <row r="78" spans="1:13" ht="26.25" customHeight="1" x14ac:dyDescent="0.3">
      <c r="A78" s="2"/>
      <c r="B78" s="8" t="s">
        <v>168</v>
      </c>
      <c r="C78" s="16">
        <v>0</v>
      </c>
      <c r="D78" s="16">
        <v>1399.96</v>
      </c>
      <c r="E78" s="16">
        <v>1764.54</v>
      </c>
      <c r="F78" s="16">
        <v>2573.5</v>
      </c>
      <c r="G78" s="16">
        <v>3281.56</v>
      </c>
      <c r="H78" s="2"/>
      <c r="I78" s="2"/>
      <c r="J78" s="2"/>
      <c r="K78" s="2"/>
      <c r="L78" s="2"/>
      <c r="M78" s="2"/>
    </row>
    <row r="79" spans="1:13" ht="26.25" customHeight="1" x14ac:dyDescent="0.3">
      <c r="A79" s="2"/>
      <c r="B79" s="8" t="s">
        <v>169</v>
      </c>
      <c r="C79" s="16">
        <v>0</v>
      </c>
      <c r="D79" s="16">
        <v>-129.44</v>
      </c>
      <c r="E79" s="16">
        <v>-245.6</v>
      </c>
      <c r="F79" s="16">
        <v>-512.88</v>
      </c>
      <c r="G79" s="16">
        <v>-469.06</v>
      </c>
      <c r="H79" s="2"/>
      <c r="I79" s="2"/>
      <c r="J79" s="2"/>
      <c r="K79" s="2"/>
      <c r="L79" s="2"/>
      <c r="M79" s="2"/>
    </row>
    <row r="80" spans="1:13" ht="26.25" customHeight="1" x14ac:dyDescent="0.3">
      <c r="A80" s="2"/>
      <c r="B80" s="8" t="s">
        <v>170</v>
      </c>
      <c r="C80" s="16">
        <v>0</v>
      </c>
      <c r="D80" s="16">
        <v>-1264.26</v>
      </c>
      <c r="E80" s="16">
        <v>-1527.28</v>
      </c>
      <c r="F80" s="16">
        <v>-2068.29</v>
      </c>
      <c r="G80" s="16">
        <v>-2693.97</v>
      </c>
      <c r="H80" s="2"/>
      <c r="I80" s="2"/>
      <c r="J80" s="2"/>
      <c r="K80" s="2"/>
      <c r="L80" s="2"/>
      <c r="M80" s="2"/>
    </row>
    <row r="81" spans="1:13" ht="26.25" customHeight="1" x14ac:dyDescent="0.3">
      <c r="A81" s="2"/>
      <c r="B81" s="8" t="s">
        <v>171</v>
      </c>
      <c r="C81" s="16">
        <v>0</v>
      </c>
      <c r="D81" s="16">
        <v>6.26</v>
      </c>
      <c r="E81" s="16">
        <v>-8.34</v>
      </c>
      <c r="F81" s="16">
        <v>-7.67</v>
      </c>
      <c r="G81" s="16">
        <v>118.53</v>
      </c>
      <c r="H81" s="2"/>
      <c r="I81" s="2"/>
      <c r="J81" s="2"/>
      <c r="K81" s="2"/>
      <c r="L81" s="2"/>
      <c r="M81" s="2"/>
    </row>
    <row r="82" spans="1:13" ht="19.2" customHeight="1" x14ac:dyDescent="0.3">
      <c r="A82" s="2"/>
      <c r="B82" s="8" t="s">
        <v>172</v>
      </c>
      <c r="C82" s="16">
        <v>0</v>
      </c>
      <c r="D82" s="16">
        <v>25.19</v>
      </c>
      <c r="E82" s="16">
        <v>31.45</v>
      </c>
      <c r="F82" s="16">
        <v>23.11</v>
      </c>
      <c r="G82" s="16">
        <v>15.44</v>
      </c>
      <c r="H82" s="2"/>
      <c r="I82" s="2"/>
      <c r="J82" s="2"/>
      <c r="K82" s="2"/>
      <c r="L82" s="2"/>
      <c r="M82" s="2"/>
    </row>
    <row r="83" spans="1:13" ht="26.25" customHeight="1" x14ac:dyDescent="0.3">
      <c r="A83" s="2"/>
      <c r="B83" s="8" t="s">
        <v>173</v>
      </c>
      <c r="C83" s="16">
        <v>0</v>
      </c>
      <c r="D83" s="16">
        <v>31.45</v>
      </c>
      <c r="E83" s="16">
        <v>23.11</v>
      </c>
      <c r="F83" s="16">
        <v>15.44</v>
      </c>
      <c r="G83" s="16">
        <v>133.97</v>
      </c>
      <c r="H83" s="2"/>
      <c r="I83" s="2"/>
      <c r="J83" s="2"/>
      <c r="K83" s="2"/>
      <c r="L83" s="2"/>
      <c r="M83" s="2"/>
    </row>
    <row r="84" spans="1:13" ht="14.4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4.4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" customHeight="1" x14ac:dyDescent="0.3">
      <c r="A86" s="2"/>
      <c r="B86" s="101" t="s">
        <v>174</v>
      </c>
      <c r="C86" s="101"/>
      <c r="D86" s="101"/>
      <c r="E86" s="101"/>
      <c r="F86" s="101"/>
      <c r="G86" s="101"/>
      <c r="H86" s="2"/>
      <c r="I86" s="2"/>
      <c r="J86" s="2"/>
      <c r="K86" s="2"/>
      <c r="L86" s="2"/>
      <c r="M86" s="2"/>
    </row>
    <row r="87" spans="1:13" ht="14.25" customHeight="1" thickBot="1" x14ac:dyDescent="0.35">
      <c r="A87" s="2"/>
      <c r="B87" s="8" t="s">
        <v>175</v>
      </c>
      <c r="C87" s="8" t="s">
        <v>93</v>
      </c>
      <c r="D87" s="8" t="s">
        <v>94</v>
      </c>
      <c r="E87" s="8" t="s">
        <v>95</v>
      </c>
      <c r="F87" s="8" t="s">
        <v>96</v>
      </c>
      <c r="G87" s="8" t="s">
        <v>97</v>
      </c>
      <c r="H87" s="2"/>
      <c r="I87" s="17"/>
      <c r="J87" s="17"/>
      <c r="K87" s="17"/>
      <c r="L87" s="17"/>
      <c r="M87" s="17"/>
    </row>
    <row r="88" spans="1:13" ht="19.2" customHeight="1" x14ac:dyDescent="0.3">
      <c r="A88" s="2"/>
      <c r="B88" s="104" t="s">
        <v>176</v>
      </c>
      <c r="C88" s="104"/>
      <c r="D88" s="104"/>
      <c r="E88" s="104"/>
      <c r="F88" s="104"/>
      <c r="G88" s="104"/>
      <c r="H88" s="2"/>
      <c r="I88" s="2"/>
      <c r="J88" s="2"/>
      <c r="K88" s="2"/>
      <c r="L88" s="2"/>
      <c r="M88" s="2"/>
    </row>
    <row r="89" spans="1:13" ht="14.25" customHeight="1" x14ac:dyDescent="0.3">
      <c r="A89" s="2"/>
      <c r="B89" s="8" t="s">
        <v>177</v>
      </c>
      <c r="C89" s="11">
        <v>10</v>
      </c>
      <c r="D89" s="11">
        <v>10</v>
      </c>
      <c r="E89" s="11">
        <v>10</v>
      </c>
      <c r="F89" s="11">
        <v>10</v>
      </c>
      <c r="G89" s="11">
        <v>1</v>
      </c>
      <c r="H89" s="2"/>
      <c r="I89" s="2"/>
      <c r="J89" s="2"/>
      <c r="K89" s="2"/>
      <c r="L89" s="2"/>
      <c r="M89" s="2"/>
    </row>
    <row r="90" spans="1:13" ht="14.25" customHeight="1" x14ac:dyDescent="0.3">
      <c r="A90" s="2"/>
      <c r="B90" s="8" t="s">
        <v>122</v>
      </c>
      <c r="C90" s="11">
        <v>29.46</v>
      </c>
      <c r="D90" s="11">
        <v>30.67</v>
      </c>
      <c r="E90" s="11">
        <v>41.47</v>
      </c>
      <c r="F90" s="11">
        <v>53.62</v>
      </c>
      <c r="G90" s="11">
        <v>66.73</v>
      </c>
      <c r="H90" s="2"/>
      <c r="I90" s="2"/>
      <c r="J90" s="2"/>
      <c r="K90" s="2"/>
      <c r="L90" s="2"/>
      <c r="M90" s="2"/>
    </row>
    <row r="91" spans="1:13" ht="14.25" customHeight="1" x14ac:dyDescent="0.3">
      <c r="A91" s="2"/>
      <c r="B91" s="8" t="s">
        <v>123</v>
      </c>
      <c r="C91" s="18">
        <f>C90</f>
        <v>29.46</v>
      </c>
      <c r="D91" s="18">
        <f>D90</f>
        <v>30.67</v>
      </c>
      <c r="E91" s="18">
        <f>E90</f>
        <v>41.47</v>
      </c>
      <c r="F91" s="18">
        <f>F90</f>
        <v>53.62</v>
      </c>
      <c r="G91" s="18">
        <f>G90</f>
        <v>66.73</v>
      </c>
      <c r="H91" s="2"/>
      <c r="I91" s="2"/>
      <c r="J91" s="2"/>
      <c r="K91" s="2"/>
      <c r="L91" s="2"/>
      <c r="M91" s="2"/>
    </row>
    <row r="92" spans="1:13" ht="14.25" customHeight="1" x14ac:dyDescent="0.3">
      <c r="A92" s="2"/>
      <c r="B92" s="8" t="s">
        <v>178</v>
      </c>
      <c r="C92" s="11">
        <v>39.94</v>
      </c>
      <c r="D92" s="9">
        <v>1173.6600000000001</v>
      </c>
      <c r="E92" s="9">
        <v>1573.2</v>
      </c>
      <c r="F92" s="9">
        <v>2059.0500000000002</v>
      </c>
      <c r="G92" s="10">
        <v>86.87</v>
      </c>
      <c r="H92" s="2"/>
      <c r="I92" s="2"/>
      <c r="J92" s="2"/>
      <c r="K92" s="2"/>
      <c r="L92" s="2"/>
      <c r="M92" s="2"/>
    </row>
    <row r="93" spans="1:13" ht="26.25" customHeight="1" x14ac:dyDescent="0.3">
      <c r="A93" s="2"/>
      <c r="B93" s="8" t="s">
        <v>179</v>
      </c>
      <c r="C93" s="11">
        <v>198.84</v>
      </c>
      <c r="D93" s="9">
        <v>1607.37</v>
      </c>
      <c r="E93" s="9">
        <v>2129.06</v>
      </c>
      <c r="F93" s="9">
        <v>2819.68</v>
      </c>
      <c r="G93" s="10">
        <v>116.63</v>
      </c>
      <c r="H93" s="2"/>
      <c r="I93" s="2"/>
      <c r="J93" s="2"/>
      <c r="K93" s="2"/>
      <c r="L93" s="2"/>
      <c r="M93" s="2"/>
    </row>
    <row r="94" spans="1:13" ht="14.25" customHeight="1" x14ac:dyDescent="0.3">
      <c r="A94" s="2"/>
      <c r="B94" s="104" t="s">
        <v>180</v>
      </c>
      <c r="C94" s="104"/>
      <c r="D94" s="104"/>
      <c r="E94" s="104"/>
      <c r="F94" s="104"/>
      <c r="G94" s="104"/>
      <c r="H94" s="2"/>
      <c r="I94" s="2"/>
      <c r="J94" s="2"/>
      <c r="K94" s="2"/>
      <c r="L94" s="2"/>
      <c r="M94" s="2"/>
    </row>
    <row r="95" spans="1:13" ht="14.25" customHeight="1" x14ac:dyDescent="0.3">
      <c r="A95" s="2"/>
      <c r="B95" s="8" t="s">
        <v>181</v>
      </c>
      <c r="C95" s="11">
        <v>74.95</v>
      </c>
      <c r="D95" s="10">
        <v>73.010000000000005</v>
      </c>
      <c r="E95" s="10">
        <v>73.89</v>
      </c>
      <c r="F95" s="10">
        <v>73.02</v>
      </c>
      <c r="G95" s="10">
        <v>74.48</v>
      </c>
      <c r="H95" s="2"/>
      <c r="I95" s="2"/>
      <c r="J95" s="2"/>
      <c r="K95" s="2"/>
      <c r="L95" s="2"/>
      <c r="M95" s="2"/>
    </row>
    <row r="96" spans="1:13" ht="14.25" customHeight="1" x14ac:dyDescent="0.3">
      <c r="A96" s="2"/>
      <c r="B96" s="8" t="s">
        <v>182</v>
      </c>
      <c r="C96" s="11">
        <v>74.95</v>
      </c>
      <c r="D96" s="10">
        <v>71.23</v>
      </c>
      <c r="E96" s="10">
        <v>72.14</v>
      </c>
      <c r="F96" s="10">
        <v>71.3</v>
      </c>
      <c r="G96" s="10">
        <v>72.650000000000006</v>
      </c>
      <c r="H96" s="2"/>
      <c r="I96" s="2"/>
      <c r="J96" s="2"/>
      <c r="K96" s="2"/>
      <c r="L96" s="2"/>
      <c r="M96" s="2"/>
    </row>
    <row r="97" spans="1:13" ht="14.25" customHeight="1" x14ac:dyDescent="0.3">
      <c r="A97" s="2"/>
      <c r="B97" s="8" t="s">
        <v>183</v>
      </c>
      <c r="C97" s="11">
        <v>55.28</v>
      </c>
      <c r="D97" s="11">
        <v>53.42</v>
      </c>
      <c r="E97" s="11">
        <v>54.54</v>
      </c>
      <c r="F97" s="11">
        <v>56.6</v>
      </c>
      <c r="G97" s="11">
        <v>57.22</v>
      </c>
      <c r="H97" s="2"/>
      <c r="I97" s="2"/>
      <c r="J97" s="2"/>
      <c r="K97" s="2"/>
      <c r="L97" s="2"/>
      <c r="M97" s="2"/>
    </row>
    <row r="98" spans="1:13" ht="14.25" customHeight="1" x14ac:dyDescent="0.3">
      <c r="A98" s="2"/>
      <c r="B98" s="8" t="s">
        <v>184</v>
      </c>
      <c r="C98" s="11">
        <v>56.51</v>
      </c>
      <c r="D98" s="10">
        <v>55.18</v>
      </c>
      <c r="E98" s="10">
        <v>56.24</v>
      </c>
      <c r="F98" s="10">
        <v>54.94</v>
      </c>
      <c r="G98" s="10">
        <v>56.72</v>
      </c>
      <c r="H98" s="2"/>
      <c r="I98" s="2"/>
      <c r="J98" s="2"/>
      <c r="K98" s="2"/>
      <c r="L98" s="2"/>
      <c r="M98" s="2"/>
    </row>
    <row r="99" spans="1:13" ht="14.25" customHeight="1" x14ac:dyDescent="0.3">
      <c r="A99" s="2"/>
      <c r="B99" s="8" t="s">
        <v>185</v>
      </c>
      <c r="C99" s="11">
        <v>96.31</v>
      </c>
      <c r="D99" s="10">
        <v>87.42</v>
      </c>
      <c r="E99" s="10">
        <v>94.15</v>
      </c>
      <c r="F99" s="10">
        <v>100.98</v>
      </c>
      <c r="G99" s="10">
        <v>106.07</v>
      </c>
      <c r="H99" s="2"/>
      <c r="I99" s="2"/>
      <c r="J99" s="2"/>
      <c r="K99" s="2"/>
      <c r="L99" s="2"/>
      <c r="M99" s="2"/>
    </row>
    <row r="100" spans="1:13" ht="14.25" customHeight="1" x14ac:dyDescent="0.3">
      <c r="A100" s="2"/>
      <c r="B100" s="8" t="s">
        <v>186</v>
      </c>
      <c r="C100" s="11">
        <v>72.17</v>
      </c>
      <c r="D100" s="10">
        <v>65.53</v>
      </c>
      <c r="E100" s="10">
        <v>71.099999999999994</v>
      </c>
      <c r="F100" s="10">
        <v>75.36</v>
      </c>
      <c r="G100" s="10">
        <v>79.069999999999993</v>
      </c>
      <c r="H100" s="2"/>
      <c r="I100" s="2"/>
      <c r="J100" s="2"/>
      <c r="K100" s="2"/>
      <c r="L100" s="2"/>
      <c r="M100" s="2"/>
    </row>
    <row r="101" spans="1:13" ht="14.25" customHeight="1" x14ac:dyDescent="0.3">
      <c r="A101" s="2"/>
      <c r="B101" s="104" t="s">
        <v>187</v>
      </c>
      <c r="C101" s="104"/>
      <c r="D101" s="104"/>
      <c r="E101" s="104"/>
      <c r="F101" s="104"/>
      <c r="G101" s="104"/>
      <c r="H101" s="2"/>
      <c r="I101" s="2"/>
      <c r="J101" s="2"/>
      <c r="K101" s="2"/>
      <c r="L101" s="2"/>
      <c r="M101" s="2"/>
    </row>
    <row r="102" spans="1:13" ht="14.25" customHeight="1" x14ac:dyDescent="0.3">
      <c r="A102" s="2"/>
      <c r="B102" s="8" t="s">
        <v>188</v>
      </c>
      <c r="C102" s="11">
        <v>1.7</v>
      </c>
      <c r="D102" s="10">
        <v>0.73</v>
      </c>
      <c r="E102" s="10">
        <v>0.69</v>
      </c>
      <c r="F102" s="10">
        <v>0.57999999999999996</v>
      </c>
      <c r="G102" s="10">
        <v>0.63</v>
      </c>
      <c r="H102" s="2"/>
      <c r="I102" s="2"/>
      <c r="J102" s="2"/>
      <c r="K102" s="2"/>
      <c r="L102" s="2"/>
      <c r="M102" s="2"/>
    </row>
    <row r="103" spans="1:13" ht="14.25" customHeight="1" x14ac:dyDescent="0.3">
      <c r="A103" s="2"/>
      <c r="B103" s="8" t="s">
        <v>189</v>
      </c>
      <c r="C103" s="11">
        <v>15.28</v>
      </c>
      <c r="D103" s="10">
        <v>0.65</v>
      </c>
      <c r="E103" s="10">
        <v>0.63</v>
      </c>
      <c r="F103" s="10">
        <v>0.51</v>
      </c>
      <c r="G103" s="10">
        <v>0.56999999999999995</v>
      </c>
      <c r="H103" s="2"/>
      <c r="I103" s="2"/>
      <c r="J103" s="2"/>
      <c r="K103" s="2"/>
      <c r="L103" s="2"/>
      <c r="M103" s="2"/>
    </row>
    <row r="104" spans="1:13" ht="14.25" customHeight="1" x14ac:dyDescent="0.3">
      <c r="A104" s="2"/>
      <c r="B104" s="8" t="s">
        <v>190</v>
      </c>
      <c r="C104" s="11">
        <v>6.57</v>
      </c>
      <c r="D104" s="11">
        <v>6.55</v>
      </c>
      <c r="E104" s="11">
        <v>6.42</v>
      </c>
      <c r="F104" s="11">
        <v>6.38</v>
      </c>
      <c r="G104" s="11">
        <v>6.05</v>
      </c>
      <c r="H104" s="2"/>
      <c r="I104" s="2"/>
      <c r="J104" s="2"/>
      <c r="K104" s="2"/>
      <c r="L104" s="2"/>
      <c r="M104" s="2"/>
    </row>
    <row r="105" spans="1:13" ht="14.25" customHeight="1" x14ac:dyDescent="0.3">
      <c r="A105" s="2"/>
      <c r="B105" s="104" t="s">
        <v>191</v>
      </c>
      <c r="C105" s="104"/>
      <c r="D105" s="104"/>
      <c r="E105" s="104"/>
      <c r="F105" s="104"/>
      <c r="G105" s="104"/>
      <c r="H105" s="2"/>
      <c r="I105" s="2"/>
      <c r="J105" s="2"/>
      <c r="K105" s="2"/>
      <c r="L105" s="2"/>
      <c r="M105" s="2"/>
    </row>
    <row r="106" spans="1:13" ht="14.25" customHeight="1" x14ac:dyDescent="0.3">
      <c r="A106" s="2"/>
      <c r="B106" s="8" t="s">
        <v>192</v>
      </c>
      <c r="C106" s="11">
        <v>1.56</v>
      </c>
      <c r="D106" s="10">
        <v>135.62</v>
      </c>
      <c r="E106" s="10">
        <v>167.65</v>
      </c>
      <c r="F106" s="10">
        <v>191.46</v>
      </c>
      <c r="G106" s="10">
        <v>248.99</v>
      </c>
      <c r="H106" s="2"/>
      <c r="I106" s="2"/>
      <c r="J106" s="2"/>
      <c r="K106" s="2"/>
      <c r="L106" s="2"/>
      <c r="M106" s="2"/>
    </row>
    <row r="107" spans="1:13" ht="14.25" customHeight="1" x14ac:dyDescent="0.3">
      <c r="A107" s="2"/>
      <c r="B107" s="8" t="s">
        <v>193</v>
      </c>
      <c r="C107" s="11">
        <v>6.57</v>
      </c>
      <c r="D107" s="11">
        <v>6.63</v>
      </c>
      <c r="E107" s="11">
        <v>6.49</v>
      </c>
      <c r="F107" s="11">
        <v>6.38</v>
      </c>
      <c r="G107" s="11">
        <v>6.05</v>
      </c>
      <c r="H107" s="2"/>
      <c r="I107" s="2"/>
      <c r="J107" s="2"/>
      <c r="K107" s="2"/>
      <c r="L107" s="2"/>
      <c r="M107" s="2"/>
    </row>
    <row r="108" spans="1:13" ht="14.25" customHeight="1" x14ac:dyDescent="0.3">
      <c r="A108" s="2"/>
      <c r="B108" s="8" t="s">
        <v>194</v>
      </c>
      <c r="C108" s="11">
        <v>1.57</v>
      </c>
      <c r="D108" s="10">
        <v>139.01</v>
      </c>
      <c r="E108" s="10">
        <v>171.71</v>
      </c>
      <c r="F108" s="10">
        <v>196.06</v>
      </c>
      <c r="G108" s="10">
        <v>254.93</v>
      </c>
      <c r="H108" s="2"/>
      <c r="I108" s="2"/>
      <c r="J108" s="2"/>
      <c r="K108" s="2"/>
      <c r="L108" s="2"/>
      <c r="M108" s="2"/>
    </row>
    <row r="109" spans="1:13" ht="26.25" customHeight="1" x14ac:dyDescent="0.3">
      <c r="A109" s="2"/>
      <c r="B109" s="8" t="s">
        <v>195</v>
      </c>
      <c r="C109" s="11">
        <v>1.46</v>
      </c>
      <c r="D109" s="10">
        <v>106.05</v>
      </c>
      <c r="E109" s="10">
        <v>131.66</v>
      </c>
      <c r="F109" s="10">
        <v>148.5</v>
      </c>
      <c r="G109" s="10">
        <v>192.55</v>
      </c>
      <c r="H109" s="2"/>
      <c r="I109" s="2"/>
      <c r="J109" s="2"/>
      <c r="K109" s="2"/>
      <c r="L109" s="2"/>
      <c r="M109" s="2"/>
    </row>
    <row r="110" spans="1:13" ht="14.25" customHeight="1" x14ac:dyDescent="0.3">
      <c r="A110" s="2"/>
      <c r="B110" s="104" t="s">
        <v>196</v>
      </c>
      <c r="C110" s="104"/>
      <c r="D110" s="104"/>
      <c r="E110" s="104"/>
      <c r="F110" s="104"/>
      <c r="G110" s="104"/>
      <c r="H110" s="2"/>
      <c r="I110" s="2"/>
      <c r="J110" s="2"/>
      <c r="K110" s="2"/>
      <c r="L110" s="2"/>
      <c r="M110" s="2"/>
    </row>
    <row r="111" spans="1:13" ht="14.25" customHeight="1" x14ac:dyDescent="0.3">
      <c r="A111" s="2"/>
      <c r="B111" s="8" t="s">
        <v>197</v>
      </c>
      <c r="C111" s="11">
        <v>334.75</v>
      </c>
      <c r="D111" s="10">
        <v>26.67</v>
      </c>
      <c r="E111" s="10">
        <v>24.37</v>
      </c>
      <c r="F111" s="10">
        <v>22.97</v>
      </c>
      <c r="G111" s="10">
        <v>27.17</v>
      </c>
      <c r="H111" s="2"/>
      <c r="I111" s="2"/>
      <c r="J111" s="2"/>
      <c r="K111" s="2"/>
      <c r="L111" s="2"/>
      <c r="M111" s="2"/>
    </row>
    <row r="112" spans="1:13" ht="14.25" customHeight="1" x14ac:dyDescent="0.3">
      <c r="A112" s="2"/>
      <c r="B112" s="8" t="s">
        <v>198</v>
      </c>
      <c r="C112" s="11">
        <v>57.6</v>
      </c>
      <c r="D112" s="10">
        <v>9.73</v>
      </c>
      <c r="E112" s="10">
        <v>10.42</v>
      </c>
      <c r="F112" s="10">
        <v>11.3</v>
      </c>
      <c r="G112" s="10">
        <v>8.99</v>
      </c>
      <c r="H112" s="2"/>
      <c r="I112" s="2"/>
      <c r="J112" s="2"/>
      <c r="K112" s="2"/>
      <c r="L112" s="2"/>
      <c r="M112" s="2"/>
    </row>
    <row r="113" spans="1:13" ht="14.25" customHeight="1" x14ac:dyDescent="0.3">
      <c r="A113" s="2"/>
      <c r="B113" s="8" t="s">
        <v>199</v>
      </c>
      <c r="C113" s="11">
        <v>0.1</v>
      </c>
      <c r="D113" s="10">
        <v>1.24</v>
      </c>
      <c r="E113" s="10">
        <v>1.32</v>
      </c>
      <c r="F113" s="10">
        <v>1.43</v>
      </c>
      <c r="G113" s="10">
        <v>1.38</v>
      </c>
      <c r="H113" s="2"/>
      <c r="I113" s="2"/>
      <c r="J113" s="2"/>
      <c r="K113" s="2"/>
      <c r="L113" s="2"/>
      <c r="M113" s="2"/>
    </row>
    <row r="114" spans="1:13" ht="26.25" customHeight="1" x14ac:dyDescent="0.3">
      <c r="A114" s="2"/>
      <c r="B114" s="8" t="s">
        <v>200</v>
      </c>
      <c r="C114" s="11">
        <v>3236.27</v>
      </c>
      <c r="D114" s="11">
        <v>3679.71</v>
      </c>
      <c r="E114" s="11">
        <v>3603.79</v>
      </c>
      <c r="F114" s="11">
        <v>3378.81</v>
      </c>
      <c r="G114" s="11">
        <v>3312.63</v>
      </c>
      <c r="H114" s="2"/>
      <c r="I114" s="2"/>
      <c r="J114" s="2"/>
      <c r="K114" s="2"/>
      <c r="L114" s="2"/>
      <c r="M114" s="2"/>
    </row>
    <row r="115" spans="1:13" ht="14.25" customHeight="1" x14ac:dyDescent="0.3">
      <c r="A115" s="2"/>
      <c r="B115" s="104" t="s">
        <v>201</v>
      </c>
      <c r="C115" s="104"/>
      <c r="D115" s="104"/>
      <c r="E115" s="104"/>
      <c r="F115" s="104"/>
      <c r="G115" s="104"/>
      <c r="H115" s="2"/>
      <c r="I115" s="2"/>
      <c r="J115" s="2"/>
      <c r="K115" s="2"/>
      <c r="L115" s="2"/>
      <c r="M115" s="2"/>
    </row>
    <row r="116" spans="1:13" ht="26.25" customHeight="1" x14ac:dyDescent="0.3">
      <c r="A116" s="2"/>
      <c r="B116" s="8" t="s">
        <v>202</v>
      </c>
      <c r="C116" s="11">
        <v>24.02</v>
      </c>
      <c r="D116" s="10">
        <v>80.47</v>
      </c>
      <c r="E116" s="10">
        <v>72.08</v>
      </c>
      <c r="F116" s="10">
        <v>75.91</v>
      </c>
      <c r="G116" s="10">
        <v>0</v>
      </c>
      <c r="H116" s="2"/>
      <c r="I116" s="2"/>
      <c r="J116" s="2"/>
      <c r="K116" s="2"/>
      <c r="L116" s="2"/>
      <c r="M116" s="2"/>
    </row>
    <row r="117" spans="1:13" ht="14.25" customHeight="1" x14ac:dyDescent="0.3">
      <c r="A117" s="2"/>
      <c r="B117" s="8" t="s">
        <v>203</v>
      </c>
      <c r="C117" s="11">
        <v>76.010000000000005</v>
      </c>
      <c r="D117" s="10">
        <v>19.53</v>
      </c>
      <c r="E117" s="10">
        <v>27.92</v>
      </c>
      <c r="F117" s="10">
        <v>24.09</v>
      </c>
      <c r="G117" s="10">
        <v>100</v>
      </c>
      <c r="H117" s="2"/>
      <c r="I117" s="2"/>
      <c r="J117" s="2"/>
      <c r="K117" s="2"/>
      <c r="L117" s="2"/>
      <c r="M117" s="2"/>
    </row>
    <row r="118" spans="1:13" ht="14.25" customHeight="1" x14ac:dyDescent="0.3">
      <c r="A118" s="2"/>
      <c r="B118" s="8" t="s">
        <v>204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2"/>
      <c r="I118" s="2"/>
      <c r="J118" s="2"/>
      <c r="K118" s="2"/>
      <c r="L118" s="2"/>
      <c r="M118" s="2"/>
    </row>
    <row r="119" spans="1:13" ht="19.2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28.8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28.8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38.4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9.2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28.8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38.4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48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28.8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28.8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28.8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38.4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28.8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</sheetData>
  <mergeCells count="22">
    <mergeCell ref="B115:G115"/>
    <mergeCell ref="B71:G71"/>
    <mergeCell ref="B105:G105"/>
    <mergeCell ref="B43:G43"/>
    <mergeCell ref="B48:G48"/>
    <mergeCell ref="B110:G110"/>
    <mergeCell ref="B35:G35"/>
    <mergeCell ref="B26:G26"/>
    <mergeCell ref="B75:G75"/>
    <mergeCell ref="B86:G86"/>
    <mergeCell ref="B54:G54"/>
    <mergeCell ref="B101:G101"/>
    <mergeCell ref="B17:G17"/>
    <mergeCell ref="B1:G1"/>
    <mergeCell ref="B88:G88"/>
    <mergeCell ref="B29:G29"/>
    <mergeCell ref="B9:G9"/>
    <mergeCell ref="B33:G33"/>
    <mergeCell ref="B55:G55"/>
    <mergeCell ref="B36:G36"/>
    <mergeCell ref="B94:G94"/>
    <mergeCell ref="B3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8"/>
  <sheetViews>
    <sheetView showGridLines="0" topLeftCell="A11" zoomScaleNormal="100" workbookViewId="0">
      <pane ySplit="1" topLeftCell="A103" activePane="bottomLeft" state="frozen"/>
      <selection pane="bottomLeft" activeCell="F41" sqref="F41"/>
    </sheetView>
  </sheetViews>
  <sheetFormatPr defaultColWidth="8.6640625" defaultRowHeight="14.4" x14ac:dyDescent="0.3"/>
  <cols>
    <col min="1" max="1" width="40" customWidth="1"/>
    <col min="2" max="11" width="16" customWidth="1"/>
  </cols>
  <sheetData>
    <row r="1" spans="1:1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.25" customHeight="1" x14ac:dyDescent="0.3">
      <c r="A2" s="5"/>
      <c r="B2" s="105" t="s">
        <v>205</v>
      </c>
      <c r="C2" s="105"/>
      <c r="D2" s="105"/>
      <c r="E2" s="105"/>
      <c r="F2" s="105"/>
      <c r="G2" s="105"/>
      <c r="H2" s="105"/>
      <c r="I2" s="5"/>
      <c r="J2" s="5"/>
      <c r="K2" s="5"/>
    </row>
    <row r="3" spans="1:11" ht="14.25" customHeight="1" x14ac:dyDescent="0.3">
      <c r="A3" s="5"/>
      <c r="B3" s="7" t="s">
        <v>206</v>
      </c>
      <c r="C3" s="19" t="str">
        <f>'Data Sheet'!C2</f>
        <v>Mar '22</v>
      </c>
      <c r="D3" s="19" t="str">
        <f>'Data Sheet'!D2</f>
        <v>Mar '23</v>
      </c>
      <c r="E3" s="19" t="str">
        <f>'Data Sheet'!E2</f>
        <v>Mar '24</v>
      </c>
      <c r="F3" s="19" t="str">
        <f>'Data Sheet'!F2</f>
        <v>Mar '25</v>
      </c>
      <c r="G3" s="19" t="str">
        <f>'Data Sheet'!G2</f>
        <v>Mar '26</v>
      </c>
      <c r="H3" s="19" t="s">
        <v>207</v>
      </c>
      <c r="I3" s="7"/>
      <c r="J3" s="7"/>
      <c r="K3" s="7"/>
    </row>
    <row r="4" spans="1:11" ht="14.25" customHeight="1" x14ac:dyDescent="0.3">
      <c r="A4" s="2"/>
      <c r="B4" s="2"/>
      <c r="C4" s="20"/>
      <c r="D4" s="20"/>
      <c r="E4" s="20"/>
      <c r="F4" s="20"/>
      <c r="G4" s="20"/>
      <c r="H4" s="20"/>
      <c r="I4" s="2"/>
      <c r="J4" s="2"/>
      <c r="K4" s="2"/>
    </row>
    <row r="5" spans="1:11" ht="14.25" customHeight="1" x14ac:dyDescent="0.3">
      <c r="A5" s="2" t="s">
        <v>208</v>
      </c>
      <c r="B5" s="2" t="s">
        <v>209</v>
      </c>
      <c r="C5" s="2"/>
      <c r="D5" s="2"/>
      <c r="E5" s="2"/>
      <c r="F5" s="2"/>
      <c r="G5" s="2"/>
      <c r="H5" s="2"/>
      <c r="I5" s="2"/>
      <c r="J5" s="2"/>
      <c r="K5" s="2"/>
    </row>
    <row r="6" spans="1:11" ht="14.25" customHeight="1" x14ac:dyDescent="0.3">
      <c r="A6" s="2"/>
      <c r="B6" s="2" t="s">
        <v>210</v>
      </c>
      <c r="C6" s="21">
        <f>IFERROR('Data Sheet'!C6,0)</f>
        <v>2634.07</v>
      </c>
      <c r="D6" s="21">
        <f>IFERROR('Data Sheet'!D6,0)</f>
        <v>2837.35</v>
      </c>
      <c r="E6" s="21">
        <f>IFERROR('Data Sheet'!E6,0)</f>
        <v>3758.23</v>
      </c>
      <c r="F6" s="21">
        <f>IFERROR('Data Sheet'!F6,0)</f>
        <v>4977.33</v>
      </c>
      <c r="G6" s="21">
        <f>IFERROR('Data Sheet'!G6,0)</f>
        <v>5764.63</v>
      </c>
      <c r="H6" s="21">
        <f>IFERROR('Data Sheet'!G6,0)</f>
        <v>5764.63</v>
      </c>
      <c r="I6" s="2"/>
      <c r="J6" s="2"/>
      <c r="K6" s="2"/>
    </row>
    <row r="7" spans="1:11" ht="14.25" customHeight="1" x14ac:dyDescent="0.3">
      <c r="A7" s="2"/>
      <c r="B7" s="2" t="s">
        <v>211</v>
      </c>
      <c r="C7" s="22" t="s">
        <v>85</v>
      </c>
      <c r="D7" s="22">
        <f>D6/C6-1</f>
        <v>7.7173347709058593E-2</v>
      </c>
      <c r="E7" s="22">
        <f>E6/D6-1</f>
        <v>0.3245563642130862</v>
      </c>
      <c r="F7" s="22">
        <f>F6/E6-1</f>
        <v>0.3243814242342804</v>
      </c>
      <c r="G7" s="22">
        <f>G6/F6-1</f>
        <v>0.15817717531286868</v>
      </c>
      <c r="H7" s="22">
        <f>H6/G6-1</f>
        <v>0</v>
      </c>
      <c r="I7" s="2"/>
      <c r="J7" s="2"/>
      <c r="K7" s="22">
        <f>AVERAGE(D7:G7)</f>
        <v>0.22107207786732347</v>
      </c>
    </row>
    <row r="8" spans="1:1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4.25" customHeight="1" x14ac:dyDescent="0.3">
      <c r="A9" s="2"/>
      <c r="B9" s="2" t="s">
        <v>212</v>
      </c>
      <c r="C9" s="21">
        <f>IFERROR('Data Sheet'!C12,0)</f>
        <v>13.87</v>
      </c>
      <c r="D9" s="21">
        <f>IFERROR('Data Sheet'!D12,0)</f>
        <v>14.91</v>
      </c>
      <c r="E9" s="21">
        <f>IFERROR('Data Sheet'!E12,0)</f>
        <v>16.190000000000001</v>
      </c>
      <c r="F9" s="21">
        <f>IFERROR('Data Sheet'!F12,0)</f>
        <v>18.55</v>
      </c>
      <c r="G9" s="21">
        <f>IFERROR('Data Sheet'!G12,0)</f>
        <v>17.77</v>
      </c>
      <c r="H9" s="21">
        <f>IFERROR('Data Sheet'!G12,0)</f>
        <v>17.77</v>
      </c>
      <c r="I9" s="2"/>
      <c r="J9" s="2"/>
      <c r="K9" s="2"/>
    </row>
    <row r="10" spans="1:11" ht="14.25" customHeight="1" x14ac:dyDescent="0.3">
      <c r="A10" s="2"/>
      <c r="B10" s="2" t="s">
        <v>213</v>
      </c>
      <c r="C10" s="22">
        <f t="shared" ref="C10:H10" si="0">C9/C6</f>
        <v>5.2656155683030439E-3</v>
      </c>
      <c r="D10" s="22">
        <f t="shared" si="0"/>
        <v>5.2549033429079954E-3</v>
      </c>
      <c r="E10" s="22">
        <f t="shared" si="0"/>
        <v>4.307878974942992E-3</v>
      </c>
      <c r="F10" s="22">
        <f t="shared" si="0"/>
        <v>3.726897754418534E-3</v>
      </c>
      <c r="G10" s="22">
        <f t="shared" si="0"/>
        <v>3.0825915973791899E-3</v>
      </c>
      <c r="H10" s="22">
        <f t="shared" si="0"/>
        <v>3.0825915973791899E-3</v>
      </c>
      <c r="I10" s="2"/>
      <c r="J10" s="2"/>
      <c r="K10" s="2"/>
    </row>
    <row r="11" spans="1:1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4.25" customHeight="1" x14ac:dyDescent="0.3">
      <c r="A12" s="2"/>
      <c r="B12" s="23" t="s">
        <v>214</v>
      </c>
      <c r="C12" s="24">
        <f t="shared" ref="C12:H12" si="1">C6-C9</f>
        <v>2620.2000000000003</v>
      </c>
      <c r="D12" s="24">
        <f t="shared" si="1"/>
        <v>2822.44</v>
      </c>
      <c r="E12" s="24">
        <f t="shared" si="1"/>
        <v>3742.04</v>
      </c>
      <c r="F12" s="24">
        <f t="shared" si="1"/>
        <v>4958.78</v>
      </c>
      <c r="G12" s="24">
        <f t="shared" si="1"/>
        <v>5746.86</v>
      </c>
      <c r="H12" s="24">
        <f t="shared" si="1"/>
        <v>5746.86</v>
      </c>
      <c r="I12" s="2"/>
      <c r="J12" s="2"/>
      <c r="K12" s="2"/>
    </row>
    <row r="13" spans="1:11" ht="14.25" customHeight="1" x14ac:dyDescent="0.3">
      <c r="A13" s="2"/>
      <c r="B13" s="2" t="s">
        <v>215</v>
      </c>
      <c r="C13" s="22">
        <f t="shared" ref="C13:H13" si="2">C12/C6</f>
        <v>0.99473438443169704</v>
      </c>
      <c r="D13" s="22">
        <f t="shared" si="2"/>
        <v>0.9947450966570921</v>
      </c>
      <c r="E13" s="22">
        <f t="shared" si="2"/>
        <v>0.995692121025057</v>
      </c>
      <c r="F13" s="22">
        <f t="shared" si="2"/>
        <v>0.99627310224558141</v>
      </c>
      <c r="G13" s="22">
        <f t="shared" si="2"/>
        <v>0.99691740840262077</v>
      </c>
      <c r="H13" s="22">
        <f t="shared" si="2"/>
        <v>0.99691740840262077</v>
      </c>
      <c r="I13" s="2"/>
      <c r="J13" s="2"/>
      <c r="K13" s="2"/>
    </row>
    <row r="14" spans="1:1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25" customHeight="1" x14ac:dyDescent="0.3">
      <c r="A15" s="2"/>
      <c r="B15" s="2" t="s">
        <v>216</v>
      </c>
      <c r="C15" s="21">
        <f>IFERROR(SUM('Data Sheet'!C10,'Data Sheet'!C11,'Data Sheet'!C15),0)</f>
        <v>641.49</v>
      </c>
      <c r="D15" s="21">
        <f>IFERROR(SUM('Data Sheet'!D10,'Data Sheet'!D11,'Data Sheet'!D15),0)</f>
        <v>765.59999999999991</v>
      </c>
      <c r="E15" s="21">
        <f>IFERROR(SUM('Data Sheet'!E10,'Data Sheet'!E11,'Data Sheet'!E15),0)</f>
        <v>981.2</v>
      </c>
      <c r="F15" s="21">
        <f>IFERROR(SUM('Data Sheet'!F10,'Data Sheet'!F11,'Data Sheet'!F15),0)</f>
        <v>1342.68</v>
      </c>
      <c r="G15" s="21">
        <f>IFERROR(SUM('Data Sheet'!G10,'Data Sheet'!G11,'Data Sheet'!G15),0)</f>
        <v>1470.8</v>
      </c>
      <c r="H15" s="21">
        <f>IFERROR(SUM('Data Sheet'!G10,'Data Sheet'!G11,'Data Sheet'!G15),0)</f>
        <v>1470.8</v>
      </c>
      <c r="I15" s="2"/>
      <c r="J15" s="2"/>
      <c r="K15" s="2"/>
    </row>
    <row r="16" spans="1:11" ht="14.25" customHeight="1" x14ac:dyDescent="0.3">
      <c r="A16" s="2"/>
      <c r="B16" s="2" t="s">
        <v>217</v>
      </c>
      <c r="C16" s="22">
        <f t="shared" ref="C16:H16" si="3">C15/C6</f>
        <v>0.24353566913559624</v>
      </c>
      <c r="D16" s="22">
        <f t="shared" si="3"/>
        <v>0.2698292420744709</v>
      </c>
      <c r="E16" s="22">
        <f t="shared" si="3"/>
        <v>0.26108034899407434</v>
      </c>
      <c r="F16" s="22">
        <f t="shared" si="3"/>
        <v>0.26975908770364837</v>
      </c>
      <c r="G16" s="22">
        <f t="shared" si="3"/>
        <v>0.25514213401380487</v>
      </c>
      <c r="H16" s="22">
        <f t="shared" si="3"/>
        <v>0.25514213401380487</v>
      </c>
      <c r="I16" s="2"/>
      <c r="J16" s="2"/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25" customHeight="1" x14ac:dyDescent="0.3">
      <c r="A18" s="2"/>
      <c r="B18" s="23" t="s">
        <v>218</v>
      </c>
      <c r="C18" s="24">
        <f t="shared" ref="C18:H18" si="4">C12-C15</f>
        <v>1978.7100000000003</v>
      </c>
      <c r="D18" s="24">
        <f t="shared" si="4"/>
        <v>2056.84</v>
      </c>
      <c r="E18" s="24">
        <f t="shared" si="4"/>
        <v>2760.84</v>
      </c>
      <c r="F18" s="24">
        <f t="shared" si="4"/>
        <v>3616.0999999999995</v>
      </c>
      <c r="G18" s="24">
        <f t="shared" si="4"/>
        <v>4276.0599999999995</v>
      </c>
      <c r="H18" s="24">
        <f t="shared" si="4"/>
        <v>4276.0599999999995</v>
      </c>
      <c r="I18" s="2"/>
      <c r="J18" s="2"/>
      <c r="K18" s="2"/>
    </row>
    <row r="19" spans="1:11" ht="14.25" customHeight="1" x14ac:dyDescent="0.3">
      <c r="A19" s="2"/>
      <c r="B19" s="2" t="s">
        <v>219</v>
      </c>
      <c r="C19" s="22">
        <f t="shared" ref="C19:H19" si="5">C18/C6</f>
        <v>0.75119871529610072</v>
      </c>
      <c r="D19" s="22">
        <f t="shared" si="5"/>
        <v>0.7249158545826212</v>
      </c>
      <c r="E19" s="22">
        <f t="shared" si="5"/>
        <v>0.73461177203098271</v>
      </c>
      <c r="F19" s="22">
        <f t="shared" si="5"/>
        <v>0.72651401454193298</v>
      </c>
      <c r="G19" s="22">
        <f t="shared" si="5"/>
        <v>0.74177527438881585</v>
      </c>
      <c r="H19" s="22">
        <f t="shared" si="5"/>
        <v>0.74177527438881585</v>
      </c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.25" customHeight="1" x14ac:dyDescent="0.3">
      <c r="A21" s="2"/>
      <c r="B21" s="2" t="s">
        <v>220</v>
      </c>
      <c r="C21" s="21">
        <f>IFERROR(SUM('Data Sheet'!C14),0)</f>
        <v>50.9</v>
      </c>
      <c r="D21" s="21">
        <f>IFERROR(SUM('Data Sheet'!D14),0)</f>
        <v>50.5</v>
      </c>
      <c r="E21" s="21">
        <f>IFERROR(SUM('Data Sheet'!E14),0)</f>
        <v>65.709999999999994</v>
      </c>
      <c r="F21" s="21">
        <f>IFERROR(SUM('Data Sheet'!F14),0)</f>
        <v>85.39</v>
      </c>
      <c r="G21" s="21">
        <f>IFERROR(SUM('Data Sheet'!G14),0)</f>
        <v>105.51</v>
      </c>
      <c r="H21" s="21">
        <f>IFERROR(SUM('Data Sheet'!G14),0)</f>
        <v>105.51</v>
      </c>
      <c r="I21" s="2"/>
      <c r="J21" s="2"/>
      <c r="K21" s="2"/>
    </row>
    <row r="22" spans="1:11" ht="14.25" customHeight="1" x14ac:dyDescent="0.3">
      <c r="A22" s="2"/>
      <c r="B22" s="2" t="s">
        <v>221</v>
      </c>
      <c r="C22" s="22">
        <f t="shared" ref="C22:H22" si="6">C21/C6</f>
        <v>1.9323708177838857E-2</v>
      </c>
      <c r="D22" s="22">
        <f t="shared" si="6"/>
        <v>1.779829770736779E-2</v>
      </c>
      <c r="E22" s="22">
        <f t="shared" si="6"/>
        <v>1.7484294468406669E-2</v>
      </c>
      <c r="F22" s="22">
        <f t="shared" si="6"/>
        <v>1.7155784326134696E-2</v>
      </c>
      <c r="G22" s="22">
        <f t="shared" si="6"/>
        <v>1.8302996029233447E-2</v>
      </c>
      <c r="H22" s="22">
        <f t="shared" si="6"/>
        <v>1.8302996029233447E-2</v>
      </c>
      <c r="I22" s="2"/>
      <c r="J22" s="2"/>
      <c r="K22" s="2"/>
    </row>
    <row r="23" spans="1:11" ht="14.25" customHeight="1" x14ac:dyDescent="0.3">
      <c r="A23" s="2"/>
      <c r="B23" s="2"/>
      <c r="C23" s="25"/>
      <c r="D23" s="25"/>
      <c r="E23" s="25"/>
      <c r="F23" s="25"/>
      <c r="G23" s="25"/>
      <c r="H23" s="25"/>
      <c r="I23" s="2"/>
      <c r="J23" s="2"/>
      <c r="K23" s="2"/>
    </row>
    <row r="24" spans="1:11" ht="14.25" customHeight="1" x14ac:dyDescent="0.3">
      <c r="A24" s="2"/>
      <c r="B24" s="26" t="s">
        <v>222</v>
      </c>
      <c r="C24" s="27">
        <f t="shared" ref="C24:H24" si="7">IFERROR(C18-C21,0)</f>
        <v>1927.8100000000002</v>
      </c>
      <c r="D24" s="27">
        <f t="shared" si="7"/>
        <v>2006.3400000000001</v>
      </c>
      <c r="E24" s="27">
        <f t="shared" si="7"/>
        <v>2695.13</v>
      </c>
      <c r="F24" s="27">
        <f t="shared" si="7"/>
        <v>3530.7099999999996</v>
      </c>
      <c r="G24" s="27">
        <f t="shared" si="7"/>
        <v>4170.5499999999993</v>
      </c>
      <c r="H24" s="27">
        <f t="shared" si="7"/>
        <v>4170.5499999999993</v>
      </c>
      <c r="I24" s="2"/>
      <c r="J24" s="2"/>
      <c r="K24" s="2"/>
    </row>
    <row r="25" spans="1:11" ht="14.25" customHeight="1" x14ac:dyDescent="0.3">
      <c r="A25" s="2"/>
      <c r="B25" s="2" t="s">
        <v>223</v>
      </c>
      <c r="C25" s="22">
        <f t="shared" ref="C25:H25" si="8">C24/C6</f>
        <v>0.73187500711826192</v>
      </c>
      <c r="D25" s="22">
        <f t="shared" si="8"/>
        <v>0.70711755687525335</v>
      </c>
      <c r="E25" s="22">
        <f t="shared" si="8"/>
        <v>0.717127477562576</v>
      </c>
      <c r="F25" s="22">
        <f t="shared" si="8"/>
        <v>0.70935823021579836</v>
      </c>
      <c r="G25" s="22">
        <f t="shared" si="8"/>
        <v>0.72347227835958239</v>
      </c>
      <c r="H25" s="22">
        <f t="shared" si="8"/>
        <v>0.72347227835958239</v>
      </c>
      <c r="I25" s="2"/>
      <c r="J25" s="2"/>
      <c r="K25" s="2"/>
    </row>
    <row r="26" spans="1:1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 x14ac:dyDescent="0.3">
      <c r="A27" s="2"/>
      <c r="B27" s="2" t="s">
        <v>108</v>
      </c>
      <c r="C27" s="21">
        <f>IFERROR('Data Sheet'!C13,0)</f>
        <v>0</v>
      </c>
      <c r="D27" s="21">
        <f>IFERROR('Data Sheet'!D13,0)</f>
        <v>0</v>
      </c>
      <c r="E27" s="21">
        <f>IFERROR('Data Sheet'!E13,0)</f>
        <v>0</v>
      </c>
      <c r="F27" s="21">
        <f>IFERROR('Data Sheet'!F13,0)</f>
        <v>0</v>
      </c>
      <c r="G27" s="21">
        <f>IFERROR('Data Sheet'!G13,0)</f>
        <v>0</v>
      </c>
      <c r="H27" s="21">
        <f>IFERROR('Data Sheet'!G13,0)</f>
        <v>0</v>
      </c>
      <c r="I27" s="2"/>
      <c r="J27" s="2"/>
      <c r="K27" s="2"/>
    </row>
    <row r="28" spans="1:11" ht="14.25" customHeight="1" x14ac:dyDescent="0.3">
      <c r="A28" s="2"/>
      <c r="B28" s="2" t="s">
        <v>224</v>
      </c>
      <c r="C28" s="22">
        <f t="shared" ref="C28:H28" si="9">C27/C6</f>
        <v>0</v>
      </c>
      <c r="D28" s="22">
        <f t="shared" si="9"/>
        <v>0</v>
      </c>
      <c r="E28" s="22">
        <f t="shared" si="9"/>
        <v>0</v>
      </c>
      <c r="F28" s="22">
        <f t="shared" si="9"/>
        <v>0</v>
      </c>
      <c r="G28" s="22">
        <f t="shared" si="9"/>
        <v>0</v>
      </c>
      <c r="H28" s="22">
        <f t="shared" si="9"/>
        <v>0</v>
      </c>
      <c r="I28" s="2"/>
      <c r="J28" s="2"/>
      <c r="K28" s="2"/>
    </row>
    <row r="29" spans="1:11" ht="14.25" customHeight="1" x14ac:dyDescent="0.3">
      <c r="A29" s="2"/>
      <c r="B29" s="2"/>
      <c r="C29" s="25"/>
      <c r="D29" s="25"/>
      <c r="E29" s="25"/>
      <c r="F29" s="25"/>
      <c r="G29" s="25"/>
      <c r="H29" s="25"/>
      <c r="I29" s="2"/>
      <c r="J29" s="2"/>
      <c r="K29" s="2"/>
    </row>
    <row r="30" spans="1:11" ht="14.25" customHeight="1" x14ac:dyDescent="0.3">
      <c r="A30" s="2"/>
      <c r="B30" s="2" t="s">
        <v>102</v>
      </c>
      <c r="C30" s="21">
        <f>IFERROR('Data Sheet'!C7,0)</f>
        <v>1.22</v>
      </c>
      <c r="D30" s="21">
        <f>IFERROR('Data Sheet'!D7,0)</f>
        <v>0.83</v>
      </c>
      <c r="E30" s="21">
        <f>IFERROR('Data Sheet'!E7,0)</f>
        <v>2.98</v>
      </c>
      <c r="F30" s="21">
        <f>IFERROR('Data Sheet'!F7,0)</f>
        <v>2.34</v>
      </c>
      <c r="G30" s="21">
        <f>IFERROR('Data Sheet'!G7,0)</f>
        <v>236.29</v>
      </c>
      <c r="H30" s="21">
        <f>IFERROR('Data Sheet'!G7,0)</f>
        <v>236.29</v>
      </c>
      <c r="I30" s="2"/>
      <c r="J30" s="2"/>
      <c r="K30" s="2"/>
    </row>
    <row r="31" spans="1:1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 x14ac:dyDescent="0.3">
      <c r="A32" s="2"/>
      <c r="B32" s="23" t="s">
        <v>225</v>
      </c>
      <c r="C32" s="24">
        <f>IFERROR(C24-C27+C30+IFERROR('Data Sheet'!C19,0),0)</f>
        <v>1929.0300000000002</v>
      </c>
      <c r="D32" s="24">
        <f>IFERROR(D24-D27+D30+IFERROR('Data Sheet'!D19,0),0)</f>
        <v>2007.17</v>
      </c>
      <c r="E32" s="24">
        <f>IFERROR(E24-E27+E30+IFERROR('Data Sheet'!E19,0),0)</f>
        <v>2698.11</v>
      </c>
      <c r="F32" s="24">
        <f>IFERROR(F24-F27+F30+IFERROR('Data Sheet'!F19,0),0)</f>
        <v>3533.0499999999997</v>
      </c>
      <c r="G32" s="24">
        <f>IFERROR(G24-G27+G30+IFERROR('Data Sheet'!G19,0),0)</f>
        <v>4406.8399999999992</v>
      </c>
      <c r="H32" s="24">
        <f>IFERROR(H24-H27+H30+IFERROR('Data Sheet'!G19,0),0)</f>
        <v>4406.8399999999992</v>
      </c>
      <c r="I32" s="2"/>
      <c r="J32" s="2"/>
      <c r="K32" s="2"/>
    </row>
    <row r="33" spans="1:11" ht="14.25" customHeight="1" x14ac:dyDescent="0.3">
      <c r="A33" s="2"/>
      <c r="B33" s="2" t="s">
        <v>226</v>
      </c>
      <c r="C33" s="22">
        <f t="shared" ref="C33:H33" si="10">C32/C6</f>
        <v>0.73233816868951851</v>
      </c>
      <c r="D33" s="22">
        <f t="shared" si="10"/>
        <v>0.70741008335242395</v>
      </c>
      <c r="E33" s="22">
        <f t="shared" si="10"/>
        <v>0.71792040401997748</v>
      </c>
      <c r="F33" s="22">
        <f t="shared" si="10"/>
        <v>0.70982836179236652</v>
      </c>
      <c r="G33" s="22">
        <f t="shared" si="10"/>
        <v>0.76446189954949395</v>
      </c>
      <c r="H33" s="22">
        <f t="shared" si="10"/>
        <v>0.76446189954949395</v>
      </c>
      <c r="I33" s="2"/>
      <c r="J33" s="2"/>
      <c r="K33" s="2"/>
    </row>
    <row r="34" spans="1:1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 x14ac:dyDescent="0.3">
      <c r="A35" s="2"/>
      <c r="B35" s="28" t="s">
        <v>227</v>
      </c>
      <c r="C35" s="21">
        <f>IFERROR('Data Sheet'!C23,0)</f>
        <v>474.94</v>
      </c>
      <c r="D35" s="21">
        <f>IFERROR('Data Sheet'!D23,0)</f>
        <v>491.39</v>
      </c>
      <c r="E35" s="21">
        <f>IFERROR('Data Sheet'!E23,0)</f>
        <v>648.38</v>
      </c>
      <c r="F35" s="21">
        <f>IFERROR('Data Sheet'!F23,0)</f>
        <v>882.39</v>
      </c>
      <c r="G35" s="21">
        <f>IFERROR('Data Sheet'!G23,0)</f>
        <v>1108.58</v>
      </c>
      <c r="H35" s="21">
        <f>IFERROR('Data Sheet'!G23,0)</f>
        <v>1108.58</v>
      </c>
      <c r="I35" s="2"/>
      <c r="J35" s="2"/>
      <c r="K35" s="2"/>
    </row>
    <row r="36" spans="1:11" ht="14.25" customHeight="1" x14ac:dyDescent="0.3">
      <c r="A36" s="2"/>
      <c r="B36" s="2" t="s">
        <v>228</v>
      </c>
      <c r="C36" s="22">
        <f t="shared" ref="C36:H36" si="11">C35/C32</f>
        <v>0.24620664271680584</v>
      </c>
      <c r="D36" s="22">
        <f t="shared" si="11"/>
        <v>0.2448173298724074</v>
      </c>
      <c r="E36" s="22">
        <f t="shared" si="11"/>
        <v>0.24030895701064819</v>
      </c>
      <c r="F36" s="22">
        <f t="shared" si="11"/>
        <v>0.2497530462348396</v>
      </c>
      <c r="G36" s="22">
        <f t="shared" si="11"/>
        <v>0.25155894019297276</v>
      </c>
      <c r="H36" s="22">
        <f t="shared" si="11"/>
        <v>0.25155894019297276</v>
      </c>
      <c r="I36" s="2"/>
      <c r="J36" s="2"/>
      <c r="K36" s="2"/>
    </row>
    <row r="37" spans="1:1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.25" customHeight="1" x14ac:dyDescent="0.3">
      <c r="A38" s="2"/>
      <c r="B38" s="23" t="s">
        <v>229</v>
      </c>
      <c r="C38" s="24">
        <f t="shared" ref="C38:H38" si="12">IFERROR(C32-C35,0)</f>
        <v>1454.0900000000001</v>
      </c>
      <c r="D38" s="24">
        <f t="shared" si="12"/>
        <v>1515.7800000000002</v>
      </c>
      <c r="E38" s="24">
        <f t="shared" si="12"/>
        <v>2049.73</v>
      </c>
      <c r="F38" s="24">
        <f t="shared" si="12"/>
        <v>2650.66</v>
      </c>
      <c r="G38" s="24">
        <f t="shared" si="12"/>
        <v>3298.2599999999993</v>
      </c>
      <c r="H38" s="24">
        <f t="shared" si="12"/>
        <v>3298.2599999999993</v>
      </c>
      <c r="I38" s="2"/>
      <c r="J38" s="2"/>
      <c r="K38" s="2"/>
    </row>
    <row r="39" spans="1:11" ht="14.25" customHeight="1" x14ac:dyDescent="0.3">
      <c r="A39" s="2"/>
      <c r="B39" s="2" t="s">
        <v>230</v>
      </c>
      <c r="C39" s="22">
        <f t="shared" ref="C39:H39" si="13">C38/C6</f>
        <v>0.55203164684309836</v>
      </c>
      <c r="D39" s="22">
        <f t="shared" si="13"/>
        <v>0.53422383562126641</v>
      </c>
      <c r="E39" s="22">
        <f t="shared" si="13"/>
        <v>0.54539770051327352</v>
      </c>
      <c r="F39" s="22">
        <f t="shared" si="13"/>
        <v>0.53254656613083717</v>
      </c>
      <c r="G39" s="22">
        <f t="shared" si="13"/>
        <v>0.57215467428091638</v>
      </c>
      <c r="H39" s="22">
        <f t="shared" si="13"/>
        <v>0.57215467428091638</v>
      </c>
      <c r="I39" s="2"/>
      <c r="J39" s="2"/>
      <c r="K39" s="2"/>
    </row>
    <row r="40" spans="1:1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25" customHeight="1" x14ac:dyDescent="0.3">
      <c r="A41" s="2"/>
      <c r="B41" s="2" t="s">
        <v>231</v>
      </c>
      <c r="C41" s="21">
        <f>IFERROR('Data Sheet'!C37/'Data Sheet'!C89,0)</f>
        <v>1.7649999999999999</v>
      </c>
      <c r="D41" s="21">
        <f>IFERROR('Data Sheet'!D37/'Data Sheet'!D89,0)</f>
        <v>1.7649999999999999</v>
      </c>
      <c r="E41" s="21">
        <f>IFERROR('Data Sheet'!E37/'Data Sheet'!E89,0)</f>
        <v>1.7649999999999999</v>
      </c>
      <c r="F41" s="21">
        <f>IFERROR('Data Sheet'!F37/'Data Sheet'!F89,0)</f>
        <v>1.7649999999999999</v>
      </c>
      <c r="G41" s="29">
        <v>49.43</v>
      </c>
      <c r="H41" s="29">
        <v>49.43</v>
      </c>
      <c r="I41" s="2"/>
      <c r="J41" s="2"/>
      <c r="K41" s="2"/>
    </row>
    <row r="42" spans="1:11" ht="14.25" customHeight="1" x14ac:dyDescent="0.3">
      <c r="A42" s="2"/>
      <c r="B42" s="2"/>
      <c r="C42" s="28"/>
      <c r="D42" s="28"/>
      <c r="E42" s="28"/>
      <c r="F42" s="28"/>
      <c r="G42" s="28"/>
      <c r="H42" s="2"/>
      <c r="I42" s="2"/>
      <c r="J42" s="2"/>
      <c r="K42" s="2"/>
    </row>
    <row r="43" spans="1:11" ht="14.25" customHeight="1" x14ac:dyDescent="0.3">
      <c r="A43" s="2"/>
      <c r="B43" s="2" t="s">
        <v>232</v>
      </c>
      <c r="C43" s="21">
        <f>IFERROR('Data Sheet'!C27,0)</f>
        <v>66.73</v>
      </c>
      <c r="D43" s="21">
        <f>IFERROR('Data Sheet'!D27,0)</f>
        <v>53.6</v>
      </c>
      <c r="E43" s="21">
        <f>IFERROR('Data Sheet'!E27,0)</f>
        <v>41.5</v>
      </c>
      <c r="F43" s="21">
        <f>IFERROR('Data Sheet'!F27,0)</f>
        <v>30.7</v>
      </c>
      <c r="G43" s="21">
        <f>IFERROR('Data Sheet'!G27,0)</f>
        <v>29.37</v>
      </c>
      <c r="H43" s="21">
        <f>IFERROR('Data Sheet'!G27,0)</f>
        <v>29.37</v>
      </c>
      <c r="I43" s="2"/>
      <c r="J43" s="2"/>
      <c r="K43" s="2"/>
    </row>
    <row r="44" spans="1:11" ht="14.25" customHeight="1" x14ac:dyDescent="0.3">
      <c r="A44" s="2"/>
      <c r="B44" s="2" t="s">
        <v>233</v>
      </c>
      <c r="C44" s="22"/>
      <c r="D44" s="22">
        <f>IFERROR(D43/C43-1,0)</f>
        <v>-0.1967630750786753</v>
      </c>
      <c r="E44" s="22">
        <f>IFERROR(E43/D43-1,0)</f>
        <v>-0.22574626865671643</v>
      </c>
      <c r="F44" s="22">
        <f>IFERROR(F43/E43-1,0)</f>
        <v>-0.26024096385542173</v>
      </c>
      <c r="G44" s="22">
        <f>IFERROR(G43/F43-1,0)</f>
        <v>-4.3322475570032548E-2</v>
      </c>
      <c r="H44" s="22">
        <f>IFERROR(H43/G43-1,0)</f>
        <v>0</v>
      </c>
      <c r="I44" s="2"/>
      <c r="J44" s="2"/>
      <c r="K44" s="2"/>
    </row>
    <row r="45" spans="1:1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25" customHeight="1" x14ac:dyDescent="0.3">
      <c r="A46" s="2"/>
      <c r="B46" s="2" t="s">
        <v>234</v>
      </c>
      <c r="C46" s="21">
        <f>IFERROR('Data Sheet'!C30/'Historical FS'!C41,0)</f>
        <v>682.07932011331445</v>
      </c>
      <c r="D46" s="21">
        <f>IFERROR('Data Sheet'!D30/'Historical FS'!D41,0)</f>
        <v>691.08215297450431</v>
      </c>
      <c r="E46" s="21">
        <f>IFERROR('Data Sheet'!E30/'Historical FS'!E41,0)</f>
        <v>837.09915014164312</v>
      </c>
      <c r="F46" s="21">
        <f>IFERROR('Data Sheet'!F30/'Historical FS'!F41,0)</f>
        <v>1140.1359773371105</v>
      </c>
      <c r="G46" s="21">
        <f>IFERROR('Data Sheet'!G30/'Historical FS'!G41,0)</f>
        <v>0</v>
      </c>
      <c r="H46" s="21">
        <f>IFERROR('Data Sheet'!G30/'Historical FS'!H41,0)</f>
        <v>0</v>
      </c>
      <c r="I46" s="2"/>
      <c r="J46" s="2"/>
      <c r="K46" s="2"/>
    </row>
    <row r="47" spans="1:11" ht="14.25" customHeight="1" x14ac:dyDescent="0.3">
      <c r="A47" s="2"/>
      <c r="B47" s="2" t="s">
        <v>235</v>
      </c>
      <c r="C47" s="22">
        <f t="shared" ref="C47:H47" si="14">IFERROR(C46/C43,0)</f>
        <v>10.221479396273256</v>
      </c>
      <c r="D47" s="22">
        <f t="shared" si="14"/>
        <v>12.893323749524335</v>
      </c>
      <c r="E47" s="22">
        <f t="shared" si="14"/>
        <v>20.171063858834774</v>
      </c>
      <c r="F47" s="22">
        <f t="shared" si="14"/>
        <v>37.137979717821189</v>
      </c>
      <c r="G47" s="22">
        <f t="shared" si="14"/>
        <v>0</v>
      </c>
      <c r="H47" s="22">
        <f t="shared" si="14"/>
        <v>0</v>
      </c>
      <c r="I47" s="2"/>
      <c r="J47" s="2"/>
      <c r="K47" s="2"/>
    </row>
    <row r="48" spans="1:1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25" customHeight="1" x14ac:dyDescent="0.3">
      <c r="A49" s="2"/>
      <c r="B49" s="2" t="s">
        <v>236</v>
      </c>
      <c r="C49" s="22">
        <f t="shared" ref="C49:H49" si="15">IFERROR(IF(C43&gt;C46,1-C47,0),0)</f>
        <v>0</v>
      </c>
      <c r="D49" s="22">
        <f t="shared" si="15"/>
        <v>0</v>
      </c>
      <c r="E49" s="22">
        <f t="shared" si="15"/>
        <v>0</v>
      </c>
      <c r="F49" s="22">
        <f t="shared" si="15"/>
        <v>0</v>
      </c>
      <c r="G49" s="22">
        <f t="shared" si="15"/>
        <v>1</v>
      </c>
      <c r="H49" s="22">
        <f t="shared" si="15"/>
        <v>1</v>
      </c>
      <c r="I49" s="2"/>
      <c r="J49" s="2"/>
      <c r="K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25" customHeight="1" x14ac:dyDescent="0.3">
      <c r="A51" s="2" t="s">
        <v>208</v>
      </c>
      <c r="B51" s="2" t="s">
        <v>237</v>
      </c>
      <c r="C51" s="20" t="str">
        <f t="shared" ref="C51:H51" si="16">C3</f>
        <v>Mar '22</v>
      </c>
      <c r="D51" s="20" t="str">
        <f t="shared" si="16"/>
        <v>Mar '23</v>
      </c>
      <c r="E51" s="20" t="str">
        <f t="shared" si="16"/>
        <v>Mar '24</v>
      </c>
      <c r="F51" s="20" t="str">
        <f t="shared" si="16"/>
        <v>Mar '25</v>
      </c>
      <c r="G51" s="20" t="str">
        <f t="shared" si="16"/>
        <v>Mar '26</v>
      </c>
      <c r="H51" s="2" t="str">
        <f t="shared" si="16"/>
        <v>LTM</v>
      </c>
      <c r="I51" s="2"/>
      <c r="J51" s="2"/>
      <c r="K51" s="2"/>
    </row>
    <row r="52" spans="1:11" ht="14.25" customHeight="1" x14ac:dyDescent="0.3">
      <c r="A52" s="2"/>
      <c r="B52" s="30" t="s">
        <v>130</v>
      </c>
      <c r="C52" s="21">
        <f>IFERROR('Data Sheet'!C37,0)</f>
        <v>17.649999999999999</v>
      </c>
      <c r="D52" s="21">
        <f>IFERROR('Data Sheet'!D37,0)</f>
        <v>17.649999999999999</v>
      </c>
      <c r="E52" s="21">
        <f>IFERROR('Data Sheet'!E37,0)</f>
        <v>17.649999999999999</v>
      </c>
      <c r="F52" s="21">
        <f>IFERROR('Data Sheet'!F37,0)</f>
        <v>17.649999999999999</v>
      </c>
      <c r="G52" s="21">
        <f>IFERROR('Data Sheet'!G37,0)</f>
        <v>49.43</v>
      </c>
      <c r="H52" s="21">
        <f>IFERROR('Data Sheet'!G37,0)</f>
        <v>49.43</v>
      </c>
      <c r="I52" s="2"/>
      <c r="J52" s="2"/>
      <c r="K52" s="2"/>
    </row>
    <row r="53" spans="1:11" ht="14.25" customHeight="1" x14ac:dyDescent="0.3">
      <c r="A53" s="2"/>
      <c r="B53" s="30" t="s">
        <v>238</v>
      </c>
      <c r="C53" s="21">
        <f>IFERROR('Data Sheet'!C39,0)</f>
        <v>1999.76</v>
      </c>
      <c r="D53" s="21">
        <f>IFERROR('Data Sheet'!D39,0)</f>
        <v>2295.41</v>
      </c>
      <c r="E53" s="21">
        <f>IFERROR('Data Sheet'!E39,0)</f>
        <v>2865.19</v>
      </c>
      <c r="F53" s="21">
        <f>IFERROR('Data Sheet'!F39,0)</f>
        <v>3499.29</v>
      </c>
      <c r="G53" s="21">
        <f>IFERROR('Data Sheet'!G39,0)</f>
        <v>4121.74</v>
      </c>
      <c r="H53" s="21">
        <f>IFERROR('Data Sheet'!G39,0)</f>
        <v>4121.74</v>
      </c>
      <c r="I53" s="2"/>
      <c r="J53" s="2"/>
      <c r="K53" s="2"/>
    </row>
    <row r="54" spans="1:11" ht="14.25" customHeight="1" x14ac:dyDescent="0.3">
      <c r="A54" s="2"/>
      <c r="B54" s="30" t="s">
        <v>239</v>
      </c>
      <c r="C54" s="21">
        <f>IFERROR(SUM('Data Sheet'!C44,'Data Sheet'!C49,'Data Sheet'!C42),0)</f>
        <v>35.36</v>
      </c>
      <c r="D54" s="21">
        <f>IFERROR(SUM('Data Sheet'!D44,'Data Sheet'!D49,'Data Sheet'!D42),0)</f>
        <v>20.29</v>
      </c>
      <c r="E54" s="21">
        <f>IFERROR(SUM('Data Sheet'!E44,'Data Sheet'!E49,'Data Sheet'!E42),0)</f>
        <v>58.26</v>
      </c>
      <c r="F54" s="21">
        <f>IFERROR(SUM('Data Sheet'!F44,'Data Sheet'!F49,'Data Sheet'!F42),0)</f>
        <v>84.98</v>
      </c>
      <c r="G54" s="21">
        <f>IFERROR(SUM('Data Sheet'!G44,'Data Sheet'!G49,'Data Sheet'!G42),0)</f>
        <v>98.5</v>
      </c>
      <c r="H54" s="21">
        <f>IFERROR(SUM('Data Sheet'!G44,'Data Sheet'!G49,'Data Sheet'!G42),0)</f>
        <v>98.5</v>
      </c>
      <c r="I54" s="2"/>
      <c r="J54" s="2"/>
      <c r="K54" s="2"/>
    </row>
    <row r="55" spans="1:11" ht="14.25" customHeight="1" x14ac:dyDescent="0.3">
      <c r="A55" s="2"/>
      <c r="B55" s="30" t="s">
        <v>240</v>
      </c>
      <c r="C55" s="21">
        <f>IFERROR(SUM('Data Sheet'!C45,'Data Sheet'!C46,'Data Sheet'!C50,'Data Sheet'!C51),0)</f>
        <v>427.56000000000006</v>
      </c>
      <c r="D55" s="21">
        <f>IFERROR(SUM('Data Sheet'!D45,'Data Sheet'!D46,'Data Sheet'!D50,'Data Sheet'!D51),0)</f>
        <v>471.40999999999997</v>
      </c>
      <c r="E55" s="21">
        <f>IFERROR(SUM('Data Sheet'!E45,'Data Sheet'!E46,'Data Sheet'!E50,'Data Sheet'!E51),0)</f>
        <v>612.99</v>
      </c>
      <c r="F55" s="21">
        <f>IFERROR(SUM('Data Sheet'!F45,'Data Sheet'!F46,'Data Sheet'!F50,'Data Sheet'!F51),0)</f>
        <v>781.76</v>
      </c>
      <c r="G55" s="21">
        <f>IFERROR(SUM('Data Sheet'!G45,'Data Sheet'!G46,'Data Sheet'!G50,'Data Sheet'!G51),0)</f>
        <v>780.72</v>
      </c>
      <c r="H55" s="21">
        <f>IFERROR(SUM('Data Sheet'!G45,'Data Sheet'!G46,'Data Sheet'!G50,'Data Sheet'!G51),0)</f>
        <v>780.72</v>
      </c>
      <c r="I55" s="2"/>
      <c r="J55" s="2"/>
      <c r="K55" s="2"/>
    </row>
    <row r="56" spans="1:11" ht="15" customHeight="1" x14ac:dyDescent="0.3">
      <c r="A56" s="2"/>
      <c r="B56" s="31" t="s">
        <v>241</v>
      </c>
      <c r="C56" s="32">
        <f>IFERROR('Data Sheet'!C53,0)</f>
        <v>2480.3200000000002</v>
      </c>
      <c r="D56" s="32">
        <f>IFERROR('Data Sheet'!D53,0)</f>
        <v>2804.76</v>
      </c>
      <c r="E56" s="32">
        <f>IFERROR('Data Sheet'!E53,0)</f>
        <v>3554.09</v>
      </c>
      <c r="F56" s="32">
        <f>IFERROR('Data Sheet'!F53,0)</f>
        <v>4383.68</v>
      </c>
      <c r="G56" s="32">
        <f>IFERROR('Data Sheet'!G53,0)</f>
        <v>5050.38</v>
      </c>
      <c r="H56" s="21">
        <f>IFERROR('Data Sheet'!G53,0)</f>
        <v>5050.38</v>
      </c>
      <c r="I56" s="2"/>
      <c r="J56" s="2"/>
      <c r="K56" s="2"/>
    </row>
    <row r="57" spans="1:11" ht="15" customHeight="1" x14ac:dyDescent="0.3">
      <c r="A57" s="2"/>
      <c r="B57" s="30"/>
      <c r="C57" s="2"/>
      <c r="D57" s="2"/>
      <c r="E57" s="2"/>
      <c r="F57" s="2"/>
      <c r="G57" s="2"/>
      <c r="H57" s="2"/>
      <c r="I57" s="2"/>
      <c r="J57" s="2"/>
      <c r="K57" s="2"/>
    </row>
    <row r="58" spans="1:11" ht="14.25" customHeight="1" x14ac:dyDescent="0.3">
      <c r="A58" s="2"/>
      <c r="B58" s="30" t="s">
        <v>242</v>
      </c>
      <c r="C58" s="21">
        <f>IFERROR(SUM('Data Sheet'!C56,'Data Sheet'!C57),0)</f>
        <v>47.38</v>
      </c>
      <c r="D58" s="21">
        <f>IFERROR(SUM('Data Sheet'!D56,'Data Sheet'!D57),0)</f>
        <v>151.72000000000003</v>
      </c>
      <c r="E58" s="21">
        <f>IFERROR(SUM('Data Sheet'!E56,'Data Sheet'!E57),0)</f>
        <v>202.69</v>
      </c>
      <c r="F58" s="21">
        <f>IFERROR(SUM('Data Sheet'!F56,'Data Sheet'!F57),0)</f>
        <v>313.78999999999996</v>
      </c>
      <c r="G58" s="21">
        <f>IFERROR(SUM('Data Sheet'!G56,'Data Sheet'!G57),0)</f>
        <v>634.94000000000005</v>
      </c>
      <c r="H58" s="21">
        <f>IFERROR(SUM('Data Sheet'!G56,'Data Sheet'!G57),0)</f>
        <v>634.94000000000005</v>
      </c>
      <c r="I58" s="2"/>
      <c r="J58" s="2"/>
      <c r="K58" s="2"/>
    </row>
    <row r="59" spans="1:11" ht="14.25" customHeight="1" x14ac:dyDescent="0.3">
      <c r="A59" s="2"/>
      <c r="B59" s="30" t="s">
        <v>243</v>
      </c>
      <c r="C59" s="21">
        <f>IFERROR('Data Sheet'!C58,0)</f>
        <v>1.92</v>
      </c>
      <c r="D59" s="21">
        <f>IFERROR('Data Sheet'!D58,0)</f>
        <v>4.87</v>
      </c>
      <c r="E59" s="21">
        <f>IFERROR('Data Sheet'!E58,0)</f>
        <v>3.17</v>
      </c>
      <c r="F59" s="21">
        <f>IFERROR('Data Sheet'!F58,0)</f>
        <v>284.14</v>
      </c>
      <c r="G59" s="21">
        <f>IFERROR('Data Sheet'!G58,0)</f>
        <v>6.39</v>
      </c>
      <c r="H59" s="21">
        <f>IFERROR('Data Sheet'!G58,0)</f>
        <v>6.39</v>
      </c>
      <c r="I59" s="2"/>
      <c r="J59" s="2"/>
      <c r="K59" s="2"/>
    </row>
    <row r="60" spans="1:11" ht="14.25" customHeight="1" x14ac:dyDescent="0.3">
      <c r="A60" s="2"/>
      <c r="B60" s="30" t="s">
        <v>244</v>
      </c>
      <c r="C60" s="21">
        <f>IFERROR('Data Sheet'!C64,0)</f>
        <v>2041.1</v>
      </c>
      <c r="D60" s="21">
        <f>IFERROR('Data Sheet'!D64,0)</f>
        <v>2287.4899999999998</v>
      </c>
      <c r="E60" s="21">
        <f>IFERROR('Data Sheet'!E64,0)</f>
        <v>2882.62</v>
      </c>
      <c r="F60" s="21">
        <f>IFERROR('Data Sheet'!F64,0)</f>
        <v>3285.19</v>
      </c>
      <c r="G60" s="21">
        <f>IFERROR('Data Sheet'!G64,0)</f>
        <v>3856.54</v>
      </c>
      <c r="H60" s="21">
        <f>IFERROR('Data Sheet'!G64,0)</f>
        <v>3856.54</v>
      </c>
      <c r="I60" s="2"/>
      <c r="J60" s="2"/>
      <c r="K60" s="2"/>
    </row>
    <row r="61" spans="1:11" ht="14.25" customHeight="1" x14ac:dyDescent="0.3">
      <c r="A61" s="2"/>
      <c r="B61" s="30" t="s">
        <v>245</v>
      </c>
      <c r="C61" s="21">
        <f>IFERROR(SUM('Data Sheet'!C60,'Data Sheet'!C61,'Data Sheet'!C67,'Data Sheet'!C68),0)</f>
        <v>264.37</v>
      </c>
      <c r="D61" s="21">
        <f>IFERROR(SUM('Data Sheet'!D60,'Data Sheet'!D61,'Data Sheet'!D67,'Data Sheet'!D68),0)</f>
        <v>216.8</v>
      </c>
      <c r="E61" s="21">
        <f>IFERROR(SUM('Data Sheet'!E60,'Data Sheet'!E61,'Data Sheet'!E67,'Data Sheet'!E68),0)</f>
        <v>235.82999999999998</v>
      </c>
      <c r="F61" s="21">
        <f>IFERROR(SUM('Data Sheet'!F60,'Data Sheet'!F61,'Data Sheet'!F67,'Data Sheet'!F68),0)</f>
        <v>235.06</v>
      </c>
      <c r="G61" s="21">
        <f>IFERROR(SUM('Data Sheet'!G60,'Data Sheet'!G61,'Data Sheet'!G67,'Data Sheet'!G68),0)</f>
        <v>218.22</v>
      </c>
      <c r="H61" s="21">
        <f>IFERROR(SUM('Data Sheet'!G60,'Data Sheet'!G61,'Data Sheet'!G67,'Data Sheet'!G68),0)</f>
        <v>218.22</v>
      </c>
      <c r="I61" s="2"/>
      <c r="J61" s="2"/>
      <c r="K61" s="2"/>
    </row>
    <row r="62" spans="1:11" ht="14.25" customHeight="1" x14ac:dyDescent="0.3">
      <c r="A62" s="2"/>
      <c r="B62" s="23" t="s">
        <v>246</v>
      </c>
      <c r="C62" s="24">
        <f t="shared" ref="C62:H62" si="17">SUM(C58:C61)</f>
        <v>2354.77</v>
      </c>
      <c r="D62" s="24">
        <f t="shared" si="17"/>
        <v>2660.88</v>
      </c>
      <c r="E62" s="24">
        <f t="shared" si="17"/>
        <v>3324.31</v>
      </c>
      <c r="F62" s="24">
        <f t="shared" si="17"/>
        <v>4118.18</v>
      </c>
      <c r="G62" s="24">
        <f t="shared" si="17"/>
        <v>4716.09</v>
      </c>
      <c r="H62" s="21">
        <f t="shared" si="17"/>
        <v>4716.09</v>
      </c>
      <c r="I62" s="2"/>
      <c r="J62" s="2"/>
      <c r="K62" s="2"/>
    </row>
    <row r="63" spans="1:11" ht="14.25" customHeight="1" x14ac:dyDescent="0.3">
      <c r="A63" s="2"/>
      <c r="B63" s="30"/>
      <c r="C63" s="2"/>
      <c r="D63" s="2"/>
      <c r="E63" s="2"/>
      <c r="F63" s="2"/>
      <c r="G63" s="2"/>
      <c r="H63" s="2"/>
      <c r="I63" s="2"/>
      <c r="J63" s="2"/>
      <c r="K63" s="2"/>
    </row>
    <row r="64" spans="1:11" ht="14.25" customHeight="1" x14ac:dyDescent="0.3">
      <c r="A64" s="2"/>
      <c r="B64" s="30" t="s">
        <v>247</v>
      </c>
      <c r="C64" s="21">
        <f>IFERROR('Data Sheet'!C65,0)</f>
        <v>100.36</v>
      </c>
      <c r="D64" s="21">
        <f>IFERROR('Data Sheet'!D65,0)</f>
        <v>112.43</v>
      </c>
      <c r="E64" s="21">
        <f>IFERROR('Data Sheet'!E65,0)</f>
        <v>195.97</v>
      </c>
      <c r="F64" s="21">
        <f>IFERROR('Data Sheet'!F65,0)</f>
        <v>237.49</v>
      </c>
      <c r="G64" s="21">
        <f>IFERROR('Data Sheet'!G65,0)</f>
        <v>186.82</v>
      </c>
      <c r="H64" s="21">
        <f>IFERROR('Data Sheet'!G65,0)</f>
        <v>186.82</v>
      </c>
      <c r="I64" s="2"/>
      <c r="J64" s="2"/>
      <c r="K64" s="2"/>
    </row>
    <row r="65" spans="1:11" ht="14.25" customHeight="1" x14ac:dyDescent="0.3">
      <c r="A65" s="2"/>
      <c r="B65" s="30" t="s">
        <v>248</v>
      </c>
      <c r="C65" s="21">
        <f>0</f>
        <v>0</v>
      </c>
      <c r="D65" s="21">
        <f>0</f>
        <v>0</v>
      </c>
      <c r="E65" s="21">
        <f>0</f>
        <v>0</v>
      </c>
      <c r="F65" s="21">
        <f>0</f>
        <v>0</v>
      </c>
      <c r="G65" s="21">
        <f>0</f>
        <v>0</v>
      </c>
      <c r="H65" s="21">
        <f>0</f>
        <v>0</v>
      </c>
      <c r="I65" s="2"/>
      <c r="J65" s="2"/>
      <c r="K65" s="2"/>
    </row>
    <row r="66" spans="1:11" ht="14.25" customHeight="1" x14ac:dyDescent="0.3">
      <c r="A66" s="2"/>
      <c r="B66" s="30" t="s">
        <v>249</v>
      </c>
      <c r="C66" s="21">
        <f>IFERROR('Data Sheet'!C66,0)</f>
        <v>25.19</v>
      </c>
      <c r="D66" s="21">
        <f>IFERROR('Data Sheet'!D66,0)</f>
        <v>31.45</v>
      </c>
      <c r="E66" s="21">
        <f>IFERROR('Data Sheet'!E66,0)</f>
        <v>33.81</v>
      </c>
      <c r="F66" s="21">
        <f>IFERROR('Data Sheet'!F66,0)</f>
        <v>28.01</v>
      </c>
      <c r="G66" s="21">
        <f>IFERROR('Data Sheet'!G66,0)</f>
        <v>147.49</v>
      </c>
      <c r="H66" s="21">
        <f>IFERROR('Data Sheet'!G66,0)</f>
        <v>147.49</v>
      </c>
      <c r="I66" s="2"/>
      <c r="J66" s="2"/>
      <c r="K66" s="2"/>
    </row>
    <row r="67" spans="1:11" ht="14.25" customHeight="1" x14ac:dyDescent="0.3">
      <c r="A67" s="2"/>
      <c r="B67" s="23" t="s">
        <v>250</v>
      </c>
      <c r="C67" s="24">
        <f t="shared" ref="C67:H67" si="18">IFERROR(SUM(C64:C66),0)</f>
        <v>125.55</v>
      </c>
      <c r="D67" s="24">
        <f t="shared" si="18"/>
        <v>143.88</v>
      </c>
      <c r="E67" s="24">
        <f t="shared" si="18"/>
        <v>229.78</v>
      </c>
      <c r="F67" s="24">
        <f t="shared" si="18"/>
        <v>265.5</v>
      </c>
      <c r="G67" s="24">
        <f t="shared" si="18"/>
        <v>334.31</v>
      </c>
      <c r="H67" s="21">
        <f t="shared" si="18"/>
        <v>334.31</v>
      </c>
      <c r="I67" s="2"/>
      <c r="J67" s="2"/>
      <c r="K67" s="2"/>
    </row>
    <row r="68" spans="1:1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" customHeight="1" x14ac:dyDescent="0.3">
      <c r="A69" s="2"/>
      <c r="B69" s="31" t="s">
        <v>251</v>
      </c>
      <c r="C69" s="32">
        <f t="shared" ref="C69:H69" si="19">IFERROR(SUM(C62+C67),0)</f>
        <v>2480.3200000000002</v>
      </c>
      <c r="D69" s="32">
        <f t="shared" si="19"/>
        <v>2804.76</v>
      </c>
      <c r="E69" s="32">
        <f t="shared" si="19"/>
        <v>3554.09</v>
      </c>
      <c r="F69" s="32">
        <f t="shared" si="19"/>
        <v>4383.68</v>
      </c>
      <c r="G69" s="32">
        <f t="shared" si="19"/>
        <v>5050.4000000000005</v>
      </c>
      <c r="H69" s="21">
        <f t="shared" si="19"/>
        <v>5050.4000000000005</v>
      </c>
      <c r="I69" s="2"/>
      <c r="J69" s="2"/>
      <c r="K69" s="2"/>
    </row>
    <row r="70" spans="1:11" ht="1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4.25" customHeight="1" x14ac:dyDescent="0.3">
      <c r="A71" s="2"/>
      <c r="B71" s="2" t="s">
        <v>252</v>
      </c>
      <c r="C71" s="2" t="b">
        <f t="shared" ref="C71:H71" si="20">C69=C56</f>
        <v>1</v>
      </c>
      <c r="D71" s="2" t="b">
        <f t="shared" si="20"/>
        <v>1</v>
      </c>
      <c r="E71" s="2" t="b">
        <f t="shared" si="20"/>
        <v>1</v>
      </c>
      <c r="F71" s="2" t="b">
        <f t="shared" si="20"/>
        <v>1</v>
      </c>
      <c r="G71" s="2" t="b">
        <f t="shared" si="20"/>
        <v>0</v>
      </c>
      <c r="H71" s="2" t="b">
        <f t="shared" si="20"/>
        <v>0</v>
      </c>
      <c r="I71" s="2"/>
      <c r="J71" s="2"/>
      <c r="K71" s="2"/>
    </row>
    <row r="72" spans="1:1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4.25" customHeight="1" x14ac:dyDescent="0.3">
      <c r="A73" s="2" t="s">
        <v>208</v>
      </c>
      <c r="B73" s="2" t="s">
        <v>253</v>
      </c>
      <c r="C73" s="20" t="str">
        <f t="shared" ref="C73:H73" si="21">C3</f>
        <v>Mar '22</v>
      </c>
      <c r="D73" s="20" t="str">
        <f t="shared" si="21"/>
        <v>Mar '23</v>
      </c>
      <c r="E73" s="20" t="str">
        <f t="shared" si="21"/>
        <v>Mar '24</v>
      </c>
      <c r="F73" s="20" t="str">
        <f t="shared" si="21"/>
        <v>Mar '25</v>
      </c>
      <c r="G73" s="20" t="str">
        <f t="shared" si="21"/>
        <v>Mar '26</v>
      </c>
      <c r="H73" s="2" t="str">
        <f t="shared" si="21"/>
        <v>LTM</v>
      </c>
      <c r="I73" s="2"/>
      <c r="J73" s="2"/>
      <c r="K73" s="2"/>
    </row>
    <row r="74" spans="1:11" ht="14.25" customHeight="1" x14ac:dyDescent="0.3">
      <c r="A74" s="2"/>
      <c r="B74" s="2" t="s">
        <v>254</v>
      </c>
      <c r="C74" s="2"/>
      <c r="D74" s="2"/>
      <c r="E74" s="2"/>
      <c r="F74" s="2"/>
      <c r="G74" s="2"/>
      <c r="H74" s="2"/>
      <c r="I74" s="2"/>
      <c r="J74" s="2"/>
      <c r="K74" s="2"/>
    </row>
    <row r="75" spans="1:11" ht="14.25" customHeight="1" x14ac:dyDescent="0.3">
      <c r="A75" s="2"/>
      <c r="B75" s="2" t="s">
        <v>255</v>
      </c>
      <c r="C75" s="21">
        <f>IFERROR('Data Sheet'!D77,0)</f>
        <v>2007.17</v>
      </c>
      <c r="D75" s="21">
        <f>IFERROR('Data Sheet'!E77,0)</f>
        <v>2698.11</v>
      </c>
      <c r="E75" s="21">
        <f>IFERROR('Data Sheet'!F77,0)</f>
        <v>3533.05</v>
      </c>
      <c r="F75" s="21">
        <f>IFERROR('Data Sheet'!G77,0)</f>
        <v>4406.84</v>
      </c>
      <c r="G75" s="21">
        <f>0</f>
        <v>0</v>
      </c>
      <c r="H75" s="21">
        <f>0</f>
        <v>0</v>
      </c>
      <c r="I75" s="2"/>
      <c r="J75" s="2"/>
      <c r="K75" s="2"/>
    </row>
    <row r="76" spans="1:11" ht="14.25" customHeight="1" x14ac:dyDescent="0.3">
      <c r="A76" s="2"/>
      <c r="B76" s="2" t="s">
        <v>247</v>
      </c>
      <c r="C76" s="21">
        <f>0</f>
        <v>0</v>
      </c>
      <c r="D76" s="21">
        <f>0</f>
        <v>0</v>
      </c>
      <c r="E76" s="21">
        <f>0</f>
        <v>0</v>
      </c>
      <c r="F76" s="21">
        <f>0</f>
        <v>0</v>
      </c>
      <c r="G76" s="21">
        <f>0</f>
        <v>0</v>
      </c>
      <c r="H76" s="21">
        <f>0</f>
        <v>0</v>
      </c>
      <c r="I76" s="2"/>
      <c r="J76" s="2"/>
      <c r="K76" s="2"/>
    </row>
    <row r="77" spans="1:11" ht="14.25" customHeight="1" x14ac:dyDescent="0.3">
      <c r="A77" s="2"/>
      <c r="B77" s="2" t="s">
        <v>256</v>
      </c>
      <c r="C77" s="21">
        <f>0</f>
        <v>0</v>
      </c>
      <c r="D77" s="21">
        <f>0</f>
        <v>0</v>
      </c>
      <c r="E77" s="21">
        <f>0</f>
        <v>0</v>
      </c>
      <c r="F77" s="21">
        <f>0</f>
        <v>0</v>
      </c>
      <c r="G77" s="21">
        <f>0</f>
        <v>0</v>
      </c>
      <c r="H77" s="21">
        <f>0</f>
        <v>0</v>
      </c>
      <c r="I77" s="2"/>
      <c r="J77" s="2"/>
      <c r="K77" s="2"/>
    </row>
    <row r="78" spans="1:11" ht="14.25" customHeight="1" x14ac:dyDescent="0.3">
      <c r="A78" s="2"/>
      <c r="B78" s="2" t="s">
        <v>257</v>
      </c>
      <c r="C78" s="21">
        <f>0</f>
        <v>0</v>
      </c>
      <c r="D78" s="21">
        <f>0</f>
        <v>0</v>
      </c>
      <c r="E78" s="21">
        <f>0</f>
        <v>0</v>
      </c>
      <c r="F78" s="21">
        <f>0</f>
        <v>0</v>
      </c>
      <c r="G78" s="21">
        <f>0</f>
        <v>0</v>
      </c>
      <c r="H78" s="21">
        <f>0</f>
        <v>0</v>
      </c>
      <c r="I78" s="2"/>
      <c r="J78" s="2"/>
      <c r="K78" s="2"/>
    </row>
    <row r="79" spans="1:11" ht="14.25" customHeight="1" x14ac:dyDescent="0.3">
      <c r="A79" s="2"/>
      <c r="B79" s="2" t="s">
        <v>258</v>
      </c>
      <c r="C79" s="21">
        <f>0</f>
        <v>0</v>
      </c>
      <c r="D79" s="21">
        <f>0</f>
        <v>0</v>
      </c>
      <c r="E79" s="21">
        <f>0</f>
        <v>0</v>
      </c>
      <c r="F79" s="21">
        <f>0</f>
        <v>0</v>
      </c>
      <c r="G79" s="21">
        <f>0</f>
        <v>0</v>
      </c>
      <c r="H79" s="21">
        <f>0</f>
        <v>0</v>
      </c>
      <c r="I79" s="2"/>
      <c r="J79" s="2"/>
      <c r="K79" s="2"/>
    </row>
    <row r="80" spans="1:11" ht="14.25" customHeight="1" x14ac:dyDescent="0.3">
      <c r="A80" s="2"/>
      <c r="B80" s="2" t="s">
        <v>259</v>
      </c>
      <c r="C80" s="21">
        <f>IFERROR('Data Sheet'!D78-C75,0)</f>
        <v>-607.21</v>
      </c>
      <c r="D80" s="21">
        <f>IFERROR('Data Sheet'!E78-D75,0)</f>
        <v>-933.57000000000016</v>
      </c>
      <c r="E80" s="21">
        <f>IFERROR('Data Sheet'!F78-E75,0)</f>
        <v>-959.55000000000018</v>
      </c>
      <c r="F80" s="21">
        <f>IFERROR('Data Sheet'!G78-F75,0)</f>
        <v>-1125.2800000000002</v>
      </c>
      <c r="G80" s="21">
        <f>0</f>
        <v>0</v>
      </c>
      <c r="H80" s="21">
        <f>0</f>
        <v>0</v>
      </c>
      <c r="I80" s="2"/>
      <c r="J80" s="2"/>
      <c r="K80" s="2"/>
    </row>
    <row r="81" spans="1:11" ht="14.25" customHeight="1" x14ac:dyDescent="0.3">
      <c r="A81" s="2"/>
      <c r="B81" s="2" t="s">
        <v>260</v>
      </c>
      <c r="C81" s="21">
        <f t="shared" ref="C81:H81" si="22">SUM(C76:C80)</f>
        <v>-607.21</v>
      </c>
      <c r="D81" s="21">
        <f t="shared" si="22"/>
        <v>-933.57000000000016</v>
      </c>
      <c r="E81" s="21">
        <f t="shared" si="22"/>
        <v>-959.55000000000018</v>
      </c>
      <c r="F81" s="21">
        <f t="shared" si="22"/>
        <v>-1125.2800000000002</v>
      </c>
      <c r="G81" s="21">
        <f t="shared" si="22"/>
        <v>0</v>
      </c>
      <c r="H81" s="21">
        <f t="shared" si="22"/>
        <v>0</v>
      </c>
      <c r="I81" s="2"/>
      <c r="J81" s="2"/>
      <c r="K81" s="2"/>
    </row>
    <row r="82" spans="1:11" ht="14.25" customHeight="1" x14ac:dyDescent="0.3">
      <c r="A82" s="2"/>
      <c r="B82" s="2" t="s">
        <v>261</v>
      </c>
      <c r="C82" s="21">
        <f>0</f>
        <v>0</v>
      </c>
      <c r="D82" s="21">
        <f>0</f>
        <v>0</v>
      </c>
      <c r="E82" s="21">
        <f>0</f>
        <v>0</v>
      </c>
      <c r="F82" s="21">
        <f>0</f>
        <v>0</v>
      </c>
      <c r="G82" s="21">
        <f>0</f>
        <v>0</v>
      </c>
      <c r="H82" s="21">
        <f>0</f>
        <v>0</v>
      </c>
      <c r="I82" s="2"/>
      <c r="J82" s="2"/>
      <c r="K82" s="2"/>
    </row>
    <row r="83" spans="1:11" ht="14.25" customHeight="1" x14ac:dyDescent="0.3">
      <c r="A83" s="2"/>
      <c r="B83" s="2" t="s">
        <v>262</v>
      </c>
      <c r="C83" s="21">
        <f>IFERROR('Data Sheet'!D78,0)</f>
        <v>1399.96</v>
      </c>
      <c r="D83" s="21">
        <f>IFERROR('Data Sheet'!E78,0)</f>
        <v>1764.54</v>
      </c>
      <c r="E83" s="21">
        <f>IFERROR('Data Sheet'!F78,0)</f>
        <v>2573.5</v>
      </c>
      <c r="F83" s="21">
        <f>IFERROR('Data Sheet'!G78,0)</f>
        <v>3281.56</v>
      </c>
      <c r="G83" s="21">
        <f>0</f>
        <v>0</v>
      </c>
      <c r="H83" s="21">
        <f>0</f>
        <v>0</v>
      </c>
      <c r="I83" s="2"/>
      <c r="J83" s="2"/>
      <c r="K83" s="2"/>
    </row>
    <row r="84" spans="1:1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4.25" customHeight="1" x14ac:dyDescent="0.3">
      <c r="A85" s="2"/>
      <c r="B85" s="2" t="s">
        <v>263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ht="14.25" customHeight="1" x14ac:dyDescent="0.3">
      <c r="A86" s="2"/>
      <c r="B86" s="2" t="s">
        <v>264</v>
      </c>
      <c r="C86" s="21">
        <f>0</f>
        <v>0</v>
      </c>
      <c r="D86" s="21">
        <f>0</f>
        <v>0</v>
      </c>
      <c r="E86" s="21">
        <f>0</f>
        <v>0</v>
      </c>
      <c r="F86" s="21">
        <f>0</f>
        <v>0</v>
      </c>
      <c r="G86" s="21">
        <f>0</f>
        <v>0</v>
      </c>
      <c r="H86" s="21">
        <f>0</f>
        <v>0</v>
      </c>
      <c r="I86" s="2"/>
      <c r="J86" s="2"/>
      <c r="K86" s="2"/>
    </row>
    <row r="87" spans="1:11" ht="14.25" customHeight="1" x14ac:dyDescent="0.3">
      <c r="A87" s="2"/>
      <c r="B87" s="2" t="s">
        <v>265</v>
      </c>
      <c r="C87" s="21">
        <f>0</f>
        <v>0</v>
      </c>
      <c r="D87" s="21">
        <f>0</f>
        <v>0</v>
      </c>
      <c r="E87" s="21">
        <f>0</f>
        <v>0</v>
      </c>
      <c r="F87" s="21">
        <f>0</f>
        <v>0</v>
      </c>
      <c r="G87" s="21">
        <f>0</f>
        <v>0</v>
      </c>
      <c r="H87" s="21">
        <f>0</f>
        <v>0</v>
      </c>
      <c r="I87" s="2"/>
      <c r="J87" s="2"/>
      <c r="K87" s="2"/>
    </row>
    <row r="88" spans="1:11" ht="14.25" customHeight="1" x14ac:dyDescent="0.3">
      <c r="A88" s="2"/>
      <c r="B88" s="2" t="s">
        <v>266</v>
      </c>
      <c r="C88" s="21">
        <f>0</f>
        <v>0</v>
      </c>
      <c r="D88" s="21">
        <f>0</f>
        <v>0</v>
      </c>
      <c r="E88" s="21">
        <f>0</f>
        <v>0</v>
      </c>
      <c r="F88" s="21">
        <f>0</f>
        <v>0</v>
      </c>
      <c r="G88" s="21">
        <f>0</f>
        <v>0</v>
      </c>
      <c r="H88" s="21">
        <f>0</f>
        <v>0</v>
      </c>
      <c r="I88" s="2"/>
      <c r="J88" s="2"/>
      <c r="K88" s="2"/>
    </row>
    <row r="89" spans="1:11" ht="14.25" customHeight="1" x14ac:dyDescent="0.3">
      <c r="A89" s="2"/>
      <c r="B89" s="2" t="s">
        <v>267</v>
      </c>
      <c r="C89" s="21">
        <f>0</f>
        <v>0</v>
      </c>
      <c r="D89" s="21">
        <f>0</f>
        <v>0</v>
      </c>
      <c r="E89" s="21">
        <f>0</f>
        <v>0</v>
      </c>
      <c r="F89" s="21">
        <f>0</f>
        <v>0</v>
      </c>
      <c r="G89" s="21">
        <f>0</f>
        <v>0</v>
      </c>
      <c r="H89" s="21">
        <f>0</f>
        <v>0</v>
      </c>
      <c r="I89" s="2"/>
      <c r="J89" s="2"/>
      <c r="K89" s="2"/>
    </row>
    <row r="90" spans="1:11" ht="14.25" customHeight="1" x14ac:dyDescent="0.3">
      <c r="A90" s="2"/>
      <c r="B90" s="2" t="s">
        <v>268</v>
      </c>
      <c r="C90" s="21">
        <f>0</f>
        <v>0</v>
      </c>
      <c r="D90" s="21">
        <f>0</f>
        <v>0</v>
      </c>
      <c r="E90" s="21">
        <f>0</f>
        <v>0</v>
      </c>
      <c r="F90" s="21">
        <f>0</f>
        <v>0</v>
      </c>
      <c r="G90" s="21">
        <f>0</f>
        <v>0</v>
      </c>
      <c r="H90" s="21">
        <f>0</f>
        <v>0</v>
      </c>
      <c r="I90" s="2"/>
      <c r="J90" s="2"/>
      <c r="K90" s="2"/>
    </row>
    <row r="91" spans="1:11" ht="14.25" customHeight="1" x14ac:dyDescent="0.3">
      <c r="A91" s="2"/>
      <c r="B91" s="2" t="s">
        <v>269</v>
      </c>
      <c r="C91" s="21">
        <f>0</f>
        <v>0</v>
      </c>
      <c r="D91" s="21">
        <f>0</f>
        <v>0</v>
      </c>
      <c r="E91" s="21">
        <f>0</f>
        <v>0</v>
      </c>
      <c r="F91" s="21">
        <f>0</f>
        <v>0</v>
      </c>
      <c r="G91" s="21">
        <f>0</f>
        <v>0</v>
      </c>
      <c r="H91" s="21">
        <f>0</f>
        <v>0</v>
      </c>
      <c r="I91" s="2"/>
      <c r="J91" s="2"/>
      <c r="K91" s="2"/>
    </row>
    <row r="92" spans="1:11" ht="14.25" customHeight="1" x14ac:dyDescent="0.3">
      <c r="A92" s="2"/>
      <c r="B92" s="2" t="s">
        <v>270</v>
      </c>
      <c r="C92" s="21">
        <f>0</f>
        <v>0</v>
      </c>
      <c r="D92" s="21">
        <f>0</f>
        <v>0</v>
      </c>
      <c r="E92" s="21">
        <f>0</f>
        <v>0</v>
      </c>
      <c r="F92" s="21">
        <f>0</f>
        <v>0</v>
      </c>
      <c r="G92" s="21">
        <f>0</f>
        <v>0</v>
      </c>
      <c r="H92" s="21">
        <f>0</f>
        <v>0</v>
      </c>
      <c r="I92" s="2"/>
      <c r="J92" s="2"/>
      <c r="K92" s="2"/>
    </row>
    <row r="93" spans="1:11" ht="14.25" customHeight="1" x14ac:dyDescent="0.3">
      <c r="A93" s="2"/>
      <c r="B93" s="2" t="s">
        <v>271</v>
      </c>
      <c r="C93" s="21">
        <f>0</f>
        <v>0</v>
      </c>
      <c r="D93" s="21">
        <f>0</f>
        <v>0</v>
      </c>
      <c r="E93" s="21">
        <f>0</f>
        <v>0</v>
      </c>
      <c r="F93" s="21">
        <f>0</f>
        <v>0</v>
      </c>
      <c r="G93" s="21">
        <f>0</f>
        <v>0</v>
      </c>
      <c r="H93" s="21">
        <f>0</f>
        <v>0</v>
      </c>
      <c r="I93" s="2"/>
      <c r="J93" s="2"/>
      <c r="K93" s="2"/>
    </row>
    <row r="94" spans="1:11" ht="14.25" customHeight="1" x14ac:dyDescent="0.3">
      <c r="A94" s="2"/>
      <c r="B94" s="2" t="s">
        <v>272</v>
      </c>
      <c r="C94" s="21">
        <f>IFERROR('Data Sheet'!D79,0)</f>
        <v>-129.44</v>
      </c>
      <c r="D94" s="21">
        <f>IFERROR('Data Sheet'!E79,0)</f>
        <v>-245.6</v>
      </c>
      <c r="E94" s="21">
        <f>IFERROR('Data Sheet'!F79,0)</f>
        <v>-512.88</v>
      </c>
      <c r="F94" s="21">
        <f>IFERROR('Data Sheet'!G79,0)</f>
        <v>-469.06</v>
      </c>
      <c r="G94" s="21">
        <f>0</f>
        <v>0</v>
      </c>
      <c r="H94" s="21">
        <f>0</f>
        <v>0</v>
      </c>
      <c r="I94" s="2"/>
      <c r="J94" s="2"/>
      <c r="K94" s="2"/>
    </row>
    <row r="95" spans="1:11" ht="14.25" customHeight="1" x14ac:dyDescent="0.3">
      <c r="A95" s="2"/>
      <c r="B95" s="2" t="s">
        <v>273</v>
      </c>
      <c r="C95" s="21">
        <f t="shared" ref="C95:H95" si="23">IFERROR(SUM(C86:C94),0)</f>
        <v>-129.44</v>
      </c>
      <c r="D95" s="21">
        <f t="shared" si="23"/>
        <v>-245.6</v>
      </c>
      <c r="E95" s="21">
        <f t="shared" si="23"/>
        <v>-512.88</v>
      </c>
      <c r="F95" s="21">
        <f t="shared" si="23"/>
        <v>-469.06</v>
      </c>
      <c r="G95" s="21">
        <f t="shared" si="23"/>
        <v>0</v>
      </c>
      <c r="H95" s="21">
        <f t="shared" si="23"/>
        <v>0</v>
      </c>
      <c r="I95" s="2"/>
      <c r="J95" s="2"/>
      <c r="K95" s="2"/>
    </row>
    <row r="96" spans="1:11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4.25" customHeight="1" x14ac:dyDescent="0.3">
      <c r="A97" s="2"/>
      <c r="B97" s="2" t="s">
        <v>274</v>
      </c>
      <c r="C97" s="2"/>
      <c r="D97" s="2"/>
      <c r="E97" s="2"/>
      <c r="F97" s="2"/>
      <c r="G97" s="2"/>
      <c r="H97" s="2"/>
      <c r="I97" s="2"/>
      <c r="J97" s="2"/>
      <c r="K97" s="2"/>
    </row>
    <row r="98" spans="1:11" ht="14.25" customHeight="1" x14ac:dyDescent="0.3">
      <c r="A98" s="2"/>
      <c r="B98" s="2" t="s">
        <v>275</v>
      </c>
      <c r="C98" s="21">
        <f>0</f>
        <v>0</v>
      </c>
      <c r="D98" s="21">
        <f>0</f>
        <v>0</v>
      </c>
      <c r="E98" s="21">
        <f>0</f>
        <v>0</v>
      </c>
      <c r="F98" s="21">
        <f>0</f>
        <v>0</v>
      </c>
      <c r="G98" s="21">
        <f>0</f>
        <v>0</v>
      </c>
      <c r="H98" s="21">
        <f>0</f>
        <v>0</v>
      </c>
      <c r="I98" s="2"/>
      <c r="J98" s="2"/>
      <c r="K98" s="2"/>
    </row>
    <row r="99" spans="1:11" ht="14.25" customHeight="1" x14ac:dyDescent="0.3">
      <c r="A99" s="2"/>
      <c r="B99" s="2" t="s">
        <v>276</v>
      </c>
      <c r="C99" s="21">
        <f>IFERROR('Data Sheet'!D80,0)</f>
        <v>-1264.26</v>
      </c>
      <c r="D99" s="21">
        <f>IFERROR('Data Sheet'!E80,0)</f>
        <v>-1527.28</v>
      </c>
      <c r="E99" s="21">
        <f>IFERROR('Data Sheet'!F80,0)</f>
        <v>-2068.29</v>
      </c>
      <c r="F99" s="21">
        <f>IFERROR('Data Sheet'!G80,0)</f>
        <v>-2693.97</v>
      </c>
      <c r="G99" s="21">
        <f>0</f>
        <v>0</v>
      </c>
      <c r="H99" s="21">
        <f>0</f>
        <v>0</v>
      </c>
      <c r="I99" s="2"/>
      <c r="J99" s="2"/>
      <c r="K99" s="2"/>
    </row>
    <row r="100" spans="1:11" ht="14.25" customHeight="1" x14ac:dyDescent="0.3">
      <c r="A100" s="2"/>
      <c r="B100" s="2" t="s">
        <v>277</v>
      </c>
      <c r="C100" s="21">
        <f>0</f>
        <v>0</v>
      </c>
      <c r="D100" s="21">
        <f>0</f>
        <v>0</v>
      </c>
      <c r="E100" s="21">
        <f>0</f>
        <v>0</v>
      </c>
      <c r="F100" s="21">
        <f>0</f>
        <v>0</v>
      </c>
      <c r="G100" s="21">
        <f>0</f>
        <v>0</v>
      </c>
      <c r="H100" s="21">
        <f>0</f>
        <v>0</v>
      </c>
      <c r="I100" s="2"/>
      <c r="J100" s="2"/>
      <c r="K100" s="2"/>
    </row>
    <row r="101" spans="1:11" ht="14.25" customHeight="1" x14ac:dyDescent="0.3">
      <c r="A101" s="2"/>
      <c r="B101" s="2" t="s">
        <v>278</v>
      </c>
      <c r="C101" s="21">
        <f>0</f>
        <v>0</v>
      </c>
      <c r="D101" s="21">
        <f>0</f>
        <v>0</v>
      </c>
      <c r="E101" s="21">
        <f>0</f>
        <v>0</v>
      </c>
      <c r="F101" s="21">
        <f>0</f>
        <v>0</v>
      </c>
      <c r="G101" s="21">
        <f>0</f>
        <v>0</v>
      </c>
      <c r="H101" s="21">
        <f>0</f>
        <v>0</v>
      </c>
      <c r="I101" s="2"/>
      <c r="J101" s="2"/>
      <c r="K101" s="2"/>
    </row>
    <row r="102" spans="1:11" ht="14.25" customHeight="1" x14ac:dyDescent="0.3">
      <c r="A102" s="2"/>
      <c r="B102" s="2" t="s">
        <v>279</v>
      </c>
      <c r="C102" s="21">
        <f>0</f>
        <v>0</v>
      </c>
      <c r="D102" s="21">
        <f>0</f>
        <v>0</v>
      </c>
      <c r="E102" s="21">
        <f>0</f>
        <v>0</v>
      </c>
      <c r="F102" s="21">
        <f>0</f>
        <v>0</v>
      </c>
      <c r="G102" s="21">
        <f>0</f>
        <v>0</v>
      </c>
      <c r="H102" s="21">
        <f>0</f>
        <v>0</v>
      </c>
      <c r="I102" s="2"/>
      <c r="J102" s="2"/>
      <c r="K102" s="2"/>
    </row>
    <row r="103" spans="1:11" ht="14.25" customHeight="1" x14ac:dyDescent="0.3">
      <c r="A103" s="2"/>
      <c r="B103" s="2" t="s">
        <v>280</v>
      </c>
      <c r="C103" s="21">
        <f>0</f>
        <v>0</v>
      </c>
      <c r="D103" s="21">
        <f>0</f>
        <v>0</v>
      </c>
      <c r="E103" s="21">
        <f>0</f>
        <v>0</v>
      </c>
      <c r="F103" s="21">
        <f>0</f>
        <v>0</v>
      </c>
      <c r="G103" s="21">
        <f>0</f>
        <v>0</v>
      </c>
      <c r="H103" s="21">
        <f>0</f>
        <v>0</v>
      </c>
      <c r="I103" s="2"/>
      <c r="J103" s="2"/>
      <c r="K103" s="2"/>
    </row>
    <row r="104" spans="1:11" ht="14.25" customHeight="1" x14ac:dyDescent="0.3">
      <c r="A104" s="2"/>
      <c r="B104" s="2" t="s">
        <v>281</v>
      </c>
      <c r="C104" s="21">
        <f>0</f>
        <v>0</v>
      </c>
      <c r="D104" s="21">
        <f>0</f>
        <v>0</v>
      </c>
      <c r="E104" s="21">
        <f>0</f>
        <v>0</v>
      </c>
      <c r="F104" s="21">
        <f>0</f>
        <v>0</v>
      </c>
      <c r="G104" s="21">
        <f>0</f>
        <v>0</v>
      </c>
      <c r="H104" s="21">
        <f>0</f>
        <v>0</v>
      </c>
      <c r="I104" s="2"/>
      <c r="J104" s="2"/>
      <c r="K104" s="2"/>
    </row>
    <row r="105" spans="1:11" ht="14.25" customHeight="1" x14ac:dyDescent="0.3">
      <c r="A105" s="2"/>
      <c r="B105" s="2" t="s">
        <v>282</v>
      </c>
      <c r="C105" s="21">
        <f t="shared" ref="C105:H105" si="24">SUM(C98:C104)</f>
        <v>-1264.26</v>
      </c>
      <c r="D105" s="21">
        <f t="shared" si="24"/>
        <v>-1527.28</v>
      </c>
      <c r="E105" s="21">
        <f t="shared" si="24"/>
        <v>-2068.29</v>
      </c>
      <c r="F105" s="21">
        <f t="shared" si="24"/>
        <v>-2693.97</v>
      </c>
      <c r="G105" s="21">
        <f t="shared" si="24"/>
        <v>0</v>
      </c>
      <c r="H105" s="21">
        <f t="shared" si="24"/>
        <v>0</v>
      </c>
      <c r="I105" s="2"/>
      <c r="J105" s="2"/>
      <c r="K105" s="2"/>
    </row>
    <row r="106" spans="1:11" ht="14.25" customHeight="1" x14ac:dyDescent="0.3">
      <c r="A106" s="2"/>
      <c r="B106" s="2"/>
      <c r="C106" s="28"/>
      <c r="D106" s="28"/>
      <c r="E106" s="28"/>
      <c r="F106" s="28"/>
      <c r="G106" s="28"/>
      <c r="H106" s="2"/>
      <c r="I106" s="2"/>
      <c r="J106" s="2"/>
      <c r="K106" s="2"/>
    </row>
    <row r="107" spans="1:11" ht="15" customHeight="1" x14ac:dyDescent="0.3">
      <c r="A107" s="2"/>
      <c r="B107" s="31" t="s">
        <v>283</v>
      </c>
      <c r="C107" s="32">
        <f t="shared" ref="C107:H107" si="25">IFERROR(SUM(C83+C95+C105),0)</f>
        <v>6.2599999999999909</v>
      </c>
      <c r="D107" s="32">
        <f t="shared" si="25"/>
        <v>-8.3399999999999181</v>
      </c>
      <c r="E107" s="32">
        <f t="shared" si="25"/>
        <v>-7.6700000000000728</v>
      </c>
      <c r="F107" s="32">
        <f t="shared" si="25"/>
        <v>118.5300000000002</v>
      </c>
      <c r="G107" s="32">
        <f t="shared" si="25"/>
        <v>0</v>
      </c>
      <c r="H107" s="21">
        <f t="shared" si="25"/>
        <v>0</v>
      </c>
      <c r="I107" s="2"/>
      <c r="J107" s="2"/>
      <c r="K107" s="2"/>
    </row>
    <row r="108" spans="1:11" ht="15" customHeight="1" x14ac:dyDescent="0.3"/>
  </sheetData>
  <mergeCells count="1">
    <mergeCell ref="B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showGridLines="0" zoomScaleNormal="100" workbookViewId="0">
      <pane ySplit="1" topLeftCell="A2" activePane="bottomLeft" state="frozen"/>
      <selection pane="bottomLeft" activeCell="C6" sqref="C6"/>
    </sheetView>
  </sheetViews>
  <sheetFormatPr defaultColWidth="8.6640625" defaultRowHeight="14.4" x14ac:dyDescent="0.3"/>
  <cols>
    <col min="1" max="1" width="40" customWidth="1"/>
    <col min="2" max="6" width="16" customWidth="1"/>
    <col min="7" max="7" width="16" bestFit="1" customWidth="1"/>
    <col min="8" max="12" width="16" customWidth="1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 x14ac:dyDescent="0.3">
      <c r="A2" s="5"/>
      <c r="B2" s="105" t="s">
        <v>284</v>
      </c>
      <c r="C2" s="105"/>
      <c r="D2" s="105"/>
      <c r="E2" s="105"/>
      <c r="F2" s="105"/>
      <c r="G2" s="105"/>
      <c r="H2" s="5"/>
      <c r="I2" s="5"/>
      <c r="J2" s="5"/>
      <c r="K2" s="5"/>
      <c r="L2" s="5"/>
    </row>
    <row r="3" spans="1:12" ht="14.25" customHeight="1" x14ac:dyDescent="0.3">
      <c r="A3" s="5"/>
      <c r="B3" s="7" t="s">
        <v>285</v>
      </c>
      <c r="C3" s="33">
        <v>44651</v>
      </c>
      <c r="D3" s="33">
        <v>45016</v>
      </c>
      <c r="E3" s="33">
        <v>45382</v>
      </c>
      <c r="F3" s="33">
        <v>45747</v>
      </c>
      <c r="G3" s="33">
        <v>46112</v>
      </c>
      <c r="H3" s="7"/>
      <c r="I3" s="7"/>
      <c r="J3" s="7"/>
      <c r="K3" s="7"/>
      <c r="L3" s="7"/>
    </row>
    <row r="4" spans="1:12" ht="14.25" customHeight="1" x14ac:dyDescent="0.3">
      <c r="A4" s="2"/>
      <c r="B4" s="2" t="s">
        <v>218</v>
      </c>
      <c r="C4" s="25">
        <f>IFERROR('Historical FS'!C19,0)</f>
        <v>0.75119871529610072</v>
      </c>
      <c r="D4" s="25">
        <f>IFERROR('Historical FS'!D19,0)</f>
        <v>0.7249158545826212</v>
      </c>
      <c r="E4" s="25">
        <f>IFERROR('Historical FS'!E19,0)</f>
        <v>0.73461177203098271</v>
      </c>
      <c r="F4" s="25">
        <f>IFERROR('Historical FS'!F19,0)</f>
        <v>0.72651401454193298</v>
      </c>
      <c r="G4" s="25">
        <f>IFERROR('Historical FS'!G19,0)</f>
        <v>0.74177527438881585</v>
      </c>
      <c r="H4" s="2"/>
      <c r="I4" s="2"/>
      <c r="J4" s="2"/>
      <c r="K4" s="2"/>
      <c r="L4" s="2"/>
    </row>
    <row r="5" spans="1:12" ht="14.25" customHeight="1" x14ac:dyDescent="0.3">
      <c r="A5" s="2"/>
      <c r="B5" s="2" t="s">
        <v>222</v>
      </c>
      <c r="C5" s="34">
        <f>IFERROR('Historical FS'!C25,0)</f>
        <v>0.73187500711826192</v>
      </c>
      <c r="D5" s="34">
        <f>IFERROR('Historical FS'!D25,0)</f>
        <v>0.70711755687525335</v>
      </c>
      <c r="E5" s="34">
        <f>IFERROR('Historical FS'!E25,0)</f>
        <v>0.717127477562576</v>
      </c>
      <c r="F5" s="34">
        <f>IFERROR('Historical FS'!F25,0)</f>
        <v>0.70935823021579836</v>
      </c>
      <c r="G5" s="34">
        <f>IFERROR('Historical FS'!G25,0)</f>
        <v>0.72347227835958239</v>
      </c>
      <c r="H5" s="2"/>
      <c r="I5" s="2"/>
      <c r="J5" s="2"/>
      <c r="K5" s="2"/>
      <c r="L5" s="2"/>
    </row>
    <row r="6" spans="1:12" ht="14.25" customHeight="1" x14ac:dyDescent="0.3">
      <c r="A6" s="2"/>
      <c r="B6" s="2" t="s">
        <v>286</v>
      </c>
      <c r="C6" s="25">
        <f>IFERROR('Historical FS'!C33,0)</f>
        <v>0.73233816868951851</v>
      </c>
      <c r="D6" s="25">
        <f>IFERROR('Historical FS'!D33,0)</f>
        <v>0.70741008335242395</v>
      </c>
      <c r="E6" s="25">
        <f>IFERROR('Historical FS'!E33,0)</f>
        <v>0.71792040401997748</v>
      </c>
      <c r="F6" s="25">
        <f>IFERROR('Historical FS'!F33,0)</f>
        <v>0.70982836179236652</v>
      </c>
      <c r="G6" s="25">
        <f>IFERROR('Historical FS'!G33,0)</f>
        <v>0.76446189954949395</v>
      </c>
      <c r="H6" s="2"/>
      <c r="I6" s="2"/>
      <c r="J6" s="2"/>
      <c r="K6" s="2"/>
      <c r="L6" s="2"/>
    </row>
    <row r="7" spans="1:12" ht="14.25" customHeight="1" x14ac:dyDescent="0.3">
      <c r="A7" s="2"/>
      <c r="B7" s="2" t="s">
        <v>229</v>
      </c>
      <c r="C7" s="25">
        <f>IFERROR('Historical FS'!C39,0)</f>
        <v>0.55203164684309836</v>
      </c>
      <c r="D7" s="25">
        <f>IFERROR('Historical FS'!D39,0)</f>
        <v>0.53422383562126641</v>
      </c>
      <c r="E7" s="25">
        <f>IFERROR('Historical FS'!E39,0)</f>
        <v>0.54539770051327352</v>
      </c>
      <c r="F7" s="25">
        <f>IFERROR('Historical FS'!F39,0)</f>
        <v>0.53254656613083717</v>
      </c>
      <c r="G7" s="25">
        <f>IFERROR('Historical FS'!G39,0)</f>
        <v>0.57215467428091638</v>
      </c>
      <c r="H7" s="2"/>
      <c r="I7" s="2"/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4.25" customHeight="1" x14ac:dyDescent="0.3">
      <c r="A9" s="2"/>
      <c r="B9" s="2" t="s">
        <v>287</v>
      </c>
      <c r="C9" s="35">
        <v>44651</v>
      </c>
      <c r="D9" s="35">
        <v>45016</v>
      </c>
      <c r="E9" s="35">
        <v>45382</v>
      </c>
      <c r="F9" s="35">
        <v>45747</v>
      </c>
      <c r="G9" s="35">
        <v>46112</v>
      </c>
      <c r="H9" s="2"/>
      <c r="I9" s="2"/>
      <c r="J9" s="2"/>
      <c r="K9" s="2"/>
      <c r="L9" s="2"/>
    </row>
    <row r="10" spans="1:12" ht="14.25" customHeight="1" x14ac:dyDescent="0.3">
      <c r="A10" s="2"/>
      <c r="B10" s="2" t="s">
        <v>288</v>
      </c>
      <c r="C10" s="25">
        <f>IFERROR(AVERAGE('Historical FS'!D7:G7),0)</f>
        <v>0.22107207786732347</v>
      </c>
      <c r="D10" s="2"/>
      <c r="E10" s="2"/>
      <c r="F10" s="2"/>
      <c r="G10" s="2"/>
      <c r="H10" s="2"/>
      <c r="I10" s="2"/>
      <c r="J10" s="2"/>
      <c r="K10" s="2"/>
      <c r="L10" s="2"/>
    </row>
    <row r="11" spans="1:12" ht="14.25" customHeight="1" x14ac:dyDescent="0.3">
      <c r="A11" s="2"/>
      <c r="B11" s="2" t="s">
        <v>289</v>
      </c>
      <c r="C11" s="25">
        <f>IFERROR(('Historical FS'!G6/'Historical FS'!C6)^(1/4)-1,0)</f>
        <v>0.21628690604602596</v>
      </c>
      <c r="D11" s="25">
        <f>IFERROR(('Historical FS'!G6/'Historical FS'!C6)^(1/4)-1,0)</f>
        <v>0.21628690604602596</v>
      </c>
      <c r="E11" s="25" t="s">
        <v>290</v>
      </c>
      <c r="F11" s="25"/>
      <c r="G11" s="25"/>
      <c r="H11" s="2"/>
      <c r="I11" s="2"/>
      <c r="J11" s="2"/>
      <c r="K11" s="2"/>
      <c r="L11" s="2"/>
    </row>
    <row r="12" spans="1:12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4.25" customHeight="1" x14ac:dyDescent="0.3">
      <c r="A13" s="2"/>
      <c r="B13" s="2" t="s">
        <v>291</v>
      </c>
      <c r="C13" s="35">
        <v>44651</v>
      </c>
      <c r="D13" s="35">
        <v>45016</v>
      </c>
      <c r="E13" s="35">
        <v>45382</v>
      </c>
      <c r="F13" s="35">
        <v>45747</v>
      </c>
      <c r="G13" s="35">
        <v>46112</v>
      </c>
      <c r="H13" s="2"/>
      <c r="I13" s="2"/>
      <c r="J13" s="2"/>
      <c r="K13" s="2"/>
      <c r="L13" s="2"/>
    </row>
    <row r="14" spans="1:12" ht="14.25" customHeight="1" x14ac:dyDescent="0.3">
      <c r="A14" s="2"/>
      <c r="B14" s="2" t="s">
        <v>292</v>
      </c>
      <c r="C14" s="34">
        <f>IFERROR('Historical FS'!C36,0)</f>
        <v>0.24620664271680584</v>
      </c>
      <c r="D14" s="34">
        <f>IFERROR('Historical FS'!D36,0)</f>
        <v>0.2448173298724074</v>
      </c>
      <c r="E14" s="34">
        <f>IFERROR('Historical FS'!E36,0)</f>
        <v>0.24030895701064819</v>
      </c>
      <c r="F14" s="34">
        <f>IFERROR('Historical FS'!F36,0)</f>
        <v>0.2497530462348396</v>
      </c>
      <c r="G14" s="34">
        <f>IFERROR('Historical FS'!G36,0)</f>
        <v>0.25155894019297276</v>
      </c>
      <c r="H14" s="2"/>
      <c r="I14" s="2"/>
      <c r="J14" s="2"/>
      <c r="K14" s="2"/>
      <c r="L14" s="2"/>
    </row>
    <row r="15" spans="1:12" ht="14.25" customHeight="1" x14ac:dyDescent="0.3">
      <c r="A15" s="2"/>
      <c r="B15" s="2" t="s">
        <v>293</v>
      </c>
      <c r="C15" s="25">
        <f>AVERAGE(C14:G14)</f>
        <v>0.24652898320553476</v>
      </c>
      <c r="D15" s="34">
        <f>C15</f>
        <v>0.24652898320553476</v>
      </c>
      <c r="E15" s="34">
        <f>D15</f>
        <v>0.24652898320553476</v>
      </c>
      <c r="F15" s="34">
        <f>E15</f>
        <v>0.24652898320553476</v>
      </c>
      <c r="G15" s="34">
        <f>F15</f>
        <v>0.24652898320553476</v>
      </c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3">
      <c r="A17" s="2"/>
      <c r="B17" s="2" t="s">
        <v>294</v>
      </c>
      <c r="C17" s="35">
        <v>44651</v>
      </c>
      <c r="D17" s="35">
        <v>45016</v>
      </c>
      <c r="E17" s="35">
        <v>45382</v>
      </c>
      <c r="F17" s="35">
        <v>45747</v>
      </c>
      <c r="G17" s="35">
        <v>46112</v>
      </c>
      <c r="H17" s="2"/>
      <c r="I17" s="2"/>
      <c r="J17" s="2"/>
      <c r="K17" s="2"/>
      <c r="L17" s="2"/>
    </row>
    <row r="18" spans="1:12" ht="14.25" customHeight="1" x14ac:dyDescent="0.3">
      <c r="A18" s="2"/>
      <c r="B18" s="2" t="s">
        <v>295</v>
      </c>
      <c r="C18" s="36">
        <f>IFERROR('Historical FS'!C24*(1-Assumptions!$C$15),0)</f>
        <v>1452.5489608865382</v>
      </c>
      <c r="D18" s="36">
        <f>IFERROR('Historical FS'!D24*(1-Assumptions!$C$15),0)</f>
        <v>1511.7190398354076</v>
      </c>
      <c r="E18" s="36">
        <f>IFERROR('Historical FS'!E24*(1-Assumptions!$C$15),0)</f>
        <v>2030.7023414932673</v>
      </c>
      <c r="F18" s="36">
        <f>IFERROR('Historical FS'!F24*(1-Assumptions!$C$15),0)</f>
        <v>2660.2876537063862</v>
      </c>
      <c r="G18" s="36">
        <f>IFERROR('Historical FS'!G24*(1-Assumptions!$C$15),0)</f>
        <v>3142.3885490921566</v>
      </c>
      <c r="H18" s="2"/>
      <c r="I18" s="2"/>
      <c r="J18" s="2"/>
      <c r="K18" s="2"/>
      <c r="L18" s="2"/>
    </row>
    <row r="19" spans="1:12" ht="14.25" customHeight="1" x14ac:dyDescent="0.3">
      <c r="A19" s="2"/>
      <c r="B19" s="2" t="s">
        <v>296</v>
      </c>
      <c r="C19" s="37">
        <f>IFERROR('Historical FS'!C52+'Historical FS'!C53,0)</f>
        <v>2017.41</v>
      </c>
      <c r="D19" s="37">
        <f>IFERROR('Historical FS'!D52+'Historical FS'!D53,0)</f>
        <v>2313.06</v>
      </c>
      <c r="E19" s="37">
        <f>IFERROR('Historical FS'!E52+'Historical FS'!E53,0)</f>
        <v>2882.84</v>
      </c>
      <c r="F19" s="37">
        <f>IFERROR('Historical FS'!F52+'Historical FS'!F53,0)</f>
        <v>3516.94</v>
      </c>
      <c r="G19" s="37">
        <f>IFERROR('Historical FS'!G52+'Historical FS'!G53,0)</f>
        <v>4171.17</v>
      </c>
      <c r="H19" s="2"/>
      <c r="I19" s="2"/>
      <c r="J19" s="2"/>
      <c r="K19" s="2"/>
      <c r="L19" s="2"/>
    </row>
    <row r="20" spans="1:12" ht="14.25" customHeight="1" x14ac:dyDescent="0.3">
      <c r="A20" s="2"/>
      <c r="B20" s="2" t="s">
        <v>297</v>
      </c>
      <c r="C20" s="37">
        <f>IFERROR('Historical FS'!C54,0)</f>
        <v>35.36</v>
      </c>
      <c r="D20" s="37">
        <f>IFERROR('Historical FS'!D54,0)</f>
        <v>20.29</v>
      </c>
      <c r="E20" s="37">
        <f>IFERROR('Historical FS'!E54,0)</f>
        <v>58.26</v>
      </c>
      <c r="F20" s="37">
        <f>IFERROR('Historical FS'!F54,0)</f>
        <v>84.98</v>
      </c>
      <c r="G20" s="37">
        <f>IFERROR('Historical FS'!G54,0)</f>
        <v>98.5</v>
      </c>
      <c r="H20" s="2"/>
      <c r="I20" s="2"/>
      <c r="J20" s="2"/>
      <c r="K20" s="2"/>
      <c r="L20" s="2"/>
    </row>
    <row r="21" spans="1:12" ht="14.25" customHeight="1" x14ac:dyDescent="0.3">
      <c r="A21" s="2"/>
      <c r="B21" s="2" t="s">
        <v>298</v>
      </c>
      <c r="C21" s="37">
        <f>IFERROR('Historical FS'!C66,0)</f>
        <v>25.19</v>
      </c>
      <c r="D21" s="37">
        <f>IFERROR('Historical FS'!D66,0)</f>
        <v>31.45</v>
      </c>
      <c r="E21" s="37">
        <f>IFERROR('Historical FS'!E66,0)</f>
        <v>33.81</v>
      </c>
      <c r="F21" s="37">
        <f>IFERROR('Historical FS'!F66,0)</f>
        <v>28.01</v>
      </c>
      <c r="G21" s="37">
        <f>IFERROR('Historical FS'!G66,0)</f>
        <v>147.49</v>
      </c>
      <c r="H21" s="2"/>
      <c r="I21" s="2"/>
      <c r="J21" s="2"/>
      <c r="K21" s="2"/>
      <c r="L21" s="2"/>
    </row>
    <row r="22" spans="1:12" ht="14.25" customHeight="1" x14ac:dyDescent="0.3">
      <c r="A22" s="2"/>
      <c r="B22" s="26" t="s">
        <v>299</v>
      </c>
      <c r="C22" s="38">
        <f>C19+C20-C21</f>
        <v>2027.58</v>
      </c>
      <c r="D22" s="38">
        <f>D19+D20-D21</f>
        <v>2301.9</v>
      </c>
      <c r="E22" s="38">
        <f>E19+E20-E21</f>
        <v>2907.2900000000004</v>
      </c>
      <c r="F22" s="38">
        <f>F19+F20-F21</f>
        <v>3573.91</v>
      </c>
      <c r="G22" s="38">
        <f>G19+G20-G21</f>
        <v>4122.18</v>
      </c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4.25" customHeight="1" x14ac:dyDescent="0.3">
      <c r="A24" s="2"/>
      <c r="B24" s="2" t="s">
        <v>300</v>
      </c>
      <c r="C24" s="35">
        <v>44651</v>
      </c>
      <c r="D24" s="35">
        <v>45016</v>
      </c>
      <c r="E24" s="35">
        <v>45382</v>
      </c>
      <c r="F24" s="35">
        <v>45747</v>
      </c>
      <c r="G24" s="35">
        <v>46112</v>
      </c>
      <c r="H24" s="2"/>
      <c r="I24" s="2"/>
      <c r="J24" s="2"/>
      <c r="K24" s="2"/>
      <c r="L24" s="2"/>
    </row>
    <row r="25" spans="1:12" ht="14.25" customHeight="1" x14ac:dyDescent="0.3">
      <c r="A25" s="2"/>
      <c r="B25" s="2" t="s">
        <v>301</v>
      </c>
      <c r="C25" s="25">
        <f>IFERROR('Historical FS'!C24/Assumptions!C22,0)</f>
        <v>0.95079355685102451</v>
      </c>
      <c r="D25" s="25">
        <f>IFERROR('Historical FS'!D24/Assumptions!D22,0)</f>
        <v>0.87160172031799821</v>
      </c>
      <c r="E25" s="25">
        <f>IFERROR('Historical FS'!E24/Assumptions!E22,0)</f>
        <v>0.92702482380498663</v>
      </c>
      <c r="F25" s="25">
        <f>IFERROR('Historical FS'!F24/Assumptions!F22,0)</f>
        <v>0.98791239846554602</v>
      </c>
      <c r="G25" s="25">
        <f>IFERROR('Historical FS'!G24/Assumptions!G22,0)</f>
        <v>1.0117340824515182</v>
      </c>
      <c r="H25" s="2"/>
      <c r="I25" s="2"/>
      <c r="J25" s="2"/>
      <c r="K25" s="2"/>
      <c r="L25" s="2"/>
    </row>
    <row r="26" spans="1:12" ht="14.25" customHeight="1" x14ac:dyDescent="0.3">
      <c r="A26" s="2"/>
      <c r="B26" s="2" t="s">
        <v>302</v>
      </c>
      <c r="C26" s="25">
        <f>IFERROR(C18/C22,0)</f>
        <v>0.71639538804216762</v>
      </c>
      <c r="D26" s="25">
        <f>IFERROR(D18/D22,0)</f>
        <v>0.65672663444780721</v>
      </c>
      <c r="E26" s="25">
        <f>IFERROR(E18/E22,0)</f>
        <v>0.6984863365860533</v>
      </c>
      <c r="F26" s="25">
        <f>IFERROR(F18/F22,0)</f>
        <v>0.74436335937569398</v>
      </c>
      <c r="G26" s="25">
        <f>IFERROR(G18/G22,0)</f>
        <v>0.76231230783036075</v>
      </c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 t="s">
        <v>303</v>
      </c>
      <c r="E27" s="2"/>
      <c r="F27" s="2"/>
      <c r="G27" s="2"/>
      <c r="H27" s="2"/>
      <c r="I27" s="2"/>
      <c r="J27" s="2"/>
      <c r="K27" s="2"/>
      <c r="L27" s="2"/>
    </row>
    <row r="28" spans="1:12" ht="14.25" customHeight="1" x14ac:dyDescent="0.3">
      <c r="A28" s="2"/>
      <c r="B28" s="26" t="s">
        <v>304</v>
      </c>
      <c r="C28" s="39">
        <f>IFERROR(('Historical FS'!G24/'Historical FS'!C24)^(1/4)-1,0)</f>
        <v>0.21278069673143918</v>
      </c>
      <c r="D28" s="2"/>
      <c r="E28" s="101"/>
      <c r="F28" s="101"/>
      <c r="G28" s="101"/>
      <c r="H28" s="101"/>
      <c r="I28" s="101"/>
      <c r="J28" s="101"/>
      <c r="K28" s="101"/>
      <c r="L28" s="101"/>
    </row>
  </sheetData>
  <mergeCells count="2">
    <mergeCell ref="B2:G2"/>
    <mergeCell ref="E28:L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8"/>
  <sheetViews>
    <sheetView showGridLines="0" zoomScale="106" zoomScaleNormal="100" workbookViewId="0">
      <pane ySplit="1" topLeftCell="A2" activePane="bottomLeft" state="frozen"/>
      <selection pane="bottomLeft" activeCell="G23" sqref="G23"/>
    </sheetView>
  </sheetViews>
  <sheetFormatPr defaultColWidth="8.6640625" defaultRowHeight="14.4" x14ac:dyDescent="0.3"/>
  <cols>
    <col min="1" max="1" width="40" customWidth="1"/>
    <col min="2" max="12" width="16" customWidth="1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 x14ac:dyDescent="0.3">
      <c r="A2" s="5"/>
      <c r="B2" s="105" t="s">
        <v>305</v>
      </c>
      <c r="C2" s="105"/>
      <c r="D2" s="105"/>
      <c r="E2" s="105"/>
      <c r="F2" s="105"/>
      <c r="G2" s="105"/>
      <c r="H2" s="105"/>
      <c r="I2" s="105"/>
      <c r="J2" s="105"/>
      <c r="K2" s="105"/>
      <c r="L2" s="5"/>
    </row>
    <row r="3" spans="1:12" ht="14.25" customHeight="1" x14ac:dyDescent="0.3">
      <c r="A3" s="5"/>
      <c r="B3" s="7" t="s">
        <v>206</v>
      </c>
      <c r="C3" s="19"/>
      <c r="D3" s="19">
        <v>44621</v>
      </c>
      <c r="E3" s="19">
        <v>44986</v>
      </c>
      <c r="F3" s="19">
        <v>45352</v>
      </c>
      <c r="G3" s="19">
        <v>45717</v>
      </c>
      <c r="H3" s="19">
        <v>46082</v>
      </c>
      <c r="I3" s="19" t="s">
        <v>306</v>
      </c>
      <c r="J3" s="7" t="s">
        <v>307</v>
      </c>
      <c r="K3" s="7"/>
      <c r="L3" s="7"/>
    </row>
    <row r="4" spans="1:12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4.25" customHeight="1" x14ac:dyDescent="0.3">
      <c r="A5" s="2"/>
      <c r="B5" s="23" t="s">
        <v>211</v>
      </c>
      <c r="C5" s="41"/>
      <c r="D5" s="41">
        <f>IFERROR('Historical FS'!D7,0)</f>
        <v>7.7173347709058593E-2</v>
      </c>
      <c r="E5" s="41">
        <f>IFERROR('Historical FS'!E7,0)</f>
        <v>0.3245563642130862</v>
      </c>
      <c r="F5" s="41">
        <f>IFERROR('Historical FS'!F7,0)</f>
        <v>0.3243814242342804</v>
      </c>
      <c r="G5" s="41">
        <f>IFERROR('Historical FS'!G7,0)</f>
        <v>0.15817717531286868</v>
      </c>
      <c r="H5" s="41">
        <f>IFERROR('Historical FS'!H7,0)</f>
        <v>0</v>
      </c>
      <c r="I5" s="23"/>
      <c r="J5" s="42">
        <f>IFERROR(AVERAGE(D5:H5),0)</f>
        <v>0.17685766229385877</v>
      </c>
      <c r="K5" s="42">
        <f>IFERROR(MEDIAN(D5:H5),0)</f>
        <v>0.15817717531286868</v>
      </c>
      <c r="L5" s="2"/>
    </row>
    <row r="6" spans="1:12" ht="14.25" customHeight="1" x14ac:dyDescent="0.3">
      <c r="A6" s="2"/>
      <c r="B6" s="23" t="s">
        <v>308</v>
      </c>
      <c r="C6" s="41"/>
      <c r="D6" s="41">
        <f>IFERROR('Historical FS'!D18/'Historical FS'!C18-1,0)</f>
        <v>3.9485321244649318E-2</v>
      </c>
      <c r="E6" s="41">
        <f>IFERROR('Historical FS'!E18/'Historical FS'!D18-1,0)</f>
        <v>0.34227261235681916</v>
      </c>
      <c r="F6" s="41">
        <f>IFERROR('Historical FS'!F18/'Historical FS'!E18-1,0)</f>
        <v>0.30978252995465128</v>
      </c>
      <c r="G6" s="41">
        <f>IFERROR('Historical FS'!G18/'Historical FS'!F18-1,0)</f>
        <v>0.18250601476729078</v>
      </c>
      <c r="H6" s="41">
        <f>IFERROR('Historical FS'!H18/'Historical FS'!G18-1,0)</f>
        <v>0</v>
      </c>
      <c r="I6" s="23"/>
      <c r="J6" s="42">
        <f>IFERROR(AVERAGE(D6:H6),0)</f>
        <v>0.17480929566468212</v>
      </c>
      <c r="K6" s="42">
        <f>IFERROR(MEDIAN(D6:H6),0)</f>
        <v>0.18250601476729078</v>
      </c>
      <c r="L6" s="2"/>
    </row>
    <row r="7" spans="1:12" ht="14.25" customHeight="1" x14ac:dyDescent="0.3">
      <c r="A7" s="2"/>
      <c r="B7" s="23" t="s">
        <v>309</v>
      </c>
      <c r="C7" s="41"/>
      <c r="D7" s="41">
        <f>IFERROR('Historical FS'!D24/'Historical FS'!C24-1,0)</f>
        <v>4.0735342175836742E-2</v>
      </c>
      <c r="E7" s="41">
        <f>IFERROR('Historical FS'!E24/'Historical FS'!D24-1,0)</f>
        <v>0.34330671770487542</v>
      </c>
      <c r="F7" s="41">
        <f>IFERROR('Historical FS'!F24/'Historical FS'!E24-1,0)</f>
        <v>0.31003328225354609</v>
      </c>
      <c r="G7" s="41">
        <f>IFERROR('Historical FS'!G24/'Historical FS'!F24-1,0)</f>
        <v>0.18122134075016061</v>
      </c>
      <c r="H7" s="41">
        <f>IFERROR('Historical FS'!H24/'Historical FS'!G24-1,0)</f>
        <v>0</v>
      </c>
      <c r="I7" s="23"/>
      <c r="J7" s="42">
        <f>IFERROR(AVERAGE(D7:H7),0)</f>
        <v>0.17505933657688377</v>
      </c>
      <c r="K7" s="42">
        <f>IFERROR(MEDIAN(D7:H7),0)</f>
        <v>0.18122134075016061</v>
      </c>
      <c r="L7" s="2"/>
    </row>
    <row r="8" spans="1:12" ht="14.25" customHeight="1" x14ac:dyDescent="0.3">
      <c r="A8" s="2"/>
      <c r="B8" s="23" t="s">
        <v>310</v>
      </c>
      <c r="C8" s="41"/>
      <c r="D8" s="41">
        <f>IFERROR('Historical FS'!D38/'Historical FS'!C38-1,0)</f>
        <v>4.2425159378030264E-2</v>
      </c>
      <c r="E8" s="41">
        <f>IFERROR('Historical FS'!E38/'Historical FS'!D38-1,0)</f>
        <v>0.3522608821860691</v>
      </c>
      <c r="F8" s="41">
        <f>IFERROR('Historical FS'!F38/'Historical FS'!E38-1,0)</f>
        <v>0.29317519868470465</v>
      </c>
      <c r="G8" s="41">
        <f>IFERROR('Historical FS'!G38/'Historical FS'!F38-1,0)</f>
        <v>0.24431650985037678</v>
      </c>
      <c r="H8" s="41">
        <f>IFERROR('Historical FS'!H38/'Historical FS'!G38-1,0)</f>
        <v>0</v>
      </c>
      <c r="I8" s="23"/>
      <c r="J8" s="42">
        <f>IFERROR(AVERAGE(D8:H8),0)</f>
        <v>0.18643555001983617</v>
      </c>
      <c r="K8" s="42">
        <f>IFERROR(MEDIAN(D8:H8),0)</f>
        <v>0.24431650985037678</v>
      </c>
      <c r="L8" s="2"/>
    </row>
    <row r="9" spans="1:12" ht="14.25" customHeight="1" x14ac:dyDescent="0.3">
      <c r="A9" s="2"/>
      <c r="B9" s="23" t="s">
        <v>311</v>
      </c>
      <c r="C9" s="41"/>
      <c r="D9" s="41">
        <f>IFERROR('Historical FS'!D46/'Historical FS'!C46-1,0)</f>
        <v>1.3199099570551764E-2</v>
      </c>
      <c r="E9" s="41">
        <f>IFERROR('Historical FS'!E46/'Historical FS'!D46-1,0)</f>
        <v>0.21128746638683027</v>
      </c>
      <c r="F9" s="41">
        <f>IFERROR('Historical FS'!F46/'Historical FS'!E46-1,0)</f>
        <v>0.36200828437609966</v>
      </c>
      <c r="G9" s="41">
        <f>IFERROR('Historical FS'!G46/'Historical FS'!F46-1,0)</f>
        <v>-1</v>
      </c>
      <c r="H9" s="41">
        <f>IFERROR('Historical FS'!H46/'Historical FS'!G46-1,0)</f>
        <v>0</v>
      </c>
      <c r="I9" s="23"/>
      <c r="J9" s="42">
        <f>IFERROR(AVERAGE(D9:H9),0)</f>
        <v>-8.2701029933303666E-2</v>
      </c>
      <c r="K9" s="42">
        <f>IFERROR(MEDIAN(D9:H9),0)</f>
        <v>1.3199099570551764E-2</v>
      </c>
      <c r="L9" s="2"/>
    </row>
    <row r="10" spans="1:12" ht="14.25" customHeight="1" x14ac:dyDescent="0.3">
      <c r="A10" s="40"/>
      <c r="B10" s="40"/>
      <c r="C10" s="40"/>
      <c r="D10" s="40"/>
      <c r="E10" s="40"/>
      <c r="F10" s="40"/>
      <c r="G10" s="40"/>
      <c r="H10" s="40"/>
      <c r="I10" s="43"/>
      <c r="J10" s="44"/>
      <c r="K10" s="44"/>
      <c r="L10" s="40"/>
    </row>
    <row r="11" spans="1:12" ht="14.25" customHeight="1" x14ac:dyDescent="0.3">
      <c r="A11" s="2"/>
      <c r="B11" s="23" t="s">
        <v>312</v>
      </c>
      <c r="C11" s="41">
        <f>IFERROR('Historical FS'!C13,0)</f>
        <v>0.99473438443169704</v>
      </c>
      <c r="D11" s="41">
        <f>IFERROR('Historical FS'!D13,0)</f>
        <v>0.9947450966570921</v>
      </c>
      <c r="E11" s="41">
        <f>IFERROR('Historical FS'!E13,0)</f>
        <v>0.995692121025057</v>
      </c>
      <c r="F11" s="41">
        <f>IFERROR('Historical FS'!F13,0)</f>
        <v>0.99627310224558141</v>
      </c>
      <c r="G11" s="41">
        <f>IFERROR('Historical FS'!G13,0)</f>
        <v>0.99691740840262077</v>
      </c>
      <c r="H11" s="41">
        <f>IFERROR('Historical FS'!H13,0)</f>
        <v>0.99691740840262077</v>
      </c>
      <c r="I11" s="23"/>
      <c r="J11" s="42">
        <f>IFERROR(AVERAGE(C11:H11),0)</f>
        <v>0.99587992019411153</v>
      </c>
      <c r="K11" s="42">
        <f>IFERROR(MEDIAN(C11:H11),0)</f>
        <v>0.9959826116353192</v>
      </c>
      <c r="L11" s="2"/>
    </row>
    <row r="12" spans="1:12" ht="14.25" customHeight="1" x14ac:dyDescent="0.3">
      <c r="A12" s="2"/>
      <c r="B12" s="23" t="s">
        <v>313</v>
      </c>
      <c r="C12" s="41">
        <f>IFERROR('Historical FS'!C19,0)</f>
        <v>0.75119871529610072</v>
      </c>
      <c r="D12" s="41">
        <f>IFERROR('Historical FS'!D19,0)</f>
        <v>0.7249158545826212</v>
      </c>
      <c r="E12" s="41">
        <f>IFERROR('Historical FS'!E19,0)</f>
        <v>0.73461177203098271</v>
      </c>
      <c r="F12" s="41">
        <f>IFERROR('Historical FS'!F19,0)</f>
        <v>0.72651401454193298</v>
      </c>
      <c r="G12" s="41">
        <f>IFERROR('Historical FS'!G19,0)</f>
        <v>0.74177527438881585</v>
      </c>
      <c r="H12" s="41">
        <f>IFERROR('Historical FS'!H19,0)</f>
        <v>0.74177527438881585</v>
      </c>
      <c r="I12" s="23"/>
      <c r="J12" s="42">
        <f>IFERROR(AVERAGE(C12:H12),0)</f>
        <v>0.73679848420487826</v>
      </c>
      <c r="K12" s="42">
        <f>IFERROR(MEDIAN(C12:H12),0)</f>
        <v>0.73819352320989928</v>
      </c>
      <c r="L12" s="2"/>
    </row>
    <row r="13" spans="1:12" ht="14.25" customHeight="1" x14ac:dyDescent="0.3">
      <c r="A13" s="2"/>
      <c r="B13" s="23" t="s">
        <v>223</v>
      </c>
      <c r="C13" s="41">
        <f>IFERROR('Historical FS'!C25,0)</f>
        <v>0.73187500711826192</v>
      </c>
      <c r="D13" s="41">
        <f>IFERROR('Historical FS'!D25,0)</f>
        <v>0.70711755687525335</v>
      </c>
      <c r="E13" s="41">
        <f>IFERROR('Historical FS'!E25,0)</f>
        <v>0.717127477562576</v>
      </c>
      <c r="F13" s="41">
        <f>IFERROR('Historical FS'!F25,0)</f>
        <v>0.70935823021579836</v>
      </c>
      <c r="G13" s="41">
        <f>IFERROR('Historical FS'!G25,0)</f>
        <v>0.72347227835958239</v>
      </c>
      <c r="H13" s="41">
        <f>IFERROR('Historical FS'!H25,0)</f>
        <v>0.72347227835958239</v>
      </c>
      <c r="I13" s="23"/>
      <c r="J13" s="42">
        <f>IFERROR(AVERAGE(C13:H13),0)</f>
        <v>0.71873713808184247</v>
      </c>
      <c r="K13" s="42">
        <f>IFERROR(MEDIAN(C13:H13),0)</f>
        <v>0.72029987796107919</v>
      </c>
      <c r="L13" s="2"/>
    </row>
    <row r="14" spans="1:12" ht="14.25" customHeight="1" x14ac:dyDescent="0.3">
      <c r="A14" s="2"/>
      <c r="B14" s="23" t="s">
        <v>314</v>
      </c>
      <c r="C14" s="41">
        <f>IFERROR('Historical FS'!C33,0)</f>
        <v>0.73233816868951851</v>
      </c>
      <c r="D14" s="41">
        <f>IFERROR('Historical FS'!D33,0)</f>
        <v>0.70741008335242395</v>
      </c>
      <c r="E14" s="41">
        <f>IFERROR('Historical FS'!E33,0)</f>
        <v>0.71792040401997748</v>
      </c>
      <c r="F14" s="41">
        <f>IFERROR('Historical FS'!F33,0)</f>
        <v>0.70982836179236652</v>
      </c>
      <c r="G14" s="41">
        <f>IFERROR('Historical FS'!G33,0)</f>
        <v>0.76446189954949395</v>
      </c>
      <c r="H14" s="41">
        <f>IFERROR('Historical FS'!H33,0)</f>
        <v>0.76446189954949395</v>
      </c>
      <c r="I14" s="23"/>
      <c r="J14" s="42">
        <f>IFERROR(AVERAGE(C14:H14),0)</f>
        <v>0.73273680282554576</v>
      </c>
      <c r="K14" s="42">
        <f>IFERROR(MEDIAN(C14:H14),0)</f>
        <v>0.72512928635474805</v>
      </c>
      <c r="L14" s="2"/>
    </row>
    <row r="15" spans="1:12" ht="14.25" customHeight="1" x14ac:dyDescent="0.3">
      <c r="A15" s="2"/>
      <c r="B15" s="23" t="s">
        <v>315</v>
      </c>
      <c r="C15" s="41">
        <f>IFERROR('Historical FS'!C39,0)</f>
        <v>0.55203164684309836</v>
      </c>
      <c r="D15" s="41">
        <f>IFERROR('Historical FS'!D39,0)</f>
        <v>0.53422383562126641</v>
      </c>
      <c r="E15" s="41">
        <f>IFERROR('Historical FS'!E39,0)</f>
        <v>0.54539770051327352</v>
      </c>
      <c r="F15" s="41">
        <f>IFERROR('Historical FS'!F39,0)</f>
        <v>0.53254656613083717</v>
      </c>
      <c r="G15" s="41">
        <f>IFERROR('Historical FS'!G39,0)</f>
        <v>0.57215467428091638</v>
      </c>
      <c r="H15" s="41">
        <f>IFERROR('Historical FS'!H39,0)</f>
        <v>0.57215467428091638</v>
      </c>
      <c r="I15" s="23"/>
      <c r="J15" s="42">
        <f>IFERROR(AVERAGE(C15:H15),0)</f>
        <v>0.5514181829450514</v>
      </c>
      <c r="K15" s="42">
        <f>IFERROR(MEDIAN(C15:H15),0)</f>
        <v>0.54871467367818594</v>
      </c>
      <c r="L15" s="2"/>
    </row>
    <row r="16" spans="1:12" ht="14.25" customHeight="1" x14ac:dyDescent="0.3">
      <c r="A16" s="40"/>
      <c r="B16" s="40"/>
      <c r="C16" s="40"/>
      <c r="D16" s="40"/>
      <c r="E16" s="40"/>
      <c r="F16" s="40"/>
      <c r="G16" s="40"/>
      <c r="H16" s="40"/>
      <c r="I16" s="43"/>
      <c r="J16" s="44"/>
      <c r="K16" s="44"/>
      <c r="L16" s="40"/>
    </row>
    <row r="17" spans="1:12" ht="14.25" customHeight="1" x14ac:dyDescent="0.3">
      <c r="A17" s="2"/>
      <c r="B17" s="23" t="s">
        <v>316</v>
      </c>
      <c r="C17" s="41">
        <f>IFERROR('Historical FS'!C16,0)</f>
        <v>0.24353566913559624</v>
      </c>
      <c r="D17" s="41">
        <f>IFERROR('Historical FS'!D16,0)</f>
        <v>0.2698292420744709</v>
      </c>
      <c r="E17" s="41">
        <f>IFERROR('Historical FS'!E16,0)</f>
        <v>0.26108034899407434</v>
      </c>
      <c r="F17" s="41">
        <f>IFERROR('Historical FS'!F16,0)</f>
        <v>0.26975908770364837</v>
      </c>
      <c r="G17" s="41">
        <f>IFERROR('Historical FS'!G16,0)</f>
        <v>0.25514213401380487</v>
      </c>
      <c r="H17" s="41">
        <f>IFERROR('Historical FS'!H16,0)</f>
        <v>0.25514213401380487</v>
      </c>
      <c r="I17" s="23"/>
      <c r="J17" s="42">
        <f>IFERROR(AVERAGE(C17:H17),0)</f>
        <v>0.25908143598923328</v>
      </c>
      <c r="K17" s="42">
        <f>IFERROR(MEDIAN(C17:H17),0)</f>
        <v>0.2581112415039396</v>
      </c>
      <c r="L17" s="2"/>
    </row>
    <row r="18" spans="1:12" ht="14.25" customHeight="1" x14ac:dyDescent="0.3">
      <c r="A18" s="2"/>
      <c r="B18" s="23" t="s">
        <v>317</v>
      </c>
      <c r="C18" s="41">
        <f>IFERROR('Historical FS'!C22,0)</f>
        <v>1.9323708177838857E-2</v>
      </c>
      <c r="D18" s="41">
        <f>IFERROR('Historical FS'!D22,0)</f>
        <v>1.779829770736779E-2</v>
      </c>
      <c r="E18" s="41">
        <f>IFERROR('Historical FS'!E22,0)</f>
        <v>1.7484294468406669E-2</v>
      </c>
      <c r="F18" s="41">
        <f>IFERROR('Historical FS'!F22,0)</f>
        <v>1.7155784326134696E-2</v>
      </c>
      <c r="G18" s="41">
        <f>IFERROR('Historical FS'!G22,0)</f>
        <v>1.8302996029233447E-2</v>
      </c>
      <c r="H18" s="41">
        <f>IFERROR('Historical FS'!H22,0)</f>
        <v>1.8302996029233447E-2</v>
      </c>
      <c r="I18" s="23"/>
      <c r="J18" s="42">
        <f>IFERROR(AVERAGE(C18:H18),0)</f>
        <v>1.806134612303582E-2</v>
      </c>
      <c r="K18" s="42">
        <f>IFERROR(MEDIAN(C18:H18),0)</f>
        <v>1.8050646868300619E-2</v>
      </c>
      <c r="L18" s="2"/>
    </row>
    <row r="19" spans="1:12" ht="14.25" customHeight="1" x14ac:dyDescent="0.3">
      <c r="A19" s="2"/>
      <c r="B19" s="23" t="s">
        <v>318</v>
      </c>
      <c r="C19" s="41">
        <f t="shared" ref="C19:H19" si="0">C13</f>
        <v>0.73187500711826192</v>
      </c>
      <c r="D19" s="41">
        <f t="shared" si="0"/>
        <v>0.70711755687525335</v>
      </c>
      <c r="E19" s="41">
        <f t="shared" si="0"/>
        <v>0.717127477562576</v>
      </c>
      <c r="F19" s="41">
        <f t="shared" si="0"/>
        <v>0.70935823021579836</v>
      </c>
      <c r="G19" s="41">
        <f t="shared" si="0"/>
        <v>0.72347227835958239</v>
      </c>
      <c r="H19" s="41">
        <f t="shared" si="0"/>
        <v>0.72347227835958239</v>
      </c>
      <c r="I19" s="23"/>
      <c r="J19" s="42">
        <f>IFERROR(AVERAGE(C19:H19),0)</f>
        <v>0.71873713808184247</v>
      </c>
      <c r="K19" s="42">
        <f>IFERROR(MEDIAN(C19:H19),0)</f>
        <v>0.72029987796107919</v>
      </c>
      <c r="L19" s="2"/>
    </row>
    <row r="20" spans="1:12" ht="14.25" customHeight="1" x14ac:dyDescent="0.3">
      <c r="A20" s="40"/>
      <c r="B20" s="40"/>
      <c r="C20" s="40"/>
      <c r="D20" s="40"/>
      <c r="E20" s="40"/>
      <c r="F20" s="40"/>
      <c r="G20" s="40"/>
      <c r="H20" s="40"/>
      <c r="I20" s="43"/>
      <c r="J20" s="44"/>
      <c r="K20" s="44"/>
      <c r="L20" s="40"/>
    </row>
    <row r="21" spans="1:12" ht="14.25" customHeight="1" x14ac:dyDescent="0.3">
      <c r="A21" s="2"/>
      <c r="B21" s="23" t="s">
        <v>319</v>
      </c>
      <c r="C21" s="41">
        <f>IFERROR(Assumptions!C26,0)</f>
        <v>0.71639538804216762</v>
      </c>
      <c r="D21" s="41">
        <f>IFERROR(Assumptions!D26,0)</f>
        <v>0.65672663444780721</v>
      </c>
      <c r="E21" s="41">
        <f>IFERROR(Assumptions!E26,0)</f>
        <v>0.6984863365860533</v>
      </c>
      <c r="F21" s="41">
        <f>IFERROR(Assumptions!F26,0)</f>
        <v>0.74436335937569398</v>
      </c>
      <c r="G21" s="41">
        <f>IFERROR(Assumptions!G26,0)</f>
        <v>0.76231230783036075</v>
      </c>
      <c r="H21" s="41">
        <f>IFERROR(Assumptions!G26,0)</f>
        <v>0.76231230783036075</v>
      </c>
      <c r="I21" s="23"/>
      <c r="J21" s="42">
        <f>IFERROR(AVERAGE(C21:H21),0)</f>
        <v>0.7234327223520739</v>
      </c>
      <c r="K21" s="42">
        <f>IFERROR(MEDIAN(C21:H21),0)</f>
        <v>0.7303793737089308</v>
      </c>
      <c r="L21" s="2"/>
    </row>
    <row r="22" spans="1:12" ht="14.25" customHeight="1" x14ac:dyDescent="0.3">
      <c r="A22" s="2"/>
      <c r="B22" s="23" t="s">
        <v>320</v>
      </c>
      <c r="C22" s="41">
        <f>IFERROR('Historical FS'!C49,0)</f>
        <v>0</v>
      </c>
      <c r="D22" s="41">
        <f>IFERROR('Historical FS'!D49,0)</f>
        <v>0</v>
      </c>
      <c r="E22" s="41">
        <f>IFERROR('Historical FS'!E49,0)</f>
        <v>0</v>
      </c>
      <c r="F22" s="41">
        <f>IFERROR('Historical FS'!F49,0)</f>
        <v>0</v>
      </c>
      <c r="G22" s="41">
        <f>IFERROR('Historical FS'!G49,0)</f>
        <v>1</v>
      </c>
      <c r="H22" s="41">
        <f>IFERROR('Historical FS'!H49,0)</f>
        <v>1</v>
      </c>
      <c r="I22" s="23"/>
      <c r="J22" s="42">
        <f>IFERROR(AVERAGE(C22:H22),0)</f>
        <v>0.33333333333333331</v>
      </c>
      <c r="K22" s="42">
        <f>IFERROR(MEDIAN(C22:H22),0)</f>
        <v>0</v>
      </c>
      <c r="L22" s="2"/>
    </row>
    <row r="23" spans="1:12" ht="14.25" customHeight="1" x14ac:dyDescent="0.3">
      <c r="A23" s="2"/>
      <c r="B23" s="23" t="s">
        <v>321</v>
      </c>
      <c r="C23" s="41">
        <f>IFERROR('Historical FS'!C38/('Historical FS'!C52+'Historical FS'!C53),0)</f>
        <v>0.72077069113368131</v>
      </c>
      <c r="D23" s="41">
        <f>IFERROR('Historical FS'!D38/(('Historical FS'!D52+'Historical FS'!D53+'Historical FS'!C52+'Historical FS'!C53)/2),0)</f>
        <v>0.70005334293968091</v>
      </c>
      <c r="E23" s="41">
        <f>IFERROR('Historical FS'!E38/(('Historical FS'!E52+'Historical FS'!E53+'Historical FS'!D52+'Historical FS'!D53)/2),0)</f>
        <v>0.78897977251294293</v>
      </c>
      <c r="F23" s="41">
        <f>IFERROR('Historical FS'!F38/(('Historical FS'!F52+'Historical FS'!F53+'Historical FS'!E52+'Historical FS'!E53)/2),0)</f>
        <v>0.8283597248655421</v>
      </c>
      <c r="G23" s="41">
        <f>IFERROR('Historical FS'!G38/(('Historical FS'!G52+'Historical FS'!G53+'Historical FS'!F52+'Historical FS'!F53)/2),0)</f>
        <v>0.8580158192325551</v>
      </c>
      <c r="H23" s="41">
        <f>IFERROR('Historical FS'!H38/(('Historical FS'!H52+'Historical FS'!H53+'Historical FS'!G52+'Historical FS'!G53)/2),0)</f>
        <v>0.7907277814138477</v>
      </c>
      <c r="I23" s="23"/>
      <c r="J23" s="42">
        <f>IFERROR(AVERAGE(C23:H23),0)</f>
        <v>0.78115118868304168</v>
      </c>
      <c r="K23" s="42">
        <f>IFERROR(MEDIAN(C23:H23),0)</f>
        <v>0.78985377696339532</v>
      </c>
      <c r="L23" s="2"/>
    </row>
    <row r="24" spans="1:12" ht="14.25" customHeight="1" x14ac:dyDescent="0.3">
      <c r="A24" s="2"/>
      <c r="B24" s="23" t="s">
        <v>322</v>
      </c>
      <c r="C24" s="41">
        <f t="shared" ref="C24:H24" si="1">IFERROR(C22*C23,0)</f>
        <v>0</v>
      </c>
      <c r="D24" s="41">
        <f t="shared" si="1"/>
        <v>0</v>
      </c>
      <c r="E24" s="41">
        <f t="shared" si="1"/>
        <v>0</v>
      </c>
      <c r="F24" s="41">
        <f t="shared" si="1"/>
        <v>0</v>
      </c>
      <c r="G24" s="41">
        <f t="shared" si="1"/>
        <v>0.8580158192325551</v>
      </c>
      <c r="H24" s="41">
        <f t="shared" si="1"/>
        <v>0.7907277814138477</v>
      </c>
      <c r="I24" s="23"/>
      <c r="J24" s="42">
        <f>IFERROR(AVERAGE(C24:H24),0)</f>
        <v>0.27479060010773382</v>
      </c>
      <c r="K24" s="42">
        <f>IFERROR(MEDIAN(C24:H24),0)</f>
        <v>0</v>
      </c>
      <c r="L24" s="2"/>
    </row>
    <row r="25" spans="1:12" ht="14.25" customHeight="1" x14ac:dyDescent="0.3">
      <c r="A25" s="2"/>
      <c r="B25" s="23" t="s">
        <v>323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23"/>
      <c r="J25" s="46">
        <f>IFERROR(AVERAGE(C25:H25),0)</f>
        <v>0</v>
      </c>
      <c r="K25" s="46">
        <f>IFERROR(MEDIAN(C25:H25),0)</f>
        <v>0</v>
      </c>
      <c r="L25" s="2"/>
    </row>
    <row r="26" spans="1:12" ht="14.25" customHeight="1" x14ac:dyDescent="0.3">
      <c r="A26" s="40"/>
      <c r="B26" s="40"/>
      <c r="C26" s="40"/>
      <c r="D26" s="40"/>
      <c r="E26" s="40"/>
      <c r="F26" s="40"/>
      <c r="G26" s="40"/>
      <c r="H26" s="40"/>
      <c r="I26" s="43"/>
      <c r="J26" s="44"/>
      <c r="K26" s="44"/>
      <c r="L26" s="40"/>
    </row>
    <row r="27" spans="1:12" ht="14.25" customHeight="1" x14ac:dyDescent="0.3">
      <c r="A27" s="40"/>
      <c r="B27" s="40"/>
      <c r="C27" s="40"/>
      <c r="D27" s="40"/>
      <c r="E27" s="40"/>
      <c r="F27" s="40"/>
      <c r="G27" s="40"/>
      <c r="H27" s="40"/>
      <c r="I27" s="43"/>
      <c r="J27" s="44"/>
      <c r="K27" s="44"/>
      <c r="L27" s="40"/>
    </row>
    <row r="28" spans="1:12" ht="14.25" customHeight="1" x14ac:dyDescent="0.3">
      <c r="A28" s="40"/>
      <c r="B28" s="40"/>
      <c r="C28" s="40"/>
      <c r="D28" s="40"/>
      <c r="E28" s="40"/>
      <c r="F28" s="40"/>
      <c r="G28" s="40"/>
      <c r="H28" s="40"/>
      <c r="I28" s="43"/>
      <c r="J28" s="44"/>
      <c r="K28" s="44"/>
      <c r="L28" s="40"/>
    </row>
  </sheetData>
  <mergeCells count="1">
    <mergeCell ref="B2:K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zoomScaleNormal="100" workbookViewId="0">
      <pane ySplit="1" topLeftCell="A2" activePane="bottomLeft" state="frozen"/>
      <selection pane="bottomLeft" activeCell="K19" sqref="K19"/>
    </sheetView>
  </sheetViews>
  <sheetFormatPr defaultColWidth="8.6640625" defaultRowHeight="14.4" x14ac:dyDescent="0.3"/>
  <cols>
    <col min="1" max="1" width="40" customWidth="1"/>
    <col min="2" max="7" width="16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ht="14.25" customHeight="1" x14ac:dyDescent="0.3">
      <c r="A2" s="5"/>
      <c r="B2" s="105" t="s">
        <v>324</v>
      </c>
      <c r="C2" s="105"/>
      <c r="D2" s="105"/>
      <c r="E2" s="105"/>
      <c r="F2" s="105"/>
      <c r="G2" s="105"/>
    </row>
    <row r="3" spans="1:7" ht="14.25" customHeight="1" x14ac:dyDescent="0.3">
      <c r="A3" s="5"/>
      <c r="B3" s="7" t="s">
        <v>92</v>
      </c>
      <c r="C3" s="19">
        <v>44621</v>
      </c>
      <c r="D3" s="19">
        <v>44986</v>
      </c>
      <c r="E3" s="19">
        <v>45352</v>
      </c>
      <c r="F3" s="19">
        <v>45717</v>
      </c>
      <c r="G3" s="19">
        <v>46082</v>
      </c>
    </row>
    <row r="4" spans="1:7" ht="14.25" customHeight="1" x14ac:dyDescent="0.3">
      <c r="A4" s="2"/>
      <c r="B4" s="2" t="s">
        <v>325</v>
      </c>
      <c r="C4" s="2"/>
      <c r="D4" s="47">
        <f>IFERROR(C8,0)</f>
        <v>47.38</v>
      </c>
      <c r="E4" s="47">
        <f>IFERROR(D8,0)</f>
        <v>151.72000000000003</v>
      </c>
      <c r="F4" s="47">
        <f>IFERROR(E8,0)</f>
        <v>202.69</v>
      </c>
      <c r="G4" s="47">
        <f>IFERROR(F8,0)</f>
        <v>313.78999999999996</v>
      </c>
    </row>
    <row r="5" spans="1:7" ht="14.25" customHeight="1" x14ac:dyDescent="0.3">
      <c r="A5" s="2"/>
      <c r="B5" s="2" t="s">
        <v>326</v>
      </c>
      <c r="C5" s="2"/>
      <c r="D5" s="28">
        <f>IFERROR(D6-D4,0)</f>
        <v>154.84000000000003</v>
      </c>
      <c r="E5" s="28">
        <f>IFERROR(E6-E4,0)</f>
        <v>116.67999999999995</v>
      </c>
      <c r="F5" s="28">
        <f>IFERROR(F6-F4,0)</f>
        <v>196.48999999999995</v>
      </c>
      <c r="G5" s="28">
        <f>IFERROR(G6-G4,0)</f>
        <v>426.66000000000008</v>
      </c>
    </row>
    <row r="6" spans="1:7" ht="14.25" customHeight="1" x14ac:dyDescent="0.3">
      <c r="A6" s="2"/>
      <c r="B6" s="2" t="s">
        <v>327</v>
      </c>
      <c r="C6" s="47">
        <f>IFERROR(SUM(C7+C8),0)</f>
        <v>98.28</v>
      </c>
      <c r="D6" s="47">
        <f>IFERROR(SUM(D7+D8),0)</f>
        <v>202.22000000000003</v>
      </c>
      <c r="E6" s="47">
        <f>IFERROR(SUM(E7+E8),0)</f>
        <v>268.39999999999998</v>
      </c>
      <c r="F6" s="47">
        <f>IFERROR(SUM(F7+F8),0)</f>
        <v>399.17999999999995</v>
      </c>
      <c r="G6" s="47">
        <f>IFERROR(SUM(G7+G8),0)</f>
        <v>740.45</v>
      </c>
    </row>
    <row r="7" spans="1:7" ht="14.25" customHeight="1" x14ac:dyDescent="0.3">
      <c r="A7" s="2"/>
      <c r="B7" s="2" t="s">
        <v>328</v>
      </c>
      <c r="C7" s="47">
        <f>IFERROR('Historical FS'!C21,0)</f>
        <v>50.9</v>
      </c>
      <c r="D7" s="47">
        <f>IFERROR('Historical FS'!D21,0)</f>
        <v>50.5</v>
      </c>
      <c r="E7" s="47">
        <f>IFERROR('Historical FS'!E21,0)</f>
        <v>65.709999999999994</v>
      </c>
      <c r="F7" s="47">
        <f>IFERROR('Historical FS'!F21,0)</f>
        <v>85.39</v>
      </c>
      <c r="G7" s="47">
        <f>IFERROR('Historical FS'!G21,0)</f>
        <v>105.51</v>
      </c>
    </row>
    <row r="8" spans="1:7" ht="14.25" customHeight="1" x14ac:dyDescent="0.3">
      <c r="A8" s="2"/>
      <c r="B8" s="23" t="s">
        <v>329</v>
      </c>
      <c r="C8" s="48">
        <f>IFERROR('Historical FS'!C58,0)</f>
        <v>47.38</v>
      </c>
      <c r="D8" s="48">
        <f>IFERROR('Historical FS'!D58,0)</f>
        <v>151.72000000000003</v>
      </c>
      <c r="E8" s="48">
        <f>IFERROR('Historical FS'!E58,0)</f>
        <v>202.69</v>
      </c>
      <c r="F8" s="48">
        <f>IFERROR('Historical FS'!F58,0)</f>
        <v>313.78999999999996</v>
      </c>
      <c r="G8" s="48">
        <f>IFERROR('Historical FS'!G58,0)</f>
        <v>634.94000000000005</v>
      </c>
    </row>
    <row r="9" spans="1:7" x14ac:dyDescent="0.3">
      <c r="A9" s="40"/>
      <c r="B9" s="40"/>
      <c r="C9" s="40"/>
      <c r="D9" s="40"/>
      <c r="E9" s="40"/>
      <c r="F9" s="40"/>
      <c r="G9" s="40"/>
    </row>
    <row r="10" spans="1:7" ht="14.25" customHeight="1" x14ac:dyDescent="0.3">
      <c r="A10" s="2"/>
      <c r="B10" s="2" t="s">
        <v>330</v>
      </c>
      <c r="C10" s="2"/>
      <c r="D10" s="47">
        <f>IFERROR(D5-D7,0)</f>
        <v>104.34000000000003</v>
      </c>
      <c r="E10" s="47">
        <f>IFERROR(E5-E7,0)</f>
        <v>50.969999999999956</v>
      </c>
      <c r="F10" s="47">
        <f>IFERROR(F5-F7,0)</f>
        <v>111.09999999999995</v>
      </c>
      <c r="G10" s="47">
        <f>IFERROR(G5-G7,0)</f>
        <v>321.15000000000009</v>
      </c>
    </row>
    <row r="11" spans="1:7" ht="14.25" customHeight="1" x14ac:dyDescent="0.3">
      <c r="A11" s="2"/>
      <c r="B11" s="2" t="s">
        <v>331</v>
      </c>
      <c r="C11" s="2"/>
      <c r="D11" s="49">
        <f>IFERROR(D10/'Historical FS'!D6,0)</f>
        <v>3.6773750154193187E-2</v>
      </c>
      <c r="E11" s="49">
        <f>IFERROR(E10/'Historical FS'!E6,0)</f>
        <v>1.3562235414011371E-2</v>
      </c>
      <c r="F11" s="49">
        <f>IFERROR(F10/'Historical FS'!F6,0)</f>
        <v>2.2321204340479725E-2</v>
      </c>
      <c r="G11" s="49">
        <f>IFERROR(G10/'Historical FS'!G6,0)</f>
        <v>5.5710427208684701E-2</v>
      </c>
    </row>
    <row r="12" spans="1:7" ht="14.25" customHeight="1" x14ac:dyDescent="0.3">
      <c r="A12" s="40"/>
      <c r="B12" s="40"/>
      <c r="C12" s="40"/>
      <c r="D12" s="40"/>
      <c r="E12" s="50"/>
      <c r="F12" s="50"/>
      <c r="G12" s="50"/>
    </row>
    <row r="13" spans="1:7" ht="14.25" customHeight="1" x14ac:dyDescent="0.3">
      <c r="A13" s="2"/>
      <c r="B13" s="2" t="s">
        <v>332</v>
      </c>
      <c r="C13" s="2"/>
      <c r="D13" s="49">
        <f>IFERROR(MEDIAN(D11:G11),0)</f>
        <v>2.9547477247336456E-2</v>
      </c>
      <c r="E13" s="49"/>
      <c r="F13" s="49"/>
      <c r="G13" s="49"/>
    </row>
    <row r="14" spans="1:7" ht="14.25" customHeight="1" x14ac:dyDescent="0.3">
      <c r="A14" s="2"/>
      <c r="B14" s="2" t="s">
        <v>333</v>
      </c>
      <c r="C14" s="2"/>
      <c r="D14" s="49">
        <f>IFERROR(AVERAGE(D11:G11),0)</f>
        <v>3.2091904279342248E-2</v>
      </c>
      <c r="E14" s="49"/>
      <c r="F14" s="49"/>
      <c r="G14" s="49"/>
    </row>
  </sheetData>
  <mergeCells count="1">
    <mergeCell ref="B2:G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showGridLines="0" zoomScaleNormal="100" workbookViewId="0">
      <pane ySplit="1" topLeftCell="A2" activePane="bottomLeft" state="frozen"/>
      <selection pane="bottomLeft" activeCell="K19" sqref="K19"/>
    </sheetView>
  </sheetViews>
  <sheetFormatPr defaultColWidth="8.6640625" defaultRowHeight="14.4" x14ac:dyDescent="0.3"/>
  <cols>
    <col min="1" max="1" width="40" customWidth="1"/>
    <col min="2" max="7" width="16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ht="14.25" customHeight="1" x14ac:dyDescent="0.3">
      <c r="A2" s="5"/>
      <c r="B2" s="105" t="s">
        <v>334</v>
      </c>
      <c r="C2" s="105"/>
      <c r="D2" s="105"/>
      <c r="E2" s="105"/>
      <c r="F2" s="105"/>
      <c r="G2" s="105"/>
    </row>
    <row r="3" spans="1:7" ht="14.25" customHeight="1" x14ac:dyDescent="0.3">
      <c r="A3" s="5"/>
      <c r="B3" s="7" t="s">
        <v>92</v>
      </c>
      <c r="C3" s="19">
        <v>44621</v>
      </c>
      <c r="D3" s="19">
        <v>44986</v>
      </c>
      <c r="E3" s="19">
        <v>45352</v>
      </c>
      <c r="F3" s="19">
        <v>45717</v>
      </c>
      <c r="G3" s="19">
        <v>46082</v>
      </c>
    </row>
    <row r="4" spans="1:7" ht="14.25" customHeight="1" x14ac:dyDescent="0.3">
      <c r="A4" s="2"/>
      <c r="B4" s="2" t="s">
        <v>335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</row>
    <row r="5" spans="1:7" ht="14.25" customHeight="1" x14ac:dyDescent="0.3">
      <c r="A5" s="2"/>
      <c r="B5" s="2" t="s">
        <v>247</v>
      </c>
      <c r="C5" s="47">
        <f>IFERROR('Historical FS'!C64,0)</f>
        <v>100.36</v>
      </c>
      <c r="D5" s="47">
        <f>IFERROR('Historical FS'!D64,0)</f>
        <v>112.43</v>
      </c>
      <c r="E5" s="47">
        <f>IFERROR('Historical FS'!E64,0)</f>
        <v>195.97</v>
      </c>
      <c r="F5" s="47">
        <f>IFERROR('Historical FS'!F64,0)</f>
        <v>237.49</v>
      </c>
      <c r="G5" s="47">
        <f>IFERROR('Historical FS'!G64,0)</f>
        <v>186.82</v>
      </c>
    </row>
    <row r="6" spans="1:7" ht="14.25" customHeight="1" x14ac:dyDescent="0.3">
      <c r="A6" s="2"/>
      <c r="B6" s="37" t="s">
        <v>257</v>
      </c>
      <c r="C6" s="47">
        <f>IFERROR('Data Sheet'!C50,0)</f>
        <v>75.41</v>
      </c>
      <c r="D6" s="47">
        <f>IFERROR('Data Sheet'!D50,0)</f>
        <v>84.62</v>
      </c>
      <c r="E6" s="47">
        <f>IFERROR('Data Sheet'!E50,0)</f>
        <v>121.57</v>
      </c>
      <c r="F6" s="47">
        <f>IFERROR('Data Sheet'!F50,0)</f>
        <v>175.35</v>
      </c>
      <c r="G6" s="47">
        <f>IFERROR('Data Sheet'!G50,0)</f>
        <v>198.2</v>
      </c>
    </row>
    <row r="7" spans="1:7" ht="14.25" customHeight="1" x14ac:dyDescent="0.3">
      <c r="A7" s="2"/>
      <c r="B7" s="52" t="s">
        <v>336</v>
      </c>
      <c r="C7" s="53">
        <f>IFERROR(C4+C5-C6,0)</f>
        <v>24.950000000000003</v>
      </c>
      <c r="D7" s="53">
        <f>IFERROR(D4+D5-D6,0)</f>
        <v>27.810000000000002</v>
      </c>
      <c r="E7" s="53">
        <f>IFERROR(E4+E5-E6,0)</f>
        <v>74.400000000000006</v>
      </c>
      <c r="F7" s="53">
        <f>IFERROR(F4+F5-F6,0)</f>
        <v>62.140000000000015</v>
      </c>
      <c r="G7" s="53">
        <f>IFERROR(G4+G5-G6,0)</f>
        <v>-11.379999999999995</v>
      </c>
    </row>
    <row r="8" spans="1:7" ht="14.25" customHeight="1" x14ac:dyDescent="0.3">
      <c r="A8" s="40"/>
      <c r="B8" s="54"/>
      <c r="C8" s="54"/>
      <c r="D8" s="54"/>
      <c r="E8" s="54"/>
      <c r="F8" s="54"/>
      <c r="G8" s="54"/>
    </row>
    <row r="9" spans="1:7" ht="14.25" customHeight="1" x14ac:dyDescent="0.3">
      <c r="A9" s="2"/>
      <c r="B9" s="2" t="s">
        <v>337</v>
      </c>
      <c r="C9" s="2"/>
      <c r="D9" s="47">
        <f>IFERROR(D7-C7,0)</f>
        <v>2.8599999999999994</v>
      </c>
      <c r="E9" s="47">
        <f>IFERROR(E7-D7,0)</f>
        <v>46.59</v>
      </c>
      <c r="F9" s="47">
        <f>IFERROR(F7-E7,0)</f>
        <v>-12.259999999999991</v>
      </c>
      <c r="G9" s="47">
        <f>IFERROR(G7-F7,0)</f>
        <v>-73.52000000000001</v>
      </c>
    </row>
    <row r="10" spans="1:7" ht="14.25" customHeight="1" x14ac:dyDescent="0.3">
      <c r="A10" s="2"/>
      <c r="B10" s="37" t="s">
        <v>338</v>
      </c>
      <c r="C10" s="37"/>
      <c r="D10" s="34">
        <f>IFERROR(D9/'Historical FS'!D6,0)</f>
        <v>1.0079828008529084E-3</v>
      </c>
      <c r="E10" s="34">
        <f>IFERROR(E9/'Historical FS'!E6,0)</f>
        <v>1.239679317125349E-2</v>
      </c>
      <c r="F10" s="34">
        <f>IFERROR(F9/'Historical FS'!F6,0)</f>
        <v>-2.4631680037289052E-3</v>
      </c>
      <c r="G10" s="34">
        <f>IFERROR(G9/'Historical FS'!G6,0)</f>
        <v>-1.275363726726607E-2</v>
      </c>
    </row>
    <row r="11" spans="1:7" ht="14.25" customHeight="1" x14ac:dyDescent="0.3">
      <c r="A11" s="40"/>
      <c r="B11" s="54"/>
      <c r="C11" s="54"/>
      <c r="D11" s="44"/>
      <c r="E11" s="44"/>
      <c r="F11" s="44"/>
      <c r="G11" s="44"/>
    </row>
    <row r="12" spans="1:7" ht="14.25" customHeight="1" x14ac:dyDescent="0.3">
      <c r="A12" s="2"/>
      <c r="B12" s="2" t="s">
        <v>339</v>
      </c>
      <c r="C12" s="2"/>
      <c r="D12" s="34">
        <f>IFERROR(MEDIAN(D10:G10),0)</f>
        <v>-7.2759260143799836E-4</v>
      </c>
      <c r="E12" s="34"/>
      <c r="F12" s="34"/>
      <c r="G12" s="34"/>
    </row>
    <row r="13" spans="1:7" ht="14.25" customHeight="1" x14ac:dyDescent="0.3">
      <c r="A13" s="2"/>
      <c r="B13" s="2" t="s">
        <v>340</v>
      </c>
      <c r="C13" s="2"/>
      <c r="D13" s="34">
        <f>IFERROR(AVERAGE(D10:G10),0)</f>
        <v>-4.5300732472214377E-4</v>
      </c>
      <c r="E13" s="34"/>
      <c r="F13" s="34"/>
      <c r="G13" s="34"/>
    </row>
    <row r="14" spans="1:7" x14ac:dyDescent="0.3">
      <c r="A14" s="40"/>
      <c r="B14" s="40"/>
      <c r="C14" s="40"/>
      <c r="D14" s="40"/>
      <c r="E14" s="40"/>
      <c r="F14" s="40"/>
      <c r="G14" s="40"/>
    </row>
    <row r="15" spans="1:7" x14ac:dyDescent="0.3">
      <c r="A15" s="40"/>
      <c r="B15" s="40"/>
      <c r="C15" s="40"/>
      <c r="D15" s="40"/>
      <c r="E15" s="40"/>
      <c r="F15" s="40"/>
      <c r="G15" s="40"/>
    </row>
    <row r="16" spans="1:7" x14ac:dyDescent="0.3">
      <c r="A16" s="40"/>
      <c r="B16" s="40"/>
      <c r="C16" s="40"/>
      <c r="D16" s="40"/>
      <c r="E16" s="40"/>
      <c r="F16" s="40"/>
      <c r="G16" s="40"/>
    </row>
    <row r="17" spans="1:7" x14ac:dyDescent="0.3">
      <c r="A17" s="40"/>
      <c r="B17" s="40"/>
      <c r="C17" s="40"/>
      <c r="D17" s="40"/>
      <c r="E17" s="40"/>
      <c r="F17" s="40"/>
      <c r="G17" s="40"/>
    </row>
    <row r="18" spans="1:7" x14ac:dyDescent="0.3">
      <c r="A18" s="40"/>
      <c r="B18" s="40"/>
      <c r="C18" s="40"/>
      <c r="D18" s="40"/>
      <c r="E18" s="40"/>
      <c r="F18" s="40"/>
      <c r="G18" s="40"/>
    </row>
    <row r="19" spans="1:7" x14ac:dyDescent="0.3">
      <c r="A19" s="40"/>
      <c r="B19" s="40"/>
      <c r="C19" s="40"/>
      <c r="D19" s="40"/>
      <c r="E19" s="40"/>
      <c r="F19" s="40"/>
      <c r="G19" s="40"/>
    </row>
    <row r="20" spans="1:7" ht="14.25" customHeight="1" x14ac:dyDescent="0.3">
      <c r="A20" s="2"/>
      <c r="B20" s="2"/>
      <c r="C20" s="2"/>
      <c r="D20" s="2"/>
      <c r="E20" s="2" t="s">
        <v>303</v>
      </c>
      <c r="F20" s="2"/>
      <c r="G20" s="2"/>
    </row>
  </sheetData>
  <mergeCells count="1">
    <mergeCell ref="B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showGridLines="0" zoomScaleNormal="100" workbookViewId="0">
      <pane ySplit="1" topLeftCell="A2" activePane="bottomLeft" state="frozen"/>
      <selection pane="bottomLeft" activeCell="K19" sqref="K19"/>
    </sheetView>
  </sheetViews>
  <sheetFormatPr defaultColWidth="8.6640625" defaultRowHeight="14.4" x14ac:dyDescent="0.3"/>
  <cols>
    <col min="1" max="1" width="40" customWidth="1"/>
    <col min="2" max="7" width="16" customWidth="1"/>
  </cols>
  <sheetData>
    <row r="1" spans="1:7" x14ac:dyDescent="0.3">
      <c r="A1" s="2"/>
      <c r="B1" s="2"/>
      <c r="C1" s="2"/>
      <c r="D1" s="2"/>
      <c r="E1" s="2"/>
      <c r="F1" s="2"/>
      <c r="G1" s="2"/>
    </row>
    <row r="2" spans="1:7" ht="14.25" customHeight="1" x14ac:dyDescent="0.3">
      <c r="A2" s="5"/>
      <c r="B2" s="105" t="s">
        <v>341</v>
      </c>
      <c r="C2" s="105"/>
      <c r="D2" s="105"/>
      <c r="E2" s="105"/>
      <c r="F2" s="105"/>
      <c r="G2" s="105"/>
    </row>
    <row r="3" spans="1:7" ht="14.25" customHeight="1" x14ac:dyDescent="0.3">
      <c r="A3" s="5"/>
      <c r="B3" s="7" t="s">
        <v>92</v>
      </c>
      <c r="C3" s="19">
        <v>44621</v>
      </c>
      <c r="D3" s="19">
        <v>44986</v>
      </c>
      <c r="E3" s="19">
        <v>45352</v>
      </c>
      <c r="F3" s="19">
        <v>45717</v>
      </c>
      <c r="G3" s="19">
        <v>46082</v>
      </c>
    </row>
    <row r="4" spans="1:7" ht="14.25" customHeight="1" x14ac:dyDescent="0.3">
      <c r="A4" s="2"/>
      <c r="B4" s="2" t="s">
        <v>222</v>
      </c>
      <c r="C4" s="28">
        <f>IFERROR('Historical FS'!C24,0)</f>
        <v>1927.8100000000002</v>
      </c>
      <c r="D4" s="28">
        <f>IFERROR('Historical FS'!D24,0)</f>
        <v>2006.3400000000001</v>
      </c>
      <c r="E4" s="28">
        <f>IFERROR('Historical FS'!E24,0)</f>
        <v>2695.13</v>
      </c>
      <c r="F4" s="28">
        <f>IFERROR('Historical FS'!F24,0)</f>
        <v>3530.7099999999996</v>
      </c>
      <c r="G4" s="28">
        <f>IFERROR('Historical FS'!G24,0)</f>
        <v>4170.5499999999993</v>
      </c>
    </row>
    <row r="5" spans="1:7" ht="14.25" customHeight="1" x14ac:dyDescent="0.3">
      <c r="A5" s="2"/>
      <c r="B5" s="2" t="s">
        <v>342</v>
      </c>
      <c r="C5" s="28">
        <f>IFERROR(25%*C4,0)</f>
        <v>481.95250000000004</v>
      </c>
      <c r="D5" s="28">
        <f>IFERROR(25%*D4,0)</f>
        <v>501.58500000000004</v>
      </c>
      <c r="E5" s="28">
        <f>IFERROR(25%*E4,0)</f>
        <v>673.78250000000003</v>
      </c>
      <c r="F5" s="28">
        <f>IFERROR(25%*F4,0)</f>
        <v>882.6774999999999</v>
      </c>
      <c r="G5" s="28">
        <f>IFERROR(25%*G4,0)</f>
        <v>1042.6374999999998</v>
      </c>
    </row>
    <row r="6" spans="1:7" ht="14.25" customHeight="1" x14ac:dyDescent="0.3">
      <c r="A6" s="2"/>
      <c r="B6" s="2" t="s">
        <v>343</v>
      </c>
      <c r="C6" s="28">
        <f>IFERROR(C4-C5,0)</f>
        <v>1445.8575000000001</v>
      </c>
      <c r="D6" s="28">
        <f>IFERROR(D4-D5,0)</f>
        <v>1504.7550000000001</v>
      </c>
      <c r="E6" s="28">
        <f>IFERROR(E4-E5,0)</f>
        <v>2021.3475000000001</v>
      </c>
      <c r="F6" s="28">
        <f>IFERROR(F4-F5,0)</f>
        <v>2648.0324999999998</v>
      </c>
      <c r="G6" s="28">
        <f>IFERROR(G4-G5,0)</f>
        <v>3127.9124999999995</v>
      </c>
    </row>
    <row r="7" spans="1:7" ht="14.25" customHeight="1" x14ac:dyDescent="0.3">
      <c r="A7" s="2"/>
      <c r="B7" s="2" t="s">
        <v>344</v>
      </c>
      <c r="C7" s="2"/>
      <c r="D7" s="28">
        <f>IFERROR('Fixed Assets Schedule'!D10,0)</f>
        <v>104.34000000000003</v>
      </c>
      <c r="E7" s="28">
        <f>IFERROR('Fixed Assets Schedule'!E10,0)</f>
        <v>50.969999999999956</v>
      </c>
      <c r="F7" s="28">
        <f>IFERROR('Fixed Assets Schedule'!F10,0)</f>
        <v>111.09999999999995</v>
      </c>
      <c r="G7" s="28">
        <f>IFERROR('Fixed Assets Schedule'!G10,0)</f>
        <v>321.15000000000009</v>
      </c>
    </row>
    <row r="8" spans="1:7" ht="14.25" customHeight="1" x14ac:dyDescent="0.3">
      <c r="A8" s="2"/>
      <c r="B8" s="2" t="s">
        <v>345</v>
      </c>
      <c r="C8" s="2"/>
      <c r="D8" s="28">
        <f>IFERROR('Changes In Working Capital'!D9,0)</f>
        <v>2.8599999999999994</v>
      </c>
      <c r="E8" s="28">
        <f>IFERROR('Changes In Working Capital'!E9,0)</f>
        <v>46.59</v>
      </c>
      <c r="F8" s="28">
        <f>IFERROR('Changes In Working Capital'!F9,0)</f>
        <v>-12.259999999999991</v>
      </c>
      <c r="G8" s="28">
        <f>IFERROR('Changes In Working Capital'!G9,0)</f>
        <v>-73.52000000000001</v>
      </c>
    </row>
    <row r="9" spans="1:7" ht="14.25" customHeight="1" x14ac:dyDescent="0.3">
      <c r="A9" s="2"/>
      <c r="B9" s="2" t="s">
        <v>346</v>
      </c>
      <c r="C9" s="2"/>
      <c r="D9" s="28">
        <f>IFERROR(SUM(D7+D8),0)</f>
        <v>107.20000000000003</v>
      </c>
      <c r="E9" s="28">
        <f>IFERROR(SUM(E7+E8),0)</f>
        <v>97.55999999999996</v>
      </c>
      <c r="F9" s="28">
        <f>IFERROR(SUM(F7+F8),0)</f>
        <v>98.839999999999961</v>
      </c>
      <c r="G9" s="28">
        <f>IFERROR(SUM(G7+G8),0)</f>
        <v>247.63000000000008</v>
      </c>
    </row>
    <row r="10" spans="1:7" ht="14.25" customHeight="1" x14ac:dyDescent="0.3">
      <c r="A10" s="2"/>
      <c r="B10" s="55" t="s">
        <v>347</v>
      </c>
      <c r="C10" s="55"/>
      <c r="D10" s="56">
        <f>IFERROR(D6-D9,0)</f>
        <v>1397.5550000000001</v>
      </c>
      <c r="E10" s="56">
        <f>IFERROR(E6-E9,0)</f>
        <v>1923.7875000000001</v>
      </c>
      <c r="F10" s="56">
        <f>IFERROR(F6-F9,0)</f>
        <v>2549.1924999999997</v>
      </c>
      <c r="G10" s="56">
        <f>IFERROR(G6-G9,0)</f>
        <v>2880.2824999999993</v>
      </c>
    </row>
    <row r="11" spans="1:7" ht="14.25" customHeight="1" x14ac:dyDescent="0.3">
      <c r="A11" s="40"/>
      <c r="B11" s="40"/>
      <c r="C11" s="40"/>
      <c r="D11" s="40"/>
      <c r="E11" s="40"/>
      <c r="F11" s="40"/>
      <c r="G11" s="40"/>
    </row>
    <row r="12" spans="1:7" ht="14.25" customHeight="1" x14ac:dyDescent="0.3">
      <c r="A12" s="2"/>
      <c r="B12" s="2" t="s">
        <v>348</v>
      </c>
      <c r="C12" s="2"/>
      <c r="D12" s="25">
        <f>IFERROR(D9/D6,0)</f>
        <v>7.1240833225342345E-2</v>
      </c>
      <c r="E12" s="25">
        <f>IFERROR(E9/E6,0)</f>
        <v>4.8264833236244614E-2</v>
      </c>
      <c r="F12" s="25">
        <f>IFERROR(F9/F6,0)</f>
        <v>3.7325825872605405E-2</v>
      </c>
      <c r="G12" s="25">
        <f>IFERROR(G9/G6,0)</f>
        <v>7.9167815595864693E-2</v>
      </c>
    </row>
    <row r="13" spans="1:7" ht="14.25" customHeight="1" x14ac:dyDescent="0.3">
      <c r="A13" s="2"/>
      <c r="B13" s="2" t="s">
        <v>349</v>
      </c>
      <c r="C13" s="2"/>
      <c r="D13" s="25">
        <f>IFERROR(MEDIAN(D12:G12),0)</f>
        <v>5.975283323079348E-2</v>
      </c>
      <c r="E13" s="25"/>
      <c r="F13" s="2"/>
      <c r="G13" s="2"/>
    </row>
    <row r="14" spans="1:7" ht="14.25" customHeight="1" x14ac:dyDescent="0.3">
      <c r="A14" s="2"/>
      <c r="B14" s="2" t="s">
        <v>350</v>
      </c>
      <c r="C14" s="2"/>
      <c r="D14" s="25">
        <f>IFERROR(AVERAGE(D12:G12),0)</f>
        <v>5.8999826982514263E-2</v>
      </c>
      <c r="E14" s="25"/>
      <c r="F14" s="2"/>
      <c r="G14" s="2"/>
    </row>
  </sheetData>
  <mergeCells count="1">
    <mergeCell ref="B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2"/>
  <sheetViews>
    <sheetView showGridLines="0" zoomScaleNormal="100" workbookViewId="0">
      <pane ySplit="1" topLeftCell="A2" activePane="bottomLeft" state="frozen"/>
      <selection pane="bottomLeft" activeCell="I7" sqref="I7:I72"/>
    </sheetView>
  </sheetViews>
  <sheetFormatPr defaultColWidth="8.6640625" defaultRowHeight="14.4" x14ac:dyDescent="0.3"/>
  <cols>
    <col min="1" max="1" width="40" customWidth="1"/>
    <col min="2" max="4" width="16" bestFit="1" customWidth="1"/>
    <col min="5" max="5" width="16" customWidth="1"/>
    <col min="6" max="9" width="16" bestFit="1" customWidth="1"/>
    <col min="10" max="10" width="16" customWidth="1"/>
    <col min="11" max="12" width="16" bestFit="1" customWidth="1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 x14ac:dyDescent="0.3">
      <c r="A2" s="5"/>
      <c r="B2" s="5"/>
      <c r="C2" s="5"/>
      <c r="D2" s="5" t="s">
        <v>351</v>
      </c>
      <c r="E2" s="5"/>
      <c r="F2" s="5"/>
      <c r="G2" s="5"/>
      <c r="H2" s="5"/>
      <c r="I2" s="5"/>
      <c r="J2" s="5"/>
      <c r="K2" s="5"/>
      <c r="L2" s="5"/>
    </row>
    <row r="3" spans="1:12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.25" customHeight="1" x14ac:dyDescent="0.3">
      <c r="A4" s="2"/>
      <c r="B4" s="2" t="s">
        <v>352</v>
      </c>
      <c r="C4" s="2"/>
      <c r="D4" s="2"/>
      <c r="E4" s="2"/>
      <c r="F4" s="2"/>
      <c r="G4" s="2" t="s">
        <v>353</v>
      </c>
      <c r="H4" s="2"/>
      <c r="I4" s="2"/>
      <c r="J4" s="2"/>
      <c r="K4" s="2" t="s">
        <v>354</v>
      </c>
      <c r="L4" s="2"/>
    </row>
    <row r="5" spans="1:12" ht="14.25" customHeight="1" x14ac:dyDescent="0.3">
      <c r="A5" s="5"/>
      <c r="B5" s="57" t="s">
        <v>355</v>
      </c>
      <c r="C5" s="57" t="s">
        <v>356</v>
      </c>
      <c r="D5" s="7" t="s">
        <v>357</v>
      </c>
      <c r="E5" s="7"/>
      <c r="F5" s="7"/>
      <c r="G5" s="57" t="s">
        <v>355</v>
      </c>
      <c r="H5" s="57" t="s">
        <v>356</v>
      </c>
      <c r="I5" s="7" t="s">
        <v>357</v>
      </c>
      <c r="J5" s="7"/>
      <c r="K5" s="7"/>
      <c r="L5" s="7"/>
    </row>
    <row r="6" spans="1:12" ht="14.25" customHeight="1" x14ac:dyDescent="0.3">
      <c r="A6" s="2"/>
      <c r="B6" s="58">
        <v>46010</v>
      </c>
      <c r="C6" s="59">
        <v>2586.699951171875</v>
      </c>
      <c r="D6" s="2"/>
      <c r="E6" s="2"/>
      <c r="F6" s="2"/>
      <c r="G6" s="58">
        <v>46010</v>
      </c>
      <c r="H6" s="59">
        <v>25966.400390625</v>
      </c>
      <c r="I6" s="2"/>
      <c r="J6" s="2"/>
      <c r="K6" s="2"/>
      <c r="L6" s="2">
        <f>IFERROR(SLOPE(D7:D72,I7:I72),0)</f>
        <v>1.5052514295632935</v>
      </c>
    </row>
    <row r="7" spans="1:12" ht="14.25" customHeight="1" x14ac:dyDescent="0.3">
      <c r="A7" s="2"/>
      <c r="B7" s="58">
        <v>46013</v>
      </c>
      <c r="C7" s="59">
        <v>2610.10009765625</v>
      </c>
      <c r="D7" s="49">
        <f t="shared" ref="D7:D38" si="0">C7/C6-1</f>
        <v>9.0463319774578554E-3</v>
      </c>
      <c r="E7" s="2"/>
      <c r="F7" s="2"/>
      <c r="G7" s="58">
        <v>46013</v>
      </c>
      <c r="H7" s="59">
        <v>26172.400390625</v>
      </c>
      <c r="I7" s="49">
        <f t="shared" ref="I7:I38" si="1">H7/H6-1</f>
        <v>7.9333291061156608E-3</v>
      </c>
      <c r="J7" s="2"/>
      <c r="K7" s="2"/>
      <c r="L7" s="2">
        <f>IFERROR(COVAR(D7:D72,I7:I72)/VAR(I7:I72),0)</f>
        <v>1.4824445897214253</v>
      </c>
    </row>
    <row r="8" spans="1:12" ht="14.25" customHeight="1" x14ac:dyDescent="0.3">
      <c r="A8" s="2"/>
      <c r="B8" s="58">
        <v>46014</v>
      </c>
      <c r="C8" s="59">
        <v>2609.300048828125</v>
      </c>
      <c r="D8" s="49">
        <f t="shared" si="0"/>
        <v>-3.0652036251155312E-4</v>
      </c>
      <c r="E8" s="2"/>
      <c r="F8" s="2"/>
      <c r="G8" s="58">
        <v>46014</v>
      </c>
      <c r="H8" s="59">
        <v>26177.150390625</v>
      </c>
      <c r="I8" s="49">
        <f t="shared" si="1"/>
        <v>1.8148889399149937E-4</v>
      </c>
      <c r="J8" s="2"/>
      <c r="K8" s="2"/>
      <c r="L8" s="2">
        <f>IFERROR(L6,0)</f>
        <v>1.5052514295632935</v>
      </c>
    </row>
    <row r="9" spans="1:12" ht="14.25" customHeight="1" x14ac:dyDescent="0.3">
      <c r="A9" s="2"/>
      <c r="B9" s="58">
        <v>46015</v>
      </c>
      <c r="C9" s="59">
        <v>2639.35009765625</v>
      </c>
      <c r="D9" s="49">
        <f t="shared" si="0"/>
        <v>1.1516517175409247E-2</v>
      </c>
      <c r="E9" s="2"/>
      <c r="F9" s="2"/>
      <c r="G9" s="58">
        <v>46015</v>
      </c>
      <c r="H9" s="59">
        <v>26142.099609375</v>
      </c>
      <c r="I9" s="49">
        <f t="shared" si="1"/>
        <v>-1.3389838361685946E-3</v>
      </c>
      <c r="J9" s="2"/>
      <c r="K9" s="2"/>
      <c r="L9" s="2"/>
    </row>
    <row r="10" spans="1:12" ht="14.25" customHeight="1" x14ac:dyDescent="0.3">
      <c r="A10" s="2"/>
      <c r="B10" s="58">
        <v>46017</v>
      </c>
      <c r="C10" s="59">
        <v>2629.89990234375</v>
      </c>
      <c r="D10" s="49">
        <f t="shared" si="0"/>
        <v>-3.5805008668201577E-3</v>
      </c>
      <c r="E10" s="2"/>
      <c r="F10" s="2"/>
      <c r="G10" s="58">
        <v>46017</v>
      </c>
      <c r="H10" s="59">
        <v>26042.30078125</v>
      </c>
      <c r="I10" s="49">
        <f t="shared" si="1"/>
        <v>-3.8175521330050532E-3</v>
      </c>
      <c r="J10" s="2"/>
      <c r="K10" s="2"/>
      <c r="L10" s="2"/>
    </row>
    <row r="11" spans="1:12" ht="14.25" customHeight="1" x14ac:dyDescent="0.3">
      <c r="A11" s="2"/>
      <c r="B11" s="58">
        <v>46020</v>
      </c>
      <c r="C11" s="59">
        <v>2658.5</v>
      </c>
      <c r="D11" s="49">
        <f t="shared" si="0"/>
        <v>1.0874975747465543E-2</v>
      </c>
      <c r="E11" s="2"/>
      <c r="F11" s="2"/>
      <c r="G11" s="58">
        <v>46020</v>
      </c>
      <c r="H11" s="59">
        <v>25942.099609375</v>
      </c>
      <c r="I11" s="49">
        <f t="shared" si="1"/>
        <v>-3.8476313101776238E-3</v>
      </c>
      <c r="J11" s="2"/>
      <c r="K11" s="2"/>
      <c r="L11" s="2"/>
    </row>
    <row r="12" spans="1:12" ht="14.25" customHeight="1" x14ac:dyDescent="0.3">
      <c r="A12" s="2"/>
      <c r="B12" s="58">
        <v>46021</v>
      </c>
      <c r="C12" s="59">
        <v>2640.699951171875</v>
      </c>
      <c r="D12" s="49">
        <f t="shared" si="0"/>
        <v>-6.6955233508086964E-3</v>
      </c>
      <c r="E12" s="2"/>
      <c r="F12" s="2"/>
      <c r="G12" s="58">
        <v>46021</v>
      </c>
      <c r="H12" s="59">
        <v>25938.849609375</v>
      </c>
      <c r="I12" s="49">
        <f t="shared" si="1"/>
        <v>-1.2527898855285713E-4</v>
      </c>
      <c r="J12" s="2"/>
      <c r="K12" s="2"/>
      <c r="L12" s="2"/>
    </row>
    <row r="13" spans="1:12" ht="14.25" customHeight="1" x14ac:dyDescent="0.3">
      <c r="A13" s="2"/>
      <c r="B13" s="58">
        <v>46022</v>
      </c>
      <c r="C13" s="59">
        <v>2660.89990234375</v>
      </c>
      <c r="D13" s="49">
        <f t="shared" si="0"/>
        <v>7.6494685293233555E-3</v>
      </c>
      <c r="E13" s="2"/>
      <c r="F13" s="2"/>
      <c r="G13" s="58">
        <v>46022</v>
      </c>
      <c r="H13" s="59">
        <v>26129.599609375</v>
      </c>
      <c r="I13" s="49">
        <f t="shared" si="1"/>
        <v>7.3538342244390265E-3</v>
      </c>
      <c r="J13" s="2"/>
      <c r="K13" s="2"/>
      <c r="L13" s="2"/>
    </row>
    <row r="14" spans="1:12" ht="14.25" customHeight="1" x14ac:dyDescent="0.3">
      <c r="A14" s="2"/>
      <c r="B14" s="58">
        <v>46023</v>
      </c>
      <c r="C14" s="59">
        <v>2625.449951171875</v>
      </c>
      <c r="D14" s="49">
        <f t="shared" si="0"/>
        <v>-1.3322542174792229E-2</v>
      </c>
      <c r="E14" s="2"/>
      <c r="F14" s="2"/>
      <c r="G14" s="58">
        <v>46023</v>
      </c>
      <c r="H14" s="59">
        <v>26146.55078125</v>
      </c>
      <c r="I14" s="49">
        <f t="shared" si="1"/>
        <v>6.4873446698032744E-4</v>
      </c>
      <c r="J14" s="2"/>
      <c r="K14" s="2"/>
      <c r="L14" s="2"/>
    </row>
    <row r="15" spans="1:12" ht="14.25" customHeight="1" x14ac:dyDescent="0.3">
      <c r="A15" s="2"/>
      <c r="B15" s="58">
        <v>46024</v>
      </c>
      <c r="C15" s="59">
        <v>2665.550048828125</v>
      </c>
      <c r="D15" s="49">
        <f t="shared" si="0"/>
        <v>1.5273609629599338E-2</v>
      </c>
      <c r="E15" s="2"/>
      <c r="F15" s="2"/>
      <c r="G15" s="58">
        <v>46024</v>
      </c>
      <c r="H15" s="59">
        <v>26328.55078125</v>
      </c>
      <c r="I15" s="49">
        <f t="shared" si="1"/>
        <v>6.9607651702385809E-3</v>
      </c>
      <c r="J15" s="2"/>
      <c r="K15" s="2"/>
      <c r="L15" s="2"/>
    </row>
    <row r="16" spans="1:12" ht="14.25" customHeight="1" x14ac:dyDescent="0.3">
      <c r="A16" s="2"/>
      <c r="B16" s="58">
        <v>46027</v>
      </c>
      <c r="C16" s="59">
        <v>2677.949951171875</v>
      </c>
      <c r="D16" s="49">
        <f t="shared" si="0"/>
        <v>4.6519112815763819E-3</v>
      </c>
      <c r="E16" s="2"/>
      <c r="F16" s="2"/>
      <c r="G16" s="58">
        <v>46027</v>
      </c>
      <c r="H16" s="59">
        <v>26250.30078125</v>
      </c>
      <c r="I16" s="49">
        <f t="shared" si="1"/>
        <v>-2.9720587604740167E-3</v>
      </c>
      <c r="J16" s="2"/>
      <c r="K16" s="2"/>
      <c r="L16" s="2"/>
    </row>
    <row r="17" spans="1:12" ht="14.25" customHeight="1" x14ac:dyDescent="0.3">
      <c r="A17" s="2"/>
      <c r="B17" s="58">
        <v>46028</v>
      </c>
      <c r="C17" s="59">
        <v>2694.5</v>
      </c>
      <c r="D17" s="49">
        <f t="shared" si="0"/>
        <v>6.1801187960524029E-3</v>
      </c>
      <c r="E17" s="2"/>
      <c r="F17" s="2"/>
      <c r="G17" s="58">
        <v>46028</v>
      </c>
      <c r="H17" s="59">
        <v>26178.69921875</v>
      </c>
      <c r="I17" s="49">
        <f t="shared" si="1"/>
        <v>-2.7276473171363724E-3</v>
      </c>
      <c r="J17" s="2"/>
      <c r="K17" s="2"/>
      <c r="L17" s="2"/>
    </row>
    <row r="18" spans="1:12" ht="14.25" customHeight="1" x14ac:dyDescent="0.3">
      <c r="A18" s="2"/>
      <c r="B18" s="58">
        <v>46029</v>
      </c>
      <c r="C18" s="59">
        <v>2695.300048828125</v>
      </c>
      <c r="D18" s="49">
        <f t="shared" si="0"/>
        <v>2.9691921622743145E-4</v>
      </c>
      <c r="E18" s="2"/>
      <c r="F18" s="2"/>
      <c r="G18" s="58">
        <v>46029</v>
      </c>
      <c r="H18" s="59">
        <v>26140.75</v>
      </c>
      <c r="I18" s="49">
        <f t="shared" si="1"/>
        <v>-1.4496220164682549E-3</v>
      </c>
      <c r="J18" s="2"/>
      <c r="K18" s="2"/>
      <c r="L18" s="2"/>
    </row>
    <row r="19" spans="1:12" ht="14.25" customHeight="1" x14ac:dyDescent="0.3">
      <c r="A19" s="2"/>
      <c r="B19" s="58">
        <v>46030</v>
      </c>
      <c r="C19" s="59">
        <v>2717.550048828125</v>
      </c>
      <c r="D19" s="49">
        <f t="shared" si="0"/>
        <v>8.2551105987898055E-3</v>
      </c>
      <c r="E19" s="2"/>
      <c r="F19" s="2"/>
      <c r="G19" s="58">
        <v>46030</v>
      </c>
      <c r="H19" s="59">
        <v>25876.849609375</v>
      </c>
      <c r="I19" s="49">
        <f t="shared" si="1"/>
        <v>-1.0095364158449915E-2</v>
      </c>
      <c r="J19" s="2"/>
      <c r="K19" s="2"/>
      <c r="L19" s="2"/>
    </row>
    <row r="20" spans="1:12" ht="14.25" customHeight="1" x14ac:dyDescent="0.3">
      <c r="A20" s="2"/>
      <c r="B20" s="58">
        <v>46031</v>
      </c>
      <c r="C20" s="59">
        <v>2664.60009765625</v>
      </c>
      <c r="D20" s="49">
        <f t="shared" si="0"/>
        <v>-1.9484443789621553E-2</v>
      </c>
      <c r="E20" s="2"/>
      <c r="F20" s="2"/>
      <c r="G20" s="58">
        <v>46031</v>
      </c>
      <c r="H20" s="59">
        <v>25683.30078125</v>
      </c>
      <c r="I20" s="49">
        <f t="shared" si="1"/>
        <v>-7.4796132854935138E-3</v>
      </c>
      <c r="J20" s="2"/>
      <c r="K20" s="2"/>
      <c r="L20" s="2"/>
    </row>
    <row r="21" spans="1:12" ht="14.25" customHeight="1" x14ac:dyDescent="0.3">
      <c r="A21" s="2"/>
      <c r="B21" s="58">
        <v>46034</v>
      </c>
      <c r="C21" s="59">
        <v>2629.10009765625</v>
      </c>
      <c r="D21" s="49">
        <f t="shared" si="0"/>
        <v>-1.3322824701247016E-2</v>
      </c>
      <c r="E21" s="2"/>
      <c r="F21" s="2"/>
      <c r="G21" s="58">
        <v>46034</v>
      </c>
      <c r="H21" s="59">
        <v>25790.25</v>
      </c>
      <c r="I21" s="49">
        <f t="shared" si="1"/>
        <v>4.1641539637333747E-3</v>
      </c>
      <c r="J21" s="2"/>
      <c r="K21" s="2"/>
      <c r="L21" s="2"/>
    </row>
    <row r="22" spans="1:12" ht="14.25" customHeight="1" x14ac:dyDescent="0.3">
      <c r="A22" s="2"/>
      <c r="B22" s="58">
        <v>46035</v>
      </c>
      <c r="C22" s="59">
        <v>2671.800048828125</v>
      </c>
      <c r="D22" s="49">
        <f t="shared" si="0"/>
        <v>1.6241280128489688E-2</v>
      </c>
      <c r="E22" s="2"/>
      <c r="F22" s="2"/>
      <c r="G22" s="58">
        <v>46035</v>
      </c>
      <c r="H22" s="59">
        <v>25732.30078125</v>
      </c>
      <c r="I22" s="49">
        <f t="shared" si="1"/>
        <v>-2.2469428853927331E-3</v>
      </c>
      <c r="J22" s="2"/>
      <c r="K22" s="2"/>
      <c r="L22" s="2"/>
    </row>
    <row r="23" spans="1:12" ht="14.25" customHeight="1" x14ac:dyDescent="0.3">
      <c r="A23" s="2"/>
      <c r="B23" s="58">
        <v>46036</v>
      </c>
      <c r="C23" s="59">
        <v>2735.550048828125</v>
      </c>
      <c r="D23" s="49">
        <f t="shared" si="0"/>
        <v>2.3860318450088069E-2</v>
      </c>
      <c r="E23" s="2"/>
      <c r="F23" s="2"/>
      <c r="G23" s="58">
        <v>46036</v>
      </c>
      <c r="H23" s="59">
        <v>25665.599609375</v>
      </c>
      <c r="I23" s="49">
        <f t="shared" si="1"/>
        <v>-2.59211846006413E-3</v>
      </c>
      <c r="J23" s="2"/>
      <c r="K23" s="2"/>
      <c r="L23" s="2"/>
    </row>
    <row r="24" spans="1:12" ht="14.25" customHeight="1" x14ac:dyDescent="0.3">
      <c r="A24" s="2"/>
      <c r="B24" s="58">
        <v>46038</v>
      </c>
      <c r="C24" s="59">
        <v>2933.550048828125</v>
      </c>
      <c r="D24" s="49">
        <f t="shared" si="0"/>
        <v>7.2380324419515141E-2</v>
      </c>
      <c r="E24" s="2"/>
      <c r="F24" s="2"/>
      <c r="G24" s="58">
        <v>46038</v>
      </c>
      <c r="H24" s="59">
        <v>25694.349609375</v>
      </c>
      <c r="I24" s="49">
        <f t="shared" si="1"/>
        <v>1.1201764399650926E-3</v>
      </c>
      <c r="J24" s="2"/>
      <c r="K24" s="2"/>
      <c r="L24" s="2"/>
    </row>
    <row r="25" spans="1:12" ht="14.25" customHeight="1" x14ac:dyDescent="0.3">
      <c r="A25" s="2"/>
      <c r="B25" s="58">
        <v>46041</v>
      </c>
      <c r="C25" s="59">
        <v>2921.39990234375</v>
      </c>
      <c r="D25" s="49">
        <f t="shared" si="0"/>
        <v>-4.1417893958307639E-3</v>
      </c>
      <c r="E25" s="2"/>
      <c r="F25" s="2"/>
      <c r="G25" s="58">
        <v>46041</v>
      </c>
      <c r="H25" s="59">
        <v>25585.5</v>
      </c>
      <c r="I25" s="49">
        <f t="shared" si="1"/>
        <v>-4.2363247573811158E-3</v>
      </c>
      <c r="J25" s="2"/>
      <c r="K25" s="2"/>
      <c r="L25" s="2"/>
    </row>
    <row r="26" spans="1:12" ht="14.25" customHeight="1" x14ac:dyDescent="0.3">
      <c r="A26" s="2"/>
      <c r="B26" s="58">
        <v>46042</v>
      </c>
      <c r="C26" s="59">
        <v>2825.60009765625</v>
      </c>
      <c r="D26" s="49">
        <f t="shared" si="0"/>
        <v>-3.2792430988528021E-2</v>
      </c>
      <c r="E26" s="2"/>
      <c r="F26" s="2"/>
      <c r="G26" s="58">
        <v>46042</v>
      </c>
      <c r="H26" s="59">
        <v>25232.5</v>
      </c>
      <c r="I26" s="49">
        <f t="shared" si="1"/>
        <v>-1.3796877137441155E-2</v>
      </c>
      <c r="J26" s="2"/>
      <c r="K26" s="2"/>
      <c r="L26" s="2"/>
    </row>
    <row r="27" spans="1:12" ht="14.25" customHeight="1" x14ac:dyDescent="0.3">
      <c r="A27" s="2"/>
      <c r="B27" s="58">
        <v>46043</v>
      </c>
      <c r="C27" s="59">
        <v>2843.800048828125</v>
      </c>
      <c r="D27" s="49">
        <f t="shared" si="0"/>
        <v>6.4410923495406003E-3</v>
      </c>
      <c r="E27" s="2"/>
      <c r="F27" s="2"/>
      <c r="G27" s="58">
        <v>46043</v>
      </c>
      <c r="H27" s="59">
        <v>25157.5</v>
      </c>
      <c r="I27" s="49">
        <f t="shared" si="1"/>
        <v>-2.9723570791637677E-3</v>
      </c>
      <c r="J27" s="2"/>
      <c r="K27" s="2"/>
      <c r="L27" s="2"/>
    </row>
    <row r="28" spans="1:12" ht="14.25" customHeight="1" x14ac:dyDescent="0.3">
      <c r="A28" s="2"/>
      <c r="B28" s="58">
        <v>46044</v>
      </c>
      <c r="C28" s="59">
        <v>2783.5</v>
      </c>
      <c r="D28" s="49">
        <f t="shared" si="0"/>
        <v>-2.1204039592366386E-2</v>
      </c>
      <c r="E28" s="2"/>
      <c r="F28" s="2"/>
      <c r="G28" s="58">
        <v>46044</v>
      </c>
      <c r="H28" s="59">
        <v>25289.900390625</v>
      </c>
      <c r="I28" s="49">
        <f t="shared" si="1"/>
        <v>5.2628596094603797E-3</v>
      </c>
      <c r="J28" s="2"/>
      <c r="K28" s="2"/>
      <c r="L28" s="2"/>
    </row>
    <row r="29" spans="1:12" ht="14.25" customHeight="1" x14ac:dyDescent="0.3">
      <c r="A29" s="2"/>
      <c r="B29" s="58">
        <v>46045</v>
      </c>
      <c r="C29" s="59">
        <v>2776.050048828125</v>
      </c>
      <c r="D29" s="49">
        <f t="shared" si="0"/>
        <v>-2.6764688959493022E-3</v>
      </c>
      <c r="E29" s="2"/>
      <c r="F29" s="2"/>
      <c r="G29" s="58">
        <v>46045</v>
      </c>
      <c r="H29" s="59">
        <v>25048.650390625</v>
      </c>
      <c r="I29" s="49">
        <f t="shared" si="1"/>
        <v>-9.539381186706164E-3</v>
      </c>
      <c r="J29" s="2"/>
      <c r="K29" s="2"/>
      <c r="L29" s="2"/>
    </row>
    <row r="30" spans="1:12" ht="14.25" customHeight="1" x14ac:dyDescent="0.3">
      <c r="A30" s="2"/>
      <c r="B30" s="58">
        <v>46049</v>
      </c>
      <c r="C30" s="59">
        <v>2708.300048828125</v>
      </c>
      <c r="D30" s="49">
        <f t="shared" si="0"/>
        <v>-2.4405179592709381E-2</v>
      </c>
      <c r="E30" s="2"/>
      <c r="F30" s="2"/>
      <c r="G30" s="58">
        <v>46049</v>
      </c>
      <c r="H30" s="59">
        <v>25175.400390625</v>
      </c>
      <c r="I30" s="49">
        <f t="shared" si="1"/>
        <v>5.0601528634628412E-3</v>
      </c>
      <c r="J30" s="2"/>
      <c r="K30" s="2"/>
      <c r="L30" s="2"/>
    </row>
    <row r="31" spans="1:12" ht="14.25" customHeight="1" x14ac:dyDescent="0.3">
      <c r="A31" s="2"/>
      <c r="B31" s="58">
        <v>46050</v>
      </c>
      <c r="C31" s="59">
        <v>2827.25</v>
      </c>
      <c r="D31" s="49">
        <f t="shared" si="0"/>
        <v>4.392052173958505E-2</v>
      </c>
      <c r="E31" s="2"/>
      <c r="F31" s="2" t="s">
        <v>303</v>
      </c>
      <c r="G31" s="58">
        <v>46050</v>
      </c>
      <c r="H31" s="59">
        <v>25342.75</v>
      </c>
      <c r="I31" s="49">
        <f t="shared" si="1"/>
        <v>6.6473464881742217E-3</v>
      </c>
      <c r="J31" s="2"/>
      <c r="K31" s="2"/>
      <c r="L31" s="2"/>
    </row>
    <row r="32" spans="1:12" ht="14.25" customHeight="1" x14ac:dyDescent="0.3">
      <c r="A32" s="2"/>
      <c r="B32" s="58">
        <v>46051</v>
      </c>
      <c r="C32" s="59">
        <v>2913.050048828125</v>
      </c>
      <c r="D32" s="49">
        <f t="shared" si="0"/>
        <v>3.0347528102617316E-2</v>
      </c>
      <c r="E32" s="2"/>
      <c r="F32" s="2"/>
      <c r="G32" s="58">
        <v>46051</v>
      </c>
      <c r="H32" s="59">
        <v>25418.900390625</v>
      </c>
      <c r="I32" s="49">
        <f t="shared" si="1"/>
        <v>3.0048195489833507E-3</v>
      </c>
      <c r="J32" s="2"/>
      <c r="K32" s="2"/>
      <c r="L32" s="2"/>
    </row>
    <row r="33" spans="1:12" ht="14.25" customHeight="1" x14ac:dyDescent="0.3">
      <c r="A33" s="2"/>
      <c r="B33" s="58">
        <v>46052</v>
      </c>
      <c r="C33" s="59">
        <v>2976.5</v>
      </c>
      <c r="D33" s="49">
        <f t="shared" si="0"/>
        <v>2.1781277392539211E-2</v>
      </c>
      <c r="E33" s="2"/>
      <c r="F33" s="2"/>
      <c r="G33" s="58">
        <v>46052</v>
      </c>
      <c r="H33" s="59">
        <v>25320.650390625</v>
      </c>
      <c r="I33" s="49">
        <f t="shared" si="1"/>
        <v>-3.8652340774046889E-3</v>
      </c>
      <c r="J33" s="2"/>
      <c r="K33" s="2"/>
      <c r="L33" s="2"/>
    </row>
    <row r="34" spans="1:12" ht="14.25" customHeight="1" x14ac:dyDescent="0.3">
      <c r="A34" s="2"/>
      <c r="B34" s="58">
        <v>46055</v>
      </c>
      <c r="C34" s="59">
        <v>2928.89990234375</v>
      </c>
      <c r="D34" s="49">
        <f t="shared" si="0"/>
        <v>-1.599196964765659E-2</v>
      </c>
      <c r="E34" s="2"/>
      <c r="F34" s="2"/>
      <c r="G34" s="58">
        <v>46055</v>
      </c>
      <c r="H34" s="59">
        <v>25088.400390625</v>
      </c>
      <c r="I34" s="49">
        <f t="shared" si="1"/>
        <v>-9.1723552285208898E-3</v>
      </c>
      <c r="J34" s="2"/>
      <c r="K34" s="2"/>
      <c r="L34" s="2"/>
    </row>
    <row r="35" spans="1:12" ht="14.25" customHeight="1" x14ac:dyDescent="0.3">
      <c r="A35" s="2"/>
      <c r="B35" s="58">
        <v>46056</v>
      </c>
      <c r="C35" s="59">
        <v>3060.75</v>
      </c>
      <c r="D35" s="49">
        <f t="shared" si="0"/>
        <v>4.5016935386129608E-2</v>
      </c>
      <c r="E35" s="2"/>
      <c r="F35" s="2"/>
      <c r="G35" s="58">
        <v>46056</v>
      </c>
      <c r="H35" s="59">
        <v>25727.55078125</v>
      </c>
      <c r="I35" s="49">
        <f t="shared" si="1"/>
        <v>2.5475932330218942E-2</v>
      </c>
      <c r="J35" s="2"/>
      <c r="K35" s="2"/>
      <c r="L35" s="2"/>
    </row>
    <row r="36" spans="1:12" ht="14.25" customHeight="1" x14ac:dyDescent="0.3">
      <c r="A36" s="2"/>
      <c r="B36" s="58">
        <v>46057</v>
      </c>
      <c r="C36" s="59">
        <v>3053.75</v>
      </c>
      <c r="D36" s="49">
        <f t="shared" si="0"/>
        <v>-2.2870211549457231E-3</v>
      </c>
      <c r="E36" s="2"/>
      <c r="F36" s="2"/>
      <c r="G36" s="58">
        <v>46057</v>
      </c>
      <c r="H36" s="59">
        <v>25776</v>
      </c>
      <c r="I36" s="49">
        <f t="shared" si="1"/>
        <v>1.8831648283172964E-3</v>
      </c>
      <c r="J36" s="2"/>
      <c r="K36" s="2"/>
      <c r="L36" s="2"/>
    </row>
    <row r="37" spans="1:12" ht="14.25" customHeight="1" x14ac:dyDescent="0.3">
      <c r="A37" s="2"/>
      <c r="B37" s="58">
        <v>46058</v>
      </c>
      <c r="C37" s="59">
        <v>3094.449951171875</v>
      </c>
      <c r="D37" s="49">
        <f t="shared" si="0"/>
        <v>1.3327859573270651E-2</v>
      </c>
      <c r="E37" s="2"/>
      <c r="F37" s="2"/>
      <c r="G37" s="58">
        <v>46058</v>
      </c>
      <c r="H37" s="59">
        <v>25642.80078125</v>
      </c>
      <c r="I37" s="49">
        <f t="shared" si="1"/>
        <v>-5.1675674561607599E-3</v>
      </c>
      <c r="J37" s="2"/>
      <c r="K37" s="2"/>
      <c r="L37" s="2"/>
    </row>
    <row r="38" spans="1:12" ht="14.25" customHeight="1" x14ac:dyDescent="0.3">
      <c r="A38" s="2"/>
      <c r="B38" s="58">
        <v>46059</v>
      </c>
      <c r="C38" s="59">
        <v>3059.64990234375</v>
      </c>
      <c r="D38" s="49">
        <f t="shared" si="0"/>
        <v>-1.124595626920577E-2</v>
      </c>
      <c r="E38" s="2"/>
      <c r="F38" s="2"/>
      <c r="G38" s="58">
        <v>46059</v>
      </c>
      <c r="H38" s="59">
        <v>25693.69921875</v>
      </c>
      <c r="I38" s="49">
        <f t="shared" si="1"/>
        <v>1.9849016468285186E-3</v>
      </c>
      <c r="J38" s="2"/>
      <c r="K38" s="2"/>
      <c r="L38" s="2"/>
    </row>
    <row r="39" spans="1:12" ht="14.25" customHeight="1" x14ac:dyDescent="0.3">
      <c r="A39" s="2"/>
      <c r="B39" s="58">
        <v>46062</v>
      </c>
      <c r="C39" s="59">
        <v>3019.39990234375</v>
      </c>
      <c r="D39" s="49">
        <f t="shared" ref="D39:D70" si="2">C39/C38-1</f>
        <v>-1.3155099859355701E-2</v>
      </c>
      <c r="E39" s="2"/>
      <c r="F39" s="2"/>
      <c r="G39" s="58">
        <v>46062</v>
      </c>
      <c r="H39" s="59">
        <v>25867.30078125</v>
      </c>
      <c r="I39" s="49">
        <f t="shared" ref="I39:I70" si="3">H39/H38-1</f>
        <v>6.7565810988132746E-3</v>
      </c>
      <c r="J39" s="2"/>
      <c r="K39" s="2"/>
      <c r="L39" s="2"/>
    </row>
    <row r="40" spans="1:12" ht="14.25" customHeight="1" x14ac:dyDescent="0.3">
      <c r="A40" s="2"/>
      <c r="B40" s="58">
        <v>46063</v>
      </c>
      <c r="C40" s="59">
        <v>3055.550048828125</v>
      </c>
      <c r="D40" s="49">
        <f t="shared" si="2"/>
        <v>1.1972626234873385E-2</v>
      </c>
      <c r="E40" s="2"/>
      <c r="F40" s="2"/>
      <c r="G40" s="58">
        <v>46063</v>
      </c>
      <c r="H40" s="59">
        <v>25935.150390625</v>
      </c>
      <c r="I40" s="49">
        <f t="shared" si="3"/>
        <v>2.6229876069705504E-3</v>
      </c>
      <c r="J40" s="2"/>
      <c r="K40" s="2"/>
      <c r="L40" s="2"/>
    </row>
    <row r="41" spans="1:12" ht="14.25" customHeight="1" x14ac:dyDescent="0.3">
      <c r="A41" s="2"/>
      <c r="B41" s="58">
        <v>46064</v>
      </c>
      <c r="C41" s="59">
        <v>3044.550048828125</v>
      </c>
      <c r="D41" s="49">
        <f t="shared" si="2"/>
        <v>-3.6000064879377902E-3</v>
      </c>
      <c r="E41" s="2"/>
      <c r="F41" s="2"/>
      <c r="G41" s="58">
        <v>46064</v>
      </c>
      <c r="H41" s="59">
        <v>25953.849609375</v>
      </c>
      <c r="I41" s="49">
        <f t="shared" si="3"/>
        <v>7.2099904833256012E-4</v>
      </c>
      <c r="J41" s="2"/>
      <c r="K41" s="2"/>
      <c r="L41" s="2"/>
    </row>
    <row r="42" spans="1:12" ht="14.25" customHeight="1" x14ac:dyDescent="0.3">
      <c r="A42" s="2"/>
      <c r="B42" s="58">
        <v>46065</v>
      </c>
      <c r="C42" s="59">
        <v>3107.60009765625</v>
      </c>
      <c r="D42" s="49">
        <f t="shared" si="2"/>
        <v>2.070915170285792E-2</v>
      </c>
      <c r="E42" s="2"/>
      <c r="F42" s="2"/>
      <c r="G42" s="58">
        <v>46065</v>
      </c>
      <c r="H42" s="59">
        <v>25807.19921875</v>
      </c>
      <c r="I42" s="49">
        <f t="shared" si="3"/>
        <v>-5.6504292362096198E-3</v>
      </c>
      <c r="J42" s="2"/>
      <c r="K42" s="2"/>
      <c r="L42" s="2"/>
    </row>
    <row r="43" spans="1:12" ht="14.25" customHeight="1" x14ac:dyDescent="0.3">
      <c r="A43" s="2"/>
      <c r="B43" s="58">
        <v>46066</v>
      </c>
      <c r="C43" s="59">
        <v>3008.550048828125</v>
      </c>
      <c r="D43" s="49">
        <f t="shared" si="2"/>
        <v>-3.1873486200115764E-2</v>
      </c>
      <c r="E43" s="2"/>
      <c r="F43" s="2"/>
      <c r="G43" s="58">
        <v>46066</v>
      </c>
      <c r="H43" s="59">
        <v>25471.099609375</v>
      </c>
      <c r="I43" s="49">
        <f t="shared" si="3"/>
        <v>-1.302348257655217E-2</v>
      </c>
      <c r="J43" s="2"/>
      <c r="K43" s="2"/>
      <c r="L43" s="2"/>
    </row>
    <row r="44" spans="1:12" ht="14.25" customHeight="1" x14ac:dyDescent="0.3">
      <c r="A44" s="2"/>
      <c r="B44" s="58">
        <v>46069</v>
      </c>
      <c r="C44" s="59">
        <v>3045.39990234375</v>
      </c>
      <c r="D44" s="49">
        <f t="shared" si="2"/>
        <v>1.2248376433019237E-2</v>
      </c>
      <c r="E44" s="2"/>
      <c r="F44" s="2"/>
      <c r="G44" s="58">
        <v>46069</v>
      </c>
      <c r="H44" s="59">
        <v>25682.75</v>
      </c>
      <c r="I44" s="49">
        <f t="shared" si="3"/>
        <v>8.3094328030934861E-3</v>
      </c>
      <c r="J44" s="2"/>
      <c r="K44" s="2"/>
      <c r="L44" s="2"/>
    </row>
    <row r="45" spans="1:12" ht="14.25" customHeight="1" x14ac:dyDescent="0.3">
      <c r="A45" s="2"/>
      <c r="B45" s="58">
        <v>46070</v>
      </c>
      <c r="C45" s="59">
        <v>3006.89990234375</v>
      </c>
      <c r="D45" s="49">
        <f t="shared" si="2"/>
        <v>-1.2642017874358702E-2</v>
      </c>
      <c r="E45" s="2"/>
      <c r="F45" s="2"/>
      <c r="G45" s="58">
        <v>46070</v>
      </c>
      <c r="H45" s="59">
        <v>25725.400390625</v>
      </c>
      <c r="I45" s="49">
        <f t="shared" si="3"/>
        <v>1.6606629206374901E-3</v>
      </c>
      <c r="J45" s="2"/>
      <c r="K45" s="2"/>
      <c r="L45" s="2"/>
    </row>
    <row r="46" spans="1:12" ht="14.25" customHeight="1" x14ac:dyDescent="0.3">
      <c r="A46" s="2"/>
      <c r="B46" s="58">
        <v>46071</v>
      </c>
      <c r="C46" s="59">
        <v>3075.85009765625</v>
      </c>
      <c r="D46" s="49">
        <f t="shared" si="2"/>
        <v>2.2930658669001902E-2</v>
      </c>
      <c r="E46" s="2"/>
      <c r="F46" s="2"/>
      <c r="G46" s="58">
        <v>46071</v>
      </c>
      <c r="H46" s="59">
        <v>25819.349609375</v>
      </c>
      <c r="I46" s="49">
        <f t="shared" si="3"/>
        <v>3.6520021971839789E-3</v>
      </c>
      <c r="J46" s="2"/>
      <c r="K46" s="2"/>
      <c r="L46" s="2"/>
    </row>
    <row r="47" spans="1:12" ht="14.25" customHeight="1" x14ac:dyDescent="0.3">
      <c r="A47" s="2"/>
      <c r="B47" s="58">
        <v>46072</v>
      </c>
      <c r="C47" s="59">
        <v>3022.5</v>
      </c>
      <c r="D47" s="49">
        <f t="shared" si="2"/>
        <v>-1.7344830197317473E-2</v>
      </c>
      <c r="E47" s="2"/>
      <c r="F47" s="2"/>
      <c r="G47" s="58">
        <v>46072</v>
      </c>
      <c r="H47" s="59">
        <v>25454.349609375</v>
      </c>
      <c r="I47" s="49">
        <f t="shared" si="3"/>
        <v>-1.4136684522350174E-2</v>
      </c>
      <c r="J47" s="2"/>
      <c r="K47" s="2"/>
      <c r="L47" s="2"/>
    </row>
    <row r="48" spans="1:12" ht="14.25" customHeight="1" x14ac:dyDescent="0.3">
      <c r="A48" s="2"/>
      <c r="B48" s="58">
        <v>46073</v>
      </c>
      <c r="C48" s="59">
        <v>3021.949951171875</v>
      </c>
      <c r="D48" s="49">
        <f t="shared" si="2"/>
        <v>-1.8198472394537202E-4</v>
      </c>
      <c r="E48" s="2"/>
      <c r="F48" s="2"/>
      <c r="G48" s="58">
        <v>46073</v>
      </c>
      <c r="H48" s="59">
        <v>25571.25</v>
      </c>
      <c r="I48" s="49">
        <f t="shared" si="3"/>
        <v>4.592550680687868E-3</v>
      </c>
      <c r="J48" s="2"/>
      <c r="K48" s="2"/>
      <c r="L48" s="2"/>
    </row>
    <row r="49" spans="1:12" ht="14.25" customHeight="1" x14ac:dyDescent="0.3">
      <c r="A49" s="2"/>
      <c r="B49" s="58">
        <v>46076</v>
      </c>
      <c r="C49" s="59">
        <v>3132.5</v>
      </c>
      <c r="D49" s="49">
        <f t="shared" si="2"/>
        <v>3.6582355966966018E-2</v>
      </c>
      <c r="E49" s="2"/>
      <c r="F49" s="2"/>
      <c r="G49" s="58">
        <v>46076</v>
      </c>
      <c r="H49" s="59">
        <v>25713</v>
      </c>
      <c r="I49" s="49">
        <f t="shared" si="3"/>
        <v>5.5433347998239402E-3</v>
      </c>
      <c r="J49" s="2"/>
      <c r="K49" s="2"/>
      <c r="L49" s="2"/>
    </row>
    <row r="50" spans="1:12" ht="14.25" customHeight="1" x14ac:dyDescent="0.3">
      <c r="A50" s="2"/>
      <c r="B50" s="58">
        <v>46077</v>
      </c>
      <c r="C50" s="59">
        <v>3150</v>
      </c>
      <c r="D50" s="49">
        <f t="shared" si="2"/>
        <v>5.5865921787709993E-3</v>
      </c>
      <c r="E50" s="2"/>
      <c r="F50" s="2"/>
      <c r="G50" s="58">
        <v>46077</v>
      </c>
      <c r="H50" s="59">
        <v>25424.650390625</v>
      </c>
      <c r="I50" s="49">
        <f t="shared" si="3"/>
        <v>-1.1214156627970318E-2</v>
      </c>
      <c r="J50" s="2"/>
      <c r="K50" s="2"/>
      <c r="L50" s="2"/>
    </row>
    <row r="51" spans="1:12" ht="14.25" customHeight="1" x14ac:dyDescent="0.3">
      <c r="A51" s="2"/>
      <c r="B51" s="58">
        <v>46078</v>
      </c>
      <c r="C51" s="59">
        <v>3109.199951171875</v>
      </c>
      <c r="D51" s="49">
        <f t="shared" si="2"/>
        <v>-1.2952396453372983E-2</v>
      </c>
      <c r="E51" s="2"/>
      <c r="F51" s="2"/>
      <c r="G51" s="58">
        <v>46078</v>
      </c>
      <c r="H51" s="59">
        <v>25482.5</v>
      </c>
      <c r="I51" s="49">
        <f t="shared" si="3"/>
        <v>2.2753354908011669E-3</v>
      </c>
      <c r="J51" s="2"/>
      <c r="K51" s="2"/>
      <c r="L51" s="2"/>
    </row>
    <row r="52" spans="1:12" ht="14.25" customHeight="1" x14ac:dyDescent="0.3">
      <c r="A52" s="2"/>
      <c r="B52" s="58">
        <v>46079</v>
      </c>
      <c r="C52" s="59">
        <v>3113.800048828125</v>
      </c>
      <c r="D52" s="49">
        <f t="shared" si="2"/>
        <v>1.4795116841925804E-3</v>
      </c>
      <c r="E52" s="2"/>
      <c r="F52" s="2"/>
      <c r="G52" s="58">
        <v>46079</v>
      </c>
      <c r="H52" s="59">
        <v>25496.55078125</v>
      </c>
      <c r="I52" s="49">
        <f t="shared" si="3"/>
        <v>5.5138943392529782E-4</v>
      </c>
      <c r="J52" s="2"/>
      <c r="K52" s="2"/>
      <c r="L52" s="2"/>
    </row>
    <row r="53" spans="1:12" ht="14.25" customHeight="1" x14ac:dyDescent="0.3">
      <c r="A53" s="2"/>
      <c r="B53" s="58">
        <v>46080</v>
      </c>
      <c r="C53" s="59">
        <v>3104.35009765625</v>
      </c>
      <c r="D53" s="49">
        <f t="shared" si="2"/>
        <v>-3.0348612703733346E-3</v>
      </c>
      <c r="E53" s="2"/>
      <c r="F53" s="2"/>
      <c r="G53" s="58">
        <v>46080</v>
      </c>
      <c r="H53" s="59">
        <v>25178.650390625</v>
      </c>
      <c r="I53" s="49">
        <f t="shared" si="3"/>
        <v>-1.2468368500212268E-2</v>
      </c>
      <c r="J53" s="2"/>
      <c r="K53" s="2"/>
      <c r="L53" s="2"/>
    </row>
    <row r="54" spans="1:12" ht="14.25" customHeight="1" x14ac:dyDescent="0.3">
      <c r="A54" s="2"/>
      <c r="B54" s="58">
        <v>46083</v>
      </c>
      <c r="C54" s="59">
        <v>3088.85009765625</v>
      </c>
      <c r="D54" s="49">
        <f t="shared" si="2"/>
        <v>-4.9929935453163488E-3</v>
      </c>
      <c r="E54" s="2"/>
      <c r="F54" s="2"/>
      <c r="G54" s="58">
        <v>46083</v>
      </c>
      <c r="H54" s="59">
        <v>24865.69921875</v>
      </c>
      <c r="I54" s="49">
        <f t="shared" si="3"/>
        <v>-1.2429227421638323E-2</v>
      </c>
      <c r="J54" s="2"/>
      <c r="K54" s="2"/>
      <c r="L54" s="2"/>
    </row>
    <row r="55" spans="1:12" ht="14.25" customHeight="1" x14ac:dyDescent="0.3">
      <c r="A55" s="2"/>
      <c r="B55" s="58">
        <v>46085</v>
      </c>
      <c r="C55" s="59">
        <v>2993.550048828125</v>
      </c>
      <c r="D55" s="49">
        <f t="shared" si="2"/>
        <v>-3.0852921253911481E-2</v>
      </c>
      <c r="E55" s="2"/>
      <c r="F55" s="2"/>
      <c r="G55" s="58">
        <v>46085</v>
      </c>
      <c r="H55" s="59">
        <v>24480.5</v>
      </c>
      <c r="I55" s="49">
        <f t="shared" si="3"/>
        <v>-1.5491187895474101E-2</v>
      </c>
      <c r="J55" s="2"/>
      <c r="K55" s="2"/>
      <c r="L55" s="2"/>
    </row>
    <row r="56" spans="1:12" ht="14.25" customHeight="1" x14ac:dyDescent="0.3">
      <c r="A56" s="2"/>
      <c r="B56" s="58">
        <v>46086</v>
      </c>
      <c r="C56" s="59">
        <v>3010.60009765625</v>
      </c>
      <c r="D56" s="49">
        <f t="shared" si="2"/>
        <v>5.6955950460222393E-3</v>
      </c>
      <c r="E56" s="2"/>
      <c r="F56" s="2"/>
      <c r="G56" s="58">
        <v>46086</v>
      </c>
      <c r="H56" s="59">
        <v>24765.900390625</v>
      </c>
      <c r="I56" s="49">
        <f t="shared" si="3"/>
        <v>1.1658274570576665E-2</v>
      </c>
      <c r="J56" s="2"/>
      <c r="K56" s="2"/>
      <c r="L56" s="2"/>
    </row>
    <row r="57" spans="1:12" ht="14.25" customHeight="1" x14ac:dyDescent="0.3">
      <c r="A57" s="2"/>
      <c r="B57" s="58">
        <v>46087</v>
      </c>
      <c r="C57" s="59">
        <v>2993.699951171875</v>
      </c>
      <c r="D57" s="49">
        <f t="shared" si="2"/>
        <v>-5.6135474444219957E-3</v>
      </c>
      <c r="E57" s="2"/>
      <c r="F57" s="2"/>
      <c r="G57" s="58">
        <v>46087</v>
      </c>
      <c r="H57" s="59">
        <v>24450.44921875</v>
      </c>
      <c r="I57" s="49">
        <f t="shared" si="3"/>
        <v>-1.2737318930444053E-2</v>
      </c>
      <c r="J57" s="2"/>
      <c r="K57" s="2"/>
      <c r="L57" s="2"/>
    </row>
    <row r="58" spans="1:12" ht="14.25" customHeight="1" x14ac:dyDescent="0.3">
      <c r="A58" s="2"/>
      <c r="B58" s="58">
        <v>46090</v>
      </c>
      <c r="C58" s="59">
        <v>2909.800048828125</v>
      </c>
      <c r="D58" s="49">
        <f t="shared" si="2"/>
        <v>-2.8025488095728357E-2</v>
      </c>
      <c r="E58" s="2"/>
      <c r="F58" s="2"/>
      <c r="G58" s="58">
        <v>46090</v>
      </c>
      <c r="H58" s="59">
        <v>24028.05078125</v>
      </c>
      <c r="I58" s="49">
        <f t="shared" si="3"/>
        <v>-1.7275692308183932E-2</v>
      </c>
      <c r="J58" s="2"/>
      <c r="K58" s="2"/>
      <c r="L58" s="2"/>
    </row>
    <row r="59" spans="1:12" ht="14.25" customHeight="1" x14ac:dyDescent="0.3">
      <c r="A59" s="2"/>
      <c r="B59" s="58">
        <v>46091</v>
      </c>
      <c r="C59" s="59">
        <v>3083.75</v>
      </c>
      <c r="D59" s="49">
        <f t="shared" si="2"/>
        <v>5.9780723160661964E-2</v>
      </c>
      <c r="E59" s="2"/>
      <c r="F59" s="2"/>
      <c r="G59" s="58">
        <v>46091</v>
      </c>
      <c r="H59" s="59">
        <v>24261.599609375</v>
      </c>
      <c r="I59" s="49">
        <f t="shared" si="3"/>
        <v>9.7198407915488616E-3</v>
      </c>
      <c r="J59" s="2"/>
      <c r="K59" s="2"/>
      <c r="L59" s="2"/>
    </row>
    <row r="60" spans="1:12" ht="14.25" customHeight="1" x14ac:dyDescent="0.3">
      <c r="A60" s="2"/>
      <c r="B60" s="58">
        <v>46092</v>
      </c>
      <c r="C60" s="59">
        <v>3000.75</v>
      </c>
      <c r="D60" s="49">
        <f t="shared" si="2"/>
        <v>-2.6915281718686623E-2</v>
      </c>
      <c r="E60" s="2"/>
      <c r="F60" s="2"/>
      <c r="G60" s="58">
        <v>46092</v>
      </c>
      <c r="H60" s="59">
        <v>23866.849609375</v>
      </c>
      <c r="I60" s="49">
        <f t="shared" si="3"/>
        <v>-1.6270567743087438E-2</v>
      </c>
      <c r="J60" s="2"/>
      <c r="K60" s="2"/>
      <c r="L60" s="2"/>
    </row>
    <row r="61" spans="1:12" ht="14.25" customHeight="1" x14ac:dyDescent="0.3">
      <c r="A61" s="2"/>
      <c r="B61" s="58">
        <v>46093</v>
      </c>
      <c r="C61" s="59">
        <v>2936.64990234375</v>
      </c>
      <c r="D61" s="49">
        <f t="shared" si="2"/>
        <v>-2.1361358879030234E-2</v>
      </c>
      <c r="E61" s="2"/>
      <c r="F61" s="2"/>
      <c r="G61" s="58">
        <v>46093</v>
      </c>
      <c r="H61" s="59">
        <v>23639.150390625</v>
      </c>
      <c r="I61" s="49">
        <f t="shared" si="3"/>
        <v>-9.5403969303329283E-3</v>
      </c>
      <c r="J61" s="2"/>
      <c r="K61" s="2"/>
      <c r="L61" s="2"/>
    </row>
    <row r="62" spans="1:12" ht="14.25" customHeight="1" x14ac:dyDescent="0.3">
      <c r="A62" s="2"/>
      <c r="B62" s="58">
        <v>46094</v>
      </c>
      <c r="C62" s="59">
        <v>2879.699951171875</v>
      </c>
      <c r="D62" s="49">
        <f t="shared" si="2"/>
        <v>-1.9392829607105422E-2</v>
      </c>
      <c r="E62" s="2"/>
      <c r="F62" s="2"/>
      <c r="G62" s="58">
        <v>46094</v>
      </c>
      <c r="H62" s="59">
        <v>23151.099609375</v>
      </c>
      <c r="I62" s="49">
        <f t="shared" si="3"/>
        <v>-2.064586811222946E-2</v>
      </c>
      <c r="J62" s="2"/>
      <c r="K62" s="2"/>
      <c r="L62" s="2"/>
    </row>
    <row r="63" spans="1:12" ht="14.25" customHeight="1" x14ac:dyDescent="0.3">
      <c r="A63" s="2"/>
      <c r="B63" s="58">
        <v>46097</v>
      </c>
      <c r="C63" s="59">
        <v>2888.39990234375</v>
      </c>
      <c r="D63" s="49">
        <f t="shared" si="2"/>
        <v>3.021131131503596E-3</v>
      </c>
      <c r="E63" s="2"/>
      <c r="F63" s="2"/>
      <c r="G63" s="58">
        <v>46097</v>
      </c>
      <c r="H63" s="59">
        <v>23408.80078125</v>
      </c>
      <c r="I63" s="49">
        <f t="shared" si="3"/>
        <v>1.1131271353117311E-2</v>
      </c>
      <c r="J63" s="2"/>
      <c r="K63" s="2"/>
      <c r="L63" s="2"/>
    </row>
    <row r="64" spans="1:12" ht="14.25" customHeight="1" x14ac:dyDescent="0.3">
      <c r="A64" s="2"/>
      <c r="B64" s="58">
        <v>46098</v>
      </c>
      <c r="C64" s="59">
        <v>2971.050048828125</v>
      </c>
      <c r="D64" s="49">
        <f t="shared" si="2"/>
        <v>2.8614509513488651E-2</v>
      </c>
      <c r="E64" s="2"/>
      <c r="F64" s="2"/>
      <c r="G64" s="58">
        <v>46098</v>
      </c>
      <c r="H64" s="59">
        <v>23581.150390625</v>
      </c>
      <c r="I64" s="49">
        <f t="shared" si="3"/>
        <v>7.3625988356076366E-3</v>
      </c>
      <c r="J64" s="2"/>
      <c r="K64" s="2"/>
      <c r="L64" s="2"/>
    </row>
    <row r="65" spans="1:12" ht="14.25" customHeight="1" x14ac:dyDescent="0.3">
      <c r="A65" s="2"/>
      <c r="B65" s="58">
        <v>46099</v>
      </c>
      <c r="C65" s="59">
        <v>3019</v>
      </c>
      <c r="D65" s="49">
        <f t="shared" si="2"/>
        <v>1.6139058711174492E-2</v>
      </c>
      <c r="E65" s="2"/>
      <c r="F65" s="2"/>
      <c r="G65" s="58">
        <v>46099</v>
      </c>
      <c r="H65" s="59">
        <v>23777.80078125</v>
      </c>
      <c r="I65" s="49">
        <f t="shared" si="3"/>
        <v>8.3393043752089113E-3</v>
      </c>
      <c r="J65" s="2"/>
      <c r="K65" s="2"/>
      <c r="L65" s="2"/>
    </row>
    <row r="66" spans="1:12" x14ac:dyDescent="0.3">
      <c r="A66" s="2"/>
      <c r="B66" s="58">
        <v>46100</v>
      </c>
      <c r="C66" s="59">
        <v>2818.199951171875</v>
      </c>
      <c r="D66" s="49">
        <f t="shared" si="2"/>
        <v>-6.6512106269667082E-2</v>
      </c>
      <c r="E66" s="2"/>
      <c r="F66" s="2"/>
      <c r="G66" s="58">
        <v>46100</v>
      </c>
      <c r="H66" s="59">
        <v>23002.150390625</v>
      </c>
      <c r="I66" s="49">
        <f t="shared" si="3"/>
        <v>-3.2620779262169552E-2</v>
      </c>
      <c r="J66" s="2"/>
      <c r="K66" s="2"/>
      <c r="L66" s="2"/>
    </row>
    <row r="67" spans="1:12" x14ac:dyDescent="0.3">
      <c r="A67" s="2"/>
      <c r="B67" s="58">
        <v>46101</v>
      </c>
      <c r="C67" s="59">
        <v>2802.550048828125</v>
      </c>
      <c r="D67" s="49">
        <f t="shared" si="2"/>
        <v>-5.5531554236392111E-3</v>
      </c>
      <c r="E67" s="2"/>
      <c r="F67" s="2"/>
      <c r="G67" s="58">
        <v>46101</v>
      </c>
      <c r="H67" s="59">
        <v>23114.5</v>
      </c>
      <c r="I67" s="49">
        <f t="shared" si="3"/>
        <v>4.8843089653387572E-3</v>
      </c>
      <c r="J67" s="2"/>
      <c r="K67" s="2"/>
      <c r="L67" s="2"/>
    </row>
    <row r="68" spans="1:12" x14ac:dyDescent="0.3">
      <c r="A68" s="2"/>
      <c r="B68" s="58">
        <v>46104</v>
      </c>
      <c r="C68" s="59">
        <v>2688.60009765625</v>
      </c>
      <c r="D68" s="49">
        <f t="shared" si="2"/>
        <v>-4.0659381344330559E-2</v>
      </c>
      <c r="E68" s="2"/>
      <c r="F68" s="2"/>
      <c r="G68" s="58">
        <v>46104</v>
      </c>
      <c r="H68" s="59">
        <v>22512.650390625</v>
      </c>
      <c r="I68" s="49">
        <f t="shared" si="3"/>
        <v>-2.6037751600726855E-2</v>
      </c>
      <c r="J68" s="2"/>
      <c r="K68" s="2"/>
      <c r="L68" s="2"/>
    </row>
    <row r="69" spans="1:12" x14ac:dyDescent="0.3">
      <c r="A69" s="2"/>
      <c r="B69" s="58">
        <v>46105</v>
      </c>
      <c r="C69" s="59">
        <v>2792.949951171875</v>
      </c>
      <c r="D69" s="49">
        <f t="shared" si="2"/>
        <v>3.8811965232981471E-2</v>
      </c>
      <c r="E69" s="2"/>
      <c r="F69" s="2"/>
      <c r="G69" s="58">
        <v>46105</v>
      </c>
      <c r="H69" s="59">
        <v>22912.400390625</v>
      </c>
      <c r="I69" s="49">
        <f t="shared" si="3"/>
        <v>1.7756683156527453E-2</v>
      </c>
      <c r="J69" s="2"/>
      <c r="K69" s="2"/>
      <c r="L69" s="2"/>
    </row>
    <row r="70" spans="1:12" x14ac:dyDescent="0.3">
      <c r="A70" s="2"/>
      <c r="B70" s="58">
        <v>46106</v>
      </c>
      <c r="C70" s="59">
        <v>2901.800048828125</v>
      </c>
      <c r="D70" s="49">
        <f t="shared" si="2"/>
        <v>3.8973164417277939E-2</v>
      </c>
      <c r="E70" s="2"/>
      <c r="F70" s="2"/>
      <c r="G70" s="58">
        <v>46106</v>
      </c>
      <c r="H70" s="59">
        <v>23306.44921875</v>
      </c>
      <c r="I70" s="49">
        <f t="shared" si="3"/>
        <v>1.7198059627407281E-2</v>
      </c>
      <c r="J70" s="2"/>
      <c r="K70" s="2"/>
      <c r="L70" s="2"/>
    </row>
    <row r="71" spans="1:12" x14ac:dyDescent="0.3">
      <c r="A71" s="2"/>
      <c r="B71" s="58">
        <v>46108</v>
      </c>
      <c r="C71" s="59">
        <v>2868.949951171875</v>
      </c>
      <c r="D71" s="49">
        <f t="shared" ref="D71:D102" si="4">C71/C70-1</f>
        <v>-1.132059311582001E-2</v>
      </c>
      <c r="E71" s="2"/>
      <c r="F71" s="2"/>
      <c r="G71" s="58">
        <v>46108</v>
      </c>
      <c r="H71" s="59">
        <v>22819.599609375</v>
      </c>
      <c r="I71" s="49">
        <f t="shared" ref="I71:I102" si="5">H71/H70-1</f>
        <v>-2.0889051129389991E-2</v>
      </c>
      <c r="J71" s="2"/>
      <c r="K71" s="2"/>
      <c r="L71" s="2"/>
    </row>
    <row r="72" spans="1:12" x14ac:dyDescent="0.3">
      <c r="A72" s="2"/>
      <c r="B72" s="58">
        <v>46111</v>
      </c>
      <c r="C72" s="59">
        <v>2803.39990234375</v>
      </c>
      <c r="D72" s="49">
        <f t="shared" si="4"/>
        <v>-2.2848097716500759E-2</v>
      </c>
      <c r="E72" s="2"/>
      <c r="F72" s="2"/>
      <c r="G72" s="58">
        <v>46111</v>
      </c>
      <c r="H72" s="59">
        <v>22331.400390625</v>
      </c>
      <c r="I72" s="49">
        <f t="shared" si="5"/>
        <v>-2.139385559374285E-2</v>
      </c>
      <c r="J72" s="2"/>
      <c r="K72" s="2"/>
      <c r="L72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7"/>
  <sheetViews>
    <sheetView showGridLines="0" topLeftCell="A5" zoomScaleNormal="100" workbookViewId="0">
      <pane ySplit="1" topLeftCell="A2" activePane="bottomLeft" state="frozen"/>
      <selection pane="bottomLeft" activeCell="C9" sqref="C9"/>
    </sheetView>
  </sheetViews>
  <sheetFormatPr defaultColWidth="8.6640625" defaultRowHeight="14.4" x14ac:dyDescent="0.3"/>
  <cols>
    <col min="1" max="1" width="40" customWidth="1"/>
    <col min="2" max="17" width="16" customWidth="1"/>
  </cols>
  <sheetData>
    <row r="1" spans="1:17" ht="14.2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358</v>
      </c>
    </row>
    <row r="2" spans="1:17" ht="14.25" customHeight="1" x14ac:dyDescent="0.3">
      <c r="A2" s="2"/>
      <c r="B2" s="101" t="s">
        <v>359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25" customHeight="1" x14ac:dyDescent="0.3">
      <c r="A4" s="2"/>
      <c r="B4" s="2" t="s">
        <v>360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4.25" customHeight="1" x14ac:dyDescent="0.3">
      <c r="A5" s="2"/>
      <c r="B5" s="2" t="s">
        <v>361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25" customHeight="1" x14ac:dyDescent="0.3">
      <c r="A7" s="5"/>
      <c r="B7" s="7" t="s">
        <v>362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4.25" customHeight="1" x14ac:dyDescent="0.3">
      <c r="A8" s="2"/>
      <c r="B8" s="2" t="s">
        <v>363</v>
      </c>
      <c r="C8" s="60">
        <v>6.6000000000000003E-2</v>
      </c>
      <c r="D8" s="2"/>
      <c r="E8" s="4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4.25" customHeight="1" x14ac:dyDescent="0.3">
      <c r="A9" s="2"/>
      <c r="B9" s="2" t="s">
        <v>364</v>
      </c>
      <c r="C9" s="60">
        <v>1.4500000000000001E-2</v>
      </c>
      <c r="D9" s="2"/>
      <c r="E9" s="4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4.25" customHeight="1" x14ac:dyDescent="0.3">
      <c r="A10" s="2"/>
      <c r="B10" s="2" t="s">
        <v>365</v>
      </c>
      <c r="C10" s="61">
        <f>IFERROR('Beta Calculation'!L6,1.3)</f>
        <v>1.5052514295632935</v>
      </c>
      <c r="D10" s="2"/>
      <c r="E10" s="6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4.25" customHeight="1" x14ac:dyDescent="0.3">
      <c r="A11" s="2"/>
      <c r="B11" s="2" t="s">
        <v>366</v>
      </c>
      <c r="C11" s="62">
        <v>0.12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4.25" customHeight="1" x14ac:dyDescent="0.3">
      <c r="A12" s="2"/>
      <c r="B12" s="2" t="s">
        <v>367</v>
      </c>
      <c r="C12" s="49">
        <f>C11-C8</f>
        <v>5.3999999999999992E-2</v>
      </c>
      <c r="D12" s="2"/>
      <c r="E12" s="4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4.25" customHeight="1" x14ac:dyDescent="0.3">
      <c r="A13" s="2"/>
      <c r="B13" s="26" t="s">
        <v>368</v>
      </c>
      <c r="C13" s="39">
        <f>C8+(C10*C12)</f>
        <v>0.14728357719641783</v>
      </c>
      <c r="D13" s="2"/>
      <c r="E13" s="63">
        <f>(C8+C9)+C10*C12</f>
        <v>0.16178357719641784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4.25" customHeight="1" x14ac:dyDescent="0.3">
      <c r="A14" s="2"/>
      <c r="B14" s="4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4.25" customHeight="1" x14ac:dyDescent="0.3">
      <c r="A15" s="2"/>
      <c r="B15" s="4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4.25" customHeight="1" x14ac:dyDescent="0.3">
      <c r="A16" s="2"/>
      <c r="B16" s="2" t="s">
        <v>369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4.25" customHeight="1" x14ac:dyDescent="0.3">
      <c r="A17" s="2"/>
      <c r="B17" s="2" t="s">
        <v>363</v>
      </c>
      <c r="C17" s="49">
        <f>C8</f>
        <v>6.6000000000000003E-2</v>
      </c>
      <c r="D17" s="2"/>
      <c r="E17" s="4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4.25" customHeight="1" x14ac:dyDescent="0.3">
      <c r="A18" s="2"/>
      <c r="B18" s="2" t="s">
        <v>370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4.25" customHeight="1" x14ac:dyDescent="0.3">
      <c r="A19" s="2"/>
      <c r="B19" s="2" t="s">
        <v>371</v>
      </c>
      <c r="C19" s="60">
        <v>5.0000000000000001E-3</v>
      </c>
      <c r="D19" s="2"/>
      <c r="E19" s="49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4.25" customHeight="1" x14ac:dyDescent="0.3">
      <c r="A20" s="2"/>
      <c r="B20" s="2" t="s">
        <v>372</v>
      </c>
      <c r="C20" s="49">
        <f>C17+C19</f>
        <v>7.1000000000000008E-2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4.25" customHeight="1" x14ac:dyDescent="0.3">
      <c r="A21" s="2"/>
      <c r="B21" s="4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4.25" customHeight="1" x14ac:dyDescent="0.3">
      <c r="A22" s="2"/>
      <c r="B22" s="2" t="s">
        <v>373</v>
      </c>
      <c r="C22" s="62">
        <v>0.25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4.25" customHeight="1" x14ac:dyDescent="0.3">
      <c r="A23" s="2"/>
      <c r="B23" s="26" t="s">
        <v>374</v>
      </c>
      <c r="C23" s="64">
        <f>IFERROR(C20*(1-C22),0)</f>
        <v>5.3250000000000006E-2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4.25" customHeight="1" x14ac:dyDescent="0.3">
      <c r="A24" s="2"/>
      <c r="B24" s="2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4.25" customHeight="1" x14ac:dyDescent="0.3">
      <c r="A25" s="2"/>
      <c r="B25" s="4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4.25" customHeight="1" x14ac:dyDescent="0.3">
      <c r="A26" s="2"/>
      <c r="B26" s="2" t="s">
        <v>375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4.25" customHeight="1" x14ac:dyDescent="0.3">
      <c r="A27" s="2"/>
      <c r="B27" s="2" t="s">
        <v>376</v>
      </c>
      <c r="C27" s="65">
        <f>IFERROR('Historical FS'!H54,0)</f>
        <v>98.5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4.25" customHeight="1" x14ac:dyDescent="0.3">
      <c r="A28" s="2"/>
      <c r="B28" s="2" t="s">
        <v>377</v>
      </c>
      <c r="C28" s="16">
        <v>3285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4.25" customHeight="1" x14ac:dyDescent="0.3">
      <c r="A29" s="2"/>
      <c r="B29" s="2" t="s">
        <v>378</v>
      </c>
      <c r="C29" s="66">
        <v>49.42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4.25" customHeight="1" x14ac:dyDescent="0.3">
      <c r="A30" s="2"/>
      <c r="B30" s="2" t="s">
        <v>379</v>
      </c>
      <c r="C30" s="30">
        <f>IFERROR(WACC!C28*WACC!C29,0)</f>
        <v>162344.70000000001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4.25" customHeight="1" x14ac:dyDescent="0.3">
      <c r="A33" s="2"/>
      <c r="B33" s="2" t="s">
        <v>380</v>
      </c>
      <c r="C33" s="25">
        <f>IFERROR(C27/C30,0)</f>
        <v>6.0673369688077274E-4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4.25" customHeight="1" x14ac:dyDescent="0.3">
      <c r="A34" s="2"/>
      <c r="B34" s="2" t="s">
        <v>381</v>
      </c>
      <c r="C34" s="25">
        <f>IFERROR(C27/(C27+C30),0)</f>
        <v>6.0636579432072257E-4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4.25" customHeight="1" x14ac:dyDescent="0.3">
      <c r="A35" s="2"/>
      <c r="B35" s="49" t="s">
        <v>382</v>
      </c>
      <c r="C35" s="61">
        <f>IFERROR(C30/(C27+C30),0)</f>
        <v>0.99939363420567928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4.25" customHeight="1" x14ac:dyDescent="0.3">
      <c r="A37" s="2"/>
      <c r="B37" s="26" t="s">
        <v>383</v>
      </c>
      <c r="C37" s="39">
        <f>IFERROR((C13*C35)+(C23*C34),0)</f>
        <v>0.14722655845168828</v>
      </c>
      <c r="D37" s="2"/>
      <c r="E37" s="49">
        <f>(E13*C35)+(C23*C34)</f>
        <v>0.16171776614767067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</sheetData>
  <mergeCells count="1">
    <mergeCell ref="B2:C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7"/>
  <sheetViews>
    <sheetView showGridLines="0" zoomScale="90" zoomScaleNormal="100" workbookViewId="0">
      <pane ySplit="1" topLeftCell="A2" activePane="bottomLeft" state="frozen"/>
      <selection pane="bottomLeft" sqref="A1:A1048576"/>
    </sheetView>
  </sheetViews>
  <sheetFormatPr defaultColWidth="8.6640625" defaultRowHeight="14.4" x14ac:dyDescent="0.3"/>
  <cols>
    <col min="1" max="1" width="1.88671875" customWidth="1"/>
    <col min="2" max="3" width="16" customWidth="1"/>
    <col min="4" max="4" width="16" bestFit="1" customWidth="1"/>
    <col min="5" max="17" width="16" customWidth="1"/>
  </cols>
  <sheetData>
    <row r="1" spans="1:1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4.25" customHeight="1" x14ac:dyDescent="0.3">
      <c r="A2" s="5"/>
      <c r="B2" s="5" t="s">
        <v>384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 t="s">
        <v>385</v>
      </c>
    </row>
    <row r="4" spans="1:17" ht="14.25" customHeight="1" x14ac:dyDescent="0.3">
      <c r="A4" s="2"/>
      <c r="B4" s="2" t="s">
        <v>386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4.25" customHeight="1" x14ac:dyDescent="0.3">
      <c r="A5" s="5"/>
      <c r="B5" s="67" t="s">
        <v>387</v>
      </c>
      <c r="C5" s="67" t="s">
        <v>207</v>
      </c>
      <c r="D5" s="67" t="s">
        <v>388</v>
      </c>
      <c r="E5" s="67" t="s">
        <v>389</v>
      </c>
      <c r="F5" s="67" t="s">
        <v>390</v>
      </c>
      <c r="G5" s="67" t="s">
        <v>391</v>
      </c>
      <c r="H5" s="67" t="s">
        <v>392</v>
      </c>
      <c r="I5" s="67" t="s">
        <v>393</v>
      </c>
      <c r="J5" s="67" t="s">
        <v>394</v>
      </c>
      <c r="K5" s="67" t="s">
        <v>395</v>
      </c>
      <c r="L5" s="67" t="s">
        <v>396</v>
      </c>
      <c r="M5" s="67" t="s">
        <v>397</v>
      </c>
      <c r="N5" s="7"/>
      <c r="O5" s="7"/>
      <c r="P5" s="7"/>
      <c r="Q5" s="7"/>
    </row>
    <row r="6" spans="1:17" ht="14.25" customHeight="1" x14ac:dyDescent="0.3">
      <c r="A6" s="2"/>
      <c r="B6" s="2" t="s">
        <v>398</v>
      </c>
      <c r="C6" s="30">
        <f>IFERROR('Historical FS'!H6,0)</f>
        <v>5764.63</v>
      </c>
      <c r="D6" s="30">
        <f t="shared" ref="D6:M6" si="0">C6*(1+D7)</f>
        <v>7635.5773538336834</v>
      </c>
      <c r="E6" s="30">
        <f t="shared" si="0"/>
        <v>9895.6666058790252</v>
      </c>
      <c r="F6" s="30">
        <f t="shared" si="0"/>
        <v>12542.091718909725</v>
      </c>
      <c r="G6" s="30">
        <f t="shared" si="0"/>
        <v>15538.032574529458</v>
      </c>
      <c r="H6" s="30">
        <f t="shared" si="0"/>
        <v>18805.822084772997</v>
      </c>
      <c r="I6" s="30">
        <f t="shared" si="0"/>
        <v>22223.728964895134</v>
      </c>
      <c r="J6" s="30">
        <f t="shared" si="0"/>
        <v>25628.080992349889</v>
      </c>
      <c r="K6" s="30">
        <f t="shared" si="0"/>
        <v>28821.945641922834</v>
      </c>
      <c r="L6" s="30">
        <f t="shared" si="0"/>
        <v>31590.634145670392</v>
      </c>
      <c r="M6" s="30">
        <f t="shared" si="0"/>
        <v>33723.001950503138</v>
      </c>
      <c r="N6" s="2"/>
      <c r="O6" s="2"/>
      <c r="P6" s="2"/>
      <c r="Q6" s="2"/>
    </row>
    <row r="7" spans="1:17" ht="14.25" customHeight="1" x14ac:dyDescent="0.3">
      <c r="A7" s="2"/>
      <c r="B7" s="2" t="s">
        <v>399</v>
      </c>
      <c r="C7" s="2"/>
      <c r="D7" s="34">
        <f>N7</f>
        <v>0.3245563642130862</v>
      </c>
      <c r="E7" s="34">
        <f t="shared" ref="E7:L7" si="1">D7-$P$9</f>
        <v>0.29599454596718772</v>
      </c>
      <c r="F7" s="34">
        <f t="shared" si="1"/>
        <v>0.26743272772128923</v>
      </c>
      <c r="G7" s="34">
        <f t="shared" si="1"/>
        <v>0.23887090947539077</v>
      </c>
      <c r="H7" s="34">
        <f t="shared" si="1"/>
        <v>0.21030909122949232</v>
      </c>
      <c r="I7" s="34">
        <f t="shared" si="1"/>
        <v>0.18174727298359386</v>
      </c>
      <c r="J7" s="34">
        <f t="shared" si="1"/>
        <v>0.1531854547376954</v>
      </c>
      <c r="K7" s="34">
        <f t="shared" si="1"/>
        <v>0.12462363649179693</v>
      </c>
      <c r="L7" s="34">
        <f t="shared" si="1"/>
        <v>9.6061818245898462E-2</v>
      </c>
      <c r="M7" s="68">
        <v>6.7500000000000004E-2</v>
      </c>
      <c r="N7" s="25">
        <f>MAX('Historical FS'!C7:H7)</f>
        <v>0.3245563642130862</v>
      </c>
      <c r="O7" s="2"/>
      <c r="P7" s="2"/>
      <c r="Q7" s="2"/>
    </row>
    <row r="8" spans="1:17" ht="14.25" customHeight="1" x14ac:dyDescent="0.3">
      <c r="A8" s="2"/>
      <c r="B8" s="2"/>
      <c r="C8" s="2"/>
      <c r="D8" s="49"/>
      <c r="E8" s="49"/>
      <c r="F8" s="49"/>
      <c r="G8" s="49"/>
      <c r="H8" s="49"/>
      <c r="I8" s="49"/>
      <c r="J8" s="49"/>
      <c r="K8" s="49"/>
      <c r="L8" s="49"/>
      <c r="M8" s="49"/>
      <c r="N8" s="25"/>
      <c r="O8" s="2"/>
      <c r="P8" s="2"/>
      <c r="Q8" s="2"/>
    </row>
    <row r="9" spans="1:17" ht="14.25" customHeight="1" x14ac:dyDescent="0.3">
      <c r="A9" s="2"/>
      <c r="B9" s="2" t="s">
        <v>400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0">
        <v>6.7500000000000004E-2</v>
      </c>
      <c r="O9" s="63">
        <f>N7-N9</f>
        <v>0.2570563642130862</v>
      </c>
      <c r="P9" s="49">
        <f>O9/9</f>
        <v>2.8561818245898467E-2</v>
      </c>
      <c r="Q9" s="2"/>
    </row>
    <row r="10" spans="1:17" ht="14.25" customHeight="1" x14ac:dyDescent="0.3">
      <c r="A10" s="2"/>
      <c r="B10" s="69" t="s">
        <v>387</v>
      </c>
      <c r="C10" s="69" t="s">
        <v>207</v>
      </c>
      <c r="D10" s="69" t="s">
        <v>388</v>
      </c>
      <c r="E10" s="69" t="s">
        <v>389</v>
      </c>
      <c r="F10" s="69" t="s">
        <v>390</v>
      </c>
      <c r="G10" s="69" t="s">
        <v>391</v>
      </c>
      <c r="H10" s="69" t="s">
        <v>392</v>
      </c>
      <c r="I10" s="69" t="s">
        <v>393</v>
      </c>
      <c r="J10" s="69" t="s">
        <v>394</v>
      </c>
      <c r="K10" s="69" t="s">
        <v>395</v>
      </c>
      <c r="L10" s="69" t="s">
        <v>396</v>
      </c>
      <c r="M10" s="69" t="s">
        <v>397</v>
      </c>
      <c r="N10" s="2"/>
      <c r="O10" s="2"/>
      <c r="P10" s="2"/>
      <c r="Q10" s="2"/>
    </row>
    <row r="11" spans="1:17" ht="14.25" customHeight="1" x14ac:dyDescent="0.3">
      <c r="A11" s="2"/>
      <c r="B11" s="2" t="s">
        <v>398</v>
      </c>
      <c r="C11" s="30">
        <f>C6</f>
        <v>5764.63</v>
      </c>
      <c r="D11" s="30">
        <f t="shared" ref="D11:M11" si="2">C11*(1+D12)</f>
        <v>7039.0287322363083</v>
      </c>
      <c r="E11" s="30">
        <f t="shared" si="2"/>
        <v>8475.0505215087669</v>
      </c>
      <c r="F11" s="30">
        <f t="shared" si="2"/>
        <v>10059.418412858444</v>
      </c>
      <c r="G11" s="30">
        <f t="shared" si="2"/>
        <v>11768.326347592712</v>
      </c>
      <c r="H11" s="30">
        <f t="shared" si="2"/>
        <v>13566.736337288876</v>
      </c>
      <c r="I11" s="30">
        <f t="shared" si="2"/>
        <v>15408.478546365019</v>
      </c>
      <c r="J11" s="30">
        <f t="shared" si="2"/>
        <v>17237.321537291107</v>
      </c>
      <c r="K11" s="30">
        <f t="shared" si="2"/>
        <v>18989.101026691362</v>
      </c>
      <c r="L11" s="30">
        <f t="shared" si="2"/>
        <v>20594.887090604305</v>
      </c>
      <c r="M11" s="30">
        <f t="shared" si="2"/>
        <v>21985.041969220092</v>
      </c>
      <c r="N11" s="2"/>
      <c r="O11" s="2"/>
      <c r="P11" s="2"/>
      <c r="Q11" s="2"/>
    </row>
    <row r="12" spans="1:17" ht="14.25" customHeight="1" x14ac:dyDescent="0.3">
      <c r="A12" s="2"/>
      <c r="B12" s="2" t="s">
        <v>399</v>
      </c>
      <c r="C12" s="2"/>
      <c r="D12" s="25">
        <f>Assumptions!C10</f>
        <v>0.22107207786732347</v>
      </c>
      <c r="E12" s="49">
        <f>D12-O12</f>
        <v>0.20400851365984307</v>
      </c>
      <c r="F12" s="49">
        <f>E12-O12</f>
        <v>0.18694494945236267</v>
      </c>
      <c r="G12" s="49">
        <f>F12-O12</f>
        <v>0.16988138524488228</v>
      </c>
      <c r="H12" s="49">
        <f>G12-O12</f>
        <v>0.15281782103740188</v>
      </c>
      <c r="I12" s="49">
        <f>H12-O12</f>
        <v>0.13575425682992148</v>
      </c>
      <c r="J12" s="49">
        <f>I12-O12</f>
        <v>0.1186906926224411</v>
      </c>
      <c r="K12" s="49">
        <f>J12-O12</f>
        <v>0.10162712841496072</v>
      </c>
      <c r="L12" s="49">
        <f>K12-O12</f>
        <v>8.4563564207480332E-2</v>
      </c>
      <c r="M12" s="60">
        <v>6.7500000000000004E-2</v>
      </c>
      <c r="N12" s="49">
        <f>D12-M12</f>
        <v>0.15357207786732346</v>
      </c>
      <c r="O12" s="70">
        <f>N12/9</f>
        <v>1.7063564207480383E-2</v>
      </c>
      <c r="P12" s="2"/>
      <c r="Q12" s="2"/>
    </row>
    <row r="13" spans="1:17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4.25" customHeight="1" x14ac:dyDescent="0.3">
      <c r="A14" s="2"/>
      <c r="B14" s="2" t="s">
        <v>401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4.25" customHeight="1" x14ac:dyDescent="0.3">
      <c r="A15" s="2"/>
      <c r="B15" s="69" t="s">
        <v>387</v>
      </c>
      <c r="C15" s="69" t="s">
        <v>207</v>
      </c>
      <c r="D15" s="69" t="s">
        <v>388</v>
      </c>
      <c r="E15" s="69" t="s">
        <v>389</v>
      </c>
      <c r="F15" s="69" t="s">
        <v>390</v>
      </c>
      <c r="G15" s="69" t="s">
        <v>391</v>
      </c>
      <c r="H15" s="69" t="s">
        <v>392</v>
      </c>
      <c r="I15" s="69" t="s">
        <v>393</v>
      </c>
      <c r="J15" s="69" t="s">
        <v>394</v>
      </c>
      <c r="K15" s="69" t="s">
        <v>395</v>
      </c>
      <c r="L15" s="69" t="s">
        <v>396</v>
      </c>
      <c r="M15" s="69" t="s">
        <v>397</v>
      </c>
      <c r="N15" s="2"/>
      <c r="O15" s="2"/>
      <c r="P15" s="2"/>
      <c r="Q15" s="2"/>
    </row>
    <row r="16" spans="1:17" ht="14.25" customHeight="1" x14ac:dyDescent="0.3">
      <c r="A16" s="2"/>
      <c r="B16" s="2" t="s">
        <v>398</v>
      </c>
      <c r="C16" s="30">
        <f>C11</f>
        <v>5764.63</v>
      </c>
      <c r="D16" s="30">
        <f t="shared" ref="D16:M16" si="3">C16*(1+D17)</f>
        <v>6991.2319877989567</v>
      </c>
      <c r="E16" s="30">
        <f t="shared" si="3"/>
        <v>8365.9766395963252</v>
      </c>
      <c r="F16" s="30">
        <f t="shared" si="3"/>
        <v>9876.0027744664658</v>
      </c>
      <c r="G16" s="30">
        <f t="shared" si="3"/>
        <v>11499.161337740363</v>
      </c>
      <c r="H16" s="30">
        <f t="shared" si="3"/>
        <v>13203.469267467921</v>
      </c>
      <c r="I16" s="30">
        <f t="shared" si="3"/>
        <v>14947.240871666399</v>
      </c>
      <c r="J16" s="30">
        <f t="shared" si="3"/>
        <v>16680.028153186664</v>
      </c>
      <c r="K16" s="30">
        <f t="shared" si="3"/>
        <v>18344.438078325649</v>
      </c>
      <c r="L16" s="30">
        <f t="shared" si="3"/>
        <v>19878.809064742178</v>
      </c>
      <c r="M16" s="30">
        <f t="shared" si="3"/>
        <v>21220.628676612272</v>
      </c>
      <c r="N16" s="2"/>
      <c r="O16" s="2"/>
      <c r="P16" s="2"/>
      <c r="Q16" s="2"/>
    </row>
    <row r="17" spans="1:17" ht="14.25" customHeight="1" x14ac:dyDescent="0.3">
      <c r="A17" s="2"/>
      <c r="B17" s="2" t="s">
        <v>399</v>
      </c>
      <c r="C17" s="2"/>
      <c r="D17" s="49">
        <f>Assumptions!C28</f>
        <v>0.21278069673143918</v>
      </c>
      <c r="E17" s="49">
        <f t="shared" ref="E17:L17" si="4">D17-$O$17</f>
        <v>0.19663839709461262</v>
      </c>
      <c r="F17" s="49">
        <f t="shared" si="4"/>
        <v>0.18049609745778605</v>
      </c>
      <c r="G17" s="49">
        <f t="shared" si="4"/>
        <v>0.16435379782095949</v>
      </c>
      <c r="H17" s="49">
        <f t="shared" si="4"/>
        <v>0.14821149818413293</v>
      </c>
      <c r="I17" s="49">
        <f t="shared" si="4"/>
        <v>0.13206919854730637</v>
      </c>
      <c r="J17" s="49">
        <f t="shared" si="4"/>
        <v>0.11592689891047979</v>
      </c>
      <c r="K17" s="49">
        <f t="shared" si="4"/>
        <v>9.9784599273653213E-2</v>
      </c>
      <c r="L17" s="49">
        <f t="shared" si="4"/>
        <v>8.3642299636826636E-2</v>
      </c>
      <c r="M17" s="60">
        <v>6.7500000000000004E-2</v>
      </c>
      <c r="N17" s="49">
        <f>D17-M17</f>
        <v>0.14528069673143917</v>
      </c>
      <c r="O17" s="2">
        <f>N17/9</f>
        <v>1.6142299636826576E-2</v>
      </c>
      <c r="P17" s="2"/>
      <c r="Q17" s="2"/>
    </row>
    <row r="18" spans="1:17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4.25" customHeight="1" x14ac:dyDescent="0.3">
      <c r="A19" s="2"/>
      <c r="B19" s="2" t="s">
        <v>402</v>
      </c>
      <c r="C19" s="16">
        <v>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4.25" customHeight="1" x14ac:dyDescent="0.3">
      <c r="A20" s="2"/>
      <c r="B20" s="69" t="s">
        <v>387</v>
      </c>
      <c r="C20" s="69" t="s">
        <v>207</v>
      </c>
      <c r="D20" s="69" t="s">
        <v>388</v>
      </c>
      <c r="E20" s="69" t="s">
        <v>389</v>
      </c>
      <c r="F20" s="69" t="s">
        <v>390</v>
      </c>
      <c r="G20" s="69" t="s">
        <v>391</v>
      </c>
      <c r="H20" s="69" t="s">
        <v>392</v>
      </c>
      <c r="I20" s="69" t="s">
        <v>393</v>
      </c>
      <c r="J20" s="69" t="s">
        <v>394</v>
      </c>
      <c r="K20" s="69" t="s">
        <v>395</v>
      </c>
      <c r="L20" s="69" t="s">
        <v>396</v>
      </c>
      <c r="M20" s="69" t="s">
        <v>397</v>
      </c>
      <c r="N20" s="2"/>
      <c r="O20" s="2"/>
      <c r="P20" s="2"/>
      <c r="Q20" s="2"/>
    </row>
    <row r="21" spans="1:17" ht="14.25" customHeight="1" x14ac:dyDescent="0.3">
      <c r="A21" s="2"/>
      <c r="B21" s="2" t="s">
        <v>398</v>
      </c>
      <c r="C21" s="30">
        <f>C6</f>
        <v>5764.63</v>
      </c>
      <c r="D21" s="30">
        <f t="shared" ref="D21:M21" si="5">C21*(1+D22)</f>
        <v>6991.2319877989567</v>
      </c>
      <c r="E21" s="30">
        <f t="shared" si="5"/>
        <v>8365.9766395963252</v>
      </c>
      <c r="F21" s="30">
        <f t="shared" si="5"/>
        <v>9876.0027744664658</v>
      </c>
      <c r="G21" s="30">
        <f t="shared" si="5"/>
        <v>11499.161337740363</v>
      </c>
      <c r="H21" s="30">
        <f t="shared" si="5"/>
        <v>13203.469267467921</v>
      </c>
      <c r="I21" s="30">
        <f t="shared" si="5"/>
        <v>14947.240871666399</v>
      </c>
      <c r="J21" s="30">
        <f t="shared" si="5"/>
        <v>16680.028153186664</v>
      </c>
      <c r="K21" s="30">
        <f t="shared" si="5"/>
        <v>18344.438078325649</v>
      </c>
      <c r="L21" s="30">
        <f t="shared" si="5"/>
        <v>19878.809064742178</v>
      </c>
      <c r="M21" s="30">
        <f t="shared" si="5"/>
        <v>21220.628676612272</v>
      </c>
      <c r="N21" s="2"/>
      <c r="O21" s="2"/>
      <c r="P21" s="2"/>
      <c r="Q21" s="2"/>
    </row>
    <row r="22" spans="1:17" ht="14.25" customHeight="1" x14ac:dyDescent="0.3">
      <c r="A22" s="2"/>
      <c r="B22" s="2" t="s">
        <v>399</v>
      </c>
      <c r="C22" s="2"/>
      <c r="D22" s="49">
        <f t="shared" ref="D22:M22" si="6">CHOOSE($C$19,D7,D12,D17)</f>
        <v>0.21278069673143918</v>
      </c>
      <c r="E22" s="49">
        <f t="shared" si="6"/>
        <v>0.19663839709461262</v>
      </c>
      <c r="F22" s="49">
        <f t="shared" si="6"/>
        <v>0.18049609745778605</v>
      </c>
      <c r="G22" s="49">
        <f t="shared" si="6"/>
        <v>0.16435379782095949</v>
      </c>
      <c r="H22" s="49">
        <f t="shared" si="6"/>
        <v>0.14821149818413293</v>
      </c>
      <c r="I22" s="49">
        <f t="shared" si="6"/>
        <v>0.13206919854730637</v>
      </c>
      <c r="J22" s="49">
        <f t="shared" si="6"/>
        <v>0.11592689891047979</v>
      </c>
      <c r="K22" s="49">
        <f t="shared" si="6"/>
        <v>9.9784599273653213E-2</v>
      </c>
      <c r="L22" s="49">
        <f t="shared" si="6"/>
        <v>8.3642299636826636E-2</v>
      </c>
      <c r="M22" s="49">
        <f t="shared" si="6"/>
        <v>6.7500000000000004E-2</v>
      </c>
      <c r="N22" s="2"/>
      <c r="O22" s="2"/>
      <c r="P22" s="2"/>
      <c r="Q22" s="2"/>
    </row>
    <row r="23" spans="1:1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4.25" customHeight="1" x14ac:dyDescent="0.3">
      <c r="A25" s="2"/>
      <c r="B25" s="2" t="s">
        <v>403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4.25" customHeight="1" x14ac:dyDescent="0.3">
      <c r="A26" s="2"/>
      <c r="B26" s="2" t="s">
        <v>404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4.25" customHeight="1" x14ac:dyDescent="0.3">
      <c r="A28" s="2"/>
      <c r="B28" s="2" t="s">
        <v>405</v>
      </c>
      <c r="C28" s="2" t="s">
        <v>406</v>
      </c>
      <c r="D28" s="2" t="s">
        <v>407</v>
      </c>
      <c r="E28" s="2" t="s">
        <v>408</v>
      </c>
      <c r="F28" s="2" t="s">
        <v>409</v>
      </c>
      <c r="G28" s="2" t="s">
        <v>410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4.25" customHeight="1" x14ac:dyDescent="0.3">
      <c r="A29" s="2"/>
      <c r="B29" s="2" t="s">
        <v>411</v>
      </c>
      <c r="C29" s="34">
        <f>'Ratio Analysis'!C23</f>
        <v>0.72077069113368131</v>
      </c>
      <c r="D29" s="34">
        <f>'Ratio Analysis'!D23</f>
        <v>0.70005334293968091</v>
      </c>
      <c r="E29" s="34">
        <f>'Ratio Analysis'!E23</f>
        <v>0.78897977251294293</v>
      </c>
      <c r="F29" s="34">
        <f>'Ratio Analysis'!F23</f>
        <v>0.8283597248655421</v>
      </c>
      <c r="G29" s="34">
        <f>AVERAGE('Ratio Analysis'!C23:F23)</f>
        <v>0.75954088286296184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4.25" customHeight="1" x14ac:dyDescent="0.3">
      <c r="A30" s="2"/>
      <c r="B30" s="2" t="s">
        <v>412</v>
      </c>
      <c r="C30" s="34">
        <f>'Ratio Analysis'!C22</f>
        <v>0</v>
      </c>
      <c r="D30" s="34">
        <f>'Ratio Analysis'!D22</f>
        <v>0</v>
      </c>
      <c r="E30" s="34">
        <f>'Ratio Analysis'!E22</f>
        <v>0</v>
      </c>
      <c r="F30" s="34">
        <f>'Ratio Analysis'!F22</f>
        <v>0</v>
      </c>
      <c r="G30" s="34">
        <f>AVERAGE('Ratio Analysis'!C22:F22)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4.25" customHeight="1" x14ac:dyDescent="0.3">
      <c r="A31" s="2"/>
      <c r="B31" s="2" t="s">
        <v>413</v>
      </c>
      <c r="C31" s="34">
        <f>C29*C30</f>
        <v>0</v>
      </c>
      <c r="D31" s="34">
        <f>D29*D30</f>
        <v>0</v>
      </c>
      <c r="E31" s="34">
        <f>E29*E30</f>
        <v>0</v>
      </c>
      <c r="F31" s="34">
        <f>F29*F30</f>
        <v>0</v>
      </c>
      <c r="G31" s="34">
        <f>G29*G30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4.25" customHeight="1" x14ac:dyDescent="0.3">
      <c r="A33" s="2"/>
      <c r="B33" s="2" t="s">
        <v>414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4.25" customHeight="1" x14ac:dyDescent="0.3">
      <c r="A34" s="2"/>
      <c r="B34" s="2" t="s">
        <v>415</v>
      </c>
      <c r="C34" s="21">
        <f>'Historical FS'!C56</f>
        <v>2480.3200000000002</v>
      </c>
      <c r="D34" s="21">
        <f>'Historical FS'!D56</f>
        <v>2804.76</v>
      </c>
      <c r="E34" s="21">
        <f>'Historical FS'!E56</f>
        <v>3554.09</v>
      </c>
      <c r="F34" s="21">
        <f>'Historical FS'!F56</f>
        <v>4383.68</v>
      </c>
      <c r="G34" s="71">
        <f>F34/C34</f>
        <v>1.7673848535672816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4.25" customHeight="1" x14ac:dyDescent="0.3">
      <c r="A35" s="2"/>
      <c r="B35" s="2" t="s">
        <v>416</v>
      </c>
      <c r="C35" s="2"/>
      <c r="D35" s="34">
        <f>IFERROR(D34/C34-1,0)</f>
        <v>0.13080570249000134</v>
      </c>
      <c r="E35" s="34">
        <f>IFERROR(E34/D34-1,0)</f>
        <v>0.26716367888874615</v>
      </c>
      <c r="F35" s="34">
        <f>IFERROR(F34/E34-1,0)</f>
        <v>0.23341839964660438</v>
      </c>
      <c r="G35" s="34">
        <f>IFERROR(AVERAGE(D35:F35),0)</f>
        <v>0.2104625936751173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Q69"/>
  <sheetViews>
    <sheetView showGridLines="0" topLeftCell="A43" zoomScale="73" zoomScaleNormal="148" workbookViewId="0">
      <selection sqref="A1:XFD1"/>
    </sheetView>
  </sheetViews>
  <sheetFormatPr defaultColWidth="8.6640625" defaultRowHeight="14.4" x14ac:dyDescent="0.3"/>
  <cols>
    <col min="1" max="1" width="1.88671875" customWidth="1"/>
    <col min="2" max="17" width="16" customWidth="1"/>
  </cols>
  <sheetData>
    <row r="2" spans="1:17" ht="14.25" customHeight="1" x14ac:dyDescent="0.3">
      <c r="A2" s="5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4.2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25" customHeight="1" x14ac:dyDescent="0.3">
      <c r="A4" s="2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2"/>
      <c r="N4" s="69"/>
      <c r="O4" s="2"/>
      <c r="P4" s="2"/>
      <c r="Q4" s="49"/>
    </row>
    <row r="5" spans="1:17" ht="14.25" customHeight="1" x14ac:dyDescent="0.3">
      <c r="A5" s="2"/>
      <c r="B5" s="101" t="s">
        <v>1</v>
      </c>
      <c r="C5" s="101"/>
      <c r="D5" s="101"/>
      <c r="E5" s="101"/>
      <c r="F5" s="101"/>
      <c r="G5" s="101"/>
      <c r="H5" s="101"/>
      <c r="I5" s="30"/>
      <c r="J5" s="30"/>
      <c r="K5" s="30"/>
      <c r="L5" s="30"/>
      <c r="M5" s="2"/>
      <c r="N5" s="30"/>
      <c r="O5" s="2"/>
      <c r="P5" s="2"/>
      <c r="Q5" s="49"/>
    </row>
    <row r="6" spans="1:17" ht="14.25" customHeight="1" x14ac:dyDescent="0.3">
      <c r="A6" s="5"/>
      <c r="B6" s="7" t="s">
        <v>2</v>
      </c>
      <c r="C6" s="7" t="s">
        <v>3</v>
      </c>
      <c r="D6" s="72" t="s">
        <v>4</v>
      </c>
      <c r="E6" s="72"/>
      <c r="F6" s="72"/>
      <c r="G6" s="72"/>
      <c r="H6" s="72"/>
      <c r="I6" s="72"/>
      <c r="J6" s="72"/>
      <c r="K6" s="72"/>
      <c r="L6" s="72"/>
      <c r="M6" s="7"/>
      <c r="N6" s="72"/>
      <c r="O6" s="7"/>
      <c r="P6" s="7"/>
      <c r="Q6" s="72"/>
    </row>
    <row r="7" spans="1:17" ht="14.25" customHeight="1" x14ac:dyDescent="0.3">
      <c r="A7" s="2"/>
      <c r="B7" s="2" t="s">
        <v>5</v>
      </c>
      <c r="C7" s="49">
        <f>WACC!C13</f>
        <v>0.14728357719641783</v>
      </c>
      <c r="D7" s="73" t="s">
        <v>6</v>
      </c>
      <c r="E7" s="73"/>
      <c r="F7" s="73"/>
      <c r="G7" s="73"/>
      <c r="H7" s="73"/>
      <c r="I7" s="73"/>
      <c r="J7" s="73"/>
      <c r="K7" s="73"/>
      <c r="L7" s="73"/>
      <c r="M7" s="2"/>
      <c r="N7" s="61"/>
      <c r="O7" s="2"/>
      <c r="P7" s="2"/>
      <c r="Q7" s="2"/>
    </row>
    <row r="8" spans="1:17" ht="14.25" customHeight="1" x14ac:dyDescent="0.3">
      <c r="A8" s="2"/>
      <c r="B8" s="2" t="s">
        <v>7</v>
      </c>
      <c r="C8" s="49">
        <f>WACC!C8</f>
        <v>6.6000000000000003E-2</v>
      </c>
      <c r="D8" s="49" t="s">
        <v>8</v>
      </c>
      <c r="E8" s="49"/>
      <c r="F8" s="49"/>
      <c r="G8" s="49"/>
      <c r="H8" s="49"/>
      <c r="I8" s="49"/>
      <c r="J8" s="49"/>
      <c r="K8" s="49"/>
      <c r="L8" s="49"/>
      <c r="M8" s="2"/>
      <c r="N8" s="49"/>
      <c r="O8" s="2"/>
      <c r="P8" s="2"/>
      <c r="Q8" s="2"/>
    </row>
    <row r="9" spans="1:17" ht="14.25" customHeight="1" x14ac:dyDescent="0.3">
      <c r="A9" s="2"/>
      <c r="B9" s="2" t="s">
        <v>9</v>
      </c>
      <c r="C9" s="2">
        <f>'Beta Calculation'!L6</f>
        <v>1.5052514295632935</v>
      </c>
      <c r="D9" s="30" t="s">
        <v>10</v>
      </c>
      <c r="E9" s="30"/>
      <c r="F9" s="30"/>
      <c r="G9" s="30"/>
      <c r="H9" s="30"/>
      <c r="I9" s="30"/>
      <c r="J9" s="30"/>
      <c r="K9" s="30"/>
      <c r="L9" s="30"/>
      <c r="M9" s="2"/>
      <c r="N9" s="61"/>
      <c r="O9" s="2"/>
      <c r="P9" s="2"/>
      <c r="Q9" s="2"/>
    </row>
    <row r="10" spans="1:17" ht="14.25" customHeight="1" x14ac:dyDescent="0.3">
      <c r="A10" s="2"/>
      <c r="B10" s="2" t="s">
        <v>11</v>
      </c>
      <c r="C10" s="49">
        <f>WACC!C12</f>
        <v>5.3999999999999992E-2</v>
      </c>
      <c r="D10" s="30" t="s">
        <v>12</v>
      </c>
      <c r="E10" s="30"/>
      <c r="F10" s="30"/>
      <c r="G10" s="30"/>
      <c r="H10" s="30"/>
      <c r="I10" s="30"/>
      <c r="J10" s="30"/>
      <c r="K10" s="30"/>
      <c r="L10" s="30"/>
      <c r="M10" s="2"/>
      <c r="N10" s="61"/>
      <c r="O10" s="2"/>
      <c r="P10" s="2"/>
      <c r="Q10" s="2"/>
    </row>
    <row r="11" spans="1:17" ht="14.25" customHeight="1" x14ac:dyDescent="0.3">
      <c r="A11" s="2"/>
      <c r="B11" s="2" t="s">
        <v>13</v>
      </c>
      <c r="C11" s="74">
        <v>49.43</v>
      </c>
      <c r="D11" s="61" t="s">
        <v>14</v>
      </c>
      <c r="E11" s="61"/>
      <c r="F11" s="61"/>
      <c r="G11" s="61"/>
      <c r="H11" s="61"/>
      <c r="I11" s="61"/>
      <c r="J11" s="61"/>
      <c r="K11" s="61"/>
      <c r="L11" s="61"/>
      <c r="M11" s="2"/>
      <c r="N11" s="2"/>
      <c r="O11" s="2"/>
      <c r="P11" s="2"/>
      <c r="Q11" s="2"/>
    </row>
    <row r="12" spans="1:17" ht="14.25" customHeight="1" x14ac:dyDescent="0.3">
      <c r="A12" s="2"/>
      <c r="B12" s="2" t="s">
        <v>15</v>
      </c>
      <c r="C12" s="28">
        <f>IFERROR(('Historical FS'!G52+'Historical FS'!G53)/'Historical FS'!G41,0)</f>
        <v>84.38539348573741</v>
      </c>
      <c r="D12" s="30" t="s">
        <v>16</v>
      </c>
      <c r="E12" s="30"/>
      <c r="F12" s="30"/>
      <c r="G12" s="30"/>
      <c r="H12" s="30"/>
      <c r="I12" s="30"/>
      <c r="J12" s="30"/>
      <c r="K12" s="30"/>
      <c r="L12" s="30"/>
      <c r="M12" s="2"/>
      <c r="N12" s="2"/>
      <c r="O12" s="2"/>
      <c r="P12" s="2"/>
      <c r="Q12" s="2"/>
    </row>
    <row r="13" spans="1:17" ht="14.25" customHeight="1" x14ac:dyDescent="0.3">
      <c r="A13" s="2"/>
      <c r="B13" s="2" t="s">
        <v>17</v>
      </c>
      <c r="C13" s="22">
        <f>IFERROR('Historical FS'!G43,0)</f>
        <v>29.37</v>
      </c>
      <c r="D13" s="30" t="s">
        <v>18</v>
      </c>
      <c r="E13" s="30"/>
      <c r="F13" s="30"/>
      <c r="G13" s="30"/>
      <c r="H13" s="30"/>
      <c r="I13" s="30"/>
      <c r="J13" s="30"/>
      <c r="K13" s="30"/>
      <c r="L13" s="30"/>
      <c r="M13" s="2"/>
      <c r="N13" s="2"/>
      <c r="O13" s="2"/>
      <c r="P13" s="2"/>
      <c r="Q13" s="2"/>
    </row>
    <row r="14" spans="1:17" ht="14.25" customHeight="1" x14ac:dyDescent="0.3">
      <c r="A14" s="2"/>
      <c r="B14" s="2" t="s">
        <v>19</v>
      </c>
      <c r="C14" s="75">
        <f>IFERROR('Ratio Analysis'!G23,0)</f>
        <v>0.8580158192325551</v>
      </c>
      <c r="D14" s="61" t="s">
        <v>20</v>
      </c>
      <c r="E14" s="61"/>
      <c r="F14" s="61"/>
      <c r="G14" s="61"/>
      <c r="H14" s="61"/>
      <c r="I14" s="61"/>
      <c r="J14" s="61"/>
      <c r="K14" s="61"/>
      <c r="L14" s="61"/>
      <c r="M14" s="2"/>
      <c r="N14" s="61"/>
      <c r="O14" s="2"/>
      <c r="P14" s="2"/>
      <c r="Q14" s="2"/>
    </row>
    <row r="15" spans="1:17" ht="14.25" customHeight="1" x14ac:dyDescent="0.3">
      <c r="A15" s="2"/>
      <c r="B15" s="2" t="s">
        <v>21</v>
      </c>
      <c r="C15" s="2">
        <f>IF(AND(C14&gt;0,C13&gt;0),1-('Historical FS'!F47/C13),'Historical FS'!G51/C13)</f>
        <v>-0.26448688177804525</v>
      </c>
      <c r="D15" s="30" t="s">
        <v>22</v>
      </c>
      <c r="E15" s="30"/>
      <c r="F15" s="30"/>
      <c r="G15" s="30"/>
      <c r="H15" s="30"/>
      <c r="I15" s="30"/>
      <c r="J15" s="30"/>
      <c r="K15" s="30"/>
      <c r="L15" s="30"/>
      <c r="M15" s="2"/>
      <c r="N15" s="61"/>
      <c r="O15" s="2"/>
      <c r="P15" s="2"/>
      <c r="Q15" s="2"/>
    </row>
    <row r="16" spans="1:17" ht="14.25" customHeight="1" x14ac:dyDescent="0.3">
      <c r="A16" s="2"/>
      <c r="B16" s="2" t="s">
        <v>23</v>
      </c>
      <c r="C16" s="34">
        <f>IFERROR(C14*C15,0)</f>
        <v>-0.22693392854505345</v>
      </c>
      <c r="D16" s="25" t="s">
        <v>20</v>
      </c>
      <c r="E16" s="25"/>
      <c r="F16" s="25"/>
      <c r="G16" s="25"/>
      <c r="H16" s="25"/>
      <c r="I16" s="25"/>
      <c r="J16" s="25"/>
      <c r="K16" s="25"/>
      <c r="L16" s="25"/>
      <c r="M16" s="2"/>
      <c r="N16" s="49"/>
      <c r="O16" s="2"/>
      <c r="P16" s="2"/>
      <c r="Q16" s="2"/>
    </row>
    <row r="17" spans="1:17" ht="14.25" customHeight="1" x14ac:dyDescent="0.3">
      <c r="A17" s="2"/>
      <c r="B17" s="2" t="s">
        <v>24</v>
      </c>
      <c r="C17" s="16">
        <v>6.5000000000000002E-2</v>
      </c>
      <c r="D17" s="2" t="s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4.25" customHeight="1" x14ac:dyDescent="0.3">
      <c r="A18" s="2"/>
      <c r="B18" s="2" t="s">
        <v>26</v>
      </c>
      <c r="C18" s="2">
        <f>WACC!C28</f>
        <v>3285</v>
      </c>
      <c r="D18" s="2" t="s">
        <v>27</v>
      </c>
      <c r="E18" s="2"/>
      <c r="F18" s="2"/>
      <c r="G18" s="2"/>
      <c r="H18" s="2"/>
      <c r="I18" s="2"/>
      <c r="J18" s="2"/>
      <c r="K18" s="2"/>
      <c r="L18" s="30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4.25" customHeight="1" x14ac:dyDescent="0.3">
      <c r="A20" s="2"/>
      <c r="B20" s="101" t="s">
        <v>28</v>
      </c>
      <c r="C20" s="101"/>
      <c r="D20" s="101"/>
      <c r="E20" s="101"/>
      <c r="F20" s="101"/>
      <c r="G20" s="101"/>
      <c r="H20" s="101"/>
      <c r="I20" s="61"/>
      <c r="J20" s="61"/>
      <c r="K20" s="61"/>
      <c r="L20" s="61"/>
      <c r="M20" s="2"/>
      <c r="N20" s="2"/>
      <c r="O20" s="2"/>
      <c r="P20" s="2"/>
      <c r="Q20" s="2"/>
    </row>
    <row r="21" spans="1:17" ht="14.25" customHeight="1" x14ac:dyDescent="0.3">
      <c r="A21" s="2"/>
      <c r="B21" s="2" t="s">
        <v>29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4.25" customHeight="1" x14ac:dyDescent="0.3">
      <c r="A22" s="2"/>
      <c r="B22" s="2" t="s">
        <v>30</v>
      </c>
      <c r="C22" s="2"/>
      <c r="D22" s="2"/>
      <c r="E22" s="2"/>
      <c r="F22" s="34">
        <f>IFERROR(AVERAGE('Ratio Analysis'!D23:G23),0)</f>
        <v>0.79385216488768029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4.25" customHeight="1" x14ac:dyDescent="0.3">
      <c r="A23" s="2"/>
      <c r="B23" s="2" t="s">
        <v>5</v>
      </c>
      <c r="C23" s="2"/>
      <c r="D23" s="30"/>
      <c r="E23" s="2"/>
      <c r="F23" s="34">
        <f>WACC!C13</f>
        <v>0.14728357719641783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4.25" customHeight="1" x14ac:dyDescent="0.3">
      <c r="A24" s="2"/>
      <c r="B24" s="2" t="s">
        <v>31</v>
      </c>
      <c r="C24" s="2"/>
      <c r="D24" s="30"/>
      <c r="E24" s="2"/>
      <c r="F24" s="71">
        <f>IFERROR(F22/F23,0)</f>
        <v>5.3899571153747621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4.25" customHeight="1" x14ac:dyDescent="0.3">
      <c r="A25" s="2"/>
      <c r="B25" s="2" t="s">
        <v>32</v>
      </c>
      <c r="C25" s="2"/>
      <c r="D25" s="30"/>
      <c r="E25" s="2"/>
      <c r="F25" s="37">
        <f>C12</f>
        <v>84.38539348573741</v>
      </c>
      <c r="G25" s="2"/>
      <c r="H25" s="2"/>
      <c r="I25" s="61"/>
      <c r="J25" s="49"/>
      <c r="K25" s="49"/>
      <c r="L25" s="49"/>
      <c r="M25" s="2"/>
      <c r="N25" s="2"/>
      <c r="O25" s="2"/>
      <c r="P25" s="2"/>
      <c r="Q25" s="2"/>
    </row>
    <row r="26" spans="1:17" ht="14.25" customHeight="1" x14ac:dyDescent="0.3">
      <c r="A26" s="2"/>
      <c r="B26" s="76" t="s">
        <v>33</v>
      </c>
      <c r="C26" s="2"/>
      <c r="D26" s="21"/>
      <c r="E26" s="2"/>
      <c r="F26" s="37">
        <f>IFERROR(F24*F25,0)</f>
        <v>454.83365205214943</v>
      </c>
      <c r="G26" s="2"/>
      <c r="H26" s="2"/>
      <c r="I26" s="49"/>
      <c r="J26" s="36"/>
      <c r="K26" s="36"/>
      <c r="L26" s="36"/>
      <c r="M26" s="2"/>
      <c r="N26" s="2"/>
      <c r="O26" s="2"/>
      <c r="P26" s="2"/>
      <c r="Q26" s="2"/>
    </row>
    <row r="27" spans="1:17" ht="14.25" customHeight="1" x14ac:dyDescent="0.3">
      <c r="A27" s="2"/>
      <c r="B27" s="2" t="s">
        <v>34</v>
      </c>
      <c r="C27" s="2"/>
      <c r="D27" s="21"/>
      <c r="E27" s="2"/>
      <c r="F27" s="37">
        <f>C18</f>
        <v>3285</v>
      </c>
      <c r="G27" s="2"/>
      <c r="H27" s="2"/>
      <c r="I27" s="49"/>
      <c r="J27" s="77"/>
      <c r="K27" s="77"/>
      <c r="L27" s="77"/>
      <c r="M27" s="2"/>
      <c r="N27" s="2"/>
      <c r="O27" s="2"/>
      <c r="P27" s="2"/>
      <c r="Q27" s="2"/>
    </row>
    <row r="28" spans="1:17" ht="14.25" customHeight="1" x14ac:dyDescent="0.3">
      <c r="A28" s="2"/>
      <c r="B28" s="2" t="s">
        <v>35</v>
      </c>
      <c r="C28" s="2"/>
      <c r="D28" s="2"/>
      <c r="E28" s="2"/>
      <c r="F28" s="34">
        <f>IFERROR((F26-F27)/F27,0)</f>
        <v>-0.86154226725961969</v>
      </c>
      <c r="G28" s="2"/>
      <c r="H28" s="2"/>
      <c r="I28" s="49"/>
      <c r="J28" s="77"/>
      <c r="K28" s="77"/>
      <c r="L28" s="77"/>
      <c r="M28" s="2"/>
      <c r="N28" s="2"/>
      <c r="O28" s="2"/>
      <c r="P28" s="2"/>
      <c r="Q28" s="2"/>
    </row>
    <row r="29" spans="1:17" ht="15" customHeight="1" x14ac:dyDescent="0.3">
      <c r="A29" s="2"/>
      <c r="B29" s="78"/>
      <c r="C29" s="78"/>
      <c r="D29" s="79"/>
      <c r="E29" s="2"/>
      <c r="F29" s="2"/>
      <c r="G29" s="2"/>
      <c r="H29" s="2"/>
      <c r="I29" s="49"/>
      <c r="J29" s="77"/>
      <c r="K29" s="77"/>
      <c r="L29" s="77"/>
      <c r="M29" s="2"/>
      <c r="N29" s="2"/>
      <c r="O29" s="2"/>
      <c r="P29" s="2"/>
      <c r="Q29" s="2"/>
    </row>
    <row r="30" spans="1:17" ht="15" customHeight="1" x14ac:dyDescent="0.3">
      <c r="A30" s="2"/>
      <c r="B30" s="101" t="s">
        <v>36</v>
      </c>
      <c r="C30" s="101"/>
      <c r="D30" s="101"/>
      <c r="E30" s="101"/>
      <c r="F30" s="101"/>
      <c r="G30" s="101"/>
      <c r="H30" s="101"/>
      <c r="I30" s="49"/>
      <c r="J30" s="77"/>
      <c r="K30" s="77"/>
      <c r="L30" s="77"/>
      <c r="M30" s="2"/>
      <c r="N30" s="2"/>
      <c r="O30" s="2"/>
      <c r="P30" s="2"/>
      <c r="Q30" s="2"/>
    </row>
    <row r="31" spans="1:17" ht="14.25" customHeight="1" x14ac:dyDescent="0.3">
      <c r="A31" s="2"/>
      <c r="B31" s="76" t="s">
        <v>37</v>
      </c>
      <c r="C31" s="2"/>
      <c r="D31" s="3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" customHeight="1" x14ac:dyDescent="0.3">
      <c r="A32" s="2"/>
      <c r="B32" s="78"/>
      <c r="C32" s="78"/>
      <c r="D32" s="80"/>
      <c r="E32" s="2"/>
      <c r="F32" s="7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" customHeight="1" x14ac:dyDescent="0.3">
      <c r="A33" s="2"/>
      <c r="B33" s="2" t="s">
        <v>2</v>
      </c>
      <c r="C33" s="2"/>
      <c r="D33" s="2" t="s">
        <v>38</v>
      </c>
      <c r="E33" s="2" t="s">
        <v>39</v>
      </c>
      <c r="F33" s="2" t="s">
        <v>40</v>
      </c>
      <c r="G33" s="2" t="s">
        <v>41</v>
      </c>
      <c r="H33" s="2" t="s">
        <v>42</v>
      </c>
      <c r="I33" s="2" t="s">
        <v>43</v>
      </c>
      <c r="J33" s="2"/>
      <c r="K33" s="2"/>
      <c r="L33" s="2"/>
      <c r="M33" s="2"/>
      <c r="N33" s="2"/>
      <c r="O33" s="2"/>
      <c r="P33" s="2"/>
      <c r="Q33" s="2"/>
    </row>
    <row r="34" spans="1:17" ht="14.25" customHeight="1" x14ac:dyDescent="0.3">
      <c r="A34" s="2"/>
      <c r="B34" s="2" t="s">
        <v>44</v>
      </c>
      <c r="C34" s="2"/>
      <c r="D34" s="34">
        <f>C16</f>
        <v>-0.22693392854505345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4.25" customHeight="1" x14ac:dyDescent="0.3">
      <c r="A35" s="2"/>
      <c r="B35" s="2" t="s">
        <v>45</v>
      </c>
      <c r="C35" s="2"/>
      <c r="D35" s="22">
        <f>'Historical FS'!G39</f>
        <v>0.57215467428091638</v>
      </c>
      <c r="E35" s="2">
        <f>D35*(1+$D$34)</f>
        <v>0.44231336631093254</v>
      </c>
      <c r="F35" s="2">
        <f>E35*(1+$D$34)</f>
        <v>0.34193745644600532</v>
      </c>
      <c r="G35" s="2">
        <f>F35*(1+$D$34)</f>
        <v>0.26434024613801022</v>
      </c>
      <c r="H35" s="2">
        <f>G35*(1+$D$34)</f>
        <v>0.20435247560934516</v>
      </c>
      <c r="I35" s="2">
        <f>H35*(1+$C$17)</f>
        <v>0.21763538652395259</v>
      </c>
      <c r="J35" s="2"/>
      <c r="K35" s="2"/>
      <c r="L35" s="2"/>
      <c r="M35" s="2"/>
      <c r="N35" s="2"/>
      <c r="O35" s="2"/>
      <c r="P35" s="2"/>
      <c r="Q35" s="2"/>
    </row>
    <row r="36" spans="1:17" ht="14.25" customHeight="1" x14ac:dyDescent="0.3">
      <c r="A36" s="2"/>
      <c r="B36" s="2" t="s">
        <v>46</v>
      </c>
      <c r="C36" s="2"/>
      <c r="D36" s="28">
        <f>C12</f>
        <v>84.38539348573741</v>
      </c>
      <c r="E36" s="2">
        <f>D36+D35*D37</f>
        <v>84.38539348573741</v>
      </c>
      <c r="F36" s="2">
        <f>E36+E35*E37</f>
        <v>84.38539348573741</v>
      </c>
      <c r="G36" s="2">
        <f>F36+F35*F37</f>
        <v>84.38539348573741</v>
      </c>
      <c r="H36" s="2">
        <f>G36+G35*G37</f>
        <v>84.38539348573741</v>
      </c>
      <c r="I36" s="2"/>
      <c r="J36" s="2"/>
      <c r="K36" s="2"/>
      <c r="L36" s="2"/>
      <c r="M36" s="2"/>
      <c r="N36" s="2"/>
      <c r="O36" s="2"/>
      <c r="P36" s="2"/>
      <c r="Q36" s="2"/>
    </row>
    <row r="37" spans="1:17" ht="14.25" customHeight="1" x14ac:dyDescent="0.3">
      <c r="A37" s="2"/>
      <c r="B37" s="2" t="s">
        <v>47</v>
      </c>
      <c r="C37" s="2"/>
      <c r="D37" s="75">
        <f>IFERROR(AVERAGE('Ratio Analysis'!D22:F22),0)</f>
        <v>0</v>
      </c>
      <c r="E37" s="75">
        <f>$D$37</f>
        <v>0</v>
      </c>
      <c r="F37" s="75">
        <f>$D$37</f>
        <v>0</v>
      </c>
      <c r="G37" s="75">
        <f>$D$37</f>
        <v>0</v>
      </c>
      <c r="H37" s="75">
        <f>$D$37</f>
        <v>0</v>
      </c>
      <c r="I37" s="2"/>
      <c r="J37" s="2"/>
      <c r="K37" s="2"/>
      <c r="L37" s="2"/>
      <c r="M37" s="2"/>
      <c r="N37" s="2"/>
      <c r="O37" s="2"/>
      <c r="P37" s="2"/>
      <c r="Q37" s="2"/>
    </row>
    <row r="38" spans="1:17" ht="14.25" customHeight="1" x14ac:dyDescent="0.3">
      <c r="A38" s="2"/>
      <c r="B38" s="2" t="s">
        <v>48</v>
      </c>
      <c r="C38" s="2"/>
      <c r="D38" s="2">
        <f>WACC!$C$13*D36</f>
        <v>12.4285826157067</v>
      </c>
      <c r="E38" s="2">
        <f>WACC!$C$13*E36</f>
        <v>12.4285826157067</v>
      </c>
      <c r="F38" s="2">
        <f>WACC!$C$13*F36</f>
        <v>12.4285826157067</v>
      </c>
      <c r="G38" s="2">
        <f>WACC!$C$13*G36</f>
        <v>12.4285826157067</v>
      </c>
      <c r="H38" s="2">
        <f>WACC!$C$13*H36</f>
        <v>12.4285826157067</v>
      </c>
      <c r="I38" s="2">
        <f>WACC!$C$13*I36</f>
        <v>0</v>
      </c>
      <c r="J38" s="2"/>
      <c r="K38" s="2"/>
      <c r="L38" s="2"/>
      <c r="M38" s="2"/>
      <c r="N38" s="2"/>
      <c r="O38" s="2"/>
      <c r="P38" s="2"/>
      <c r="Q38" s="2"/>
    </row>
    <row r="39" spans="1:17" ht="14.25" customHeight="1" x14ac:dyDescent="0.3">
      <c r="A39" s="2"/>
      <c r="B39" s="2" t="s">
        <v>49</v>
      </c>
      <c r="C39" s="2"/>
      <c r="D39" s="81">
        <f>D35-D38</f>
        <v>-11.856427941425784</v>
      </c>
      <c r="E39" s="2">
        <f>E35-E38</f>
        <v>-11.986269249395768</v>
      </c>
      <c r="F39" s="2">
        <f>F35-F38</f>
        <v>-12.086645159260694</v>
      </c>
      <c r="G39" s="2">
        <f>G35-G38</f>
        <v>-12.16424236956869</v>
      </c>
      <c r="H39" s="2">
        <f>H35-H38</f>
        <v>-12.224230140097355</v>
      </c>
      <c r="I39" s="2"/>
      <c r="J39" s="2"/>
      <c r="K39" s="2"/>
      <c r="L39" s="2"/>
      <c r="M39" s="2"/>
      <c r="N39" s="2"/>
      <c r="O39" s="2"/>
      <c r="P39" s="2"/>
      <c r="Q39" s="2"/>
    </row>
    <row r="40" spans="1:17" ht="14.25" customHeight="1" x14ac:dyDescent="0.3">
      <c r="A40" s="2"/>
      <c r="B40" s="2" t="s">
        <v>50</v>
      </c>
      <c r="C40" s="2"/>
      <c r="D40" s="2">
        <f>1/(1+WACC!$C$13)^1</f>
        <v>0.87162408656076973</v>
      </c>
      <c r="E40" s="2">
        <f>1/(1+WACC!$C$13)^2</f>
        <v>0.75972854827289615</v>
      </c>
      <c r="F40" s="2">
        <f>1/(1+WACC!$C$13)^3</f>
        <v>0.66219770192250271</v>
      </c>
      <c r="G40" s="2">
        <f>1/(1+WACC!$C$13)^4</f>
        <v>0.57718746706084223</v>
      </c>
      <c r="H40" s="2">
        <f>1/(1+WACC!$C$13)^5</f>
        <v>0.50309049875123102</v>
      </c>
      <c r="I40" s="2"/>
      <c r="J40" s="2"/>
      <c r="K40" s="2"/>
      <c r="L40" s="2"/>
      <c r="M40" s="2"/>
      <c r="N40" s="2"/>
      <c r="O40" s="2"/>
      <c r="P40" s="2"/>
      <c r="Q40" s="2"/>
    </row>
    <row r="41" spans="1:17" ht="14.25" customHeight="1" x14ac:dyDescent="0.3">
      <c r="A41" s="2"/>
      <c r="B41" s="2" t="s">
        <v>51</v>
      </c>
      <c r="C41" s="2"/>
      <c r="D41" s="2">
        <f>D39*D40</f>
        <v>-10.334348174318835</v>
      </c>
      <c r="E41" s="2">
        <f>E39*E40</f>
        <v>-9.1063109360515035</v>
      </c>
      <c r="F41" s="2">
        <f>F39*F40</f>
        <v>-8.0037486484151739</v>
      </c>
      <c r="G41" s="2">
        <f>G39*G40</f>
        <v>-7.0210482420055298</v>
      </c>
      <c r="H41" s="2">
        <f>H39*H40</f>
        <v>-6.1498940380314089</v>
      </c>
      <c r="I41" s="2"/>
      <c r="J41" s="2"/>
      <c r="K41" s="2"/>
      <c r="L41" s="2"/>
      <c r="M41" s="2"/>
      <c r="N41" s="2"/>
      <c r="O41" s="2"/>
      <c r="P41" s="2"/>
      <c r="Q41" s="2"/>
    </row>
    <row r="42" spans="1:17" ht="14.25" customHeight="1" x14ac:dyDescent="0.3">
      <c r="A42" s="2"/>
      <c r="B42" s="2" t="s">
        <v>52</v>
      </c>
      <c r="C42" s="2"/>
      <c r="D42" s="2"/>
      <c r="E42" s="2"/>
      <c r="F42" s="2"/>
      <c r="G42" s="2"/>
      <c r="H42" s="2"/>
      <c r="I42" s="2">
        <f>IFERROR((I39/(WACC!C13-C17))*H40,0)</f>
        <v>0</v>
      </c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4.25" customHeight="1" x14ac:dyDescent="0.3">
      <c r="A44" s="2"/>
      <c r="B44" s="2" t="s">
        <v>53</v>
      </c>
      <c r="C44" s="2"/>
      <c r="D44" s="2"/>
      <c r="E44" s="2"/>
      <c r="F44" s="2">
        <f>SUM(D41:H41)</f>
        <v>-40.615350038822456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4.25" customHeight="1" x14ac:dyDescent="0.3">
      <c r="A45" s="2"/>
      <c r="B45" s="2" t="s">
        <v>54</v>
      </c>
      <c r="C45" s="2"/>
      <c r="D45" s="2"/>
      <c r="E45" s="2"/>
      <c r="F45" s="2">
        <f>I42</f>
        <v>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4.25" customHeight="1" x14ac:dyDescent="0.3">
      <c r="A46" s="2"/>
      <c r="B46" s="2" t="s">
        <v>55</v>
      </c>
      <c r="C46" s="2"/>
      <c r="D46" s="2"/>
      <c r="E46" s="2"/>
      <c r="F46" s="28">
        <f>C12</f>
        <v>84.38539348573741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4.25" customHeight="1" x14ac:dyDescent="0.3">
      <c r="A47" s="2"/>
      <c r="B47" s="76" t="s">
        <v>56</v>
      </c>
      <c r="C47" s="2"/>
      <c r="D47" s="2"/>
      <c r="E47" s="2"/>
      <c r="F47" s="37">
        <f>F44+F45+F46</f>
        <v>43.770043446914954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4.25" customHeight="1" x14ac:dyDescent="0.3">
      <c r="A48" s="2"/>
      <c r="B48" s="2" t="s">
        <v>57</v>
      </c>
      <c r="C48" s="2"/>
      <c r="D48" s="2"/>
      <c r="E48" s="2"/>
      <c r="F48" s="2" t="s">
        <v>58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4.25" customHeight="1" x14ac:dyDescent="0.3">
      <c r="A49" s="2"/>
      <c r="B49" s="2" t="s">
        <v>35</v>
      </c>
      <c r="C49" s="2"/>
      <c r="D49" s="2"/>
      <c r="E49" s="2"/>
      <c r="F49" s="34">
        <f>IFERROR((F47-F48)/F48,0)</f>
        <v>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4.25" customHeight="1" x14ac:dyDescent="0.3">
      <c r="A51" s="2"/>
      <c r="B51" s="101" t="s">
        <v>59</v>
      </c>
      <c r="C51" s="101"/>
      <c r="D51" s="101"/>
      <c r="E51" s="101"/>
      <c r="F51" s="101"/>
      <c r="G51" s="101"/>
      <c r="H51" s="101"/>
      <c r="I51" s="2"/>
      <c r="J51" s="2"/>
      <c r="K51" s="2"/>
      <c r="L51" s="2"/>
      <c r="M51" s="2"/>
      <c r="N51" s="2"/>
      <c r="O51" s="2"/>
      <c r="P51" s="2"/>
      <c r="Q51" s="2"/>
    </row>
    <row r="52" spans="1:17" ht="14.25" customHeight="1" x14ac:dyDescent="0.3">
      <c r="A52" s="2"/>
      <c r="B52" s="2" t="s">
        <v>60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4.25" customHeight="1" x14ac:dyDescent="0.3">
      <c r="A53" s="2"/>
      <c r="B53" s="2" t="s">
        <v>61</v>
      </c>
      <c r="C53" s="2"/>
      <c r="D53" s="21">
        <f>IFERROR('Historical FS'!F46,0)</f>
        <v>1140.1359773371105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4.25" customHeight="1" x14ac:dyDescent="0.3">
      <c r="A54" s="2"/>
      <c r="B54" s="2" t="s">
        <v>62</v>
      </c>
      <c r="C54" s="2"/>
      <c r="D54" s="2">
        <f>D53*(1+C17)</f>
        <v>1214.2448158640227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4.25" customHeight="1" x14ac:dyDescent="0.3">
      <c r="A55" s="2"/>
      <c r="B55" s="2" t="s">
        <v>5</v>
      </c>
      <c r="C55" s="2"/>
      <c r="D55" s="34">
        <f>WACC!C13</f>
        <v>0.14728357719641783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4.25" customHeight="1" x14ac:dyDescent="0.3">
      <c r="A56" s="2"/>
      <c r="B56" s="2" t="s">
        <v>63</v>
      </c>
      <c r="C56" s="2"/>
      <c r="D56" s="34">
        <f>C17</f>
        <v>6.5000000000000002E-2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4.25" customHeight="1" x14ac:dyDescent="0.3">
      <c r="A57" s="2"/>
      <c r="B57" s="76" t="s">
        <v>64</v>
      </c>
      <c r="C57" s="2"/>
      <c r="D57" s="37">
        <f>IFERROR(D54/(D55-D56),0)</f>
        <v>14756.830673094319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4.25" customHeight="1" x14ac:dyDescent="0.3">
      <c r="A60" s="2"/>
      <c r="B60" s="101" t="s">
        <v>65</v>
      </c>
      <c r="C60" s="101"/>
      <c r="D60" s="101"/>
      <c r="E60" s="101"/>
      <c r="F60" s="101"/>
      <c r="G60" s="101"/>
      <c r="H60" s="101"/>
      <c r="I60" s="2"/>
      <c r="J60" s="2"/>
      <c r="K60" s="2"/>
      <c r="L60" s="2"/>
      <c r="M60" s="2"/>
      <c r="N60" s="2"/>
      <c r="O60" s="2"/>
      <c r="P60" s="2"/>
      <c r="Q60" s="2"/>
    </row>
    <row r="61" spans="1:17" ht="14.25" customHeight="1" x14ac:dyDescent="0.3">
      <c r="A61" s="2"/>
      <c r="B61" s="2" t="s">
        <v>66</v>
      </c>
      <c r="C61" s="2"/>
      <c r="D61" s="76" t="s">
        <v>67</v>
      </c>
      <c r="E61" s="2" t="s">
        <v>68</v>
      </c>
      <c r="F61" s="2" t="s">
        <v>69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4.25" customHeight="1" x14ac:dyDescent="0.3">
      <c r="A62" s="2"/>
      <c r="B62" s="2" t="s">
        <v>70</v>
      </c>
      <c r="C62" s="2"/>
      <c r="D62" s="37">
        <f>F26</f>
        <v>454.83365205214943</v>
      </c>
      <c r="E62" s="16">
        <v>0.4</v>
      </c>
      <c r="F62" s="37">
        <f>D62*E62</f>
        <v>181.93346082085978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4.25" customHeight="1" x14ac:dyDescent="0.3">
      <c r="A63" s="2"/>
      <c r="B63" s="2" t="s">
        <v>71</v>
      </c>
      <c r="C63" s="2"/>
      <c r="D63" s="37">
        <f>F47</f>
        <v>43.770043446914954</v>
      </c>
      <c r="E63" s="16">
        <v>0.4</v>
      </c>
      <c r="F63" s="37">
        <f>D63*E63</f>
        <v>17.508017378765981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4.25" customHeight="1" x14ac:dyDescent="0.3">
      <c r="A64" s="2"/>
      <c r="B64" s="2" t="s">
        <v>72</v>
      </c>
      <c r="C64" s="2"/>
      <c r="D64" s="37">
        <f>D57</f>
        <v>14756.830673094319</v>
      </c>
      <c r="E64" s="16">
        <v>0.2</v>
      </c>
      <c r="F64" s="37">
        <f>D64*E64</f>
        <v>2951.3661346188637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4.25" customHeight="1" x14ac:dyDescent="0.3">
      <c r="A65" s="2"/>
      <c r="B65" s="2" t="s">
        <v>73</v>
      </c>
      <c r="C65" s="2"/>
      <c r="D65" s="2"/>
      <c r="E65" s="2">
        <f>SUM(E62:E64)</f>
        <v>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" customHeight="1" thickBot="1" x14ac:dyDescent="0.35">
      <c r="A66" s="2"/>
      <c r="B66" s="82" t="s">
        <v>74</v>
      </c>
      <c r="C66" s="82"/>
      <c r="D66" s="82"/>
      <c r="E66" s="82"/>
      <c r="F66" s="83">
        <f>SUM(F62:F64)</f>
        <v>3150.8076128184894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4.25" customHeight="1" x14ac:dyDescent="0.3">
      <c r="A67" s="2"/>
      <c r="B67" s="2" t="s">
        <v>75</v>
      </c>
      <c r="C67" s="2"/>
      <c r="D67" s="2"/>
      <c r="E67" s="2"/>
      <c r="F67" s="37">
        <f>C18</f>
        <v>3285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4.25" customHeight="1" x14ac:dyDescent="0.3">
      <c r="A68" s="2"/>
      <c r="B68" s="76" t="s">
        <v>76</v>
      </c>
      <c r="C68" s="2"/>
      <c r="D68" s="2"/>
      <c r="E68" s="2"/>
      <c r="F68" s="34">
        <f>IFERROR((F66-F67)/F67,0)</f>
        <v>-4.0850041759972797E-2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4.25" customHeight="1" x14ac:dyDescent="0.3">
      <c r="A69" s="2"/>
      <c r="B69" s="2" t="s">
        <v>77</v>
      </c>
      <c r="C69" s="2"/>
      <c r="D69" s="2"/>
      <c r="E69" s="2"/>
      <c r="F69" s="2" t="str">
        <f>IF(F68&gt;0.15,"Undervalued",IF(F68&lt;-0.15,"Overvalued","Fairly Valued"))</f>
        <v>Fairly Valued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</sheetData>
  <mergeCells count="5">
    <mergeCell ref="B51:H51"/>
    <mergeCell ref="B5:H5"/>
    <mergeCell ref="B30:H30"/>
    <mergeCell ref="B60:H60"/>
    <mergeCell ref="B20:H20"/>
  </mergeCells>
  <conditionalFormatting sqref="F68">
    <cfRule type="colorScale" priority="1">
      <colorScale>
        <cfvo type="percent" val="0"/>
        <cfvo type="max"/>
        <color rgb="FFFF7128"/>
        <color rgb="FFFFEF9C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0"/>
  <sheetViews>
    <sheetView tabSelected="1" topLeftCell="H3" workbookViewId="0">
      <pane ySplit="1" topLeftCell="A6" activePane="bottomLeft" state="frozen"/>
      <selection pane="bottomLeft" activeCell="A3" sqref="A1:A1048576"/>
    </sheetView>
  </sheetViews>
  <sheetFormatPr defaultColWidth="8.6640625" defaultRowHeight="14.4" x14ac:dyDescent="0.3"/>
  <cols>
    <col min="1" max="1" width="1.88671875" customWidth="1"/>
    <col min="2" max="2" width="16" bestFit="1" customWidth="1"/>
    <col min="3" max="5" width="16" customWidth="1"/>
    <col min="6" max="6" width="16" bestFit="1" customWidth="1"/>
    <col min="7" max="7" width="16" customWidth="1"/>
    <col min="8" max="8" width="16" bestFit="1" customWidth="1"/>
    <col min="9" max="9" width="16" customWidth="1"/>
    <col min="10" max="13" width="16" bestFit="1" customWidth="1"/>
    <col min="14" max="14" width="16" customWidth="1"/>
    <col min="15" max="17" width="16" bestFit="1" customWidth="1"/>
    <col min="18" max="19" width="16" customWidth="1"/>
  </cols>
  <sheetData>
    <row r="1" spans="1:1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5.6" customHeight="1" x14ac:dyDescent="0.3">
      <c r="A2" s="5"/>
      <c r="B2" s="5" t="s">
        <v>417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4.25" customHeight="1" x14ac:dyDescent="0.3">
      <c r="A4" s="2"/>
      <c r="B4" s="2" t="s">
        <v>418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4.25" customHeight="1" x14ac:dyDescent="0.3">
      <c r="A5" s="5"/>
      <c r="B5" s="115" t="s">
        <v>419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7"/>
      <c r="S5" s="7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4.25" customHeight="1" x14ac:dyDescent="0.3">
      <c r="A7" s="2"/>
      <c r="B7" s="106" t="s">
        <v>420</v>
      </c>
      <c r="C7" s="114" t="s">
        <v>421</v>
      </c>
      <c r="D7" s="109"/>
      <c r="E7" s="109"/>
      <c r="F7" s="109"/>
      <c r="G7" s="109"/>
      <c r="H7" s="109"/>
      <c r="I7" s="111"/>
      <c r="J7" s="109" t="s">
        <v>422</v>
      </c>
      <c r="K7" s="109"/>
      <c r="L7" s="109"/>
      <c r="M7" s="109"/>
      <c r="N7" s="108"/>
      <c r="O7" s="108" t="s">
        <v>423</v>
      </c>
      <c r="P7" s="109"/>
      <c r="Q7" s="110"/>
      <c r="R7" s="2"/>
      <c r="S7" s="2"/>
    </row>
    <row r="8" spans="1:19" ht="29.4" customHeight="1" thickBot="1" x14ac:dyDescent="0.35">
      <c r="A8" s="2"/>
      <c r="B8" s="107"/>
      <c r="C8" s="2" t="s">
        <v>424</v>
      </c>
      <c r="D8" s="2" t="s">
        <v>425</v>
      </c>
      <c r="E8" s="2" t="s">
        <v>426</v>
      </c>
      <c r="F8" s="2" t="s">
        <v>427</v>
      </c>
      <c r="G8" s="2" t="s">
        <v>428</v>
      </c>
      <c r="H8" s="2" t="s">
        <v>429</v>
      </c>
      <c r="I8" s="112"/>
      <c r="J8" s="87" t="s">
        <v>430</v>
      </c>
      <c r="K8" s="87" t="s">
        <v>218</v>
      </c>
      <c r="L8" s="87" t="s">
        <v>229</v>
      </c>
      <c r="M8" s="88" t="s">
        <v>431</v>
      </c>
      <c r="N8" s="113"/>
      <c r="O8" s="84" t="s">
        <v>432</v>
      </c>
      <c r="P8" s="87" t="s">
        <v>433</v>
      </c>
      <c r="Q8" s="88" t="s">
        <v>434</v>
      </c>
      <c r="R8" s="2"/>
      <c r="S8" s="2"/>
    </row>
    <row r="9" spans="1:19" ht="15" customHeight="1" thickBot="1" x14ac:dyDescent="0.35">
      <c r="A9" s="2"/>
      <c r="B9" s="89" t="s">
        <v>435</v>
      </c>
      <c r="C9" s="90">
        <v>12.85</v>
      </c>
      <c r="D9" s="91">
        <v>940.9</v>
      </c>
      <c r="E9" s="36">
        <f>IFERROR(C9*D9,0)</f>
        <v>12090.564999999999</v>
      </c>
      <c r="F9" s="91">
        <v>140.93</v>
      </c>
      <c r="G9" s="91">
        <v>444.03</v>
      </c>
      <c r="H9" s="36">
        <f>IFERROR(E9+F9-G9,0)</f>
        <v>11787.464999999998</v>
      </c>
      <c r="I9" s="92"/>
      <c r="J9" s="93">
        <v>1698.05</v>
      </c>
      <c r="K9" s="94">
        <v>773.71</v>
      </c>
      <c r="L9" s="94">
        <v>472.43</v>
      </c>
      <c r="M9" s="95">
        <f>IFERROR(L9/C9,0)</f>
        <v>36.764980544747083</v>
      </c>
      <c r="N9" s="85"/>
      <c r="O9" s="96">
        <f>IFERROR(H9/J9,0)</f>
        <v>6.9417655546067536</v>
      </c>
      <c r="P9" s="96">
        <f>IFERROR(H9/K9,0)</f>
        <v>15.234991146553615</v>
      </c>
      <c r="Q9" s="97">
        <f>IFERROR(D9/M9,0)</f>
        <v>25.592288804690639</v>
      </c>
      <c r="R9" s="2"/>
      <c r="S9" s="2"/>
    </row>
    <row r="10" spans="1:19" ht="15" customHeight="1" thickBot="1" x14ac:dyDescent="0.35">
      <c r="A10" s="2"/>
      <c r="B10" s="89" t="s">
        <v>436</v>
      </c>
      <c r="C10" s="90">
        <v>28.92</v>
      </c>
      <c r="D10" s="91">
        <v>1099.3</v>
      </c>
      <c r="E10" s="36">
        <f>IFERROR(C10*D10,0)</f>
        <v>31791.756000000001</v>
      </c>
      <c r="F10" s="91">
        <v>63.73</v>
      </c>
      <c r="G10" s="91">
        <v>139.02000000000001</v>
      </c>
      <c r="H10" s="36">
        <f>IFERROR(E10+F10-G10,0)</f>
        <v>31716.466</v>
      </c>
      <c r="I10" s="98"/>
      <c r="J10" s="93">
        <v>1845.03</v>
      </c>
      <c r="K10" s="94">
        <v>1273.3900000000001</v>
      </c>
      <c r="L10" s="94">
        <v>975.07</v>
      </c>
      <c r="M10" s="36">
        <f>IFERROR(L10/C10,0)</f>
        <v>33.716113416320887</v>
      </c>
      <c r="N10" s="86"/>
      <c r="O10" s="96">
        <f>IFERROR(H10/J10,0)</f>
        <v>17.190216961241823</v>
      </c>
      <c r="P10" s="96">
        <f>IFERROR(H10/K10,0)</f>
        <v>24.907110940089051</v>
      </c>
      <c r="Q10" s="97">
        <f>IFERROR(D10/M10,0)</f>
        <v>32.604588388525947</v>
      </c>
      <c r="R10" s="2"/>
      <c r="S10" s="99"/>
    </row>
    <row r="11" spans="1:19" ht="15" customHeight="1" thickBot="1" x14ac:dyDescent="0.35">
      <c r="A11" s="2"/>
      <c r="B11" s="89" t="s">
        <v>437</v>
      </c>
      <c r="C11" s="90">
        <v>63.88</v>
      </c>
      <c r="D11" s="91">
        <v>1148.9000000000001</v>
      </c>
      <c r="E11" s="36">
        <f>IFERROR(C11*D11,0)</f>
        <v>73391.732000000004</v>
      </c>
      <c r="F11" s="91">
        <v>75.34</v>
      </c>
      <c r="G11" s="91">
        <v>302.12</v>
      </c>
      <c r="H11" s="36">
        <f>IFERROR(E11+F11-G11,0)</f>
        <v>73164.952000000005</v>
      </c>
      <c r="I11" s="98"/>
      <c r="J11" s="93">
        <v>2708.74</v>
      </c>
      <c r="K11" s="94">
        <v>1978.96</v>
      </c>
      <c r="L11" s="94">
        <v>1529.38</v>
      </c>
      <c r="M11" s="36">
        <f>IFERROR(L11/C11,0)</f>
        <v>23.941452723857232</v>
      </c>
      <c r="N11" s="86"/>
      <c r="O11" s="96">
        <f>IFERROR(H11/J11,0)</f>
        <v>27.010695747838483</v>
      </c>
      <c r="P11" s="96">
        <f>IFERROR(H11/K11,0)</f>
        <v>36.971415288838585</v>
      </c>
      <c r="Q11" s="97">
        <f>IFERROR(D11/M11,0)</f>
        <v>47.987898364042948</v>
      </c>
      <c r="R11" s="2"/>
      <c r="S11" s="2"/>
    </row>
    <row r="12" spans="1:19" ht="15" customHeight="1" thickBot="1" x14ac:dyDescent="0.35">
      <c r="A12" s="2"/>
      <c r="B12" s="89" t="s">
        <v>438</v>
      </c>
      <c r="C12" s="90">
        <v>49.43</v>
      </c>
      <c r="D12" s="91">
        <v>3269.7</v>
      </c>
      <c r="E12" s="36">
        <f>IFERROR(C12*D12,0)</f>
        <v>161621.27099999998</v>
      </c>
      <c r="F12" s="91">
        <v>0</v>
      </c>
      <c r="G12" s="91">
        <v>147.49</v>
      </c>
      <c r="H12" s="36">
        <f>IFERROR(E12+F12-G12,0)</f>
        <v>161473.78099999999</v>
      </c>
      <c r="I12" s="98"/>
      <c r="J12" s="93">
        <v>5999.14</v>
      </c>
      <c r="K12" s="94">
        <v>4424.6099999999997</v>
      </c>
      <c r="L12" s="94">
        <v>3298.26</v>
      </c>
      <c r="M12" s="36">
        <f>IFERROR(L12/C12,0)</f>
        <v>66.725874974711715</v>
      </c>
      <c r="N12" s="86"/>
      <c r="O12" s="96">
        <f>IFERROR(H12/J12,0)</f>
        <v>26.916154815523555</v>
      </c>
      <c r="P12" s="96">
        <f>IFERROR(H12/K12,0)</f>
        <v>36.494466404948682</v>
      </c>
      <c r="Q12" s="97">
        <f>IFERROR(D12/M12,0)</f>
        <v>49.001980134980258</v>
      </c>
      <c r="R12" s="2"/>
      <c r="S12" s="2"/>
    </row>
    <row r="13" spans="1:19" ht="15" customHeight="1" thickBot="1" x14ac:dyDescent="0.35">
      <c r="A13" s="2"/>
      <c r="B13" s="89" t="s">
        <v>439</v>
      </c>
      <c r="C13" s="90">
        <v>42.84</v>
      </c>
      <c r="D13" s="91">
        <v>2694.5</v>
      </c>
      <c r="E13" s="36">
        <f>IFERROR(C13*D13,0)</f>
        <v>115432.38</v>
      </c>
      <c r="F13" s="91">
        <v>0</v>
      </c>
      <c r="G13" s="91">
        <v>24.17</v>
      </c>
      <c r="H13" s="36">
        <f>IFERROR(E13+F13-G13,0)</f>
        <v>115408.21</v>
      </c>
      <c r="I13" s="98"/>
      <c r="J13" s="93">
        <v>4611.41</v>
      </c>
      <c r="K13" s="94">
        <v>3723.12</v>
      </c>
      <c r="L13" s="94">
        <v>2859.36</v>
      </c>
      <c r="M13" s="36">
        <f>IFERROR(L13/C13,0)</f>
        <v>66.745098039215691</v>
      </c>
      <c r="N13" s="86"/>
      <c r="O13" s="96">
        <f>IFERROR(H13/J13,0)</f>
        <v>25.026664295736012</v>
      </c>
      <c r="P13" s="96">
        <f>IFERROR(H13/K13,0)</f>
        <v>30.997714282644665</v>
      </c>
      <c r="Q13" s="97">
        <f>IFERROR(D13/M13,0)</f>
        <v>40.370005875440654</v>
      </c>
      <c r="R13" s="2"/>
      <c r="S13" s="2"/>
    </row>
    <row r="14" spans="1:19" ht="14.25" customHeight="1" x14ac:dyDescent="0.3">
      <c r="A14" s="2"/>
      <c r="B14" s="2"/>
      <c r="C14" s="36"/>
      <c r="D14" s="2"/>
      <c r="E14" s="2"/>
      <c r="F14" s="2"/>
      <c r="G14" s="2"/>
      <c r="H14" s="2"/>
      <c r="I14" s="2"/>
      <c r="J14" s="2"/>
      <c r="K14" s="2"/>
      <c r="L14" s="2"/>
      <c r="M14" s="100"/>
      <c r="N14" s="2"/>
      <c r="O14" s="96"/>
      <c r="P14" s="96"/>
      <c r="Q14" s="96"/>
      <c r="R14" s="2"/>
      <c r="S14" s="2"/>
    </row>
    <row r="15" spans="1:19" ht="14.25" customHeight="1" x14ac:dyDescent="0.3">
      <c r="A15" s="2"/>
      <c r="B15" s="2" t="s">
        <v>440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96">
        <f>IFERROR(MAX(O9:O13),0)</f>
        <v>27.010695747838483</v>
      </c>
      <c r="P15" s="96">
        <f>IFERROR(MAX(P9:P13),0)</f>
        <v>36.971415288838585</v>
      </c>
      <c r="Q15" s="96">
        <f>IFERROR(MAX(Q9:Q13),0)</f>
        <v>49.001980134980258</v>
      </c>
      <c r="R15" s="2"/>
      <c r="S15" s="2"/>
    </row>
    <row r="16" spans="1:19" ht="14.25" customHeight="1" x14ac:dyDescent="0.3">
      <c r="A16" s="2"/>
      <c r="B16" s="2" t="s">
        <v>441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1">
        <f>IFERROR(QUARTILE(O9:O13,3),0)</f>
        <v>26.916154815523555</v>
      </c>
      <c r="P16" s="61">
        <f>IFERROR(QUARTILE(P9:P13,3),0)</f>
        <v>36.494466404948682</v>
      </c>
      <c r="Q16" s="61">
        <f>IFERROR(QUARTILE(Q9:Q13,3),0)</f>
        <v>47.987898364042948</v>
      </c>
      <c r="R16" s="61"/>
      <c r="S16" s="2"/>
    </row>
    <row r="17" spans="1:19" ht="14.25" customHeight="1" x14ac:dyDescent="0.3">
      <c r="A17" s="2"/>
      <c r="B17" s="2" t="s">
        <v>410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96">
        <f>IFERROR(AVERAGE(O9:O13),0)</f>
        <v>20.617099474989324</v>
      </c>
      <c r="P17" s="96">
        <f>IFERROR(AVERAGE(P9:P13),0)</f>
        <v>28.921139612614922</v>
      </c>
      <c r="Q17" s="96">
        <f>IFERROR(AVERAGE(Q9:Q13),0)</f>
        <v>39.111352313536088</v>
      </c>
      <c r="R17" s="2"/>
      <c r="S17" s="2"/>
    </row>
    <row r="18" spans="1:19" ht="14.25" customHeight="1" x14ac:dyDescent="0.3">
      <c r="A18" s="2"/>
      <c r="B18" s="2" t="s">
        <v>442</v>
      </c>
      <c r="C18" s="2"/>
      <c r="D18" s="2"/>
      <c r="E18" s="2"/>
      <c r="F18" s="2"/>
      <c r="G18" s="2"/>
      <c r="H18" s="2"/>
      <c r="I18" s="2"/>
      <c r="J18" s="2"/>
      <c r="K18" s="2"/>
      <c r="L18" s="96"/>
      <c r="M18" s="2"/>
      <c r="N18" s="2"/>
      <c r="O18" s="96">
        <f>IFERROR(MEDIAN(O9:O13),0)</f>
        <v>25.026664295736012</v>
      </c>
      <c r="P18" s="96">
        <f>IFERROR(MEDIAN(P9:P13),0)</f>
        <v>30.997714282644665</v>
      </c>
      <c r="Q18" s="96">
        <f>IFERROR(MEDIAN(Q9:Q13),0)</f>
        <v>40.370005875440654</v>
      </c>
      <c r="R18" s="2"/>
      <c r="S18" s="2"/>
    </row>
    <row r="19" spans="1:19" ht="14.25" customHeight="1" x14ac:dyDescent="0.3">
      <c r="A19" s="2"/>
      <c r="B19" s="2" t="s">
        <v>443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96">
        <f>IFERROR(QUARTILE(O9:O13,1),0)</f>
        <v>17.190216961241823</v>
      </c>
      <c r="P19" s="96">
        <f>IFERROR(QUARTILE(P9:P13,1),0)</f>
        <v>24.907110940089051</v>
      </c>
      <c r="Q19" s="96">
        <f>IFERROR(QUARTILE(Q9:Q13,1),0)</f>
        <v>32.604588388525947</v>
      </c>
      <c r="R19" s="2"/>
      <c r="S19" s="2"/>
    </row>
    <row r="20" spans="1:19" ht="14.25" customHeight="1" x14ac:dyDescent="0.3">
      <c r="A20" s="2"/>
      <c r="B20" s="2" t="s">
        <v>444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96">
        <f>IFERROR(MIN(O9:O13),0)</f>
        <v>6.9417655546067536</v>
      </c>
      <c r="P20" s="96">
        <f>IFERROR(MIN(P9:P13),0)</f>
        <v>15.234991146553615</v>
      </c>
      <c r="Q20" s="96">
        <f>IFERROR(MIN(Q9:Q13),0)</f>
        <v>25.592288804690639</v>
      </c>
      <c r="R20" s="2"/>
      <c r="S20" s="2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4.25" customHeight="1" x14ac:dyDescent="0.3">
      <c r="A22" s="2"/>
      <c r="B22" s="2" t="s">
        <v>445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 t="s">
        <v>432</v>
      </c>
      <c r="P22" s="2" t="s">
        <v>433</v>
      </c>
      <c r="Q22" s="2" t="s">
        <v>434</v>
      </c>
      <c r="R22" s="2"/>
      <c r="S22" s="2"/>
    </row>
    <row r="23" spans="1:19" ht="14.25" customHeight="1" x14ac:dyDescent="0.3">
      <c r="A23" s="2"/>
      <c r="B23" s="2" t="s">
        <v>446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1">
        <f>O18*J12</f>
        <v>150138.46284312176</v>
      </c>
      <c r="P23" s="61">
        <f>P18*K12</f>
        <v>137152.79659213239</v>
      </c>
      <c r="Q23" s="61">
        <f>SUM(Q25+Q24)</f>
        <v>133003.28557873092</v>
      </c>
      <c r="R23" s="2"/>
      <c r="S23" s="2"/>
    </row>
    <row r="24" spans="1:19" ht="14.25" customHeight="1" x14ac:dyDescent="0.3">
      <c r="A24" s="2"/>
      <c r="B24" s="2" t="s">
        <v>447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1">
        <f>F12-G12</f>
        <v>-147.49</v>
      </c>
      <c r="P24" s="61">
        <f>O24</f>
        <v>-147.49</v>
      </c>
      <c r="Q24" s="61">
        <f>P24</f>
        <v>-147.49</v>
      </c>
      <c r="R24" s="2"/>
      <c r="S24" s="2"/>
    </row>
    <row r="25" spans="1:19" ht="14.25" customHeight="1" x14ac:dyDescent="0.3">
      <c r="A25" s="2"/>
      <c r="B25" s="2" t="s">
        <v>448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1">
        <f>O23-O24</f>
        <v>150285.95284312175</v>
      </c>
      <c r="P25" s="61">
        <f>P23-P24</f>
        <v>137300.28659213238</v>
      </c>
      <c r="Q25" s="61">
        <f>Q18*L12</f>
        <v>133150.77557873091</v>
      </c>
      <c r="R25" s="2"/>
      <c r="S25" s="2"/>
    </row>
    <row r="26" spans="1:19" ht="14.25" customHeight="1" x14ac:dyDescent="0.3">
      <c r="A26" s="2"/>
      <c r="B26" s="2" t="s">
        <v>449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1">
        <f>C12</f>
        <v>49.43</v>
      </c>
      <c r="P26" s="61">
        <f>O26</f>
        <v>49.43</v>
      </c>
      <c r="Q26" s="61">
        <f>P26</f>
        <v>49.43</v>
      </c>
      <c r="R26" s="2"/>
      <c r="S26" s="2"/>
    </row>
    <row r="27" spans="1:1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 customHeight="1" thickBot="1" x14ac:dyDescent="0.35">
      <c r="A28" s="2"/>
      <c r="B28" s="78" t="s">
        <v>450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>
        <f>O25/O26</f>
        <v>3040.3793818151275</v>
      </c>
      <c r="P28" s="80">
        <f>P25/P26</f>
        <v>2777.6711833326399</v>
      </c>
      <c r="Q28" s="80">
        <f>Q25/Q26</f>
        <v>2693.7239647730307</v>
      </c>
      <c r="R28" s="2"/>
      <c r="S28" s="2"/>
    </row>
    <row r="29" spans="1:19" ht="15" customHeight="1" thickTop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</sheetData>
  <mergeCells count="7">
    <mergeCell ref="B5:Q5"/>
    <mergeCell ref="B7:B8"/>
    <mergeCell ref="O7:Q7"/>
    <mergeCell ref="I7:I8"/>
    <mergeCell ref="J7:M7"/>
    <mergeCell ref="N7:N8"/>
    <mergeCell ref="C7:H7"/>
  </mergeCells>
  <hyperlinks>
    <hyperlink ref="B9" r:id="rId1" display="Aurobindo Pharma" xr:uid="{00000000-0004-0000-0D00-000000000000}"/>
    <hyperlink ref="B10" r:id="rId2" display="Laurus Labs" xr:uid="{00000000-0004-0000-0D00-000001000000}"/>
    <hyperlink ref="B11" r:id="rId3" display="Glenmark Pharma." xr:uid="{00000000-0004-0000-0D00-000002000000}"/>
    <hyperlink ref="B12" r:id="rId4" display="Biocon" xr:uid="{00000000-0004-0000-0D00-000003000000}"/>
    <hyperlink ref="B13" r:id="rId5" display="Anthem Bioscienc" xr:uid="{00000000-0004-0000-0D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Shareholding </vt:lpstr>
      <vt:lpstr>Data Sheet</vt:lpstr>
      <vt:lpstr>Historical FS</vt:lpstr>
      <vt:lpstr>Assumptions</vt:lpstr>
      <vt:lpstr>Ratio Analysis</vt:lpstr>
      <vt:lpstr>Fixed Assets Schedule</vt:lpstr>
      <vt:lpstr>Changes In Working Capital</vt:lpstr>
      <vt:lpstr>FCFF</vt:lpstr>
      <vt:lpstr>Beta Calculation</vt:lpstr>
      <vt:lpstr>WACC</vt:lpstr>
      <vt:lpstr>Growth Scenarios</vt:lpstr>
      <vt:lpstr>Valuation</vt:lpstr>
      <vt:lpstr>Relative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Singh</dc:creator>
  <cp:lastModifiedBy>hi singh</cp:lastModifiedBy>
  <cp:revision>0</cp:revision>
  <dcterms:created xsi:type="dcterms:W3CDTF">2026-05-27T04:17:34Z</dcterms:created>
  <dcterms:modified xsi:type="dcterms:W3CDTF">2026-06-22T04:30:44Z</dcterms:modified>
  <dc:language>en-US</dc:language>
</cp:coreProperties>
</file>