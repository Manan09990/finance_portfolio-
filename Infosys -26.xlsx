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an\Desktop\cip hero\Finalized\"/>
    </mc:Choice>
  </mc:AlternateContent>
  <xr:revisionPtr revIDLastSave="0" documentId="13_ncr:1_{A4FD7019-8090-4909-8FC7-CA2203BD0A60}" xr6:coauthVersionLast="47" xr6:coauthVersionMax="47" xr10:uidLastSave="{00000000-0000-0000-0000-000000000000}"/>
  <bookViews>
    <workbookView xWindow="-108" yWindow="-108" windowWidth="23256" windowHeight="13896" firstSheet="9" activeTab="14" xr2:uid="{00000000-000D-0000-FFFF-FFFF00000000}"/>
  </bookViews>
  <sheets>
    <sheet name="About " sheetId="14" r:id="rId1"/>
    <sheet name="Shareholders " sheetId="1" r:id="rId2"/>
    <sheet name="Quaterly Results " sheetId="2" r:id="rId3"/>
    <sheet name="Consolidated FS" sheetId="3" r:id="rId4"/>
    <sheet name="Stock Analysis " sheetId="15" r:id="rId5"/>
    <sheet name="Assumptions " sheetId="4" r:id="rId6"/>
    <sheet name="BETA" sheetId="5" r:id="rId7"/>
    <sheet name="WACC" sheetId="6" r:id="rId8"/>
    <sheet name="Fixed Asset Schedule " sheetId="7" r:id="rId9"/>
    <sheet name="Change in Working Cap " sheetId="8" r:id="rId10"/>
    <sheet name="FCFF" sheetId="9" r:id="rId11"/>
    <sheet name="Growth Scenario " sheetId="10" r:id="rId12"/>
    <sheet name="Valuation " sheetId="11" r:id="rId13"/>
    <sheet name="Relative Valuation " sheetId="12" r:id="rId14"/>
    <sheet name="Ratios" sheetId="13"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9" l="1"/>
  <c r="E3" i="9" s="1"/>
  <c r="F3" i="9" s="1"/>
  <c r="G3" i="9" s="1"/>
  <c r="E3" i="8"/>
  <c r="F3" i="8" s="1"/>
  <c r="G3" i="8" s="1"/>
  <c r="D3" i="8"/>
  <c r="E3" i="7"/>
  <c r="F3" i="7"/>
  <c r="G3" i="7"/>
  <c r="D3" i="7"/>
  <c r="G4" i="4"/>
  <c r="H4" i="4" s="1"/>
  <c r="I4" i="4" s="1"/>
  <c r="F4" i="4"/>
  <c r="C18" i="13" l="1"/>
  <c r="D18" i="13"/>
  <c r="E18" i="13"/>
  <c r="F18" i="13"/>
  <c r="B18" i="13"/>
  <c r="F30" i="13"/>
  <c r="E30" i="13"/>
  <c r="D30" i="13"/>
  <c r="C30" i="13"/>
  <c r="B30" i="13"/>
  <c r="F29" i="13"/>
  <c r="E29" i="13"/>
  <c r="D29" i="13"/>
  <c r="C29" i="13"/>
  <c r="B29" i="13"/>
  <c r="F28" i="13"/>
  <c r="E28" i="13"/>
  <c r="D28" i="13"/>
  <c r="C28" i="13"/>
  <c r="B28" i="13"/>
  <c r="F26" i="13"/>
  <c r="E26" i="13"/>
  <c r="D26" i="13"/>
  <c r="C26" i="13"/>
  <c r="B26" i="13"/>
  <c r="F25" i="13"/>
  <c r="E25" i="13"/>
  <c r="D25" i="13"/>
  <c r="C25" i="13"/>
  <c r="B25" i="13"/>
  <c r="F24" i="13"/>
  <c r="E24" i="13"/>
  <c r="D24" i="13"/>
  <c r="C24" i="13"/>
  <c r="B24" i="13"/>
  <c r="F22" i="13"/>
  <c r="E22" i="13"/>
  <c r="D22" i="13"/>
  <c r="C22" i="13"/>
  <c r="B22" i="13"/>
  <c r="F21" i="13"/>
  <c r="E21" i="13"/>
  <c r="D21" i="13"/>
  <c r="D19" i="13" s="1"/>
  <c r="C21" i="13"/>
  <c r="B21" i="13"/>
  <c r="F19" i="13"/>
  <c r="E19" i="13"/>
  <c r="C19" i="13"/>
  <c r="B19" i="13"/>
  <c r="F17" i="13"/>
  <c r="F16" i="13" s="1"/>
  <c r="E17" i="13"/>
  <c r="E16" i="13" s="1"/>
  <c r="D17" i="13"/>
  <c r="D16" i="13" s="1"/>
  <c r="C17" i="13"/>
  <c r="C16" i="13" s="1"/>
  <c r="B17" i="13"/>
  <c r="B16" i="13" s="1"/>
  <c r="F15" i="13"/>
  <c r="E15" i="13"/>
  <c r="D15" i="13"/>
  <c r="C15" i="13"/>
  <c r="B15" i="13"/>
  <c r="F13" i="13"/>
  <c r="E13" i="13"/>
  <c r="D13" i="13"/>
  <c r="C13" i="13"/>
  <c r="B13" i="13"/>
  <c r="F12" i="13"/>
  <c r="E12" i="13"/>
  <c r="D12" i="13"/>
  <c r="C12" i="13"/>
  <c r="B12" i="13"/>
  <c r="F11" i="13"/>
  <c r="E11" i="13"/>
  <c r="D11" i="13"/>
  <c r="C11" i="13"/>
  <c r="B11" i="13"/>
  <c r="F10" i="13"/>
  <c r="E10" i="13"/>
  <c r="D10" i="13"/>
  <c r="C10" i="13"/>
  <c r="B10" i="13"/>
  <c r="F8" i="13"/>
  <c r="E8" i="13"/>
  <c r="D8" i="13"/>
  <c r="C8" i="13"/>
  <c r="F7" i="13"/>
  <c r="E7" i="13"/>
  <c r="D7" i="13"/>
  <c r="C7" i="13"/>
  <c r="F6" i="13"/>
  <c r="E6" i="13"/>
  <c r="D6" i="13"/>
  <c r="C6" i="13"/>
  <c r="F5" i="13"/>
  <c r="E5" i="13"/>
  <c r="D5" i="13"/>
  <c r="C5" i="13"/>
  <c r="O26" i="12"/>
  <c r="P26" i="12" s="1"/>
  <c r="Q26" i="12" s="1"/>
  <c r="O24" i="12"/>
  <c r="P24" i="12" s="1"/>
  <c r="Q24" i="12" s="1"/>
  <c r="P13" i="12"/>
  <c r="O13" i="12"/>
  <c r="M13" i="12"/>
  <c r="Q13" i="12" s="1"/>
  <c r="H13" i="12"/>
  <c r="E13" i="12"/>
  <c r="M12" i="12"/>
  <c r="Q12" i="12" s="1"/>
  <c r="E12" i="12"/>
  <c r="H12" i="12" s="1"/>
  <c r="P11" i="12"/>
  <c r="O11" i="12"/>
  <c r="M11" i="12"/>
  <c r="Q11" i="12" s="1"/>
  <c r="H11" i="12"/>
  <c r="E11" i="12"/>
  <c r="M10" i="12"/>
  <c r="Q10" i="12" s="1"/>
  <c r="E10" i="12"/>
  <c r="H10" i="12" s="1"/>
  <c r="P9" i="12"/>
  <c r="O9" i="12"/>
  <c r="M9" i="12"/>
  <c r="Q9" i="12" s="1"/>
  <c r="Q17" i="12" s="1"/>
  <c r="H9" i="12"/>
  <c r="E9" i="12"/>
  <c r="I29" i="11"/>
  <c r="I30" i="11" s="1"/>
  <c r="D28" i="11"/>
  <c r="I27" i="11"/>
  <c r="I26" i="11"/>
  <c r="D26" i="11"/>
  <c r="O6" i="11"/>
  <c r="M22" i="10"/>
  <c r="C6" i="10"/>
  <c r="C9" i="9"/>
  <c r="E4" i="9"/>
  <c r="E8" i="8"/>
  <c r="D8" i="8"/>
  <c r="G6" i="8"/>
  <c r="F6" i="8"/>
  <c r="E6" i="8"/>
  <c r="D6" i="8"/>
  <c r="C6" i="8"/>
  <c r="G5" i="8"/>
  <c r="G7" i="8" s="1"/>
  <c r="F5" i="8"/>
  <c r="E5" i="8"/>
  <c r="D5" i="8"/>
  <c r="C5" i="8"/>
  <c r="G4" i="8"/>
  <c r="F4" i="8"/>
  <c r="E4" i="8"/>
  <c r="E7" i="8" s="1"/>
  <c r="D4" i="8"/>
  <c r="D7" i="8" s="1"/>
  <c r="C4" i="8"/>
  <c r="C7" i="8" s="1"/>
  <c r="G8" i="7"/>
  <c r="F8" i="7"/>
  <c r="G4" i="7" s="1"/>
  <c r="E8" i="7"/>
  <c r="F4" i="7" s="1"/>
  <c r="F5" i="7" s="1"/>
  <c r="F10" i="7" s="1"/>
  <c r="D8" i="7"/>
  <c r="D6" i="7" s="1"/>
  <c r="C8" i="7"/>
  <c r="G7" i="7"/>
  <c r="G6" i="7" s="1"/>
  <c r="G5" i="7" s="1"/>
  <c r="G10" i="7" s="1"/>
  <c r="G7" i="9" s="1"/>
  <c r="F7" i="7"/>
  <c r="F6" i="7" s="1"/>
  <c r="E7" i="7"/>
  <c r="D7" i="7"/>
  <c r="C7" i="7"/>
  <c r="C7" i="6"/>
  <c r="C6" i="6"/>
  <c r="H989" i="5"/>
  <c r="D989" i="5"/>
  <c r="H988" i="5"/>
  <c r="D988" i="5"/>
  <c r="H987" i="5"/>
  <c r="D987" i="5"/>
  <c r="H986" i="5"/>
  <c r="D986" i="5"/>
  <c r="H985" i="5"/>
  <c r="D985" i="5"/>
  <c r="H984" i="5"/>
  <c r="D984" i="5"/>
  <c r="H983" i="5"/>
  <c r="D983" i="5"/>
  <c r="H982" i="5"/>
  <c r="D982" i="5"/>
  <c r="H981" i="5"/>
  <c r="D981" i="5"/>
  <c r="H980" i="5"/>
  <c r="D980" i="5"/>
  <c r="H979" i="5"/>
  <c r="D979" i="5"/>
  <c r="H978" i="5"/>
  <c r="D978" i="5"/>
  <c r="H977" i="5"/>
  <c r="D977" i="5"/>
  <c r="H976" i="5"/>
  <c r="D976" i="5"/>
  <c r="H975" i="5"/>
  <c r="D975" i="5"/>
  <c r="H974" i="5"/>
  <c r="D974" i="5"/>
  <c r="H973" i="5"/>
  <c r="D973" i="5"/>
  <c r="H972" i="5"/>
  <c r="D972" i="5"/>
  <c r="H971" i="5"/>
  <c r="D971" i="5"/>
  <c r="H970" i="5"/>
  <c r="D970" i="5"/>
  <c r="H969" i="5"/>
  <c r="D969" i="5"/>
  <c r="H968" i="5"/>
  <c r="D968" i="5"/>
  <c r="H967" i="5"/>
  <c r="D967" i="5"/>
  <c r="H966" i="5"/>
  <c r="D966" i="5"/>
  <c r="H965" i="5"/>
  <c r="D965" i="5"/>
  <c r="H964" i="5"/>
  <c r="D964" i="5"/>
  <c r="H963" i="5"/>
  <c r="D963" i="5"/>
  <c r="H962" i="5"/>
  <c r="D962" i="5"/>
  <c r="H961" i="5"/>
  <c r="D961" i="5"/>
  <c r="H960" i="5"/>
  <c r="D960" i="5"/>
  <c r="H959" i="5"/>
  <c r="D959" i="5"/>
  <c r="H958" i="5"/>
  <c r="D958" i="5"/>
  <c r="H957" i="5"/>
  <c r="D957" i="5"/>
  <c r="H956" i="5"/>
  <c r="D956" i="5"/>
  <c r="H955" i="5"/>
  <c r="D955" i="5"/>
  <c r="H954" i="5"/>
  <c r="D954" i="5"/>
  <c r="H953" i="5"/>
  <c r="D953" i="5"/>
  <c r="H952" i="5"/>
  <c r="D952" i="5"/>
  <c r="H951" i="5"/>
  <c r="D951" i="5"/>
  <c r="H950" i="5"/>
  <c r="D950" i="5"/>
  <c r="H949" i="5"/>
  <c r="D949" i="5"/>
  <c r="H948" i="5"/>
  <c r="D948" i="5"/>
  <c r="H947" i="5"/>
  <c r="D947" i="5"/>
  <c r="H946" i="5"/>
  <c r="D946" i="5"/>
  <c r="H945" i="5"/>
  <c r="D945" i="5"/>
  <c r="H944" i="5"/>
  <c r="D944" i="5"/>
  <c r="H943" i="5"/>
  <c r="D943" i="5"/>
  <c r="H942" i="5"/>
  <c r="D942" i="5"/>
  <c r="H941" i="5"/>
  <c r="D941" i="5"/>
  <c r="H940" i="5"/>
  <c r="D940" i="5"/>
  <c r="H939" i="5"/>
  <c r="D939" i="5"/>
  <c r="H938" i="5"/>
  <c r="D938" i="5"/>
  <c r="H937" i="5"/>
  <c r="D937" i="5"/>
  <c r="H936" i="5"/>
  <c r="D936" i="5"/>
  <c r="H935" i="5"/>
  <c r="D935" i="5"/>
  <c r="H934" i="5"/>
  <c r="D934" i="5"/>
  <c r="H933" i="5"/>
  <c r="D933" i="5"/>
  <c r="H932" i="5"/>
  <c r="D932" i="5"/>
  <c r="H931" i="5"/>
  <c r="D931" i="5"/>
  <c r="H930" i="5"/>
  <c r="D930" i="5"/>
  <c r="H929" i="5"/>
  <c r="D929" i="5"/>
  <c r="H928" i="5"/>
  <c r="D928" i="5"/>
  <c r="H927" i="5"/>
  <c r="D927" i="5"/>
  <c r="H926" i="5"/>
  <c r="D926" i="5"/>
  <c r="H925" i="5"/>
  <c r="D925" i="5"/>
  <c r="H924" i="5"/>
  <c r="D924" i="5"/>
  <c r="H923" i="5"/>
  <c r="D923" i="5"/>
  <c r="H922" i="5"/>
  <c r="D922" i="5"/>
  <c r="H921" i="5"/>
  <c r="D921" i="5"/>
  <c r="H920" i="5"/>
  <c r="D920" i="5"/>
  <c r="H919" i="5"/>
  <c r="D919" i="5"/>
  <c r="H918" i="5"/>
  <c r="D918" i="5"/>
  <c r="H917" i="5"/>
  <c r="D917" i="5"/>
  <c r="H916" i="5"/>
  <c r="D916" i="5"/>
  <c r="H915" i="5"/>
  <c r="D915" i="5"/>
  <c r="H914" i="5"/>
  <c r="D914" i="5"/>
  <c r="H913" i="5"/>
  <c r="D913" i="5"/>
  <c r="H912" i="5"/>
  <c r="D912" i="5"/>
  <c r="H911" i="5"/>
  <c r="D911" i="5"/>
  <c r="H910" i="5"/>
  <c r="D910" i="5"/>
  <c r="H909" i="5"/>
  <c r="D909" i="5"/>
  <c r="H908" i="5"/>
  <c r="D908" i="5"/>
  <c r="H907" i="5"/>
  <c r="D907" i="5"/>
  <c r="H906" i="5"/>
  <c r="D906" i="5"/>
  <c r="H905" i="5"/>
  <c r="D905" i="5"/>
  <c r="H904" i="5"/>
  <c r="D904" i="5"/>
  <c r="H903" i="5"/>
  <c r="D903" i="5"/>
  <c r="H902" i="5"/>
  <c r="D902" i="5"/>
  <c r="H901" i="5"/>
  <c r="D901" i="5"/>
  <c r="H900" i="5"/>
  <c r="D900" i="5"/>
  <c r="H899" i="5"/>
  <c r="D899" i="5"/>
  <c r="H898" i="5"/>
  <c r="D898" i="5"/>
  <c r="H897" i="5"/>
  <c r="D897" i="5"/>
  <c r="H896" i="5"/>
  <c r="D896" i="5"/>
  <c r="H895" i="5"/>
  <c r="D895" i="5"/>
  <c r="H894" i="5"/>
  <c r="D894" i="5"/>
  <c r="H893" i="5"/>
  <c r="D893" i="5"/>
  <c r="H892" i="5"/>
  <c r="D892" i="5"/>
  <c r="H891" i="5"/>
  <c r="D891" i="5"/>
  <c r="H890" i="5"/>
  <c r="D890" i="5"/>
  <c r="H889" i="5"/>
  <c r="D889" i="5"/>
  <c r="H888" i="5"/>
  <c r="D888" i="5"/>
  <c r="H887" i="5"/>
  <c r="D887" i="5"/>
  <c r="H886" i="5"/>
  <c r="D886" i="5"/>
  <c r="H885" i="5"/>
  <c r="D885" i="5"/>
  <c r="H884" i="5"/>
  <c r="D884" i="5"/>
  <c r="H883" i="5"/>
  <c r="D883" i="5"/>
  <c r="H882" i="5"/>
  <c r="D882" i="5"/>
  <c r="H881" i="5"/>
  <c r="D881" i="5"/>
  <c r="H880" i="5"/>
  <c r="D880" i="5"/>
  <c r="H879" i="5"/>
  <c r="D879" i="5"/>
  <c r="H878" i="5"/>
  <c r="D878" i="5"/>
  <c r="H877" i="5"/>
  <c r="D877" i="5"/>
  <c r="H876" i="5"/>
  <c r="D876" i="5"/>
  <c r="H875" i="5"/>
  <c r="D875" i="5"/>
  <c r="H874" i="5"/>
  <c r="D874" i="5"/>
  <c r="H873" i="5"/>
  <c r="D873" i="5"/>
  <c r="H872" i="5"/>
  <c r="D872" i="5"/>
  <c r="H871" i="5"/>
  <c r="D871" i="5"/>
  <c r="H870" i="5"/>
  <c r="D870" i="5"/>
  <c r="H869" i="5"/>
  <c r="D869" i="5"/>
  <c r="H868" i="5"/>
  <c r="D868" i="5"/>
  <c r="H867" i="5"/>
  <c r="D867" i="5"/>
  <c r="H866" i="5"/>
  <c r="D866" i="5"/>
  <c r="H865" i="5"/>
  <c r="D865" i="5"/>
  <c r="H864" i="5"/>
  <c r="D864" i="5"/>
  <c r="H863" i="5"/>
  <c r="D863" i="5"/>
  <c r="H862" i="5"/>
  <c r="D862" i="5"/>
  <c r="H861" i="5"/>
  <c r="D861" i="5"/>
  <c r="H860" i="5"/>
  <c r="D860" i="5"/>
  <c r="H859" i="5"/>
  <c r="D859" i="5"/>
  <c r="H858" i="5"/>
  <c r="D858" i="5"/>
  <c r="H857" i="5"/>
  <c r="D857" i="5"/>
  <c r="H856" i="5"/>
  <c r="D856" i="5"/>
  <c r="H855" i="5"/>
  <c r="D855" i="5"/>
  <c r="H854" i="5"/>
  <c r="D854" i="5"/>
  <c r="H853" i="5"/>
  <c r="D853" i="5"/>
  <c r="H852" i="5"/>
  <c r="D852" i="5"/>
  <c r="H851" i="5"/>
  <c r="D851" i="5"/>
  <c r="H850" i="5"/>
  <c r="D850" i="5"/>
  <c r="H849" i="5"/>
  <c r="D849" i="5"/>
  <c r="H848" i="5"/>
  <c r="D848" i="5"/>
  <c r="H847" i="5"/>
  <c r="D847" i="5"/>
  <c r="H846" i="5"/>
  <c r="D846" i="5"/>
  <c r="H845" i="5"/>
  <c r="D845" i="5"/>
  <c r="H844" i="5"/>
  <c r="D844" i="5"/>
  <c r="H843" i="5"/>
  <c r="D843" i="5"/>
  <c r="H842" i="5"/>
  <c r="D842" i="5"/>
  <c r="H841" i="5"/>
  <c r="D841" i="5"/>
  <c r="H840" i="5"/>
  <c r="D840" i="5"/>
  <c r="H839" i="5"/>
  <c r="D839" i="5"/>
  <c r="H838" i="5"/>
  <c r="D838" i="5"/>
  <c r="H837" i="5"/>
  <c r="D837" i="5"/>
  <c r="H836" i="5"/>
  <c r="D836" i="5"/>
  <c r="H835" i="5"/>
  <c r="D835" i="5"/>
  <c r="H834" i="5"/>
  <c r="D834" i="5"/>
  <c r="H833" i="5"/>
  <c r="D833" i="5"/>
  <c r="H832" i="5"/>
  <c r="D832" i="5"/>
  <c r="H831" i="5"/>
  <c r="D831" i="5"/>
  <c r="H830" i="5"/>
  <c r="D830" i="5"/>
  <c r="H829" i="5"/>
  <c r="D829" i="5"/>
  <c r="H828" i="5"/>
  <c r="D828" i="5"/>
  <c r="H827" i="5"/>
  <c r="D827" i="5"/>
  <c r="H826" i="5"/>
  <c r="D826" i="5"/>
  <c r="H825" i="5"/>
  <c r="D825" i="5"/>
  <c r="H824" i="5"/>
  <c r="D824" i="5"/>
  <c r="H823" i="5"/>
  <c r="D823" i="5"/>
  <c r="H822" i="5"/>
  <c r="D822" i="5"/>
  <c r="H821" i="5"/>
  <c r="D821" i="5"/>
  <c r="H820" i="5"/>
  <c r="D820" i="5"/>
  <c r="H819" i="5"/>
  <c r="D819" i="5"/>
  <c r="H818" i="5"/>
  <c r="D818" i="5"/>
  <c r="H817" i="5"/>
  <c r="D817" i="5"/>
  <c r="H816" i="5"/>
  <c r="D816" i="5"/>
  <c r="H815" i="5"/>
  <c r="D815" i="5"/>
  <c r="H814" i="5"/>
  <c r="D814" i="5"/>
  <c r="H813" i="5"/>
  <c r="D813" i="5"/>
  <c r="H812" i="5"/>
  <c r="D812" i="5"/>
  <c r="H811" i="5"/>
  <c r="D811" i="5"/>
  <c r="H810" i="5"/>
  <c r="D810" i="5"/>
  <c r="H809" i="5"/>
  <c r="D809" i="5"/>
  <c r="H808" i="5"/>
  <c r="D808" i="5"/>
  <c r="H807" i="5"/>
  <c r="D807" i="5"/>
  <c r="H806" i="5"/>
  <c r="D806" i="5"/>
  <c r="H805" i="5"/>
  <c r="D805" i="5"/>
  <c r="H804" i="5"/>
  <c r="D804" i="5"/>
  <c r="H803" i="5"/>
  <c r="D803" i="5"/>
  <c r="H802" i="5"/>
  <c r="D802" i="5"/>
  <c r="H801" i="5"/>
  <c r="D801" i="5"/>
  <c r="H800" i="5"/>
  <c r="D800" i="5"/>
  <c r="H799" i="5"/>
  <c r="D799" i="5"/>
  <c r="H798" i="5"/>
  <c r="D798" i="5"/>
  <c r="H797" i="5"/>
  <c r="D797" i="5"/>
  <c r="H796" i="5"/>
  <c r="D796" i="5"/>
  <c r="H795" i="5"/>
  <c r="D795" i="5"/>
  <c r="H794" i="5"/>
  <c r="D794" i="5"/>
  <c r="H793" i="5"/>
  <c r="D793" i="5"/>
  <c r="H792" i="5"/>
  <c r="D792" i="5"/>
  <c r="H791" i="5"/>
  <c r="D791" i="5"/>
  <c r="H790" i="5"/>
  <c r="D790" i="5"/>
  <c r="H789" i="5"/>
  <c r="D789" i="5"/>
  <c r="H788" i="5"/>
  <c r="D788" i="5"/>
  <c r="H787" i="5"/>
  <c r="D787" i="5"/>
  <c r="H786" i="5"/>
  <c r="D786" i="5"/>
  <c r="H785" i="5"/>
  <c r="D785" i="5"/>
  <c r="H784" i="5"/>
  <c r="D784" i="5"/>
  <c r="H783" i="5"/>
  <c r="D783" i="5"/>
  <c r="H782" i="5"/>
  <c r="D782" i="5"/>
  <c r="H781" i="5"/>
  <c r="D781" i="5"/>
  <c r="H780" i="5"/>
  <c r="D780" i="5"/>
  <c r="H779" i="5"/>
  <c r="D779" i="5"/>
  <c r="H778" i="5"/>
  <c r="D778" i="5"/>
  <c r="H777" i="5"/>
  <c r="D777" i="5"/>
  <c r="H776" i="5"/>
  <c r="D776" i="5"/>
  <c r="H775" i="5"/>
  <c r="D775" i="5"/>
  <c r="H774" i="5"/>
  <c r="D774" i="5"/>
  <c r="H773" i="5"/>
  <c r="D773" i="5"/>
  <c r="H772" i="5"/>
  <c r="D772" i="5"/>
  <c r="H771" i="5"/>
  <c r="D771" i="5"/>
  <c r="H770" i="5"/>
  <c r="D770" i="5"/>
  <c r="H769" i="5"/>
  <c r="D769" i="5"/>
  <c r="H768" i="5"/>
  <c r="D768" i="5"/>
  <c r="H767" i="5"/>
  <c r="D767" i="5"/>
  <c r="H766" i="5"/>
  <c r="D766" i="5"/>
  <c r="H765" i="5"/>
  <c r="D765" i="5"/>
  <c r="H764" i="5"/>
  <c r="D764" i="5"/>
  <c r="H763" i="5"/>
  <c r="D763" i="5"/>
  <c r="H762" i="5"/>
  <c r="D762" i="5"/>
  <c r="H761" i="5"/>
  <c r="D761" i="5"/>
  <c r="H760" i="5"/>
  <c r="D760" i="5"/>
  <c r="H759" i="5"/>
  <c r="D759" i="5"/>
  <c r="H758" i="5"/>
  <c r="D758" i="5"/>
  <c r="H757" i="5"/>
  <c r="D757" i="5"/>
  <c r="H756" i="5"/>
  <c r="D756" i="5"/>
  <c r="H755" i="5"/>
  <c r="D755" i="5"/>
  <c r="H754" i="5"/>
  <c r="D754" i="5"/>
  <c r="H753" i="5"/>
  <c r="D753" i="5"/>
  <c r="H752" i="5"/>
  <c r="D752" i="5"/>
  <c r="H751" i="5"/>
  <c r="D751" i="5"/>
  <c r="H750" i="5"/>
  <c r="D750" i="5"/>
  <c r="H749" i="5"/>
  <c r="D749" i="5"/>
  <c r="H748" i="5"/>
  <c r="D748" i="5"/>
  <c r="H747" i="5"/>
  <c r="D747" i="5"/>
  <c r="H746" i="5"/>
  <c r="D746" i="5"/>
  <c r="H745" i="5"/>
  <c r="D745" i="5"/>
  <c r="H744" i="5"/>
  <c r="D744" i="5"/>
  <c r="H743" i="5"/>
  <c r="D743" i="5"/>
  <c r="H742" i="5"/>
  <c r="D742" i="5"/>
  <c r="H741" i="5"/>
  <c r="D741" i="5"/>
  <c r="H740" i="5"/>
  <c r="D740" i="5"/>
  <c r="H739" i="5"/>
  <c r="D739" i="5"/>
  <c r="H738" i="5"/>
  <c r="D738" i="5"/>
  <c r="H737" i="5"/>
  <c r="D737" i="5"/>
  <c r="H736" i="5"/>
  <c r="D736" i="5"/>
  <c r="H735" i="5"/>
  <c r="D735" i="5"/>
  <c r="H734" i="5"/>
  <c r="D734" i="5"/>
  <c r="H733" i="5"/>
  <c r="D733" i="5"/>
  <c r="H732" i="5"/>
  <c r="D732" i="5"/>
  <c r="H731" i="5"/>
  <c r="D731" i="5"/>
  <c r="H730" i="5"/>
  <c r="D730" i="5"/>
  <c r="H729" i="5"/>
  <c r="D729" i="5"/>
  <c r="H728" i="5"/>
  <c r="D728" i="5"/>
  <c r="H727" i="5"/>
  <c r="D727" i="5"/>
  <c r="H726" i="5"/>
  <c r="D726" i="5"/>
  <c r="H725" i="5"/>
  <c r="D725" i="5"/>
  <c r="H724" i="5"/>
  <c r="D724" i="5"/>
  <c r="H723" i="5"/>
  <c r="D723" i="5"/>
  <c r="H722" i="5"/>
  <c r="D722" i="5"/>
  <c r="H721" i="5"/>
  <c r="D721" i="5"/>
  <c r="H720" i="5"/>
  <c r="D720" i="5"/>
  <c r="H719" i="5"/>
  <c r="D719" i="5"/>
  <c r="H718" i="5"/>
  <c r="D718" i="5"/>
  <c r="H717" i="5"/>
  <c r="D717" i="5"/>
  <c r="H716" i="5"/>
  <c r="D716" i="5"/>
  <c r="H715" i="5"/>
  <c r="D715" i="5"/>
  <c r="H714" i="5"/>
  <c r="D714" i="5"/>
  <c r="H713" i="5"/>
  <c r="D713" i="5"/>
  <c r="H712" i="5"/>
  <c r="D712" i="5"/>
  <c r="H711" i="5"/>
  <c r="D711" i="5"/>
  <c r="H710" i="5"/>
  <c r="D710" i="5"/>
  <c r="H709" i="5"/>
  <c r="D709" i="5"/>
  <c r="H708" i="5"/>
  <c r="D708" i="5"/>
  <c r="H707" i="5"/>
  <c r="D707" i="5"/>
  <c r="H706" i="5"/>
  <c r="D706" i="5"/>
  <c r="H705" i="5"/>
  <c r="D705" i="5"/>
  <c r="H704" i="5"/>
  <c r="D704" i="5"/>
  <c r="H703" i="5"/>
  <c r="D703" i="5"/>
  <c r="H702" i="5"/>
  <c r="D702" i="5"/>
  <c r="H701" i="5"/>
  <c r="D701" i="5"/>
  <c r="H700" i="5"/>
  <c r="D700" i="5"/>
  <c r="H699" i="5"/>
  <c r="D699" i="5"/>
  <c r="H698" i="5"/>
  <c r="D698" i="5"/>
  <c r="H697" i="5"/>
  <c r="D697" i="5"/>
  <c r="H696" i="5"/>
  <c r="D696" i="5"/>
  <c r="H695" i="5"/>
  <c r="D695" i="5"/>
  <c r="H694" i="5"/>
  <c r="D694" i="5"/>
  <c r="H693" i="5"/>
  <c r="D693" i="5"/>
  <c r="H692" i="5"/>
  <c r="D692" i="5"/>
  <c r="H691" i="5"/>
  <c r="D691" i="5"/>
  <c r="H690" i="5"/>
  <c r="D690" i="5"/>
  <c r="H689" i="5"/>
  <c r="D689" i="5"/>
  <c r="H688" i="5"/>
  <c r="D688" i="5"/>
  <c r="H687" i="5"/>
  <c r="D687" i="5"/>
  <c r="H686" i="5"/>
  <c r="D686" i="5"/>
  <c r="H685" i="5"/>
  <c r="D685" i="5"/>
  <c r="H684" i="5"/>
  <c r="D684" i="5"/>
  <c r="H683" i="5"/>
  <c r="D683" i="5"/>
  <c r="H682" i="5"/>
  <c r="D682" i="5"/>
  <c r="H681" i="5"/>
  <c r="D681" i="5"/>
  <c r="H680" i="5"/>
  <c r="D680" i="5"/>
  <c r="H679" i="5"/>
  <c r="D679" i="5"/>
  <c r="H678" i="5"/>
  <c r="D678" i="5"/>
  <c r="H677" i="5"/>
  <c r="D677" i="5"/>
  <c r="H676" i="5"/>
  <c r="D676" i="5"/>
  <c r="H675" i="5"/>
  <c r="D675" i="5"/>
  <c r="H674" i="5"/>
  <c r="D674" i="5"/>
  <c r="H673" i="5"/>
  <c r="D673" i="5"/>
  <c r="H672" i="5"/>
  <c r="D672" i="5"/>
  <c r="H671" i="5"/>
  <c r="D671" i="5"/>
  <c r="H670" i="5"/>
  <c r="D670" i="5"/>
  <c r="H669" i="5"/>
  <c r="D669" i="5"/>
  <c r="H668" i="5"/>
  <c r="D668" i="5"/>
  <c r="H667" i="5"/>
  <c r="D667" i="5"/>
  <c r="H666" i="5"/>
  <c r="D666" i="5"/>
  <c r="H665" i="5"/>
  <c r="D665" i="5"/>
  <c r="H664" i="5"/>
  <c r="D664" i="5"/>
  <c r="H663" i="5"/>
  <c r="D663" i="5"/>
  <c r="H662" i="5"/>
  <c r="D662" i="5"/>
  <c r="H661" i="5"/>
  <c r="D661" i="5"/>
  <c r="H660" i="5"/>
  <c r="D660" i="5"/>
  <c r="H659" i="5"/>
  <c r="D659" i="5"/>
  <c r="H658" i="5"/>
  <c r="D658" i="5"/>
  <c r="H657" i="5"/>
  <c r="D657" i="5"/>
  <c r="H656" i="5"/>
  <c r="D656" i="5"/>
  <c r="H655" i="5"/>
  <c r="D655" i="5"/>
  <c r="H654" i="5"/>
  <c r="D654" i="5"/>
  <c r="H653" i="5"/>
  <c r="D653" i="5"/>
  <c r="H652" i="5"/>
  <c r="D652" i="5"/>
  <c r="H651" i="5"/>
  <c r="D651" i="5"/>
  <c r="H650" i="5"/>
  <c r="D650" i="5"/>
  <c r="H649" i="5"/>
  <c r="D649" i="5"/>
  <c r="H648" i="5"/>
  <c r="D648" i="5"/>
  <c r="H647" i="5"/>
  <c r="D647" i="5"/>
  <c r="H646" i="5"/>
  <c r="D646" i="5"/>
  <c r="H645" i="5"/>
  <c r="D645" i="5"/>
  <c r="H644" i="5"/>
  <c r="D644" i="5"/>
  <c r="H643" i="5"/>
  <c r="D643" i="5"/>
  <c r="H642" i="5"/>
  <c r="D642" i="5"/>
  <c r="H641" i="5"/>
  <c r="D641" i="5"/>
  <c r="H640" i="5"/>
  <c r="D640" i="5"/>
  <c r="H639" i="5"/>
  <c r="D639" i="5"/>
  <c r="H638" i="5"/>
  <c r="D638" i="5"/>
  <c r="H637" i="5"/>
  <c r="D637" i="5"/>
  <c r="H636" i="5"/>
  <c r="D636" i="5"/>
  <c r="H635" i="5"/>
  <c r="D635" i="5"/>
  <c r="H634" i="5"/>
  <c r="D634" i="5"/>
  <c r="H633" i="5"/>
  <c r="D633" i="5"/>
  <c r="H632" i="5"/>
  <c r="D632" i="5"/>
  <c r="H631" i="5"/>
  <c r="D631" i="5"/>
  <c r="H630" i="5"/>
  <c r="D630" i="5"/>
  <c r="H629" i="5"/>
  <c r="D629" i="5"/>
  <c r="H628" i="5"/>
  <c r="D628" i="5"/>
  <c r="H627" i="5"/>
  <c r="D627" i="5"/>
  <c r="H626" i="5"/>
  <c r="D626" i="5"/>
  <c r="H625" i="5"/>
  <c r="D625" i="5"/>
  <c r="H624" i="5"/>
  <c r="D624" i="5"/>
  <c r="H623" i="5"/>
  <c r="D623" i="5"/>
  <c r="H622" i="5"/>
  <c r="D622" i="5"/>
  <c r="H621" i="5"/>
  <c r="D621" i="5"/>
  <c r="H620" i="5"/>
  <c r="D620" i="5"/>
  <c r="H619" i="5"/>
  <c r="D619" i="5"/>
  <c r="H618" i="5"/>
  <c r="D618" i="5"/>
  <c r="H617" i="5"/>
  <c r="D617" i="5"/>
  <c r="H616" i="5"/>
  <c r="D616" i="5"/>
  <c r="H615" i="5"/>
  <c r="D615" i="5"/>
  <c r="H614" i="5"/>
  <c r="D614" i="5"/>
  <c r="H613" i="5"/>
  <c r="D613" i="5"/>
  <c r="H612" i="5"/>
  <c r="D612" i="5"/>
  <c r="H611" i="5"/>
  <c r="D611" i="5"/>
  <c r="H610" i="5"/>
  <c r="D610" i="5"/>
  <c r="H609" i="5"/>
  <c r="D609" i="5"/>
  <c r="H608" i="5"/>
  <c r="D608" i="5"/>
  <c r="H607" i="5"/>
  <c r="D607" i="5"/>
  <c r="H606" i="5"/>
  <c r="D606" i="5"/>
  <c r="H605" i="5"/>
  <c r="D605" i="5"/>
  <c r="H604" i="5"/>
  <c r="D604" i="5"/>
  <c r="H603" i="5"/>
  <c r="D603" i="5"/>
  <c r="H602" i="5"/>
  <c r="D602" i="5"/>
  <c r="H601" i="5"/>
  <c r="D601" i="5"/>
  <c r="H600" i="5"/>
  <c r="D600" i="5"/>
  <c r="H599" i="5"/>
  <c r="D599" i="5"/>
  <c r="H598" i="5"/>
  <c r="D598" i="5"/>
  <c r="H597" i="5"/>
  <c r="D597" i="5"/>
  <c r="H596" i="5"/>
  <c r="D596" i="5"/>
  <c r="H595" i="5"/>
  <c r="D595" i="5"/>
  <c r="H594" i="5"/>
  <c r="D594" i="5"/>
  <c r="H593" i="5"/>
  <c r="D593" i="5"/>
  <c r="H592" i="5"/>
  <c r="D592" i="5"/>
  <c r="H591" i="5"/>
  <c r="D591" i="5"/>
  <c r="H590" i="5"/>
  <c r="D590" i="5"/>
  <c r="H589" i="5"/>
  <c r="D589" i="5"/>
  <c r="H588" i="5"/>
  <c r="D588" i="5"/>
  <c r="H587" i="5"/>
  <c r="D587" i="5"/>
  <c r="H586" i="5"/>
  <c r="D586" i="5"/>
  <c r="H585" i="5"/>
  <c r="D585" i="5"/>
  <c r="H584" i="5"/>
  <c r="D584" i="5"/>
  <c r="H583" i="5"/>
  <c r="D583" i="5"/>
  <c r="H582" i="5"/>
  <c r="D582" i="5"/>
  <c r="H581" i="5"/>
  <c r="D581" i="5"/>
  <c r="H580" i="5"/>
  <c r="D580" i="5"/>
  <c r="H579" i="5"/>
  <c r="D579" i="5"/>
  <c r="H578" i="5"/>
  <c r="D578" i="5"/>
  <c r="H577" i="5"/>
  <c r="D577" i="5"/>
  <c r="H576" i="5"/>
  <c r="D576" i="5"/>
  <c r="H575" i="5"/>
  <c r="D575" i="5"/>
  <c r="H574" i="5"/>
  <c r="D574" i="5"/>
  <c r="H573" i="5"/>
  <c r="D573" i="5"/>
  <c r="H572" i="5"/>
  <c r="D572" i="5"/>
  <c r="H571" i="5"/>
  <c r="D571" i="5"/>
  <c r="H570" i="5"/>
  <c r="D570" i="5"/>
  <c r="H569" i="5"/>
  <c r="D569" i="5"/>
  <c r="H568" i="5"/>
  <c r="D568" i="5"/>
  <c r="H567" i="5"/>
  <c r="D567" i="5"/>
  <c r="H566" i="5"/>
  <c r="D566" i="5"/>
  <c r="H565" i="5"/>
  <c r="D565" i="5"/>
  <c r="H564" i="5"/>
  <c r="D564" i="5"/>
  <c r="H563" i="5"/>
  <c r="D563" i="5"/>
  <c r="H562" i="5"/>
  <c r="D562" i="5"/>
  <c r="H561" i="5"/>
  <c r="D561" i="5"/>
  <c r="H560" i="5"/>
  <c r="D560" i="5"/>
  <c r="H559" i="5"/>
  <c r="D559" i="5"/>
  <c r="H558" i="5"/>
  <c r="D558" i="5"/>
  <c r="H557" i="5"/>
  <c r="D557" i="5"/>
  <c r="H556" i="5"/>
  <c r="D556" i="5"/>
  <c r="H555" i="5"/>
  <c r="D555" i="5"/>
  <c r="H554" i="5"/>
  <c r="D554" i="5"/>
  <c r="H553" i="5"/>
  <c r="D553" i="5"/>
  <c r="H552" i="5"/>
  <c r="D552" i="5"/>
  <c r="H551" i="5"/>
  <c r="D551" i="5"/>
  <c r="H550" i="5"/>
  <c r="D550" i="5"/>
  <c r="H549" i="5"/>
  <c r="D549" i="5"/>
  <c r="H548" i="5"/>
  <c r="D548" i="5"/>
  <c r="H547" i="5"/>
  <c r="D547" i="5"/>
  <c r="H546" i="5"/>
  <c r="D546" i="5"/>
  <c r="H545" i="5"/>
  <c r="D545" i="5"/>
  <c r="H544" i="5"/>
  <c r="D544" i="5"/>
  <c r="H543" i="5"/>
  <c r="D543" i="5"/>
  <c r="H542" i="5"/>
  <c r="D542" i="5"/>
  <c r="H541" i="5"/>
  <c r="D541" i="5"/>
  <c r="H540" i="5"/>
  <c r="D540" i="5"/>
  <c r="H539" i="5"/>
  <c r="D539" i="5"/>
  <c r="H538" i="5"/>
  <c r="D538" i="5"/>
  <c r="H537" i="5"/>
  <c r="D537" i="5"/>
  <c r="H536" i="5"/>
  <c r="D536" i="5"/>
  <c r="H535" i="5"/>
  <c r="D535" i="5"/>
  <c r="H534" i="5"/>
  <c r="D534" i="5"/>
  <c r="H533" i="5"/>
  <c r="D533" i="5"/>
  <c r="H532" i="5"/>
  <c r="D532" i="5"/>
  <c r="H531" i="5"/>
  <c r="D531" i="5"/>
  <c r="H530" i="5"/>
  <c r="D530" i="5"/>
  <c r="H529" i="5"/>
  <c r="D529" i="5"/>
  <c r="H528" i="5"/>
  <c r="D528" i="5"/>
  <c r="H527" i="5"/>
  <c r="D527" i="5"/>
  <c r="H526" i="5"/>
  <c r="D526" i="5"/>
  <c r="H525" i="5"/>
  <c r="D525" i="5"/>
  <c r="H524" i="5"/>
  <c r="D524" i="5"/>
  <c r="H523" i="5"/>
  <c r="D523" i="5"/>
  <c r="H522" i="5"/>
  <c r="D522" i="5"/>
  <c r="H521" i="5"/>
  <c r="D521" i="5"/>
  <c r="H520" i="5"/>
  <c r="D520" i="5"/>
  <c r="H519" i="5"/>
  <c r="D519" i="5"/>
  <c r="H518" i="5"/>
  <c r="D518" i="5"/>
  <c r="H517" i="5"/>
  <c r="D517" i="5"/>
  <c r="H516" i="5"/>
  <c r="D516" i="5"/>
  <c r="H515" i="5"/>
  <c r="D515" i="5"/>
  <c r="H514" i="5"/>
  <c r="D514" i="5"/>
  <c r="H513" i="5"/>
  <c r="D513" i="5"/>
  <c r="H512" i="5"/>
  <c r="D512" i="5"/>
  <c r="H511" i="5"/>
  <c r="D511" i="5"/>
  <c r="H510" i="5"/>
  <c r="D510" i="5"/>
  <c r="H509" i="5"/>
  <c r="D509" i="5"/>
  <c r="H508" i="5"/>
  <c r="D508" i="5"/>
  <c r="H507" i="5"/>
  <c r="D507" i="5"/>
  <c r="H506" i="5"/>
  <c r="D506" i="5"/>
  <c r="H505" i="5"/>
  <c r="D505" i="5"/>
  <c r="H504" i="5"/>
  <c r="D504" i="5"/>
  <c r="H503" i="5"/>
  <c r="D503" i="5"/>
  <c r="H502" i="5"/>
  <c r="D502" i="5"/>
  <c r="H501" i="5"/>
  <c r="D501" i="5"/>
  <c r="H500" i="5"/>
  <c r="D500" i="5"/>
  <c r="H499" i="5"/>
  <c r="D499" i="5"/>
  <c r="H498" i="5"/>
  <c r="D498" i="5"/>
  <c r="H497" i="5"/>
  <c r="D497" i="5"/>
  <c r="H496" i="5"/>
  <c r="D496" i="5"/>
  <c r="H495" i="5"/>
  <c r="D495" i="5"/>
  <c r="H494" i="5"/>
  <c r="D494" i="5"/>
  <c r="H493" i="5"/>
  <c r="D493" i="5"/>
  <c r="H492" i="5"/>
  <c r="D492" i="5"/>
  <c r="H491" i="5"/>
  <c r="D491" i="5"/>
  <c r="H490" i="5"/>
  <c r="D490" i="5"/>
  <c r="H489" i="5"/>
  <c r="D489" i="5"/>
  <c r="H488" i="5"/>
  <c r="D488" i="5"/>
  <c r="H487" i="5"/>
  <c r="D487" i="5"/>
  <c r="H486" i="5"/>
  <c r="D486" i="5"/>
  <c r="H485" i="5"/>
  <c r="D485" i="5"/>
  <c r="H484" i="5"/>
  <c r="D484" i="5"/>
  <c r="H483" i="5"/>
  <c r="D483" i="5"/>
  <c r="H482" i="5"/>
  <c r="D482" i="5"/>
  <c r="H481" i="5"/>
  <c r="D481" i="5"/>
  <c r="H480" i="5"/>
  <c r="D480" i="5"/>
  <c r="H479" i="5"/>
  <c r="D479" i="5"/>
  <c r="H478" i="5"/>
  <c r="D478" i="5"/>
  <c r="H477" i="5"/>
  <c r="D477" i="5"/>
  <c r="H476" i="5"/>
  <c r="D476" i="5"/>
  <c r="H475" i="5"/>
  <c r="D475" i="5"/>
  <c r="H474" i="5"/>
  <c r="D474" i="5"/>
  <c r="H473" i="5"/>
  <c r="D473" i="5"/>
  <c r="H472" i="5"/>
  <c r="D472" i="5"/>
  <c r="H471" i="5"/>
  <c r="D471" i="5"/>
  <c r="H470" i="5"/>
  <c r="D470" i="5"/>
  <c r="H469" i="5"/>
  <c r="D469" i="5"/>
  <c r="H468" i="5"/>
  <c r="D468" i="5"/>
  <c r="H467" i="5"/>
  <c r="D467" i="5"/>
  <c r="H466" i="5"/>
  <c r="D466" i="5"/>
  <c r="H465" i="5"/>
  <c r="D465" i="5"/>
  <c r="H464" i="5"/>
  <c r="D464" i="5"/>
  <c r="H463" i="5"/>
  <c r="D463" i="5"/>
  <c r="H462" i="5"/>
  <c r="D462" i="5"/>
  <c r="H461" i="5"/>
  <c r="D461" i="5"/>
  <c r="H460" i="5"/>
  <c r="D460" i="5"/>
  <c r="H459" i="5"/>
  <c r="D459" i="5"/>
  <c r="H458" i="5"/>
  <c r="D458" i="5"/>
  <c r="H457" i="5"/>
  <c r="D457" i="5"/>
  <c r="H456" i="5"/>
  <c r="D456" i="5"/>
  <c r="H455" i="5"/>
  <c r="D455" i="5"/>
  <c r="H454" i="5"/>
  <c r="D454" i="5"/>
  <c r="H453" i="5"/>
  <c r="D453" i="5"/>
  <c r="H452" i="5"/>
  <c r="D452" i="5"/>
  <c r="H451" i="5"/>
  <c r="D451" i="5"/>
  <c r="H450" i="5"/>
  <c r="D450" i="5"/>
  <c r="H449" i="5"/>
  <c r="D449" i="5"/>
  <c r="H448" i="5"/>
  <c r="D448" i="5"/>
  <c r="H447" i="5"/>
  <c r="D447" i="5"/>
  <c r="H446" i="5"/>
  <c r="D446" i="5"/>
  <c r="H445" i="5"/>
  <c r="D445" i="5"/>
  <c r="H444" i="5"/>
  <c r="D444" i="5"/>
  <c r="H443" i="5"/>
  <c r="D443" i="5"/>
  <c r="H442" i="5"/>
  <c r="D442" i="5"/>
  <c r="H441" i="5"/>
  <c r="D441" i="5"/>
  <c r="H440" i="5"/>
  <c r="D440" i="5"/>
  <c r="H439" i="5"/>
  <c r="D439" i="5"/>
  <c r="H438" i="5"/>
  <c r="D438" i="5"/>
  <c r="H437" i="5"/>
  <c r="D437" i="5"/>
  <c r="H436" i="5"/>
  <c r="D436" i="5"/>
  <c r="H435" i="5"/>
  <c r="D435" i="5"/>
  <c r="H434" i="5"/>
  <c r="D434" i="5"/>
  <c r="H433" i="5"/>
  <c r="D433" i="5"/>
  <c r="H432" i="5"/>
  <c r="D432" i="5"/>
  <c r="H431" i="5"/>
  <c r="D431" i="5"/>
  <c r="H430" i="5"/>
  <c r="D430" i="5"/>
  <c r="H429" i="5"/>
  <c r="D429" i="5"/>
  <c r="H428" i="5"/>
  <c r="D428" i="5"/>
  <c r="H427" i="5"/>
  <c r="D427" i="5"/>
  <c r="H426" i="5"/>
  <c r="D426" i="5"/>
  <c r="H425" i="5"/>
  <c r="D425" i="5"/>
  <c r="H424" i="5"/>
  <c r="D424" i="5"/>
  <c r="H423" i="5"/>
  <c r="D423" i="5"/>
  <c r="H422" i="5"/>
  <c r="D422" i="5"/>
  <c r="H421" i="5"/>
  <c r="D421" i="5"/>
  <c r="H420" i="5"/>
  <c r="D420" i="5"/>
  <c r="H419" i="5"/>
  <c r="D419" i="5"/>
  <c r="H418" i="5"/>
  <c r="D418" i="5"/>
  <c r="H417" i="5"/>
  <c r="D417" i="5"/>
  <c r="H416" i="5"/>
  <c r="D416" i="5"/>
  <c r="H415" i="5"/>
  <c r="D415" i="5"/>
  <c r="H414" i="5"/>
  <c r="D414" i="5"/>
  <c r="H413" i="5"/>
  <c r="D413" i="5"/>
  <c r="H412" i="5"/>
  <c r="D412" i="5"/>
  <c r="H411" i="5"/>
  <c r="D411" i="5"/>
  <c r="H410" i="5"/>
  <c r="D410" i="5"/>
  <c r="H409" i="5"/>
  <c r="D409" i="5"/>
  <c r="H408" i="5"/>
  <c r="D408" i="5"/>
  <c r="H407" i="5"/>
  <c r="D407" i="5"/>
  <c r="H406" i="5"/>
  <c r="D406" i="5"/>
  <c r="H405" i="5"/>
  <c r="D405" i="5"/>
  <c r="H404" i="5"/>
  <c r="D404" i="5"/>
  <c r="H403" i="5"/>
  <c r="D403" i="5"/>
  <c r="H402" i="5"/>
  <c r="D402" i="5"/>
  <c r="H401" i="5"/>
  <c r="D401" i="5"/>
  <c r="H400" i="5"/>
  <c r="D400" i="5"/>
  <c r="H399" i="5"/>
  <c r="D399" i="5"/>
  <c r="H398" i="5"/>
  <c r="D398" i="5"/>
  <c r="H397" i="5"/>
  <c r="D397" i="5"/>
  <c r="H396" i="5"/>
  <c r="D396" i="5"/>
  <c r="H395" i="5"/>
  <c r="D395" i="5"/>
  <c r="H394" i="5"/>
  <c r="D394" i="5"/>
  <c r="H393" i="5"/>
  <c r="D393" i="5"/>
  <c r="H392" i="5"/>
  <c r="D392" i="5"/>
  <c r="H391" i="5"/>
  <c r="D391" i="5"/>
  <c r="H390" i="5"/>
  <c r="D390" i="5"/>
  <c r="H389" i="5"/>
  <c r="D389" i="5"/>
  <c r="H388" i="5"/>
  <c r="D388" i="5"/>
  <c r="H387" i="5"/>
  <c r="D387" i="5"/>
  <c r="H386" i="5"/>
  <c r="D386" i="5"/>
  <c r="H385" i="5"/>
  <c r="D385" i="5"/>
  <c r="H384" i="5"/>
  <c r="D384" i="5"/>
  <c r="H383" i="5"/>
  <c r="D383" i="5"/>
  <c r="H382" i="5"/>
  <c r="D382" i="5"/>
  <c r="H381" i="5"/>
  <c r="D381" i="5"/>
  <c r="H380" i="5"/>
  <c r="D380" i="5"/>
  <c r="H379" i="5"/>
  <c r="D379" i="5"/>
  <c r="H378" i="5"/>
  <c r="D378" i="5"/>
  <c r="H377" i="5"/>
  <c r="D377" i="5"/>
  <c r="H376" i="5"/>
  <c r="D376" i="5"/>
  <c r="H375" i="5"/>
  <c r="D375" i="5"/>
  <c r="H374" i="5"/>
  <c r="D374" i="5"/>
  <c r="H373" i="5"/>
  <c r="D373" i="5"/>
  <c r="H372" i="5"/>
  <c r="D372" i="5"/>
  <c r="H371" i="5"/>
  <c r="D371" i="5"/>
  <c r="H370" i="5"/>
  <c r="D370" i="5"/>
  <c r="H369" i="5"/>
  <c r="D369" i="5"/>
  <c r="H368" i="5"/>
  <c r="D368" i="5"/>
  <c r="H367" i="5"/>
  <c r="D367" i="5"/>
  <c r="H366" i="5"/>
  <c r="D366" i="5"/>
  <c r="H365" i="5"/>
  <c r="D365" i="5"/>
  <c r="H364" i="5"/>
  <c r="D364" i="5"/>
  <c r="H363" i="5"/>
  <c r="D363" i="5"/>
  <c r="H362" i="5"/>
  <c r="D362" i="5"/>
  <c r="H361" i="5"/>
  <c r="D361" i="5"/>
  <c r="H360" i="5"/>
  <c r="D360" i="5"/>
  <c r="H359" i="5"/>
  <c r="D359" i="5"/>
  <c r="H358" i="5"/>
  <c r="D358" i="5"/>
  <c r="H357" i="5"/>
  <c r="D357" i="5"/>
  <c r="H356" i="5"/>
  <c r="D356" i="5"/>
  <c r="H355" i="5"/>
  <c r="D355" i="5"/>
  <c r="H354" i="5"/>
  <c r="D354" i="5"/>
  <c r="H353" i="5"/>
  <c r="D353" i="5"/>
  <c r="H352" i="5"/>
  <c r="D352" i="5"/>
  <c r="H351" i="5"/>
  <c r="D351" i="5"/>
  <c r="H350" i="5"/>
  <c r="D350" i="5"/>
  <c r="H349" i="5"/>
  <c r="D349" i="5"/>
  <c r="H348" i="5"/>
  <c r="D348" i="5"/>
  <c r="H347" i="5"/>
  <c r="D347" i="5"/>
  <c r="H346" i="5"/>
  <c r="D346" i="5"/>
  <c r="H345" i="5"/>
  <c r="D345" i="5"/>
  <c r="H344" i="5"/>
  <c r="D344" i="5"/>
  <c r="H343" i="5"/>
  <c r="D343" i="5"/>
  <c r="H342" i="5"/>
  <c r="D342" i="5"/>
  <c r="H341" i="5"/>
  <c r="D341" i="5"/>
  <c r="H340" i="5"/>
  <c r="D340" i="5"/>
  <c r="H339" i="5"/>
  <c r="D339" i="5"/>
  <c r="H338" i="5"/>
  <c r="D338" i="5"/>
  <c r="H337" i="5"/>
  <c r="D337" i="5"/>
  <c r="H336" i="5"/>
  <c r="D336" i="5"/>
  <c r="H335" i="5"/>
  <c r="D335" i="5"/>
  <c r="H334" i="5"/>
  <c r="D334" i="5"/>
  <c r="H333" i="5"/>
  <c r="D333" i="5"/>
  <c r="H332" i="5"/>
  <c r="D332" i="5"/>
  <c r="H331" i="5"/>
  <c r="D331" i="5"/>
  <c r="H330" i="5"/>
  <c r="D330" i="5"/>
  <c r="H329" i="5"/>
  <c r="D329" i="5"/>
  <c r="H328" i="5"/>
  <c r="D328" i="5"/>
  <c r="H327" i="5"/>
  <c r="D327" i="5"/>
  <c r="H326" i="5"/>
  <c r="D326" i="5"/>
  <c r="H325" i="5"/>
  <c r="D325" i="5"/>
  <c r="H324" i="5"/>
  <c r="D324" i="5"/>
  <c r="H323" i="5"/>
  <c r="D323" i="5"/>
  <c r="H322" i="5"/>
  <c r="D322" i="5"/>
  <c r="H321" i="5"/>
  <c r="D321" i="5"/>
  <c r="H320" i="5"/>
  <c r="D320" i="5"/>
  <c r="H319" i="5"/>
  <c r="D319" i="5"/>
  <c r="H318" i="5"/>
  <c r="D318" i="5"/>
  <c r="H317" i="5"/>
  <c r="D317" i="5"/>
  <c r="H316" i="5"/>
  <c r="D316" i="5"/>
  <c r="H315" i="5"/>
  <c r="D315" i="5"/>
  <c r="H314" i="5"/>
  <c r="D314" i="5"/>
  <c r="H313" i="5"/>
  <c r="D313" i="5"/>
  <c r="H312" i="5"/>
  <c r="D312" i="5"/>
  <c r="H311" i="5"/>
  <c r="D311" i="5"/>
  <c r="H310" i="5"/>
  <c r="D310" i="5"/>
  <c r="H309" i="5"/>
  <c r="D309" i="5"/>
  <c r="H308" i="5"/>
  <c r="D308" i="5"/>
  <c r="H307" i="5"/>
  <c r="D307" i="5"/>
  <c r="H306" i="5"/>
  <c r="D306" i="5"/>
  <c r="H305" i="5"/>
  <c r="D305" i="5"/>
  <c r="H304" i="5"/>
  <c r="D304" i="5"/>
  <c r="H303" i="5"/>
  <c r="D303" i="5"/>
  <c r="H302" i="5"/>
  <c r="D302" i="5"/>
  <c r="H301" i="5"/>
  <c r="D301" i="5"/>
  <c r="H300" i="5"/>
  <c r="D300" i="5"/>
  <c r="H299" i="5"/>
  <c r="D299" i="5"/>
  <c r="H298" i="5"/>
  <c r="D298" i="5"/>
  <c r="H297" i="5"/>
  <c r="D297" i="5"/>
  <c r="H296" i="5"/>
  <c r="D296" i="5"/>
  <c r="H295" i="5"/>
  <c r="D295" i="5"/>
  <c r="H294" i="5"/>
  <c r="D294" i="5"/>
  <c r="H293" i="5"/>
  <c r="D293" i="5"/>
  <c r="H292" i="5"/>
  <c r="D292" i="5"/>
  <c r="H291" i="5"/>
  <c r="D291" i="5"/>
  <c r="H290" i="5"/>
  <c r="D290" i="5"/>
  <c r="H289" i="5"/>
  <c r="D289" i="5"/>
  <c r="H288" i="5"/>
  <c r="D288" i="5"/>
  <c r="H287" i="5"/>
  <c r="D287" i="5"/>
  <c r="H286" i="5"/>
  <c r="D286" i="5"/>
  <c r="H285" i="5"/>
  <c r="D285" i="5"/>
  <c r="H284" i="5"/>
  <c r="D284" i="5"/>
  <c r="H283" i="5"/>
  <c r="D283" i="5"/>
  <c r="H282" i="5"/>
  <c r="D282" i="5"/>
  <c r="H281" i="5"/>
  <c r="D281" i="5"/>
  <c r="H280" i="5"/>
  <c r="D280" i="5"/>
  <c r="H279" i="5"/>
  <c r="D279" i="5"/>
  <c r="H278" i="5"/>
  <c r="D278" i="5"/>
  <c r="H277" i="5"/>
  <c r="D277" i="5"/>
  <c r="H276" i="5"/>
  <c r="D276" i="5"/>
  <c r="H275" i="5"/>
  <c r="D275" i="5"/>
  <c r="H274" i="5"/>
  <c r="D274" i="5"/>
  <c r="H273" i="5"/>
  <c r="D273" i="5"/>
  <c r="H272" i="5"/>
  <c r="D272" i="5"/>
  <c r="H271" i="5"/>
  <c r="D271" i="5"/>
  <c r="H270" i="5"/>
  <c r="D270" i="5"/>
  <c r="H269" i="5"/>
  <c r="D269" i="5"/>
  <c r="H268" i="5"/>
  <c r="D268" i="5"/>
  <c r="H267" i="5"/>
  <c r="D267" i="5"/>
  <c r="H266" i="5"/>
  <c r="D266" i="5"/>
  <c r="H265" i="5"/>
  <c r="D265" i="5"/>
  <c r="H264" i="5"/>
  <c r="D264" i="5"/>
  <c r="H263" i="5"/>
  <c r="D263" i="5"/>
  <c r="H262" i="5"/>
  <c r="D262" i="5"/>
  <c r="H261" i="5"/>
  <c r="D261" i="5"/>
  <c r="H260" i="5"/>
  <c r="D260" i="5"/>
  <c r="H259" i="5"/>
  <c r="D259" i="5"/>
  <c r="H258" i="5"/>
  <c r="D258" i="5"/>
  <c r="H257" i="5"/>
  <c r="D257" i="5"/>
  <c r="H256" i="5"/>
  <c r="D256" i="5"/>
  <c r="H255" i="5"/>
  <c r="D255" i="5"/>
  <c r="H254" i="5"/>
  <c r="D254" i="5"/>
  <c r="H253" i="5"/>
  <c r="D253" i="5"/>
  <c r="H252" i="5"/>
  <c r="D252" i="5"/>
  <c r="H251" i="5"/>
  <c r="D251" i="5"/>
  <c r="H250" i="5"/>
  <c r="D250" i="5"/>
  <c r="H249" i="5"/>
  <c r="D249" i="5"/>
  <c r="H248" i="5"/>
  <c r="D248" i="5"/>
  <c r="H247" i="5"/>
  <c r="D247" i="5"/>
  <c r="H246" i="5"/>
  <c r="D246" i="5"/>
  <c r="H245" i="5"/>
  <c r="D245" i="5"/>
  <c r="H244" i="5"/>
  <c r="D244" i="5"/>
  <c r="H243" i="5"/>
  <c r="D243" i="5"/>
  <c r="H242" i="5"/>
  <c r="D242" i="5"/>
  <c r="H241" i="5"/>
  <c r="D241" i="5"/>
  <c r="H240" i="5"/>
  <c r="D240" i="5"/>
  <c r="H239" i="5"/>
  <c r="D239" i="5"/>
  <c r="H238" i="5"/>
  <c r="D238" i="5"/>
  <c r="H237" i="5"/>
  <c r="D237" i="5"/>
  <c r="H236" i="5"/>
  <c r="D236" i="5"/>
  <c r="H235" i="5"/>
  <c r="D235" i="5"/>
  <c r="H234" i="5"/>
  <c r="D234" i="5"/>
  <c r="H233" i="5"/>
  <c r="D233" i="5"/>
  <c r="H232" i="5"/>
  <c r="D232" i="5"/>
  <c r="H231" i="5"/>
  <c r="D231" i="5"/>
  <c r="H230" i="5"/>
  <c r="D230" i="5"/>
  <c r="H229" i="5"/>
  <c r="D229" i="5"/>
  <c r="H228" i="5"/>
  <c r="D228" i="5"/>
  <c r="H227" i="5"/>
  <c r="D227" i="5"/>
  <c r="H226" i="5"/>
  <c r="D226" i="5"/>
  <c r="H225" i="5"/>
  <c r="D225" i="5"/>
  <c r="H224" i="5"/>
  <c r="D224" i="5"/>
  <c r="H223" i="5"/>
  <c r="D223" i="5"/>
  <c r="H222" i="5"/>
  <c r="D222" i="5"/>
  <c r="H221" i="5"/>
  <c r="D221" i="5"/>
  <c r="H220" i="5"/>
  <c r="D220" i="5"/>
  <c r="H219" i="5"/>
  <c r="D219" i="5"/>
  <c r="H218" i="5"/>
  <c r="D218" i="5"/>
  <c r="H217" i="5"/>
  <c r="D217" i="5"/>
  <c r="H216" i="5"/>
  <c r="D216" i="5"/>
  <c r="H215" i="5"/>
  <c r="D215" i="5"/>
  <c r="H214" i="5"/>
  <c r="D214" i="5"/>
  <c r="H213" i="5"/>
  <c r="D213" i="5"/>
  <c r="H212" i="5"/>
  <c r="D212" i="5"/>
  <c r="H211" i="5"/>
  <c r="D211" i="5"/>
  <c r="H210" i="5"/>
  <c r="D210" i="5"/>
  <c r="H209" i="5"/>
  <c r="D209" i="5"/>
  <c r="H208" i="5"/>
  <c r="D208" i="5"/>
  <c r="H207" i="5"/>
  <c r="D207" i="5"/>
  <c r="H206" i="5"/>
  <c r="D206" i="5"/>
  <c r="H205" i="5"/>
  <c r="D205" i="5"/>
  <c r="H204" i="5"/>
  <c r="D204" i="5"/>
  <c r="H203" i="5"/>
  <c r="D203" i="5"/>
  <c r="H202" i="5"/>
  <c r="D202" i="5"/>
  <c r="H201" i="5"/>
  <c r="D201" i="5"/>
  <c r="H200" i="5"/>
  <c r="D200" i="5"/>
  <c r="H199" i="5"/>
  <c r="D199" i="5"/>
  <c r="H198" i="5"/>
  <c r="D198" i="5"/>
  <c r="H197" i="5"/>
  <c r="D197" i="5"/>
  <c r="H196" i="5"/>
  <c r="D196" i="5"/>
  <c r="H195" i="5"/>
  <c r="D195" i="5"/>
  <c r="H194" i="5"/>
  <c r="D194" i="5"/>
  <c r="H193" i="5"/>
  <c r="D193" i="5"/>
  <c r="H192" i="5"/>
  <c r="D192" i="5"/>
  <c r="H191" i="5"/>
  <c r="D191" i="5"/>
  <c r="H190" i="5"/>
  <c r="D190" i="5"/>
  <c r="H189" i="5"/>
  <c r="D189" i="5"/>
  <c r="H188" i="5"/>
  <c r="D188" i="5"/>
  <c r="H187" i="5"/>
  <c r="D187" i="5"/>
  <c r="H186" i="5"/>
  <c r="D186" i="5"/>
  <c r="H185" i="5"/>
  <c r="D185" i="5"/>
  <c r="H184" i="5"/>
  <c r="D184" i="5"/>
  <c r="H183" i="5"/>
  <c r="D183" i="5"/>
  <c r="H182" i="5"/>
  <c r="D182" i="5"/>
  <c r="H181" i="5"/>
  <c r="D181" i="5"/>
  <c r="H180" i="5"/>
  <c r="D180" i="5"/>
  <c r="H179" i="5"/>
  <c r="D179" i="5"/>
  <c r="H178" i="5"/>
  <c r="D178" i="5"/>
  <c r="H177" i="5"/>
  <c r="D177" i="5"/>
  <c r="H176" i="5"/>
  <c r="D176" i="5"/>
  <c r="H175" i="5"/>
  <c r="D175" i="5"/>
  <c r="H174" i="5"/>
  <c r="D174" i="5"/>
  <c r="H173" i="5"/>
  <c r="D173" i="5"/>
  <c r="H172" i="5"/>
  <c r="D172" i="5"/>
  <c r="H171" i="5"/>
  <c r="D171" i="5"/>
  <c r="H170" i="5"/>
  <c r="D170" i="5"/>
  <c r="H169" i="5"/>
  <c r="D169" i="5"/>
  <c r="H168" i="5"/>
  <c r="D168" i="5"/>
  <c r="H167" i="5"/>
  <c r="D167" i="5"/>
  <c r="H166" i="5"/>
  <c r="D166" i="5"/>
  <c r="H165" i="5"/>
  <c r="D165" i="5"/>
  <c r="H164" i="5"/>
  <c r="D164" i="5"/>
  <c r="H163" i="5"/>
  <c r="D163" i="5"/>
  <c r="H162" i="5"/>
  <c r="D162" i="5"/>
  <c r="H161" i="5"/>
  <c r="D161" i="5"/>
  <c r="H160" i="5"/>
  <c r="D160" i="5"/>
  <c r="H159" i="5"/>
  <c r="D159" i="5"/>
  <c r="H158" i="5"/>
  <c r="D158" i="5"/>
  <c r="H157" i="5"/>
  <c r="D157" i="5"/>
  <c r="H156" i="5"/>
  <c r="D156" i="5"/>
  <c r="H155" i="5"/>
  <c r="D155" i="5"/>
  <c r="H154" i="5"/>
  <c r="D154" i="5"/>
  <c r="H153" i="5"/>
  <c r="D153" i="5"/>
  <c r="H152" i="5"/>
  <c r="D152" i="5"/>
  <c r="H151" i="5"/>
  <c r="D151" i="5"/>
  <c r="H150" i="5"/>
  <c r="D150" i="5"/>
  <c r="H149" i="5"/>
  <c r="D149" i="5"/>
  <c r="H148" i="5"/>
  <c r="D148" i="5"/>
  <c r="H147" i="5"/>
  <c r="D147" i="5"/>
  <c r="H146" i="5"/>
  <c r="D146" i="5"/>
  <c r="H145" i="5"/>
  <c r="D145" i="5"/>
  <c r="H144" i="5"/>
  <c r="D144" i="5"/>
  <c r="H143" i="5"/>
  <c r="D143" i="5"/>
  <c r="H142" i="5"/>
  <c r="D142" i="5"/>
  <c r="H141" i="5"/>
  <c r="D141" i="5"/>
  <c r="H140" i="5"/>
  <c r="D140" i="5"/>
  <c r="H139" i="5"/>
  <c r="D139" i="5"/>
  <c r="H138" i="5"/>
  <c r="D138" i="5"/>
  <c r="H137" i="5"/>
  <c r="D137" i="5"/>
  <c r="H136" i="5"/>
  <c r="D136" i="5"/>
  <c r="H135" i="5"/>
  <c r="D135" i="5"/>
  <c r="H134" i="5"/>
  <c r="D134" i="5"/>
  <c r="H133" i="5"/>
  <c r="D133" i="5"/>
  <c r="H132" i="5"/>
  <c r="D132" i="5"/>
  <c r="H131" i="5"/>
  <c r="D131" i="5"/>
  <c r="H130" i="5"/>
  <c r="D130" i="5"/>
  <c r="H129" i="5"/>
  <c r="D129" i="5"/>
  <c r="H128" i="5"/>
  <c r="D128" i="5"/>
  <c r="H127" i="5"/>
  <c r="D127" i="5"/>
  <c r="H126" i="5"/>
  <c r="D126" i="5"/>
  <c r="H125" i="5"/>
  <c r="D125" i="5"/>
  <c r="H124" i="5"/>
  <c r="D124" i="5"/>
  <c r="H123" i="5"/>
  <c r="D123" i="5"/>
  <c r="H122" i="5"/>
  <c r="D122" i="5"/>
  <c r="H121" i="5"/>
  <c r="D121" i="5"/>
  <c r="H120" i="5"/>
  <c r="D120" i="5"/>
  <c r="H119" i="5"/>
  <c r="D119" i="5"/>
  <c r="H118" i="5"/>
  <c r="D118" i="5"/>
  <c r="H117" i="5"/>
  <c r="D117" i="5"/>
  <c r="H116" i="5"/>
  <c r="D116" i="5"/>
  <c r="H115" i="5"/>
  <c r="D115" i="5"/>
  <c r="H114" i="5"/>
  <c r="D114" i="5"/>
  <c r="H113" i="5"/>
  <c r="D113" i="5"/>
  <c r="H112" i="5"/>
  <c r="D112" i="5"/>
  <c r="H111" i="5"/>
  <c r="D111" i="5"/>
  <c r="H110" i="5"/>
  <c r="D110" i="5"/>
  <c r="H109" i="5"/>
  <c r="D109" i="5"/>
  <c r="H108" i="5"/>
  <c r="D108" i="5"/>
  <c r="H107" i="5"/>
  <c r="D107" i="5"/>
  <c r="H106" i="5"/>
  <c r="D106" i="5"/>
  <c r="H105" i="5"/>
  <c r="D105" i="5"/>
  <c r="H104" i="5"/>
  <c r="D104" i="5"/>
  <c r="H103" i="5"/>
  <c r="D103" i="5"/>
  <c r="H102" i="5"/>
  <c r="D102" i="5"/>
  <c r="H101" i="5"/>
  <c r="D101" i="5"/>
  <c r="H100" i="5"/>
  <c r="D100" i="5"/>
  <c r="H99" i="5"/>
  <c r="D99" i="5"/>
  <c r="H98" i="5"/>
  <c r="D98" i="5"/>
  <c r="H97" i="5"/>
  <c r="D97" i="5"/>
  <c r="H96" i="5"/>
  <c r="D96" i="5"/>
  <c r="H95" i="5"/>
  <c r="D95" i="5"/>
  <c r="H94" i="5"/>
  <c r="D94" i="5"/>
  <c r="H93" i="5"/>
  <c r="D93" i="5"/>
  <c r="H92" i="5"/>
  <c r="D92" i="5"/>
  <c r="H91" i="5"/>
  <c r="D91" i="5"/>
  <c r="H90" i="5"/>
  <c r="D90" i="5"/>
  <c r="H89" i="5"/>
  <c r="D89" i="5"/>
  <c r="H88" i="5"/>
  <c r="D88" i="5"/>
  <c r="H87" i="5"/>
  <c r="D87" i="5"/>
  <c r="H86" i="5"/>
  <c r="D86" i="5"/>
  <c r="H85" i="5"/>
  <c r="D85" i="5"/>
  <c r="H84" i="5"/>
  <c r="D84" i="5"/>
  <c r="H83" i="5"/>
  <c r="D83" i="5"/>
  <c r="H82" i="5"/>
  <c r="D82" i="5"/>
  <c r="H81" i="5"/>
  <c r="D81" i="5"/>
  <c r="H80" i="5"/>
  <c r="D80" i="5"/>
  <c r="H79" i="5"/>
  <c r="D79" i="5"/>
  <c r="H78" i="5"/>
  <c r="D78" i="5"/>
  <c r="H77" i="5"/>
  <c r="D77" i="5"/>
  <c r="H76" i="5"/>
  <c r="D76" i="5"/>
  <c r="H75" i="5"/>
  <c r="D75" i="5"/>
  <c r="H74" i="5"/>
  <c r="D74" i="5"/>
  <c r="H73" i="5"/>
  <c r="D73" i="5"/>
  <c r="H72" i="5"/>
  <c r="D72" i="5"/>
  <c r="H71" i="5"/>
  <c r="D71" i="5"/>
  <c r="H70" i="5"/>
  <c r="D70" i="5"/>
  <c r="H69" i="5"/>
  <c r="D69" i="5"/>
  <c r="H68" i="5"/>
  <c r="D68" i="5"/>
  <c r="H67" i="5"/>
  <c r="D67" i="5"/>
  <c r="H66" i="5"/>
  <c r="D66" i="5"/>
  <c r="H65" i="5"/>
  <c r="D65" i="5"/>
  <c r="H64" i="5"/>
  <c r="D64" i="5"/>
  <c r="H63" i="5"/>
  <c r="D63" i="5"/>
  <c r="H62" i="5"/>
  <c r="D62" i="5"/>
  <c r="H61" i="5"/>
  <c r="D61" i="5"/>
  <c r="H60" i="5"/>
  <c r="D60" i="5"/>
  <c r="H59" i="5"/>
  <c r="D59" i="5"/>
  <c r="H58" i="5"/>
  <c r="D58" i="5"/>
  <c r="H57" i="5"/>
  <c r="D57" i="5"/>
  <c r="H56" i="5"/>
  <c r="D56" i="5"/>
  <c r="H55" i="5"/>
  <c r="D55" i="5"/>
  <c r="H54" i="5"/>
  <c r="D54" i="5"/>
  <c r="H53" i="5"/>
  <c r="D53" i="5"/>
  <c r="H52" i="5"/>
  <c r="D52" i="5"/>
  <c r="H51" i="5"/>
  <c r="D51" i="5"/>
  <c r="H50" i="5"/>
  <c r="D50" i="5"/>
  <c r="H49" i="5"/>
  <c r="D49" i="5"/>
  <c r="H48" i="5"/>
  <c r="D48" i="5"/>
  <c r="H47" i="5"/>
  <c r="D47" i="5"/>
  <c r="H46" i="5"/>
  <c r="D46" i="5"/>
  <c r="H45" i="5"/>
  <c r="D45" i="5"/>
  <c r="H44" i="5"/>
  <c r="D44" i="5"/>
  <c r="H43" i="5"/>
  <c r="D43" i="5"/>
  <c r="H42" i="5"/>
  <c r="D42" i="5"/>
  <c r="H41" i="5"/>
  <c r="D41" i="5"/>
  <c r="H40" i="5"/>
  <c r="D40" i="5"/>
  <c r="H39" i="5"/>
  <c r="D39" i="5"/>
  <c r="H38" i="5"/>
  <c r="D38" i="5"/>
  <c r="H37" i="5"/>
  <c r="D37" i="5"/>
  <c r="H36" i="5"/>
  <c r="D36" i="5"/>
  <c r="H35" i="5"/>
  <c r="D35" i="5"/>
  <c r="H34" i="5"/>
  <c r="D34" i="5"/>
  <c r="H33" i="5"/>
  <c r="D33" i="5"/>
  <c r="H32" i="5"/>
  <c r="D32" i="5"/>
  <c r="H31" i="5"/>
  <c r="D31" i="5"/>
  <c r="H30" i="5"/>
  <c r="D30" i="5"/>
  <c r="H29" i="5"/>
  <c r="D29" i="5"/>
  <c r="H28" i="5"/>
  <c r="D28" i="5"/>
  <c r="H27" i="5"/>
  <c r="D27" i="5"/>
  <c r="H26" i="5"/>
  <c r="D26" i="5"/>
  <c r="H25" i="5"/>
  <c r="D25" i="5"/>
  <c r="H24" i="5"/>
  <c r="D24" i="5"/>
  <c r="H23" i="5"/>
  <c r="D23" i="5"/>
  <c r="H22" i="5"/>
  <c r="D22" i="5"/>
  <c r="H21" i="5"/>
  <c r="D21" i="5"/>
  <c r="H20" i="5"/>
  <c r="D20" i="5"/>
  <c r="H19" i="5"/>
  <c r="D19" i="5"/>
  <c r="H18" i="5"/>
  <c r="D18" i="5"/>
  <c r="H17" i="5"/>
  <c r="D17" i="5"/>
  <c r="H16" i="5"/>
  <c r="D16" i="5"/>
  <c r="H15" i="5"/>
  <c r="D15" i="5"/>
  <c r="H14" i="5"/>
  <c r="D14" i="5"/>
  <c r="H13" i="5"/>
  <c r="D13" i="5"/>
  <c r="H12" i="5"/>
  <c r="D12" i="5"/>
  <c r="H11" i="5"/>
  <c r="D11" i="5"/>
  <c r="H10" i="5"/>
  <c r="D10" i="5"/>
  <c r="H9" i="5"/>
  <c r="D9" i="5"/>
  <c r="H8" i="5"/>
  <c r="D8" i="5"/>
  <c r="H7" i="5"/>
  <c r="D7" i="5"/>
  <c r="H6" i="5"/>
  <c r="D6" i="5"/>
  <c r="K5" i="5"/>
  <c r="C17" i="6" s="1"/>
  <c r="C19" i="6" s="1"/>
  <c r="D25" i="6" s="1"/>
  <c r="H5" i="5"/>
  <c r="D5" i="5"/>
  <c r="I47" i="4"/>
  <c r="H47" i="4"/>
  <c r="G47" i="4"/>
  <c r="F47" i="4"/>
  <c r="E47" i="4"/>
  <c r="E49" i="4" s="1"/>
  <c r="I46" i="4"/>
  <c r="I49" i="4" s="1"/>
  <c r="H46" i="4"/>
  <c r="H49" i="4" s="1"/>
  <c r="G46" i="4"/>
  <c r="G49" i="4" s="1"/>
  <c r="F46" i="4"/>
  <c r="F49" i="4" s="1"/>
  <c r="E46" i="4"/>
  <c r="G35" i="4"/>
  <c r="I26" i="4"/>
  <c r="H26" i="4"/>
  <c r="G26" i="4"/>
  <c r="F26" i="4"/>
  <c r="E26" i="4"/>
  <c r="I25" i="4"/>
  <c r="H25" i="4"/>
  <c r="G25" i="4"/>
  <c r="F25" i="4"/>
  <c r="E25" i="4"/>
  <c r="G23" i="4"/>
  <c r="I21" i="4"/>
  <c r="H21" i="4"/>
  <c r="G21" i="4"/>
  <c r="F21" i="4"/>
  <c r="E21" i="4"/>
  <c r="I20" i="4"/>
  <c r="H20" i="4"/>
  <c r="G20" i="4"/>
  <c r="F20" i="4"/>
  <c r="E20" i="4"/>
  <c r="I16" i="4"/>
  <c r="H16" i="4"/>
  <c r="G16" i="4"/>
  <c r="F16" i="4"/>
  <c r="E16" i="4"/>
  <c r="H14" i="4"/>
  <c r="H18" i="4" s="1"/>
  <c r="G14" i="4"/>
  <c r="G18" i="4" s="1"/>
  <c r="I11" i="4"/>
  <c r="H11" i="4"/>
  <c r="G11" i="4"/>
  <c r="F11" i="4"/>
  <c r="E11" i="4"/>
  <c r="I10" i="4"/>
  <c r="H10" i="4"/>
  <c r="G10" i="4"/>
  <c r="F10" i="4"/>
  <c r="E10" i="4"/>
  <c r="I9" i="4"/>
  <c r="I12" i="4" s="1"/>
  <c r="I14" i="4" s="1"/>
  <c r="I35" i="4" s="1"/>
  <c r="H9" i="4"/>
  <c r="H12" i="4" s="1"/>
  <c r="G9" i="4"/>
  <c r="G12" i="4" s="1"/>
  <c r="F9" i="4"/>
  <c r="E9" i="4"/>
  <c r="I7" i="4"/>
  <c r="H7" i="4"/>
  <c r="I6" i="4"/>
  <c r="H6" i="4"/>
  <c r="G6" i="4"/>
  <c r="F6" i="4"/>
  <c r="E6" i="4"/>
  <c r="F7" i="9" l="1"/>
  <c r="F11" i="7"/>
  <c r="H51" i="4"/>
  <c r="H36" i="4"/>
  <c r="H23" i="4"/>
  <c r="C6" i="7"/>
  <c r="D4" i="7"/>
  <c r="D5" i="7" s="1"/>
  <c r="D10" i="7" s="1"/>
  <c r="F17" i="6"/>
  <c r="C8" i="6"/>
  <c r="C10" i="6" s="1"/>
  <c r="C25" i="6" s="1"/>
  <c r="E25" i="6" s="1"/>
  <c r="C11" i="6"/>
  <c r="D27" i="11"/>
  <c r="I18" i="4"/>
  <c r="E9" i="8"/>
  <c r="E8" i="9"/>
  <c r="E12" i="4"/>
  <c r="E14" i="4" s="1"/>
  <c r="P10" i="12"/>
  <c r="P23" i="12" s="1"/>
  <c r="P25" i="12" s="1"/>
  <c r="P28" i="12" s="1"/>
  <c r="O10" i="12"/>
  <c r="O20" i="12" s="1"/>
  <c r="F12" i="4"/>
  <c r="G41" i="4"/>
  <c r="E5" i="9" s="1"/>
  <c r="C11" i="10"/>
  <c r="C21" i="10"/>
  <c r="E6" i="9"/>
  <c r="F14" i="4"/>
  <c r="G11" i="7"/>
  <c r="H41" i="4"/>
  <c r="F5" i="9" s="1"/>
  <c r="F4" i="9"/>
  <c r="P12" i="12"/>
  <c r="O12" i="12"/>
  <c r="Q20" i="12"/>
  <c r="Q16" i="12"/>
  <c r="Q18" i="12"/>
  <c r="Q25" i="12" s="1"/>
  <c r="Q19" i="12"/>
  <c r="Q15" i="12"/>
  <c r="G37" i="4"/>
  <c r="G28" i="4"/>
  <c r="G38" i="4" s="1"/>
  <c r="H35" i="4"/>
  <c r="G36" i="4"/>
  <c r="G51" i="4"/>
  <c r="F7" i="8"/>
  <c r="F8" i="8" s="1"/>
  <c r="D9" i="8"/>
  <c r="D8" i="9"/>
  <c r="E4" i="7"/>
  <c r="P16" i="12"/>
  <c r="E6" i="7"/>
  <c r="E32" i="4"/>
  <c r="F32" i="4"/>
  <c r="F7" i="4"/>
  <c r="G7" i="4"/>
  <c r="D11" i="7" l="1"/>
  <c r="D7" i="9"/>
  <c r="D9" i="9" s="1"/>
  <c r="E35" i="4"/>
  <c r="E18" i="4"/>
  <c r="O16" i="12"/>
  <c r="F35" i="4"/>
  <c r="F18" i="4"/>
  <c r="H37" i="4"/>
  <c r="H28" i="4"/>
  <c r="H38" i="4" s="1"/>
  <c r="C5" i="11"/>
  <c r="N7" i="10"/>
  <c r="E31" i="4"/>
  <c r="D8" i="11"/>
  <c r="D12" i="10"/>
  <c r="P17" i="12"/>
  <c r="P18" i="12"/>
  <c r="P19" i="12"/>
  <c r="G8" i="8"/>
  <c r="C16" i="10"/>
  <c r="D11" i="10"/>
  <c r="I51" i="4"/>
  <c r="G4" i="9"/>
  <c r="I23" i="4"/>
  <c r="I36" i="4"/>
  <c r="O23" i="12"/>
  <c r="O25" i="12" s="1"/>
  <c r="O28" i="12" s="1"/>
  <c r="O18" i="12"/>
  <c r="C9" i="6"/>
  <c r="C24" i="6" s="1"/>
  <c r="O15" i="12"/>
  <c r="O17" i="12"/>
  <c r="F8" i="9"/>
  <c r="F9" i="9" s="1"/>
  <c r="F12" i="9" s="1"/>
  <c r="F9" i="8"/>
  <c r="E5" i="7"/>
  <c r="E10" i="7" s="1"/>
  <c r="P15" i="12"/>
  <c r="Q23" i="12"/>
  <c r="Q28" i="12"/>
  <c r="O19" i="12"/>
  <c r="P20" i="12"/>
  <c r="F6" i="9"/>
  <c r="E11" i="7" l="1"/>
  <c r="E7" i="9"/>
  <c r="E9" i="9" s="1"/>
  <c r="F10" i="9"/>
  <c r="D4" i="9"/>
  <c r="F36" i="4"/>
  <c r="F51" i="4"/>
  <c r="F23" i="4"/>
  <c r="N12" i="10"/>
  <c r="O12" i="10" s="1"/>
  <c r="E12" i="10" s="1"/>
  <c r="E23" i="4"/>
  <c r="C4" i="9"/>
  <c r="E36" i="4"/>
  <c r="E51" i="4"/>
  <c r="G6" i="9"/>
  <c r="G8" i="9"/>
  <c r="G9" i="9" s="1"/>
  <c r="G12" i="9" s="1"/>
  <c r="G9" i="8"/>
  <c r="C12" i="8" s="1"/>
  <c r="C12" i="11"/>
  <c r="E8" i="11"/>
  <c r="C11" i="8"/>
  <c r="I41" i="4"/>
  <c r="G5" i="9" s="1"/>
  <c r="I28" i="4"/>
  <c r="I38" i="4" s="1"/>
  <c r="I37" i="4"/>
  <c r="O9" i="10"/>
  <c r="P9" i="10" s="1"/>
  <c r="D7" i="10"/>
  <c r="C14" i="7"/>
  <c r="C13" i="7"/>
  <c r="F12" i="10" l="1"/>
  <c r="G12" i="10" s="1"/>
  <c r="H12" i="10" s="1"/>
  <c r="I12" i="10" s="1"/>
  <c r="J12" i="10" s="1"/>
  <c r="K12" i="10" s="1"/>
  <c r="L12" i="10" s="1"/>
  <c r="E11" i="10"/>
  <c r="F11" i="10" s="1"/>
  <c r="G11" i="10" s="1"/>
  <c r="H11" i="10" s="1"/>
  <c r="I11" i="10" s="1"/>
  <c r="J11" i="10" s="1"/>
  <c r="K11" i="10" s="1"/>
  <c r="L11" i="10" s="1"/>
  <c r="M11" i="10" s="1"/>
  <c r="E37" i="4"/>
  <c r="E28" i="4"/>
  <c r="E38" i="4" s="1"/>
  <c r="E41" i="4"/>
  <c r="F8" i="11"/>
  <c r="E12" i="9"/>
  <c r="E10" i="9"/>
  <c r="D6" i="11"/>
  <c r="E7" i="10"/>
  <c r="D6" i="10"/>
  <c r="G10" i="9"/>
  <c r="F37" i="4"/>
  <c r="F28" i="4"/>
  <c r="F38" i="4" s="1"/>
  <c r="F41" i="4"/>
  <c r="D5" i="9" s="1"/>
  <c r="D6" i="9"/>
  <c r="F7" i="10" l="1"/>
  <c r="E6" i="11"/>
  <c r="E6" i="10"/>
  <c r="F6" i="10" s="1"/>
  <c r="D10" i="9"/>
  <c r="D12" i="9"/>
  <c r="E42" i="4"/>
  <c r="C5" i="9"/>
  <c r="C6" i="9" s="1"/>
  <c r="C10" i="9" s="1"/>
  <c r="G8" i="11"/>
  <c r="H8" i="11" l="1"/>
  <c r="C14" i="9"/>
  <c r="C15" i="9"/>
  <c r="F42" i="4"/>
  <c r="E45" i="4"/>
  <c r="E52" i="4" s="1"/>
  <c r="G7" i="10"/>
  <c r="G6" i="10" s="1"/>
  <c r="F6" i="11"/>
  <c r="H6" i="10" l="1"/>
  <c r="G6" i="11"/>
  <c r="H7" i="10"/>
  <c r="G42" i="4"/>
  <c r="F45" i="4"/>
  <c r="F52" i="4" s="1"/>
  <c r="I8" i="11"/>
  <c r="J8" i="11" l="1"/>
  <c r="H42" i="4"/>
  <c r="G45" i="4"/>
  <c r="G52" i="4" s="1"/>
  <c r="H6" i="11"/>
  <c r="I7" i="10"/>
  <c r="J7" i="10" l="1"/>
  <c r="I6" i="11"/>
  <c r="I6" i="10"/>
  <c r="K8" i="11"/>
  <c r="I42" i="4"/>
  <c r="H45" i="4"/>
  <c r="H52" i="4" s="1"/>
  <c r="J6" i="11" l="1"/>
  <c r="K7" i="10"/>
  <c r="F18" i="6"/>
  <c r="I45" i="4"/>
  <c r="I52" i="4" s="1"/>
  <c r="D17" i="10" s="1"/>
  <c r="J6" i="10"/>
  <c r="K6" i="10" s="1"/>
  <c r="L8" i="11"/>
  <c r="M8" i="11" l="1"/>
  <c r="F19" i="6"/>
  <c r="D24" i="6" s="1"/>
  <c r="E24" i="6" s="1"/>
  <c r="E26" i="6" s="1"/>
  <c r="R5" i="11" s="1"/>
  <c r="L7" i="10"/>
  <c r="K6" i="11"/>
  <c r="D22" i="10"/>
  <c r="D21" i="10" s="1"/>
  <c r="N17" i="10"/>
  <c r="O17" i="10" s="1"/>
  <c r="E17" i="10" s="1"/>
  <c r="D16" i="10"/>
  <c r="E22" i="10" l="1"/>
  <c r="F17" i="10"/>
  <c r="E21" i="10"/>
  <c r="D5" i="11"/>
  <c r="E16" i="10"/>
  <c r="M7" i="10"/>
  <c r="M6" i="11" s="1"/>
  <c r="L6" i="11"/>
  <c r="L6" i="10"/>
  <c r="M6" i="10" s="1"/>
  <c r="H20" i="11"/>
  <c r="J20" i="11"/>
  <c r="K25" i="11"/>
  <c r="G20" i="11"/>
  <c r="K20" i="11"/>
  <c r="F20" i="11"/>
  <c r="M20" i="11"/>
  <c r="E20" i="11"/>
  <c r="L20" i="11"/>
  <c r="D20" i="11"/>
  <c r="R6" i="11"/>
  <c r="O16" i="11" s="1"/>
  <c r="I20" i="11"/>
  <c r="O8" i="11"/>
  <c r="F16" i="10" l="1"/>
  <c r="L25" i="11"/>
  <c r="M25" i="11" s="1"/>
  <c r="J25" i="11"/>
  <c r="D7" i="11"/>
  <c r="D12" i="11"/>
  <c r="D13" i="11" s="1"/>
  <c r="D11" i="11"/>
  <c r="D14" i="11" s="1"/>
  <c r="E5" i="11"/>
  <c r="F22" i="10"/>
  <c r="F21" i="10" s="1"/>
  <c r="G17" i="10"/>
  <c r="F5" i="11" l="1"/>
  <c r="E7" i="11"/>
  <c r="E12" i="11"/>
  <c r="E13" i="11" s="1"/>
  <c r="E11" i="11"/>
  <c r="G22" i="10"/>
  <c r="G21" i="10" s="1"/>
  <c r="H17" i="10"/>
  <c r="D9" i="11"/>
  <c r="D10" i="11" s="1"/>
  <c r="G16" i="10"/>
  <c r="H16" i="10" s="1"/>
  <c r="D15" i="11" l="1"/>
  <c r="D16" i="11"/>
  <c r="G5" i="11"/>
  <c r="E9" i="11"/>
  <c r="E10" i="11" s="1"/>
  <c r="E15" i="11" s="1"/>
  <c r="I17" i="10"/>
  <c r="H22" i="10"/>
  <c r="H21" i="10" s="1"/>
  <c r="E14" i="11"/>
  <c r="F12" i="11"/>
  <c r="F13" i="11" s="1"/>
  <c r="F7" i="11"/>
  <c r="F11" i="11"/>
  <c r="F14" i="11" s="1"/>
  <c r="H5" i="11" l="1"/>
  <c r="F9" i="11"/>
  <c r="F10" i="11" s="1"/>
  <c r="E16" i="11"/>
  <c r="I22" i="10"/>
  <c r="I21" i="10" s="1"/>
  <c r="J17" i="10"/>
  <c r="I16" i="10"/>
  <c r="G12" i="11"/>
  <c r="G13" i="11" s="1"/>
  <c r="G7" i="11"/>
  <c r="G11" i="11"/>
  <c r="G14" i="11" s="1"/>
  <c r="I5" i="11" l="1"/>
  <c r="F15" i="11"/>
  <c r="F16" i="11"/>
  <c r="J22" i="10"/>
  <c r="J21" i="10" s="1"/>
  <c r="K17" i="10"/>
  <c r="G9" i="11"/>
  <c r="G10" i="11" s="1"/>
  <c r="J16" i="10"/>
  <c r="K16" i="10" s="1"/>
  <c r="H12" i="11"/>
  <c r="H13" i="11" s="1"/>
  <c r="H11" i="11"/>
  <c r="H7" i="11"/>
  <c r="G15" i="11" l="1"/>
  <c r="G16" i="11"/>
  <c r="J5" i="11"/>
  <c r="H14" i="11"/>
  <c r="K22" i="10"/>
  <c r="K21" i="10" s="1"/>
  <c r="L17" i="10"/>
  <c r="L22" i="10" s="1"/>
  <c r="I12" i="11"/>
  <c r="I13" i="11" s="1"/>
  <c r="I11" i="11"/>
  <c r="I14" i="11" s="1"/>
  <c r="I7" i="11"/>
  <c r="H9" i="11"/>
  <c r="H10" i="11" s="1"/>
  <c r="H15" i="11" s="1"/>
  <c r="K5" i="11" l="1"/>
  <c r="L21" i="10"/>
  <c r="I9" i="11"/>
  <c r="I10" i="11" s="1"/>
  <c r="L16" i="10"/>
  <c r="M16" i="10" s="1"/>
  <c r="H16" i="11"/>
  <c r="J12" i="11"/>
  <c r="J13" i="11" s="1"/>
  <c r="J11" i="11"/>
  <c r="J7" i="11"/>
  <c r="I15" i="11" l="1"/>
  <c r="I16" i="11"/>
  <c r="J9" i="11"/>
  <c r="J10" i="11" s="1"/>
  <c r="J15" i="11" s="1"/>
  <c r="J14" i="11"/>
  <c r="L5" i="11"/>
  <c r="M21" i="10"/>
  <c r="M5" i="11" s="1"/>
  <c r="K12" i="11"/>
  <c r="K13" i="11" s="1"/>
  <c r="K11" i="11"/>
  <c r="K14" i="11" s="1"/>
  <c r="K7" i="11"/>
  <c r="J16" i="11" l="1"/>
  <c r="K9" i="11"/>
  <c r="K10" i="11" s="1"/>
  <c r="L12" i="11"/>
  <c r="L13" i="11" s="1"/>
  <c r="L11" i="11"/>
  <c r="L14" i="11" s="1"/>
  <c r="L7" i="11"/>
  <c r="O5" i="11"/>
  <c r="O7" i="11" s="1"/>
  <c r="O10" i="11" s="1"/>
  <c r="M12" i="11"/>
  <c r="M13" i="11" s="1"/>
  <c r="M11" i="11"/>
  <c r="M7" i="11"/>
  <c r="K15" i="11" l="1"/>
  <c r="K16" i="11"/>
  <c r="O14" i="11"/>
  <c r="O15" i="11"/>
  <c r="L9" i="11"/>
  <c r="L10" i="11" s="1"/>
  <c r="M9" i="11"/>
  <c r="M10" i="11" s="1"/>
  <c r="M15" i="11" s="1"/>
  <c r="M14" i="11"/>
  <c r="M18" i="11" l="1"/>
  <c r="D23" i="11" s="1"/>
  <c r="L15" i="11"/>
  <c r="D22" i="11" s="1"/>
  <c r="D25" i="11" s="1"/>
  <c r="D29" i="11" s="1"/>
  <c r="D32" i="11" s="1"/>
  <c r="I25" i="11" s="1"/>
  <c r="L16" i="11"/>
  <c r="M16" i="11"/>
</calcChain>
</file>

<file path=xl/sharedStrings.xml><?xml version="1.0" encoding="utf-8"?>
<sst xmlns="http://schemas.openxmlformats.org/spreadsheetml/2006/main" count="520" uniqueCount="432">
  <si>
    <t>Particulars</t>
  </si>
  <si>
    <t>Sales</t>
  </si>
  <si>
    <t>YOY Sales Growth %</t>
  </si>
  <si>
    <t>Expenses</t>
  </si>
  <si>
    <t>Employee Cost %</t>
  </si>
  <si>
    <t>Operating Profit</t>
  </si>
  <si>
    <t>OPM %</t>
  </si>
  <si>
    <t>Other Income</t>
  </si>
  <si>
    <t>Exceptional Items</t>
  </si>
  <si>
    <t>Other Income Normal</t>
  </si>
  <si>
    <t>Interest</t>
  </si>
  <si>
    <t>Depreciation</t>
  </si>
  <si>
    <t>Profit Before Tax</t>
  </si>
  <si>
    <t>Tax %</t>
  </si>
  <si>
    <t>Net Profit</t>
  </si>
  <si>
    <t>Minority Share</t>
  </si>
  <si>
    <t>Exceptional Items AT</t>
  </si>
  <si>
    <t>Profit Excl Excep</t>
  </si>
  <si>
    <t>Profit for PE</t>
  </si>
  <si>
    <t>Profit for EPS</t>
  </si>
  <si>
    <t>YOY Profit Growth %</t>
  </si>
  <si>
    <t>EPS in Rs</t>
  </si>
  <si>
    <t>Promoters -</t>
  </si>
  <si>
    <t>Sudha Gopalakrishnan</t>
  </si>
  <si>
    <t>Rohan Murty</t>
  </si>
  <si>
    <t>Nandan M Nilekani</t>
  </si>
  <si>
    <t>Akshata Murty</t>
  </si>
  <si>
    <t>Asha Dinesh</t>
  </si>
  <si>
    <t>S Gopalakrishnan</t>
  </si>
  <si>
    <t>Sudha N Murty</t>
  </si>
  <si>
    <t>Rohini Nilekani</t>
  </si>
  <si>
    <t>Dinesh Krishnaswamy</t>
  </si>
  <si>
    <t>Shreyas Shibulal</t>
  </si>
  <si>
    <t>Narayana Murthy</t>
  </si>
  <si>
    <t>Nihar Nilekani</t>
  </si>
  <si>
    <t>Gaurav Manchanda</t>
  </si>
  <si>
    <t>Janhavi Nilekani</t>
  </si>
  <si>
    <t>Milan Shibulal Manchanda</t>
  </si>
  <si>
    <t>Meghana Gopalakrishnan</t>
  </si>
  <si>
    <t>Deeksha Dinesh</t>
  </si>
  <si>
    <t>Divya Dinesh</t>
  </si>
  <si>
    <t>Kumari Shibulal</t>
  </si>
  <si>
    <t>Nikita Shibulal Manchanda</t>
  </si>
  <si>
    <t>Bhairavi Madhusudhan</t>
  </si>
  <si>
    <t>Bhairavi Madhusudhan Shibulal</t>
  </si>
  <si>
    <t>Shruti Shibulal</t>
  </si>
  <si>
    <t>S D Shibulal</t>
  </si>
  <si>
    <t>Meghana</t>
  </si>
  <si>
    <t>Tanush Nilekani Chandra</t>
  </si>
  <si>
    <t>Ekagrah Rohan Murty</t>
  </si>
  <si>
    <t>Shray Chandra</t>
  </si>
  <si>
    <t>FIIs -</t>
  </si>
  <si>
    <t>Oppenheimer Developing Markets Fund</t>
  </si>
  <si>
    <t>Government Of Singapore</t>
  </si>
  <si>
    <t>Abu Dhabi Investment Authority</t>
  </si>
  <si>
    <t>Vanguard Emerging Markets Stock Index Fund, A Seri...</t>
  </si>
  <si>
    <t>Vanguard Total International Stock Index Fund</t>
  </si>
  <si>
    <t>Government Pension Fund Global</t>
  </si>
  <si>
    <t>Vanguard Emerging Markets Stock Index Fund</t>
  </si>
  <si>
    <t>DIIs -</t>
  </si>
  <si>
    <t>Life Insurance Corporation Of India - Ulif00220091</t>
  </si>
  <si>
    <t>Life Insurance Corporation of India</t>
  </si>
  <si>
    <t>Lic Of India</t>
  </si>
  <si>
    <t>Sbi Mutual Fund</t>
  </si>
  <si>
    <t>Hdfc Trustee Company Limited</t>
  </si>
  <si>
    <t>- Hdfc Prudance Fund</t>
  </si>
  <si>
    <t>Icici Prudential Mutual Fund</t>
  </si>
  <si>
    <t>National Pension System Trust</t>
  </si>
  <si>
    <t>Hdfc Mutual Fund</t>
  </si>
  <si>
    <t>Nippon Life India Trustee</t>
  </si>
  <si>
    <t>Icici Prudential Top 100 Fund</t>
  </si>
  <si>
    <t>Hdfc Trustee Company Limited-Hdfc Equity Fund</t>
  </si>
  <si>
    <t>Uti Mutual Fund</t>
  </si>
  <si>
    <t>Icici Prudential Value Discovery Fund</t>
  </si>
  <si>
    <t>Sbi-Etf Nifty 50</t>
  </si>
  <si>
    <t>Sbi Life Insurance Co. Ltd</t>
  </si>
  <si>
    <t>Icici Prudential Life Insurance Company Ltd</t>
  </si>
  <si>
    <t>Kotak Equity Arbitrage Fund</t>
  </si>
  <si>
    <t>Aditya Birla Sun Life Trustee</t>
  </si>
  <si>
    <t>Sbi - Etf Sensex</t>
  </si>
  <si>
    <t>Aditya Birla Sun Life Mutual Fund</t>
  </si>
  <si>
    <t>Reliance Mutual Fund</t>
  </si>
  <si>
    <t>Government -</t>
  </si>
  <si>
    <t>Public -</t>
  </si>
  <si>
    <t>Deutsche Bank Trust Company Americas</t>
  </si>
  <si>
    <t>Others -</t>
  </si>
  <si>
    <t>No. of Shareholders</t>
  </si>
  <si>
    <t>27,48,596</t>
  </si>
  <si>
    <t>INFOSYS LIMITED</t>
  </si>
  <si>
    <t>Consolidated Statement of Profit and Loss</t>
  </si>
  <si>
    <t>Consolidated Balance Sheet</t>
  </si>
  <si>
    <t>(In ₹ crore)</t>
  </si>
  <si>
    <t>Year ended March 31, 2022 (₹ crore)</t>
  </si>
  <si>
    <t>Year ended March 31, 2023 (₹ crore)</t>
  </si>
  <si>
    <t>Year ended March 31, 2024 (₹ crore)</t>
  </si>
  <si>
    <t>Year ended March 31, 2025 (₹ crore)</t>
  </si>
  <si>
    <t>Year ended March 31, 2026 (₹ crore)</t>
  </si>
  <si>
    <t>As at March 31, 2022 (₹ crore)</t>
  </si>
  <si>
    <t>As at March 31, 2023 (₹ crore)</t>
  </si>
  <si>
    <t>As at March 31, 2024 (₹ crore)</t>
  </si>
  <si>
    <t>As at March 31, 2025 (₹ crore)</t>
  </si>
  <si>
    <t>As at March 31, 2026 (₹ crore)</t>
  </si>
  <si>
    <t>Revenue from operations</t>
  </si>
  <si>
    <t>Non-current assets</t>
  </si>
  <si>
    <t>Other income, net</t>
  </si>
  <si>
    <t>Property, plant and equipment</t>
  </si>
  <si>
    <t>Total income</t>
  </si>
  <si>
    <t>Right-of-use assets</t>
  </si>
  <si>
    <t>Employee benefit expenses</t>
  </si>
  <si>
    <t>Capital work-in-progress</t>
  </si>
  <si>
    <t>Cost of technical sub-contractors</t>
  </si>
  <si>
    <t>Goodwill</t>
  </si>
  <si>
    <t>Travel expenses</t>
  </si>
  <si>
    <t>Other intangible assets</t>
  </si>
  <si>
    <t>Cost of software packages and others</t>
  </si>
  <si>
    <t>Investments</t>
  </si>
  <si>
    <t>Communication expenses</t>
  </si>
  <si>
    <t>Loans</t>
  </si>
  <si>
    <t>Consultancy and professional charges</t>
  </si>
  <si>
    <t>Other financial assets</t>
  </si>
  <si>
    <t>Depreciation and amortization</t>
  </si>
  <si>
    <t>Deferred tax assets</t>
  </si>
  <si>
    <t>Finance cost</t>
  </si>
  <si>
    <t>Income tax assets</t>
  </si>
  <si>
    <t>Other expenses</t>
  </si>
  <si>
    <t>Other non-current assets</t>
  </si>
  <si>
    <t>Total expenses</t>
  </si>
  <si>
    <t>Total non-current assets</t>
  </si>
  <si>
    <t>Profit before tax</t>
  </si>
  <si>
    <t>Current assets</t>
  </si>
  <si>
    <t>Current tax</t>
  </si>
  <si>
    <t>Deferred tax</t>
  </si>
  <si>
    <t>Trade receivables</t>
  </si>
  <si>
    <t>Profit for the period</t>
  </si>
  <si>
    <t>Cash and cash equivalents</t>
  </si>
  <si>
    <t>Other current assets</t>
  </si>
  <si>
    <t>Total current assets</t>
  </si>
  <si>
    <t>Total assets</t>
  </si>
  <si>
    <t>Equity</t>
  </si>
  <si>
    <t>Equity share capital</t>
  </si>
  <si>
    <t>Other equity</t>
  </si>
  <si>
    <t>Total equity attributable to equity holders</t>
  </si>
  <si>
    <t>Non-controlling interests</t>
  </si>
  <si>
    <t>Total equity</t>
  </si>
  <si>
    <t>Non-current liabilities</t>
  </si>
  <si>
    <t>Lease liabilities</t>
  </si>
  <si>
    <t>Other financial liabilities</t>
  </si>
  <si>
    <t>Deferred tax liabilities</t>
  </si>
  <si>
    <t>Other non-current liabilities</t>
  </si>
  <si>
    <t>Total non-current liabilities</t>
  </si>
  <si>
    <t>Current liabilities</t>
  </si>
  <si>
    <t>Trade payables</t>
  </si>
  <si>
    <t>Income tax liabilities</t>
  </si>
  <si>
    <t>Other current liabilities</t>
  </si>
  <si>
    <t>Total current liabilities</t>
  </si>
  <si>
    <t>Total liabilities</t>
  </si>
  <si>
    <t>Total equity and liabilities</t>
  </si>
  <si>
    <t>[</t>
  </si>
  <si>
    <t>INFOSYS</t>
  </si>
  <si>
    <t>Consolidated Profit &amp; Loss account</t>
  </si>
  <si>
    <t>Revenue From Operations [Net]</t>
  </si>
  <si>
    <t xml:space="preserve">revenue growth </t>
  </si>
  <si>
    <t>less: Cost of technical sub-contractors</t>
  </si>
  <si>
    <t xml:space="preserve">less: Employee Cost </t>
  </si>
  <si>
    <t>less: Other Expenses</t>
  </si>
  <si>
    <t>Total Expenses</t>
  </si>
  <si>
    <t>EBITDA</t>
  </si>
  <si>
    <t xml:space="preserve">less: Depreciation &amp; Amortization </t>
  </si>
  <si>
    <t>EBIT</t>
  </si>
  <si>
    <t xml:space="preserve">add: Other income </t>
  </si>
  <si>
    <t>less: Interest Expense</t>
  </si>
  <si>
    <t xml:space="preserve">EBT </t>
  </si>
  <si>
    <t xml:space="preserve">less: Tax </t>
  </si>
  <si>
    <t xml:space="preserve">less: Non Controlling interest </t>
  </si>
  <si>
    <t>PAT</t>
  </si>
  <si>
    <t xml:space="preserve">Historical Growth </t>
  </si>
  <si>
    <t xml:space="preserve">Average Growth </t>
  </si>
  <si>
    <t>CAGR</t>
  </si>
  <si>
    <t>Margin Analysis</t>
  </si>
  <si>
    <t>EBITDA Margin</t>
  </si>
  <si>
    <t>EBIT Margin</t>
  </si>
  <si>
    <t>EBT Margin</t>
  </si>
  <si>
    <t>PAT Margin</t>
  </si>
  <si>
    <t xml:space="preserve">Tax Rate </t>
  </si>
  <si>
    <t xml:space="preserve">Effective  Tax Rate </t>
  </si>
  <si>
    <t xml:space="preserve">Marginal Tax Rate </t>
  </si>
  <si>
    <t xml:space="preserve">Return on Capital </t>
  </si>
  <si>
    <t>EBIT(1-t)</t>
  </si>
  <si>
    <t xml:space="preserve">Book Equity </t>
  </si>
  <si>
    <t>Book Debt</t>
  </si>
  <si>
    <t xml:space="preserve">Cash and Cash Equivalent </t>
  </si>
  <si>
    <t>Capital Employed</t>
  </si>
  <si>
    <t>Pre Tax Return on Capital</t>
  </si>
  <si>
    <t>Post Tax Return on Capital</t>
  </si>
  <si>
    <t xml:space="preserve">INFOSYS </t>
  </si>
  <si>
    <t>Date</t>
  </si>
  <si>
    <t>Close</t>
  </si>
  <si>
    <t>Closing Price</t>
  </si>
  <si>
    <t>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</si>
  <si>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</si>
  <si>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</si>
  <si>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</si>
  <si>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</si>
  <si>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</si>
  <si>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</si>
  <si>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</si>
  <si>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</si>
  <si>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</si>
  <si>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</si>
  <si>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</si>
  <si>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</si>
  <si>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</si>
  <si>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</si>
  <si>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</si>
  <si>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</si>
  <si>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</si>
  <si>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</si>
  <si>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</si>
  <si>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</si>
  <si>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</si>
  <si>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</si>
  <si>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</si>
  <si>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</si>
  <si>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</si>
  <si>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Weighted Average Cost of Capital</t>
  </si>
  <si>
    <t>Capital Structure</t>
  </si>
  <si>
    <t>Total Debt</t>
  </si>
  <si>
    <t>Total Equity</t>
  </si>
  <si>
    <t>Total Mix</t>
  </si>
  <si>
    <t>% of Debt</t>
  </si>
  <si>
    <t>% of Equity</t>
  </si>
  <si>
    <t xml:space="preserve"> </t>
  </si>
  <si>
    <t>Debt to Equity</t>
  </si>
  <si>
    <t>Cost of Equity</t>
  </si>
  <si>
    <t>Cost of Debt</t>
  </si>
  <si>
    <t>Risk free rate(Rf)</t>
  </si>
  <si>
    <t>Source</t>
  </si>
  <si>
    <t>Cost</t>
  </si>
  <si>
    <t>Beta</t>
  </si>
  <si>
    <t>Cost of debt*</t>
  </si>
  <si>
    <t>Market risk premium</t>
  </si>
  <si>
    <t>Tax rate</t>
  </si>
  <si>
    <t>Cost of equity</t>
  </si>
  <si>
    <t>Cost of Debt after tax</t>
  </si>
  <si>
    <t>WACC</t>
  </si>
  <si>
    <t>Weight</t>
  </si>
  <si>
    <t>Weighted Cost</t>
  </si>
  <si>
    <t xml:space="preserve">Debt </t>
  </si>
  <si>
    <t xml:space="preserve">INFOSYS                        "Fixed Asset Schedule " </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</si>
  <si>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</si>
  <si>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</si>
  <si>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</si>
  <si>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</si>
  <si>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</si>
  <si>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</si>
  <si>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</si>
  <si>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</si>
  <si>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</si>
  <si>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</si>
  <si>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 xml:space="preserve">       "Change in Working Capital " </t>
  </si>
  <si>
    <t xml:space="preserve">Days Sales Outstanding </t>
  </si>
  <si>
    <t xml:space="preserve">Trade Receivables </t>
  </si>
  <si>
    <t>Trade Payable</t>
  </si>
  <si>
    <t xml:space="preserve">Non Cash working Capital </t>
  </si>
  <si>
    <t xml:space="preserve">Change in Working Capital </t>
  </si>
  <si>
    <t xml:space="preserve">changein working Capital /percentage of sales </t>
  </si>
  <si>
    <t xml:space="preserve">Median Non Cash working Capital  /Sales percentage </t>
  </si>
  <si>
    <t xml:space="preserve">Average  Non Cash working Capital  /Sales percentage </t>
  </si>
  <si>
    <t xml:space="preserve">INFOSYS      "Free Cash Flow " </t>
  </si>
  <si>
    <t>Less: Tax on EBIT</t>
  </si>
  <si>
    <t>EBIT * (1- Tax)</t>
  </si>
  <si>
    <t xml:space="preserve">Less: Net Capital expenditure </t>
  </si>
  <si>
    <t xml:space="preserve">Less: Net Change in working Capital </t>
  </si>
  <si>
    <t>Reinvestment</t>
  </si>
  <si>
    <t>Free Cash Flow</t>
  </si>
  <si>
    <t xml:space="preserve">Reinvestment Rate </t>
  </si>
  <si>
    <t xml:space="preserve">Median Reinvestment rate   /Sales percentage </t>
  </si>
  <si>
    <t xml:space="preserve">Average Reinvestment rate   /Sales percentage </t>
  </si>
  <si>
    <t>INFOSYS   "Growth Scenarios"</t>
  </si>
  <si>
    <t>Scenario 1: High Growth</t>
  </si>
  <si>
    <t>INR Cr.</t>
  </si>
  <si>
    <t>LTM</t>
  </si>
  <si>
    <t>Y1E</t>
  </si>
  <si>
    <t>Y2E</t>
  </si>
  <si>
    <t>Y3E</t>
  </si>
  <si>
    <t>Y4W</t>
  </si>
  <si>
    <t>Y5E</t>
  </si>
  <si>
    <t>Y6E</t>
  </si>
  <si>
    <t>Y7E</t>
  </si>
  <si>
    <t>Y8E</t>
  </si>
  <si>
    <t>Y9E</t>
  </si>
  <si>
    <t>Y10E</t>
  </si>
  <si>
    <t>Risk Free Rate</t>
  </si>
  <si>
    <t>Sales Growth %</t>
  </si>
  <si>
    <t>Scenario 2: Average Growth</t>
  </si>
  <si>
    <t>Scenario 3: EBIT Growth</t>
  </si>
  <si>
    <t>Live Scenario</t>
  </si>
  <si>
    <t>INFOSYS - "VALUATION"</t>
  </si>
  <si>
    <t>INR Cr</t>
  </si>
  <si>
    <t>Terminal Year</t>
  </si>
  <si>
    <t>Terminal growth rate %</t>
  </si>
  <si>
    <t xml:space="preserve">Sales </t>
  </si>
  <si>
    <t>Cost of Capital %</t>
  </si>
  <si>
    <t>Sales Growth</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</si>
  <si>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</si>
  <si>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</si>
  <si>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</si>
  <si>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</si>
  <si>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</si>
  <si>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</si>
  <si>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</si>
  <si>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</si>
  <si>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</si>
  <si>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</si>
  <si>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</si>
  <si>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</si>
  <si>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</si>
  <si>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</si>
  <si>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</si>
  <si>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Add: Cash</t>
  </si>
  <si>
    <t>Less: Debt</t>
  </si>
  <si>
    <t>Less: Minority Interest</t>
  </si>
  <si>
    <t>Equity Value</t>
  </si>
  <si>
    <t>No. of Shares outstanding (Cr)</t>
  </si>
  <si>
    <t xml:space="preserve">Intrinsic value per share </t>
  </si>
  <si>
    <t>Intrinsic Value</t>
  </si>
  <si>
    <t>1 508.98</t>
  </si>
  <si>
    <t xml:space="preserve">Relative Valuation - INFOSYS </t>
  </si>
  <si>
    <t>Figures in Crore</t>
  </si>
  <si>
    <t>Comparable Company Valuation</t>
  </si>
  <si>
    <t>Company Name</t>
  </si>
  <si>
    <t>Market Data</t>
  </si>
  <si>
    <t>Financials</t>
  </si>
  <si>
    <t>Valuation</t>
  </si>
  <si>
    <t>No. of shares</t>
  </si>
  <si>
    <t>Share Price</t>
  </si>
  <si>
    <t>Equity value</t>
  </si>
  <si>
    <t>Debt</t>
  </si>
  <si>
    <t>cash</t>
  </si>
  <si>
    <t>Enterprises value</t>
  </si>
  <si>
    <t>Revenue</t>
  </si>
  <si>
    <t>EPS</t>
  </si>
  <si>
    <t>EV/Revenue</t>
  </si>
  <si>
    <t>EV/EBITDA</t>
  </si>
  <si>
    <t>P/E Ratio</t>
  </si>
  <si>
    <t xml:space="preserve">TCS </t>
  </si>
  <si>
    <t xml:space="preserve">Infosys </t>
  </si>
  <si>
    <t>HCL</t>
  </si>
  <si>
    <t>WIPRO</t>
  </si>
  <si>
    <t>Tech Mahindra</t>
  </si>
  <si>
    <t>Max</t>
  </si>
  <si>
    <t>75th Percentile</t>
  </si>
  <si>
    <t>Average</t>
  </si>
  <si>
    <t>median</t>
  </si>
  <si>
    <t>25th Percentile</t>
  </si>
  <si>
    <t>Min.</t>
  </si>
  <si>
    <t>M&amp;M Industry Comparable comps</t>
  </si>
  <si>
    <t>Implied Enterprise Value</t>
  </si>
  <si>
    <t>Net Debt</t>
  </si>
  <si>
    <t>Implied Market Value</t>
  </si>
  <si>
    <t>Share Outstanding</t>
  </si>
  <si>
    <t>Implied Value per Share</t>
  </si>
  <si>
    <t>Ratio Analysis</t>
  </si>
  <si>
    <t>Particular</t>
  </si>
  <si>
    <t>FY 2022</t>
  </si>
  <si>
    <t>FY 2023</t>
  </si>
  <si>
    <t>FY 2024</t>
  </si>
  <si>
    <t>FY 2025</t>
  </si>
  <si>
    <t>FY 2026</t>
  </si>
  <si>
    <t>SECTION 1: GROWTH RATIOS</t>
  </si>
  <si>
    <t>EBITDA Growth %</t>
  </si>
  <si>
    <t>EBIT Growth %</t>
  </si>
  <si>
    <t>Net Profit Growth %</t>
  </si>
  <si>
    <t>SECTION 2: MARGIN RATIOS</t>
  </si>
  <si>
    <t>EBITDA Margin %</t>
  </si>
  <si>
    <t>EBT Margin %</t>
  </si>
  <si>
    <t>Net Profit Margin %</t>
  </si>
  <si>
    <t>SECTION 3: WORKING CAPITAL &amp; EFFICIENCY RATIOS</t>
  </si>
  <si>
    <t>Debtor Turnover Ratio</t>
  </si>
  <si>
    <t>Debtor Days (DSO)</t>
  </si>
  <si>
    <t>Creditor Turnover Ratio</t>
  </si>
  <si>
    <t>Payable Days (DPO)</t>
  </si>
  <si>
    <t>Cash Conversion Cycle</t>
  </si>
  <si>
    <t>SECTION 4: RETURN RATIOS</t>
  </si>
  <si>
    <t>Return on Equity (ROE) %</t>
  </si>
  <si>
    <t>Return on Capital Employed (ROCE) %</t>
  </si>
  <si>
    <t>SECTION 5: LEVERAGE &amp; SOLVENCY RATIOS</t>
  </si>
  <si>
    <t>Interest Coverage Ratio</t>
  </si>
  <si>
    <t>Debt to Equity Ratio</t>
  </si>
  <si>
    <t>Net Debt to EBITDA</t>
  </si>
  <si>
    <t>SECTION 6: EFFICIENCY RATIOS</t>
  </si>
  <si>
    <t>Asset Turnover Ratio</t>
  </si>
  <si>
    <t>Capital Turnover Ratio</t>
  </si>
  <si>
    <t>Fixed Asset Turnover Ratio</t>
  </si>
  <si>
    <t>Infosys Limited is one of India's largest information technology services and consulting companies. Founded in 1981 and headquartered in Bengaluru, the company provides a wide range of services including digital transformation, cloud computing, artificial intelligence, cybersecurity, software development, and business process management. Infosys serves clients across industries such as banking, financial services, healthcare, retail, manufacturing, and telecommunications in more than 50 countries. Known for its strong global delivery model, skilled workforce, and focus on innovation, Infosys is among the leading IT exporters from India and is a constituent of major stock market indices including the Nifty 50 and BSE Sensex.</t>
  </si>
  <si>
    <t>Bengaluru, Karnataka, 560100</t>
  </si>
  <si>
    <t>Singapore, 018989</t>
  </si>
  <si>
    <t>Atlanta, Georgia, USA, 30328</t>
  </si>
  <si>
    <t>Richardson, Texas, USA, 75082</t>
  </si>
  <si>
    <t>Subsidaries</t>
  </si>
  <si>
    <t xml:space="preserve">ABOUT </t>
  </si>
  <si>
    <t>Recommendation</t>
  </si>
  <si>
    <t>Financial Year</t>
  </si>
  <si>
    <t>Revenue (₹ Crore)</t>
  </si>
  <si>
    <t>Profit After Tax (PAT) (₹ Crore)</t>
  </si>
  <si>
    <t>Revenue Change (%)</t>
  </si>
  <si>
    <t>PAT Change (%)</t>
  </si>
  <si>
    <t>ROCE (%)</t>
  </si>
  <si>
    <t>FY 2024-25</t>
  </si>
  <si>
    <t>FY 2023-24</t>
  </si>
  <si>
    <t>FY 2022-23</t>
  </si>
  <si>
    <t>FY 2021-22</t>
  </si>
  <si>
    <t>-</t>
  </si>
  <si>
    <t>Metric</t>
  </si>
  <si>
    <t>Value</t>
  </si>
  <si>
    <t>Market Cap</t>
  </si>
  <si>
    <t>Current Price</t>
  </si>
  <si>
    <t>High / Low</t>
  </si>
  <si>
    <t>Stock P/E</t>
  </si>
  <si>
    <t>Book Value</t>
  </si>
  <si>
    <t>Dividend Yield</t>
  </si>
  <si>
    <t>ROCE</t>
  </si>
  <si>
    <t>ROE</t>
  </si>
  <si>
    <t>Face Value</t>
  </si>
  <si>
    <t xml:space="preserve">
HOLD — Infosys trades at ₹1,211, valuing the company at ₹4,90,974 Cr. With FY26 
consolidated revenue of ₹1,78,650 Cr (+9.6% YoY) and PAT of ₹29,474 Cr (+10.1% YoY), 
the stock shows recovery momentum. Current P/E of 16.2x is ATTRACTIVE (below historical 
average), ROCE of 40.3% is exceptional, and dividend yield of 3.56% is attractive. 
Strong fundamentals with FY26 dividend approved at ₹25 per share (₹18 interim + ₹7 final). 
Suitable for value and dividend investors.</t>
  </si>
  <si>
    <t>FY 2025-26</t>
  </si>
  <si>
    <t>₹ 4,90,974 Cr.</t>
  </si>
  <si>
    <t>₹ 1,211</t>
  </si>
  <si>
    <t>₹ 1,728 / ₹ 1,202</t>
  </si>
  <si>
    <t>₹ 229</t>
  </si>
  <si>
    <t>₹ 5.00</t>
  </si>
  <si>
    <t>NIFTY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</si>
</sst>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
    <numFmt numFmtId="166" formatCode="m/d/yyyy"/>
    <numFmt numFmtId="167" formatCode="0.0"/>
    <numFmt numFmtId="168" formatCode="0.0000"/>
    <numFmt numFmtId="169" formatCode="#,##0.0;\(#,##0.0\);\-"/>
    <numFmt numFmtId="170" formatCode="_ * #,##0.00_ ;_ * \-#,##0.00_ ;_ * \-??_ ;_ @_ "/>
    <numFmt numFmtId="171" formatCode="0.0%;\(0.0%\);\-"/>
    <numFmt numFmtId="172" formatCode="_ * #,##0.0_ ;_ * \-#,##0.0_ ;_ * \-??_ ;_ @_ "/>
    <numFmt numFmtId="173" formatCode="0.\X"/>
    <numFmt numFmtId="174" formatCode="0.000000"/>
  </numFmts>
  <fonts count="69" x14ac:knownFonts="1">
    <font>
      <sz val="11"/>
      <color theme="1"/>
      <name val="Calibri"/>
      <family val="2"/>
      <scheme val="minor"/>
    </font>
    <font>
      <b/>
      <sz val="14"/>
      <name val="Calibri"/>
      <family val="2"/>
    </font>
    <font>
      <b/>
      <sz val="12"/>
      <name val="Calibri"/>
      <family val="2"/>
    </font>
    <font>
      <i/>
      <sz val="11"/>
      <name val="Calibri"/>
      <family val="2"/>
    </font>
    <font>
      <b/>
      <sz val="12"/>
      <color rgb="FFFFFFFF"/>
      <name val="Calibri"/>
      <family val="2"/>
    </font>
    <font>
      <b/>
      <sz val="10"/>
      <name val="Calibri"/>
      <family val="2"/>
    </font>
    <font>
      <sz val="12"/>
      <color rgb="FF1A2B3C"/>
      <name val="Arial"/>
      <family val="2"/>
      <charset val="1"/>
    </font>
    <font>
      <sz val="12"/>
      <color theme="1"/>
      <name val="Calibri"/>
      <family val="2"/>
      <charset val="1"/>
    </font>
    <font>
      <b/>
      <sz val="12"/>
      <color indexed="18"/>
      <name val="Arial"/>
      <family val="2"/>
      <charset val="1"/>
    </font>
    <font>
      <b/>
      <sz val="12"/>
      <color rgb="FFFFFFFF"/>
      <name val="Arial"/>
      <family val="2"/>
      <charset val="1"/>
    </font>
    <font>
      <b/>
      <sz val="12"/>
      <color rgb="FF2E4D7B"/>
      <name val="Arial"/>
      <family val="2"/>
      <charset val="1"/>
    </font>
    <font>
      <b/>
      <sz val="12"/>
      <color rgb="FF000000"/>
      <name val="Arial"/>
      <family val="2"/>
      <charset val="1"/>
    </font>
    <font>
      <sz val="12"/>
      <color theme="1"/>
      <name val="Arial"/>
      <family val="2"/>
      <charset val="1"/>
    </font>
    <font>
      <b/>
      <sz val="12"/>
      <color theme="1"/>
      <name val="Calibri"/>
      <family val="2"/>
      <charset val="1"/>
    </font>
    <font>
      <i/>
      <sz val="12"/>
      <color rgb="FF7A8A9A"/>
      <name val="Arial"/>
      <family val="2"/>
      <charset val="1"/>
    </font>
    <font>
      <sz val="12"/>
      <color rgb="FF000000"/>
      <name val="Arial"/>
      <family val="2"/>
      <charset val="1"/>
    </font>
    <font>
      <i/>
      <sz val="12"/>
      <color theme="1"/>
      <name val="Arial"/>
      <family val="2"/>
      <charset val="1"/>
    </font>
    <font>
      <sz val="12"/>
      <color rgb="FF3A4F6A"/>
      <name val="Arial"/>
      <family val="2"/>
      <charset val="1"/>
    </font>
    <font>
      <b/>
      <sz val="12"/>
      <color rgb="FF1A2B3C"/>
      <name val="Arial"/>
      <family val="2"/>
      <charset val="1"/>
    </font>
    <font>
      <b/>
      <sz val="12"/>
      <color rgb="FFFFFF00"/>
      <name val="Arial"/>
      <family val="2"/>
      <charset val="1"/>
    </font>
    <font>
      <b/>
      <sz val="12"/>
      <color theme="0"/>
      <name val="Arial"/>
      <family val="2"/>
      <charset val="1"/>
    </font>
    <font>
      <sz val="12"/>
      <color theme="0"/>
      <name val="Arial"/>
      <family val="2"/>
      <charset val="1"/>
    </font>
    <font>
      <b/>
      <sz val="12"/>
      <color theme="1"/>
      <name val="Arial"/>
      <family val="2"/>
      <charset val="1"/>
    </font>
    <font>
      <b/>
      <sz val="12"/>
      <color rgb="FFC9A84C"/>
      <name val="Arial"/>
      <family val="2"/>
      <charset val="1"/>
    </font>
    <font>
      <sz val="12"/>
      <color rgb="FF0000FF"/>
      <name val="Arial"/>
      <family val="2"/>
      <charset val="1"/>
    </font>
    <font>
      <sz val="12"/>
      <color rgb="FF008000"/>
      <name val="Arial"/>
      <family val="2"/>
      <charset val="1"/>
    </font>
    <font>
      <sz val="12"/>
      <color theme="0"/>
      <name val="Calibri"/>
      <family val="2"/>
      <charset val="1"/>
    </font>
    <font>
      <b/>
      <sz val="11"/>
      <name val="Calibri"/>
      <family val="2"/>
    </font>
    <font>
      <b/>
      <sz val="11"/>
      <name val="Calibri"/>
      <family val="2"/>
      <charset val="1"/>
    </font>
    <font>
      <b/>
      <sz val="9"/>
      <color rgb="FF2E4D7B"/>
      <name val="Arial"/>
      <family val="2"/>
      <charset val="1"/>
    </font>
    <font>
      <sz val="10"/>
      <color rgb="FF000000"/>
      <name val="Arial"/>
      <family val="2"/>
      <charset val="1"/>
    </font>
    <font>
      <i/>
      <sz val="11"/>
      <color theme="1"/>
      <name val="Calibri"/>
      <family val="2"/>
      <scheme val="minor"/>
    </font>
    <font>
      <b/>
      <sz val="10"/>
      <color rgb="FF000000"/>
      <name val="Arial"/>
      <family val="2"/>
      <charset val="1"/>
    </font>
    <font>
      <b/>
      <sz val="13"/>
      <color rgb="FFFFFFFF"/>
      <name val="Calibri"/>
      <family val="2"/>
      <charset val="1"/>
    </font>
    <font>
      <b/>
      <sz val="12"/>
      <color indexed="18"/>
      <name val="Calibri"/>
      <family val="2"/>
      <charset val="1"/>
    </font>
    <font>
      <b/>
      <sz val="10"/>
      <color rgb="FFFFFFFF"/>
      <name val="Calibri"/>
      <family val="2"/>
      <charset val="1"/>
    </font>
    <font>
      <sz val="10"/>
      <color rgb="FF008000"/>
      <name val="Arial"/>
      <family val="2"/>
      <charset val="1"/>
    </font>
    <font>
      <sz val="9"/>
      <color rgb="FF000000"/>
      <name val="Calibri"/>
      <family val="2"/>
      <charset val="1"/>
    </font>
    <font>
      <sz val="10"/>
      <color rgb="FF0000FF"/>
      <name val="Arial"/>
      <family val="2"/>
      <charset val="1"/>
    </font>
    <font>
      <b/>
      <sz val="9"/>
      <color rgb="FFFFFFFF"/>
      <name val="Calibri"/>
      <family val="2"/>
      <charset val="1"/>
    </font>
    <font>
      <b/>
      <sz val="11"/>
      <color rgb="FF003366"/>
      <name val="Calibri"/>
      <family val="2"/>
      <charset val="1"/>
    </font>
    <font>
      <b/>
      <sz val="10"/>
      <color theme="0"/>
      <name val="Arial"/>
      <family val="2"/>
      <charset val="1"/>
    </font>
    <font>
      <b/>
      <sz val="14"/>
      <color rgb="FFFFFFFF"/>
      <name val="Calibri"/>
      <family val="2"/>
      <charset val="1"/>
    </font>
    <font>
      <b/>
      <sz val="11"/>
      <color rgb="FFFFFFFF"/>
      <name val="Calibri"/>
      <family val="2"/>
      <charset val="1"/>
    </font>
    <font>
      <sz val="10"/>
      <color rgb="FF000000"/>
      <name val="Calibri"/>
      <family val="2"/>
      <charset val="1"/>
    </font>
    <font>
      <b/>
      <sz val="10"/>
      <color rgb="FF000000"/>
      <name val="Calibri"/>
      <family val="2"/>
      <charset val="1"/>
    </font>
    <font>
      <b/>
      <sz val="12"/>
      <color theme="0"/>
      <name val="Calibri"/>
      <family val="2"/>
      <charset val="1"/>
    </font>
    <font>
      <b/>
      <sz val="11"/>
      <color theme="1"/>
      <name val="Calibri"/>
      <family val="2"/>
      <charset val="1"/>
    </font>
    <font>
      <i/>
      <sz val="11"/>
      <color theme="1"/>
      <name val="Calibri"/>
      <family val="2"/>
      <charset val="1"/>
    </font>
    <font>
      <b/>
      <sz val="11"/>
      <color theme="0"/>
      <name val="Calibri"/>
      <family val="2"/>
      <charset val="1"/>
    </font>
    <font>
      <b/>
      <i/>
      <sz val="11"/>
      <color theme="1"/>
      <name val="Calibri"/>
      <family val="2"/>
      <charset val="1"/>
    </font>
    <font>
      <u/>
      <sz val="11"/>
      <color theme="10"/>
      <name val="Calibri"/>
      <family val="2"/>
      <scheme val="minor"/>
    </font>
    <font>
      <b/>
      <sz val="10"/>
      <color theme="1"/>
      <name val="Inter"/>
      <family val="2"/>
    </font>
    <font>
      <sz val="11"/>
      <color rgb="FF22222F"/>
      <name val="Inter"/>
      <family val="2"/>
    </font>
    <font>
      <sz val="11"/>
      <color theme="1"/>
      <name val="Inter"/>
      <family val="2"/>
    </font>
    <font>
      <b/>
      <sz val="10"/>
      <color rgb="FF1F2933"/>
      <name val="Inter"/>
      <family val="2"/>
    </font>
    <font>
      <b/>
      <u/>
      <sz val="11"/>
      <color theme="1"/>
      <name val="Calibri"/>
      <family val="2"/>
      <charset val="1"/>
    </font>
    <font>
      <sz val="11"/>
      <color rgb="FF22222F"/>
      <name val="Calibri"/>
      <family val="2"/>
      <charset val="1"/>
    </font>
    <font>
      <sz val="11"/>
      <color rgb="FF22222F"/>
      <name val="Inter"/>
      <family val="2"/>
    </font>
    <font>
      <sz val="11"/>
      <color rgb="FF606F7B"/>
      <name val="Inter"/>
      <family val="2"/>
    </font>
    <font>
      <sz val="11"/>
      <color rgb="FF606F7B"/>
      <name val="Inter"/>
      <family val="2"/>
    </font>
    <font>
      <b/>
      <sz val="11"/>
      <color theme="1"/>
      <name val="Calibri"/>
      <family val="2"/>
      <scheme val="minor"/>
    </font>
    <font>
      <b/>
      <sz val="14"/>
      <color rgb="FF1F4E78"/>
      <name val="Calibri"/>
      <family val="2"/>
    </font>
    <font>
      <b/>
      <sz val="12"/>
      <color rgb="FFFFFFFF"/>
      <name val="Calibri"/>
      <family val="2"/>
    </font>
    <font>
      <b/>
      <sz val="11"/>
      <color rgb="FFFFFFFF"/>
      <name val="Calibri"/>
      <family val="2"/>
    </font>
    <font>
      <sz val="10"/>
      <name val="Calibri"/>
      <family val="2"/>
    </font>
    <font>
      <b/>
      <sz val="12"/>
      <color theme="1"/>
      <name val="Calibri"/>
      <family val="2"/>
      <scheme val="minor"/>
    </font>
    <font>
      <b/>
      <sz val="9"/>
      <color rgb="FF000000"/>
      <name val="Arial"/>
      <family val="2"/>
    </font>
    <font>
      <sz val="9"/>
      <color rgb="FF000000"/>
      <name val="Arial"/>
      <family val="2"/>
    </font>
  </fonts>
  <fills count="44">
    <fill>
      <patternFill patternType="none"/>
    </fill>
    <fill>
      <patternFill patternType="gray125"/>
    </fill>
    <fill>
      <patternFill patternType="solid">
        <fgColor rgb="FF1F4E78"/>
        <bgColor rgb="FF1F4E78"/>
      </patternFill>
    </fill>
    <fill>
      <patternFill patternType="solid">
        <fgColor rgb="FFE7E6E6"/>
        <bgColor rgb="FFE7E6E6"/>
      </patternFill>
    </fill>
    <fill>
      <patternFill patternType="solid">
        <fgColor rgb="FFD9E1F2"/>
        <bgColor rgb="FFD9E1F2"/>
      </patternFill>
    </fill>
    <fill>
      <patternFill patternType="solid">
        <fgColor theme="3"/>
        <bgColor rgb="FF1A2B3C"/>
      </patternFill>
    </fill>
    <fill>
      <patternFill patternType="solid">
        <fgColor rgb="FF14243A"/>
        <bgColor rgb="FF1A2B3C"/>
      </patternFill>
    </fill>
    <fill>
      <patternFill patternType="solid">
        <fgColor rgb="FFE8EEF6"/>
        <bgColor rgb="FFE9EFF7"/>
      </patternFill>
    </fill>
    <fill>
      <patternFill patternType="solid">
        <fgColor rgb="FF2E4D7B"/>
        <bgColor rgb="FF1F4E78"/>
      </patternFill>
    </fill>
    <fill>
      <patternFill patternType="solid">
        <fgColor rgb="FF3D6494"/>
        <bgColor rgb="FF4472C4"/>
      </patternFill>
    </fill>
    <fill>
      <patternFill patternType="solid">
        <fgColor theme="0"/>
        <bgColor rgb="FFF8F8FC"/>
      </patternFill>
    </fill>
    <fill>
      <patternFill patternType="solid">
        <fgColor rgb="FFF0F5FC"/>
        <bgColor rgb="FFF5F5F5"/>
      </patternFill>
    </fill>
    <fill>
      <patternFill patternType="solid">
        <fgColor rgb="FFEAF1FB"/>
        <bgColor rgb="FFE9EFF7"/>
      </patternFill>
    </fill>
    <fill>
      <patternFill patternType="solid">
        <fgColor rgb="FFDCE3EC"/>
        <bgColor rgb="FFDBE4F0"/>
      </patternFill>
    </fill>
    <fill>
      <patternFill patternType="solid">
        <fgColor theme="3"/>
        <bgColor rgb="FF1F4E78"/>
      </patternFill>
    </fill>
    <fill>
      <patternFill patternType="solid">
        <fgColor rgb="FF003366"/>
        <bgColor rgb="FF17375E"/>
      </patternFill>
    </fill>
    <fill>
      <patternFill patternType="solid">
        <fgColor theme="3"/>
        <bgColor indexed="64"/>
      </patternFill>
    </fill>
    <fill>
      <patternFill patternType="solid">
        <fgColor rgb="FF17375E"/>
        <bgColor rgb="FF003366"/>
      </patternFill>
    </fill>
    <fill>
      <patternFill patternType="solid">
        <fgColor rgb="FFE0E0E0"/>
        <bgColor rgb="FFDCE3EC"/>
      </patternFill>
    </fill>
    <fill>
      <patternFill patternType="solid">
        <fgColor rgb="FFD9E1F2"/>
        <bgColor rgb="FFDBE4F0"/>
      </patternFill>
    </fill>
    <fill>
      <patternFill patternType="solid">
        <fgColor theme="0" tint="-0.249977111117893"/>
        <bgColor rgb="FFCCC1DA"/>
      </patternFill>
    </fill>
    <fill>
      <patternFill patternType="solid">
        <fgColor rgb="FFFFD700"/>
        <bgColor rgb="FFFFFF00"/>
      </patternFill>
    </fill>
    <fill>
      <patternFill patternType="solid">
        <fgColor rgb="FF4472C4"/>
        <bgColor rgb="FF4F81BD"/>
      </patternFill>
    </fill>
    <fill>
      <patternFill patternType="solid">
        <fgColor rgb="FFF5F5F5"/>
        <bgColor rgb="FFF0F5FC"/>
      </patternFill>
    </fill>
    <fill>
      <patternFill patternType="solid">
        <fgColor rgb="FFE9EFF7"/>
        <bgColor rgb="FFE8EEF6"/>
      </patternFill>
    </fill>
    <fill>
      <patternFill patternType="solid">
        <fgColor theme="3"/>
        <bgColor rgb="FFE7E6E6"/>
      </patternFill>
    </fill>
    <fill>
      <patternFill patternType="solid">
        <fgColor theme="8" tint="0.79989013336588644"/>
        <bgColor rgb="FFE8EEF6"/>
      </patternFill>
    </fill>
    <fill>
      <patternFill patternType="solid">
        <fgColor theme="3"/>
        <bgColor rgb="FF333333"/>
      </patternFill>
    </fill>
    <fill>
      <patternFill patternType="solid">
        <fgColor theme="7" tint="-0.499984740745262"/>
        <bgColor rgb="FF333333"/>
      </patternFill>
    </fill>
    <fill>
      <patternFill patternType="solid">
        <fgColor rgb="FF002060"/>
        <bgColor rgb="FF003366"/>
      </patternFill>
    </fill>
    <fill>
      <patternFill patternType="solid">
        <fgColor theme="3"/>
        <bgColor rgb="FF003366"/>
      </patternFill>
    </fill>
    <fill>
      <patternFill patternType="solid">
        <fgColor theme="7" tint="0.59987182226020086"/>
        <bgColor rgb="FFC0CDD8"/>
      </patternFill>
    </fill>
    <fill>
      <patternFill patternType="solid">
        <fgColor rgb="FFF8F8FC"/>
        <bgColor rgb="FFF5F5F5"/>
      </patternFill>
    </fill>
    <fill>
      <patternFill patternType="solid">
        <fgColor rgb="FFFFFFFF"/>
        <bgColor indexed="64"/>
      </patternFill>
    </fill>
    <fill>
      <patternFill patternType="solid">
        <fgColor rgb="FFF8F8FC"/>
        <bgColor indexed="64"/>
      </patternFill>
    </fill>
    <fill>
      <patternFill patternType="solid">
        <fgColor theme="0"/>
        <bgColor rgb="FFBDD7EE"/>
      </patternFill>
    </fill>
    <fill>
      <patternFill patternType="solid">
        <fgColor theme="0"/>
        <bgColor indexed="64"/>
      </patternFill>
    </fill>
    <fill>
      <patternFill patternType="solid">
        <fgColor theme="4" tint="0.79998168889431442"/>
        <bgColor rgb="FFF8F8FC"/>
      </patternFill>
    </fill>
    <fill>
      <patternFill patternType="solid">
        <fgColor theme="4" tint="0.79998168889431442"/>
        <bgColor indexed="64"/>
      </patternFill>
    </fill>
    <fill>
      <patternFill patternType="solid">
        <fgColor rgb="FF1F4E78"/>
        <bgColor rgb="FF1F4E78"/>
      </patternFill>
    </fill>
    <fill>
      <patternFill patternType="solid">
        <fgColor rgb="FF4472C4"/>
        <bgColor rgb="FF4472C4"/>
      </patternFill>
    </fill>
    <fill>
      <patternFill patternType="solid">
        <fgColor rgb="FFD9E1F2"/>
        <bgColor rgb="FFD9E1F2"/>
      </patternFill>
    </fill>
    <fill>
      <patternFill patternType="solid">
        <fgColor rgb="FFFFFFFF"/>
        <bgColor rgb="FFFFFFFF"/>
      </patternFill>
    </fill>
    <fill>
      <patternFill patternType="solid">
        <fgColor rgb="FFE8E8E8"/>
        <bgColor rgb="FFE7E6E6"/>
      </patternFill>
    </fill>
  </fills>
  <borders count="79">
    <border>
      <left/>
      <right/>
      <top/>
      <bottom/>
      <diagonal/>
    </border>
    <border>
      <left style="thin">
        <color auto="1"/>
      </left>
      <right style="thin">
        <color auto="1"/>
      </right>
      <top style="thin">
        <color auto="1"/>
      </top>
      <bottom style="thin">
        <color auto="1"/>
      </bottom>
      <diagonal/>
    </border>
    <border>
      <left/>
      <right/>
      <top style="thin">
        <color rgb="FFC9A84C"/>
      </top>
      <bottom style="thin">
        <color rgb="FFC9A84C"/>
      </bottom>
      <diagonal/>
    </border>
    <border>
      <left/>
      <right style="thin">
        <color rgb="FFC8D4E3"/>
      </right>
      <top style="thin">
        <color rgb="FFC9A84C"/>
      </top>
      <bottom style="thin">
        <color rgb="FFC9A84C"/>
      </bottom>
      <diagonal/>
    </border>
    <border>
      <left/>
      <right style="thin">
        <color rgb="FFC8D4E3"/>
      </right>
      <top/>
      <bottom/>
      <diagonal/>
    </border>
    <border>
      <left/>
      <right style="medium">
        <color rgb="FFEEEEEE"/>
      </right>
      <top/>
      <bottom/>
      <diagonal/>
    </border>
    <border>
      <left/>
      <right/>
      <top/>
      <bottom style="thin">
        <color rgb="FFC9A84C"/>
      </bottom>
      <diagonal/>
    </border>
    <border>
      <left/>
      <right style="thin">
        <color rgb="FFC8D4E3"/>
      </right>
      <top/>
      <bottom style="thin">
        <color rgb="FFC9A84C"/>
      </bottom>
      <diagonal/>
    </border>
    <border>
      <left/>
      <right style="medium">
        <color rgb="FFEEEEEE"/>
      </right>
      <top/>
      <bottom style="thin">
        <color rgb="FFC9A84C"/>
      </bottom>
      <diagonal/>
    </border>
    <border>
      <left style="medium">
        <color rgb="FFEEEEEE"/>
      </left>
      <right style="medium">
        <color rgb="FFEEEEEE"/>
      </right>
      <top/>
      <bottom style="thin">
        <color rgb="FFC9A84C"/>
      </bottom>
      <diagonal/>
    </border>
    <border>
      <left/>
      <right/>
      <top/>
      <bottom style="thin">
        <color rgb="FFC8D4E3"/>
      </bottom>
      <diagonal/>
    </border>
    <border>
      <left/>
      <right style="thin">
        <color rgb="FFC8D4E3"/>
      </right>
      <top/>
      <bottom style="thin">
        <color rgb="FFC8D4E3"/>
      </bottom>
      <diagonal/>
    </border>
    <border>
      <left/>
      <right style="thin">
        <color rgb="FFC8D4E3"/>
      </right>
      <top style="thin">
        <color rgb="FFC9A84C"/>
      </top>
      <bottom/>
      <diagonal/>
    </border>
    <border>
      <left/>
      <right/>
      <top style="thin">
        <color rgb="FFC9A84C"/>
      </top>
      <bottom/>
      <diagonal/>
    </border>
    <border>
      <left/>
      <right style="thin">
        <color rgb="FFC8D4E3"/>
      </right>
      <top style="thin">
        <color rgb="FFC0CDD8"/>
      </top>
      <bottom style="thin">
        <color rgb="FFC8D4E3"/>
      </bottom>
      <diagonal/>
    </border>
    <border>
      <left/>
      <right/>
      <top style="thin">
        <color rgb="FFC0CDD8"/>
      </top>
      <bottom style="thin">
        <color rgb="FFC8D4E3"/>
      </bottom>
      <diagonal/>
    </border>
    <border>
      <left/>
      <right style="thin">
        <color rgb="FFC8D4E3"/>
      </right>
      <top style="medium">
        <color rgb="FFC9A84C"/>
      </top>
      <bottom/>
      <diagonal/>
    </border>
    <border>
      <left/>
      <right/>
      <top style="medium">
        <color rgb="FFC9A84C"/>
      </top>
      <bottom/>
      <diagonal/>
    </border>
    <border>
      <left/>
      <right style="thin">
        <color rgb="FFC8D4E3"/>
      </right>
      <top style="thin">
        <color rgb="FFC0CDD8"/>
      </top>
      <bottom/>
      <diagonal/>
    </border>
    <border>
      <left/>
      <right/>
      <top style="thin">
        <color rgb="FFC0CDD8"/>
      </top>
      <bottom/>
      <diagonal/>
    </border>
    <border>
      <left/>
      <right style="thin">
        <color rgb="FFC8D4E3"/>
      </right>
      <top style="thin">
        <color rgb="FFC0CDD8"/>
      </top>
      <bottom style="medium">
        <color rgb="FFC9A84C"/>
      </bottom>
      <diagonal/>
    </border>
    <border>
      <left/>
      <right/>
      <top style="thin">
        <color rgb="FFC0CDD8"/>
      </top>
      <bottom style="medium">
        <color rgb="FFC9A84C"/>
      </bottom>
      <diagonal/>
    </border>
    <border>
      <left/>
      <right style="thin">
        <color rgb="FFC8D4E3"/>
      </right>
      <top style="thin">
        <color rgb="FFC8D4E3"/>
      </top>
      <bottom style="thin">
        <color rgb="FFC9A84C"/>
      </bottom>
      <diagonal/>
    </border>
    <border>
      <left/>
      <right/>
      <top style="thin">
        <color rgb="FFC8D4E3"/>
      </top>
      <bottom style="thin">
        <color rgb="FFC9A84C"/>
      </bottom>
      <diagonal/>
    </border>
    <border>
      <left/>
      <right/>
      <top/>
      <bottom style="thin">
        <color auto="1"/>
      </bottom>
      <diagonal/>
    </border>
    <border>
      <left/>
      <right/>
      <top style="thin">
        <color rgb="FFC9A84C"/>
      </top>
      <bottom style="thin">
        <color rgb="FFC8D4E3"/>
      </bottom>
      <diagonal/>
    </border>
    <border>
      <left/>
      <right/>
      <top/>
      <bottom style="medium">
        <color indexed="64"/>
      </bottom>
      <diagonal/>
    </border>
    <border>
      <left/>
      <right/>
      <top style="medium">
        <color indexed="64"/>
      </top>
      <bottom style="thin">
        <color indexed="64"/>
      </bottom>
      <diagonal/>
    </border>
    <border>
      <left style="thin">
        <color auto="1"/>
      </left>
      <right style="thin">
        <color theme="0"/>
      </right>
      <top style="thin">
        <color auto="1"/>
      </top>
      <bottom style="thin">
        <color theme="0"/>
      </bottom>
      <diagonal/>
    </border>
    <border>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right/>
      <top/>
      <bottom style="thin">
        <color rgb="FF595959"/>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auto="1"/>
      </left>
      <right/>
      <top style="thin">
        <color auto="1"/>
      </top>
      <bottom style="thin">
        <color auto="1"/>
      </bottom>
      <diagonal/>
    </border>
    <border>
      <left/>
      <right/>
      <top style="thin">
        <color rgb="FF595959"/>
      </top>
      <bottom style="thin">
        <color rgb="FF595959"/>
      </bottom>
      <diagonal/>
    </border>
    <border>
      <left/>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medium">
        <color rgb="FF003366"/>
      </top>
      <bottom style="medium">
        <color rgb="FF003366"/>
      </bottom>
      <diagonal/>
    </border>
    <border>
      <left style="medium">
        <color rgb="FF4472C4"/>
      </left>
      <right style="medium">
        <color rgb="FF4472C4"/>
      </right>
      <top style="medium">
        <color rgb="FF4472C4"/>
      </top>
      <bottom/>
      <diagonal/>
    </border>
    <border>
      <left/>
      <right/>
      <top style="medium">
        <color rgb="FF4472C4"/>
      </top>
      <bottom/>
      <diagonal/>
    </border>
    <border>
      <left/>
      <right style="medium">
        <color rgb="FF4472C4"/>
      </right>
      <top style="medium">
        <color rgb="FF4472C4"/>
      </top>
      <bottom/>
      <diagonal/>
    </border>
    <border>
      <left/>
      <right/>
      <top style="thin">
        <color rgb="FFBDD7EE"/>
      </top>
      <bottom style="thin">
        <color rgb="FF4472C4"/>
      </bottom>
      <diagonal/>
    </border>
    <border>
      <left style="medium">
        <color rgb="FF4472C4"/>
      </left>
      <right/>
      <top/>
      <bottom style="thin">
        <color rgb="FFBDD7EE"/>
      </bottom>
      <diagonal/>
    </border>
    <border>
      <left/>
      <right/>
      <top/>
      <bottom style="thin">
        <color rgb="FFBDD7EE"/>
      </bottom>
      <diagonal/>
    </border>
    <border>
      <left/>
      <right style="medium">
        <color rgb="FF4472C4"/>
      </right>
      <top/>
      <bottom style="thin">
        <color rgb="FFBDD7EE"/>
      </bottom>
      <diagonal/>
    </border>
    <border>
      <left style="medium">
        <color rgb="FF4472C4"/>
      </left>
      <right/>
      <top style="thin">
        <color rgb="FFBDD7EE"/>
      </top>
      <bottom style="thin">
        <color rgb="FFBDD7EE"/>
      </bottom>
      <diagonal/>
    </border>
    <border>
      <left/>
      <right/>
      <top style="thin">
        <color rgb="FFBDD7EE"/>
      </top>
      <bottom style="thin">
        <color rgb="FFBDD7EE"/>
      </bottom>
      <diagonal/>
    </border>
    <border>
      <left/>
      <right style="medium">
        <color rgb="FF4472C4"/>
      </right>
      <top style="thin">
        <color rgb="FFBDD7EE"/>
      </top>
      <bottom style="thin">
        <color rgb="FFBDD7EE"/>
      </bottom>
      <diagonal/>
    </border>
    <border>
      <left style="medium">
        <color rgb="FF4472C4"/>
      </left>
      <right/>
      <top style="thin">
        <color rgb="FFBDD7EE"/>
      </top>
      <bottom/>
      <diagonal/>
    </border>
    <border>
      <left/>
      <right/>
      <top style="thin">
        <color rgb="FFBDD7EE"/>
      </top>
      <bottom/>
      <diagonal/>
    </border>
    <border>
      <left style="medium">
        <color rgb="FF4472C4"/>
      </left>
      <right/>
      <top style="thin">
        <color rgb="FFBDD7EE"/>
      </top>
      <bottom style="double">
        <color rgb="FF4472C4"/>
      </bottom>
      <diagonal/>
    </border>
    <border>
      <left/>
      <right/>
      <top style="thin">
        <color rgb="FFBDD7EE"/>
      </top>
      <bottom style="double">
        <color rgb="FF4472C4"/>
      </bottom>
      <diagonal/>
    </border>
    <border>
      <left style="medium">
        <color rgb="FF4472C4"/>
      </left>
      <right/>
      <top style="medium">
        <color rgb="FF4472C4"/>
      </top>
      <bottom style="thin">
        <color rgb="FFBDD7EE"/>
      </bottom>
      <diagonal/>
    </border>
    <border>
      <left/>
      <right/>
      <top style="medium">
        <color rgb="FF4472C4"/>
      </top>
      <bottom style="thin">
        <color rgb="FFBDD7EE"/>
      </bottom>
      <diagonal/>
    </border>
    <border>
      <left/>
      <right style="medium">
        <color rgb="FF4472C4"/>
      </right>
      <top style="medium">
        <color rgb="FF4472C4"/>
      </top>
      <bottom style="thin">
        <color rgb="FFBDD7EE"/>
      </bottom>
      <diagonal/>
    </border>
    <border>
      <left style="medium">
        <color rgb="FF4472C4"/>
      </left>
      <right/>
      <top style="thin">
        <color rgb="FFBDD7EE"/>
      </top>
      <bottom style="medium">
        <color rgb="FF4472C4"/>
      </bottom>
      <diagonal/>
    </border>
    <border>
      <left/>
      <right/>
      <top style="thin">
        <color rgb="FFBDD7EE"/>
      </top>
      <bottom style="medium">
        <color rgb="FF4472C4"/>
      </bottom>
      <diagonal/>
    </border>
    <border>
      <left/>
      <right style="medium">
        <color rgb="FF4472C4"/>
      </right>
      <top style="thin">
        <color rgb="FFBDD7EE"/>
      </top>
      <bottom style="medium">
        <color rgb="FF4472C4"/>
      </bottom>
      <diagonal/>
    </border>
    <border>
      <left/>
      <right/>
      <top style="thin">
        <color auto="1"/>
      </top>
      <bottom style="thick">
        <color auto="1"/>
      </bottom>
      <diagonal/>
    </border>
    <border>
      <left/>
      <right/>
      <top style="thin">
        <color indexed="64"/>
      </top>
      <bottom style="double">
        <color indexed="64"/>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medium">
        <color rgb="FF645DF9"/>
      </top>
      <bottom style="medium">
        <color rgb="FF645DF9"/>
      </bottom>
      <diagonal/>
    </border>
    <border>
      <left/>
      <right style="thin">
        <color auto="1"/>
      </right>
      <top/>
      <bottom/>
      <diagonal/>
    </border>
    <border>
      <left/>
      <right/>
      <top/>
      <bottom style="medium">
        <color rgb="FFDBE4F0"/>
      </bottom>
      <diagonal/>
    </border>
    <border>
      <left/>
      <right/>
      <top style="medium">
        <color rgb="FFDBE4F0"/>
      </top>
      <bottom/>
      <diagonal/>
    </border>
    <border>
      <left style="thin">
        <color auto="1"/>
      </left>
      <right style="thin">
        <color auto="1"/>
      </right>
      <top style="thin">
        <color auto="1"/>
      </top>
      <bottom style="thin">
        <color auto="1"/>
      </bottom>
      <diagonal/>
    </border>
  </borders>
  <cellStyleXfs count="2">
    <xf numFmtId="0" fontId="0" fillId="0" borderId="0"/>
    <xf numFmtId="0" fontId="51" fillId="0" borderId="0"/>
  </cellStyleXfs>
  <cellXfs count="319">
    <xf numFmtId="0" fontId="0" fillId="0" borderId="0" xfId="0"/>
    <xf numFmtId="0" fontId="4" fillId="2" borderId="1" xfId="0" applyFont="1" applyFill="1" applyBorder="1" applyAlignment="1">
      <alignment horizontal="center"/>
    </xf>
    <xf numFmtId="0" fontId="0" fillId="0" borderId="0" xfId="0" applyAlignment="1">
      <alignment wrapText="1"/>
    </xf>
    <xf numFmtId="0" fontId="1" fillId="0" borderId="0" xfId="0" applyFont="1"/>
    <xf numFmtId="0" fontId="2" fillId="0" borderId="0" xfId="0" applyFont="1"/>
    <xf numFmtId="0" fontId="3" fillId="0" borderId="0" xfId="0" applyFont="1"/>
    <xf numFmtId="0" fontId="0" fillId="0" borderId="1" xfId="0" applyBorder="1"/>
    <xf numFmtId="3" fontId="0" fillId="0" borderId="1" xfId="0" applyNumberFormat="1" applyBorder="1"/>
    <xf numFmtId="0" fontId="5" fillId="4" borderId="1" xfId="0" applyFont="1" applyFill="1" applyBorder="1"/>
    <xf numFmtId="0" fontId="5" fillId="3" borderId="1" xfId="0" applyFont="1" applyFill="1" applyBorder="1"/>
    <xf numFmtId="3" fontId="5" fillId="3" borderId="1" xfId="0" applyNumberFormat="1" applyFont="1" applyFill="1" applyBorder="1"/>
    <xf numFmtId="0" fontId="4" fillId="2" borderId="1" xfId="0" applyFont="1" applyFill="1" applyBorder="1" applyAlignment="1">
      <alignment horizontal="center" vertical="center" wrapText="1"/>
    </xf>
    <xf numFmtId="0" fontId="0" fillId="0" borderId="0" xfId="0" applyAlignment="1">
      <alignment vertical="center" wrapText="1"/>
    </xf>
    <xf numFmtId="0" fontId="6" fillId="0" borderId="0" xfId="0" applyFont="1"/>
    <xf numFmtId="0" fontId="7" fillId="0" borderId="0" xfId="0" applyFont="1"/>
    <xf numFmtId="0" fontId="8" fillId="5" borderId="2" xfId="0" applyFont="1" applyFill="1" applyBorder="1" applyAlignment="1">
      <alignment horizontal="center"/>
    </xf>
    <xf numFmtId="0" fontId="8" fillId="5" borderId="3" xfId="0" applyFont="1" applyFill="1" applyBorder="1" applyAlignment="1">
      <alignment horizontal="left"/>
    </xf>
    <xf numFmtId="0" fontId="8" fillId="5" borderId="2" xfId="0" applyFont="1" applyFill="1" applyBorder="1" applyAlignment="1">
      <alignment vertical="center"/>
    </xf>
    <xf numFmtId="0" fontId="9" fillId="6" borderId="2" xfId="0" applyFont="1" applyFill="1" applyBorder="1" applyAlignment="1">
      <alignment vertical="center"/>
    </xf>
    <xf numFmtId="0" fontId="10" fillId="7" borderId="0" xfId="0" applyFont="1" applyFill="1" applyAlignment="1">
      <alignment horizontal="center"/>
    </xf>
    <xf numFmtId="0" fontId="10" fillId="7" borderId="4" xfId="0" applyFont="1" applyFill="1" applyBorder="1" applyAlignment="1">
      <alignment horizontal="left"/>
    </xf>
    <xf numFmtId="0" fontId="11" fillId="7" borderId="0" xfId="0" applyFont="1" applyFill="1" applyAlignment="1">
      <alignment vertical="center"/>
    </xf>
    <xf numFmtId="0" fontId="10" fillId="7" borderId="0" xfId="0" applyFont="1" applyFill="1" applyAlignment="1">
      <alignment vertical="center"/>
    </xf>
    <xf numFmtId="0" fontId="10" fillId="7" borderId="5" xfId="0" applyFont="1" applyFill="1" applyBorder="1" applyAlignment="1">
      <alignment vertical="center"/>
    </xf>
    <xf numFmtId="0" fontId="9" fillId="8" borderId="6" xfId="0" applyFont="1" applyFill="1" applyBorder="1" applyAlignment="1">
      <alignment horizontal="right"/>
    </xf>
    <xf numFmtId="0" fontId="9" fillId="8" borderId="7" xfId="0" applyFont="1" applyFill="1" applyBorder="1" applyAlignment="1">
      <alignment horizontal="left"/>
    </xf>
    <xf numFmtId="0" fontId="9" fillId="8" borderId="8" xfId="0" applyFont="1" applyFill="1" applyBorder="1" applyAlignment="1">
      <alignment horizontal="right" vertical="center"/>
    </xf>
    <xf numFmtId="0" fontId="10" fillId="7" borderId="0" xfId="0" applyFont="1" applyFill="1"/>
    <xf numFmtId="0" fontId="11" fillId="7" borderId="4" xfId="0" applyFont="1" applyFill="1" applyBorder="1" applyAlignment="1">
      <alignment horizontal="left"/>
    </xf>
    <xf numFmtId="0" fontId="10" fillId="7" borderId="0" xfId="0" applyFont="1" applyFill="1" applyAlignment="1">
      <alignment horizontal="right"/>
    </xf>
    <xf numFmtId="0" fontId="9" fillId="9" borderId="10" xfId="0" applyFont="1" applyFill="1" applyBorder="1"/>
    <xf numFmtId="0" fontId="11" fillId="9" borderId="11" xfId="0" applyFont="1" applyFill="1" applyBorder="1" applyAlignment="1">
      <alignment horizontal="left"/>
    </xf>
    <xf numFmtId="164" fontId="12" fillId="10" borderId="10" xfId="0" applyNumberFormat="1" applyFont="1" applyFill="1" applyBorder="1" applyAlignment="1">
      <alignment horizontal="right"/>
    </xf>
    <xf numFmtId="0" fontId="13" fillId="0" borderId="0" xfId="0" applyFont="1"/>
    <xf numFmtId="0" fontId="14" fillId="11" borderId="0" xfId="0" applyFont="1" applyFill="1"/>
    <xf numFmtId="0" fontId="15" fillId="11" borderId="4" xfId="0" applyFont="1" applyFill="1" applyBorder="1" applyAlignment="1">
      <alignment horizontal="left"/>
    </xf>
    <xf numFmtId="165" fontId="16" fillId="10" borderId="0" xfId="0" applyNumberFormat="1" applyFont="1" applyFill="1" applyAlignment="1">
      <alignment horizontal="right"/>
    </xf>
    <xf numFmtId="165" fontId="12" fillId="10" borderId="0" xfId="0" applyNumberFormat="1" applyFont="1" applyFill="1" applyAlignment="1">
      <alignment horizontal="right"/>
    </xf>
    <xf numFmtId="0" fontId="6" fillId="10" borderId="0" xfId="0" applyFont="1" applyFill="1"/>
    <xf numFmtId="0" fontId="6" fillId="10" borderId="4" xfId="0" applyFont="1" applyFill="1" applyBorder="1" applyAlignment="1">
      <alignment horizontal="left"/>
    </xf>
    <xf numFmtId="0" fontId="12" fillId="10" borderId="0" xfId="0" applyFont="1" applyFill="1" applyAlignment="1">
      <alignment horizontal="right"/>
    </xf>
    <xf numFmtId="0" fontId="17" fillId="10" borderId="0" xfId="0" applyFont="1" applyFill="1"/>
    <xf numFmtId="0" fontId="15" fillId="10" borderId="4" xfId="0" applyFont="1" applyFill="1" applyBorder="1" applyAlignment="1">
      <alignment horizontal="left"/>
    </xf>
    <xf numFmtId="164" fontId="12" fillId="10" borderId="0" xfId="0" applyNumberFormat="1" applyFont="1" applyFill="1" applyAlignment="1">
      <alignment horizontal="right"/>
    </xf>
    <xf numFmtId="0" fontId="17" fillId="12" borderId="0" xfId="0" applyFont="1" applyFill="1"/>
    <xf numFmtId="0" fontId="15" fillId="12" borderId="4" xfId="0" applyFont="1" applyFill="1" applyBorder="1" applyAlignment="1">
      <alignment horizontal="left"/>
    </xf>
    <xf numFmtId="0" fontId="18" fillId="13" borderId="10" xfId="0" applyFont="1" applyFill="1" applyBorder="1"/>
    <xf numFmtId="0" fontId="11" fillId="13" borderId="11" xfId="0" applyFont="1" applyFill="1" applyBorder="1" applyAlignment="1">
      <alignment horizontal="left"/>
    </xf>
    <xf numFmtId="164" fontId="13" fillId="0" borderId="0" xfId="0" applyNumberFormat="1" applyFont="1"/>
    <xf numFmtId="0" fontId="19" fillId="14" borderId="6" xfId="0" applyFont="1" applyFill="1" applyBorder="1"/>
    <xf numFmtId="0" fontId="20" fillId="14" borderId="7" xfId="0" applyFont="1" applyFill="1" applyBorder="1" applyAlignment="1">
      <alignment horizontal="left"/>
    </xf>
    <xf numFmtId="0" fontId="20" fillId="14" borderId="6" xfId="0" applyFont="1" applyFill="1" applyBorder="1"/>
    <xf numFmtId="164" fontId="20" fillId="14" borderId="6" xfId="0" applyNumberFormat="1" applyFont="1" applyFill="1" applyBorder="1" applyAlignment="1">
      <alignment horizontal="right"/>
    </xf>
    <xf numFmtId="164" fontId="7" fillId="0" borderId="0" xfId="0" applyNumberFormat="1" applyFont="1"/>
    <xf numFmtId="4" fontId="7" fillId="0" borderId="0" xfId="0" applyNumberFormat="1" applyFont="1"/>
    <xf numFmtId="164" fontId="21" fillId="14" borderId="6" xfId="0" applyNumberFormat="1" applyFont="1" applyFill="1" applyBorder="1" applyAlignment="1">
      <alignment horizontal="right"/>
    </xf>
    <xf numFmtId="0" fontId="9" fillId="8" borderId="0" xfId="0" applyFont="1" applyFill="1"/>
    <xf numFmtId="0" fontId="11" fillId="8" borderId="12" xfId="0" applyFont="1" applyFill="1" applyBorder="1" applyAlignment="1">
      <alignment horizontal="left"/>
    </xf>
    <xf numFmtId="0" fontId="9" fillId="8" borderId="13" xfId="0" applyFont="1" applyFill="1" applyBorder="1"/>
    <xf numFmtId="0" fontId="22" fillId="10" borderId="13" xfId="0" applyFont="1" applyFill="1" applyBorder="1" applyAlignment="1">
      <alignment horizontal="right"/>
    </xf>
    <xf numFmtId="0" fontId="15" fillId="12" borderId="14" xfId="0" applyFont="1" applyFill="1" applyBorder="1" applyAlignment="1">
      <alignment horizontal="left"/>
    </xf>
    <xf numFmtId="0" fontId="17" fillId="12" borderId="15" xfId="0" applyFont="1" applyFill="1" applyBorder="1"/>
    <xf numFmtId="165" fontId="12" fillId="10" borderId="15" xfId="0" applyNumberFormat="1" applyFont="1" applyFill="1" applyBorder="1" applyAlignment="1">
      <alignment horizontal="right"/>
    </xf>
    <xf numFmtId="0" fontId="12" fillId="10" borderId="15" xfId="0" applyFont="1" applyFill="1" applyBorder="1" applyAlignment="1">
      <alignment horizontal="right"/>
    </xf>
    <xf numFmtId="0" fontId="11" fillId="8" borderId="16" xfId="0" applyFont="1" applyFill="1" applyBorder="1" applyAlignment="1">
      <alignment horizontal="left"/>
    </xf>
    <xf numFmtId="0" fontId="9" fillId="8" borderId="17" xfId="0" applyFont="1" applyFill="1" applyBorder="1"/>
    <xf numFmtId="0" fontId="22" fillId="10" borderId="17" xfId="0" applyFont="1" applyFill="1" applyBorder="1" applyAlignment="1">
      <alignment horizontal="right"/>
    </xf>
    <xf numFmtId="0" fontId="15" fillId="12" borderId="18" xfId="0" applyFont="1" applyFill="1" applyBorder="1" applyAlignment="1">
      <alignment horizontal="left"/>
    </xf>
    <xf numFmtId="0" fontId="17" fillId="12" borderId="19" xfId="0" applyFont="1" applyFill="1" applyBorder="1"/>
    <xf numFmtId="165" fontId="12" fillId="10" borderId="19" xfId="0" applyNumberFormat="1" applyFont="1" applyFill="1" applyBorder="1" applyAlignment="1">
      <alignment horizontal="right"/>
    </xf>
    <xf numFmtId="0" fontId="15" fillId="10" borderId="18" xfId="0" applyFont="1" applyFill="1" applyBorder="1" applyAlignment="1">
      <alignment horizontal="left"/>
    </xf>
    <xf numFmtId="0" fontId="17" fillId="10" borderId="19" xfId="0" applyFont="1" applyFill="1" applyBorder="1"/>
    <xf numFmtId="0" fontId="23" fillId="6" borderId="0" xfId="0" applyFont="1" applyFill="1"/>
    <xf numFmtId="0" fontId="20" fillId="14" borderId="20" xfId="0" applyFont="1" applyFill="1" applyBorder="1" applyAlignment="1">
      <alignment horizontal="left"/>
    </xf>
    <xf numFmtId="0" fontId="20" fillId="14" borderId="21" xfId="0" applyFont="1" applyFill="1" applyBorder="1"/>
    <xf numFmtId="165" fontId="21" fillId="14" borderId="21" xfId="0" applyNumberFormat="1" applyFont="1" applyFill="1" applyBorder="1" applyAlignment="1">
      <alignment horizontal="right"/>
    </xf>
    <xf numFmtId="165" fontId="15" fillId="10" borderId="0" xfId="0" applyNumberFormat="1" applyFont="1" applyFill="1" applyAlignment="1">
      <alignment horizontal="right"/>
    </xf>
    <xf numFmtId="9" fontId="24" fillId="12" borderId="15" xfId="0" applyNumberFormat="1" applyFont="1" applyFill="1" applyBorder="1" applyAlignment="1">
      <alignment horizontal="right"/>
    </xf>
    <xf numFmtId="164" fontId="15" fillId="10" borderId="0" xfId="0" applyNumberFormat="1" applyFont="1" applyFill="1" applyAlignment="1">
      <alignment horizontal="right"/>
    </xf>
    <xf numFmtId="164" fontId="25" fillId="12" borderId="19" xfId="0" applyNumberFormat="1" applyFont="1" applyFill="1" applyBorder="1" applyAlignment="1">
      <alignment horizontal="right"/>
    </xf>
    <xf numFmtId="164" fontId="25" fillId="10" borderId="19" xfId="0" applyNumberFormat="1" applyFont="1" applyFill="1" applyBorder="1" applyAlignment="1">
      <alignment horizontal="right"/>
    </xf>
    <xf numFmtId="0" fontId="18" fillId="13" borderId="0" xfId="0" applyFont="1" applyFill="1"/>
    <xf numFmtId="0" fontId="11" fillId="13" borderId="14" xfId="0" applyFont="1" applyFill="1" applyBorder="1" applyAlignment="1">
      <alignment horizontal="left"/>
    </xf>
    <xf numFmtId="164" fontId="15" fillId="13" borderId="15" xfId="0" applyNumberFormat="1" applyFont="1" applyFill="1" applyBorder="1" applyAlignment="1">
      <alignment horizontal="right"/>
    </xf>
    <xf numFmtId="164" fontId="12" fillId="10" borderId="15" xfId="0" applyNumberFormat="1" applyFont="1" applyFill="1" applyBorder="1" applyAlignment="1">
      <alignment horizontal="right"/>
    </xf>
    <xf numFmtId="0" fontId="9" fillId="9" borderId="0" xfId="0" applyFont="1" applyFill="1"/>
    <xf numFmtId="0" fontId="11" fillId="9" borderId="12" xfId="0" applyFont="1" applyFill="1" applyBorder="1" applyAlignment="1">
      <alignment horizontal="left"/>
    </xf>
    <xf numFmtId="165" fontId="15" fillId="9" borderId="13" xfId="0" applyNumberFormat="1" applyFont="1" applyFill="1" applyBorder="1" applyAlignment="1">
      <alignment horizontal="right"/>
    </xf>
    <xf numFmtId="165" fontId="12" fillId="10" borderId="13" xfId="0" applyNumberFormat="1" applyFont="1" applyFill="1" applyBorder="1" applyAlignment="1">
      <alignment horizontal="right"/>
    </xf>
    <xf numFmtId="0" fontId="20" fillId="14" borderId="22" xfId="0" applyFont="1" applyFill="1" applyBorder="1" applyAlignment="1">
      <alignment horizontal="left"/>
    </xf>
    <xf numFmtId="0" fontId="26" fillId="14" borderId="0" xfId="0" applyFont="1" applyFill="1"/>
    <xf numFmtId="165" fontId="21" fillId="14" borderId="23" xfId="0" applyNumberFormat="1" applyFont="1" applyFill="1" applyBorder="1" applyAlignment="1">
      <alignment horizontal="right"/>
    </xf>
    <xf numFmtId="0" fontId="15" fillId="0" borderId="0" xfId="0" applyFont="1"/>
    <xf numFmtId="165" fontId="25" fillId="0" borderId="0" xfId="0" applyNumberFormat="1" applyFont="1"/>
    <xf numFmtId="0" fontId="27" fillId="0" borderId="1" xfId="0" applyFont="1" applyBorder="1" applyAlignment="1">
      <alignment horizontal="center" vertical="top"/>
    </xf>
    <xf numFmtId="0" fontId="28" fillId="0" borderId="1" xfId="0" applyFont="1" applyBorder="1" applyAlignment="1">
      <alignment horizontal="center" vertical="top"/>
    </xf>
    <xf numFmtId="0" fontId="29" fillId="7" borderId="25" xfId="0" applyFont="1" applyFill="1" applyBorder="1" applyAlignment="1">
      <alignment horizontal="right"/>
    </xf>
    <xf numFmtId="166" fontId="0" fillId="0" borderId="0" xfId="0" applyNumberFormat="1"/>
    <xf numFmtId="167" fontId="0" fillId="0" borderId="0" xfId="0" applyNumberFormat="1"/>
    <xf numFmtId="10" fontId="30" fillId="12" borderId="0" xfId="0" applyNumberFormat="1" applyFont="1" applyFill="1" applyAlignment="1">
      <alignment horizontal="right"/>
    </xf>
    <xf numFmtId="10" fontId="30" fillId="0" borderId="0" xfId="0" applyNumberFormat="1" applyFont="1" applyAlignment="1">
      <alignment horizontal="right"/>
    </xf>
    <xf numFmtId="0" fontId="0" fillId="0" borderId="0" xfId="0" applyAlignment="1">
      <alignment horizontal="center"/>
    </xf>
    <xf numFmtId="0" fontId="27" fillId="0" borderId="0" xfId="0" applyFont="1" applyAlignment="1">
      <alignment horizontal="center" vertical="top"/>
    </xf>
    <xf numFmtId="14" fontId="0" fillId="0" borderId="0" xfId="0" applyNumberFormat="1"/>
    <xf numFmtId="168" fontId="0" fillId="0" borderId="0" xfId="0" applyNumberFormat="1"/>
    <xf numFmtId="2" fontId="0" fillId="0" borderId="0" xfId="0" applyNumberFormat="1"/>
    <xf numFmtId="10" fontId="0" fillId="0" borderId="0" xfId="0" applyNumberFormat="1"/>
    <xf numFmtId="0" fontId="0" fillId="0" borderId="26" xfId="0" applyBorder="1"/>
    <xf numFmtId="0" fontId="31" fillId="0" borderId="27" xfId="0" applyFont="1" applyBorder="1" applyAlignment="1">
      <alignment horizontal="center"/>
    </xf>
    <xf numFmtId="0" fontId="31" fillId="0" borderId="27" xfId="0" applyFont="1" applyBorder="1" applyAlignment="1">
      <alignment horizontal="centerContinuous"/>
    </xf>
    <xf numFmtId="0" fontId="33" fillId="15" borderId="0" xfId="0" applyFont="1" applyFill="1"/>
    <xf numFmtId="0" fontId="34" fillId="16" borderId="0" xfId="0" applyFont="1" applyFill="1"/>
    <xf numFmtId="0" fontId="35" fillId="17" borderId="0" xfId="0" applyFont="1" applyFill="1"/>
    <xf numFmtId="0" fontId="30" fillId="18" borderId="30" xfId="0" applyFont="1" applyFill="1" applyBorder="1" applyAlignment="1">
      <alignment horizontal="left" vertical="center" indent="1"/>
    </xf>
    <xf numFmtId="169" fontId="36" fillId="10" borderId="31" xfId="0" applyNumberFormat="1" applyFont="1" applyFill="1" applyBorder="1" applyAlignment="1">
      <alignment horizontal="right" vertical="center"/>
    </xf>
    <xf numFmtId="170" fontId="32" fillId="19" borderId="32" xfId="0" applyNumberFormat="1" applyFont="1" applyFill="1" applyBorder="1" applyAlignment="1">
      <alignment horizontal="left" vertical="center" indent="1"/>
    </xf>
    <xf numFmtId="169" fontId="30" fillId="19" borderId="31" xfId="0" applyNumberFormat="1" applyFont="1" applyFill="1" applyBorder="1" applyAlignment="1">
      <alignment horizontal="right" vertical="center"/>
    </xf>
    <xf numFmtId="0" fontId="30" fillId="18" borderId="33" xfId="0" applyFont="1" applyFill="1" applyBorder="1" applyAlignment="1">
      <alignment horizontal="left" vertical="center" indent="1"/>
    </xf>
    <xf numFmtId="171" fontId="30" fillId="10" borderId="31" xfId="0" applyNumberFormat="1" applyFont="1" applyFill="1" applyBorder="1" applyAlignment="1">
      <alignment horizontal="right" vertical="center"/>
    </xf>
    <xf numFmtId="0" fontId="30" fillId="0" borderId="0" xfId="0" applyFont="1"/>
    <xf numFmtId="170" fontId="32" fillId="19" borderId="34" xfId="0" applyNumberFormat="1" applyFont="1" applyFill="1" applyBorder="1" applyAlignment="1">
      <alignment horizontal="left" vertical="center" indent="1"/>
    </xf>
    <xf numFmtId="171" fontId="30" fillId="19" borderId="31" xfId="0" applyNumberFormat="1" applyFont="1" applyFill="1" applyBorder="1" applyAlignment="1">
      <alignment horizontal="right" vertical="center"/>
    </xf>
    <xf numFmtId="0" fontId="37" fillId="0" borderId="0" xfId="0" applyFont="1" applyAlignment="1">
      <alignment horizontal="left" vertical="center" indent="1"/>
    </xf>
    <xf numFmtId="171" fontId="0" fillId="0" borderId="31" xfId="0" applyNumberFormat="1" applyBorder="1" applyAlignment="1">
      <alignment horizontal="right" vertical="center"/>
    </xf>
    <xf numFmtId="171" fontId="38" fillId="10" borderId="31" xfId="0" applyNumberFormat="1" applyFont="1" applyFill="1" applyBorder="1" applyAlignment="1">
      <alignment horizontal="right" vertical="center"/>
    </xf>
    <xf numFmtId="10" fontId="30" fillId="18" borderId="33" xfId="0" applyNumberFormat="1" applyFont="1" applyFill="1" applyBorder="1" applyAlignment="1">
      <alignment horizontal="left" vertical="center" indent="1"/>
    </xf>
    <xf numFmtId="171" fontId="32" fillId="10" borderId="31" xfId="0" applyNumberFormat="1" applyFont="1" applyFill="1" applyBorder="1" applyAlignment="1">
      <alignment horizontal="right" vertical="center"/>
    </xf>
    <xf numFmtId="2" fontId="36" fillId="10" borderId="31" xfId="0" applyNumberFormat="1" applyFont="1" applyFill="1" applyBorder="1" applyAlignment="1">
      <alignment horizontal="right" vertical="center"/>
    </xf>
    <xf numFmtId="171" fontId="36" fillId="10" borderId="31" xfId="0" applyNumberFormat="1" applyFont="1" applyFill="1" applyBorder="1" applyAlignment="1">
      <alignment horizontal="right" vertical="center"/>
    </xf>
    <xf numFmtId="0" fontId="30" fillId="18" borderId="37" xfId="0" applyFont="1" applyFill="1" applyBorder="1" applyAlignment="1">
      <alignment horizontal="left" vertical="center" indent="1"/>
    </xf>
    <xf numFmtId="10" fontId="30" fillId="20" borderId="38" xfId="0" applyNumberFormat="1" applyFont="1" applyFill="1" applyBorder="1" applyAlignment="1">
      <alignment horizontal="left" vertical="center" indent="1"/>
    </xf>
    <xf numFmtId="171" fontId="30" fillId="20" borderId="31" xfId="0" applyNumberFormat="1" applyFont="1" applyFill="1" applyBorder="1" applyAlignment="1">
      <alignment horizontal="right" vertical="center"/>
    </xf>
    <xf numFmtId="170" fontId="30" fillId="20" borderId="38" xfId="0" applyNumberFormat="1" applyFont="1" applyFill="1" applyBorder="1" applyAlignment="1">
      <alignment horizontal="left" vertical="center" indent="1"/>
    </xf>
    <xf numFmtId="171" fontId="30" fillId="19" borderId="39" xfId="0" applyNumberFormat="1" applyFont="1" applyFill="1" applyBorder="1" applyAlignment="1">
      <alignment horizontal="right" vertical="center"/>
    </xf>
    <xf numFmtId="171" fontId="35" fillId="17" borderId="31" xfId="0" applyNumberFormat="1" applyFont="1" applyFill="1" applyBorder="1" applyAlignment="1">
      <alignment horizontal="center" vertical="center" wrapText="1"/>
    </xf>
    <xf numFmtId="10" fontId="32" fillId="17" borderId="41" xfId="0" applyNumberFormat="1" applyFont="1" applyFill="1" applyBorder="1" applyAlignment="1">
      <alignment horizontal="center" vertical="center" wrapText="1"/>
    </xf>
    <xf numFmtId="10" fontId="32" fillId="17" borderId="42" xfId="0" applyNumberFormat="1" applyFont="1" applyFill="1" applyBorder="1" applyAlignment="1">
      <alignment horizontal="center" vertical="center" wrapText="1"/>
    </xf>
    <xf numFmtId="10" fontId="32" fillId="17" borderId="43" xfId="0" applyNumberFormat="1" applyFont="1" applyFill="1" applyBorder="1" applyAlignment="1">
      <alignment horizontal="center" vertical="center" wrapText="1"/>
    </xf>
    <xf numFmtId="0" fontId="39" fillId="17" borderId="0" xfId="0" applyFont="1" applyFill="1" applyAlignment="1">
      <alignment horizontal="center" vertical="center" wrapText="1"/>
    </xf>
    <xf numFmtId="10" fontId="32" fillId="21" borderId="44" xfId="0" applyNumberFormat="1" applyFont="1" applyFill="1" applyBorder="1" applyAlignment="1">
      <alignment horizontal="left" vertical="center" indent="1"/>
    </xf>
    <xf numFmtId="10" fontId="40" fillId="21" borderId="44" xfId="0" applyNumberFormat="1" applyFont="1" applyFill="1" applyBorder="1"/>
    <xf numFmtId="170" fontId="40" fillId="21" borderId="44" xfId="0" applyNumberFormat="1" applyFont="1" applyFill="1" applyBorder="1"/>
    <xf numFmtId="171" fontId="30" fillId="21" borderId="44" xfId="0" applyNumberFormat="1" applyFont="1" applyFill="1" applyBorder="1" applyAlignment="1">
      <alignment horizontal="right" vertical="center"/>
    </xf>
    <xf numFmtId="0" fontId="40" fillId="21" borderId="44" xfId="0" applyFont="1" applyFill="1" applyBorder="1"/>
    <xf numFmtId="0" fontId="41" fillId="15" borderId="0" xfId="0" applyFont="1" applyFill="1" applyAlignment="1">
      <alignment horizontal="left" vertical="center" indent="1"/>
    </xf>
    <xf numFmtId="0" fontId="0" fillId="10" borderId="0" xfId="0" applyFill="1"/>
    <xf numFmtId="17" fontId="43" fillId="22" borderId="48" xfId="0" applyNumberFormat="1" applyFont="1" applyFill="1" applyBorder="1" applyAlignment="1">
      <alignment horizontal="center"/>
    </xf>
    <xf numFmtId="0" fontId="44" fillId="23" borderId="49" xfId="0" applyFont="1" applyFill="1" applyBorder="1" applyAlignment="1">
      <alignment horizontal="left" indent="1"/>
    </xf>
    <xf numFmtId="4" fontId="44" fillId="23" borderId="50" xfId="0" applyNumberFormat="1" applyFont="1" applyFill="1" applyBorder="1" applyAlignment="1">
      <alignment horizontal="center"/>
    </xf>
    <xf numFmtId="4" fontId="44" fillId="23" borderId="51" xfId="0" applyNumberFormat="1" applyFont="1" applyFill="1" applyBorder="1" applyAlignment="1">
      <alignment horizontal="center"/>
    </xf>
    <xf numFmtId="0" fontId="44" fillId="10" borderId="52" xfId="0" applyFont="1" applyFill="1" applyBorder="1" applyAlignment="1">
      <alignment horizontal="left" indent="2"/>
    </xf>
    <xf numFmtId="4" fontId="45" fillId="10" borderId="53" xfId="0" applyNumberFormat="1" applyFont="1" applyFill="1" applyBorder="1" applyAlignment="1">
      <alignment horizontal="center"/>
    </xf>
    <xf numFmtId="4" fontId="45" fillId="10" borderId="54" xfId="0" applyNumberFormat="1" applyFont="1" applyFill="1" applyBorder="1" applyAlignment="1">
      <alignment horizontal="center"/>
    </xf>
    <xf numFmtId="0" fontId="45" fillId="24" borderId="52" xfId="0" applyFont="1" applyFill="1" applyBorder="1" applyAlignment="1">
      <alignment horizontal="left" indent="1"/>
    </xf>
    <xf numFmtId="4" fontId="45" fillId="24" borderId="53" xfId="0" applyNumberFormat="1" applyFont="1" applyFill="1" applyBorder="1" applyAlignment="1">
      <alignment horizontal="center"/>
    </xf>
    <xf numFmtId="4" fontId="45" fillId="24" borderId="54" xfId="0" applyNumberFormat="1" applyFont="1" applyFill="1" applyBorder="1" applyAlignment="1">
      <alignment horizontal="center"/>
    </xf>
    <xf numFmtId="0" fontId="44" fillId="10" borderId="55" xfId="0" applyFont="1" applyFill="1" applyBorder="1" applyAlignment="1">
      <alignment horizontal="left" indent="2"/>
    </xf>
    <xf numFmtId="4" fontId="45" fillId="10" borderId="56" xfId="0" applyNumberFormat="1" applyFont="1" applyFill="1" applyBorder="1" applyAlignment="1">
      <alignment horizontal="center"/>
    </xf>
    <xf numFmtId="0" fontId="45" fillId="24" borderId="57" xfId="0" applyFont="1" applyFill="1" applyBorder="1" applyAlignment="1">
      <alignment horizontal="left" indent="1"/>
    </xf>
    <xf numFmtId="4" fontId="45" fillId="24" borderId="58" xfId="0" applyNumberFormat="1" applyFont="1" applyFill="1" applyBorder="1" applyAlignment="1">
      <alignment horizontal="center"/>
    </xf>
    <xf numFmtId="0" fontId="44" fillId="10" borderId="0" xfId="0" applyFont="1" applyFill="1" applyAlignment="1">
      <alignment horizontal="left" indent="1"/>
    </xf>
    <xf numFmtId="0" fontId="44" fillId="10" borderId="0" xfId="0" applyFont="1" applyFill="1" applyAlignment="1">
      <alignment horizontal="center"/>
    </xf>
    <xf numFmtId="0" fontId="45" fillId="23" borderId="59" xfId="0" applyFont="1" applyFill="1" applyBorder="1" applyAlignment="1">
      <alignment horizontal="left" indent="1"/>
    </xf>
    <xf numFmtId="4" fontId="45" fillId="23" borderId="60" xfId="0" applyNumberFormat="1" applyFont="1" applyFill="1" applyBorder="1" applyAlignment="1">
      <alignment horizontal="center"/>
    </xf>
    <xf numFmtId="4" fontId="45" fillId="23" borderId="61" xfId="0" applyNumberFormat="1" applyFont="1" applyFill="1" applyBorder="1" applyAlignment="1">
      <alignment horizontal="center"/>
    </xf>
    <xf numFmtId="0" fontId="44" fillId="10" borderId="62" xfId="0" applyFont="1" applyFill="1" applyBorder="1" applyAlignment="1">
      <alignment horizontal="left" indent="1"/>
    </xf>
    <xf numFmtId="10" fontId="44" fillId="10" borderId="63" xfId="0" applyNumberFormat="1" applyFont="1" applyFill="1" applyBorder="1" applyAlignment="1">
      <alignment horizontal="center"/>
    </xf>
    <xf numFmtId="10" fontId="44" fillId="10" borderId="64" xfId="0" applyNumberFormat="1" applyFont="1" applyFill="1" applyBorder="1" applyAlignment="1">
      <alignment horizontal="center"/>
    </xf>
    <xf numFmtId="0" fontId="44" fillId="23" borderId="59" xfId="0" applyFont="1" applyFill="1" applyBorder="1" applyAlignment="1">
      <alignment horizontal="left" indent="1"/>
    </xf>
    <xf numFmtId="10" fontId="44" fillId="23" borderId="61" xfId="0" applyNumberFormat="1" applyFont="1" applyFill="1" applyBorder="1" applyAlignment="1">
      <alignment horizontal="center"/>
    </xf>
    <xf numFmtId="0" fontId="47" fillId="26" borderId="1" xfId="0" applyFont="1" applyFill="1" applyBorder="1"/>
    <xf numFmtId="4" fontId="0" fillId="0" borderId="1" xfId="0" applyNumberFormat="1" applyBorder="1"/>
    <xf numFmtId="0" fontId="47" fillId="0" borderId="1" xfId="0" applyFont="1" applyBorder="1"/>
    <xf numFmtId="10" fontId="0" fillId="0" borderId="1" xfId="0" applyNumberFormat="1" applyBorder="1"/>
    <xf numFmtId="10" fontId="0" fillId="0" borderId="1" xfId="0" applyNumberFormat="1" applyBorder="1" applyAlignment="1">
      <alignment horizontal="right"/>
    </xf>
    <xf numFmtId="4" fontId="47" fillId="0" borderId="1" xfId="0" applyNumberFormat="1" applyFont="1" applyBorder="1"/>
    <xf numFmtId="0" fontId="20" fillId="25" borderId="0" xfId="0" applyFont="1" applyFill="1" applyAlignment="1">
      <alignment vertical="center" wrapText="1"/>
    </xf>
    <xf numFmtId="2" fontId="34" fillId="16" borderId="0" xfId="0" applyNumberFormat="1" applyFont="1" applyFill="1"/>
    <xf numFmtId="2" fontId="47" fillId="10" borderId="0" xfId="0" applyNumberFormat="1" applyFont="1" applyFill="1"/>
    <xf numFmtId="2" fontId="47" fillId="0" borderId="0" xfId="0" applyNumberFormat="1" applyFont="1"/>
    <xf numFmtId="2" fontId="48" fillId="0" borderId="24" xfId="0" applyNumberFormat="1" applyFont="1" applyBorder="1"/>
    <xf numFmtId="2" fontId="47" fillId="0" borderId="24" xfId="0" applyNumberFormat="1" applyFont="1" applyBorder="1" applyAlignment="1">
      <alignment horizontal="right"/>
    </xf>
    <xf numFmtId="2" fontId="0" fillId="0" borderId="0" xfId="0" applyNumberFormat="1" applyAlignment="1">
      <alignment horizontal="right"/>
    </xf>
    <xf numFmtId="10" fontId="0" fillId="0" borderId="0" xfId="0" applyNumberFormat="1" applyAlignment="1">
      <alignment horizontal="right"/>
    </xf>
    <xf numFmtId="2" fontId="47" fillId="0" borderId="0" xfId="0" applyNumberFormat="1" applyFont="1" applyAlignment="1">
      <alignment horizontal="right"/>
    </xf>
    <xf numFmtId="2" fontId="49" fillId="28" borderId="0" xfId="0" applyNumberFormat="1" applyFont="1" applyFill="1" applyAlignment="1">
      <alignment horizontal="right"/>
    </xf>
    <xf numFmtId="2" fontId="46" fillId="27" borderId="0" xfId="0" applyNumberFormat="1" applyFont="1" applyFill="1"/>
    <xf numFmtId="172" fontId="49" fillId="28" borderId="0" xfId="0" applyNumberFormat="1" applyFont="1" applyFill="1"/>
    <xf numFmtId="172" fontId="0" fillId="0" borderId="0" xfId="0" applyNumberFormat="1"/>
    <xf numFmtId="172" fontId="34" fillId="16" borderId="0" xfId="0" applyNumberFormat="1" applyFont="1" applyFill="1"/>
    <xf numFmtId="172" fontId="47" fillId="0" borderId="24" xfId="0" applyNumberFormat="1" applyFont="1" applyBorder="1"/>
    <xf numFmtId="172" fontId="47" fillId="0" borderId="24" xfId="0" applyNumberFormat="1" applyFont="1" applyBorder="1" applyAlignment="1">
      <alignment horizontal="right"/>
    </xf>
    <xf numFmtId="172" fontId="47" fillId="0" borderId="0" xfId="0" applyNumberFormat="1" applyFont="1"/>
    <xf numFmtId="172" fontId="0" fillId="0" borderId="0" xfId="0" applyNumberFormat="1" applyAlignment="1">
      <alignment horizontal="left"/>
    </xf>
    <xf numFmtId="172" fontId="48" fillId="0" borderId="0" xfId="0" applyNumberFormat="1" applyFont="1"/>
    <xf numFmtId="172" fontId="50" fillId="0" borderId="0" xfId="0" applyNumberFormat="1" applyFont="1"/>
    <xf numFmtId="172" fontId="47" fillId="0" borderId="0" xfId="0" applyNumberFormat="1" applyFont="1" applyAlignment="1">
      <alignment horizontal="left"/>
    </xf>
    <xf numFmtId="172" fontId="0" fillId="20" borderId="0" xfId="0" applyNumberFormat="1" applyFill="1"/>
    <xf numFmtId="172" fontId="47" fillId="0" borderId="65" xfId="0" applyNumberFormat="1" applyFont="1" applyBorder="1"/>
    <xf numFmtId="172" fontId="0" fillId="0" borderId="65" xfId="0" applyNumberFormat="1" applyBorder="1"/>
    <xf numFmtId="172" fontId="0" fillId="10" borderId="0" xfId="0" applyNumberFormat="1" applyFill="1"/>
    <xf numFmtId="0" fontId="52" fillId="0" borderId="66" xfId="0" applyFont="1" applyBorder="1" applyAlignment="1">
      <alignment horizontal="left" vertical="center" wrapText="1"/>
    </xf>
    <xf numFmtId="0" fontId="54" fillId="0" borderId="0" xfId="0" applyFont="1"/>
    <xf numFmtId="0" fontId="55" fillId="0" borderId="66" xfId="0" applyFont="1" applyBorder="1"/>
    <xf numFmtId="0" fontId="34" fillId="30" borderId="0" xfId="0" applyFont="1" applyFill="1"/>
    <xf numFmtId="0" fontId="49" fillId="29" borderId="0" xfId="0" applyFont="1" applyFill="1"/>
    <xf numFmtId="0" fontId="0" fillId="29" borderId="0" xfId="0" applyFill="1"/>
    <xf numFmtId="0" fontId="47" fillId="0" borderId="0" xfId="0" applyFont="1"/>
    <xf numFmtId="0" fontId="47" fillId="31" borderId="0" xfId="0" applyFont="1" applyFill="1"/>
    <xf numFmtId="0" fontId="47" fillId="31" borderId="0" xfId="0" applyFont="1" applyFill="1" applyAlignment="1">
      <alignment wrapText="1"/>
    </xf>
    <xf numFmtId="0" fontId="0" fillId="0" borderId="71" xfId="0" applyBorder="1"/>
    <xf numFmtId="0" fontId="47" fillId="31" borderId="72" xfId="0" applyFont="1" applyFill="1" applyBorder="1"/>
    <xf numFmtId="0" fontId="47" fillId="31" borderId="73" xfId="0" applyFont="1" applyFill="1" applyBorder="1"/>
    <xf numFmtId="0" fontId="47" fillId="31" borderId="32" xfId="0" applyFont="1" applyFill="1" applyBorder="1"/>
    <xf numFmtId="0" fontId="56" fillId="10" borderId="74" xfId="0" applyFont="1" applyFill="1" applyBorder="1" applyAlignment="1">
      <alignment horizontal="left" vertical="center"/>
    </xf>
    <xf numFmtId="0" fontId="0" fillId="0" borderId="68" xfId="0" applyBorder="1"/>
    <xf numFmtId="167" fontId="57" fillId="0" borderId="33" xfId="0" applyNumberFormat="1" applyFont="1" applyBorder="1"/>
    <xf numFmtId="167" fontId="57" fillId="0" borderId="0" xfId="0" applyNumberFormat="1" applyFont="1"/>
    <xf numFmtId="167" fontId="0" fillId="0" borderId="32" xfId="0" applyNumberFormat="1" applyBorder="1"/>
    <xf numFmtId="167" fontId="57" fillId="0" borderId="32" xfId="0" applyNumberFormat="1" applyFont="1" applyBorder="1"/>
    <xf numFmtId="167" fontId="57" fillId="0" borderId="72" xfId="0" applyNumberFormat="1" applyFont="1" applyBorder="1"/>
    <xf numFmtId="173" fontId="0" fillId="0" borderId="0" xfId="0" applyNumberFormat="1"/>
    <xf numFmtId="173" fontId="57" fillId="0" borderId="75" xfId="0" applyNumberFormat="1" applyFont="1" applyBorder="1"/>
    <xf numFmtId="167" fontId="0" fillId="0" borderId="33" xfId="0" applyNumberFormat="1" applyBorder="1"/>
    <xf numFmtId="174" fontId="0" fillId="0" borderId="0" xfId="0" applyNumberFormat="1"/>
    <xf numFmtId="0" fontId="56" fillId="32" borderId="74" xfId="0" applyFont="1" applyFill="1" applyBorder="1" applyAlignment="1">
      <alignment horizontal="left" vertical="center"/>
    </xf>
    <xf numFmtId="0" fontId="0" fillId="10" borderId="0" xfId="0" applyFill="1" applyAlignment="1">
      <alignment horizontal="left" vertical="center"/>
    </xf>
    <xf numFmtId="0" fontId="57" fillId="0" borderId="0" xfId="0" applyFont="1"/>
    <xf numFmtId="168" fontId="57" fillId="0" borderId="0" xfId="0" applyNumberFormat="1" applyFont="1"/>
    <xf numFmtId="173" fontId="57" fillId="0" borderId="0" xfId="0" applyNumberFormat="1" applyFont="1"/>
    <xf numFmtId="0" fontId="49" fillId="29" borderId="0" xfId="0" applyFont="1" applyFill="1" applyAlignment="1">
      <alignment horizontal="center"/>
    </xf>
    <xf numFmtId="0" fontId="47" fillId="0" borderId="65" xfId="0" applyFont="1" applyBorder="1"/>
    <xf numFmtId="0" fontId="0" fillId="0" borderId="65" xfId="0" applyBorder="1"/>
    <xf numFmtId="2" fontId="47" fillId="0" borderId="65" xfId="0" applyNumberFormat="1" applyFont="1" applyBorder="1"/>
    <xf numFmtId="0" fontId="47" fillId="10" borderId="0" xfId="0" applyFont="1" applyFill="1" applyAlignment="1">
      <alignment horizontal="center"/>
    </xf>
    <xf numFmtId="0" fontId="47" fillId="0" borderId="0" xfId="0" applyFont="1" applyAlignment="1">
      <alignment horizontal="center"/>
    </xf>
    <xf numFmtId="0" fontId="46" fillId="30" borderId="0" xfId="0" applyFont="1" applyFill="1"/>
    <xf numFmtId="0" fontId="56" fillId="35" borderId="74" xfId="0" applyFont="1" applyFill="1" applyBorder="1" applyAlignment="1">
      <alignment horizontal="left" vertical="center"/>
    </xf>
    <xf numFmtId="167" fontId="57" fillId="36" borderId="33" xfId="0" applyNumberFormat="1" applyFont="1" applyFill="1" applyBorder="1"/>
    <xf numFmtId="167" fontId="57" fillId="36" borderId="0" xfId="0" applyNumberFormat="1" applyFont="1" applyFill="1"/>
    <xf numFmtId="167" fontId="47" fillId="35" borderId="0" xfId="0" applyNumberFormat="1" applyFont="1" applyFill="1"/>
    <xf numFmtId="167" fontId="47" fillId="35" borderId="33" xfId="0" applyNumberFormat="1" applyFont="1" applyFill="1" applyBorder="1"/>
    <xf numFmtId="167" fontId="57" fillId="36" borderId="32" xfId="0" applyNumberFormat="1" applyFont="1" applyFill="1" applyBorder="1"/>
    <xf numFmtId="167" fontId="57" fillId="36" borderId="72" xfId="0" applyNumberFormat="1" applyFont="1" applyFill="1" applyBorder="1"/>
    <xf numFmtId="0" fontId="47" fillId="35" borderId="71" xfId="0" applyFont="1" applyFill="1" applyBorder="1"/>
    <xf numFmtId="173" fontId="47" fillId="35" borderId="0" xfId="0" applyNumberFormat="1" applyFont="1" applyFill="1"/>
    <xf numFmtId="173" fontId="47" fillId="35" borderId="75" xfId="0" applyNumberFormat="1" applyFont="1" applyFill="1" applyBorder="1"/>
    <xf numFmtId="0" fontId="56" fillId="37" borderId="74" xfId="0" applyFont="1" applyFill="1" applyBorder="1" applyAlignment="1">
      <alignment horizontal="left" vertical="center"/>
    </xf>
    <xf numFmtId="167" fontId="57" fillId="38" borderId="33" xfId="0" applyNumberFormat="1" applyFont="1" applyFill="1" applyBorder="1"/>
    <xf numFmtId="167" fontId="57" fillId="38" borderId="0" xfId="0" applyNumberFormat="1" applyFont="1" applyFill="1"/>
    <xf numFmtId="167" fontId="0" fillId="38" borderId="33" xfId="0" applyNumberFormat="1" applyFill="1" applyBorder="1"/>
    <xf numFmtId="167" fontId="57" fillId="38" borderId="32" xfId="0" applyNumberFormat="1" applyFont="1" applyFill="1" applyBorder="1"/>
    <xf numFmtId="167" fontId="57" fillId="38" borderId="72" xfId="0" applyNumberFormat="1" applyFont="1" applyFill="1" applyBorder="1"/>
    <xf numFmtId="0" fontId="0" fillId="38" borderId="71" xfId="0" applyFill="1" applyBorder="1"/>
    <xf numFmtId="173" fontId="0" fillId="38" borderId="0" xfId="0" applyNumberFormat="1" applyFill="1"/>
    <xf numFmtId="173" fontId="57" fillId="38" borderId="75" xfId="0" applyNumberFormat="1" applyFont="1" applyFill="1" applyBorder="1"/>
    <xf numFmtId="17" fontId="59" fillId="33" borderId="76" xfId="0" applyNumberFormat="1" applyFont="1" applyFill="1" applyBorder="1" applyAlignment="1">
      <alignment horizontal="right" vertical="center"/>
    </xf>
    <xf numFmtId="0" fontId="0" fillId="33" borderId="0" xfId="0" applyFill="1"/>
    <xf numFmtId="0" fontId="53" fillId="34" borderId="77" xfId="0" applyFont="1" applyFill="1" applyBorder="1" applyAlignment="1">
      <alignment horizontal="left" vertical="center"/>
    </xf>
    <xf numFmtId="10" fontId="53" fillId="34" borderId="77" xfId="0" applyNumberFormat="1" applyFont="1" applyFill="1" applyBorder="1" applyAlignment="1">
      <alignment horizontal="right" vertical="center"/>
    </xf>
    <xf numFmtId="0" fontId="51" fillId="34" borderId="0" xfId="1" applyFill="1" applyAlignment="1">
      <alignment horizontal="left" vertical="center"/>
    </xf>
    <xf numFmtId="0" fontId="58" fillId="34" borderId="0" xfId="0" applyFont="1" applyFill="1" applyAlignment="1">
      <alignment horizontal="right" vertical="center"/>
    </xf>
    <xf numFmtId="0" fontId="53" fillId="33" borderId="77" xfId="0" applyFont="1" applyFill="1" applyBorder="1" applyAlignment="1">
      <alignment horizontal="left" vertical="center"/>
    </xf>
    <xf numFmtId="10" fontId="53" fillId="33" borderId="77" xfId="0" applyNumberFormat="1" applyFont="1" applyFill="1" applyBorder="1" applyAlignment="1">
      <alignment horizontal="right" vertical="center"/>
    </xf>
    <xf numFmtId="0" fontId="51" fillId="33" borderId="0" xfId="1" applyFill="1" applyAlignment="1">
      <alignment horizontal="left" vertical="center"/>
    </xf>
    <xf numFmtId="0" fontId="58" fillId="33" borderId="0" xfId="0" applyFont="1" applyFill="1" applyAlignment="1">
      <alignment horizontal="right" vertical="center"/>
    </xf>
    <xf numFmtId="0" fontId="60" fillId="33" borderId="0" xfId="0" applyFont="1" applyFill="1" applyAlignment="1">
      <alignment horizontal="left" vertical="center"/>
    </xf>
    <xf numFmtId="0" fontId="60" fillId="33" borderId="0" xfId="0" applyFont="1" applyFill="1" applyAlignment="1">
      <alignment horizontal="right" vertical="center"/>
    </xf>
    <xf numFmtId="0" fontId="61" fillId="0" borderId="0" xfId="0" applyFont="1" applyAlignment="1">
      <alignment horizontal="center" vertical="center"/>
    </xf>
    <xf numFmtId="17" fontId="61" fillId="0" borderId="0" xfId="0" applyNumberFormat="1" applyFont="1" applyAlignment="1">
      <alignment horizontal="right" vertical="center"/>
    </xf>
    <xf numFmtId="0" fontId="0" fillId="0" borderId="0" xfId="0" applyAlignment="1">
      <alignment vertical="center"/>
    </xf>
    <xf numFmtId="3" fontId="0" fillId="0" borderId="0" xfId="0" applyNumberFormat="1" applyAlignment="1">
      <alignment horizontal="right" vertical="center"/>
    </xf>
    <xf numFmtId="10" fontId="0" fillId="0" borderId="0" xfId="0" applyNumberFormat="1" applyAlignment="1">
      <alignment horizontal="right" vertical="center"/>
    </xf>
    <xf numFmtId="9" fontId="0" fillId="0" borderId="0" xfId="0" applyNumberFormat="1" applyAlignment="1">
      <alignment horizontal="right" vertical="center"/>
    </xf>
    <xf numFmtId="0" fontId="0" fillId="0" borderId="0" xfId="0" applyAlignment="1">
      <alignment horizontal="right" vertical="center"/>
    </xf>
    <xf numFmtId="0" fontId="63" fillId="39" borderId="78" xfId="0" applyFont="1" applyFill="1" applyBorder="1" applyAlignment="1">
      <alignment horizontal="center" vertical="center"/>
    </xf>
    <xf numFmtId="0" fontId="65" fillId="41" borderId="78" xfId="0" applyFont="1" applyFill="1" applyBorder="1" applyAlignment="1">
      <alignment horizontal="left" vertical="center" wrapText="1"/>
    </xf>
    <xf numFmtId="10" fontId="65" fillId="42" borderId="78" xfId="0" applyNumberFormat="1" applyFont="1" applyFill="1" applyBorder="1" applyAlignment="1">
      <alignment horizontal="right" vertical="center"/>
    </xf>
    <xf numFmtId="2" fontId="65" fillId="42" borderId="78" xfId="0" applyNumberFormat="1" applyFont="1" applyFill="1" applyBorder="1" applyAlignment="1">
      <alignment horizontal="right" vertical="center"/>
    </xf>
    <xf numFmtId="0" fontId="64" fillId="40" borderId="78" xfId="0" applyFont="1" applyFill="1" applyBorder="1" applyAlignment="1">
      <alignment horizontal="left" vertical="center"/>
    </xf>
    <xf numFmtId="0" fontId="0" fillId="0" borderId="0" xfId="0"/>
    <xf numFmtId="0" fontId="62" fillId="0" borderId="0" xfId="0" applyFont="1" applyAlignment="1">
      <alignment horizontal="center" vertical="center"/>
    </xf>
    <xf numFmtId="0" fontId="58" fillId="34" borderId="0" xfId="0" applyFont="1" applyFill="1" applyAlignment="1">
      <alignment horizontal="right" vertical="center"/>
    </xf>
    <xf numFmtId="0" fontId="0" fillId="0" borderId="24" xfId="0" applyBorder="1" applyAlignment="1">
      <alignment horizontal="center"/>
    </xf>
    <xf numFmtId="0" fontId="0" fillId="0" borderId="24" xfId="0" applyBorder="1"/>
    <xf numFmtId="0" fontId="32" fillId="17" borderId="35" xfId="0" applyFont="1" applyFill="1" applyBorder="1" applyAlignment="1">
      <alignment horizontal="center"/>
    </xf>
    <xf numFmtId="0" fontId="0" fillId="0" borderId="36" xfId="0" applyBorder="1"/>
    <xf numFmtId="0" fontId="32" fillId="17" borderId="28" xfId="0" applyFont="1" applyFill="1" applyBorder="1" applyAlignment="1">
      <alignment horizontal="center"/>
    </xf>
    <xf numFmtId="0" fontId="0" fillId="0" borderId="29" xfId="0" applyBorder="1"/>
    <xf numFmtId="0" fontId="32" fillId="17" borderId="35" xfId="0" applyFont="1" applyFill="1" applyBorder="1" applyAlignment="1">
      <alignment horizontal="center" vertical="center" wrapText="1"/>
    </xf>
    <xf numFmtId="0" fontId="0" fillId="0" borderId="40" xfId="0" applyBorder="1"/>
    <xf numFmtId="0" fontId="42" fillId="22" borderId="45" xfId="0" applyFont="1" applyFill="1" applyBorder="1" applyAlignment="1">
      <alignment horizontal="center" vertical="center" wrapText="1"/>
    </xf>
    <xf numFmtId="0" fontId="0" fillId="0" borderId="46" xfId="0" applyBorder="1"/>
    <xf numFmtId="0" fontId="0" fillId="0" borderId="47" xfId="0" applyBorder="1"/>
    <xf numFmtId="172" fontId="49" fillId="29" borderId="0" xfId="0" applyNumberFormat="1" applyFont="1" applyFill="1" applyAlignment="1">
      <alignment horizontal="center"/>
    </xf>
    <xf numFmtId="172" fontId="0" fillId="0" borderId="0" xfId="0" applyNumberFormat="1"/>
    <xf numFmtId="0" fontId="49" fillId="29" borderId="0" xfId="0" applyFont="1" applyFill="1" applyAlignment="1">
      <alignment horizontal="left"/>
    </xf>
    <xf numFmtId="0" fontId="47" fillId="31" borderId="32" xfId="0" applyFont="1" applyFill="1" applyBorder="1" applyAlignment="1">
      <alignment horizontal="center"/>
    </xf>
    <xf numFmtId="0" fontId="0" fillId="0" borderId="33" xfId="0" applyBorder="1"/>
    <xf numFmtId="0" fontId="47" fillId="31" borderId="1" xfId="0" applyFont="1" applyFill="1" applyBorder="1" applyAlignment="1">
      <alignment horizontal="center"/>
    </xf>
    <xf numFmtId="0" fontId="0" fillId="0" borderId="67" xfId="0" applyBorder="1"/>
    <xf numFmtId="0" fontId="0" fillId="0" borderId="69" xfId="0" applyBorder="1"/>
    <xf numFmtId="0" fontId="47" fillId="31" borderId="68" xfId="0" applyFont="1" applyFill="1" applyBorder="1" applyAlignment="1">
      <alignment horizontal="center"/>
    </xf>
    <xf numFmtId="0" fontId="0" fillId="0" borderId="71" xfId="0" applyBorder="1"/>
    <xf numFmtId="0" fontId="47" fillId="31" borderId="67" xfId="0" applyFont="1" applyFill="1" applyBorder="1" applyAlignment="1">
      <alignment horizontal="center"/>
    </xf>
    <xf numFmtId="0" fontId="0" fillId="0" borderId="70" xfId="0" applyBorder="1"/>
    <xf numFmtId="0" fontId="47" fillId="31" borderId="38" xfId="0" applyFont="1" applyFill="1" applyBorder="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78" xfId="0" applyBorder="1" applyAlignment="1">
      <alignment horizontal="center" vertical="center" wrapText="1"/>
    </xf>
    <xf numFmtId="0" fontId="61" fillId="0" borderId="0" xfId="0" applyFont="1"/>
    <xf numFmtId="0" fontId="66" fillId="0" borderId="78" xfId="0" applyFont="1" applyBorder="1" applyAlignment="1">
      <alignment horizontal="center"/>
    </xf>
    <xf numFmtId="0" fontId="67" fillId="43" borderId="78" xfId="0" applyFont="1" applyFill="1" applyBorder="1" applyAlignment="1">
      <alignment horizontal="left"/>
    </xf>
    <xf numFmtId="0" fontId="67" fillId="43" borderId="78" xfId="0" applyFont="1" applyFill="1" applyBorder="1" applyAlignment="1">
      <alignment horizontal="right"/>
    </xf>
    <xf numFmtId="0" fontId="67" fillId="43" borderId="78" xfId="0" applyFont="1" applyFill="1" applyBorder="1" applyAlignment="1">
      <alignment horizontal="center" vertical="center"/>
    </xf>
    <xf numFmtId="0" fontId="68" fillId="0" borderId="33" xfId="0" applyFont="1" applyBorder="1" applyAlignment="1">
      <alignment horizontal="center" vertical="center" wrapText="1"/>
    </xf>
    <xf numFmtId="0" fontId="68" fillId="0" borderId="0" xfId="0" applyFont="1" applyAlignment="1">
      <alignment horizontal="left"/>
    </xf>
    <xf numFmtId="0" fontId="20" fillId="8" borderId="9" xfId="0" applyNumberFormat="1" applyFont="1" applyFill="1" applyBorder="1" applyAlignment="1">
      <alignment horizontal="right" vertical="center"/>
    </xf>
    <xf numFmtId="0" fontId="43" fillId="22" borderId="48"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IN"/>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solidFill>
              <a:ln w="19050">
                <a:solidFill>
                  <a:schemeClr val="lt1"/>
                </a:solidFill>
                <a:prstDash val="solid"/>
              </a:ln>
            </c:spPr>
            <c:extLst>
              <c:ext xmlns:c16="http://schemas.microsoft.com/office/drawing/2014/chart" uri="{C3380CC4-5D6E-409C-BE32-E72D297353CC}">
                <c16:uniqueId val="{00000001-E47C-49AF-9C7A-A9316F6A1722}"/>
              </c:ext>
            </c:extLst>
          </c:dPt>
          <c:dPt>
            <c:idx val="1"/>
            <c:bubble3D val="0"/>
            <c:spPr>
              <a:solidFill>
                <a:schemeClr val="accent2"/>
              </a:solidFill>
              <a:ln w="19050">
                <a:solidFill>
                  <a:schemeClr val="lt1"/>
                </a:solidFill>
                <a:prstDash val="solid"/>
              </a:ln>
            </c:spPr>
            <c:extLst>
              <c:ext xmlns:c16="http://schemas.microsoft.com/office/drawing/2014/chart" uri="{C3380CC4-5D6E-409C-BE32-E72D297353CC}">
                <c16:uniqueId val="{00000003-E47C-49AF-9C7A-A9316F6A1722}"/>
              </c:ext>
            </c:extLst>
          </c:dPt>
          <c:cat>
            <c:strRef>
              <c:f>WACC!$B$9:$B$10</c:f>
              <c:strCache>
                <c:ptCount val="2"/>
                <c:pt idx="0">
                  <c:v>% of Debt</c:v>
                </c:pt>
                <c:pt idx="1">
                  <c:v>% of Equity</c:v>
                </c:pt>
              </c:strCache>
            </c:strRef>
          </c:cat>
          <c:val>
            <c:numRef>
              <c:f>WACC!$C$9:$C$10</c:f>
              <c:numCache>
                <c:formatCode>0.0%;\(0.0%\);\-</c:formatCode>
                <c:ptCount val="2"/>
                <c:pt idx="0">
                  <c:v>2.5983698559724742E-2</c:v>
                </c:pt>
                <c:pt idx="1">
                  <c:v>0.97401630144027529</c:v>
                </c:pt>
              </c:numCache>
            </c:numRef>
          </c:val>
          <c:extLst>
            <c:ext xmlns:c16="http://schemas.microsoft.com/office/drawing/2014/chart" uri="{C3380CC4-5D6E-409C-BE32-E72D297353CC}">
              <c16:uniqueId val="{00000004-E47C-49AF-9C7A-A9316F6A1722}"/>
            </c:ext>
          </c:extLst>
        </c:ser>
        <c:dLbls>
          <c:showLegendKey val="0"/>
          <c:showVal val="0"/>
          <c:showCatName val="0"/>
          <c:showSerName val="0"/>
          <c:showPercent val="0"/>
          <c:showBubbleSize val="0"/>
          <c:showLeaderLines val="1"/>
        </c:dLbls>
        <c:firstSliceAng val="0"/>
      </c:pie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8</xdr:col>
      <xdr:colOff>405054</xdr:colOff>
      <xdr:row>11</xdr:row>
      <xdr:rowOff>175260</xdr:rowOff>
    </xdr:to>
    <xdr:pic>
      <xdr:nvPicPr>
        <xdr:cNvPr id="2" name="Picture 1" descr="infosys logo vector, infosys icon free vector 20336451 ...">
          <a:extLst>
            <a:ext uri="{FF2B5EF4-FFF2-40B4-BE49-F238E27FC236}">
              <a16:creationId xmlns:a16="http://schemas.microsoft.com/office/drawing/2014/main" id="{8723650D-5C9E-9E73-3C5E-698B7DD9DC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2880"/>
          <a:ext cx="5281854" cy="2019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11</xdr:col>
      <xdr:colOff>868673</xdr:colOff>
      <xdr:row>21</xdr:row>
      <xdr:rowOff>79612</xdr:rowOff>
    </xdr:to>
    <xdr:pic>
      <xdr:nvPicPr>
        <xdr:cNvPr id="3" name="Picture 2">
          <a:extLst>
            <a:ext uri="{FF2B5EF4-FFF2-40B4-BE49-F238E27FC236}">
              <a16:creationId xmlns:a16="http://schemas.microsoft.com/office/drawing/2014/main" id="{C8DA3670-3CE5-C856-7334-D0B0E94BA906}"/>
            </a:ext>
          </a:extLst>
        </xdr:cNvPr>
        <xdr:cNvPicPr>
          <a:picLocks noChangeAspect="1"/>
        </xdr:cNvPicPr>
      </xdr:nvPicPr>
      <xdr:blipFill>
        <a:blip xmlns:r="http://schemas.openxmlformats.org/officeDocument/2006/relationships" r:embed="rId1"/>
        <a:stretch>
          <a:fillRect/>
        </a:stretch>
      </xdr:blipFill>
      <xdr:spPr>
        <a:xfrm>
          <a:off x="0" y="193343"/>
          <a:ext cx="7999628" cy="54136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xdr:colOff>
      <xdr:row>1</xdr:row>
      <xdr:rowOff>186690</xdr:rowOff>
    </xdr:from>
    <xdr:to>
      <xdr:col>10</xdr:col>
      <xdr:colOff>472440</xdr:colOff>
      <xdr:row>12</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screener.in/people/39412/gaurav-manchanda/" TargetMode="External"/><Relationship Id="rId18" Type="http://schemas.openxmlformats.org/officeDocument/2006/relationships/hyperlink" Target="https://www.screener.in/people/39406/divya-dinesh/" TargetMode="External"/><Relationship Id="rId26" Type="http://schemas.openxmlformats.org/officeDocument/2006/relationships/hyperlink" Target="https://www.screener.in/people/39420/tanush-nilekani-chandra/" TargetMode="External"/><Relationship Id="rId39" Type="http://schemas.openxmlformats.org/officeDocument/2006/relationships/hyperlink" Target="https://www.screener.in/people/346/sbi-mutual-fund/" TargetMode="External"/><Relationship Id="rId21" Type="http://schemas.openxmlformats.org/officeDocument/2006/relationships/hyperlink" Target="https://www.screener.in/people/39414/bhairavi-madhusudhan/" TargetMode="External"/><Relationship Id="rId34" Type="http://schemas.openxmlformats.org/officeDocument/2006/relationships/hyperlink" Target="https://www.screener.in/people/146/government-pension-fund-global/" TargetMode="External"/><Relationship Id="rId42" Type="http://schemas.openxmlformats.org/officeDocument/2006/relationships/hyperlink" Target="https://www.screener.in/people/340/icici-prudential-mutual-fund/" TargetMode="External"/><Relationship Id="rId47" Type="http://schemas.openxmlformats.org/officeDocument/2006/relationships/hyperlink" Target="https://www.screener.in/people/2855/hdfc-trustee-company-limited-hdfc-equity-fund/" TargetMode="External"/><Relationship Id="rId50" Type="http://schemas.openxmlformats.org/officeDocument/2006/relationships/hyperlink" Target="https://www.screener.in/people/172/sbi-etf-nifty-50/" TargetMode="External"/><Relationship Id="rId55" Type="http://schemas.openxmlformats.org/officeDocument/2006/relationships/hyperlink" Target="https://www.screener.in/people/17243/sbi-etf-sensex/" TargetMode="External"/><Relationship Id="rId7" Type="http://schemas.openxmlformats.org/officeDocument/2006/relationships/hyperlink" Target="https://www.screener.in/people/39396/sudha-n-murty/" TargetMode="External"/><Relationship Id="rId2" Type="http://schemas.openxmlformats.org/officeDocument/2006/relationships/hyperlink" Target="https://www.screener.in/people/39391/rohan-murty/" TargetMode="External"/><Relationship Id="rId16" Type="http://schemas.openxmlformats.org/officeDocument/2006/relationships/hyperlink" Target="https://www.screener.in/people/39411/meghana-gopalakrishnan/" TargetMode="External"/><Relationship Id="rId29" Type="http://schemas.openxmlformats.org/officeDocument/2006/relationships/hyperlink" Target="https://www.screener.in/people/4976/oppenheimer-developing-markets-fund/" TargetMode="External"/><Relationship Id="rId11" Type="http://schemas.openxmlformats.org/officeDocument/2006/relationships/hyperlink" Target="https://www.screener.in/people/39400/narayana-murthy/" TargetMode="External"/><Relationship Id="rId24" Type="http://schemas.openxmlformats.org/officeDocument/2006/relationships/hyperlink" Target="https://www.screener.in/people/39401/s-d-shibulal/" TargetMode="External"/><Relationship Id="rId32" Type="http://schemas.openxmlformats.org/officeDocument/2006/relationships/hyperlink" Target="https://www.screener.in/people/26361/vanguard-emerging-markets-stock-index-fund-a-series-of-vanguard-international-equity-index-fund/" TargetMode="External"/><Relationship Id="rId37" Type="http://schemas.openxmlformats.org/officeDocument/2006/relationships/hyperlink" Target="https://www.screener.in/people/123150/life-insurance-corporation-of-india/" TargetMode="External"/><Relationship Id="rId40" Type="http://schemas.openxmlformats.org/officeDocument/2006/relationships/hyperlink" Target="https://www.screener.in/people/2326/hdfc-trustee-company-limited-hdfc-prudance-fund/" TargetMode="External"/><Relationship Id="rId45" Type="http://schemas.openxmlformats.org/officeDocument/2006/relationships/hyperlink" Target="https://www.screener.in/people/361/nippon-life-india-trustee/" TargetMode="External"/><Relationship Id="rId53" Type="http://schemas.openxmlformats.org/officeDocument/2006/relationships/hyperlink" Target="https://www.screener.in/people/1634/kotak-equity-arbitrage-fund/" TargetMode="External"/><Relationship Id="rId58" Type="http://schemas.openxmlformats.org/officeDocument/2006/relationships/hyperlink" Target="https://www.screener.in/people/253/deutsche-bank-trust-company-americas/" TargetMode="External"/><Relationship Id="rId5" Type="http://schemas.openxmlformats.org/officeDocument/2006/relationships/hyperlink" Target="https://www.screener.in/people/39395/asha-dinesh/" TargetMode="External"/><Relationship Id="rId61" Type="http://schemas.openxmlformats.org/officeDocument/2006/relationships/hyperlink" Target="https://www.screener.in/people/253/deutsche-bank-trust-company-americas/" TargetMode="External"/><Relationship Id="rId19" Type="http://schemas.openxmlformats.org/officeDocument/2006/relationships/hyperlink" Target="https://www.screener.in/people/39404/kumari-shibulal/" TargetMode="External"/><Relationship Id="rId14" Type="http://schemas.openxmlformats.org/officeDocument/2006/relationships/hyperlink" Target="https://www.screener.in/people/39402/janhavi-nilekani/" TargetMode="External"/><Relationship Id="rId22" Type="http://schemas.openxmlformats.org/officeDocument/2006/relationships/hyperlink" Target="https://www.screener.in/people/39418/bhairavi-madhusudhan-shibulal/" TargetMode="External"/><Relationship Id="rId27" Type="http://schemas.openxmlformats.org/officeDocument/2006/relationships/hyperlink" Target="https://www.screener.in/people/150902/ekagrah-rohan-murty/" TargetMode="External"/><Relationship Id="rId30" Type="http://schemas.openxmlformats.org/officeDocument/2006/relationships/hyperlink" Target="https://www.screener.in/people/169/government-of-singapore/" TargetMode="External"/><Relationship Id="rId35" Type="http://schemas.openxmlformats.org/officeDocument/2006/relationships/hyperlink" Target="https://www.screener.in/people/52764/vanguard-emerging-markets-stock-index-fund/" TargetMode="External"/><Relationship Id="rId43" Type="http://schemas.openxmlformats.org/officeDocument/2006/relationships/hyperlink" Target="https://www.screener.in/people/39419/national-pension-system-trust/" TargetMode="External"/><Relationship Id="rId48" Type="http://schemas.openxmlformats.org/officeDocument/2006/relationships/hyperlink" Target="https://www.screener.in/people/352/uti-mutual-fund/" TargetMode="External"/><Relationship Id="rId56" Type="http://schemas.openxmlformats.org/officeDocument/2006/relationships/hyperlink" Target="https://www.screener.in/people/26119/aditya-birla-sun-life-mutual-fund/" TargetMode="External"/><Relationship Id="rId8" Type="http://schemas.openxmlformats.org/officeDocument/2006/relationships/hyperlink" Target="https://www.screener.in/people/442/rohini-nilekani/" TargetMode="External"/><Relationship Id="rId51" Type="http://schemas.openxmlformats.org/officeDocument/2006/relationships/hyperlink" Target="https://www.screener.in/people/8915/sbi-life-insurance-co-ltd/" TargetMode="External"/><Relationship Id="rId3" Type="http://schemas.openxmlformats.org/officeDocument/2006/relationships/hyperlink" Target="https://www.screener.in/people/23053/nandan-m-nilekani/" TargetMode="External"/><Relationship Id="rId12" Type="http://schemas.openxmlformats.org/officeDocument/2006/relationships/hyperlink" Target="https://www.screener.in/people/39403/nihar-nilekani/" TargetMode="External"/><Relationship Id="rId17" Type="http://schemas.openxmlformats.org/officeDocument/2006/relationships/hyperlink" Target="https://www.screener.in/people/39405/deeksha-dinesh/" TargetMode="External"/><Relationship Id="rId25" Type="http://schemas.openxmlformats.org/officeDocument/2006/relationships/hyperlink" Target="https://www.screener.in/people/39407/meghana/" TargetMode="External"/><Relationship Id="rId33" Type="http://schemas.openxmlformats.org/officeDocument/2006/relationships/hyperlink" Target="https://www.screener.in/people/298/vanguard-total-international-stock-index-fund/" TargetMode="External"/><Relationship Id="rId38" Type="http://schemas.openxmlformats.org/officeDocument/2006/relationships/hyperlink" Target="https://www.screener.in/people/259/lic-of-india/" TargetMode="External"/><Relationship Id="rId46" Type="http://schemas.openxmlformats.org/officeDocument/2006/relationships/hyperlink" Target="https://www.screener.in/people/1630/icici-prudential-top-100-fund/" TargetMode="External"/><Relationship Id="rId59" Type="http://schemas.openxmlformats.org/officeDocument/2006/relationships/hyperlink" Target="https://www.screener.in/people/123150/life-insurance-corporation-of-india/" TargetMode="External"/><Relationship Id="rId20" Type="http://schemas.openxmlformats.org/officeDocument/2006/relationships/hyperlink" Target="https://www.screener.in/people/39422/nikita-shibulal-manchanda/" TargetMode="External"/><Relationship Id="rId41" Type="http://schemas.openxmlformats.org/officeDocument/2006/relationships/hyperlink" Target="https://www.screener.in/people/2326/hdfc-trustee-company-limited-hdfc-prudance-fund/" TargetMode="External"/><Relationship Id="rId54" Type="http://schemas.openxmlformats.org/officeDocument/2006/relationships/hyperlink" Target="https://www.screener.in/people/52385/aditya-birla-sun-life-trustee/" TargetMode="External"/><Relationship Id="rId1" Type="http://schemas.openxmlformats.org/officeDocument/2006/relationships/hyperlink" Target="https://www.screener.in/people/39390/sudha-gopalakrishnan/" TargetMode="External"/><Relationship Id="rId6" Type="http://schemas.openxmlformats.org/officeDocument/2006/relationships/hyperlink" Target="https://www.screener.in/people/39393/s-gopalakrishnan/" TargetMode="External"/><Relationship Id="rId15" Type="http://schemas.openxmlformats.org/officeDocument/2006/relationships/hyperlink" Target="https://www.screener.in/people/39413/milan-shibulal-manchanda/" TargetMode="External"/><Relationship Id="rId23" Type="http://schemas.openxmlformats.org/officeDocument/2006/relationships/hyperlink" Target="https://www.screener.in/people/39399/shruti-shibulal/" TargetMode="External"/><Relationship Id="rId28" Type="http://schemas.openxmlformats.org/officeDocument/2006/relationships/hyperlink" Target="https://www.screener.in/people/39421/shray-chandra/" TargetMode="External"/><Relationship Id="rId36" Type="http://schemas.openxmlformats.org/officeDocument/2006/relationships/hyperlink" Target="https://www.screener.in/people/39389/life-insurance-corporation-of-india-ulif00220091/" TargetMode="External"/><Relationship Id="rId49" Type="http://schemas.openxmlformats.org/officeDocument/2006/relationships/hyperlink" Target="https://www.screener.in/people/2876/icici-prudential-value-discovery-fund/" TargetMode="External"/><Relationship Id="rId57" Type="http://schemas.openxmlformats.org/officeDocument/2006/relationships/hyperlink" Target="https://www.screener.in/people/26100/reliance-mutual-fund/" TargetMode="External"/><Relationship Id="rId10" Type="http://schemas.openxmlformats.org/officeDocument/2006/relationships/hyperlink" Target="https://www.screener.in/people/39398/shreyas-shibulal/" TargetMode="External"/><Relationship Id="rId31" Type="http://schemas.openxmlformats.org/officeDocument/2006/relationships/hyperlink" Target="https://www.screener.in/people/433/abu-dhabi-investment-authority/" TargetMode="External"/><Relationship Id="rId44" Type="http://schemas.openxmlformats.org/officeDocument/2006/relationships/hyperlink" Target="https://www.screener.in/people/342/hdfc-mutual-fund/" TargetMode="External"/><Relationship Id="rId52" Type="http://schemas.openxmlformats.org/officeDocument/2006/relationships/hyperlink" Target="https://www.screener.in/people/2854/icici-prudential-life-insurance-company-ltd/" TargetMode="External"/><Relationship Id="rId60" Type="http://schemas.openxmlformats.org/officeDocument/2006/relationships/hyperlink" Target="https://www.screener.in/people/39419/national-pension-system-trust/" TargetMode="External"/><Relationship Id="rId4" Type="http://schemas.openxmlformats.org/officeDocument/2006/relationships/hyperlink" Target="https://www.screener.in/people/39394/akshata-murty/" TargetMode="External"/><Relationship Id="rId9" Type="http://schemas.openxmlformats.org/officeDocument/2006/relationships/hyperlink" Target="https://www.screener.in/people/39397/dinesh-krishnaswamy/"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screener.in/company/GLENMARK/consolidated/" TargetMode="External"/><Relationship Id="rId2" Type="http://schemas.openxmlformats.org/officeDocument/2006/relationships/hyperlink" Target="https://www.screener.in/company/LAURUSLABS/consolidated/" TargetMode="External"/><Relationship Id="rId1" Type="http://schemas.openxmlformats.org/officeDocument/2006/relationships/hyperlink" Target="https://www.screener.in/company/TCS/consolidated/" TargetMode="External"/><Relationship Id="rId5" Type="http://schemas.openxmlformats.org/officeDocument/2006/relationships/hyperlink" Target="https://www.screener.in/company/ANTHEM/consolidated/" TargetMode="External"/><Relationship Id="rId4" Type="http://schemas.openxmlformats.org/officeDocument/2006/relationships/hyperlink" Target="https://www.screener.in/company/BIOCON/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CAB8A-60F9-4F2A-ADB0-B5889BEBD1C7}">
  <dimension ref="B3:N19"/>
  <sheetViews>
    <sheetView showGridLines="0" workbookViewId="0">
      <selection activeCell="M19" sqref="M19"/>
    </sheetView>
  </sheetViews>
  <sheetFormatPr defaultRowHeight="14.4" x14ac:dyDescent="0.3"/>
  <cols>
    <col min="13" max="13" width="30.21875" customWidth="1"/>
  </cols>
  <sheetData>
    <row r="3" spans="2:14" ht="15.6" x14ac:dyDescent="0.3">
      <c r="J3" s="311" t="s">
        <v>400</v>
      </c>
      <c r="K3" s="311"/>
      <c r="L3" s="311"/>
      <c r="M3" s="311"/>
      <c r="N3" s="311"/>
    </row>
    <row r="4" spans="2:14" x14ac:dyDescent="0.3">
      <c r="J4" s="309" t="s">
        <v>394</v>
      </c>
      <c r="K4" s="309"/>
      <c r="L4" s="309"/>
      <c r="M4" s="309"/>
      <c r="N4" s="309"/>
    </row>
    <row r="5" spans="2:14" x14ac:dyDescent="0.3">
      <c r="J5" s="309"/>
      <c r="K5" s="309"/>
      <c r="L5" s="309"/>
      <c r="M5" s="309"/>
      <c r="N5" s="309"/>
    </row>
    <row r="6" spans="2:14" x14ac:dyDescent="0.3">
      <c r="J6" s="309"/>
      <c r="K6" s="309"/>
      <c r="L6" s="309"/>
      <c r="M6" s="309"/>
      <c r="N6" s="309"/>
    </row>
    <row r="7" spans="2:14" x14ac:dyDescent="0.3">
      <c r="J7" s="309"/>
      <c r="K7" s="309"/>
      <c r="L7" s="309"/>
      <c r="M7" s="309"/>
      <c r="N7" s="309"/>
    </row>
    <row r="8" spans="2:14" x14ac:dyDescent="0.3">
      <c r="J8" s="309"/>
      <c r="K8" s="309"/>
      <c r="L8" s="309"/>
      <c r="M8" s="309"/>
      <c r="N8" s="309"/>
    </row>
    <row r="9" spans="2:14" x14ac:dyDescent="0.3">
      <c r="J9" s="309"/>
      <c r="K9" s="309"/>
      <c r="L9" s="309"/>
      <c r="M9" s="309"/>
      <c r="N9" s="309"/>
    </row>
    <row r="10" spans="2:14" x14ac:dyDescent="0.3">
      <c r="J10" s="309"/>
      <c r="K10" s="309"/>
      <c r="L10" s="309"/>
      <c r="M10" s="309"/>
      <c r="N10" s="309"/>
    </row>
    <row r="11" spans="2:14" x14ac:dyDescent="0.3">
      <c r="J11" s="309"/>
      <c r="K11" s="309"/>
      <c r="L11" s="309"/>
      <c r="M11" s="309"/>
      <c r="N11" s="309"/>
    </row>
    <row r="12" spans="2:14" x14ac:dyDescent="0.3">
      <c r="J12" s="309"/>
      <c r="K12" s="309"/>
      <c r="L12" s="309"/>
      <c r="M12" s="309"/>
      <c r="N12" s="309"/>
    </row>
    <row r="13" spans="2:14" ht="95.4" customHeight="1" x14ac:dyDescent="0.3">
      <c r="J13" s="309"/>
      <c r="K13" s="309"/>
      <c r="L13" s="309"/>
      <c r="M13" s="309"/>
      <c r="N13" s="309"/>
    </row>
    <row r="14" spans="2:14" x14ac:dyDescent="0.3">
      <c r="B14" s="310" t="s">
        <v>399</v>
      </c>
    </row>
    <row r="16" spans="2:14" x14ac:dyDescent="0.3">
      <c r="B16" t="s">
        <v>395</v>
      </c>
    </row>
    <row r="17" spans="2:2" x14ac:dyDescent="0.3">
      <c r="B17" t="s">
        <v>396</v>
      </c>
    </row>
    <row r="18" spans="2:2" x14ac:dyDescent="0.3">
      <c r="B18" t="s">
        <v>397</v>
      </c>
    </row>
    <row r="19" spans="2:2" x14ac:dyDescent="0.3">
      <c r="B19" t="s">
        <v>398</v>
      </c>
    </row>
  </sheetData>
  <mergeCells count="2">
    <mergeCell ref="J3:N3"/>
    <mergeCell ref="J4:N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70"/>
  <sheetViews>
    <sheetView showGridLines="0" workbookViewId="0">
      <selection activeCell="M19" sqref="M19"/>
    </sheetView>
  </sheetViews>
  <sheetFormatPr defaultRowHeight="14.4" outlineLevelRow="1" x14ac:dyDescent="0.3"/>
  <cols>
    <col min="1" max="1" width="8.88671875" customWidth="1"/>
    <col min="2" max="2" width="45.77734375" bestFit="1" customWidth="1"/>
    <col min="3" max="3" width="10.6640625" bestFit="1" customWidth="1"/>
    <col min="4" max="4" width="8.88671875" customWidth="1"/>
  </cols>
  <sheetData>
    <row r="2" spans="2:3" ht="15" customHeight="1" thickBot="1" x14ac:dyDescent="0.35">
      <c r="B2" s="256"/>
      <c r="C2" s="257"/>
    </row>
    <row r="3" spans="2:3" ht="15" customHeight="1" thickBot="1" x14ac:dyDescent="0.35">
      <c r="B3" s="258" t="s">
        <v>22</v>
      </c>
      <c r="C3" s="259">
        <v>0.14380000000000001</v>
      </c>
    </row>
    <row r="4" spans="2:3" hidden="1" outlineLevel="1" x14ac:dyDescent="0.3">
      <c r="B4" s="260" t="s">
        <v>23</v>
      </c>
      <c r="C4" s="261">
        <v>2.54</v>
      </c>
    </row>
    <row r="5" spans="2:3" hidden="1" outlineLevel="1" x14ac:dyDescent="0.3">
      <c r="B5" s="260" t="s">
        <v>24</v>
      </c>
      <c r="C5" s="261">
        <v>1.62</v>
      </c>
    </row>
    <row r="6" spans="2:3" hidden="1" outlineLevel="1" x14ac:dyDescent="0.3">
      <c r="B6" s="260" t="s">
        <v>25</v>
      </c>
      <c r="C6" s="261">
        <v>1.0900000000000001</v>
      </c>
    </row>
    <row r="7" spans="2:3" hidden="1" outlineLevel="1" x14ac:dyDescent="0.3">
      <c r="B7" s="260" t="s">
        <v>26</v>
      </c>
      <c r="C7" s="261">
        <v>1.04</v>
      </c>
    </row>
    <row r="8" spans="2:3" hidden="1" outlineLevel="1" x14ac:dyDescent="0.3">
      <c r="B8" s="260" t="s">
        <v>27</v>
      </c>
      <c r="C8" s="261">
        <v>1.03</v>
      </c>
    </row>
    <row r="9" spans="2:3" hidden="1" outlineLevel="1" x14ac:dyDescent="0.3">
      <c r="B9" s="260" t="s">
        <v>28</v>
      </c>
      <c r="C9" s="261">
        <v>0.85</v>
      </c>
    </row>
    <row r="10" spans="2:3" hidden="1" outlineLevel="1" x14ac:dyDescent="0.3">
      <c r="B10" s="260" t="s">
        <v>29</v>
      </c>
      <c r="C10" s="261">
        <v>0.92</v>
      </c>
    </row>
    <row r="11" spans="2:3" hidden="1" outlineLevel="1" x14ac:dyDescent="0.3">
      <c r="B11" s="260" t="s">
        <v>30</v>
      </c>
      <c r="C11" s="261">
        <v>0.92</v>
      </c>
    </row>
    <row r="12" spans="2:3" hidden="1" outlineLevel="1" x14ac:dyDescent="0.3">
      <c r="B12" s="260" t="s">
        <v>31</v>
      </c>
      <c r="C12" s="261">
        <v>0.87</v>
      </c>
    </row>
    <row r="13" spans="2:3" hidden="1" outlineLevel="1" x14ac:dyDescent="0.3">
      <c r="B13" s="260" t="s">
        <v>32</v>
      </c>
      <c r="C13" s="261">
        <v>0.48</v>
      </c>
    </row>
    <row r="14" spans="2:3" hidden="1" outlineLevel="1" x14ac:dyDescent="0.3">
      <c r="B14" s="260" t="s">
        <v>33</v>
      </c>
      <c r="C14" s="261">
        <v>0.4</v>
      </c>
    </row>
    <row r="15" spans="2:3" hidden="1" outlineLevel="1" x14ac:dyDescent="0.3">
      <c r="B15" s="260" t="s">
        <v>34</v>
      </c>
      <c r="C15" s="261">
        <v>0.34</v>
      </c>
    </row>
    <row r="16" spans="2:3" hidden="1" outlineLevel="1" x14ac:dyDescent="0.3">
      <c r="B16" s="260" t="s">
        <v>35</v>
      </c>
      <c r="C16" s="261">
        <v>0.15</v>
      </c>
    </row>
    <row r="17" spans="2:3" hidden="1" outlineLevel="1" x14ac:dyDescent="0.3">
      <c r="B17" s="260" t="s">
        <v>36</v>
      </c>
      <c r="C17" s="261">
        <v>0.23</v>
      </c>
    </row>
    <row r="18" spans="2:3" hidden="1" outlineLevel="1" x14ac:dyDescent="0.3">
      <c r="B18" s="260" t="s">
        <v>37</v>
      </c>
      <c r="C18" s="261">
        <v>0.16</v>
      </c>
    </row>
    <row r="19" spans="2:3" hidden="1" outlineLevel="1" x14ac:dyDescent="0.3">
      <c r="B19" s="260" t="s">
        <v>38</v>
      </c>
      <c r="C19" s="261">
        <v>0.4</v>
      </c>
    </row>
    <row r="20" spans="2:3" hidden="1" outlineLevel="1" x14ac:dyDescent="0.3">
      <c r="B20" s="260" t="s">
        <v>39</v>
      </c>
      <c r="C20" s="261">
        <v>0.2</v>
      </c>
    </row>
    <row r="21" spans="2:3" hidden="1" outlineLevel="1" x14ac:dyDescent="0.3">
      <c r="B21" s="260" t="s">
        <v>40</v>
      </c>
      <c r="C21" s="261">
        <v>0.2</v>
      </c>
    </row>
    <row r="22" spans="2:3" hidden="1" outlineLevel="1" x14ac:dyDescent="0.3">
      <c r="B22" s="260" t="s">
        <v>41</v>
      </c>
      <c r="C22" s="261">
        <v>0.13</v>
      </c>
    </row>
    <row r="23" spans="2:3" hidden="1" outlineLevel="1" x14ac:dyDescent="0.3">
      <c r="B23" s="260" t="s">
        <v>42</v>
      </c>
      <c r="C23" s="261">
        <v>0.16</v>
      </c>
    </row>
    <row r="24" spans="2:3" hidden="1" outlineLevel="1" x14ac:dyDescent="0.3">
      <c r="B24" s="260" t="s">
        <v>43</v>
      </c>
      <c r="C24" s="261"/>
    </row>
    <row r="25" spans="2:3" hidden="1" outlineLevel="1" x14ac:dyDescent="0.3">
      <c r="B25" s="260" t="s">
        <v>44</v>
      </c>
      <c r="C25" s="261">
        <v>0.13</v>
      </c>
    </row>
    <row r="26" spans="2:3" hidden="1" outlineLevel="1" x14ac:dyDescent="0.3">
      <c r="B26" s="260" t="s">
        <v>45</v>
      </c>
      <c r="C26" s="261">
        <v>0.23</v>
      </c>
    </row>
    <row r="27" spans="2:3" hidden="1" outlineLevel="1" x14ac:dyDescent="0.3">
      <c r="B27" s="260" t="s">
        <v>46</v>
      </c>
      <c r="C27" s="261">
        <v>0.14000000000000001</v>
      </c>
    </row>
    <row r="28" spans="2:3" hidden="1" outlineLevel="1" x14ac:dyDescent="0.3">
      <c r="B28" s="260" t="s">
        <v>47</v>
      </c>
      <c r="C28" s="261"/>
    </row>
    <row r="29" spans="2:3" hidden="1" outlineLevel="1" x14ac:dyDescent="0.3">
      <c r="B29" s="260" t="s">
        <v>48</v>
      </c>
      <c r="C29" s="261">
        <v>0.09</v>
      </c>
    </row>
    <row r="30" spans="2:3" hidden="1" outlineLevel="1" x14ac:dyDescent="0.3">
      <c r="B30" s="260" t="s">
        <v>49</v>
      </c>
      <c r="C30" s="261">
        <v>0.04</v>
      </c>
    </row>
    <row r="31" spans="2:3" ht="15" hidden="1" customHeight="1" outlineLevel="1" thickBot="1" x14ac:dyDescent="0.35">
      <c r="B31" s="260" t="s">
        <v>50</v>
      </c>
      <c r="C31" s="261">
        <v>0.02</v>
      </c>
    </row>
    <row r="32" spans="2:3" ht="15" customHeight="1" collapsed="1" thickBot="1" x14ac:dyDescent="0.35">
      <c r="B32" s="262" t="s">
        <v>51</v>
      </c>
      <c r="C32" s="263">
        <v>0.28449999999999998</v>
      </c>
    </row>
    <row r="33" spans="2:3" hidden="1" outlineLevel="1" x14ac:dyDescent="0.3">
      <c r="B33" s="264" t="s">
        <v>52</v>
      </c>
      <c r="C33" s="265"/>
    </row>
    <row r="34" spans="2:3" hidden="1" outlineLevel="1" x14ac:dyDescent="0.3">
      <c r="B34" s="264" t="s">
        <v>53</v>
      </c>
      <c r="C34" s="265"/>
    </row>
    <row r="35" spans="2:3" hidden="1" outlineLevel="1" x14ac:dyDescent="0.3">
      <c r="B35" s="264" t="s">
        <v>54</v>
      </c>
      <c r="C35" s="265"/>
    </row>
    <row r="36" spans="2:3" hidden="1" outlineLevel="1" x14ac:dyDescent="0.3">
      <c r="B36" s="264" t="s">
        <v>55</v>
      </c>
      <c r="C36" s="265"/>
    </row>
    <row r="37" spans="2:3" hidden="1" outlineLevel="1" x14ac:dyDescent="0.3">
      <c r="B37" s="264" t="s">
        <v>56</v>
      </c>
      <c r="C37" s="265">
        <v>1.34</v>
      </c>
    </row>
    <row r="38" spans="2:3" hidden="1" outlineLevel="1" x14ac:dyDescent="0.3">
      <c r="B38" s="264" t="s">
        <v>57</v>
      </c>
      <c r="C38" s="265"/>
    </row>
    <row r="39" spans="2:3" ht="15" hidden="1" customHeight="1" outlineLevel="1" thickBot="1" x14ac:dyDescent="0.35">
      <c r="B39" s="264" t="s">
        <v>58</v>
      </c>
      <c r="C39" s="265">
        <v>1.27</v>
      </c>
    </row>
    <row r="40" spans="2:3" ht="15" customHeight="1" collapsed="1" thickBot="1" x14ac:dyDescent="0.35">
      <c r="B40" s="258" t="s">
        <v>59</v>
      </c>
      <c r="C40" s="259">
        <v>0.43190000000000001</v>
      </c>
    </row>
    <row r="41" spans="2:3" hidden="1" outlineLevel="1" x14ac:dyDescent="0.3">
      <c r="B41" s="260" t="s">
        <v>60</v>
      </c>
      <c r="C41" s="261">
        <v>11.54</v>
      </c>
    </row>
    <row r="42" spans="2:3" hidden="1" outlineLevel="1" x14ac:dyDescent="0.3">
      <c r="B42" s="260" t="s">
        <v>61</v>
      </c>
      <c r="C42" s="261"/>
    </row>
    <row r="43" spans="2:3" hidden="1" outlineLevel="1" x14ac:dyDescent="0.3">
      <c r="B43" s="260" t="s">
        <v>62</v>
      </c>
      <c r="C43" s="261"/>
    </row>
    <row r="44" spans="2:3" hidden="1" outlineLevel="1" x14ac:dyDescent="0.3">
      <c r="B44" s="260" t="s">
        <v>63</v>
      </c>
      <c r="C44" s="261">
        <v>4.66</v>
      </c>
    </row>
    <row r="45" spans="2:3" hidden="1" outlineLevel="1" x14ac:dyDescent="0.3">
      <c r="B45" s="260" t="s">
        <v>64</v>
      </c>
      <c r="C45" s="282"/>
    </row>
    <row r="46" spans="2:3" hidden="1" outlineLevel="1" x14ac:dyDescent="0.3">
      <c r="B46" s="260" t="s">
        <v>65</v>
      </c>
      <c r="C46" s="280"/>
    </row>
    <row r="47" spans="2:3" hidden="1" outlineLevel="1" x14ac:dyDescent="0.3">
      <c r="B47" s="260" t="s">
        <v>66</v>
      </c>
      <c r="C47" s="261">
        <v>4.74</v>
      </c>
    </row>
    <row r="48" spans="2:3" hidden="1" outlineLevel="1" x14ac:dyDescent="0.3">
      <c r="B48" s="260" t="s">
        <v>67</v>
      </c>
      <c r="C48" s="261">
        <v>2.99</v>
      </c>
    </row>
    <row r="49" spans="2:3" hidden="1" outlineLevel="1" x14ac:dyDescent="0.3">
      <c r="B49" s="260" t="s">
        <v>68</v>
      </c>
      <c r="C49" s="261">
        <v>2.04</v>
      </c>
    </row>
    <row r="50" spans="2:3" hidden="1" outlineLevel="1" x14ac:dyDescent="0.3">
      <c r="B50" s="260" t="s">
        <v>69</v>
      </c>
      <c r="C50" s="261">
        <v>2.2400000000000002</v>
      </c>
    </row>
    <row r="51" spans="2:3" hidden="1" outlineLevel="1" x14ac:dyDescent="0.3">
      <c r="B51" s="260" t="s">
        <v>70</v>
      </c>
      <c r="C51" s="261"/>
    </row>
    <row r="52" spans="2:3" hidden="1" outlineLevel="1" x14ac:dyDescent="0.3">
      <c r="B52" s="260" t="s">
        <v>71</v>
      </c>
      <c r="C52" s="261"/>
    </row>
    <row r="53" spans="2:3" hidden="1" outlineLevel="1" x14ac:dyDescent="0.3">
      <c r="B53" s="260" t="s">
        <v>72</v>
      </c>
      <c r="C53" s="261">
        <v>1.77</v>
      </c>
    </row>
    <row r="54" spans="2:3" hidden="1" outlineLevel="1" x14ac:dyDescent="0.3">
      <c r="B54" s="260" t="s">
        <v>73</v>
      </c>
      <c r="C54" s="261"/>
    </row>
    <row r="55" spans="2:3" hidden="1" outlineLevel="1" x14ac:dyDescent="0.3">
      <c r="B55" s="260" t="s">
        <v>74</v>
      </c>
      <c r="C55" s="261"/>
    </row>
    <row r="56" spans="2:3" hidden="1" outlineLevel="1" x14ac:dyDescent="0.3">
      <c r="B56" s="260" t="s">
        <v>75</v>
      </c>
      <c r="C56" s="261">
        <v>1.41</v>
      </c>
    </row>
    <row r="57" spans="2:3" hidden="1" outlineLevel="1" x14ac:dyDescent="0.3">
      <c r="B57" s="260" t="s">
        <v>76</v>
      </c>
      <c r="C57" s="261"/>
    </row>
    <row r="58" spans="2:3" hidden="1" outlineLevel="1" x14ac:dyDescent="0.3">
      <c r="B58" s="260" t="s">
        <v>77</v>
      </c>
      <c r="C58" s="261"/>
    </row>
    <row r="59" spans="2:3" hidden="1" outlineLevel="1" x14ac:dyDescent="0.3">
      <c r="B59" s="260" t="s">
        <v>78</v>
      </c>
      <c r="C59" s="261"/>
    </row>
    <row r="60" spans="2:3" hidden="1" outlineLevel="1" x14ac:dyDescent="0.3">
      <c r="B60" s="260" t="s">
        <v>79</v>
      </c>
      <c r="C60" s="261"/>
    </row>
    <row r="61" spans="2:3" hidden="1" outlineLevel="1" x14ac:dyDescent="0.3">
      <c r="B61" s="260" t="s">
        <v>80</v>
      </c>
      <c r="C61" s="261">
        <v>1.1000000000000001</v>
      </c>
    </row>
    <row r="62" spans="2:3" ht="15" hidden="1" customHeight="1" outlineLevel="1" thickBot="1" x14ac:dyDescent="0.35">
      <c r="B62" s="260" t="s">
        <v>81</v>
      </c>
      <c r="C62" s="261"/>
    </row>
    <row r="63" spans="2:3" ht="15" customHeight="1" collapsed="1" thickBot="1" x14ac:dyDescent="0.35">
      <c r="B63" s="262" t="s">
        <v>82</v>
      </c>
      <c r="C63" s="263">
        <v>2E-3</v>
      </c>
    </row>
    <row r="64" spans="2:3" ht="15" customHeight="1" thickBot="1" x14ac:dyDescent="0.35">
      <c r="B64" s="258" t="s">
        <v>83</v>
      </c>
      <c r="C64" s="259">
        <v>0.13539999999999999</v>
      </c>
    </row>
    <row r="65" spans="2:3" hidden="1" outlineLevel="1" x14ac:dyDescent="0.3">
      <c r="B65" s="260" t="s">
        <v>84</v>
      </c>
      <c r="C65" s="261"/>
    </row>
    <row r="66" spans="2:3" hidden="1" outlineLevel="1" x14ac:dyDescent="0.3">
      <c r="B66" s="260" t="s">
        <v>61</v>
      </c>
      <c r="C66" s="261"/>
    </row>
    <row r="67" spans="2:3" ht="15" hidden="1" customHeight="1" outlineLevel="1" thickBot="1" x14ac:dyDescent="0.35">
      <c r="B67" s="260" t="s">
        <v>67</v>
      </c>
      <c r="C67" s="261"/>
    </row>
    <row r="68" spans="2:3" collapsed="1" x14ac:dyDescent="0.3">
      <c r="B68" s="262" t="s">
        <v>85</v>
      </c>
      <c r="C68" s="263">
        <v>2.3E-3</v>
      </c>
    </row>
    <row r="69" spans="2:3" hidden="1" outlineLevel="1" x14ac:dyDescent="0.3">
      <c r="B69" s="264" t="s">
        <v>84</v>
      </c>
      <c r="C69" s="265">
        <v>0</v>
      </c>
    </row>
    <row r="70" spans="2:3" collapsed="1" x14ac:dyDescent="0.3">
      <c r="B70" s="266" t="s">
        <v>86</v>
      </c>
      <c r="C70" s="267" t="s">
        <v>87</v>
      </c>
    </row>
  </sheetData>
  <mergeCells count="1">
    <mergeCell ref="C45:C46"/>
  </mergeCells>
  <hyperlinks>
    <hyperlink ref="B4" r:id="rId1" display="https://www.screener.in/people/39390/sudha-gopalakrishnan/" xr:uid="{00000000-0004-0000-0000-000000000000}"/>
    <hyperlink ref="B5" r:id="rId2" display="https://www.screener.in/people/39391/rohan-murty/" xr:uid="{00000000-0004-0000-0000-000001000000}"/>
    <hyperlink ref="B6" r:id="rId3" display="https://www.screener.in/people/23053/nandan-m-nilekani/" xr:uid="{00000000-0004-0000-0000-000002000000}"/>
    <hyperlink ref="B7" r:id="rId4" display="https://www.screener.in/people/39394/akshata-murty/" xr:uid="{00000000-0004-0000-0000-000003000000}"/>
    <hyperlink ref="B8" r:id="rId5" display="https://www.screener.in/people/39395/asha-dinesh/" xr:uid="{00000000-0004-0000-0000-000004000000}"/>
    <hyperlink ref="B9" r:id="rId6" display="https://www.screener.in/people/39393/s-gopalakrishnan/" xr:uid="{00000000-0004-0000-0000-000005000000}"/>
    <hyperlink ref="B10" r:id="rId7" display="https://www.screener.in/people/39396/sudha-n-murty/" xr:uid="{00000000-0004-0000-0000-000006000000}"/>
    <hyperlink ref="B11" r:id="rId8" display="https://www.screener.in/people/442/rohini-nilekani/" xr:uid="{00000000-0004-0000-0000-000007000000}"/>
    <hyperlink ref="B12" r:id="rId9" display="https://www.screener.in/people/39397/dinesh-krishnaswamy/" xr:uid="{00000000-0004-0000-0000-000008000000}"/>
    <hyperlink ref="B13" r:id="rId10" display="https://www.screener.in/people/39398/shreyas-shibulal/" xr:uid="{00000000-0004-0000-0000-000009000000}"/>
    <hyperlink ref="B14" r:id="rId11" display="https://www.screener.in/people/39400/narayana-murthy/" xr:uid="{00000000-0004-0000-0000-00000A000000}"/>
    <hyperlink ref="B15" r:id="rId12" display="https://www.screener.in/people/39403/nihar-nilekani/" xr:uid="{00000000-0004-0000-0000-00000B000000}"/>
    <hyperlink ref="B16" r:id="rId13" display="https://www.screener.in/people/39412/gaurav-manchanda/" xr:uid="{00000000-0004-0000-0000-00000C000000}"/>
    <hyperlink ref="B17" r:id="rId14" display="https://www.screener.in/people/39402/janhavi-nilekani/" xr:uid="{00000000-0004-0000-0000-00000D000000}"/>
    <hyperlink ref="B18" r:id="rId15" display="https://www.screener.in/people/39413/milan-shibulal-manchanda/" xr:uid="{00000000-0004-0000-0000-00000E000000}"/>
    <hyperlink ref="B19" r:id="rId16" display="https://www.screener.in/people/39411/meghana-gopalakrishnan/" xr:uid="{00000000-0004-0000-0000-00000F000000}"/>
    <hyperlink ref="B20" r:id="rId17" display="https://www.screener.in/people/39405/deeksha-dinesh/" xr:uid="{00000000-0004-0000-0000-000010000000}"/>
    <hyperlink ref="B21" r:id="rId18" display="https://www.screener.in/people/39406/divya-dinesh/" xr:uid="{00000000-0004-0000-0000-000011000000}"/>
    <hyperlink ref="B22" r:id="rId19" display="https://www.screener.in/people/39404/kumari-shibulal/" xr:uid="{00000000-0004-0000-0000-000012000000}"/>
    <hyperlink ref="B23" r:id="rId20" display="https://www.screener.in/people/39422/nikita-shibulal-manchanda/" xr:uid="{00000000-0004-0000-0000-000013000000}"/>
    <hyperlink ref="B24" r:id="rId21" display="https://www.screener.in/people/39414/bhairavi-madhusudhan/" xr:uid="{00000000-0004-0000-0000-000014000000}"/>
    <hyperlink ref="B25" r:id="rId22" display="https://www.screener.in/people/39418/bhairavi-madhusudhan-shibulal/" xr:uid="{00000000-0004-0000-0000-000015000000}"/>
    <hyperlink ref="B26" r:id="rId23" display="https://www.screener.in/people/39399/shruti-shibulal/" xr:uid="{00000000-0004-0000-0000-000016000000}"/>
    <hyperlink ref="B27" r:id="rId24" display="https://www.screener.in/people/39401/s-d-shibulal/" xr:uid="{00000000-0004-0000-0000-000017000000}"/>
    <hyperlink ref="B28" r:id="rId25" display="https://www.screener.in/people/39407/meghana/" xr:uid="{00000000-0004-0000-0000-000018000000}"/>
    <hyperlink ref="B29" r:id="rId26" display="https://www.screener.in/people/39420/tanush-nilekani-chandra/" xr:uid="{00000000-0004-0000-0000-000019000000}"/>
    <hyperlink ref="B30" r:id="rId27" display="https://www.screener.in/people/150902/ekagrah-rohan-murty/" xr:uid="{00000000-0004-0000-0000-00001A000000}"/>
    <hyperlink ref="B31" r:id="rId28" display="https://www.screener.in/people/39421/shray-chandra/" xr:uid="{00000000-0004-0000-0000-00001B000000}"/>
    <hyperlink ref="B33" r:id="rId29" display="https://www.screener.in/people/4976/oppenheimer-developing-markets-fund/" xr:uid="{00000000-0004-0000-0000-00001C000000}"/>
    <hyperlink ref="B34" r:id="rId30" display="https://www.screener.in/people/169/government-of-singapore/" xr:uid="{00000000-0004-0000-0000-00001D000000}"/>
    <hyperlink ref="B35" r:id="rId31" display="https://www.screener.in/people/433/abu-dhabi-investment-authority/" xr:uid="{00000000-0004-0000-0000-00001E000000}"/>
    <hyperlink ref="B36" r:id="rId32" display="https://www.screener.in/people/26361/vanguard-emerging-markets-stock-index-fund-a-series-of-vanguard-international-equity-index-fund/" xr:uid="{00000000-0004-0000-0000-00001F000000}"/>
    <hyperlink ref="B37" r:id="rId33" display="https://www.screener.in/people/298/vanguard-total-international-stock-index-fund/" xr:uid="{00000000-0004-0000-0000-000020000000}"/>
    <hyperlink ref="B38" r:id="rId34" display="https://www.screener.in/people/146/government-pension-fund-global/" xr:uid="{00000000-0004-0000-0000-000021000000}"/>
    <hyperlink ref="B39" r:id="rId35" display="https://www.screener.in/people/52764/vanguard-emerging-markets-stock-index-fund/" xr:uid="{00000000-0004-0000-0000-000022000000}"/>
    <hyperlink ref="B41" r:id="rId36" display="https://www.screener.in/people/39389/life-insurance-corporation-of-india-ulif00220091/" xr:uid="{00000000-0004-0000-0000-000023000000}"/>
    <hyperlink ref="B42" r:id="rId37" display="https://www.screener.in/people/123150/life-insurance-corporation-of-india/" xr:uid="{00000000-0004-0000-0000-000024000000}"/>
    <hyperlink ref="B43" r:id="rId38" display="https://www.screener.in/people/259/lic-of-india/" xr:uid="{00000000-0004-0000-0000-000025000000}"/>
    <hyperlink ref="B44" r:id="rId39" display="https://www.screener.in/people/346/sbi-mutual-fund/" xr:uid="{00000000-0004-0000-0000-000026000000}"/>
    <hyperlink ref="B45" r:id="rId40" display="https://www.screener.in/people/2326/hdfc-trustee-company-limited-hdfc-prudance-fund/" xr:uid="{00000000-0004-0000-0000-000027000000}"/>
    <hyperlink ref="B46" r:id="rId41" display="https://www.screener.in/people/2326/hdfc-trustee-company-limited-hdfc-prudance-fund/" xr:uid="{00000000-0004-0000-0000-000028000000}"/>
    <hyperlink ref="B47" r:id="rId42" display="https://www.screener.in/people/340/icici-prudential-mutual-fund/" xr:uid="{00000000-0004-0000-0000-000029000000}"/>
    <hyperlink ref="B48" r:id="rId43" display="https://www.screener.in/people/39419/national-pension-system-trust/" xr:uid="{00000000-0004-0000-0000-00002A000000}"/>
    <hyperlink ref="B49" r:id="rId44" display="https://www.screener.in/people/342/hdfc-mutual-fund/" xr:uid="{00000000-0004-0000-0000-00002B000000}"/>
    <hyperlink ref="B50" r:id="rId45" display="https://www.screener.in/people/361/nippon-life-india-trustee/" xr:uid="{00000000-0004-0000-0000-00002C000000}"/>
    <hyperlink ref="B51" r:id="rId46" display="https://www.screener.in/people/1630/icici-prudential-top-100-fund/" xr:uid="{00000000-0004-0000-0000-00002D000000}"/>
    <hyperlink ref="B52" r:id="rId47" display="https://www.screener.in/people/2855/hdfc-trustee-company-limited-hdfc-equity-fund/" xr:uid="{00000000-0004-0000-0000-00002E000000}"/>
    <hyperlink ref="B53" r:id="rId48" display="https://www.screener.in/people/352/uti-mutual-fund/" xr:uid="{00000000-0004-0000-0000-00002F000000}"/>
    <hyperlink ref="B54" r:id="rId49" display="https://www.screener.in/people/2876/icici-prudential-value-discovery-fund/" xr:uid="{00000000-0004-0000-0000-000030000000}"/>
    <hyperlink ref="B55" r:id="rId50" display="https://www.screener.in/people/172/sbi-etf-nifty-50/" xr:uid="{00000000-0004-0000-0000-000031000000}"/>
    <hyperlink ref="B56" r:id="rId51" display="https://www.screener.in/people/8915/sbi-life-insurance-co-ltd/" xr:uid="{00000000-0004-0000-0000-000032000000}"/>
    <hyperlink ref="B57" r:id="rId52" display="https://www.screener.in/people/2854/icici-prudential-life-insurance-company-ltd/" xr:uid="{00000000-0004-0000-0000-000033000000}"/>
    <hyperlink ref="B58" r:id="rId53" display="https://www.screener.in/people/1634/kotak-equity-arbitrage-fund/" xr:uid="{00000000-0004-0000-0000-000034000000}"/>
    <hyperlink ref="B59" r:id="rId54" display="https://www.screener.in/people/52385/aditya-birla-sun-life-trustee/" xr:uid="{00000000-0004-0000-0000-000035000000}"/>
    <hyperlink ref="B60" r:id="rId55" display="https://www.screener.in/people/17243/sbi-etf-sensex/" xr:uid="{00000000-0004-0000-0000-000036000000}"/>
    <hyperlink ref="B61" r:id="rId56" display="https://www.screener.in/people/26119/aditya-birla-sun-life-mutual-fund/" xr:uid="{00000000-0004-0000-0000-000037000000}"/>
    <hyperlink ref="B62" r:id="rId57" display="https://www.screener.in/people/26100/reliance-mutual-fund/" xr:uid="{00000000-0004-0000-0000-000038000000}"/>
    <hyperlink ref="B65" r:id="rId58" display="https://www.screener.in/people/253/deutsche-bank-trust-company-americas/" xr:uid="{00000000-0004-0000-0000-000039000000}"/>
    <hyperlink ref="B66" r:id="rId59" display="https://www.screener.in/people/123150/life-insurance-corporation-of-india/" xr:uid="{00000000-0004-0000-0000-00003A000000}"/>
    <hyperlink ref="B67" r:id="rId60" display="https://www.screener.in/people/39419/national-pension-system-trust/" xr:uid="{00000000-0004-0000-0000-00003B000000}"/>
    <hyperlink ref="B69" r:id="rId61" display="https://www.screener.in/people/253/deutsche-bank-trust-company-americas/" xr:uid="{00000000-0004-0000-0000-00003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23"/>
  <sheetViews>
    <sheetView showGridLines="0" workbookViewId="0">
      <selection activeCell="M19" sqref="M19"/>
    </sheetView>
  </sheetViews>
  <sheetFormatPr defaultRowHeight="14.4" x14ac:dyDescent="0.3"/>
  <cols>
    <col min="1" max="1" width="8.88671875" customWidth="1"/>
    <col min="2" max="2" width="19" bestFit="1" customWidth="1"/>
    <col min="3" max="3" width="7.44140625" bestFit="1" customWidth="1"/>
    <col min="4" max="4" width="6.77734375" bestFit="1" customWidth="1"/>
    <col min="5" max="5" width="7.109375" bestFit="1" customWidth="1"/>
    <col min="6" max="6" width="8.88671875" customWidth="1"/>
  </cols>
  <sheetData>
    <row r="2" spans="2:5" x14ac:dyDescent="0.3">
      <c r="B2" s="268" t="s">
        <v>0</v>
      </c>
      <c r="C2" s="269">
        <v>45901</v>
      </c>
      <c r="D2" s="269">
        <v>45992</v>
      </c>
      <c r="E2" s="269">
        <v>46082</v>
      </c>
    </row>
    <row r="3" spans="2:5" x14ac:dyDescent="0.3">
      <c r="B3" s="270" t="s">
        <v>1</v>
      </c>
      <c r="C3" s="271">
        <v>44490</v>
      </c>
      <c r="D3" s="271">
        <v>45479</v>
      </c>
      <c r="E3" s="271">
        <v>46402</v>
      </c>
    </row>
    <row r="4" spans="2:5" x14ac:dyDescent="0.3">
      <c r="B4" s="270" t="s">
        <v>2</v>
      </c>
      <c r="C4" s="272">
        <v>8.5500000000000007E-2</v>
      </c>
      <c r="D4" s="272">
        <v>8.8999999999999996E-2</v>
      </c>
      <c r="E4" s="272">
        <v>0.1338</v>
      </c>
    </row>
    <row r="5" spans="2:5" x14ac:dyDescent="0.3">
      <c r="B5" s="270" t="s">
        <v>3</v>
      </c>
      <c r="C5" s="271">
        <v>33955</v>
      </c>
      <c r="D5" s="271">
        <v>34845</v>
      </c>
      <c r="E5" s="271">
        <v>35235</v>
      </c>
    </row>
    <row r="6" spans="2:5" x14ac:dyDescent="0.3">
      <c r="B6" s="270" t="s">
        <v>4</v>
      </c>
      <c r="C6" s="273">
        <v>0.53</v>
      </c>
      <c r="D6" s="273">
        <v>0.53</v>
      </c>
      <c r="E6" s="273">
        <v>0.53</v>
      </c>
    </row>
    <row r="7" spans="2:5" x14ac:dyDescent="0.3">
      <c r="B7" s="270" t="s">
        <v>5</v>
      </c>
      <c r="C7" s="271">
        <v>10535</v>
      </c>
      <c r="D7" s="271">
        <v>10634</v>
      </c>
      <c r="E7" s="271">
        <v>11167</v>
      </c>
    </row>
    <row r="8" spans="2:5" x14ac:dyDescent="0.3">
      <c r="B8" s="270" t="s">
        <v>6</v>
      </c>
      <c r="C8" s="273">
        <v>0.24</v>
      </c>
      <c r="D8" s="273">
        <v>0.23</v>
      </c>
      <c r="E8" s="273">
        <v>0.24</v>
      </c>
    </row>
    <row r="9" spans="2:5" x14ac:dyDescent="0.3">
      <c r="B9" s="270" t="s">
        <v>7</v>
      </c>
      <c r="C9" s="274">
        <v>982</v>
      </c>
      <c r="D9" s="274">
        <v>-150</v>
      </c>
      <c r="E9" s="271">
        <v>1159</v>
      </c>
    </row>
    <row r="10" spans="2:5" x14ac:dyDescent="0.3">
      <c r="B10" s="270" t="s">
        <v>8</v>
      </c>
      <c r="C10" s="274">
        <v>0</v>
      </c>
      <c r="D10" s="271">
        <v>-1289</v>
      </c>
      <c r="E10" s="274">
        <v>0</v>
      </c>
    </row>
    <row r="11" spans="2:5" x14ac:dyDescent="0.3">
      <c r="B11" s="270" t="s">
        <v>9</v>
      </c>
      <c r="C11" s="274">
        <v>982</v>
      </c>
      <c r="D11" s="271">
        <v>1139</v>
      </c>
      <c r="E11" s="271">
        <v>1159</v>
      </c>
    </row>
    <row r="12" spans="2:5" x14ac:dyDescent="0.3">
      <c r="B12" s="270" t="s">
        <v>10</v>
      </c>
      <c r="C12" s="274">
        <v>106</v>
      </c>
      <c r="D12" s="274">
        <v>100</v>
      </c>
      <c r="E12" s="274">
        <v>105</v>
      </c>
    </row>
    <row r="13" spans="2:5" x14ac:dyDescent="0.3">
      <c r="B13" s="270" t="s">
        <v>11</v>
      </c>
      <c r="C13" s="271">
        <v>1182</v>
      </c>
      <c r="D13" s="271">
        <v>1155</v>
      </c>
      <c r="E13" s="271">
        <v>1424</v>
      </c>
    </row>
    <row r="14" spans="2:5" x14ac:dyDescent="0.3">
      <c r="B14" s="270" t="s">
        <v>12</v>
      </c>
      <c r="C14" s="271">
        <v>10229</v>
      </c>
      <c r="D14" s="271">
        <v>9229</v>
      </c>
      <c r="E14" s="271">
        <v>10797</v>
      </c>
    </row>
    <row r="15" spans="2:5" x14ac:dyDescent="0.3">
      <c r="B15" s="270" t="s">
        <v>13</v>
      </c>
      <c r="C15" s="273">
        <v>0.28000000000000003</v>
      </c>
      <c r="D15" s="273">
        <v>0.28000000000000003</v>
      </c>
      <c r="E15" s="273">
        <v>0.21</v>
      </c>
    </row>
    <row r="16" spans="2:5" x14ac:dyDescent="0.3">
      <c r="B16" s="270" t="s">
        <v>14</v>
      </c>
      <c r="C16" s="271">
        <v>7375</v>
      </c>
      <c r="D16" s="271">
        <v>6666</v>
      </c>
      <c r="E16" s="271">
        <v>8509</v>
      </c>
    </row>
    <row r="17" spans="2:5" x14ac:dyDescent="0.3">
      <c r="B17" s="270" t="s">
        <v>15</v>
      </c>
      <c r="C17" s="274">
        <v>-11</v>
      </c>
      <c r="D17" s="274">
        <v>-12</v>
      </c>
      <c r="E17" s="274">
        <v>-8</v>
      </c>
    </row>
    <row r="18" spans="2:5" x14ac:dyDescent="0.3">
      <c r="B18" s="270" t="s">
        <v>16</v>
      </c>
      <c r="C18" s="274">
        <v>0</v>
      </c>
      <c r="D18" s="274">
        <v>-888</v>
      </c>
      <c r="E18" s="274">
        <v>0</v>
      </c>
    </row>
    <row r="19" spans="2:5" x14ac:dyDescent="0.3">
      <c r="B19" s="270" t="s">
        <v>17</v>
      </c>
      <c r="C19" s="271">
        <v>7375</v>
      </c>
      <c r="D19" s="271">
        <v>7554</v>
      </c>
      <c r="E19" s="271">
        <v>8509</v>
      </c>
    </row>
    <row r="20" spans="2:5" x14ac:dyDescent="0.3">
      <c r="B20" s="270" t="s">
        <v>18</v>
      </c>
      <c r="C20" s="271">
        <v>7364</v>
      </c>
      <c r="D20" s="271">
        <v>7540</v>
      </c>
      <c r="E20" s="271">
        <v>8501</v>
      </c>
    </row>
    <row r="21" spans="2:5" x14ac:dyDescent="0.3">
      <c r="B21" s="270" t="s">
        <v>19</v>
      </c>
      <c r="C21" s="271">
        <v>7364</v>
      </c>
      <c r="D21" s="271">
        <v>6654</v>
      </c>
      <c r="E21" s="271">
        <v>8501</v>
      </c>
    </row>
    <row r="22" spans="2:5" x14ac:dyDescent="0.3">
      <c r="B22" s="270" t="s">
        <v>20</v>
      </c>
      <c r="C22" s="273">
        <v>0.13</v>
      </c>
      <c r="D22" s="273">
        <v>0.11</v>
      </c>
      <c r="E22" s="273">
        <v>0.21</v>
      </c>
    </row>
    <row r="23" spans="2:5" x14ac:dyDescent="0.3">
      <c r="B23" s="270" t="s">
        <v>21</v>
      </c>
      <c r="C23" s="274">
        <v>17.73</v>
      </c>
      <c r="D23" s="274">
        <v>16.41</v>
      </c>
      <c r="E23" s="274">
        <v>20.96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50"/>
  <sheetViews>
    <sheetView showGridLines="0" topLeftCell="H3" workbookViewId="0">
      <selection activeCell="M19" sqref="M19"/>
    </sheetView>
  </sheetViews>
  <sheetFormatPr defaultRowHeight="14.4" x14ac:dyDescent="0.3"/>
  <cols>
    <col min="2" max="2" width="41.109375" bestFit="1" customWidth="1"/>
    <col min="3" max="12" width="8.77734375" customWidth="1"/>
    <col min="13" max="13" width="34.6640625" bestFit="1" customWidth="1"/>
    <col min="14" max="18" width="8.77734375" customWidth="1"/>
  </cols>
  <sheetData>
    <row r="2" spans="2:18" ht="18" customHeight="1" x14ac:dyDescent="0.35">
      <c r="B2" s="3" t="s">
        <v>88</v>
      </c>
    </row>
    <row r="3" spans="2:18" ht="15.6" customHeight="1" x14ac:dyDescent="0.3">
      <c r="B3" s="4" t="s">
        <v>89</v>
      </c>
      <c r="M3" s="4" t="s">
        <v>90</v>
      </c>
    </row>
    <row r="4" spans="2:18" x14ac:dyDescent="0.3">
      <c r="B4" s="5" t="s">
        <v>91</v>
      </c>
      <c r="D4" s="2"/>
      <c r="M4" s="5" t="s">
        <v>91</v>
      </c>
    </row>
    <row r="6" spans="2:18" s="12" customFormat="1" ht="78" customHeight="1" x14ac:dyDescent="0.3">
      <c r="B6" s="1" t="s">
        <v>0</v>
      </c>
      <c r="C6" s="11" t="s">
        <v>92</v>
      </c>
      <c r="D6" s="11" t="s">
        <v>93</v>
      </c>
      <c r="E6" s="11" t="s">
        <v>94</v>
      </c>
      <c r="F6" s="11" t="s">
        <v>95</v>
      </c>
      <c r="G6" s="11" t="s">
        <v>96</v>
      </c>
      <c r="M6" s="11" t="s">
        <v>0</v>
      </c>
      <c r="N6" s="11" t="s">
        <v>97</v>
      </c>
      <c r="O6" s="11" t="s">
        <v>98</v>
      </c>
      <c r="P6" s="11" t="s">
        <v>99</v>
      </c>
      <c r="Q6" s="11" t="s">
        <v>100</v>
      </c>
      <c r="R6" s="11" t="s">
        <v>101</v>
      </c>
    </row>
    <row r="7" spans="2:18" x14ac:dyDescent="0.3">
      <c r="B7" s="6" t="s">
        <v>102</v>
      </c>
      <c r="C7" s="7">
        <v>121641</v>
      </c>
      <c r="D7" s="7">
        <v>152671</v>
      </c>
      <c r="E7" s="7">
        <v>162026</v>
      </c>
      <c r="F7" s="7">
        <v>162990</v>
      </c>
      <c r="G7" s="7">
        <v>178650</v>
      </c>
      <c r="M7" s="8" t="s">
        <v>103</v>
      </c>
      <c r="N7" s="6"/>
      <c r="O7" s="6"/>
      <c r="P7" s="6"/>
      <c r="Q7" s="6"/>
      <c r="R7" s="6"/>
    </row>
    <row r="8" spans="2:18" x14ac:dyDescent="0.3">
      <c r="B8" s="6" t="s">
        <v>104</v>
      </c>
      <c r="C8" s="7">
        <v>2295</v>
      </c>
      <c r="D8" s="7">
        <v>2917</v>
      </c>
      <c r="E8" s="7">
        <v>2957</v>
      </c>
      <c r="F8" s="7">
        <v>3600</v>
      </c>
      <c r="G8" s="7">
        <v>4322</v>
      </c>
      <c r="M8" s="6" t="s">
        <v>105</v>
      </c>
      <c r="N8" s="7">
        <v>13075</v>
      </c>
      <c r="O8" s="7">
        <v>13346</v>
      </c>
      <c r="P8" s="7">
        <v>12370</v>
      </c>
      <c r="Q8" s="7">
        <v>11778</v>
      </c>
      <c r="R8" s="7">
        <v>12651</v>
      </c>
    </row>
    <row r="9" spans="2:18" x14ac:dyDescent="0.3">
      <c r="B9" s="9" t="s">
        <v>106</v>
      </c>
      <c r="C9" s="10">
        <v>123936</v>
      </c>
      <c r="D9" s="10">
        <v>155588</v>
      </c>
      <c r="E9" s="10">
        <v>164983</v>
      </c>
      <c r="F9" s="10">
        <v>166590</v>
      </c>
      <c r="G9" s="10">
        <v>182972</v>
      </c>
      <c r="M9" s="6" t="s">
        <v>107</v>
      </c>
      <c r="N9" s="7">
        <v>4823</v>
      </c>
      <c r="O9" s="7">
        <v>6882</v>
      </c>
      <c r="P9" s="7">
        <v>6552</v>
      </c>
      <c r="Q9" s="7">
        <v>6311</v>
      </c>
      <c r="R9" s="7">
        <v>6177</v>
      </c>
    </row>
    <row r="10" spans="2:18" x14ac:dyDescent="0.3">
      <c r="B10" s="6" t="s">
        <v>108</v>
      </c>
      <c r="C10" s="7">
        <v>63986</v>
      </c>
      <c r="D10" s="7">
        <v>77449</v>
      </c>
      <c r="E10" s="7">
        <v>81768</v>
      </c>
      <c r="F10" s="7">
        <v>85950</v>
      </c>
      <c r="G10" s="7">
        <v>95094</v>
      </c>
      <c r="M10" s="6" t="s">
        <v>109</v>
      </c>
      <c r="N10" s="7">
        <v>416</v>
      </c>
      <c r="O10" s="7">
        <v>288</v>
      </c>
      <c r="P10" s="7">
        <v>293</v>
      </c>
      <c r="Q10" s="7">
        <v>814</v>
      </c>
      <c r="R10" s="7">
        <v>526</v>
      </c>
    </row>
    <row r="11" spans="2:18" x14ac:dyDescent="0.3">
      <c r="B11" s="6" t="s">
        <v>110</v>
      </c>
      <c r="C11" s="7">
        <v>12606</v>
      </c>
      <c r="D11" s="7">
        <v>11487</v>
      </c>
      <c r="E11" s="7">
        <v>13019</v>
      </c>
      <c r="F11" s="7">
        <v>12937</v>
      </c>
      <c r="G11" s="7">
        <v>15421</v>
      </c>
      <c r="M11" s="6" t="s">
        <v>111</v>
      </c>
      <c r="N11" s="7">
        <v>6195</v>
      </c>
      <c r="O11" s="7">
        <v>7248</v>
      </c>
      <c r="P11" s="7">
        <v>7303</v>
      </c>
      <c r="Q11" s="7">
        <v>10106</v>
      </c>
      <c r="R11" s="7">
        <v>12117</v>
      </c>
    </row>
    <row r="12" spans="2:18" x14ac:dyDescent="0.3">
      <c r="B12" s="6" t="s">
        <v>112</v>
      </c>
      <c r="C12" s="7">
        <v>827</v>
      </c>
      <c r="D12" s="7">
        <v>1139</v>
      </c>
      <c r="E12" s="7">
        <v>1506</v>
      </c>
      <c r="F12" s="7">
        <v>1894</v>
      </c>
      <c r="G12" s="7">
        <v>2097</v>
      </c>
      <c r="M12" s="6" t="s">
        <v>113</v>
      </c>
      <c r="N12" s="7">
        <v>1707</v>
      </c>
      <c r="O12" s="7">
        <v>1749</v>
      </c>
      <c r="P12" s="7">
        <v>1397</v>
      </c>
      <c r="Q12" s="7">
        <v>2766</v>
      </c>
      <c r="R12" s="7">
        <v>2825</v>
      </c>
    </row>
    <row r="13" spans="2:18" x14ac:dyDescent="0.3">
      <c r="B13" s="6" t="s">
        <v>114</v>
      </c>
      <c r="C13" s="7">
        <v>6811</v>
      </c>
      <c r="D13" s="7">
        <v>8433</v>
      </c>
      <c r="E13" s="7">
        <v>8987</v>
      </c>
      <c r="F13" s="7">
        <v>15911</v>
      </c>
      <c r="G13" s="7">
        <v>15722</v>
      </c>
      <c r="M13" s="6" t="s">
        <v>115</v>
      </c>
      <c r="N13" s="7">
        <v>13651</v>
      </c>
      <c r="O13" s="7">
        <v>12569</v>
      </c>
      <c r="P13" s="7">
        <v>11708</v>
      </c>
      <c r="Q13" s="7">
        <v>11059</v>
      </c>
      <c r="R13" s="7">
        <v>8930</v>
      </c>
    </row>
    <row r="14" spans="2:18" x14ac:dyDescent="0.3">
      <c r="B14" s="6" t="s">
        <v>116</v>
      </c>
      <c r="C14" s="7">
        <v>611</v>
      </c>
      <c r="D14" s="7">
        <v>629</v>
      </c>
      <c r="E14" s="7">
        <v>647</v>
      </c>
      <c r="F14" s="7">
        <v>620</v>
      </c>
      <c r="G14" s="7">
        <v>603</v>
      </c>
      <c r="M14" s="6" t="s">
        <v>117</v>
      </c>
      <c r="N14" s="7">
        <v>34</v>
      </c>
      <c r="O14" s="7">
        <v>39</v>
      </c>
      <c r="P14" s="7">
        <v>34</v>
      </c>
      <c r="Q14" s="7">
        <v>16</v>
      </c>
      <c r="R14" s="7">
        <v>6</v>
      </c>
    </row>
    <row r="15" spans="2:18" x14ac:dyDescent="0.3">
      <c r="B15" s="6" t="s">
        <v>118</v>
      </c>
      <c r="C15" s="7">
        <v>1885</v>
      </c>
      <c r="D15" s="7">
        <v>1724</v>
      </c>
      <c r="E15" s="7">
        <v>1729</v>
      </c>
      <c r="F15" s="7">
        <v>1655</v>
      </c>
      <c r="G15" s="7">
        <v>2090</v>
      </c>
      <c r="M15" s="6" t="s">
        <v>119</v>
      </c>
      <c r="N15" s="7">
        <v>1460</v>
      </c>
      <c r="O15" s="7">
        <v>2798</v>
      </c>
      <c r="P15" s="7">
        <v>3105</v>
      </c>
      <c r="Q15" s="7">
        <v>3511</v>
      </c>
      <c r="R15" s="7">
        <v>2776</v>
      </c>
    </row>
    <row r="16" spans="2:18" x14ac:dyDescent="0.3">
      <c r="B16" s="6" t="s">
        <v>120</v>
      </c>
      <c r="C16" s="7">
        <v>3476</v>
      </c>
      <c r="D16" s="7">
        <v>4018</v>
      </c>
      <c r="E16" s="7">
        <v>4516</v>
      </c>
      <c r="F16" s="7">
        <v>4812</v>
      </c>
      <c r="G16" s="7">
        <v>4902</v>
      </c>
      <c r="M16" s="6" t="s">
        <v>121</v>
      </c>
      <c r="N16" s="7">
        <v>1030</v>
      </c>
      <c r="O16" s="7">
        <v>1400</v>
      </c>
      <c r="P16" s="7">
        <v>1200</v>
      </c>
      <c r="Q16" s="7">
        <v>1108</v>
      </c>
      <c r="R16" s="7">
        <v>2264</v>
      </c>
    </row>
    <row r="17" spans="2:18" x14ac:dyDescent="0.3">
      <c r="B17" s="6" t="s">
        <v>122</v>
      </c>
      <c r="C17" s="7">
        <v>200</v>
      </c>
      <c r="D17" s="7">
        <v>341</v>
      </c>
      <c r="E17" s="7">
        <v>369</v>
      </c>
      <c r="F17" s="7">
        <v>416</v>
      </c>
      <c r="G17" s="7">
        <v>416</v>
      </c>
      <c r="M17" s="6" t="s">
        <v>123</v>
      </c>
      <c r="N17" s="7">
        <v>1543</v>
      </c>
      <c r="O17" s="7">
        <v>1627</v>
      </c>
      <c r="P17" s="7">
        <v>1700</v>
      </c>
      <c r="Q17" s="7">
        <v>1622</v>
      </c>
      <c r="R17" s="7">
        <v>666</v>
      </c>
    </row>
    <row r="18" spans="2:18" x14ac:dyDescent="0.3">
      <c r="B18" s="6" t="s">
        <v>124</v>
      </c>
      <c r="C18" s="7">
        <v>3424</v>
      </c>
      <c r="D18" s="7">
        <v>3768</v>
      </c>
      <c r="E18" s="7">
        <v>4262</v>
      </c>
      <c r="F18" s="7">
        <v>4787</v>
      </c>
      <c r="G18" s="7">
        <v>5343</v>
      </c>
      <c r="M18" s="6" t="s">
        <v>125</v>
      </c>
      <c r="N18" s="7">
        <v>1827</v>
      </c>
      <c r="O18" s="7">
        <v>1755</v>
      </c>
      <c r="P18" s="7">
        <v>2188</v>
      </c>
      <c r="Q18" s="7">
        <v>2713</v>
      </c>
      <c r="R18" s="7">
        <v>3540</v>
      </c>
    </row>
    <row r="19" spans="2:18" x14ac:dyDescent="0.3">
      <c r="B19" s="9" t="s">
        <v>126</v>
      </c>
      <c r="C19" s="10">
        <v>93826</v>
      </c>
      <c r="D19" s="10">
        <v>108988</v>
      </c>
      <c r="E19" s="10">
        <v>116803</v>
      </c>
      <c r="F19" s="10">
        <v>128982</v>
      </c>
      <c r="G19" s="10">
        <v>141688</v>
      </c>
      <c r="M19" s="9" t="s">
        <v>127</v>
      </c>
      <c r="N19" s="10">
        <v>45761</v>
      </c>
      <c r="O19" s="10">
        <v>49701</v>
      </c>
      <c r="P19" s="10">
        <v>47852</v>
      </c>
      <c r="Q19" s="10">
        <v>51804</v>
      </c>
      <c r="R19" s="10">
        <v>52478</v>
      </c>
    </row>
    <row r="20" spans="2:18" x14ac:dyDescent="0.3">
      <c r="B20" s="9" t="s">
        <v>128</v>
      </c>
      <c r="C20" s="10">
        <v>30110</v>
      </c>
      <c r="D20" s="10">
        <v>46600</v>
      </c>
      <c r="E20" s="10">
        <v>48180</v>
      </c>
      <c r="F20" s="10">
        <v>37608</v>
      </c>
      <c r="G20" s="10">
        <v>39995</v>
      </c>
      <c r="M20" s="8" t="s">
        <v>129</v>
      </c>
      <c r="N20" s="6"/>
      <c r="O20" s="6"/>
      <c r="P20" s="6"/>
      <c r="Q20" s="6"/>
      <c r="R20" s="6"/>
    </row>
    <row r="21" spans="2:18" x14ac:dyDescent="0.3">
      <c r="B21" s="6" t="s">
        <v>130</v>
      </c>
      <c r="C21" s="7">
        <v>7811</v>
      </c>
      <c r="D21" s="7">
        <v>11984</v>
      </c>
      <c r="E21" s="7">
        <v>12412</v>
      </c>
      <c r="F21" s="7">
        <v>12130</v>
      </c>
      <c r="G21" s="7">
        <v>11767</v>
      </c>
      <c r="M21" s="6" t="s">
        <v>115</v>
      </c>
      <c r="N21" s="7">
        <v>8000</v>
      </c>
      <c r="O21" s="7">
        <v>10000</v>
      </c>
      <c r="P21" s="7">
        <v>10500</v>
      </c>
      <c r="Q21" s="7">
        <v>12482</v>
      </c>
      <c r="R21" s="7">
        <v>12950</v>
      </c>
    </row>
    <row r="22" spans="2:18" x14ac:dyDescent="0.3">
      <c r="B22" s="6" t="s">
        <v>131</v>
      </c>
      <c r="C22" s="7">
        <v>153</v>
      </c>
      <c r="D22" s="7">
        <v>-1012</v>
      </c>
      <c r="E22" s="7">
        <v>-951</v>
      </c>
      <c r="F22" s="7">
        <v>-1272</v>
      </c>
      <c r="G22" s="7">
        <v>-1246</v>
      </c>
      <c r="M22" s="6" t="s">
        <v>132</v>
      </c>
      <c r="N22" s="7">
        <v>25000</v>
      </c>
      <c r="O22" s="7">
        <v>28000</v>
      </c>
      <c r="P22" s="7">
        <v>30000</v>
      </c>
      <c r="Q22" s="7">
        <v>31158</v>
      </c>
      <c r="R22" s="7">
        <v>35234</v>
      </c>
    </row>
    <row r="23" spans="2:18" x14ac:dyDescent="0.3">
      <c r="B23" s="9" t="s">
        <v>133</v>
      </c>
      <c r="C23" s="10">
        <v>22146</v>
      </c>
      <c r="D23" s="10">
        <v>35628</v>
      </c>
      <c r="E23" s="10">
        <v>36719</v>
      </c>
      <c r="F23" s="10">
        <v>26750</v>
      </c>
      <c r="G23" s="10">
        <v>29474</v>
      </c>
      <c r="M23" s="6" t="s">
        <v>134</v>
      </c>
      <c r="N23" s="7">
        <v>10000</v>
      </c>
      <c r="O23" s="7">
        <v>12000</v>
      </c>
      <c r="P23" s="7">
        <v>12500</v>
      </c>
      <c r="Q23" s="7">
        <v>24455</v>
      </c>
      <c r="R23" s="7">
        <v>22201</v>
      </c>
    </row>
    <row r="24" spans="2:18" x14ac:dyDescent="0.3">
      <c r="M24" s="6" t="s">
        <v>117</v>
      </c>
      <c r="N24" s="7">
        <v>240</v>
      </c>
      <c r="O24" s="7">
        <v>300</v>
      </c>
      <c r="P24" s="7">
        <v>250</v>
      </c>
      <c r="Q24" s="7">
        <v>249</v>
      </c>
      <c r="R24" s="7">
        <v>234</v>
      </c>
    </row>
    <row r="25" spans="2:18" x14ac:dyDescent="0.3">
      <c r="M25" s="6" t="s">
        <v>119</v>
      </c>
      <c r="N25" s="7">
        <v>9500</v>
      </c>
      <c r="O25" s="7">
        <v>10000</v>
      </c>
      <c r="P25" s="7">
        <v>11000</v>
      </c>
      <c r="Q25" s="7">
        <v>13840</v>
      </c>
      <c r="R25" s="7">
        <v>15890</v>
      </c>
    </row>
    <row r="26" spans="2:18" x14ac:dyDescent="0.3">
      <c r="M26" s="6" t="s">
        <v>123</v>
      </c>
      <c r="N26" s="7">
        <v>2500</v>
      </c>
      <c r="O26" s="7">
        <v>2500</v>
      </c>
      <c r="P26" s="7">
        <v>2200</v>
      </c>
      <c r="Q26" s="7">
        <v>2975</v>
      </c>
      <c r="R26" s="7">
        <v>1835</v>
      </c>
    </row>
    <row r="27" spans="2:18" x14ac:dyDescent="0.3">
      <c r="M27" s="6" t="s">
        <v>135</v>
      </c>
      <c r="N27" s="7">
        <v>11000</v>
      </c>
      <c r="O27" s="7">
        <v>12000</v>
      </c>
      <c r="P27" s="7">
        <v>13000</v>
      </c>
      <c r="Q27" s="7">
        <v>11940</v>
      </c>
      <c r="R27" s="7">
        <v>15145</v>
      </c>
    </row>
    <row r="28" spans="2:18" x14ac:dyDescent="0.3">
      <c r="M28" s="9" t="s">
        <v>136</v>
      </c>
      <c r="N28" s="10">
        <v>66240</v>
      </c>
      <c r="O28" s="10">
        <v>74800</v>
      </c>
      <c r="P28" s="10">
        <v>79450</v>
      </c>
      <c r="Q28" s="10">
        <v>97099</v>
      </c>
      <c r="R28" s="10">
        <v>103489</v>
      </c>
    </row>
    <row r="29" spans="2:18" x14ac:dyDescent="0.3">
      <c r="M29" s="9" t="s">
        <v>137</v>
      </c>
      <c r="N29" s="10">
        <v>112001</v>
      </c>
      <c r="O29" s="10">
        <v>124501</v>
      </c>
      <c r="P29" s="10">
        <v>127302</v>
      </c>
      <c r="Q29" s="10">
        <v>148903</v>
      </c>
      <c r="R29" s="10">
        <v>155967</v>
      </c>
    </row>
    <row r="30" spans="2:18" x14ac:dyDescent="0.3">
      <c r="M30" s="8" t="s">
        <v>138</v>
      </c>
      <c r="N30" s="6"/>
      <c r="O30" s="6"/>
      <c r="P30" s="6"/>
      <c r="Q30" s="6"/>
      <c r="R30" s="6"/>
    </row>
    <row r="31" spans="2:18" x14ac:dyDescent="0.3">
      <c r="M31" s="6" t="s">
        <v>139</v>
      </c>
      <c r="N31" s="7">
        <v>2089</v>
      </c>
      <c r="O31" s="7">
        <v>2083</v>
      </c>
      <c r="P31" s="7">
        <v>2076</v>
      </c>
      <c r="Q31" s="7">
        <v>2073</v>
      </c>
      <c r="R31" s="7">
        <v>2024</v>
      </c>
    </row>
    <row r="32" spans="2:18" x14ac:dyDescent="0.3">
      <c r="M32" s="6" t="s">
        <v>140</v>
      </c>
      <c r="N32" s="7">
        <v>76000</v>
      </c>
      <c r="O32" s="7">
        <v>84000</v>
      </c>
      <c r="P32" s="7">
        <v>89000</v>
      </c>
      <c r="Q32" s="7">
        <v>93745</v>
      </c>
      <c r="R32" s="7">
        <v>90828</v>
      </c>
    </row>
    <row r="33" spans="13:18" x14ac:dyDescent="0.3">
      <c r="M33" s="9" t="s">
        <v>141</v>
      </c>
      <c r="N33" s="10">
        <v>78089</v>
      </c>
      <c r="O33" s="10">
        <v>86083</v>
      </c>
      <c r="P33" s="10">
        <v>91076</v>
      </c>
      <c r="Q33" s="10">
        <v>95818</v>
      </c>
      <c r="R33" s="10">
        <v>92852</v>
      </c>
    </row>
    <row r="34" spans="13:18" x14ac:dyDescent="0.3">
      <c r="M34" s="6" t="s">
        <v>142</v>
      </c>
      <c r="N34" s="7">
        <v>350</v>
      </c>
      <c r="O34" s="7">
        <v>380</v>
      </c>
      <c r="P34" s="7">
        <v>400</v>
      </c>
      <c r="Q34" s="7">
        <v>385</v>
      </c>
      <c r="R34" s="7">
        <v>445</v>
      </c>
    </row>
    <row r="35" spans="13:18" x14ac:dyDescent="0.3">
      <c r="M35" s="9" t="s">
        <v>143</v>
      </c>
      <c r="N35" s="10">
        <v>78439</v>
      </c>
      <c r="O35" s="10">
        <v>86463</v>
      </c>
      <c r="P35" s="10">
        <v>91476</v>
      </c>
      <c r="Q35" s="10">
        <v>96203</v>
      </c>
      <c r="R35" s="10">
        <v>93297</v>
      </c>
    </row>
    <row r="36" spans="13:18" x14ac:dyDescent="0.3">
      <c r="M36" s="8" t="s">
        <v>144</v>
      </c>
      <c r="N36" s="6"/>
      <c r="O36" s="6"/>
      <c r="P36" s="6"/>
      <c r="Q36" s="6"/>
      <c r="R36" s="6"/>
    </row>
    <row r="37" spans="13:18" x14ac:dyDescent="0.3">
      <c r="M37" s="6" t="s">
        <v>145</v>
      </c>
      <c r="N37" s="7">
        <v>4500</v>
      </c>
      <c r="O37" s="7">
        <v>6000</v>
      </c>
      <c r="P37" s="7">
        <v>5500</v>
      </c>
      <c r="Q37" s="7">
        <v>5772</v>
      </c>
      <c r="R37" s="7">
        <v>6016</v>
      </c>
    </row>
    <row r="38" spans="13:18" x14ac:dyDescent="0.3">
      <c r="M38" s="6" t="s">
        <v>146</v>
      </c>
      <c r="N38" s="7">
        <v>1800</v>
      </c>
      <c r="O38" s="7">
        <v>1700</v>
      </c>
      <c r="P38" s="7">
        <v>1800</v>
      </c>
      <c r="Q38" s="7">
        <v>2141</v>
      </c>
      <c r="R38" s="7">
        <v>2092</v>
      </c>
    </row>
    <row r="39" spans="13:18" x14ac:dyDescent="0.3">
      <c r="M39" s="6" t="s">
        <v>147</v>
      </c>
      <c r="N39" s="7">
        <v>1500</v>
      </c>
      <c r="O39" s="7">
        <v>1500</v>
      </c>
      <c r="P39" s="7">
        <v>1200</v>
      </c>
      <c r="Q39" s="7">
        <v>1722</v>
      </c>
      <c r="R39" s="7">
        <v>1679</v>
      </c>
    </row>
    <row r="40" spans="13:18" x14ac:dyDescent="0.3">
      <c r="M40" s="6" t="s">
        <v>148</v>
      </c>
      <c r="N40" s="7">
        <v>400</v>
      </c>
      <c r="O40" s="7">
        <v>500</v>
      </c>
      <c r="P40" s="7">
        <v>600</v>
      </c>
      <c r="Q40" s="7">
        <v>0</v>
      </c>
      <c r="R40" s="7">
        <v>561</v>
      </c>
    </row>
    <row r="41" spans="13:18" x14ac:dyDescent="0.3">
      <c r="M41" s="9" t="s">
        <v>149</v>
      </c>
      <c r="N41" s="10">
        <v>8200</v>
      </c>
      <c r="O41" s="10">
        <v>9700</v>
      </c>
      <c r="P41" s="10">
        <v>9100</v>
      </c>
      <c r="Q41" s="10">
        <v>9635</v>
      </c>
      <c r="R41" s="10">
        <v>10348</v>
      </c>
    </row>
    <row r="42" spans="13:18" x14ac:dyDescent="0.3">
      <c r="M42" s="8" t="s">
        <v>150</v>
      </c>
      <c r="N42" s="6"/>
      <c r="O42" s="6"/>
      <c r="P42" s="6"/>
      <c r="Q42" s="6"/>
      <c r="R42" s="6"/>
    </row>
    <row r="43" spans="13:18" x14ac:dyDescent="0.3">
      <c r="M43" s="6" t="s">
        <v>151</v>
      </c>
      <c r="N43" s="7">
        <v>2800</v>
      </c>
      <c r="O43" s="7">
        <v>2800</v>
      </c>
      <c r="P43" s="7">
        <v>2800</v>
      </c>
      <c r="Q43" s="7">
        <v>3072</v>
      </c>
      <c r="R43" s="7">
        <v>3046</v>
      </c>
    </row>
    <row r="44" spans="13:18" x14ac:dyDescent="0.3">
      <c r="M44" s="6" t="s">
        <v>146</v>
      </c>
      <c r="N44" s="7">
        <v>12000</v>
      </c>
      <c r="O44" s="7">
        <v>12000</v>
      </c>
      <c r="P44" s="7">
        <v>12000</v>
      </c>
      <c r="Q44" s="7">
        <v>15029</v>
      </c>
      <c r="R44" s="7">
        <v>15662</v>
      </c>
    </row>
    <row r="45" spans="13:18" x14ac:dyDescent="0.3">
      <c r="M45" s="6" t="s">
        <v>145</v>
      </c>
      <c r="N45" s="7">
        <v>600</v>
      </c>
      <c r="O45" s="7">
        <v>700</v>
      </c>
      <c r="P45" s="7">
        <v>700</v>
      </c>
      <c r="Q45" s="7">
        <v>760</v>
      </c>
      <c r="R45" s="7">
        <v>908</v>
      </c>
    </row>
    <row r="46" spans="13:18" x14ac:dyDescent="0.3">
      <c r="M46" s="6" t="s">
        <v>152</v>
      </c>
      <c r="N46" s="7">
        <v>1500</v>
      </c>
      <c r="O46" s="7">
        <v>1500</v>
      </c>
      <c r="P46" s="7">
        <v>1400</v>
      </c>
      <c r="Q46" s="7">
        <v>2059</v>
      </c>
      <c r="R46" s="7">
        <v>1648</v>
      </c>
    </row>
    <row r="47" spans="13:18" x14ac:dyDescent="0.3">
      <c r="M47" s="6" t="s">
        <v>153</v>
      </c>
      <c r="N47" s="7">
        <v>8462</v>
      </c>
      <c r="O47" s="7">
        <v>11538</v>
      </c>
      <c r="P47" s="7">
        <v>9826</v>
      </c>
      <c r="Q47" s="7">
        <v>22145</v>
      </c>
      <c r="R47" s="7">
        <v>31050</v>
      </c>
    </row>
    <row r="48" spans="13:18" x14ac:dyDescent="0.3">
      <c r="M48" s="9" t="s">
        <v>154</v>
      </c>
      <c r="N48" s="10">
        <v>25362</v>
      </c>
      <c r="O48" s="10">
        <v>28538</v>
      </c>
      <c r="P48" s="10">
        <v>26726</v>
      </c>
      <c r="Q48" s="10">
        <v>43065</v>
      </c>
      <c r="R48" s="10">
        <v>52322</v>
      </c>
    </row>
    <row r="49" spans="13:18" x14ac:dyDescent="0.3">
      <c r="M49" s="9" t="s">
        <v>155</v>
      </c>
      <c r="N49" s="10">
        <v>33562</v>
      </c>
      <c r="O49" s="10">
        <v>38238</v>
      </c>
      <c r="P49" s="10">
        <v>35826</v>
      </c>
      <c r="Q49" s="10">
        <v>52700</v>
      </c>
      <c r="R49" s="10">
        <v>62670</v>
      </c>
    </row>
    <row r="50" spans="13:18" x14ac:dyDescent="0.3">
      <c r="M50" s="9" t="s">
        <v>156</v>
      </c>
      <c r="N50" s="10">
        <v>112001</v>
      </c>
      <c r="O50" s="10">
        <v>124501</v>
      </c>
      <c r="P50" s="10">
        <v>127302</v>
      </c>
      <c r="Q50" s="10">
        <v>148903</v>
      </c>
      <c r="R50" s="10">
        <v>155967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EC60-8B14-40F5-A19A-82CBB7CB8CA9}">
  <dimension ref="B1:U48"/>
  <sheetViews>
    <sheetView showGridLines="0" zoomScale="67" workbookViewId="0">
      <selection activeCell="O25" sqref="O25"/>
    </sheetView>
  </sheetViews>
  <sheetFormatPr defaultColWidth="8.6640625" defaultRowHeight="14.4" x14ac:dyDescent="0.3"/>
  <cols>
    <col min="2" max="2" width="11.88671875" bestFit="1" customWidth="1"/>
    <col min="3" max="3" width="10.44140625" bestFit="1" customWidth="1"/>
    <col min="6" max="6" width="11.6640625" customWidth="1"/>
    <col min="8" max="8" width="14.21875" bestFit="1" customWidth="1"/>
    <col min="9" max="9" width="8.88671875" bestFit="1" customWidth="1"/>
    <col min="10" max="11" width="6.109375" bestFit="1" customWidth="1"/>
    <col min="12" max="12" width="13.33203125" bestFit="1" customWidth="1"/>
    <col min="13" max="13" width="17.6640625" bestFit="1" customWidth="1"/>
    <col min="14" max="14" width="14.5546875" customWidth="1"/>
    <col min="15" max="15" width="29.6640625" bestFit="1" customWidth="1"/>
    <col min="16" max="16" width="21" bestFit="1" customWidth="1"/>
    <col min="17" max="17" width="16.5546875" bestFit="1" customWidth="1"/>
    <col min="18" max="18" width="10.21875" bestFit="1" customWidth="1"/>
  </cols>
  <sheetData>
    <row r="1" spans="2:21" ht="15" customHeight="1" x14ac:dyDescent="0.3"/>
    <row r="2" spans="2:21" ht="15" customHeight="1" x14ac:dyDescent="0.3">
      <c r="B2" s="111"/>
      <c r="C2" s="111"/>
      <c r="D2" s="111"/>
    </row>
    <row r="3" spans="2:21" ht="15" customHeight="1" x14ac:dyDescent="0.3">
      <c r="M3" s="312" t="s">
        <v>401</v>
      </c>
    </row>
    <row r="4" spans="2:21" ht="90.75" customHeight="1" x14ac:dyDescent="0.3">
      <c r="M4" s="308" t="s">
        <v>424</v>
      </c>
      <c r="N4" s="308"/>
      <c r="O4" s="308"/>
    </row>
    <row r="5" spans="2:21" ht="15" customHeight="1" x14ac:dyDescent="0.3">
      <c r="M5" s="308"/>
      <c r="N5" s="308"/>
      <c r="O5" s="308"/>
    </row>
    <row r="6" spans="2:21" ht="15" customHeight="1" x14ac:dyDescent="0.3">
      <c r="M6" s="308"/>
      <c r="N6" s="308"/>
      <c r="O6" s="308"/>
    </row>
    <row r="7" spans="2:21" ht="57" customHeight="1" x14ac:dyDescent="0.3">
      <c r="M7" s="308"/>
      <c r="N7" s="308"/>
      <c r="O7" s="308"/>
    </row>
    <row r="8" spans="2:21" ht="15" customHeight="1" x14ac:dyDescent="0.3"/>
    <row r="9" spans="2:21" ht="15" customHeight="1" x14ac:dyDescent="0.3"/>
    <row r="10" spans="2:21" ht="15" customHeight="1" x14ac:dyDescent="0.3"/>
    <row r="11" spans="2:21" ht="15" customHeight="1" x14ac:dyDescent="0.3">
      <c r="M11" s="313" t="s">
        <v>402</v>
      </c>
      <c r="N11" s="313" t="s">
        <v>403</v>
      </c>
      <c r="O11" s="313" t="s">
        <v>404</v>
      </c>
      <c r="P11" s="314" t="s">
        <v>405</v>
      </c>
      <c r="Q11" s="314" t="s">
        <v>406</v>
      </c>
      <c r="R11" s="314" t="s">
        <v>407</v>
      </c>
    </row>
    <row r="12" spans="2:21" ht="15" customHeight="1" x14ac:dyDescent="0.3">
      <c r="M12" t="s">
        <v>425</v>
      </c>
      <c r="N12">
        <v>178650</v>
      </c>
      <c r="O12">
        <v>29474</v>
      </c>
      <c r="P12">
        <v>72.59</v>
      </c>
      <c r="Q12" s="106">
        <v>9.6000000000000002E-2</v>
      </c>
      <c r="R12" s="106">
        <v>0.1014</v>
      </c>
      <c r="T12" s="106"/>
      <c r="U12" s="106"/>
    </row>
    <row r="13" spans="2:21" ht="14.25" customHeight="1" x14ac:dyDescent="0.3">
      <c r="M13" t="s">
        <v>408</v>
      </c>
      <c r="N13">
        <v>162990</v>
      </c>
      <c r="O13">
        <v>26750</v>
      </c>
      <c r="P13">
        <v>64.319999999999993</v>
      </c>
      <c r="Q13" s="106">
        <v>5.8999999999999999E-3</v>
      </c>
      <c r="R13" s="106">
        <v>-0.27160000000000001</v>
      </c>
      <c r="T13" s="106"/>
      <c r="U13" s="106"/>
    </row>
    <row r="14" spans="2:21" ht="15" customHeight="1" x14ac:dyDescent="0.3">
      <c r="M14" t="s">
        <v>409</v>
      </c>
      <c r="N14">
        <v>162026</v>
      </c>
      <c r="O14">
        <v>36719</v>
      </c>
      <c r="P14">
        <v>88.4</v>
      </c>
      <c r="Q14" s="106">
        <v>6.1100000000000002E-2</v>
      </c>
      <c r="R14" s="106">
        <v>2.9700000000000001E-2</v>
      </c>
      <c r="T14" s="106"/>
      <c r="U14" s="106"/>
    </row>
    <row r="15" spans="2:21" ht="15" customHeight="1" x14ac:dyDescent="0.3">
      <c r="M15" t="s">
        <v>410</v>
      </c>
      <c r="N15">
        <v>152671</v>
      </c>
      <c r="O15">
        <v>35628</v>
      </c>
      <c r="P15">
        <v>85.8</v>
      </c>
      <c r="Q15" s="106">
        <v>0.25650000000000001</v>
      </c>
      <c r="R15" s="106">
        <v>0.60870000000000002</v>
      </c>
      <c r="T15" s="106"/>
      <c r="U15" s="106"/>
    </row>
    <row r="16" spans="2:21" ht="15" customHeight="1" x14ac:dyDescent="0.3">
      <c r="M16" t="s">
        <v>411</v>
      </c>
      <c r="N16">
        <v>121641</v>
      </c>
      <c r="O16">
        <v>22146</v>
      </c>
      <c r="P16">
        <v>53.3</v>
      </c>
      <c r="Q16" t="s">
        <v>412</v>
      </c>
      <c r="R16" t="s">
        <v>412</v>
      </c>
      <c r="T16" s="106"/>
      <c r="U16" s="106"/>
    </row>
    <row r="17" spans="2:14" ht="15" customHeight="1" x14ac:dyDescent="0.3"/>
    <row r="18" spans="2:14" ht="15" customHeight="1" x14ac:dyDescent="0.3"/>
    <row r="19" spans="2:14" ht="15" customHeight="1" x14ac:dyDescent="0.3"/>
    <row r="20" spans="2:14" ht="15" customHeight="1" x14ac:dyDescent="0.3">
      <c r="N20" s="2"/>
    </row>
    <row r="21" spans="2:14" ht="15" customHeight="1" x14ac:dyDescent="0.3"/>
    <row r="22" spans="2:14" ht="15" customHeight="1" x14ac:dyDescent="0.3"/>
    <row r="23" spans="2:14" ht="15" customHeight="1" x14ac:dyDescent="0.3"/>
    <row r="24" spans="2:14" ht="15" customHeight="1" x14ac:dyDescent="0.3"/>
    <row r="25" spans="2:14" ht="15" customHeight="1" x14ac:dyDescent="0.3"/>
    <row r="26" spans="2:14" ht="15" customHeight="1" x14ac:dyDescent="0.3"/>
    <row r="27" spans="2:14" ht="15" customHeight="1" x14ac:dyDescent="0.3">
      <c r="B27" t="s">
        <v>413</v>
      </c>
      <c r="C27" t="s">
        <v>414</v>
      </c>
    </row>
    <row r="28" spans="2:14" ht="15" customHeight="1" x14ac:dyDescent="0.3">
      <c r="B28" t="s">
        <v>415</v>
      </c>
      <c r="C28" t="s">
        <v>426</v>
      </c>
    </row>
    <row r="29" spans="2:14" ht="15" customHeight="1" x14ac:dyDescent="0.3">
      <c r="B29" t="s">
        <v>416</v>
      </c>
      <c r="C29" t="s">
        <v>427</v>
      </c>
    </row>
    <row r="30" spans="2:14" ht="15" customHeight="1" x14ac:dyDescent="0.3">
      <c r="B30" t="s">
        <v>417</v>
      </c>
      <c r="C30" t="s">
        <v>428</v>
      </c>
    </row>
    <row r="31" spans="2:14" ht="15" customHeight="1" x14ac:dyDescent="0.3">
      <c r="B31" t="s">
        <v>418</v>
      </c>
      <c r="C31">
        <v>16.2</v>
      </c>
    </row>
    <row r="32" spans="2:14" ht="14.25" customHeight="1" x14ac:dyDescent="0.3">
      <c r="B32" t="s">
        <v>419</v>
      </c>
      <c r="C32" t="s">
        <v>429</v>
      </c>
      <c r="M32" s="315"/>
    </row>
    <row r="33" spans="2:3" ht="15" customHeight="1" x14ac:dyDescent="0.3">
      <c r="B33" t="s">
        <v>420</v>
      </c>
      <c r="C33" s="106">
        <v>3.56E-2</v>
      </c>
    </row>
    <row r="34" spans="2:3" ht="15" customHeight="1" x14ac:dyDescent="0.3">
      <c r="B34" t="s">
        <v>421</v>
      </c>
      <c r="C34" s="106">
        <v>0.40300000000000002</v>
      </c>
    </row>
    <row r="35" spans="2:3" ht="15" customHeight="1" x14ac:dyDescent="0.3">
      <c r="B35" t="s">
        <v>422</v>
      </c>
      <c r="C35" s="106">
        <v>0.32200000000000001</v>
      </c>
    </row>
    <row r="36" spans="2:3" ht="15" customHeight="1" x14ac:dyDescent="0.3">
      <c r="B36" t="s">
        <v>423</v>
      </c>
      <c r="C36" t="s">
        <v>430</v>
      </c>
    </row>
    <row r="37" spans="2:3" ht="15" customHeight="1" x14ac:dyDescent="0.3"/>
    <row r="38" spans="2:3" ht="15" customHeight="1" x14ac:dyDescent="0.3"/>
    <row r="39" spans="2:3" ht="15" customHeight="1" x14ac:dyDescent="0.3"/>
    <row r="40" spans="2:3" ht="15" customHeight="1" x14ac:dyDescent="0.3"/>
    <row r="41" spans="2:3" ht="15" customHeight="1" x14ac:dyDescent="0.3"/>
    <row r="42" spans="2:3" ht="15" customHeight="1" x14ac:dyDescent="0.3"/>
    <row r="43" spans="2:3" ht="15" customHeight="1" x14ac:dyDescent="0.3"/>
    <row r="44" spans="2:3" ht="15" customHeight="1" x14ac:dyDescent="0.3"/>
    <row r="45" spans="2:3" ht="15" customHeight="1" x14ac:dyDescent="0.3"/>
    <row r="46" spans="2:3" ht="15" customHeight="1" x14ac:dyDescent="0.3"/>
    <row r="47" spans="2:3" ht="15" customHeight="1" x14ac:dyDescent="0.3"/>
    <row r="48" spans="2:3" ht="15" customHeight="1" x14ac:dyDescent="0.3">
      <c r="B48" s="316"/>
    </row>
  </sheetData>
  <mergeCells count="1">
    <mergeCell ref="M4:O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54"/>
  <sheetViews>
    <sheetView showGridLines="0" workbookViewId="0">
      <selection activeCell="D16" sqref="D16"/>
    </sheetView>
  </sheetViews>
  <sheetFormatPr defaultColWidth="8.88671875" defaultRowHeight="15.6" x14ac:dyDescent="0.3"/>
  <cols>
    <col min="1" max="1" width="1.88671875" style="14" customWidth="1"/>
    <col min="2" max="2" width="8.88671875" style="14" customWidth="1"/>
    <col min="3" max="3" width="35" style="14" bestFit="1" customWidth="1"/>
    <col min="4" max="4" width="39.109375" style="14" bestFit="1" customWidth="1"/>
    <col min="5" max="9" width="10.88671875" style="14" bestFit="1" customWidth="1"/>
    <col min="10" max="11" width="8.88671875" style="14" customWidth="1"/>
    <col min="12" max="12" width="11.33203125" style="14" customWidth="1"/>
    <col min="13" max="13" width="8.88671875" style="14" customWidth="1"/>
    <col min="14" max="16384" width="8.88671875" style="14"/>
  </cols>
  <sheetData>
    <row r="1" spans="2:14" ht="15" customHeight="1" x14ac:dyDescent="0.3">
      <c r="B1" s="13"/>
      <c r="C1" s="13"/>
      <c r="D1" s="13"/>
      <c r="E1" s="13"/>
      <c r="F1" s="13"/>
      <c r="G1" s="13"/>
      <c r="H1" s="13"/>
      <c r="I1" s="13"/>
    </row>
    <row r="2" spans="2:14" ht="15" customHeight="1" x14ac:dyDescent="0.3">
      <c r="B2" s="15"/>
      <c r="C2" s="16" t="s">
        <v>157</v>
      </c>
      <c r="D2" s="17" t="s">
        <v>158</v>
      </c>
      <c r="E2" s="18"/>
      <c r="F2" s="18"/>
      <c r="G2" s="18"/>
      <c r="H2" s="18"/>
      <c r="I2" s="18"/>
    </row>
    <row r="3" spans="2:14" ht="15" customHeight="1" x14ac:dyDescent="0.3">
      <c r="B3" s="19"/>
      <c r="C3" s="20"/>
      <c r="D3" s="21" t="s">
        <v>159</v>
      </c>
      <c r="E3" s="22"/>
      <c r="F3" s="22"/>
      <c r="G3" s="22"/>
      <c r="H3" s="22"/>
      <c r="I3" s="23"/>
    </row>
    <row r="4" spans="2:14" ht="15" customHeight="1" x14ac:dyDescent="0.3">
      <c r="B4" s="24"/>
      <c r="C4" s="25"/>
      <c r="D4" s="26"/>
      <c r="E4" s="317">
        <v>2022</v>
      </c>
      <c r="F4" s="317">
        <f>E4+1</f>
        <v>2023</v>
      </c>
      <c r="G4" s="317">
        <f t="shared" ref="G4:I4" si="0">F4+1</f>
        <v>2024</v>
      </c>
      <c r="H4" s="317">
        <f t="shared" si="0"/>
        <v>2025</v>
      </c>
      <c r="I4" s="317">
        <f t="shared" si="0"/>
        <v>2026</v>
      </c>
    </row>
    <row r="5" spans="2:14" ht="15" customHeight="1" x14ac:dyDescent="0.3">
      <c r="B5" s="27"/>
      <c r="C5" s="28" t="s">
        <v>0</v>
      </c>
      <c r="D5" s="27"/>
      <c r="E5" s="29"/>
      <c r="F5" s="29"/>
      <c r="G5" s="29"/>
      <c r="H5" s="29"/>
      <c r="I5" s="29"/>
    </row>
    <row r="6" spans="2:14" s="33" customFormat="1" ht="15" customHeight="1" x14ac:dyDescent="0.3">
      <c r="B6" s="30"/>
      <c r="C6" s="31" t="s">
        <v>160</v>
      </c>
      <c r="D6" s="30"/>
      <c r="E6" s="32">
        <f>'Consolidated FS'!C7</f>
        <v>121641</v>
      </c>
      <c r="F6" s="32">
        <f>'Consolidated FS'!D7</f>
        <v>152671</v>
      </c>
      <c r="G6" s="32">
        <f>'Consolidated FS'!E7</f>
        <v>162026</v>
      </c>
      <c r="H6" s="32">
        <f>'Consolidated FS'!F7</f>
        <v>162990</v>
      </c>
      <c r="I6" s="32">
        <f>'Consolidated FS'!G7</f>
        <v>178650</v>
      </c>
    </row>
    <row r="7" spans="2:14" ht="15" customHeight="1" x14ac:dyDescent="0.3">
      <c r="B7" s="34"/>
      <c r="C7" s="35" t="s">
        <v>161</v>
      </c>
      <c r="D7" s="34"/>
      <c r="E7" s="36"/>
      <c r="F7" s="37">
        <f>(F6-E6)/E6</f>
        <v>0.25509491043315985</v>
      </c>
      <c r="G7" s="37">
        <f>(G6-F6)/F6</f>
        <v>6.1275553313988901E-2</v>
      </c>
      <c r="H7" s="37">
        <f>(H6-G6)/G6</f>
        <v>5.949662399861751E-3</v>
      </c>
      <c r="I7" s="37">
        <f>(I6-H6)/H6</f>
        <v>9.6079514080618447E-2</v>
      </c>
    </row>
    <row r="8" spans="2:14" ht="15" customHeight="1" x14ac:dyDescent="0.3">
      <c r="B8" s="38"/>
      <c r="C8" s="39"/>
      <c r="D8" s="38"/>
      <c r="E8" s="40"/>
      <c r="F8" s="40"/>
      <c r="G8" s="40"/>
      <c r="H8" s="40"/>
      <c r="I8" s="40"/>
    </row>
    <row r="9" spans="2:14" ht="15" customHeight="1" x14ac:dyDescent="0.3">
      <c r="B9" s="41"/>
      <c r="C9" s="42" t="s">
        <v>162</v>
      </c>
      <c r="D9" s="41"/>
      <c r="E9" s="43">
        <f>'Consolidated FS'!C11</f>
        <v>12606</v>
      </c>
      <c r="F9" s="43">
        <f>'Consolidated FS'!D11</f>
        <v>11487</v>
      </c>
      <c r="G9" s="43">
        <f>'Consolidated FS'!E11</f>
        <v>13019</v>
      </c>
      <c r="H9" s="43">
        <f>'Consolidated FS'!F11</f>
        <v>12937</v>
      </c>
      <c r="I9" s="43">
        <f>'Consolidated FS'!G11</f>
        <v>15421</v>
      </c>
    </row>
    <row r="10" spans="2:14" ht="15" customHeight="1" x14ac:dyDescent="0.3">
      <c r="B10" s="44"/>
      <c r="C10" s="45" t="s">
        <v>163</v>
      </c>
      <c r="D10" s="44"/>
      <c r="E10" s="43">
        <f>'Consolidated FS'!C10</f>
        <v>63986</v>
      </c>
      <c r="F10" s="43">
        <f>'Consolidated FS'!D10</f>
        <v>77449</v>
      </c>
      <c r="G10" s="43">
        <f>'Consolidated FS'!E10</f>
        <v>81768</v>
      </c>
      <c r="H10" s="43">
        <f>'Consolidated FS'!F10</f>
        <v>85950</v>
      </c>
      <c r="I10" s="43">
        <f>'Consolidated FS'!G10</f>
        <v>95094</v>
      </c>
    </row>
    <row r="11" spans="2:14" ht="15" customHeight="1" x14ac:dyDescent="0.3">
      <c r="B11" s="41"/>
      <c r="C11" s="42" t="s">
        <v>164</v>
      </c>
      <c r="D11" s="41"/>
      <c r="E11" s="43">
        <f>'Consolidated FS'!C12+'Consolidated FS'!C13+'Consolidated FS'!C14+'Consolidated FS'!C15</f>
        <v>10134</v>
      </c>
      <c r="F11" s="43">
        <f>'Consolidated FS'!D12+'Consolidated FS'!D13+'Consolidated FS'!D14+'Consolidated FS'!D15</f>
        <v>11925</v>
      </c>
      <c r="G11" s="43">
        <f>'Consolidated FS'!E12+'Consolidated FS'!E13+'Consolidated FS'!E14+'Consolidated FS'!E15</f>
        <v>12869</v>
      </c>
      <c r="H11" s="43">
        <f>'Consolidated FS'!F12+'Consolidated FS'!F13+'Consolidated FS'!F14+'Consolidated FS'!F15</f>
        <v>20080</v>
      </c>
      <c r="I11" s="43">
        <f>'Consolidated FS'!G12+'Consolidated FS'!G13+'Consolidated FS'!G14+'Consolidated FS'!G15</f>
        <v>20512</v>
      </c>
    </row>
    <row r="12" spans="2:14" s="33" customFormat="1" ht="15" customHeight="1" x14ac:dyDescent="0.3">
      <c r="B12" s="46"/>
      <c r="C12" s="47" t="s">
        <v>165</v>
      </c>
      <c r="D12" s="46"/>
      <c r="E12" s="32">
        <f>SUM(E9:E11)</f>
        <v>86726</v>
      </c>
      <c r="F12" s="32">
        <f>SUM(F9:F11)</f>
        <v>100861</v>
      </c>
      <c r="G12" s="32">
        <f>SUM(G9:G11)</f>
        <v>107656</v>
      </c>
      <c r="H12" s="32">
        <f>SUM(H9:H11)</f>
        <v>118967</v>
      </c>
      <c r="I12" s="32">
        <f>SUM(I9:I11)</f>
        <v>131027</v>
      </c>
      <c r="N12" s="48"/>
    </row>
    <row r="13" spans="2:14" ht="15" customHeight="1" x14ac:dyDescent="0.3">
      <c r="B13" s="38"/>
      <c r="C13" s="39"/>
      <c r="D13" s="38"/>
      <c r="E13" s="40"/>
      <c r="F13" s="40"/>
      <c r="G13" s="40"/>
      <c r="H13" s="40"/>
      <c r="I13" s="40"/>
    </row>
    <row r="14" spans="2:14" s="33" customFormat="1" ht="15" customHeight="1" x14ac:dyDescent="0.3">
      <c r="B14" s="49"/>
      <c r="C14" s="50" t="s">
        <v>166</v>
      </c>
      <c r="D14" s="51"/>
      <c r="E14" s="52">
        <f>E6-E12</f>
        <v>34915</v>
      </c>
      <c r="F14" s="52">
        <f>F6-F12</f>
        <v>51810</v>
      </c>
      <c r="G14" s="52">
        <f>G6-G12</f>
        <v>54370</v>
      </c>
      <c r="H14" s="52">
        <f>H6-H12</f>
        <v>44023</v>
      </c>
      <c r="I14" s="51">
        <f>I6-I12</f>
        <v>47623</v>
      </c>
    </row>
    <row r="15" spans="2:14" ht="15" customHeight="1" x14ac:dyDescent="0.3">
      <c r="B15" s="38"/>
      <c r="C15" s="39"/>
      <c r="D15" s="38"/>
      <c r="E15" s="40"/>
      <c r="F15" s="40"/>
      <c r="G15" s="40"/>
      <c r="H15" s="40"/>
      <c r="I15" s="40"/>
      <c r="L15" s="53"/>
    </row>
    <row r="16" spans="2:14" ht="15" customHeight="1" x14ac:dyDescent="0.3">
      <c r="B16" s="44"/>
      <c r="C16" s="45" t="s">
        <v>167</v>
      </c>
      <c r="D16" s="44"/>
      <c r="E16" s="43">
        <f>'Consolidated FS'!C16</f>
        <v>3476</v>
      </c>
      <c r="F16" s="43">
        <f>'Consolidated FS'!D16</f>
        <v>4018</v>
      </c>
      <c r="G16" s="43">
        <f>'Consolidated FS'!E16</f>
        <v>4516</v>
      </c>
      <c r="H16" s="43">
        <f>'Consolidated FS'!F16</f>
        <v>4812</v>
      </c>
      <c r="I16" s="43">
        <f>'Consolidated FS'!G16</f>
        <v>4902</v>
      </c>
      <c r="L16" s="54"/>
    </row>
    <row r="17" spans="2:9" ht="15" customHeight="1" x14ac:dyDescent="0.3">
      <c r="B17" s="38"/>
      <c r="C17" s="39"/>
      <c r="D17" s="38"/>
      <c r="E17" s="40"/>
      <c r="F17" s="40"/>
      <c r="G17" s="40"/>
      <c r="H17" s="40"/>
      <c r="I17" s="40"/>
    </row>
    <row r="18" spans="2:9" s="33" customFormat="1" ht="15" customHeight="1" x14ac:dyDescent="0.3">
      <c r="B18" s="49"/>
      <c r="C18" s="50" t="s">
        <v>168</v>
      </c>
      <c r="D18" s="51"/>
      <c r="E18" s="52">
        <f>E14-E16</f>
        <v>31439</v>
      </c>
      <c r="F18" s="52">
        <f>F14-F16</f>
        <v>47792</v>
      </c>
      <c r="G18" s="52">
        <f>G14-G16</f>
        <v>49854</v>
      </c>
      <c r="H18" s="52">
        <f>H14-H16</f>
        <v>39211</v>
      </c>
      <c r="I18" s="51">
        <f>I14-I16</f>
        <v>42721</v>
      </c>
    </row>
    <row r="19" spans="2:9" ht="15" customHeight="1" x14ac:dyDescent="0.3">
      <c r="B19" s="38"/>
      <c r="C19" s="39"/>
      <c r="D19" s="38"/>
      <c r="E19" s="40"/>
      <c r="F19" s="40"/>
      <c r="G19" s="40"/>
      <c r="H19" s="40"/>
      <c r="I19" s="40"/>
    </row>
    <row r="20" spans="2:9" ht="15" customHeight="1" x14ac:dyDescent="0.3">
      <c r="B20" s="41"/>
      <c r="C20" s="42" t="s">
        <v>169</v>
      </c>
      <c r="D20" s="41"/>
      <c r="E20" s="43">
        <f>'Consolidated FS'!C8</f>
        <v>2295</v>
      </c>
      <c r="F20" s="43">
        <f>'Consolidated FS'!D8</f>
        <v>2917</v>
      </c>
      <c r="G20" s="43">
        <f>'Consolidated FS'!E8</f>
        <v>2957</v>
      </c>
      <c r="H20" s="43">
        <f>'Consolidated FS'!F8</f>
        <v>3600</v>
      </c>
      <c r="I20" s="43">
        <f>'Consolidated FS'!G8</f>
        <v>4322</v>
      </c>
    </row>
    <row r="21" spans="2:9" ht="15" customHeight="1" x14ac:dyDescent="0.3">
      <c r="B21" s="44"/>
      <c r="C21" s="45" t="s">
        <v>170</v>
      </c>
      <c r="D21" s="44"/>
      <c r="E21" s="43">
        <f>'Consolidated FS'!C17</f>
        <v>200</v>
      </c>
      <c r="F21" s="43">
        <f>'Consolidated FS'!D17</f>
        <v>341</v>
      </c>
      <c r="G21" s="43">
        <f>'Consolidated FS'!E17</f>
        <v>369</v>
      </c>
      <c r="H21" s="43">
        <f>'Consolidated FS'!F17</f>
        <v>416</v>
      </c>
      <c r="I21" s="43">
        <f>'Consolidated FS'!G17</f>
        <v>416</v>
      </c>
    </row>
    <row r="22" spans="2:9" ht="15" customHeight="1" x14ac:dyDescent="0.3">
      <c r="B22" s="38"/>
      <c r="C22" s="39"/>
      <c r="D22" s="38"/>
      <c r="E22" s="40"/>
      <c r="F22" s="40"/>
      <c r="G22" s="40"/>
      <c r="H22" s="40"/>
      <c r="I22" s="40"/>
    </row>
    <row r="23" spans="2:9" s="33" customFormat="1" ht="15" customHeight="1" x14ac:dyDescent="0.3">
      <c r="B23" s="50"/>
      <c r="C23" s="51" t="s">
        <v>171</v>
      </c>
      <c r="D23" s="55"/>
      <c r="E23" s="52">
        <f>E18+E20-E21</f>
        <v>33534</v>
      </c>
      <c r="F23" s="52">
        <f>F18+F20-F21</f>
        <v>50368</v>
      </c>
      <c r="G23" s="52">
        <f>G18+G20-G21</f>
        <v>52442</v>
      </c>
      <c r="H23" s="51">
        <f>H18+H20-H21</f>
        <v>42395</v>
      </c>
      <c r="I23" s="50">
        <f>I18+I20-I21</f>
        <v>46627</v>
      </c>
    </row>
    <row r="24" spans="2:9" ht="15" customHeight="1" x14ac:dyDescent="0.3">
      <c r="B24" s="38"/>
      <c r="C24" s="39"/>
      <c r="D24" s="38"/>
      <c r="E24" s="40"/>
      <c r="F24" s="40"/>
      <c r="G24" s="40"/>
      <c r="H24" s="40"/>
      <c r="I24" s="40"/>
    </row>
    <row r="25" spans="2:9" ht="15" customHeight="1" x14ac:dyDescent="0.3">
      <c r="B25" s="41"/>
      <c r="C25" s="42" t="s">
        <v>172</v>
      </c>
      <c r="D25" s="41"/>
      <c r="E25" s="43">
        <f>'Consolidated FS'!C21+'Consolidated FS'!C22</f>
        <v>7964</v>
      </c>
      <c r="F25" s="43">
        <f>'Consolidated FS'!D21+'Consolidated FS'!D22</f>
        <v>10972</v>
      </c>
      <c r="G25" s="43">
        <f>'Consolidated FS'!E21+'Consolidated FS'!E22</f>
        <v>11461</v>
      </c>
      <c r="H25" s="43">
        <f>'Consolidated FS'!F21+'Consolidated FS'!F22</f>
        <v>10858</v>
      </c>
      <c r="I25" s="43">
        <f>'Consolidated FS'!G21+'Consolidated FS'!G22</f>
        <v>10521</v>
      </c>
    </row>
    <row r="26" spans="2:9" ht="15" customHeight="1" x14ac:dyDescent="0.3">
      <c r="B26" s="44"/>
      <c r="C26" s="45" t="s">
        <v>173</v>
      </c>
      <c r="D26" s="44"/>
      <c r="E26" s="43">
        <f>'Consolidated FS'!N34</f>
        <v>350</v>
      </c>
      <c r="F26" s="43">
        <f>'Consolidated FS'!O34</f>
        <v>380</v>
      </c>
      <c r="G26" s="43">
        <f>'Consolidated FS'!P34</f>
        <v>400</v>
      </c>
      <c r="H26" s="43">
        <f>'Consolidated FS'!Q34</f>
        <v>385</v>
      </c>
      <c r="I26" s="43">
        <f>'Consolidated FS'!R34</f>
        <v>445</v>
      </c>
    </row>
    <row r="27" spans="2:9" ht="15" customHeight="1" x14ac:dyDescent="0.3">
      <c r="B27" s="38"/>
      <c r="C27" s="39"/>
      <c r="D27" s="38"/>
      <c r="E27" s="40"/>
      <c r="F27" s="40"/>
      <c r="G27" s="40"/>
      <c r="H27" s="40"/>
      <c r="I27" s="40"/>
    </row>
    <row r="28" spans="2:9" s="33" customFormat="1" ht="15" customHeight="1" x14ac:dyDescent="0.3">
      <c r="B28" s="49"/>
      <c r="C28" s="50" t="s">
        <v>174</v>
      </c>
      <c r="D28" s="51"/>
      <c r="E28" s="52">
        <f>E23-E25-E26</f>
        <v>25220</v>
      </c>
      <c r="F28" s="52">
        <f>F23-F25-F26</f>
        <v>39016</v>
      </c>
      <c r="G28" s="52">
        <f>G23-G25-G26</f>
        <v>40581</v>
      </c>
      <c r="H28" s="52">
        <f>H23-H25-H26</f>
        <v>31152</v>
      </c>
      <c r="I28" s="51">
        <f>I23-I25-I26</f>
        <v>35661</v>
      </c>
    </row>
    <row r="29" spans="2:9" ht="15" customHeight="1" x14ac:dyDescent="0.3">
      <c r="B29" s="38"/>
      <c r="C29" s="39"/>
      <c r="D29" s="38"/>
      <c r="E29" s="40"/>
      <c r="F29" s="40"/>
      <c r="G29" s="40"/>
      <c r="H29" s="40"/>
      <c r="I29" s="40"/>
    </row>
    <row r="30" spans="2:9" ht="15" customHeight="1" x14ac:dyDescent="0.3">
      <c r="B30" s="56"/>
      <c r="C30" s="57" t="s">
        <v>175</v>
      </c>
      <c r="D30" s="58"/>
      <c r="E30" s="59"/>
      <c r="F30" s="59"/>
      <c r="G30" s="59"/>
      <c r="H30" s="59"/>
      <c r="I30" s="59"/>
    </row>
    <row r="31" spans="2:9" ht="15" customHeight="1" x14ac:dyDescent="0.3">
      <c r="B31" s="41"/>
      <c r="C31" s="42" t="s">
        <v>176</v>
      </c>
      <c r="D31" s="41"/>
      <c r="E31" s="37">
        <f>AVERAGE(F7:I7)</f>
        <v>0.10459991005690723</v>
      </c>
      <c r="F31" s="37"/>
      <c r="G31" s="40"/>
      <c r="H31" s="40"/>
      <c r="I31" s="40"/>
    </row>
    <row r="32" spans="2:9" ht="15" customHeight="1" x14ac:dyDescent="0.3">
      <c r="B32" s="44"/>
      <c r="C32" s="60" t="s">
        <v>177</v>
      </c>
      <c r="D32" s="61"/>
      <c r="E32" s="62">
        <f>(I6/E6)^(1/4)-1</f>
        <v>0.10085662328558098</v>
      </c>
      <c r="F32" s="62">
        <f>_xlfn.RRI(4,E6,I6)</f>
        <v>0.10085662328558098</v>
      </c>
      <c r="G32" s="63"/>
      <c r="H32" s="63"/>
      <c r="I32" s="63"/>
    </row>
    <row r="33" spans="2:11" ht="15.75" customHeight="1" thickBot="1" x14ac:dyDescent="0.35">
      <c r="B33" s="38"/>
      <c r="C33" s="39"/>
      <c r="D33" s="38"/>
      <c r="E33" s="40"/>
      <c r="F33" s="40"/>
      <c r="G33" s="40"/>
      <c r="H33" s="40"/>
      <c r="I33" s="40"/>
    </row>
    <row r="34" spans="2:11" ht="15" customHeight="1" x14ac:dyDescent="0.3">
      <c r="B34" s="13"/>
      <c r="C34" s="64" t="s">
        <v>178</v>
      </c>
      <c r="D34" s="65"/>
      <c r="E34" s="66"/>
      <c r="F34" s="66"/>
      <c r="G34" s="66"/>
      <c r="H34" s="66"/>
      <c r="I34" s="66"/>
    </row>
    <row r="35" spans="2:11" ht="15" customHeight="1" x14ac:dyDescent="0.3">
      <c r="B35" s="41"/>
      <c r="C35" s="42" t="s">
        <v>179</v>
      </c>
      <c r="D35" s="41"/>
      <c r="E35" s="37">
        <f>E14/E6</f>
        <v>0.28703315493953518</v>
      </c>
      <c r="F35" s="37">
        <f>F14/F6</f>
        <v>0.33935717981804009</v>
      </c>
      <c r="G35" s="37">
        <f>G14/G6</f>
        <v>0.33556342809178774</v>
      </c>
      <c r="H35" s="37">
        <f>H14/H6</f>
        <v>0.27009632492790969</v>
      </c>
      <c r="I35" s="37">
        <f>I14/I6</f>
        <v>0.26657150853624406</v>
      </c>
    </row>
    <row r="36" spans="2:11" ht="15" customHeight="1" x14ac:dyDescent="0.3">
      <c r="B36" s="44"/>
      <c r="C36" s="67" t="s">
        <v>180</v>
      </c>
      <c r="D36" s="68"/>
      <c r="E36" s="69">
        <f>E18/E6</f>
        <v>0.25845726358711291</v>
      </c>
      <c r="F36" s="69">
        <f>F18/F6</f>
        <v>0.31303914954379025</v>
      </c>
      <c r="G36" s="69">
        <f>G18/G6</f>
        <v>0.30769135817708271</v>
      </c>
      <c r="H36" s="69">
        <f>H18/H6</f>
        <v>0.24057304129087675</v>
      </c>
      <c r="I36" s="69">
        <f>I18/I6</f>
        <v>0.23913238175202911</v>
      </c>
    </row>
    <row r="37" spans="2:11" ht="15" customHeight="1" x14ac:dyDescent="0.3">
      <c r="B37" s="41"/>
      <c r="C37" s="70" t="s">
        <v>181</v>
      </c>
      <c r="D37" s="71"/>
      <c r="E37" s="69">
        <f>E23/E6</f>
        <v>0.27568007497472069</v>
      </c>
      <c r="F37" s="69">
        <f>F23/F6</f>
        <v>0.32991203306456368</v>
      </c>
      <c r="G37" s="69">
        <f>G23/G6</f>
        <v>0.32366410329206424</v>
      </c>
      <c r="H37" s="69">
        <f>H23/H6</f>
        <v>0.26010798208479047</v>
      </c>
      <c r="I37" s="69">
        <f>I23/I6</f>
        <v>0.26099636160089562</v>
      </c>
    </row>
    <row r="38" spans="2:11" ht="15.75" customHeight="1" thickBot="1" x14ac:dyDescent="0.35">
      <c r="B38" s="72"/>
      <c r="C38" s="73" t="s">
        <v>182</v>
      </c>
      <c r="D38" s="74"/>
      <c r="E38" s="75">
        <f>E28/E6</f>
        <v>0.20733140963984184</v>
      </c>
      <c r="F38" s="75">
        <f>F28/F6</f>
        <v>0.25555606500252176</v>
      </c>
      <c r="G38" s="75">
        <f>G28/G6</f>
        <v>0.25045980274770718</v>
      </c>
      <c r="H38" s="75">
        <f>H28/H6</f>
        <v>0.19112829007914595</v>
      </c>
      <c r="I38" s="75">
        <f>I28/I6</f>
        <v>0.19961376994122587</v>
      </c>
    </row>
    <row r="39" spans="2:11" ht="15" customHeight="1" x14ac:dyDescent="0.3">
      <c r="B39" s="38"/>
      <c r="C39" s="39"/>
      <c r="D39" s="38"/>
      <c r="E39" s="40"/>
      <c r="F39" s="40"/>
      <c r="G39" s="40"/>
      <c r="H39" s="40"/>
      <c r="I39" s="40"/>
    </row>
    <row r="40" spans="2:11" ht="15" customHeight="1" x14ac:dyDescent="0.3">
      <c r="B40" s="56"/>
      <c r="C40" s="57" t="s">
        <v>183</v>
      </c>
      <c r="D40" s="58"/>
      <c r="E40" s="59"/>
      <c r="F40" s="59"/>
      <c r="G40" s="59"/>
      <c r="H40" s="59"/>
      <c r="I40" s="59"/>
    </row>
    <row r="41" spans="2:11" ht="15" customHeight="1" x14ac:dyDescent="0.3">
      <c r="B41" s="41"/>
      <c r="C41" s="42" t="s">
        <v>184</v>
      </c>
      <c r="E41" s="76">
        <f>E25/E23</f>
        <v>0.2374903083437705</v>
      </c>
      <c r="F41" s="37">
        <f>F25/F23</f>
        <v>0.21783672172808133</v>
      </c>
      <c r="G41" s="37">
        <f>G25/G23</f>
        <v>0.21854620342473591</v>
      </c>
      <c r="H41" s="37">
        <f>H25/H23</f>
        <v>0.25611510791366904</v>
      </c>
      <c r="I41" s="37">
        <f>I25/I23</f>
        <v>0.22564179552619726</v>
      </c>
    </row>
    <row r="42" spans="2:11" ht="15" customHeight="1" x14ac:dyDescent="0.3">
      <c r="B42" s="44"/>
      <c r="C42" s="60" t="s">
        <v>185</v>
      </c>
      <c r="E42" s="77">
        <f>MEDIAN(E41:I41)</f>
        <v>0.22564179552619726</v>
      </c>
      <c r="F42" s="77">
        <f>E42</f>
        <v>0.22564179552619726</v>
      </c>
      <c r="G42" s="77">
        <f>F42</f>
        <v>0.22564179552619726</v>
      </c>
      <c r="H42" s="77">
        <f>G42</f>
        <v>0.22564179552619726</v>
      </c>
      <c r="I42" s="77">
        <f>H42</f>
        <v>0.22564179552619726</v>
      </c>
      <c r="J42" s="77"/>
      <c r="K42" s="77"/>
    </row>
    <row r="43" spans="2:11" ht="15" customHeight="1" x14ac:dyDescent="0.3">
      <c r="B43" s="38"/>
      <c r="C43" s="39"/>
      <c r="E43" s="38"/>
      <c r="F43" s="40"/>
      <c r="G43" s="40"/>
      <c r="H43" s="40"/>
      <c r="I43" s="40"/>
    </row>
    <row r="44" spans="2:11" ht="15" customHeight="1" x14ac:dyDescent="0.3">
      <c r="B44" s="56"/>
      <c r="C44" s="57" t="s">
        <v>186</v>
      </c>
      <c r="E44" s="58"/>
      <c r="F44" s="59"/>
      <c r="G44" s="59"/>
      <c r="H44" s="59"/>
      <c r="I44" s="59"/>
    </row>
    <row r="45" spans="2:11" ht="15" customHeight="1" x14ac:dyDescent="0.3">
      <c r="B45" s="41"/>
      <c r="C45" s="42" t="s">
        <v>187</v>
      </c>
      <c r="E45" s="78">
        <f>E18*(1-E42)</f>
        <v>24345.047590451886</v>
      </c>
      <c r="F45" s="43">
        <f>F18*(1-F42)</f>
        <v>37008.127308211981</v>
      </c>
      <c r="G45" s="43">
        <f>G18*(1-G42)</f>
        <v>38604.853925836964</v>
      </c>
      <c r="H45" s="43">
        <f>H18*(1-H42)</f>
        <v>30363.359555622279</v>
      </c>
      <c r="I45" s="43">
        <f>I18*(1-I42)</f>
        <v>33081.356853325327</v>
      </c>
    </row>
    <row r="46" spans="2:11" ht="15" customHeight="1" x14ac:dyDescent="0.3">
      <c r="B46" s="44"/>
      <c r="C46" s="67" t="s">
        <v>188</v>
      </c>
      <c r="E46" s="79">
        <f>'Consolidated FS'!N35</f>
        <v>78439</v>
      </c>
      <c r="F46" s="79">
        <f>'Consolidated FS'!O35</f>
        <v>86463</v>
      </c>
      <c r="G46" s="79">
        <f>'Consolidated FS'!P35</f>
        <v>91476</v>
      </c>
      <c r="H46" s="79">
        <f>'Consolidated FS'!Q35</f>
        <v>96203</v>
      </c>
      <c r="I46" s="79">
        <f>'Consolidated FS'!R35</f>
        <v>93297</v>
      </c>
    </row>
    <row r="47" spans="2:11" ht="15" customHeight="1" x14ac:dyDescent="0.3">
      <c r="B47" s="41"/>
      <c r="C47" s="70" t="s">
        <v>189</v>
      </c>
      <c r="E47" s="80">
        <f>'Consolidated FS'!N41+'Consolidated FS'!N44</f>
        <v>20200</v>
      </c>
      <c r="F47" s="80">
        <f>'Consolidated FS'!O41+'Consolidated FS'!O44</f>
        <v>21700</v>
      </c>
      <c r="G47" s="80">
        <f>'Consolidated FS'!P41+'Consolidated FS'!P44</f>
        <v>21100</v>
      </c>
      <c r="H47" s="80">
        <f>'Consolidated FS'!Q41+'Consolidated FS'!Q44</f>
        <v>24664</v>
      </c>
      <c r="I47" s="80">
        <f>'Consolidated FS'!R41+'Consolidated FS'!R44</f>
        <v>26010</v>
      </c>
    </row>
    <row r="48" spans="2:11" ht="15" customHeight="1" x14ac:dyDescent="0.3">
      <c r="B48" s="44"/>
      <c r="C48" s="67" t="s">
        <v>190</v>
      </c>
      <c r="E48" s="79">
        <v>0</v>
      </c>
      <c r="F48" s="79">
        <v>0</v>
      </c>
      <c r="G48" s="79">
        <v>438.67</v>
      </c>
      <c r="H48" s="79">
        <v>310.16000000000003</v>
      </c>
      <c r="I48" s="79">
        <v>492.55</v>
      </c>
    </row>
    <row r="49" spans="2:9" ht="15" customHeight="1" x14ac:dyDescent="0.3">
      <c r="B49" s="81"/>
      <c r="C49" s="82" t="s">
        <v>191</v>
      </c>
      <c r="E49" s="83">
        <f>E46+E47-E48</f>
        <v>98639</v>
      </c>
      <c r="F49" s="84">
        <f>F46+F47-F48</f>
        <v>108163</v>
      </c>
      <c r="G49" s="84">
        <f>G46+G47-G48</f>
        <v>112137.33</v>
      </c>
      <c r="H49" s="84">
        <f>H46+H47-H48</f>
        <v>120556.84</v>
      </c>
      <c r="I49" s="84">
        <f>I46+I47-I48</f>
        <v>118814.45</v>
      </c>
    </row>
    <row r="50" spans="2:9" ht="15" customHeight="1" x14ac:dyDescent="0.3">
      <c r="B50" s="38"/>
      <c r="C50" s="39"/>
      <c r="E50" s="38"/>
      <c r="F50" s="40"/>
      <c r="G50" s="40"/>
      <c r="H50" s="40"/>
      <c r="I50" s="40"/>
    </row>
    <row r="51" spans="2:9" ht="15" customHeight="1" x14ac:dyDescent="0.3">
      <c r="B51" s="85"/>
      <c r="C51" s="86" t="s">
        <v>192</v>
      </c>
      <c r="E51" s="87">
        <f>E18/E49</f>
        <v>0.31872788653575157</v>
      </c>
      <c r="F51" s="88">
        <f>F18/F49</f>
        <v>0.44185164982480146</v>
      </c>
      <c r="G51" s="88">
        <f>G18/G49</f>
        <v>0.44457987362459939</v>
      </c>
      <c r="H51" s="88">
        <f>H18/H49</f>
        <v>0.32524906923572316</v>
      </c>
      <c r="I51" s="88">
        <f>I18/I49</f>
        <v>0.35956064266593835</v>
      </c>
    </row>
    <row r="52" spans="2:9" ht="15" customHeight="1" x14ac:dyDescent="0.3">
      <c r="B52" s="72"/>
      <c r="C52" s="89" t="s">
        <v>193</v>
      </c>
      <c r="D52" s="90"/>
      <c r="E52" s="91">
        <f>E45/E49</f>
        <v>0.24680955393355453</v>
      </c>
      <c r="F52" s="91">
        <f>F45/F49</f>
        <v>0.34215145020212068</v>
      </c>
      <c r="G52" s="91">
        <f>G45/G49</f>
        <v>0.34426407268513493</v>
      </c>
      <c r="H52" s="91">
        <f>H45/H49</f>
        <v>0.25185928526015017</v>
      </c>
      <c r="I52" s="91">
        <f>I45/I49</f>
        <v>0.27842873365424264</v>
      </c>
    </row>
    <row r="54" spans="2:9" ht="15" customHeight="1" x14ac:dyDescent="0.3">
      <c r="C54" s="92"/>
      <c r="D54" s="9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S989"/>
  <sheetViews>
    <sheetView showGridLines="0" workbookViewId="0">
      <selection activeCell="F3" sqref="F3"/>
    </sheetView>
  </sheetViews>
  <sheetFormatPr defaultRowHeight="14.4" x14ac:dyDescent="0.3"/>
  <cols>
    <col min="2" max="2" width="18.109375" bestFit="1" customWidth="1"/>
    <col min="3" max="3" width="12" bestFit="1" customWidth="1"/>
    <col min="6" max="6" width="10.5546875" bestFit="1" customWidth="1"/>
    <col min="7" max="7" width="11.5546875" bestFit="1" customWidth="1"/>
    <col min="8" max="8" width="6.88671875" bestFit="1" customWidth="1"/>
  </cols>
  <sheetData>
    <row r="2" spans="2:12" x14ac:dyDescent="0.3">
      <c r="B2" s="283" t="s">
        <v>194</v>
      </c>
      <c r="C2" s="284"/>
      <c r="D2" s="101"/>
      <c r="F2" s="307" t="s">
        <v>431</v>
      </c>
      <c r="G2" s="307"/>
      <c r="H2" s="307"/>
    </row>
    <row r="3" spans="2:12" x14ac:dyDescent="0.3">
      <c r="B3" s="94" t="s">
        <v>195</v>
      </c>
      <c r="C3" s="94" t="s">
        <v>196</v>
      </c>
      <c r="D3" s="102"/>
      <c r="F3" s="95" t="s">
        <v>195</v>
      </c>
      <c r="G3" s="95" t="s">
        <v>197</v>
      </c>
      <c r="H3" s="96"/>
      <c r="K3" t="s">
        <v>198</v>
      </c>
    </row>
    <row r="4" spans="2:12" x14ac:dyDescent="0.3">
      <c r="B4" s="103">
        <v>44652</v>
      </c>
      <c r="C4" s="105">
        <v>1903.550048828125</v>
      </c>
      <c r="F4" s="97">
        <v>44652</v>
      </c>
      <c r="G4" s="98">
        <v>17670.44921875</v>
      </c>
      <c r="H4" s="100"/>
    </row>
    <row r="5" spans="2:12" x14ac:dyDescent="0.3">
      <c r="B5" s="103">
        <v>44655</v>
      </c>
      <c r="C5" s="105">
        <v>1882.949951171875</v>
      </c>
      <c r="D5" s="106">
        <f t="shared" ref="D5:D68" si="0">(C5-C4)/C4</f>
        <v>-1.0821936449179236E-2</v>
      </c>
      <c r="F5" s="97">
        <v>44655</v>
      </c>
      <c r="G5" s="98">
        <v>18053.400390625</v>
      </c>
      <c r="H5" s="99">
        <f t="shared" ref="H5:H68" si="1">(G5-G4)/G4</f>
        <v>2.1671841339984326E-2</v>
      </c>
      <c r="K5">
        <f>SLOPE(D5:D989,H5:H989)</f>
        <v>1.0114780117561601</v>
      </c>
    </row>
    <row r="6" spans="2:12" x14ac:dyDescent="0.3">
      <c r="B6" s="103">
        <v>44656</v>
      </c>
      <c r="C6" s="105">
        <v>1861.099975585938</v>
      </c>
      <c r="D6" s="106">
        <f t="shared" si="0"/>
        <v>-1.1604119149496495E-2</v>
      </c>
      <c r="F6" s="97">
        <v>44656</v>
      </c>
      <c r="G6" s="98">
        <v>17957.400390625</v>
      </c>
      <c r="H6" s="100">
        <f t="shared" si="1"/>
        <v>-5.3175577964720763E-3</v>
      </c>
    </row>
    <row r="7" spans="2:12" x14ac:dyDescent="0.3">
      <c r="B7" s="103">
        <v>44657</v>
      </c>
      <c r="C7" s="105">
        <v>1828.849975585938</v>
      </c>
      <c r="D7" s="106">
        <f t="shared" si="0"/>
        <v>-1.7328461889773866E-2</v>
      </c>
      <c r="F7" s="97">
        <v>44657</v>
      </c>
      <c r="G7" s="98">
        <v>17807.650390625</v>
      </c>
      <c r="H7" s="99">
        <f t="shared" si="1"/>
        <v>-8.3391803235717699E-3</v>
      </c>
      <c r="K7" t="s">
        <v>199</v>
      </c>
    </row>
    <row r="8" spans="2:12" ht="15" customHeight="1" thickBot="1" x14ac:dyDescent="0.35">
      <c r="B8" s="103">
        <v>44658</v>
      </c>
      <c r="C8" s="105">
        <v>1811</v>
      </c>
      <c r="D8" s="106">
        <f t="shared" si="0"/>
        <v>-9.7602186205673173E-3</v>
      </c>
      <c r="F8" s="97">
        <v>44658</v>
      </c>
      <c r="G8" s="98">
        <v>17639.55078125</v>
      </c>
      <c r="H8" s="100">
        <f t="shared" si="1"/>
        <v>-9.4397411049521492E-3</v>
      </c>
    </row>
    <row r="9" spans="2:12" x14ac:dyDescent="0.3">
      <c r="B9" s="103">
        <v>44659</v>
      </c>
      <c r="C9" s="105">
        <v>1814.599975585938</v>
      </c>
      <c r="D9" s="106">
        <f t="shared" si="0"/>
        <v>1.9878385344770594E-3</v>
      </c>
      <c r="F9" s="97">
        <v>44659</v>
      </c>
      <c r="G9" s="98">
        <v>17784.349609375</v>
      </c>
      <c r="H9" s="99">
        <f t="shared" si="1"/>
        <v>8.2087593907954979E-3</v>
      </c>
      <c r="K9" s="109" t="s">
        <v>200</v>
      </c>
      <c r="L9" s="109"/>
    </row>
    <row r="10" spans="2:12" x14ac:dyDescent="0.3">
      <c r="B10" s="103">
        <v>44662</v>
      </c>
      <c r="C10" s="105">
        <v>1766.550048828125</v>
      </c>
      <c r="D10" s="106">
        <f t="shared" si="0"/>
        <v>-2.6479624933477438E-2</v>
      </c>
      <c r="F10" s="97">
        <v>44662</v>
      </c>
      <c r="G10" s="98">
        <v>17674.94921875</v>
      </c>
      <c r="H10" s="100">
        <f t="shared" si="1"/>
        <v>-6.1514979759130298E-3</v>
      </c>
      <c r="K10" t="s">
        <v>201</v>
      </c>
      <c r="L10">
        <v>0.53152525705761078</v>
      </c>
    </row>
    <row r="11" spans="2:12" x14ac:dyDescent="0.3">
      <c r="B11" s="103">
        <v>44663</v>
      </c>
      <c r="C11" s="105">
        <v>1742.449951171875</v>
      </c>
      <c r="D11" s="106">
        <f t="shared" si="0"/>
        <v>-1.3642465251543405E-2</v>
      </c>
      <c r="F11" s="97">
        <v>44663</v>
      </c>
      <c r="G11" s="98">
        <v>17530.30078125</v>
      </c>
      <c r="H11" s="99">
        <f t="shared" si="1"/>
        <v>-8.1838106412522836E-3</v>
      </c>
      <c r="K11" t="s">
        <v>202</v>
      </c>
      <c r="L11">
        <v>0.28251909889015919</v>
      </c>
    </row>
    <row r="12" spans="2:12" x14ac:dyDescent="0.3">
      <c r="B12" s="103">
        <v>44664</v>
      </c>
      <c r="C12" s="105">
        <v>1748.550048828125</v>
      </c>
      <c r="D12" s="106">
        <f t="shared" si="0"/>
        <v>3.5008739574685708E-3</v>
      </c>
      <c r="F12" s="97">
        <v>44664</v>
      </c>
      <c r="G12" s="98">
        <v>17475.650390625</v>
      </c>
      <c r="H12" s="100">
        <f t="shared" si="1"/>
        <v>-3.1174816283501979E-3</v>
      </c>
      <c r="K12" t="s">
        <v>203</v>
      </c>
      <c r="L12">
        <v>0.28178920987580541</v>
      </c>
    </row>
    <row r="13" spans="2:12" x14ac:dyDescent="0.3">
      <c r="B13" s="103">
        <v>44669</v>
      </c>
      <c r="C13" s="105">
        <v>1621.400024414062</v>
      </c>
      <c r="D13" s="106">
        <f t="shared" si="0"/>
        <v>-7.271740634434723E-2</v>
      </c>
      <c r="F13" s="97">
        <v>44669</v>
      </c>
      <c r="G13" s="98">
        <v>17173.650390625</v>
      </c>
      <c r="H13" s="99">
        <f t="shared" si="1"/>
        <v>-1.7281188010147601E-2</v>
      </c>
      <c r="K13" t="s">
        <v>204</v>
      </c>
      <c r="L13">
        <v>1.341306476020581E-2</v>
      </c>
    </row>
    <row r="14" spans="2:12" ht="15" customHeight="1" thickBot="1" x14ac:dyDescent="0.35">
      <c r="B14" s="103">
        <v>44670</v>
      </c>
      <c r="C14" s="105">
        <v>1562</v>
      </c>
      <c r="D14" s="106">
        <f t="shared" si="0"/>
        <v>-3.6635021290028595E-2</v>
      </c>
      <c r="F14" s="97">
        <v>44670</v>
      </c>
      <c r="G14" s="98">
        <v>16958.650390625</v>
      </c>
      <c r="H14" s="100">
        <f t="shared" si="1"/>
        <v>-1.2519178806467803E-2</v>
      </c>
      <c r="K14" s="107" t="s">
        <v>205</v>
      </c>
      <c r="L14" s="107">
        <v>985</v>
      </c>
    </row>
    <row r="15" spans="2:12" x14ac:dyDescent="0.3">
      <c r="B15" s="103">
        <v>44671</v>
      </c>
      <c r="C15" s="105">
        <v>1587.699951171875</v>
      </c>
      <c r="D15" s="106">
        <f t="shared" si="0"/>
        <v>1.6453233784811141E-2</v>
      </c>
      <c r="F15" s="97">
        <v>44671</v>
      </c>
      <c r="G15" s="98">
        <v>17136.55078125</v>
      </c>
      <c r="H15" s="99">
        <f t="shared" si="1"/>
        <v>1.0490244596547968E-2</v>
      </c>
    </row>
    <row r="16" spans="2:12" ht="15" customHeight="1" thickBot="1" x14ac:dyDescent="0.35">
      <c r="B16" s="103">
        <v>44672</v>
      </c>
      <c r="C16" s="105">
        <v>1618.800048828125</v>
      </c>
      <c r="D16" s="106">
        <f t="shared" si="0"/>
        <v>1.9588145501481649E-2</v>
      </c>
      <c r="F16" s="97">
        <v>44672</v>
      </c>
      <c r="G16" s="98">
        <v>17392.599609375</v>
      </c>
      <c r="H16" s="100">
        <f t="shared" si="1"/>
        <v>1.4941678252146078E-2</v>
      </c>
      <c r="K16" t="s">
        <v>206</v>
      </c>
    </row>
    <row r="17" spans="2:19" x14ac:dyDescent="0.3">
      <c r="B17" s="103">
        <v>44673</v>
      </c>
      <c r="C17" s="105">
        <v>1585.449951171875</v>
      </c>
      <c r="D17" s="106">
        <f t="shared" si="0"/>
        <v>-2.0601739961888847E-2</v>
      </c>
      <c r="F17" s="97">
        <v>44673</v>
      </c>
      <c r="G17" s="98">
        <v>17171.94921875</v>
      </c>
      <c r="H17" s="99">
        <f t="shared" si="1"/>
        <v>-1.2686452605168035E-2</v>
      </c>
      <c r="K17" s="108"/>
      <c r="L17" s="108" t="s">
        <v>207</v>
      </c>
      <c r="M17" s="108" t="s">
        <v>208</v>
      </c>
      <c r="N17" s="108" t="s">
        <v>209</v>
      </c>
      <c r="O17" s="108" t="s">
        <v>210</v>
      </c>
      <c r="P17" s="108" t="s">
        <v>211</v>
      </c>
    </row>
    <row r="18" spans="2:19" x14ac:dyDescent="0.3">
      <c r="B18" s="103">
        <v>44676</v>
      </c>
      <c r="C18" s="105">
        <v>1561.099975585938</v>
      </c>
      <c r="D18" s="106">
        <f t="shared" si="0"/>
        <v>-1.5358400665967992E-2</v>
      </c>
      <c r="F18" s="97">
        <v>44676</v>
      </c>
      <c r="G18" s="98">
        <v>16953.94921875</v>
      </c>
      <c r="H18" s="100">
        <f t="shared" si="1"/>
        <v>-1.2695122564301929E-2</v>
      </c>
      <c r="K18" t="s">
        <v>212</v>
      </c>
      <c r="L18">
        <v>1</v>
      </c>
      <c r="M18">
        <v>6.9638118407687966E-2</v>
      </c>
      <c r="N18">
        <v>6.9638118407687966E-2</v>
      </c>
      <c r="O18">
        <v>387.0713126710956</v>
      </c>
      <c r="P18">
        <v>6.4520965495182685E-73</v>
      </c>
    </row>
    <row r="19" spans="2:19" x14ac:dyDescent="0.3">
      <c r="B19" s="103">
        <v>44677</v>
      </c>
      <c r="C19" s="105">
        <v>1581</v>
      </c>
      <c r="D19" s="106">
        <f t="shared" si="0"/>
        <v>1.2747437528203688E-2</v>
      </c>
      <c r="F19" s="97">
        <v>44677</v>
      </c>
      <c r="G19" s="98">
        <v>17200.80078125</v>
      </c>
      <c r="H19" s="99">
        <f t="shared" si="1"/>
        <v>1.4560121616207138E-2</v>
      </c>
      <c r="K19" t="s">
        <v>213</v>
      </c>
      <c r="L19">
        <v>983</v>
      </c>
      <c r="M19">
        <v>0.17685183105503</v>
      </c>
      <c r="N19">
        <v>1.7991030626147501E-4</v>
      </c>
    </row>
    <row r="20" spans="2:19" ht="15" customHeight="1" thickBot="1" x14ac:dyDescent="0.35">
      <c r="B20" s="103">
        <v>44678</v>
      </c>
      <c r="C20" s="105">
        <v>1552.800048828125</v>
      </c>
      <c r="D20" s="106">
        <f t="shared" si="0"/>
        <v>-1.7836781259882986E-2</v>
      </c>
      <c r="F20" s="97">
        <v>44678</v>
      </c>
      <c r="G20" s="98">
        <v>17038.400390625</v>
      </c>
      <c r="H20" s="100">
        <f t="shared" si="1"/>
        <v>-9.4414436101153531E-3</v>
      </c>
      <c r="K20" s="107" t="s">
        <v>214</v>
      </c>
      <c r="L20" s="107">
        <v>984</v>
      </c>
      <c r="M20" s="107">
        <v>0.24648994946271791</v>
      </c>
      <c r="N20" s="107"/>
      <c r="O20" s="107"/>
      <c r="P20" s="107"/>
    </row>
    <row r="21" spans="2:19" ht="15" customHeight="1" thickBot="1" x14ac:dyDescent="0.35">
      <c r="B21" s="103">
        <v>44679</v>
      </c>
      <c r="C21" s="105">
        <v>1582.599975585938</v>
      </c>
      <c r="D21" s="106">
        <f t="shared" si="0"/>
        <v>1.9191090817071082E-2</v>
      </c>
      <c r="F21" s="97">
        <v>44679</v>
      </c>
      <c r="G21" s="98">
        <v>17245.05078125</v>
      </c>
      <c r="H21" s="99">
        <f t="shared" si="1"/>
        <v>1.2128508890934666E-2</v>
      </c>
    </row>
    <row r="22" spans="2:19" x14ac:dyDescent="0.3">
      <c r="B22" s="103">
        <v>44680</v>
      </c>
      <c r="C22" s="105">
        <v>1567.550048828125</v>
      </c>
      <c r="D22" s="106">
        <f t="shared" si="0"/>
        <v>-9.5096215025789483E-3</v>
      </c>
      <c r="F22" s="97">
        <v>44680</v>
      </c>
      <c r="G22" s="98">
        <v>17102.55078125</v>
      </c>
      <c r="H22" s="100">
        <f t="shared" si="1"/>
        <v>-8.2632403816946566E-3</v>
      </c>
      <c r="K22" s="108"/>
      <c r="L22" s="108" t="s">
        <v>215</v>
      </c>
      <c r="M22" s="108" t="s">
        <v>204</v>
      </c>
      <c r="N22" s="108" t="s">
        <v>216</v>
      </c>
      <c r="O22" s="108" t="s">
        <v>217</v>
      </c>
      <c r="P22" s="108" t="s">
        <v>218</v>
      </c>
      <c r="Q22" s="108" t="s">
        <v>219</v>
      </c>
      <c r="R22" s="108" t="s">
        <v>220</v>
      </c>
      <c r="S22" s="108" t="s">
        <v>221</v>
      </c>
    </row>
    <row r="23" spans="2:19" x14ac:dyDescent="0.3">
      <c r="B23" s="103">
        <v>44683</v>
      </c>
      <c r="C23" s="105">
        <v>1541</v>
      </c>
      <c r="D23" s="106">
        <f t="shared" si="0"/>
        <v>-1.6937289401364495E-2</v>
      </c>
      <c r="F23" s="97">
        <v>44683</v>
      </c>
      <c r="G23" s="98">
        <v>17069.099609375</v>
      </c>
      <c r="H23" s="99">
        <f t="shared" si="1"/>
        <v>-1.9559171203674158E-3</v>
      </c>
      <c r="K23" t="s">
        <v>222</v>
      </c>
      <c r="L23">
        <v>-5.762470377586636E-4</v>
      </c>
      <c r="M23">
        <v>4.2760502518023031E-4</v>
      </c>
      <c r="N23">
        <v>-1.3476152145681231</v>
      </c>
      <c r="O23">
        <v>0.1780926798175968</v>
      </c>
      <c r="P23">
        <v>-1.41537067493784E-3</v>
      </c>
      <c r="Q23">
        <v>2.6287659942051327E-4</v>
      </c>
      <c r="R23">
        <v>-1.41537067493784E-3</v>
      </c>
      <c r="S23">
        <v>2.6287659942051327E-4</v>
      </c>
    </row>
    <row r="24" spans="2:19" ht="15" customHeight="1" thickBot="1" x14ac:dyDescent="0.35">
      <c r="B24" s="103">
        <v>44685</v>
      </c>
      <c r="C24" s="105">
        <v>1535.550048828125</v>
      </c>
      <c r="D24" s="106">
        <f t="shared" si="0"/>
        <v>-3.5366328175697598E-3</v>
      </c>
      <c r="F24" s="97">
        <v>44685</v>
      </c>
      <c r="G24" s="98">
        <v>16677.599609375</v>
      </c>
      <c r="H24" s="100">
        <f t="shared" si="1"/>
        <v>-2.2936183451936345E-2</v>
      </c>
      <c r="K24" s="107" t="s">
        <v>223</v>
      </c>
      <c r="L24" s="107">
        <v>1.011478011756165</v>
      </c>
      <c r="M24" s="107">
        <v>5.1411580305440102E-2</v>
      </c>
      <c r="N24" s="107">
        <v>19.67412800281371</v>
      </c>
      <c r="O24" s="107">
        <v>6.4520965495114595E-73</v>
      </c>
      <c r="P24" s="107">
        <v>0.91058894423211723</v>
      </c>
      <c r="Q24" s="107">
        <v>1.1123670792802121</v>
      </c>
      <c r="R24" s="107">
        <v>0.91058894423211723</v>
      </c>
      <c r="S24" s="107">
        <v>1.1123670792802121</v>
      </c>
    </row>
    <row r="25" spans="2:19" x14ac:dyDescent="0.3">
      <c r="B25" s="103">
        <v>44686</v>
      </c>
      <c r="C25" s="105">
        <v>1585.150024414062</v>
      </c>
      <c r="D25" s="106">
        <f t="shared" si="0"/>
        <v>3.2301112961957777E-2</v>
      </c>
      <c r="F25" s="97">
        <v>44686</v>
      </c>
      <c r="G25" s="98">
        <v>16682.650390625</v>
      </c>
      <c r="H25" s="99">
        <f t="shared" si="1"/>
        <v>3.0284821366983761E-4</v>
      </c>
    </row>
    <row r="26" spans="2:19" x14ac:dyDescent="0.3">
      <c r="B26" s="103">
        <v>44687</v>
      </c>
      <c r="C26" s="105">
        <v>1542.849975585938</v>
      </c>
      <c r="D26" s="106">
        <f t="shared" si="0"/>
        <v>-2.6685202142781382E-2</v>
      </c>
      <c r="F26" s="97">
        <v>44687</v>
      </c>
      <c r="G26" s="98">
        <v>16411.25</v>
      </c>
      <c r="H26" s="100">
        <f t="shared" si="1"/>
        <v>-1.6268421639856246E-2</v>
      </c>
    </row>
    <row r="27" spans="2:19" x14ac:dyDescent="0.3">
      <c r="B27" s="103">
        <v>44690</v>
      </c>
      <c r="C27" s="105">
        <v>1570.349975585938</v>
      </c>
      <c r="D27" s="106">
        <f t="shared" si="0"/>
        <v>1.7824156875367061E-2</v>
      </c>
      <c r="F27" s="97">
        <v>44690</v>
      </c>
      <c r="G27" s="98">
        <v>16301.849609375</v>
      </c>
      <c r="H27" s="99">
        <f t="shared" si="1"/>
        <v>-6.6661826871810496E-3</v>
      </c>
    </row>
    <row r="28" spans="2:19" x14ac:dyDescent="0.3">
      <c r="B28" s="103">
        <v>44691</v>
      </c>
      <c r="C28" s="105">
        <v>1553</v>
      </c>
      <c r="D28" s="106">
        <f t="shared" si="0"/>
        <v>-1.1048476999188817E-2</v>
      </c>
      <c r="F28" s="97">
        <v>44691</v>
      </c>
      <c r="G28" s="98">
        <v>16240.0498046875</v>
      </c>
      <c r="H28" s="100">
        <f t="shared" si="1"/>
        <v>-3.7909688880922855E-3</v>
      </c>
    </row>
    <row r="29" spans="2:19" x14ac:dyDescent="0.3">
      <c r="B29" s="103">
        <v>44692</v>
      </c>
      <c r="C29" s="105">
        <v>1526.75</v>
      </c>
      <c r="D29" s="106">
        <f t="shared" si="0"/>
        <v>-1.6902768834513845E-2</v>
      </c>
      <c r="F29" s="97">
        <v>44692</v>
      </c>
      <c r="G29" s="98">
        <v>16167.099609375</v>
      </c>
      <c r="H29" s="99">
        <f t="shared" si="1"/>
        <v>-4.4919933245182401E-3</v>
      </c>
    </row>
    <row r="30" spans="2:19" x14ac:dyDescent="0.3">
      <c r="B30" s="103">
        <v>44693</v>
      </c>
      <c r="C30" s="105">
        <v>1508.800048828125</v>
      </c>
      <c r="D30" s="106">
        <f t="shared" si="0"/>
        <v>-1.1756968182004257E-2</v>
      </c>
      <c r="F30" s="97">
        <v>44693</v>
      </c>
      <c r="G30" s="98">
        <v>15808</v>
      </c>
      <c r="H30" s="100">
        <f t="shared" si="1"/>
        <v>-2.2211752141785831E-2</v>
      </c>
    </row>
    <row r="31" spans="2:19" x14ac:dyDescent="0.3">
      <c r="B31" s="103">
        <v>44694</v>
      </c>
      <c r="C31" s="105">
        <v>1504.400024414062</v>
      </c>
      <c r="D31" s="106">
        <f t="shared" si="0"/>
        <v>-2.9162409011587883E-3</v>
      </c>
      <c r="F31" s="97">
        <v>44694</v>
      </c>
      <c r="G31" s="98">
        <v>15782.150390625</v>
      </c>
      <c r="H31" s="99">
        <f t="shared" si="1"/>
        <v>-1.6352232651189271E-3</v>
      </c>
    </row>
    <row r="32" spans="2:19" x14ac:dyDescent="0.3">
      <c r="B32" s="103">
        <v>44697</v>
      </c>
      <c r="C32" s="105">
        <v>1489.099975585938</v>
      </c>
      <c r="D32" s="106">
        <f t="shared" si="0"/>
        <v>-1.0170199800470753E-2</v>
      </c>
      <c r="F32" s="97">
        <v>44697</v>
      </c>
      <c r="G32" s="98">
        <v>15842.2998046875</v>
      </c>
      <c r="H32" s="100">
        <f t="shared" si="1"/>
        <v>3.8112305721171107E-3</v>
      </c>
    </row>
    <row r="33" spans="2:8" x14ac:dyDescent="0.3">
      <c r="B33" s="103">
        <v>44698</v>
      </c>
      <c r="C33" s="105">
        <v>1518.449951171875</v>
      </c>
      <c r="D33" s="106">
        <f t="shared" si="0"/>
        <v>1.9709875808968623E-2</v>
      </c>
      <c r="F33" s="97">
        <v>44698</v>
      </c>
      <c r="G33" s="98">
        <v>16259.2998046875</v>
      </c>
      <c r="H33" s="99">
        <f t="shared" si="1"/>
        <v>2.6321935902047247E-2</v>
      </c>
    </row>
    <row r="34" spans="2:8" x14ac:dyDescent="0.3">
      <c r="B34" s="103">
        <v>44699</v>
      </c>
      <c r="C34" s="105">
        <v>1509.199951171875</v>
      </c>
      <c r="D34" s="106">
        <f t="shared" si="0"/>
        <v>-6.0917384816412583E-3</v>
      </c>
      <c r="F34" s="97">
        <v>44699</v>
      </c>
      <c r="G34" s="98">
        <v>16240.2998046875</v>
      </c>
      <c r="H34" s="100">
        <f t="shared" si="1"/>
        <v>-1.1685620062508698E-3</v>
      </c>
    </row>
    <row r="35" spans="2:8" x14ac:dyDescent="0.3">
      <c r="B35" s="103">
        <v>44700</v>
      </c>
      <c r="C35" s="105">
        <v>1427.150024414062</v>
      </c>
      <c r="D35" s="106">
        <f t="shared" si="0"/>
        <v>-5.4366505044015016E-2</v>
      </c>
      <c r="F35" s="97">
        <v>44700</v>
      </c>
      <c r="G35" s="98">
        <v>15809.400390625</v>
      </c>
      <c r="H35" s="99">
        <f t="shared" si="1"/>
        <v>-2.6532725334179351E-2</v>
      </c>
    </row>
    <row r="36" spans="2:8" x14ac:dyDescent="0.3">
      <c r="B36" s="103">
        <v>44701</v>
      </c>
      <c r="C36" s="105">
        <v>1455.150024414062</v>
      </c>
      <c r="D36" s="106">
        <f t="shared" si="0"/>
        <v>1.9619521088188204E-2</v>
      </c>
      <c r="F36" s="97">
        <v>44701</v>
      </c>
      <c r="G36" s="98">
        <v>16266.150390625</v>
      </c>
      <c r="H36" s="100">
        <f t="shared" si="1"/>
        <v>2.8891038794289343E-2</v>
      </c>
    </row>
    <row r="37" spans="2:8" x14ac:dyDescent="0.3">
      <c r="B37" s="103">
        <v>44704</v>
      </c>
      <c r="C37" s="105">
        <v>1468.400024414062</v>
      </c>
      <c r="D37" s="106">
        <f t="shared" si="0"/>
        <v>9.105590336182216E-3</v>
      </c>
      <c r="F37" s="97">
        <v>44704</v>
      </c>
      <c r="G37" s="98">
        <v>16214.7001953125</v>
      </c>
      <c r="H37" s="99">
        <f t="shared" si="1"/>
        <v>-3.1630222318707523E-3</v>
      </c>
    </row>
    <row r="38" spans="2:8" x14ac:dyDescent="0.3">
      <c r="B38" s="103">
        <v>44705</v>
      </c>
      <c r="C38" s="105">
        <v>1441</v>
      </c>
      <c r="D38" s="106">
        <f t="shared" si="0"/>
        <v>-1.865978204746729E-2</v>
      </c>
      <c r="F38" s="97">
        <v>44705</v>
      </c>
      <c r="G38" s="98">
        <v>16125.150390625</v>
      </c>
      <c r="H38" s="100">
        <f t="shared" si="1"/>
        <v>-5.5227542667355585E-3</v>
      </c>
    </row>
    <row r="39" spans="2:8" x14ac:dyDescent="0.3">
      <c r="B39" s="103">
        <v>44706</v>
      </c>
      <c r="C39" s="105">
        <v>1410.449951171875</v>
      </c>
      <c r="D39" s="106">
        <f t="shared" si="0"/>
        <v>-2.1200589054909784E-2</v>
      </c>
      <c r="F39" s="97">
        <v>44706</v>
      </c>
      <c r="G39" s="98">
        <v>16025.7998046875</v>
      </c>
      <c r="H39" s="99">
        <f t="shared" si="1"/>
        <v>-6.1612191843656494E-3</v>
      </c>
    </row>
    <row r="40" spans="2:8" x14ac:dyDescent="0.3">
      <c r="B40" s="103">
        <v>44707</v>
      </c>
      <c r="C40" s="105">
        <v>1423.949951171875</v>
      </c>
      <c r="D40" s="106">
        <f t="shared" si="0"/>
        <v>9.5714137100600411E-3</v>
      </c>
      <c r="F40" s="97">
        <v>44707</v>
      </c>
      <c r="G40" s="98">
        <v>16170.150390625</v>
      </c>
      <c r="H40" s="100">
        <f t="shared" si="1"/>
        <v>9.0073873189953288E-3</v>
      </c>
    </row>
    <row r="41" spans="2:8" x14ac:dyDescent="0.3">
      <c r="B41" s="103">
        <v>44708</v>
      </c>
      <c r="C41" s="105">
        <v>1461.349975585938</v>
      </c>
      <c r="D41" s="106">
        <f t="shared" si="0"/>
        <v>2.6264985214742749E-2</v>
      </c>
      <c r="F41" s="97">
        <v>44708</v>
      </c>
      <c r="G41" s="98">
        <v>16352.4501953125</v>
      </c>
      <c r="H41" s="99">
        <f t="shared" si="1"/>
        <v>1.1273847198922301E-2</v>
      </c>
    </row>
    <row r="42" spans="2:8" x14ac:dyDescent="0.3">
      <c r="B42" s="103">
        <v>44711</v>
      </c>
      <c r="C42" s="105">
        <v>1526.800048828125</v>
      </c>
      <c r="D42" s="106">
        <f t="shared" si="0"/>
        <v>4.4787405026605213E-2</v>
      </c>
      <c r="F42" s="97">
        <v>44711</v>
      </c>
      <c r="G42" s="98">
        <v>16661.400390625</v>
      </c>
      <c r="H42" s="100">
        <f t="shared" si="1"/>
        <v>1.8893205092962884E-2</v>
      </c>
    </row>
    <row r="43" spans="2:8" x14ac:dyDescent="0.3">
      <c r="B43" s="103">
        <v>44712</v>
      </c>
      <c r="C43" s="105">
        <v>1503.599975585938</v>
      </c>
      <c r="D43" s="106">
        <f t="shared" si="0"/>
        <v>-1.5195226945397305E-2</v>
      </c>
      <c r="F43" s="97">
        <v>44712</v>
      </c>
      <c r="G43" s="98">
        <v>16584.55078125</v>
      </c>
      <c r="H43" s="99">
        <f t="shared" si="1"/>
        <v>-4.6124339835348759E-3</v>
      </c>
    </row>
    <row r="44" spans="2:8" x14ac:dyDescent="0.3">
      <c r="B44" s="103">
        <v>44713</v>
      </c>
      <c r="C44" s="105">
        <v>1478.550048828125</v>
      </c>
      <c r="D44" s="106">
        <f t="shared" si="0"/>
        <v>-1.6659967520983265E-2</v>
      </c>
      <c r="F44" s="97">
        <v>44713</v>
      </c>
      <c r="G44" s="98">
        <v>16522.75</v>
      </c>
      <c r="H44" s="100">
        <f t="shared" si="1"/>
        <v>-3.7264067061659654E-3</v>
      </c>
    </row>
    <row r="45" spans="2:8" x14ac:dyDescent="0.3">
      <c r="B45" s="103">
        <v>44714</v>
      </c>
      <c r="C45" s="105">
        <v>1508</v>
      </c>
      <c r="D45" s="106">
        <f t="shared" si="0"/>
        <v>1.9918129383051021E-2</v>
      </c>
      <c r="F45" s="97">
        <v>44714</v>
      </c>
      <c r="G45" s="98">
        <v>16628</v>
      </c>
      <c r="H45" s="99">
        <f t="shared" si="1"/>
        <v>6.3700049931155528E-3</v>
      </c>
    </row>
    <row r="46" spans="2:8" x14ac:dyDescent="0.3">
      <c r="B46" s="103">
        <v>44715</v>
      </c>
      <c r="C46" s="105">
        <v>1521.699951171875</v>
      </c>
      <c r="D46" s="106">
        <f t="shared" si="0"/>
        <v>9.0848482572115381E-3</v>
      </c>
      <c r="F46" s="97">
        <v>44715</v>
      </c>
      <c r="G46" s="98">
        <v>16584.30078125</v>
      </c>
      <c r="H46" s="100">
        <f t="shared" si="1"/>
        <v>-2.6280502014674042E-3</v>
      </c>
    </row>
    <row r="47" spans="2:8" x14ac:dyDescent="0.3">
      <c r="B47" s="103">
        <v>44718</v>
      </c>
      <c r="C47" s="105">
        <v>1530.050048828125</v>
      </c>
      <c r="D47" s="106">
        <f t="shared" si="0"/>
        <v>5.4873483105651105E-3</v>
      </c>
      <c r="F47" s="97">
        <v>44718</v>
      </c>
      <c r="G47" s="98">
        <v>16569.55078125</v>
      </c>
      <c r="H47" s="99">
        <f t="shared" si="1"/>
        <v>-8.893953501299351E-4</v>
      </c>
    </row>
    <row r="48" spans="2:8" x14ac:dyDescent="0.3">
      <c r="B48" s="103">
        <v>44719</v>
      </c>
      <c r="C48" s="105">
        <v>1506.699951171875</v>
      </c>
      <c r="D48" s="106">
        <f t="shared" si="0"/>
        <v>-1.5261002523501755E-2</v>
      </c>
      <c r="F48" s="97">
        <v>44719</v>
      </c>
      <c r="G48" s="98">
        <v>16416.349609375</v>
      </c>
      <c r="H48" s="100">
        <f t="shared" si="1"/>
        <v>-9.2459460064760173E-3</v>
      </c>
    </row>
    <row r="49" spans="2:8" x14ac:dyDescent="0.3">
      <c r="B49" s="103">
        <v>44720</v>
      </c>
      <c r="C49" s="105">
        <v>1500</v>
      </c>
      <c r="D49" s="106">
        <f t="shared" si="0"/>
        <v>-4.4467720110191412E-3</v>
      </c>
      <c r="F49" s="97">
        <v>44720</v>
      </c>
      <c r="G49" s="98">
        <v>16356.25</v>
      </c>
      <c r="H49" s="99">
        <f t="shared" si="1"/>
        <v>-3.6609606157923498E-3</v>
      </c>
    </row>
    <row r="50" spans="2:8" x14ac:dyDescent="0.3">
      <c r="B50" s="103">
        <v>44721</v>
      </c>
      <c r="C50" s="105">
        <v>1515</v>
      </c>
      <c r="D50" s="106">
        <f t="shared" si="0"/>
        <v>0.01</v>
      </c>
      <c r="F50" s="97">
        <v>44721</v>
      </c>
      <c r="G50" s="98">
        <v>16478.099609375</v>
      </c>
      <c r="H50" s="100">
        <f t="shared" si="1"/>
        <v>7.4497277416889565E-3</v>
      </c>
    </row>
    <row r="51" spans="2:8" x14ac:dyDescent="0.3">
      <c r="B51" s="103">
        <v>44722</v>
      </c>
      <c r="C51" s="105">
        <v>1476.800048828125</v>
      </c>
      <c r="D51" s="106">
        <f t="shared" si="0"/>
        <v>-2.5214489222359734E-2</v>
      </c>
      <c r="F51" s="97">
        <v>44722</v>
      </c>
      <c r="G51" s="98">
        <v>16201.7998046875</v>
      </c>
      <c r="H51" s="99">
        <f t="shared" si="1"/>
        <v>-1.6767698414100061E-2</v>
      </c>
    </row>
    <row r="52" spans="2:8" x14ac:dyDescent="0.3">
      <c r="B52" s="103">
        <v>44725</v>
      </c>
      <c r="C52" s="105">
        <v>1424.5</v>
      </c>
      <c r="D52" s="106">
        <f t="shared" si="0"/>
        <v>-3.5414441426668629E-2</v>
      </c>
      <c r="F52" s="97">
        <v>44725</v>
      </c>
      <c r="G52" s="98">
        <v>15774.400390625</v>
      </c>
      <c r="H52" s="100">
        <f t="shared" si="1"/>
        <v>-2.6379749115209097E-2</v>
      </c>
    </row>
    <row r="53" spans="2:8" x14ac:dyDescent="0.3">
      <c r="B53" s="103">
        <v>44726</v>
      </c>
      <c r="C53" s="105">
        <v>1440.550048828125</v>
      </c>
      <c r="D53" s="106">
        <f t="shared" si="0"/>
        <v>1.1267145544489295E-2</v>
      </c>
      <c r="F53" s="97">
        <v>44726</v>
      </c>
      <c r="G53" s="98">
        <v>15732.099609375</v>
      </c>
      <c r="H53" s="99">
        <f t="shared" si="1"/>
        <v>-2.6816094559854137E-3</v>
      </c>
    </row>
    <row r="54" spans="2:8" x14ac:dyDescent="0.3">
      <c r="B54" s="103">
        <v>44727</v>
      </c>
      <c r="C54" s="105">
        <v>1422.199951171875</v>
      </c>
      <c r="D54" s="106">
        <f t="shared" si="0"/>
        <v>-1.2738257633726538E-2</v>
      </c>
      <c r="F54" s="97">
        <v>44727</v>
      </c>
      <c r="G54" s="98">
        <v>15692.150390625</v>
      </c>
      <c r="H54" s="100">
        <f t="shared" si="1"/>
        <v>-2.5393443813560425E-3</v>
      </c>
    </row>
    <row r="55" spans="2:8" x14ac:dyDescent="0.3">
      <c r="B55" s="103">
        <v>44728</v>
      </c>
      <c r="C55" s="105">
        <v>1397.199951171875</v>
      </c>
      <c r="D55" s="106">
        <f t="shared" si="0"/>
        <v>-1.7578400266010635E-2</v>
      </c>
      <c r="F55" s="97">
        <v>44728</v>
      </c>
      <c r="G55" s="98">
        <v>15360.599609375</v>
      </c>
      <c r="H55" s="99">
        <f t="shared" si="1"/>
        <v>-2.1128447854290206E-2</v>
      </c>
    </row>
    <row r="56" spans="2:8" x14ac:dyDescent="0.3">
      <c r="B56" s="103">
        <v>44729</v>
      </c>
      <c r="C56" s="105">
        <v>1387.300048828125</v>
      </c>
      <c r="D56" s="106">
        <f t="shared" si="0"/>
        <v>-7.0855301243366378E-3</v>
      </c>
      <c r="F56" s="97">
        <v>44729</v>
      </c>
      <c r="G56" s="98">
        <v>15293.5</v>
      </c>
      <c r="H56" s="100">
        <f t="shared" si="1"/>
        <v>-4.3682936266398898E-3</v>
      </c>
    </row>
    <row r="57" spans="2:8" x14ac:dyDescent="0.3">
      <c r="B57" s="103">
        <v>44732</v>
      </c>
      <c r="C57" s="105">
        <v>1414.150024414062</v>
      </c>
      <c r="D57" s="106">
        <f t="shared" si="0"/>
        <v>1.9354122858005848E-2</v>
      </c>
      <c r="F57" s="97">
        <v>44732</v>
      </c>
      <c r="G57" s="98">
        <v>15350.150390625</v>
      </c>
      <c r="H57" s="99">
        <f t="shared" si="1"/>
        <v>3.7042135956452085E-3</v>
      </c>
    </row>
    <row r="58" spans="2:8" x14ac:dyDescent="0.3">
      <c r="B58" s="103">
        <v>44733</v>
      </c>
      <c r="C58" s="105">
        <v>1449.900024414062</v>
      </c>
      <c r="D58" s="106">
        <f t="shared" si="0"/>
        <v>2.5280203219465794E-2</v>
      </c>
      <c r="F58" s="97">
        <v>44733</v>
      </c>
      <c r="G58" s="98">
        <v>15638.7998046875</v>
      </c>
      <c r="H58" s="100">
        <f t="shared" si="1"/>
        <v>1.8804337854487124E-2</v>
      </c>
    </row>
    <row r="59" spans="2:8" x14ac:dyDescent="0.3">
      <c r="B59" s="103">
        <v>44734</v>
      </c>
      <c r="C59" s="105">
        <v>1437.25</v>
      </c>
      <c r="D59" s="106">
        <f t="shared" si="0"/>
        <v>-8.724756328750468E-3</v>
      </c>
      <c r="F59" s="97">
        <v>44734</v>
      </c>
      <c r="G59" s="98">
        <v>15413.2998046875</v>
      </c>
      <c r="H59" s="99">
        <f t="shared" si="1"/>
        <v>-1.4419265085317462E-2</v>
      </c>
    </row>
    <row r="60" spans="2:8" x14ac:dyDescent="0.3">
      <c r="B60" s="103">
        <v>44735</v>
      </c>
      <c r="C60" s="105">
        <v>1452.449951171875</v>
      </c>
      <c r="D60" s="106">
        <f t="shared" si="0"/>
        <v>1.0575718331448948E-2</v>
      </c>
      <c r="F60" s="97">
        <v>44735</v>
      </c>
      <c r="G60" s="98">
        <v>15556.650390625</v>
      </c>
      <c r="H60" s="100">
        <f t="shared" si="1"/>
        <v>9.3004475196092756E-3</v>
      </c>
    </row>
    <row r="61" spans="2:8" x14ac:dyDescent="0.3">
      <c r="B61" s="103">
        <v>44736</v>
      </c>
      <c r="C61" s="105">
        <v>1441.099975585938</v>
      </c>
      <c r="D61" s="106">
        <f t="shared" si="0"/>
        <v>-7.8143660487437691E-3</v>
      </c>
      <c r="F61" s="97">
        <v>44736</v>
      </c>
      <c r="G61" s="98">
        <v>15699.25</v>
      </c>
      <c r="H61" s="99">
        <f t="shared" si="1"/>
        <v>9.1664725885294493E-3</v>
      </c>
    </row>
    <row r="62" spans="2:8" x14ac:dyDescent="0.3">
      <c r="B62" s="103">
        <v>44739</v>
      </c>
      <c r="C62" s="105">
        <v>1474.599975585938</v>
      </c>
      <c r="D62" s="106">
        <f t="shared" si="0"/>
        <v>2.3246131821200822E-2</v>
      </c>
      <c r="F62" s="97">
        <v>44739</v>
      </c>
      <c r="G62" s="98">
        <v>15832.0498046875</v>
      </c>
      <c r="H62" s="100">
        <f t="shared" si="1"/>
        <v>8.4589903777250505E-3</v>
      </c>
    </row>
    <row r="63" spans="2:8" x14ac:dyDescent="0.3">
      <c r="B63" s="103">
        <v>44740</v>
      </c>
      <c r="C63" s="105">
        <v>1480.150024414062</v>
      </c>
      <c r="D63" s="106">
        <f t="shared" si="0"/>
        <v>3.7637657127444052E-3</v>
      </c>
      <c r="F63" s="97">
        <v>44740</v>
      </c>
      <c r="G63" s="98">
        <v>15850.2001953125</v>
      </c>
      <c r="H63" s="99">
        <f t="shared" si="1"/>
        <v>1.14643339611186E-3</v>
      </c>
    </row>
    <row r="64" spans="2:8" x14ac:dyDescent="0.3">
      <c r="B64" s="103">
        <v>44741</v>
      </c>
      <c r="C64" s="105">
        <v>1463.25</v>
      </c>
      <c r="D64" s="106">
        <f t="shared" si="0"/>
        <v>-1.1417778019327571E-2</v>
      </c>
      <c r="F64" s="97">
        <v>44741</v>
      </c>
      <c r="G64" s="98">
        <v>15799.099609375</v>
      </c>
      <c r="H64" s="100">
        <f t="shared" si="1"/>
        <v>-3.2239710103227821E-3</v>
      </c>
    </row>
    <row r="65" spans="2:8" x14ac:dyDescent="0.3">
      <c r="B65" s="103">
        <v>44742</v>
      </c>
      <c r="C65" s="105">
        <v>1461.900024414062</v>
      </c>
      <c r="D65" s="106">
        <f t="shared" si="0"/>
        <v>-9.2258710810726445E-4</v>
      </c>
      <c r="F65" s="97">
        <v>44742</v>
      </c>
      <c r="G65" s="98">
        <v>15780.25</v>
      </c>
      <c r="H65" s="99">
        <f t="shared" si="1"/>
        <v>-1.1930812414028243E-3</v>
      </c>
    </row>
    <row r="66" spans="2:8" x14ac:dyDescent="0.3">
      <c r="B66" s="103">
        <v>44743</v>
      </c>
      <c r="C66" s="105">
        <v>1479.400024414062</v>
      </c>
      <c r="D66" s="106">
        <f t="shared" si="0"/>
        <v>1.1970722831757322E-2</v>
      </c>
      <c r="F66" s="97">
        <v>44743</v>
      </c>
      <c r="G66" s="98">
        <v>15752.0498046875</v>
      </c>
      <c r="H66" s="100">
        <f t="shared" si="1"/>
        <v>-1.7870563085185596E-3</v>
      </c>
    </row>
    <row r="67" spans="2:8" x14ac:dyDescent="0.3">
      <c r="B67" s="103">
        <v>44746</v>
      </c>
      <c r="C67" s="105">
        <v>1488</v>
      </c>
      <c r="D67" s="106">
        <f t="shared" si="0"/>
        <v>5.8131509017272731E-3</v>
      </c>
      <c r="F67" s="97">
        <v>44746</v>
      </c>
      <c r="G67" s="98">
        <v>15835.349609375</v>
      </c>
      <c r="H67" s="99">
        <f t="shared" si="1"/>
        <v>5.288188249805534E-3</v>
      </c>
    </row>
    <row r="68" spans="2:8" x14ac:dyDescent="0.3">
      <c r="B68" s="103">
        <v>44747</v>
      </c>
      <c r="C68" s="105">
        <v>1475.949951171875</v>
      </c>
      <c r="D68" s="106">
        <f t="shared" si="0"/>
        <v>-8.0981510941700273E-3</v>
      </c>
      <c r="F68" s="97">
        <v>44747</v>
      </c>
      <c r="G68" s="98">
        <v>15810.849609375</v>
      </c>
      <c r="H68" s="100">
        <f t="shared" si="1"/>
        <v>-1.5471713984448608E-3</v>
      </c>
    </row>
    <row r="69" spans="2:8" x14ac:dyDescent="0.3">
      <c r="B69" s="103">
        <v>44748</v>
      </c>
      <c r="C69" s="105">
        <v>1491.650024414062</v>
      </c>
      <c r="D69" s="106">
        <f t="shared" ref="D69:D132" si="2">(C69-C68)/C68</f>
        <v>1.0637266683549465E-2</v>
      </c>
      <c r="F69" s="97">
        <v>44748</v>
      </c>
      <c r="G69" s="98">
        <v>15989.7998046875</v>
      </c>
      <c r="H69" s="99">
        <f t="shared" ref="H69:H132" si="3">(G69-G68)/G68</f>
        <v>1.1318189707300232E-2</v>
      </c>
    </row>
    <row r="70" spans="2:8" x14ac:dyDescent="0.3">
      <c r="B70" s="103">
        <v>44749</v>
      </c>
      <c r="C70" s="105">
        <v>1498.699951171875</v>
      </c>
      <c r="D70" s="106">
        <f t="shared" si="2"/>
        <v>4.7262606123592904E-3</v>
      </c>
      <c r="F70" s="97">
        <v>44749</v>
      </c>
      <c r="G70" s="98">
        <v>16132.900390625</v>
      </c>
      <c r="H70" s="100">
        <f t="shared" si="3"/>
        <v>8.9494920315105666E-3</v>
      </c>
    </row>
    <row r="71" spans="2:8" x14ac:dyDescent="0.3">
      <c r="B71" s="103">
        <v>44750</v>
      </c>
      <c r="C71" s="105">
        <v>1514.449951171875</v>
      </c>
      <c r="D71" s="106">
        <f t="shared" si="2"/>
        <v>1.0509108235897811E-2</v>
      </c>
      <c r="F71" s="97">
        <v>44750</v>
      </c>
      <c r="G71" s="98">
        <v>16220.599609375</v>
      </c>
      <c r="H71" s="99">
        <f t="shared" si="3"/>
        <v>5.436047866567313E-3</v>
      </c>
    </row>
    <row r="72" spans="2:8" x14ac:dyDescent="0.3">
      <c r="B72" s="103">
        <v>44753</v>
      </c>
      <c r="C72" s="105">
        <v>1473.150024414062</v>
      </c>
      <c r="D72" s="106">
        <f t="shared" si="2"/>
        <v>-2.7270578816985826E-2</v>
      </c>
      <c r="F72" s="97">
        <v>44753</v>
      </c>
      <c r="G72" s="98">
        <v>16216</v>
      </c>
      <c r="H72" s="100">
        <f t="shared" si="3"/>
        <v>-2.8356592763325282E-4</v>
      </c>
    </row>
    <row r="73" spans="2:8" x14ac:dyDescent="0.3">
      <c r="B73" s="103">
        <v>44754</v>
      </c>
      <c r="C73" s="105">
        <v>1438.599975585938</v>
      </c>
      <c r="D73" s="106">
        <f t="shared" si="2"/>
        <v>-2.345317737877118E-2</v>
      </c>
      <c r="F73" s="97">
        <v>44754</v>
      </c>
      <c r="G73" s="98">
        <v>16058.2998046875</v>
      </c>
      <c r="H73" s="99">
        <f t="shared" si="3"/>
        <v>-9.7249750439380861E-3</v>
      </c>
    </row>
    <row r="74" spans="2:8" x14ac:dyDescent="0.3">
      <c r="B74" s="103">
        <v>44755</v>
      </c>
      <c r="C74" s="105">
        <v>1444.449951171875</v>
      </c>
      <c r="D74" s="106">
        <f t="shared" si="2"/>
        <v>4.0664365947555127E-3</v>
      </c>
      <c r="F74" s="97">
        <v>44755</v>
      </c>
      <c r="G74" s="98">
        <v>15966.650390625</v>
      </c>
      <c r="H74" s="100">
        <f t="shared" si="3"/>
        <v>-5.707292501522924E-3</v>
      </c>
    </row>
    <row r="75" spans="2:8" x14ac:dyDescent="0.3">
      <c r="B75" s="103">
        <v>44756</v>
      </c>
      <c r="C75" s="105">
        <v>1428.849975585938</v>
      </c>
      <c r="D75" s="106">
        <f t="shared" si="2"/>
        <v>-1.0799941924800415E-2</v>
      </c>
      <c r="F75" s="97">
        <v>44756</v>
      </c>
      <c r="G75" s="98">
        <v>15938.650390625</v>
      </c>
      <c r="H75" s="99">
        <f t="shared" si="3"/>
        <v>-1.7536552323109999E-3</v>
      </c>
    </row>
    <row r="76" spans="2:8" x14ac:dyDescent="0.3">
      <c r="B76" s="103">
        <v>44757</v>
      </c>
      <c r="C76" s="105">
        <v>1430.349975585938</v>
      </c>
      <c r="D76" s="106">
        <f t="shared" si="2"/>
        <v>1.0497953078558056E-3</v>
      </c>
      <c r="F76" s="97">
        <v>44757</v>
      </c>
      <c r="G76" s="98">
        <v>16049.2001953125</v>
      </c>
      <c r="H76" s="100">
        <f t="shared" si="3"/>
        <v>6.9359576863875878E-3</v>
      </c>
    </row>
    <row r="77" spans="2:8" x14ac:dyDescent="0.3">
      <c r="B77" s="103">
        <v>44760</v>
      </c>
      <c r="C77" s="105">
        <v>1489.900024414062</v>
      </c>
      <c r="D77" s="106">
        <f t="shared" si="2"/>
        <v>4.1633201555255468E-2</v>
      </c>
      <c r="F77" s="97">
        <v>44760</v>
      </c>
      <c r="G77" s="98">
        <v>16278.5</v>
      </c>
      <c r="H77" s="99">
        <f t="shared" si="3"/>
        <v>1.4287304158276481E-2</v>
      </c>
    </row>
    <row r="78" spans="2:8" x14ac:dyDescent="0.3">
      <c r="B78" s="103">
        <v>44761</v>
      </c>
      <c r="C78" s="105">
        <v>1484.150024414062</v>
      </c>
      <c r="D78" s="106">
        <f t="shared" si="2"/>
        <v>-3.8593193541703054E-3</v>
      </c>
      <c r="F78" s="97">
        <v>44761</v>
      </c>
      <c r="G78" s="98">
        <v>16340.5498046875</v>
      </c>
      <c r="H78" s="100">
        <f t="shared" si="3"/>
        <v>3.8117642711244892E-3</v>
      </c>
    </row>
    <row r="79" spans="2:8" x14ac:dyDescent="0.3">
      <c r="B79" s="103">
        <v>44762</v>
      </c>
      <c r="C79" s="105">
        <v>1515.300048828125</v>
      </c>
      <c r="D79" s="106">
        <f t="shared" si="2"/>
        <v>2.098846066883359E-2</v>
      </c>
      <c r="F79" s="97">
        <v>44762</v>
      </c>
      <c r="G79" s="98">
        <v>16520.849609375</v>
      </c>
      <c r="H79" s="99">
        <f t="shared" si="3"/>
        <v>1.1033888506969248E-2</v>
      </c>
    </row>
    <row r="80" spans="2:8" x14ac:dyDescent="0.3">
      <c r="B80" s="103">
        <v>44763</v>
      </c>
      <c r="C80" s="105">
        <v>1532.900024414062</v>
      </c>
      <c r="D80" s="106">
        <f t="shared" si="2"/>
        <v>1.161484525757667E-2</v>
      </c>
      <c r="F80" s="97">
        <v>44763</v>
      </c>
      <c r="G80" s="98">
        <v>16605.25</v>
      </c>
      <c r="H80" s="100">
        <f t="shared" si="3"/>
        <v>5.1087197462959628E-3</v>
      </c>
    </row>
    <row r="81" spans="2:8" x14ac:dyDescent="0.3">
      <c r="B81" s="103">
        <v>44764</v>
      </c>
      <c r="C81" s="105">
        <v>1506.300048828125</v>
      </c>
      <c r="D81" s="106">
        <f t="shared" si="2"/>
        <v>-1.7352713916293828E-2</v>
      </c>
      <c r="F81" s="97">
        <v>44764</v>
      </c>
      <c r="G81" s="98">
        <v>16719.44921875</v>
      </c>
      <c r="H81" s="99">
        <f t="shared" si="3"/>
        <v>6.8772959606148657E-3</v>
      </c>
    </row>
    <row r="82" spans="2:8" x14ac:dyDescent="0.3">
      <c r="B82" s="103">
        <v>44767</v>
      </c>
      <c r="C82" s="105">
        <v>1503.599975585938</v>
      </c>
      <c r="D82" s="106">
        <f t="shared" si="2"/>
        <v>-1.7925201849974411E-3</v>
      </c>
      <c r="F82" s="97">
        <v>44767</v>
      </c>
      <c r="G82" s="98">
        <v>16631</v>
      </c>
      <c r="H82" s="100">
        <f t="shared" si="3"/>
        <v>-5.2901993117577557E-3</v>
      </c>
    </row>
    <row r="83" spans="2:8" x14ac:dyDescent="0.3">
      <c r="B83" s="103">
        <v>44768</v>
      </c>
      <c r="C83" s="105">
        <v>1451.150024414062</v>
      </c>
      <c r="D83" s="106">
        <f t="shared" si="2"/>
        <v>-3.4882915684696446E-2</v>
      </c>
      <c r="F83" s="97">
        <v>44768</v>
      </c>
      <c r="G83" s="98">
        <v>16483.849609375</v>
      </c>
      <c r="H83" s="99">
        <f t="shared" si="3"/>
        <v>-8.8479580677650171E-3</v>
      </c>
    </row>
    <row r="84" spans="2:8" x14ac:dyDescent="0.3">
      <c r="B84" s="103">
        <v>44769</v>
      </c>
      <c r="C84" s="105">
        <v>1471.050048828125</v>
      </c>
      <c r="D84" s="106">
        <f t="shared" si="2"/>
        <v>1.3713278488968144E-2</v>
      </c>
      <c r="F84" s="97">
        <v>44769</v>
      </c>
      <c r="G84" s="98">
        <v>16641.80078125</v>
      </c>
      <c r="H84" s="100">
        <f t="shared" si="3"/>
        <v>9.5821774414374099E-3</v>
      </c>
    </row>
    <row r="85" spans="2:8" x14ac:dyDescent="0.3">
      <c r="B85" s="103">
        <v>44770</v>
      </c>
      <c r="C85" s="105">
        <v>1517.400024414062</v>
      </c>
      <c r="D85" s="106">
        <f t="shared" si="2"/>
        <v>3.1508088812383088E-2</v>
      </c>
      <c r="F85" s="97">
        <v>44770</v>
      </c>
      <c r="G85" s="98">
        <v>16929.599609375</v>
      </c>
      <c r="H85" s="99">
        <f t="shared" si="3"/>
        <v>1.7293731123692903E-2</v>
      </c>
    </row>
    <row r="86" spans="2:8" x14ac:dyDescent="0.3">
      <c r="B86" s="103">
        <v>44771</v>
      </c>
      <c r="C86" s="105">
        <v>1549.699951171875</v>
      </c>
      <c r="D86" s="106">
        <f t="shared" si="2"/>
        <v>2.1286362355427958E-2</v>
      </c>
      <c r="F86" s="97">
        <v>44771</v>
      </c>
      <c r="G86" s="98">
        <v>17158.25</v>
      </c>
      <c r="H86" s="100">
        <f t="shared" si="3"/>
        <v>1.3505953826479256E-2</v>
      </c>
    </row>
    <row r="87" spans="2:8" x14ac:dyDescent="0.3">
      <c r="B87" s="103">
        <v>44774</v>
      </c>
      <c r="C87" s="105">
        <v>1551.050048828125</v>
      </c>
      <c r="D87" s="106">
        <f t="shared" si="2"/>
        <v>8.7119939264956631E-4</v>
      </c>
      <c r="F87" s="97">
        <v>44774</v>
      </c>
      <c r="G87" s="98">
        <v>17340.05078125</v>
      </c>
      <c r="H87" s="99">
        <f t="shared" si="3"/>
        <v>1.059553166843938E-2</v>
      </c>
    </row>
    <row r="88" spans="2:8" x14ac:dyDescent="0.3">
      <c r="B88" s="103">
        <v>44775</v>
      </c>
      <c r="C88" s="105">
        <v>1543.599975585938</v>
      </c>
      <c r="D88" s="106">
        <f t="shared" si="2"/>
        <v>-4.8032449035515313E-3</v>
      </c>
      <c r="F88" s="97">
        <v>44775</v>
      </c>
      <c r="G88" s="98">
        <v>17345.44921875</v>
      </c>
      <c r="H88" s="100">
        <f t="shared" si="3"/>
        <v>3.1132766380577117E-4</v>
      </c>
    </row>
    <row r="89" spans="2:8" x14ac:dyDescent="0.3">
      <c r="B89" s="103">
        <v>44776</v>
      </c>
      <c r="C89" s="105">
        <v>1566.099975585938</v>
      </c>
      <c r="D89" s="106">
        <f t="shared" si="2"/>
        <v>1.4576315338084391E-2</v>
      </c>
      <c r="F89" s="97">
        <v>44776</v>
      </c>
      <c r="G89" s="98">
        <v>17388.150390625</v>
      </c>
      <c r="H89" s="99">
        <f t="shared" si="3"/>
        <v>2.4618083588657416E-3</v>
      </c>
    </row>
    <row r="90" spans="2:8" x14ac:dyDescent="0.3">
      <c r="B90" s="103">
        <v>44777</v>
      </c>
      <c r="C90" s="105">
        <v>1599.900024414062</v>
      </c>
      <c r="D90" s="106">
        <f t="shared" si="2"/>
        <v>2.1582305954304225E-2</v>
      </c>
      <c r="F90" s="97">
        <v>44777</v>
      </c>
      <c r="G90" s="98">
        <v>17382</v>
      </c>
      <c r="H90" s="100">
        <f t="shared" si="3"/>
        <v>-3.537116074356043E-4</v>
      </c>
    </row>
    <row r="91" spans="2:8" x14ac:dyDescent="0.3">
      <c r="B91" s="103">
        <v>44778</v>
      </c>
      <c r="C91" s="105">
        <v>1616.650024414062</v>
      </c>
      <c r="D91" s="106">
        <f t="shared" si="2"/>
        <v>1.0469404178010698E-2</v>
      </c>
      <c r="F91" s="97">
        <v>44778</v>
      </c>
      <c r="G91" s="98">
        <v>17397.5</v>
      </c>
      <c r="H91" s="99">
        <f t="shared" si="3"/>
        <v>8.9172707398458174E-4</v>
      </c>
    </row>
    <row r="92" spans="2:8" x14ac:dyDescent="0.3">
      <c r="B92" s="103">
        <v>44781</v>
      </c>
      <c r="C92" s="105">
        <v>1619.400024414062</v>
      </c>
      <c r="D92" s="106">
        <f t="shared" si="2"/>
        <v>1.7010484387285424E-3</v>
      </c>
      <c r="F92" s="97">
        <v>44781</v>
      </c>
      <c r="G92" s="98">
        <v>17525.099609375</v>
      </c>
      <c r="H92" s="100">
        <f t="shared" si="3"/>
        <v>7.3343646716482252E-3</v>
      </c>
    </row>
    <row r="93" spans="2:8" x14ac:dyDescent="0.3">
      <c r="B93" s="103">
        <v>44783</v>
      </c>
      <c r="C93" s="105">
        <v>1602.449951171875</v>
      </c>
      <c r="D93" s="106">
        <f t="shared" si="2"/>
        <v>-1.046688464039019E-2</v>
      </c>
      <c r="F93" s="97">
        <v>44783</v>
      </c>
      <c r="G93" s="98">
        <v>17534.75</v>
      </c>
      <c r="H93" s="99">
        <f t="shared" si="3"/>
        <v>5.5066109979982946E-4</v>
      </c>
    </row>
    <row r="94" spans="2:8" x14ac:dyDescent="0.3">
      <c r="B94" s="103">
        <v>44784</v>
      </c>
      <c r="C94" s="105">
        <v>1619.949951171875</v>
      </c>
      <c r="D94" s="106">
        <f t="shared" si="2"/>
        <v>1.0920777892128371E-2</v>
      </c>
      <c r="F94" s="97">
        <v>44784</v>
      </c>
      <c r="G94" s="98">
        <v>17659</v>
      </c>
      <c r="H94" s="100">
        <f t="shared" si="3"/>
        <v>7.0859293688247619E-3</v>
      </c>
    </row>
    <row r="95" spans="2:8" x14ac:dyDescent="0.3">
      <c r="B95" s="103">
        <v>44785</v>
      </c>
      <c r="C95" s="105">
        <v>1594.099975585938</v>
      </c>
      <c r="D95" s="106">
        <f t="shared" si="2"/>
        <v>-1.5957268042285578E-2</v>
      </c>
      <c r="F95" s="97">
        <v>44785</v>
      </c>
      <c r="G95" s="98">
        <v>17698.150390625</v>
      </c>
      <c r="H95" s="99">
        <f t="shared" si="3"/>
        <v>2.2170219505634522E-3</v>
      </c>
    </row>
    <row r="96" spans="2:8" x14ac:dyDescent="0.3">
      <c r="B96" s="103">
        <v>44789</v>
      </c>
      <c r="C96" s="105">
        <v>1596.449951171875</v>
      </c>
      <c r="D96" s="106">
        <f t="shared" si="2"/>
        <v>1.4741707684132375E-3</v>
      </c>
      <c r="F96" s="97">
        <v>44789</v>
      </c>
      <c r="G96" s="98">
        <v>17825.25</v>
      </c>
      <c r="H96" s="100">
        <f t="shared" si="3"/>
        <v>7.18151934353133E-3</v>
      </c>
    </row>
    <row r="97" spans="2:8" x14ac:dyDescent="0.3">
      <c r="B97" s="103">
        <v>44790</v>
      </c>
      <c r="C97" s="105">
        <v>1606.25</v>
      </c>
      <c r="D97" s="106">
        <f t="shared" si="2"/>
        <v>6.1386508364582731E-3</v>
      </c>
      <c r="F97" s="97">
        <v>44790</v>
      </c>
      <c r="G97" s="98">
        <v>17944.25</v>
      </c>
      <c r="H97" s="99">
        <f t="shared" si="3"/>
        <v>6.675923198833116E-3</v>
      </c>
    </row>
    <row r="98" spans="2:8" x14ac:dyDescent="0.3">
      <c r="B98" s="103">
        <v>44791</v>
      </c>
      <c r="C98" s="105">
        <v>1582.949951171875</v>
      </c>
      <c r="D98" s="106">
        <f t="shared" si="2"/>
        <v>-1.4505866974708171E-2</v>
      </c>
      <c r="F98" s="97">
        <v>44791</v>
      </c>
      <c r="G98" s="98">
        <v>17956.5</v>
      </c>
      <c r="H98" s="100">
        <f t="shared" si="3"/>
        <v>6.8266993605193866E-4</v>
      </c>
    </row>
    <row r="99" spans="2:8" x14ac:dyDescent="0.3">
      <c r="B99" s="103">
        <v>44792</v>
      </c>
      <c r="C99" s="105">
        <v>1597.099975585938</v>
      </c>
      <c r="D99" s="106">
        <f t="shared" si="2"/>
        <v>8.9390219846101505E-3</v>
      </c>
      <c r="F99" s="97">
        <v>44792</v>
      </c>
      <c r="G99" s="98">
        <v>17758.44921875</v>
      </c>
      <c r="H99" s="99">
        <f t="shared" si="3"/>
        <v>-1.1029475746944004E-2</v>
      </c>
    </row>
    <row r="100" spans="2:8" x14ac:dyDescent="0.3">
      <c r="B100" s="103">
        <v>44795</v>
      </c>
      <c r="C100" s="105">
        <v>1575.650024414062</v>
      </c>
      <c r="D100" s="106">
        <f t="shared" si="2"/>
        <v>-1.3430562582036502E-2</v>
      </c>
      <c r="F100" s="97">
        <v>44795</v>
      </c>
      <c r="G100" s="98">
        <v>17490.69921875</v>
      </c>
      <c r="H100" s="100">
        <f t="shared" si="3"/>
        <v>-1.5077330047338822E-2</v>
      </c>
    </row>
    <row r="101" spans="2:8" x14ac:dyDescent="0.3">
      <c r="B101" s="103">
        <v>44796</v>
      </c>
      <c r="C101" s="105">
        <v>1542.400024414062</v>
      </c>
      <c r="D101" s="106">
        <f t="shared" si="2"/>
        <v>-2.1102401856252753E-2</v>
      </c>
      <c r="F101" s="97">
        <v>44796</v>
      </c>
      <c r="G101" s="98">
        <v>17577.5</v>
      </c>
      <c r="H101" s="99">
        <f t="shared" si="3"/>
        <v>4.9626821755044369E-3</v>
      </c>
    </row>
    <row r="102" spans="2:8" x14ac:dyDescent="0.3">
      <c r="B102" s="103">
        <v>44797</v>
      </c>
      <c r="C102" s="105">
        <v>1537.5</v>
      </c>
      <c r="D102" s="106">
        <f t="shared" si="2"/>
        <v>-3.1768829982504062E-3</v>
      </c>
      <c r="F102" s="97">
        <v>44797</v>
      </c>
      <c r="G102" s="98">
        <v>17604.94921875</v>
      </c>
      <c r="H102" s="100">
        <f t="shared" si="3"/>
        <v>1.5616110795050491E-3</v>
      </c>
    </row>
    <row r="103" spans="2:8" x14ac:dyDescent="0.3">
      <c r="B103" s="103">
        <v>44798</v>
      </c>
      <c r="C103" s="105">
        <v>1518.150024414062</v>
      </c>
      <c r="D103" s="106">
        <f t="shared" si="2"/>
        <v>-1.2585349974593792E-2</v>
      </c>
      <c r="F103" s="97">
        <v>44798</v>
      </c>
      <c r="G103" s="98">
        <v>17522.44921875</v>
      </c>
      <c r="H103" s="99">
        <f t="shared" si="3"/>
        <v>-4.686182219266732E-3</v>
      </c>
    </row>
    <row r="104" spans="2:8" x14ac:dyDescent="0.3">
      <c r="B104" s="103">
        <v>44799</v>
      </c>
      <c r="C104" s="105">
        <v>1521.550048828125</v>
      </c>
      <c r="D104" s="106">
        <f t="shared" si="2"/>
        <v>2.2395839405761047E-3</v>
      </c>
      <c r="F104" s="97">
        <v>44799</v>
      </c>
      <c r="G104" s="98">
        <v>17558.900390625</v>
      </c>
      <c r="H104" s="100">
        <f t="shared" si="3"/>
        <v>2.0802555293466174E-3</v>
      </c>
    </row>
    <row r="105" spans="2:8" x14ac:dyDescent="0.3">
      <c r="B105" s="103">
        <v>44802</v>
      </c>
      <c r="C105" s="105">
        <v>1461.75</v>
      </c>
      <c r="D105" s="106">
        <f t="shared" si="2"/>
        <v>-3.9302058367506283E-2</v>
      </c>
      <c r="F105" s="97">
        <v>44802</v>
      </c>
      <c r="G105" s="98">
        <v>17312.900390625</v>
      </c>
      <c r="H105" s="99">
        <f t="shared" si="3"/>
        <v>-1.400998892455382E-2</v>
      </c>
    </row>
    <row r="106" spans="2:8" x14ac:dyDescent="0.3">
      <c r="B106" s="103">
        <v>44803</v>
      </c>
      <c r="C106" s="105">
        <v>1492.949951171875</v>
      </c>
      <c r="D106" s="106">
        <f t="shared" si="2"/>
        <v>2.1344245713613819E-2</v>
      </c>
      <c r="F106" s="97">
        <v>44803</v>
      </c>
      <c r="G106" s="98">
        <v>17759.30078125</v>
      </c>
      <c r="H106" s="100">
        <f t="shared" si="3"/>
        <v>2.5784263789025638E-2</v>
      </c>
    </row>
    <row r="107" spans="2:8" x14ac:dyDescent="0.3">
      <c r="B107" s="103">
        <v>44805</v>
      </c>
      <c r="C107" s="105">
        <v>1464.199951171875</v>
      </c>
      <c r="D107" s="106">
        <f t="shared" si="2"/>
        <v>-1.9257176020825745E-2</v>
      </c>
      <c r="F107" s="97">
        <v>44805</v>
      </c>
      <c r="G107" s="98">
        <v>17542.80078125</v>
      </c>
      <c r="H107" s="99">
        <f t="shared" si="3"/>
        <v>-1.2190795272107639E-2</v>
      </c>
    </row>
    <row r="108" spans="2:8" x14ac:dyDescent="0.3">
      <c r="B108" s="103">
        <v>44806</v>
      </c>
      <c r="C108" s="105">
        <v>1453</v>
      </c>
      <c r="D108" s="106">
        <f t="shared" si="2"/>
        <v>-7.6491951546037813E-3</v>
      </c>
      <c r="F108" s="97">
        <v>44806</v>
      </c>
      <c r="G108" s="98">
        <v>17539.44921875</v>
      </c>
      <c r="H108" s="100">
        <f t="shared" si="3"/>
        <v>-1.9105059344812252E-4</v>
      </c>
    </row>
    <row r="109" spans="2:8" x14ac:dyDescent="0.3">
      <c r="B109" s="103">
        <v>44809</v>
      </c>
      <c r="C109" s="105">
        <v>1461.300048828125</v>
      </c>
      <c r="D109" s="106">
        <f t="shared" si="2"/>
        <v>5.7123529443392981E-3</v>
      </c>
      <c r="F109" s="97">
        <v>44809</v>
      </c>
      <c r="G109" s="98">
        <v>17665.80078125</v>
      </c>
      <c r="H109" s="99">
        <f t="shared" si="3"/>
        <v>7.2038500710117975E-3</v>
      </c>
    </row>
    <row r="110" spans="2:8" x14ac:dyDescent="0.3">
      <c r="B110" s="103">
        <v>44810</v>
      </c>
      <c r="C110" s="105">
        <v>1455.099975585938</v>
      </c>
      <c r="D110" s="106">
        <f t="shared" si="2"/>
        <v>-4.2428474885490711E-3</v>
      </c>
      <c r="F110" s="97">
        <v>44810</v>
      </c>
      <c r="G110" s="98">
        <v>17655.599609375</v>
      </c>
      <c r="H110" s="100">
        <f t="shared" si="3"/>
        <v>-5.7745312546642362E-4</v>
      </c>
    </row>
    <row r="111" spans="2:8" x14ac:dyDescent="0.3">
      <c r="B111" s="103">
        <v>44811</v>
      </c>
      <c r="C111" s="105">
        <v>1457.650024414062</v>
      </c>
      <c r="D111" s="106">
        <f t="shared" si="2"/>
        <v>1.7524904617617356E-3</v>
      </c>
      <c r="F111" s="97">
        <v>44811</v>
      </c>
      <c r="G111" s="98">
        <v>17624.400390625</v>
      </c>
      <c r="H111" s="99">
        <f t="shared" si="3"/>
        <v>-1.7671004916442166E-3</v>
      </c>
    </row>
    <row r="112" spans="2:8" x14ac:dyDescent="0.3">
      <c r="B112" s="103">
        <v>44812</v>
      </c>
      <c r="C112" s="105">
        <v>1475.900024414062</v>
      </c>
      <c r="D112" s="106">
        <f t="shared" si="2"/>
        <v>1.2520152090235812E-2</v>
      </c>
      <c r="F112" s="97">
        <v>44812</v>
      </c>
      <c r="G112" s="98">
        <v>17798.75</v>
      </c>
      <c r="H112" s="100">
        <f t="shared" si="3"/>
        <v>9.8925129655895866E-3</v>
      </c>
    </row>
    <row r="113" spans="2:8" x14ac:dyDescent="0.3">
      <c r="B113" s="103">
        <v>44813</v>
      </c>
      <c r="C113" s="105">
        <v>1511.650024414062</v>
      </c>
      <c r="D113" s="106">
        <f t="shared" si="2"/>
        <v>2.4222507899336127E-2</v>
      </c>
      <c r="F113" s="97">
        <v>44813</v>
      </c>
      <c r="G113" s="98">
        <v>17833.349609375</v>
      </c>
      <c r="H113" s="99">
        <f t="shared" si="3"/>
        <v>1.943934791769085E-3</v>
      </c>
    </row>
    <row r="114" spans="2:8" x14ac:dyDescent="0.3">
      <c r="B114" s="103">
        <v>44816</v>
      </c>
      <c r="C114" s="105">
        <v>1536.199951171875</v>
      </c>
      <c r="D114" s="106">
        <f t="shared" si="2"/>
        <v>1.624048315504038E-2</v>
      </c>
      <c r="F114" s="97">
        <v>44816</v>
      </c>
      <c r="G114" s="98">
        <v>17936.349609375</v>
      </c>
      <c r="H114" s="100">
        <f t="shared" si="3"/>
        <v>5.77569566324505E-3</v>
      </c>
    </row>
    <row r="115" spans="2:8" x14ac:dyDescent="0.3">
      <c r="B115" s="103">
        <v>44817</v>
      </c>
      <c r="C115" s="105">
        <v>1544.949951171875</v>
      </c>
      <c r="D115" s="106">
        <f t="shared" si="2"/>
        <v>5.695873114255178E-3</v>
      </c>
      <c r="F115" s="97">
        <v>44817</v>
      </c>
      <c r="G115" s="98">
        <v>18070.05078125</v>
      </c>
      <c r="H115" s="99">
        <f t="shared" si="3"/>
        <v>7.4542019299800475E-3</v>
      </c>
    </row>
    <row r="116" spans="2:8" x14ac:dyDescent="0.3">
      <c r="B116" s="103">
        <v>44818</v>
      </c>
      <c r="C116" s="105">
        <v>1475.400024414062</v>
      </c>
      <c r="D116" s="106">
        <f t="shared" si="2"/>
        <v>-4.5017592126565628E-2</v>
      </c>
      <c r="F116" s="97">
        <v>44818</v>
      </c>
      <c r="G116" s="98">
        <v>18003.75</v>
      </c>
      <c r="H116" s="100">
        <f t="shared" si="3"/>
        <v>-3.6690976717561625E-3</v>
      </c>
    </row>
    <row r="117" spans="2:8" x14ac:dyDescent="0.3">
      <c r="B117" s="103">
        <v>44819</v>
      </c>
      <c r="C117" s="105">
        <v>1432.800048828125</v>
      </c>
      <c r="D117" s="106">
        <f t="shared" si="2"/>
        <v>-2.887350879830379E-2</v>
      </c>
      <c r="F117" s="97">
        <v>44819</v>
      </c>
      <c r="G117" s="98">
        <v>17877.400390625</v>
      </c>
      <c r="H117" s="99">
        <f t="shared" si="3"/>
        <v>-7.0179606679164064E-3</v>
      </c>
    </row>
    <row r="118" spans="2:8" x14ac:dyDescent="0.3">
      <c r="B118" s="103">
        <v>44820</v>
      </c>
      <c r="C118" s="105">
        <v>1377.050048828125</v>
      </c>
      <c r="D118" s="106">
        <f t="shared" si="2"/>
        <v>-3.8909825586338757E-2</v>
      </c>
      <c r="F118" s="97">
        <v>44820</v>
      </c>
      <c r="G118" s="98">
        <v>17530.849609375</v>
      </c>
      <c r="H118" s="100">
        <f t="shared" si="3"/>
        <v>-1.9384853148544628E-2</v>
      </c>
    </row>
    <row r="119" spans="2:8" x14ac:dyDescent="0.3">
      <c r="B119" s="103">
        <v>44823</v>
      </c>
      <c r="C119" s="105">
        <v>1390.300048828125</v>
      </c>
      <c r="D119" s="106">
        <f t="shared" si="2"/>
        <v>9.6220177409497946E-3</v>
      </c>
      <c r="F119" s="97">
        <v>44823</v>
      </c>
      <c r="G119" s="98">
        <v>17622.25</v>
      </c>
      <c r="H119" s="99">
        <f t="shared" si="3"/>
        <v>5.2136885924867933E-3</v>
      </c>
    </row>
    <row r="120" spans="2:8" x14ac:dyDescent="0.3">
      <c r="B120" s="103">
        <v>44824</v>
      </c>
      <c r="C120" s="105">
        <v>1388.550048828125</v>
      </c>
      <c r="D120" s="106">
        <f t="shared" si="2"/>
        <v>-1.2587210951154491E-3</v>
      </c>
      <c r="F120" s="97">
        <v>44824</v>
      </c>
      <c r="G120" s="98">
        <v>17816.25</v>
      </c>
      <c r="H120" s="100">
        <f t="shared" si="3"/>
        <v>1.1008809885230319E-2</v>
      </c>
    </row>
    <row r="121" spans="2:8" x14ac:dyDescent="0.3">
      <c r="B121" s="103">
        <v>44825</v>
      </c>
      <c r="C121" s="105">
        <v>1377.25</v>
      </c>
      <c r="D121" s="106">
        <f t="shared" si="2"/>
        <v>-8.1380205471612219E-3</v>
      </c>
      <c r="F121" s="97">
        <v>44825</v>
      </c>
      <c r="G121" s="98">
        <v>17718.349609375</v>
      </c>
      <c r="H121" s="99">
        <f t="shared" si="3"/>
        <v>-5.4950054374517648E-3</v>
      </c>
    </row>
    <row r="122" spans="2:8" x14ac:dyDescent="0.3">
      <c r="B122" s="103">
        <v>44826</v>
      </c>
      <c r="C122" s="105">
        <v>1367.949951171875</v>
      </c>
      <c r="D122" s="106">
        <f t="shared" si="2"/>
        <v>-6.7526221296968598E-3</v>
      </c>
      <c r="F122" s="97">
        <v>44826</v>
      </c>
      <c r="G122" s="98">
        <v>17629.80078125</v>
      </c>
      <c r="H122" s="100">
        <f t="shared" si="3"/>
        <v>-4.9975776569025207E-3</v>
      </c>
    </row>
    <row r="123" spans="2:8" x14ac:dyDescent="0.3">
      <c r="B123" s="103">
        <v>44827</v>
      </c>
      <c r="C123" s="105">
        <v>1365.449951171875</v>
      </c>
      <c r="D123" s="106">
        <f t="shared" si="2"/>
        <v>-1.8275522418479838E-3</v>
      </c>
      <c r="F123" s="97">
        <v>44827</v>
      </c>
      <c r="G123" s="98">
        <v>17327.349609375</v>
      </c>
      <c r="H123" s="99">
        <f t="shared" si="3"/>
        <v>-1.7155677232420515E-2</v>
      </c>
    </row>
    <row r="124" spans="2:8" x14ac:dyDescent="0.3">
      <c r="B124" s="103">
        <v>44830</v>
      </c>
      <c r="C124" s="105">
        <v>1380.25</v>
      </c>
      <c r="D124" s="106">
        <f t="shared" si="2"/>
        <v>1.0838953720290591E-2</v>
      </c>
      <c r="F124" s="97">
        <v>44830</v>
      </c>
      <c r="G124" s="98">
        <v>17016.30078125</v>
      </c>
      <c r="H124" s="100">
        <f t="shared" si="3"/>
        <v>-1.7951321762256493E-2</v>
      </c>
    </row>
    <row r="125" spans="2:8" x14ac:dyDescent="0.3">
      <c r="B125" s="103">
        <v>44831</v>
      </c>
      <c r="C125" s="105">
        <v>1393.550048828125</v>
      </c>
      <c r="D125" s="106">
        <f t="shared" si="2"/>
        <v>9.6359708952182578E-3</v>
      </c>
      <c r="F125" s="97">
        <v>44831</v>
      </c>
      <c r="G125" s="98">
        <v>17007.400390625</v>
      </c>
      <c r="H125" s="99">
        <f t="shared" si="3"/>
        <v>-5.2305085220444639E-4</v>
      </c>
    </row>
    <row r="126" spans="2:8" x14ac:dyDescent="0.3">
      <c r="B126" s="103">
        <v>44832</v>
      </c>
      <c r="C126" s="105">
        <v>1394.699951171875</v>
      </c>
      <c r="D126" s="106">
        <f t="shared" si="2"/>
        <v>8.2516042012052953E-4</v>
      </c>
      <c r="F126" s="97">
        <v>44832</v>
      </c>
      <c r="G126" s="98">
        <v>16858.599609375</v>
      </c>
      <c r="H126" s="100">
        <f t="shared" si="3"/>
        <v>-8.7491784653946029E-3</v>
      </c>
    </row>
    <row r="127" spans="2:8" x14ac:dyDescent="0.3">
      <c r="B127" s="103">
        <v>44833</v>
      </c>
      <c r="C127" s="105">
        <v>1398.650024414062</v>
      </c>
      <c r="D127" s="106">
        <f t="shared" si="2"/>
        <v>2.8322028970231609E-3</v>
      </c>
      <c r="F127" s="97">
        <v>44833</v>
      </c>
      <c r="G127" s="98">
        <v>16818.099609375</v>
      </c>
      <c r="H127" s="99">
        <f t="shared" si="3"/>
        <v>-2.4023347691037229E-3</v>
      </c>
    </row>
    <row r="128" spans="2:8" x14ac:dyDescent="0.3">
      <c r="B128" s="103">
        <v>44834</v>
      </c>
      <c r="C128" s="105">
        <v>1413.449951171875</v>
      </c>
      <c r="D128" s="106">
        <f t="shared" si="2"/>
        <v>1.0581579737227762E-2</v>
      </c>
      <c r="F128" s="97">
        <v>44834</v>
      </c>
      <c r="G128" s="98">
        <v>17094.349609375</v>
      </c>
      <c r="H128" s="100">
        <f t="shared" si="3"/>
        <v>1.6425755966269134E-2</v>
      </c>
    </row>
    <row r="129" spans="2:8" x14ac:dyDescent="0.3">
      <c r="B129" s="103">
        <v>44837</v>
      </c>
      <c r="C129" s="105">
        <v>1393.75</v>
      </c>
      <c r="D129" s="106">
        <f t="shared" si="2"/>
        <v>-1.3937494677856828E-2</v>
      </c>
      <c r="F129" s="97">
        <v>44837</v>
      </c>
      <c r="G129" s="98">
        <v>16887.349609375</v>
      </c>
      <c r="H129" s="99">
        <f t="shared" si="3"/>
        <v>-1.2109264448790473E-2</v>
      </c>
    </row>
    <row r="130" spans="2:8" x14ac:dyDescent="0.3">
      <c r="B130" s="103">
        <v>44838</v>
      </c>
      <c r="C130" s="105">
        <v>1429.400024414062</v>
      </c>
      <c r="D130" s="106">
        <f t="shared" si="2"/>
        <v>2.5578492853138686E-2</v>
      </c>
      <c r="F130" s="97">
        <v>44838</v>
      </c>
      <c r="G130" s="98">
        <v>17274.30078125</v>
      </c>
      <c r="H130" s="100">
        <f t="shared" si="3"/>
        <v>2.2913670932719031E-2</v>
      </c>
    </row>
    <row r="131" spans="2:8" x14ac:dyDescent="0.3">
      <c r="B131" s="103">
        <v>44840</v>
      </c>
      <c r="C131" s="105">
        <v>1455.150024414062</v>
      </c>
      <c r="D131" s="106">
        <f t="shared" si="2"/>
        <v>1.8014551252407744E-2</v>
      </c>
      <c r="F131" s="97">
        <v>44840</v>
      </c>
      <c r="G131" s="98">
        <v>17331.80078125</v>
      </c>
      <c r="H131" s="99">
        <f t="shared" si="3"/>
        <v>3.3286441360574244E-3</v>
      </c>
    </row>
    <row r="132" spans="2:8" x14ac:dyDescent="0.3">
      <c r="B132" s="103">
        <v>44841</v>
      </c>
      <c r="C132" s="105">
        <v>1451.199951171875</v>
      </c>
      <c r="D132" s="106">
        <f t="shared" si="2"/>
        <v>-2.7145470748128541E-3</v>
      </c>
      <c r="F132" s="97">
        <v>44841</v>
      </c>
      <c r="G132" s="98">
        <v>17314.650390625</v>
      </c>
      <c r="H132" s="100">
        <f t="shared" si="3"/>
        <v>-9.8953310400115763E-4</v>
      </c>
    </row>
    <row r="133" spans="2:8" x14ac:dyDescent="0.3">
      <c r="B133" s="103">
        <v>44844</v>
      </c>
      <c r="C133" s="105">
        <v>1462.650024414062</v>
      </c>
      <c r="D133" s="106">
        <f t="shared" ref="D133:D196" si="4">(C133-C132)/C132</f>
        <v>7.8900727862765332E-3</v>
      </c>
      <c r="F133" s="97">
        <v>44844</v>
      </c>
      <c r="G133" s="98">
        <v>17241</v>
      </c>
      <c r="H133" s="99">
        <f t="shared" ref="H133:H196" si="5">(G133-G132)/G132</f>
        <v>-4.253645841147213E-3</v>
      </c>
    </row>
    <row r="134" spans="2:8" x14ac:dyDescent="0.3">
      <c r="B134" s="103">
        <v>44845</v>
      </c>
      <c r="C134" s="105">
        <v>1423.800048828125</v>
      </c>
      <c r="D134" s="106">
        <f t="shared" si="4"/>
        <v>-2.6561361185154564E-2</v>
      </c>
      <c r="F134" s="97">
        <v>44845</v>
      </c>
      <c r="G134" s="98">
        <v>16983.55078125</v>
      </c>
      <c r="H134" s="100">
        <f t="shared" si="5"/>
        <v>-1.4932383199930399E-2</v>
      </c>
    </row>
    <row r="135" spans="2:8" x14ac:dyDescent="0.3">
      <c r="B135" s="103">
        <v>44846</v>
      </c>
      <c r="C135" s="105">
        <v>1428.699951171875</v>
      </c>
      <c r="D135" s="106">
        <f t="shared" si="4"/>
        <v>3.4414258854555601E-3</v>
      </c>
      <c r="F135" s="97">
        <v>44846</v>
      </c>
      <c r="G135" s="98">
        <v>17123.599609375</v>
      </c>
      <c r="H135" s="99">
        <f t="shared" si="5"/>
        <v>8.2461453396197471E-3</v>
      </c>
    </row>
    <row r="136" spans="2:8" x14ac:dyDescent="0.3">
      <c r="B136" s="103">
        <v>44847</v>
      </c>
      <c r="C136" s="105">
        <v>1419.900024414062</v>
      </c>
      <c r="D136" s="106">
        <f t="shared" si="4"/>
        <v>-6.1593945954816574E-3</v>
      </c>
      <c r="F136" s="97">
        <v>44847</v>
      </c>
      <c r="G136" s="98">
        <v>17014.349609375</v>
      </c>
      <c r="H136" s="100">
        <f t="shared" si="5"/>
        <v>-6.3800837728176449E-3</v>
      </c>
    </row>
    <row r="137" spans="2:8" x14ac:dyDescent="0.3">
      <c r="B137" s="103">
        <v>44848</v>
      </c>
      <c r="C137" s="105">
        <v>1474.25</v>
      </c>
      <c r="D137" s="106">
        <f t="shared" si="4"/>
        <v>3.8277325622531833E-2</v>
      </c>
      <c r="F137" s="97">
        <v>44848</v>
      </c>
      <c r="G137" s="98">
        <v>17185.69921875</v>
      </c>
      <c r="H137" s="99">
        <f t="shared" si="5"/>
        <v>1.0070888003887344E-2</v>
      </c>
    </row>
    <row r="138" spans="2:8" x14ac:dyDescent="0.3">
      <c r="B138" s="103">
        <v>44851</v>
      </c>
      <c r="C138" s="105">
        <v>1489.949951171875</v>
      </c>
      <c r="D138" s="106">
        <f t="shared" si="4"/>
        <v>1.0649449667203662E-2</v>
      </c>
      <c r="F138" s="97">
        <v>44851</v>
      </c>
      <c r="G138" s="98">
        <v>17311.80078125</v>
      </c>
      <c r="H138" s="100">
        <f t="shared" si="5"/>
        <v>7.3375869608156676E-3</v>
      </c>
    </row>
    <row r="139" spans="2:8" x14ac:dyDescent="0.3">
      <c r="B139" s="103">
        <v>44852</v>
      </c>
      <c r="C139" s="105">
        <v>1503.699951171875</v>
      </c>
      <c r="D139" s="106">
        <f t="shared" si="4"/>
        <v>9.2284979030237586E-3</v>
      </c>
      <c r="F139" s="97">
        <v>44852</v>
      </c>
      <c r="G139" s="98">
        <v>17486.94921875</v>
      </c>
      <c r="H139" s="99">
        <f t="shared" si="5"/>
        <v>1.0117285874136163E-2</v>
      </c>
    </row>
    <row r="140" spans="2:8" x14ac:dyDescent="0.3">
      <c r="B140" s="103">
        <v>44853</v>
      </c>
      <c r="C140" s="105">
        <v>1485.449951171875</v>
      </c>
      <c r="D140" s="106">
        <f t="shared" si="4"/>
        <v>-1.2136729794915049E-2</v>
      </c>
      <c r="F140" s="97">
        <v>44853</v>
      </c>
      <c r="G140" s="98">
        <v>17512.25</v>
      </c>
      <c r="H140" s="100">
        <f t="shared" si="5"/>
        <v>1.4468379208691124E-3</v>
      </c>
    </row>
    <row r="141" spans="2:8" x14ac:dyDescent="0.3">
      <c r="B141" s="103">
        <v>44854</v>
      </c>
      <c r="C141" s="105">
        <v>1500.900024414062</v>
      </c>
      <c r="D141" s="106">
        <f t="shared" si="4"/>
        <v>1.0400938267895492E-2</v>
      </c>
      <c r="F141" s="97">
        <v>44854</v>
      </c>
      <c r="G141" s="98">
        <v>17563.94921875</v>
      </c>
      <c r="H141" s="99">
        <f t="shared" si="5"/>
        <v>2.9521745492441004E-3</v>
      </c>
    </row>
    <row r="142" spans="2:8" x14ac:dyDescent="0.3">
      <c r="B142" s="103">
        <v>44855</v>
      </c>
      <c r="C142" s="105">
        <v>1500.5</v>
      </c>
      <c r="D142" s="106">
        <f t="shared" si="4"/>
        <v>-2.6652302455535716E-4</v>
      </c>
      <c r="F142" s="97">
        <v>44855</v>
      </c>
      <c r="G142" s="98">
        <v>17576.30078125</v>
      </c>
      <c r="H142" s="100">
        <f t="shared" si="5"/>
        <v>7.0323378564624668E-4</v>
      </c>
    </row>
    <row r="143" spans="2:8" x14ac:dyDescent="0.3">
      <c r="B143" s="103">
        <v>44858</v>
      </c>
      <c r="C143" s="105">
        <v>1517.849975585938</v>
      </c>
      <c r="D143" s="106">
        <f t="shared" si="4"/>
        <v>1.156279612525022E-2</v>
      </c>
      <c r="F143" s="97">
        <v>44858</v>
      </c>
      <c r="G143" s="98">
        <v>17730.75</v>
      </c>
      <c r="H143" s="99">
        <f t="shared" si="5"/>
        <v>8.7873563767617655E-3</v>
      </c>
    </row>
    <row r="144" spans="2:8" x14ac:dyDescent="0.3">
      <c r="B144" s="103">
        <v>44859</v>
      </c>
      <c r="C144" s="105">
        <v>1526.300048828125</v>
      </c>
      <c r="D144" s="106">
        <f t="shared" si="4"/>
        <v>5.567133365025124E-3</v>
      </c>
      <c r="F144" s="97">
        <v>44859</v>
      </c>
      <c r="G144" s="98">
        <v>17656.349609375</v>
      </c>
      <c r="H144" s="100">
        <f t="shared" si="5"/>
        <v>-4.1961220267050185E-3</v>
      </c>
    </row>
    <row r="145" spans="2:8" x14ac:dyDescent="0.3">
      <c r="B145" s="103">
        <v>44861</v>
      </c>
      <c r="C145" s="105">
        <v>1523.949951171875</v>
      </c>
      <c r="D145" s="106">
        <f t="shared" si="4"/>
        <v>-1.5397350331308559E-3</v>
      </c>
      <c r="F145" s="97">
        <v>44861</v>
      </c>
      <c r="G145" s="98">
        <v>17736.94921875</v>
      </c>
      <c r="H145" s="99">
        <f t="shared" si="5"/>
        <v>4.5649078749666347E-3</v>
      </c>
    </row>
    <row r="146" spans="2:8" x14ac:dyDescent="0.3">
      <c r="B146" s="103">
        <v>44862</v>
      </c>
      <c r="C146" s="105">
        <v>1513.25</v>
      </c>
      <c r="D146" s="106">
        <f t="shared" si="4"/>
        <v>-7.0211959150279415E-3</v>
      </c>
      <c r="F146" s="97">
        <v>44862</v>
      </c>
      <c r="G146" s="98">
        <v>17786.80078125</v>
      </c>
      <c r="H146" s="100">
        <f t="shared" si="5"/>
        <v>2.8106052447453111E-3</v>
      </c>
    </row>
    <row r="147" spans="2:8" x14ac:dyDescent="0.3">
      <c r="B147" s="103">
        <v>44865</v>
      </c>
      <c r="C147" s="105">
        <v>1537.650024414062</v>
      </c>
      <c r="D147" s="106">
        <f t="shared" si="4"/>
        <v>1.6124252049603202E-2</v>
      </c>
      <c r="F147" s="97">
        <v>44865</v>
      </c>
      <c r="G147" s="98">
        <v>18012.19921875</v>
      </c>
      <c r="H147" s="99">
        <f t="shared" si="5"/>
        <v>1.2672230395564126E-2</v>
      </c>
    </row>
    <row r="148" spans="2:8" x14ac:dyDescent="0.3">
      <c r="B148" s="103">
        <v>44866</v>
      </c>
      <c r="C148" s="105">
        <v>1573</v>
      </c>
      <c r="D148" s="106">
        <f t="shared" si="4"/>
        <v>2.2989610785723782E-2</v>
      </c>
      <c r="F148" s="97">
        <v>44866</v>
      </c>
      <c r="G148" s="98">
        <v>18145.400390625</v>
      </c>
      <c r="H148" s="100">
        <f t="shared" si="5"/>
        <v>7.3950532223928962E-3</v>
      </c>
    </row>
    <row r="149" spans="2:8" x14ac:dyDescent="0.3">
      <c r="B149" s="103">
        <v>44867</v>
      </c>
      <c r="C149" s="105">
        <v>1553.300048828125</v>
      </c>
      <c r="D149" s="106">
        <f t="shared" si="4"/>
        <v>-1.2523808755165289E-2</v>
      </c>
      <c r="F149" s="97">
        <v>44867</v>
      </c>
      <c r="G149" s="98">
        <v>18082.849609375</v>
      </c>
      <c r="H149" s="99">
        <f t="shared" si="5"/>
        <v>-3.4471976315450983E-3</v>
      </c>
    </row>
    <row r="150" spans="2:8" x14ac:dyDescent="0.3">
      <c r="B150" s="103">
        <v>44868</v>
      </c>
      <c r="C150" s="105">
        <v>1530.75</v>
      </c>
      <c r="D150" s="106">
        <f t="shared" si="4"/>
        <v>-1.4517509894587145E-2</v>
      </c>
      <c r="F150" s="97">
        <v>44868</v>
      </c>
      <c r="G150" s="98">
        <v>18052.69921875</v>
      </c>
      <c r="H150" s="100">
        <f t="shared" si="5"/>
        <v>-1.6673473084335456E-3</v>
      </c>
    </row>
    <row r="151" spans="2:8" x14ac:dyDescent="0.3">
      <c r="B151" s="103">
        <v>44869</v>
      </c>
      <c r="C151" s="105">
        <v>1514</v>
      </c>
      <c r="D151" s="106">
        <f t="shared" si="4"/>
        <v>-1.0942348521966357E-2</v>
      </c>
      <c r="F151" s="97">
        <v>44869</v>
      </c>
      <c r="G151" s="98">
        <v>18117.150390625</v>
      </c>
      <c r="H151" s="99">
        <f t="shared" si="5"/>
        <v>3.5701681556882833E-3</v>
      </c>
    </row>
    <row r="152" spans="2:8" x14ac:dyDescent="0.3">
      <c r="B152" s="103">
        <v>44872</v>
      </c>
      <c r="C152" s="105">
        <v>1507.449951171875</v>
      </c>
      <c r="D152" s="106">
        <f t="shared" si="4"/>
        <v>-4.3263202299372522E-3</v>
      </c>
      <c r="F152" s="97">
        <v>44872</v>
      </c>
      <c r="G152" s="98">
        <v>18202.80078125</v>
      </c>
      <c r="H152" s="100">
        <f t="shared" si="5"/>
        <v>4.7275862251119315E-3</v>
      </c>
    </row>
    <row r="153" spans="2:8" x14ac:dyDescent="0.3">
      <c r="B153" s="103">
        <v>44874</v>
      </c>
      <c r="C153" s="105">
        <v>1511.199951171875</v>
      </c>
      <c r="D153" s="106">
        <f t="shared" si="4"/>
        <v>2.4876447785777507E-3</v>
      </c>
      <c r="F153" s="97">
        <v>44874</v>
      </c>
      <c r="G153" s="98">
        <v>18157</v>
      </c>
      <c r="H153" s="99">
        <f t="shared" si="5"/>
        <v>-2.5161392359563488E-3</v>
      </c>
    </row>
    <row r="154" spans="2:8" x14ac:dyDescent="0.3">
      <c r="B154" s="103">
        <v>44875</v>
      </c>
      <c r="C154" s="105">
        <v>1501.949951171875</v>
      </c>
      <c r="D154" s="106">
        <f t="shared" si="4"/>
        <v>-6.1209636705103088E-3</v>
      </c>
      <c r="F154" s="97">
        <v>44875</v>
      </c>
      <c r="G154" s="98">
        <v>18028.19921875</v>
      </c>
      <c r="H154" s="100">
        <f t="shared" si="5"/>
        <v>-7.093725904609792E-3</v>
      </c>
    </row>
    <row r="155" spans="2:8" x14ac:dyDescent="0.3">
      <c r="B155" s="103">
        <v>44876</v>
      </c>
      <c r="C155" s="105">
        <v>1570.099975585938</v>
      </c>
      <c r="D155" s="106">
        <f t="shared" si="4"/>
        <v>4.5374364412668927E-2</v>
      </c>
      <c r="F155" s="97">
        <v>44876</v>
      </c>
      <c r="G155" s="98">
        <v>18349.69921875</v>
      </c>
      <c r="H155" s="99">
        <f t="shared" si="5"/>
        <v>1.7833173247033349E-2</v>
      </c>
    </row>
    <row r="156" spans="2:8" x14ac:dyDescent="0.3">
      <c r="B156" s="103">
        <v>44879</v>
      </c>
      <c r="C156" s="105">
        <v>1585.300048828125</v>
      </c>
      <c r="D156" s="106">
        <f t="shared" si="4"/>
        <v>9.6809588424549876E-3</v>
      </c>
      <c r="F156" s="97">
        <v>44879</v>
      </c>
      <c r="G156" s="98">
        <v>18329.150390625</v>
      </c>
      <c r="H156" s="100">
        <f t="shared" si="5"/>
        <v>-1.1198455015547556E-3</v>
      </c>
    </row>
    <row r="157" spans="2:8" x14ac:dyDescent="0.3">
      <c r="B157" s="103">
        <v>44880</v>
      </c>
      <c r="C157" s="105">
        <v>1594</v>
      </c>
      <c r="D157" s="106">
        <f t="shared" si="4"/>
        <v>5.4878892978689553E-3</v>
      </c>
      <c r="F157" s="97">
        <v>44880</v>
      </c>
      <c r="G157" s="98">
        <v>18403.400390625</v>
      </c>
      <c r="H157" s="99">
        <f t="shared" si="5"/>
        <v>4.0509242609508738E-3</v>
      </c>
    </row>
    <row r="158" spans="2:8" x14ac:dyDescent="0.3">
      <c r="B158" s="103">
        <v>44881</v>
      </c>
      <c r="C158" s="105">
        <v>1602.800048828125</v>
      </c>
      <c r="D158" s="106">
        <f t="shared" si="4"/>
        <v>5.520733267330615E-3</v>
      </c>
      <c r="F158" s="97">
        <v>44881</v>
      </c>
      <c r="G158" s="98">
        <v>18409.650390625</v>
      </c>
      <c r="H158" s="100">
        <f t="shared" si="5"/>
        <v>3.3961115159912808E-4</v>
      </c>
    </row>
    <row r="159" spans="2:8" x14ac:dyDescent="0.3">
      <c r="B159" s="103">
        <v>44882</v>
      </c>
      <c r="C159" s="105">
        <v>1587.400024414062</v>
      </c>
      <c r="D159" s="106">
        <f t="shared" si="4"/>
        <v>-9.6082006144949678E-3</v>
      </c>
      <c r="F159" s="97">
        <v>44882</v>
      </c>
      <c r="G159" s="98">
        <v>18343.900390625</v>
      </c>
      <c r="H159" s="99">
        <f t="shared" si="5"/>
        <v>-3.5714963948192506E-3</v>
      </c>
    </row>
    <row r="160" spans="2:8" x14ac:dyDescent="0.3">
      <c r="B160" s="103">
        <v>44883</v>
      </c>
      <c r="C160" s="105">
        <v>1593.400024414062</v>
      </c>
      <c r="D160" s="106">
        <f t="shared" si="4"/>
        <v>3.7797655963969813E-3</v>
      </c>
      <c r="F160" s="97">
        <v>44883</v>
      </c>
      <c r="G160" s="98">
        <v>18307.650390625</v>
      </c>
      <c r="H160" s="100">
        <f t="shared" si="5"/>
        <v>-1.9761337135545203E-3</v>
      </c>
    </row>
    <row r="161" spans="2:8" x14ac:dyDescent="0.3">
      <c r="B161" s="103">
        <v>44886</v>
      </c>
      <c r="C161" s="105">
        <v>1568.199951171875</v>
      </c>
      <c r="D161" s="106">
        <f t="shared" si="4"/>
        <v>-1.5815283579811556E-2</v>
      </c>
      <c r="F161" s="97">
        <v>44886</v>
      </c>
      <c r="G161" s="98">
        <v>18159.94921875</v>
      </c>
      <c r="H161" s="99">
        <f t="shared" si="5"/>
        <v>-8.0677295405769262E-3</v>
      </c>
    </row>
    <row r="162" spans="2:8" x14ac:dyDescent="0.3">
      <c r="B162" s="103">
        <v>44887</v>
      </c>
      <c r="C162" s="105">
        <v>1585.050048828125</v>
      </c>
      <c r="D162" s="106">
        <f t="shared" si="4"/>
        <v>1.0744865566191582E-2</v>
      </c>
      <c r="F162" s="97">
        <v>44887</v>
      </c>
      <c r="G162" s="98">
        <v>18244.19921875</v>
      </c>
      <c r="H162" s="100">
        <f t="shared" si="5"/>
        <v>4.6393301536885668E-3</v>
      </c>
    </row>
    <row r="163" spans="2:8" x14ac:dyDescent="0.3">
      <c r="B163" s="103">
        <v>44888</v>
      </c>
      <c r="C163" s="105">
        <v>1583.150024414062</v>
      </c>
      <c r="D163" s="106">
        <f t="shared" si="4"/>
        <v>-1.1987157222370988E-3</v>
      </c>
      <c r="F163" s="97">
        <v>44888</v>
      </c>
      <c r="G163" s="98">
        <v>18267.25</v>
      </c>
      <c r="H163" s="99">
        <f t="shared" si="5"/>
        <v>1.2634580983039343E-3</v>
      </c>
    </row>
    <row r="164" spans="2:8" x14ac:dyDescent="0.3">
      <c r="B164" s="103">
        <v>44889</v>
      </c>
      <c r="C164" s="105">
        <v>1629.800048828125</v>
      </c>
      <c r="D164" s="106">
        <f t="shared" si="4"/>
        <v>2.9466584780130704E-2</v>
      </c>
      <c r="F164" s="97">
        <v>44889</v>
      </c>
      <c r="G164" s="98">
        <v>18484.099609375</v>
      </c>
      <c r="H164" s="100">
        <f t="shared" si="5"/>
        <v>1.1870949889830161E-2</v>
      </c>
    </row>
    <row r="165" spans="2:8" x14ac:dyDescent="0.3">
      <c r="B165" s="103">
        <v>44890</v>
      </c>
      <c r="C165" s="105">
        <v>1635.650024414062</v>
      </c>
      <c r="D165" s="106">
        <f t="shared" si="4"/>
        <v>3.5893823847553278E-3</v>
      </c>
      <c r="F165" s="97">
        <v>44890</v>
      </c>
      <c r="G165" s="98">
        <v>18512.75</v>
      </c>
      <c r="H165" s="99">
        <f t="shared" si="5"/>
        <v>1.5500019600883741E-3</v>
      </c>
    </row>
    <row r="166" spans="2:8" x14ac:dyDescent="0.3">
      <c r="B166" s="103">
        <v>44893</v>
      </c>
      <c r="C166" s="105">
        <v>1623.400024414062</v>
      </c>
      <c r="D166" s="106">
        <f t="shared" si="4"/>
        <v>-7.4893771999840313E-3</v>
      </c>
      <c r="F166" s="97">
        <v>44893</v>
      </c>
      <c r="G166" s="98">
        <v>18562.75</v>
      </c>
      <c r="H166" s="100">
        <f t="shared" si="5"/>
        <v>2.7008413120687092E-3</v>
      </c>
    </row>
    <row r="167" spans="2:8" x14ac:dyDescent="0.3">
      <c r="B167" s="103">
        <v>44894</v>
      </c>
      <c r="C167" s="105">
        <v>1629.050048828125</v>
      </c>
      <c r="D167" s="106">
        <f t="shared" si="4"/>
        <v>3.4803648694672362E-3</v>
      </c>
      <c r="F167" s="97">
        <v>44894</v>
      </c>
      <c r="G167" s="98">
        <v>18618.05078125</v>
      </c>
      <c r="H167" s="99">
        <f t="shared" si="5"/>
        <v>2.9791265437502526E-3</v>
      </c>
    </row>
    <row r="168" spans="2:8" x14ac:dyDescent="0.3">
      <c r="B168" s="103">
        <v>44895</v>
      </c>
      <c r="C168" s="105">
        <v>1634.949951171875</v>
      </c>
      <c r="D168" s="106">
        <f t="shared" si="4"/>
        <v>3.6216826781928276E-3</v>
      </c>
      <c r="F168" s="97">
        <v>44895</v>
      </c>
      <c r="G168" s="98">
        <v>18758.349609375</v>
      </c>
      <c r="H168" s="100">
        <f t="shared" si="5"/>
        <v>7.5356346254191742E-3</v>
      </c>
    </row>
    <row r="169" spans="2:8" x14ac:dyDescent="0.3">
      <c r="B169" s="103">
        <v>44896</v>
      </c>
      <c r="C169" s="105">
        <v>1657.099975585938</v>
      </c>
      <c r="D169" s="106">
        <f t="shared" si="4"/>
        <v>1.3547830255101442E-2</v>
      </c>
      <c r="F169" s="97">
        <v>44896</v>
      </c>
      <c r="G169" s="98">
        <v>18812.5</v>
      </c>
      <c r="H169" s="99">
        <f t="shared" si="5"/>
        <v>2.8867353340049093E-3</v>
      </c>
    </row>
    <row r="170" spans="2:8" x14ac:dyDescent="0.3">
      <c r="B170" s="103">
        <v>44897</v>
      </c>
      <c r="C170" s="105">
        <v>1637.900024414062</v>
      </c>
      <c r="D170" s="106">
        <f t="shared" si="4"/>
        <v>-1.1586477252277403E-2</v>
      </c>
      <c r="F170" s="97">
        <v>44897</v>
      </c>
      <c r="G170" s="98">
        <v>18696.099609375</v>
      </c>
      <c r="H170" s="100">
        <f t="shared" si="5"/>
        <v>-6.1873961794019936E-3</v>
      </c>
    </row>
    <row r="171" spans="2:8" x14ac:dyDescent="0.3">
      <c r="B171" s="103">
        <v>44900</v>
      </c>
      <c r="C171" s="105">
        <v>1639.75</v>
      </c>
      <c r="D171" s="106">
        <f t="shared" si="4"/>
        <v>1.1294801626245533E-3</v>
      </c>
      <c r="F171" s="97">
        <v>44900</v>
      </c>
      <c r="G171" s="98">
        <v>18701.05078125</v>
      </c>
      <c r="H171" s="99">
        <f t="shared" si="5"/>
        <v>2.6482378562624241E-4</v>
      </c>
    </row>
    <row r="172" spans="2:8" x14ac:dyDescent="0.3">
      <c r="B172" s="103">
        <v>44901</v>
      </c>
      <c r="C172" s="105">
        <v>1612.900024414062</v>
      </c>
      <c r="D172" s="106">
        <f t="shared" si="4"/>
        <v>-1.6374432435394392E-2</v>
      </c>
      <c r="F172" s="97">
        <v>44901</v>
      </c>
      <c r="G172" s="98">
        <v>18642.75</v>
      </c>
      <c r="H172" s="100">
        <f t="shared" si="5"/>
        <v>-3.1175136590962781E-3</v>
      </c>
    </row>
    <row r="173" spans="2:8" x14ac:dyDescent="0.3">
      <c r="B173" s="103">
        <v>44902</v>
      </c>
      <c r="C173" s="105">
        <v>1605.5</v>
      </c>
      <c r="D173" s="106">
        <f t="shared" si="4"/>
        <v>-4.5880242433193235E-3</v>
      </c>
      <c r="F173" s="97">
        <v>44902</v>
      </c>
      <c r="G173" s="98">
        <v>18560.5</v>
      </c>
      <c r="H173" s="99">
        <f t="shared" si="5"/>
        <v>-4.4119027503989484E-3</v>
      </c>
    </row>
    <row r="174" spans="2:8" x14ac:dyDescent="0.3">
      <c r="B174" s="103">
        <v>44903</v>
      </c>
      <c r="C174" s="105">
        <v>1620.150024414062</v>
      </c>
      <c r="D174" s="106">
        <f t="shared" si="4"/>
        <v>9.1248984204684181E-3</v>
      </c>
      <c r="F174" s="97">
        <v>44903</v>
      </c>
      <c r="G174" s="98">
        <v>18609.349609375</v>
      </c>
      <c r="H174" s="100">
        <f t="shared" si="5"/>
        <v>2.6319123609277765E-3</v>
      </c>
    </row>
    <row r="175" spans="2:8" x14ac:dyDescent="0.3">
      <c r="B175" s="103">
        <v>44904</v>
      </c>
      <c r="C175" s="105">
        <v>1569.300048828125</v>
      </c>
      <c r="D175" s="106">
        <f t="shared" si="4"/>
        <v>-3.1385967237402765E-2</v>
      </c>
      <c r="F175" s="97">
        <v>44904</v>
      </c>
      <c r="G175" s="98">
        <v>18496.599609375</v>
      </c>
      <c r="H175" s="99">
        <f t="shared" si="5"/>
        <v>-6.058782405979353E-3</v>
      </c>
    </row>
    <row r="176" spans="2:8" x14ac:dyDescent="0.3">
      <c r="B176" s="103">
        <v>44907</v>
      </c>
      <c r="C176" s="105">
        <v>1547.199951171875</v>
      </c>
      <c r="D176" s="106">
        <f t="shared" si="4"/>
        <v>-1.4082773828212936E-2</v>
      </c>
      <c r="F176" s="97">
        <v>44907</v>
      </c>
      <c r="G176" s="98">
        <v>18497.150390625</v>
      </c>
      <c r="H176" s="100">
        <f t="shared" si="5"/>
        <v>2.9777432697458433E-5</v>
      </c>
    </row>
    <row r="177" spans="2:8" x14ac:dyDescent="0.3">
      <c r="B177" s="103">
        <v>44908</v>
      </c>
      <c r="C177" s="105">
        <v>1572.150024414062</v>
      </c>
      <c r="D177" s="106">
        <f t="shared" si="4"/>
        <v>1.6125952707851009E-2</v>
      </c>
      <c r="F177" s="97">
        <v>44908</v>
      </c>
      <c r="G177" s="98">
        <v>18608</v>
      </c>
      <c r="H177" s="99">
        <f t="shared" si="5"/>
        <v>5.9927938646799584E-3</v>
      </c>
    </row>
    <row r="178" spans="2:8" x14ac:dyDescent="0.3">
      <c r="B178" s="103">
        <v>44909</v>
      </c>
      <c r="C178" s="105">
        <v>1579.400024414062</v>
      </c>
      <c r="D178" s="106">
        <f t="shared" si="4"/>
        <v>4.6115191854556401E-3</v>
      </c>
      <c r="F178" s="97">
        <v>44909</v>
      </c>
      <c r="G178" s="98">
        <v>18660.30078125</v>
      </c>
      <c r="H178" s="100">
        <f t="shared" si="5"/>
        <v>2.8106610731943251E-3</v>
      </c>
    </row>
    <row r="179" spans="2:8" x14ac:dyDescent="0.3">
      <c r="B179" s="103">
        <v>44910</v>
      </c>
      <c r="C179" s="105">
        <v>1540.5</v>
      </c>
      <c r="D179" s="106">
        <f t="shared" si="4"/>
        <v>-2.4629621256649959E-2</v>
      </c>
      <c r="F179" s="97">
        <v>44910</v>
      </c>
      <c r="G179" s="98">
        <v>18414.900390625</v>
      </c>
      <c r="H179" s="99">
        <f t="shared" si="5"/>
        <v>-1.3150934355333651E-2</v>
      </c>
    </row>
    <row r="180" spans="2:8" x14ac:dyDescent="0.3">
      <c r="B180" s="103">
        <v>44911</v>
      </c>
      <c r="C180" s="105">
        <v>1522.199951171875</v>
      </c>
      <c r="D180" s="106">
        <f t="shared" si="4"/>
        <v>-1.1879291676809477E-2</v>
      </c>
      <c r="F180" s="97">
        <v>44911</v>
      </c>
      <c r="G180" s="98">
        <v>18269</v>
      </c>
      <c r="H180" s="100">
        <f t="shared" si="5"/>
        <v>-7.9229530179418008E-3</v>
      </c>
    </row>
    <row r="181" spans="2:8" x14ac:dyDescent="0.3">
      <c r="B181" s="103">
        <v>44914</v>
      </c>
      <c r="C181" s="105">
        <v>1507.349975585938</v>
      </c>
      <c r="D181" s="106">
        <f t="shared" si="4"/>
        <v>-9.7556011445833375E-3</v>
      </c>
      <c r="F181" s="97">
        <v>44914</v>
      </c>
      <c r="G181" s="98">
        <v>18420.44921875</v>
      </c>
      <c r="H181" s="99">
        <f t="shared" si="5"/>
        <v>8.2899566889265974E-3</v>
      </c>
    </row>
    <row r="182" spans="2:8" x14ac:dyDescent="0.3">
      <c r="B182" s="103">
        <v>44915</v>
      </c>
      <c r="C182" s="105">
        <v>1507.300048828125</v>
      </c>
      <c r="D182" s="106">
        <f t="shared" si="4"/>
        <v>-3.3122206933759488E-5</v>
      </c>
      <c r="F182" s="97">
        <v>44915</v>
      </c>
      <c r="G182" s="98">
        <v>18385.30078125</v>
      </c>
      <c r="H182" s="100">
        <f t="shared" si="5"/>
        <v>-1.9081205394395452E-3</v>
      </c>
    </row>
    <row r="183" spans="2:8" x14ac:dyDescent="0.3">
      <c r="B183" s="103">
        <v>44916</v>
      </c>
      <c r="C183" s="105">
        <v>1509.550048828125</v>
      </c>
      <c r="D183" s="106">
        <f t="shared" si="4"/>
        <v>1.4927353062512663E-3</v>
      </c>
      <c r="F183" s="97">
        <v>44916</v>
      </c>
      <c r="G183" s="98">
        <v>18199.099609375</v>
      </c>
      <c r="H183" s="99">
        <f t="shared" si="5"/>
        <v>-1.012771964355866E-2</v>
      </c>
    </row>
    <row r="184" spans="2:8" x14ac:dyDescent="0.3">
      <c r="B184" s="103">
        <v>44917</v>
      </c>
      <c r="C184" s="105">
        <v>1522.050048828125</v>
      </c>
      <c r="D184" s="106">
        <f t="shared" si="4"/>
        <v>8.2806131599968101E-3</v>
      </c>
      <c r="F184" s="97">
        <v>44917</v>
      </c>
      <c r="G184" s="98">
        <v>18127.349609375</v>
      </c>
      <c r="H184" s="100">
        <f t="shared" si="5"/>
        <v>-3.9425027358517802E-3</v>
      </c>
    </row>
    <row r="185" spans="2:8" x14ac:dyDescent="0.3">
      <c r="B185" s="103">
        <v>44918</v>
      </c>
      <c r="C185" s="105">
        <v>1497.099975585938</v>
      </c>
      <c r="D185" s="106">
        <f t="shared" si="4"/>
        <v>-1.6392413154479975E-2</v>
      </c>
      <c r="F185" s="97">
        <v>44918</v>
      </c>
      <c r="G185" s="98">
        <v>17806.80078125</v>
      </c>
      <c r="H185" s="99">
        <f t="shared" si="5"/>
        <v>-1.7683160254117921E-2</v>
      </c>
    </row>
    <row r="186" spans="2:8" x14ac:dyDescent="0.3">
      <c r="B186" s="103">
        <v>44921</v>
      </c>
      <c r="C186" s="105">
        <v>1502.400024414062</v>
      </c>
      <c r="D186" s="106">
        <f t="shared" si="4"/>
        <v>3.540210349712782E-3</v>
      </c>
      <c r="F186" s="97">
        <v>44921</v>
      </c>
      <c r="G186" s="98">
        <v>18014.599609375</v>
      </c>
      <c r="H186" s="100">
        <f t="shared" si="5"/>
        <v>1.1669632893506936E-2</v>
      </c>
    </row>
    <row r="187" spans="2:8" x14ac:dyDescent="0.3">
      <c r="B187" s="103">
        <v>44922</v>
      </c>
      <c r="C187" s="105">
        <v>1514.849975585938</v>
      </c>
      <c r="D187" s="106">
        <f t="shared" si="4"/>
        <v>8.2867085793155559E-3</v>
      </c>
      <c r="F187" s="97">
        <v>44922</v>
      </c>
      <c r="G187" s="98">
        <v>18132.30078125</v>
      </c>
      <c r="H187" s="99">
        <f t="shared" si="5"/>
        <v>6.533654614990554E-3</v>
      </c>
    </row>
    <row r="188" spans="2:8" x14ac:dyDescent="0.3">
      <c r="B188" s="103">
        <v>44923</v>
      </c>
      <c r="C188" s="105">
        <v>1510.150024414062</v>
      </c>
      <c r="D188" s="106">
        <f t="shared" si="4"/>
        <v>-3.1025852378932686E-3</v>
      </c>
      <c r="F188" s="97">
        <v>44923</v>
      </c>
      <c r="G188" s="98">
        <v>18122.5</v>
      </c>
      <c r="H188" s="100">
        <f t="shared" si="5"/>
        <v>-5.405150382313676E-4</v>
      </c>
    </row>
    <row r="189" spans="2:8" x14ac:dyDescent="0.3">
      <c r="B189" s="103">
        <v>44924</v>
      </c>
      <c r="C189" s="105">
        <v>1517.550048828125</v>
      </c>
      <c r="D189" s="106">
        <f t="shared" si="4"/>
        <v>4.9001915666850139E-3</v>
      </c>
      <c r="F189" s="97">
        <v>44924</v>
      </c>
      <c r="G189" s="98">
        <v>18191</v>
      </c>
      <c r="H189" s="99">
        <f t="shared" si="5"/>
        <v>3.7798317009242652E-3</v>
      </c>
    </row>
    <row r="190" spans="2:8" x14ac:dyDescent="0.3">
      <c r="B190" s="103">
        <v>44925</v>
      </c>
      <c r="C190" s="105">
        <v>1508.199951171875</v>
      </c>
      <c r="D190" s="106">
        <f t="shared" si="4"/>
        <v>-6.1613108994133577E-3</v>
      </c>
      <c r="F190" s="97">
        <v>44925</v>
      </c>
      <c r="G190" s="98">
        <v>18105.30078125</v>
      </c>
      <c r="H190" s="100">
        <f t="shared" si="5"/>
        <v>-4.7110779368918698E-3</v>
      </c>
    </row>
    <row r="191" spans="2:8" x14ac:dyDescent="0.3">
      <c r="B191" s="103">
        <v>44928</v>
      </c>
      <c r="C191" s="105">
        <v>1524</v>
      </c>
      <c r="D191" s="106">
        <f t="shared" si="4"/>
        <v>1.0476096896733305E-2</v>
      </c>
      <c r="F191" s="97">
        <v>44928</v>
      </c>
      <c r="G191" s="98">
        <v>18197.44921875</v>
      </c>
      <c r="H191" s="99">
        <f t="shared" si="5"/>
        <v>5.0895833553579895E-3</v>
      </c>
    </row>
    <row r="192" spans="2:8" x14ac:dyDescent="0.3">
      <c r="B192" s="103">
        <v>44929</v>
      </c>
      <c r="C192" s="105">
        <v>1522.550048828125</v>
      </c>
      <c r="D192" s="106">
        <f t="shared" si="4"/>
        <v>-9.5141153010170601E-4</v>
      </c>
      <c r="F192" s="97">
        <v>44929</v>
      </c>
      <c r="G192" s="98">
        <v>18232.55078125</v>
      </c>
      <c r="H192" s="100">
        <f t="shared" si="5"/>
        <v>1.928927624858137E-3</v>
      </c>
    </row>
    <row r="193" spans="2:8" x14ac:dyDescent="0.3">
      <c r="B193" s="103">
        <v>44930</v>
      </c>
      <c r="C193" s="105">
        <v>1494.800048828125</v>
      </c>
      <c r="D193" s="106">
        <f t="shared" si="4"/>
        <v>-1.8226001845626418E-2</v>
      </c>
      <c r="F193" s="97">
        <v>44930</v>
      </c>
      <c r="G193" s="98">
        <v>18042.94921875</v>
      </c>
      <c r="H193" s="99">
        <f t="shared" si="5"/>
        <v>-1.0399069487028801E-2</v>
      </c>
    </row>
    <row r="194" spans="2:8" x14ac:dyDescent="0.3">
      <c r="B194" s="103">
        <v>44931</v>
      </c>
      <c r="C194" s="105">
        <v>1475.199951171875</v>
      </c>
      <c r="D194" s="106">
        <f t="shared" si="4"/>
        <v>-1.3112186925345529E-2</v>
      </c>
      <c r="F194" s="97">
        <v>44931</v>
      </c>
      <c r="G194" s="98">
        <v>17992.150390625</v>
      </c>
      <c r="H194" s="100">
        <f t="shared" si="5"/>
        <v>-2.8154392892826255E-3</v>
      </c>
    </row>
    <row r="195" spans="2:8" x14ac:dyDescent="0.3">
      <c r="B195" s="103">
        <v>44932</v>
      </c>
      <c r="C195" s="105">
        <v>1448.5</v>
      </c>
      <c r="D195" s="106">
        <f t="shared" si="4"/>
        <v>-1.8099208280657135E-2</v>
      </c>
      <c r="F195" s="97">
        <v>44932</v>
      </c>
      <c r="G195" s="98">
        <v>17859.44921875</v>
      </c>
      <c r="H195" s="99">
        <f t="shared" si="5"/>
        <v>-7.3755037054462009E-3</v>
      </c>
    </row>
    <row r="196" spans="2:8" x14ac:dyDescent="0.3">
      <c r="B196" s="103">
        <v>44935</v>
      </c>
      <c r="C196" s="105">
        <v>1484.449951171875</v>
      </c>
      <c r="D196" s="106">
        <f t="shared" si="4"/>
        <v>2.4818744336813945E-2</v>
      </c>
      <c r="F196" s="97">
        <v>44935</v>
      </c>
      <c r="G196" s="98">
        <v>18101.19921875</v>
      </c>
      <c r="H196" s="100">
        <f t="shared" si="5"/>
        <v>1.3536251708490276E-2</v>
      </c>
    </row>
    <row r="197" spans="2:8" x14ac:dyDescent="0.3">
      <c r="B197" s="103">
        <v>44936</v>
      </c>
      <c r="C197" s="105">
        <v>1469.75</v>
      </c>
      <c r="D197" s="106">
        <f t="shared" ref="D197:D260" si="6">(C197-C196)/C196</f>
        <v>-9.9026249825872274E-3</v>
      </c>
      <c r="F197" s="97">
        <v>44936</v>
      </c>
      <c r="G197" s="98">
        <v>17914.150390625</v>
      </c>
      <c r="H197" s="99">
        <f t="shared" ref="H197:H260" si="7">(G197-G196)/G196</f>
        <v>-1.0333504750958532E-2</v>
      </c>
    </row>
    <row r="198" spans="2:8" x14ac:dyDescent="0.3">
      <c r="B198" s="103">
        <v>44937</v>
      </c>
      <c r="C198" s="105">
        <v>1471.25</v>
      </c>
      <c r="D198" s="106">
        <f t="shared" si="6"/>
        <v>1.0205817315870045E-3</v>
      </c>
      <c r="F198" s="97">
        <v>44937</v>
      </c>
      <c r="G198" s="98">
        <v>17895.69921875</v>
      </c>
      <c r="H198" s="100">
        <f t="shared" si="7"/>
        <v>-1.0299775022909285E-3</v>
      </c>
    </row>
    <row r="199" spans="2:8" x14ac:dyDescent="0.3">
      <c r="B199" s="103">
        <v>44938</v>
      </c>
      <c r="C199" s="105">
        <v>1480.599975585938</v>
      </c>
      <c r="D199" s="106">
        <f t="shared" si="6"/>
        <v>6.3551235928210395E-3</v>
      </c>
      <c r="F199" s="97">
        <v>44938</v>
      </c>
      <c r="G199" s="98">
        <v>17858.19921875</v>
      </c>
      <c r="H199" s="99">
        <f t="shared" si="7"/>
        <v>-2.0954755408891671E-3</v>
      </c>
    </row>
    <row r="200" spans="2:8" x14ac:dyDescent="0.3">
      <c r="B200" s="103">
        <v>44939</v>
      </c>
      <c r="C200" s="105">
        <v>1503.650024414062</v>
      </c>
      <c r="D200" s="106">
        <f t="shared" si="6"/>
        <v>1.5568046203028053E-2</v>
      </c>
      <c r="F200" s="97">
        <v>44939</v>
      </c>
      <c r="G200" s="98">
        <v>17956.599609375</v>
      </c>
      <c r="H200" s="100">
        <f t="shared" si="7"/>
        <v>5.5100959183883276E-3</v>
      </c>
    </row>
    <row r="201" spans="2:8" x14ac:dyDescent="0.3">
      <c r="B201" s="103">
        <v>44942</v>
      </c>
      <c r="C201" s="105">
        <v>1525.5</v>
      </c>
      <c r="D201" s="106">
        <f t="shared" si="6"/>
        <v>1.4531290680125111E-2</v>
      </c>
      <c r="F201" s="97">
        <v>44942</v>
      </c>
      <c r="G201" s="98">
        <v>17894.849609375</v>
      </c>
      <c r="H201" s="99">
        <f t="shared" si="7"/>
        <v>-3.4388470725693972E-3</v>
      </c>
    </row>
    <row r="202" spans="2:8" x14ac:dyDescent="0.3">
      <c r="B202" s="103">
        <v>44943</v>
      </c>
      <c r="C202" s="105">
        <v>1539.5</v>
      </c>
      <c r="D202" s="106">
        <f t="shared" si="6"/>
        <v>9.1773189118321864E-3</v>
      </c>
      <c r="F202" s="97">
        <v>44943</v>
      </c>
      <c r="G202" s="98">
        <v>18053.30078125</v>
      </c>
      <c r="H202" s="100">
        <f t="shared" si="7"/>
        <v>8.854568511824118E-3</v>
      </c>
    </row>
    <row r="203" spans="2:8" x14ac:dyDescent="0.3">
      <c r="B203" s="103">
        <v>44944</v>
      </c>
      <c r="C203" s="105">
        <v>1545.400024414062</v>
      </c>
      <c r="D203" s="106">
        <f t="shared" si="6"/>
        <v>3.8324289795791137E-3</v>
      </c>
      <c r="F203" s="97">
        <v>44944</v>
      </c>
      <c r="G203" s="98">
        <v>18165.349609375</v>
      </c>
      <c r="H203" s="99">
        <f t="shared" si="7"/>
        <v>6.2065563235601173E-3</v>
      </c>
    </row>
    <row r="204" spans="2:8" x14ac:dyDescent="0.3">
      <c r="B204" s="103">
        <v>44945</v>
      </c>
      <c r="C204" s="105">
        <v>1538.900024414062</v>
      </c>
      <c r="D204" s="106">
        <f t="shared" si="6"/>
        <v>-4.2060307346406785E-3</v>
      </c>
      <c r="F204" s="97">
        <v>44945</v>
      </c>
      <c r="G204" s="98">
        <v>18107.849609375</v>
      </c>
      <c r="H204" s="100">
        <f t="shared" si="7"/>
        <v>-3.1653670992560848E-3</v>
      </c>
    </row>
    <row r="205" spans="2:8" x14ac:dyDescent="0.3">
      <c r="B205" s="103">
        <v>44946</v>
      </c>
      <c r="C205" s="105">
        <v>1525.550048828125</v>
      </c>
      <c r="D205" s="106">
        <f t="shared" si="6"/>
        <v>-8.6750116148838607E-3</v>
      </c>
      <c r="F205" s="97">
        <v>44946</v>
      </c>
      <c r="G205" s="98">
        <v>18027.650390625</v>
      </c>
      <c r="H205" s="99">
        <f t="shared" si="7"/>
        <v>-4.4289753051891022E-3</v>
      </c>
    </row>
    <row r="206" spans="2:8" x14ac:dyDescent="0.3">
      <c r="B206" s="103">
        <v>44949</v>
      </c>
      <c r="C206" s="105">
        <v>1548</v>
      </c>
      <c r="D206" s="106">
        <f t="shared" si="6"/>
        <v>1.4715971586196258E-2</v>
      </c>
      <c r="F206" s="97">
        <v>44949</v>
      </c>
      <c r="G206" s="98">
        <v>18118.55078125</v>
      </c>
      <c r="H206" s="100">
        <f t="shared" si="7"/>
        <v>5.042276095628709E-3</v>
      </c>
    </row>
    <row r="207" spans="2:8" x14ac:dyDescent="0.3">
      <c r="B207" s="103">
        <v>44950</v>
      </c>
      <c r="C207" s="105">
        <v>1551.900024414062</v>
      </c>
      <c r="D207" s="106">
        <f t="shared" si="6"/>
        <v>2.5193956163191509E-3</v>
      </c>
      <c r="F207" s="97">
        <v>44950</v>
      </c>
      <c r="G207" s="98">
        <v>18118.30078125</v>
      </c>
      <c r="H207" s="99">
        <f t="shared" si="7"/>
        <v>-1.3798013043003017E-5</v>
      </c>
    </row>
    <row r="208" spans="2:8" x14ac:dyDescent="0.3">
      <c r="B208" s="103">
        <v>44951</v>
      </c>
      <c r="C208" s="105">
        <v>1543</v>
      </c>
      <c r="D208" s="106">
        <f t="shared" si="6"/>
        <v>-5.7349212410911284E-3</v>
      </c>
      <c r="F208" s="97">
        <v>44951</v>
      </c>
      <c r="G208" s="98">
        <v>17891.94921875</v>
      </c>
      <c r="H208" s="100">
        <f t="shared" si="7"/>
        <v>-1.2492979625012262E-2</v>
      </c>
    </row>
    <row r="209" spans="2:8" x14ac:dyDescent="0.3">
      <c r="B209" s="103">
        <v>44953</v>
      </c>
      <c r="C209" s="105">
        <v>1519.150024414062</v>
      </c>
      <c r="D209" s="106">
        <f t="shared" si="6"/>
        <v>-1.5456886316226801E-2</v>
      </c>
      <c r="F209" s="97">
        <v>44953</v>
      </c>
      <c r="G209" s="98">
        <v>17604.349609375</v>
      </c>
      <c r="H209" s="99">
        <f t="shared" si="7"/>
        <v>-1.6074246906178778E-2</v>
      </c>
    </row>
    <row r="210" spans="2:8" x14ac:dyDescent="0.3">
      <c r="B210" s="103">
        <v>44956</v>
      </c>
      <c r="C210" s="105">
        <v>1538.800048828125</v>
      </c>
      <c r="D210" s="106">
        <f t="shared" si="6"/>
        <v>1.2934880754546933E-2</v>
      </c>
      <c r="F210" s="97">
        <v>44956</v>
      </c>
      <c r="G210" s="98">
        <v>17648.94921875</v>
      </c>
      <c r="H210" s="100">
        <f t="shared" si="7"/>
        <v>2.5334426073456854E-3</v>
      </c>
    </row>
    <row r="211" spans="2:8" x14ac:dyDescent="0.3">
      <c r="B211" s="103">
        <v>44957</v>
      </c>
      <c r="C211" s="105">
        <v>1533.75</v>
      </c>
      <c r="D211" s="106">
        <f t="shared" si="6"/>
        <v>-3.2818096360023321E-3</v>
      </c>
      <c r="F211" s="97">
        <v>44957</v>
      </c>
      <c r="G211" s="98">
        <v>17662.150390625</v>
      </c>
      <c r="H211" s="99">
        <f t="shared" si="7"/>
        <v>7.4798628016761802E-4</v>
      </c>
    </row>
    <row r="212" spans="2:8" x14ac:dyDescent="0.3">
      <c r="B212" s="103">
        <v>44958</v>
      </c>
      <c r="C212" s="105">
        <v>1551.099975585938</v>
      </c>
      <c r="D212" s="106">
        <f t="shared" si="6"/>
        <v>1.131212752139394E-2</v>
      </c>
      <c r="F212" s="97">
        <v>44958</v>
      </c>
      <c r="G212" s="98">
        <v>17616.30078125</v>
      </c>
      <c r="H212" s="100">
        <f t="shared" si="7"/>
        <v>-2.5959245256645981E-3</v>
      </c>
    </row>
    <row r="213" spans="2:8" x14ac:dyDescent="0.3">
      <c r="B213" s="103">
        <v>44959</v>
      </c>
      <c r="C213" s="105">
        <v>1583.75</v>
      </c>
      <c r="D213" s="106">
        <f t="shared" si="6"/>
        <v>2.1049593790192854E-2</v>
      </c>
      <c r="F213" s="97">
        <v>44959</v>
      </c>
      <c r="G213" s="98">
        <v>17610.400390625</v>
      </c>
      <c r="H213" s="99">
        <f t="shared" si="7"/>
        <v>-3.3493925304000889E-4</v>
      </c>
    </row>
    <row r="214" spans="2:8" x14ac:dyDescent="0.3">
      <c r="B214" s="103">
        <v>44960</v>
      </c>
      <c r="C214" s="105">
        <v>1599.400024414062</v>
      </c>
      <c r="D214" s="106">
        <f t="shared" si="6"/>
        <v>9.8816255179555133E-3</v>
      </c>
      <c r="F214" s="97">
        <v>44960</v>
      </c>
      <c r="G214" s="98">
        <v>17854.05078125</v>
      </c>
      <c r="H214" s="100">
        <f t="shared" si="7"/>
        <v>1.3835596307890234E-2</v>
      </c>
    </row>
    <row r="215" spans="2:8" x14ac:dyDescent="0.3">
      <c r="B215" s="103">
        <v>44963</v>
      </c>
      <c r="C215" s="105">
        <v>1569.849975585938</v>
      </c>
      <c r="D215" s="106">
        <f t="shared" si="6"/>
        <v>-1.8475708626395519E-2</v>
      </c>
      <c r="F215" s="97">
        <v>44963</v>
      </c>
      <c r="G215" s="98">
        <v>17764.599609375</v>
      </c>
      <c r="H215" s="99">
        <f t="shared" si="7"/>
        <v>-5.0101331608701366E-3</v>
      </c>
    </row>
    <row r="216" spans="2:8" x14ac:dyDescent="0.3">
      <c r="B216" s="103">
        <v>44964</v>
      </c>
      <c r="C216" s="105">
        <v>1562.400024414062</v>
      </c>
      <c r="D216" s="106">
        <f t="shared" si="6"/>
        <v>-4.745645308619542E-3</v>
      </c>
      <c r="F216" s="97">
        <v>44964</v>
      </c>
      <c r="G216" s="98">
        <v>17721.5</v>
      </c>
      <c r="H216" s="100">
        <f t="shared" si="7"/>
        <v>-2.4261514654264895E-3</v>
      </c>
    </row>
    <row r="217" spans="2:8" x14ac:dyDescent="0.3">
      <c r="B217" s="103">
        <v>44965</v>
      </c>
      <c r="C217" s="105">
        <v>1590.5</v>
      </c>
      <c r="D217" s="106">
        <f t="shared" si="6"/>
        <v>1.7985135142631687E-2</v>
      </c>
      <c r="F217" s="97">
        <v>44965</v>
      </c>
      <c r="G217" s="98">
        <v>17871.69921875</v>
      </c>
      <c r="H217" s="99">
        <f t="shared" si="7"/>
        <v>8.4755364246818839E-3</v>
      </c>
    </row>
    <row r="218" spans="2:8" x14ac:dyDescent="0.3">
      <c r="B218" s="103">
        <v>44966</v>
      </c>
      <c r="C218" s="105">
        <v>1617</v>
      </c>
      <c r="D218" s="106">
        <f t="shared" si="6"/>
        <v>1.6661427224143353E-2</v>
      </c>
      <c r="F218" s="97">
        <v>44966</v>
      </c>
      <c r="G218" s="98">
        <v>17893.44921875</v>
      </c>
      <c r="H218" s="100">
        <f t="shared" si="7"/>
        <v>1.2170079483645908E-3</v>
      </c>
    </row>
    <row r="219" spans="2:8" x14ac:dyDescent="0.3">
      <c r="B219" s="103">
        <v>44967</v>
      </c>
      <c r="C219" s="105">
        <v>1608.550048828125</v>
      </c>
      <c r="D219" s="106">
        <f t="shared" si="6"/>
        <v>-5.2256964575602971E-3</v>
      </c>
      <c r="F219" s="97">
        <v>44967</v>
      </c>
      <c r="G219" s="98">
        <v>17856.5</v>
      </c>
      <c r="H219" s="99">
        <f t="shared" si="7"/>
        <v>-2.0649578680046795E-3</v>
      </c>
    </row>
    <row r="220" spans="2:8" x14ac:dyDescent="0.3">
      <c r="B220" s="103">
        <v>44970</v>
      </c>
      <c r="C220" s="105">
        <v>1567.449951171875</v>
      </c>
      <c r="D220" s="106">
        <f t="shared" si="6"/>
        <v>-2.5551021981686305E-2</v>
      </c>
      <c r="F220" s="97">
        <v>44970</v>
      </c>
      <c r="G220" s="98">
        <v>17770.900390625</v>
      </c>
      <c r="H220" s="100">
        <f t="shared" si="7"/>
        <v>-4.7937507000252013E-3</v>
      </c>
    </row>
    <row r="221" spans="2:8" x14ac:dyDescent="0.3">
      <c r="B221" s="103">
        <v>44971</v>
      </c>
      <c r="C221" s="105">
        <v>1593.25</v>
      </c>
      <c r="D221" s="106">
        <f t="shared" si="6"/>
        <v>1.6459886842853304E-2</v>
      </c>
      <c r="F221" s="97">
        <v>44971</v>
      </c>
      <c r="G221" s="98">
        <v>17929.849609375</v>
      </c>
      <c r="H221" s="99">
        <f t="shared" si="7"/>
        <v>8.944353704995911E-3</v>
      </c>
    </row>
    <row r="222" spans="2:8" x14ac:dyDescent="0.3">
      <c r="B222" s="103">
        <v>44972</v>
      </c>
      <c r="C222" s="105">
        <v>1597.050048828125</v>
      </c>
      <c r="D222" s="106">
        <f t="shared" si="6"/>
        <v>2.3850926270986977E-3</v>
      </c>
      <c r="F222" s="97">
        <v>44972</v>
      </c>
      <c r="G222" s="98">
        <v>18015.849609375</v>
      </c>
      <c r="H222" s="100">
        <f t="shared" si="7"/>
        <v>4.796470794436172E-3</v>
      </c>
    </row>
    <row r="223" spans="2:8" x14ac:dyDescent="0.3">
      <c r="B223" s="103">
        <v>44973</v>
      </c>
      <c r="C223" s="105">
        <v>1601.800048828125</v>
      </c>
      <c r="D223" s="106">
        <f t="shared" si="6"/>
        <v>2.9742336525304452E-3</v>
      </c>
      <c r="F223" s="97">
        <v>44973</v>
      </c>
      <c r="G223" s="98">
        <v>18035.849609375</v>
      </c>
      <c r="H223" s="99">
        <f t="shared" si="7"/>
        <v>1.110133600892877E-3</v>
      </c>
    </row>
    <row r="224" spans="2:8" x14ac:dyDescent="0.3">
      <c r="B224" s="103">
        <v>44974</v>
      </c>
      <c r="C224" s="105">
        <v>1583.800048828125</v>
      </c>
      <c r="D224" s="106">
        <f t="shared" si="6"/>
        <v>-1.1237357629729616E-2</v>
      </c>
      <c r="F224" s="97">
        <v>44974</v>
      </c>
      <c r="G224" s="98">
        <v>17944.19921875</v>
      </c>
      <c r="H224" s="100">
        <f t="shared" si="7"/>
        <v>-5.0815676893513411E-3</v>
      </c>
    </row>
    <row r="225" spans="2:8" x14ac:dyDescent="0.3">
      <c r="B225" s="103">
        <v>44977</v>
      </c>
      <c r="C225" s="105">
        <v>1592.449951171875</v>
      </c>
      <c r="D225" s="106">
        <f t="shared" si="6"/>
        <v>5.4614863474402465E-3</v>
      </c>
      <c r="F225" s="97">
        <v>44977</v>
      </c>
      <c r="G225" s="98">
        <v>17844.599609375</v>
      </c>
      <c r="H225" s="99">
        <f t="shared" si="7"/>
        <v>-5.5505184801408012E-3</v>
      </c>
    </row>
    <row r="226" spans="2:8" x14ac:dyDescent="0.3">
      <c r="B226" s="103">
        <v>44978</v>
      </c>
      <c r="C226" s="105">
        <v>1579.5</v>
      </c>
      <c r="D226" s="106">
        <f t="shared" si="6"/>
        <v>-8.1320930446480925E-3</v>
      </c>
      <c r="F226" s="97">
        <v>44978</v>
      </c>
      <c r="G226" s="98">
        <v>17826.69921875</v>
      </c>
      <c r="H226" s="100">
        <f t="shared" si="7"/>
        <v>-1.0031264929920697E-3</v>
      </c>
    </row>
    <row r="227" spans="2:8" x14ac:dyDescent="0.3">
      <c r="B227" s="103">
        <v>44979</v>
      </c>
      <c r="C227" s="105">
        <v>1561.800048828125</v>
      </c>
      <c r="D227" s="106">
        <f t="shared" si="6"/>
        <v>-1.1206046959085154E-2</v>
      </c>
      <c r="F227" s="97">
        <v>44979</v>
      </c>
      <c r="G227" s="98">
        <v>17554.30078125</v>
      </c>
      <c r="H227" s="99">
        <f t="shared" si="7"/>
        <v>-1.5280363131582609E-2</v>
      </c>
    </row>
    <row r="228" spans="2:8" x14ac:dyDescent="0.3">
      <c r="B228" s="103">
        <v>44980</v>
      </c>
      <c r="C228" s="105">
        <v>1550.699951171875</v>
      </c>
      <c r="D228" s="106">
        <f t="shared" si="6"/>
        <v>-7.1072463242518175E-3</v>
      </c>
      <c r="F228" s="97">
        <v>44980</v>
      </c>
      <c r="G228" s="98">
        <v>17511.25</v>
      </c>
      <c r="H228" s="100">
        <f t="shared" si="7"/>
        <v>-2.4524349779846064E-3</v>
      </c>
    </row>
    <row r="229" spans="2:8" x14ac:dyDescent="0.3">
      <c r="B229" s="103">
        <v>44981</v>
      </c>
      <c r="C229" s="105">
        <v>1550.650024414062</v>
      </c>
      <c r="D229" s="106">
        <f t="shared" si="6"/>
        <v>-3.2196272254490458E-5</v>
      </c>
      <c r="F229" s="97">
        <v>44981</v>
      </c>
      <c r="G229" s="98">
        <v>17465.80078125</v>
      </c>
      <c r="H229" s="99">
        <f t="shared" si="7"/>
        <v>-2.5954297237490184E-3</v>
      </c>
    </row>
    <row r="230" spans="2:8" x14ac:dyDescent="0.3">
      <c r="B230" s="103">
        <v>44984</v>
      </c>
      <c r="C230" s="105">
        <v>1509.300048828125</v>
      </c>
      <c r="D230" s="106">
        <f t="shared" si="6"/>
        <v>-2.6666220575182201E-2</v>
      </c>
      <c r="F230" s="97">
        <v>44984</v>
      </c>
      <c r="G230" s="98">
        <v>17392.69921875</v>
      </c>
      <c r="H230" s="100">
        <f t="shared" si="7"/>
        <v>-4.1854114458053631E-3</v>
      </c>
    </row>
    <row r="231" spans="2:8" x14ac:dyDescent="0.3">
      <c r="B231" s="103">
        <v>44985</v>
      </c>
      <c r="C231" s="105">
        <v>1487.550048828125</v>
      </c>
      <c r="D231" s="106">
        <f t="shared" si="6"/>
        <v>-1.4410653479331353E-2</v>
      </c>
      <c r="F231" s="97">
        <v>44985</v>
      </c>
      <c r="G231" s="98">
        <v>17303.94921875</v>
      </c>
      <c r="H231" s="99">
        <f t="shared" si="7"/>
        <v>-5.1027157362857215E-3</v>
      </c>
    </row>
    <row r="232" spans="2:8" x14ac:dyDescent="0.3">
      <c r="B232" s="103">
        <v>44986</v>
      </c>
      <c r="C232" s="105">
        <v>1496.050048828125</v>
      </c>
      <c r="D232" s="106">
        <f t="shared" si="6"/>
        <v>5.7140934563487148E-3</v>
      </c>
      <c r="F232" s="97">
        <v>44986</v>
      </c>
      <c r="G232" s="98">
        <v>17450.900390625</v>
      </c>
      <c r="H232" s="100">
        <f t="shared" si="7"/>
        <v>8.4923487706360379E-3</v>
      </c>
    </row>
    <row r="233" spans="2:8" x14ac:dyDescent="0.3">
      <c r="B233" s="103">
        <v>44987</v>
      </c>
      <c r="C233" s="105">
        <v>1472.150024414062</v>
      </c>
      <c r="D233" s="106">
        <f t="shared" si="6"/>
        <v>-1.5975417689257219E-2</v>
      </c>
      <c r="F233" s="97">
        <v>44987</v>
      </c>
      <c r="G233" s="98">
        <v>17321.900390625</v>
      </c>
      <c r="H233" s="99">
        <f t="shared" si="7"/>
        <v>-7.3921687198043708E-3</v>
      </c>
    </row>
    <row r="234" spans="2:8" x14ac:dyDescent="0.3">
      <c r="B234" s="103">
        <v>44988</v>
      </c>
      <c r="C234" s="105">
        <v>1479.300048828125</v>
      </c>
      <c r="D234" s="106">
        <f t="shared" si="6"/>
        <v>4.8568585371649015E-3</v>
      </c>
      <c r="F234" s="97">
        <v>44988</v>
      </c>
      <c r="G234" s="98">
        <v>17594.349609375</v>
      </c>
      <c r="H234" s="100">
        <f t="shared" si="7"/>
        <v>1.5728598629827915E-2</v>
      </c>
    </row>
    <row r="235" spans="2:8" x14ac:dyDescent="0.3">
      <c r="B235" s="103">
        <v>44991</v>
      </c>
      <c r="C235" s="105">
        <v>1507.449951171875</v>
      </c>
      <c r="D235" s="106">
        <f t="shared" si="6"/>
        <v>1.902920395767569E-2</v>
      </c>
      <c r="F235" s="97">
        <v>44991</v>
      </c>
      <c r="G235" s="98">
        <v>17711.44921875</v>
      </c>
      <c r="H235" s="99">
        <f t="shared" si="7"/>
        <v>6.6555236183669141E-3</v>
      </c>
    </row>
    <row r="236" spans="2:8" x14ac:dyDescent="0.3">
      <c r="B236" s="103">
        <v>44993</v>
      </c>
      <c r="C236" s="105">
        <v>1492.699951171875</v>
      </c>
      <c r="D236" s="106">
        <f t="shared" si="6"/>
        <v>-9.7847361290724858E-3</v>
      </c>
      <c r="F236" s="97">
        <v>44993</v>
      </c>
      <c r="G236" s="98">
        <v>17754.400390625</v>
      </c>
      <c r="H236" s="100">
        <f t="shared" si="7"/>
        <v>2.4250512391459354E-3</v>
      </c>
    </row>
    <row r="237" spans="2:8" x14ac:dyDescent="0.3">
      <c r="B237" s="103">
        <v>44994</v>
      </c>
      <c r="C237" s="105">
        <v>1480.400024414062</v>
      </c>
      <c r="D237" s="106">
        <f t="shared" si="6"/>
        <v>-8.2400530315262909E-3</v>
      </c>
      <c r="F237" s="97">
        <v>44994</v>
      </c>
      <c r="G237" s="98">
        <v>17589.599609375</v>
      </c>
      <c r="H237" s="99">
        <f t="shared" si="7"/>
        <v>-9.2822498999752812E-3</v>
      </c>
    </row>
    <row r="238" spans="2:8" x14ac:dyDescent="0.3">
      <c r="B238" s="103">
        <v>44995</v>
      </c>
      <c r="C238" s="105">
        <v>1471.550048828125</v>
      </c>
      <c r="D238" s="106">
        <f t="shared" si="6"/>
        <v>-5.9780974331176736E-3</v>
      </c>
      <c r="F238" s="97">
        <v>44995</v>
      </c>
      <c r="G238" s="98">
        <v>17412.900390625</v>
      </c>
      <c r="H238" s="100">
        <f t="shared" si="7"/>
        <v>-1.0045664635585105E-2</v>
      </c>
    </row>
    <row r="239" spans="2:8" x14ac:dyDescent="0.3">
      <c r="B239" s="103">
        <v>44998</v>
      </c>
      <c r="C239" s="105">
        <v>1435.099975585938</v>
      </c>
      <c r="D239" s="106">
        <f t="shared" si="6"/>
        <v>-2.476984950067734E-2</v>
      </c>
      <c r="F239" s="97">
        <v>44998</v>
      </c>
      <c r="G239" s="98">
        <v>17154.30078125</v>
      </c>
      <c r="H239" s="99">
        <f t="shared" si="7"/>
        <v>-1.4851035931626214E-2</v>
      </c>
    </row>
    <row r="240" spans="2:8" x14ac:dyDescent="0.3">
      <c r="B240" s="103">
        <v>44999</v>
      </c>
      <c r="C240" s="105">
        <v>1420</v>
      </c>
      <c r="D240" s="106">
        <f t="shared" si="6"/>
        <v>-1.0521898016040851E-2</v>
      </c>
      <c r="F240" s="97">
        <v>44999</v>
      </c>
      <c r="G240" s="98">
        <v>17043.30078125</v>
      </c>
      <c r="H240" s="100">
        <f t="shared" si="7"/>
        <v>-6.470680525861203E-3</v>
      </c>
    </row>
    <row r="241" spans="2:8" x14ac:dyDescent="0.3">
      <c r="B241" s="103">
        <v>45000</v>
      </c>
      <c r="C241" s="105">
        <v>1419.650024414062</v>
      </c>
      <c r="D241" s="106">
        <f t="shared" si="6"/>
        <v>-2.4646168023799631E-4</v>
      </c>
      <c r="F241" s="97">
        <v>45000</v>
      </c>
      <c r="G241" s="98">
        <v>16972.150390625</v>
      </c>
      <c r="H241" s="99">
        <f t="shared" si="7"/>
        <v>-4.1746837386848982E-3</v>
      </c>
    </row>
    <row r="242" spans="2:8" x14ac:dyDescent="0.3">
      <c r="B242" s="103">
        <v>45001</v>
      </c>
      <c r="C242" s="105">
        <v>1404.099975585938</v>
      </c>
      <c r="D242" s="106">
        <f t="shared" si="6"/>
        <v>-1.0953438214141634E-2</v>
      </c>
      <c r="F242" s="97">
        <v>45001</v>
      </c>
      <c r="G242" s="98">
        <v>16985.599609375</v>
      </c>
      <c r="H242" s="100">
        <f t="shared" si="7"/>
        <v>7.9242868113100259E-4</v>
      </c>
    </row>
    <row r="243" spans="2:8" x14ac:dyDescent="0.3">
      <c r="B243" s="103">
        <v>45002</v>
      </c>
      <c r="C243" s="105">
        <v>1420.699951171875</v>
      </c>
      <c r="D243" s="106">
        <f t="shared" si="6"/>
        <v>1.1822502581420381E-2</v>
      </c>
      <c r="F243" s="97">
        <v>45002</v>
      </c>
      <c r="G243" s="98">
        <v>17100.05078125</v>
      </c>
      <c r="H243" s="99">
        <f t="shared" si="7"/>
        <v>6.7381296219787279E-3</v>
      </c>
    </row>
    <row r="244" spans="2:8" x14ac:dyDescent="0.3">
      <c r="B244" s="103">
        <v>45005</v>
      </c>
      <c r="C244" s="105">
        <v>1403.650024414062</v>
      </c>
      <c r="D244" s="106">
        <f t="shared" si="6"/>
        <v>-1.200107506426617E-2</v>
      </c>
      <c r="F244" s="97">
        <v>45005</v>
      </c>
      <c r="G244" s="98">
        <v>16988.400390625</v>
      </c>
      <c r="H244" s="100">
        <f t="shared" si="7"/>
        <v>-6.5292432199922654E-3</v>
      </c>
    </row>
    <row r="245" spans="2:8" x14ac:dyDescent="0.3">
      <c r="B245" s="103">
        <v>45006</v>
      </c>
      <c r="C245" s="105">
        <v>1390.699951171875</v>
      </c>
      <c r="D245" s="106">
        <f t="shared" si="6"/>
        <v>-9.2259986584568385E-3</v>
      </c>
      <c r="F245" s="97">
        <v>45006</v>
      </c>
      <c r="G245" s="98">
        <v>17107.5</v>
      </c>
      <c r="H245" s="99">
        <f t="shared" si="7"/>
        <v>7.0106429467441077E-3</v>
      </c>
    </row>
    <row r="246" spans="2:8" x14ac:dyDescent="0.3">
      <c r="B246" s="103">
        <v>45007</v>
      </c>
      <c r="C246" s="105">
        <v>1389.25</v>
      </c>
      <c r="D246" s="106">
        <f t="shared" si="6"/>
        <v>-1.0426053230628194E-3</v>
      </c>
      <c r="F246" s="97">
        <v>45007</v>
      </c>
      <c r="G246" s="98">
        <v>17151.900390625</v>
      </c>
      <c r="H246" s="100">
        <f t="shared" si="7"/>
        <v>2.5953757489405233E-3</v>
      </c>
    </row>
    <row r="247" spans="2:8" x14ac:dyDescent="0.3">
      <c r="B247" s="103">
        <v>45008</v>
      </c>
      <c r="C247" s="105">
        <v>1374.550048828125</v>
      </c>
      <c r="D247" s="106">
        <f t="shared" si="6"/>
        <v>-1.0581213728180673E-2</v>
      </c>
      <c r="F247" s="97">
        <v>45008</v>
      </c>
      <c r="G247" s="98">
        <v>17076.900390625</v>
      </c>
      <c r="H247" s="99">
        <f t="shared" si="7"/>
        <v>-4.3726933046436068E-3</v>
      </c>
    </row>
    <row r="248" spans="2:8" x14ac:dyDescent="0.3">
      <c r="B248" s="103">
        <v>45009</v>
      </c>
      <c r="C248" s="105">
        <v>1380.650024414062</v>
      </c>
      <c r="D248" s="106">
        <f t="shared" si="6"/>
        <v>4.4377980933743297E-3</v>
      </c>
      <c r="F248" s="97">
        <v>45009</v>
      </c>
      <c r="G248" s="98">
        <v>16945.05078125</v>
      </c>
      <c r="H248" s="100">
        <f t="shared" si="7"/>
        <v>-7.7209333285906939E-3</v>
      </c>
    </row>
    <row r="249" spans="2:8" x14ac:dyDescent="0.3">
      <c r="B249" s="103">
        <v>45012</v>
      </c>
      <c r="C249" s="105">
        <v>1388.949951171875</v>
      </c>
      <c r="D249" s="106">
        <f t="shared" si="6"/>
        <v>6.011608018719577E-3</v>
      </c>
      <c r="F249" s="97">
        <v>45012</v>
      </c>
      <c r="G249" s="98">
        <v>16985.69921875</v>
      </c>
      <c r="H249" s="99">
        <f t="shared" si="7"/>
        <v>2.3988383407489234E-3</v>
      </c>
    </row>
    <row r="250" spans="2:8" x14ac:dyDescent="0.3">
      <c r="B250" s="103">
        <v>45013</v>
      </c>
      <c r="C250" s="105">
        <v>1377.599975585938</v>
      </c>
      <c r="D250" s="106">
        <f t="shared" si="6"/>
        <v>-8.1716231577393592E-3</v>
      </c>
      <c r="F250" s="97">
        <v>45013</v>
      </c>
      <c r="G250" s="98">
        <v>16951.69921875</v>
      </c>
      <c r="H250" s="100">
        <f t="shared" si="7"/>
        <v>-2.0016838613548761E-3</v>
      </c>
    </row>
    <row r="251" spans="2:8" x14ac:dyDescent="0.3">
      <c r="B251" s="103">
        <v>45014</v>
      </c>
      <c r="C251" s="105">
        <v>1383.550048828125</v>
      </c>
      <c r="D251" s="106">
        <f t="shared" si="6"/>
        <v>4.3191589341138644E-3</v>
      </c>
      <c r="F251" s="97">
        <v>45014</v>
      </c>
      <c r="G251" s="98">
        <v>17080.69921875</v>
      </c>
      <c r="H251" s="99">
        <f t="shared" si="7"/>
        <v>7.6098565893214518E-3</v>
      </c>
    </row>
    <row r="252" spans="2:8" x14ac:dyDescent="0.3">
      <c r="B252" s="103">
        <v>45016</v>
      </c>
      <c r="C252" s="105">
        <v>1427.949951171875</v>
      </c>
      <c r="D252" s="106">
        <f t="shared" si="6"/>
        <v>3.2091287468318894E-2</v>
      </c>
      <c r="F252" s="97">
        <v>45016</v>
      </c>
      <c r="G252" s="98">
        <v>17359.75</v>
      </c>
      <c r="H252" s="100">
        <f t="shared" si="7"/>
        <v>1.6337198944623856E-2</v>
      </c>
    </row>
    <row r="253" spans="2:8" x14ac:dyDescent="0.3">
      <c r="B253" s="103">
        <v>45019</v>
      </c>
      <c r="C253" s="105">
        <v>1410.849975585938</v>
      </c>
      <c r="D253" s="106">
        <f t="shared" si="6"/>
        <v>-1.1975192528214043E-2</v>
      </c>
      <c r="F253" s="97">
        <v>45019</v>
      </c>
      <c r="G253" s="98">
        <v>17398.05078125</v>
      </c>
      <c r="H253" s="99">
        <f t="shared" si="7"/>
        <v>2.2062979737611428E-3</v>
      </c>
    </row>
    <row r="254" spans="2:8" x14ac:dyDescent="0.3">
      <c r="B254" s="103">
        <v>45021</v>
      </c>
      <c r="C254" s="105">
        <v>1423.550048828125</v>
      </c>
      <c r="D254" s="106">
        <f t="shared" si="6"/>
        <v>9.0017177318322573E-3</v>
      </c>
      <c r="F254" s="97">
        <v>45021</v>
      </c>
      <c r="G254" s="98">
        <v>17557.05078125</v>
      </c>
      <c r="H254" s="100">
        <f t="shared" si="7"/>
        <v>9.1389548173612303E-3</v>
      </c>
    </row>
    <row r="255" spans="2:8" x14ac:dyDescent="0.3">
      <c r="B255" s="103">
        <v>45022</v>
      </c>
      <c r="C255" s="105">
        <v>1421.900024414062</v>
      </c>
      <c r="D255" s="106">
        <f t="shared" si="6"/>
        <v>-1.1590912559915015E-3</v>
      </c>
      <c r="F255" s="97">
        <v>45022</v>
      </c>
      <c r="G255" s="98">
        <v>17599.150390625</v>
      </c>
      <c r="H255" s="99">
        <f t="shared" si="7"/>
        <v>2.3978747854372074E-3</v>
      </c>
    </row>
    <row r="256" spans="2:8" x14ac:dyDescent="0.3">
      <c r="B256" s="103">
        <v>45026</v>
      </c>
      <c r="C256" s="105">
        <v>1427.599975585938</v>
      </c>
      <c r="D256" s="106">
        <f t="shared" si="6"/>
        <v>4.0086863169052625E-3</v>
      </c>
      <c r="F256" s="97">
        <v>45026</v>
      </c>
      <c r="G256" s="98">
        <v>17624.05078125</v>
      </c>
      <c r="H256" s="100">
        <f t="shared" si="7"/>
        <v>1.4148632219350965E-3</v>
      </c>
    </row>
    <row r="257" spans="2:8" x14ac:dyDescent="0.3">
      <c r="B257" s="103">
        <v>45027</v>
      </c>
      <c r="C257" s="105">
        <v>1406.150024414062</v>
      </c>
      <c r="D257" s="106">
        <f t="shared" si="6"/>
        <v>-1.5025183201668299E-2</v>
      </c>
      <c r="F257" s="97">
        <v>45027</v>
      </c>
      <c r="G257" s="98">
        <v>17722.30078125</v>
      </c>
      <c r="H257" s="99">
        <f t="shared" si="7"/>
        <v>5.574768321964148E-3</v>
      </c>
    </row>
    <row r="258" spans="2:8" x14ac:dyDescent="0.3">
      <c r="B258" s="103">
        <v>45028</v>
      </c>
      <c r="C258" s="105">
        <v>1428.300048828125</v>
      </c>
      <c r="D258" s="106">
        <f t="shared" si="6"/>
        <v>1.5752248358629296E-2</v>
      </c>
      <c r="F258" s="97">
        <v>45028</v>
      </c>
      <c r="G258" s="98">
        <v>17812.400390625</v>
      </c>
      <c r="H258" s="100">
        <f t="shared" si="7"/>
        <v>5.0839679614468796E-3</v>
      </c>
    </row>
    <row r="259" spans="2:8" x14ac:dyDescent="0.3">
      <c r="B259" s="103">
        <v>45029</v>
      </c>
      <c r="C259" s="105">
        <v>1389.199951171875</v>
      </c>
      <c r="D259" s="106">
        <f t="shared" si="6"/>
        <v>-2.7375268724754574E-2</v>
      </c>
      <c r="F259" s="97">
        <v>45029</v>
      </c>
      <c r="G259" s="98">
        <v>17828</v>
      </c>
      <c r="H259" s="99">
        <f t="shared" si="7"/>
        <v>8.7577244127132723E-4</v>
      </c>
    </row>
    <row r="260" spans="2:8" x14ac:dyDescent="0.3">
      <c r="B260" s="103">
        <v>45033</v>
      </c>
      <c r="C260" s="105">
        <v>1258.300048828125</v>
      </c>
      <c r="D260" s="106">
        <f t="shared" si="6"/>
        <v>-9.4226826191095056E-2</v>
      </c>
      <c r="F260" s="97">
        <v>45033</v>
      </c>
      <c r="G260" s="98">
        <v>17706.849609375</v>
      </c>
      <c r="H260" s="100">
        <f t="shared" si="7"/>
        <v>-6.7955121508301549E-3</v>
      </c>
    </row>
    <row r="261" spans="2:8" x14ac:dyDescent="0.3">
      <c r="B261" s="103">
        <v>45034</v>
      </c>
      <c r="C261" s="105">
        <v>1259.349975585938</v>
      </c>
      <c r="D261" s="106">
        <f t="shared" ref="D261:D324" si="8">(C261-C260)/C260</f>
        <v>8.3440095133968119E-4</v>
      </c>
      <c r="F261" s="97">
        <v>45034</v>
      </c>
      <c r="G261" s="98">
        <v>17660.150390625</v>
      </c>
      <c r="H261" s="99">
        <f t="shared" ref="H261:H324" si="9">(G261-G260)/G260</f>
        <v>-2.6373533282439362E-3</v>
      </c>
    </row>
    <row r="262" spans="2:8" x14ac:dyDescent="0.3">
      <c r="B262" s="103">
        <v>45035</v>
      </c>
      <c r="C262" s="105">
        <v>1232.199951171875</v>
      </c>
      <c r="D262" s="106">
        <f t="shared" si="8"/>
        <v>-2.1558760424345787E-2</v>
      </c>
      <c r="F262" s="97">
        <v>45035</v>
      </c>
      <c r="G262" s="98">
        <v>17618.75</v>
      </c>
      <c r="H262" s="100">
        <f t="shared" si="9"/>
        <v>-2.3442830162407708E-3</v>
      </c>
    </row>
    <row r="263" spans="2:8" x14ac:dyDescent="0.3">
      <c r="B263" s="103">
        <v>45036</v>
      </c>
      <c r="C263" s="105">
        <v>1223.400024414062</v>
      </c>
      <c r="D263" s="106">
        <f t="shared" si="8"/>
        <v>-7.1416386191574237E-3</v>
      </c>
      <c r="F263" s="97">
        <v>45036</v>
      </c>
      <c r="G263" s="98">
        <v>17624.44921875</v>
      </c>
      <c r="H263" s="99">
        <f t="shared" si="9"/>
        <v>3.2347463639588507E-4</v>
      </c>
    </row>
    <row r="264" spans="2:8" x14ac:dyDescent="0.3">
      <c r="B264" s="103">
        <v>45037</v>
      </c>
      <c r="C264" s="105">
        <v>1227.349975585938</v>
      </c>
      <c r="D264" s="106">
        <f t="shared" si="8"/>
        <v>3.2286669062048679E-3</v>
      </c>
      <c r="F264" s="97">
        <v>45037</v>
      </c>
      <c r="G264" s="98">
        <v>17624.05078125</v>
      </c>
      <c r="H264" s="100">
        <f t="shared" si="9"/>
        <v>-2.2607089450268724E-5</v>
      </c>
    </row>
    <row r="265" spans="2:8" x14ac:dyDescent="0.3">
      <c r="B265" s="103">
        <v>45040</v>
      </c>
      <c r="C265" s="105">
        <v>1226.300048828125</v>
      </c>
      <c r="D265" s="106">
        <f t="shared" si="8"/>
        <v>-8.5544203258872337E-4</v>
      </c>
      <c r="F265" s="97">
        <v>45040</v>
      </c>
      <c r="G265" s="98">
        <v>17743.400390625</v>
      </c>
      <c r="H265" s="99">
        <f t="shared" si="9"/>
        <v>6.7719737565653465E-3</v>
      </c>
    </row>
    <row r="266" spans="2:8" x14ac:dyDescent="0.3">
      <c r="B266" s="103">
        <v>45041</v>
      </c>
      <c r="C266" s="105">
        <v>1224.900024414062</v>
      </c>
      <c r="D266" s="106">
        <f t="shared" si="8"/>
        <v>-1.1416654638486267E-3</v>
      </c>
      <c r="F266" s="97">
        <v>45041</v>
      </c>
      <c r="G266" s="98">
        <v>17769.25</v>
      </c>
      <c r="H266" s="100">
        <f t="shared" si="9"/>
        <v>1.4568576938982925E-3</v>
      </c>
    </row>
    <row r="267" spans="2:8" x14ac:dyDescent="0.3">
      <c r="B267" s="103">
        <v>45042</v>
      </c>
      <c r="C267" s="105">
        <v>1227.550048828125</v>
      </c>
      <c r="D267" s="106">
        <f t="shared" si="8"/>
        <v>2.1634618019789895E-3</v>
      </c>
      <c r="F267" s="97">
        <v>45042</v>
      </c>
      <c r="G267" s="98">
        <v>17813.599609375</v>
      </c>
      <c r="H267" s="99">
        <f t="shared" si="9"/>
        <v>2.495862761512163E-3</v>
      </c>
    </row>
    <row r="268" spans="2:8" x14ac:dyDescent="0.3">
      <c r="B268" s="103">
        <v>45043</v>
      </c>
      <c r="C268" s="105">
        <v>1246.25</v>
      </c>
      <c r="D268" s="106">
        <f t="shared" si="8"/>
        <v>1.5233554990060749E-2</v>
      </c>
      <c r="F268" s="97">
        <v>45043</v>
      </c>
      <c r="G268" s="98">
        <v>17915.05078125</v>
      </c>
      <c r="H268" s="100">
        <f t="shared" si="9"/>
        <v>5.6951528101938445E-3</v>
      </c>
    </row>
    <row r="269" spans="2:8" x14ac:dyDescent="0.3">
      <c r="B269" s="103">
        <v>45044</v>
      </c>
      <c r="C269" s="105">
        <v>1252.75</v>
      </c>
      <c r="D269" s="106">
        <f t="shared" si="8"/>
        <v>5.2156469408224677E-3</v>
      </c>
      <c r="F269" s="97">
        <v>45044</v>
      </c>
      <c r="G269" s="98">
        <v>18065</v>
      </c>
      <c r="H269" s="99">
        <f t="shared" si="9"/>
        <v>8.3700136036978338E-3</v>
      </c>
    </row>
    <row r="270" spans="2:8" x14ac:dyDescent="0.3">
      <c r="B270" s="103">
        <v>45048</v>
      </c>
      <c r="C270" s="105">
        <v>1277.449951171875</v>
      </c>
      <c r="D270" s="106">
        <f t="shared" si="8"/>
        <v>1.9716584451706248E-2</v>
      </c>
      <c r="F270" s="97">
        <v>45048</v>
      </c>
      <c r="G270" s="98">
        <v>18147.650390625</v>
      </c>
      <c r="H270" s="100">
        <f t="shared" si="9"/>
        <v>4.5751669319125379E-3</v>
      </c>
    </row>
    <row r="271" spans="2:8" x14ac:dyDescent="0.3">
      <c r="B271" s="103">
        <v>45049</v>
      </c>
      <c r="C271" s="105">
        <v>1269.150024414062</v>
      </c>
      <c r="D271" s="106">
        <f t="shared" si="8"/>
        <v>-6.4972617911167293E-3</v>
      </c>
      <c r="F271" s="97">
        <v>45049</v>
      </c>
      <c r="G271" s="98">
        <v>18089.849609375</v>
      </c>
      <c r="H271" s="99">
        <f t="shared" si="9"/>
        <v>-3.18502836487635E-3</v>
      </c>
    </row>
    <row r="272" spans="2:8" x14ac:dyDescent="0.3">
      <c r="B272" s="103">
        <v>45050</v>
      </c>
      <c r="C272" s="105">
        <v>1273.550048828125</v>
      </c>
      <c r="D272" s="106">
        <f t="shared" si="8"/>
        <v>3.4669064566219009E-3</v>
      </c>
      <c r="F272" s="97">
        <v>45050</v>
      </c>
      <c r="G272" s="98">
        <v>18255.80078125</v>
      </c>
      <c r="H272" s="100">
        <f t="shared" si="9"/>
        <v>9.173717607303733E-3</v>
      </c>
    </row>
    <row r="273" spans="2:8" x14ac:dyDescent="0.3">
      <c r="B273" s="103">
        <v>45051</v>
      </c>
      <c r="C273" s="105">
        <v>1259.099975585938</v>
      </c>
      <c r="D273" s="106">
        <f t="shared" si="8"/>
        <v>-1.1346293972100652E-2</v>
      </c>
      <c r="F273" s="97">
        <v>45051</v>
      </c>
      <c r="G273" s="98">
        <v>18069</v>
      </c>
      <c r="H273" s="99">
        <f t="shared" si="9"/>
        <v>-1.0232406865540384E-2</v>
      </c>
    </row>
    <row r="274" spans="2:8" x14ac:dyDescent="0.3">
      <c r="B274" s="103">
        <v>45054</v>
      </c>
      <c r="C274" s="105">
        <v>1265.599975585938</v>
      </c>
      <c r="D274" s="106">
        <f t="shared" si="8"/>
        <v>5.1624176999726674E-3</v>
      </c>
      <c r="F274" s="97">
        <v>45054</v>
      </c>
      <c r="G274" s="98">
        <v>18264.400390625</v>
      </c>
      <c r="H274" s="100">
        <f t="shared" si="9"/>
        <v>1.0814123118324201E-2</v>
      </c>
    </row>
    <row r="275" spans="2:8" x14ac:dyDescent="0.3">
      <c r="B275" s="103">
        <v>45055</v>
      </c>
      <c r="C275" s="105">
        <v>1270.699951171875</v>
      </c>
      <c r="D275" s="106">
        <f t="shared" si="8"/>
        <v>4.0296900160541622E-3</v>
      </c>
      <c r="F275" s="97">
        <v>45055</v>
      </c>
      <c r="G275" s="98">
        <v>18265.94921875</v>
      </c>
      <c r="H275" s="99">
        <f t="shared" si="9"/>
        <v>8.4800381719347525E-5</v>
      </c>
    </row>
    <row r="276" spans="2:8" x14ac:dyDescent="0.3">
      <c r="B276" s="103">
        <v>45056</v>
      </c>
      <c r="C276" s="105">
        <v>1263.25</v>
      </c>
      <c r="D276" s="106">
        <f t="shared" si="8"/>
        <v>-5.8628720060974636E-3</v>
      </c>
      <c r="F276" s="97">
        <v>45056</v>
      </c>
      <c r="G276" s="98">
        <v>18315.099609375</v>
      </c>
      <c r="H276" s="100">
        <f t="shared" si="9"/>
        <v>2.6908205008337105E-3</v>
      </c>
    </row>
    <row r="277" spans="2:8" x14ac:dyDescent="0.3">
      <c r="B277" s="103">
        <v>45057</v>
      </c>
      <c r="C277" s="105">
        <v>1256.099975585938</v>
      </c>
      <c r="D277" s="106">
        <f t="shared" si="8"/>
        <v>-5.6600232844346288E-3</v>
      </c>
      <c r="F277" s="97">
        <v>45057</v>
      </c>
      <c r="G277" s="98">
        <v>18297</v>
      </c>
      <c r="H277" s="99">
        <f t="shared" si="9"/>
        <v>-9.8823428542727139E-4</v>
      </c>
    </row>
    <row r="278" spans="2:8" x14ac:dyDescent="0.3">
      <c r="B278" s="103">
        <v>45058</v>
      </c>
      <c r="C278" s="105">
        <v>1245.199951171875</v>
      </c>
      <c r="D278" s="106">
        <f t="shared" si="8"/>
        <v>-8.6776726581643121E-3</v>
      </c>
      <c r="F278" s="97">
        <v>45058</v>
      </c>
      <c r="G278" s="98">
        <v>18314.80078125</v>
      </c>
      <c r="H278" s="100">
        <f t="shared" si="9"/>
        <v>9.7287977537301195E-4</v>
      </c>
    </row>
    <row r="279" spans="2:8" x14ac:dyDescent="0.3">
      <c r="B279" s="103">
        <v>45061</v>
      </c>
      <c r="C279" s="105">
        <v>1258.349975585938</v>
      </c>
      <c r="D279" s="106">
        <f t="shared" si="8"/>
        <v>1.0560572542335295E-2</v>
      </c>
      <c r="F279" s="97">
        <v>45061</v>
      </c>
      <c r="G279" s="98">
        <v>18398.849609375</v>
      </c>
      <c r="H279" s="99">
        <f t="shared" si="9"/>
        <v>4.589120522186952E-3</v>
      </c>
    </row>
    <row r="280" spans="2:8" x14ac:dyDescent="0.3">
      <c r="B280" s="103">
        <v>45062</v>
      </c>
      <c r="C280" s="105">
        <v>1264.300048828125</v>
      </c>
      <c r="D280" s="106">
        <f t="shared" si="8"/>
        <v>4.7284724898702789E-3</v>
      </c>
      <c r="F280" s="97">
        <v>45062</v>
      </c>
      <c r="G280" s="98">
        <v>18286.5</v>
      </c>
      <c r="H280" s="100">
        <f t="shared" si="9"/>
        <v>-6.1063388070606911E-3</v>
      </c>
    </row>
    <row r="281" spans="2:8" x14ac:dyDescent="0.3">
      <c r="B281" s="103">
        <v>45063</v>
      </c>
      <c r="C281" s="105">
        <v>1246.900024414062</v>
      </c>
      <c r="D281" s="106">
        <f t="shared" si="8"/>
        <v>-1.3762575134115492E-2</v>
      </c>
      <c r="F281" s="97">
        <v>45063</v>
      </c>
      <c r="G281" s="98">
        <v>18181.75</v>
      </c>
      <c r="H281" s="99">
        <f t="shared" si="9"/>
        <v>-5.7282694884204198E-3</v>
      </c>
    </row>
    <row r="282" spans="2:8" x14ac:dyDescent="0.3">
      <c r="B282" s="103">
        <v>45064</v>
      </c>
      <c r="C282" s="105">
        <v>1246</v>
      </c>
      <c r="D282" s="106">
        <f t="shared" si="8"/>
        <v>-7.2180960497212352E-4</v>
      </c>
      <c r="F282" s="97">
        <v>45064</v>
      </c>
      <c r="G282" s="98">
        <v>18129.94921875</v>
      </c>
      <c r="H282" s="100">
        <f t="shared" si="9"/>
        <v>-2.8490536527011976E-3</v>
      </c>
    </row>
    <row r="283" spans="2:8" x14ac:dyDescent="0.3">
      <c r="B283" s="103">
        <v>45065</v>
      </c>
      <c r="C283" s="105">
        <v>1268.900024414062</v>
      </c>
      <c r="D283" s="106">
        <f t="shared" si="8"/>
        <v>1.8378831792987195E-2</v>
      </c>
      <c r="F283" s="97">
        <v>45065</v>
      </c>
      <c r="G283" s="98">
        <v>18203.400390625</v>
      </c>
      <c r="H283" s="99">
        <f t="shared" si="9"/>
        <v>4.051372179191587E-3</v>
      </c>
    </row>
    <row r="284" spans="2:8" x14ac:dyDescent="0.3">
      <c r="B284" s="103">
        <v>45068</v>
      </c>
      <c r="C284" s="105">
        <v>1292.800048828125</v>
      </c>
      <c r="D284" s="106">
        <f t="shared" si="8"/>
        <v>1.8835230478539262E-2</v>
      </c>
      <c r="F284" s="97">
        <v>45068</v>
      </c>
      <c r="G284" s="98">
        <v>18314.400390625</v>
      </c>
      <c r="H284" s="100">
        <f t="shared" si="9"/>
        <v>6.0977618257062847E-3</v>
      </c>
    </row>
    <row r="285" spans="2:8" x14ac:dyDescent="0.3">
      <c r="B285" s="103">
        <v>45069</v>
      </c>
      <c r="C285" s="105">
        <v>1300.050048828125</v>
      </c>
      <c r="D285" s="106">
        <f t="shared" si="8"/>
        <v>5.6079824614578676E-3</v>
      </c>
      <c r="F285" s="97">
        <v>45069</v>
      </c>
      <c r="G285" s="98">
        <v>18348</v>
      </c>
      <c r="H285" s="99">
        <f t="shared" si="9"/>
        <v>1.8346005688616145E-3</v>
      </c>
    </row>
    <row r="286" spans="2:8" x14ac:dyDescent="0.3">
      <c r="B286" s="103">
        <v>45070</v>
      </c>
      <c r="C286" s="105">
        <v>1298.650024414062</v>
      </c>
      <c r="D286" s="106">
        <f t="shared" si="8"/>
        <v>-1.0769003972769722E-3</v>
      </c>
      <c r="F286" s="97">
        <v>45070</v>
      </c>
      <c r="G286" s="98">
        <v>18285.400390625</v>
      </c>
      <c r="H286" s="100">
        <f t="shared" si="9"/>
        <v>-3.4117947119577064E-3</v>
      </c>
    </row>
    <row r="287" spans="2:8" x14ac:dyDescent="0.3">
      <c r="B287" s="103">
        <v>45071</v>
      </c>
      <c r="C287" s="105">
        <v>1304.349975585938</v>
      </c>
      <c r="D287" s="106">
        <f t="shared" si="8"/>
        <v>4.389135690693627E-3</v>
      </c>
      <c r="F287" s="97">
        <v>45071</v>
      </c>
      <c r="G287" s="98">
        <v>18321.150390625</v>
      </c>
      <c r="H287" s="99">
        <f t="shared" si="9"/>
        <v>1.955111686716424E-3</v>
      </c>
    </row>
    <row r="288" spans="2:8" x14ac:dyDescent="0.3">
      <c r="B288" s="103">
        <v>45072</v>
      </c>
      <c r="C288" s="105">
        <v>1317.449951171875</v>
      </c>
      <c r="D288" s="106">
        <f t="shared" si="8"/>
        <v>1.0043298065039865E-2</v>
      </c>
      <c r="F288" s="97">
        <v>45072</v>
      </c>
      <c r="G288" s="98">
        <v>18499.349609375</v>
      </c>
      <c r="H288" s="100">
        <f t="shared" si="9"/>
        <v>9.7264208278747162E-3</v>
      </c>
    </row>
    <row r="289" spans="2:8" x14ac:dyDescent="0.3">
      <c r="B289" s="103">
        <v>45075</v>
      </c>
      <c r="C289" s="105">
        <v>1314.400024414062</v>
      </c>
      <c r="D289" s="106">
        <f t="shared" si="8"/>
        <v>-2.3150228629937992E-3</v>
      </c>
      <c r="F289" s="97">
        <v>45075</v>
      </c>
      <c r="G289" s="98">
        <v>18598.650390625</v>
      </c>
      <c r="H289" s="99">
        <f t="shared" si="9"/>
        <v>5.3677985089636282E-3</v>
      </c>
    </row>
    <row r="290" spans="2:8" x14ac:dyDescent="0.3">
      <c r="B290" s="103">
        <v>45076</v>
      </c>
      <c r="C290" s="105">
        <v>1323.849975585938</v>
      </c>
      <c r="D290" s="106">
        <f t="shared" si="8"/>
        <v>7.1895549272289021E-3</v>
      </c>
      <c r="F290" s="97">
        <v>45076</v>
      </c>
      <c r="G290" s="98">
        <v>18633.849609375</v>
      </c>
      <c r="H290" s="100">
        <f t="shared" si="9"/>
        <v>1.892568439683281E-3</v>
      </c>
    </row>
    <row r="291" spans="2:8" x14ac:dyDescent="0.3">
      <c r="B291" s="103">
        <v>45077</v>
      </c>
      <c r="C291" s="105">
        <v>1318.300048828125</v>
      </c>
      <c r="D291" s="106">
        <f t="shared" si="8"/>
        <v>-4.192262612956992E-3</v>
      </c>
      <c r="F291" s="97">
        <v>45077</v>
      </c>
      <c r="G291" s="98">
        <v>18534.400390625</v>
      </c>
      <c r="H291" s="99">
        <f t="shared" si="9"/>
        <v>-5.33701950132545E-3</v>
      </c>
    </row>
    <row r="292" spans="2:8" x14ac:dyDescent="0.3">
      <c r="B292" s="103">
        <v>45078</v>
      </c>
      <c r="C292" s="105">
        <v>1319.5</v>
      </c>
      <c r="D292" s="106">
        <f t="shared" si="8"/>
        <v>9.1022614536172644E-4</v>
      </c>
      <c r="F292" s="97">
        <v>45078</v>
      </c>
      <c r="G292" s="98">
        <v>18487.75</v>
      </c>
      <c r="H292" s="100">
        <f t="shared" si="9"/>
        <v>-2.5169624936232909E-3</v>
      </c>
    </row>
    <row r="293" spans="2:8" x14ac:dyDescent="0.3">
      <c r="B293" s="103">
        <v>45079</v>
      </c>
      <c r="C293" s="105">
        <v>1299</v>
      </c>
      <c r="D293" s="106">
        <f t="shared" si="8"/>
        <v>-1.5536187949981054E-2</v>
      </c>
      <c r="F293" s="97">
        <v>45079</v>
      </c>
      <c r="G293" s="98">
        <v>18534.099609375</v>
      </c>
      <c r="H293" s="99">
        <f t="shared" si="9"/>
        <v>2.5070443604548959E-3</v>
      </c>
    </row>
    <row r="294" spans="2:8" x14ac:dyDescent="0.3">
      <c r="B294" s="103">
        <v>45082</v>
      </c>
      <c r="C294" s="105">
        <v>1304.5</v>
      </c>
      <c r="D294" s="106">
        <f t="shared" si="8"/>
        <v>4.2340261739799842E-3</v>
      </c>
      <c r="F294" s="97">
        <v>45082</v>
      </c>
      <c r="G294" s="98">
        <v>18593.849609375</v>
      </c>
      <c r="H294" s="100">
        <f t="shared" si="9"/>
        <v>3.2237875731377309E-3</v>
      </c>
    </row>
    <row r="295" spans="2:8" x14ac:dyDescent="0.3">
      <c r="B295" s="103">
        <v>45083</v>
      </c>
      <c r="C295" s="105">
        <v>1279</v>
      </c>
      <c r="D295" s="106">
        <f t="shared" si="8"/>
        <v>-1.9547719432732848E-2</v>
      </c>
      <c r="F295" s="97">
        <v>45083</v>
      </c>
      <c r="G295" s="98">
        <v>18599</v>
      </c>
      <c r="H295" s="99">
        <f t="shared" si="9"/>
        <v>2.7699431442121478E-4</v>
      </c>
    </row>
    <row r="296" spans="2:8" x14ac:dyDescent="0.3">
      <c r="B296" s="103">
        <v>45084</v>
      </c>
      <c r="C296" s="105">
        <v>1288.949951171875</v>
      </c>
      <c r="D296" s="106">
        <f t="shared" si="8"/>
        <v>7.7794770694878815E-3</v>
      </c>
      <c r="F296" s="97">
        <v>45084</v>
      </c>
      <c r="G296" s="98">
        <v>18726.400390625</v>
      </c>
      <c r="H296" s="100">
        <f t="shared" si="9"/>
        <v>6.8498516385289534E-3</v>
      </c>
    </row>
    <row r="297" spans="2:8" x14ac:dyDescent="0.3">
      <c r="B297" s="103">
        <v>45085</v>
      </c>
      <c r="C297" s="105">
        <v>1282.800048828125</v>
      </c>
      <c r="D297" s="106">
        <f t="shared" si="8"/>
        <v>-4.7712499140549957E-3</v>
      </c>
      <c r="F297" s="97">
        <v>45085</v>
      </c>
      <c r="G297" s="98">
        <v>18634.55078125</v>
      </c>
      <c r="H297" s="99">
        <f t="shared" si="9"/>
        <v>-4.904819263662796E-3</v>
      </c>
    </row>
    <row r="298" spans="2:8" x14ac:dyDescent="0.3">
      <c r="B298" s="103">
        <v>45086</v>
      </c>
      <c r="C298" s="105">
        <v>1265.949951171875</v>
      </c>
      <c r="D298" s="106">
        <f t="shared" si="8"/>
        <v>-1.3135404595317136E-2</v>
      </c>
      <c r="F298" s="97">
        <v>45086</v>
      </c>
      <c r="G298" s="98">
        <v>18563.400390625</v>
      </c>
      <c r="H298" s="100">
        <f t="shared" si="9"/>
        <v>-3.8181972541345725E-3</v>
      </c>
    </row>
    <row r="299" spans="2:8" x14ac:dyDescent="0.3">
      <c r="B299" s="103">
        <v>45089</v>
      </c>
      <c r="C299" s="105">
        <v>1291.949951171875</v>
      </c>
      <c r="D299" s="106">
        <f t="shared" si="8"/>
        <v>2.0537936729593542E-2</v>
      </c>
      <c r="F299" s="97">
        <v>45089</v>
      </c>
      <c r="G299" s="98">
        <v>18601.5</v>
      </c>
      <c r="H299" s="99">
        <f t="shared" si="9"/>
        <v>2.0524046550351462E-3</v>
      </c>
    </row>
    <row r="300" spans="2:8" x14ac:dyDescent="0.3">
      <c r="B300" s="103">
        <v>45090</v>
      </c>
      <c r="C300" s="105">
        <v>1304.849975585938</v>
      </c>
      <c r="D300" s="106">
        <f t="shared" si="8"/>
        <v>9.9849258110671166E-3</v>
      </c>
      <c r="F300" s="97">
        <v>45090</v>
      </c>
      <c r="G300" s="98">
        <v>18716.150390625</v>
      </c>
      <c r="H300" s="100">
        <f t="shared" si="9"/>
        <v>6.1635024393194094E-3</v>
      </c>
    </row>
    <row r="301" spans="2:8" x14ac:dyDescent="0.3">
      <c r="B301" s="103">
        <v>45091</v>
      </c>
      <c r="C301" s="105">
        <v>1300.400024414062</v>
      </c>
      <c r="D301" s="106">
        <f t="shared" si="8"/>
        <v>-3.410316323819277E-3</v>
      </c>
      <c r="F301" s="97">
        <v>45091</v>
      </c>
      <c r="G301" s="98">
        <v>18755.900390625</v>
      </c>
      <c r="H301" s="99">
        <f t="shared" si="9"/>
        <v>2.1238341844010264E-3</v>
      </c>
    </row>
    <row r="302" spans="2:8" x14ac:dyDescent="0.3">
      <c r="B302" s="103">
        <v>45092</v>
      </c>
      <c r="C302" s="105">
        <v>1286.800048828125</v>
      </c>
      <c r="D302" s="106">
        <f t="shared" si="8"/>
        <v>-1.0458301546145358E-2</v>
      </c>
      <c r="F302" s="97">
        <v>45092</v>
      </c>
      <c r="G302" s="98">
        <v>18688.099609375</v>
      </c>
      <c r="H302" s="100">
        <f t="shared" si="9"/>
        <v>-3.6149041015322157E-3</v>
      </c>
    </row>
    <row r="303" spans="2:8" x14ac:dyDescent="0.3">
      <c r="B303" s="103">
        <v>45093</v>
      </c>
      <c r="C303" s="105">
        <v>1291.650024414062</v>
      </c>
      <c r="D303" s="106">
        <f t="shared" si="8"/>
        <v>3.7690203620631395E-3</v>
      </c>
      <c r="F303" s="97">
        <v>45093</v>
      </c>
      <c r="G303" s="98">
        <v>18826</v>
      </c>
      <c r="H303" s="99">
        <f t="shared" si="9"/>
        <v>7.3790483520229863E-3</v>
      </c>
    </row>
    <row r="304" spans="2:8" x14ac:dyDescent="0.3">
      <c r="B304" s="103">
        <v>45096</v>
      </c>
      <c r="C304" s="105">
        <v>1294</v>
      </c>
      <c r="D304" s="106">
        <f t="shared" si="8"/>
        <v>1.8193593787171462E-3</v>
      </c>
      <c r="F304" s="97">
        <v>45096</v>
      </c>
      <c r="G304" s="98">
        <v>18755.44921875</v>
      </c>
      <c r="H304" s="100">
        <f t="shared" si="9"/>
        <v>-3.7475183921172844E-3</v>
      </c>
    </row>
    <row r="305" spans="2:8" x14ac:dyDescent="0.3">
      <c r="B305" s="103">
        <v>45097</v>
      </c>
      <c r="C305" s="105">
        <v>1303.400024414062</v>
      </c>
      <c r="D305" s="106">
        <f t="shared" si="8"/>
        <v>7.2643156213771602E-3</v>
      </c>
      <c r="F305" s="97">
        <v>45097</v>
      </c>
      <c r="G305" s="98">
        <v>18816.69921875</v>
      </c>
      <c r="H305" s="99">
        <f t="shared" si="9"/>
        <v>3.2657175674986124E-3</v>
      </c>
    </row>
    <row r="306" spans="2:8" x14ac:dyDescent="0.3">
      <c r="B306" s="103">
        <v>45098</v>
      </c>
      <c r="C306" s="105">
        <v>1299.349975585938</v>
      </c>
      <c r="D306" s="106">
        <f t="shared" si="8"/>
        <v>-3.1072953446849693E-3</v>
      </c>
      <c r="F306" s="97">
        <v>45098</v>
      </c>
      <c r="G306" s="98">
        <v>18856.849609375</v>
      </c>
      <c r="H306" s="100">
        <f t="shared" si="9"/>
        <v>2.133763746671995E-3</v>
      </c>
    </row>
    <row r="307" spans="2:8" x14ac:dyDescent="0.3">
      <c r="B307" s="103">
        <v>45099</v>
      </c>
      <c r="C307" s="105">
        <v>1281.550048828125</v>
      </c>
      <c r="D307" s="106">
        <f t="shared" si="8"/>
        <v>-1.3699101160013591E-2</v>
      </c>
      <c r="F307" s="97">
        <v>45099</v>
      </c>
      <c r="G307" s="98">
        <v>18771.25</v>
      </c>
      <c r="H307" s="99">
        <f t="shared" si="9"/>
        <v>-4.5394438174042985E-3</v>
      </c>
    </row>
    <row r="308" spans="2:8" x14ac:dyDescent="0.3">
      <c r="B308" s="103">
        <v>45100</v>
      </c>
      <c r="C308" s="105">
        <v>1265</v>
      </c>
      <c r="D308" s="106">
        <f t="shared" si="8"/>
        <v>-1.2914087002110214E-2</v>
      </c>
      <c r="F308" s="97">
        <v>45100</v>
      </c>
      <c r="G308" s="98">
        <v>18665.5</v>
      </c>
      <c r="H308" s="100">
        <f t="shared" si="9"/>
        <v>-5.6336152360657917E-3</v>
      </c>
    </row>
    <row r="309" spans="2:8" x14ac:dyDescent="0.3">
      <c r="B309" s="103">
        <v>45103</v>
      </c>
      <c r="C309" s="105">
        <v>1270.349975585938</v>
      </c>
      <c r="D309" s="106">
        <f t="shared" si="8"/>
        <v>4.2292297122039166E-3</v>
      </c>
      <c r="F309" s="97">
        <v>45103</v>
      </c>
      <c r="G309" s="98">
        <v>18691.19921875</v>
      </c>
      <c r="H309" s="99">
        <f t="shared" si="9"/>
        <v>1.3768299134767352E-3</v>
      </c>
    </row>
    <row r="310" spans="2:8" x14ac:dyDescent="0.3">
      <c r="B310" s="103">
        <v>45104</v>
      </c>
      <c r="C310" s="105">
        <v>1279.150024414062</v>
      </c>
      <c r="D310" s="106">
        <f t="shared" si="8"/>
        <v>6.9272633504520236E-3</v>
      </c>
      <c r="F310" s="97">
        <v>45104</v>
      </c>
      <c r="G310" s="98">
        <v>18817.400390625</v>
      </c>
      <c r="H310" s="100">
        <f t="shared" si="9"/>
        <v>6.7519034171120394E-3</v>
      </c>
    </row>
    <row r="311" spans="2:8" x14ac:dyDescent="0.3">
      <c r="B311" s="103">
        <v>45105</v>
      </c>
      <c r="C311" s="105">
        <v>1293.349975585938</v>
      </c>
      <c r="D311" s="106">
        <f t="shared" si="8"/>
        <v>1.1101083454523214E-2</v>
      </c>
      <c r="F311" s="97">
        <v>45105</v>
      </c>
      <c r="G311" s="98">
        <v>18972.099609375</v>
      </c>
      <c r="H311" s="99">
        <f t="shared" si="9"/>
        <v>8.2210728123249463E-3</v>
      </c>
    </row>
    <row r="312" spans="2:8" x14ac:dyDescent="0.3">
      <c r="B312" s="103">
        <v>45107</v>
      </c>
      <c r="C312" s="105">
        <v>1335.5</v>
      </c>
      <c r="D312" s="106">
        <f t="shared" si="8"/>
        <v>3.2589805705889034E-2</v>
      </c>
      <c r="F312" s="97">
        <v>45107</v>
      </c>
      <c r="G312" s="98">
        <v>19189.05078125</v>
      </c>
      <c r="H312" s="100">
        <f t="shared" si="9"/>
        <v>1.143527476356883E-2</v>
      </c>
    </row>
    <row r="313" spans="2:8" x14ac:dyDescent="0.3">
      <c r="B313" s="103">
        <v>45110</v>
      </c>
      <c r="C313" s="105">
        <v>1333.699951171875</v>
      </c>
      <c r="D313" s="106">
        <f t="shared" si="8"/>
        <v>-1.3478463707412955E-3</v>
      </c>
      <c r="F313" s="97">
        <v>45110</v>
      </c>
      <c r="G313" s="98">
        <v>19322.55078125</v>
      </c>
      <c r="H313" s="99">
        <f t="shared" si="9"/>
        <v>6.9570924336937751E-3</v>
      </c>
    </row>
    <row r="314" spans="2:8" x14ac:dyDescent="0.3">
      <c r="B314" s="103">
        <v>45111</v>
      </c>
      <c r="C314" s="105">
        <v>1345.150024414062</v>
      </c>
      <c r="D314" s="106">
        <f t="shared" si="8"/>
        <v>8.5851943176021486E-3</v>
      </c>
      <c r="F314" s="97">
        <v>45111</v>
      </c>
      <c r="G314" s="98">
        <v>19389</v>
      </c>
      <c r="H314" s="100">
        <f t="shared" si="9"/>
        <v>3.4389465191355714E-3</v>
      </c>
    </row>
    <row r="315" spans="2:8" x14ac:dyDescent="0.3">
      <c r="B315" s="103">
        <v>45112</v>
      </c>
      <c r="C315" s="105">
        <v>1347.300048828125</v>
      </c>
      <c r="D315" s="106">
        <f t="shared" si="8"/>
        <v>1.5983528788913268E-3</v>
      </c>
      <c r="F315" s="97">
        <v>45112</v>
      </c>
      <c r="G315" s="98">
        <v>19398.5</v>
      </c>
      <c r="H315" s="99">
        <f t="shared" si="9"/>
        <v>4.8996853886224153E-4</v>
      </c>
    </row>
    <row r="316" spans="2:8" x14ac:dyDescent="0.3">
      <c r="B316" s="103">
        <v>45113</v>
      </c>
      <c r="C316" s="105">
        <v>1343.900024414062</v>
      </c>
      <c r="D316" s="106">
        <f t="shared" si="8"/>
        <v>-2.5235836790923295E-3</v>
      </c>
      <c r="F316" s="97">
        <v>45113</v>
      </c>
      <c r="G316" s="98">
        <v>19497.30078125</v>
      </c>
      <c r="H316" s="100">
        <f t="shared" si="9"/>
        <v>5.0932175812562824E-3</v>
      </c>
    </row>
    <row r="317" spans="2:8" x14ac:dyDescent="0.3">
      <c r="B317" s="103">
        <v>45114</v>
      </c>
      <c r="C317" s="105">
        <v>1330.199951171875</v>
      </c>
      <c r="D317" s="106">
        <f t="shared" si="8"/>
        <v>-1.019426519332065E-2</v>
      </c>
      <c r="F317" s="97">
        <v>45114</v>
      </c>
      <c r="G317" s="98">
        <v>19331.80078125</v>
      </c>
      <c r="H317" s="99">
        <f t="shared" si="9"/>
        <v>-8.4883544577184066E-3</v>
      </c>
    </row>
    <row r="318" spans="2:8" x14ac:dyDescent="0.3">
      <c r="B318" s="103">
        <v>45117</v>
      </c>
      <c r="C318" s="105">
        <v>1329.150024414062</v>
      </c>
      <c r="D318" s="106">
        <f t="shared" si="8"/>
        <v>-7.8929995215230148E-4</v>
      </c>
      <c r="F318" s="97">
        <v>45117</v>
      </c>
      <c r="G318" s="98">
        <v>19355.900390625</v>
      </c>
      <c r="H318" s="100">
        <f t="shared" si="9"/>
        <v>1.2466303397029789E-3</v>
      </c>
    </row>
    <row r="319" spans="2:8" x14ac:dyDescent="0.3">
      <c r="B319" s="103">
        <v>45118</v>
      </c>
      <c r="C319" s="105">
        <v>1348.599975585938</v>
      </c>
      <c r="D319" s="106">
        <f t="shared" si="8"/>
        <v>1.4633375326047306E-2</v>
      </c>
      <c r="F319" s="97">
        <v>45118</v>
      </c>
      <c r="G319" s="98">
        <v>19439.400390625</v>
      </c>
      <c r="H319" s="99">
        <f t="shared" si="9"/>
        <v>4.3139300324382271E-3</v>
      </c>
    </row>
    <row r="320" spans="2:8" x14ac:dyDescent="0.3">
      <c r="B320" s="103">
        <v>45119</v>
      </c>
      <c r="C320" s="105">
        <v>1333.300048828125</v>
      </c>
      <c r="D320" s="106">
        <f t="shared" si="8"/>
        <v>-1.1345044516381117E-2</v>
      </c>
      <c r="F320" s="97">
        <v>45119</v>
      </c>
      <c r="G320" s="98">
        <v>19384.30078125</v>
      </c>
      <c r="H320" s="100">
        <f t="shared" si="9"/>
        <v>-2.8344294714755078E-3</v>
      </c>
    </row>
    <row r="321" spans="2:8" x14ac:dyDescent="0.3">
      <c r="B321" s="103">
        <v>45120</v>
      </c>
      <c r="C321" s="105">
        <v>1365.099975585938</v>
      </c>
      <c r="D321" s="106">
        <f t="shared" si="8"/>
        <v>2.3850540458438298E-2</v>
      </c>
      <c r="F321" s="97">
        <v>45120</v>
      </c>
      <c r="G321" s="98">
        <v>19413.75</v>
      </c>
      <c r="H321" s="99">
        <f t="shared" si="9"/>
        <v>1.5192303855749891E-3</v>
      </c>
    </row>
    <row r="322" spans="2:8" x14ac:dyDescent="0.3">
      <c r="B322" s="103">
        <v>45121</v>
      </c>
      <c r="C322" s="105">
        <v>1425.949951171875</v>
      </c>
      <c r="D322" s="106">
        <f t="shared" si="8"/>
        <v>4.457547188792424E-2</v>
      </c>
      <c r="F322" s="97">
        <v>45121</v>
      </c>
      <c r="G322" s="98">
        <v>19564.5</v>
      </c>
      <c r="H322" s="100">
        <f t="shared" si="9"/>
        <v>7.7651149314274673E-3</v>
      </c>
    </row>
    <row r="323" spans="2:8" x14ac:dyDescent="0.3">
      <c r="B323" s="103">
        <v>45124</v>
      </c>
      <c r="C323" s="105">
        <v>1422.949951171875</v>
      </c>
      <c r="D323" s="106">
        <f t="shared" si="8"/>
        <v>-2.1038606562134516E-3</v>
      </c>
      <c r="F323" s="97">
        <v>45124</v>
      </c>
      <c r="G323" s="98">
        <v>19711.44921875</v>
      </c>
      <c r="H323" s="99">
        <f t="shared" si="9"/>
        <v>7.5110132510414268E-3</v>
      </c>
    </row>
    <row r="324" spans="2:8" x14ac:dyDescent="0.3">
      <c r="B324" s="103">
        <v>45125</v>
      </c>
      <c r="C324" s="105">
        <v>1475.199951171875</v>
      </c>
      <c r="D324" s="106">
        <f t="shared" si="8"/>
        <v>3.6719492457882544E-2</v>
      </c>
      <c r="F324" s="97">
        <v>45125</v>
      </c>
      <c r="G324" s="98">
        <v>19749.25</v>
      </c>
      <c r="H324" s="100">
        <f t="shared" si="9"/>
        <v>1.917706853032551E-3</v>
      </c>
    </row>
    <row r="325" spans="2:8" x14ac:dyDescent="0.3">
      <c r="B325" s="103">
        <v>45126</v>
      </c>
      <c r="C325" s="105">
        <v>1474.949951171875</v>
      </c>
      <c r="D325" s="106">
        <f t="shared" ref="D325:D388" si="10">(C325-C324)/C324</f>
        <v>-1.694685522470388E-4</v>
      </c>
      <c r="F325" s="97">
        <v>45126</v>
      </c>
      <c r="G325" s="98">
        <v>19833.150390625</v>
      </c>
      <c r="H325" s="99">
        <f t="shared" ref="H325:H388" si="11">(G325-G324)/G324</f>
        <v>4.248282371482461E-3</v>
      </c>
    </row>
    <row r="326" spans="2:8" x14ac:dyDescent="0.3">
      <c r="B326" s="103">
        <v>45127</v>
      </c>
      <c r="C326" s="105">
        <v>1449.5</v>
      </c>
      <c r="D326" s="106">
        <f t="shared" si="10"/>
        <v>-1.7254789663645565E-2</v>
      </c>
      <c r="F326" s="97">
        <v>45127</v>
      </c>
      <c r="G326" s="98">
        <v>19979.150390625</v>
      </c>
      <c r="H326" s="100">
        <f t="shared" si="11"/>
        <v>7.3614124394989332E-3</v>
      </c>
    </row>
    <row r="327" spans="2:8" x14ac:dyDescent="0.3">
      <c r="B327" s="103">
        <v>45128</v>
      </c>
      <c r="C327" s="105">
        <v>1331.599975585938</v>
      </c>
      <c r="D327" s="106">
        <f t="shared" si="10"/>
        <v>-8.1338409392247013E-2</v>
      </c>
      <c r="F327" s="97">
        <v>45128</v>
      </c>
      <c r="G327" s="98">
        <v>19745</v>
      </c>
      <c r="H327" s="99">
        <f t="shared" si="11"/>
        <v>-1.1719737128305142E-2</v>
      </c>
    </row>
    <row r="328" spans="2:8" x14ac:dyDescent="0.3">
      <c r="B328" s="103">
        <v>45131</v>
      </c>
      <c r="C328" s="105">
        <v>1336.599975585938</v>
      </c>
      <c r="D328" s="106">
        <f t="shared" si="10"/>
        <v>3.7548814145929015E-3</v>
      </c>
      <c r="F328" s="97">
        <v>45131</v>
      </c>
      <c r="G328" s="98">
        <v>19672.349609375</v>
      </c>
      <c r="H328" s="100">
        <f t="shared" si="11"/>
        <v>-3.6794322929855658E-3</v>
      </c>
    </row>
    <row r="329" spans="2:8" x14ac:dyDescent="0.3">
      <c r="B329" s="103">
        <v>45132</v>
      </c>
      <c r="C329" s="105">
        <v>1334.599975585938</v>
      </c>
      <c r="D329" s="106">
        <f t="shared" si="10"/>
        <v>-1.4963340090764562E-3</v>
      </c>
      <c r="F329" s="97">
        <v>45132</v>
      </c>
      <c r="G329" s="98">
        <v>19680.599609375</v>
      </c>
      <c r="H329" s="99">
        <f t="shared" si="11"/>
        <v>4.193703428322768E-4</v>
      </c>
    </row>
    <row r="330" spans="2:8" x14ac:dyDescent="0.3">
      <c r="B330" s="103">
        <v>45133</v>
      </c>
      <c r="C330" s="105">
        <v>1348.849975585938</v>
      </c>
      <c r="D330" s="106">
        <f t="shared" si="10"/>
        <v>1.0677356706636932E-2</v>
      </c>
      <c r="F330" s="97">
        <v>45133</v>
      </c>
      <c r="G330" s="98">
        <v>19778.30078125</v>
      </c>
      <c r="H330" s="100">
        <f t="shared" si="11"/>
        <v>4.9643391875346787E-3</v>
      </c>
    </row>
    <row r="331" spans="2:8" x14ac:dyDescent="0.3">
      <c r="B331" s="103">
        <v>45134</v>
      </c>
      <c r="C331" s="105">
        <v>1353.150024414062</v>
      </c>
      <c r="D331" s="106">
        <f t="shared" si="10"/>
        <v>3.1879370619079836E-3</v>
      </c>
      <c r="F331" s="97">
        <v>45134</v>
      </c>
      <c r="G331" s="98">
        <v>19659.900390625</v>
      </c>
      <c r="H331" s="99">
        <f t="shared" si="11"/>
        <v>-5.9863783008722669E-3</v>
      </c>
    </row>
    <row r="332" spans="2:8" x14ac:dyDescent="0.3">
      <c r="B332" s="103">
        <v>45135</v>
      </c>
      <c r="C332" s="105">
        <v>1340.5</v>
      </c>
      <c r="D332" s="106">
        <f t="shared" si="10"/>
        <v>-9.3485749442599533E-3</v>
      </c>
      <c r="F332" s="97">
        <v>45135</v>
      </c>
      <c r="G332" s="98">
        <v>19646.05078125</v>
      </c>
      <c r="H332" s="100">
        <f t="shared" si="11"/>
        <v>-7.0445979378432207E-4</v>
      </c>
    </row>
    <row r="333" spans="2:8" x14ac:dyDescent="0.3">
      <c r="B333" s="103">
        <v>45138</v>
      </c>
      <c r="C333" s="105">
        <v>1355.699951171875</v>
      </c>
      <c r="D333" s="106">
        <f t="shared" si="10"/>
        <v>1.1339016167008579E-2</v>
      </c>
      <c r="F333" s="97">
        <v>45138</v>
      </c>
      <c r="G333" s="98">
        <v>19753.80078125</v>
      </c>
      <c r="H333" s="99">
        <f t="shared" si="11"/>
        <v>5.4845628365592716E-3</v>
      </c>
    </row>
    <row r="334" spans="2:8" x14ac:dyDescent="0.3">
      <c r="B334" s="103">
        <v>45139</v>
      </c>
      <c r="C334" s="105">
        <v>1365.199951171875</v>
      </c>
      <c r="D334" s="106">
        <f t="shared" si="10"/>
        <v>7.0074502782036278E-3</v>
      </c>
      <c r="F334" s="97">
        <v>45139</v>
      </c>
      <c r="G334" s="98">
        <v>19733.55078125</v>
      </c>
      <c r="H334" s="100">
        <f t="shared" si="11"/>
        <v>-1.0251191770254656E-3</v>
      </c>
    </row>
    <row r="335" spans="2:8" x14ac:dyDescent="0.3">
      <c r="B335" s="103">
        <v>45140</v>
      </c>
      <c r="C335" s="105">
        <v>1356.849975585938</v>
      </c>
      <c r="D335" s="106">
        <f t="shared" si="10"/>
        <v>-6.1163022887376342E-3</v>
      </c>
      <c r="F335" s="97">
        <v>45140</v>
      </c>
      <c r="G335" s="98">
        <v>19526.55078125</v>
      </c>
      <c r="H335" s="99">
        <f t="shared" si="11"/>
        <v>-1.0489749274959822E-2</v>
      </c>
    </row>
    <row r="336" spans="2:8" x14ac:dyDescent="0.3">
      <c r="B336" s="103">
        <v>45141</v>
      </c>
      <c r="C336" s="105">
        <v>1364.300048828125</v>
      </c>
      <c r="D336" s="106">
        <f t="shared" si="10"/>
        <v>5.4907125888916559E-3</v>
      </c>
      <c r="F336" s="97">
        <v>45141</v>
      </c>
      <c r="G336" s="98">
        <v>19381.650390625</v>
      </c>
      <c r="H336" s="100">
        <f t="shared" si="11"/>
        <v>-7.4206854169113091E-3</v>
      </c>
    </row>
    <row r="337" spans="2:8" x14ac:dyDescent="0.3">
      <c r="B337" s="103">
        <v>45142</v>
      </c>
      <c r="C337" s="105">
        <v>1378.349975585938</v>
      </c>
      <c r="D337" s="106">
        <f t="shared" si="10"/>
        <v>1.0298267430160423E-2</v>
      </c>
      <c r="F337" s="97">
        <v>45142</v>
      </c>
      <c r="G337" s="98">
        <v>19517</v>
      </c>
      <c r="H337" s="99">
        <f t="shared" si="11"/>
        <v>6.9833892701144417E-3</v>
      </c>
    </row>
    <row r="338" spans="2:8" x14ac:dyDescent="0.3">
      <c r="B338" s="103">
        <v>45145</v>
      </c>
      <c r="C338" s="105">
        <v>1393</v>
      </c>
      <c r="D338" s="106">
        <f t="shared" si="10"/>
        <v>1.0628668098488054E-2</v>
      </c>
      <c r="F338" s="97">
        <v>45145</v>
      </c>
      <c r="G338" s="98">
        <v>19597.30078125</v>
      </c>
      <c r="H338" s="100">
        <f t="shared" si="11"/>
        <v>4.1144018676026028E-3</v>
      </c>
    </row>
    <row r="339" spans="2:8" x14ac:dyDescent="0.3">
      <c r="B339" s="103">
        <v>45146</v>
      </c>
      <c r="C339" s="105">
        <v>1390.199951171875</v>
      </c>
      <c r="D339" s="106">
        <f t="shared" si="10"/>
        <v>-2.0100853037508973E-3</v>
      </c>
      <c r="F339" s="97">
        <v>45146</v>
      </c>
      <c r="G339" s="98">
        <v>19570.849609375</v>
      </c>
      <c r="H339" s="99">
        <f t="shared" si="11"/>
        <v>-1.349735464605796E-3</v>
      </c>
    </row>
    <row r="340" spans="2:8" x14ac:dyDescent="0.3">
      <c r="B340" s="103">
        <v>45147</v>
      </c>
      <c r="C340" s="105">
        <v>1394.400024414062</v>
      </c>
      <c r="D340" s="106">
        <f t="shared" si="10"/>
        <v>3.0212008270080687E-3</v>
      </c>
      <c r="F340" s="97">
        <v>45147</v>
      </c>
      <c r="G340" s="98">
        <v>19632.55078125</v>
      </c>
      <c r="H340" s="100">
        <f t="shared" si="11"/>
        <v>3.1527078847636415E-3</v>
      </c>
    </row>
    <row r="341" spans="2:8" x14ac:dyDescent="0.3">
      <c r="B341" s="103">
        <v>45148</v>
      </c>
      <c r="C341" s="105">
        <v>1389.099975585938</v>
      </c>
      <c r="D341" s="106">
        <f t="shared" si="10"/>
        <v>-3.8009529082956039E-3</v>
      </c>
      <c r="F341" s="97">
        <v>45148</v>
      </c>
      <c r="G341" s="98">
        <v>19543.099609375</v>
      </c>
      <c r="H341" s="99">
        <f t="shared" si="11"/>
        <v>-4.5562684580156563E-3</v>
      </c>
    </row>
    <row r="342" spans="2:8" x14ac:dyDescent="0.3">
      <c r="B342" s="103">
        <v>45149</v>
      </c>
      <c r="C342" s="105">
        <v>1371.849975585938</v>
      </c>
      <c r="D342" s="106">
        <f t="shared" si="10"/>
        <v>-1.2418112665162028E-2</v>
      </c>
      <c r="F342" s="97">
        <v>45149</v>
      </c>
      <c r="G342" s="98">
        <v>19428.30078125</v>
      </c>
      <c r="H342" s="100">
        <f t="shared" si="11"/>
        <v>-5.8741361615907628E-3</v>
      </c>
    </row>
    <row r="343" spans="2:8" x14ac:dyDescent="0.3">
      <c r="B343" s="103">
        <v>45152</v>
      </c>
      <c r="C343" s="105">
        <v>1393.550048828125</v>
      </c>
      <c r="D343" s="106">
        <f t="shared" si="10"/>
        <v>1.5818109580764191E-2</v>
      </c>
      <c r="F343" s="97">
        <v>45152</v>
      </c>
      <c r="G343" s="98">
        <v>19434.55078125</v>
      </c>
      <c r="H343" s="99">
        <f t="shared" si="11"/>
        <v>3.2169565781232879E-4</v>
      </c>
    </row>
    <row r="344" spans="2:8" x14ac:dyDescent="0.3">
      <c r="B344" s="103">
        <v>45154</v>
      </c>
      <c r="C344" s="105">
        <v>1418.5</v>
      </c>
      <c r="D344" s="106">
        <f t="shared" si="10"/>
        <v>1.790387879707378E-2</v>
      </c>
      <c r="F344" s="97">
        <v>45154</v>
      </c>
      <c r="G344" s="98">
        <v>19465</v>
      </c>
      <c r="H344" s="100">
        <f t="shared" si="11"/>
        <v>1.5667570139761961E-3</v>
      </c>
    </row>
    <row r="345" spans="2:8" x14ac:dyDescent="0.3">
      <c r="B345" s="103">
        <v>45155</v>
      </c>
      <c r="C345" s="105">
        <v>1411.550048828125</v>
      </c>
      <c r="D345" s="106">
        <f t="shared" si="10"/>
        <v>-4.8995073471096232E-3</v>
      </c>
      <c r="F345" s="97">
        <v>45155</v>
      </c>
      <c r="G345" s="98">
        <v>19365.25</v>
      </c>
      <c r="H345" s="99">
        <f t="shared" si="11"/>
        <v>-5.124582584125353E-3</v>
      </c>
    </row>
    <row r="346" spans="2:8" x14ac:dyDescent="0.3">
      <c r="B346" s="103">
        <v>45156</v>
      </c>
      <c r="C346" s="105">
        <v>1388.800048828125</v>
      </c>
      <c r="D346" s="106">
        <f t="shared" si="10"/>
        <v>-1.6117033908140309E-2</v>
      </c>
      <c r="F346" s="97">
        <v>45156</v>
      </c>
      <c r="G346" s="98">
        <v>19310.150390625</v>
      </c>
      <c r="H346" s="100">
        <f t="shared" si="11"/>
        <v>-2.8452826260957128E-3</v>
      </c>
    </row>
    <row r="347" spans="2:8" x14ac:dyDescent="0.3">
      <c r="B347" s="103">
        <v>45159</v>
      </c>
      <c r="C347" s="105">
        <v>1405.400024414062</v>
      </c>
      <c r="D347" s="106">
        <f t="shared" si="10"/>
        <v>1.195274697746747E-2</v>
      </c>
      <c r="F347" s="97">
        <v>45159</v>
      </c>
      <c r="G347" s="98">
        <v>19393.599609375</v>
      </c>
      <c r="H347" s="99">
        <f t="shared" si="11"/>
        <v>4.3215209131936255E-3</v>
      </c>
    </row>
    <row r="348" spans="2:8" x14ac:dyDescent="0.3">
      <c r="B348" s="103">
        <v>45160</v>
      </c>
      <c r="C348" s="105">
        <v>1403.75</v>
      </c>
      <c r="D348" s="106">
        <f t="shared" si="10"/>
        <v>-1.1740603283040157E-3</v>
      </c>
      <c r="F348" s="97">
        <v>45160</v>
      </c>
      <c r="G348" s="98">
        <v>19396.44921875</v>
      </c>
      <c r="H348" s="100">
        <f t="shared" si="11"/>
        <v>1.4693555773021523E-4</v>
      </c>
    </row>
    <row r="349" spans="2:8" x14ac:dyDescent="0.3">
      <c r="B349" s="103">
        <v>45161</v>
      </c>
      <c r="C349" s="105">
        <v>1407.949951171875</v>
      </c>
      <c r="D349" s="106">
        <f t="shared" si="10"/>
        <v>2.9919509683882456E-3</v>
      </c>
      <c r="F349" s="97">
        <v>45161</v>
      </c>
      <c r="G349" s="98">
        <v>19444</v>
      </c>
      <c r="H349" s="99">
        <f t="shared" si="11"/>
        <v>2.4515199000461384E-3</v>
      </c>
    </row>
    <row r="350" spans="2:8" x14ac:dyDescent="0.3">
      <c r="B350" s="103">
        <v>45162</v>
      </c>
      <c r="C350" s="105">
        <v>1423.599975585938</v>
      </c>
      <c r="D350" s="106">
        <f t="shared" si="10"/>
        <v>1.1115469268660447E-2</v>
      </c>
      <c r="F350" s="97">
        <v>45162</v>
      </c>
      <c r="G350" s="98">
        <v>19386.69921875</v>
      </c>
      <c r="H350" s="100">
        <f t="shared" si="11"/>
        <v>-2.9469646806212714E-3</v>
      </c>
    </row>
    <row r="351" spans="2:8" x14ac:dyDescent="0.3">
      <c r="B351" s="103">
        <v>45163</v>
      </c>
      <c r="C351" s="105">
        <v>1420.099975585938</v>
      </c>
      <c r="D351" s="106">
        <f t="shared" si="10"/>
        <v>-2.4585558162569078E-3</v>
      </c>
      <c r="F351" s="97">
        <v>45163</v>
      </c>
      <c r="G351" s="98">
        <v>19265.80078125</v>
      </c>
      <c r="H351" s="99">
        <f t="shared" si="11"/>
        <v>-6.2361537740819812E-3</v>
      </c>
    </row>
    <row r="352" spans="2:8" x14ac:dyDescent="0.3">
      <c r="B352" s="103">
        <v>45166</v>
      </c>
      <c r="C352" s="105">
        <v>1415.650024414062</v>
      </c>
      <c r="D352" s="106">
        <f t="shared" si="10"/>
        <v>-3.1335478123924653E-3</v>
      </c>
      <c r="F352" s="97">
        <v>45166</v>
      </c>
      <c r="G352" s="98">
        <v>19306.05078125</v>
      </c>
      <c r="H352" s="100">
        <f t="shared" si="11"/>
        <v>2.089194238900902E-3</v>
      </c>
    </row>
    <row r="353" spans="2:8" x14ac:dyDescent="0.3">
      <c r="B353" s="103">
        <v>45167</v>
      </c>
      <c r="C353" s="105">
        <v>1417.650024414062</v>
      </c>
      <c r="D353" s="106">
        <f t="shared" si="10"/>
        <v>1.4127785579121511E-3</v>
      </c>
      <c r="F353" s="97">
        <v>45167</v>
      </c>
      <c r="G353" s="98">
        <v>19342.650390625</v>
      </c>
      <c r="H353" s="99">
        <f t="shared" si="11"/>
        <v>1.8957584743610782E-3</v>
      </c>
    </row>
    <row r="354" spans="2:8" x14ac:dyDescent="0.3">
      <c r="B354" s="103">
        <v>45168</v>
      </c>
      <c r="C354" s="105">
        <v>1435.150024414062</v>
      </c>
      <c r="D354" s="106">
        <f t="shared" si="10"/>
        <v>1.2344372516928525E-2</v>
      </c>
      <c r="F354" s="97">
        <v>45168</v>
      </c>
      <c r="G354" s="98">
        <v>19347.44921875</v>
      </c>
      <c r="H354" s="100">
        <f t="shared" si="11"/>
        <v>2.4809568637635602E-4</v>
      </c>
    </row>
    <row r="355" spans="2:8" x14ac:dyDescent="0.3">
      <c r="B355" s="103">
        <v>45169</v>
      </c>
      <c r="C355" s="105">
        <v>1435.449951171875</v>
      </c>
      <c r="D355" s="106">
        <f t="shared" si="10"/>
        <v>2.0898634477981338E-4</v>
      </c>
      <c r="F355" s="97">
        <v>45169</v>
      </c>
      <c r="G355" s="98">
        <v>19253.80078125</v>
      </c>
      <c r="H355" s="99">
        <f t="shared" si="11"/>
        <v>-4.8403506033882458E-3</v>
      </c>
    </row>
    <row r="356" spans="2:8" x14ac:dyDescent="0.3">
      <c r="B356" s="103">
        <v>45170</v>
      </c>
      <c r="C356" s="105">
        <v>1443.849975585938</v>
      </c>
      <c r="D356" s="106">
        <f t="shared" si="10"/>
        <v>5.8518406769984066E-3</v>
      </c>
      <c r="F356" s="97">
        <v>45170</v>
      </c>
      <c r="G356" s="98">
        <v>19435.30078125</v>
      </c>
      <c r="H356" s="100">
        <f t="shared" si="11"/>
        <v>9.4267101889176502E-3</v>
      </c>
    </row>
    <row r="357" spans="2:8" x14ac:dyDescent="0.3">
      <c r="B357" s="103">
        <v>45173</v>
      </c>
      <c r="C357" s="105">
        <v>1465.099975585938</v>
      </c>
      <c r="D357" s="106">
        <f t="shared" si="10"/>
        <v>1.4717595566933054E-2</v>
      </c>
      <c r="F357" s="97">
        <v>45173</v>
      </c>
      <c r="G357" s="98">
        <v>19528.80078125</v>
      </c>
      <c r="H357" s="99">
        <f t="shared" si="11"/>
        <v>4.8108337016426897E-3</v>
      </c>
    </row>
    <row r="358" spans="2:8" x14ac:dyDescent="0.3">
      <c r="B358" s="103">
        <v>45174</v>
      </c>
      <c r="C358" s="105">
        <v>1478.900024414062</v>
      </c>
      <c r="D358" s="106">
        <f t="shared" si="10"/>
        <v>9.4191857607567233E-3</v>
      </c>
      <c r="F358" s="97">
        <v>45174</v>
      </c>
      <c r="G358" s="98">
        <v>19574.900390625</v>
      </c>
      <c r="H358" s="100">
        <f t="shared" si="11"/>
        <v>2.3605960187407502E-3</v>
      </c>
    </row>
    <row r="359" spans="2:8" x14ac:dyDescent="0.3">
      <c r="B359" s="103">
        <v>45175</v>
      </c>
      <c r="C359" s="105">
        <v>1477.449951171875</v>
      </c>
      <c r="D359" s="106">
        <f t="shared" si="10"/>
        <v>-9.8050795743381109E-4</v>
      </c>
      <c r="F359" s="97">
        <v>45175</v>
      </c>
      <c r="G359" s="98">
        <v>19611.05078125</v>
      </c>
      <c r="H359" s="99">
        <f t="shared" si="11"/>
        <v>1.8467726478094107E-3</v>
      </c>
    </row>
    <row r="360" spans="2:8" x14ac:dyDescent="0.3">
      <c r="B360" s="103">
        <v>45176</v>
      </c>
      <c r="C360" s="105">
        <v>1466.199951171875</v>
      </c>
      <c r="D360" s="106">
        <f t="shared" si="10"/>
        <v>-7.6144711305291875E-3</v>
      </c>
      <c r="F360" s="97">
        <v>45176</v>
      </c>
      <c r="G360" s="98">
        <v>19727.05078125</v>
      </c>
      <c r="H360" s="100">
        <f t="shared" si="11"/>
        <v>5.9150323607803238E-3</v>
      </c>
    </row>
    <row r="361" spans="2:8" x14ac:dyDescent="0.3">
      <c r="B361" s="103">
        <v>45177</v>
      </c>
      <c r="C361" s="105">
        <v>1469.599975585938</v>
      </c>
      <c r="D361" s="106">
        <f t="shared" si="10"/>
        <v>2.3189363847307804E-3</v>
      </c>
      <c r="F361" s="97">
        <v>45177</v>
      </c>
      <c r="G361" s="98">
        <v>19819.94921875</v>
      </c>
      <c r="H361" s="99">
        <f t="shared" si="11"/>
        <v>4.7091903665750848E-3</v>
      </c>
    </row>
    <row r="362" spans="2:8" x14ac:dyDescent="0.3">
      <c r="B362" s="103">
        <v>45180</v>
      </c>
      <c r="C362" s="105">
        <v>1476.449951171875</v>
      </c>
      <c r="D362" s="106">
        <f t="shared" si="10"/>
        <v>4.661115745600037E-3</v>
      </c>
      <c r="F362" s="97">
        <v>45180</v>
      </c>
      <c r="G362" s="98">
        <v>19996.349609375</v>
      </c>
      <c r="H362" s="100">
        <f t="shared" si="11"/>
        <v>8.9001434200508597E-3</v>
      </c>
    </row>
    <row r="363" spans="2:8" x14ac:dyDescent="0.3">
      <c r="B363" s="103">
        <v>45181</v>
      </c>
      <c r="C363" s="105">
        <v>1501.099975585938</v>
      </c>
      <c r="D363" s="106">
        <f t="shared" si="10"/>
        <v>1.6695469016405163E-2</v>
      </c>
      <c r="F363" s="97">
        <v>45181</v>
      </c>
      <c r="G363" s="98">
        <v>19993.19921875</v>
      </c>
      <c r="H363" s="99">
        <f t="shared" si="11"/>
        <v>-1.5754828688947231E-4</v>
      </c>
    </row>
    <row r="364" spans="2:8" x14ac:dyDescent="0.3">
      <c r="B364" s="103">
        <v>45182</v>
      </c>
      <c r="C364" s="105">
        <v>1498.349975585938</v>
      </c>
      <c r="D364" s="106">
        <f t="shared" si="10"/>
        <v>-1.8319899038880256E-3</v>
      </c>
      <c r="F364" s="97">
        <v>45182</v>
      </c>
      <c r="G364" s="98">
        <v>20070</v>
      </c>
      <c r="H364" s="100">
        <f t="shared" si="11"/>
        <v>3.8413452699443307E-3</v>
      </c>
    </row>
    <row r="365" spans="2:8" x14ac:dyDescent="0.3">
      <c r="B365" s="103">
        <v>45183</v>
      </c>
      <c r="C365" s="105">
        <v>1506.949951171875</v>
      </c>
      <c r="D365" s="106">
        <f t="shared" si="10"/>
        <v>5.7396307445288126E-3</v>
      </c>
      <c r="F365" s="97">
        <v>45183</v>
      </c>
      <c r="G365" s="98">
        <v>20103.099609375</v>
      </c>
      <c r="H365" s="99">
        <f t="shared" si="11"/>
        <v>1.6492082399103139E-3</v>
      </c>
    </row>
    <row r="366" spans="2:8" x14ac:dyDescent="0.3">
      <c r="B366" s="103">
        <v>45184</v>
      </c>
      <c r="C366" s="105">
        <v>1511.599975585938</v>
      </c>
      <c r="D366" s="106">
        <f t="shared" si="10"/>
        <v>3.0857192108117975E-3</v>
      </c>
      <c r="F366" s="97">
        <v>45184</v>
      </c>
      <c r="G366" s="98">
        <v>20192.349609375</v>
      </c>
      <c r="H366" s="100">
        <f t="shared" si="11"/>
        <v>4.439613877174375E-3</v>
      </c>
    </row>
    <row r="367" spans="2:8" x14ac:dyDescent="0.3">
      <c r="B367" s="103">
        <v>45187</v>
      </c>
      <c r="C367" s="105">
        <v>1491.800048828125</v>
      </c>
      <c r="D367" s="106">
        <f t="shared" si="10"/>
        <v>-1.3098655118817368E-2</v>
      </c>
      <c r="F367" s="97">
        <v>45187</v>
      </c>
      <c r="G367" s="98">
        <v>20133.30078125</v>
      </c>
      <c r="H367" s="99">
        <f t="shared" si="11"/>
        <v>-2.9243168460982138E-3</v>
      </c>
    </row>
    <row r="368" spans="2:8" x14ac:dyDescent="0.3">
      <c r="B368" s="103">
        <v>45189</v>
      </c>
      <c r="C368" s="105">
        <v>1490.25</v>
      </c>
      <c r="D368" s="106">
        <f t="shared" si="10"/>
        <v>-1.0390459695604863E-3</v>
      </c>
      <c r="F368" s="97">
        <v>45189</v>
      </c>
      <c r="G368" s="98">
        <v>19901.400390625</v>
      </c>
      <c r="H368" s="100">
        <f t="shared" si="11"/>
        <v>-1.1518249945432057E-2</v>
      </c>
    </row>
    <row r="369" spans="2:8" x14ac:dyDescent="0.3">
      <c r="B369" s="103">
        <v>45190</v>
      </c>
      <c r="C369" s="105">
        <v>1501.75</v>
      </c>
      <c r="D369" s="106">
        <f t="shared" si="10"/>
        <v>7.7168260359000169E-3</v>
      </c>
      <c r="F369" s="97">
        <v>45190</v>
      </c>
      <c r="G369" s="98">
        <v>19742.349609375</v>
      </c>
      <c r="H369" s="99">
        <f t="shared" si="11"/>
        <v>-7.9919391664982752E-3</v>
      </c>
    </row>
    <row r="370" spans="2:8" x14ac:dyDescent="0.3">
      <c r="B370" s="103">
        <v>45191</v>
      </c>
      <c r="C370" s="105">
        <v>1496.150024414062</v>
      </c>
      <c r="D370" s="106">
        <f t="shared" si="10"/>
        <v>-3.7289665962629962E-3</v>
      </c>
      <c r="F370" s="97">
        <v>45191</v>
      </c>
      <c r="G370" s="98">
        <v>19674.25</v>
      </c>
      <c r="H370" s="100">
        <f t="shared" si="11"/>
        <v>-3.4494176591149876E-3</v>
      </c>
    </row>
    <row r="371" spans="2:8" x14ac:dyDescent="0.3">
      <c r="B371" s="103">
        <v>45194</v>
      </c>
      <c r="C371" s="105">
        <v>1474.150024414062</v>
      </c>
      <c r="D371" s="106">
        <f t="shared" si="10"/>
        <v>-1.4704407740537832E-2</v>
      </c>
      <c r="F371" s="97">
        <v>45194</v>
      </c>
      <c r="G371" s="98">
        <v>19674.55078125</v>
      </c>
      <c r="H371" s="99">
        <f t="shared" si="11"/>
        <v>1.5288066889462116E-5</v>
      </c>
    </row>
    <row r="372" spans="2:8" x14ac:dyDescent="0.3">
      <c r="B372" s="103">
        <v>45195</v>
      </c>
      <c r="C372" s="105">
        <v>1460.650024414062</v>
      </c>
      <c r="D372" s="106">
        <f t="shared" si="10"/>
        <v>-9.1578196088731977E-3</v>
      </c>
      <c r="F372" s="97">
        <v>45195</v>
      </c>
      <c r="G372" s="98">
        <v>19664.69921875</v>
      </c>
      <c r="H372" s="100">
        <f t="shared" si="11"/>
        <v>-5.0072617207548218E-4</v>
      </c>
    </row>
    <row r="373" spans="2:8" x14ac:dyDescent="0.3">
      <c r="B373" s="103">
        <v>45196</v>
      </c>
      <c r="C373" s="105">
        <v>1467</v>
      </c>
      <c r="D373" s="106">
        <f t="shared" si="10"/>
        <v>4.3473628040948684E-3</v>
      </c>
      <c r="F373" s="97">
        <v>45196</v>
      </c>
      <c r="G373" s="98">
        <v>19716.44921875</v>
      </c>
      <c r="H373" s="99">
        <f t="shared" si="11"/>
        <v>2.6316191986632139E-3</v>
      </c>
    </row>
    <row r="374" spans="2:8" x14ac:dyDescent="0.3">
      <c r="B374" s="103">
        <v>45197</v>
      </c>
      <c r="C374" s="105">
        <v>1439.449951171875</v>
      </c>
      <c r="D374" s="106">
        <f t="shared" si="10"/>
        <v>-1.8779856051891617E-2</v>
      </c>
      <c r="F374" s="97">
        <v>45197</v>
      </c>
      <c r="G374" s="98">
        <v>19523.55078125</v>
      </c>
      <c r="H374" s="100">
        <f t="shared" si="11"/>
        <v>-9.7836296667737181E-3</v>
      </c>
    </row>
    <row r="375" spans="2:8" x14ac:dyDescent="0.3">
      <c r="B375" s="103">
        <v>45198</v>
      </c>
      <c r="C375" s="105">
        <v>1435.449951171875</v>
      </c>
      <c r="D375" s="106">
        <f t="shared" si="10"/>
        <v>-2.7788392342113374E-3</v>
      </c>
      <c r="F375" s="97">
        <v>45198</v>
      </c>
      <c r="G375" s="98">
        <v>19638.30078125</v>
      </c>
      <c r="H375" s="99">
        <f t="shared" si="11"/>
        <v>5.8775169171687482E-3</v>
      </c>
    </row>
    <row r="376" spans="2:8" x14ac:dyDescent="0.3">
      <c r="B376" s="103">
        <v>45202</v>
      </c>
      <c r="C376" s="105">
        <v>1434</v>
      </c>
      <c r="D376" s="106">
        <f t="shared" si="10"/>
        <v>-1.0101022126834073E-3</v>
      </c>
      <c r="F376" s="97">
        <v>45202</v>
      </c>
      <c r="G376" s="98">
        <v>19528.75</v>
      </c>
      <c r="H376" s="100">
        <f t="shared" si="11"/>
        <v>-5.5784246544688561E-3</v>
      </c>
    </row>
    <row r="377" spans="2:8" x14ac:dyDescent="0.3">
      <c r="B377" s="103">
        <v>45203</v>
      </c>
      <c r="C377" s="105">
        <v>1444.349975585938</v>
      </c>
      <c r="D377" s="106">
        <f t="shared" si="10"/>
        <v>7.2175561966094526E-3</v>
      </c>
      <c r="F377" s="97">
        <v>45203</v>
      </c>
      <c r="G377" s="98">
        <v>19436.099609375</v>
      </c>
      <c r="H377" s="99">
        <f t="shared" si="11"/>
        <v>-4.7443072713307301E-3</v>
      </c>
    </row>
    <row r="378" spans="2:8" x14ac:dyDescent="0.3">
      <c r="B378" s="103">
        <v>45204</v>
      </c>
      <c r="C378" s="105">
        <v>1463.449951171875</v>
      </c>
      <c r="D378" s="106">
        <f t="shared" si="10"/>
        <v>1.3223924885787218E-2</v>
      </c>
      <c r="F378" s="97">
        <v>45204</v>
      </c>
      <c r="G378" s="98">
        <v>19545.75</v>
      </c>
      <c r="H378" s="100">
        <f t="shared" si="11"/>
        <v>5.6415841052857201E-3</v>
      </c>
    </row>
    <row r="379" spans="2:8" x14ac:dyDescent="0.3">
      <c r="B379" s="103">
        <v>45205</v>
      </c>
      <c r="C379" s="105">
        <v>1478.699951171875</v>
      </c>
      <c r="D379" s="106">
        <f t="shared" si="10"/>
        <v>1.0420581850297225E-2</v>
      </c>
      <c r="F379" s="97">
        <v>45205</v>
      </c>
      <c r="G379" s="98">
        <v>19653.5</v>
      </c>
      <c r="H379" s="99">
        <f t="shared" si="11"/>
        <v>5.512707366051443E-3</v>
      </c>
    </row>
    <row r="380" spans="2:8" x14ac:dyDescent="0.3">
      <c r="B380" s="103">
        <v>45208</v>
      </c>
      <c r="C380" s="105">
        <v>1475.449951171875</v>
      </c>
      <c r="D380" s="106">
        <f t="shared" si="10"/>
        <v>-2.1978765857294871E-3</v>
      </c>
      <c r="F380" s="97">
        <v>45208</v>
      </c>
      <c r="G380" s="98">
        <v>19512.349609375</v>
      </c>
      <c r="H380" s="100">
        <f t="shared" si="11"/>
        <v>-7.181946758847025E-3</v>
      </c>
    </row>
    <row r="381" spans="2:8" x14ac:dyDescent="0.3">
      <c r="B381" s="103">
        <v>45209</v>
      </c>
      <c r="C381" s="105">
        <v>1495.150024414062</v>
      </c>
      <c r="D381" s="106">
        <f t="shared" si="10"/>
        <v>1.3351908837395858E-2</v>
      </c>
      <c r="F381" s="97">
        <v>45209</v>
      </c>
      <c r="G381" s="98">
        <v>19689.849609375</v>
      </c>
      <c r="H381" s="99">
        <f t="shared" si="11"/>
        <v>9.0968029762401072E-3</v>
      </c>
    </row>
    <row r="382" spans="2:8" x14ac:dyDescent="0.3">
      <c r="B382" s="103">
        <v>45210</v>
      </c>
      <c r="C382" s="105">
        <v>1494.400024414062</v>
      </c>
      <c r="D382" s="106">
        <f t="shared" si="10"/>
        <v>-5.0162190265416295E-4</v>
      </c>
      <c r="F382" s="97">
        <v>45210</v>
      </c>
      <c r="G382" s="98">
        <v>19811.349609375</v>
      </c>
      <c r="H382" s="100">
        <f t="shared" si="11"/>
        <v>6.1706921287072586E-3</v>
      </c>
    </row>
    <row r="383" spans="2:8" x14ac:dyDescent="0.3">
      <c r="B383" s="103">
        <v>45211</v>
      </c>
      <c r="C383" s="105">
        <v>1465.5</v>
      </c>
      <c r="D383" s="106">
        <f t="shared" si="10"/>
        <v>-1.9338881117452758E-2</v>
      </c>
      <c r="F383" s="97">
        <v>45211</v>
      </c>
      <c r="G383" s="98">
        <v>19794</v>
      </c>
      <c r="H383" s="99">
        <f t="shared" si="11"/>
        <v>-8.7574091200681898E-4</v>
      </c>
    </row>
    <row r="384" spans="2:8" x14ac:dyDescent="0.3">
      <c r="B384" s="103">
        <v>45212</v>
      </c>
      <c r="C384" s="105">
        <v>1431.150024414062</v>
      </c>
      <c r="D384" s="106">
        <f t="shared" si="10"/>
        <v>-2.3439082624317948E-2</v>
      </c>
      <c r="F384" s="97">
        <v>45212</v>
      </c>
      <c r="G384" s="98">
        <v>19751.05078125</v>
      </c>
      <c r="H384" s="100">
        <f t="shared" si="11"/>
        <v>-2.1698099802970596E-3</v>
      </c>
    </row>
    <row r="385" spans="2:8" x14ac:dyDescent="0.3">
      <c r="B385" s="103">
        <v>45215</v>
      </c>
      <c r="C385" s="105">
        <v>1434.150024414062</v>
      </c>
      <c r="D385" s="106">
        <f t="shared" si="10"/>
        <v>2.0962162937657445E-3</v>
      </c>
      <c r="F385" s="97">
        <v>45215</v>
      </c>
      <c r="G385" s="98">
        <v>19731.75</v>
      </c>
      <c r="H385" s="99">
        <f t="shared" si="11"/>
        <v>-9.7720275562870559E-4</v>
      </c>
    </row>
    <row r="386" spans="2:8" x14ac:dyDescent="0.3">
      <c r="B386" s="103">
        <v>45216</v>
      </c>
      <c r="C386" s="105">
        <v>1442.449951171875</v>
      </c>
      <c r="D386" s="106">
        <f t="shared" si="10"/>
        <v>5.7873490335880184E-3</v>
      </c>
      <c r="F386" s="97">
        <v>45216</v>
      </c>
      <c r="G386" s="98">
        <v>19811.5</v>
      </c>
      <c r="H386" s="100">
        <f t="shared" si="11"/>
        <v>4.0417094276990126E-3</v>
      </c>
    </row>
    <row r="387" spans="2:8" x14ac:dyDescent="0.3">
      <c r="B387" s="103">
        <v>45217</v>
      </c>
      <c r="C387" s="105">
        <v>1440.550048828125</v>
      </c>
      <c r="D387" s="106">
        <f t="shared" si="10"/>
        <v>-1.3171357122002615E-3</v>
      </c>
      <c r="F387" s="97">
        <v>45217</v>
      </c>
      <c r="G387" s="98">
        <v>19671.099609375</v>
      </c>
      <c r="H387" s="99">
        <f t="shared" si="11"/>
        <v>-7.0868127413371024E-3</v>
      </c>
    </row>
    <row r="388" spans="2:8" x14ac:dyDescent="0.3">
      <c r="B388" s="103">
        <v>45218</v>
      </c>
      <c r="C388" s="105">
        <v>1433.650024414062</v>
      </c>
      <c r="D388" s="106">
        <f t="shared" si="10"/>
        <v>-4.789854000335542E-3</v>
      </c>
      <c r="F388" s="97">
        <v>45218</v>
      </c>
      <c r="G388" s="98">
        <v>19624.69921875</v>
      </c>
      <c r="H388" s="100">
        <f t="shared" si="11"/>
        <v>-2.3588102112444267E-3</v>
      </c>
    </row>
    <row r="389" spans="2:8" x14ac:dyDescent="0.3">
      <c r="B389" s="103">
        <v>45219</v>
      </c>
      <c r="C389" s="105">
        <v>1427.25</v>
      </c>
      <c r="D389" s="106">
        <f t="shared" ref="D389:D452" si="12">(C389-C388)/C388</f>
        <v>-4.464146971069706E-3</v>
      </c>
      <c r="F389" s="97">
        <v>45219</v>
      </c>
      <c r="G389" s="98">
        <v>19542.650390625</v>
      </c>
      <c r="H389" s="99">
        <f t="shared" ref="H389:H452" si="13">(G389-G388)/G388</f>
        <v>-4.1808960845936532E-3</v>
      </c>
    </row>
    <row r="390" spans="2:8" x14ac:dyDescent="0.3">
      <c r="B390" s="103">
        <v>45222</v>
      </c>
      <c r="C390" s="105">
        <v>1408.650024414062</v>
      </c>
      <c r="D390" s="106">
        <f t="shared" si="12"/>
        <v>-1.3032037544885588E-2</v>
      </c>
      <c r="F390" s="97">
        <v>45222</v>
      </c>
      <c r="G390" s="98">
        <v>19281.75</v>
      </c>
      <c r="H390" s="100">
        <f t="shared" si="13"/>
        <v>-1.3350307425555702E-2</v>
      </c>
    </row>
    <row r="391" spans="2:8" x14ac:dyDescent="0.3">
      <c r="B391" s="103">
        <v>45224</v>
      </c>
      <c r="C391" s="105">
        <v>1370.050048828125</v>
      </c>
      <c r="D391" s="106">
        <f t="shared" si="12"/>
        <v>-2.7402104793199416E-2</v>
      </c>
      <c r="F391" s="97">
        <v>45224</v>
      </c>
      <c r="G391" s="98">
        <v>19122.150390625</v>
      </c>
      <c r="H391" s="99">
        <f t="shared" si="13"/>
        <v>-8.2772367329210263E-3</v>
      </c>
    </row>
    <row r="392" spans="2:8" x14ac:dyDescent="0.3">
      <c r="B392" s="103">
        <v>45225</v>
      </c>
      <c r="C392" s="105">
        <v>1359.449951171875</v>
      </c>
      <c r="D392" s="106">
        <f t="shared" si="12"/>
        <v>-7.7370149107449139E-3</v>
      </c>
      <c r="F392" s="97">
        <v>45225</v>
      </c>
      <c r="G392" s="98">
        <v>18857.25</v>
      </c>
      <c r="H392" s="100">
        <f t="shared" si="13"/>
        <v>-1.385306491234754E-2</v>
      </c>
    </row>
    <row r="393" spans="2:8" x14ac:dyDescent="0.3">
      <c r="B393" s="103">
        <v>45226</v>
      </c>
      <c r="C393" s="105">
        <v>1380.349975585938</v>
      </c>
      <c r="D393" s="106">
        <f t="shared" si="12"/>
        <v>1.5373882941440166E-2</v>
      </c>
      <c r="F393" s="97">
        <v>45226</v>
      </c>
      <c r="G393" s="98">
        <v>19047.25</v>
      </c>
      <c r="H393" s="99">
        <f t="shared" si="13"/>
        <v>1.007570032746026E-2</v>
      </c>
    </row>
    <row r="394" spans="2:8" x14ac:dyDescent="0.3">
      <c r="B394" s="103">
        <v>45229</v>
      </c>
      <c r="C394" s="105">
        <v>1377.050048828125</v>
      </c>
      <c r="D394" s="106">
        <f t="shared" si="12"/>
        <v>-2.3906449930657515E-3</v>
      </c>
      <c r="F394" s="97">
        <v>45229</v>
      </c>
      <c r="G394" s="98">
        <v>19140.900390625</v>
      </c>
      <c r="H394" s="100">
        <f t="shared" si="13"/>
        <v>4.9167407696649118E-3</v>
      </c>
    </row>
    <row r="395" spans="2:8" x14ac:dyDescent="0.3">
      <c r="B395" s="103">
        <v>45230</v>
      </c>
      <c r="C395" s="105">
        <v>1368.400024414062</v>
      </c>
      <c r="D395" s="106">
        <f t="shared" si="12"/>
        <v>-6.2815613865481214E-3</v>
      </c>
      <c r="F395" s="97">
        <v>45230</v>
      </c>
      <c r="G395" s="98">
        <v>19079.599609375</v>
      </c>
      <c r="H395" s="99">
        <f t="shared" si="13"/>
        <v>-3.2026069828995319E-3</v>
      </c>
    </row>
    <row r="396" spans="2:8" x14ac:dyDescent="0.3">
      <c r="B396" s="103">
        <v>45231</v>
      </c>
      <c r="C396" s="105">
        <v>1354.150024414062</v>
      </c>
      <c r="D396" s="106">
        <f t="shared" si="12"/>
        <v>-1.0413621562234139E-2</v>
      </c>
      <c r="F396" s="97">
        <v>45231</v>
      </c>
      <c r="G396" s="98">
        <v>18989.150390625</v>
      </c>
      <c r="H396" s="100">
        <f t="shared" si="13"/>
        <v>-4.7406245729368791E-3</v>
      </c>
    </row>
    <row r="397" spans="2:8" x14ac:dyDescent="0.3">
      <c r="B397" s="103">
        <v>45232</v>
      </c>
      <c r="C397" s="105">
        <v>1370.150024414062</v>
      </c>
      <c r="D397" s="106">
        <f t="shared" si="12"/>
        <v>1.1815529824269779E-2</v>
      </c>
      <c r="F397" s="97">
        <v>45232</v>
      </c>
      <c r="G397" s="98">
        <v>19133.25</v>
      </c>
      <c r="H397" s="99">
        <f t="shared" si="13"/>
        <v>7.5885232572670764E-3</v>
      </c>
    </row>
    <row r="398" spans="2:8" x14ac:dyDescent="0.3">
      <c r="B398" s="103">
        <v>45233</v>
      </c>
      <c r="C398" s="105">
        <v>1389.050048828125</v>
      </c>
      <c r="D398" s="106">
        <f t="shared" si="12"/>
        <v>1.3794127706668807E-2</v>
      </c>
      <c r="F398" s="97">
        <v>45233</v>
      </c>
      <c r="G398" s="98">
        <v>19230.599609375</v>
      </c>
      <c r="H398" s="100">
        <f t="shared" si="13"/>
        <v>5.0879808383311777E-3</v>
      </c>
    </row>
    <row r="399" spans="2:8" x14ac:dyDescent="0.3">
      <c r="B399" s="103">
        <v>45236</v>
      </c>
      <c r="C399" s="105">
        <v>1403.300048828125</v>
      </c>
      <c r="D399" s="106">
        <f t="shared" si="12"/>
        <v>1.0258809617423103E-2</v>
      </c>
      <c r="F399" s="97">
        <v>45236</v>
      </c>
      <c r="G399" s="98">
        <v>19411.75</v>
      </c>
      <c r="H399" s="99">
        <f t="shared" si="13"/>
        <v>9.4199033989916994E-3</v>
      </c>
    </row>
    <row r="400" spans="2:8" x14ac:dyDescent="0.3">
      <c r="B400" s="103">
        <v>45237</v>
      </c>
      <c r="C400" s="105">
        <v>1404.300048828125</v>
      </c>
      <c r="D400" s="106">
        <f t="shared" si="12"/>
        <v>7.1260597534724324E-4</v>
      </c>
      <c r="F400" s="97">
        <v>45237</v>
      </c>
      <c r="G400" s="98">
        <v>19406.69921875</v>
      </c>
      <c r="H400" s="100">
        <f t="shared" si="13"/>
        <v>-2.6019195847875644E-4</v>
      </c>
    </row>
    <row r="401" spans="2:8" x14ac:dyDescent="0.3">
      <c r="B401" s="103">
        <v>45238</v>
      </c>
      <c r="C401" s="105">
        <v>1391</v>
      </c>
      <c r="D401" s="106">
        <f t="shared" si="12"/>
        <v>-9.4709452151794504E-3</v>
      </c>
      <c r="F401" s="97">
        <v>45238</v>
      </c>
      <c r="G401" s="98">
        <v>19443.5</v>
      </c>
      <c r="H401" s="99">
        <f t="shared" si="13"/>
        <v>1.8962926582818634E-3</v>
      </c>
    </row>
    <row r="402" spans="2:8" x14ac:dyDescent="0.3">
      <c r="B402" s="103">
        <v>45239</v>
      </c>
      <c r="C402" s="105">
        <v>1374.800048828125</v>
      </c>
      <c r="D402" s="106">
        <f t="shared" si="12"/>
        <v>-1.1646262524712438E-2</v>
      </c>
      <c r="F402" s="97">
        <v>45239</v>
      </c>
      <c r="G402" s="98">
        <v>19395.30078125</v>
      </c>
      <c r="H402" s="100">
        <f t="shared" si="13"/>
        <v>-2.4789373698151053E-3</v>
      </c>
    </row>
    <row r="403" spans="2:8" x14ac:dyDescent="0.3">
      <c r="B403" s="103">
        <v>45240</v>
      </c>
      <c r="C403" s="105">
        <v>1368.849975585938</v>
      </c>
      <c r="D403" s="106">
        <f t="shared" si="12"/>
        <v>-4.3279553614060957E-3</v>
      </c>
      <c r="F403" s="97">
        <v>45240</v>
      </c>
      <c r="G403" s="98">
        <v>19425.349609375</v>
      </c>
      <c r="H403" s="99">
        <f t="shared" si="13"/>
        <v>1.5492839458333678E-3</v>
      </c>
    </row>
    <row r="404" spans="2:8" x14ac:dyDescent="0.3">
      <c r="B404" s="103">
        <v>45243</v>
      </c>
      <c r="C404" s="105">
        <v>1373.550048828125</v>
      </c>
      <c r="D404" s="106">
        <f t="shared" si="12"/>
        <v>3.4335926697702376E-3</v>
      </c>
      <c r="F404" s="97">
        <v>45243</v>
      </c>
      <c r="G404" s="98">
        <v>19443.55078125</v>
      </c>
      <c r="H404" s="100">
        <f t="shared" si="13"/>
        <v>9.3698040143461864E-4</v>
      </c>
    </row>
    <row r="405" spans="2:8" x14ac:dyDescent="0.3">
      <c r="B405" s="103">
        <v>45245</v>
      </c>
      <c r="C405" s="105">
        <v>1410.5</v>
      </c>
      <c r="D405" s="106">
        <f t="shared" si="12"/>
        <v>2.6901059195767695E-2</v>
      </c>
      <c r="F405" s="97">
        <v>45245</v>
      </c>
      <c r="G405" s="98">
        <v>19675.44921875</v>
      </c>
      <c r="H405" s="99">
        <f t="shared" si="13"/>
        <v>1.1926753508604336E-2</v>
      </c>
    </row>
    <row r="406" spans="2:8" x14ac:dyDescent="0.3">
      <c r="B406" s="103">
        <v>45246</v>
      </c>
      <c r="C406" s="105">
        <v>1444.900024414062</v>
      </c>
      <c r="D406" s="106">
        <f t="shared" si="12"/>
        <v>2.4388532019895104E-2</v>
      </c>
      <c r="F406" s="97">
        <v>45246</v>
      </c>
      <c r="G406" s="98">
        <v>19765.19921875</v>
      </c>
      <c r="H406" s="100">
        <f t="shared" si="13"/>
        <v>4.5615222809993819E-3</v>
      </c>
    </row>
    <row r="407" spans="2:8" x14ac:dyDescent="0.3">
      <c r="B407" s="103">
        <v>45247</v>
      </c>
      <c r="C407" s="105">
        <v>1437.550048828125</v>
      </c>
      <c r="D407" s="106">
        <f t="shared" si="12"/>
        <v>-5.0868402392875711E-3</v>
      </c>
      <c r="F407" s="97">
        <v>45247</v>
      </c>
      <c r="G407" s="98">
        <v>19731.80078125</v>
      </c>
      <c r="H407" s="99">
        <f t="shared" si="13"/>
        <v>-1.6897597201204532E-3</v>
      </c>
    </row>
    <row r="408" spans="2:8" x14ac:dyDescent="0.3">
      <c r="B408" s="103">
        <v>45250</v>
      </c>
      <c r="C408" s="105">
        <v>1436.599975585938</v>
      </c>
      <c r="D408" s="106">
        <f t="shared" si="12"/>
        <v>-6.6089750611572412E-4</v>
      </c>
      <c r="F408" s="97">
        <v>45250</v>
      </c>
      <c r="G408" s="98">
        <v>19694</v>
      </c>
      <c r="H408" s="100">
        <f t="shared" si="13"/>
        <v>-1.9157289123818803E-3</v>
      </c>
    </row>
    <row r="409" spans="2:8" x14ac:dyDescent="0.3">
      <c r="B409" s="103">
        <v>45251</v>
      </c>
      <c r="C409" s="105">
        <v>1439</v>
      </c>
      <c r="D409" s="106">
        <f t="shared" si="12"/>
        <v>1.6706281879777707E-3</v>
      </c>
      <c r="F409" s="97">
        <v>45251</v>
      </c>
      <c r="G409" s="98">
        <v>19783.400390625</v>
      </c>
      <c r="H409" s="99">
        <f t="shared" si="13"/>
        <v>4.5394734754239871E-3</v>
      </c>
    </row>
    <row r="410" spans="2:8" x14ac:dyDescent="0.3">
      <c r="B410" s="103">
        <v>45252</v>
      </c>
      <c r="C410" s="105">
        <v>1457.800048828125</v>
      </c>
      <c r="D410" s="106">
        <f t="shared" si="12"/>
        <v>1.3064662146021543E-2</v>
      </c>
      <c r="F410" s="97">
        <v>45252</v>
      </c>
      <c r="G410" s="98">
        <v>19811.849609375</v>
      </c>
      <c r="H410" s="100">
        <f t="shared" si="13"/>
        <v>1.438034826585301E-3</v>
      </c>
    </row>
    <row r="411" spans="2:8" x14ac:dyDescent="0.3">
      <c r="B411" s="103">
        <v>45253</v>
      </c>
      <c r="C411" s="105">
        <v>1449.25</v>
      </c>
      <c r="D411" s="106">
        <f t="shared" si="12"/>
        <v>-5.8650353558418987E-3</v>
      </c>
      <c r="F411" s="97">
        <v>45253</v>
      </c>
      <c r="G411" s="98">
        <v>19802</v>
      </c>
      <c r="H411" s="99">
        <f t="shared" si="13"/>
        <v>-4.9715748752398909E-4</v>
      </c>
    </row>
    <row r="412" spans="2:8" x14ac:dyDescent="0.3">
      <c r="B412" s="103">
        <v>45254</v>
      </c>
      <c r="C412" s="105">
        <v>1437.400024414062</v>
      </c>
      <c r="D412" s="106">
        <f t="shared" si="12"/>
        <v>-8.1766262452564811E-3</v>
      </c>
      <c r="F412" s="97">
        <v>45254</v>
      </c>
      <c r="G412" s="98">
        <v>19794.69921875</v>
      </c>
      <c r="H412" s="100">
        <f t="shared" si="13"/>
        <v>-3.6868908443591557E-4</v>
      </c>
    </row>
    <row r="413" spans="2:8" x14ac:dyDescent="0.3">
      <c r="B413" s="103">
        <v>45258</v>
      </c>
      <c r="C413" s="105">
        <v>1442.699951171875</v>
      </c>
      <c r="D413" s="106">
        <f t="shared" si="12"/>
        <v>3.6871620062573765E-3</v>
      </c>
      <c r="F413" s="97">
        <v>45258</v>
      </c>
      <c r="G413" s="98">
        <v>19889.69921875</v>
      </c>
      <c r="H413" s="99">
        <f t="shared" si="13"/>
        <v>4.7992646389905125E-3</v>
      </c>
    </row>
    <row r="414" spans="2:8" x14ac:dyDescent="0.3">
      <c r="B414" s="103">
        <v>45259</v>
      </c>
      <c r="C414" s="105">
        <v>1459.599975585938</v>
      </c>
      <c r="D414" s="106">
        <f t="shared" si="12"/>
        <v>1.1714164404272294E-2</v>
      </c>
      <c r="F414" s="97">
        <v>45259</v>
      </c>
      <c r="G414" s="98">
        <v>20096.599609375</v>
      </c>
      <c r="H414" s="100">
        <f t="shared" si="13"/>
        <v>1.0402389113554579E-2</v>
      </c>
    </row>
    <row r="415" spans="2:8" x14ac:dyDescent="0.3">
      <c r="B415" s="103">
        <v>45260</v>
      </c>
      <c r="C415" s="105">
        <v>1455.150024414062</v>
      </c>
      <c r="D415" s="106">
        <f t="shared" si="12"/>
        <v>-3.048747085714038E-3</v>
      </c>
      <c r="F415" s="97">
        <v>45260</v>
      </c>
      <c r="G415" s="98">
        <v>20133.150390625</v>
      </c>
      <c r="H415" s="99">
        <f t="shared" si="13"/>
        <v>1.8187545137212753E-3</v>
      </c>
    </row>
    <row r="416" spans="2:8" x14ac:dyDescent="0.3">
      <c r="B416" s="103">
        <v>45261</v>
      </c>
      <c r="C416" s="105">
        <v>1452.300048828125</v>
      </c>
      <c r="D416" s="106">
        <f t="shared" si="12"/>
        <v>-1.9585441625406498E-3</v>
      </c>
      <c r="F416" s="97">
        <v>45261</v>
      </c>
      <c r="G416" s="98">
        <v>20267.900390625</v>
      </c>
      <c r="H416" s="100">
        <f t="shared" si="13"/>
        <v>6.6929416105065368E-3</v>
      </c>
    </row>
    <row r="417" spans="2:8" x14ac:dyDescent="0.3">
      <c r="B417" s="103">
        <v>45264</v>
      </c>
      <c r="C417" s="105">
        <v>1464.349975585938</v>
      </c>
      <c r="D417" s="106">
        <f t="shared" si="12"/>
        <v>8.297133066638783E-3</v>
      </c>
      <c r="F417" s="97">
        <v>45264</v>
      </c>
      <c r="G417" s="98">
        <v>20686.80078125</v>
      </c>
      <c r="H417" s="99">
        <f t="shared" si="13"/>
        <v>2.0668169003769332E-2</v>
      </c>
    </row>
    <row r="418" spans="2:8" x14ac:dyDescent="0.3">
      <c r="B418" s="103">
        <v>45265</v>
      </c>
      <c r="C418" s="105">
        <v>1453.949951171875</v>
      </c>
      <c r="D418" s="106">
        <f t="shared" si="12"/>
        <v>-7.1021440143784883E-3</v>
      </c>
      <c r="F418" s="97">
        <v>45265</v>
      </c>
      <c r="G418" s="98">
        <v>20855.099609375</v>
      </c>
      <c r="H418" s="100">
        <f t="shared" si="13"/>
        <v>8.1355657602475619E-3</v>
      </c>
    </row>
    <row r="419" spans="2:8" x14ac:dyDescent="0.3">
      <c r="B419" s="103">
        <v>45266</v>
      </c>
      <c r="C419" s="105">
        <v>1474.300048828125</v>
      </c>
      <c r="D419" s="106">
        <f t="shared" si="12"/>
        <v>1.399642239394E-2</v>
      </c>
      <c r="F419" s="97">
        <v>45266</v>
      </c>
      <c r="G419" s="98">
        <v>20937.69921875</v>
      </c>
      <c r="H419" s="99">
        <f t="shared" si="13"/>
        <v>3.9606432442005199E-3</v>
      </c>
    </row>
    <row r="420" spans="2:8" x14ac:dyDescent="0.3">
      <c r="B420" s="103">
        <v>45267</v>
      </c>
      <c r="C420" s="105">
        <v>1465.900024414062</v>
      </c>
      <c r="D420" s="106">
        <f t="shared" si="12"/>
        <v>-5.6976355801791308E-3</v>
      </c>
      <c r="F420" s="97">
        <v>45267</v>
      </c>
      <c r="G420" s="98">
        <v>20901.150390625</v>
      </c>
      <c r="H420" s="100">
        <f t="shared" si="13"/>
        <v>-1.7455990623969808E-3</v>
      </c>
    </row>
    <row r="421" spans="2:8" x14ac:dyDescent="0.3">
      <c r="B421" s="103">
        <v>45268</v>
      </c>
      <c r="C421" s="105">
        <v>1491.150024414062</v>
      </c>
      <c r="D421" s="106">
        <f t="shared" si="12"/>
        <v>1.7224912735841404E-2</v>
      </c>
      <c r="F421" s="97">
        <v>45268</v>
      </c>
      <c r="G421" s="98">
        <v>20969.400390625</v>
      </c>
      <c r="H421" s="99">
        <f t="shared" si="13"/>
        <v>3.2653705047073797E-3</v>
      </c>
    </row>
    <row r="422" spans="2:8" x14ac:dyDescent="0.3">
      <c r="B422" s="103">
        <v>45271</v>
      </c>
      <c r="C422" s="105">
        <v>1488.5</v>
      </c>
      <c r="D422" s="106">
        <f t="shared" si="12"/>
        <v>-1.777168206199343E-3</v>
      </c>
      <c r="F422" s="97">
        <v>45271</v>
      </c>
      <c r="G422" s="98">
        <v>20997.099609375</v>
      </c>
      <c r="H422" s="100">
        <f t="shared" si="13"/>
        <v>1.3209351833628857E-3</v>
      </c>
    </row>
    <row r="423" spans="2:8" x14ac:dyDescent="0.3">
      <c r="B423" s="103">
        <v>45272</v>
      </c>
      <c r="C423" s="105">
        <v>1476.050048828125</v>
      </c>
      <c r="D423" s="106">
        <f t="shared" si="12"/>
        <v>-8.3640921544339934E-3</v>
      </c>
      <c r="F423" s="97">
        <v>45272</v>
      </c>
      <c r="G423" s="98">
        <v>20906.400390625</v>
      </c>
      <c r="H423" s="99">
        <f t="shared" si="13"/>
        <v>-4.3196070141755995E-3</v>
      </c>
    </row>
    <row r="424" spans="2:8" x14ac:dyDescent="0.3">
      <c r="B424" s="103">
        <v>45273</v>
      </c>
      <c r="C424" s="105">
        <v>1449</v>
      </c>
      <c r="D424" s="106">
        <f t="shared" si="12"/>
        <v>-1.8325969942279901E-2</v>
      </c>
      <c r="F424" s="97">
        <v>45273</v>
      </c>
      <c r="G424" s="98">
        <v>20926.349609375</v>
      </c>
      <c r="H424" s="100">
        <f t="shared" si="13"/>
        <v>9.5421585625738684E-4</v>
      </c>
    </row>
    <row r="425" spans="2:8" x14ac:dyDescent="0.3">
      <c r="B425" s="103">
        <v>45274</v>
      </c>
      <c r="C425" s="105">
        <v>1501.449951171875</v>
      </c>
      <c r="D425" s="106">
        <f t="shared" si="12"/>
        <v>3.6197343803916496E-2</v>
      </c>
      <c r="F425" s="97">
        <v>45274</v>
      </c>
      <c r="G425" s="98">
        <v>21182.69921875</v>
      </c>
      <c r="H425" s="99">
        <f t="shared" si="13"/>
        <v>1.2250087289956937E-2</v>
      </c>
    </row>
    <row r="426" spans="2:8" x14ac:dyDescent="0.3">
      <c r="B426" s="103">
        <v>45275</v>
      </c>
      <c r="C426" s="105">
        <v>1578.400024414062</v>
      </c>
      <c r="D426" s="106">
        <f t="shared" si="12"/>
        <v>5.1250508338375085E-2</v>
      </c>
      <c r="F426" s="97">
        <v>45275</v>
      </c>
      <c r="G426" s="98">
        <v>21456.650390625</v>
      </c>
      <c r="H426" s="100">
        <f t="shared" si="13"/>
        <v>1.2932779200891942E-2</v>
      </c>
    </row>
    <row r="427" spans="2:8" x14ac:dyDescent="0.3">
      <c r="B427" s="103">
        <v>45278</v>
      </c>
      <c r="C427" s="105">
        <v>1564.349975585938</v>
      </c>
      <c r="D427" s="106">
        <f t="shared" si="12"/>
        <v>-8.9014499561603771E-3</v>
      </c>
      <c r="F427" s="97">
        <v>45278</v>
      </c>
      <c r="G427" s="98">
        <v>21418.650390625</v>
      </c>
      <c r="H427" s="99">
        <f t="shared" si="13"/>
        <v>-1.7710126840955215E-3</v>
      </c>
    </row>
    <row r="428" spans="2:8" x14ac:dyDescent="0.3">
      <c r="B428" s="103">
        <v>45279</v>
      </c>
      <c r="C428" s="105">
        <v>1558.300048828125</v>
      </c>
      <c r="D428" s="106">
        <f t="shared" si="12"/>
        <v>-3.867374214358212E-3</v>
      </c>
      <c r="F428" s="97">
        <v>45279</v>
      </c>
      <c r="G428" s="98">
        <v>21453.099609375</v>
      </c>
      <c r="H428" s="100">
        <f t="shared" si="13"/>
        <v>1.6083748565725931E-3</v>
      </c>
    </row>
    <row r="429" spans="2:8" x14ac:dyDescent="0.3">
      <c r="B429" s="103">
        <v>45280</v>
      </c>
      <c r="C429" s="105">
        <v>1536.400024414062</v>
      </c>
      <c r="D429" s="106">
        <f t="shared" si="12"/>
        <v>-1.4053791778118881E-2</v>
      </c>
      <c r="F429" s="97">
        <v>45280</v>
      </c>
      <c r="G429" s="98">
        <v>21150.150390625</v>
      </c>
      <c r="H429" s="99">
        <f t="shared" si="13"/>
        <v>-1.412146609423336E-2</v>
      </c>
    </row>
    <row r="430" spans="2:8" x14ac:dyDescent="0.3">
      <c r="B430" s="103">
        <v>45281</v>
      </c>
      <c r="C430" s="105">
        <v>1536</v>
      </c>
      <c r="D430" s="106">
        <f t="shared" si="12"/>
        <v>-2.6036475377862797E-4</v>
      </c>
      <c r="F430" s="97">
        <v>45281</v>
      </c>
      <c r="G430" s="98">
        <v>21255.05078125</v>
      </c>
      <c r="H430" s="100">
        <f t="shared" si="13"/>
        <v>4.9597940765233554E-3</v>
      </c>
    </row>
    <row r="431" spans="2:8" x14ac:dyDescent="0.3">
      <c r="B431" s="103">
        <v>45282</v>
      </c>
      <c r="C431" s="105">
        <v>1562.900024414062</v>
      </c>
      <c r="D431" s="106">
        <f t="shared" si="12"/>
        <v>1.7513036727904979E-2</v>
      </c>
      <c r="F431" s="97">
        <v>45282</v>
      </c>
      <c r="G431" s="98">
        <v>21349.400390625</v>
      </c>
      <c r="H431" s="99">
        <f t="shared" si="13"/>
        <v>4.4389265566107177E-3</v>
      </c>
    </row>
    <row r="432" spans="2:8" x14ac:dyDescent="0.3">
      <c r="B432" s="103">
        <v>45286</v>
      </c>
      <c r="C432" s="105">
        <v>1543.949951171875</v>
      </c>
      <c r="D432" s="106">
        <f t="shared" si="12"/>
        <v>-1.2124942700216227E-2</v>
      </c>
      <c r="F432" s="97">
        <v>45286</v>
      </c>
      <c r="G432" s="98">
        <v>21441.349609375</v>
      </c>
      <c r="H432" s="100">
        <f t="shared" si="13"/>
        <v>4.3068759341071223E-3</v>
      </c>
    </row>
    <row r="433" spans="2:8" x14ac:dyDescent="0.3">
      <c r="B433" s="103">
        <v>45287</v>
      </c>
      <c r="C433" s="105">
        <v>1567.099975585938</v>
      </c>
      <c r="D433" s="106">
        <f t="shared" si="12"/>
        <v>1.4994025160266258E-2</v>
      </c>
      <c r="F433" s="97">
        <v>45287</v>
      </c>
      <c r="G433" s="98">
        <v>21654.75</v>
      </c>
      <c r="H433" s="99">
        <f t="shared" si="13"/>
        <v>9.9527499207276091E-3</v>
      </c>
    </row>
    <row r="434" spans="2:8" x14ac:dyDescent="0.3">
      <c r="B434" s="103">
        <v>45288</v>
      </c>
      <c r="C434" s="105">
        <v>1562.650024414062</v>
      </c>
      <c r="D434" s="106">
        <f t="shared" si="12"/>
        <v>-2.8396089855161123E-3</v>
      </c>
      <c r="F434" s="97">
        <v>45288</v>
      </c>
      <c r="G434" s="98">
        <v>21778.69921875</v>
      </c>
      <c r="H434" s="100">
        <f t="shared" si="13"/>
        <v>5.7238813077962114E-3</v>
      </c>
    </row>
    <row r="435" spans="2:8" x14ac:dyDescent="0.3">
      <c r="B435" s="103">
        <v>45289</v>
      </c>
      <c r="C435" s="105">
        <v>1542.900024414062</v>
      </c>
      <c r="D435" s="106">
        <f t="shared" si="12"/>
        <v>-1.263878647901698E-2</v>
      </c>
      <c r="F435" s="97">
        <v>45289</v>
      </c>
      <c r="G435" s="98">
        <v>21731.400390625</v>
      </c>
      <c r="H435" s="99">
        <f t="shared" si="13"/>
        <v>-2.171793074045436E-3</v>
      </c>
    </row>
    <row r="436" spans="2:8" x14ac:dyDescent="0.3">
      <c r="B436" s="103">
        <v>45292</v>
      </c>
      <c r="C436" s="105">
        <v>1551.349975585938</v>
      </c>
      <c r="D436" s="106">
        <f t="shared" si="12"/>
        <v>5.4766679876649153E-3</v>
      </c>
      <c r="F436" s="97">
        <v>45292</v>
      </c>
      <c r="G436" s="98">
        <v>21741.900390625</v>
      </c>
      <c r="H436" s="100">
        <f t="shared" si="13"/>
        <v>4.8317180721265139E-4</v>
      </c>
    </row>
    <row r="437" spans="2:8" x14ac:dyDescent="0.3">
      <c r="B437" s="103">
        <v>45293</v>
      </c>
      <c r="C437" s="105">
        <v>1534.400024414062</v>
      </c>
      <c r="D437" s="106">
        <f t="shared" si="12"/>
        <v>-1.0925936402889353E-2</v>
      </c>
      <c r="F437" s="97">
        <v>45293</v>
      </c>
      <c r="G437" s="98">
        <v>21665.80078125</v>
      </c>
      <c r="H437" s="99">
        <f t="shared" si="13"/>
        <v>-3.5001360510240297E-3</v>
      </c>
    </row>
    <row r="438" spans="2:8" x14ac:dyDescent="0.3">
      <c r="B438" s="103">
        <v>45294</v>
      </c>
      <c r="C438" s="105">
        <v>1490</v>
      </c>
      <c r="D438" s="106">
        <f t="shared" si="12"/>
        <v>-2.8936407525812564E-2</v>
      </c>
      <c r="F438" s="97">
        <v>45294</v>
      </c>
      <c r="G438" s="98">
        <v>21517.349609375</v>
      </c>
      <c r="H438" s="100">
        <f t="shared" si="13"/>
        <v>-6.8518663756694607E-3</v>
      </c>
    </row>
    <row r="439" spans="2:8" x14ac:dyDescent="0.3">
      <c r="B439" s="103">
        <v>45295</v>
      </c>
      <c r="C439" s="105">
        <v>1512.699951171875</v>
      </c>
      <c r="D439" s="106">
        <f t="shared" si="12"/>
        <v>1.5234866558305369E-2</v>
      </c>
      <c r="F439" s="97">
        <v>45295</v>
      </c>
      <c r="G439" s="98">
        <v>21658.599609375</v>
      </c>
      <c r="H439" s="99">
        <f t="shared" si="13"/>
        <v>6.5644701863494422E-3</v>
      </c>
    </row>
    <row r="440" spans="2:8" x14ac:dyDescent="0.3">
      <c r="B440" s="103">
        <v>45296</v>
      </c>
      <c r="C440" s="105">
        <v>1532.550048828125</v>
      </c>
      <c r="D440" s="106">
        <f t="shared" si="12"/>
        <v>1.3122296752156506E-2</v>
      </c>
      <c r="F440" s="97">
        <v>45296</v>
      </c>
      <c r="G440" s="98">
        <v>21710.80078125</v>
      </c>
      <c r="H440" s="100">
        <f t="shared" si="13"/>
        <v>2.4101822286056087E-3</v>
      </c>
    </row>
    <row r="441" spans="2:8" x14ac:dyDescent="0.3">
      <c r="B441" s="103">
        <v>45299</v>
      </c>
      <c r="C441" s="105">
        <v>1522.800048828125</v>
      </c>
      <c r="D441" s="106">
        <f t="shared" si="12"/>
        <v>-6.3619455739506873E-3</v>
      </c>
      <c r="F441" s="97">
        <v>45299</v>
      </c>
      <c r="G441" s="98">
        <v>21513</v>
      </c>
      <c r="H441" s="99">
        <f t="shared" si="13"/>
        <v>-9.1107086856430358E-3</v>
      </c>
    </row>
    <row r="442" spans="2:8" x14ac:dyDescent="0.3">
      <c r="B442" s="103">
        <v>45300</v>
      </c>
      <c r="C442" s="105">
        <v>1529.300048828125</v>
      </c>
      <c r="D442" s="106">
        <f t="shared" si="12"/>
        <v>4.2684527131464783E-3</v>
      </c>
      <c r="F442" s="97">
        <v>45300</v>
      </c>
      <c r="G442" s="98">
        <v>21544.849609375</v>
      </c>
      <c r="H442" s="100">
        <f t="shared" si="13"/>
        <v>1.4804820050667038E-3</v>
      </c>
    </row>
    <row r="443" spans="2:8" x14ac:dyDescent="0.3">
      <c r="B443" s="103">
        <v>45301</v>
      </c>
      <c r="C443" s="105">
        <v>1519.900024414062</v>
      </c>
      <c r="D443" s="106">
        <f t="shared" si="12"/>
        <v>-6.1466187889459784E-3</v>
      </c>
      <c r="F443" s="97">
        <v>45301</v>
      </c>
      <c r="G443" s="98">
        <v>21618.69921875</v>
      </c>
      <c r="H443" s="99">
        <f t="shared" si="13"/>
        <v>3.4277152411806657E-3</v>
      </c>
    </row>
    <row r="444" spans="2:8" x14ac:dyDescent="0.3">
      <c r="B444" s="103">
        <v>45302</v>
      </c>
      <c r="C444" s="105">
        <v>1494.199951171875</v>
      </c>
      <c r="D444" s="106">
        <f t="shared" si="12"/>
        <v>-1.6909055088734998E-2</v>
      </c>
      <c r="F444" s="97">
        <v>45302</v>
      </c>
      <c r="G444" s="98">
        <v>21647.19921875</v>
      </c>
      <c r="H444" s="100">
        <f t="shared" si="13"/>
        <v>1.3183031833516521E-3</v>
      </c>
    </row>
    <row r="445" spans="2:8" x14ac:dyDescent="0.3">
      <c r="B445" s="103">
        <v>45303</v>
      </c>
      <c r="C445" s="105">
        <v>1612.75</v>
      </c>
      <c r="D445" s="106">
        <f t="shared" si="12"/>
        <v>7.9340150382917807E-2</v>
      </c>
      <c r="F445" s="97">
        <v>45303</v>
      </c>
      <c r="G445" s="98">
        <v>21894.55078125</v>
      </c>
      <c r="H445" s="99">
        <f t="shared" si="13"/>
        <v>1.1426492637705911E-2</v>
      </c>
    </row>
    <row r="446" spans="2:8" x14ac:dyDescent="0.3">
      <c r="B446" s="103">
        <v>45306</v>
      </c>
      <c r="C446" s="105">
        <v>1652.099975585938</v>
      </c>
      <c r="D446" s="106">
        <f t="shared" si="12"/>
        <v>2.4399302797047252E-2</v>
      </c>
      <c r="F446" s="97">
        <v>45306</v>
      </c>
      <c r="G446" s="98">
        <v>22097.44921875</v>
      </c>
      <c r="H446" s="100">
        <f t="shared" si="13"/>
        <v>9.2670746948486215E-3</v>
      </c>
    </row>
    <row r="447" spans="2:8" x14ac:dyDescent="0.3">
      <c r="B447" s="103">
        <v>45307</v>
      </c>
      <c r="C447" s="105">
        <v>1631.550048828125</v>
      </c>
      <c r="D447" s="106">
        <f t="shared" si="12"/>
        <v>-1.2438670214570196E-2</v>
      </c>
      <c r="F447" s="97">
        <v>45307</v>
      </c>
      <c r="G447" s="98">
        <v>22032.30078125</v>
      </c>
      <c r="H447" s="99">
        <f t="shared" si="13"/>
        <v>-2.9482333845447023E-3</v>
      </c>
    </row>
    <row r="448" spans="2:8" x14ac:dyDescent="0.3">
      <c r="B448" s="103">
        <v>45308</v>
      </c>
      <c r="C448" s="105">
        <v>1640.199951171875</v>
      </c>
      <c r="D448" s="106">
        <f t="shared" si="12"/>
        <v>5.3016469522114062E-3</v>
      </c>
      <c r="F448" s="97">
        <v>45308</v>
      </c>
      <c r="G448" s="98">
        <v>21571.94921875</v>
      </c>
      <c r="H448" s="100">
        <f t="shared" si="13"/>
        <v>-2.0894393512082492E-2</v>
      </c>
    </row>
    <row r="449" spans="2:8" x14ac:dyDescent="0.3">
      <c r="B449" s="103">
        <v>45309</v>
      </c>
      <c r="C449" s="105">
        <v>1642.599975585938</v>
      </c>
      <c r="D449" s="106">
        <f t="shared" si="12"/>
        <v>1.4632511190774073E-3</v>
      </c>
      <c r="F449" s="97">
        <v>45309</v>
      </c>
      <c r="G449" s="98">
        <v>21462.25</v>
      </c>
      <c r="H449" s="99">
        <f t="shared" si="13"/>
        <v>-5.0852715087355742E-3</v>
      </c>
    </row>
    <row r="450" spans="2:8" x14ac:dyDescent="0.3">
      <c r="B450" s="103">
        <v>45310</v>
      </c>
      <c r="C450" s="105">
        <v>1659.199951171875</v>
      </c>
      <c r="D450" s="106">
        <f t="shared" si="12"/>
        <v>1.0105914910911652E-2</v>
      </c>
      <c r="F450" s="97">
        <v>45310</v>
      </c>
      <c r="G450" s="98">
        <v>21622.400390625</v>
      </c>
      <c r="H450" s="100">
        <f t="shared" si="13"/>
        <v>7.4619571864552878E-3</v>
      </c>
    </row>
    <row r="451" spans="2:8" x14ac:dyDescent="0.3">
      <c r="B451" s="103">
        <v>45314</v>
      </c>
      <c r="C451" s="105">
        <v>1642.150024414062</v>
      </c>
      <c r="D451" s="106">
        <f t="shared" si="12"/>
        <v>-1.0275992803501938E-2</v>
      </c>
      <c r="F451" s="97">
        <v>45314</v>
      </c>
      <c r="G451" s="98">
        <v>21238.80078125</v>
      </c>
      <c r="H451" s="99">
        <f t="shared" si="13"/>
        <v>-1.7740842942734536E-2</v>
      </c>
    </row>
    <row r="452" spans="2:8" x14ac:dyDescent="0.3">
      <c r="B452" s="103">
        <v>45315</v>
      </c>
      <c r="C452" s="105">
        <v>1675.400024414062</v>
      </c>
      <c r="D452" s="106">
        <f t="shared" si="12"/>
        <v>2.0247845510865538E-2</v>
      </c>
      <c r="F452" s="97">
        <v>45315</v>
      </c>
      <c r="G452" s="98">
        <v>21453.94921875</v>
      </c>
      <c r="H452" s="100">
        <f t="shared" si="13"/>
        <v>1.0129971071150917E-2</v>
      </c>
    </row>
    <row r="453" spans="2:8" x14ac:dyDescent="0.3">
      <c r="B453" s="103">
        <v>45316</v>
      </c>
      <c r="C453" s="105">
        <v>1669.099975585938</v>
      </c>
      <c r="D453" s="106">
        <f t="shared" ref="D453:D516" si="14">(C453-C452)/C452</f>
        <v>-3.7603251380680909E-3</v>
      </c>
      <c r="F453" s="97">
        <v>45316</v>
      </c>
      <c r="G453" s="98">
        <v>21352.599609375</v>
      </c>
      <c r="H453" s="99">
        <f t="shared" ref="H453:H516" si="15">(G453-G452)/G452</f>
        <v>-4.7240537554001476E-3</v>
      </c>
    </row>
    <row r="454" spans="2:8" x14ac:dyDescent="0.3">
      <c r="B454" s="103">
        <v>45320</v>
      </c>
      <c r="C454" s="105">
        <v>1656.599975585938</v>
      </c>
      <c r="D454" s="106">
        <f t="shared" si="14"/>
        <v>-7.4890660732361896E-3</v>
      </c>
      <c r="F454" s="97">
        <v>45320</v>
      </c>
      <c r="G454" s="98">
        <v>21737.599609375</v>
      </c>
      <c r="H454" s="100">
        <f t="shared" si="15"/>
        <v>1.8030591452244681E-2</v>
      </c>
    </row>
    <row r="455" spans="2:8" x14ac:dyDescent="0.3">
      <c r="B455" s="103">
        <v>45321</v>
      </c>
      <c r="C455" s="105">
        <v>1651.449951171875</v>
      </c>
      <c r="D455" s="106">
        <f t="shared" si="14"/>
        <v>-3.1087917964271344E-3</v>
      </c>
      <c r="F455" s="97">
        <v>45321</v>
      </c>
      <c r="G455" s="98">
        <v>21522.099609375</v>
      </c>
      <c r="H455" s="99">
        <f t="shared" si="15"/>
        <v>-9.9136981024831768E-3</v>
      </c>
    </row>
    <row r="456" spans="2:8" x14ac:dyDescent="0.3">
      <c r="B456" s="103">
        <v>45322</v>
      </c>
      <c r="C456" s="105">
        <v>1660.900024414062</v>
      </c>
      <c r="D456" s="106">
        <f t="shared" si="14"/>
        <v>5.7222886079479661E-3</v>
      </c>
      <c r="F456" s="97">
        <v>45322</v>
      </c>
      <c r="G456" s="98">
        <v>21725.69921875</v>
      </c>
      <c r="H456" s="100">
        <f t="shared" si="15"/>
        <v>9.4600254190029057E-3</v>
      </c>
    </row>
    <row r="457" spans="2:8" x14ac:dyDescent="0.3">
      <c r="B457" s="103">
        <v>45323</v>
      </c>
      <c r="C457" s="105">
        <v>1657.050048828125</v>
      </c>
      <c r="D457" s="106">
        <f t="shared" si="14"/>
        <v>-2.3180056170420326E-3</v>
      </c>
      <c r="F457" s="97">
        <v>45323</v>
      </c>
      <c r="G457" s="98">
        <v>21697.44921875</v>
      </c>
      <c r="H457" s="99">
        <f t="shared" si="15"/>
        <v>-1.3003033741542051E-3</v>
      </c>
    </row>
    <row r="458" spans="2:8" x14ac:dyDescent="0.3">
      <c r="B458" s="103">
        <v>45324</v>
      </c>
      <c r="C458" s="105">
        <v>1693.349975585938</v>
      </c>
      <c r="D458" s="106">
        <f t="shared" si="14"/>
        <v>2.1906355081721559E-2</v>
      </c>
      <c r="F458" s="97">
        <v>45324</v>
      </c>
      <c r="G458" s="98">
        <v>21853.80078125</v>
      </c>
      <c r="H458" s="100">
        <f t="shared" si="15"/>
        <v>7.2059881750933062E-3</v>
      </c>
    </row>
    <row r="459" spans="2:8" x14ac:dyDescent="0.3">
      <c r="B459" s="103">
        <v>45327</v>
      </c>
      <c r="C459" s="105">
        <v>1687.199951171875</v>
      </c>
      <c r="D459" s="106">
        <f t="shared" si="14"/>
        <v>-3.6318684871595461E-3</v>
      </c>
      <c r="F459" s="97">
        <v>45327</v>
      </c>
      <c r="G459" s="98">
        <v>21771.69921875</v>
      </c>
      <c r="H459" s="99">
        <f t="shared" si="15"/>
        <v>-3.7568550808077758E-3</v>
      </c>
    </row>
    <row r="460" spans="2:8" x14ac:dyDescent="0.3">
      <c r="B460" s="103">
        <v>45328</v>
      </c>
      <c r="C460" s="105">
        <v>1729.449951171875</v>
      </c>
      <c r="D460" s="106">
        <f t="shared" si="14"/>
        <v>2.5041489581987306E-2</v>
      </c>
      <c r="F460" s="97">
        <v>45328</v>
      </c>
      <c r="G460" s="98">
        <v>21929.400390625</v>
      </c>
      <c r="H460" s="100">
        <f t="shared" si="15"/>
        <v>7.243402101531249E-3</v>
      </c>
    </row>
    <row r="461" spans="2:8" x14ac:dyDescent="0.3">
      <c r="B461" s="103">
        <v>45329</v>
      </c>
      <c r="C461" s="105">
        <v>1693.75</v>
      </c>
      <c r="D461" s="106">
        <f t="shared" si="14"/>
        <v>-2.064237311272565E-2</v>
      </c>
      <c r="F461" s="97">
        <v>45329</v>
      </c>
      <c r="G461" s="98">
        <v>21930.5</v>
      </c>
      <c r="H461" s="99">
        <f t="shared" si="15"/>
        <v>5.0143157378351857E-5</v>
      </c>
    </row>
    <row r="462" spans="2:8" x14ac:dyDescent="0.3">
      <c r="B462" s="103">
        <v>45330</v>
      </c>
      <c r="C462" s="105">
        <v>1692.099975585938</v>
      </c>
      <c r="D462" s="106">
        <f t="shared" si="14"/>
        <v>-9.7418415590379054E-4</v>
      </c>
      <c r="F462" s="97">
        <v>45330</v>
      </c>
      <c r="G462" s="98">
        <v>21717.94921875</v>
      </c>
      <c r="H462" s="100">
        <f t="shared" si="15"/>
        <v>-9.6920171108729851E-3</v>
      </c>
    </row>
    <row r="463" spans="2:8" x14ac:dyDescent="0.3">
      <c r="B463" s="103">
        <v>45331</v>
      </c>
      <c r="C463" s="105">
        <v>1669.349975585938</v>
      </c>
      <c r="D463" s="106">
        <f t="shared" si="14"/>
        <v>-1.3444832059714534E-2</v>
      </c>
      <c r="F463" s="97">
        <v>45331</v>
      </c>
      <c r="G463" s="98">
        <v>21782.5</v>
      </c>
      <c r="H463" s="99">
        <f t="shared" si="15"/>
        <v>2.9722318898448593E-3</v>
      </c>
    </row>
    <row r="464" spans="2:8" x14ac:dyDescent="0.3">
      <c r="B464" s="103">
        <v>45334</v>
      </c>
      <c r="C464" s="105">
        <v>1680.099975585938</v>
      </c>
      <c r="D464" s="106">
        <f t="shared" si="14"/>
        <v>6.4396322863495264E-3</v>
      </c>
      <c r="F464" s="97">
        <v>45334</v>
      </c>
      <c r="G464" s="98">
        <v>21616.05078125</v>
      </c>
      <c r="H464" s="100">
        <f t="shared" si="15"/>
        <v>-7.6414194307356824E-3</v>
      </c>
    </row>
    <row r="465" spans="2:8" x14ac:dyDescent="0.3">
      <c r="B465" s="103">
        <v>45335</v>
      </c>
      <c r="C465" s="105">
        <v>1684.550048828125</v>
      </c>
      <c r="D465" s="106">
        <f t="shared" si="14"/>
        <v>2.6486954983944177E-3</v>
      </c>
      <c r="F465" s="97">
        <v>45335</v>
      </c>
      <c r="G465" s="98">
        <v>21743.25</v>
      </c>
      <c r="H465" s="99">
        <f t="shared" si="15"/>
        <v>5.8844800115076526E-3</v>
      </c>
    </row>
    <row r="466" spans="2:8" x14ac:dyDescent="0.3">
      <c r="B466" s="103">
        <v>45336</v>
      </c>
      <c r="C466" s="105">
        <v>1666.199951171875</v>
      </c>
      <c r="D466" s="106">
        <f t="shared" si="14"/>
        <v>-1.0893174512099204E-2</v>
      </c>
      <c r="F466" s="97">
        <v>45336</v>
      </c>
      <c r="G466" s="98">
        <v>21840.05078125</v>
      </c>
      <c r="H466" s="100">
        <f t="shared" si="15"/>
        <v>4.4519922849619994E-3</v>
      </c>
    </row>
    <row r="467" spans="2:8" x14ac:dyDescent="0.3">
      <c r="B467" s="103">
        <v>45337</v>
      </c>
      <c r="C467" s="105">
        <v>1676.349975585938</v>
      </c>
      <c r="D467" s="106">
        <f t="shared" si="14"/>
        <v>6.0917205086485687E-3</v>
      </c>
      <c r="F467" s="97">
        <v>45337</v>
      </c>
      <c r="G467" s="98">
        <v>21910.75</v>
      </c>
      <c r="H467" s="99">
        <f t="shared" si="15"/>
        <v>3.2371361888359849E-3</v>
      </c>
    </row>
    <row r="468" spans="2:8" x14ac:dyDescent="0.3">
      <c r="B468" s="103">
        <v>45338</v>
      </c>
      <c r="C468" s="105">
        <v>1701.650024414062</v>
      </c>
      <c r="D468" s="106">
        <f t="shared" si="14"/>
        <v>1.5092343005094096E-2</v>
      </c>
      <c r="F468" s="97">
        <v>45338</v>
      </c>
      <c r="G468" s="98">
        <v>22040.69921875</v>
      </c>
      <c r="H468" s="100">
        <f t="shared" si="15"/>
        <v>5.9308430222607626E-3</v>
      </c>
    </row>
    <row r="469" spans="2:8" x14ac:dyDescent="0.3">
      <c r="B469" s="103">
        <v>45341</v>
      </c>
      <c r="C469" s="105">
        <v>1699.75</v>
      </c>
      <c r="D469" s="106">
        <f t="shared" si="14"/>
        <v>-1.116577666853847E-3</v>
      </c>
      <c r="F469" s="97">
        <v>45341</v>
      </c>
      <c r="G469" s="98">
        <v>22122.25</v>
      </c>
      <c r="H469" s="99">
        <f t="shared" si="15"/>
        <v>3.7000088082788604E-3</v>
      </c>
    </row>
    <row r="470" spans="2:8" x14ac:dyDescent="0.3">
      <c r="B470" s="103">
        <v>45342</v>
      </c>
      <c r="C470" s="105">
        <v>1685.25</v>
      </c>
      <c r="D470" s="106">
        <f t="shared" si="14"/>
        <v>-8.5306662744521252E-3</v>
      </c>
      <c r="F470" s="97">
        <v>45342</v>
      </c>
      <c r="G470" s="98">
        <v>22196.94921875</v>
      </c>
      <c r="H470" s="100">
        <f t="shared" si="15"/>
        <v>3.3766555730090748E-3</v>
      </c>
    </row>
    <row r="471" spans="2:8" x14ac:dyDescent="0.3">
      <c r="B471" s="103">
        <v>45343</v>
      </c>
      <c r="C471" s="105">
        <v>1655.550048828125</v>
      </c>
      <c r="D471" s="106">
        <f t="shared" si="14"/>
        <v>-1.7623469023512833E-2</v>
      </c>
      <c r="F471" s="97">
        <v>45343</v>
      </c>
      <c r="G471" s="98">
        <v>22055.05078125</v>
      </c>
      <c r="H471" s="99">
        <f t="shared" si="15"/>
        <v>-6.3927000103301077E-3</v>
      </c>
    </row>
    <row r="472" spans="2:8" x14ac:dyDescent="0.3">
      <c r="B472" s="103">
        <v>45344</v>
      </c>
      <c r="C472" s="105">
        <v>1681.349975585938</v>
      </c>
      <c r="D472" s="106">
        <f t="shared" si="14"/>
        <v>1.5583900212545878E-2</v>
      </c>
      <c r="F472" s="97">
        <v>45344</v>
      </c>
      <c r="G472" s="98">
        <v>22217.44921875</v>
      </c>
      <c r="H472" s="100">
        <f t="shared" si="15"/>
        <v>7.3633218581415499E-3</v>
      </c>
    </row>
    <row r="473" spans="2:8" x14ac:dyDescent="0.3">
      <c r="B473" s="103">
        <v>45345</v>
      </c>
      <c r="C473" s="105">
        <v>1676.849975585938</v>
      </c>
      <c r="D473" s="106">
        <f t="shared" si="14"/>
        <v>-2.6764207722022797E-3</v>
      </c>
      <c r="F473" s="97">
        <v>45345</v>
      </c>
      <c r="G473" s="98">
        <v>22212.69921875</v>
      </c>
      <c r="H473" s="99">
        <f t="shared" si="15"/>
        <v>-2.1379592019012364E-4</v>
      </c>
    </row>
    <row r="474" spans="2:8" x14ac:dyDescent="0.3">
      <c r="B474" s="103">
        <v>45348</v>
      </c>
      <c r="C474" s="105">
        <v>1660.150024414062</v>
      </c>
      <c r="D474" s="106">
        <f t="shared" si="14"/>
        <v>-9.9591206220106133E-3</v>
      </c>
      <c r="F474" s="97">
        <v>45348</v>
      </c>
      <c r="G474" s="98">
        <v>22122.05078125</v>
      </c>
      <c r="H474" s="100">
        <f t="shared" si="15"/>
        <v>-4.0809285088361791E-3</v>
      </c>
    </row>
    <row r="475" spans="2:8" x14ac:dyDescent="0.3">
      <c r="B475" s="103">
        <v>45349</v>
      </c>
      <c r="C475" s="105">
        <v>1663.599975585938</v>
      </c>
      <c r="D475" s="106">
        <f t="shared" si="14"/>
        <v>2.0780960281547717E-3</v>
      </c>
      <c r="F475" s="97">
        <v>45349</v>
      </c>
      <c r="G475" s="98">
        <v>22198.349609375</v>
      </c>
      <c r="H475" s="99">
        <f t="shared" si="15"/>
        <v>3.4489943486464033E-3</v>
      </c>
    </row>
    <row r="476" spans="2:8" x14ac:dyDescent="0.3">
      <c r="B476" s="103">
        <v>45350</v>
      </c>
      <c r="C476" s="105">
        <v>1671.25</v>
      </c>
      <c r="D476" s="106">
        <f t="shared" si="14"/>
        <v>4.5984759114748265E-3</v>
      </c>
      <c r="F476" s="97">
        <v>45350</v>
      </c>
      <c r="G476" s="98">
        <v>21951.150390625</v>
      </c>
      <c r="H476" s="100">
        <f t="shared" si="15"/>
        <v>-1.1135927809948569E-2</v>
      </c>
    </row>
    <row r="477" spans="2:8" x14ac:dyDescent="0.3">
      <c r="B477" s="103">
        <v>45351</v>
      </c>
      <c r="C477" s="105">
        <v>1673.900024414062</v>
      </c>
      <c r="D477" s="106">
        <f t="shared" si="14"/>
        <v>1.5856540996631535E-3</v>
      </c>
      <c r="F477" s="97">
        <v>45351</v>
      </c>
      <c r="G477" s="98">
        <v>21982.80078125</v>
      </c>
      <c r="H477" s="99">
        <f t="shared" si="15"/>
        <v>1.4418556686904846E-3</v>
      </c>
    </row>
    <row r="478" spans="2:8" x14ac:dyDescent="0.3">
      <c r="B478" s="103">
        <v>45352</v>
      </c>
      <c r="C478" s="105">
        <v>1654.699951171875</v>
      </c>
      <c r="D478" s="106">
        <f t="shared" si="14"/>
        <v>-1.1470262836580045E-2</v>
      </c>
      <c r="F478" s="97">
        <v>45352</v>
      </c>
      <c r="G478" s="98">
        <v>22338.75</v>
      </c>
      <c r="H478" s="100">
        <f t="shared" si="15"/>
        <v>1.6192168700068607E-2</v>
      </c>
    </row>
    <row r="479" spans="2:8" x14ac:dyDescent="0.3">
      <c r="B479" s="103">
        <v>45355</v>
      </c>
      <c r="C479" s="105">
        <v>1637.199951171875</v>
      </c>
      <c r="D479" s="106">
        <f t="shared" si="14"/>
        <v>-1.0575935526925184E-2</v>
      </c>
      <c r="F479" s="97">
        <v>45355</v>
      </c>
      <c r="G479" s="98">
        <v>22405.599609375</v>
      </c>
      <c r="H479" s="99">
        <f t="shared" si="15"/>
        <v>2.9925402887359411E-3</v>
      </c>
    </row>
    <row r="480" spans="2:8" x14ac:dyDescent="0.3">
      <c r="B480" s="103">
        <v>45356</v>
      </c>
      <c r="C480" s="105">
        <v>1606.5</v>
      </c>
      <c r="D480" s="106">
        <f t="shared" si="14"/>
        <v>-1.8751497732394012E-2</v>
      </c>
      <c r="F480" s="97">
        <v>45356</v>
      </c>
      <c r="G480" s="98">
        <v>22356.30078125</v>
      </c>
      <c r="H480" s="100">
        <f t="shared" si="15"/>
        <v>-2.2002905070379049E-3</v>
      </c>
    </row>
    <row r="481" spans="2:8" x14ac:dyDescent="0.3">
      <c r="B481" s="103">
        <v>45357</v>
      </c>
      <c r="C481" s="105">
        <v>1617.550048828125</v>
      </c>
      <c r="D481" s="106">
        <f t="shared" si="14"/>
        <v>6.8783372724089634E-3</v>
      </c>
      <c r="F481" s="97">
        <v>45357</v>
      </c>
      <c r="G481" s="98">
        <v>22474.05078125</v>
      </c>
      <c r="H481" s="99">
        <f t="shared" si="15"/>
        <v>5.2669715420341689E-3</v>
      </c>
    </row>
    <row r="482" spans="2:8" x14ac:dyDescent="0.3">
      <c r="B482" s="103">
        <v>45358</v>
      </c>
      <c r="C482" s="105">
        <v>1616.449951171875</v>
      </c>
      <c r="D482" s="106">
        <f t="shared" si="14"/>
        <v>-6.8010115485885188E-4</v>
      </c>
      <c r="F482" s="97">
        <v>45358</v>
      </c>
      <c r="G482" s="98">
        <v>22493.55078125</v>
      </c>
      <c r="H482" s="100">
        <f t="shared" si="15"/>
        <v>8.6766734621195941E-4</v>
      </c>
    </row>
    <row r="483" spans="2:8" x14ac:dyDescent="0.3">
      <c r="B483" s="103">
        <v>45362</v>
      </c>
      <c r="C483" s="105">
        <v>1600.599975585938</v>
      </c>
      <c r="D483" s="106">
        <f t="shared" si="14"/>
        <v>-9.8054230348711482E-3</v>
      </c>
      <c r="F483" s="97">
        <v>45362</v>
      </c>
      <c r="G483" s="98">
        <v>22332.650390625</v>
      </c>
      <c r="H483" s="99">
        <f t="shared" si="15"/>
        <v>-7.1531788017711326E-3</v>
      </c>
    </row>
    <row r="484" spans="2:8" x14ac:dyDescent="0.3">
      <c r="B484" s="103">
        <v>45363</v>
      </c>
      <c r="C484" s="105">
        <v>1612.949951171875</v>
      </c>
      <c r="D484" s="106">
        <f t="shared" si="14"/>
        <v>7.7158414184131429E-3</v>
      </c>
      <c r="F484" s="97">
        <v>45363</v>
      </c>
      <c r="G484" s="98">
        <v>22335.69921875</v>
      </c>
      <c r="H484" s="100">
        <f t="shared" si="15"/>
        <v>1.3651886684617893E-4</v>
      </c>
    </row>
    <row r="485" spans="2:8" x14ac:dyDescent="0.3">
      <c r="B485" s="103">
        <v>45364</v>
      </c>
      <c r="C485" s="105">
        <v>1611.400024414062</v>
      </c>
      <c r="D485" s="106">
        <f t="shared" si="14"/>
        <v>-9.6092675205877818E-4</v>
      </c>
      <c r="F485" s="97">
        <v>45364</v>
      </c>
      <c r="G485" s="98">
        <v>21997.69921875</v>
      </c>
      <c r="H485" s="99">
        <f t="shared" si="15"/>
        <v>-1.5132725270416491E-2</v>
      </c>
    </row>
    <row r="486" spans="2:8" x14ac:dyDescent="0.3">
      <c r="B486" s="103">
        <v>45365</v>
      </c>
      <c r="C486" s="105">
        <v>1653.300048828125</v>
      </c>
      <c r="D486" s="106">
        <f t="shared" si="14"/>
        <v>2.6002248839048305E-2</v>
      </c>
      <c r="F486" s="97">
        <v>45365</v>
      </c>
      <c r="G486" s="98">
        <v>22146.650390625</v>
      </c>
      <c r="H486" s="100">
        <f t="shared" si="15"/>
        <v>6.7712159528047237E-3</v>
      </c>
    </row>
    <row r="487" spans="2:8" x14ac:dyDescent="0.3">
      <c r="B487" s="103">
        <v>45366</v>
      </c>
      <c r="C487" s="105">
        <v>1634</v>
      </c>
      <c r="D487" s="106">
        <f t="shared" si="14"/>
        <v>-1.1673651641034585E-2</v>
      </c>
      <c r="F487" s="97">
        <v>45366</v>
      </c>
      <c r="G487" s="98">
        <v>22023.349609375</v>
      </c>
      <c r="H487" s="99">
        <f t="shared" si="15"/>
        <v>-5.5674686273186943E-3</v>
      </c>
    </row>
    <row r="488" spans="2:8" x14ac:dyDescent="0.3">
      <c r="B488" s="103">
        <v>45369</v>
      </c>
      <c r="C488" s="105">
        <v>1602.650024414062</v>
      </c>
      <c r="D488" s="106">
        <f t="shared" si="14"/>
        <v>-1.9186031570341464E-2</v>
      </c>
      <c r="F488" s="97">
        <v>45369</v>
      </c>
      <c r="G488" s="98">
        <v>22055.69921875</v>
      </c>
      <c r="H488" s="100">
        <f t="shared" si="15"/>
        <v>1.4688778023679591E-3</v>
      </c>
    </row>
    <row r="489" spans="2:8" x14ac:dyDescent="0.3">
      <c r="B489" s="103">
        <v>45370</v>
      </c>
      <c r="C489" s="105">
        <v>1561.449951171875</v>
      </c>
      <c r="D489" s="106">
        <f t="shared" si="14"/>
        <v>-2.5707467391235354E-2</v>
      </c>
      <c r="F489" s="97">
        <v>45370</v>
      </c>
      <c r="G489" s="98">
        <v>21817.44921875</v>
      </c>
      <c r="H489" s="99">
        <f t="shared" si="15"/>
        <v>-1.080219664028873E-2</v>
      </c>
    </row>
    <row r="490" spans="2:8" x14ac:dyDescent="0.3">
      <c r="B490" s="103">
        <v>45371</v>
      </c>
      <c r="C490" s="105">
        <v>1554.949951171875</v>
      </c>
      <c r="D490" s="106">
        <f t="shared" si="14"/>
        <v>-4.162797530027601E-3</v>
      </c>
      <c r="F490" s="97">
        <v>45371</v>
      </c>
      <c r="G490" s="98">
        <v>21839.099609375</v>
      </c>
      <c r="H490" s="100">
        <f t="shared" si="15"/>
        <v>9.9234289068006964E-4</v>
      </c>
    </row>
    <row r="491" spans="2:8" x14ac:dyDescent="0.3">
      <c r="B491" s="103">
        <v>45372</v>
      </c>
      <c r="C491" s="105">
        <v>1554.699951171875</v>
      </c>
      <c r="D491" s="106">
        <f t="shared" si="14"/>
        <v>-1.6077687890313742E-4</v>
      </c>
      <c r="F491" s="97">
        <v>45372</v>
      </c>
      <c r="G491" s="98">
        <v>22011.94921875</v>
      </c>
      <c r="H491" s="99">
        <f t="shared" si="15"/>
        <v>7.9146856998078725E-3</v>
      </c>
    </row>
    <row r="492" spans="2:8" x14ac:dyDescent="0.3">
      <c r="B492" s="103">
        <v>45373</v>
      </c>
      <c r="C492" s="105">
        <v>1508.849975585938</v>
      </c>
      <c r="D492" s="106">
        <f t="shared" si="14"/>
        <v>-2.9491205393926356E-2</v>
      </c>
      <c r="F492" s="97">
        <v>45373</v>
      </c>
      <c r="G492" s="98">
        <v>22096.75</v>
      </c>
      <c r="H492" s="100">
        <f t="shared" si="15"/>
        <v>3.8524885010077091E-3</v>
      </c>
    </row>
    <row r="493" spans="2:8" x14ac:dyDescent="0.3">
      <c r="B493" s="103">
        <v>45377</v>
      </c>
      <c r="C493" s="105">
        <v>1492.650024414062</v>
      </c>
      <c r="D493" s="106">
        <f t="shared" si="14"/>
        <v>-1.0736621555489581E-2</v>
      </c>
      <c r="F493" s="97">
        <v>45377</v>
      </c>
      <c r="G493" s="98">
        <v>22004.69921875</v>
      </c>
      <c r="H493" s="99">
        <f t="shared" si="15"/>
        <v>-4.1658063402989125E-3</v>
      </c>
    </row>
    <row r="494" spans="2:8" x14ac:dyDescent="0.3">
      <c r="B494" s="103">
        <v>45378</v>
      </c>
      <c r="C494" s="105">
        <v>1483.849975585938</v>
      </c>
      <c r="D494" s="106">
        <f t="shared" si="14"/>
        <v>-5.8955875015501633E-3</v>
      </c>
      <c r="F494" s="97">
        <v>45378</v>
      </c>
      <c r="G494" s="98">
        <v>22123.650390625</v>
      </c>
      <c r="H494" s="100">
        <f t="shared" si="15"/>
        <v>5.40571678315161E-3</v>
      </c>
    </row>
    <row r="495" spans="2:8" x14ac:dyDescent="0.3">
      <c r="B495" s="103">
        <v>45379</v>
      </c>
      <c r="C495" s="105">
        <v>1498.050048828125</v>
      </c>
      <c r="D495" s="106">
        <f t="shared" si="14"/>
        <v>9.5697499584348252E-3</v>
      </c>
      <c r="F495" s="97">
        <v>45379</v>
      </c>
      <c r="G495" s="98">
        <v>22326.900390625</v>
      </c>
      <c r="H495" s="99">
        <f t="shared" si="15"/>
        <v>9.1870010785438973E-3</v>
      </c>
    </row>
    <row r="496" spans="2:8" x14ac:dyDescent="0.3">
      <c r="B496" s="103">
        <v>45383</v>
      </c>
      <c r="C496" s="105">
        <v>1495.449951171875</v>
      </c>
      <c r="D496" s="106">
        <f t="shared" si="14"/>
        <v>-1.735654732152621E-3</v>
      </c>
      <c r="F496" s="97">
        <v>45383</v>
      </c>
      <c r="G496" s="98">
        <v>22462</v>
      </c>
      <c r="H496" s="100">
        <f t="shared" si="15"/>
        <v>6.0509791780917303E-3</v>
      </c>
    </row>
    <row r="497" spans="2:8" x14ac:dyDescent="0.3">
      <c r="B497" s="103">
        <v>45384</v>
      </c>
      <c r="C497" s="105">
        <v>1482.849975585938</v>
      </c>
      <c r="D497" s="106">
        <f t="shared" si="14"/>
        <v>-8.4255414740315206E-3</v>
      </c>
      <c r="F497" s="97">
        <v>45384</v>
      </c>
      <c r="G497" s="98">
        <v>22453.30078125</v>
      </c>
      <c r="H497" s="99">
        <f t="shared" si="15"/>
        <v>-3.872860275131333E-4</v>
      </c>
    </row>
    <row r="498" spans="2:8" x14ac:dyDescent="0.3">
      <c r="B498" s="103">
        <v>45385</v>
      </c>
      <c r="C498" s="105">
        <v>1480.650024414062</v>
      </c>
      <c r="D498" s="106">
        <f t="shared" si="14"/>
        <v>-1.4835965931122694E-3</v>
      </c>
      <c r="F498" s="97">
        <v>45385</v>
      </c>
      <c r="G498" s="98">
        <v>22434.650390625</v>
      </c>
      <c r="H498" s="100">
        <f t="shared" si="15"/>
        <v>-8.3063024036868183E-4</v>
      </c>
    </row>
    <row r="499" spans="2:8" x14ac:dyDescent="0.3">
      <c r="B499" s="103">
        <v>45386</v>
      </c>
      <c r="C499" s="105">
        <v>1486.699951171875</v>
      </c>
      <c r="D499" s="106">
        <f t="shared" si="14"/>
        <v>4.0859937581854255E-3</v>
      </c>
      <c r="F499" s="97">
        <v>45386</v>
      </c>
      <c r="G499" s="98">
        <v>22514.650390625</v>
      </c>
      <c r="H499" s="99">
        <f t="shared" si="15"/>
        <v>3.5659124883635554E-3</v>
      </c>
    </row>
    <row r="500" spans="2:8" x14ac:dyDescent="0.3">
      <c r="B500" s="103">
        <v>45387</v>
      </c>
      <c r="C500" s="105">
        <v>1479.099975585938</v>
      </c>
      <c r="D500" s="106">
        <f t="shared" si="14"/>
        <v>-5.1119767508880642E-3</v>
      </c>
      <c r="F500" s="97">
        <v>45387</v>
      </c>
      <c r="G500" s="98">
        <v>22513.69921875</v>
      </c>
      <c r="H500" s="100">
        <f t="shared" si="15"/>
        <v>-4.2246797462867275E-5</v>
      </c>
    </row>
    <row r="501" spans="2:8" x14ac:dyDescent="0.3">
      <c r="B501" s="103">
        <v>45390</v>
      </c>
      <c r="C501" s="105">
        <v>1476.699951171875</v>
      </c>
      <c r="D501" s="106">
        <f t="shared" si="14"/>
        <v>-1.6226248757202483E-3</v>
      </c>
      <c r="F501" s="97">
        <v>45390</v>
      </c>
      <c r="G501" s="98">
        <v>22666.30078125</v>
      </c>
      <c r="H501" s="99">
        <f t="shared" si="15"/>
        <v>6.7781647528145621E-3</v>
      </c>
    </row>
    <row r="502" spans="2:8" x14ac:dyDescent="0.3">
      <c r="B502" s="103">
        <v>45391</v>
      </c>
      <c r="C502" s="105">
        <v>1494.849975585938</v>
      </c>
      <c r="D502" s="106">
        <f t="shared" si="14"/>
        <v>1.2290935880142418E-2</v>
      </c>
      <c r="F502" s="97">
        <v>45391</v>
      </c>
      <c r="G502" s="98">
        <v>22642.75</v>
      </c>
      <c r="H502" s="100">
        <f t="shared" si="15"/>
        <v>-1.0390218270412109E-3</v>
      </c>
    </row>
    <row r="503" spans="2:8" x14ac:dyDescent="0.3">
      <c r="B503" s="103">
        <v>45392</v>
      </c>
      <c r="C503" s="105">
        <v>1506.800048828125</v>
      </c>
      <c r="D503" s="106">
        <f t="shared" si="14"/>
        <v>7.9941622486249583E-3</v>
      </c>
      <c r="F503" s="97">
        <v>45392</v>
      </c>
      <c r="G503" s="98">
        <v>22753.80078125</v>
      </c>
      <c r="H503" s="99">
        <f t="shared" si="15"/>
        <v>4.9044741142308243E-3</v>
      </c>
    </row>
    <row r="504" spans="2:8" x14ac:dyDescent="0.3">
      <c r="B504" s="103">
        <v>45394</v>
      </c>
      <c r="C504" s="105">
        <v>1484.75</v>
      </c>
      <c r="D504" s="106">
        <f t="shared" si="14"/>
        <v>-1.4633692668960196E-2</v>
      </c>
      <c r="F504" s="97">
        <v>45394</v>
      </c>
      <c r="G504" s="98">
        <v>22519.400390625</v>
      </c>
      <c r="H504" s="100">
        <f t="shared" si="15"/>
        <v>-1.0301592814249954E-2</v>
      </c>
    </row>
    <row r="505" spans="2:8" x14ac:dyDescent="0.3">
      <c r="B505" s="103">
        <v>45397</v>
      </c>
      <c r="C505" s="105">
        <v>1468.150024414062</v>
      </c>
      <c r="D505" s="106">
        <f t="shared" si="14"/>
        <v>-1.1180316946245465E-2</v>
      </c>
      <c r="F505" s="97">
        <v>45397</v>
      </c>
      <c r="G505" s="98">
        <v>22272.5</v>
      </c>
      <c r="H505" s="99">
        <f t="shared" si="15"/>
        <v>-1.0963897188301094E-2</v>
      </c>
    </row>
    <row r="506" spans="2:8" x14ac:dyDescent="0.3">
      <c r="B506" s="103">
        <v>45398</v>
      </c>
      <c r="C506" s="105">
        <v>1414.449951171875</v>
      </c>
      <c r="D506" s="106">
        <f t="shared" si="14"/>
        <v>-3.6576693355039595E-2</v>
      </c>
      <c r="F506" s="97">
        <v>45398</v>
      </c>
      <c r="G506" s="98">
        <v>22147.900390625</v>
      </c>
      <c r="H506" s="100">
        <f t="shared" si="15"/>
        <v>-5.5943252609720511E-3</v>
      </c>
    </row>
    <row r="507" spans="2:8" x14ac:dyDescent="0.3">
      <c r="B507" s="103">
        <v>45400</v>
      </c>
      <c r="C507" s="105">
        <v>1419.25</v>
      </c>
      <c r="D507" s="106">
        <f t="shared" si="14"/>
        <v>3.3935798323214963E-3</v>
      </c>
      <c r="F507" s="97">
        <v>45400</v>
      </c>
      <c r="G507" s="98">
        <v>21995.849609375</v>
      </c>
      <c r="H507" s="99">
        <f t="shared" si="15"/>
        <v>-6.8652458503182393E-3</v>
      </c>
    </row>
    <row r="508" spans="2:8" x14ac:dyDescent="0.3">
      <c r="B508" s="103">
        <v>45401</v>
      </c>
      <c r="C508" s="105">
        <v>1411.25</v>
      </c>
      <c r="D508" s="106">
        <f t="shared" si="14"/>
        <v>-5.6367799894310377E-3</v>
      </c>
      <c r="F508" s="97">
        <v>45401</v>
      </c>
      <c r="G508" s="98">
        <v>22147</v>
      </c>
      <c r="H508" s="100">
        <f t="shared" si="15"/>
        <v>6.8717686886064708E-3</v>
      </c>
    </row>
    <row r="509" spans="2:8" x14ac:dyDescent="0.3">
      <c r="B509" s="103">
        <v>45404</v>
      </c>
      <c r="C509" s="105">
        <v>1432.75</v>
      </c>
      <c r="D509" s="106">
        <f t="shared" si="14"/>
        <v>1.5234720992028343E-2</v>
      </c>
      <c r="F509" s="97">
        <v>45404</v>
      </c>
      <c r="G509" s="98">
        <v>22336.400390625</v>
      </c>
      <c r="H509" s="99">
        <f t="shared" si="15"/>
        <v>8.5519659829773782E-3</v>
      </c>
    </row>
    <row r="510" spans="2:8" x14ac:dyDescent="0.3">
      <c r="B510" s="103">
        <v>45405</v>
      </c>
      <c r="C510" s="105">
        <v>1442.400024414062</v>
      </c>
      <c r="D510" s="106">
        <f t="shared" si="14"/>
        <v>6.7353162896960708E-3</v>
      </c>
      <c r="F510" s="97">
        <v>45405</v>
      </c>
      <c r="G510" s="98">
        <v>22368</v>
      </c>
      <c r="H510" s="100">
        <f t="shared" si="15"/>
        <v>1.4147135985377009E-3</v>
      </c>
    </row>
    <row r="511" spans="2:8" x14ac:dyDescent="0.3">
      <c r="B511" s="103">
        <v>45406</v>
      </c>
      <c r="C511" s="105">
        <v>1430.75</v>
      </c>
      <c r="D511" s="106">
        <f t="shared" si="14"/>
        <v>-8.0768332063739165E-3</v>
      </c>
      <c r="F511" s="97">
        <v>45406</v>
      </c>
      <c r="G511" s="98">
        <v>22402.400390625</v>
      </c>
      <c r="H511" s="99">
        <f t="shared" si="15"/>
        <v>1.5379287654238199E-3</v>
      </c>
    </row>
    <row r="512" spans="2:8" x14ac:dyDescent="0.3">
      <c r="B512" s="103">
        <v>45407</v>
      </c>
      <c r="C512" s="105">
        <v>1438.449951171875</v>
      </c>
      <c r="D512" s="106">
        <f t="shared" si="14"/>
        <v>5.3817586383889567E-3</v>
      </c>
      <c r="F512" s="97">
        <v>45407</v>
      </c>
      <c r="G512" s="98">
        <v>22570.349609375</v>
      </c>
      <c r="H512" s="100">
        <f t="shared" si="15"/>
        <v>7.4969296067167743E-3</v>
      </c>
    </row>
    <row r="513" spans="2:8" x14ac:dyDescent="0.3">
      <c r="B513" s="103">
        <v>45408</v>
      </c>
      <c r="C513" s="105">
        <v>1430.25</v>
      </c>
      <c r="D513" s="106">
        <f t="shared" si="14"/>
        <v>-5.7005467344864325E-3</v>
      </c>
      <c r="F513" s="97">
        <v>45408</v>
      </c>
      <c r="G513" s="98">
        <v>22419.94921875</v>
      </c>
      <c r="H513" s="99">
        <f t="shared" si="15"/>
        <v>-6.6636269808832953E-3</v>
      </c>
    </row>
    <row r="514" spans="2:8" x14ac:dyDescent="0.3">
      <c r="B514" s="103">
        <v>45411</v>
      </c>
      <c r="C514" s="105">
        <v>1434.75</v>
      </c>
      <c r="D514" s="106">
        <f t="shared" si="14"/>
        <v>3.146303093864709E-3</v>
      </c>
      <c r="F514" s="97">
        <v>45411</v>
      </c>
      <c r="G514" s="98">
        <v>22643.400390625</v>
      </c>
      <c r="H514" s="100">
        <f t="shared" si="15"/>
        <v>9.9666225688025117E-3</v>
      </c>
    </row>
    <row r="515" spans="2:8" x14ac:dyDescent="0.3">
      <c r="B515" s="103">
        <v>45412</v>
      </c>
      <c r="C515" s="105">
        <v>1420.550048828125</v>
      </c>
      <c r="D515" s="106">
        <f t="shared" si="14"/>
        <v>-9.8971606007144108E-3</v>
      </c>
      <c r="F515" s="97">
        <v>45412</v>
      </c>
      <c r="G515" s="98">
        <v>22604.849609375</v>
      </c>
      <c r="H515" s="99">
        <f t="shared" si="15"/>
        <v>-1.7025173156396201E-3</v>
      </c>
    </row>
    <row r="516" spans="2:8" x14ac:dyDescent="0.3">
      <c r="B516" s="103">
        <v>45414</v>
      </c>
      <c r="C516" s="105">
        <v>1414.449951171875</v>
      </c>
      <c r="D516" s="106">
        <f t="shared" si="14"/>
        <v>-4.294180033489311E-3</v>
      </c>
      <c r="F516" s="97">
        <v>45414</v>
      </c>
      <c r="G516" s="98">
        <v>22648.19921875</v>
      </c>
      <c r="H516" s="100">
        <f t="shared" si="15"/>
        <v>1.9177127972141625E-3</v>
      </c>
    </row>
    <row r="517" spans="2:8" x14ac:dyDescent="0.3">
      <c r="B517" s="103">
        <v>45415</v>
      </c>
      <c r="C517" s="105">
        <v>1416.300048828125</v>
      </c>
      <c r="D517" s="106">
        <f t="shared" ref="D517:D580" si="16">(C517-C516)/C516</f>
        <v>1.3079979639556633E-3</v>
      </c>
      <c r="F517" s="97">
        <v>45415</v>
      </c>
      <c r="G517" s="98">
        <v>22475.849609375</v>
      </c>
      <c r="H517" s="99">
        <f t="shared" ref="H517:H580" si="17">(G517-G516)/G516</f>
        <v>-7.6098592965534824E-3</v>
      </c>
    </row>
    <row r="518" spans="2:8" x14ac:dyDescent="0.3">
      <c r="B518" s="103">
        <v>45418</v>
      </c>
      <c r="C518" s="105">
        <v>1425.900024414062</v>
      </c>
      <c r="D518" s="106">
        <f t="shared" si="16"/>
        <v>6.7782074807384617E-3</v>
      </c>
      <c r="F518" s="97">
        <v>45418</v>
      </c>
      <c r="G518" s="98">
        <v>22442.69921875</v>
      </c>
      <c r="H518" s="100">
        <f t="shared" si="17"/>
        <v>-1.4749338156797639E-3</v>
      </c>
    </row>
    <row r="519" spans="2:8" x14ac:dyDescent="0.3">
      <c r="B519" s="103">
        <v>45419</v>
      </c>
      <c r="C519" s="105">
        <v>1440.949951171875</v>
      </c>
      <c r="D519" s="106">
        <f t="shared" si="16"/>
        <v>1.0554685812560629E-2</v>
      </c>
      <c r="F519" s="97">
        <v>45419</v>
      </c>
      <c r="G519" s="98">
        <v>22302.5</v>
      </c>
      <c r="H519" s="99">
        <f t="shared" si="17"/>
        <v>-6.2469855957820357E-3</v>
      </c>
    </row>
    <row r="520" spans="2:8" x14ac:dyDescent="0.3">
      <c r="B520" s="103">
        <v>45420</v>
      </c>
      <c r="C520" s="105">
        <v>1427.300048828125</v>
      </c>
      <c r="D520" s="106">
        <f t="shared" si="16"/>
        <v>-9.4728497215666677E-3</v>
      </c>
      <c r="F520" s="97">
        <v>45420</v>
      </c>
      <c r="G520" s="98">
        <v>22302.5</v>
      </c>
      <c r="H520" s="100">
        <f t="shared" si="17"/>
        <v>0</v>
      </c>
    </row>
    <row r="521" spans="2:8" x14ac:dyDescent="0.3">
      <c r="B521" s="103">
        <v>45421</v>
      </c>
      <c r="C521" s="105">
        <v>1439.550048828125</v>
      </c>
      <c r="D521" s="106">
        <f t="shared" si="16"/>
        <v>8.5826382546947844E-3</v>
      </c>
      <c r="F521" s="97">
        <v>45421</v>
      </c>
      <c r="G521" s="98">
        <v>21957.5</v>
      </c>
      <c r="H521" s="99">
        <f t="shared" si="17"/>
        <v>-1.5469117811904494E-2</v>
      </c>
    </row>
    <row r="522" spans="2:8" x14ac:dyDescent="0.3">
      <c r="B522" s="103">
        <v>45422</v>
      </c>
      <c r="C522" s="105">
        <v>1424.900024414062</v>
      </c>
      <c r="D522" s="106">
        <f t="shared" si="16"/>
        <v>-1.0176807972733496E-2</v>
      </c>
      <c r="F522" s="97">
        <v>45422</v>
      </c>
      <c r="G522" s="98">
        <v>22055.19921875</v>
      </c>
      <c r="H522" s="100">
        <f t="shared" si="17"/>
        <v>4.4494691449390869E-3</v>
      </c>
    </row>
    <row r="523" spans="2:8" x14ac:dyDescent="0.3">
      <c r="B523" s="103">
        <v>45425</v>
      </c>
      <c r="C523" s="105">
        <v>1423.449951171875</v>
      </c>
      <c r="D523" s="106">
        <f t="shared" si="16"/>
        <v>-1.0176666554436581E-3</v>
      </c>
      <c r="F523" s="97">
        <v>45425</v>
      </c>
      <c r="G523" s="98">
        <v>22104.05078125</v>
      </c>
      <c r="H523" s="99">
        <f t="shared" si="17"/>
        <v>2.214968090538459E-3</v>
      </c>
    </row>
    <row r="524" spans="2:8" x14ac:dyDescent="0.3">
      <c r="B524" s="103">
        <v>45426</v>
      </c>
      <c r="C524" s="105">
        <v>1424.699951171875</v>
      </c>
      <c r="D524" s="106">
        <f t="shared" si="16"/>
        <v>8.781481912805716E-4</v>
      </c>
      <c r="F524" s="97">
        <v>45426</v>
      </c>
      <c r="G524" s="98">
        <v>22217.849609375</v>
      </c>
      <c r="H524" s="100">
        <f t="shared" si="17"/>
        <v>5.1483245877054842E-3</v>
      </c>
    </row>
    <row r="525" spans="2:8" x14ac:dyDescent="0.3">
      <c r="B525" s="103">
        <v>45427</v>
      </c>
      <c r="C525" s="105">
        <v>1419.949951171875</v>
      </c>
      <c r="D525" s="106">
        <f t="shared" si="16"/>
        <v>-3.3340353497541201E-3</v>
      </c>
      <c r="F525" s="97">
        <v>45427</v>
      </c>
      <c r="G525" s="98">
        <v>22200.55078125</v>
      </c>
      <c r="H525" s="99">
        <f t="shared" si="17"/>
        <v>-7.7860046895360301E-4</v>
      </c>
    </row>
    <row r="526" spans="2:8" x14ac:dyDescent="0.3">
      <c r="B526" s="103">
        <v>45428</v>
      </c>
      <c r="C526" s="105">
        <v>1453.349975585938</v>
      </c>
      <c r="D526" s="106">
        <f t="shared" si="16"/>
        <v>2.3521973000878053E-2</v>
      </c>
      <c r="F526" s="97">
        <v>45428</v>
      </c>
      <c r="G526" s="98">
        <v>22403.849609375</v>
      </c>
      <c r="H526" s="100">
        <f t="shared" si="17"/>
        <v>9.1573776762647191E-3</v>
      </c>
    </row>
    <row r="527" spans="2:8" x14ac:dyDescent="0.3">
      <c r="B527" s="103">
        <v>45429</v>
      </c>
      <c r="C527" s="105">
        <v>1444.300048828125</v>
      </c>
      <c r="D527" s="106">
        <f t="shared" si="16"/>
        <v>-6.2269425188962854E-3</v>
      </c>
      <c r="F527" s="97">
        <v>45429</v>
      </c>
      <c r="G527" s="98">
        <v>22466.099609375</v>
      </c>
      <c r="H527" s="99">
        <f t="shared" si="17"/>
        <v>2.7785403439751347E-3</v>
      </c>
    </row>
    <row r="528" spans="2:8" x14ac:dyDescent="0.3">
      <c r="B528" s="103">
        <v>45433</v>
      </c>
      <c r="C528" s="105">
        <v>1434.150024414062</v>
      </c>
      <c r="D528" s="106">
        <f t="shared" si="16"/>
        <v>-7.027642505654191E-3</v>
      </c>
      <c r="F528" s="97">
        <v>45433</v>
      </c>
      <c r="G528" s="98">
        <v>22529.05078125</v>
      </c>
      <c r="H528" s="100">
        <f t="shared" si="17"/>
        <v>2.8020516676036979E-3</v>
      </c>
    </row>
    <row r="529" spans="2:8" x14ac:dyDescent="0.3">
      <c r="B529" s="103">
        <v>45434</v>
      </c>
      <c r="C529" s="105">
        <v>1454.800048828125</v>
      </c>
      <c r="D529" s="106">
        <f t="shared" si="16"/>
        <v>1.4398789570498213E-2</v>
      </c>
      <c r="F529" s="97">
        <v>45434</v>
      </c>
      <c r="G529" s="98">
        <v>22597.80078125</v>
      </c>
      <c r="H529" s="99">
        <f t="shared" si="17"/>
        <v>3.051615474950138E-3</v>
      </c>
    </row>
    <row r="530" spans="2:8" x14ac:dyDescent="0.3">
      <c r="B530" s="103">
        <v>45435</v>
      </c>
      <c r="C530" s="105">
        <v>1472.400024414062</v>
      </c>
      <c r="D530" s="106">
        <f t="shared" si="16"/>
        <v>1.2097865682719925E-2</v>
      </c>
      <c r="F530" s="97">
        <v>45435</v>
      </c>
      <c r="G530" s="98">
        <v>22967.650390625</v>
      </c>
      <c r="H530" s="100">
        <f t="shared" si="17"/>
        <v>1.6366619608483058E-2</v>
      </c>
    </row>
    <row r="531" spans="2:8" x14ac:dyDescent="0.3">
      <c r="B531" s="103">
        <v>45436</v>
      </c>
      <c r="C531" s="105">
        <v>1465.099975585938</v>
      </c>
      <c r="D531" s="106">
        <f t="shared" si="16"/>
        <v>-4.9579249572677285E-3</v>
      </c>
      <c r="F531" s="97">
        <v>45436</v>
      </c>
      <c r="G531" s="98">
        <v>22957.099609375</v>
      </c>
      <c r="H531" s="99">
        <f t="shared" si="17"/>
        <v>-4.5937573371922485E-4</v>
      </c>
    </row>
    <row r="532" spans="2:8" x14ac:dyDescent="0.3">
      <c r="B532" s="103">
        <v>45439</v>
      </c>
      <c r="C532" s="105">
        <v>1471.349975585938</v>
      </c>
      <c r="D532" s="106">
        <f t="shared" si="16"/>
        <v>4.2659204860749757E-3</v>
      </c>
      <c r="F532" s="97">
        <v>45439</v>
      </c>
      <c r="G532" s="98">
        <v>22932.44921875</v>
      </c>
      <c r="H532" s="100">
        <f t="shared" si="17"/>
        <v>-1.0737589261900274E-3</v>
      </c>
    </row>
    <row r="533" spans="2:8" x14ac:dyDescent="0.3">
      <c r="B533" s="103">
        <v>45440</v>
      </c>
      <c r="C533" s="105">
        <v>1467.050048828125</v>
      </c>
      <c r="D533" s="106">
        <f t="shared" si="16"/>
        <v>-2.9224364217633456E-3</v>
      </c>
      <c r="F533" s="97">
        <v>45440</v>
      </c>
      <c r="G533" s="98">
        <v>22888.150390625</v>
      </c>
      <c r="H533" s="99">
        <f t="shared" si="17"/>
        <v>-1.9317094176221025E-3</v>
      </c>
    </row>
    <row r="534" spans="2:8" x14ac:dyDescent="0.3">
      <c r="B534" s="103">
        <v>45441</v>
      </c>
      <c r="C534" s="105">
        <v>1450.949951171875</v>
      </c>
      <c r="D534" s="106">
        <f t="shared" si="16"/>
        <v>-1.0974470618170598E-2</v>
      </c>
      <c r="F534" s="97">
        <v>45441</v>
      </c>
      <c r="G534" s="98">
        <v>22704.69921875</v>
      </c>
      <c r="H534" s="100">
        <f t="shared" si="17"/>
        <v>-8.0151156272610692E-3</v>
      </c>
    </row>
    <row r="535" spans="2:8" x14ac:dyDescent="0.3">
      <c r="B535" s="103">
        <v>45442</v>
      </c>
      <c r="C535" s="105">
        <v>1427.449951171875</v>
      </c>
      <c r="D535" s="106">
        <f t="shared" si="16"/>
        <v>-1.6196285737505953E-2</v>
      </c>
      <c r="F535" s="97">
        <v>45442</v>
      </c>
      <c r="G535" s="98">
        <v>22488.650390625</v>
      </c>
      <c r="H535" s="99">
        <f t="shared" si="17"/>
        <v>-9.5155996581792416E-3</v>
      </c>
    </row>
    <row r="536" spans="2:8" x14ac:dyDescent="0.3">
      <c r="B536" s="103">
        <v>45443</v>
      </c>
      <c r="C536" s="105">
        <v>1406.900024414062</v>
      </c>
      <c r="D536" s="106">
        <f t="shared" si="16"/>
        <v>-1.4396250278997417E-2</v>
      </c>
      <c r="F536" s="97">
        <v>45443</v>
      </c>
      <c r="G536" s="98">
        <v>22530.69921875</v>
      </c>
      <c r="H536" s="100">
        <f t="shared" si="17"/>
        <v>1.869779973213919E-3</v>
      </c>
    </row>
    <row r="537" spans="2:8" x14ac:dyDescent="0.3">
      <c r="B537" s="103">
        <v>45446</v>
      </c>
      <c r="C537" s="105">
        <v>1405.900024414062</v>
      </c>
      <c r="D537" s="106">
        <f t="shared" si="16"/>
        <v>-7.1078255927707048E-4</v>
      </c>
      <c r="F537" s="97">
        <v>45446</v>
      </c>
      <c r="G537" s="98">
        <v>23263.900390625</v>
      </c>
      <c r="H537" s="99">
        <f t="shared" si="17"/>
        <v>3.2542317695352818E-2</v>
      </c>
    </row>
    <row r="538" spans="2:8" x14ac:dyDescent="0.3">
      <c r="B538" s="103">
        <v>45447</v>
      </c>
      <c r="C538" s="105">
        <v>1393.650024414062</v>
      </c>
      <c r="D538" s="106">
        <f t="shared" si="16"/>
        <v>-8.7132795983167026E-3</v>
      </c>
      <c r="F538" s="97">
        <v>45447</v>
      </c>
      <c r="G538" s="98">
        <v>21884.5</v>
      </c>
      <c r="H538" s="100">
        <f t="shared" si="17"/>
        <v>-5.9293599416410735E-2</v>
      </c>
    </row>
    <row r="539" spans="2:8" x14ac:dyDescent="0.3">
      <c r="B539" s="103">
        <v>45448</v>
      </c>
      <c r="C539" s="105">
        <v>1430.099975585938</v>
      </c>
      <c r="D539" s="106">
        <f t="shared" si="16"/>
        <v>2.6154307418177467E-2</v>
      </c>
      <c r="F539" s="97">
        <v>45448</v>
      </c>
      <c r="G539" s="98">
        <v>22620.349609375</v>
      </c>
      <c r="H539" s="99">
        <f t="shared" si="17"/>
        <v>3.362423676003564E-2</v>
      </c>
    </row>
    <row r="540" spans="2:8" x14ac:dyDescent="0.3">
      <c r="B540" s="103">
        <v>45449</v>
      </c>
      <c r="C540" s="105">
        <v>1472.25</v>
      </c>
      <c r="D540" s="106">
        <f t="shared" si="16"/>
        <v>2.9473480968903881E-2</v>
      </c>
      <c r="F540" s="97">
        <v>45449</v>
      </c>
      <c r="G540" s="98">
        <v>22821.400390625</v>
      </c>
      <c r="H540" s="100">
        <f t="shared" si="17"/>
        <v>8.8880492442377883E-3</v>
      </c>
    </row>
    <row r="541" spans="2:8" x14ac:dyDescent="0.3">
      <c r="B541" s="103">
        <v>45450</v>
      </c>
      <c r="C541" s="105">
        <v>1533.599975585938</v>
      </c>
      <c r="D541" s="106">
        <f t="shared" si="16"/>
        <v>4.1670895286763765E-2</v>
      </c>
      <c r="F541" s="97">
        <v>45450</v>
      </c>
      <c r="G541" s="98">
        <v>23290.150390625</v>
      </c>
      <c r="H541" s="99">
        <f t="shared" si="17"/>
        <v>2.0539931466807E-2</v>
      </c>
    </row>
    <row r="542" spans="2:8" x14ac:dyDescent="0.3">
      <c r="B542" s="103">
        <v>45453</v>
      </c>
      <c r="C542" s="105">
        <v>1499.75</v>
      </c>
      <c r="D542" s="106">
        <f t="shared" si="16"/>
        <v>-2.2072232736574604E-2</v>
      </c>
      <c r="F542" s="97">
        <v>45453</v>
      </c>
      <c r="G542" s="98">
        <v>23259.19921875</v>
      </c>
      <c r="H542" s="100">
        <f t="shared" si="17"/>
        <v>-1.328938257412833E-3</v>
      </c>
    </row>
    <row r="543" spans="2:8" x14ac:dyDescent="0.3">
      <c r="B543" s="103">
        <v>45454</v>
      </c>
      <c r="C543" s="105">
        <v>1495.75</v>
      </c>
      <c r="D543" s="106">
        <f t="shared" si="16"/>
        <v>-2.6671111851975329E-3</v>
      </c>
      <c r="F543" s="97">
        <v>45454</v>
      </c>
      <c r="G543" s="98">
        <v>23264.849609375</v>
      </c>
      <c r="H543" s="99">
        <f t="shared" si="17"/>
        <v>2.4293143421915555E-4</v>
      </c>
    </row>
    <row r="544" spans="2:8" x14ac:dyDescent="0.3">
      <c r="B544" s="103">
        <v>45455</v>
      </c>
      <c r="C544" s="105">
        <v>1485.199951171875</v>
      </c>
      <c r="D544" s="106">
        <f t="shared" si="16"/>
        <v>-7.0533503781547722E-3</v>
      </c>
      <c r="F544" s="97">
        <v>45455</v>
      </c>
      <c r="G544" s="98">
        <v>23322.94921875</v>
      </c>
      <c r="H544" s="100">
        <f t="shared" si="17"/>
        <v>2.4973129141392641E-3</v>
      </c>
    </row>
    <row r="545" spans="2:8" x14ac:dyDescent="0.3">
      <c r="B545" s="103">
        <v>45456</v>
      </c>
      <c r="C545" s="105">
        <v>1493.949951171875</v>
      </c>
      <c r="D545" s="106">
        <f t="shared" si="16"/>
        <v>5.8914626229929126E-3</v>
      </c>
      <c r="F545" s="97">
        <v>45456</v>
      </c>
      <c r="G545" s="98">
        <v>23398.900390625</v>
      </c>
      <c r="H545" s="99">
        <f t="shared" si="17"/>
        <v>3.2564994745150257E-3</v>
      </c>
    </row>
    <row r="546" spans="2:8" x14ac:dyDescent="0.3">
      <c r="B546" s="103">
        <v>45457</v>
      </c>
      <c r="C546" s="105">
        <v>1488.900024414062</v>
      </c>
      <c r="D546" s="106">
        <f t="shared" si="16"/>
        <v>-3.3802516301511456E-3</v>
      </c>
      <c r="F546" s="97">
        <v>45457</v>
      </c>
      <c r="G546" s="98">
        <v>23465.599609375</v>
      </c>
      <c r="H546" s="100">
        <f t="shared" si="17"/>
        <v>2.8505279152657831E-3</v>
      </c>
    </row>
    <row r="547" spans="2:8" x14ac:dyDescent="0.3">
      <c r="B547" s="103">
        <v>45461</v>
      </c>
      <c r="C547" s="105">
        <v>1498.199951171875</v>
      </c>
      <c r="D547" s="106">
        <f t="shared" si="16"/>
        <v>6.2461727485516195E-3</v>
      </c>
      <c r="F547" s="97">
        <v>45461</v>
      </c>
      <c r="G547" s="98">
        <v>23557.900390625</v>
      </c>
      <c r="H547" s="99">
        <f t="shared" si="17"/>
        <v>3.9334507869606666E-3</v>
      </c>
    </row>
    <row r="548" spans="2:8" x14ac:dyDescent="0.3">
      <c r="B548" s="103">
        <v>45462</v>
      </c>
      <c r="C548" s="105">
        <v>1511.349975585938</v>
      </c>
      <c r="D548" s="106">
        <f t="shared" si="16"/>
        <v>8.7772158874902875E-3</v>
      </c>
      <c r="F548" s="97">
        <v>45462</v>
      </c>
      <c r="G548" s="98">
        <v>23516</v>
      </c>
      <c r="H548" s="100">
        <f t="shared" si="17"/>
        <v>-1.7786131162042989E-3</v>
      </c>
    </row>
    <row r="549" spans="2:8" x14ac:dyDescent="0.3">
      <c r="B549" s="103">
        <v>45463</v>
      </c>
      <c r="C549" s="105">
        <v>1515.400024414062</v>
      </c>
      <c r="D549" s="106">
        <f t="shared" si="16"/>
        <v>2.6797557769860153E-3</v>
      </c>
      <c r="F549" s="97">
        <v>45463</v>
      </c>
      <c r="G549" s="98">
        <v>23567</v>
      </c>
      <c r="H549" s="99">
        <f t="shared" si="17"/>
        <v>2.1687361796223848E-3</v>
      </c>
    </row>
    <row r="550" spans="2:8" x14ac:dyDescent="0.3">
      <c r="B550" s="103">
        <v>45464</v>
      </c>
      <c r="C550" s="105">
        <v>1532.699951171875</v>
      </c>
      <c r="D550" s="106">
        <f t="shared" si="16"/>
        <v>1.1416079239210827E-2</v>
      </c>
      <c r="F550" s="97">
        <v>45464</v>
      </c>
      <c r="G550" s="98">
        <v>23501.099609375</v>
      </c>
      <c r="H550" s="100">
        <f t="shared" si="17"/>
        <v>-2.7962995130903384E-3</v>
      </c>
    </row>
    <row r="551" spans="2:8" x14ac:dyDescent="0.3">
      <c r="B551" s="103">
        <v>45467</v>
      </c>
      <c r="C551" s="105">
        <v>1527.150024414062</v>
      </c>
      <c r="D551" s="106">
        <f t="shared" si="16"/>
        <v>-3.6210132019444379E-3</v>
      </c>
      <c r="F551" s="97">
        <v>45467</v>
      </c>
      <c r="G551" s="98">
        <v>23537.849609375</v>
      </c>
      <c r="H551" s="99">
        <f t="shared" si="17"/>
        <v>1.5637566161091365E-3</v>
      </c>
    </row>
    <row r="552" spans="2:8" x14ac:dyDescent="0.3">
      <c r="B552" s="103">
        <v>45468</v>
      </c>
      <c r="C552" s="105">
        <v>1541.949951171875</v>
      </c>
      <c r="D552" s="106">
        <f t="shared" si="16"/>
        <v>9.6912068370567598E-3</v>
      </c>
      <c r="F552" s="97">
        <v>45468</v>
      </c>
      <c r="G552" s="98">
        <v>23721.30078125</v>
      </c>
      <c r="H552" s="100">
        <f t="shared" si="17"/>
        <v>7.7938798539154731E-3</v>
      </c>
    </row>
    <row r="553" spans="2:8" x14ac:dyDescent="0.3">
      <c r="B553" s="103">
        <v>45469</v>
      </c>
      <c r="C553" s="105">
        <v>1540.699951171875</v>
      </c>
      <c r="D553" s="106">
        <f t="shared" si="16"/>
        <v>-8.1066184998417469E-4</v>
      </c>
      <c r="F553" s="97">
        <v>45469</v>
      </c>
      <c r="G553" s="98">
        <v>23868.80078125</v>
      </c>
      <c r="H553" s="99">
        <f t="shared" si="17"/>
        <v>6.2180401218380173E-3</v>
      </c>
    </row>
    <row r="554" spans="2:8" x14ac:dyDescent="0.3">
      <c r="B554" s="103">
        <v>45470</v>
      </c>
      <c r="C554" s="105">
        <v>1573.349975585938</v>
      </c>
      <c r="D554" s="106">
        <f t="shared" si="16"/>
        <v>2.1191682643482236E-2</v>
      </c>
      <c r="F554" s="97">
        <v>45470</v>
      </c>
      <c r="G554" s="98">
        <v>24044.5</v>
      </c>
      <c r="H554" s="100">
        <f t="shared" si="17"/>
        <v>7.3610408985448281E-3</v>
      </c>
    </row>
    <row r="555" spans="2:8" x14ac:dyDescent="0.3">
      <c r="B555" s="103">
        <v>45471</v>
      </c>
      <c r="C555" s="105">
        <v>1566.75</v>
      </c>
      <c r="D555" s="106">
        <f t="shared" si="16"/>
        <v>-4.1948553648911008E-3</v>
      </c>
      <c r="F555" s="97">
        <v>45471</v>
      </c>
      <c r="G555" s="98">
        <v>24010.599609375</v>
      </c>
      <c r="H555" s="99">
        <f t="shared" si="17"/>
        <v>-1.4099020825968517E-3</v>
      </c>
    </row>
    <row r="556" spans="2:8" x14ac:dyDescent="0.3">
      <c r="B556" s="103">
        <v>45474</v>
      </c>
      <c r="C556" s="105">
        <v>1590.800048828125</v>
      </c>
      <c r="D556" s="106">
        <f t="shared" si="16"/>
        <v>1.5350278492500398E-2</v>
      </c>
      <c r="F556" s="97">
        <v>45474</v>
      </c>
      <c r="G556" s="98">
        <v>24141.94921875</v>
      </c>
      <c r="H556" s="100">
        <f t="shared" si="17"/>
        <v>5.4704843490753228E-3</v>
      </c>
    </row>
    <row r="557" spans="2:8" x14ac:dyDescent="0.3">
      <c r="B557" s="103">
        <v>45475</v>
      </c>
      <c r="C557" s="105">
        <v>1621.050048828125</v>
      </c>
      <c r="D557" s="106">
        <f t="shared" si="16"/>
        <v>1.9015589056766685E-2</v>
      </c>
      <c r="F557" s="97">
        <v>45475</v>
      </c>
      <c r="G557" s="98">
        <v>24123.849609375</v>
      </c>
      <c r="H557" s="99">
        <f t="shared" si="17"/>
        <v>-7.4971615634676354E-4</v>
      </c>
    </row>
    <row r="558" spans="2:8" x14ac:dyDescent="0.3">
      <c r="B558" s="103">
        <v>45476</v>
      </c>
      <c r="C558" s="105">
        <v>1627.400024414062</v>
      </c>
      <c r="D558" s="106">
        <f t="shared" si="16"/>
        <v>3.9171989726828685E-3</v>
      </c>
      <c r="F558" s="97">
        <v>45476</v>
      </c>
      <c r="G558" s="98">
        <v>24286.5</v>
      </c>
      <c r="H558" s="100">
        <f t="shared" si="17"/>
        <v>6.742306607722794E-3</v>
      </c>
    </row>
    <row r="559" spans="2:8" x14ac:dyDescent="0.3">
      <c r="B559" s="103">
        <v>45477</v>
      </c>
      <c r="C559" s="105">
        <v>1650.650024414062</v>
      </c>
      <c r="D559" s="106">
        <f t="shared" si="16"/>
        <v>1.4286591895788533E-2</v>
      </c>
      <c r="F559" s="97">
        <v>45477</v>
      </c>
      <c r="G559" s="98">
        <v>24302.150390625</v>
      </c>
      <c r="H559" s="99">
        <f t="shared" si="17"/>
        <v>6.4440700080291519E-4</v>
      </c>
    </row>
    <row r="560" spans="2:8" x14ac:dyDescent="0.3">
      <c r="B560" s="103">
        <v>45478</v>
      </c>
      <c r="C560" s="105">
        <v>1647.449951171875</v>
      </c>
      <c r="D560" s="106">
        <f t="shared" si="16"/>
        <v>-1.9386745796238596E-3</v>
      </c>
      <c r="F560" s="97">
        <v>45478</v>
      </c>
      <c r="G560" s="98">
        <v>24323.849609375</v>
      </c>
      <c r="H560" s="100">
        <f t="shared" si="17"/>
        <v>8.928929498506795E-4</v>
      </c>
    </row>
    <row r="561" spans="2:8" x14ac:dyDescent="0.3">
      <c r="B561" s="103">
        <v>45481</v>
      </c>
      <c r="C561" s="105">
        <v>1661.650024414062</v>
      </c>
      <c r="D561" s="106">
        <f t="shared" si="16"/>
        <v>8.6194261817095896E-3</v>
      </c>
      <c r="F561" s="97">
        <v>45481</v>
      </c>
      <c r="G561" s="98">
        <v>24320.55078125</v>
      </c>
      <c r="H561" s="99">
        <f t="shared" si="17"/>
        <v>-1.3562113637343622E-4</v>
      </c>
    </row>
    <row r="562" spans="2:8" x14ac:dyDescent="0.3">
      <c r="B562" s="103">
        <v>45482</v>
      </c>
      <c r="C562" s="105">
        <v>1657.150024414062</v>
      </c>
      <c r="D562" s="106">
        <f t="shared" si="16"/>
        <v>-2.7081514963337777E-3</v>
      </c>
      <c r="F562" s="97">
        <v>45482</v>
      </c>
      <c r="G562" s="98">
        <v>24433.19921875</v>
      </c>
      <c r="H562" s="100">
        <f t="shared" si="17"/>
        <v>4.631820986013468E-3</v>
      </c>
    </row>
    <row r="563" spans="2:8" x14ac:dyDescent="0.3">
      <c r="B563" s="103">
        <v>45483</v>
      </c>
      <c r="C563" s="105">
        <v>1648.25</v>
      </c>
      <c r="D563" s="106">
        <f t="shared" si="16"/>
        <v>-5.3706811591840821E-3</v>
      </c>
      <c r="F563" s="97">
        <v>45483</v>
      </c>
      <c r="G563" s="98">
        <v>24324.44921875</v>
      </c>
      <c r="H563" s="99">
        <f t="shared" si="17"/>
        <v>-4.4509111977667423E-3</v>
      </c>
    </row>
    <row r="564" spans="2:8" x14ac:dyDescent="0.3">
      <c r="B564" s="103">
        <v>45484</v>
      </c>
      <c r="C564" s="105">
        <v>1652.699951171875</v>
      </c>
      <c r="D564" s="106">
        <f t="shared" si="16"/>
        <v>2.6998035321553161E-3</v>
      </c>
      <c r="F564" s="97">
        <v>45484</v>
      </c>
      <c r="G564" s="98">
        <v>24315.94921875</v>
      </c>
      <c r="H564" s="100">
        <f t="shared" si="17"/>
        <v>-3.4944265021417015E-4</v>
      </c>
    </row>
    <row r="565" spans="2:8" x14ac:dyDescent="0.3">
      <c r="B565" s="103">
        <v>45485</v>
      </c>
      <c r="C565" s="105">
        <v>1711.75</v>
      </c>
      <c r="D565" s="106">
        <f t="shared" si="16"/>
        <v>3.5729443076618086E-2</v>
      </c>
      <c r="F565" s="97">
        <v>45485</v>
      </c>
      <c r="G565" s="98">
        <v>24502.150390625</v>
      </c>
      <c r="H565" s="99">
        <f t="shared" si="17"/>
        <v>7.6575736443560468E-3</v>
      </c>
    </row>
    <row r="566" spans="2:8" x14ac:dyDescent="0.3">
      <c r="B566" s="103">
        <v>45488</v>
      </c>
      <c r="C566" s="105">
        <v>1707.050048828125</v>
      </c>
      <c r="D566" s="106">
        <f t="shared" si="16"/>
        <v>-2.7456995308164159E-3</v>
      </c>
      <c r="F566" s="97">
        <v>45488</v>
      </c>
      <c r="G566" s="98">
        <v>24586.69921875</v>
      </c>
      <c r="H566" s="100">
        <f t="shared" si="17"/>
        <v>3.4506697076412537E-3</v>
      </c>
    </row>
    <row r="567" spans="2:8" x14ac:dyDescent="0.3">
      <c r="B567" s="103">
        <v>45489</v>
      </c>
      <c r="C567" s="105">
        <v>1726.050048828125</v>
      </c>
      <c r="D567" s="106">
        <f t="shared" si="16"/>
        <v>1.1130312209090375E-2</v>
      </c>
      <c r="F567" s="97">
        <v>45489</v>
      </c>
      <c r="G567" s="98">
        <v>24613</v>
      </c>
      <c r="H567" s="99">
        <f t="shared" si="17"/>
        <v>1.0697158254550424E-3</v>
      </c>
    </row>
    <row r="568" spans="2:8" x14ac:dyDescent="0.3">
      <c r="B568" s="103">
        <v>45491</v>
      </c>
      <c r="C568" s="105">
        <v>1758.050048828125</v>
      </c>
      <c r="D568" s="106">
        <f t="shared" si="16"/>
        <v>1.8539439236843629E-2</v>
      </c>
      <c r="F568" s="97">
        <v>45491</v>
      </c>
      <c r="G568" s="98">
        <v>24800.849609375</v>
      </c>
      <c r="H568" s="100">
        <f t="shared" si="17"/>
        <v>7.63212974342827E-3</v>
      </c>
    </row>
    <row r="569" spans="2:8" x14ac:dyDescent="0.3">
      <c r="B569" s="103">
        <v>45492</v>
      </c>
      <c r="C569" s="105">
        <v>1792.949951171875</v>
      </c>
      <c r="D569" s="106">
        <f t="shared" si="16"/>
        <v>1.9851483959181626E-2</v>
      </c>
      <c r="F569" s="97">
        <v>45492</v>
      </c>
      <c r="G569" s="98">
        <v>24530.900390625</v>
      </c>
      <c r="H569" s="99">
        <f t="shared" si="17"/>
        <v>-1.0884676251089243E-2</v>
      </c>
    </row>
    <row r="570" spans="2:8" x14ac:dyDescent="0.3">
      <c r="B570" s="103">
        <v>45495</v>
      </c>
      <c r="C570" s="105">
        <v>1810.849975585938</v>
      </c>
      <c r="D570" s="106">
        <f t="shared" si="16"/>
        <v>9.9835605574843129E-3</v>
      </c>
      <c r="F570" s="97">
        <v>45495</v>
      </c>
      <c r="G570" s="98">
        <v>24509.25</v>
      </c>
      <c r="H570" s="100">
        <f t="shared" si="17"/>
        <v>-8.8257627238477363E-4</v>
      </c>
    </row>
    <row r="571" spans="2:8" x14ac:dyDescent="0.3">
      <c r="B571" s="103">
        <v>45496</v>
      </c>
      <c r="C571" s="105">
        <v>1836.900024414062</v>
      </c>
      <c r="D571" s="106">
        <f t="shared" si="16"/>
        <v>1.4385536725478905E-2</v>
      </c>
      <c r="F571" s="97">
        <v>45496</v>
      </c>
      <c r="G571" s="98">
        <v>24479.05078125</v>
      </c>
      <c r="H571" s="99">
        <f t="shared" si="17"/>
        <v>-1.2321559717249609E-3</v>
      </c>
    </row>
    <row r="572" spans="2:8" x14ac:dyDescent="0.3">
      <c r="B572" s="103">
        <v>45497</v>
      </c>
      <c r="C572" s="105">
        <v>1833.949951171875</v>
      </c>
      <c r="D572" s="106">
        <f t="shared" si="16"/>
        <v>-1.6060064254874542E-3</v>
      </c>
      <c r="F572" s="97">
        <v>45497</v>
      </c>
      <c r="G572" s="98">
        <v>24413.5</v>
      </c>
      <c r="H572" s="100">
        <f t="shared" si="17"/>
        <v>-2.6778318259059845E-3</v>
      </c>
    </row>
    <row r="573" spans="2:8" x14ac:dyDescent="0.3">
      <c r="B573" s="103">
        <v>45498</v>
      </c>
      <c r="C573" s="105">
        <v>1824.849975585938</v>
      </c>
      <c r="D573" s="106">
        <f t="shared" si="16"/>
        <v>-4.961954158084988E-3</v>
      </c>
      <c r="F573" s="97">
        <v>45498</v>
      </c>
      <c r="G573" s="98">
        <v>24406.099609375</v>
      </c>
      <c r="H573" s="99">
        <f t="shared" si="17"/>
        <v>-3.031269840457124E-4</v>
      </c>
    </row>
    <row r="574" spans="2:8" x14ac:dyDescent="0.3">
      <c r="B574" s="103">
        <v>45499</v>
      </c>
      <c r="C574" s="105">
        <v>1878.900024414062</v>
      </c>
      <c r="D574" s="106">
        <f t="shared" si="16"/>
        <v>2.9618899937661588E-2</v>
      </c>
      <c r="F574" s="97">
        <v>45499</v>
      </c>
      <c r="G574" s="98">
        <v>24834.849609375</v>
      </c>
      <c r="H574" s="100">
        <f t="shared" si="17"/>
        <v>1.756732976027461E-2</v>
      </c>
    </row>
    <row r="575" spans="2:8" x14ac:dyDescent="0.3">
      <c r="B575" s="103">
        <v>45502</v>
      </c>
      <c r="C575" s="105">
        <v>1871.099975585938</v>
      </c>
      <c r="D575" s="106">
        <f t="shared" si="16"/>
        <v>-4.1513910941358085E-3</v>
      </c>
      <c r="F575" s="97">
        <v>45502</v>
      </c>
      <c r="G575" s="98">
        <v>24836.099609375</v>
      </c>
      <c r="H575" s="99">
        <f t="shared" si="17"/>
        <v>5.0332497263367071E-5</v>
      </c>
    </row>
    <row r="576" spans="2:8" x14ac:dyDescent="0.3">
      <c r="B576" s="103">
        <v>45503</v>
      </c>
      <c r="C576" s="105">
        <v>1877.150024414062</v>
      </c>
      <c r="D576" s="106">
        <f t="shared" si="16"/>
        <v>3.2334182604163136E-3</v>
      </c>
      <c r="F576" s="97">
        <v>45503</v>
      </c>
      <c r="G576" s="98">
        <v>24857.30078125</v>
      </c>
      <c r="H576" s="100">
        <f t="shared" si="17"/>
        <v>8.5364337430008915E-4</v>
      </c>
    </row>
    <row r="577" spans="2:8" x14ac:dyDescent="0.3">
      <c r="B577" s="103">
        <v>45504</v>
      </c>
      <c r="C577" s="105">
        <v>1868.25</v>
      </c>
      <c r="D577" s="106">
        <f t="shared" si="16"/>
        <v>-4.7412430004576322E-3</v>
      </c>
      <c r="F577" s="97">
        <v>45504</v>
      </c>
      <c r="G577" s="98">
        <v>24951.150390625</v>
      </c>
      <c r="H577" s="99">
        <f t="shared" si="17"/>
        <v>3.7755350108564997E-3</v>
      </c>
    </row>
    <row r="578" spans="2:8" x14ac:dyDescent="0.3">
      <c r="B578" s="103">
        <v>45505</v>
      </c>
      <c r="C578" s="105">
        <v>1852.599975585938</v>
      </c>
      <c r="D578" s="106">
        <f t="shared" si="16"/>
        <v>-8.3768362981731809E-3</v>
      </c>
      <c r="F578" s="97">
        <v>45505</v>
      </c>
      <c r="G578" s="98">
        <v>25010.900390625</v>
      </c>
      <c r="H578" s="100">
        <f t="shared" si="17"/>
        <v>2.3946791656728628E-3</v>
      </c>
    </row>
    <row r="579" spans="2:8" x14ac:dyDescent="0.3">
      <c r="B579" s="103">
        <v>45506</v>
      </c>
      <c r="C579" s="105">
        <v>1821.199951171875</v>
      </c>
      <c r="D579" s="106">
        <f t="shared" si="16"/>
        <v>-1.6949165944003534E-2</v>
      </c>
      <c r="F579" s="97">
        <v>45506</v>
      </c>
      <c r="G579" s="98">
        <v>24717.69921875</v>
      </c>
      <c r="H579" s="99">
        <f t="shared" si="17"/>
        <v>-1.1722935491954641E-2</v>
      </c>
    </row>
    <row r="580" spans="2:8" x14ac:dyDescent="0.3">
      <c r="B580" s="103">
        <v>45509</v>
      </c>
      <c r="C580" s="105">
        <v>1751.900024414062</v>
      </c>
      <c r="D580" s="106">
        <f t="shared" si="16"/>
        <v>-3.8051794759395317E-2</v>
      </c>
      <c r="F580" s="97">
        <v>45509</v>
      </c>
      <c r="G580" s="98">
        <v>24055.599609375</v>
      </c>
      <c r="H580" s="100">
        <f t="shared" si="17"/>
        <v>-2.6786457894622889E-2</v>
      </c>
    </row>
    <row r="581" spans="2:8" x14ac:dyDescent="0.3">
      <c r="B581" s="103">
        <v>45510</v>
      </c>
      <c r="C581" s="105">
        <v>1751.099975585938</v>
      </c>
      <c r="D581" s="106">
        <f t="shared" ref="D581:D644" si="18">(C581-C580)/C580</f>
        <v>-4.5667493405719521E-4</v>
      </c>
      <c r="F581" s="97">
        <v>45510</v>
      </c>
      <c r="G581" s="98">
        <v>23992.55078125</v>
      </c>
      <c r="H581" s="99">
        <f t="shared" ref="H581:H644" si="19">(G581-G580)/G580</f>
        <v>-2.6209626510589443E-3</v>
      </c>
    </row>
    <row r="582" spans="2:8" x14ac:dyDescent="0.3">
      <c r="B582" s="103">
        <v>45511</v>
      </c>
      <c r="C582" s="105">
        <v>1791.650024414062</v>
      </c>
      <c r="D582" s="106">
        <f t="shared" si="18"/>
        <v>2.3156901029911546E-2</v>
      </c>
      <c r="F582" s="97">
        <v>45511</v>
      </c>
      <c r="G582" s="98">
        <v>24297.5</v>
      </c>
      <c r="H582" s="100">
        <f t="shared" si="19"/>
        <v>1.2710162480444369E-2</v>
      </c>
    </row>
    <row r="583" spans="2:8" x14ac:dyDescent="0.3">
      <c r="B583" s="103">
        <v>45512</v>
      </c>
      <c r="C583" s="105">
        <v>1743.150024414062</v>
      </c>
      <c r="D583" s="106">
        <f t="shared" si="18"/>
        <v>-2.7070018887121301E-2</v>
      </c>
      <c r="F583" s="97">
        <v>45512</v>
      </c>
      <c r="G583" s="98">
        <v>24117</v>
      </c>
      <c r="H583" s="99">
        <f t="shared" si="19"/>
        <v>-7.428747813561066E-3</v>
      </c>
    </row>
    <row r="584" spans="2:8" x14ac:dyDescent="0.3">
      <c r="B584" s="103">
        <v>45513</v>
      </c>
      <c r="C584" s="105">
        <v>1770.75</v>
      </c>
      <c r="D584" s="106">
        <f t="shared" si="18"/>
        <v>1.5833390815122375E-2</v>
      </c>
      <c r="F584" s="97">
        <v>45513</v>
      </c>
      <c r="G584" s="98">
        <v>24367.5</v>
      </c>
      <c r="H584" s="100">
        <f t="shared" si="19"/>
        <v>1.0386864037815649E-2</v>
      </c>
    </row>
    <row r="585" spans="2:8" x14ac:dyDescent="0.3">
      <c r="B585" s="103">
        <v>45516</v>
      </c>
      <c r="C585" s="105">
        <v>1797.400024414062</v>
      </c>
      <c r="D585" s="106">
        <f t="shared" si="18"/>
        <v>1.5050133793060593E-2</v>
      </c>
      <c r="F585" s="97">
        <v>45516</v>
      </c>
      <c r="G585" s="98">
        <v>24347</v>
      </c>
      <c r="H585" s="99">
        <f t="shared" si="19"/>
        <v>-8.412844977941931E-4</v>
      </c>
    </row>
    <row r="586" spans="2:8" x14ac:dyDescent="0.3">
      <c r="B586" s="103">
        <v>45517</v>
      </c>
      <c r="C586" s="105">
        <v>1797.449951171875</v>
      </c>
      <c r="D586" s="106">
        <f t="shared" si="18"/>
        <v>2.7777209933682107E-5</v>
      </c>
      <c r="F586" s="97">
        <v>45517</v>
      </c>
      <c r="G586" s="98">
        <v>24139</v>
      </c>
      <c r="H586" s="100">
        <f t="shared" si="19"/>
        <v>-8.5431469996303452E-3</v>
      </c>
    </row>
    <row r="587" spans="2:8" x14ac:dyDescent="0.3">
      <c r="B587" s="103">
        <v>45518</v>
      </c>
      <c r="C587" s="105">
        <v>1823.25</v>
      </c>
      <c r="D587" s="106">
        <f t="shared" si="18"/>
        <v>1.4353695251043993E-2</v>
      </c>
      <c r="F587" s="97">
        <v>45518</v>
      </c>
      <c r="G587" s="98">
        <v>24143.75</v>
      </c>
      <c r="H587" s="99">
        <f t="shared" si="19"/>
        <v>1.9677699987571978E-4</v>
      </c>
    </row>
    <row r="588" spans="2:8" x14ac:dyDescent="0.3">
      <c r="B588" s="103">
        <v>45520</v>
      </c>
      <c r="C588" s="105">
        <v>1858.949951171875</v>
      </c>
      <c r="D588" s="106">
        <f t="shared" si="18"/>
        <v>1.9580392799602359E-2</v>
      </c>
      <c r="F588" s="97">
        <v>45520</v>
      </c>
      <c r="G588" s="98">
        <v>24541.150390625</v>
      </c>
      <c r="H588" s="100">
        <f t="shared" si="19"/>
        <v>1.6459762490292518E-2</v>
      </c>
    </row>
    <row r="589" spans="2:8" x14ac:dyDescent="0.3">
      <c r="B589" s="103">
        <v>45523</v>
      </c>
      <c r="C589" s="105">
        <v>1864.800048828125</v>
      </c>
      <c r="D589" s="106">
        <f t="shared" si="18"/>
        <v>3.1469904031370616E-3</v>
      </c>
      <c r="F589" s="97">
        <v>45523</v>
      </c>
      <c r="G589" s="98">
        <v>24572.650390625</v>
      </c>
      <c r="H589" s="99">
        <f t="shared" si="19"/>
        <v>1.2835584110202657E-3</v>
      </c>
    </row>
    <row r="590" spans="2:8" x14ac:dyDescent="0.3">
      <c r="B590" s="103">
        <v>45524</v>
      </c>
      <c r="C590" s="105">
        <v>1872.199951171875</v>
      </c>
      <c r="D590" s="106">
        <f t="shared" si="18"/>
        <v>3.9682014961337202E-3</v>
      </c>
      <c r="F590" s="97">
        <v>45524</v>
      </c>
      <c r="G590" s="98">
        <v>24698.849609375</v>
      </c>
      <c r="H590" s="100">
        <f t="shared" si="19"/>
        <v>5.1357593399101852E-3</v>
      </c>
    </row>
    <row r="591" spans="2:8" x14ac:dyDescent="0.3">
      <c r="B591" s="103">
        <v>45525</v>
      </c>
      <c r="C591" s="105">
        <v>1872.699951171875</v>
      </c>
      <c r="D591" s="106">
        <f t="shared" si="18"/>
        <v>2.6706549142202073E-4</v>
      </c>
      <c r="F591" s="97">
        <v>45525</v>
      </c>
      <c r="G591" s="98">
        <v>24770.19921875</v>
      </c>
      <c r="H591" s="99">
        <f t="shared" si="19"/>
        <v>2.8887826964992596E-3</v>
      </c>
    </row>
    <row r="592" spans="2:8" x14ac:dyDescent="0.3">
      <c r="B592" s="103">
        <v>45526</v>
      </c>
      <c r="C592" s="105">
        <v>1880.25</v>
      </c>
      <c r="D592" s="106">
        <f t="shared" si="18"/>
        <v>4.0316382896258551E-3</v>
      </c>
      <c r="F592" s="97">
        <v>45526</v>
      </c>
      <c r="G592" s="98">
        <v>24811.5</v>
      </c>
      <c r="H592" s="100">
        <f t="shared" si="19"/>
        <v>1.667357653657345E-3</v>
      </c>
    </row>
    <row r="593" spans="2:8" x14ac:dyDescent="0.3">
      <c r="B593" s="103">
        <v>45527</v>
      </c>
      <c r="C593" s="105">
        <v>1862.099975585938</v>
      </c>
      <c r="D593" s="106">
        <f t="shared" si="18"/>
        <v>-9.6529846637745213E-3</v>
      </c>
      <c r="F593" s="97">
        <v>45527</v>
      </c>
      <c r="G593" s="98">
        <v>24823.150390625</v>
      </c>
      <c r="H593" s="99">
        <f t="shared" si="19"/>
        <v>4.6955607782681415E-4</v>
      </c>
    </row>
    <row r="594" spans="2:8" x14ac:dyDescent="0.3">
      <c r="B594" s="103">
        <v>45530</v>
      </c>
      <c r="C594" s="105">
        <v>1876.150024414062</v>
      </c>
      <c r="D594" s="106">
        <f t="shared" si="18"/>
        <v>7.54527093729381E-3</v>
      </c>
      <c r="F594" s="97">
        <v>45530</v>
      </c>
      <c r="G594" s="98">
        <v>25010.599609375</v>
      </c>
      <c r="H594" s="100">
        <f t="shared" si="19"/>
        <v>7.551387144670978E-3</v>
      </c>
    </row>
    <row r="595" spans="2:8" x14ac:dyDescent="0.3">
      <c r="B595" s="103">
        <v>45531</v>
      </c>
      <c r="C595" s="105">
        <v>1900.099975585938</v>
      </c>
      <c r="D595" s="106">
        <f t="shared" si="18"/>
        <v>1.2765477632502064E-2</v>
      </c>
      <c r="F595" s="97">
        <v>45531</v>
      </c>
      <c r="G595" s="98">
        <v>25017.75</v>
      </c>
      <c r="H595" s="99">
        <f t="shared" si="19"/>
        <v>2.8589441023715959E-4</v>
      </c>
    </row>
    <row r="596" spans="2:8" x14ac:dyDescent="0.3">
      <c r="B596" s="103">
        <v>45532</v>
      </c>
      <c r="C596" s="105">
        <v>1939.099975585938</v>
      </c>
      <c r="D596" s="106">
        <f t="shared" si="18"/>
        <v>2.0525235777645586E-2</v>
      </c>
      <c r="F596" s="97">
        <v>45532</v>
      </c>
      <c r="G596" s="98">
        <v>25052.349609375</v>
      </c>
      <c r="H596" s="100">
        <f t="shared" si="19"/>
        <v>1.3830024432652816E-3</v>
      </c>
    </row>
    <row r="597" spans="2:8" x14ac:dyDescent="0.3">
      <c r="B597" s="103">
        <v>45533</v>
      </c>
      <c r="C597" s="105">
        <v>1933.349975585938</v>
      </c>
      <c r="D597" s="106">
        <f t="shared" si="18"/>
        <v>-2.9652932145814307E-3</v>
      </c>
      <c r="F597" s="97">
        <v>45533</v>
      </c>
      <c r="G597" s="98">
        <v>25151.94921875</v>
      </c>
      <c r="H597" s="99">
        <f t="shared" si="19"/>
        <v>3.9756594063228385E-3</v>
      </c>
    </row>
    <row r="598" spans="2:8" x14ac:dyDescent="0.3">
      <c r="B598" s="103">
        <v>45534</v>
      </c>
      <c r="C598" s="105">
        <v>1943.699951171875</v>
      </c>
      <c r="D598" s="106">
        <f t="shared" si="18"/>
        <v>5.3533895655908294E-3</v>
      </c>
      <c r="F598" s="97">
        <v>45534</v>
      </c>
      <c r="G598" s="98">
        <v>25235.900390625</v>
      </c>
      <c r="H598" s="100">
        <f t="shared" si="19"/>
        <v>3.3377600735777966E-3</v>
      </c>
    </row>
    <row r="599" spans="2:8" x14ac:dyDescent="0.3">
      <c r="B599" s="103">
        <v>45537</v>
      </c>
      <c r="C599" s="105">
        <v>1964.5</v>
      </c>
      <c r="D599" s="106">
        <f t="shared" si="18"/>
        <v>1.0701265293331132E-2</v>
      </c>
      <c r="F599" s="97">
        <v>45537</v>
      </c>
      <c r="G599" s="98">
        <v>25278.69921875</v>
      </c>
      <c r="H599" s="99">
        <f t="shared" si="19"/>
        <v>1.6959501132323192E-3</v>
      </c>
    </row>
    <row r="600" spans="2:8" x14ac:dyDescent="0.3">
      <c r="B600" s="103">
        <v>45538</v>
      </c>
      <c r="C600" s="105">
        <v>1941.25</v>
      </c>
      <c r="D600" s="106">
        <f t="shared" si="18"/>
        <v>-1.1835072537541359E-2</v>
      </c>
      <c r="F600" s="97">
        <v>45538</v>
      </c>
      <c r="G600" s="98">
        <v>25279.849609375</v>
      </c>
      <c r="H600" s="100">
        <f t="shared" si="19"/>
        <v>4.5508299894905958E-5</v>
      </c>
    </row>
    <row r="601" spans="2:8" x14ac:dyDescent="0.3">
      <c r="B601" s="103">
        <v>45539</v>
      </c>
      <c r="C601" s="105">
        <v>1922.449951171875</v>
      </c>
      <c r="D601" s="106">
        <f t="shared" si="18"/>
        <v>-9.6845068013522214E-3</v>
      </c>
      <c r="F601" s="97">
        <v>45539</v>
      </c>
      <c r="G601" s="98">
        <v>25198.69921875</v>
      </c>
      <c r="H601" s="99">
        <f t="shared" si="19"/>
        <v>-3.2100820170585776E-3</v>
      </c>
    </row>
    <row r="602" spans="2:8" x14ac:dyDescent="0.3">
      <c r="B602" s="103">
        <v>45540</v>
      </c>
      <c r="C602" s="105">
        <v>1933.150024414062</v>
      </c>
      <c r="D602" s="106">
        <f t="shared" si="18"/>
        <v>5.5658526952363889E-3</v>
      </c>
      <c r="F602" s="97">
        <v>45540</v>
      </c>
      <c r="G602" s="98">
        <v>25145.099609375</v>
      </c>
      <c r="H602" s="100">
        <f t="shared" si="19"/>
        <v>-2.1270784221717794E-3</v>
      </c>
    </row>
    <row r="603" spans="2:8" x14ac:dyDescent="0.3">
      <c r="B603" s="103">
        <v>45541</v>
      </c>
      <c r="C603" s="105">
        <v>1901.849975585938</v>
      </c>
      <c r="D603" s="106">
        <f t="shared" si="18"/>
        <v>-1.6191215597770866E-2</v>
      </c>
      <c r="F603" s="97">
        <v>45541</v>
      </c>
      <c r="G603" s="98">
        <v>24852.150390625</v>
      </c>
      <c r="H603" s="99">
        <f t="shared" si="19"/>
        <v>-1.1650350298901897E-2</v>
      </c>
    </row>
    <row r="604" spans="2:8" x14ac:dyDescent="0.3">
      <c r="B604" s="103">
        <v>45544</v>
      </c>
      <c r="C604" s="105">
        <v>1894.650024414062</v>
      </c>
      <c r="D604" s="106">
        <f t="shared" si="18"/>
        <v>-3.7857618972588457E-3</v>
      </c>
      <c r="F604" s="97">
        <v>45544</v>
      </c>
      <c r="G604" s="98">
        <v>24936.400390625</v>
      </c>
      <c r="H604" s="100">
        <f t="shared" si="19"/>
        <v>3.3900486950127948E-3</v>
      </c>
    </row>
    <row r="605" spans="2:8" x14ac:dyDescent="0.3">
      <c r="B605" s="103">
        <v>45545</v>
      </c>
      <c r="C605" s="105">
        <v>1912.300048828125</v>
      </c>
      <c r="D605" s="106">
        <f t="shared" si="18"/>
        <v>9.3157175133288198E-3</v>
      </c>
      <c r="F605" s="97">
        <v>45545</v>
      </c>
      <c r="G605" s="98">
        <v>25041.099609375</v>
      </c>
      <c r="H605" s="99">
        <f t="shared" si="19"/>
        <v>4.1986500501236075E-3</v>
      </c>
    </row>
    <row r="606" spans="2:8" x14ac:dyDescent="0.3">
      <c r="B606" s="103">
        <v>45546</v>
      </c>
      <c r="C606" s="105">
        <v>1910.150024414062</v>
      </c>
      <c r="D606" s="106">
        <f t="shared" si="18"/>
        <v>-1.1243133186031708E-3</v>
      </c>
      <c r="F606" s="97">
        <v>45546</v>
      </c>
      <c r="G606" s="98">
        <v>24918.44921875</v>
      </c>
      <c r="H606" s="100">
        <f t="shared" si="19"/>
        <v>-4.8979634496195048E-3</v>
      </c>
    </row>
    <row r="607" spans="2:8" x14ac:dyDescent="0.3">
      <c r="B607" s="103">
        <v>45547</v>
      </c>
      <c r="C607" s="105">
        <v>1950.449951171875</v>
      </c>
      <c r="D607" s="106">
        <f t="shared" si="18"/>
        <v>2.1097780929628784E-2</v>
      </c>
      <c r="F607" s="97">
        <v>45547</v>
      </c>
      <c r="G607" s="98">
        <v>25388.900390625</v>
      </c>
      <c r="H607" s="99">
        <f t="shared" si="19"/>
        <v>1.8879632827271085E-2</v>
      </c>
    </row>
    <row r="608" spans="2:8" x14ac:dyDescent="0.3">
      <c r="B608" s="103">
        <v>45548</v>
      </c>
      <c r="C608" s="105">
        <v>1944.099975585938</v>
      </c>
      <c r="D608" s="106">
        <f t="shared" si="18"/>
        <v>-3.2556465148576791E-3</v>
      </c>
      <c r="F608" s="97">
        <v>45548</v>
      </c>
      <c r="G608" s="98">
        <v>25356.5</v>
      </c>
      <c r="H608" s="100">
        <f t="shared" si="19"/>
        <v>-1.2761636040355664E-3</v>
      </c>
    </row>
    <row r="609" spans="2:8" x14ac:dyDescent="0.3">
      <c r="B609" s="103">
        <v>45551</v>
      </c>
      <c r="C609" s="105">
        <v>1950.25</v>
      </c>
      <c r="D609" s="106">
        <f t="shared" si="18"/>
        <v>3.16343011742926E-3</v>
      </c>
      <c r="F609" s="97">
        <v>45551</v>
      </c>
      <c r="G609" s="98">
        <v>25383.75</v>
      </c>
      <c r="H609" s="99">
        <f t="shared" si="19"/>
        <v>1.0746751326089958E-3</v>
      </c>
    </row>
    <row r="610" spans="2:8" x14ac:dyDescent="0.3">
      <c r="B610" s="103">
        <v>45552</v>
      </c>
      <c r="C610" s="105">
        <v>1952.550048828125</v>
      </c>
      <c r="D610" s="106">
        <f t="shared" si="18"/>
        <v>1.1793610194205872E-3</v>
      </c>
      <c r="F610" s="97">
        <v>45552</v>
      </c>
      <c r="G610" s="98">
        <v>25418.55078125</v>
      </c>
      <c r="H610" s="100">
        <f t="shared" si="19"/>
        <v>1.3709866056039789E-3</v>
      </c>
    </row>
    <row r="611" spans="2:8" x14ac:dyDescent="0.3">
      <c r="B611" s="103">
        <v>45553</v>
      </c>
      <c r="C611" s="105">
        <v>1892.150024414062</v>
      </c>
      <c r="D611" s="106">
        <f t="shared" si="18"/>
        <v>-3.0933918672309393E-2</v>
      </c>
      <c r="F611" s="97">
        <v>45553</v>
      </c>
      <c r="G611" s="98">
        <v>25377.55078125</v>
      </c>
      <c r="H611" s="99">
        <f t="shared" si="19"/>
        <v>-1.6129951842196943E-3</v>
      </c>
    </row>
    <row r="612" spans="2:8" x14ac:dyDescent="0.3">
      <c r="B612" s="103">
        <v>45554</v>
      </c>
      <c r="C612" s="105">
        <v>1894.199951171875</v>
      </c>
      <c r="D612" s="106">
        <f t="shared" si="18"/>
        <v>1.0833848962096709E-3</v>
      </c>
      <c r="F612" s="97">
        <v>45554</v>
      </c>
      <c r="G612" s="98">
        <v>25415.80078125</v>
      </c>
      <c r="H612" s="100">
        <f t="shared" si="19"/>
        <v>1.5072376499098844E-3</v>
      </c>
    </row>
    <row r="613" spans="2:8" x14ac:dyDescent="0.3">
      <c r="B613" s="103">
        <v>45555</v>
      </c>
      <c r="C613" s="105">
        <v>1905.75</v>
      </c>
      <c r="D613" s="106">
        <f t="shared" si="18"/>
        <v>6.0975869104945282E-3</v>
      </c>
      <c r="F613" s="97">
        <v>45555</v>
      </c>
      <c r="G613" s="98">
        <v>25790.94921875</v>
      </c>
      <c r="H613" s="99">
        <f t="shared" si="19"/>
        <v>1.4760441377741608E-2</v>
      </c>
    </row>
    <row r="614" spans="2:8" x14ac:dyDescent="0.3">
      <c r="B614" s="103">
        <v>45558</v>
      </c>
      <c r="C614" s="105">
        <v>1896.449951171875</v>
      </c>
      <c r="D614" s="106">
        <f t="shared" si="18"/>
        <v>-4.879994137806638E-3</v>
      </c>
      <c r="F614" s="97">
        <v>45558</v>
      </c>
      <c r="G614" s="98">
        <v>25939.05078125</v>
      </c>
      <c r="H614" s="100">
        <f t="shared" si="19"/>
        <v>5.7423850996662926E-3</v>
      </c>
    </row>
    <row r="615" spans="2:8" x14ac:dyDescent="0.3">
      <c r="B615" s="103">
        <v>45559</v>
      </c>
      <c r="C615" s="105">
        <v>1898.599975585938</v>
      </c>
      <c r="D615" s="106">
        <f t="shared" si="18"/>
        <v>1.1337100737799004E-3</v>
      </c>
      <c r="F615" s="97">
        <v>45559</v>
      </c>
      <c r="G615" s="98">
        <v>25940.400390625</v>
      </c>
      <c r="H615" s="99">
        <f t="shared" si="19"/>
        <v>5.2030021699003842E-5</v>
      </c>
    </row>
    <row r="616" spans="2:8" x14ac:dyDescent="0.3">
      <c r="B616" s="103">
        <v>45560</v>
      </c>
      <c r="C616" s="105">
        <v>1895.300048828125</v>
      </c>
      <c r="D616" s="106">
        <f t="shared" si="18"/>
        <v>-1.7380842727518445E-3</v>
      </c>
      <c r="F616" s="97">
        <v>45560</v>
      </c>
      <c r="G616" s="98">
        <v>26004.150390625</v>
      </c>
      <c r="H616" s="100">
        <f t="shared" si="19"/>
        <v>2.4575565157058869E-3</v>
      </c>
    </row>
    <row r="617" spans="2:8" x14ac:dyDescent="0.3">
      <c r="B617" s="103">
        <v>45561</v>
      </c>
      <c r="C617" s="105">
        <v>1900.25</v>
      </c>
      <c r="D617" s="106">
        <f t="shared" si="18"/>
        <v>2.6116979076403145E-3</v>
      </c>
      <c r="F617" s="97">
        <v>45561</v>
      </c>
      <c r="G617" s="98">
        <v>26216.05078125</v>
      </c>
      <c r="H617" s="99">
        <f t="shared" si="19"/>
        <v>8.1487142414540942E-3</v>
      </c>
    </row>
    <row r="618" spans="2:8" x14ac:dyDescent="0.3">
      <c r="B618" s="103">
        <v>45562</v>
      </c>
      <c r="C618" s="105">
        <v>1906.75</v>
      </c>
      <c r="D618" s="106">
        <f t="shared" si="18"/>
        <v>3.4206025522957504E-3</v>
      </c>
      <c r="F618" s="97">
        <v>45562</v>
      </c>
      <c r="G618" s="98">
        <v>26178.94921875</v>
      </c>
      <c r="H618" s="100">
        <f t="shared" si="19"/>
        <v>-1.4152231703234049E-3</v>
      </c>
    </row>
    <row r="619" spans="2:8" x14ac:dyDescent="0.3">
      <c r="B619" s="103">
        <v>45565</v>
      </c>
      <c r="C619" s="105">
        <v>1875.599975585938</v>
      </c>
      <c r="D619" s="106">
        <f t="shared" si="18"/>
        <v>-1.6336711374885036E-2</v>
      </c>
      <c r="F619" s="97">
        <v>45565</v>
      </c>
      <c r="G619" s="98">
        <v>25810.849609375</v>
      </c>
      <c r="H619" s="99">
        <f t="shared" si="19"/>
        <v>-1.406090085202343E-2</v>
      </c>
    </row>
    <row r="620" spans="2:8" x14ac:dyDescent="0.3">
      <c r="B620" s="103">
        <v>45566</v>
      </c>
      <c r="C620" s="105">
        <v>1904.349975585938</v>
      </c>
      <c r="D620" s="106">
        <f t="shared" si="18"/>
        <v>1.5328428435822779E-2</v>
      </c>
      <c r="F620" s="97">
        <v>45566</v>
      </c>
      <c r="G620" s="98">
        <v>25796.900390625</v>
      </c>
      <c r="H620" s="100">
        <f t="shared" si="19"/>
        <v>-5.4044012347944466E-4</v>
      </c>
    </row>
    <row r="621" spans="2:8" x14ac:dyDescent="0.3">
      <c r="B621" s="103">
        <v>45568</v>
      </c>
      <c r="C621" s="105">
        <v>1893.400024414062</v>
      </c>
      <c r="D621" s="106">
        <f t="shared" si="18"/>
        <v>-5.749967869486167E-3</v>
      </c>
      <c r="F621" s="97">
        <v>45568</v>
      </c>
      <c r="G621" s="98">
        <v>25250.099609375</v>
      </c>
      <c r="H621" s="99">
        <f t="shared" si="19"/>
        <v>-2.1196375260987402E-2</v>
      </c>
    </row>
    <row r="622" spans="2:8" x14ac:dyDescent="0.3">
      <c r="B622" s="103">
        <v>45569</v>
      </c>
      <c r="C622" s="105">
        <v>1918.150024414062</v>
      </c>
      <c r="D622" s="106">
        <f t="shared" si="18"/>
        <v>1.3071722658110359E-2</v>
      </c>
      <c r="F622" s="97">
        <v>45569</v>
      </c>
      <c r="G622" s="98">
        <v>25014.599609375</v>
      </c>
      <c r="H622" s="100">
        <f t="shared" si="19"/>
        <v>-9.3266958801446562E-3</v>
      </c>
    </row>
    <row r="623" spans="2:8" x14ac:dyDescent="0.3">
      <c r="B623" s="103">
        <v>45572</v>
      </c>
      <c r="C623" s="105">
        <v>1934.300048828125</v>
      </c>
      <c r="D623" s="106">
        <f t="shared" si="18"/>
        <v>8.4195835615080775E-3</v>
      </c>
      <c r="F623" s="97">
        <v>45572</v>
      </c>
      <c r="G623" s="98">
        <v>24795.75</v>
      </c>
      <c r="H623" s="99">
        <f t="shared" si="19"/>
        <v>-8.7488751686027114E-3</v>
      </c>
    </row>
    <row r="624" spans="2:8" x14ac:dyDescent="0.3">
      <c r="B624" s="103">
        <v>45573</v>
      </c>
      <c r="C624" s="105">
        <v>1948.550048828125</v>
      </c>
      <c r="D624" s="106">
        <f t="shared" si="18"/>
        <v>7.3670059661287866E-3</v>
      </c>
      <c r="F624" s="97">
        <v>45573</v>
      </c>
      <c r="G624" s="98">
        <v>25013.150390625</v>
      </c>
      <c r="H624" s="100">
        <f t="shared" si="19"/>
        <v>8.7676473034693451E-3</v>
      </c>
    </row>
    <row r="625" spans="2:8" x14ac:dyDescent="0.3">
      <c r="B625" s="103">
        <v>45574</v>
      </c>
      <c r="C625" s="105">
        <v>1952.75</v>
      </c>
      <c r="D625" s="106">
        <f t="shared" si="18"/>
        <v>2.1554238108489371E-3</v>
      </c>
      <c r="F625" s="97">
        <v>45574</v>
      </c>
      <c r="G625" s="98">
        <v>24981.94921875</v>
      </c>
      <c r="H625" s="99">
        <f t="shared" si="19"/>
        <v>-1.2473907279865989E-3</v>
      </c>
    </row>
    <row r="626" spans="2:8" x14ac:dyDescent="0.3">
      <c r="B626" s="103">
        <v>45575</v>
      </c>
      <c r="C626" s="105">
        <v>1919</v>
      </c>
      <c r="D626" s="106">
        <f t="shared" si="18"/>
        <v>-1.728331839713225E-2</v>
      </c>
      <c r="F626" s="97">
        <v>45575</v>
      </c>
      <c r="G626" s="98">
        <v>24998.44921875</v>
      </c>
      <c r="H626" s="100">
        <f t="shared" si="19"/>
        <v>6.6047688495083712E-4</v>
      </c>
    </row>
    <row r="627" spans="2:8" x14ac:dyDescent="0.3">
      <c r="B627" s="103">
        <v>45576</v>
      </c>
      <c r="C627" s="105">
        <v>1935.099975585938</v>
      </c>
      <c r="D627" s="106">
        <f t="shared" si="18"/>
        <v>8.3897736247722544E-3</v>
      </c>
      <c r="F627" s="97">
        <v>45576</v>
      </c>
      <c r="G627" s="98">
        <v>24964.25</v>
      </c>
      <c r="H627" s="99">
        <f t="shared" si="19"/>
        <v>-1.3680536120756241E-3</v>
      </c>
    </row>
    <row r="628" spans="2:8" x14ac:dyDescent="0.3">
      <c r="B628" s="103">
        <v>45579</v>
      </c>
      <c r="C628" s="105">
        <v>1958.900024414062</v>
      </c>
      <c r="D628" s="106">
        <f t="shared" si="18"/>
        <v>1.2299131377394371E-2</v>
      </c>
      <c r="F628" s="97">
        <v>45579</v>
      </c>
      <c r="G628" s="98">
        <v>25127.94921875</v>
      </c>
      <c r="H628" s="100">
        <f t="shared" si="19"/>
        <v>6.5573457544288337E-3</v>
      </c>
    </row>
    <row r="629" spans="2:8" x14ac:dyDescent="0.3">
      <c r="B629" s="103">
        <v>45580</v>
      </c>
      <c r="C629" s="105">
        <v>1959.300048828125</v>
      </c>
      <c r="D629" s="106">
        <f t="shared" si="18"/>
        <v>2.042086931836189E-4</v>
      </c>
      <c r="F629" s="97">
        <v>45580</v>
      </c>
      <c r="G629" s="98">
        <v>25057.349609375</v>
      </c>
      <c r="H629" s="99">
        <f t="shared" si="19"/>
        <v>-2.8096049048968912E-3</v>
      </c>
    </row>
    <row r="630" spans="2:8" x14ac:dyDescent="0.3">
      <c r="B630" s="103">
        <v>45581</v>
      </c>
      <c r="C630" s="105">
        <v>1920.099975585938</v>
      </c>
      <c r="D630" s="106">
        <f t="shared" si="18"/>
        <v>-2.000718229228492E-2</v>
      </c>
      <c r="F630" s="97">
        <v>45581</v>
      </c>
      <c r="G630" s="98">
        <v>24971.30078125</v>
      </c>
      <c r="H630" s="100">
        <f t="shared" si="19"/>
        <v>-3.4340754096676505E-3</v>
      </c>
    </row>
    <row r="631" spans="2:8" x14ac:dyDescent="0.3">
      <c r="B631" s="103">
        <v>45582</v>
      </c>
      <c r="C631" s="105">
        <v>1968.099975585938</v>
      </c>
      <c r="D631" s="106">
        <f t="shared" si="18"/>
        <v>2.49986983023383E-2</v>
      </c>
      <c r="F631" s="97">
        <v>45582</v>
      </c>
      <c r="G631" s="98">
        <v>24749.849609375</v>
      </c>
      <c r="H631" s="99">
        <f t="shared" si="19"/>
        <v>-8.8682273228345102E-3</v>
      </c>
    </row>
    <row r="632" spans="2:8" x14ac:dyDescent="0.3">
      <c r="B632" s="103">
        <v>45583</v>
      </c>
      <c r="C632" s="105">
        <v>1879.599975585938</v>
      </c>
      <c r="D632" s="106">
        <f t="shared" si="18"/>
        <v>-4.4967227832850308E-2</v>
      </c>
      <c r="F632" s="97">
        <v>45583</v>
      </c>
      <c r="G632" s="98">
        <v>24854.05078125</v>
      </c>
      <c r="H632" s="100">
        <f t="shared" si="19"/>
        <v>4.2101739412400158E-3</v>
      </c>
    </row>
    <row r="633" spans="2:8" x14ac:dyDescent="0.3">
      <c r="B633" s="103">
        <v>45586</v>
      </c>
      <c r="C633" s="105">
        <v>1852.75</v>
      </c>
      <c r="D633" s="106">
        <f t="shared" si="18"/>
        <v>-1.4284941442163971E-2</v>
      </c>
      <c r="F633" s="97">
        <v>45586</v>
      </c>
      <c r="G633" s="98">
        <v>24781.099609375</v>
      </c>
      <c r="H633" s="99">
        <f t="shared" si="19"/>
        <v>-2.9351823779983047E-3</v>
      </c>
    </row>
    <row r="634" spans="2:8" x14ac:dyDescent="0.3">
      <c r="B634" s="103">
        <v>45587</v>
      </c>
      <c r="C634" s="105">
        <v>1851.599975585938</v>
      </c>
      <c r="D634" s="106">
        <f t="shared" si="18"/>
        <v>-6.207121382064743E-4</v>
      </c>
      <c r="F634" s="97">
        <v>45587</v>
      </c>
      <c r="G634" s="98">
        <v>24472.099609375</v>
      </c>
      <c r="H634" s="100">
        <f t="shared" si="19"/>
        <v>-1.2469180337869326E-2</v>
      </c>
    </row>
    <row r="635" spans="2:8" x14ac:dyDescent="0.3">
      <c r="B635" s="103">
        <v>45588</v>
      </c>
      <c r="C635" s="105">
        <v>1873.400024414062</v>
      </c>
      <c r="D635" s="106">
        <f t="shared" si="18"/>
        <v>1.1773627735777796E-2</v>
      </c>
      <c r="F635" s="97">
        <v>45588</v>
      </c>
      <c r="G635" s="98">
        <v>24435.5</v>
      </c>
      <c r="H635" s="99">
        <f t="shared" si="19"/>
        <v>-1.4955647434917714E-3</v>
      </c>
    </row>
    <row r="636" spans="2:8" x14ac:dyDescent="0.3">
      <c r="B636" s="103">
        <v>45589</v>
      </c>
      <c r="C636" s="105">
        <v>1863.349975585938</v>
      </c>
      <c r="D636" s="106">
        <f t="shared" si="18"/>
        <v>-5.3646037670291025E-3</v>
      </c>
      <c r="F636" s="97">
        <v>45589</v>
      </c>
      <c r="G636" s="98">
        <v>24399.400390625</v>
      </c>
      <c r="H636" s="100">
        <f t="shared" si="19"/>
        <v>-1.4773427748562542E-3</v>
      </c>
    </row>
    <row r="637" spans="2:8" x14ac:dyDescent="0.3">
      <c r="B637" s="103">
        <v>45590</v>
      </c>
      <c r="C637" s="105">
        <v>1862.050048828125</v>
      </c>
      <c r="D637" s="106">
        <f t="shared" si="18"/>
        <v>-6.9762888069600966E-4</v>
      </c>
      <c r="F637" s="97">
        <v>45590</v>
      </c>
      <c r="G637" s="98">
        <v>24180.80078125</v>
      </c>
      <c r="H637" s="99">
        <f t="shared" si="19"/>
        <v>-8.9592205494932031E-3</v>
      </c>
    </row>
    <row r="638" spans="2:8" x14ac:dyDescent="0.3">
      <c r="B638" s="103">
        <v>45593</v>
      </c>
      <c r="C638" s="105">
        <v>1865.349975585938</v>
      </c>
      <c r="D638" s="106">
        <f t="shared" si="18"/>
        <v>1.7722008921778191E-3</v>
      </c>
      <c r="F638" s="97">
        <v>45593</v>
      </c>
      <c r="G638" s="98">
        <v>24339.150390625</v>
      </c>
      <c r="H638" s="100">
        <f t="shared" si="19"/>
        <v>6.5485676346080995E-3</v>
      </c>
    </row>
    <row r="639" spans="2:8" x14ac:dyDescent="0.3">
      <c r="B639" s="103">
        <v>45594</v>
      </c>
      <c r="C639" s="105">
        <v>1839.300048828125</v>
      </c>
      <c r="D639" s="106">
        <f t="shared" si="18"/>
        <v>-1.3965168519987909E-2</v>
      </c>
      <c r="F639" s="97">
        <v>45594</v>
      </c>
      <c r="G639" s="98">
        <v>24466.849609375</v>
      </c>
      <c r="H639" s="99">
        <f t="shared" si="19"/>
        <v>5.2466588480092318E-3</v>
      </c>
    </row>
    <row r="640" spans="2:8" x14ac:dyDescent="0.3">
      <c r="B640" s="103">
        <v>45595</v>
      </c>
      <c r="C640" s="105">
        <v>1802.099975585938</v>
      </c>
      <c r="D640" s="106">
        <f t="shared" si="18"/>
        <v>-2.0225124914169584E-2</v>
      </c>
      <c r="F640" s="97">
        <v>45595</v>
      </c>
      <c r="G640" s="98">
        <v>24340.849609375</v>
      </c>
      <c r="H640" s="100">
        <f t="shared" si="19"/>
        <v>-5.149825253829181E-3</v>
      </c>
    </row>
    <row r="641" spans="2:8" x14ac:dyDescent="0.3">
      <c r="B641" s="103">
        <v>45596</v>
      </c>
      <c r="C641" s="105">
        <v>1757.25</v>
      </c>
      <c r="D641" s="106">
        <f t="shared" si="18"/>
        <v>-2.4887617886657679E-2</v>
      </c>
      <c r="F641" s="97">
        <v>45596</v>
      </c>
      <c r="G641" s="98">
        <v>24205.349609375</v>
      </c>
      <c r="H641" s="99">
        <f t="shared" si="19"/>
        <v>-5.566773640794013E-3</v>
      </c>
    </row>
    <row r="642" spans="2:8" x14ac:dyDescent="0.3">
      <c r="B642" s="103">
        <v>45597</v>
      </c>
      <c r="C642" s="105">
        <v>1760.849975585938</v>
      </c>
      <c r="D642" s="106">
        <f t="shared" si="18"/>
        <v>2.048641676447833E-3</v>
      </c>
      <c r="F642" s="97">
        <v>45597</v>
      </c>
      <c r="G642" s="98">
        <v>24304.349609375</v>
      </c>
      <c r="H642" s="100">
        <f t="shared" si="19"/>
        <v>4.0900049616162618E-3</v>
      </c>
    </row>
    <row r="643" spans="2:8" x14ac:dyDescent="0.3">
      <c r="B643" s="103">
        <v>45600</v>
      </c>
      <c r="C643" s="105">
        <v>1763.650024414062</v>
      </c>
      <c r="D643" s="106">
        <f t="shared" si="18"/>
        <v>1.5901688769324883E-3</v>
      </c>
      <c r="F643" s="97">
        <v>45600</v>
      </c>
      <c r="G643" s="98">
        <v>23995.349609375</v>
      </c>
      <c r="H643" s="99">
        <f t="shared" si="19"/>
        <v>-1.2713773664645128E-2</v>
      </c>
    </row>
    <row r="644" spans="2:8" x14ac:dyDescent="0.3">
      <c r="B644" s="103">
        <v>45601</v>
      </c>
      <c r="C644" s="105">
        <v>1754.199951171875</v>
      </c>
      <c r="D644" s="106">
        <f t="shared" si="18"/>
        <v>-5.3582474478328802E-3</v>
      </c>
      <c r="F644" s="97">
        <v>45601</v>
      </c>
      <c r="G644" s="98">
        <v>24213.30078125</v>
      </c>
      <c r="H644" s="100">
        <f t="shared" si="19"/>
        <v>9.0830588186073483E-3</v>
      </c>
    </row>
    <row r="645" spans="2:8" x14ac:dyDescent="0.3">
      <c r="B645" s="103">
        <v>45602</v>
      </c>
      <c r="C645" s="105">
        <v>1823.699951171875</v>
      </c>
      <c r="D645" s="106">
        <f t="shared" ref="D645:D708" si="20">(C645-C644)/C644</f>
        <v>3.9619200737961054E-2</v>
      </c>
      <c r="F645" s="97">
        <v>45602</v>
      </c>
      <c r="G645" s="98">
        <v>24484.05078125</v>
      </c>
      <c r="H645" s="99">
        <f t="shared" ref="H645:H708" si="21">(G645-G644)/G644</f>
        <v>1.1181870759630595E-2</v>
      </c>
    </row>
    <row r="646" spans="2:8" x14ac:dyDescent="0.3">
      <c r="B646" s="103">
        <v>45603</v>
      </c>
      <c r="C646" s="105">
        <v>1803.050048828125</v>
      </c>
      <c r="D646" s="106">
        <f t="shared" si="20"/>
        <v>-1.1323081042186114E-2</v>
      </c>
      <c r="F646" s="97">
        <v>45603</v>
      </c>
      <c r="G646" s="98">
        <v>24199.349609375</v>
      </c>
      <c r="H646" s="100">
        <f t="shared" si="21"/>
        <v>-1.1628025706147672E-2</v>
      </c>
    </row>
    <row r="647" spans="2:8" x14ac:dyDescent="0.3">
      <c r="B647" s="103">
        <v>45604</v>
      </c>
      <c r="C647" s="105">
        <v>1829.949951171875</v>
      </c>
      <c r="D647" s="106">
        <f t="shared" si="20"/>
        <v>1.4919110182899988E-2</v>
      </c>
      <c r="F647" s="97">
        <v>45604</v>
      </c>
      <c r="G647" s="98">
        <v>24148.19921875</v>
      </c>
      <c r="H647" s="99">
        <f t="shared" si="21"/>
        <v>-2.1137093124678017E-3</v>
      </c>
    </row>
    <row r="648" spans="2:8" x14ac:dyDescent="0.3">
      <c r="B648" s="103">
        <v>45607</v>
      </c>
      <c r="C648" s="105">
        <v>1860.099975585938</v>
      </c>
      <c r="D648" s="106">
        <f t="shared" si="20"/>
        <v>1.6475873777179146E-2</v>
      </c>
      <c r="F648" s="97">
        <v>45607</v>
      </c>
      <c r="G648" s="98">
        <v>24141.30078125</v>
      </c>
      <c r="H648" s="100">
        <f t="shared" si="21"/>
        <v>-2.8567088740280355E-4</v>
      </c>
    </row>
    <row r="649" spans="2:8" x14ac:dyDescent="0.3">
      <c r="B649" s="103">
        <v>45608</v>
      </c>
      <c r="C649" s="105">
        <v>1868.800048828125</v>
      </c>
      <c r="D649" s="106">
        <f t="shared" si="20"/>
        <v>4.6772073309911703E-3</v>
      </c>
      <c r="F649" s="97">
        <v>45608</v>
      </c>
      <c r="G649" s="98">
        <v>23883.44921875</v>
      </c>
      <c r="H649" s="99">
        <f t="shared" si="21"/>
        <v>-1.0680930776533279E-2</v>
      </c>
    </row>
    <row r="650" spans="2:8" x14ac:dyDescent="0.3">
      <c r="B650" s="103">
        <v>45609</v>
      </c>
      <c r="C650" s="105">
        <v>1868.400024414062</v>
      </c>
      <c r="D650" s="106">
        <f t="shared" si="20"/>
        <v>-2.1405415432956536E-4</v>
      </c>
      <c r="F650" s="97">
        <v>45609</v>
      </c>
      <c r="G650" s="98">
        <v>23559.05078125</v>
      </c>
      <c r="H650" s="100">
        <f t="shared" si="21"/>
        <v>-1.3582562322921387E-2</v>
      </c>
    </row>
    <row r="651" spans="2:8" x14ac:dyDescent="0.3">
      <c r="B651" s="103">
        <v>45610</v>
      </c>
      <c r="C651" s="105">
        <v>1864.550048828125</v>
      </c>
      <c r="D651" s="106">
        <f t="shared" si="20"/>
        <v>-2.060573504404879E-3</v>
      </c>
      <c r="F651" s="97">
        <v>45610</v>
      </c>
      <c r="G651" s="98">
        <v>23532.69921875</v>
      </c>
      <c r="H651" s="99">
        <f t="shared" si="21"/>
        <v>-1.1185324376894032E-3</v>
      </c>
    </row>
    <row r="652" spans="2:8" x14ac:dyDescent="0.3">
      <c r="B652" s="103">
        <v>45614</v>
      </c>
      <c r="C652" s="105">
        <v>1811.449951171875</v>
      </c>
      <c r="D652" s="106">
        <f t="shared" si="20"/>
        <v>-2.8478773036756812E-2</v>
      </c>
      <c r="F652" s="97">
        <v>45614</v>
      </c>
      <c r="G652" s="98">
        <v>23453.80078125</v>
      </c>
      <c r="H652" s="100">
        <f t="shared" si="21"/>
        <v>-3.3527151631265739E-3</v>
      </c>
    </row>
    <row r="653" spans="2:8" x14ac:dyDescent="0.3">
      <c r="B653" s="103">
        <v>45615</v>
      </c>
      <c r="C653" s="105">
        <v>1824.75</v>
      </c>
      <c r="D653" s="106">
        <f t="shared" si="20"/>
        <v>7.3422115910631953E-3</v>
      </c>
      <c r="F653" s="97">
        <v>45615</v>
      </c>
      <c r="G653" s="98">
        <v>23518.5</v>
      </c>
      <c r="H653" s="99">
        <f t="shared" si="21"/>
        <v>2.7585814066316875E-3</v>
      </c>
    </row>
    <row r="654" spans="2:8" x14ac:dyDescent="0.3">
      <c r="B654" s="103">
        <v>45617</v>
      </c>
      <c r="C654" s="105">
        <v>1834.050048828125</v>
      </c>
      <c r="D654" s="106">
        <f t="shared" si="20"/>
        <v>5.0966153325798054E-3</v>
      </c>
      <c r="F654" s="97">
        <v>45617</v>
      </c>
      <c r="G654" s="98">
        <v>23349.900390625</v>
      </c>
      <c r="H654" s="100">
        <f t="shared" si="21"/>
        <v>-7.1688079331164827E-3</v>
      </c>
    </row>
    <row r="655" spans="2:8" x14ac:dyDescent="0.3">
      <c r="B655" s="103">
        <v>45618</v>
      </c>
      <c r="C655" s="105">
        <v>1902.25</v>
      </c>
      <c r="D655" s="106">
        <f t="shared" si="20"/>
        <v>3.7185436251018167E-2</v>
      </c>
      <c r="F655" s="97">
        <v>45618</v>
      </c>
      <c r="G655" s="98">
        <v>23907.25</v>
      </c>
      <c r="H655" s="99">
        <f t="shared" si="21"/>
        <v>2.3869464111237762E-2</v>
      </c>
    </row>
    <row r="656" spans="2:8" x14ac:dyDescent="0.3">
      <c r="B656" s="103">
        <v>45621</v>
      </c>
      <c r="C656" s="105">
        <v>1889.699951171875</v>
      </c>
      <c r="D656" s="106">
        <f t="shared" si="20"/>
        <v>-6.5974760563148899E-3</v>
      </c>
      <c r="F656" s="97">
        <v>45621</v>
      </c>
      <c r="G656" s="98">
        <v>24221.900390625</v>
      </c>
      <c r="H656" s="100">
        <f t="shared" si="21"/>
        <v>1.3161295867362411E-2</v>
      </c>
    </row>
    <row r="657" spans="2:8" x14ac:dyDescent="0.3">
      <c r="B657" s="103">
        <v>45622</v>
      </c>
      <c r="C657" s="105">
        <v>1924.150024414062</v>
      </c>
      <c r="D657" s="106">
        <f t="shared" si="20"/>
        <v>1.8230446172591178E-2</v>
      </c>
      <c r="F657" s="97">
        <v>45622</v>
      </c>
      <c r="G657" s="98">
        <v>24194.5</v>
      </c>
      <c r="H657" s="99">
        <f t="shared" si="21"/>
        <v>-1.1312238174179439E-3</v>
      </c>
    </row>
    <row r="658" spans="2:8" x14ac:dyDescent="0.3">
      <c r="B658" s="103">
        <v>45623</v>
      </c>
      <c r="C658" s="105">
        <v>1924.5</v>
      </c>
      <c r="D658" s="106">
        <f t="shared" si="20"/>
        <v>1.818858100966054E-4</v>
      </c>
      <c r="F658" s="97">
        <v>45623</v>
      </c>
      <c r="G658" s="98">
        <v>24274.900390625</v>
      </c>
      <c r="H658" s="100">
        <f t="shared" si="21"/>
        <v>3.3230854378061129E-3</v>
      </c>
    </row>
    <row r="659" spans="2:8" x14ac:dyDescent="0.3">
      <c r="B659" s="103">
        <v>45624</v>
      </c>
      <c r="C659" s="105">
        <v>1856.650024414062</v>
      </c>
      <c r="D659" s="106">
        <f t="shared" si="20"/>
        <v>-3.5255897940211979E-2</v>
      </c>
      <c r="F659" s="97">
        <v>45624</v>
      </c>
      <c r="G659" s="98">
        <v>23914.150390625</v>
      </c>
      <c r="H659" s="99">
        <f t="shared" si="21"/>
        <v>-1.4861029054492934E-2</v>
      </c>
    </row>
    <row r="660" spans="2:8" x14ac:dyDescent="0.3">
      <c r="B660" s="103">
        <v>45625</v>
      </c>
      <c r="C660" s="105">
        <v>1857.849975585938</v>
      </c>
      <c r="D660" s="106">
        <f t="shared" si="20"/>
        <v>6.4629906341912805E-4</v>
      </c>
      <c r="F660" s="97">
        <v>45625</v>
      </c>
      <c r="G660" s="98">
        <v>24131.099609375</v>
      </c>
      <c r="H660" s="100">
        <f t="shared" si="21"/>
        <v>9.0720019405351737E-3</v>
      </c>
    </row>
    <row r="661" spans="2:8" x14ac:dyDescent="0.3">
      <c r="B661" s="103">
        <v>45628</v>
      </c>
      <c r="C661" s="105">
        <v>1879.800048828125</v>
      </c>
      <c r="D661" s="106">
        <f t="shared" si="20"/>
        <v>1.1814771661131745E-2</v>
      </c>
      <c r="F661" s="97">
        <v>45628</v>
      </c>
      <c r="G661" s="98">
        <v>24276.05078125</v>
      </c>
      <c r="H661" s="99">
        <f t="shared" si="21"/>
        <v>6.0068200049485541E-3</v>
      </c>
    </row>
    <row r="662" spans="2:8" x14ac:dyDescent="0.3">
      <c r="B662" s="103">
        <v>45629</v>
      </c>
      <c r="C662" s="105">
        <v>1892.099975585938</v>
      </c>
      <c r="D662" s="106">
        <f t="shared" si="20"/>
        <v>6.5432101491223913E-3</v>
      </c>
      <c r="F662" s="97">
        <v>45629</v>
      </c>
      <c r="G662" s="98">
        <v>24457.150390625</v>
      </c>
      <c r="H662" s="100">
        <f t="shared" si="21"/>
        <v>7.4600111445999777E-3</v>
      </c>
    </row>
    <row r="663" spans="2:8" x14ac:dyDescent="0.3">
      <c r="B663" s="103">
        <v>45630</v>
      </c>
      <c r="C663" s="105">
        <v>1889.25</v>
      </c>
      <c r="D663" s="106">
        <f t="shared" si="20"/>
        <v>-1.506249998790569E-3</v>
      </c>
      <c r="F663" s="97">
        <v>45630</v>
      </c>
      <c r="G663" s="98">
        <v>24467.44921875</v>
      </c>
      <c r="H663" s="99">
        <f t="shared" si="21"/>
        <v>4.2109681465375389E-4</v>
      </c>
    </row>
    <row r="664" spans="2:8" x14ac:dyDescent="0.3">
      <c r="B664" s="103">
        <v>45631</v>
      </c>
      <c r="C664" s="105">
        <v>1934.849975585938</v>
      </c>
      <c r="D664" s="106">
        <f t="shared" si="20"/>
        <v>2.4136549205207334E-2</v>
      </c>
      <c r="F664" s="97">
        <v>45631</v>
      </c>
      <c r="G664" s="98">
        <v>24708.400390625</v>
      </c>
      <c r="H664" s="100">
        <f t="shared" si="21"/>
        <v>9.8478255628851284E-3</v>
      </c>
    </row>
    <row r="665" spans="2:8" x14ac:dyDescent="0.3">
      <c r="B665" s="103">
        <v>45632</v>
      </c>
      <c r="C665" s="105">
        <v>1922.400024414062</v>
      </c>
      <c r="D665" s="106">
        <f t="shared" si="20"/>
        <v>-6.4345821789648797E-3</v>
      </c>
      <c r="F665" s="97">
        <v>45632</v>
      </c>
      <c r="G665" s="98">
        <v>24677.80078125</v>
      </c>
      <c r="H665" s="99">
        <f t="shared" si="21"/>
        <v>-1.2384293961259537E-3</v>
      </c>
    </row>
    <row r="666" spans="2:8" x14ac:dyDescent="0.3">
      <c r="B666" s="103">
        <v>45635</v>
      </c>
      <c r="C666" s="105">
        <v>1923.650024414062</v>
      </c>
      <c r="D666" s="106">
        <f t="shared" si="20"/>
        <v>6.5022887230819387E-4</v>
      </c>
      <c r="F666" s="97">
        <v>45635</v>
      </c>
      <c r="G666" s="98">
        <v>24619</v>
      </c>
      <c r="H666" s="100">
        <f t="shared" si="21"/>
        <v>-2.3827399277279349E-3</v>
      </c>
    </row>
    <row r="667" spans="2:8" x14ac:dyDescent="0.3">
      <c r="B667" s="103">
        <v>45636</v>
      </c>
      <c r="C667" s="105">
        <v>1948.550048828125</v>
      </c>
      <c r="D667" s="106">
        <f t="shared" si="20"/>
        <v>1.2944155172741167E-2</v>
      </c>
      <c r="F667" s="97">
        <v>45636</v>
      </c>
      <c r="G667" s="98">
        <v>24610.05078125</v>
      </c>
      <c r="H667" s="99">
        <f t="shared" si="21"/>
        <v>-3.6350862138998332E-4</v>
      </c>
    </row>
    <row r="668" spans="2:8" x14ac:dyDescent="0.3">
      <c r="B668" s="103">
        <v>45637</v>
      </c>
      <c r="C668" s="105">
        <v>1974.150024414062</v>
      </c>
      <c r="D668" s="106">
        <f t="shared" si="20"/>
        <v>1.3137961532644796E-2</v>
      </c>
      <c r="F668" s="97">
        <v>45637</v>
      </c>
      <c r="G668" s="98">
        <v>24641.80078125</v>
      </c>
      <c r="H668" s="100">
        <f t="shared" si="21"/>
        <v>1.2901233029632678E-3</v>
      </c>
    </row>
    <row r="669" spans="2:8" x14ac:dyDescent="0.3">
      <c r="B669" s="103">
        <v>45638</v>
      </c>
      <c r="C669" s="105">
        <v>1987</v>
      </c>
      <c r="D669" s="106">
        <f t="shared" si="20"/>
        <v>6.5091180644955768E-3</v>
      </c>
      <c r="F669" s="97">
        <v>45638</v>
      </c>
      <c r="G669" s="98">
        <v>24548.69921875</v>
      </c>
      <c r="H669" s="99">
        <f t="shared" si="21"/>
        <v>-3.778196379659119E-3</v>
      </c>
    </row>
    <row r="670" spans="2:8" x14ac:dyDescent="0.3">
      <c r="B670" s="103">
        <v>45639</v>
      </c>
      <c r="C670" s="105">
        <v>1999.699951171875</v>
      </c>
      <c r="D670" s="106">
        <f t="shared" si="20"/>
        <v>6.3915204689859086E-3</v>
      </c>
      <c r="F670" s="97">
        <v>45639</v>
      </c>
      <c r="G670" s="98">
        <v>24768.30078125</v>
      </c>
      <c r="H670" s="100">
        <f t="shared" si="21"/>
        <v>8.9455478085890185E-3</v>
      </c>
    </row>
    <row r="671" spans="2:8" x14ac:dyDescent="0.3">
      <c r="B671" s="103">
        <v>45642</v>
      </c>
      <c r="C671" s="105">
        <v>1980.050048828125</v>
      </c>
      <c r="D671" s="106">
        <f t="shared" si="20"/>
        <v>-9.8264253755843012E-3</v>
      </c>
      <c r="F671" s="97">
        <v>45642</v>
      </c>
      <c r="G671" s="98">
        <v>24668.25</v>
      </c>
      <c r="H671" s="99">
        <f t="shared" si="21"/>
        <v>-4.0394689217332193E-3</v>
      </c>
    </row>
    <row r="672" spans="2:8" x14ac:dyDescent="0.3">
      <c r="B672" s="103">
        <v>45643</v>
      </c>
      <c r="C672" s="105">
        <v>1976.599975585938</v>
      </c>
      <c r="D672" s="106">
        <f t="shared" si="20"/>
        <v>-1.7424171900245352E-3</v>
      </c>
      <c r="F672" s="97">
        <v>45643</v>
      </c>
      <c r="G672" s="98">
        <v>24336</v>
      </c>
      <c r="H672" s="100">
        <f t="shared" si="21"/>
        <v>-1.3468730047733423E-2</v>
      </c>
    </row>
    <row r="673" spans="2:8" x14ac:dyDescent="0.3">
      <c r="B673" s="103">
        <v>45644</v>
      </c>
      <c r="C673" s="105">
        <v>1979.150024414062</v>
      </c>
      <c r="D673" s="106">
        <f t="shared" si="20"/>
        <v>1.2901188200046198E-3</v>
      </c>
      <c r="F673" s="97">
        <v>45644</v>
      </c>
      <c r="G673" s="98">
        <v>24198.849609375</v>
      </c>
      <c r="H673" s="99">
        <f t="shared" si="21"/>
        <v>-5.6356998120069036E-3</v>
      </c>
    </row>
    <row r="674" spans="2:8" x14ac:dyDescent="0.3">
      <c r="B674" s="103">
        <v>45645</v>
      </c>
      <c r="C674" s="105">
        <v>1946.199951171875</v>
      </c>
      <c r="D674" s="106">
        <f t="shared" si="20"/>
        <v>-1.6648598052561525E-2</v>
      </c>
      <c r="F674" s="97">
        <v>45645</v>
      </c>
      <c r="G674" s="98">
        <v>23951.69921875</v>
      </c>
      <c r="H674" s="100">
        <f t="shared" si="21"/>
        <v>-1.0213311567061031E-2</v>
      </c>
    </row>
    <row r="675" spans="2:8" x14ac:dyDescent="0.3">
      <c r="B675" s="103">
        <v>45646</v>
      </c>
      <c r="C675" s="105">
        <v>1922.150024414062</v>
      </c>
      <c r="D675" s="106">
        <f t="shared" si="20"/>
        <v>-1.2357377125270018E-2</v>
      </c>
      <c r="F675" s="97">
        <v>45646</v>
      </c>
      <c r="G675" s="98">
        <v>23587.5</v>
      </c>
      <c r="H675" s="99">
        <f t="shared" si="21"/>
        <v>-1.5205569150805617E-2</v>
      </c>
    </row>
    <row r="676" spans="2:8" x14ac:dyDescent="0.3">
      <c r="B676" s="103">
        <v>45649</v>
      </c>
      <c r="C676" s="105">
        <v>1924.300048828125</v>
      </c>
      <c r="D676" s="106">
        <f t="shared" si="20"/>
        <v>1.1185518230911018E-3</v>
      </c>
      <c r="F676" s="97">
        <v>45649</v>
      </c>
      <c r="G676" s="98">
        <v>23753.44921875</v>
      </c>
      <c r="H676" s="100">
        <f t="shared" si="21"/>
        <v>7.0354729729729731E-3</v>
      </c>
    </row>
    <row r="677" spans="2:8" x14ac:dyDescent="0.3">
      <c r="B677" s="103">
        <v>45650</v>
      </c>
      <c r="C677" s="105">
        <v>1909.050048828125</v>
      </c>
      <c r="D677" s="106">
        <f t="shared" si="20"/>
        <v>-7.9249595245227279E-3</v>
      </c>
      <c r="F677" s="97">
        <v>45650</v>
      </c>
      <c r="G677" s="98">
        <v>23727.650390625</v>
      </c>
      <c r="H677" s="99">
        <f t="shared" si="21"/>
        <v>-1.0861087115144297E-3</v>
      </c>
    </row>
    <row r="678" spans="2:8" x14ac:dyDescent="0.3">
      <c r="B678" s="103">
        <v>45652</v>
      </c>
      <c r="C678" s="105">
        <v>1907.400024414062</v>
      </c>
      <c r="D678" s="106">
        <f t="shared" si="20"/>
        <v>-8.6431700157668797E-4</v>
      </c>
      <c r="F678" s="97">
        <v>45652</v>
      </c>
      <c r="G678" s="98">
        <v>23750.19921875</v>
      </c>
      <c r="H678" s="100">
        <f t="shared" si="21"/>
        <v>9.5031862631915877E-4</v>
      </c>
    </row>
    <row r="679" spans="2:8" x14ac:dyDescent="0.3">
      <c r="B679" s="103">
        <v>45653</v>
      </c>
      <c r="C679" s="105">
        <v>1916.75</v>
      </c>
      <c r="D679" s="106">
        <f t="shared" si="20"/>
        <v>4.9019479219154314E-3</v>
      </c>
      <c r="F679" s="97">
        <v>45653</v>
      </c>
      <c r="G679" s="98">
        <v>23813.400390625</v>
      </c>
      <c r="H679" s="99">
        <f t="shared" si="21"/>
        <v>2.6610796521279179E-3</v>
      </c>
    </row>
    <row r="680" spans="2:8" x14ac:dyDescent="0.3">
      <c r="B680" s="103">
        <v>45656</v>
      </c>
      <c r="C680" s="105">
        <v>1906</v>
      </c>
      <c r="D680" s="106">
        <f t="shared" si="20"/>
        <v>-5.6084518064431982E-3</v>
      </c>
      <c r="F680" s="97">
        <v>45656</v>
      </c>
      <c r="G680" s="98">
        <v>23644.900390625</v>
      </c>
      <c r="H680" s="100">
        <f t="shared" si="21"/>
        <v>-7.0758479358679106E-3</v>
      </c>
    </row>
    <row r="681" spans="2:8" x14ac:dyDescent="0.3">
      <c r="B681" s="103">
        <v>45657</v>
      </c>
      <c r="C681" s="105">
        <v>1880</v>
      </c>
      <c r="D681" s="106">
        <f t="shared" si="20"/>
        <v>-1.3641133263378805E-2</v>
      </c>
      <c r="F681" s="97">
        <v>45657</v>
      </c>
      <c r="G681" s="98">
        <v>23644.80078125</v>
      </c>
      <c r="H681" s="99">
        <f t="shared" si="21"/>
        <v>-4.2127212783477941E-6</v>
      </c>
    </row>
    <row r="682" spans="2:8" x14ac:dyDescent="0.3">
      <c r="B682" s="103">
        <v>45658</v>
      </c>
      <c r="C682" s="105">
        <v>1882.5</v>
      </c>
      <c r="D682" s="106">
        <f t="shared" si="20"/>
        <v>1.3297872340425532E-3</v>
      </c>
      <c r="F682" s="97">
        <v>45658</v>
      </c>
      <c r="G682" s="98">
        <v>23742.900390625</v>
      </c>
      <c r="H682" s="100">
        <f t="shared" si="21"/>
        <v>4.1488871182535671E-3</v>
      </c>
    </row>
    <row r="683" spans="2:8" x14ac:dyDescent="0.3">
      <c r="B683" s="103">
        <v>45659</v>
      </c>
      <c r="C683" s="105">
        <v>1957.849975585938</v>
      </c>
      <c r="D683" s="106">
        <f t="shared" si="20"/>
        <v>4.0026547456009538E-2</v>
      </c>
      <c r="F683" s="97">
        <v>45659</v>
      </c>
      <c r="G683" s="98">
        <v>24188.650390625</v>
      </c>
      <c r="H683" s="99">
        <f t="shared" si="21"/>
        <v>1.8774033191665436E-2</v>
      </c>
    </row>
    <row r="684" spans="2:8" x14ac:dyDescent="0.3">
      <c r="B684" s="103">
        <v>45660</v>
      </c>
      <c r="C684" s="105">
        <v>1938.75</v>
      </c>
      <c r="D684" s="106">
        <f t="shared" si="20"/>
        <v>-9.7555869061018256E-3</v>
      </c>
      <c r="F684" s="97">
        <v>45660</v>
      </c>
      <c r="G684" s="98">
        <v>24004.75</v>
      </c>
      <c r="H684" s="100">
        <f t="shared" si="21"/>
        <v>-7.602755327609176E-3</v>
      </c>
    </row>
    <row r="685" spans="2:8" x14ac:dyDescent="0.3">
      <c r="B685" s="103">
        <v>45663</v>
      </c>
      <c r="C685" s="105">
        <v>1937.849975585938</v>
      </c>
      <c r="D685" s="106">
        <f t="shared" si="20"/>
        <v>-4.6422922711130641E-4</v>
      </c>
      <c r="F685" s="97">
        <v>45663</v>
      </c>
      <c r="G685" s="98">
        <v>23616.05078125</v>
      </c>
      <c r="H685" s="99">
        <f t="shared" si="21"/>
        <v>-1.6192595996625668E-2</v>
      </c>
    </row>
    <row r="686" spans="2:8" x14ac:dyDescent="0.3">
      <c r="B686" s="103">
        <v>45664</v>
      </c>
      <c r="C686" s="105">
        <v>1930.849975585938</v>
      </c>
      <c r="D686" s="106">
        <f t="shared" si="20"/>
        <v>-3.6122507357069502E-3</v>
      </c>
      <c r="F686" s="97">
        <v>45664</v>
      </c>
      <c r="G686" s="98">
        <v>23707.900390625</v>
      </c>
      <c r="H686" s="100">
        <f t="shared" si="21"/>
        <v>3.8892874268344705E-3</v>
      </c>
    </row>
    <row r="687" spans="2:8" x14ac:dyDescent="0.3">
      <c r="B687" s="103">
        <v>45665</v>
      </c>
      <c r="C687" s="105">
        <v>1933.150024414062</v>
      </c>
      <c r="D687" s="106">
        <f t="shared" si="20"/>
        <v>1.1912105327738448E-3</v>
      </c>
      <c r="F687" s="97">
        <v>45665</v>
      </c>
      <c r="G687" s="98">
        <v>23688.94921875</v>
      </c>
      <c r="H687" s="99">
        <f t="shared" si="21"/>
        <v>-7.9936103841966573E-4</v>
      </c>
    </row>
    <row r="688" spans="2:8" x14ac:dyDescent="0.3">
      <c r="B688" s="103">
        <v>45666</v>
      </c>
      <c r="C688" s="105">
        <v>1917.300048828125</v>
      </c>
      <c r="D688" s="106">
        <f t="shared" si="20"/>
        <v>-8.1990406257999426E-3</v>
      </c>
      <c r="F688" s="97">
        <v>45666</v>
      </c>
      <c r="G688" s="98">
        <v>23526.5</v>
      </c>
      <c r="H688" s="100">
        <f t="shared" si="21"/>
        <v>-6.8575949591474531E-3</v>
      </c>
    </row>
    <row r="689" spans="2:8" x14ac:dyDescent="0.3">
      <c r="B689" s="103">
        <v>45667</v>
      </c>
      <c r="C689" s="105">
        <v>1966.949951171875</v>
      </c>
      <c r="D689" s="106">
        <f t="shared" si="20"/>
        <v>2.5895739362285296E-2</v>
      </c>
      <c r="F689" s="97">
        <v>45667</v>
      </c>
      <c r="G689" s="98">
        <v>23431.5</v>
      </c>
      <c r="H689" s="99">
        <f t="shared" si="21"/>
        <v>-4.0379997024631801E-3</v>
      </c>
    </row>
    <row r="690" spans="2:8" x14ac:dyDescent="0.3">
      <c r="B690" s="103">
        <v>45670</v>
      </c>
      <c r="C690" s="105">
        <v>1962.199951171875</v>
      </c>
      <c r="D690" s="106">
        <f t="shared" si="20"/>
        <v>-2.4149063870028986E-3</v>
      </c>
      <c r="F690" s="97">
        <v>45670</v>
      </c>
      <c r="G690" s="98">
        <v>23085.94921875</v>
      </c>
      <c r="H690" s="100">
        <f t="shared" si="21"/>
        <v>-1.4747275302477434E-2</v>
      </c>
    </row>
    <row r="691" spans="2:8" x14ac:dyDescent="0.3">
      <c r="B691" s="103">
        <v>45671</v>
      </c>
      <c r="C691" s="105">
        <v>1940.050048828125</v>
      </c>
      <c r="D691" s="106">
        <f t="shared" si="20"/>
        <v>-1.1288300323584008E-2</v>
      </c>
      <c r="F691" s="97">
        <v>45671</v>
      </c>
      <c r="G691" s="98">
        <v>23176.05078125</v>
      </c>
      <c r="H691" s="99">
        <f t="shared" si="21"/>
        <v>3.9028744993868871E-3</v>
      </c>
    </row>
    <row r="692" spans="2:8" x14ac:dyDescent="0.3">
      <c r="B692" s="103">
        <v>45672</v>
      </c>
      <c r="C692" s="105">
        <v>1949.650024414062</v>
      </c>
      <c r="D692" s="106">
        <f t="shared" si="20"/>
        <v>4.9483133652844938E-3</v>
      </c>
      <c r="F692" s="97">
        <v>45672</v>
      </c>
      <c r="G692" s="98">
        <v>23213.19921875</v>
      </c>
      <c r="H692" s="100">
        <f t="shared" si="21"/>
        <v>1.6028803979862699E-3</v>
      </c>
    </row>
    <row r="693" spans="2:8" x14ac:dyDescent="0.3">
      <c r="B693" s="103">
        <v>45673</v>
      </c>
      <c r="C693" s="105">
        <v>1928.449951171875</v>
      </c>
      <c r="D693" s="106">
        <f t="shared" si="20"/>
        <v>-1.0873784000571285E-2</v>
      </c>
      <c r="F693" s="97">
        <v>45673</v>
      </c>
      <c r="G693" s="98">
        <v>23311.80078125</v>
      </c>
      <c r="H693" s="99">
        <f t="shared" si="21"/>
        <v>4.2476507253837101E-3</v>
      </c>
    </row>
    <row r="694" spans="2:8" x14ac:dyDescent="0.3">
      <c r="B694" s="103">
        <v>45674</v>
      </c>
      <c r="C694" s="105">
        <v>1815.449951171875</v>
      </c>
      <c r="D694" s="106">
        <f t="shared" si="20"/>
        <v>-5.8596283471776117E-2</v>
      </c>
      <c r="F694" s="97">
        <v>45674</v>
      </c>
      <c r="G694" s="98">
        <v>23203.19921875</v>
      </c>
      <c r="H694" s="100">
        <f t="shared" si="21"/>
        <v>-4.6586517926727362E-3</v>
      </c>
    </row>
    <row r="695" spans="2:8" x14ac:dyDescent="0.3">
      <c r="B695" s="103">
        <v>45677</v>
      </c>
      <c r="C695" s="105">
        <v>1813.300048828125</v>
      </c>
      <c r="D695" s="106">
        <f t="shared" si="20"/>
        <v>-1.1842256198592728E-3</v>
      </c>
      <c r="F695" s="97">
        <v>45677</v>
      </c>
      <c r="G695" s="98">
        <v>23344.75</v>
      </c>
      <c r="H695" s="99">
        <f t="shared" si="21"/>
        <v>6.1004855371674738E-3</v>
      </c>
    </row>
    <row r="696" spans="2:8" x14ac:dyDescent="0.3">
      <c r="B696" s="103">
        <v>45678</v>
      </c>
      <c r="C696" s="105">
        <v>1800.699951171875</v>
      </c>
      <c r="D696" s="106">
        <f t="shared" si="20"/>
        <v>-6.9487108128591405E-3</v>
      </c>
      <c r="F696" s="97">
        <v>45678</v>
      </c>
      <c r="G696" s="98">
        <v>23024.650390625</v>
      </c>
      <c r="H696" s="100">
        <f t="shared" si="21"/>
        <v>-1.371184567729361E-2</v>
      </c>
    </row>
    <row r="697" spans="2:8" x14ac:dyDescent="0.3">
      <c r="B697" s="103">
        <v>45679</v>
      </c>
      <c r="C697" s="105">
        <v>1856.449951171875</v>
      </c>
      <c r="D697" s="106">
        <f t="shared" si="20"/>
        <v>3.0960182990907806E-2</v>
      </c>
      <c r="F697" s="97">
        <v>45679</v>
      </c>
      <c r="G697" s="98">
        <v>23155.349609375</v>
      </c>
      <c r="H697" s="99">
        <f t="shared" si="21"/>
        <v>5.6764909144165375E-3</v>
      </c>
    </row>
    <row r="698" spans="2:8" x14ac:dyDescent="0.3">
      <c r="B698" s="103">
        <v>45680</v>
      </c>
      <c r="C698" s="105">
        <v>1865.449951171875</v>
      </c>
      <c r="D698" s="106">
        <f t="shared" si="20"/>
        <v>4.8479626366004606E-3</v>
      </c>
      <c r="F698" s="97">
        <v>45680</v>
      </c>
      <c r="G698" s="98">
        <v>23205.349609375</v>
      </c>
      <c r="H698" s="100">
        <f t="shared" si="21"/>
        <v>2.1593282262409156E-3</v>
      </c>
    </row>
    <row r="699" spans="2:8" x14ac:dyDescent="0.3">
      <c r="B699" s="103">
        <v>45681</v>
      </c>
      <c r="C699" s="105">
        <v>1875.449951171875</v>
      </c>
      <c r="D699" s="106">
        <f t="shared" si="20"/>
        <v>5.3606369839716171E-3</v>
      </c>
      <c r="F699" s="97">
        <v>45681</v>
      </c>
      <c r="G699" s="98">
        <v>23092.19921875</v>
      </c>
      <c r="H699" s="99">
        <f t="shared" si="21"/>
        <v>-4.8760476583936943E-3</v>
      </c>
    </row>
    <row r="700" spans="2:8" x14ac:dyDescent="0.3">
      <c r="B700" s="103">
        <v>45684</v>
      </c>
      <c r="C700" s="105">
        <v>1822</v>
      </c>
      <c r="D700" s="106">
        <f t="shared" si="20"/>
        <v>-2.8499801414842766E-2</v>
      </c>
      <c r="F700" s="97">
        <v>45684</v>
      </c>
      <c r="G700" s="98">
        <v>22829.150390625</v>
      </c>
      <c r="H700" s="100">
        <f t="shared" si="21"/>
        <v>-1.1391241935562993E-2</v>
      </c>
    </row>
    <row r="701" spans="2:8" x14ac:dyDescent="0.3">
      <c r="B701" s="103">
        <v>45685</v>
      </c>
      <c r="C701" s="105">
        <v>1829.75</v>
      </c>
      <c r="D701" s="106">
        <f t="shared" si="20"/>
        <v>4.2535675082327109E-3</v>
      </c>
      <c r="F701" s="97">
        <v>45685</v>
      </c>
      <c r="G701" s="98">
        <v>22957.25</v>
      </c>
      <c r="H701" s="99">
        <f t="shared" si="21"/>
        <v>5.6112298172780566E-3</v>
      </c>
    </row>
    <row r="702" spans="2:8" x14ac:dyDescent="0.3">
      <c r="B702" s="103">
        <v>45686</v>
      </c>
      <c r="C702" s="105">
        <v>1881.25</v>
      </c>
      <c r="D702" s="106">
        <f t="shared" si="20"/>
        <v>2.8145921573985516E-2</v>
      </c>
      <c r="F702" s="97">
        <v>45686</v>
      </c>
      <c r="G702" s="98">
        <v>23163.099609375</v>
      </c>
      <c r="H702" s="100">
        <f t="shared" si="21"/>
        <v>8.9666492883511747E-3</v>
      </c>
    </row>
    <row r="703" spans="2:8" x14ac:dyDescent="0.3">
      <c r="B703" s="103">
        <v>45687</v>
      </c>
      <c r="C703" s="105">
        <v>1859.949951171875</v>
      </c>
      <c r="D703" s="106">
        <f t="shared" si="20"/>
        <v>-1.1322285091362126E-2</v>
      </c>
      <c r="F703" s="97">
        <v>45687</v>
      </c>
      <c r="G703" s="98">
        <v>23249.5</v>
      </c>
      <c r="H703" s="99">
        <f t="shared" si="21"/>
        <v>3.7300875997627893E-3</v>
      </c>
    </row>
    <row r="704" spans="2:8" x14ac:dyDescent="0.3">
      <c r="B704" s="103">
        <v>45688</v>
      </c>
      <c r="C704" s="105">
        <v>1879.800048828125</v>
      </c>
      <c r="D704" s="106">
        <f t="shared" si="20"/>
        <v>1.0672382686288576E-2</v>
      </c>
      <c r="F704" s="97">
        <v>45688</v>
      </c>
      <c r="G704" s="98">
        <v>23508.400390625</v>
      </c>
      <c r="H704" s="100">
        <f t="shared" si="21"/>
        <v>1.1135740150325814E-2</v>
      </c>
    </row>
    <row r="705" spans="2:8" x14ac:dyDescent="0.3">
      <c r="B705" s="103">
        <v>45689</v>
      </c>
      <c r="C705" s="105">
        <v>1851.349975585938</v>
      </c>
      <c r="D705" s="106">
        <f t="shared" si="20"/>
        <v>-1.5134627355671651E-2</v>
      </c>
      <c r="F705" s="97">
        <v>45689</v>
      </c>
      <c r="G705" s="98">
        <v>23482.150390625</v>
      </c>
      <c r="H705" s="99">
        <f t="shared" si="21"/>
        <v>-1.1166221250199708E-3</v>
      </c>
    </row>
    <row r="706" spans="2:8" x14ac:dyDescent="0.3">
      <c r="B706" s="103">
        <v>45691</v>
      </c>
      <c r="C706" s="105">
        <v>1863.300048828125</v>
      </c>
      <c r="D706" s="106">
        <f t="shared" si="20"/>
        <v>6.4547888836657911E-3</v>
      </c>
      <c r="F706" s="97">
        <v>45691</v>
      </c>
      <c r="G706" s="98">
        <v>23361.05078125</v>
      </c>
      <c r="H706" s="100">
        <f t="shared" si="21"/>
        <v>-5.1570919766934014E-3</v>
      </c>
    </row>
    <row r="707" spans="2:8" x14ac:dyDescent="0.3">
      <c r="B707" s="103">
        <v>45692</v>
      </c>
      <c r="C707" s="105">
        <v>1898.800048828125</v>
      </c>
      <c r="D707" s="106">
        <f t="shared" si="20"/>
        <v>1.9052218681755963E-2</v>
      </c>
      <c r="F707" s="97">
        <v>45692</v>
      </c>
      <c r="G707" s="98">
        <v>23739.25</v>
      </c>
      <c r="H707" s="99">
        <f t="shared" si="21"/>
        <v>1.6189306820631095E-2</v>
      </c>
    </row>
    <row r="708" spans="2:8" x14ac:dyDescent="0.3">
      <c r="B708" s="103">
        <v>45693</v>
      </c>
      <c r="C708" s="105">
        <v>1897.050048828125</v>
      </c>
      <c r="D708" s="106">
        <f t="shared" si="20"/>
        <v>-9.2163469296308509E-4</v>
      </c>
      <c r="F708" s="97">
        <v>45693</v>
      </c>
      <c r="G708" s="98">
        <v>23696.30078125</v>
      </c>
      <c r="H708" s="100">
        <f t="shared" si="21"/>
        <v>-1.8092070621439178E-3</v>
      </c>
    </row>
    <row r="709" spans="2:8" x14ac:dyDescent="0.3">
      <c r="B709" s="103">
        <v>45694</v>
      </c>
      <c r="C709" s="105">
        <v>1915.650024414062</v>
      </c>
      <c r="D709" s="106">
        <f t="shared" ref="D709:D772" si="22">(C709-C708)/C708</f>
        <v>9.8046836441805577E-3</v>
      </c>
      <c r="F709" s="97">
        <v>45694</v>
      </c>
      <c r="G709" s="98">
        <v>23603.349609375</v>
      </c>
      <c r="H709" s="99">
        <f t="shared" ref="H709:H772" si="23">(G709-G708)/G708</f>
        <v>-3.9226026346082174E-3</v>
      </c>
    </row>
    <row r="710" spans="2:8" x14ac:dyDescent="0.3">
      <c r="B710" s="103">
        <v>45695</v>
      </c>
      <c r="C710" s="105">
        <v>1903.650024414062</v>
      </c>
      <c r="D710" s="106">
        <f t="shared" si="22"/>
        <v>-6.2641922308697426E-3</v>
      </c>
      <c r="F710" s="97">
        <v>45695</v>
      </c>
      <c r="G710" s="98">
        <v>23559.94921875</v>
      </c>
      <c r="H710" s="100">
        <f t="shared" si="23"/>
        <v>-1.8387386257991884E-3</v>
      </c>
    </row>
    <row r="711" spans="2:8" x14ac:dyDescent="0.3">
      <c r="B711" s="103">
        <v>45698</v>
      </c>
      <c r="C711" s="105">
        <v>1880.300048828125</v>
      </c>
      <c r="D711" s="106">
        <f t="shared" si="22"/>
        <v>-1.2265897242915803E-2</v>
      </c>
      <c r="F711" s="97">
        <v>45698</v>
      </c>
      <c r="G711" s="98">
        <v>23381.599609375</v>
      </c>
      <c r="H711" s="99">
        <f t="shared" si="23"/>
        <v>-7.5700336923078711E-3</v>
      </c>
    </row>
    <row r="712" spans="2:8" x14ac:dyDescent="0.3">
      <c r="B712" s="103">
        <v>45699</v>
      </c>
      <c r="C712" s="105">
        <v>1875.650024414062</v>
      </c>
      <c r="D712" s="106">
        <f t="shared" si="22"/>
        <v>-2.4730225460351542E-3</v>
      </c>
      <c r="F712" s="97">
        <v>45699</v>
      </c>
      <c r="G712" s="98">
        <v>23071.80078125</v>
      </c>
      <c r="H712" s="100">
        <f t="shared" si="23"/>
        <v>-1.3249684936046216E-2</v>
      </c>
    </row>
    <row r="713" spans="2:8" x14ac:dyDescent="0.3">
      <c r="B713" s="103">
        <v>45700</v>
      </c>
      <c r="C713" s="105">
        <v>1863.150024414062</v>
      </c>
      <c r="D713" s="106">
        <f t="shared" si="22"/>
        <v>-6.6643562697176941E-3</v>
      </c>
      <c r="F713" s="97">
        <v>45700</v>
      </c>
      <c r="G713" s="98">
        <v>23045.25</v>
      </c>
      <c r="H713" s="99">
        <f t="shared" si="23"/>
        <v>-1.1507892904301298E-3</v>
      </c>
    </row>
    <row r="714" spans="2:8" x14ac:dyDescent="0.3">
      <c r="B714" s="103">
        <v>45701</v>
      </c>
      <c r="C714" s="105">
        <v>1843.25</v>
      </c>
      <c r="D714" s="106">
        <f t="shared" si="22"/>
        <v>-1.068084918192262E-2</v>
      </c>
      <c r="F714" s="97">
        <v>45701</v>
      </c>
      <c r="G714" s="98">
        <v>23031.400390625</v>
      </c>
      <c r="H714" s="100">
        <f t="shared" si="23"/>
        <v>-6.0097457719052736E-4</v>
      </c>
    </row>
    <row r="715" spans="2:8" x14ac:dyDescent="0.3">
      <c r="B715" s="103">
        <v>45702</v>
      </c>
      <c r="C715" s="105">
        <v>1856.400024414062</v>
      </c>
      <c r="D715" s="106">
        <f t="shared" si="22"/>
        <v>7.1341513164584541E-3</v>
      </c>
      <c r="F715" s="97">
        <v>45702</v>
      </c>
      <c r="G715" s="98">
        <v>22929.25</v>
      </c>
      <c r="H715" s="99">
        <f t="shared" si="23"/>
        <v>-4.4352661537064254E-3</v>
      </c>
    </row>
    <row r="716" spans="2:8" x14ac:dyDescent="0.3">
      <c r="B716" s="103">
        <v>45705</v>
      </c>
      <c r="C716" s="105">
        <v>1842.300048828125</v>
      </c>
      <c r="D716" s="106">
        <f t="shared" si="22"/>
        <v>-7.5953325794570802E-3</v>
      </c>
      <c r="F716" s="97">
        <v>45705</v>
      </c>
      <c r="G716" s="98">
        <v>22959.5</v>
      </c>
      <c r="H716" s="100">
        <f t="shared" si="23"/>
        <v>1.3192755977626831E-3</v>
      </c>
    </row>
    <row r="717" spans="2:8" x14ac:dyDescent="0.3">
      <c r="B717" s="103">
        <v>45706</v>
      </c>
      <c r="C717" s="105">
        <v>1851.949951171875</v>
      </c>
      <c r="D717" s="106">
        <f t="shared" si="22"/>
        <v>5.2379645486565771E-3</v>
      </c>
      <c r="F717" s="97">
        <v>45706</v>
      </c>
      <c r="G717" s="98">
        <v>22945.30078125</v>
      </c>
      <c r="H717" s="99">
        <f t="shared" si="23"/>
        <v>-6.1844634029486708E-4</v>
      </c>
    </row>
    <row r="718" spans="2:8" x14ac:dyDescent="0.3">
      <c r="B718" s="103">
        <v>45707</v>
      </c>
      <c r="C718" s="105">
        <v>1810.800048828125</v>
      </c>
      <c r="D718" s="106">
        <f t="shared" si="22"/>
        <v>-2.2219770203677051E-2</v>
      </c>
      <c r="F718" s="97">
        <v>45707</v>
      </c>
      <c r="G718" s="98">
        <v>22932.900390625</v>
      </c>
      <c r="H718" s="100">
        <f t="shared" si="23"/>
        <v>-5.4043269004052947E-4</v>
      </c>
    </row>
    <row r="719" spans="2:8" x14ac:dyDescent="0.3">
      <c r="B719" s="103">
        <v>45708</v>
      </c>
      <c r="C719" s="105">
        <v>1825.150024414062</v>
      </c>
      <c r="D719" s="106">
        <f t="shared" si="22"/>
        <v>7.9246604809977538E-3</v>
      </c>
      <c r="F719" s="97">
        <v>45708</v>
      </c>
      <c r="G719" s="98">
        <v>22913.150390625</v>
      </c>
      <c r="H719" s="99">
        <f t="shared" si="23"/>
        <v>-8.6120811862392364E-4</v>
      </c>
    </row>
    <row r="720" spans="2:8" x14ac:dyDescent="0.3">
      <c r="B720" s="103">
        <v>45709</v>
      </c>
      <c r="C720" s="105">
        <v>1815</v>
      </c>
      <c r="D720" s="106">
        <f t="shared" si="22"/>
        <v>-5.5612000538534162E-3</v>
      </c>
      <c r="F720" s="97">
        <v>45709</v>
      </c>
      <c r="G720" s="98">
        <v>22795.900390625</v>
      </c>
      <c r="H720" s="100">
        <f t="shared" si="23"/>
        <v>-5.1171487988824647E-3</v>
      </c>
    </row>
    <row r="721" spans="2:8" x14ac:dyDescent="0.3">
      <c r="B721" s="103">
        <v>45712</v>
      </c>
      <c r="C721" s="105">
        <v>1764.099975585938</v>
      </c>
      <c r="D721" s="106">
        <f t="shared" si="22"/>
        <v>-2.8044090586260079E-2</v>
      </c>
      <c r="F721" s="97">
        <v>45712</v>
      </c>
      <c r="G721" s="98">
        <v>22553.349609375</v>
      </c>
      <c r="H721" s="99">
        <f t="shared" si="23"/>
        <v>-1.0640105330068515E-2</v>
      </c>
    </row>
    <row r="722" spans="2:8" x14ac:dyDescent="0.3">
      <c r="B722" s="103">
        <v>45713</v>
      </c>
      <c r="C722" s="105">
        <v>1767.699951171875</v>
      </c>
      <c r="D722" s="106">
        <f t="shared" si="22"/>
        <v>2.0406868294079133E-3</v>
      </c>
      <c r="F722" s="97">
        <v>45713</v>
      </c>
      <c r="G722" s="98">
        <v>22547.55078125</v>
      </c>
      <c r="H722" s="100">
        <f t="shared" si="23"/>
        <v>-2.5711604818955748E-4</v>
      </c>
    </row>
    <row r="723" spans="2:8" x14ac:dyDescent="0.3">
      <c r="B723" s="103">
        <v>45715</v>
      </c>
      <c r="C723" s="105">
        <v>1764.300048828125</v>
      </c>
      <c r="D723" s="106">
        <f t="shared" si="22"/>
        <v>-1.9233481007317314E-3</v>
      </c>
      <c r="F723" s="97">
        <v>45715</v>
      </c>
      <c r="G723" s="98">
        <v>22545.05078125</v>
      </c>
      <c r="H723" s="99">
        <f t="shared" si="23"/>
        <v>-1.1087678764998901E-4</v>
      </c>
    </row>
    <row r="724" spans="2:8" x14ac:dyDescent="0.3">
      <c r="B724" s="103">
        <v>45716</v>
      </c>
      <c r="C724" s="105">
        <v>1687.699951171875</v>
      </c>
      <c r="D724" s="106">
        <f t="shared" si="22"/>
        <v>-4.3416706646428396E-2</v>
      </c>
      <c r="F724" s="97">
        <v>45716</v>
      </c>
      <c r="G724" s="98">
        <v>22124.69921875</v>
      </c>
      <c r="H724" s="100">
        <f t="shared" si="23"/>
        <v>-1.8644959666695139E-2</v>
      </c>
    </row>
    <row r="725" spans="2:8" x14ac:dyDescent="0.3">
      <c r="B725" s="103">
        <v>45719</v>
      </c>
      <c r="C725" s="105">
        <v>1708.599975585938</v>
      </c>
      <c r="D725" s="106">
        <f t="shared" si="22"/>
        <v>1.2383732309496583E-2</v>
      </c>
      <c r="F725" s="97">
        <v>45719</v>
      </c>
      <c r="G725" s="98">
        <v>22119.30078125</v>
      </c>
      <c r="H725" s="99">
        <f t="shared" si="23"/>
        <v>-2.4400049223833022E-4</v>
      </c>
    </row>
    <row r="726" spans="2:8" x14ac:dyDescent="0.3">
      <c r="B726" s="103">
        <v>45720</v>
      </c>
      <c r="C726" s="105">
        <v>1688.300048828125</v>
      </c>
      <c r="D726" s="106">
        <f t="shared" si="22"/>
        <v>-1.1881029525855758E-2</v>
      </c>
      <c r="F726" s="97">
        <v>45720</v>
      </c>
      <c r="G726" s="98">
        <v>22082.650390625</v>
      </c>
      <c r="H726" s="100">
        <f t="shared" si="23"/>
        <v>-1.6569416451024373E-3</v>
      </c>
    </row>
    <row r="727" spans="2:8" x14ac:dyDescent="0.3">
      <c r="B727" s="103">
        <v>45721</v>
      </c>
      <c r="C727" s="105">
        <v>1711.5</v>
      </c>
      <c r="D727" s="106">
        <f t="shared" si="22"/>
        <v>1.3741604277023176E-2</v>
      </c>
      <c r="F727" s="97">
        <v>45721</v>
      </c>
      <c r="G727" s="98">
        <v>22337.30078125</v>
      </c>
      <c r="H727" s="99">
        <f t="shared" si="23"/>
        <v>1.153169506922546E-2</v>
      </c>
    </row>
    <row r="728" spans="2:8" x14ac:dyDescent="0.3">
      <c r="B728" s="103">
        <v>45722</v>
      </c>
      <c r="C728" s="105">
        <v>1715.849975585938</v>
      </c>
      <c r="D728" s="106">
        <f t="shared" si="22"/>
        <v>2.5416158842757552E-3</v>
      </c>
      <c r="F728" s="97">
        <v>45722</v>
      </c>
      <c r="G728" s="98">
        <v>22544.69921875</v>
      </c>
      <c r="H728" s="100">
        <f t="shared" si="23"/>
        <v>9.2848477768670643E-3</v>
      </c>
    </row>
    <row r="729" spans="2:8" x14ac:dyDescent="0.3">
      <c r="B729" s="103">
        <v>45723</v>
      </c>
      <c r="C729" s="105">
        <v>1686</v>
      </c>
      <c r="D729" s="106">
        <f t="shared" si="22"/>
        <v>-1.7396611598134982E-2</v>
      </c>
      <c r="F729" s="97">
        <v>45723</v>
      </c>
      <c r="G729" s="98">
        <v>22552.5</v>
      </c>
      <c r="H729" s="99">
        <f t="shared" si="23"/>
        <v>3.4601398645018238E-4</v>
      </c>
    </row>
    <row r="730" spans="2:8" x14ac:dyDescent="0.3">
      <c r="B730" s="103">
        <v>45726</v>
      </c>
      <c r="C730" s="105">
        <v>1701.449951171875</v>
      </c>
      <c r="D730" s="106">
        <f t="shared" si="22"/>
        <v>9.1636721066874257E-3</v>
      </c>
      <c r="F730" s="97">
        <v>45726</v>
      </c>
      <c r="G730" s="98">
        <v>22460.30078125</v>
      </c>
      <c r="H730" s="100">
        <f t="shared" si="23"/>
        <v>-4.0882039130916746E-3</v>
      </c>
    </row>
    <row r="731" spans="2:8" x14ac:dyDescent="0.3">
      <c r="B731" s="103">
        <v>45727</v>
      </c>
      <c r="C731" s="105">
        <v>1661.599975585938</v>
      </c>
      <c r="D731" s="106">
        <f t="shared" si="22"/>
        <v>-2.3421185888242168E-2</v>
      </c>
      <c r="F731" s="97">
        <v>45727</v>
      </c>
      <c r="G731" s="98">
        <v>22497.900390625</v>
      </c>
      <c r="H731" s="99">
        <f t="shared" si="23"/>
        <v>1.6740474556061328E-3</v>
      </c>
    </row>
    <row r="732" spans="2:8" x14ac:dyDescent="0.3">
      <c r="B732" s="103">
        <v>45728</v>
      </c>
      <c r="C732" s="105">
        <v>1590.849975585938</v>
      </c>
      <c r="D732" s="106">
        <f t="shared" si="22"/>
        <v>-4.2579442127790766E-2</v>
      </c>
      <c r="F732" s="97">
        <v>45728</v>
      </c>
      <c r="G732" s="98">
        <v>22470.5</v>
      </c>
      <c r="H732" s="100">
        <f t="shared" si="23"/>
        <v>-1.217908789231634E-3</v>
      </c>
    </row>
    <row r="733" spans="2:8" x14ac:dyDescent="0.3">
      <c r="B733" s="103">
        <v>45729</v>
      </c>
      <c r="C733" s="105">
        <v>1579.849975585938</v>
      </c>
      <c r="D733" s="106">
        <f t="shared" si="22"/>
        <v>-6.9145426462658786E-3</v>
      </c>
      <c r="F733" s="97">
        <v>45729</v>
      </c>
      <c r="G733" s="98">
        <v>22397.19921875</v>
      </c>
      <c r="H733" s="99">
        <f t="shared" si="23"/>
        <v>-3.2620894617387242E-3</v>
      </c>
    </row>
    <row r="734" spans="2:8" x14ac:dyDescent="0.3">
      <c r="B734" s="103">
        <v>45733</v>
      </c>
      <c r="C734" s="105">
        <v>1590.050048828125</v>
      </c>
      <c r="D734" s="106">
        <f t="shared" si="22"/>
        <v>6.4563556032616459E-3</v>
      </c>
      <c r="F734" s="97">
        <v>45733</v>
      </c>
      <c r="G734" s="98">
        <v>22508.75</v>
      </c>
      <c r="H734" s="100">
        <f t="shared" si="23"/>
        <v>4.9805683362683286E-3</v>
      </c>
    </row>
    <row r="735" spans="2:8" x14ac:dyDescent="0.3">
      <c r="B735" s="103">
        <v>45734</v>
      </c>
      <c r="C735" s="105">
        <v>1590.050048828125</v>
      </c>
      <c r="D735" s="106">
        <f t="shared" si="22"/>
        <v>0</v>
      </c>
      <c r="F735" s="97">
        <v>45734</v>
      </c>
      <c r="G735" s="98">
        <v>22834.30078125</v>
      </c>
      <c r="H735" s="99">
        <f t="shared" si="23"/>
        <v>1.4463298994835342E-2</v>
      </c>
    </row>
    <row r="736" spans="2:8" x14ac:dyDescent="0.3">
      <c r="B736" s="103">
        <v>45735</v>
      </c>
      <c r="C736" s="105">
        <v>1586.550048828125</v>
      </c>
      <c r="D736" s="106">
        <f t="shared" si="22"/>
        <v>-2.2011885742713056E-3</v>
      </c>
      <c r="F736" s="97">
        <v>45735</v>
      </c>
      <c r="G736" s="98">
        <v>22907.599609375</v>
      </c>
      <c r="H736" s="100">
        <f t="shared" si="23"/>
        <v>3.2100316461272198E-3</v>
      </c>
    </row>
    <row r="737" spans="2:8" x14ac:dyDescent="0.3">
      <c r="B737" s="103">
        <v>45736</v>
      </c>
      <c r="C737" s="105">
        <v>1615.550048828125</v>
      </c>
      <c r="D737" s="106">
        <f t="shared" si="22"/>
        <v>1.8278654380566372E-2</v>
      </c>
      <c r="F737" s="97">
        <v>45736</v>
      </c>
      <c r="G737" s="98">
        <v>23190.650390625</v>
      </c>
      <c r="H737" s="99">
        <f t="shared" si="23"/>
        <v>1.2356195589090036E-2</v>
      </c>
    </row>
    <row r="738" spans="2:8" x14ac:dyDescent="0.3">
      <c r="B738" s="103">
        <v>45737</v>
      </c>
      <c r="C738" s="105">
        <v>1592.550048828125</v>
      </c>
      <c r="D738" s="106">
        <f t="shared" si="22"/>
        <v>-1.4236637247285256E-2</v>
      </c>
      <c r="F738" s="97">
        <v>45737</v>
      </c>
      <c r="G738" s="98">
        <v>23350.400390625</v>
      </c>
      <c r="H738" s="100">
        <f t="shared" si="23"/>
        <v>6.8885519512889631E-3</v>
      </c>
    </row>
    <row r="739" spans="2:8" x14ac:dyDescent="0.3">
      <c r="B739" s="103">
        <v>45740</v>
      </c>
      <c r="C739" s="105">
        <v>1592.75</v>
      </c>
      <c r="D739" s="106">
        <f t="shared" si="22"/>
        <v>1.2555408982099726E-4</v>
      </c>
      <c r="F739" s="97">
        <v>45740</v>
      </c>
      <c r="G739" s="98">
        <v>23658.349609375</v>
      </c>
      <c r="H739" s="99">
        <f t="shared" si="23"/>
        <v>1.3188177230298765E-2</v>
      </c>
    </row>
    <row r="740" spans="2:8" x14ac:dyDescent="0.3">
      <c r="B740" s="103">
        <v>45741</v>
      </c>
      <c r="C740" s="105">
        <v>1628.449951171875</v>
      </c>
      <c r="D740" s="106">
        <f t="shared" si="22"/>
        <v>2.2414033069769267E-2</v>
      </c>
      <c r="F740" s="97">
        <v>45741</v>
      </c>
      <c r="G740" s="98">
        <v>23668.650390625</v>
      </c>
      <c r="H740" s="100">
        <f t="shared" si="23"/>
        <v>4.3539728764165997E-4</v>
      </c>
    </row>
    <row r="741" spans="2:8" x14ac:dyDescent="0.3">
      <c r="B741" s="103">
        <v>45742</v>
      </c>
      <c r="C741" s="105">
        <v>1599.449951171875</v>
      </c>
      <c r="D741" s="106">
        <f t="shared" si="22"/>
        <v>-1.7808345893056673E-2</v>
      </c>
      <c r="F741" s="97">
        <v>45742</v>
      </c>
      <c r="G741" s="98">
        <v>23486.849609375</v>
      </c>
      <c r="H741" s="99">
        <f t="shared" si="23"/>
        <v>-7.6810793285454976E-3</v>
      </c>
    </row>
    <row r="742" spans="2:8" x14ac:dyDescent="0.3">
      <c r="B742" s="103">
        <v>45743</v>
      </c>
      <c r="C742" s="105">
        <v>1603.550048828125</v>
      </c>
      <c r="D742" s="106">
        <f t="shared" si="22"/>
        <v>2.5634422966757829E-3</v>
      </c>
      <c r="F742" s="97">
        <v>45743</v>
      </c>
      <c r="G742" s="98">
        <v>23591.94921875</v>
      </c>
      <c r="H742" s="100">
        <f t="shared" si="23"/>
        <v>4.4748278770026483E-3</v>
      </c>
    </row>
    <row r="743" spans="2:8" x14ac:dyDescent="0.3">
      <c r="B743" s="103">
        <v>45744</v>
      </c>
      <c r="C743" s="105">
        <v>1570.650024414062</v>
      </c>
      <c r="D743" s="106">
        <f t="shared" si="22"/>
        <v>-2.0516992555428066E-2</v>
      </c>
      <c r="F743" s="97">
        <v>45744</v>
      </c>
      <c r="G743" s="98">
        <v>23519.349609375</v>
      </c>
      <c r="H743" s="99">
        <f t="shared" si="23"/>
        <v>-3.0773044101544836E-3</v>
      </c>
    </row>
    <row r="744" spans="2:8" x14ac:dyDescent="0.3">
      <c r="B744" s="103">
        <v>45748</v>
      </c>
      <c r="C744" s="105">
        <v>1526.5</v>
      </c>
      <c r="D744" s="106">
        <f t="shared" si="22"/>
        <v>-2.810939657326425E-2</v>
      </c>
      <c r="F744" s="97">
        <v>45748</v>
      </c>
      <c r="G744" s="98">
        <v>23165.69921875</v>
      </c>
      <c r="H744" s="100">
        <f t="shared" si="23"/>
        <v>-1.5036571865236959E-2</v>
      </c>
    </row>
    <row r="745" spans="2:8" x14ac:dyDescent="0.3">
      <c r="B745" s="103">
        <v>45749</v>
      </c>
      <c r="C745" s="105">
        <v>1550.150024414062</v>
      </c>
      <c r="D745" s="106">
        <f t="shared" si="22"/>
        <v>1.5492973739968585E-2</v>
      </c>
      <c r="F745" s="97">
        <v>45749</v>
      </c>
      <c r="G745" s="98">
        <v>23332.349609375</v>
      </c>
      <c r="H745" s="99">
        <f t="shared" si="23"/>
        <v>7.1938424586863083E-3</v>
      </c>
    </row>
    <row r="746" spans="2:8" x14ac:dyDescent="0.3">
      <c r="B746" s="103">
        <v>45750</v>
      </c>
      <c r="C746" s="105">
        <v>1496.5</v>
      </c>
      <c r="D746" s="106">
        <f t="shared" si="22"/>
        <v>-3.4609569118538124E-2</v>
      </c>
      <c r="F746" s="97">
        <v>45750</v>
      </c>
      <c r="G746" s="98">
        <v>23250.099609375</v>
      </c>
      <c r="H746" s="100">
        <f t="shared" si="23"/>
        <v>-3.5251486188494162E-3</v>
      </c>
    </row>
    <row r="747" spans="2:8" x14ac:dyDescent="0.3">
      <c r="B747" s="103">
        <v>45751</v>
      </c>
      <c r="C747" s="105">
        <v>1451.650024414062</v>
      </c>
      <c r="D747" s="106">
        <f t="shared" si="22"/>
        <v>-2.9969913522177049E-2</v>
      </c>
      <c r="F747" s="97">
        <v>45751</v>
      </c>
      <c r="G747" s="98">
        <v>22904.44921875</v>
      </c>
      <c r="H747" s="99">
        <f t="shared" si="23"/>
        <v>-1.4866619775066488E-2</v>
      </c>
    </row>
    <row r="748" spans="2:8" x14ac:dyDescent="0.3">
      <c r="B748" s="103">
        <v>45754</v>
      </c>
      <c r="C748" s="105">
        <v>1396.75</v>
      </c>
      <c r="D748" s="106">
        <f t="shared" si="22"/>
        <v>-3.7819049695687952E-2</v>
      </c>
      <c r="F748" s="97">
        <v>45754</v>
      </c>
      <c r="G748" s="98">
        <v>22161.599609375</v>
      </c>
      <c r="H748" s="100">
        <f t="shared" si="23"/>
        <v>-3.2432546283055336E-2</v>
      </c>
    </row>
    <row r="749" spans="2:8" x14ac:dyDescent="0.3">
      <c r="B749" s="103">
        <v>45755</v>
      </c>
      <c r="C749" s="105">
        <v>1428.800048828125</v>
      </c>
      <c r="D749" s="106">
        <f t="shared" si="22"/>
        <v>2.2946159891265437E-2</v>
      </c>
      <c r="F749" s="97">
        <v>45755</v>
      </c>
      <c r="G749" s="98">
        <v>22535.849609375</v>
      </c>
      <c r="H749" s="99">
        <f t="shared" si="23"/>
        <v>1.688731890281428E-2</v>
      </c>
    </row>
    <row r="750" spans="2:8" x14ac:dyDescent="0.3">
      <c r="B750" s="103">
        <v>45756</v>
      </c>
      <c r="C750" s="105">
        <v>1403.699951171875</v>
      </c>
      <c r="D750" s="106">
        <f t="shared" si="22"/>
        <v>-1.7567256997811996E-2</v>
      </c>
      <c r="F750" s="97">
        <v>45756</v>
      </c>
      <c r="G750" s="98">
        <v>22399.150390625</v>
      </c>
      <c r="H750" s="100">
        <f t="shared" si="23"/>
        <v>-6.0658560080704745E-3</v>
      </c>
    </row>
    <row r="751" spans="2:8" x14ac:dyDescent="0.3">
      <c r="B751" s="103">
        <v>45758</v>
      </c>
      <c r="C751" s="105">
        <v>1409.449951171875</v>
      </c>
      <c r="D751" s="106">
        <f t="shared" si="22"/>
        <v>4.0963170193171472E-3</v>
      </c>
      <c r="F751" s="97">
        <v>45758</v>
      </c>
      <c r="G751" s="98">
        <v>22828.55078125</v>
      </c>
      <c r="H751" s="99">
        <f t="shared" si="23"/>
        <v>1.9170387409190411E-2</v>
      </c>
    </row>
    <row r="752" spans="2:8" x14ac:dyDescent="0.3">
      <c r="B752" s="103">
        <v>45762</v>
      </c>
      <c r="C752" s="105">
        <v>1426</v>
      </c>
      <c r="D752" s="106">
        <f t="shared" si="22"/>
        <v>1.1742203981322363E-2</v>
      </c>
      <c r="F752" s="97">
        <v>45762</v>
      </c>
      <c r="G752" s="98">
        <v>23328.55078125</v>
      </c>
      <c r="H752" s="100">
        <f t="shared" si="23"/>
        <v>2.1902397782108445E-2</v>
      </c>
    </row>
    <row r="753" spans="2:8" x14ac:dyDescent="0.3">
      <c r="B753" s="103">
        <v>45763</v>
      </c>
      <c r="C753" s="105">
        <v>1413.099975585938</v>
      </c>
      <c r="D753" s="106">
        <f t="shared" si="22"/>
        <v>-9.0463004306185445E-3</v>
      </c>
      <c r="F753" s="97">
        <v>45763</v>
      </c>
      <c r="G753" s="98">
        <v>23437.19921875</v>
      </c>
      <c r="H753" s="99">
        <f t="shared" si="23"/>
        <v>4.657316201027141E-3</v>
      </c>
    </row>
    <row r="754" spans="2:8" x14ac:dyDescent="0.3">
      <c r="B754" s="103">
        <v>45764</v>
      </c>
      <c r="C754" s="105">
        <v>1419.5</v>
      </c>
      <c r="D754" s="106">
        <f t="shared" si="22"/>
        <v>4.5290669624477864E-3</v>
      </c>
      <c r="F754" s="97">
        <v>45764</v>
      </c>
      <c r="G754" s="98">
        <v>23851.650390625</v>
      </c>
      <c r="H754" s="100">
        <f t="shared" si="23"/>
        <v>1.7683476937954037E-2</v>
      </c>
    </row>
    <row r="755" spans="2:8" x14ac:dyDescent="0.3">
      <c r="B755" s="103">
        <v>45768</v>
      </c>
      <c r="C755" s="105">
        <v>1451</v>
      </c>
      <c r="D755" s="106">
        <f t="shared" si="22"/>
        <v>2.2190912293060937E-2</v>
      </c>
      <c r="F755" s="97">
        <v>45768</v>
      </c>
      <c r="G755" s="98">
        <v>24125.55078125</v>
      </c>
      <c r="H755" s="99">
        <f t="shared" si="23"/>
        <v>1.1483498464016469E-2</v>
      </c>
    </row>
    <row r="756" spans="2:8" x14ac:dyDescent="0.3">
      <c r="B756" s="103">
        <v>45769</v>
      </c>
      <c r="C756" s="105">
        <v>1422.800048828125</v>
      </c>
      <c r="D756" s="106">
        <f t="shared" si="22"/>
        <v>-1.9434838850361819E-2</v>
      </c>
      <c r="F756" s="97">
        <v>45769</v>
      </c>
      <c r="G756" s="98">
        <v>24167.25</v>
      </c>
      <c r="H756" s="100">
        <f t="shared" si="23"/>
        <v>1.728425565413743E-3</v>
      </c>
    </row>
    <row r="757" spans="2:8" x14ac:dyDescent="0.3">
      <c r="B757" s="103">
        <v>45770</v>
      </c>
      <c r="C757" s="105">
        <v>1474.900024414062</v>
      </c>
      <c r="D757" s="106">
        <f t="shared" si="22"/>
        <v>3.6617918047478749E-2</v>
      </c>
      <c r="F757" s="97">
        <v>45770</v>
      </c>
      <c r="G757" s="98">
        <v>24328.94921875</v>
      </c>
      <c r="H757" s="99">
        <f t="shared" si="23"/>
        <v>6.6908406521221904E-3</v>
      </c>
    </row>
    <row r="758" spans="2:8" x14ac:dyDescent="0.3">
      <c r="B758" s="103">
        <v>45771</v>
      </c>
      <c r="C758" s="105">
        <v>1471.400024414062</v>
      </c>
      <c r="D758" s="106">
        <f t="shared" si="22"/>
        <v>-2.3730422008708392E-3</v>
      </c>
      <c r="F758" s="97">
        <v>45771</v>
      </c>
      <c r="G758" s="98">
        <v>24246.69921875</v>
      </c>
      <c r="H758" s="100">
        <f t="shared" si="23"/>
        <v>-3.3807460922566689E-3</v>
      </c>
    </row>
    <row r="759" spans="2:8" x14ac:dyDescent="0.3">
      <c r="B759" s="103">
        <v>45772</v>
      </c>
      <c r="C759" s="105">
        <v>1480.199951171875</v>
      </c>
      <c r="D759" s="106">
        <f t="shared" si="22"/>
        <v>5.9806487778992961E-3</v>
      </c>
      <c r="F759" s="97">
        <v>45772</v>
      </c>
      <c r="G759" s="98">
        <v>24039.349609375</v>
      </c>
      <c r="H759" s="99">
        <f t="shared" si="23"/>
        <v>-8.5516633626838701E-3</v>
      </c>
    </row>
    <row r="760" spans="2:8" x14ac:dyDescent="0.3">
      <c r="B760" s="103">
        <v>45775</v>
      </c>
      <c r="C760" s="105">
        <v>1482.099975585938</v>
      </c>
      <c r="D760" s="106">
        <f t="shared" si="22"/>
        <v>1.2836268590325952E-3</v>
      </c>
      <c r="F760" s="97">
        <v>45775</v>
      </c>
      <c r="G760" s="98">
        <v>24328.5</v>
      </c>
      <c r="H760" s="100">
        <f t="shared" si="23"/>
        <v>1.2028211882747256E-2</v>
      </c>
    </row>
    <row r="761" spans="2:8" x14ac:dyDescent="0.3">
      <c r="B761" s="103">
        <v>45776</v>
      </c>
      <c r="C761" s="105">
        <v>1497.5</v>
      </c>
      <c r="D761" s="106">
        <f t="shared" si="22"/>
        <v>1.0390678542433517E-2</v>
      </c>
      <c r="F761" s="97">
        <v>45776</v>
      </c>
      <c r="G761" s="98">
        <v>24335.94921875</v>
      </c>
      <c r="H761" s="99">
        <f t="shared" si="23"/>
        <v>3.0619309657397702E-4</v>
      </c>
    </row>
    <row r="762" spans="2:8" x14ac:dyDescent="0.3">
      <c r="B762" s="103">
        <v>45777</v>
      </c>
      <c r="C762" s="105">
        <v>1500.099975585938</v>
      </c>
      <c r="D762" s="106">
        <f t="shared" si="22"/>
        <v>1.7362107418617393E-3</v>
      </c>
      <c r="F762" s="97">
        <v>45777</v>
      </c>
      <c r="G762" s="98">
        <v>24334.19921875</v>
      </c>
      <c r="H762" s="100">
        <f t="shared" si="23"/>
        <v>-7.1910077731904783E-5</v>
      </c>
    </row>
    <row r="763" spans="2:8" x14ac:dyDescent="0.3">
      <c r="B763" s="103">
        <v>45779</v>
      </c>
      <c r="C763" s="105">
        <v>1506.900024414062</v>
      </c>
      <c r="D763" s="106">
        <f t="shared" si="22"/>
        <v>4.5330637549460635E-3</v>
      </c>
      <c r="F763" s="97">
        <v>45779</v>
      </c>
      <c r="G763" s="98">
        <v>24346.69921875</v>
      </c>
      <c r="H763" s="99">
        <f t="shared" si="23"/>
        <v>5.1368035116473008E-4</v>
      </c>
    </row>
    <row r="764" spans="2:8" x14ac:dyDescent="0.3">
      <c r="B764" s="103">
        <v>45782</v>
      </c>
      <c r="C764" s="105">
        <v>1508.599975585938</v>
      </c>
      <c r="D764" s="106">
        <f t="shared" si="22"/>
        <v>1.1281114502184129E-3</v>
      </c>
      <c r="F764" s="97">
        <v>45782</v>
      </c>
      <c r="G764" s="98">
        <v>24461.150390625</v>
      </c>
      <c r="H764" s="100">
        <f t="shared" si="23"/>
        <v>4.700890697612853E-3</v>
      </c>
    </row>
    <row r="765" spans="2:8" x14ac:dyDescent="0.3">
      <c r="B765" s="103">
        <v>45783</v>
      </c>
      <c r="C765" s="105">
        <v>1511.5</v>
      </c>
      <c r="D765" s="106">
        <f t="shared" si="22"/>
        <v>1.9223282917896643E-3</v>
      </c>
      <c r="F765" s="97">
        <v>45783</v>
      </c>
      <c r="G765" s="98">
        <v>24379.599609375</v>
      </c>
      <c r="H765" s="99">
        <f t="shared" si="23"/>
        <v>-3.3338898599493184E-3</v>
      </c>
    </row>
    <row r="766" spans="2:8" x14ac:dyDescent="0.3">
      <c r="B766" s="103">
        <v>45784</v>
      </c>
      <c r="C766" s="105">
        <v>1508.300048828125</v>
      </c>
      <c r="D766" s="106">
        <f t="shared" si="22"/>
        <v>-2.1170699119252398E-3</v>
      </c>
      <c r="F766" s="97">
        <v>45784</v>
      </c>
      <c r="G766" s="98">
        <v>24414.400390625</v>
      </c>
      <c r="H766" s="100">
        <f t="shared" si="23"/>
        <v>1.4274549954716078E-3</v>
      </c>
    </row>
    <row r="767" spans="2:8" x14ac:dyDescent="0.3">
      <c r="B767" s="103">
        <v>45785</v>
      </c>
      <c r="C767" s="105">
        <v>1511.400024414062</v>
      </c>
      <c r="D767" s="106">
        <f t="shared" si="22"/>
        <v>2.0552777866350755E-3</v>
      </c>
      <c r="F767" s="97">
        <v>45785</v>
      </c>
      <c r="G767" s="98">
        <v>24273.80078125</v>
      </c>
      <c r="H767" s="99">
        <f t="shared" si="23"/>
        <v>-5.7588802970966885E-3</v>
      </c>
    </row>
    <row r="768" spans="2:8" x14ac:dyDescent="0.3">
      <c r="B768" s="103">
        <v>45786</v>
      </c>
      <c r="C768" s="105">
        <v>1507.599975585938</v>
      </c>
      <c r="D768" s="106">
        <f t="shared" si="22"/>
        <v>-2.5142574875882309E-3</v>
      </c>
      <c r="F768" s="97">
        <v>45786</v>
      </c>
      <c r="G768" s="98">
        <v>24008</v>
      </c>
      <c r="H768" s="100">
        <f t="shared" si="23"/>
        <v>-1.0950109694206379E-2</v>
      </c>
    </row>
    <row r="769" spans="2:8" x14ac:dyDescent="0.3">
      <c r="B769" s="103">
        <v>45789</v>
      </c>
      <c r="C769" s="105">
        <v>1626.900024414062</v>
      </c>
      <c r="D769" s="106">
        <f t="shared" si="22"/>
        <v>7.9132429530424611E-2</v>
      </c>
      <c r="F769" s="97">
        <v>45789</v>
      </c>
      <c r="G769" s="98">
        <v>24924.69921875</v>
      </c>
      <c r="H769" s="99">
        <f t="shared" si="23"/>
        <v>3.8183073090219927E-2</v>
      </c>
    </row>
    <row r="770" spans="2:8" x14ac:dyDescent="0.3">
      <c r="B770" s="103">
        <v>45790</v>
      </c>
      <c r="C770" s="105">
        <v>1568.599975585938</v>
      </c>
      <c r="D770" s="106">
        <f t="shared" si="22"/>
        <v>-3.5835053139864084E-2</v>
      </c>
      <c r="F770" s="97">
        <v>45790</v>
      </c>
      <c r="G770" s="98">
        <v>24578.349609375</v>
      </c>
      <c r="H770" s="100">
        <f t="shared" si="23"/>
        <v>-1.389583907654352E-2</v>
      </c>
    </row>
    <row r="771" spans="2:8" x14ac:dyDescent="0.3">
      <c r="B771" s="103">
        <v>45791</v>
      </c>
      <c r="C771" s="105">
        <v>1592.400024414062</v>
      </c>
      <c r="D771" s="106">
        <f t="shared" si="22"/>
        <v>1.5172796888023522E-2</v>
      </c>
      <c r="F771" s="97">
        <v>45791</v>
      </c>
      <c r="G771" s="98">
        <v>24666.900390625</v>
      </c>
      <c r="H771" s="99">
        <f t="shared" si="23"/>
        <v>3.6027960647212775E-3</v>
      </c>
    </row>
    <row r="772" spans="2:8" x14ac:dyDescent="0.3">
      <c r="B772" s="103">
        <v>45792</v>
      </c>
      <c r="C772" s="105">
        <v>1613</v>
      </c>
      <c r="D772" s="106">
        <f t="shared" si="22"/>
        <v>1.2936432598660567E-2</v>
      </c>
      <c r="F772" s="97">
        <v>45792</v>
      </c>
      <c r="G772" s="98">
        <v>25062.099609375</v>
      </c>
      <c r="H772" s="100">
        <f t="shared" si="23"/>
        <v>1.6021438141461865E-2</v>
      </c>
    </row>
    <row r="773" spans="2:8" x14ac:dyDescent="0.3">
      <c r="B773" s="103">
        <v>45793</v>
      </c>
      <c r="C773" s="105">
        <v>1589.900024414062</v>
      </c>
      <c r="D773" s="106">
        <f t="shared" ref="D773:D836" si="24">(C773-C772)/C772</f>
        <v>-1.4321125595745787E-2</v>
      </c>
      <c r="F773" s="97">
        <v>45793</v>
      </c>
      <c r="G773" s="98">
        <v>25019.80078125</v>
      </c>
      <c r="H773" s="99">
        <f t="shared" ref="H773:H836" si="25">(G773-G772)/G772</f>
        <v>-1.6877607536591724E-3</v>
      </c>
    </row>
    <row r="774" spans="2:8" x14ac:dyDescent="0.3">
      <c r="B774" s="103">
        <v>45796</v>
      </c>
      <c r="C774" s="105">
        <v>1559.800048828125</v>
      </c>
      <c r="D774" s="106">
        <f t="shared" si="24"/>
        <v>-1.8931992655972202E-2</v>
      </c>
      <c r="F774" s="97">
        <v>45796</v>
      </c>
      <c r="G774" s="98">
        <v>24945.44921875</v>
      </c>
      <c r="H774" s="100">
        <f t="shared" si="25"/>
        <v>-2.9717088137536066E-3</v>
      </c>
    </row>
    <row r="775" spans="2:8" x14ac:dyDescent="0.3">
      <c r="B775" s="103">
        <v>45797</v>
      </c>
      <c r="C775" s="105">
        <v>1560.599975585938</v>
      </c>
      <c r="D775" s="106">
        <f t="shared" si="24"/>
        <v>5.1283929527630055E-4</v>
      </c>
      <c r="F775" s="97">
        <v>45797</v>
      </c>
      <c r="G775" s="98">
        <v>24683.900390625</v>
      </c>
      <c r="H775" s="99">
        <f t="shared" si="25"/>
        <v>-1.0484831354666864E-2</v>
      </c>
    </row>
    <row r="776" spans="2:8" x14ac:dyDescent="0.3">
      <c r="B776" s="103">
        <v>45798</v>
      </c>
      <c r="C776" s="105">
        <v>1568.5</v>
      </c>
      <c r="D776" s="106">
        <f t="shared" si="24"/>
        <v>5.0621713044022871E-3</v>
      </c>
      <c r="F776" s="97">
        <v>45798</v>
      </c>
      <c r="G776" s="98">
        <v>24813.44921875</v>
      </c>
      <c r="H776" s="100">
        <f t="shared" si="25"/>
        <v>5.2483127088862724E-3</v>
      </c>
    </row>
    <row r="777" spans="2:8" x14ac:dyDescent="0.3">
      <c r="B777" s="103">
        <v>45799</v>
      </c>
      <c r="C777" s="105">
        <v>1547.5</v>
      </c>
      <c r="D777" s="106">
        <f t="shared" si="24"/>
        <v>-1.33885878227606E-2</v>
      </c>
      <c r="F777" s="97">
        <v>45799</v>
      </c>
      <c r="G777" s="98">
        <v>24609.69921875</v>
      </c>
      <c r="H777" s="99">
        <f t="shared" si="25"/>
        <v>-8.2112727740421762E-3</v>
      </c>
    </row>
    <row r="778" spans="2:8" x14ac:dyDescent="0.3">
      <c r="B778" s="103">
        <v>45800</v>
      </c>
      <c r="C778" s="105">
        <v>1564.800048828125</v>
      </c>
      <c r="D778" s="106">
        <f t="shared" si="24"/>
        <v>1.1179353039176091E-2</v>
      </c>
      <c r="F778" s="97">
        <v>45800</v>
      </c>
      <c r="G778" s="98">
        <v>24853.150390625</v>
      </c>
      <c r="H778" s="100">
        <f t="shared" si="25"/>
        <v>9.8924887180057795E-3</v>
      </c>
    </row>
    <row r="779" spans="2:8" x14ac:dyDescent="0.3">
      <c r="B779" s="103">
        <v>45803</v>
      </c>
      <c r="C779" s="105">
        <v>1580.5</v>
      </c>
      <c r="D779" s="106">
        <f t="shared" si="24"/>
        <v>1.003319956670033E-2</v>
      </c>
      <c r="F779" s="97">
        <v>45803</v>
      </c>
      <c r="G779" s="98">
        <v>25001.150390625</v>
      </c>
      <c r="H779" s="99">
        <f t="shared" si="25"/>
        <v>5.9549794562796321E-3</v>
      </c>
    </row>
    <row r="780" spans="2:8" x14ac:dyDescent="0.3">
      <c r="B780" s="103">
        <v>45804</v>
      </c>
      <c r="C780" s="105">
        <v>1570.099975585938</v>
      </c>
      <c r="D780" s="106">
        <f t="shared" si="24"/>
        <v>-6.5802115875115757E-3</v>
      </c>
      <c r="F780" s="97">
        <v>45804</v>
      </c>
      <c r="G780" s="98">
        <v>24826.19921875</v>
      </c>
      <c r="H780" s="100">
        <f t="shared" si="25"/>
        <v>-6.9977248703165145E-3</v>
      </c>
    </row>
    <row r="781" spans="2:8" x14ac:dyDescent="0.3">
      <c r="B781" s="103">
        <v>45805</v>
      </c>
      <c r="C781" s="105">
        <v>1571.800048828125</v>
      </c>
      <c r="D781" s="106">
        <f t="shared" si="24"/>
        <v>1.0827802487880451E-3</v>
      </c>
      <c r="F781" s="97">
        <v>45805</v>
      </c>
      <c r="G781" s="98">
        <v>24752.44921875</v>
      </c>
      <c r="H781" s="99">
        <f t="shared" si="25"/>
        <v>-2.9706520659956788E-3</v>
      </c>
    </row>
    <row r="782" spans="2:8" x14ac:dyDescent="0.3">
      <c r="B782" s="103">
        <v>45806</v>
      </c>
      <c r="C782" s="105">
        <v>1585.599975585938</v>
      </c>
      <c r="D782" s="106">
        <f t="shared" si="24"/>
        <v>8.7796960994508573E-3</v>
      </c>
      <c r="F782" s="97">
        <v>45806</v>
      </c>
      <c r="G782" s="98">
        <v>24833.599609375</v>
      </c>
      <c r="H782" s="100">
        <f t="shared" si="25"/>
        <v>3.2784792287758142E-3</v>
      </c>
    </row>
    <row r="783" spans="2:8" x14ac:dyDescent="0.3">
      <c r="B783" s="103">
        <v>45807</v>
      </c>
      <c r="C783" s="105">
        <v>1562.699951171875</v>
      </c>
      <c r="D783" s="106">
        <f t="shared" si="24"/>
        <v>-1.4442497960811677E-2</v>
      </c>
      <c r="F783" s="97">
        <v>45807</v>
      </c>
      <c r="G783" s="98">
        <v>24750.69921875</v>
      </c>
      <c r="H783" s="99">
        <f t="shared" si="25"/>
        <v>-3.3382349691143463E-3</v>
      </c>
    </row>
    <row r="784" spans="2:8" x14ac:dyDescent="0.3">
      <c r="B784" s="103">
        <v>45810</v>
      </c>
      <c r="C784" s="105">
        <v>1553.800048828125</v>
      </c>
      <c r="D784" s="106">
        <f t="shared" si="24"/>
        <v>-5.6952086912627903E-3</v>
      </c>
      <c r="F784" s="97">
        <v>45810</v>
      </c>
      <c r="G784" s="98">
        <v>24716.599609375</v>
      </c>
      <c r="H784" s="100">
        <f t="shared" si="25"/>
        <v>-1.3777230725331466E-3</v>
      </c>
    </row>
    <row r="785" spans="2:8" x14ac:dyDescent="0.3">
      <c r="B785" s="103">
        <v>45811</v>
      </c>
      <c r="C785" s="105">
        <v>1543</v>
      </c>
      <c r="D785" s="106">
        <f t="shared" si="24"/>
        <v>-6.950732712532986E-3</v>
      </c>
      <c r="F785" s="97">
        <v>45811</v>
      </c>
      <c r="G785" s="98">
        <v>24542.5</v>
      </c>
      <c r="H785" s="99">
        <f t="shared" si="25"/>
        <v>-7.0438333802585072E-3</v>
      </c>
    </row>
    <row r="786" spans="2:8" x14ac:dyDescent="0.3">
      <c r="B786" s="103">
        <v>45812</v>
      </c>
      <c r="C786" s="105">
        <v>1551.199951171875</v>
      </c>
      <c r="D786" s="106">
        <f t="shared" si="24"/>
        <v>5.3142911029650033E-3</v>
      </c>
      <c r="F786" s="97">
        <v>45812</v>
      </c>
      <c r="G786" s="98">
        <v>24620.19921875</v>
      </c>
      <c r="H786" s="100">
        <f t="shared" si="25"/>
        <v>3.1659048079861465E-3</v>
      </c>
    </row>
    <row r="787" spans="2:8" x14ac:dyDescent="0.3">
      <c r="B787" s="103">
        <v>45813</v>
      </c>
      <c r="C787" s="105">
        <v>1554.300048828125</v>
      </c>
      <c r="D787" s="106">
        <f t="shared" si="24"/>
        <v>1.99851582892843E-3</v>
      </c>
      <c r="F787" s="97">
        <v>45813</v>
      </c>
      <c r="G787" s="98">
        <v>24750.900390625</v>
      </c>
      <c r="H787" s="99">
        <f t="shared" si="25"/>
        <v>5.3086967621066988E-3</v>
      </c>
    </row>
    <row r="788" spans="2:8" x14ac:dyDescent="0.3">
      <c r="B788" s="103">
        <v>45814</v>
      </c>
      <c r="C788" s="105">
        <v>1563.800048828125</v>
      </c>
      <c r="D788" s="106">
        <f t="shared" si="24"/>
        <v>6.1120759837604002E-3</v>
      </c>
      <c r="F788" s="97">
        <v>45814</v>
      </c>
      <c r="G788" s="98">
        <v>25003.05078125</v>
      </c>
      <c r="H788" s="100">
        <f t="shared" si="25"/>
        <v>1.0187523954502602E-2</v>
      </c>
    </row>
    <row r="789" spans="2:8" x14ac:dyDescent="0.3">
      <c r="B789" s="103">
        <v>45817</v>
      </c>
      <c r="C789" s="105">
        <v>1572.900024414062</v>
      </c>
      <c r="D789" s="106">
        <f t="shared" si="24"/>
        <v>5.8191426664530119E-3</v>
      </c>
      <c r="F789" s="97">
        <v>45817</v>
      </c>
      <c r="G789" s="98">
        <v>25103.19921875</v>
      </c>
      <c r="H789" s="99">
        <f t="shared" si="25"/>
        <v>4.0054487100870968E-3</v>
      </c>
    </row>
    <row r="790" spans="2:8" x14ac:dyDescent="0.3">
      <c r="B790" s="103">
        <v>45818</v>
      </c>
      <c r="C790" s="105">
        <v>1596</v>
      </c>
      <c r="D790" s="106">
        <f t="shared" si="24"/>
        <v>1.4686232581465676E-2</v>
      </c>
      <c r="F790" s="97">
        <v>45818</v>
      </c>
      <c r="G790" s="98">
        <v>25104.25</v>
      </c>
      <c r="H790" s="100">
        <f t="shared" si="25"/>
        <v>4.185845958690213E-5</v>
      </c>
    </row>
    <row r="791" spans="2:8" x14ac:dyDescent="0.3">
      <c r="B791" s="103">
        <v>45819</v>
      </c>
      <c r="C791" s="105">
        <v>1631.099975585938</v>
      </c>
      <c r="D791" s="106">
        <f t="shared" si="24"/>
        <v>2.1992465905976161E-2</v>
      </c>
      <c r="F791" s="97">
        <v>45819</v>
      </c>
      <c r="G791" s="98">
        <v>25141.400390625</v>
      </c>
      <c r="H791" s="99">
        <f t="shared" si="25"/>
        <v>1.4798446727147794E-3</v>
      </c>
    </row>
    <row r="792" spans="2:8" x14ac:dyDescent="0.3">
      <c r="B792" s="103">
        <v>45820</v>
      </c>
      <c r="C792" s="105">
        <v>1608.599975585938</v>
      </c>
      <c r="D792" s="106">
        <f t="shared" si="24"/>
        <v>-1.3794372102738432E-2</v>
      </c>
      <c r="F792" s="97">
        <v>45820</v>
      </c>
      <c r="G792" s="98">
        <v>24888.19921875</v>
      </c>
      <c r="H792" s="100">
        <f t="shared" si="25"/>
        <v>-1.0071084662786582E-2</v>
      </c>
    </row>
    <row r="793" spans="2:8" x14ac:dyDescent="0.3">
      <c r="B793" s="103">
        <v>45821</v>
      </c>
      <c r="C793" s="105">
        <v>1602</v>
      </c>
      <c r="D793" s="106">
        <f t="shared" si="24"/>
        <v>-4.1029315467531894E-3</v>
      </c>
      <c r="F793" s="97">
        <v>45821</v>
      </c>
      <c r="G793" s="98">
        <v>24718.599609375</v>
      </c>
      <c r="H793" s="99">
        <f t="shared" si="25"/>
        <v>-6.814458847919736E-3</v>
      </c>
    </row>
    <row r="794" spans="2:8" x14ac:dyDescent="0.3">
      <c r="B794" s="103">
        <v>45824</v>
      </c>
      <c r="C794" s="105">
        <v>1623.800048828125</v>
      </c>
      <c r="D794" s="106">
        <f t="shared" si="24"/>
        <v>1.3608020491963172E-2</v>
      </c>
      <c r="F794" s="97">
        <v>45824</v>
      </c>
      <c r="G794" s="98">
        <v>24946.5</v>
      </c>
      <c r="H794" s="100">
        <f t="shared" si="25"/>
        <v>9.2197937677086055E-3</v>
      </c>
    </row>
    <row r="795" spans="2:8" x14ac:dyDescent="0.3">
      <c r="B795" s="103">
        <v>45825</v>
      </c>
      <c r="C795" s="105">
        <v>1639.900024414062</v>
      </c>
      <c r="D795" s="106">
        <f t="shared" si="24"/>
        <v>9.9149988310175165E-3</v>
      </c>
      <c r="F795" s="97">
        <v>45825</v>
      </c>
      <c r="G795" s="98">
        <v>24853.400390625</v>
      </c>
      <c r="H795" s="99">
        <f t="shared" si="25"/>
        <v>-3.7319707924959415E-3</v>
      </c>
    </row>
    <row r="796" spans="2:8" x14ac:dyDescent="0.3">
      <c r="B796" s="103">
        <v>45826</v>
      </c>
      <c r="C796" s="105">
        <v>1632.900024414062</v>
      </c>
      <c r="D796" s="106">
        <f t="shared" si="24"/>
        <v>-4.2685528969981616E-3</v>
      </c>
      <c r="F796" s="97">
        <v>45826</v>
      </c>
      <c r="G796" s="98">
        <v>24812.05078125</v>
      </c>
      <c r="H796" s="100">
        <f t="shared" si="25"/>
        <v>-1.6637405234334682E-3</v>
      </c>
    </row>
    <row r="797" spans="2:8" x14ac:dyDescent="0.3">
      <c r="B797" s="103">
        <v>45827</v>
      </c>
      <c r="C797" s="105">
        <v>1618.400024414062</v>
      </c>
      <c r="D797" s="106">
        <f t="shared" si="24"/>
        <v>-8.8799067813126378E-3</v>
      </c>
      <c r="F797" s="97">
        <v>45827</v>
      </c>
      <c r="G797" s="98">
        <v>24793.25</v>
      </c>
      <c r="H797" s="99">
        <f t="shared" si="25"/>
        <v>-7.5772782410260889E-4</v>
      </c>
    </row>
    <row r="798" spans="2:8" x14ac:dyDescent="0.3">
      <c r="B798" s="103">
        <v>45828</v>
      </c>
      <c r="C798" s="105">
        <v>1622.900024414062</v>
      </c>
      <c r="D798" s="106">
        <f t="shared" si="24"/>
        <v>2.7805239323505414E-3</v>
      </c>
      <c r="F798" s="97">
        <v>45828</v>
      </c>
      <c r="G798" s="98">
        <v>25112.400390625</v>
      </c>
      <c r="H798" s="100">
        <f t="shared" si="25"/>
        <v>1.2872470959837859E-2</v>
      </c>
    </row>
    <row r="799" spans="2:8" x14ac:dyDescent="0.3">
      <c r="B799" s="103">
        <v>45831</v>
      </c>
      <c r="C799" s="105">
        <v>1584</v>
      </c>
      <c r="D799" s="106">
        <f t="shared" si="24"/>
        <v>-2.3969452109723552E-2</v>
      </c>
      <c r="F799" s="97">
        <v>45831</v>
      </c>
      <c r="G799" s="98">
        <v>24971.900390625</v>
      </c>
      <c r="H799" s="99">
        <f t="shared" si="25"/>
        <v>-5.5948454872697742E-3</v>
      </c>
    </row>
    <row r="800" spans="2:8" x14ac:dyDescent="0.3">
      <c r="B800" s="103">
        <v>45832</v>
      </c>
      <c r="C800" s="105">
        <v>1581.599975585938</v>
      </c>
      <c r="D800" s="106">
        <f t="shared" si="24"/>
        <v>-1.5151669280694729E-3</v>
      </c>
      <c r="F800" s="97">
        <v>45832</v>
      </c>
      <c r="G800" s="98">
        <v>25044.349609375</v>
      </c>
      <c r="H800" s="100">
        <f t="shared" si="25"/>
        <v>2.9012296868362901E-3</v>
      </c>
    </row>
    <row r="801" spans="2:8" x14ac:dyDescent="0.3">
      <c r="B801" s="103">
        <v>45833</v>
      </c>
      <c r="C801" s="105">
        <v>1614.900024414062</v>
      </c>
      <c r="D801" s="106">
        <f t="shared" si="24"/>
        <v>2.1054659422201475E-2</v>
      </c>
      <c r="F801" s="97">
        <v>45833</v>
      </c>
      <c r="G801" s="98">
        <v>25244.75</v>
      </c>
      <c r="H801" s="99">
        <f t="shared" si="25"/>
        <v>8.0018205204252114E-3</v>
      </c>
    </row>
    <row r="802" spans="2:8" x14ac:dyDescent="0.3">
      <c r="B802" s="103">
        <v>45834</v>
      </c>
      <c r="C802" s="105">
        <v>1616</v>
      </c>
      <c r="D802" s="106">
        <f t="shared" si="24"/>
        <v>6.8114159967089076E-4</v>
      </c>
      <c r="F802" s="97">
        <v>45834</v>
      </c>
      <c r="G802" s="98">
        <v>25549</v>
      </c>
      <c r="H802" s="100">
        <f t="shared" si="25"/>
        <v>1.205201081412967E-2</v>
      </c>
    </row>
    <row r="803" spans="2:8" x14ac:dyDescent="0.3">
      <c r="B803" s="103">
        <v>45835</v>
      </c>
      <c r="C803" s="105">
        <v>1608</v>
      </c>
      <c r="D803" s="106">
        <f t="shared" si="24"/>
        <v>-4.9504950495049506E-3</v>
      </c>
      <c r="F803" s="97">
        <v>45835</v>
      </c>
      <c r="G803" s="98">
        <v>25637.80078125</v>
      </c>
      <c r="H803" s="99">
        <f t="shared" si="25"/>
        <v>3.4757047731809464E-3</v>
      </c>
    </row>
    <row r="804" spans="2:8" x14ac:dyDescent="0.3">
      <c r="B804" s="103">
        <v>45838</v>
      </c>
      <c r="C804" s="105">
        <v>1601.800048828125</v>
      </c>
      <c r="D804" s="106">
        <f t="shared" si="24"/>
        <v>-3.8556910272854478E-3</v>
      </c>
      <c r="F804" s="97">
        <v>45838</v>
      </c>
      <c r="G804" s="98">
        <v>25517.05078125</v>
      </c>
      <c r="H804" s="100">
        <f t="shared" si="25"/>
        <v>-4.7098423546652075E-3</v>
      </c>
    </row>
    <row r="805" spans="2:8" x14ac:dyDescent="0.3">
      <c r="B805" s="103">
        <v>45839</v>
      </c>
      <c r="C805" s="105">
        <v>1606.800048828125</v>
      </c>
      <c r="D805" s="106">
        <f t="shared" si="24"/>
        <v>3.1214882304804485E-3</v>
      </c>
      <c r="F805" s="97">
        <v>45839</v>
      </c>
      <c r="G805" s="98">
        <v>25541.80078125</v>
      </c>
      <c r="H805" s="99">
        <f t="shared" si="25"/>
        <v>9.6993967728380148E-4</v>
      </c>
    </row>
    <row r="806" spans="2:8" x14ac:dyDescent="0.3">
      <c r="B806" s="103">
        <v>45840</v>
      </c>
      <c r="C806" s="105">
        <v>1610.5</v>
      </c>
      <c r="D806" s="106">
        <f t="shared" si="24"/>
        <v>2.3026830093597871E-3</v>
      </c>
      <c r="F806" s="97">
        <v>45840</v>
      </c>
      <c r="G806" s="98">
        <v>25453.400390625</v>
      </c>
      <c r="H806" s="100">
        <f t="shared" si="25"/>
        <v>-3.4610085397695964E-3</v>
      </c>
    </row>
    <row r="807" spans="2:8" x14ac:dyDescent="0.3">
      <c r="B807" s="103">
        <v>45841</v>
      </c>
      <c r="C807" s="105">
        <v>1618.699951171875</v>
      </c>
      <c r="D807" s="106">
        <f t="shared" si="24"/>
        <v>5.0915561452188765E-3</v>
      </c>
      <c r="F807" s="97">
        <v>45841</v>
      </c>
      <c r="G807" s="98">
        <v>25405.30078125</v>
      </c>
      <c r="H807" s="99">
        <f t="shared" si="25"/>
        <v>-1.8897125192245848E-3</v>
      </c>
    </row>
    <row r="808" spans="2:8" x14ac:dyDescent="0.3">
      <c r="B808" s="103">
        <v>45842</v>
      </c>
      <c r="C808" s="105">
        <v>1640.699951171875</v>
      </c>
      <c r="D808" s="106">
        <f t="shared" si="24"/>
        <v>1.3591153804676936E-2</v>
      </c>
      <c r="F808" s="97">
        <v>45842</v>
      </c>
      <c r="G808" s="98">
        <v>25461</v>
      </c>
      <c r="H808" s="100">
        <f t="shared" si="25"/>
        <v>2.1924250859926041E-3</v>
      </c>
    </row>
    <row r="809" spans="2:8" x14ac:dyDescent="0.3">
      <c r="B809" s="103">
        <v>45845</v>
      </c>
      <c r="C809" s="105">
        <v>1627</v>
      </c>
      <c r="D809" s="106">
        <f t="shared" si="24"/>
        <v>-8.3500649598299594E-3</v>
      </c>
      <c r="F809" s="97">
        <v>45845</v>
      </c>
      <c r="G809" s="98">
        <v>25461.30078125</v>
      </c>
      <c r="H809" s="99">
        <f t="shared" si="25"/>
        <v>1.1813410706570834E-5</v>
      </c>
    </row>
    <row r="810" spans="2:8" x14ac:dyDescent="0.3">
      <c r="B810" s="103">
        <v>45846</v>
      </c>
      <c r="C810" s="105">
        <v>1638.699951171875</v>
      </c>
      <c r="D810" s="106">
        <f t="shared" si="24"/>
        <v>7.1911193435003073E-3</v>
      </c>
      <c r="F810" s="97">
        <v>45846</v>
      </c>
      <c r="G810" s="98">
        <v>25522.5</v>
      </c>
      <c r="H810" s="100">
        <f t="shared" si="25"/>
        <v>2.4036171315751404E-3</v>
      </c>
    </row>
    <row r="811" spans="2:8" x14ac:dyDescent="0.3">
      <c r="B811" s="103">
        <v>45847</v>
      </c>
      <c r="C811" s="105">
        <v>1633.699951171875</v>
      </c>
      <c r="D811" s="106">
        <f t="shared" si="24"/>
        <v>-3.0511992121708283E-3</v>
      </c>
      <c r="F811" s="97">
        <v>45847</v>
      </c>
      <c r="G811" s="98">
        <v>25476.099609375</v>
      </c>
      <c r="H811" s="99">
        <f t="shared" si="25"/>
        <v>-1.8180190273288275E-3</v>
      </c>
    </row>
    <row r="812" spans="2:8" x14ac:dyDescent="0.3">
      <c r="B812" s="103">
        <v>45848</v>
      </c>
      <c r="C812" s="105">
        <v>1615.800048828125</v>
      </c>
      <c r="D812" s="106">
        <f t="shared" si="24"/>
        <v>-1.0956664552086298E-2</v>
      </c>
      <c r="F812" s="97">
        <v>45848</v>
      </c>
      <c r="G812" s="98">
        <v>25355.25</v>
      </c>
      <c r="H812" s="100">
        <f t="shared" si="25"/>
        <v>-4.7436464461980792E-3</v>
      </c>
    </row>
    <row r="813" spans="2:8" x14ac:dyDescent="0.3">
      <c r="B813" s="103">
        <v>45849</v>
      </c>
      <c r="C813" s="105">
        <v>1594.900024414062</v>
      </c>
      <c r="D813" s="106">
        <f t="shared" si="24"/>
        <v>-1.293478387330221E-2</v>
      </c>
      <c r="F813" s="97">
        <v>45849</v>
      </c>
      <c r="G813" s="98">
        <v>25149.849609375</v>
      </c>
      <c r="H813" s="99">
        <f t="shared" si="25"/>
        <v>-8.1009018102759789E-3</v>
      </c>
    </row>
    <row r="814" spans="2:8" x14ac:dyDescent="0.3">
      <c r="B814" s="103">
        <v>45852</v>
      </c>
      <c r="C814" s="105">
        <v>1570.300048828125</v>
      </c>
      <c r="D814" s="106">
        <f t="shared" si="24"/>
        <v>-1.5424148980732908E-2</v>
      </c>
      <c r="F814" s="97">
        <v>45852</v>
      </c>
      <c r="G814" s="98">
        <v>25082.30078125</v>
      </c>
      <c r="H814" s="100">
        <f t="shared" si="25"/>
        <v>-2.685854157148523E-3</v>
      </c>
    </row>
    <row r="815" spans="2:8" x14ac:dyDescent="0.3">
      <c r="B815" s="103">
        <v>45853</v>
      </c>
      <c r="C815" s="105">
        <v>1585.599975585938</v>
      </c>
      <c r="D815" s="106">
        <f t="shared" si="24"/>
        <v>9.7433141960550154E-3</v>
      </c>
      <c r="F815" s="97">
        <v>45853</v>
      </c>
      <c r="G815" s="98">
        <v>25195.80078125</v>
      </c>
      <c r="H815" s="99">
        <f t="shared" si="25"/>
        <v>4.5251032187942535E-3</v>
      </c>
    </row>
    <row r="816" spans="2:8" x14ac:dyDescent="0.3">
      <c r="B816" s="103">
        <v>45854</v>
      </c>
      <c r="C816" s="105">
        <v>1607.900024414062</v>
      </c>
      <c r="D816" s="106">
        <f t="shared" si="24"/>
        <v>1.4064107701492235E-2</v>
      </c>
      <c r="F816" s="97">
        <v>45854</v>
      </c>
      <c r="G816" s="98">
        <v>25212.05078125</v>
      </c>
      <c r="H816" s="100">
        <f t="shared" si="25"/>
        <v>6.4494874130346306E-4</v>
      </c>
    </row>
    <row r="817" spans="2:8" x14ac:dyDescent="0.3">
      <c r="B817" s="103">
        <v>45855</v>
      </c>
      <c r="C817" s="105">
        <v>1583.5</v>
      </c>
      <c r="D817" s="106">
        <f t="shared" si="24"/>
        <v>-1.5175088030086763E-2</v>
      </c>
      <c r="F817" s="97">
        <v>45855</v>
      </c>
      <c r="G817" s="98">
        <v>25111.44921875</v>
      </c>
      <c r="H817" s="99">
        <f t="shared" si="25"/>
        <v>-3.9902173517283477E-3</v>
      </c>
    </row>
    <row r="818" spans="2:8" x14ac:dyDescent="0.3">
      <c r="B818" s="103">
        <v>45856</v>
      </c>
      <c r="C818" s="105">
        <v>1586.099975585938</v>
      </c>
      <c r="D818" s="106">
        <f t="shared" si="24"/>
        <v>1.6419170103807734E-3</v>
      </c>
      <c r="F818" s="97">
        <v>45856</v>
      </c>
      <c r="G818" s="98">
        <v>24968.400390625</v>
      </c>
      <c r="H818" s="100">
        <f t="shared" si="25"/>
        <v>-5.6965580472428303E-3</v>
      </c>
    </row>
    <row r="819" spans="2:8" x14ac:dyDescent="0.3">
      <c r="B819" s="103">
        <v>45859</v>
      </c>
      <c r="C819" s="105">
        <v>1584.300048828125</v>
      </c>
      <c r="D819" s="106">
        <f t="shared" si="24"/>
        <v>-1.1348129282632545E-3</v>
      </c>
      <c r="F819" s="97">
        <v>45859</v>
      </c>
      <c r="G819" s="98">
        <v>25090.69921875</v>
      </c>
      <c r="H819" s="99">
        <f t="shared" si="25"/>
        <v>4.8981443028653171E-3</v>
      </c>
    </row>
    <row r="820" spans="2:8" x14ac:dyDescent="0.3">
      <c r="B820" s="103">
        <v>45860</v>
      </c>
      <c r="C820" s="105">
        <v>1570.900024414062</v>
      </c>
      <c r="D820" s="106">
        <f t="shared" si="24"/>
        <v>-8.4580092161044146E-3</v>
      </c>
      <c r="F820" s="97">
        <v>45860</v>
      </c>
      <c r="G820" s="98">
        <v>25060.900390625</v>
      </c>
      <c r="H820" s="100">
        <f t="shared" si="25"/>
        <v>-1.1876443882732318E-3</v>
      </c>
    </row>
    <row r="821" spans="2:8" x14ac:dyDescent="0.3">
      <c r="B821" s="103">
        <v>45861</v>
      </c>
      <c r="C821" s="105">
        <v>1574.5</v>
      </c>
      <c r="D821" s="106">
        <f t="shared" si="24"/>
        <v>2.2916643516386268E-3</v>
      </c>
      <c r="F821" s="97">
        <v>45861</v>
      </c>
      <c r="G821" s="98">
        <v>25219.900390625</v>
      </c>
      <c r="H821" s="99">
        <f t="shared" si="25"/>
        <v>6.3445445902446549E-3</v>
      </c>
    </row>
    <row r="822" spans="2:8" x14ac:dyDescent="0.3">
      <c r="B822" s="103">
        <v>45862</v>
      </c>
      <c r="C822" s="105">
        <v>1552.5</v>
      </c>
      <c r="D822" s="106">
        <f t="shared" si="24"/>
        <v>-1.3972689742775483E-2</v>
      </c>
      <c r="F822" s="97">
        <v>45862</v>
      </c>
      <c r="G822" s="98">
        <v>25062.099609375</v>
      </c>
      <c r="H822" s="100">
        <f t="shared" si="25"/>
        <v>-6.2569946274910479E-3</v>
      </c>
    </row>
    <row r="823" spans="2:8" x14ac:dyDescent="0.3">
      <c r="B823" s="103">
        <v>45863</v>
      </c>
      <c r="C823" s="105">
        <v>1515.699951171875</v>
      </c>
      <c r="D823" s="106">
        <f t="shared" si="24"/>
        <v>-2.370373515499195E-2</v>
      </c>
      <c r="F823" s="97">
        <v>45863</v>
      </c>
      <c r="G823" s="98">
        <v>24837</v>
      </c>
      <c r="H823" s="99">
        <f t="shared" si="25"/>
        <v>-8.9816740370306722E-3</v>
      </c>
    </row>
    <row r="824" spans="2:8" x14ac:dyDescent="0.3">
      <c r="B824" s="103">
        <v>45866</v>
      </c>
      <c r="C824" s="105">
        <v>1516</v>
      </c>
      <c r="D824" s="106">
        <f t="shared" si="24"/>
        <v>1.9796057121530879E-4</v>
      </c>
      <c r="F824" s="97">
        <v>45866</v>
      </c>
      <c r="G824" s="98">
        <v>24680.900390625</v>
      </c>
      <c r="H824" s="100">
        <f t="shared" si="25"/>
        <v>-6.2849623293876073E-3</v>
      </c>
    </row>
    <row r="825" spans="2:8" x14ac:dyDescent="0.3">
      <c r="B825" s="103">
        <v>45867</v>
      </c>
      <c r="C825" s="105">
        <v>1513.699951171875</v>
      </c>
      <c r="D825" s="106">
        <f t="shared" si="24"/>
        <v>-1.5171826043040898E-3</v>
      </c>
      <c r="F825" s="97">
        <v>45867</v>
      </c>
      <c r="G825" s="98">
        <v>24821.099609375</v>
      </c>
      <c r="H825" s="99">
        <f t="shared" si="25"/>
        <v>5.6804742343700898E-3</v>
      </c>
    </row>
    <row r="826" spans="2:8" x14ac:dyDescent="0.3">
      <c r="B826" s="103">
        <v>45868</v>
      </c>
      <c r="C826" s="105">
        <v>1519</v>
      </c>
      <c r="D826" s="106">
        <f t="shared" si="24"/>
        <v>3.5013866678279353E-3</v>
      </c>
      <c r="F826" s="97">
        <v>45868</v>
      </c>
      <c r="G826" s="98">
        <v>24855.05078125</v>
      </c>
      <c r="H826" s="100">
        <f t="shared" si="25"/>
        <v>1.3678351245235141E-3</v>
      </c>
    </row>
    <row r="827" spans="2:8" x14ac:dyDescent="0.3">
      <c r="B827" s="103">
        <v>45869</v>
      </c>
      <c r="C827" s="105">
        <v>1509</v>
      </c>
      <c r="D827" s="106">
        <f t="shared" si="24"/>
        <v>-6.5832784726793945E-3</v>
      </c>
      <c r="F827" s="97">
        <v>45869</v>
      </c>
      <c r="G827" s="98">
        <v>24768.349609375</v>
      </c>
      <c r="H827" s="99">
        <f t="shared" si="25"/>
        <v>-3.4882717656889721E-3</v>
      </c>
    </row>
    <row r="828" spans="2:8" x14ac:dyDescent="0.3">
      <c r="B828" s="103">
        <v>45870</v>
      </c>
      <c r="C828" s="105">
        <v>1469.599975585938</v>
      </c>
      <c r="D828" s="106">
        <f t="shared" si="24"/>
        <v>-2.6110022805872792E-2</v>
      </c>
      <c r="F828" s="97">
        <v>45870</v>
      </c>
      <c r="G828" s="98">
        <v>24565.349609375</v>
      </c>
      <c r="H828" s="100">
        <f t="shared" si="25"/>
        <v>-8.1959437427822409E-3</v>
      </c>
    </row>
    <row r="829" spans="2:8" x14ac:dyDescent="0.3">
      <c r="B829" s="103">
        <v>45873</v>
      </c>
      <c r="C829" s="105">
        <v>1480.5</v>
      </c>
      <c r="D829" s="106">
        <f t="shared" si="24"/>
        <v>7.4170009493339456E-3</v>
      </c>
      <c r="F829" s="97">
        <v>45873</v>
      </c>
      <c r="G829" s="98">
        <v>24722.75</v>
      </c>
      <c r="H829" s="99">
        <f t="shared" si="25"/>
        <v>6.4074150430544043E-3</v>
      </c>
    </row>
    <row r="830" spans="2:8" x14ac:dyDescent="0.3">
      <c r="B830" s="103">
        <v>45874</v>
      </c>
      <c r="C830" s="105">
        <v>1460.300048828125</v>
      </c>
      <c r="D830" s="106">
        <f t="shared" si="24"/>
        <v>-1.3644006195119893E-2</v>
      </c>
      <c r="F830" s="97">
        <v>45874</v>
      </c>
      <c r="G830" s="98">
        <v>24649.55078125</v>
      </c>
      <c r="H830" s="100">
        <f t="shared" si="25"/>
        <v>-2.9608040671041855E-3</v>
      </c>
    </row>
    <row r="831" spans="2:8" x14ac:dyDescent="0.3">
      <c r="B831" s="103">
        <v>45875</v>
      </c>
      <c r="C831" s="105">
        <v>1436.699951171875</v>
      </c>
      <c r="D831" s="106">
        <f t="shared" si="24"/>
        <v>-1.616112912903675E-2</v>
      </c>
      <c r="F831" s="97">
        <v>45875</v>
      </c>
      <c r="G831" s="98">
        <v>24574.19921875</v>
      </c>
      <c r="H831" s="99">
        <f t="shared" si="25"/>
        <v>-3.0569142281212337E-3</v>
      </c>
    </row>
    <row r="832" spans="2:8" x14ac:dyDescent="0.3">
      <c r="B832" s="103">
        <v>45876</v>
      </c>
      <c r="C832" s="105">
        <v>1436.900024414062</v>
      </c>
      <c r="D832" s="106">
        <f t="shared" si="24"/>
        <v>1.3925889119983004E-4</v>
      </c>
      <c r="F832" s="97">
        <v>45876</v>
      </c>
      <c r="G832" s="98">
        <v>24596.150390625</v>
      </c>
      <c r="H832" s="100">
        <f t="shared" si="25"/>
        <v>8.9326092295415906E-4</v>
      </c>
    </row>
    <row r="833" spans="2:8" x14ac:dyDescent="0.3">
      <c r="B833" s="103">
        <v>45877</v>
      </c>
      <c r="C833" s="105">
        <v>1423.099975585938</v>
      </c>
      <c r="D833" s="106">
        <f t="shared" si="24"/>
        <v>-9.604042448082958E-3</v>
      </c>
      <c r="F833" s="97">
        <v>45877</v>
      </c>
      <c r="G833" s="98">
        <v>24363.30078125</v>
      </c>
      <c r="H833" s="99">
        <f t="shared" si="25"/>
        <v>-9.4669127354072569E-3</v>
      </c>
    </row>
    <row r="834" spans="2:8" x14ac:dyDescent="0.3">
      <c r="B834" s="103">
        <v>45880</v>
      </c>
      <c r="C834" s="105">
        <v>1428.199951171875</v>
      </c>
      <c r="D834" s="106">
        <f t="shared" si="24"/>
        <v>3.583708575244135E-3</v>
      </c>
      <c r="F834" s="97">
        <v>45880</v>
      </c>
      <c r="G834" s="98">
        <v>24585.05078125</v>
      </c>
      <c r="H834" s="100">
        <f t="shared" si="25"/>
        <v>9.1018044718578876E-3</v>
      </c>
    </row>
    <row r="835" spans="2:8" x14ac:dyDescent="0.3">
      <c r="B835" s="103">
        <v>45881</v>
      </c>
      <c r="C835" s="105">
        <v>1424.099975585938</v>
      </c>
      <c r="D835" s="106">
        <f t="shared" si="24"/>
        <v>-2.8707293979200244E-3</v>
      </c>
      <c r="F835" s="97">
        <v>45881</v>
      </c>
      <c r="G835" s="98">
        <v>24487.400390625</v>
      </c>
      <c r="H835" s="99">
        <f t="shared" si="25"/>
        <v>-3.9719417907191756E-3</v>
      </c>
    </row>
    <row r="836" spans="2:8" x14ac:dyDescent="0.3">
      <c r="B836" s="103">
        <v>45882</v>
      </c>
      <c r="C836" s="105">
        <v>1426.599975585938</v>
      </c>
      <c r="D836" s="106">
        <f t="shared" si="24"/>
        <v>1.7554947285013394E-3</v>
      </c>
      <c r="F836" s="97">
        <v>45882</v>
      </c>
      <c r="G836" s="98">
        <v>24619.349609375</v>
      </c>
      <c r="H836" s="100">
        <f t="shared" si="25"/>
        <v>5.3884535167120782E-3</v>
      </c>
    </row>
    <row r="837" spans="2:8" x14ac:dyDescent="0.3">
      <c r="B837" s="103">
        <v>45883</v>
      </c>
      <c r="C837" s="105">
        <v>1447.699951171875</v>
      </c>
      <c r="D837" s="106">
        <f t="shared" ref="D837:D900" si="26">(C837-C836)/C836</f>
        <v>1.4790393906512435E-2</v>
      </c>
      <c r="F837" s="97">
        <v>45883</v>
      </c>
      <c r="G837" s="98">
        <v>24631.30078125</v>
      </c>
      <c r="H837" s="99">
        <f t="shared" ref="H837:H900" si="27">(G837-G836)/G836</f>
        <v>4.8543816407111817E-4</v>
      </c>
    </row>
    <row r="838" spans="2:8" x14ac:dyDescent="0.3">
      <c r="B838" s="103">
        <v>45887</v>
      </c>
      <c r="C838" s="105">
        <v>1435.800048828125</v>
      </c>
      <c r="D838" s="106">
        <f t="shared" si="26"/>
        <v>-8.2198678905234072E-3</v>
      </c>
      <c r="F838" s="97">
        <v>45887</v>
      </c>
      <c r="G838" s="98">
        <v>24876.94921875</v>
      </c>
      <c r="H838" s="100">
        <f t="shared" si="27"/>
        <v>9.9730192766349594E-3</v>
      </c>
    </row>
    <row r="839" spans="2:8" x14ac:dyDescent="0.3">
      <c r="B839" s="103">
        <v>45888</v>
      </c>
      <c r="C839" s="105">
        <v>1440</v>
      </c>
      <c r="D839" s="106">
        <f t="shared" si="26"/>
        <v>2.9251643885253569E-3</v>
      </c>
      <c r="F839" s="97">
        <v>45888</v>
      </c>
      <c r="G839" s="98">
        <v>24980.650390625</v>
      </c>
      <c r="H839" s="99">
        <f t="shared" si="27"/>
        <v>4.1685646806256856E-3</v>
      </c>
    </row>
    <row r="840" spans="2:8" x14ac:dyDescent="0.3">
      <c r="B840" s="103">
        <v>45889</v>
      </c>
      <c r="C840" s="105">
        <v>1496.199951171875</v>
      </c>
      <c r="D840" s="106">
        <f t="shared" si="26"/>
        <v>3.9027743869357638E-2</v>
      </c>
      <c r="F840" s="97">
        <v>45889</v>
      </c>
      <c r="G840" s="98">
        <v>25050.55078125</v>
      </c>
      <c r="H840" s="100">
        <f t="shared" si="27"/>
        <v>2.7981813736616301E-3</v>
      </c>
    </row>
    <row r="841" spans="2:8" x14ac:dyDescent="0.3">
      <c r="B841" s="103">
        <v>45890</v>
      </c>
      <c r="C841" s="105">
        <v>1496.400024414062</v>
      </c>
      <c r="D841" s="106">
        <f t="shared" si="26"/>
        <v>1.337209254888299E-4</v>
      </c>
      <c r="F841" s="97">
        <v>45890</v>
      </c>
      <c r="G841" s="98">
        <v>25083.75</v>
      </c>
      <c r="H841" s="99">
        <f t="shared" si="27"/>
        <v>1.325288974278728E-3</v>
      </c>
    </row>
    <row r="842" spans="2:8" x14ac:dyDescent="0.3">
      <c r="B842" s="103">
        <v>45891</v>
      </c>
      <c r="C842" s="105">
        <v>1487.5</v>
      </c>
      <c r="D842" s="106">
        <f t="shared" si="26"/>
        <v>-5.9476238097142401E-3</v>
      </c>
      <c r="F842" s="97">
        <v>45891</v>
      </c>
      <c r="G842" s="98">
        <v>24870.099609375</v>
      </c>
      <c r="H842" s="100">
        <f t="shared" si="27"/>
        <v>-8.5174820600986689E-3</v>
      </c>
    </row>
    <row r="843" spans="2:8" x14ac:dyDescent="0.3">
      <c r="B843" s="103">
        <v>45894</v>
      </c>
      <c r="C843" s="105">
        <v>1532.099975585938</v>
      </c>
      <c r="D843" s="106">
        <f t="shared" si="26"/>
        <v>2.9983176864496103E-2</v>
      </c>
      <c r="F843" s="97">
        <v>45894</v>
      </c>
      <c r="G843" s="98">
        <v>24967.75</v>
      </c>
      <c r="H843" s="99">
        <f t="shared" si="27"/>
        <v>3.9264173509055761E-3</v>
      </c>
    </row>
    <row r="844" spans="2:8" x14ac:dyDescent="0.3">
      <c r="B844" s="103">
        <v>45895</v>
      </c>
      <c r="C844" s="105">
        <v>1529.599975585938</v>
      </c>
      <c r="D844" s="106">
        <f t="shared" si="26"/>
        <v>-1.6317473009839958E-3</v>
      </c>
      <c r="F844" s="97">
        <v>45895</v>
      </c>
      <c r="G844" s="98">
        <v>24712.05078125</v>
      </c>
      <c r="H844" s="100">
        <f t="shared" si="27"/>
        <v>-1.0241179872034925E-2</v>
      </c>
    </row>
    <row r="845" spans="2:8" x14ac:dyDescent="0.3">
      <c r="B845" s="103">
        <v>45897</v>
      </c>
      <c r="C845" s="105">
        <v>1500.099975585938</v>
      </c>
      <c r="D845" s="106">
        <f t="shared" si="26"/>
        <v>-1.9286088173935508E-2</v>
      </c>
      <c r="F845" s="97">
        <v>45897</v>
      </c>
      <c r="G845" s="98">
        <v>24500.900390625</v>
      </c>
      <c r="H845" s="99">
        <f t="shared" si="27"/>
        <v>-8.5444301039235507E-3</v>
      </c>
    </row>
    <row r="846" spans="2:8" x14ac:dyDescent="0.3">
      <c r="B846" s="103">
        <v>45898</v>
      </c>
      <c r="C846" s="105">
        <v>1469.599975585938</v>
      </c>
      <c r="D846" s="106">
        <f t="shared" si="26"/>
        <v>-2.0331978199044181E-2</v>
      </c>
      <c r="F846" s="97">
        <v>45898</v>
      </c>
      <c r="G846" s="98">
        <v>24426.849609375</v>
      </c>
      <c r="H846" s="100">
        <f t="shared" si="27"/>
        <v>-3.0223697933295024E-3</v>
      </c>
    </row>
    <row r="847" spans="2:8" x14ac:dyDescent="0.3">
      <c r="B847" s="103">
        <v>45901</v>
      </c>
      <c r="C847" s="105">
        <v>1499.400024414062</v>
      </c>
      <c r="D847" s="106">
        <f t="shared" si="26"/>
        <v>2.0277660127370811E-2</v>
      </c>
      <c r="F847" s="97">
        <v>45901</v>
      </c>
      <c r="G847" s="98">
        <v>24625.05078125</v>
      </c>
      <c r="H847" s="99">
        <f t="shared" si="27"/>
        <v>8.1140701746053485E-3</v>
      </c>
    </row>
    <row r="848" spans="2:8" x14ac:dyDescent="0.3">
      <c r="B848" s="103">
        <v>45902</v>
      </c>
      <c r="C848" s="105">
        <v>1498.699951171875</v>
      </c>
      <c r="D848" s="106">
        <f t="shared" si="26"/>
        <v>-4.6690224809127972E-4</v>
      </c>
      <c r="F848" s="97">
        <v>45902</v>
      </c>
      <c r="G848" s="98">
        <v>24579.599609375</v>
      </c>
      <c r="H848" s="100">
        <f t="shared" si="27"/>
        <v>-1.8457290617896885E-3</v>
      </c>
    </row>
    <row r="849" spans="2:8" x14ac:dyDescent="0.3">
      <c r="B849" s="103">
        <v>45903</v>
      </c>
      <c r="C849" s="105">
        <v>1479.099975585938</v>
      </c>
      <c r="D849" s="106">
        <f t="shared" si="26"/>
        <v>-1.3077985070067749E-2</v>
      </c>
      <c r="F849" s="97">
        <v>45903</v>
      </c>
      <c r="G849" s="98">
        <v>24715.05078125</v>
      </c>
      <c r="H849" s="99">
        <f t="shared" si="27"/>
        <v>5.5107151470171652E-3</v>
      </c>
    </row>
    <row r="850" spans="2:8" x14ac:dyDescent="0.3">
      <c r="B850" s="103">
        <v>45904</v>
      </c>
      <c r="C850" s="105">
        <v>1463</v>
      </c>
      <c r="D850" s="106">
        <f t="shared" si="26"/>
        <v>-1.0884981307338627E-2</v>
      </c>
      <c r="F850" s="97">
        <v>45904</v>
      </c>
      <c r="G850" s="98">
        <v>24734.30078125</v>
      </c>
      <c r="H850" s="100">
        <f t="shared" si="27"/>
        <v>7.7887762280480347E-4</v>
      </c>
    </row>
    <row r="851" spans="2:8" x14ac:dyDescent="0.3">
      <c r="B851" s="103">
        <v>45905</v>
      </c>
      <c r="C851" s="105">
        <v>1444.599975585938</v>
      </c>
      <c r="D851" s="106">
        <f t="shared" si="26"/>
        <v>-1.2576913475093675E-2</v>
      </c>
      <c r="F851" s="97">
        <v>45905</v>
      </c>
      <c r="G851" s="98">
        <v>24741</v>
      </c>
      <c r="H851" s="99">
        <f t="shared" si="27"/>
        <v>2.708473067117542E-4</v>
      </c>
    </row>
    <row r="852" spans="2:8" x14ac:dyDescent="0.3">
      <c r="B852" s="103">
        <v>45908</v>
      </c>
      <c r="C852" s="105">
        <v>1432.900024414062</v>
      </c>
      <c r="D852" s="106">
        <f t="shared" si="26"/>
        <v>-8.099094122669041E-3</v>
      </c>
      <c r="F852" s="97">
        <v>45908</v>
      </c>
      <c r="G852" s="98">
        <v>24773.150390625</v>
      </c>
      <c r="H852" s="100">
        <f t="shared" si="27"/>
        <v>1.2994782193524919E-3</v>
      </c>
    </row>
    <row r="853" spans="2:8" x14ac:dyDescent="0.3">
      <c r="B853" s="103">
        <v>45909</v>
      </c>
      <c r="C853" s="105">
        <v>1504.300048828125</v>
      </c>
      <c r="D853" s="106">
        <f t="shared" si="26"/>
        <v>4.9829034264452385E-2</v>
      </c>
      <c r="F853" s="97">
        <v>45909</v>
      </c>
      <c r="G853" s="98">
        <v>24868.599609375</v>
      </c>
      <c r="H853" s="99">
        <f t="shared" si="27"/>
        <v>3.852930178235273E-3</v>
      </c>
    </row>
    <row r="854" spans="2:8" x14ac:dyDescent="0.3">
      <c r="B854" s="103">
        <v>45910</v>
      </c>
      <c r="C854" s="105">
        <v>1532.599975585938</v>
      </c>
      <c r="D854" s="106">
        <f t="shared" si="26"/>
        <v>1.8812687521920293E-2</v>
      </c>
      <c r="F854" s="97">
        <v>45910</v>
      </c>
      <c r="G854" s="98">
        <v>24973.099609375</v>
      </c>
      <c r="H854" s="100">
        <f t="shared" si="27"/>
        <v>4.20208623088714E-3</v>
      </c>
    </row>
    <row r="855" spans="2:8" x14ac:dyDescent="0.3">
      <c r="B855" s="103">
        <v>45911</v>
      </c>
      <c r="C855" s="105">
        <v>1509.699951171875</v>
      </c>
      <c r="D855" s="106">
        <f t="shared" si="26"/>
        <v>-1.4941944916388181E-2</v>
      </c>
      <c r="F855" s="97">
        <v>45911</v>
      </c>
      <c r="G855" s="98">
        <v>25005.5</v>
      </c>
      <c r="H855" s="99">
        <f t="shared" si="27"/>
        <v>1.2974116602184522E-3</v>
      </c>
    </row>
    <row r="856" spans="2:8" x14ac:dyDescent="0.3">
      <c r="B856" s="103">
        <v>45912</v>
      </c>
      <c r="C856" s="105">
        <v>1525.599975585938</v>
      </c>
      <c r="D856" s="106">
        <f t="shared" si="26"/>
        <v>1.0531910265825254E-2</v>
      </c>
      <c r="F856" s="97">
        <v>45912</v>
      </c>
      <c r="G856" s="98">
        <v>25114</v>
      </c>
      <c r="H856" s="100">
        <f t="shared" si="27"/>
        <v>4.3390454100097975E-3</v>
      </c>
    </row>
    <row r="857" spans="2:8" x14ac:dyDescent="0.3">
      <c r="B857" s="103">
        <v>45915</v>
      </c>
      <c r="C857" s="105">
        <v>1508.400024414062</v>
      </c>
      <c r="D857" s="106">
        <f t="shared" si="26"/>
        <v>-1.1274220927586155E-2</v>
      </c>
      <c r="F857" s="97">
        <v>45915</v>
      </c>
      <c r="G857" s="98">
        <v>25069.19921875</v>
      </c>
      <c r="H857" s="99">
        <f t="shared" si="27"/>
        <v>-1.7838966811340288E-3</v>
      </c>
    </row>
    <row r="858" spans="2:8" x14ac:dyDescent="0.3">
      <c r="B858" s="103">
        <v>45916</v>
      </c>
      <c r="C858" s="105">
        <v>1511.300048828125</v>
      </c>
      <c r="D858" s="106">
        <f t="shared" si="26"/>
        <v>1.9225831126524074E-3</v>
      </c>
      <c r="F858" s="97">
        <v>45916</v>
      </c>
      <c r="G858" s="98">
        <v>25239.099609375</v>
      </c>
      <c r="H858" s="100">
        <f t="shared" si="27"/>
        <v>6.7772563910987009E-3</v>
      </c>
    </row>
    <row r="859" spans="2:8" x14ac:dyDescent="0.3">
      <c r="B859" s="103">
        <v>45917</v>
      </c>
      <c r="C859" s="105">
        <v>1522.400024414062</v>
      </c>
      <c r="D859" s="106">
        <f t="shared" si="26"/>
        <v>7.3446537598831291E-3</v>
      </c>
      <c r="F859" s="97">
        <v>45917</v>
      </c>
      <c r="G859" s="98">
        <v>25330.25</v>
      </c>
      <c r="H859" s="99">
        <f t="shared" si="27"/>
        <v>3.6114755294654973E-3</v>
      </c>
    </row>
    <row r="860" spans="2:8" x14ac:dyDescent="0.3">
      <c r="B860" s="103">
        <v>45918</v>
      </c>
      <c r="C860" s="105">
        <v>1540.599975585938</v>
      </c>
      <c r="D860" s="106">
        <f t="shared" si="26"/>
        <v>1.1954775932745184E-2</v>
      </c>
      <c r="F860" s="97">
        <v>45918</v>
      </c>
      <c r="G860" s="98">
        <v>25423.599609375</v>
      </c>
      <c r="H860" s="100">
        <f t="shared" si="27"/>
        <v>3.6853015416350018E-3</v>
      </c>
    </row>
    <row r="861" spans="2:8" x14ac:dyDescent="0.3">
      <c r="B861" s="103">
        <v>45919</v>
      </c>
      <c r="C861" s="105">
        <v>1540.199951171875</v>
      </c>
      <c r="D861" s="106">
        <f t="shared" si="26"/>
        <v>-2.5965495287692255E-4</v>
      </c>
      <c r="F861" s="97">
        <v>45919</v>
      </c>
      <c r="G861" s="98">
        <v>25327.05078125</v>
      </c>
      <c r="H861" s="99">
        <f t="shared" si="27"/>
        <v>-3.7976065391384403E-3</v>
      </c>
    </row>
    <row r="862" spans="2:8" x14ac:dyDescent="0.3">
      <c r="B862" s="103">
        <v>45922</v>
      </c>
      <c r="C862" s="105">
        <v>1499.5</v>
      </c>
      <c r="D862" s="106">
        <f t="shared" si="26"/>
        <v>-2.642510872754416E-2</v>
      </c>
      <c r="F862" s="97">
        <v>45922</v>
      </c>
      <c r="G862" s="98">
        <v>25202.349609375</v>
      </c>
      <c r="H862" s="100">
        <f t="shared" si="27"/>
        <v>-4.9236357186648108E-3</v>
      </c>
    </row>
    <row r="863" spans="2:8" x14ac:dyDescent="0.3">
      <c r="B863" s="103">
        <v>45923</v>
      </c>
      <c r="C863" s="105">
        <v>1497.5</v>
      </c>
      <c r="D863" s="106">
        <f t="shared" si="26"/>
        <v>-1.333777925975325E-3</v>
      </c>
      <c r="F863" s="97">
        <v>45923</v>
      </c>
      <c r="G863" s="98">
        <v>25169.5</v>
      </c>
      <c r="H863" s="99">
        <f t="shared" si="27"/>
        <v>-1.3034343973539794E-3</v>
      </c>
    </row>
    <row r="864" spans="2:8" x14ac:dyDescent="0.3">
      <c r="B864" s="103">
        <v>45924</v>
      </c>
      <c r="C864" s="105">
        <v>1494.599975585938</v>
      </c>
      <c r="D864" s="106">
        <f t="shared" si="26"/>
        <v>-1.9365772381048716E-3</v>
      </c>
      <c r="F864" s="97">
        <v>45924</v>
      </c>
      <c r="G864" s="98">
        <v>25056.900390625</v>
      </c>
      <c r="H864" s="100">
        <f t="shared" si="27"/>
        <v>-4.4736530076084149E-3</v>
      </c>
    </row>
    <row r="865" spans="2:8" x14ac:dyDescent="0.3">
      <c r="B865" s="103">
        <v>45925</v>
      </c>
      <c r="C865" s="105">
        <v>1484.800048828125</v>
      </c>
      <c r="D865" s="106">
        <f t="shared" si="26"/>
        <v>-6.5568894138185868E-3</v>
      </c>
      <c r="F865" s="97">
        <v>45925</v>
      </c>
      <c r="G865" s="98">
        <v>24890.849609375</v>
      </c>
      <c r="H865" s="99">
        <f t="shared" si="27"/>
        <v>-6.6269482123226878E-3</v>
      </c>
    </row>
    <row r="866" spans="2:8" x14ac:dyDescent="0.3">
      <c r="B866" s="103">
        <v>45926</v>
      </c>
      <c r="C866" s="105">
        <v>1448.900024414062</v>
      </c>
      <c r="D866" s="106">
        <f t="shared" si="26"/>
        <v>-2.4178356164789302E-2</v>
      </c>
      <c r="F866" s="97">
        <v>45926</v>
      </c>
      <c r="G866" s="98">
        <v>24654.69921875</v>
      </c>
      <c r="H866" s="100">
        <f t="shared" si="27"/>
        <v>-9.4874379272315099E-3</v>
      </c>
    </row>
    <row r="867" spans="2:8" x14ac:dyDescent="0.3">
      <c r="B867" s="103">
        <v>45929</v>
      </c>
      <c r="C867" s="105">
        <v>1441.800048828125</v>
      </c>
      <c r="D867" s="106">
        <f t="shared" si="26"/>
        <v>-4.9002522370777714E-3</v>
      </c>
      <c r="F867" s="97">
        <v>45929</v>
      </c>
      <c r="G867" s="98">
        <v>24634.900390625</v>
      </c>
      <c r="H867" s="99">
        <f t="shared" si="27"/>
        <v>-8.030448049409952E-4</v>
      </c>
    </row>
    <row r="868" spans="2:8" x14ac:dyDescent="0.3">
      <c r="B868" s="103">
        <v>45930</v>
      </c>
      <c r="C868" s="105">
        <v>1441.800048828125</v>
      </c>
      <c r="D868" s="106">
        <f t="shared" si="26"/>
        <v>0</v>
      </c>
      <c r="F868" s="97">
        <v>45930</v>
      </c>
      <c r="G868" s="98">
        <v>24611.099609375</v>
      </c>
      <c r="H868" s="100">
        <f t="shared" si="27"/>
        <v>-9.6614075448251335E-4</v>
      </c>
    </row>
    <row r="869" spans="2:8" x14ac:dyDescent="0.3">
      <c r="B869" s="103">
        <v>45931</v>
      </c>
      <c r="C869" s="105">
        <v>1445.800048828125</v>
      </c>
      <c r="D869" s="106">
        <f t="shared" si="26"/>
        <v>2.774309796459741E-3</v>
      </c>
      <c r="F869" s="97">
        <v>45931</v>
      </c>
      <c r="G869" s="98">
        <v>24836.30078125</v>
      </c>
      <c r="H869" s="99">
        <f t="shared" si="27"/>
        <v>9.1503904924758045E-3</v>
      </c>
    </row>
    <row r="870" spans="2:8" x14ac:dyDescent="0.3">
      <c r="B870" s="103">
        <v>45933</v>
      </c>
      <c r="C870" s="105">
        <v>1446.599975585938</v>
      </c>
      <c r="D870" s="106">
        <f t="shared" si="26"/>
        <v>5.5327620057927466E-4</v>
      </c>
      <c r="F870" s="97">
        <v>45933</v>
      </c>
      <c r="G870" s="98">
        <v>24894.25</v>
      </c>
      <c r="H870" s="100">
        <f t="shared" si="27"/>
        <v>2.3332467769817144E-3</v>
      </c>
    </row>
    <row r="871" spans="2:8" x14ac:dyDescent="0.3">
      <c r="B871" s="103">
        <v>45936</v>
      </c>
      <c r="C871" s="105">
        <v>1476</v>
      </c>
      <c r="D871" s="106">
        <f t="shared" si="26"/>
        <v>2.0323534432629665E-2</v>
      </c>
      <c r="F871" s="97">
        <v>45936</v>
      </c>
      <c r="G871" s="98">
        <v>25077.650390625</v>
      </c>
      <c r="H871" s="99">
        <f t="shared" si="27"/>
        <v>7.3671787912871446E-3</v>
      </c>
    </row>
    <row r="872" spans="2:8" x14ac:dyDescent="0.3">
      <c r="B872" s="103">
        <v>45937</v>
      </c>
      <c r="C872" s="105">
        <v>1458.5</v>
      </c>
      <c r="D872" s="106">
        <f t="shared" si="26"/>
        <v>-1.1856368563685637E-2</v>
      </c>
      <c r="F872" s="97">
        <v>45937</v>
      </c>
      <c r="G872" s="98">
        <v>25108.30078125</v>
      </c>
      <c r="H872" s="100">
        <f t="shared" si="27"/>
        <v>1.2222193924698109E-3</v>
      </c>
    </row>
    <row r="873" spans="2:8" x14ac:dyDescent="0.3">
      <c r="B873" s="103">
        <v>45938</v>
      </c>
      <c r="C873" s="105">
        <v>1495</v>
      </c>
      <c r="D873" s="106">
        <f t="shared" si="26"/>
        <v>2.5025711347274597E-2</v>
      </c>
      <c r="F873" s="97">
        <v>45938</v>
      </c>
      <c r="G873" s="98">
        <v>25046.150390625</v>
      </c>
      <c r="H873" s="99">
        <f t="shared" si="27"/>
        <v>-2.4752925801897249E-3</v>
      </c>
    </row>
    <row r="874" spans="2:8" x14ac:dyDescent="0.3">
      <c r="B874" s="103">
        <v>45939</v>
      </c>
      <c r="C874" s="105">
        <v>1509.300048828125</v>
      </c>
      <c r="D874" s="106">
        <f t="shared" si="26"/>
        <v>9.5652500522575255E-3</v>
      </c>
      <c r="F874" s="97">
        <v>45939</v>
      </c>
      <c r="G874" s="98">
        <v>25181.80078125</v>
      </c>
      <c r="H874" s="100">
        <f t="shared" si="27"/>
        <v>5.4160175719369296E-3</v>
      </c>
    </row>
    <row r="875" spans="2:8" x14ac:dyDescent="0.3">
      <c r="B875" s="103">
        <v>45940</v>
      </c>
      <c r="C875" s="105">
        <v>1514.900024414062</v>
      </c>
      <c r="D875" s="106">
        <f t="shared" si="26"/>
        <v>3.7103129959381292E-3</v>
      </c>
      <c r="F875" s="97">
        <v>45940</v>
      </c>
      <c r="G875" s="98">
        <v>25285.349609375</v>
      </c>
      <c r="H875" s="99">
        <f t="shared" si="27"/>
        <v>4.1120501676790702E-3</v>
      </c>
    </row>
    <row r="876" spans="2:8" x14ac:dyDescent="0.3">
      <c r="B876" s="103">
        <v>45943</v>
      </c>
      <c r="C876" s="105">
        <v>1493.199951171875</v>
      </c>
      <c r="D876" s="106">
        <f t="shared" si="26"/>
        <v>-1.432442596373993E-2</v>
      </c>
      <c r="F876" s="97">
        <v>45943</v>
      </c>
      <c r="G876" s="98">
        <v>25227.349609375</v>
      </c>
      <c r="H876" s="100">
        <f t="shared" si="27"/>
        <v>-2.2938183927065595E-3</v>
      </c>
    </row>
    <row r="877" spans="2:8" x14ac:dyDescent="0.3">
      <c r="B877" s="103">
        <v>45944</v>
      </c>
      <c r="C877" s="105">
        <v>1489.900024414062</v>
      </c>
      <c r="D877" s="106">
        <f t="shared" si="26"/>
        <v>-2.209969773454082E-3</v>
      </c>
      <c r="F877" s="97">
        <v>45944</v>
      </c>
      <c r="G877" s="98">
        <v>25145.5</v>
      </c>
      <c r="H877" s="99">
        <f t="shared" si="27"/>
        <v>-3.2444791324643557E-3</v>
      </c>
    </row>
    <row r="878" spans="2:8" x14ac:dyDescent="0.3">
      <c r="B878" s="103">
        <v>45945</v>
      </c>
      <c r="C878" s="105">
        <v>1474.400024414062</v>
      </c>
      <c r="D878" s="106">
        <f t="shared" si="26"/>
        <v>-1.0403382606893866E-2</v>
      </c>
      <c r="F878" s="97">
        <v>45945</v>
      </c>
      <c r="G878" s="98">
        <v>25323.55078125</v>
      </c>
      <c r="H878" s="100">
        <f t="shared" si="27"/>
        <v>7.0808208725219226E-3</v>
      </c>
    </row>
    <row r="879" spans="2:8" x14ac:dyDescent="0.3">
      <c r="B879" s="103">
        <v>45946</v>
      </c>
      <c r="C879" s="105">
        <v>1471.5</v>
      </c>
      <c r="D879" s="106">
        <f t="shared" si="26"/>
        <v>-1.9669183166315649E-3</v>
      </c>
      <c r="F879" s="97">
        <v>45946</v>
      </c>
      <c r="G879" s="98">
        <v>25585.30078125</v>
      </c>
      <c r="H879" s="99">
        <f t="shared" si="27"/>
        <v>1.0336228211479895E-2</v>
      </c>
    </row>
    <row r="880" spans="2:8" x14ac:dyDescent="0.3">
      <c r="B880" s="103">
        <v>45947</v>
      </c>
      <c r="C880" s="105">
        <v>1441.099975585938</v>
      </c>
      <c r="D880" s="106">
        <f t="shared" si="26"/>
        <v>-2.0659207892668736E-2</v>
      </c>
      <c r="F880" s="97">
        <v>45947</v>
      </c>
      <c r="G880" s="98">
        <v>25709.849609375</v>
      </c>
      <c r="H880" s="100">
        <f t="shared" si="27"/>
        <v>4.8679837376105692E-3</v>
      </c>
    </row>
    <row r="881" spans="2:8" x14ac:dyDescent="0.3">
      <c r="B881" s="103">
        <v>45950</v>
      </c>
      <c r="C881" s="105">
        <v>1460.900024414062</v>
      </c>
      <c r="D881" s="106">
        <f t="shared" si="26"/>
        <v>1.3739538660441357E-2</v>
      </c>
      <c r="F881" s="97">
        <v>45950</v>
      </c>
      <c r="G881" s="98">
        <v>25843.150390625</v>
      </c>
      <c r="H881" s="99">
        <f t="shared" si="27"/>
        <v>5.1848137299641134E-3</v>
      </c>
    </row>
    <row r="882" spans="2:8" x14ac:dyDescent="0.3">
      <c r="B882" s="103">
        <v>45951</v>
      </c>
      <c r="C882" s="105">
        <v>1472.400024414062</v>
      </c>
      <c r="D882" s="106">
        <f t="shared" si="26"/>
        <v>7.8718596808925526E-3</v>
      </c>
      <c r="F882" s="97">
        <v>45951</v>
      </c>
      <c r="G882" s="98">
        <v>25868.599609375</v>
      </c>
      <c r="H882" s="100">
        <f t="shared" si="27"/>
        <v>9.8475682590277742E-4</v>
      </c>
    </row>
    <row r="883" spans="2:8" x14ac:dyDescent="0.3">
      <c r="B883" s="103">
        <v>45953</v>
      </c>
      <c r="C883" s="105">
        <v>1528.5</v>
      </c>
      <c r="D883" s="106">
        <f t="shared" si="26"/>
        <v>3.8101042281809799E-2</v>
      </c>
      <c r="F883" s="97">
        <v>45953</v>
      </c>
      <c r="G883" s="98">
        <v>25891.400390625</v>
      </c>
      <c r="H883" s="99">
        <f t="shared" si="27"/>
        <v>8.8140763683770514E-4</v>
      </c>
    </row>
    <row r="884" spans="2:8" x14ac:dyDescent="0.3">
      <c r="B884" s="103">
        <v>45954</v>
      </c>
      <c r="C884" s="105">
        <v>1525.400024414062</v>
      </c>
      <c r="D884" s="106">
        <f t="shared" si="26"/>
        <v>-2.0281161831455377E-3</v>
      </c>
      <c r="F884" s="97">
        <v>45954</v>
      </c>
      <c r="G884" s="98">
        <v>25795.150390625</v>
      </c>
      <c r="H884" s="100">
        <f t="shared" si="27"/>
        <v>-3.7174505259611641E-3</v>
      </c>
    </row>
    <row r="885" spans="2:8" x14ac:dyDescent="0.3">
      <c r="B885" s="103">
        <v>45957</v>
      </c>
      <c r="C885" s="105">
        <v>1504.5</v>
      </c>
      <c r="D885" s="106">
        <f t="shared" si="26"/>
        <v>-1.3701340028554268E-2</v>
      </c>
      <c r="F885" s="97">
        <v>45957</v>
      </c>
      <c r="G885" s="98">
        <v>25966.05078125</v>
      </c>
      <c r="H885" s="99">
        <f t="shared" si="27"/>
        <v>6.6252915000298701E-3</v>
      </c>
    </row>
    <row r="886" spans="2:8" x14ac:dyDescent="0.3">
      <c r="B886" s="103">
        <v>45958</v>
      </c>
      <c r="C886" s="105">
        <v>1500.199951171875</v>
      </c>
      <c r="D886" s="106">
        <f t="shared" si="26"/>
        <v>-2.858124844217348E-3</v>
      </c>
      <c r="F886" s="97">
        <v>45958</v>
      </c>
      <c r="G886" s="98">
        <v>25936.19921875</v>
      </c>
      <c r="H886" s="100">
        <f t="shared" si="27"/>
        <v>-1.1496381468049702E-3</v>
      </c>
    </row>
    <row r="887" spans="2:8" x14ac:dyDescent="0.3">
      <c r="B887" s="103">
        <v>45959</v>
      </c>
      <c r="C887" s="105">
        <v>1510.400024414062</v>
      </c>
      <c r="D887" s="106">
        <f t="shared" si="26"/>
        <v>6.7991424971180006E-3</v>
      </c>
      <c r="F887" s="97">
        <v>45959</v>
      </c>
      <c r="G887" s="98">
        <v>26053.900390625</v>
      </c>
      <c r="H887" s="99">
        <f t="shared" si="27"/>
        <v>4.5381040946782421E-3</v>
      </c>
    </row>
    <row r="888" spans="2:8" x14ac:dyDescent="0.3">
      <c r="B888" s="103">
        <v>45960</v>
      </c>
      <c r="C888" s="105">
        <v>1493.800048828125</v>
      </c>
      <c r="D888" s="106">
        <f t="shared" si="26"/>
        <v>-1.0990449760073837E-2</v>
      </c>
      <c r="F888" s="97">
        <v>45960</v>
      </c>
      <c r="G888" s="98">
        <v>25877.849609375</v>
      </c>
      <c r="H888" s="100">
        <f t="shared" si="27"/>
        <v>-6.7571756478100502E-3</v>
      </c>
    </row>
    <row r="889" spans="2:8" x14ac:dyDescent="0.3">
      <c r="B889" s="103">
        <v>45961</v>
      </c>
      <c r="C889" s="105">
        <v>1482.300048828125</v>
      </c>
      <c r="D889" s="106">
        <f t="shared" si="26"/>
        <v>-7.6984868282884743E-3</v>
      </c>
      <c r="F889" s="97">
        <v>45961</v>
      </c>
      <c r="G889" s="98">
        <v>25722.099609375</v>
      </c>
      <c r="H889" s="99">
        <f t="shared" si="27"/>
        <v>-6.0186608373972101E-3</v>
      </c>
    </row>
    <row r="890" spans="2:8" x14ac:dyDescent="0.3">
      <c r="B890" s="103">
        <v>45964</v>
      </c>
      <c r="C890" s="105">
        <v>1485.5</v>
      </c>
      <c r="D890" s="106">
        <f t="shared" si="26"/>
        <v>2.1587742470930995E-3</v>
      </c>
      <c r="F890" s="97">
        <v>45964</v>
      </c>
      <c r="G890" s="98">
        <v>25763.349609375</v>
      </c>
      <c r="H890" s="100">
        <f t="shared" si="27"/>
        <v>1.6036793506920993E-3</v>
      </c>
    </row>
    <row r="891" spans="2:8" x14ac:dyDescent="0.3">
      <c r="B891" s="103">
        <v>45965</v>
      </c>
      <c r="C891" s="105">
        <v>1467.900024414062</v>
      </c>
      <c r="D891" s="106">
        <f t="shared" si="26"/>
        <v>-1.1847846237588661E-2</v>
      </c>
      <c r="F891" s="97">
        <v>45965</v>
      </c>
      <c r="G891" s="98">
        <v>25597.650390625</v>
      </c>
      <c r="H891" s="99">
        <f t="shared" si="27"/>
        <v>-6.4315867797603409E-3</v>
      </c>
    </row>
    <row r="892" spans="2:8" x14ac:dyDescent="0.3">
      <c r="B892" s="103">
        <v>45967</v>
      </c>
      <c r="C892" s="105">
        <v>1466.699951171875</v>
      </c>
      <c r="D892" s="106">
        <f t="shared" si="26"/>
        <v>-8.1754426202566182E-4</v>
      </c>
      <c r="F892" s="97">
        <v>45967</v>
      </c>
      <c r="G892" s="98">
        <v>25509.69921875</v>
      </c>
      <c r="H892" s="100">
        <f t="shared" si="27"/>
        <v>-3.4359080045569977E-3</v>
      </c>
    </row>
    <row r="893" spans="2:8" x14ac:dyDescent="0.3">
      <c r="B893" s="103">
        <v>45968</v>
      </c>
      <c r="C893" s="105">
        <v>1476.800048828125</v>
      </c>
      <c r="D893" s="106">
        <f t="shared" si="26"/>
        <v>6.8862739432016392E-3</v>
      </c>
      <c r="F893" s="97">
        <v>45968</v>
      </c>
      <c r="G893" s="98">
        <v>25492.30078125</v>
      </c>
      <c r="H893" s="99">
        <f t="shared" si="27"/>
        <v>-6.8203224784445498E-4</v>
      </c>
    </row>
    <row r="894" spans="2:8" x14ac:dyDescent="0.3">
      <c r="B894" s="103">
        <v>45971</v>
      </c>
      <c r="C894" s="105">
        <v>1513.5</v>
      </c>
      <c r="D894" s="106">
        <f t="shared" si="26"/>
        <v>2.4850995367312764E-2</v>
      </c>
      <c r="F894" s="97">
        <v>45971</v>
      </c>
      <c r="G894" s="98">
        <v>25574.349609375</v>
      </c>
      <c r="H894" s="100">
        <f t="shared" si="27"/>
        <v>3.2185728871263058E-3</v>
      </c>
    </row>
    <row r="895" spans="2:8" x14ac:dyDescent="0.3">
      <c r="B895" s="103">
        <v>45972</v>
      </c>
      <c r="C895" s="105">
        <v>1530.300048828125</v>
      </c>
      <c r="D895" s="106">
        <f t="shared" si="26"/>
        <v>1.1100131369755533E-2</v>
      </c>
      <c r="F895" s="97">
        <v>45972</v>
      </c>
      <c r="G895" s="98">
        <v>25694.94921875</v>
      </c>
      <c r="H895" s="99">
        <f t="shared" si="27"/>
        <v>4.7156471705849679E-3</v>
      </c>
    </row>
    <row r="896" spans="2:8" x14ac:dyDescent="0.3">
      <c r="B896" s="103">
        <v>45973</v>
      </c>
      <c r="C896" s="105">
        <v>1551.699951171875</v>
      </c>
      <c r="D896" s="106">
        <f t="shared" si="26"/>
        <v>1.398412184599853E-2</v>
      </c>
      <c r="F896" s="97">
        <v>45973</v>
      </c>
      <c r="G896" s="98">
        <v>25875.80078125</v>
      </c>
      <c r="H896" s="100">
        <f t="shared" si="27"/>
        <v>7.0384090258497119E-3</v>
      </c>
    </row>
    <row r="897" spans="2:8" x14ac:dyDescent="0.3">
      <c r="B897" s="103">
        <v>45974</v>
      </c>
      <c r="C897" s="105">
        <v>1541.800048828125</v>
      </c>
      <c r="D897" s="106">
        <f t="shared" si="26"/>
        <v>-6.3800365117453245E-3</v>
      </c>
      <c r="F897" s="97">
        <v>45974</v>
      </c>
      <c r="G897" s="98">
        <v>25879.150390625</v>
      </c>
      <c r="H897" s="99">
        <f t="shared" si="27"/>
        <v>1.2944949620369539E-4</v>
      </c>
    </row>
    <row r="898" spans="2:8" x14ac:dyDescent="0.3">
      <c r="B898" s="103">
        <v>45975</v>
      </c>
      <c r="C898" s="105">
        <v>1502.800048828125</v>
      </c>
      <c r="D898" s="106">
        <f t="shared" si="26"/>
        <v>-2.5295108811056729E-2</v>
      </c>
      <c r="F898" s="97">
        <v>45975</v>
      </c>
      <c r="G898" s="98">
        <v>25910.05078125</v>
      </c>
      <c r="H898" s="100">
        <f t="shared" si="27"/>
        <v>1.1940264714483827E-3</v>
      </c>
    </row>
    <row r="899" spans="2:8" x14ac:dyDescent="0.3">
      <c r="B899" s="103">
        <v>45978</v>
      </c>
      <c r="C899" s="105">
        <v>1507.599975585938</v>
      </c>
      <c r="D899" s="106">
        <f t="shared" si="26"/>
        <v>3.1939889551879578E-3</v>
      </c>
      <c r="F899" s="97">
        <v>45978</v>
      </c>
      <c r="G899" s="98">
        <v>26013.44921875</v>
      </c>
      <c r="H899" s="99">
        <f t="shared" si="27"/>
        <v>3.9906690408659891E-3</v>
      </c>
    </row>
    <row r="900" spans="2:8" x14ac:dyDescent="0.3">
      <c r="B900" s="103">
        <v>45979</v>
      </c>
      <c r="C900" s="105">
        <v>1486.400024414062</v>
      </c>
      <c r="D900" s="106">
        <f t="shared" si="26"/>
        <v>-1.4062053273539234E-2</v>
      </c>
      <c r="F900" s="97">
        <v>45979</v>
      </c>
      <c r="G900" s="98">
        <v>25910.05078125</v>
      </c>
      <c r="H900" s="100">
        <f t="shared" si="27"/>
        <v>-3.974806902018682E-3</v>
      </c>
    </row>
    <row r="901" spans="2:8" x14ac:dyDescent="0.3">
      <c r="B901" s="103">
        <v>45980</v>
      </c>
      <c r="C901" s="105">
        <v>1541.099975585938</v>
      </c>
      <c r="D901" s="106">
        <f t="shared" ref="D901:D964" si="28">(C901-C900)/C900</f>
        <v>3.6800289473514103E-2</v>
      </c>
      <c r="F901" s="97">
        <v>45980</v>
      </c>
      <c r="G901" s="98">
        <v>26052.650390625</v>
      </c>
      <c r="H901" s="99">
        <f t="shared" ref="H901:H964" si="29">(G901-G900)/G900</f>
        <v>5.503640675154263E-3</v>
      </c>
    </row>
    <row r="902" spans="2:8" x14ac:dyDescent="0.3">
      <c r="B902" s="103">
        <v>45981</v>
      </c>
      <c r="C902" s="105">
        <v>1536.5</v>
      </c>
      <c r="D902" s="106">
        <f t="shared" si="28"/>
        <v>-2.9848651345212103E-3</v>
      </c>
      <c r="F902" s="97">
        <v>45981</v>
      </c>
      <c r="G902" s="98">
        <v>26192.150390625</v>
      </c>
      <c r="H902" s="100">
        <f t="shared" si="29"/>
        <v>5.3545415882216276E-3</v>
      </c>
    </row>
    <row r="903" spans="2:8" x14ac:dyDescent="0.3">
      <c r="B903" s="103">
        <v>45982</v>
      </c>
      <c r="C903" s="105">
        <v>1545</v>
      </c>
      <c r="D903" s="106">
        <f t="shared" si="28"/>
        <v>5.5320533680442568E-3</v>
      </c>
      <c r="F903" s="97">
        <v>45982</v>
      </c>
      <c r="G903" s="98">
        <v>26068.150390625</v>
      </c>
      <c r="H903" s="99">
        <f t="shared" si="29"/>
        <v>-4.7342428227803521E-3</v>
      </c>
    </row>
    <row r="904" spans="2:8" x14ac:dyDescent="0.3">
      <c r="B904" s="103">
        <v>45985</v>
      </c>
      <c r="C904" s="105">
        <v>1548</v>
      </c>
      <c r="D904" s="106">
        <f t="shared" si="28"/>
        <v>1.9417475728155339E-3</v>
      </c>
      <c r="F904" s="97">
        <v>45985</v>
      </c>
      <c r="G904" s="98">
        <v>25959.5</v>
      </c>
      <c r="H904" s="100">
        <f t="shared" si="29"/>
        <v>-4.167936312968119E-3</v>
      </c>
    </row>
    <row r="905" spans="2:8" x14ac:dyDescent="0.3">
      <c r="B905" s="103">
        <v>45986</v>
      </c>
      <c r="C905" s="105">
        <v>1530.599975585938</v>
      </c>
      <c r="D905" s="106">
        <f t="shared" si="28"/>
        <v>-1.124032584887729E-2</v>
      </c>
      <c r="F905" s="97">
        <v>45986</v>
      </c>
      <c r="G905" s="98">
        <v>25884.80078125</v>
      </c>
      <c r="H905" s="99">
        <f t="shared" si="29"/>
        <v>-2.8775291800689534E-3</v>
      </c>
    </row>
    <row r="906" spans="2:8" x14ac:dyDescent="0.3">
      <c r="B906" s="103">
        <v>45987</v>
      </c>
      <c r="C906" s="105">
        <v>1557.900024414062</v>
      </c>
      <c r="D906" s="106">
        <f t="shared" si="28"/>
        <v>1.7836174874936345E-2</v>
      </c>
      <c r="F906" s="97">
        <v>45987</v>
      </c>
      <c r="G906" s="98">
        <v>26205.30078125</v>
      </c>
      <c r="H906" s="100">
        <f t="shared" si="29"/>
        <v>1.2381783530362669E-2</v>
      </c>
    </row>
    <row r="907" spans="2:8" x14ac:dyDescent="0.3">
      <c r="B907" s="103">
        <v>45988</v>
      </c>
      <c r="C907" s="105">
        <v>1566.400024414062</v>
      </c>
      <c r="D907" s="106">
        <f t="shared" si="28"/>
        <v>5.4560625629343027E-3</v>
      </c>
      <c r="F907" s="97">
        <v>45988</v>
      </c>
      <c r="G907" s="98">
        <v>26215.55078125</v>
      </c>
      <c r="H907" s="99">
        <f t="shared" si="29"/>
        <v>3.9114223818922608E-4</v>
      </c>
    </row>
    <row r="908" spans="2:8" x14ac:dyDescent="0.3">
      <c r="B908" s="103">
        <v>45989</v>
      </c>
      <c r="C908" s="105">
        <v>1560.099975585938</v>
      </c>
      <c r="D908" s="106">
        <f t="shared" si="28"/>
        <v>-4.0219922943889944E-3</v>
      </c>
      <c r="F908" s="97">
        <v>45989</v>
      </c>
      <c r="G908" s="98">
        <v>26202.94921875</v>
      </c>
      <c r="H908" s="100">
        <f t="shared" si="29"/>
        <v>-4.8069035837358583E-4</v>
      </c>
    </row>
    <row r="909" spans="2:8" x14ac:dyDescent="0.3">
      <c r="B909" s="103">
        <v>45992</v>
      </c>
      <c r="C909" s="105">
        <v>1564</v>
      </c>
      <c r="D909" s="106">
        <f t="shared" si="28"/>
        <v>2.4998554420188907E-3</v>
      </c>
      <c r="F909" s="97">
        <v>45992</v>
      </c>
      <c r="G909" s="98">
        <v>26175.75</v>
      </c>
      <c r="H909" s="99">
        <f t="shared" si="29"/>
        <v>-1.0380212747402153E-3</v>
      </c>
    </row>
    <row r="910" spans="2:8" x14ac:dyDescent="0.3">
      <c r="B910" s="103">
        <v>45993</v>
      </c>
      <c r="C910" s="105">
        <v>1561</v>
      </c>
      <c r="D910" s="106">
        <f t="shared" si="28"/>
        <v>-1.9181585677749361E-3</v>
      </c>
      <c r="F910" s="97">
        <v>45993</v>
      </c>
      <c r="G910" s="98">
        <v>26032.19921875</v>
      </c>
      <c r="H910" s="100">
        <f t="shared" si="29"/>
        <v>-5.4841133969418263E-3</v>
      </c>
    </row>
    <row r="911" spans="2:8" x14ac:dyDescent="0.3">
      <c r="B911" s="103">
        <v>45994</v>
      </c>
      <c r="C911" s="105">
        <v>1578.699951171875</v>
      </c>
      <c r="D911" s="106">
        <f t="shared" si="28"/>
        <v>1.1338854049887893E-2</v>
      </c>
      <c r="F911" s="97">
        <v>45994</v>
      </c>
      <c r="G911" s="98">
        <v>25986</v>
      </c>
      <c r="H911" s="99">
        <f t="shared" si="29"/>
        <v>-1.7746951904364832E-3</v>
      </c>
    </row>
    <row r="912" spans="2:8" x14ac:dyDescent="0.3">
      <c r="B912" s="103">
        <v>45995</v>
      </c>
      <c r="C912" s="105">
        <v>1597.599975585938</v>
      </c>
      <c r="D912" s="106">
        <f t="shared" si="28"/>
        <v>1.1971891428788222E-2</v>
      </c>
      <c r="F912" s="97">
        <v>45995</v>
      </c>
      <c r="G912" s="98">
        <v>26033.75</v>
      </c>
      <c r="H912" s="100">
        <f t="shared" si="29"/>
        <v>1.8375278996382667E-3</v>
      </c>
    </row>
    <row r="913" spans="2:8" x14ac:dyDescent="0.3">
      <c r="B913" s="103">
        <v>45996</v>
      </c>
      <c r="C913" s="105">
        <v>1616.199951171875</v>
      </c>
      <c r="D913" s="106">
        <f t="shared" si="28"/>
        <v>1.1642448591747939E-2</v>
      </c>
      <c r="F913" s="97">
        <v>45996</v>
      </c>
      <c r="G913" s="98">
        <v>26186.44921875</v>
      </c>
      <c r="H913" s="99">
        <f t="shared" si="29"/>
        <v>5.8654330916598644E-3</v>
      </c>
    </row>
    <row r="914" spans="2:8" x14ac:dyDescent="0.3">
      <c r="B914" s="103">
        <v>45999</v>
      </c>
      <c r="C914" s="105">
        <v>1610.800048828125</v>
      </c>
      <c r="D914" s="106">
        <f t="shared" si="28"/>
        <v>-3.3411103247680688E-3</v>
      </c>
      <c r="F914" s="97">
        <v>45999</v>
      </c>
      <c r="G914" s="98">
        <v>25960.55078125</v>
      </c>
      <c r="H914" s="100">
        <f t="shared" si="29"/>
        <v>-8.6265394598918129E-3</v>
      </c>
    </row>
    <row r="915" spans="2:8" x14ac:dyDescent="0.3">
      <c r="B915" s="103">
        <v>46000</v>
      </c>
      <c r="C915" s="105">
        <v>1599</v>
      </c>
      <c r="D915" s="106">
        <f t="shared" si="28"/>
        <v>-7.3255826113921884E-3</v>
      </c>
      <c r="F915" s="97">
        <v>46000</v>
      </c>
      <c r="G915" s="98">
        <v>25839.650390625</v>
      </c>
      <c r="H915" s="99">
        <f t="shared" si="29"/>
        <v>-4.6570811090926572E-3</v>
      </c>
    </row>
    <row r="916" spans="2:8" x14ac:dyDescent="0.3">
      <c r="B916" s="103">
        <v>46001</v>
      </c>
      <c r="C916" s="105">
        <v>1584.800048828125</v>
      </c>
      <c r="D916" s="106">
        <f t="shared" si="28"/>
        <v>-8.8805198073014392E-3</v>
      </c>
      <c r="F916" s="97">
        <v>46001</v>
      </c>
      <c r="G916" s="98">
        <v>25758</v>
      </c>
      <c r="H916" s="100">
        <f t="shared" si="29"/>
        <v>-3.159887590995579E-3</v>
      </c>
    </row>
    <row r="917" spans="2:8" x14ac:dyDescent="0.3">
      <c r="B917" s="103">
        <v>46002</v>
      </c>
      <c r="C917" s="105">
        <v>1598</v>
      </c>
      <c r="D917" s="106">
        <f t="shared" si="28"/>
        <v>8.3290956367875306E-3</v>
      </c>
      <c r="F917" s="97">
        <v>46002</v>
      </c>
      <c r="G917" s="98">
        <v>25898.55078125</v>
      </c>
      <c r="H917" s="99">
        <f t="shared" si="29"/>
        <v>5.4565875164997281E-3</v>
      </c>
    </row>
    <row r="918" spans="2:8" x14ac:dyDescent="0.3">
      <c r="B918" s="103">
        <v>46003</v>
      </c>
      <c r="C918" s="105">
        <v>1598.199951171875</v>
      </c>
      <c r="D918" s="106">
        <f t="shared" si="28"/>
        <v>1.2512588978410514E-4</v>
      </c>
      <c r="F918" s="97">
        <v>46003</v>
      </c>
      <c r="G918" s="98">
        <v>26046.94921875</v>
      </c>
      <c r="H918" s="100">
        <f t="shared" si="29"/>
        <v>5.7299900196514974E-3</v>
      </c>
    </row>
    <row r="919" spans="2:8" x14ac:dyDescent="0.3">
      <c r="B919" s="103">
        <v>46006</v>
      </c>
      <c r="C919" s="105">
        <v>1606.800048828125</v>
      </c>
      <c r="D919" s="106">
        <f t="shared" si="28"/>
        <v>5.3811149536977564E-3</v>
      </c>
      <c r="F919" s="97">
        <v>46006</v>
      </c>
      <c r="G919" s="98">
        <v>26027.30078125</v>
      </c>
      <c r="H919" s="99">
        <f t="shared" si="29"/>
        <v>-7.5434698071496196E-4</v>
      </c>
    </row>
    <row r="920" spans="2:8" x14ac:dyDescent="0.3">
      <c r="B920" s="103">
        <v>46007</v>
      </c>
      <c r="C920" s="105">
        <v>1592.900024414062</v>
      </c>
      <c r="D920" s="106">
        <f t="shared" si="28"/>
        <v>-8.6507493102209888E-3</v>
      </c>
      <c r="F920" s="97">
        <v>46007</v>
      </c>
      <c r="G920" s="98">
        <v>25860.099609375</v>
      </c>
      <c r="H920" s="100">
        <f t="shared" si="29"/>
        <v>-6.4240688375742476E-3</v>
      </c>
    </row>
    <row r="921" spans="2:8" x14ac:dyDescent="0.3">
      <c r="B921" s="103">
        <v>46008</v>
      </c>
      <c r="C921" s="105">
        <v>1602</v>
      </c>
      <c r="D921" s="106">
        <f t="shared" si="28"/>
        <v>5.7128353609545096E-3</v>
      </c>
      <c r="F921" s="97">
        <v>46008</v>
      </c>
      <c r="G921" s="98">
        <v>25818.55078125</v>
      </c>
      <c r="H921" s="99">
        <f t="shared" si="29"/>
        <v>-1.6066770334456639E-3</v>
      </c>
    </row>
    <row r="922" spans="2:8" x14ac:dyDescent="0.3">
      <c r="B922" s="103">
        <v>46009</v>
      </c>
      <c r="C922" s="105">
        <v>1626.800048828125</v>
      </c>
      <c r="D922" s="106">
        <f t="shared" si="28"/>
        <v>1.5480679667993134E-2</v>
      </c>
      <c r="F922" s="97">
        <v>46009</v>
      </c>
      <c r="G922" s="98">
        <v>25815.55078125</v>
      </c>
      <c r="H922" s="100">
        <f t="shared" si="29"/>
        <v>-1.1619552256893776E-4</v>
      </c>
    </row>
    <row r="923" spans="2:8" x14ac:dyDescent="0.3">
      <c r="B923" s="103">
        <v>46010</v>
      </c>
      <c r="C923" s="105">
        <v>1638.699951171875</v>
      </c>
      <c r="D923" s="106">
        <f t="shared" si="28"/>
        <v>7.3149139332287115E-3</v>
      </c>
      <c r="F923" s="97">
        <v>46010</v>
      </c>
      <c r="G923" s="98">
        <v>25966.400390625</v>
      </c>
      <c r="H923" s="99">
        <f t="shared" si="29"/>
        <v>5.8433620360547577E-3</v>
      </c>
    </row>
    <row r="924" spans="2:8" x14ac:dyDescent="0.3">
      <c r="B924" s="103">
        <v>46013</v>
      </c>
      <c r="C924" s="105">
        <v>1689.599975585938</v>
      </c>
      <c r="D924" s="106">
        <f t="shared" si="28"/>
        <v>3.1061222878332965E-2</v>
      </c>
      <c r="F924" s="97">
        <v>46013</v>
      </c>
      <c r="G924" s="98">
        <v>26172.400390625</v>
      </c>
      <c r="H924" s="100">
        <f t="shared" si="29"/>
        <v>7.9333291061157232E-3</v>
      </c>
    </row>
    <row r="925" spans="2:8" x14ac:dyDescent="0.3">
      <c r="B925" s="103">
        <v>46014</v>
      </c>
      <c r="C925" s="105">
        <v>1668.300048828125</v>
      </c>
      <c r="D925" s="106">
        <f t="shared" si="28"/>
        <v>-1.2606490924235681E-2</v>
      </c>
      <c r="F925" s="97">
        <v>46014</v>
      </c>
      <c r="G925" s="98">
        <v>26177.150390625</v>
      </c>
      <c r="H925" s="99">
        <f t="shared" si="29"/>
        <v>1.814888939916057E-4</v>
      </c>
    </row>
    <row r="926" spans="2:8" x14ac:dyDescent="0.3">
      <c r="B926" s="103">
        <v>46015</v>
      </c>
      <c r="C926" s="105">
        <v>1663.400024414062</v>
      </c>
      <c r="D926" s="106">
        <f t="shared" si="28"/>
        <v>-2.9371361689432972E-3</v>
      </c>
      <c r="F926" s="97">
        <v>46015</v>
      </c>
      <c r="G926" s="98">
        <v>26142.099609375</v>
      </c>
      <c r="H926" s="100">
        <f t="shared" si="29"/>
        <v>-1.3389838361685454E-3</v>
      </c>
    </row>
    <row r="927" spans="2:8" x14ac:dyDescent="0.3">
      <c r="B927" s="103">
        <v>46017</v>
      </c>
      <c r="C927" s="105">
        <v>1656.099975585938</v>
      </c>
      <c r="D927" s="106">
        <f t="shared" si="28"/>
        <v>-4.3886309492483962E-3</v>
      </c>
      <c r="F927" s="97">
        <v>46017</v>
      </c>
      <c r="G927" s="98">
        <v>26042.30078125</v>
      </c>
      <c r="H927" s="99">
        <f t="shared" si="29"/>
        <v>-3.8175521330050493E-3</v>
      </c>
    </row>
    <row r="928" spans="2:8" x14ac:dyDescent="0.3">
      <c r="B928" s="103">
        <v>46020</v>
      </c>
      <c r="C928" s="105">
        <v>1644.699951171875</v>
      </c>
      <c r="D928" s="106">
        <f t="shared" si="28"/>
        <v>-6.8836571355117369E-3</v>
      </c>
      <c r="F928" s="97">
        <v>46020</v>
      </c>
      <c r="G928" s="98">
        <v>25942.099609375</v>
      </c>
      <c r="H928" s="100">
        <f t="shared" si="29"/>
        <v>-3.8476313101775974E-3</v>
      </c>
    </row>
    <row r="929" spans="2:8" x14ac:dyDescent="0.3">
      <c r="B929" s="103">
        <v>46021</v>
      </c>
      <c r="C929" s="105">
        <v>1621.599975585938</v>
      </c>
      <c r="D929" s="106">
        <f t="shared" si="28"/>
        <v>-1.4045100183457745E-2</v>
      </c>
      <c r="F929" s="97">
        <v>46021</v>
      </c>
      <c r="G929" s="98">
        <v>25938.849609375</v>
      </c>
      <c r="H929" s="99">
        <f t="shared" si="29"/>
        <v>-1.2527898855285829E-4</v>
      </c>
    </row>
    <row r="930" spans="2:8" x14ac:dyDescent="0.3">
      <c r="B930" s="103">
        <v>46022</v>
      </c>
      <c r="C930" s="105">
        <v>1615.400024414062</v>
      </c>
      <c r="D930" s="106">
        <f t="shared" si="28"/>
        <v>-3.8233542582754797E-3</v>
      </c>
      <c r="F930" s="97">
        <v>46022</v>
      </c>
      <c r="G930" s="98">
        <v>26129.599609375</v>
      </c>
      <c r="H930" s="100">
        <f t="shared" si="29"/>
        <v>7.353834224439075E-3</v>
      </c>
    </row>
    <row r="931" spans="2:8" x14ac:dyDescent="0.3">
      <c r="B931" s="103">
        <v>46023</v>
      </c>
      <c r="C931" s="105">
        <v>1629.800048828125</v>
      </c>
      <c r="D931" s="106">
        <f t="shared" si="28"/>
        <v>8.9142157957352586E-3</v>
      </c>
      <c r="F931" s="97">
        <v>46023</v>
      </c>
      <c r="G931" s="98">
        <v>26146.55078125</v>
      </c>
      <c r="H931" s="99">
        <f t="shared" si="29"/>
        <v>6.4873446698043217E-4</v>
      </c>
    </row>
    <row r="932" spans="2:8" x14ac:dyDescent="0.3">
      <c r="B932" s="103">
        <v>46024</v>
      </c>
      <c r="C932" s="105">
        <v>1640.400024414062</v>
      </c>
      <c r="D932" s="106">
        <f t="shared" si="28"/>
        <v>6.5038503303265606E-3</v>
      </c>
      <c r="F932" s="97">
        <v>46024</v>
      </c>
      <c r="G932" s="98">
        <v>26328.55078125</v>
      </c>
      <c r="H932" s="100">
        <f t="shared" si="29"/>
        <v>6.9607651702386052E-3</v>
      </c>
    </row>
    <row r="933" spans="2:8" x14ac:dyDescent="0.3">
      <c r="B933" s="103">
        <v>46027</v>
      </c>
      <c r="C933" s="105">
        <v>1606.400024414062</v>
      </c>
      <c r="D933" s="106">
        <f t="shared" si="28"/>
        <v>-2.0726651727614141E-2</v>
      </c>
      <c r="F933" s="97">
        <v>46027</v>
      </c>
      <c r="G933" s="98">
        <v>26250.30078125</v>
      </c>
      <c r="H933" s="99">
        <f t="shared" si="29"/>
        <v>-2.9720587604740519E-3</v>
      </c>
    </row>
    <row r="934" spans="2:8" x14ac:dyDescent="0.3">
      <c r="B934" s="103">
        <v>46028</v>
      </c>
      <c r="C934" s="105">
        <v>1612.199951171875</v>
      </c>
      <c r="D934" s="106">
        <f t="shared" si="28"/>
        <v>3.6105121200608117E-3</v>
      </c>
      <c r="F934" s="97">
        <v>46028</v>
      </c>
      <c r="G934" s="98">
        <v>26178.69921875</v>
      </c>
      <c r="H934" s="100">
        <f t="shared" si="29"/>
        <v>-2.7276473171363958E-3</v>
      </c>
    </row>
    <row r="935" spans="2:8" x14ac:dyDescent="0.3">
      <c r="B935" s="103">
        <v>46029</v>
      </c>
      <c r="C935" s="105">
        <v>1639</v>
      </c>
      <c r="D935" s="106">
        <f t="shared" si="28"/>
        <v>1.6623278526118671E-2</v>
      </c>
      <c r="F935" s="97">
        <v>46029</v>
      </c>
      <c r="G935" s="98">
        <v>26140.75</v>
      </c>
      <c r="H935" s="99">
        <f t="shared" si="29"/>
        <v>-1.4496220164682432E-3</v>
      </c>
    </row>
    <row r="936" spans="2:8" x14ac:dyDescent="0.3">
      <c r="B936" s="103">
        <v>46030</v>
      </c>
      <c r="C936" s="105">
        <v>1613.300048828125</v>
      </c>
      <c r="D936" s="106">
        <f t="shared" si="28"/>
        <v>-1.568026307008847E-2</v>
      </c>
      <c r="F936" s="97">
        <v>46030</v>
      </c>
      <c r="G936" s="98">
        <v>25876.849609375</v>
      </c>
      <c r="H936" s="100">
        <f t="shared" si="29"/>
        <v>-1.0095364158449929E-2</v>
      </c>
    </row>
    <row r="937" spans="2:8" x14ac:dyDescent="0.3">
      <c r="B937" s="103">
        <v>46031</v>
      </c>
      <c r="C937" s="105">
        <v>1614.099975585938</v>
      </c>
      <c r="D937" s="106">
        <f t="shared" si="28"/>
        <v>4.9583260001387136E-4</v>
      </c>
      <c r="F937" s="97">
        <v>46031</v>
      </c>
      <c r="G937" s="98">
        <v>25683.30078125</v>
      </c>
      <c r="H937" s="99">
        <f t="shared" si="29"/>
        <v>-7.4796132854935563E-3</v>
      </c>
    </row>
    <row r="938" spans="2:8" x14ac:dyDescent="0.3">
      <c r="B938" s="103">
        <v>46034</v>
      </c>
      <c r="C938" s="105">
        <v>1595.900024414062</v>
      </c>
      <c r="D938" s="106">
        <f t="shared" si="28"/>
        <v>-1.1275603399516257E-2</v>
      </c>
      <c r="F938" s="97">
        <v>46034</v>
      </c>
      <c r="G938" s="98">
        <v>25790.25</v>
      </c>
      <c r="H938" s="100">
        <f t="shared" si="29"/>
        <v>4.1641539637334267E-3</v>
      </c>
    </row>
    <row r="939" spans="2:8" x14ac:dyDescent="0.3">
      <c r="B939" s="103">
        <v>46035</v>
      </c>
      <c r="C939" s="105">
        <v>1599</v>
      </c>
      <c r="D939" s="106">
        <f t="shared" si="28"/>
        <v>1.9424622711414E-3</v>
      </c>
      <c r="F939" s="97">
        <v>46035</v>
      </c>
      <c r="G939" s="98">
        <v>25732.30078125</v>
      </c>
      <c r="H939" s="99">
        <f t="shared" si="29"/>
        <v>-2.2469428853927357E-3</v>
      </c>
    </row>
    <row r="940" spans="2:8" x14ac:dyDescent="0.3">
      <c r="B940" s="103">
        <v>46036</v>
      </c>
      <c r="C940" s="105">
        <v>1599.800048828125</v>
      </c>
      <c r="D940" s="106">
        <f t="shared" si="28"/>
        <v>5.0034323209818636E-4</v>
      </c>
      <c r="F940" s="97">
        <v>46036</v>
      </c>
      <c r="G940" s="98">
        <v>25665.599609375</v>
      </c>
      <c r="H940" s="100">
        <f t="shared" si="29"/>
        <v>-2.5921184600641006E-3</v>
      </c>
    </row>
    <row r="941" spans="2:8" x14ac:dyDescent="0.3">
      <c r="B941" s="103">
        <v>46038</v>
      </c>
      <c r="C941" s="105">
        <v>1689.800048828125</v>
      </c>
      <c r="D941" s="106">
        <f t="shared" si="28"/>
        <v>5.6257030411973177E-2</v>
      </c>
      <c r="F941" s="97">
        <v>46038</v>
      </c>
      <c r="G941" s="98">
        <v>25694.349609375</v>
      </c>
      <c r="H941" s="99">
        <f t="shared" si="29"/>
        <v>1.1201764399651254E-3</v>
      </c>
    </row>
    <row r="942" spans="2:8" x14ac:dyDescent="0.3">
      <c r="B942" s="103">
        <v>46041</v>
      </c>
      <c r="C942" s="105">
        <v>1681.199951171875</v>
      </c>
      <c r="D942" s="106">
        <f t="shared" si="28"/>
        <v>-5.0894173320767512E-3</v>
      </c>
      <c r="F942" s="97">
        <v>46041</v>
      </c>
      <c r="G942" s="98">
        <v>25585.5</v>
      </c>
      <c r="H942" s="100">
        <f t="shared" si="29"/>
        <v>-4.2363247573810724E-3</v>
      </c>
    </row>
    <row r="943" spans="2:8" x14ac:dyDescent="0.3">
      <c r="B943" s="103">
        <v>46042</v>
      </c>
      <c r="C943" s="105">
        <v>1658.900024414062</v>
      </c>
      <c r="D943" s="106">
        <f t="shared" si="28"/>
        <v>-1.3264291818631604E-2</v>
      </c>
      <c r="F943" s="97">
        <v>46042</v>
      </c>
      <c r="G943" s="98">
        <v>25232.5</v>
      </c>
      <c r="H943" s="99">
        <f t="shared" si="29"/>
        <v>-1.3796877137441129E-2</v>
      </c>
    </row>
    <row r="944" spans="2:8" x14ac:dyDescent="0.3">
      <c r="B944" s="103">
        <v>46043</v>
      </c>
      <c r="C944" s="105">
        <v>1654.400024414062</v>
      </c>
      <c r="D944" s="106">
        <f t="shared" si="28"/>
        <v>-2.7126408667028858E-3</v>
      </c>
      <c r="F944" s="97">
        <v>46043</v>
      </c>
      <c r="G944" s="98">
        <v>25157.5</v>
      </c>
      <c r="H944" s="100">
        <f t="shared" si="29"/>
        <v>-2.9723570791637768E-3</v>
      </c>
    </row>
    <row r="945" spans="2:8" x14ac:dyDescent="0.3">
      <c r="B945" s="103">
        <v>46044</v>
      </c>
      <c r="C945" s="105">
        <v>1663.5</v>
      </c>
      <c r="D945" s="106">
        <f t="shared" si="28"/>
        <v>5.5004687207744016E-3</v>
      </c>
      <c r="F945" s="97">
        <v>46044</v>
      </c>
      <c r="G945" s="98">
        <v>25289.900390625</v>
      </c>
      <c r="H945" s="99">
        <f t="shared" si="29"/>
        <v>5.2628596094603996E-3</v>
      </c>
    </row>
    <row r="946" spans="2:8" x14ac:dyDescent="0.3">
      <c r="B946" s="103">
        <v>46045</v>
      </c>
      <c r="C946" s="105">
        <v>1670.800048828125</v>
      </c>
      <c r="D946" s="106">
        <f t="shared" si="28"/>
        <v>4.3883671945446345E-3</v>
      </c>
      <c r="F946" s="97">
        <v>46045</v>
      </c>
      <c r="G946" s="98">
        <v>25048.650390625</v>
      </c>
      <c r="H946" s="100">
        <f t="shared" si="29"/>
        <v>-9.5393811867061241E-3</v>
      </c>
    </row>
    <row r="947" spans="2:8" x14ac:dyDescent="0.3">
      <c r="B947" s="103">
        <v>46049</v>
      </c>
      <c r="C947" s="105">
        <v>1682.699951171875</v>
      </c>
      <c r="D947" s="106">
        <f t="shared" si="28"/>
        <v>7.1222779482777842E-3</v>
      </c>
      <c r="F947" s="97">
        <v>46049</v>
      </c>
      <c r="G947" s="98">
        <v>25175.400390625</v>
      </c>
      <c r="H947" s="99">
        <f t="shared" si="29"/>
        <v>5.0601528634628126E-3</v>
      </c>
    </row>
    <row r="948" spans="2:8" x14ac:dyDescent="0.3">
      <c r="B948" s="103">
        <v>46050</v>
      </c>
      <c r="C948" s="105">
        <v>1666.5</v>
      </c>
      <c r="D948" s="106">
        <f t="shared" si="28"/>
        <v>-9.6273558221671909E-3</v>
      </c>
      <c r="F948" s="97">
        <v>46050</v>
      </c>
      <c r="G948" s="98">
        <v>25342.75</v>
      </c>
      <c r="H948" s="100">
        <f t="shared" si="29"/>
        <v>6.6473464881741809E-3</v>
      </c>
    </row>
    <row r="949" spans="2:8" x14ac:dyDescent="0.3">
      <c r="B949" s="103">
        <v>46051</v>
      </c>
      <c r="C949" s="105">
        <v>1659.5</v>
      </c>
      <c r="D949" s="106">
        <f t="shared" si="28"/>
        <v>-4.2004200420042003E-3</v>
      </c>
      <c r="F949" s="97">
        <v>46051</v>
      </c>
      <c r="G949" s="98">
        <v>25418.900390625</v>
      </c>
      <c r="H949" s="99">
        <f t="shared" si="29"/>
        <v>3.004819548983437E-3</v>
      </c>
    </row>
    <row r="950" spans="2:8" x14ac:dyDescent="0.3">
      <c r="B950" s="103">
        <v>46052</v>
      </c>
      <c r="C950" s="105">
        <v>1641</v>
      </c>
      <c r="D950" s="106">
        <f t="shared" si="28"/>
        <v>-1.1147936125338957E-2</v>
      </c>
      <c r="F950" s="97">
        <v>46052</v>
      </c>
      <c r="G950" s="98">
        <v>25320.650390625</v>
      </c>
      <c r="H950" s="100">
        <f t="shared" si="29"/>
        <v>-3.8652340774047241E-3</v>
      </c>
    </row>
    <row r="951" spans="2:8" x14ac:dyDescent="0.3">
      <c r="B951" s="103">
        <v>46055</v>
      </c>
      <c r="C951" s="105">
        <v>1629.400024414062</v>
      </c>
      <c r="D951" s="106">
        <f t="shared" si="28"/>
        <v>-7.0688455733930256E-3</v>
      </c>
      <c r="F951" s="97">
        <v>46055</v>
      </c>
      <c r="G951" s="98">
        <v>25088.400390625</v>
      </c>
      <c r="H951" s="99">
        <f t="shared" si="29"/>
        <v>-9.1723552285209401E-3</v>
      </c>
    </row>
    <row r="952" spans="2:8" x14ac:dyDescent="0.3">
      <c r="B952" s="103">
        <v>46056</v>
      </c>
      <c r="C952" s="105">
        <v>1656</v>
      </c>
      <c r="D952" s="106">
        <f t="shared" si="28"/>
        <v>1.6325012389455069E-2</v>
      </c>
      <c r="F952" s="97">
        <v>46056</v>
      </c>
      <c r="G952" s="98">
        <v>25727.55078125</v>
      </c>
      <c r="H952" s="100">
        <f t="shared" si="29"/>
        <v>2.5475932330218904E-2</v>
      </c>
    </row>
    <row r="953" spans="2:8" x14ac:dyDescent="0.3">
      <c r="B953" s="103">
        <v>46057</v>
      </c>
      <c r="C953" s="105">
        <v>1535.800048828125</v>
      </c>
      <c r="D953" s="106">
        <f t="shared" si="28"/>
        <v>-7.2584511577219207E-2</v>
      </c>
      <c r="F953" s="97">
        <v>46057</v>
      </c>
      <c r="G953" s="98">
        <v>25776</v>
      </c>
      <c r="H953" s="99">
        <f t="shared" si="29"/>
        <v>1.8831648283174059E-3</v>
      </c>
    </row>
    <row r="954" spans="2:8" x14ac:dyDescent="0.3">
      <c r="B954" s="103">
        <v>46058</v>
      </c>
      <c r="C954" s="105">
        <v>1520.199951171875</v>
      </c>
      <c r="D954" s="106">
        <f t="shared" si="28"/>
        <v>-1.0157635864221699E-2</v>
      </c>
      <c r="F954" s="97">
        <v>46058</v>
      </c>
      <c r="G954" s="98">
        <v>25642.80078125</v>
      </c>
      <c r="H954" s="100">
        <f t="shared" si="29"/>
        <v>-5.1675674561607694E-3</v>
      </c>
    </row>
    <row r="955" spans="2:8" x14ac:dyDescent="0.3">
      <c r="B955" s="103">
        <v>46059</v>
      </c>
      <c r="C955" s="105">
        <v>1507.099975585938</v>
      </c>
      <c r="D955" s="106">
        <f t="shared" si="28"/>
        <v>-8.6172714160651573E-3</v>
      </c>
      <c r="F955" s="97">
        <v>46059</v>
      </c>
      <c r="G955" s="98">
        <v>25693.69921875</v>
      </c>
      <c r="H955" s="99">
        <f t="shared" si="29"/>
        <v>1.9849016468285676E-3</v>
      </c>
    </row>
    <row r="956" spans="2:8" x14ac:dyDescent="0.3">
      <c r="B956" s="103">
        <v>46062</v>
      </c>
      <c r="C956" s="105">
        <v>1497.199951171875</v>
      </c>
      <c r="D956" s="106">
        <f t="shared" si="28"/>
        <v>-6.5689234784931721E-3</v>
      </c>
      <c r="F956" s="97">
        <v>46062</v>
      </c>
      <c r="G956" s="98">
        <v>25867.30078125</v>
      </c>
      <c r="H956" s="100">
        <f t="shared" si="29"/>
        <v>6.7565810988132885E-3</v>
      </c>
    </row>
    <row r="957" spans="2:8" x14ac:dyDescent="0.3">
      <c r="B957" s="103">
        <v>46063</v>
      </c>
      <c r="C957" s="105">
        <v>1497.800048828125</v>
      </c>
      <c r="D957" s="106">
        <f t="shared" si="28"/>
        <v>4.0081330204445767E-4</v>
      </c>
      <c r="F957" s="97">
        <v>46063</v>
      </c>
      <c r="G957" s="98">
        <v>25935.150390625</v>
      </c>
      <c r="H957" s="99">
        <f t="shared" si="29"/>
        <v>2.6229876069706129E-3</v>
      </c>
    </row>
    <row r="958" spans="2:8" x14ac:dyDescent="0.3">
      <c r="B958" s="103">
        <v>46064</v>
      </c>
      <c r="C958" s="105">
        <v>1471.900024414062</v>
      </c>
      <c r="D958" s="106">
        <f t="shared" si="28"/>
        <v>-1.7292044044415054E-2</v>
      </c>
      <c r="F958" s="97">
        <v>46064</v>
      </c>
      <c r="G958" s="98">
        <v>25953.849609375</v>
      </c>
      <c r="H958" s="100">
        <f t="shared" si="29"/>
        <v>7.2099904833246569E-4</v>
      </c>
    </row>
    <row r="959" spans="2:8" x14ac:dyDescent="0.3">
      <c r="B959" s="103">
        <v>46065</v>
      </c>
      <c r="C959" s="105">
        <v>1386</v>
      </c>
      <c r="D959" s="106">
        <f t="shared" si="28"/>
        <v>-5.8359958549669404E-2</v>
      </c>
      <c r="F959" s="97">
        <v>46065</v>
      </c>
      <c r="G959" s="98">
        <v>25807.19921875</v>
      </c>
      <c r="H959" s="99">
        <f t="shared" si="29"/>
        <v>-5.6504292362096155E-3</v>
      </c>
    </row>
    <row r="960" spans="2:8" x14ac:dyDescent="0.3">
      <c r="B960" s="103">
        <v>46066</v>
      </c>
      <c r="C960" s="105">
        <v>1369.099975585938</v>
      </c>
      <c r="D960" s="106">
        <f t="shared" si="28"/>
        <v>-1.2193379808125574E-2</v>
      </c>
      <c r="F960" s="97">
        <v>46066</v>
      </c>
      <c r="G960" s="98">
        <v>25471.099609375</v>
      </c>
      <c r="H960" s="100">
        <f t="shared" si="29"/>
        <v>-1.3023482576552116E-2</v>
      </c>
    </row>
    <row r="961" spans="2:8" x14ac:dyDescent="0.3">
      <c r="B961" s="103">
        <v>46069</v>
      </c>
      <c r="C961" s="105">
        <v>1365.599975585938</v>
      </c>
      <c r="D961" s="106">
        <f t="shared" si="28"/>
        <v>-2.5564239737146254E-3</v>
      </c>
      <c r="F961" s="97">
        <v>46069</v>
      </c>
      <c r="G961" s="98">
        <v>25682.75</v>
      </c>
      <c r="H961" s="99">
        <f t="shared" si="29"/>
        <v>8.3094328030933959E-3</v>
      </c>
    </row>
    <row r="962" spans="2:8" x14ac:dyDescent="0.3">
      <c r="B962" s="103">
        <v>46070</v>
      </c>
      <c r="C962" s="105">
        <v>1391.199951171875</v>
      </c>
      <c r="D962" s="106">
        <f t="shared" si="28"/>
        <v>1.8746321062983955E-2</v>
      </c>
      <c r="F962" s="97">
        <v>46070</v>
      </c>
      <c r="G962" s="98">
        <v>25725.400390625</v>
      </c>
      <c r="H962" s="100">
        <f t="shared" si="29"/>
        <v>1.6606629206373927E-3</v>
      </c>
    </row>
    <row r="963" spans="2:8" x14ac:dyDescent="0.3">
      <c r="B963" s="103">
        <v>46071</v>
      </c>
      <c r="C963" s="105">
        <v>1373.699951171875</v>
      </c>
      <c r="D963" s="106">
        <f t="shared" si="28"/>
        <v>-1.2579068871630497E-2</v>
      </c>
      <c r="F963" s="97">
        <v>46071</v>
      </c>
      <c r="G963" s="98">
        <v>25819.349609375</v>
      </c>
      <c r="H963" s="99">
        <f t="shared" si="29"/>
        <v>3.6520021971839754E-3</v>
      </c>
    </row>
    <row r="964" spans="2:8" x14ac:dyDescent="0.3">
      <c r="B964" s="103">
        <v>46072</v>
      </c>
      <c r="C964" s="105">
        <v>1370.5</v>
      </c>
      <c r="D964" s="106">
        <f t="shared" si="28"/>
        <v>-2.3294396779625624E-3</v>
      </c>
      <c r="F964" s="97">
        <v>46072</v>
      </c>
      <c r="G964" s="98">
        <v>25454.349609375</v>
      </c>
      <c r="H964" s="100">
        <f t="shared" si="29"/>
        <v>-1.4136684522350191E-2</v>
      </c>
    </row>
    <row r="965" spans="2:8" x14ac:dyDescent="0.3">
      <c r="B965" s="103">
        <v>46073</v>
      </c>
      <c r="C965" s="105">
        <v>1353.199951171875</v>
      </c>
      <c r="D965" s="106">
        <f t="shared" ref="D965:D989" si="30">(C965-C964)/C964</f>
        <v>-1.2623165872400584E-2</v>
      </c>
      <c r="F965" s="97">
        <v>46073</v>
      </c>
      <c r="G965" s="98">
        <v>25571.25</v>
      </c>
      <c r="H965" s="99">
        <f t="shared" ref="H965:H989" si="31">(G965-G964)/G964</f>
        <v>4.5925506806877847E-3</v>
      </c>
    </row>
    <row r="966" spans="2:8" x14ac:dyDescent="0.3">
      <c r="B966" s="103">
        <v>46076</v>
      </c>
      <c r="C966" s="105">
        <v>1327.5</v>
      </c>
      <c r="D966" s="106">
        <f t="shared" si="30"/>
        <v>-1.8991983519965967E-2</v>
      </c>
      <c r="F966" s="97">
        <v>46076</v>
      </c>
      <c r="G966" s="98">
        <v>25713</v>
      </c>
      <c r="H966" s="100">
        <f t="shared" si="31"/>
        <v>5.5433347998240208E-3</v>
      </c>
    </row>
    <row r="967" spans="2:8" x14ac:dyDescent="0.3">
      <c r="B967" s="103">
        <v>46077</v>
      </c>
      <c r="C967" s="105">
        <v>1275.5</v>
      </c>
      <c r="D967" s="106">
        <f t="shared" si="30"/>
        <v>-3.9171374764595104E-2</v>
      </c>
      <c r="F967" s="97">
        <v>46077</v>
      </c>
      <c r="G967" s="98">
        <v>25424.650390625</v>
      </c>
      <c r="H967" s="99">
        <f t="shared" si="31"/>
        <v>-1.1214156627970288E-2</v>
      </c>
    </row>
    <row r="968" spans="2:8" x14ac:dyDescent="0.3">
      <c r="B968" s="103">
        <v>46078</v>
      </c>
      <c r="C968" s="105">
        <v>1290.099975585938</v>
      </c>
      <c r="D968" s="106">
        <f t="shared" si="30"/>
        <v>1.1446472431154806E-2</v>
      </c>
      <c r="F968" s="97">
        <v>46078</v>
      </c>
      <c r="G968" s="98">
        <v>25482.5</v>
      </c>
      <c r="H968" s="100">
        <f t="shared" si="31"/>
        <v>2.2753354908011348E-3</v>
      </c>
    </row>
    <row r="969" spans="2:8" x14ac:dyDescent="0.3">
      <c r="B969" s="103">
        <v>46079</v>
      </c>
      <c r="C969" s="105">
        <v>1289.099975585938</v>
      </c>
      <c r="D969" s="106">
        <f t="shared" si="30"/>
        <v>-7.7513372523382905E-4</v>
      </c>
      <c r="F969" s="97">
        <v>46079</v>
      </c>
      <c r="G969" s="98">
        <v>25496.55078125</v>
      </c>
      <c r="H969" s="99">
        <f t="shared" si="31"/>
        <v>5.5138943392524285E-4</v>
      </c>
    </row>
    <row r="970" spans="2:8" x14ac:dyDescent="0.3">
      <c r="B970" s="103">
        <v>46080</v>
      </c>
      <c r="C970" s="105">
        <v>1300.099975585938</v>
      </c>
      <c r="D970" s="106">
        <f t="shared" si="30"/>
        <v>8.5330852597372379E-3</v>
      </c>
      <c r="F970" s="97">
        <v>46080</v>
      </c>
      <c r="G970" s="98">
        <v>25178.650390625</v>
      </c>
      <c r="H970" s="100">
        <f t="shared" si="31"/>
        <v>-1.2468368500212268E-2</v>
      </c>
    </row>
    <row r="971" spans="2:8" x14ac:dyDescent="0.3">
      <c r="B971" s="103">
        <v>46083</v>
      </c>
      <c r="C971" s="105">
        <v>1288.900024414062</v>
      </c>
      <c r="D971" s="106">
        <f t="shared" si="30"/>
        <v>-8.6146845490311149E-3</v>
      </c>
      <c r="F971" s="97">
        <v>46083</v>
      </c>
      <c r="G971" s="98">
        <v>24865.69921875</v>
      </c>
      <c r="H971" s="99">
        <f t="shared" si="31"/>
        <v>-1.2429227421638295E-2</v>
      </c>
    </row>
    <row r="972" spans="2:8" x14ac:dyDescent="0.3">
      <c r="B972" s="103">
        <v>46085</v>
      </c>
      <c r="C972" s="105">
        <v>1307.400024414062</v>
      </c>
      <c r="D972" s="106">
        <f t="shared" si="30"/>
        <v>1.4353324268428157E-2</v>
      </c>
      <c r="F972" s="97">
        <v>46085</v>
      </c>
      <c r="G972" s="98">
        <v>24480.5</v>
      </c>
      <c r="H972" s="100">
        <f t="shared" si="31"/>
        <v>-1.5491187895474108E-2</v>
      </c>
    </row>
    <row r="973" spans="2:8" x14ac:dyDescent="0.3">
      <c r="B973" s="103">
        <v>46086</v>
      </c>
      <c r="C973" s="105">
        <v>1305.800048828125</v>
      </c>
      <c r="D973" s="106">
        <f t="shared" si="30"/>
        <v>-1.2237842711178676E-3</v>
      </c>
      <c r="F973" s="97">
        <v>46086</v>
      </c>
      <c r="G973" s="98">
        <v>24765.900390625</v>
      </c>
      <c r="H973" s="99">
        <f t="shared" si="31"/>
        <v>1.165827457057658E-2</v>
      </c>
    </row>
    <row r="974" spans="2:8" x14ac:dyDescent="0.3">
      <c r="B974" s="103">
        <v>46087</v>
      </c>
      <c r="C974" s="105">
        <v>1308.400024414062</v>
      </c>
      <c r="D974" s="106">
        <f t="shared" si="30"/>
        <v>1.9910977858136575E-3</v>
      </c>
      <c r="F974" s="97">
        <v>46087</v>
      </c>
      <c r="G974" s="98">
        <v>24450.44921875</v>
      </c>
      <c r="H974" s="100">
        <f t="shared" si="31"/>
        <v>-1.273731893044407E-2</v>
      </c>
    </row>
    <row r="975" spans="2:8" x14ac:dyDescent="0.3">
      <c r="B975" s="103">
        <v>46090</v>
      </c>
      <c r="C975" s="105">
        <v>1315</v>
      </c>
      <c r="D975" s="106">
        <f t="shared" si="30"/>
        <v>5.0443101977880253E-3</v>
      </c>
      <c r="F975" s="97">
        <v>46090</v>
      </c>
      <c r="G975" s="98">
        <v>24028.05078125</v>
      </c>
      <c r="H975" s="99">
        <f t="shared" si="31"/>
        <v>-1.7275692308183883E-2</v>
      </c>
    </row>
    <row r="976" spans="2:8" x14ac:dyDescent="0.3">
      <c r="B976" s="103">
        <v>46091</v>
      </c>
      <c r="C976" s="105">
        <v>1295.599975585938</v>
      </c>
      <c r="D976" s="106">
        <f t="shared" si="30"/>
        <v>-1.4752870276853266E-2</v>
      </c>
      <c r="F976" s="97">
        <v>46091</v>
      </c>
      <c r="G976" s="98">
        <v>24261.599609375</v>
      </c>
      <c r="H976" s="100">
        <f t="shared" si="31"/>
        <v>9.7198407915488096E-3</v>
      </c>
    </row>
    <row r="977" spans="2:8" x14ac:dyDescent="0.3">
      <c r="B977" s="103">
        <v>46092</v>
      </c>
      <c r="C977" s="105">
        <v>1276.300048828125</v>
      </c>
      <c r="D977" s="106">
        <f t="shared" si="30"/>
        <v>-1.4896516765589255E-2</v>
      </c>
      <c r="F977" s="97">
        <v>46092</v>
      </c>
      <c r="G977" s="98">
        <v>23866.849609375</v>
      </c>
      <c r="H977" s="99">
        <f t="shared" si="31"/>
        <v>-1.6270567743087452E-2</v>
      </c>
    </row>
    <row r="978" spans="2:8" x14ac:dyDescent="0.3">
      <c r="B978" s="103">
        <v>46093</v>
      </c>
      <c r="C978" s="105">
        <v>1265.800048828125</v>
      </c>
      <c r="D978" s="106">
        <f t="shared" si="30"/>
        <v>-8.2269055851254616E-3</v>
      </c>
      <c r="F978" s="97">
        <v>46093</v>
      </c>
      <c r="G978" s="98">
        <v>23639.150390625</v>
      </c>
      <c r="H978" s="100">
        <f t="shared" si="31"/>
        <v>-9.5403969303329752E-3</v>
      </c>
    </row>
    <row r="979" spans="2:8" x14ac:dyDescent="0.3">
      <c r="B979" s="103">
        <v>46094</v>
      </c>
      <c r="C979" s="105">
        <v>1248.300048828125</v>
      </c>
      <c r="D979" s="106">
        <f t="shared" si="30"/>
        <v>-1.3825248321171628E-2</v>
      </c>
      <c r="F979" s="97">
        <v>46094</v>
      </c>
      <c r="G979" s="98">
        <v>23151.099609375</v>
      </c>
      <c r="H979" s="99">
        <f t="shared" si="31"/>
        <v>-2.0645868112229408E-2</v>
      </c>
    </row>
    <row r="980" spans="2:8" x14ac:dyDescent="0.3">
      <c r="B980" s="103">
        <v>46097</v>
      </c>
      <c r="C980" s="105">
        <v>1249.800048828125</v>
      </c>
      <c r="D980" s="106">
        <f t="shared" si="30"/>
        <v>1.2016341755398993E-3</v>
      </c>
      <c r="F980" s="97">
        <v>46097</v>
      </c>
      <c r="G980" s="98">
        <v>23408.80078125</v>
      </c>
      <c r="H980" s="100">
        <f t="shared" si="31"/>
        <v>1.1131271353117254E-2</v>
      </c>
    </row>
    <row r="981" spans="2:8" x14ac:dyDescent="0.3">
      <c r="B981" s="103">
        <v>46098</v>
      </c>
      <c r="C981" s="105">
        <v>1232.900024414062</v>
      </c>
      <c r="D981" s="106">
        <f t="shared" si="30"/>
        <v>-1.3522182552248468E-2</v>
      </c>
      <c r="F981" s="97">
        <v>46098</v>
      </c>
      <c r="G981" s="98">
        <v>23581.150390625</v>
      </c>
      <c r="H981" s="99">
        <f t="shared" si="31"/>
        <v>7.3625988356075351E-3</v>
      </c>
    </row>
    <row r="982" spans="2:8" x14ac:dyDescent="0.3">
      <c r="B982" s="103">
        <v>46099</v>
      </c>
      <c r="C982" s="105">
        <v>1267.099975585938</v>
      </c>
      <c r="D982" s="106">
        <f t="shared" si="30"/>
        <v>2.7739435878533215E-2</v>
      </c>
      <c r="F982" s="97">
        <v>46099</v>
      </c>
      <c r="G982" s="98">
        <v>23777.80078125</v>
      </c>
      <c r="H982" s="100">
        <f t="shared" si="31"/>
        <v>8.339304375208979E-3</v>
      </c>
    </row>
    <row r="983" spans="2:8" x14ac:dyDescent="0.3">
      <c r="B983" s="103">
        <v>46100</v>
      </c>
      <c r="C983" s="105">
        <v>1220.800048828125</v>
      </c>
      <c r="D983" s="106">
        <f t="shared" si="30"/>
        <v>-3.6540073908850591E-2</v>
      </c>
      <c r="F983" s="97">
        <v>46100</v>
      </c>
      <c r="G983" s="98">
        <v>23002.150390625</v>
      </c>
      <c r="H983" s="99">
        <f t="shared" si="31"/>
        <v>-3.2620779262169594E-2</v>
      </c>
    </row>
    <row r="984" spans="2:8" x14ac:dyDescent="0.3">
      <c r="B984" s="103">
        <v>46101</v>
      </c>
      <c r="C984" s="105">
        <v>1255.900024414062</v>
      </c>
      <c r="D984" s="106">
        <f t="shared" si="30"/>
        <v>2.8751617121600171E-2</v>
      </c>
      <c r="F984" s="97">
        <v>46101</v>
      </c>
      <c r="G984" s="98">
        <v>23114.5</v>
      </c>
      <c r="H984" s="100">
        <f t="shared" si="31"/>
        <v>4.8843089653387538E-3</v>
      </c>
    </row>
    <row r="985" spans="2:8" x14ac:dyDescent="0.3">
      <c r="B985" s="103">
        <v>46104</v>
      </c>
      <c r="C985" s="105">
        <v>1256.800048828125</v>
      </c>
      <c r="D985" s="106">
        <f t="shared" si="30"/>
        <v>7.166369906576438E-4</v>
      </c>
      <c r="F985" s="97">
        <v>46104</v>
      </c>
      <c r="G985" s="98">
        <v>22512.650390625</v>
      </c>
      <c r="H985" s="99">
        <f t="shared" si="31"/>
        <v>-2.6037751600726817E-2</v>
      </c>
    </row>
    <row r="986" spans="2:8" x14ac:dyDescent="0.3">
      <c r="B986" s="103">
        <v>46105</v>
      </c>
      <c r="C986" s="105">
        <v>1278.300048828125</v>
      </c>
      <c r="D986" s="106">
        <f t="shared" si="30"/>
        <v>1.7106937591263777E-2</v>
      </c>
      <c r="F986" s="97">
        <v>46105</v>
      </c>
      <c r="G986" s="98">
        <v>22912.400390625</v>
      </c>
      <c r="H986" s="100">
        <f t="shared" si="31"/>
        <v>1.7756683156527359E-2</v>
      </c>
    </row>
    <row r="987" spans="2:8" x14ac:dyDescent="0.3">
      <c r="B987" s="103">
        <v>46106</v>
      </c>
      <c r="C987" s="105">
        <v>1279.099975585938</v>
      </c>
      <c r="D987" s="106">
        <f t="shared" si="30"/>
        <v>6.2577386157990327E-4</v>
      </c>
      <c r="F987" s="97">
        <v>46106</v>
      </c>
      <c r="G987" s="98">
        <v>23306.44921875</v>
      </c>
      <c r="H987" s="99">
        <f t="shared" si="31"/>
        <v>1.719805962740734E-2</v>
      </c>
    </row>
    <row r="988" spans="2:8" x14ac:dyDescent="0.3">
      <c r="B988" s="103">
        <v>46108</v>
      </c>
      <c r="C988" s="105">
        <v>1269.699951171875</v>
      </c>
      <c r="D988" s="106">
        <f t="shared" si="30"/>
        <v>-7.348936434587088E-3</v>
      </c>
      <c r="F988" s="97">
        <v>46108</v>
      </c>
      <c r="G988" s="98">
        <v>22819.599609375</v>
      </c>
      <c r="H988" s="100">
        <f t="shared" si="31"/>
        <v>-2.0889051129389984E-2</v>
      </c>
    </row>
    <row r="989" spans="2:8" x14ac:dyDescent="0.3">
      <c r="B989" s="103">
        <v>46111</v>
      </c>
      <c r="C989" s="105">
        <v>1250.599975585938</v>
      </c>
      <c r="D989" s="106">
        <f t="shared" si="30"/>
        <v>-1.5042904875524836E-2</v>
      </c>
      <c r="F989" s="97">
        <v>46111</v>
      </c>
      <c r="G989" s="98">
        <v>22331.400390625</v>
      </c>
      <c r="H989" s="99">
        <f t="shared" si="31"/>
        <v>-2.1393855593742871E-2</v>
      </c>
    </row>
  </sheetData>
  <mergeCells count="2">
    <mergeCell ref="B2:C2"/>
    <mergeCell ref="F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M26"/>
  <sheetViews>
    <sheetView showGridLines="0" workbookViewId="0">
      <selection activeCell="M19" sqref="M19"/>
    </sheetView>
  </sheetViews>
  <sheetFormatPr defaultColWidth="8.6640625" defaultRowHeight="14.4" x14ac:dyDescent="0.3"/>
  <cols>
    <col min="1" max="1" width="1.88671875" customWidth="1"/>
    <col min="2" max="2" width="32.33203125" bestFit="1" customWidth="1"/>
    <col min="3" max="3" width="9.109375" bestFit="1" customWidth="1"/>
    <col min="4" max="4" width="6.21875" bestFit="1" customWidth="1"/>
    <col min="5" max="5" width="20.77734375" bestFit="1" customWidth="1"/>
    <col min="6" max="6" width="6.21875" bestFit="1" customWidth="1"/>
    <col min="9" max="9" width="1.5546875" bestFit="1" customWidth="1"/>
  </cols>
  <sheetData>
    <row r="2" spans="2:13" ht="17.399999999999999" customHeight="1" x14ac:dyDescent="0.35">
      <c r="B2" s="144" t="s">
        <v>224</v>
      </c>
      <c r="C2" s="110"/>
      <c r="D2" s="110"/>
      <c r="E2" s="110"/>
      <c r="F2" s="110"/>
      <c r="G2" s="110"/>
      <c r="H2" s="110"/>
      <c r="I2" s="110"/>
      <c r="J2" s="110"/>
      <c r="K2" s="110"/>
      <c r="L2" s="110"/>
      <c r="M2" s="110"/>
    </row>
    <row r="3" spans="2:13" ht="15.6" customHeight="1" x14ac:dyDescent="0.3">
      <c r="B3" s="111"/>
      <c r="C3" s="111"/>
      <c r="D3" s="111"/>
    </row>
    <row r="5" spans="2:13" ht="19.5" customHeight="1" x14ac:dyDescent="0.3">
      <c r="B5" s="287" t="s">
        <v>225</v>
      </c>
      <c r="C5" s="288"/>
      <c r="D5" s="112"/>
      <c r="E5" s="112"/>
      <c r="F5" s="112"/>
    </row>
    <row r="6" spans="2:13" ht="15.75" customHeight="1" x14ac:dyDescent="0.3">
      <c r="B6" s="113" t="s">
        <v>226</v>
      </c>
      <c r="C6" s="114">
        <f>'Consolidated FS'!R37+'Consolidated FS'!R38+'Consolidated FS'!R44+'Consolidated FS'!R45-'Consolidated FS'!R23</f>
        <v>2477</v>
      </c>
    </row>
    <row r="7" spans="2:13" ht="15.75" customHeight="1" x14ac:dyDescent="0.3">
      <c r="B7" s="113" t="s">
        <v>227</v>
      </c>
      <c r="C7" s="114">
        <f>'Consolidated FS'!R33</f>
        <v>92852</v>
      </c>
    </row>
    <row r="8" spans="2:13" ht="15.75" customHeight="1" x14ac:dyDescent="0.3">
      <c r="B8" s="115" t="s">
        <v>228</v>
      </c>
      <c r="C8" s="116">
        <f>SUM(C6:C7)</f>
        <v>95329</v>
      </c>
    </row>
    <row r="9" spans="2:13" ht="15.75" customHeight="1" x14ac:dyDescent="0.3">
      <c r="B9" s="117" t="s">
        <v>229</v>
      </c>
      <c r="C9" s="118">
        <f>C6/C8</f>
        <v>2.5983698559724742E-2</v>
      </c>
    </row>
    <row r="10" spans="2:13" ht="15.75" customHeight="1" x14ac:dyDescent="0.3">
      <c r="B10" s="117" t="s">
        <v>230</v>
      </c>
      <c r="C10" s="118">
        <f>C7/C8</f>
        <v>0.97401630144027529</v>
      </c>
      <c r="I10" s="119" t="s">
        <v>231</v>
      </c>
    </row>
    <row r="11" spans="2:13" ht="15.75" customHeight="1" x14ac:dyDescent="0.3">
      <c r="B11" s="120" t="s">
        <v>232</v>
      </c>
      <c r="C11" s="121">
        <f>C6/C7</f>
        <v>2.6676862103131867E-2</v>
      </c>
    </row>
    <row r="12" spans="2:13" ht="15.75" customHeight="1" x14ac:dyDescent="0.3">
      <c r="B12" s="122"/>
      <c r="C12" s="123"/>
    </row>
    <row r="13" spans="2:13" ht="15.75" customHeight="1" x14ac:dyDescent="0.3">
      <c r="B13" s="122"/>
      <c r="C13" s="123"/>
    </row>
    <row r="15" spans="2:13" ht="19.5" customHeight="1" x14ac:dyDescent="0.3">
      <c r="B15" s="287" t="s">
        <v>233</v>
      </c>
      <c r="C15" s="288"/>
      <c r="E15" s="285" t="s">
        <v>234</v>
      </c>
      <c r="F15" s="286"/>
    </row>
    <row r="16" spans="2:13" ht="15.75" customHeight="1" x14ac:dyDescent="0.3">
      <c r="B16" s="117" t="s">
        <v>235</v>
      </c>
      <c r="C16" s="124">
        <v>6.6000000000000003E-2</v>
      </c>
      <c r="E16" s="125" t="s">
        <v>236</v>
      </c>
      <c r="F16" s="126" t="s">
        <v>237</v>
      </c>
    </row>
    <row r="17" spans="2:6" ht="15.75" customHeight="1" x14ac:dyDescent="0.3">
      <c r="B17" s="117" t="s">
        <v>238</v>
      </c>
      <c r="C17" s="127">
        <f>BETA!K5</f>
        <v>1.0114780117561601</v>
      </c>
      <c r="E17" s="117" t="s">
        <v>239</v>
      </c>
      <c r="F17" s="128">
        <f>'Consolidated FS'!G17/C6</f>
        <v>0.16794509487283005</v>
      </c>
    </row>
    <row r="18" spans="2:6" ht="15.75" customHeight="1" x14ac:dyDescent="0.3">
      <c r="B18" s="129" t="s">
        <v>240</v>
      </c>
      <c r="C18" s="124">
        <v>7.0000000000000007E-2</v>
      </c>
      <c r="E18" s="129" t="s">
        <v>241</v>
      </c>
      <c r="F18" s="124">
        <f>'Assumptions '!I42</f>
        <v>0.22564179552619726</v>
      </c>
    </row>
    <row r="19" spans="2:6" ht="15.75" customHeight="1" x14ac:dyDescent="0.3">
      <c r="B19" s="130" t="s">
        <v>242</v>
      </c>
      <c r="C19" s="131">
        <f>C16+C17*C18</f>
        <v>0.13680346082293121</v>
      </c>
      <c r="E19" s="132" t="s">
        <v>243</v>
      </c>
      <c r="F19" s="133">
        <f>F17*(1-F18)</f>
        <v>0.13004966211590713</v>
      </c>
    </row>
    <row r="20" spans="2:6" ht="15.75" customHeight="1" x14ac:dyDescent="0.3">
      <c r="B20" s="122"/>
      <c r="C20" s="123"/>
      <c r="E20" s="122"/>
      <c r="F20" s="123"/>
    </row>
    <row r="21" spans="2:6" ht="15.75" customHeight="1" x14ac:dyDescent="0.3">
      <c r="B21" s="122"/>
      <c r="C21" s="123"/>
      <c r="E21" s="122"/>
      <c r="F21" s="123"/>
    </row>
    <row r="22" spans="2:6" ht="19.5" customHeight="1" x14ac:dyDescent="0.3">
      <c r="B22" s="289" t="s">
        <v>244</v>
      </c>
      <c r="C22" s="290"/>
      <c r="D22" s="290"/>
      <c r="E22" s="286"/>
      <c r="F22" s="134"/>
    </row>
    <row r="23" spans="2:6" x14ac:dyDescent="0.3">
      <c r="B23" s="135" t="s">
        <v>236</v>
      </c>
      <c r="C23" s="136" t="s">
        <v>245</v>
      </c>
      <c r="D23" s="136" t="s">
        <v>237</v>
      </c>
      <c r="E23" s="137" t="s">
        <v>246</v>
      </c>
      <c r="F23" s="138"/>
    </row>
    <row r="24" spans="2:6" ht="15.75" customHeight="1" x14ac:dyDescent="0.3">
      <c r="B24" s="125" t="s">
        <v>247</v>
      </c>
      <c r="C24" s="118">
        <f>C9</f>
        <v>2.5983698559724742E-2</v>
      </c>
      <c r="D24" s="118">
        <f>F19</f>
        <v>0.13004966211590713</v>
      </c>
      <c r="E24" s="118">
        <f>C24*D24</f>
        <v>3.3791712182137854E-3</v>
      </c>
      <c r="F24" s="123"/>
    </row>
    <row r="25" spans="2:6" ht="15" customHeight="1" thickBot="1" x14ac:dyDescent="0.35">
      <c r="B25" s="125" t="s">
        <v>138</v>
      </c>
      <c r="C25" s="118">
        <f>C10</f>
        <v>0.97401630144027529</v>
      </c>
      <c r="D25" s="118">
        <f>C19</f>
        <v>0.13680346082293121</v>
      </c>
      <c r="E25" s="118">
        <f>C25*D25</f>
        <v>0.13324880093498107</v>
      </c>
      <c r="F25" s="123"/>
    </row>
    <row r="26" spans="2:6" ht="15" customHeight="1" thickBot="1" x14ac:dyDescent="0.35">
      <c r="B26" s="139" t="s">
        <v>244</v>
      </c>
      <c r="C26" s="140"/>
      <c r="D26" s="141"/>
      <c r="E26" s="142">
        <f>SUM(E24:E25)</f>
        <v>0.13662797215319486</v>
      </c>
      <c r="F26" s="143"/>
    </row>
  </sheetData>
  <mergeCells count="4">
    <mergeCell ref="E15:F15"/>
    <mergeCell ref="B5:C5"/>
    <mergeCell ref="B22:E22"/>
    <mergeCell ref="B15:C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
  <sheetViews>
    <sheetView showGridLines="0" workbookViewId="0">
      <selection activeCell="C3" sqref="C3:G3"/>
    </sheetView>
  </sheetViews>
  <sheetFormatPr defaultColWidth="8.77734375" defaultRowHeight="14.4" x14ac:dyDescent="0.3"/>
  <cols>
    <col min="1" max="1" width="0.88671875" customWidth="1"/>
    <col min="2" max="2" width="39.77734375" bestFit="1" customWidth="1"/>
    <col min="3" max="7" width="9" bestFit="1" customWidth="1"/>
    <col min="8" max="8" width="10.77734375" customWidth="1"/>
    <col min="9" max="9" width="11" customWidth="1"/>
    <col min="10" max="10" width="9.6640625" customWidth="1"/>
  </cols>
  <sheetData>
    <row r="1" spans="1:7" ht="15" customHeight="1" thickBot="1" x14ac:dyDescent="0.35"/>
    <row r="2" spans="1:7" ht="18" customHeight="1" x14ac:dyDescent="0.3">
      <c r="A2" s="145"/>
      <c r="B2" s="291" t="s">
        <v>248</v>
      </c>
      <c r="C2" s="292"/>
      <c r="D2" s="292"/>
      <c r="E2" s="292"/>
      <c r="F2" s="292"/>
      <c r="G2" s="293"/>
    </row>
    <row r="3" spans="1:7" x14ac:dyDescent="0.3">
      <c r="A3" s="145"/>
      <c r="B3" s="146" t="s">
        <v>249</v>
      </c>
      <c r="C3" s="318">
        <v>2022</v>
      </c>
      <c r="D3" s="318">
        <f>C3+1</f>
        <v>2023</v>
      </c>
      <c r="E3" s="318">
        <f t="shared" ref="E3:G3" si="0">D3+1</f>
        <v>2024</v>
      </c>
      <c r="F3" s="318">
        <f t="shared" si="0"/>
        <v>2025</v>
      </c>
      <c r="G3" s="318">
        <f t="shared" si="0"/>
        <v>2026</v>
      </c>
    </row>
    <row r="4" spans="1:7" ht="14.25" customHeight="1" x14ac:dyDescent="0.3">
      <c r="A4" s="145"/>
      <c r="B4" s="147" t="s">
        <v>250</v>
      </c>
      <c r="C4" s="148"/>
      <c r="D4" s="148">
        <f>C8</f>
        <v>13075</v>
      </c>
      <c r="E4" s="148">
        <f>D8</f>
        <v>13346</v>
      </c>
      <c r="F4" s="148">
        <f>E8</f>
        <v>12370</v>
      </c>
      <c r="G4" s="149">
        <f>F8</f>
        <v>11778</v>
      </c>
    </row>
    <row r="5" spans="1:7" ht="14.25" customHeight="1" x14ac:dyDescent="0.3">
      <c r="A5" s="145"/>
      <c r="B5" s="150" t="s">
        <v>251</v>
      </c>
      <c r="C5" s="151"/>
      <c r="D5" s="151">
        <f>D6-D4</f>
        <v>4289</v>
      </c>
      <c r="E5" s="151">
        <f>E6-E4</f>
        <v>3540</v>
      </c>
      <c r="F5" s="151">
        <f>F6-F4</f>
        <v>4220</v>
      </c>
      <c r="G5" s="152">
        <f>G6-G4</f>
        <v>5775</v>
      </c>
    </row>
    <row r="6" spans="1:7" ht="14.25" customHeight="1" x14ac:dyDescent="0.3">
      <c r="A6" s="145"/>
      <c r="B6" s="153" t="s">
        <v>252</v>
      </c>
      <c r="C6" s="154">
        <f>C7+C8</f>
        <v>16551</v>
      </c>
      <c r="D6" s="154">
        <f>D7+D8</f>
        <v>17364</v>
      </c>
      <c r="E6" s="154">
        <f>E7+E8</f>
        <v>16886</v>
      </c>
      <c r="F6" s="154">
        <f>F7+F8</f>
        <v>16590</v>
      </c>
      <c r="G6" s="155">
        <f>G7+G8</f>
        <v>17553</v>
      </c>
    </row>
    <row r="7" spans="1:7" ht="14.25" customHeight="1" x14ac:dyDescent="0.3">
      <c r="A7" s="145"/>
      <c r="B7" s="156" t="s">
        <v>253</v>
      </c>
      <c r="C7" s="157">
        <f>'Consolidated FS'!C16</f>
        <v>3476</v>
      </c>
      <c r="D7" s="157">
        <f>'Consolidated FS'!D16</f>
        <v>4018</v>
      </c>
      <c r="E7" s="157">
        <f>'Consolidated FS'!E16</f>
        <v>4516</v>
      </c>
      <c r="F7" s="157">
        <f>'Consolidated FS'!F16</f>
        <v>4812</v>
      </c>
      <c r="G7" s="157">
        <f>'Consolidated FS'!G16</f>
        <v>4902</v>
      </c>
    </row>
    <row r="8" spans="1:7" ht="15" customHeight="1" thickBot="1" x14ac:dyDescent="0.35">
      <c r="A8" s="145"/>
      <c r="B8" s="158" t="s">
        <v>254</v>
      </c>
      <c r="C8" s="159">
        <f>'Consolidated FS'!N8</f>
        <v>13075</v>
      </c>
      <c r="D8" s="159">
        <f>'Consolidated FS'!O8</f>
        <v>13346</v>
      </c>
      <c r="E8" s="159">
        <f>'Consolidated FS'!P8</f>
        <v>12370</v>
      </c>
      <c r="F8" s="159">
        <f>'Consolidated FS'!Q8</f>
        <v>11778</v>
      </c>
      <c r="G8" s="159">
        <f>'Consolidated FS'!R8</f>
        <v>12651</v>
      </c>
    </row>
    <row r="9" spans="1:7" ht="15" customHeight="1" thickTop="1" thickBot="1" x14ac:dyDescent="0.35">
      <c r="A9" s="145"/>
      <c r="B9" s="160"/>
      <c r="C9" s="161"/>
      <c r="D9" s="161"/>
      <c r="E9" s="161"/>
      <c r="F9" s="161"/>
      <c r="G9" s="161"/>
    </row>
    <row r="10" spans="1:7" ht="14.25" customHeight="1" x14ac:dyDescent="0.3">
      <c r="A10" s="145"/>
      <c r="B10" s="162" t="s">
        <v>255</v>
      </c>
      <c r="C10" s="163"/>
      <c r="D10" s="163">
        <f>D5-D7</f>
        <v>271</v>
      </c>
      <c r="E10" s="163">
        <f>E5-E7</f>
        <v>-976</v>
      </c>
      <c r="F10" s="163">
        <f>F5-F7</f>
        <v>-592</v>
      </c>
      <c r="G10" s="164">
        <f>G5-G7</f>
        <v>873</v>
      </c>
    </row>
    <row r="11" spans="1:7" ht="15" customHeight="1" thickBot="1" x14ac:dyDescent="0.35">
      <c r="A11" s="145"/>
      <c r="B11" s="165" t="s">
        <v>256</v>
      </c>
      <c r="C11" s="166"/>
      <c r="D11" s="166">
        <f>IFERROR(D10/D4,0)</f>
        <v>2.0726577437858509E-2</v>
      </c>
      <c r="E11" s="166">
        <f>IFERROR(E10/E4,0)</f>
        <v>-7.313052600029972E-2</v>
      </c>
      <c r="F11" s="166">
        <f>IFERROR(F10/F4,0)</f>
        <v>-4.7857720291026674E-2</v>
      </c>
      <c r="G11" s="167">
        <f>IFERROR(G10/G4,0)</f>
        <v>7.4121242995415185E-2</v>
      </c>
    </row>
    <row r="12" spans="1:7" ht="15" customHeight="1" thickBot="1" x14ac:dyDescent="0.35">
      <c r="A12" s="145"/>
      <c r="B12" s="160"/>
      <c r="C12" s="161"/>
      <c r="D12" s="161"/>
      <c r="E12" s="161"/>
      <c r="F12" s="161"/>
      <c r="G12" s="161"/>
    </row>
    <row r="13" spans="1:7" ht="14.25" customHeight="1" x14ac:dyDescent="0.3">
      <c r="A13" s="145"/>
      <c r="B13" s="168" t="s">
        <v>257</v>
      </c>
      <c r="C13" s="169">
        <f>MEDIAN(D11:G11)</f>
        <v>-1.3565571426584079E-2</v>
      </c>
      <c r="D13" s="161"/>
      <c r="E13" s="161"/>
      <c r="F13" s="161"/>
      <c r="G13" s="161"/>
    </row>
    <row r="14" spans="1:7" ht="15" customHeight="1" thickBot="1" x14ac:dyDescent="0.35">
      <c r="A14" s="145"/>
      <c r="B14" s="165" t="s">
        <v>258</v>
      </c>
      <c r="C14" s="167">
        <f>AVERAGE(D11:G11)</f>
        <v>-6.5351064645131733E-3</v>
      </c>
      <c r="D14" s="161"/>
      <c r="E14" s="161"/>
      <c r="F14" s="161"/>
      <c r="G14" s="161"/>
    </row>
  </sheetData>
  <mergeCells count="1">
    <mergeCell ref="B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12"/>
  <sheetViews>
    <sheetView showGridLines="0" workbookViewId="0">
      <selection activeCell="C3" sqref="C3:G3"/>
    </sheetView>
  </sheetViews>
  <sheetFormatPr defaultColWidth="8.77734375" defaultRowHeight="14.4" x14ac:dyDescent="0.3"/>
  <cols>
    <col min="2" max="2" width="46" bestFit="1" customWidth="1"/>
    <col min="3" max="7" width="9" bestFit="1" customWidth="1"/>
    <col min="8" max="8" width="11.33203125" customWidth="1"/>
  </cols>
  <sheetData>
    <row r="2" spans="2:7" ht="15.6" customHeight="1" x14ac:dyDescent="0.3">
      <c r="B2" s="176" t="s">
        <v>259</v>
      </c>
      <c r="C2" s="111"/>
      <c r="D2" s="111"/>
    </row>
    <row r="3" spans="2:7" ht="14.25" customHeight="1" x14ac:dyDescent="0.3">
      <c r="B3" s="170" t="s">
        <v>249</v>
      </c>
      <c r="C3" s="318">
        <v>2022</v>
      </c>
      <c r="D3" s="318">
        <f>C3+1</f>
        <v>2023</v>
      </c>
      <c r="E3" s="318">
        <f t="shared" ref="E3:G3" si="0">D3+1</f>
        <v>2024</v>
      </c>
      <c r="F3" s="318">
        <f t="shared" si="0"/>
        <v>2025</v>
      </c>
      <c r="G3" s="318">
        <f t="shared" si="0"/>
        <v>2026</v>
      </c>
    </row>
    <row r="4" spans="2:7" ht="14.25" customHeight="1" x14ac:dyDescent="0.3">
      <c r="B4" s="6" t="s">
        <v>260</v>
      </c>
      <c r="C4" s="171">
        <f>('Consolidated FS'!N22/'Consolidated FS'!C9)*365</f>
        <v>73.626710560289183</v>
      </c>
      <c r="D4" s="171">
        <f>('Consolidated FS'!O22/'Consolidated FS'!D9)*365</f>
        <v>65.686299714630948</v>
      </c>
      <c r="E4" s="171">
        <f>('Consolidated FS'!P22/'Consolidated FS'!E9)*365</f>
        <v>66.370474533739838</v>
      </c>
      <c r="F4" s="171">
        <f>('Consolidated FS'!Q22/'Consolidated FS'!F9)*365</f>
        <v>68.267423014586711</v>
      </c>
      <c r="G4" s="171">
        <f>('Consolidated FS'!R22/'Consolidated FS'!G9)*365</f>
        <v>70.286218656406447</v>
      </c>
    </row>
    <row r="5" spans="2:7" ht="14.25" customHeight="1" x14ac:dyDescent="0.3">
      <c r="B5" s="6" t="s">
        <v>261</v>
      </c>
      <c r="C5" s="171">
        <f>'Consolidated FS'!N22</f>
        <v>25000</v>
      </c>
      <c r="D5" s="171">
        <f>'Consolidated FS'!O22</f>
        <v>28000</v>
      </c>
      <c r="E5" s="171">
        <f>'Consolidated FS'!P22</f>
        <v>30000</v>
      </c>
      <c r="F5" s="171">
        <f>'Consolidated FS'!Q22</f>
        <v>31158</v>
      </c>
      <c r="G5" s="171">
        <f>'Consolidated FS'!R22</f>
        <v>35234</v>
      </c>
    </row>
    <row r="6" spans="2:7" ht="14.25" customHeight="1" x14ac:dyDescent="0.3">
      <c r="B6" s="6" t="s">
        <v>262</v>
      </c>
      <c r="C6" s="171">
        <f>'Consolidated FS'!N43</f>
        <v>2800</v>
      </c>
      <c r="D6" s="171">
        <f>'Consolidated FS'!O43</f>
        <v>2800</v>
      </c>
      <c r="E6" s="171">
        <f>'Consolidated FS'!P43</f>
        <v>2800</v>
      </c>
      <c r="F6" s="171">
        <f>'Consolidated FS'!Q43</f>
        <v>3072</v>
      </c>
      <c r="G6" s="171">
        <f>'Consolidated FS'!R43</f>
        <v>3046</v>
      </c>
    </row>
    <row r="7" spans="2:7" ht="14.25" customHeight="1" x14ac:dyDescent="0.3">
      <c r="B7" s="6" t="s">
        <v>263</v>
      </c>
      <c r="C7" s="171">
        <f>C4+C5-C6</f>
        <v>22273.626710560289</v>
      </c>
      <c r="D7" s="171">
        <f>D4+D5-D6</f>
        <v>25265.686299714631</v>
      </c>
      <c r="E7" s="171">
        <f>E4+E5-E6</f>
        <v>27266.370474533738</v>
      </c>
      <c r="F7" s="171">
        <f>F4+F5-F6</f>
        <v>28154.267423014586</v>
      </c>
      <c r="G7" s="171">
        <f>G4+G5-G6</f>
        <v>32258.286218656409</v>
      </c>
    </row>
    <row r="8" spans="2:7" ht="14.25" customHeight="1" x14ac:dyDescent="0.3">
      <c r="B8" s="172" t="s">
        <v>264</v>
      </c>
      <c r="C8" s="171"/>
      <c r="D8" s="171">
        <f>D7-C7</f>
        <v>2992.0595891543417</v>
      </c>
      <c r="E8" s="171">
        <f>E7-D7</f>
        <v>2000.6841748191073</v>
      </c>
      <c r="F8" s="171">
        <f>F7-E7</f>
        <v>887.89694848084764</v>
      </c>
      <c r="G8" s="171">
        <f>G7-F7</f>
        <v>4104.0187956418231</v>
      </c>
    </row>
    <row r="9" spans="2:7" ht="14.25" customHeight="1" x14ac:dyDescent="0.3">
      <c r="B9" s="6" t="s">
        <v>265</v>
      </c>
      <c r="C9" s="173"/>
      <c r="D9" s="173">
        <f>D8/'Consolidated FS'!D7</f>
        <v>1.9598087319493168E-2</v>
      </c>
      <c r="E9" s="173">
        <f>E8/'Consolidated FS'!E7</f>
        <v>1.2347920548671863E-2</v>
      </c>
      <c r="F9" s="173">
        <f>F8/'Consolidated FS'!F7</f>
        <v>5.447554748640086E-3</v>
      </c>
      <c r="G9" s="173">
        <f>G8/'Consolidated FS'!G7</f>
        <v>2.2972397400737886E-2</v>
      </c>
    </row>
    <row r="11" spans="2:7" ht="14.25" customHeight="1" x14ac:dyDescent="0.3">
      <c r="B11" s="6" t="s">
        <v>266</v>
      </c>
      <c r="C11" s="173">
        <f>MEDIAN(D9:G9)</f>
        <v>1.5973003934082516E-2</v>
      </c>
      <c r="D11" s="106"/>
    </row>
    <row r="12" spans="2:7" ht="14.25" customHeight="1" x14ac:dyDescent="0.3">
      <c r="B12" s="6" t="s">
        <v>267</v>
      </c>
      <c r="C12" s="174">
        <f>AVERAGE(D9:G9)</f>
        <v>1.5091490004385751E-2</v>
      </c>
      <c r="D12" s="10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20"/>
  <sheetViews>
    <sheetView showGridLines="0" workbookViewId="0">
      <selection activeCell="C3" sqref="C3:G3"/>
    </sheetView>
  </sheetViews>
  <sheetFormatPr defaultColWidth="8.77734375" defaultRowHeight="14.4" x14ac:dyDescent="0.3"/>
  <cols>
    <col min="2" max="2" width="39.88671875" bestFit="1" customWidth="1"/>
    <col min="3" max="7" width="9.109375" bestFit="1" customWidth="1"/>
    <col min="8" max="8" width="12.109375" customWidth="1"/>
  </cols>
  <sheetData>
    <row r="2" spans="2:7" ht="15.6" customHeight="1" x14ac:dyDescent="0.3">
      <c r="B2" s="176" t="s">
        <v>268</v>
      </c>
      <c r="C2" s="111"/>
      <c r="D2" s="111"/>
    </row>
    <row r="3" spans="2:7" ht="14.25" customHeight="1" x14ac:dyDescent="0.3">
      <c r="B3" s="170" t="s">
        <v>249</v>
      </c>
      <c r="C3" s="318">
        <v>2022</v>
      </c>
      <c r="D3" s="318">
        <f>C3+1</f>
        <v>2023</v>
      </c>
      <c r="E3" s="318">
        <f t="shared" ref="E3:G3" si="0">D3+1</f>
        <v>2024</v>
      </c>
      <c r="F3" s="318">
        <f t="shared" si="0"/>
        <v>2025</v>
      </c>
      <c r="G3" s="318">
        <f t="shared" si="0"/>
        <v>2026</v>
      </c>
    </row>
    <row r="4" spans="2:7" ht="14.25" customHeight="1" x14ac:dyDescent="0.3">
      <c r="B4" s="172" t="s">
        <v>168</v>
      </c>
      <c r="C4" s="175">
        <f>'Assumptions '!E18</f>
        <v>31439</v>
      </c>
      <c r="D4" s="175">
        <f>'Assumptions '!F18</f>
        <v>47792</v>
      </c>
      <c r="E4" s="175">
        <f>'Assumptions '!G18</f>
        <v>49854</v>
      </c>
      <c r="F4" s="175">
        <f>'Assumptions '!H18</f>
        <v>39211</v>
      </c>
      <c r="G4" s="175">
        <f>'Assumptions '!I18</f>
        <v>42721</v>
      </c>
    </row>
    <row r="5" spans="2:7" ht="14.25" customHeight="1" x14ac:dyDescent="0.3">
      <c r="B5" s="6" t="s">
        <v>269</v>
      </c>
      <c r="C5" s="173">
        <f>'Assumptions '!E41</f>
        <v>0.2374903083437705</v>
      </c>
      <c r="D5" s="173">
        <f>'Assumptions '!F41</f>
        <v>0.21783672172808133</v>
      </c>
      <c r="E5" s="173">
        <f>'Assumptions '!G41</f>
        <v>0.21854620342473591</v>
      </c>
      <c r="F5" s="173">
        <f>'Assumptions '!H41</f>
        <v>0.25611510791366904</v>
      </c>
      <c r="G5" s="173">
        <f>'Assumptions '!I41</f>
        <v>0.22564179552619726</v>
      </c>
    </row>
    <row r="6" spans="2:7" ht="14.25" customHeight="1" x14ac:dyDescent="0.3">
      <c r="B6" s="172" t="s">
        <v>270</v>
      </c>
      <c r="C6" s="175">
        <f>C4*(1-C5)</f>
        <v>23972.542195980201</v>
      </c>
      <c r="D6" s="175">
        <f>D4*(1-D5)</f>
        <v>37381.147395171538</v>
      </c>
      <c r="E6" s="175">
        <f>E4*(1-E5)</f>
        <v>38958.597574463216</v>
      </c>
      <c r="F6" s="175">
        <f>F4*(1-F5)</f>
        <v>29168.470503597124</v>
      </c>
      <c r="G6" s="175">
        <f>G4*(1-G5)</f>
        <v>33081.356853325327</v>
      </c>
    </row>
    <row r="7" spans="2:7" ht="14.25" customHeight="1" x14ac:dyDescent="0.3">
      <c r="B7" s="6" t="s">
        <v>271</v>
      </c>
      <c r="C7" s="171">
        <v>0</v>
      </c>
      <c r="D7" s="171">
        <f>'Fixed Asset Schedule '!D10</f>
        <v>271</v>
      </c>
      <c r="E7" s="171">
        <f>'Fixed Asset Schedule '!E10</f>
        <v>-976</v>
      </c>
      <c r="F7" s="171">
        <f>'Fixed Asset Schedule '!F10</f>
        <v>-592</v>
      </c>
      <c r="G7" s="171">
        <f>'Fixed Asset Schedule '!G10</f>
        <v>873</v>
      </c>
    </row>
    <row r="8" spans="2:7" ht="14.25" customHeight="1" x14ac:dyDescent="0.3">
      <c r="B8" s="6" t="s">
        <v>272</v>
      </c>
      <c r="C8" s="171">
        <v>0</v>
      </c>
      <c r="D8" s="171">
        <f>'Change in Working Cap '!D8</f>
        <v>2992.0595891543417</v>
      </c>
      <c r="E8" s="171">
        <f>'Change in Working Cap '!E8</f>
        <v>2000.6841748191073</v>
      </c>
      <c r="F8" s="171">
        <f>'Change in Working Cap '!F8</f>
        <v>887.89694848084764</v>
      </c>
      <c r="G8" s="171">
        <f>'Change in Working Cap '!G8</f>
        <v>4104.0187956418231</v>
      </c>
    </row>
    <row r="9" spans="2:7" ht="14.25" customHeight="1" x14ac:dyDescent="0.3">
      <c r="B9" s="6" t="s">
        <v>273</v>
      </c>
      <c r="C9" s="171">
        <f>SUM(C7:C8)</f>
        <v>0</v>
      </c>
      <c r="D9" s="171">
        <f>SUM(D7:D8)</f>
        <v>3263.0595891543417</v>
      </c>
      <c r="E9" s="171">
        <f>SUM(E7:E8)</f>
        <v>1024.6841748191073</v>
      </c>
      <c r="F9" s="171">
        <f>SUM(F7:F8)</f>
        <v>295.89694848084764</v>
      </c>
      <c r="G9" s="171">
        <f>SUM(G7:G8)</f>
        <v>4977.0187956418231</v>
      </c>
    </row>
    <row r="10" spans="2:7" ht="14.25" customHeight="1" x14ac:dyDescent="0.3">
      <c r="B10" s="172" t="s">
        <v>274</v>
      </c>
      <c r="C10" s="175">
        <f>C6-C9</f>
        <v>23972.542195980201</v>
      </c>
      <c r="D10" s="175">
        <f>D6-D9</f>
        <v>34118.087806017196</v>
      </c>
      <c r="E10" s="175">
        <f>E6-E9</f>
        <v>37933.913399644109</v>
      </c>
      <c r="F10" s="175">
        <f>F6-F9</f>
        <v>28872.573555116276</v>
      </c>
      <c r="G10" s="175">
        <f>G6-G9</f>
        <v>28104.338057683504</v>
      </c>
    </row>
    <row r="12" spans="2:7" ht="14.25" customHeight="1" x14ac:dyDescent="0.3">
      <c r="B12" s="6" t="s">
        <v>275</v>
      </c>
      <c r="C12" s="173"/>
      <c r="D12" s="173">
        <f>D9/D6</f>
        <v>8.7291584569601136E-2</v>
      </c>
      <c r="E12" s="173">
        <f>E9/E6</f>
        <v>2.6301875288518409E-2</v>
      </c>
      <c r="F12" s="173">
        <f>F9/F6</f>
        <v>1.0144410844043295E-2</v>
      </c>
      <c r="G12" s="173">
        <f>G9/G6</f>
        <v>0.1504478434094681</v>
      </c>
    </row>
    <row r="14" spans="2:7" ht="14.25" customHeight="1" x14ac:dyDescent="0.3">
      <c r="B14" s="6" t="s">
        <v>276</v>
      </c>
      <c r="C14" s="173">
        <f>MEDIAN(D12:G12)</f>
        <v>5.6796729929059778E-2</v>
      </c>
    </row>
    <row r="15" spans="2:7" ht="14.25" customHeight="1" x14ac:dyDescent="0.3">
      <c r="B15" s="6" t="s">
        <v>277</v>
      </c>
      <c r="C15" s="173">
        <f>AVERAGE(D12:G12)</f>
        <v>6.8546428527907738E-2</v>
      </c>
    </row>
    <row r="20" spans="6:6" ht="14.25" customHeight="1" x14ac:dyDescent="0.3">
      <c r="F20" t="s">
        <v>231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Q22"/>
  <sheetViews>
    <sheetView showGridLines="0" workbookViewId="0">
      <selection activeCell="M19" sqref="M19"/>
    </sheetView>
  </sheetViews>
  <sheetFormatPr defaultColWidth="8.88671875" defaultRowHeight="14.4" x14ac:dyDescent="0.3"/>
  <cols>
    <col min="1" max="1" width="1.88671875" style="105" customWidth="1"/>
    <col min="2" max="2" width="29.21875" style="105" bestFit="1" customWidth="1"/>
    <col min="3" max="13" width="9.5546875" style="105" bestFit="1" customWidth="1"/>
    <col min="14" max="14" width="7" style="105" bestFit="1" customWidth="1"/>
    <col min="15" max="15" width="12.44140625" style="105" bestFit="1" customWidth="1"/>
    <col min="16" max="16" width="6.5546875" style="105" bestFit="1" customWidth="1"/>
    <col min="17" max="17" width="8.88671875" style="105" customWidth="1"/>
    <col min="18" max="16384" width="8.88671875" style="105"/>
  </cols>
  <sheetData>
    <row r="2" spans="2:17" ht="15.6" customHeight="1" x14ac:dyDescent="0.3">
      <c r="B2" s="186" t="s">
        <v>278</v>
      </c>
      <c r="C2" s="177"/>
      <c r="D2" s="177"/>
    </row>
    <row r="3" spans="2:17" ht="14.25" customHeight="1" x14ac:dyDescent="0.3">
      <c r="Q3" s="178"/>
    </row>
    <row r="4" spans="2:17" ht="14.25" customHeight="1" x14ac:dyDescent="0.3">
      <c r="B4" s="179" t="s">
        <v>279</v>
      </c>
    </row>
    <row r="5" spans="2:17" ht="14.25" customHeight="1" x14ac:dyDescent="0.3">
      <c r="B5" s="180" t="s">
        <v>280</v>
      </c>
      <c r="C5" s="181" t="s">
        <v>281</v>
      </c>
      <c r="D5" s="181" t="s">
        <v>282</v>
      </c>
      <c r="E5" s="181" t="s">
        <v>283</v>
      </c>
      <c r="F5" s="181" t="s">
        <v>284</v>
      </c>
      <c r="G5" s="181" t="s">
        <v>285</v>
      </c>
      <c r="H5" s="181" t="s">
        <v>286</v>
      </c>
      <c r="I5" s="181" t="s">
        <v>287</v>
      </c>
      <c r="J5" s="181" t="s">
        <v>288</v>
      </c>
      <c r="K5" s="181" t="s">
        <v>289</v>
      </c>
      <c r="L5" s="181" t="s">
        <v>290</v>
      </c>
      <c r="M5" s="181" t="s">
        <v>291</v>
      </c>
    </row>
    <row r="6" spans="2:17" ht="14.25" customHeight="1" x14ac:dyDescent="0.3">
      <c r="B6" s="105" t="s">
        <v>1</v>
      </c>
      <c r="C6" s="182">
        <f>'Consolidated FS'!G9</f>
        <v>182972</v>
      </c>
      <c r="D6" s="182">
        <f t="shared" ref="D6:M6" si="0">C6*(1+D7)</f>
        <v>197367.78569566304</v>
      </c>
      <c r="E6" s="182">
        <f t="shared" si="0"/>
        <v>212618.1811106159</v>
      </c>
      <c r="F6" s="182">
        <f t="shared" si="0"/>
        <v>228747.46096278596</v>
      </c>
      <c r="G6" s="182">
        <f t="shared" si="0"/>
        <v>245778.09581601544</v>
      </c>
      <c r="H6" s="182">
        <f t="shared" si="0"/>
        <v>263730.48352418724</v>
      </c>
      <c r="I6" s="182">
        <f t="shared" si="0"/>
        <v>282622.67414428765</v>
      </c>
      <c r="J6" s="182">
        <f t="shared" si="0"/>
        <v>302470.09012950608</v>
      </c>
      <c r="K6" s="182">
        <f t="shared" si="0"/>
        <v>323285.24380250752</v>
      </c>
      <c r="L6" s="182">
        <f t="shared" si="0"/>
        <v>345077.45429037826</v>
      </c>
      <c r="M6" s="182">
        <f t="shared" si="0"/>
        <v>367852.56627354323</v>
      </c>
      <c r="O6" s="105" t="s">
        <v>292</v>
      </c>
      <c r="P6" s="106">
        <v>6.6000000000000003E-2</v>
      </c>
    </row>
    <row r="7" spans="2:17" ht="14.25" customHeight="1" x14ac:dyDescent="0.3">
      <c r="B7" s="105" t="s">
        <v>293</v>
      </c>
      <c r="C7" s="182"/>
      <c r="D7" s="183">
        <f>N7</f>
        <v>7.8677533697303681E-2</v>
      </c>
      <c r="E7" s="183">
        <f t="shared" ref="E7:M7" si="1">D7-$P$9</f>
        <v>7.7268918842047715E-2</v>
      </c>
      <c r="F7" s="183">
        <f t="shared" si="1"/>
        <v>7.5860303986791749E-2</v>
      </c>
      <c r="G7" s="183">
        <f t="shared" si="1"/>
        <v>7.4451689131535784E-2</v>
      </c>
      <c r="H7" s="183">
        <f t="shared" si="1"/>
        <v>7.3043074276279818E-2</v>
      </c>
      <c r="I7" s="183">
        <f t="shared" si="1"/>
        <v>7.1634459421023852E-2</v>
      </c>
      <c r="J7" s="183">
        <f t="shared" si="1"/>
        <v>7.0225844565767886E-2</v>
      </c>
      <c r="K7" s="183">
        <f t="shared" si="1"/>
        <v>6.8817229710511921E-2</v>
      </c>
      <c r="L7" s="183">
        <f t="shared" si="1"/>
        <v>6.7408614855255955E-2</v>
      </c>
      <c r="M7" s="183">
        <f t="shared" si="1"/>
        <v>6.5999999999999989E-2</v>
      </c>
      <c r="N7" s="106">
        <f>MEDIAN('Assumptions '!F7:I7)</f>
        <v>7.8677533697303681E-2</v>
      </c>
    </row>
    <row r="8" spans="2:17" ht="14.25" customHeight="1" x14ac:dyDescent="0.3">
      <c r="C8" s="182"/>
      <c r="D8" s="182"/>
      <c r="E8" s="182"/>
      <c r="F8" s="182"/>
      <c r="G8" s="182"/>
      <c r="H8" s="182"/>
      <c r="I8" s="182"/>
      <c r="J8" s="182"/>
      <c r="K8" s="182"/>
      <c r="L8" s="182"/>
      <c r="M8" s="182"/>
    </row>
    <row r="9" spans="2:17" ht="14.25" customHeight="1" x14ac:dyDescent="0.3">
      <c r="B9" s="179" t="s">
        <v>294</v>
      </c>
      <c r="C9" s="184"/>
      <c r="D9" s="184"/>
      <c r="E9" s="184"/>
      <c r="F9" s="184"/>
      <c r="G9" s="184"/>
      <c r="H9" s="184"/>
      <c r="I9" s="184"/>
      <c r="J9" s="184"/>
      <c r="K9" s="184"/>
      <c r="L9" s="184"/>
      <c r="M9" s="184"/>
      <c r="O9" s="106">
        <f>N7-P6</f>
        <v>1.2677533697303678E-2</v>
      </c>
      <c r="P9" s="104">
        <f>O9/9</f>
        <v>1.4086148552559642E-3</v>
      </c>
    </row>
    <row r="10" spans="2:17" ht="14.25" customHeight="1" x14ac:dyDescent="0.3">
      <c r="B10" s="180" t="s">
        <v>280</v>
      </c>
      <c r="C10" s="181" t="s">
        <v>281</v>
      </c>
      <c r="D10" s="181" t="s">
        <v>282</v>
      </c>
      <c r="E10" s="181" t="s">
        <v>283</v>
      </c>
      <c r="F10" s="181" t="s">
        <v>284</v>
      </c>
      <c r="G10" s="181" t="s">
        <v>285</v>
      </c>
      <c r="H10" s="181" t="s">
        <v>286</v>
      </c>
      <c r="I10" s="181" t="s">
        <v>287</v>
      </c>
      <c r="J10" s="181" t="s">
        <v>288</v>
      </c>
      <c r="K10" s="181" t="s">
        <v>289</v>
      </c>
      <c r="L10" s="181" t="s">
        <v>290</v>
      </c>
      <c r="M10" s="181" t="s">
        <v>291</v>
      </c>
    </row>
    <row r="11" spans="2:17" ht="14.25" customHeight="1" x14ac:dyDescent="0.3">
      <c r="B11" s="105" t="s">
        <v>1</v>
      </c>
      <c r="C11" s="182">
        <f>C6</f>
        <v>182972</v>
      </c>
      <c r="D11" s="182">
        <f t="shared" ref="D11:M11" si="2">C11*(1+D12)</f>
        <v>202110.85474293242</v>
      </c>
      <c r="E11" s="182">
        <f t="shared" si="2"/>
        <v>222418.48813362475</v>
      </c>
      <c r="F11" s="182">
        <f t="shared" si="2"/>
        <v>243849.72956411724</v>
      </c>
      <c r="G11" s="182">
        <f t="shared" si="2"/>
        <v>266340.78833251505</v>
      </c>
      <c r="H11" s="182">
        <f t="shared" si="2"/>
        <v>289808.3578180832</v>
      </c>
      <c r="I11" s="182">
        <f t="shared" si="2"/>
        <v>314149.02819693304</v>
      </c>
      <c r="J11" s="182">
        <f t="shared" si="2"/>
        <v>339239.05449708301</v>
      </c>
      <c r="K11" s="182">
        <f t="shared" si="2"/>
        <v>364934.52143333206</v>
      </c>
      <c r="L11" s="182">
        <f t="shared" si="2"/>
        <v>391071.93917695276</v>
      </c>
      <c r="M11" s="182">
        <f t="shared" si="2"/>
        <v>417469.29507139703</v>
      </c>
    </row>
    <row r="12" spans="2:17" ht="14.25" customHeight="1" x14ac:dyDescent="0.3">
      <c r="B12" s="105" t="s">
        <v>293</v>
      </c>
      <c r="C12" s="182"/>
      <c r="D12" s="183">
        <f>AVERAGE('Assumptions '!F7:I7)</f>
        <v>0.10459991005690723</v>
      </c>
      <c r="E12" s="183">
        <f>D12-O12</f>
        <v>0.10047769782836198</v>
      </c>
      <c r="F12" s="183">
        <f>E12-O12</f>
        <v>9.6355485599816729E-2</v>
      </c>
      <c r="G12" s="183">
        <f>F12-O12</f>
        <v>9.2233273371271476E-2</v>
      </c>
      <c r="H12" s="183">
        <f>G12-O12</f>
        <v>8.8111061142726224E-2</v>
      </c>
      <c r="I12" s="183">
        <f>H12-O12</f>
        <v>8.3988848914180972E-2</v>
      </c>
      <c r="J12" s="183">
        <f>I12-O12</f>
        <v>7.986663668563572E-2</v>
      </c>
      <c r="K12" s="183">
        <f>J12-O12</f>
        <v>7.5744424457090467E-2</v>
      </c>
      <c r="L12" s="183">
        <f>K12-O12</f>
        <v>7.1622212228545215E-2</v>
      </c>
      <c r="M12" s="183">
        <v>6.7500000000000004E-2</v>
      </c>
      <c r="N12" s="106">
        <f>D12-M12</f>
        <v>3.7099910056907229E-2</v>
      </c>
      <c r="O12" s="106">
        <f>N12/9</f>
        <v>4.1222122285452479E-3</v>
      </c>
    </row>
    <row r="13" spans="2:17" ht="14.25" customHeight="1" x14ac:dyDescent="0.3">
      <c r="C13" s="182"/>
      <c r="D13" s="182"/>
      <c r="E13" s="182"/>
      <c r="F13" s="182"/>
      <c r="G13" s="182"/>
      <c r="H13" s="182"/>
      <c r="I13" s="182"/>
      <c r="J13" s="182"/>
      <c r="K13" s="182"/>
      <c r="L13" s="182"/>
      <c r="M13" s="182"/>
    </row>
    <row r="14" spans="2:17" ht="14.25" customHeight="1" x14ac:dyDescent="0.3">
      <c r="B14" s="179" t="s">
        <v>295</v>
      </c>
      <c r="C14" s="182"/>
      <c r="D14" s="182"/>
      <c r="E14" s="182"/>
      <c r="F14" s="182"/>
      <c r="G14" s="182"/>
      <c r="H14" s="182"/>
      <c r="I14" s="182"/>
      <c r="J14" s="182"/>
      <c r="K14" s="182"/>
      <c r="L14" s="182"/>
      <c r="M14" s="182"/>
    </row>
    <row r="15" spans="2:17" ht="14.25" customHeight="1" x14ac:dyDescent="0.3">
      <c r="B15" s="180" t="s">
        <v>280</v>
      </c>
      <c r="C15" s="181" t="s">
        <v>281</v>
      </c>
      <c r="D15" s="181" t="s">
        <v>282</v>
      </c>
      <c r="E15" s="181" t="s">
        <v>283</v>
      </c>
      <c r="F15" s="181" t="s">
        <v>284</v>
      </c>
      <c r="G15" s="181" t="s">
        <v>285</v>
      </c>
      <c r="H15" s="181" t="s">
        <v>286</v>
      </c>
      <c r="I15" s="181" t="s">
        <v>287</v>
      </c>
      <c r="J15" s="181" t="s">
        <v>288</v>
      </c>
      <c r="K15" s="181" t="s">
        <v>289</v>
      </c>
      <c r="L15" s="181" t="s">
        <v>290</v>
      </c>
      <c r="M15" s="181" t="s">
        <v>291</v>
      </c>
    </row>
    <row r="16" spans="2:17" ht="14.25" customHeight="1" x14ac:dyDescent="0.3">
      <c r="B16" s="105" t="s">
        <v>1</v>
      </c>
      <c r="C16" s="182">
        <f>C11</f>
        <v>182972</v>
      </c>
      <c r="D16" s="182">
        <f t="shared" ref="D16:M16" si="3">C16*(1+D17)</f>
        <v>185865.49022337806</v>
      </c>
      <c r="E16" s="182">
        <f t="shared" si="3"/>
        <v>189872.14577286437</v>
      </c>
      <c r="F16" s="182">
        <f t="shared" si="3"/>
        <v>195055.58976490612</v>
      </c>
      <c r="G16" s="182">
        <f t="shared" si="3"/>
        <v>201500.72599978786</v>
      </c>
      <c r="H16" s="182">
        <f t="shared" si="3"/>
        <v>209316.02586933732</v>
      </c>
      <c r="I16" s="182">
        <f t="shared" si="3"/>
        <v>218636.52816179954</v>
      </c>
      <c r="J16" s="182">
        <f t="shared" si="3"/>
        <v>229627.6664031157</v>
      </c>
      <c r="K16" s="182">
        <f t="shared" si="3"/>
        <v>242490.07345397832</v>
      </c>
      <c r="L16" s="182">
        <f t="shared" si="3"/>
        <v>257465.55559551838</v>
      </c>
      <c r="M16" s="182">
        <f t="shared" si="3"/>
        <v>274844.48059821583</v>
      </c>
    </row>
    <row r="17" spans="2:15" ht="14.25" customHeight="1" x14ac:dyDescent="0.3">
      <c r="B17" s="105" t="s">
        <v>293</v>
      </c>
      <c r="C17" s="182"/>
      <c r="D17" s="183">
        <f>FCFF!C14*'Assumptions '!I52</f>
        <v>1.5813841589850136E-2</v>
      </c>
      <c r="E17" s="183">
        <f t="shared" ref="E17:L17" si="4">D17-$O$17</f>
        <v>2.1556748079866787E-2</v>
      </c>
      <c r="F17" s="183">
        <f t="shared" si="4"/>
        <v>2.7299654569883439E-2</v>
      </c>
      <c r="G17" s="183">
        <f t="shared" si="4"/>
        <v>3.304256105990009E-2</v>
      </c>
      <c r="H17" s="183">
        <f t="shared" si="4"/>
        <v>3.8785467549916741E-2</v>
      </c>
      <c r="I17" s="183">
        <f t="shared" si="4"/>
        <v>4.4528374039933392E-2</v>
      </c>
      <c r="J17" s="183">
        <f t="shared" si="4"/>
        <v>5.0271280529950044E-2</v>
      </c>
      <c r="K17" s="183">
        <f t="shared" si="4"/>
        <v>5.6014187019966695E-2</v>
      </c>
      <c r="L17" s="183">
        <f t="shared" si="4"/>
        <v>6.1757093509983346E-2</v>
      </c>
      <c r="M17" s="183">
        <v>6.7500000000000004E-2</v>
      </c>
      <c r="N17" s="106">
        <f>D17-M17</f>
        <v>-5.1686158410149868E-2</v>
      </c>
      <c r="O17" s="106">
        <f>N17/9</f>
        <v>-5.7429064900166521E-3</v>
      </c>
    </row>
    <row r="18" spans="2:15" ht="14.25" customHeight="1" x14ac:dyDescent="0.3">
      <c r="C18" s="182"/>
      <c r="D18" s="182"/>
      <c r="E18" s="182"/>
      <c r="F18" s="182"/>
      <c r="G18" s="182"/>
      <c r="H18" s="182"/>
      <c r="I18" s="182"/>
      <c r="J18" s="182"/>
      <c r="K18" s="182"/>
      <c r="L18" s="182"/>
      <c r="M18" s="182"/>
    </row>
    <row r="19" spans="2:15" ht="14.25" customHeight="1" x14ac:dyDescent="0.3">
      <c r="B19" s="179" t="s">
        <v>296</v>
      </c>
      <c r="C19" s="185">
        <v>3</v>
      </c>
      <c r="D19" s="182"/>
      <c r="E19" s="182"/>
      <c r="F19" s="182"/>
      <c r="G19" s="182"/>
      <c r="H19" s="182"/>
      <c r="I19" s="182"/>
      <c r="J19" s="182"/>
      <c r="K19" s="182"/>
      <c r="L19" s="182"/>
      <c r="M19" s="182"/>
    </row>
    <row r="20" spans="2:15" ht="14.25" customHeight="1" x14ac:dyDescent="0.3">
      <c r="B20" s="180" t="s">
        <v>280</v>
      </c>
      <c r="C20" s="181" t="s">
        <v>281</v>
      </c>
      <c r="D20" s="181" t="s">
        <v>282</v>
      </c>
      <c r="E20" s="181" t="s">
        <v>283</v>
      </c>
      <c r="F20" s="181" t="s">
        <v>284</v>
      </c>
      <c r="G20" s="181" t="s">
        <v>285</v>
      </c>
      <c r="H20" s="181" t="s">
        <v>286</v>
      </c>
      <c r="I20" s="181" t="s">
        <v>287</v>
      </c>
      <c r="J20" s="181" t="s">
        <v>288</v>
      </c>
      <c r="K20" s="181" t="s">
        <v>289</v>
      </c>
      <c r="L20" s="181" t="s">
        <v>290</v>
      </c>
      <c r="M20" s="181" t="s">
        <v>291</v>
      </c>
    </row>
    <row r="21" spans="2:15" ht="14.25" customHeight="1" x14ac:dyDescent="0.3">
      <c r="B21" s="105" t="s">
        <v>1</v>
      </c>
      <c r="C21" s="182">
        <f>C6</f>
        <v>182972</v>
      </c>
      <c r="D21" s="182">
        <f t="shared" ref="D21:M21" si="5">C21*(1+D22)</f>
        <v>185865.49022337806</v>
      </c>
      <c r="E21" s="182">
        <f t="shared" si="5"/>
        <v>189872.14577286437</v>
      </c>
      <c r="F21" s="182">
        <f t="shared" si="5"/>
        <v>195055.58976490612</v>
      </c>
      <c r="G21" s="182">
        <f t="shared" si="5"/>
        <v>201500.72599978786</v>
      </c>
      <c r="H21" s="182">
        <f t="shared" si="5"/>
        <v>209316.02586933732</v>
      </c>
      <c r="I21" s="182">
        <f t="shared" si="5"/>
        <v>218636.52816179954</v>
      </c>
      <c r="J21" s="182">
        <f t="shared" si="5"/>
        <v>229627.6664031157</v>
      </c>
      <c r="K21" s="182">
        <f t="shared" si="5"/>
        <v>242490.07345397832</v>
      </c>
      <c r="L21" s="182">
        <f t="shared" si="5"/>
        <v>257465.55559551838</v>
      </c>
      <c r="M21" s="182">
        <f t="shared" si="5"/>
        <v>274844.48059821583</v>
      </c>
    </row>
    <row r="22" spans="2:15" ht="14.25" customHeight="1" x14ac:dyDescent="0.3">
      <c r="B22" s="105" t="s">
        <v>293</v>
      </c>
      <c r="C22" s="182"/>
      <c r="D22" s="182">
        <f t="shared" ref="D22:M22" si="6">CHOOSE($C$19,D7,D12,D17)</f>
        <v>1.5813841589850136E-2</v>
      </c>
      <c r="E22" s="182">
        <f t="shared" si="6"/>
        <v>2.1556748079866787E-2</v>
      </c>
      <c r="F22" s="182">
        <f t="shared" si="6"/>
        <v>2.7299654569883439E-2</v>
      </c>
      <c r="G22" s="182">
        <f t="shared" si="6"/>
        <v>3.304256105990009E-2</v>
      </c>
      <c r="H22" s="182">
        <f t="shared" si="6"/>
        <v>3.8785467549916741E-2</v>
      </c>
      <c r="I22" s="182">
        <f t="shared" si="6"/>
        <v>4.4528374039933392E-2</v>
      </c>
      <c r="J22" s="182">
        <f t="shared" si="6"/>
        <v>5.0271280529950044E-2</v>
      </c>
      <c r="K22" s="182">
        <f t="shared" si="6"/>
        <v>5.6014187019966695E-2</v>
      </c>
      <c r="L22" s="182">
        <f t="shared" si="6"/>
        <v>6.1757093509983346E-2</v>
      </c>
      <c r="M22" s="182">
        <f t="shared" si="6"/>
        <v>6.7500000000000004E-2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34"/>
  <sheetViews>
    <sheetView showGridLines="0" topLeftCell="A3" workbookViewId="0">
      <selection activeCell="M19" sqref="M19"/>
    </sheetView>
  </sheetViews>
  <sheetFormatPr defaultColWidth="8.88671875" defaultRowHeight="14.4" x14ac:dyDescent="0.3"/>
  <cols>
    <col min="1" max="1" width="1.88671875" style="188" customWidth="1"/>
    <col min="2" max="2" width="30.6640625" style="188" bestFit="1" customWidth="1"/>
    <col min="3" max="3" width="9.88671875" style="188" bestFit="1" customWidth="1"/>
    <col min="4" max="4" width="10" style="188" bestFit="1" customWidth="1"/>
    <col min="5" max="5" width="9.88671875" style="188" bestFit="1" customWidth="1"/>
    <col min="6" max="6" width="19.88671875" style="188" bestFit="1" customWidth="1"/>
    <col min="7" max="7" width="11.88671875" style="188" bestFit="1" customWidth="1"/>
    <col min="8" max="13" width="9.88671875" style="188" bestFit="1" customWidth="1"/>
    <col min="14" max="14" width="2.44140625" style="188" customWidth="1"/>
    <col min="15" max="15" width="13.44140625" style="188" bestFit="1" customWidth="1"/>
    <col min="16" max="16" width="2.44140625" style="188" customWidth="1"/>
    <col min="17" max="17" width="43.109375" style="188" bestFit="1" customWidth="1"/>
    <col min="18" max="18" width="7" style="188" bestFit="1" customWidth="1"/>
    <col min="19" max="19" width="8.88671875" style="188" customWidth="1"/>
    <col min="20" max="16384" width="8.88671875" style="188"/>
  </cols>
  <sheetData>
    <row r="2" spans="2:18" ht="14.25" customHeight="1" x14ac:dyDescent="0.3">
      <c r="B2" s="187" t="s">
        <v>297</v>
      </c>
    </row>
    <row r="3" spans="2:18" ht="15.6" customHeight="1" x14ac:dyDescent="0.3">
      <c r="B3" s="189"/>
      <c r="C3" s="189"/>
      <c r="D3" s="189">
        <v>1</v>
      </c>
      <c r="E3" s="188">
        <v>2</v>
      </c>
      <c r="F3" s="188">
        <v>3</v>
      </c>
      <c r="G3" s="188">
        <v>4</v>
      </c>
      <c r="H3" s="188">
        <v>5</v>
      </c>
      <c r="I3" s="188">
        <v>6</v>
      </c>
      <c r="J3" s="188">
        <v>7</v>
      </c>
      <c r="K3" s="188">
        <v>8</v>
      </c>
      <c r="L3" s="188">
        <v>9</v>
      </c>
      <c r="M3" s="188">
        <v>10</v>
      </c>
    </row>
    <row r="4" spans="2:18" ht="14.25" customHeight="1" x14ac:dyDescent="0.3">
      <c r="B4" s="190" t="s">
        <v>298</v>
      </c>
      <c r="C4" s="191" t="s">
        <v>281</v>
      </c>
      <c r="D4" s="191" t="s">
        <v>282</v>
      </c>
      <c r="E4" s="191" t="s">
        <v>283</v>
      </c>
      <c r="F4" s="191" t="s">
        <v>284</v>
      </c>
      <c r="G4" s="191" t="s">
        <v>285</v>
      </c>
      <c r="H4" s="191" t="s">
        <v>286</v>
      </c>
      <c r="I4" s="191" t="s">
        <v>287</v>
      </c>
      <c r="J4" s="191" t="s">
        <v>288</v>
      </c>
      <c r="K4" s="191" t="s">
        <v>289</v>
      </c>
      <c r="L4" s="191" t="s">
        <v>290</v>
      </c>
      <c r="M4" s="191" t="s">
        <v>291</v>
      </c>
      <c r="N4" s="192"/>
      <c r="O4" s="190" t="s">
        <v>299</v>
      </c>
      <c r="Q4" s="193" t="s">
        <v>300</v>
      </c>
      <c r="R4" s="106">
        <v>0.03</v>
      </c>
    </row>
    <row r="5" spans="2:18" ht="14.25" customHeight="1" x14ac:dyDescent="0.3">
      <c r="B5" s="194" t="s">
        <v>301</v>
      </c>
      <c r="C5" s="188">
        <f>'Growth Scenario '!C21</f>
        <v>182972</v>
      </c>
      <c r="D5" s="188">
        <f>'Growth Scenario '!D21</f>
        <v>185865.49022337806</v>
      </c>
      <c r="E5" s="188">
        <f>'Growth Scenario '!E21</f>
        <v>189872.14577286437</v>
      </c>
      <c r="F5" s="188">
        <f>'Growth Scenario '!F21</f>
        <v>195055.58976490612</v>
      </c>
      <c r="G5" s="188">
        <f>'Growth Scenario '!G21</f>
        <v>201500.72599978786</v>
      </c>
      <c r="H5" s="188">
        <f>'Growth Scenario '!H21</f>
        <v>209316.02586933732</v>
      </c>
      <c r="I5" s="188">
        <f>'Growth Scenario '!I21</f>
        <v>218636.52816179954</v>
      </c>
      <c r="J5" s="188">
        <f>'Growth Scenario '!J21</f>
        <v>229627.6664031157</v>
      </c>
      <c r="K5" s="188">
        <f>'Growth Scenario '!K21</f>
        <v>242490.07345397832</v>
      </c>
      <c r="L5" s="188">
        <f>'Growth Scenario '!L21</f>
        <v>257465.55559551838</v>
      </c>
      <c r="M5" s="188">
        <f>'Growth Scenario '!M21</f>
        <v>274844.48059821583</v>
      </c>
      <c r="O5" s="188">
        <f>M5*(1+R4)</f>
        <v>283089.81501616229</v>
      </c>
      <c r="Q5" s="193" t="s">
        <v>302</v>
      </c>
      <c r="R5" s="106">
        <f>WACC!E26</f>
        <v>0.13662797215319486</v>
      </c>
    </row>
    <row r="6" spans="2:18" ht="14.25" customHeight="1" x14ac:dyDescent="0.3">
      <c r="B6" s="194" t="s">
        <v>303</v>
      </c>
      <c r="D6" s="106">
        <f>'Growth Scenario '!D7</f>
        <v>7.8677533697303681E-2</v>
      </c>
      <c r="E6" s="106">
        <f>'Growth Scenario '!E7</f>
        <v>7.7268918842047715E-2</v>
      </c>
      <c r="F6" s="106">
        <f>'Growth Scenario '!F7</f>
        <v>7.5860303986791749E-2</v>
      </c>
      <c r="G6" s="106">
        <f>'Growth Scenario '!G7</f>
        <v>7.4451689131535784E-2</v>
      </c>
      <c r="H6" s="106">
        <f>'Growth Scenario '!H7</f>
        <v>7.3043074276279818E-2</v>
      </c>
      <c r="I6" s="106">
        <f>'Growth Scenario '!I7</f>
        <v>7.1634459421023852E-2</v>
      </c>
      <c r="J6" s="106">
        <f>'Growth Scenario '!J7</f>
        <v>7.0225844565767886E-2</v>
      </c>
      <c r="K6" s="106">
        <f>'Growth Scenario '!K7</f>
        <v>6.8817229710511921E-2</v>
      </c>
      <c r="L6" s="106">
        <f>'Growth Scenario '!L7</f>
        <v>6.7408614855255955E-2</v>
      </c>
      <c r="M6" s="106">
        <f>'Growth Scenario '!M7</f>
        <v>6.5999999999999989E-2</v>
      </c>
      <c r="O6" s="188">
        <f>R4</f>
        <v>0.03</v>
      </c>
      <c r="Q6" s="193" t="s">
        <v>304</v>
      </c>
      <c r="R6" s="106">
        <f>R5*R4</f>
        <v>4.0988391645958456E-3</v>
      </c>
    </row>
    <row r="7" spans="2:18" ht="14.25" customHeight="1" x14ac:dyDescent="0.3">
      <c r="B7" s="194" t="s">
        <v>168</v>
      </c>
      <c r="D7" s="188">
        <f t="shared" ref="D7:M7" si="0">D8*D5</f>
        <v>19441.513560048315</v>
      </c>
      <c r="E7" s="188">
        <f t="shared" si="0"/>
        <v>19860.609370153594</v>
      </c>
      <c r="F7" s="188">
        <f t="shared" si="0"/>
        <v>20402.797145506174</v>
      </c>
      <c r="G7" s="188">
        <f t="shared" si="0"/>
        <v>21076.95781597932</v>
      </c>
      <c r="H7" s="188">
        <f t="shared" si="0"/>
        <v>21894.43747940195</v>
      </c>
      <c r="I7" s="188">
        <f t="shared" si="0"/>
        <v>22869.361180878695</v>
      </c>
      <c r="J7" s="188">
        <f t="shared" si="0"/>
        <v>24019.033252343401</v>
      </c>
      <c r="K7" s="188">
        <f t="shared" si="0"/>
        <v>25364.439872978961</v>
      </c>
      <c r="L7" s="188">
        <f t="shared" si="0"/>
        <v>26930.87395804287</v>
      </c>
      <c r="M7" s="188">
        <f t="shared" si="0"/>
        <v>28748.707950210759</v>
      </c>
      <c r="O7" s="188">
        <f>O8*O5</f>
        <v>29611.169188717082</v>
      </c>
      <c r="Q7" s="193"/>
    </row>
    <row r="8" spans="2:18" ht="14.25" customHeight="1" x14ac:dyDescent="0.3">
      <c r="B8" s="194" t="s">
        <v>305</v>
      </c>
      <c r="D8" s="106">
        <f>AVERAGE('Assumptions '!F7:I7)</f>
        <v>0.10459991005690723</v>
      </c>
      <c r="E8" s="106">
        <f t="shared" ref="E8:M8" si="1">D8</f>
        <v>0.10459991005690723</v>
      </c>
      <c r="F8" s="106">
        <f t="shared" si="1"/>
        <v>0.10459991005690723</v>
      </c>
      <c r="G8" s="106">
        <f t="shared" si="1"/>
        <v>0.10459991005690723</v>
      </c>
      <c r="H8" s="106">
        <f t="shared" si="1"/>
        <v>0.10459991005690723</v>
      </c>
      <c r="I8" s="106">
        <f t="shared" si="1"/>
        <v>0.10459991005690723</v>
      </c>
      <c r="J8" s="106">
        <f t="shared" si="1"/>
        <v>0.10459991005690723</v>
      </c>
      <c r="K8" s="106">
        <f t="shared" si="1"/>
        <v>0.10459991005690723</v>
      </c>
      <c r="L8" s="106">
        <f t="shared" si="1"/>
        <v>0.10459991005690723</v>
      </c>
      <c r="M8" s="106">
        <f t="shared" si="1"/>
        <v>0.10459991005690723</v>
      </c>
      <c r="O8" s="188">
        <f>M8</f>
        <v>0.10459991005690723</v>
      </c>
      <c r="Q8" s="193" t="s">
        <v>306</v>
      </c>
    </row>
    <row r="9" spans="2:18" ht="14.25" customHeight="1" x14ac:dyDescent="0.3">
      <c r="B9" s="194" t="s">
        <v>269</v>
      </c>
      <c r="D9" s="188">
        <f>WACC!$F$18*'Valuation '!D7</f>
        <v>4386.818027436213</v>
      </c>
      <c r="E9" s="188">
        <f>WACC!$F$18*'Valuation '!E7</f>
        <v>4481.3835585258748</v>
      </c>
      <c r="F9" s="188">
        <f>WACC!$F$18*'Valuation '!F7</f>
        <v>4603.7237816687857</v>
      </c>
      <c r="G9" s="188">
        <f>WACC!$F$18*'Valuation '!G7</f>
        <v>4755.8426058274908</v>
      </c>
      <c r="H9" s="188">
        <f>WACC!$F$18*'Valuation '!H7</f>
        <v>4940.3001848883241</v>
      </c>
      <c r="I9" s="188">
        <f>WACC!$F$18*'Valuation '!I7</f>
        <v>5160.2837193905834</v>
      </c>
      <c r="J9" s="188">
        <f>WACC!$F$18*'Valuation '!J7</f>
        <v>5419.6977898622026</v>
      </c>
      <c r="K9" s="188">
        <f>WACC!$F$18*'Valuation '!K7</f>
        <v>5723.2777554552431</v>
      </c>
      <c r="L9" s="188">
        <f>WACC!$F$18*'Valuation '!L7</f>
        <v>6076.7307549825</v>
      </c>
      <c r="M9" s="188">
        <f>WACC!$F$18*'Valuation '!M7</f>
        <v>6486.9100809438178</v>
      </c>
    </row>
    <row r="10" spans="2:18" s="192" customFormat="1" ht="14.25" customHeight="1" x14ac:dyDescent="0.3">
      <c r="B10" s="195" t="s">
        <v>307</v>
      </c>
      <c r="D10" s="192">
        <f t="shared" ref="D10:M10" si="2">D7-D9</f>
        <v>15054.695532612102</v>
      </c>
      <c r="E10" s="192">
        <f t="shared" si="2"/>
        <v>15379.225811627719</v>
      </c>
      <c r="F10" s="192">
        <f t="shared" si="2"/>
        <v>15799.073363837389</v>
      </c>
      <c r="G10" s="192">
        <f t="shared" si="2"/>
        <v>16321.115210151829</v>
      </c>
      <c r="H10" s="192">
        <f t="shared" si="2"/>
        <v>16954.137294513625</v>
      </c>
      <c r="I10" s="192">
        <f t="shared" si="2"/>
        <v>17709.077461488112</v>
      </c>
      <c r="J10" s="192">
        <f t="shared" si="2"/>
        <v>18599.335462481198</v>
      </c>
      <c r="K10" s="192">
        <f t="shared" si="2"/>
        <v>19641.162117523716</v>
      </c>
      <c r="L10" s="192">
        <f t="shared" si="2"/>
        <v>20854.143203060368</v>
      </c>
      <c r="M10" s="192">
        <f t="shared" si="2"/>
        <v>22261.797869266942</v>
      </c>
      <c r="O10" s="192">
        <f>O7-O9</f>
        <v>29611.169188717082</v>
      </c>
    </row>
    <row r="11" spans="2:18" ht="14.25" customHeight="1" x14ac:dyDescent="0.3">
      <c r="B11" s="194" t="s">
        <v>308</v>
      </c>
      <c r="D11" s="188">
        <f>FCFF!$C$14*'Valuation '!D5</f>
        <v>10556.552051349505</v>
      </c>
      <c r="E11" s="188">
        <f>FCFF!$C$14*'Valuation '!E5</f>
        <v>10784.116984512448</v>
      </c>
      <c r="F11" s="188">
        <f>FCFF!$C$14*'Valuation '!F5</f>
        <v>11078.519653030849</v>
      </c>
      <c r="G11" s="188">
        <f>FCFF!$C$14*'Valuation '!G5</f>
        <v>11444.582315119425</v>
      </c>
      <c r="H11" s="188">
        <f>FCFF!$C$14*'Valuation '!H5</f>
        <v>11888.465791124841</v>
      </c>
      <c r="I11" s="188">
        <f>FCFF!$C$14*'Valuation '!I5</f>
        <v>12417.839842633</v>
      </c>
      <c r="J11" s="188">
        <f>FCFF!$C$14*'Valuation '!J5</f>
        <v>13042.100552937996</v>
      </c>
      <c r="K11" s="188">
        <f>FCFF!$C$14*'Valuation '!K5</f>
        <v>13772.643212443474</v>
      </c>
      <c r="L11" s="188">
        <f>FCFF!$C$14*'Valuation '!L5</f>
        <v>14623.201627193983</v>
      </c>
      <c r="M11" s="188">
        <f>FCFF!$C$14*'Valuation '!M5</f>
        <v>15610.267737029575</v>
      </c>
    </row>
    <row r="12" spans="2:18" ht="14.25" customHeight="1" x14ac:dyDescent="0.3">
      <c r="B12" s="194" t="s">
        <v>309</v>
      </c>
      <c r="C12" s="188">
        <f>'Change in Working Cap '!G8</f>
        <v>4104.0187956418231</v>
      </c>
      <c r="D12" s="188">
        <f>'Change in Working Cap '!$C$11*'Valuation '!D5</f>
        <v>2968.830206548193</v>
      </c>
      <c r="E12" s="188">
        <f>'Change in Working Cap '!$C$11*'Valuation '!E5</f>
        <v>3032.8285314026516</v>
      </c>
      <c r="F12" s="188">
        <f>'Change in Working Cap '!$C$11*'Valuation '!F5</f>
        <v>3115.6237026796307</v>
      </c>
      <c r="G12" s="188">
        <f>'Change in Working Cap '!$C$11*'Valuation '!G5</f>
        <v>3218.5718891150946</v>
      </c>
      <c r="H12" s="188">
        <f>'Change in Working Cap '!$C$11*'Valuation '!H5</f>
        <v>3343.4057046774428</v>
      </c>
      <c r="I12" s="188">
        <f>'Change in Working Cap '!$C$11*'Valuation '!I5</f>
        <v>3492.2821244625666</v>
      </c>
      <c r="J12" s="188">
        <f>'Change in Working Cap '!$C$11*'Valuation '!J5</f>
        <v>3667.8436188311543</v>
      </c>
      <c r="K12" s="188">
        <f>'Change in Working Cap '!$C$11*'Valuation '!K5</f>
        <v>3873.294897256354</v>
      </c>
      <c r="L12" s="188">
        <f>'Change in Working Cap '!$C$11*'Valuation '!L5</f>
        <v>4112.4983324179557</v>
      </c>
      <c r="M12" s="188">
        <f>'Change in Working Cap '!$C$11*'Valuation '!M5</f>
        <v>4390.0919698561675</v>
      </c>
    </row>
    <row r="13" spans="2:18" ht="14.25" customHeight="1" x14ac:dyDescent="0.3">
      <c r="B13" s="194" t="s">
        <v>310</v>
      </c>
      <c r="D13" s="188">
        <f t="shared" ref="D13:M13" si="3">D12-C12</f>
        <v>-1135.1885890936301</v>
      </c>
      <c r="E13" s="188">
        <f t="shared" si="3"/>
        <v>63.998324854458588</v>
      </c>
      <c r="F13" s="188">
        <f t="shared" si="3"/>
        <v>82.79517127697909</v>
      </c>
      <c r="G13" s="188">
        <f t="shared" si="3"/>
        <v>102.94818643546387</v>
      </c>
      <c r="H13" s="188">
        <f t="shared" si="3"/>
        <v>124.83381556234826</v>
      </c>
      <c r="I13" s="188">
        <f t="shared" si="3"/>
        <v>148.87641978512374</v>
      </c>
      <c r="J13" s="188">
        <f t="shared" si="3"/>
        <v>175.56149436858777</v>
      </c>
      <c r="K13" s="188">
        <f t="shared" si="3"/>
        <v>205.45127842519969</v>
      </c>
      <c r="L13" s="188">
        <f t="shared" si="3"/>
        <v>239.20343516160165</v>
      </c>
      <c r="M13" s="188">
        <f t="shared" si="3"/>
        <v>277.59363743821177</v>
      </c>
    </row>
    <row r="14" spans="2:18" ht="14.25" customHeight="1" x14ac:dyDescent="0.3">
      <c r="B14" s="194" t="s">
        <v>273</v>
      </c>
      <c r="D14" s="188">
        <f t="shared" ref="D14:M14" si="4">D11+D13</f>
        <v>9421.3634622558748</v>
      </c>
      <c r="E14" s="188">
        <f t="shared" si="4"/>
        <v>10848.115309366905</v>
      </c>
      <c r="F14" s="188">
        <f t="shared" si="4"/>
        <v>11161.314824307829</v>
      </c>
      <c r="G14" s="188">
        <f t="shared" si="4"/>
        <v>11547.530501554889</v>
      </c>
      <c r="H14" s="188">
        <f t="shared" si="4"/>
        <v>12013.299606687189</v>
      </c>
      <c r="I14" s="188">
        <f t="shared" si="4"/>
        <v>12566.716262418124</v>
      </c>
      <c r="J14" s="188">
        <f t="shared" si="4"/>
        <v>13217.662047306585</v>
      </c>
      <c r="K14" s="188">
        <f t="shared" si="4"/>
        <v>13978.094490868674</v>
      </c>
      <c r="L14" s="188">
        <f t="shared" si="4"/>
        <v>14862.405062355585</v>
      </c>
      <c r="M14" s="188">
        <f t="shared" si="4"/>
        <v>15887.861374467786</v>
      </c>
      <c r="O14" s="188">
        <f>O10*O16</f>
        <v>121.37141998018737</v>
      </c>
    </row>
    <row r="15" spans="2:18" ht="14.25" customHeight="1" x14ac:dyDescent="0.3">
      <c r="B15" s="195" t="s">
        <v>311</v>
      </c>
      <c r="D15" s="192">
        <f t="shared" ref="D15:M15" si="5">D10-D14</f>
        <v>5633.3320703562276</v>
      </c>
      <c r="E15" s="192">
        <f t="shared" si="5"/>
        <v>4531.1105022608135</v>
      </c>
      <c r="F15" s="192">
        <f t="shared" si="5"/>
        <v>4637.7585395295609</v>
      </c>
      <c r="G15" s="192">
        <f t="shared" si="5"/>
        <v>4773.5847085969399</v>
      </c>
      <c r="H15" s="192">
        <f t="shared" si="5"/>
        <v>4940.8376878264353</v>
      </c>
      <c r="I15" s="192">
        <f t="shared" si="5"/>
        <v>5142.3611990699883</v>
      </c>
      <c r="J15" s="192">
        <f t="shared" si="5"/>
        <v>5381.6734151746132</v>
      </c>
      <c r="K15" s="192">
        <f t="shared" si="5"/>
        <v>5663.0676266550417</v>
      </c>
      <c r="L15" s="192">
        <f t="shared" si="5"/>
        <v>5991.7381407047833</v>
      </c>
      <c r="M15" s="192">
        <f t="shared" si="5"/>
        <v>6373.9364947991562</v>
      </c>
      <c r="O15" s="188">
        <f>O10-O14</f>
        <v>29489.797768736895</v>
      </c>
    </row>
    <row r="16" spans="2:18" ht="14.25" customHeight="1" x14ac:dyDescent="0.3">
      <c r="B16" s="188" t="s">
        <v>312</v>
      </c>
      <c r="D16" s="188">
        <f t="shared" ref="D16:M16" si="6">D14/D10</f>
        <v>0.62580896716555501</v>
      </c>
      <c r="E16" s="188">
        <f t="shared" si="6"/>
        <v>0.70537460352295545</v>
      </c>
      <c r="F16" s="188">
        <f t="shared" si="6"/>
        <v>0.70645376265262749</v>
      </c>
      <c r="G16" s="188">
        <f t="shared" si="6"/>
        <v>0.70752092322540916</v>
      </c>
      <c r="H16" s="188">
        <f t="shared" si="6"/>
        <v>0.70857628424270835</v>
      </c>
      <c r="I16" s="188">
        <f t="shared" si="6"/>
        <v>0.70962004032942605</v>
      </c>
      <c r="J16" s="188">
        <f t="shared" si="6"/>
        <v>0.71065238185361035</v>
      </c>
      <c r="K16" s="188">
        <f t="shared" si="6"/>
        <v>0.71167349504220578</v>
      </c>
      <c r="L16" s="188">
        <f t="shared" si="6"/>
        <v>0.71268356209304784</v>
      </c>
      <c r="M16" s="188">
        <f t="shared" si="6"/>
        <v>0.71368276128324026</v>
      </c>
      <c r="O16" s="188">
        <f>R6</f>
        <v>4.0988391645958456E-3</v>
      </c>
    </row>
    <row r="18" spans="2:13" ht="14.25" customHeight="1" x14ac:dyDescent="0.3">
      <c r="B18" s="188" t="s">
        <v>313</v>
      </c>
      <c r="M18" s="188">
        <f>M15*(1+R4)/(R5-R4)</f>
        <v>61570.659715921654</v>
      </c>
    </row>
    <row r="20" spans="2:13" ht="14.25" customHeight="1" x14ac:dyDescent="0.3">
      <c r="B20" s="188" t="s">
        <v>314</v>
      </c>
      <c r="D20" s="188">
        <f t="shared" ref="D20:M20" si="7">1/(1+$R$5)^D3</f>
        <v>0.87979534597026432</v>
      </c>
      <c r="E20" s="188">
        <f t="shared" si="7"/>
        <v>0.77403985079093707</v>
      </c>
      <c r="F20" s="188">
        <f t="shared" si="7"/>
        <v>0.68099665832138412</v>
      </c>
      <c r="G20" s="188">
        <f t="shared" si="7"/>
        <v>0.59913769061245603</v>
      </c>
      <c r="H20" s="188">
        <f t="shared" si="7"/>
        <v>0.52711855179621092</v>
      </c>
      <c r="I20" s="188">
        <f t="shared" si="7"/>
        <v>0.46375644864489213</v>
      </c>
      <c r="J20" s="188">
        <f t="shared" si="7"/>
        <v>0.40801076518147394</v>
      </c>
      <c r="K20" s="188">
        <f t="shared" si="7"/>
        <v>0.35896597231242716</v>
      </c>
      <c r="L20" s="188">
        <f t="shared" si="7"/>
        <v>0.31581659180216415</v>
      </c>
      <c r="M20" s="188">
        <f t="shared" si="7"/>
        <v>0.27785396764773473</v>
      </c>
    </row>
    <row r="22" spans="2:13" ht="14.25" customHeight="1" x14ac:dyDescent="0.3">
      <c r="B22" s="188" t="s">
        <v>315</v>
      </c>
      <c r="D22" s="188">
        <f>SUMPRODUCT(D15:M15,D20:M20)</f>
        <v>27362.925522800149</v>
      </c>
    </row>
    <row r="23" spans="2:13" ht="14.25" customHeight="1" x14ac:dyDescent="0.3">
      <c r="B23" s="188" t="s">
        <v>316</v>
      </c>
      <c r="D23" s="188">
        <f>M18*M20</f>
        <v>17107.65209275738</v>
      </c>
    </row>
    <row r="24" spans="2:13" ht="14.25" customHeight="1" x14ac:dyDescent="0.3">
      <c r="I24" s="294" t="s">
        <v>317</v>
      </c>
      <c r="J24" s="295"/>
      <c r="K24" s="295"/>
      <c r="L24" s="295"/>
      <c r="M24" s="295"/>
    </row>
    <row r="25" spans="2:13" ht="14.25" customHeight="1" x14ac:dyDescent="0.3">
      <c r="B25" s="192" t="s">
        <v>318</v>
      </c>
      <c r="D25" s="192">
        <f>D22+D23</f>
        <v>44470.577615557529</v>
      </c>
      <c r="I25" s="193">
        <f>D32</f>
        <v>1572.1227525414929</v>
      </c>
      <c r="J25" s="192">
        <f>K25-1%</f>
        <v>0.12662797215319485</v>
      </c>
      <c r="K25" s="192">
        <f>R5</f>
        <v>0.13662797215319486</v>
      </c>
      <c r="L25" s="192">
        <f>K25+1%</f>
        <v>0.14662797215319487</v>
      </c>
      <c r="M25" s="192">
        <f>L25+1%</f>
        <v>0.15662797215319488</v>
      </c>
    </row>
    <row r="26" spans="2:13" ht="14.25" customHeight="1" x14ac:dyDescent="0.3">
      <c r="B26" s="194" t="s">
        <v>319</v>
      </c>
      <c r="D26" s="188">
        <f>'Consolidated FS'!R23</f>
        <v>22201</v>
      </c>
      <c r="I26" s="196">
        <f>I27-1%</f>
        <v>4.7E-2</v>
      </c>
      <c r="J26" s="188">
        <v>647.64580620614595</v>
      </c>
      <c r="K26" s="188">
        <v>647.64580620614595</v>
      </c>
      <c r="L26" s="188">
        <v>525.46010599211502</v>
      </c>
      <c r="M26" s="188">
        <v>380.79479708645698</v>
      </c>
    </row>
    <row r="27" spans="2:13" ht="14.25" customHeight="1" x14ac:dyDescent="0.3">
      <c r="B27" s="194" t="s">
        <v>320</v>
      </c>
      <c r="D27" s="188">
        <f>WACC!C6</f>
        <v>2477</v>
      </c>
      <c r="I27" s="196">
        <f>I28-1%</f>
        <v>5.7000000000000002E-2</v>
      </c>
      <c r="J27" s="188">
        <v>488.12562856699702</v>
      </c>
      <c r="K27" s="188">
        <v>488.12562856699702</v>
      </c>
      <c r="L27" s="188">
        <v>411.636913568811</v>
      </c>
      <c r="M27" s="188">
        <v>313.33095938802302</v>
      </c>
    </row>
    <row r="28" spans="2:13" ht="14.25" customHeight="1" x14ac:dyDescent="0.3">
      <c r="B28" s="194" t="s">
        <v>321</v>
      </c>
      <c r="D28" s="188">
        <f>'Consolidated FS'!R34</f>
        <v>445</v>
      </c>
      <c r="I28" s="196">
        <v>6.7000000000000004E-2</v>
      </c>
      <c r="J28" s="188">
        <v>384.07289250976402</v>
      </c>
      <c r="K28" s="197">
        <v>384.07289250976402</v>
      </c>
      <c r="L28" s="188">
        <v>332.973848335573</v>
      </c>
      <c r="M28" s="188">
        <v>263.15812672608303</v>
      </c>
    </row>
    <row r="29" spans="2:13" ht="15" customHeight="1" thickBot="1" x14ac:dyDescent="0.35">
      <c r="B29" s="198" t="s">
        <v>322</v>
      </c>
      <c r="C29" s="199"/>
      <c r="D29" s="198">
        <f>D25+D26-D27-D28</f>
        <v>63749.577615557529</v>
      </c>
      <c r="I29" s="196">
        <f>I28+1%</f>
        <v>7.6999999999999999E-2</v>
      </c>
      <c r="J29" s="188">
        <v>311.96099915341898</v>
      </c>
      <c r="K29" s="200">
        <v>311.96099915341898</v>
      </c>
      <c r="L29" s="188">
        <v>276.13090880691499</v>
      </c>
      <c r="M29" s="188">
        <v>224.78524187873401</v>
      </c>
    </row>
    <row r="30" spans="2:13" ht="15" customHeight="1" thickTop="1" x14ac:dyDescent="0.3">
      <c r="I30" s="196">
        <f>I29+1%</f>
        <v>8.6999999999999994E-2</v>
      </c>
      <c r="J30" s="188">
        <v>259.700083446272</v>
      </c>
      <c r="K30" s="188">
        <v>259.700083446272</v>
      </c>
      <c r="L30" s="188">
        <v>233.60487919839599</v>
      </c>
      <c r="M30" s="188">
        <v>194.742479081602</v>
      </c>
    </row>
    <row r="31" spans="2:13" ht="14.25" customHeight="1" x14ac:dyDescent="0.3">
      <c r="B31" s="194" t="s">
        <v>323</v>
      </c>
      <c r="D31">
        <v>40.549999999999997</v>
      </c>
    </row>
    <row r="32" spans="2:13" ht="15" customHeight="1" thickBot="1" x14ac:dyDescent="0.35">
      <c r="B32" s="201" t="s">
        <v>324</v>
      </c>
      <c r="C32" s="201"/>
      <c r="D32" s="201">
        <f>D29/D31</f>
        <v>1572.1227525414929</v>
      </c>
      <c r="F32" s="201" t="s">
        <v>325</v>
      </c>
      <c r="G32" s="203" t="s">
        <v>326</v>
      </c>
    </row>
    <row r="33" spans="6:6" ht="15" customHeight="1" thickTop="1" x14ac:dyDescent="0.3"/>
    <row r="34" spans="6:6" x14ac:dyDescent="0.3">
      <c r="F34" s="202"/>
    </row>
  </sheetData>
  <mergeCells count="1">
    <mergeCell ref="I24:M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S30"/>
  <sheetViews>
    <sheetView showGridLines="0" workbookViewId="0">
      <selection activeCell="M19" sqref="M19"/>
    </sheetView>
  </sheetViews>
  <sheetFormatPr defaultColWidth="8.6640625" defaultRowHeight="14.4" x14ac:dyDescent="0.3"/>
  <cols>
    <col min="1" max="1" width="1.88671875" customWidth="1"/>
    <col min="2" max="2" width="30.6640625" bestFit="1" customWidth="1"/>
    <col min="3" max="3" width="12" customWidth="1"/>
    <col min="4" max="4" width="10.33203125" customWidth="1"/>
    <col min="5" max="5" width="11.33203125" customWidth="1"/>
    <col min="6" max="6" width="8.5546875" bestFit="1" customWidth="1"/>
    <col min="7" max="7" width="7.5546875" bestFit="1" customWidth="1"/>
    <col min="8" max="8" width="10.21875" bestFit="1" customWidth="1"/>
    <col min="10" max="10" width="8.5546875" bestFit="1" customWidth="1"/>
    <col min="11" max="11" width="7.5546875" bestFit="1" customWidth="1"/>
    <col min="12" max="12" width="9.109375" bestFit="1" customWidth="1"/>
    <col min="13" max="13" width="5.5546875" bestFit="1" customWidth="1"/>
    <col min="15" max="15" width="11.44140625" bestFit="1" customWidth="1"/>
    <col min="16" max="16" width="10.21875" bestFit="1" customWidth="1"/>
    <col min="17" max="17" width="9.5546875" bestFit="1" customWidth="1"/>
  </cols>
  <sheetData>
    <row r="2" spans="2:19" ht="15.6" customHeight="1" x14ac:dyDescent="0.3">
      <c r="B2" s="236" t="s">
        <v>327</v>
      </c>
      <c r="C2" s="204"/>
      <c r="D2" s="205"/>
      <c r="E2" s="205"/>
      <c r="F2" s="205"/>
      <c r="G2" s="205"/>
      <c r="H2" s="205"/>
      <c r="I2" s="206"/>
      <c r="J2" s="206"/>
      <c r="K2" s="206"/>
      <c r="L2" s="206"/>
      <c r="M2" s="206"/>
      <c r="N2" s="206"/>
      <c r="O2" s="206"/>
      <c r="P2" s="206"/>
      <c r="Q2" s="206"/>
    </row>
    <row r="4" spans="2:19" ht="14.25" customHeight="1" x14ac:dyDescent="0.3">
      <c r="B4" s="207" t="s">
        <v>328</v>
      </c>
    </row>
    <row r="5" spans="2:19" ht="14.25" customHeight="1" x14ac:dyDescent="0.3">
      <c r="B5" s="296" t="s">
        <v>329</v>
      </c>
      <c r="C5" s="280"/>
      <c r="D5" s="280"/>
      <c r="E5" s="280"/>
      <c r="F5" s="280"/>
      <c r="G5" s="280"/>
      <c r="H5" s="280"/>
      <c r="I5" s="280"/>
      <c r="J5" s="280"/>
      <c r="K5" s="280"/>
      <c r="L5" s="280"/>
      <c r="M5" s="280"/>
      <c r="N5" s="280"/>
      <c r="O5" s="280"/>
      <c r="P5" s="280"/>
      <c r="Q5" s="280"/>
    </row>
    <row r="7" spans="2:19" ht="14.25" customHeight="1" x14ac:dyDescent="0.3">
      <c r="B7" s="297" t="s">
        <v>330</v>
      </c>
      <c r="C7" s="306" t="s">
        <v>331</v>
      </c>
      <c r="D7" s="300"/>
      <c r="E7" s="300"/>
      <c r="F7" s="300"/>
      <c r="G7" s="300"/>
      <c r="H7" s="300"/>
      <c r="I7" s="302"/>
      <c r="J7" s="304" t="s">
        <v>332</v>
      </c>
      <c r="K7" s="300"/>
      <c r="L7" s="300"/>
      <c r="M7" s="300"/>
      <c r="N7" s="299"/>
      <c r="O7" s="299" t="s">
        <v>333</v>
      </c>
      <c r="P7" s="300"/>
      <c r="Q7" s="301"/>
    </row>
    <row r="8" spans="2:19" ht="29.4" customHeight="1" thickBot="1" x14ac:dyDescent="0.35">
      <c r="B8" s="298"/>
      <c r="C8" s="208" t="s">
        <v>334</v>
      </c>
      <c r="D8" s="208" t="s">
        <v>335</v>
      </c>
      <c r="E8" s="208" t="s">
        <v>336</v>
      </c>
      <c r="F8" s="208" t="s">
        <v>337</v>
      </c>
      <c r="G8" s="208" t="s">
        <v>338</v>
      </c>
      <c r="H8" s="209" t="s">
        <v>339</v>
      </c>
      <c r="I8" s="303"/>
      <c r="J8" s="211" t="s">
        <v>340</v>
      </c>
      <c r="K8" s="211" t="s">
        <v>166</v>
      </c>
      <c r="L8" s="211" t="s">
        <v>14</v>
      </c>
      <c r="M8" s="212" t="s">
        <v>341</v>
      </c>
      <c r="N8" s="305"/>
      <c r="O8" s="213" t="s">
        <v>342</v>
      </c>
      <c r="P8" s="211" t="s">
        <v>343</v>
      </c>
      <c r="Q8" s="212" t="s">
        <v>344</v>
      </c>
    </row>
    <row r="9" spans="2:19" ht="15" customHeight="1" thickBot="1" x14ac:dyDescent="0.35">
      <c r="B9" s="214" t="s">
        <v>345</v>
      </c>
      <c r="C9" s="216">
        <v>361.81</v>
      </c>
      <c r="D9" s="217">
        <v>2162</v>
      </c>
      <c r="E9" s="217">
        <f>IFERROR(C9*D9,0)</f>
        <v>782233.22</v>
      </c>
      <c r="F9" s="217">
        <v>11283</v>
      </c>
      <c r="G9" s="217">
        <v>12908</v>
      </c>
      <c r="H9" s="217">
        <f>IFERROR(E9+F9-G9,0)</f>
        <v>780608.22</v>
      </c>
      <c r="I9" s="218"/>
      <c r="J9" s="219">
        <v>267021</v>
      </c>
      <c r="K9" s="220">
        <v>76450</v>
      </c>
      <c r="L9" s="220">
        <v>49454</v>
      </c>
      <c r="M9" s="220">
        <f>IFERROR(L9/C9,0)</f>
        <v>136.68500041458225</v>
      </c>
      <c r="N9" s="215"/>
      <c r="O9" s="221">
        <f>IFERROR(H9/J9,0)</f>
        <v>2.923396362083881</v>
      </c>
      <c r="P9" s="221">
        <f>IFERROR(H9/K9,0)</f>
        <v>10.210702681491171</v>
      </c>
      <c r="Q9" s="222">
        <f>IFERROR(D9/M9,0)</f>
        <v>15.81739030209892</v>
      </c>
    </row>
    <row r="10" spans="2:19" ht="15" customHeight="1" thickBot="1" x14ac:dyDescent="0.35">
      <c r="B10" s="247" t="s">
        <v>346</v>
      </c>
      <c r="C10" s="248">
        <v>405.73</v>
      </c>
      <c r="D10" s="249">
        <v>1134</v>
      </c>
      <c r="E10" s="249">
        <f>IFERROR(C10*D10,0)</f>
        <v>460097.82</v>
      </c>
      <c r="F10" s="249">
        <v>9176</v>
      </c>
      <c r="G10" s="249">
        <v>22201</v>
      </c>
      <c r="H10" s="249">
        <f>IFERROR(E10+F10-G10,0)</f>
        <v>447072.82</v>
      </c>
      <c r="I10" s="250"/>
      <c r="J10" s="251">
        <v>178650</v>
      </c>
      <c r="K10" s="252">
        <v>46226</v>
      </c>
      <c r="L10" s="252">
        <v>29474</v>
      </c>
      <c r="M10" s="249">
        <f>IFERROR(L10/C10,0)</f>
        <v>72.644369408227149</v>
      </c>
      <c r="N10" s="253"/>
      <c r="O10" s="254">
        <f>IFERROR(H10/J10,0)</f>
        <v>2.5025066890568151</v>
      </c>
      <c r="P10" s="254">
        <f>IFERROR(H10/K10,0)</f>
        <v>9.6714580539090562</v>
      </c>
      <c r="Q10" s="255">
        <f>IFERROR(D10/M10,0)</f>
        <v>15.610294496844675</v>
      </c>
      <c r="S10" s="224"/>
    </row>
    <row r="11" spans="2:19" ht="15" customHeight="1" thickBot="1" x14ac:dyDescent="0.35">
      <c r="B11" s="214" t="s">
        <v>347</v>
      </c>
      <c r="C11" s="216">
        <v>271.37</v>
      </c>
      <c r="D11" s="217">
        <v>1119.3</v>
      </c>
      <c r="E11" s="217">
        <f>IFERROR(C11*D11,0)</f>
        <v>303744.44099999999</v>
      </c>
      <c r="F11" s="217">
        <v>303850.07</v>
      </c>
      <c r="G11" s="217">
        <v>5215</v>
      </c>
      <c r="H11" s="217">
        <f>IFERROR(E11+F11-G11,0)</f>
        <v>602379.51099999994</v>
      </c>
      <c r="I11" s="223"/>
      <c r="J11" s="219">
        <v>130144</v>
      </c>
      <c r="K11" s="220">
        <v>28282</v>
      </c>
      <c r="L11" s="220">
        <v>16652</v>
      </c>
      <c r="M11" s="217">
        <f>IFERROR(L11/C11,0)</f>
        <v>61.36271511220842</v>
      </c>
      <c r="N11" s="210"/>
      <c r="O11" s="221">
        <f>IFERROR(H11/J11,0)</f>
        <v>4.6285615241578553</v>
      </c>
      <c r="P11" s="221">
        <f>IFERROR(H11/K11,0)</f>
        <v>21.299042182306767</v>
      </c>
      <c r="Q11" s="222">
        <f>IFERROR(D11/M11,0)</f>
        <v>18.240718292097046</v>
      </c>
    </row>
    <row r="12" spans="2:19" ht="15" customHeight="1" thickBot="1" x14ac:dyDescent="0.35">
      <c r="B12" s="237" t="s">
        <v>348</v>
      </c>
      <c r="C12" s="238">
        <v>1050.3</v>
      </c>
      <c r="D12" s="239">
        <v>181.38</v>
      </c>
      <c r="E12" s="240">
        <f>IFERROR(C12*D12,0)</f>
        <v>190503.41399999999</v>
      </c>
      <c r="F12" s="239">
        <v>190545.94</v>
      </c>
      <c r="G12" s="239">
        <v>20291</v>
      </c>
      <c r="H12" s="240">
        <f>IFERROR(E12+F12-G12,0)</f>
        <v>360758.35399999999</v>
      </c>
      <c r="I12" s="241"/>
      <c r="J12" s="242">
        <v>92624</v>
      </c>
      <c r="K12" s="243">
        <v>21710</v>
      </c>
      <c r="L12" s="243">
        <v>13265</v>
      </c>
      <c r="M12" s="240">
        <f>IFERROR(L12/C12,0)</f>
        <v>12.629724840521757</v>
      </c>
      <c r="N12" s="244"/>
      <c r="O12" s="245">
        <f>IFERROR(H12/J12,0)</f>
        <v>3.8948690836068405</v>
      </c>
      <c r="P12" s="245">
        <f>IFERROR(H12/K12,0)</f>
        <v>16.617151266697373</v>
      </c>
      <c r="Q12" s="246">
        <f>IFERROR(D12/M12,0)</f>
        <v>14.361358009800226</v>
      </c>
    </row>
    <row r="13" spans="2:19" ht="15" customHeight="1" thickBot="1" x14ac:dyDescent="0.35">
      <c r="B13" s="225" t="s">
        <v>349</v>
      </c>
      <c r="C13" s="216">
        <v>98.01</v>
      </c>
      <c r="D13" s="217">
        <v>1425.6</v>
      </c>
      <c r="E13" s="217">
        <f>IFERROR(C13*D13,0)</f>
        <v>139723.05600000001</v>
      </c>
      <c r="F13" s="217">
        <v>139697.51</v>
      </c>
      <c r="G13" s="217">
        <v>2186.1999999999998</v>
      </c>
      <c r="H13" s="217">
        <f>IFERROR(E13+F13-G13,0)</f>
        <v>277234.36599999998</v>
      </c>
      <c r="I13" s="223"/>
      <c r="J13" s="219">
        <v>9064.5</v>
      </c>
      <c r="K13" s="220">
        <v>4805.5</v>
      </c>
      <c r="L13" s="220">
        <v>4805.5</v>
      </c>
      <c r="M13" s="217">
        <f>IFERROR(L13/C13,0)</f>
        <v>49.030711151923271</v>
      </c>
      <c r="N13" s="210"/>
      <c r="O13" s="221">
        <f>IFERROR(H13/J13,0)</f>
        <v>30.584628606100722</v>
      </c>
      <c r="P13" s="221">
        <f>IFERROR(H13/K13,0)</f>
        <v>57.691055249193631</v>
      </c>
      <c r="Q13" s="222">
        <f>IFERROR(D13/M13,0)</f>
        <v>29.075654146290709</v>
      </c>
    </row>
    <row r="14" spans="2:19" ht="14.25" customHeight="1" x14ac:dyDescent="0.3">
      <c r="B14" s="226"/>
      <c r="C14" s="217"/>
      <c r="D14" s="227"/>
      <c r="E14" s="227"/>
      <c r="F14" s="227"/>
      <c r="G14" s="227"/>
      <c r="H14" s="227"/>
      <c r="J14" s="227"/>
      <c r="K14" s="227"/>
      <c r="L14" s="227"/>
      <c r="M14" s="228"/>
      <c r="O14" s="221"/>
      <c r="P14" s="221"/>
      <c r="Q14" s="229"/>
    </row>
    <row r="15" spans="2:19" ht="14.25" customHeight="1" x14ac:dyDescent="0.3">
      <c r="B15" t="s">
        <v>350</v>
      </c>
      <c r="O15" s="221">
        <f>IFERROR(MAX(O9:O13),0)</f>
        <v>30.584628606100722</v>
      </c>
      <c r="P15" s="221">
        <f>IFERROR(MAX(P9:P13),0)</f>
        <v>57.691055249193631</v>
      </c>
      <c r="Q15" s="221">
        <f>IFERROR(MAX(Q9:Q13),0)</f>
        <v>29.075654146290709</v>
      </c>
    </row>
    <row r="16" spans="2:19" ht="14.25" customHeight="1" x14ac:dyDescent="0.3">
      <c r="B16" t="s">
        <v>351</v>
      </c>
      <c r="O16" s="105">
        <f>IFERROR(QUARTILE(O9:O13,3),0)</f>
        <v>4.6285615241578553</v>
      </c>
      <c r="P16" s="105">
        <f>IFERROR(QUARTILE(P9:P13,3),0)</f>
        <v>21.299042182306767</v>
      </c>
      <c r="Q16" s="105">
        <f>IFERROR(QUARTILE(Q9:Q13,3),0)</f>
        <v>18.240718292097046</v>
      </c>
      <c r="R16" s="105"/>
    </row>
    <row r="17" spans="2:17" ht="14.25" customHeight="1" x14ac:dyDescent="0.3">
      <c r="B17" s="207" t="s">
        <v>352</v>
      </c>
      <c r="O17" s="221">
        <f>IFERROR(AVERAGE(O9:O13),0)</f>
        <v>8.9067924530012217</v>
      </c>
      <c r="P17" s="221">
        <f>IFERROR(AVERAGE(P9:P13),0)</f>
        <v>23.097881886719602</v>
      </c>
      <c r="Q17" s="221">
        <f>IFERROR(AVERAGE(Q9:Q13),0)</f>
        <v>18.621083049426318</v>
      </c>
    </row>
    <row r="18" spans="2:17" ht="14.25" customHeight="1" x14ac:dyDescent="0.3">
      <c r="B18" s="207" t="s">
        <v>353</v>
      </c>
      <c r="L18" s="221"/>
      <c r="O18" s="221">
        <f>IFERROR(MEDIAN(O9:O13),0)</f>
        <v>3.8948690836068405</v>
      </c>
      <c r="P18" s="221">
        <f>IFERROR(MEDIAN(P9:P13),0)</f>
        <v>16.617151266697373</v>
      </c>
      <c r="Q18" s="221">
        <f>IFERROR(MEDIAN(Q9:Q13),0)</f>
        <v>15.81739030209892</v>
      </c>
    </row>
    <row r="19" spans="2:17" ht="14.25" customHeight="1" x14ac:dyDescent="0.3">
      <c r="B19" t="s">
        <v>354</v>
      </c>
      <c r="O19" s="221">
        <f>IFERROR(QUARTILE(O9:O13,1),0)</f>
        <v>2.923396362083881</v>
      </c>
      <c r="P19" s="221">
        <f>IFERROR(QUARTILE(P9:P13,1),0)</f>
        <v>10.210702681491171</v>
      </c>
      <c r="Q19" s="221">
        <f>IFERROR(QUARTILE(Q9:Q13,1),0)</f>
        <v>15.610294496844675</v>
      </c>
    </row>
    <row r="20" spans="2:17" ht="14.25" customHeight="1" x14ac:dyDescent="0.3">
      <c r="B20" t="s">
        <v>355</v>
      </c>
      <c r="O20" s="221">
        <f>IFERROR(MIN(O9:O13),0)</f>
        <v>2.5025066890568151</v>
      </c>
      <c r="P20" s="221">
        <f>IFERROR(MIN(P9:P13),0)</f>
        <v>9.6714580539090562</v>
      </c>
      <c r="Q20" s="221">
        <f>IFERROR(MIN(Q9:Q13),0)</f>
        <v>14.361358009800226</v>
      </c>
    </row>
    <row r="22" spans="2:17" ht="14.25" customHeight="1" x14ac:dyDescent="0.3">
      <c r="B22" s="205" t="s">
        <v>356</v>
      </c>
      <c r="C22" s="205"/>
      <c r="D22" s="205"/>
      <c r="E22" s="205"/>
      <c r="F22" s="205"/>
      <c r="G22" s="205"/>
      <c r="H22" s="205"/>
      <c r="I22" s="205"/>
      <c r="J22" s="205"/>
      <c r="K22" s="205"/>
      <c r="L22" s="205"/>
      <c r="M22" s="205"/>
      <c r="N22" s="205"/>
      <c r="O22" s="230" t="s">
        <v>342</v>
      </c>
      <c r="P22" s="230" t="s">
        <v>343</v>
      </c>
      <c r="Q22" s="230" t="s">
        <v>344</v>
      </c>
    </row>
    <row r="23" spans="2:17" ht="14.25" customHeight="1" x14ac:dyDescent="0.3">
      <c r="B23" t="s">
        <v>357</v>
      </c>
      <c r="O23" s="105">
        <f>O10*J12</f>
        <v>231792.17956719844</v>
      </c>
      <c r="P23" s="105">
        <f>P10*K12</f>
        <v>209967.35435036561</v>
      </c>
      <c r="Q23" s="105">
        <f>SUM(Q25+Q24)</f>
        <v>196792.68235734216</v>
      </c>
    </row>
    <row r="24" spans="2:17" ht="14.25" customHeight="1" x14ac:dyDescent="0.3">
      <c r="B24" t="s">
        <v>358</v>
      </c>
      <c r="O24" s="105">
        <f>F10-G10</f>
        <v>-13025</v>
      </c>
      <c r="P24" s="105">
        <f>O24</f>
        <v>-13025</v>
      </c>
      <c r="Q24" s="105">
        <f>P24</f>
        <v>-13025</v>
      </c>
    </row>
    <row r="25" spans="2:17" ht="14.25" customHeight="1" x14ac:dyDescent="0.3">
      <c r="B25" t="s">
        <v>359</v>
      </c>
      <c r="O25" s="105">
        <f>O23-O24</f>
        <v>244817.17956719844</v>
      </c>
      <c r="P25" s="105">
        <f>P23-P24</f>
        <v>222992.35435036561</v>
      </c>
      <c r="Q25" s="105">
        <f>Q18*L12</f>
        <v>209817.68235734216</v>
      </c>
    </row>
    <row r="26" spans="2:17" ht="14.25" customHeight="1" x14ac:dyDescent="0.3">
      <c r="B26" t="s">
        <v>360</v>
      </c>
      <c r="O26" s="105">
        <f>C10</f>
        <v>405.73</v>
      </c>
      <c r="P26" s="105">
        <f>O26</f>
        <v>405.73</v>
      </c>
      <c r="Q26" s="105">
        <f>P26</f>
        <v>405.73</v>
      </c>
    </row>
    <row r="28" spans="2:17" ht="15" customHeight="1" thickBot="1" x14ac:dyDescent="0.35">
      <c r="B28" s="231" t="s">
        <v>361</v>
      </c>
      <c r="C28" s="232"/>
      <c r="D28" s="232"/>
      <c r="E28" s="232"/>
      <c r="F28" s="232"/>
      <c r="G28" s="232"/>
      <c r="H28" s="232"/>
      <c r="I28" s="232"/>
      <c r="J28" s="232"/>
      <c r="K28" s="232"/>
      <c r="L28" s="232"/>
      <c r="M28" s="232"/>
      <c r="N28" s="232"/>
      <c r="O28" s="231">
        <f>O25/O26</f>
        <v>603.39925459590972</v>
      </c>
      <c r="P28" s="233">
        <f>P25/P26</f>
        <v>549.60775478856772</v>
      </c>
      <c r="Q28" s="233">
        <f>Q25/Q26</f>
        <v>517.13622940709865</v>
      </c>
    </row>
    <row r="29" spans="2:17" ht="15" customHeight="1" thickTop="1" x14ac:dyDescent="0.3">
      <c r="O29" s="234"/>
      <c r="P29" s="234"/>
      <c r="Q29" s="234"/>
    </row>
    <row r="30" spans="2:17" ht="14.25" customHeight="1" x14ac:dyDescent="0.3">
      <c r="O30" s="235"/>
      <c r="P30" s="235"/>
      <c r="Q30" s="235"/>
    </row>
  </sheetData>
  <mergeCells count="7">
    <mergeCell ref="B5:Q5"/>
    <mergeCell ref="B7:B8"/>
    <mergeCell ref="O7:Q7"/>
    <mergeCell ref="I7:I8"/>
    <mergeCell ref="J7:M7"/>
    <mergeCell ref="N7:N8"/>
    <mergeCell ref="C7:H7"/>
  </mergeCells>
  <hyperlinks>
    <hyperlink ref="B9" r:id="rId1" display="https://www.screener.in/company/TCS/consolidated/" xr:uid="{00000000-0004-0000-0B00-000000000000}"/>
    <hyperlink ref="B10" r:id="rId2" display="Laurus Labs" xr:uid="{00000000-0004-0000-0B00-000001000000}"/>
    <hyperlink ref="B11" r:id="rId3" display="Glenmark Pharma." xr:uid="{00000000-0004-0000-0B00-000002000000}"/>
    <hyperlink ref="B12" r:id="rId4" display="Biocon" xr:uid="{00000000-0004-0000-0B00-000003000000}"/>
    <hyperlink ref="B13" r:id="rId5" display="Anthem Bioscienc" xr:uid="{00000000-0004-0000-0B00-000004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0"/>
  <sheetViews>
    <sheetView showGridLines="0" tabSelected="1" topLeftCell="A4" workbookViewId="0">
      <selection activeCell="G5" sqref="G5:G30"/>
    </sheetView>
  </sheetViews>
  <sheetFormatPr defaultRowHeight="14.4" x14ac:dyDescent="0.3"/>
  <cols>
    <col min="1" max="1" width="40" customWidth="1"/>
    <col min="2" max="6" width="15" customWidth="1"/>
  </cols>
  <sheetData>
    <row r="1" spans="1:6" ht="18" x14ac:dyDescent="0.3">
      <c r="A1" s="281" t="s">
        <v>362</v>
      </c>
      <c r="B1" s="280"/>
      <c r="C1" s="280"/>
      <c r="D1" s="280"/>
      <c r="E1" s="280"/>
      <c r="F1" s="280"/>
    </row>
    <row r="3" spans="1:6" ht="15.6" x14ac:dyDescent="0.3">
      <c r="A3" s="275" t="s">
        <v>363</v>
      </c>
      <c r="B3" s="275" t="s">
        <v>364</v>
      </c>
      <c r="C3" s="275" t="s">
        <v>365</v>
      </c>
      <c r="D3" s="275" t="s">
        <v>366</v>
      </c>
      <c r="E3" s="275" t="s">
        <v>367</v>
      </c>
      <c r="F3" s="275" t="s">
        <v>368</v>
      </c>
    </row>
    <row r="4" spans="1:6" x14ac:dyDescent="0.3">
      <c r="A4" s="279" t="s">
        <v>369</v>
      </c>
      <c r="B4" s="280"/>
      <c r="C4" s="280"/>
      <c r="D4" s="280"/>
      <c r="E4" s="280"/>
      <c r="F4" s="280"/>
    </row>
    <row r="5" spans="1:6" x14ac:dyDescent="0.3">
      <c r="A5" s="276" t="s">
        <v>293</v>
      </c>
      <c r="B5" s="277"/>
      <c r="C5" s="277">
        <f>('Consolidated FS'!D7-'Consolidated FS'!C7)/'Consolidated FS'!C7</f>
        <v>0.25509491043315985</v>
      </c>
      <c r="D5" s="277">
        <f>('Consolidated FS'!E7-'Consolidated FS'!D7)/'Consolidated FS'!D7</f>
        <v>6.1275553313988901E-2</v>
      </c>
      <c r="E5" s="277">
        <f>('Consolidated FS'!F7-'Consolidated FS'!E7)/'Consolidated FS'!E7</f>
        <v>5.949662399861751E-3</v>
      </c>
      <c r="F5" s="277">
        <f>('Consolidated FS'!G7-'Consolidated FS'!F7)/'Consolidated FS'!F7</f>
        <v>9.6079514080618447E-2</v>
      </c>
    </row>
    <row r="6" spans="1:6" x14ac:dyDescent="0.3">
      <c r="A6" s="276" t="s">
        <v>370</v>
      </c>
      <c r="B6" s="277"/>
      <c r="C6" s="277">
        <f>(('Consolidated FS'!D7-('Consolidated FS'!D10+'Consolidated FS'!D11+'Consolidated FS'!D12+'Consolidated FS'!D13+'Consolidated FS'!D14+'Consolidated FS'!D15+'Consolidated FS'!D18))-('Consolidated FS'!C7-('Consolidated FS'!C10+'Consolidated FS'!C11+'Consolidated FS'!C12+'Consolidated FS'!C13+'Consolidated FS'!C14+'Consolidated FS'!C15+'Consolidated FS'!C18)))/('Consolidated FS'!C7-('Consolidated FS'!C10+'Consolidated FS'!C11+'Consolidated FS'!C12+'Consolidated FS'!C13+'Consolidated FS'!C14+'Consolidated FS'!C15+'Consolidated FS'!C18))</f>
        <v>0.52557873678193767</v>
      </c>
      <c r="D6" s="277">
        <f>(('Consolidated FS'!E7-('Consolidated FS'!E10+'Consolidated FS'!E11+'Consolidated FS'!E12+'Consolidated FS'!E13+'Consolidated FS'!E14+'Consolidated FS'!E15+'Consolidated FS'!E18))-('Consolidated FS'!D7-('Consolidated FS'!D10+'Consolidated FS'!D11+'Consolidated FS'!D12+'Consolidated FS'!D13+'Consolidated FS'!D14+'Consolidated FS'!D15+'Consolidated FS'!D18)))/('Consolidated FS'!D7-('Consolidated FS'!D10+'Consolidated FS'!D11+'Consolidated FS'!D12+'Consolidated FS'!D13+'Consolidated FS'!D14+'Consolidated FS'!D15+'Consolidated FS'!D18))</f>
        <v>4.3004038133300032E-2</v>
      </c>
      <c r="E6" s="277">
        <f>(('Consolidated FS'!F7-('Consolidated FS'!F10+'Consolidated FS'!F11+'Consolidated FS'!F12+'Consolidated FS'!F13+'Consolidated FS'!F14+'Consolidated FS'!F15+'Consolidated FS'!F18))-('Consolidated FS'!E7-('Consolidated FS'!E10+'Consolidated FS'!E11+'Consolidated FS'!E12+'Consolidated FS'!E13+'Consolidated FS'!E14+'Consolidated FS'!E15+'Consolidated FS'!E18)))/('Consolidated FS'!E7-('Consolidated FS'!E10+'Consolidated FS'!E11+'Consolidated FS'!E12+'Consolidated FS'!E13+'Consolidated FS'!E14+'Consolidated FS'!E15+'Consolidated FS'!E18))</f>
        <v>-0.21697134190149278</v>
      </c>
      <c r="F6" s="277">
        <f>(('Consolidated FS'!G7-('Consolidated FS'!G10+'Consolidated FS'!G11+'Consolidated FS'!G12+'Consolidated FS'!G13+'Consolidated FS'!G14+'Consolidated FS'!G15+'Consolidated FS'!G18))-('Consolidated FS'!F7-('Consolidated FS'!F10+'Consolidated FS'!F11+'Consolidated FS'!F12+'Consolidated FS'!F13+'Consolidated FS'!F14+'Consolidated FS'!F15+'Consolidated FS'!F18)))/('Consolidated FS'!F7-('Consolidated FS'!F10+'Consolidated FS'!F11+'Consolidated FS'!F12+'Consolidated FS'!F13+'Consolidated FS'!F14+'Consolidated FS'!F15+'Consolidated FS'!F18))</f>
        <v>7.7581812621062285E-2</v>
      </c>
    </row>
    <row r="7" spans="1:6" x14ac:dyDescent="0.3">
      <c r="A7" s="276" t="s">
        <v>371</v>
      </c>
      <c r="B7" s="277"/>
      <c r="C7" s="277">
        <f>(('Consolidated FS'!D7-'Consolidated FS'!D19)-('Consolidated FS'!C7-'Consolidated FS'!C19))/('Consolidated FS'!C7-'Consolidated FS'!C19)</f>
        <v>0.57048355204026602</v>
      </c>
      <c r="D7" s="277">
        <f>(('Consolidated FS'!E7-'Consolidated FS'!E19)-('Consolidated FS'!D7-'Consolidated FS'!D19))/('Consolidated FS'!D7-'Consolidated FS'!D19)</f>
        <v>3.5253988965959299E-2</v>
      </c>
      <c r="E7" s="277">
        <f>(('Consolidated FS'!F7-'Consolidated FS'!F19)-('Consolidated FS'!E7-'Consolidated FS'!E19))/('Consolidated FS'!E7-'Consolidated FS'!E19)</f>
        <v>-0.24799327775689362</v>
      </c>
      <c r="F7" s="277">
        <f>(('Consolidated FS'!G7-'Consolidated FS'!G19)-('Consolidated FS'!F7-'Consolidated FS'!F19))/('Consolidated FS'!F7-'Consolidated FS'!F19)</f>
        <v>8.6861914843566215E-2</v>
      </c>
    </row>
    <row r="8" spans="1:6" x14ac:dyDescent="0.3">
      <c r="A8" s="276" t="s">
        <v>372</v>
      </c>
      <c r="B8" s="277"/>
      <c r="C8" s="277">
        <f>('Consolidated FS'!D23-'Consolidated FS'!C23)/'Consolidated FS'!C23</f>
        <v>0.60877810891357353</v>
      </c>
      <c r="D8" s="277">
        <f>('Consolidated FS'!E23-'Consolidated FS'!D23)/'Consolidated FS'!D23</f>
        <v>3.062198271022791E-2</v>
      </c>
      <c r="E8" s="277">
        <f>('Consolidated FS'!F23-'Consolidated FS'!E23)/'Consolidated FS'!E23</f>
        <v>-0.27149432174078814</v>
      </c>
      <c r="F8" s="277">
        <f>('Consolidated FS'!G23-'Consolidated FS'!F23)/'Consolidated FS'!F23</f>
        <v>0.10183177570093457</v>
      </c>
    </row>
    <row r="9" spans="1:6" x14ac:dyDescent="0.3">
      <c r="A9" s="279" t="s">
        <v>373</v>
      </c>
      <c r="B9" s="280"/>
      <c r="C9" s="280"/>
      <c r="D9" s="280"/>
      <c r="E9" s="280"/>
      <c r="F9" s="280"/>
    </row>
    <row r="10" spans="1:6" x14ac:dyDescent="0.3">
      <c r="A10" s="276" t="s">
        <v>374</v>
      </c>
      <c r="B10" s="277">
        <f>('Consolidated FS'!C7-('Consolidated FS'!C10+'Consolidated FS'!C11+'Consolidated FS'!C12+'Consolidated FS'!C13+'Consolidated FS'!C14+'Consolidated FS'!C15+'Consolidated FS'!C18))/'Consolidated FS'!C7</f>
        <v>0.25888475102966929</v>
      </c>
      <c r="C10" s="277">
        <f>('Consolidated FS'!D7-('Consolidated FS'!D10+'Consolidated FS'!D11+'Consolidated FS'!D12+'Consolidated FS'!D13+'Consolidated FS'!D14+'Consolidated FS'!D15+'Consolidated FS'!D18))/'Consolidated FS'!D7</f>
        <v>0.31467665764945535</v>
      </c>
      <c r="D10" s="277">
        <f>('Consolidated FS'!E7-('Consolidated FS'!E10+'Consolidated FS'!E11+'Consolidated FS'!E12+'Consolidated FS'!E13+'Consolidated FS'!E14+'Consolidated FS'!E15+'Consolidated FS'!E18))/'Consolidated FS'!E7</f>
        <v>0.3092590078135608</v>
      </c>
      <c r="E10" s="277">
        <f>('Consolidated FS'!F7-('Consolidated FS'!F10+'Consolidated FS'!F11+'Consolidated FS'!F12+'Consolidated FS'!F13+'Consolidated FS'!F14+'Consolidated FS'!F15+'Consolidated FS'!F18))/'Consolidated FS'!F7</f>
        <v>0.24072642493404503</v>
      </c>
      <c r="F10" s="277">
        <f>('Consolidated FS'!G7-('Consolidated FS'!G10+'Consolidated FS'!G11+'Consolidated FS'!G12+'Consolidated FS'!G13+'Consolidated FS'!G14+'Consolidated FS'!G15+'Consolidated FS'!G18))/'Consolidated FS'!G7</f>
        <v>0.23666386789812482</v>
      </c>
    </row>
    <row r="11" spans="1:6" x14ac:dyDescent="0.3">
      <c r="A11" s="276" t="s">
        <v>305</v>
      </c>
      <c r="B11" s="277">
        <f>('Consolidated FS'!C7-'Consolidated FS'!C19)/'Consolidated FS'!C7</f>
        <v>0.2286646772058763</v>
      </c>
      <c r="C11" s="277">
        <f>('Consolidated FS'!D7-'Consolidated FS'!D19)/'Consolidated FS'!D7</f>
        <v>0.2861250663190783</v>
      </c>
      <c r="D11" s="277">
        <f>('Consolidated FS'!E7-'Consolidated FS'!E19)/'Consolidated FS'!E7</f>
        <v>0.27910952563168873</v>
      </c>
      <c r="E11" s="277">
        <f>('Consolidated FS'!F7-'Consolidated FS'!F19)/'Consolidated FS'!F7</f>
        <v>0.20865083747469171</v>
      </c>
      <c r="F11" s="277">
        <f>('Consolidated FS'!G7-'Consolidated FS'!G19)/'Consolidated FS'!G7</f>
        <v>0.20689616568709768</v>
      </c>
    </row>
    <row r="12" spans="1:6" x14ac:dyDescent="0.3">
      <c r="A12" s="276" t="s">
        <v>375</v>
      </c>
      <c r="B12" s="277">
        <f>'Consolidated FS'!C20/'Consolidated FS'!C7</f>
        <v>0.24753167106485477</v>
      </c>
      <c r="C12" s="277">
        <f>'Consolidated FS'!D20/'Consolidated FS'!D7</f>
        <v>0.30523151089597894</v>
      </c>
      <c r="D12" s="277">
        <f>'Consolidated FS'!E20/'Consolidated FS'!E7</f>
        <v>0.29735968301383731</v>
      </c>
      <c r="E12" s="277">
        <f>'Consolidated FS'!F20/'Consolidated FS'!F7</f>
        <v>0.23073808209092583</v>
      </c>
      <c r="F12" s="277">
        <f>'Consolidated FS'!G20/'Consolidated FS'!G7</f>
        <v>0.22387349566190876</v>
      </c>
    </row>
    <row r="13" spans="1:6" x14ac:dyDescent="0.3">
      <c r="A13" s="276" t="s">
        <v>376</v>
      </c>
      <c r="B13" s="277">
        <f>'Consolidated FS'!C23/'Consolidated FS'!C7</f>
        <v>0.1820603250548746</v>
      </c>
      <c r="C13" s="277">
        <f>'Consolidated FS'!D23/'Consolidated FS'!D7</f>
        <v>0.23336455515454801</v>
      </c>
      <c r="D13" s="277">
        <f>'Consolidated FS'!E23/'Consolidated FS'!E7</f>
        <v>0.22662412205448509</v>
      </c>
      <c r="E13" s="277">
        <f>'Consolidated FS'!F23/'Consolidated FS'!F7</f>
        <v>0.16412049819007302</v>
      </c>
      <c r="F13" s="277">
        <f>'Consolidated FS'!G23/'Consolidated FS'!G7</f>
        <v>0.16498180800447804</v>
      </c>
    </row>
    <row r="14" spans="1:6" x14ac:dyDescent="0.3">
      <c r="A14" s="279" t="s">
        <v>377</v>
      </c>
      <c r="B14" s="280"/>
      <c r="C14" s="280"/>
      <c r="D14" s="280"/>
      <c r="E14" s="280"/>
      <c r="F14" s="280"/>
    </row>
    <row r="15" spans="1:6" x14ac:dyDescent="0.3">
      <c r="A15" s="276" t="s">
        <v>378</v>
      </c>
      <c r="B15" s="278">
        <f>'Consolidated FS'!C7/'Consolidated FS'!N23</f>
        <v>12.164099999999999</v>
      </c>
      <c r="C15" s="278">
        <f>'Consolidated FS'!D7/(('Consolidated FS'!O23+'Consolidated FS'!N23)/2)</f>
        <v>13.879181818181818</v>
      </c>
      <c r="D15" s="278">
        <f>'Consolidated FS'!E7/(('Consolidated FS'!P23+'Consolidated FS'!O23)/2)</f>
        <v>13.226612244897959</v>
      </c>
      <c r="E15" s="278">
        <f>'Consolidated FS'!F7/(('Consolidated FS'!Q23+'Consolidated FS'!P23)/2)</f>
        <v>8.8209985117034222</v>
      </c>
      <c r="F15" s="278">
        <f>'Consolidated FS'!G7/(('Consolidated FS'!R23+'Consolidated FS'!Q23)/2)</f>
        <v>7.6581790123456788</v>
      </c>
    </row>
    <row r="16" spans="1:6" x14ac:dyDescent="0.3">
      <c r="A16" s="276" t="s">
        <v>379</v>
      </c>
      <c r="B16" s="278">
        <f>365/B17</f>
        <v>11.336661120354965</v>
      </c>
      <c r="C16" s="278">
        <f>365/C17</f>
        <v>9.7678463905800488</v>
      </c>
      <c r="D16" s="278">
        <f>365/D17</f>
        <v>9.1316856984577992</v>
      </c>
      <c r="E16" s="278">
        <f>365/E17</f>
        <v>8.6594372707144824</v>
      </c>
      <c r="F16" s="278">
        <f>365/F17</f>
        <v>8.1875412480750889</v>
      </c>
    </row>
    <row r="17" spans="1:6" x14ac:dyDescent="0.3">
      <c r="A17" s="276" t="s">
        <v>380</v>
      </c>
      <c r="B17" s="278">
        <f>('Consolidated FS'!C10+'Consolidated FS'!C11+'Consolidated FS'!C12+'Consolidated FS'!C13+'Consolidated FS'!C14+'Consolidated FS'!C15+'Consolidated FS'!C18)/'Consolidated FS'!N43</f>
        <v>32.196428571428569</v>
      </c>
      <c r="C17" s="278">
        <f>('Consolidated FS'!D10+'Consolidated FS'!D11+'Consolidated FS'!D12+'Consolidated FS'!D13+'Consolidated FS'!D14+'Consolidated FS'!D15+'Consolidated FS'!D18)/(('Consolidated FS'!O43+'Consolidated FS'!N43)/2)</f>
        <v>37.3675</v>
      </c>
      <c r="D17" s="278">
        <f>('Consolidated FS'!E10+'Consolidated FS'!E11+'Consolidated FS'!E12+'Consolidated FS'!E13+'Consolidated FS'!E14+'Consolidated FS'!E15+'Consolidated FS'!E18)/(('Consolidated FS'!P43+'Consolidated FS'!O43)/2)</f>
        <v>39.970714285714287</v>
      </c>
      <c r="E17" s="278">
        <f>('Consolidated FS'!F10+'Consolidated FS'!F11+'Consolidated FS'!F12+'Consolidated FS'!F13+'Consolidated FS'!F14+'Consolidated FS'!F15+'Consolidated FS'!F18)/(('Consolidated FS'!Q43+'Consolidated FS'!P43)/2)</f>
        <v>42.150544959128062</v>
      </c>
      <c r="F17" s="278">
        <f>('Consolidated FS'!G10+'Consolidated FS'!G11+'Consolidated FS'!G12+'Consolidated FS'!G13+'Consolidated FS'!G14+'Consolidated FS'!G15+'Consolidated FS'!G18)/(('Consolidated FS'!R43+'Consolidated FS'!Q43)/2)</f>
        <v>44.579928081072246</v>
      </c>
    </row>
    <row r="18" spans="1:6" x14ac:dyDescent="0.3">
      <c r="A18" s="276" t="s">
        <v>381</v>
      </c>
      <c r="B18" s="278">
        <f>365/B17</f>
        <v>11.336661120354965</v>
      </c>
      <c r="C18" s="278">
        <f t="shared" ref="C18:F18" si="0">365/C17</f>
        <v>9.7678463905800488</v>
      </c>
      <c r="D18" s="278">
        <f t="shared" si="0"/>
        <v>9.1316856984577992</v>
      </c>
      <c r="E18" s="278">
        <f t="shared" si="0"/>
        <v>8.6594372707144824</v>
      </c>
      <c r="F18" s="278">
        <f t="shared" si="0"/>
        <v>8.1875412480750889</v>
      </c>
    </row>
    <row r="19" spans="1:6" x14ac:dyDescent="0.3">
      <c r="A19" s="276" t="s">
        <v>382</v>
      </c>
      <c r="B19" s="278">
        <f>B18-B21</f>
        <v>11.054327077340648</v>
      </c>
      <c r="C19" s="278">
        <f>C18-C21</f>
        <v>9.3357351972652314</v>
      </c>
      <c r="D19" s="278">
        <f>D18-D21</f>
        <v>8.7189712288923857</v>
      </c>
      <c r="E19" s="278">
        <f>E18-E21</f>
        <v>8.3743760758018926</v>
      </c>
      <c r="F19" s="278">
        <f>F18-F21</f>
        <v>7.876470007969548</v>
      </c>
    </row>
    <row r="20" spans="1:6" x14ac:dyDescent="0.3">
      <c r="A20" s="279" t="s">
        <v>383</v>
      </c>
      <c r="B20" s="280"/>
      <c r="C20" s="280"/>
      <c r="D20" s="280"/>
      <c r="E20" s="280"/>
      <c r="F20" s="280"/>
    </row>
    <row r="21" spans="1:6" x14ac:dyDescent="0.3">
      <c r="A21" s="276" t="s">
        <v>384</v>
      </c>
      <c r="B21" s="277">
        <f>'Consolidated FS'!C23/'Consolidated FS'!N35</f>
        <v>0.28233404301431686</v>
      </c>
      <c r="C21" s="277">
        <f>'Consolidated FS'!D23/(('Consolidated FS'!O35+'Consolidated FS'!N35)/2)</f>
        <v>0.43211119331481729</v>
      </c>
      <c r="D21" s="277">
        <f>'Consolidated FS'!E23/(('Consolidated FS'!P35+'Consolidated FS'!O35)/2)</f>
        <v>0.41271446956541286</v>
      </c>
      <c r="E21" s="277">
        <f>'Consolidated FS'!F23/(('Consolidated FS'!Q35+'Consolidated FS'!P35)/2)</f>
        <v>0.28506119491259013</v>
      </c>
      <c r="F21" s="277">
        <f>'Consolidated FS'!G23/(('Consolidated FS'!R35+'Consolidated FS'!Q35)/2)</f>
        <v>0.31107124010554088</v>
      </c>
    </row>
    <row r="22" spans="1:6" x14ac:dyDescent="0.3">
      <c r="A22" s="276" t="s">
        <v>385</v>
      </c>
      <c r="B22" s="277">
        <f>('Consolidated FS'!C7-'Consolidated FS'!C19)*(1-(('Consolidated FS'!C21+'Consolidated FS'!C22)/'Consolidated FS'!C20))/(('Consolidated FS'!N35+('Consolidated FS'!N37+'Consolidated FS'!N38))-'Consolidated FS'!N23)</f>
        <v>0.27372617052743742</v>
      </c>
      <c r="C22" s="277">
        <f>('Consolidated FS'!D7-'Consolidated FS'!D19)*(1-(('Consolidated FS'!D21+'Consolidated FS'!D22)/'Consolidated FS'!D20))/(('Consolidated FS'!O35+('Consolidated FS'!O37+'Consolidated FS'!O38))-'Consolidated FS'!O23)</f>
        <v>0.40648235249317821</v>
      </c>
      <c r="D22" s="277">
        <f>('Consolidated FS'!E7-'Consolidated FS'!E19)*(1-(('Consolidated FS'!E21+'Consolidated FS'!E22)/'Consolidated FS'!E20))/(('Consolidated FS'!P35+('Consolidated FS'!P37+'Consolidated FS'!P38))-'Consolidated FS'!P23)</f>
        <v>0.39947850590845169</v>
      </c>
      <c r="E22" s="277">
        <f>('Consolidated FS'!F7-'Consolidated FS'!F19)*(1-(('Consolidated FS'!F21+'Consolidated FS'!F22)/'Consolidated FS'!F20))/(('Consolidated FS'!Q35+('Consolidated FS'!Q37+'Consolidated FS'!Q38))-'Consolidated FS'!Q23)</f>
        <v>0.30365391598333802</v>
      </c>
      <c r="F22" s="277">
        <f>('Consolidated FS'!G7-'Consolidated FS'!G19)*(1-(('Consolidated FS'!G21+'Consolidated FS'!G22)/'Consolidated FS'!G20))/(('Consolidated FS'!R35+('Consolidated FS'!R37+'Consolidated FS'!R38))-'Consolidated FS'!R23)</f>
        <v>0.34390756220417656</v>
      </c>
    </row>
    <row r="23" spans="1:6" x14ac:dyDescent="0.3">
      <c r="A23" s="279" t="s">
        <v>386</v>
      </c>
      <c r="B23" s="280"/>
      <c r="C23" s="280"/>
      <c r="D23" s="280"/>
      <c r="E23" s="280"/>
      <c r="F23" s="280"/>
    </row>
    <row r="24" spans="1:6" x14ac:dyDescent="0.3">
      <c r="A24" s="276" t="s">
        <v>387</v>
      </c>
      <c r="B24" s="278">
        <f>('Consolidated FS'!C7-'Consolidated FS'!C19)/'Consolidated FS'!C17</f>
        <v>139.07499999999999</v>
      </c>
      <c r="C24" s="278">
        <f>('Consolidated FS'!D7-'Consolidated FS'!D19)/'Consolidated FS'!D17</f>
        <v>128.10263929618768</v>
      </c>
      <c r="D24" s="278">
        <f>('Consolidated FS'!E7-'Consolidated FS'!E19)/'Consolidated FS'!E17</f>
        <v>122.55555555555556</v>
      </c>
      <c r="E24" s="278">
        <f>('Consolidated FS'!F7-'Consolidated FS'!F19)/'Consolidated FS'!F17</f>
        <v>81.75</v>
      </c>
      <c r="F24" s="278">
        <f>('Consolidated FS'!G7-'Consolidated FS'!G19)/'Consolidated FS'!G17</f>
        <v>88.850961538461533</v>
      </c>
    </row>
    <row r="25" spans="1:6" x14ac:dyDescent="0.3">
      <c r="A25" s="276" t="s">
        <v>388</v>
      </c>
      <c r="B25" s="278">
        <f>(('Consolidated FS'!N37+'Consolidated FS'!N38+'Consolidated FS'!N45+'Consolidated FS'!N44))/('Consolidated FS'!N35)</f>
        <v>0.24095156746006452</v>
      </c>
      <c r="C25" s="278">
        <f>(('Consolidated FS'!O37+'Consolidated FS'!O38+'Consolidated FS'!O45+'Consolidated FS'!O44))/('Consolidated FS'!O35)</f>
        <v>0.23593907220429547</v>
      </c>
      <c r="D25" s="278">
        <f>(('Consolidated FS'!P37+'Consolidated FS'!P38+'Consolidated FS'!P45+'Consolidated FS'!P44))/('Consolidated FS'!P35)</f>
        <v>0.21863658227294591</v>
      </c>
      <c r="E25" s="278">
        <f>(('Consolidated FS'!Q37+'Consolidated FS'!Q38+'Consolidated FS'!Q45+'Consolidated FS'!Q44))/('Consolidated FS'!Q35)</f>
        <v>0.24637485317505692</v>
      </c>
      <c r="F25" s="278">
        <f>(('Consolidated FS'!R37+'Consolidated FS'!R38+'Consolidated FS'!R45+'Consolidated FS'!R44))/('Consolidated FS'!R35)</f>
        <v>0.26451011286536547</v>
      </c>
    </row>
    <row r="26" spans="1:6" x14ac:dyDescent="0.3">
      <c r="A26" s="276" t="s">
        <v>389</v>
      </c>
      <c r="B26" s="278">
        <f>(('Consolidated FS'!N37+'Consolidated FS'!N38+'Consolidated FS'!N45+'Consolidated FS'!N44)-'Consolidated FS'!N23)/('Consolidated FS'!C7-('Consolidated FS'!C10+'Consolidated FS'!C11+'Consolidated FS'!C12+'Consolidated FS'!C13+'Consolidated FS'!C14+'Consolidated FS'!C15+'Consolidated FS'!C18))</f>
        <v>0.2826204312343209</v>
      </c>
      <c r="C26" s="278">
        <f>(('Consolidated FS'!O37+'Consolidated FS'!O38+'Consolidated FS'!O45+'Consolidated FS'!O44)-'Consolidated FS'!O23)/('Consolidated FS'!D7-('Consolidated FS'!D10+'Consolidated FS'!D11+'Consolidated FS'!D12+'Consolidated FS'!D13+'Consolidated FS'!D14+'Consolidated FS'!D15+'Consolidated FS'!D18))</f>
        <v>0.17484700886724117</v>
      </c>
      <c r="D26" s="278">
        <f>(('Consolidated FS'!P37+'Consolidated FS'!P38+'Consolidated FS'!P45+'Consolidated FS'!P44)-'Consolidated FS'!P23)/('Consolidated FS'!E7-('Consolidated FS'!E10+'Consolidated FS'!E11+'Consolidated FS'!E12+'Consolidated FS'!E13+'Consolidated FS'!E14+'Consolidated FS'!E15+'Consolidated FS'!E18))</f>
        <v>0.14967669833160374</v>
      </c>
      <c r="E26" s="278">
        <f>(('Consolidated FS'!Q37+'Consolidated FS'!Q38+'Consolidated FS'!Q45+'Consolidated FS'!Q44)-'Consolidated FS'!Q23)/('Consolidated FS'!F7-('Consolidated FS'!F10+'Consolidated FS'!F11+'Consolidated FS'!F12+'Consolidated FS'!F13+'Consolidated FS'!F14+'Consolidated FS'!F15+'Consolidated FS'!F18))</f>
        <v>-1.9191558772555815E-2</v>
      </c>
      <c r="F26" s="278">
        <f>(('Consolidated FS'!R37+'Consolidated FS'!R38+'Consolidated FS'!R45+'Consolidated FS'!R44)-'Consolidated FS'!R23)/('Consolidated FS'!G7-('Consolidated FS'!G10+'Consolidated FS'!G11+'Consolidated FS'!G12+'Consolidated FS'!G13+'Consolidated FS'!G14+'Consolidated FS'!G15+'Consolidated FS'!G18))</f>
        <v>5.8585619678334908E-2</v>
      </c>
    </row>
    <row r="27" spans="1:6" x14ac:dyDescent="0.3">
      <c r="A27" s="279" t="s">
        <v>390</v>
      </c>
      <c r="B27" s="280"/>
      <c r="C27" s="280"/>
      <c r="D27" s="280"/>
      <c r="E27" s="280"/>
      <c r="F27" s="280"/>
    </row>
    <row r="28" spans="1:6" x14ac:dyDescent="0.3">
      <c r="A28" s="276" t="s">
        <v>391</v>
      </c>
      <c r="B28" s="278">
        <f>'Consolidated FS'!C7/'Consolidated FS'!N29</f>
        <v>1.086070660083392</v>
      </c>
      <c r="C28" s="278">
        <f>'Consolidated FS'!D7/(('Consolidated FS'!O29+'Consolidated FS'!N29)/2)</f>
        <v>1.2910757625728324</v>
      </c>
      <c r="D28" s="278">
        <f>'Consolidated FS'!E7/(('Consolidated FS'!P29+'Consolidated FS'!O29)/2)</f>
        <v>1.2869266847495859</v>
      </c>
      <c r="E28" s="278">
        <f>'Consolidated FS'!F7/(('Consolidated FS'!Q29+'Consolidated FS'!P29)/2)</f>
        <v>1.180210351007404</v>
      </c>
      <c r="F28" s="278">
        <f>'Consolidated FS'!G7/(('Consolidated FS'!R29+'Consolidated FS'!Q29)/2)</f>
        <v>1.1719749401384196</v>
      </c>
    </row>
    <row r="29" spans="1:6" x14ac:dyDescent="0.3">
      <c r="A29" s="276" t="s">
        <v>392</v>
      </c>
      <c r="B29" s="278">
        <f>'Consolidated FS'!C7/('Consolidated FS'!N35+(('Consolidated FS'!N37+'Consolidated FS'!N38+'Consolidated FS'!N45+'Consolidated FS'!N44)-'Consolidated FS'!N23))</f>
        <v>1.3927455088791949</v>
      </c>
      <c r="C29" s="278">
        <f>'Consolidated FS'!D7/(('Consolidated FS'!O35+(('Consolidated FS'!O37+'Consolidated FS'!O38+'Consolidated FS'!O45+'Consolidated FS'!O44)-'Consolidated FS'!O23)+'Consolidated FS'!N35+(('Consolidated FS'!N37+'Consolidated FS'!N38+'Consolidated FS'!N45+'Consolidated FS'!N44)-'Consolidated FS'!N23))/2)</f>
        <v>1.6758432948046673</v>
      </c>
      <c r="D29" s="278">
        <f>'Consolidated FS'!E7/(('Consolidated FS'!P35+(('Consolidated FS'!P37+'Consolidated FS'!P38+'Consolidated FS'!P45+'Consolidated FS'!P44)-'Consolidated FS'!P23)+'Consolidated FS'!O35+(('Consolidated FS'!O37+'Consolidated FS'!O38+'Consolidated FS'!O45+'Consolidated FS'!O44)-'Consolidated FS'!O23))/2)</f>
        <v>1.6717585212470143</v>
      </c>
      <c r="E29" s="278">
        <f>'Consolidated FS'!F7/(('Consolidated FS'!Q35+(('Consolidated FS'!Q37+'Consolidated FS'!Q38+'Consolidated FS'!Q45+'Consolidated FS'!Q44)-'Consolidated FS'!Q23)+'Consolidated FS'!P35+(('Consolidated FS'!P37+'Consolidated FS'!P38+'Consolidated FS'!P45+'Consolidated FS'!P44)-'Consolidated FS'!P23))/2)</f>
        <v>1.6766276115334369</v>
      </c>
      <c r="F29" s="278">
        <f>'Consolidated FS'!G7/(('Consolidated FS'!R35+(('Consolidated FS'!R37+'Consolidated FS'!R38+'Consolidated FS'!R45+'Consolidated FS'!R44)-'Consolidated FS'!R23)+'Consolidated FS'!Q35+(('Consolidated FS'!Q37+'Consolidated FS'!Q38+'Consolidated FS'!Q45+'Consolidated FS'!Q44)-'Consolidated FS'!Q23))/2)</f>
        <v>1.8684893109651508</v>
      </c>
    </row>
    <row r="30" spans="1:6" x14ac:dyDescent="0.3">
      <c r="A30" s="276" t="s">
        <v>393</v>
      </c>
      <c r="B30" s="278">
        <f>'Consolidated FS'!C7/('Consolidated FS'!N8+'Consolidated FS'!N9)</f>
        <v>6.7963459604425074</v>
      </c>
      <c r="C30" s="278">
        <f>'Consolidated FS'!D7/((('Consolidated FS'!O8+'Consolidated FS'!O9)+('Consolidated FS'!N8+'Consolidated FS'!N9))/2)</f>
        <v>8.0087604259560408</v>
      </c>
      <c r="D30" s="278">
        <f>'Consolidated FS'!E7/((('Consolidated FS'!P8+'Consolidated FS'!P9)+('Consolidated FS'!O8+'Consolidated FS'!O9))/2)</f>
        <v>8.2771902937420183</v>
      </c>
      <c r="E30" s="278">
        <f>'Consolidated FS'!F7/((('Consolidated FS'!Q8+'Consolidated FS'!Q9)+('Consolidated FS'!P8+'Consolidated FS'!P9))/2)</f>
        <v>8.8076517792007785</v>
      </c>
      <c r="F30" s="278">
        <f>'Consolidated FS'!G7/((('Consolidated FS'!R8+'Consolidated FS'!R9)+('Consolidated FS'!Q8+'Consolidated FS'!Q9))/2)</f>
        <v>9.6784679145109305</v>
      </c>
    </row>
  </sheetData>
  <mergeCells count="7">
    <mergeCell ref="A14:F14"/>
    <mergeCell ref="A1:F1"/>
    <mergeCell ref="A23:F23"/>
    <mergeCell ref="A9:F9"/>
    <mergeCell ref="A27:F27"/>
    <mergeCell ref="A4:F4"/>
    <mergeCell ref="A20:F20"/>
  </mergeCells>
  <pageMargins left="0.75" right="0.75" top="1" bottom="1" header="0.5" footer="0.5"/>
  <extLst>
    <ext xmlns:x14="http://schemas.microsoft.com/office/spreadsheetml/2009/9/main" uri="{05C60535-1F16-4fd2-B633-F4F36F0B64E0}">
      <x14:sparklineGroups xmlns:xm="http://schemas.microsoft.com/office/excel/2006/main">
        <x14:sparklineGroup displayEmptyCellsAs="gap" xr2:uid="{861C54EE-7D6C-4B26-BF27-F1F24ACA2E58}">
          <x14:colorSeries rgb="FF376092"/>
          <x14:colorNegative rgb="FFD00000"/>
          <x14:colorAxis rgb="FF000000"/>
          <x14:colorMarkers rgb="FFD00000"/>
          <x14:colorFirst rgb="FFD00000"/>
          <x14:colorLast rgb="FFD00000"/>
          <x14:colorHigh rgb="FFD00000"/>
          <x14:colorLow rgb="FFD00000"/>
          <x14:sparklines>
            <x14:sparkline>
              <xm:f>Ratios!C5:F5</xm:f>
              <xm:sqref>G5</xm:sqref>
            </x14:sparkline>
            <x14:sparkline>
              <xm:f>Ratios!C6:F6</xm:f>
              <xm:sqref>G6</xm:sqref>
            </x14:sparkline>
            <x14:sparkline>
              <xm:f>Ratios!C7:F7</xm:f>
              <xm:sqref>G7</xm:sqref>
            </x14:sparkline>
            <x14:sparkline>
              <xm:f>Ratios!C8:F8</xm:f>
              <xm:sqref>G8</xm:sqref>
            </x14:sparkline>
            <x14:sparkline>
              <xm:f>Ratios!C9:F9</xm:f>
              <xm:sqref>G9</xm:sqref>
            </x14:sparkline>
            <x14:sparkline>
              <xm:f>Ratios!C10:F10</xm:f>
              <xm:sqref>G10</xm:sqref>
            </x14:sparkline>
            <x14:sparkline>
              <xm:f>Ratios!C11:F11</xm:f>
              <xm:sqref>G11</xm:sqref>
            </x14:sparkline>
            <x14:sparkline>
              <xm:f>Ratios!C12:F12</xm:f>
              <xm:sqref>G12</xm:sqref>
            </x14:sparkline>
            <x14:sparkline>
              <xm:f>Ratios!C13:F13</xm:f>
              <xm:sqref>G13</xm:sqref>
            </x14:sparkline>
            <x14:sparkline>
              <xm:f>Ratios!C14:F14</xm:f>
              <xm:sqref>G14</xm:sqref>
            </x14:sparkline>
            <x14:sparkline>
              <xm:f>Ratios!C15:F15</xm:f>
              <xm:sqref>G15</xm:sqref>
            </x14:sparkline>
            <x14:sparkline>
              <xm:f>Ratios!C16:F16</xm:f>
              <xm:sqref>G16</xm:sqref>
            </x14:sparkline>
            <x14:sparkline>
              <xm:f>Ratios!C17:F17</xm:f>
              <xm:sqref>G17</xm:sqref>
            </x14:sparkline>
            <x14:sparkline>
              <xm:f>Ratios!C18:F18</xm:f>
              <xm:sqref>G18</xm:sqref>
            </x14:sparkline>
            <x14:sparkline>
              <xm:f>Ratios!C19:F19</xm:f>
              <xm:sqref>G19</xm:sqref>
            </x14:sparkline>
            <x14:sparkline>
              <xm:f>Ratios!C20:F20</xm:f>
              <xm:sqref>G20</xm:sqref>
            </x14:sparkline>
            <x14:sparkline>
              <xm:f>Ratios!C21:F21</xm:f>
              <xm:sqref>G21</xm:sqref>
            </x14:sparkline>
            <x14:sparkline>
              <xm:f>Ratios!C22:F22</xm:f>
              <xm:sqref>G22</xm:sqref>
            </x14:sparkline>
            <x14:sparkline>
              <xm:f>Ratios!C23:F23</xm:f>
              <xm:sqref>G23</xm:sqref>
            </x14:sparkline>
            <x14:sparkline>
              <xm:f>Ratios!C24:F24</xm:f>
              <xm:sqref>G24</xm:sqref>
            </x14:sparkline>
            <x14:sparkline>
              <xm:f>Ratios!C25:F25</xm:f>
              <xm:sqref>G25</xm:sqref>
            </x14:sparkline>
            <x14:sparkline>
              <xm:f>Ratios!C26:F26</xm:f>
              <xm:sqref>G26</xm:sqref>
            </x14:sparkline>
            <x14:sparkline>
              <xm:f>Ratios!C27:F27</xm:f>
              <xm:sqref>G27</xm:sqref>
            </x14:sparkline>
            <x14:sparkline>
              <xm:f>Ratios!C28:F28</xm:f>
              <xm:sqref>G28</xm:sqref>
            </x14:sparkline>
            <x14:sparkline>
              <xm:f>Ratios!C29:F29</xm:f>
              <xm:sqref>G29</xm:sqref>
            </x14:sparkline>
            <x14:sparkline>
              <xm:f>Ratios!C30:F30</xm:f>
              <xm:sqref>G30</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 </vt:lpstr>
      <vt:lpstr>Shareholders </vt:lpstr>
      <vt:lpstr>Quaterly Results </vt:lpstr>
      <vt:lpstr>Consolidated FS</vt:lpstr>
      <vt:lpstr>Stock Analysis </vt:lpstr>
      <vt:lpstr>Assumptions </vt:lpstr>
      <vt:lpstr>BETA</vt:lpstr>
      <vt:lpstr>WACC</vt:lpstr>
      <vt:lpstr>Fixed Asset Schedule </vt:lpstr>
      <vt:lpstr>Change in Working Cap </vt:lpstr>
      <vt:lpstr>FCFF</vt:lpstr>
      <vt:lpstr>Growth Scenario </vt:lpstr>
      <vt:lpstr>Valuation </vt:lpstr>
      <vt:lpstr>Relative Valuation </vt:lpstr>
      <vt:lpstr>Ratios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 singh</cp:lastModifiedBy>
  <dcterms:created xsi:type="dcterms:W3CDTF">2026-06-15T10:19:36Z</dcterms:created>
  <dcterms:modified xsi:type="dcterms:W3CDTF">2026-06-16T07:17:17Z</dcterms:modified>
</cp:coreProperties>
</file>