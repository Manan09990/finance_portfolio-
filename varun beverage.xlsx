
<file path=[Content_Types].xml><?xml version="1.0" encoding="utf-8"?>
<Types xmlns="http://schemas.openxmlformats.org/package/2006/content-types">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anan\Desktop\cip hero\Full finalized\"/>
    </mc:Choice>
  </mc:AlternateContent>
  <xr:revisionPtr revIDLastSave="0" documentId="13_ncr:1_{10F2E837-A3B4-4C4F-9307-368DF98E2ADE}" xr6:coauthVersionLast="47" xr6:coauthVersionMax="47" xr10:uidLastSave="{00000000-0000-0000-0000-000000000000}"/>
  <bookViews>
    <workbookView xWindow="-108" yWindow="-108" windowWidth="23256" windowHeight="13896" tabRatio="797" activeTab="7" xr2:uid="{C74FD667-774A-4539-B55C-08CE16AA4CAE}"/>
  </bookViews>
  <sheets>
    <sheet name="About" sheetId="23" r:id="rId1"/>
    <sheet name="Promoter " sheetId="8" r:id="rId2"/>
    <sheet name="Public " sheetId="9" r:id="rId3"/>
    <sheet name="Consolidated QTR" sheetId="6" r:id="rId4"/>
    <sheet name="Consolidated BS" sheetId="4" r:id="rId5"/>
    <sheet name="Standalone BS" sheetId="3" r:id="rId6"/>
    <sheet name="Consolidated PL" sheetId="2" r:id="rId7"/>
    <sheet name="Ratios" sheetId="15" r:id="rId8"/>
    <sheet name="Standalone PL" sheetId="1" r:id="rId9"/>
    <sheet name="Peers" sheetId="11" r:id="rId10"/>
    <sheet name="Stock Analysis" sheetId="10" r:id="rId11"/>
    <sheet name="BETA" sheetId="13" r:id="rId12"/>
    <sheet name="Assumptions " sheetId="14" r:id="rId13"/>
    <sheet name="Fixed Asset Schedule " sheetId="16" r:id="rId14"/>
    <sheet name="Change in Working Capital" sheetId="18" r:id="rId15"/>
    <sheet name="FCFF" sheetId="17" r:id="rId16"/>
    <sheet name="Cost of Capital " sheetId="19" r:id="rId17"/>
    <sheet name="Growth Scenario" sheetId="21" r:id="rId18"/>
    <sheet name="Valuation" sheetId="22"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18" l="1"/>
  <c r="E26" i="15" l="1"/>
  <c r="G26" i="15"/>
  <c r="D26" i="15"/>
  <c r="E25" i="15"/>
  <c r="F25" i="15"/>
  <c r="G25" i="15"/>
  <c r="D25" i="15"/>
  <c r="E24" i="15"/>
  <c r="F24" i="15"/>
  <c r="G24" i="15"/>
  <c r="D24" i="15"/>
  <c r="E23" i="15"/>
  <c r="F23" i="15"/>
  <c r="G23" i="15"/>
  <c r="D23" i="15"/>
  <c r="D18" i="15"/>
  <c r="E18" i="15"/>
  <c r="F18" i="15"/>
  <c r="G18" i="15"/>
  <c r="C18" i="15"/>
  <c r="F17" i="19"/>
  <c r="F18" i="19" l="1"/>
  <c r="D8" i="17" l="1"/>
  <c r="C12" i="16"/>
  <c r="D4" i="16"/>
  <c r="D5" i="16"/>
  <c r="D7" i="16"/>
  <c r="C5" i="16"/>
  <c r="C7" i="16"/>
  <c r="O5" i="22"/>
  <c r="M5" i="22" l="1"/>
  <c r="C4" i="22"/>
  <c r="D26" i="22"/>
  <c r="D25" i="22"/>
  <c r="C11" i="22"/>
  <c r="I29" i="22"/>
  <c r="I28" i="22"/>
  <c r="I26" i="22"/>
  <c r="I25" i="22"/>
  <c r="D12" i="21" l="1"/>
  <c r="N7" i="21"/>
  <c r="L6" i="13" l="1"/>
  <c r="L5" i="13"/>
  <c r="D22" i="21"/>
  <c r="D5" i="22" s="1"/>
  <c r="N12" i="21"/>
  <c r="O12" i="21" s="1"/>
  <c r="D7" i="21"/>
  <c r="M22" i="21"/>
  <c r="C6" i="21"/>
  <c r="C21" i="21"/>
  <c r="D6" i="21" l="1"/>
  <c r="E12" i="21"/>
  <c r="F12" i="21" s="1"/>
  <c r="G12" i="21" s="1"/>
  <c r="H12" i="21" s="1"/>
  <c r="I12" i="21" s="1"/>
  <c r="J12" i="21" s="1"/>
  <c r="K12" i="21" s="1"/>
  <c r="L12" i="21" s="1"/>
  <c r="D21" i="21"/>
  <c r="D4" i="22" s="1"/>
  <c r="O9" i="21"/>
  <c r="P9" i="21" s="1"/>
  <c r="E7" i="21" s="1"/>
  <c r="C11" i="21"/>
  <c r="D10" i="22" l="1"/>
  <c r="E22" i="21"/>
  <c r="E5" i="22" s="1"/>
  <c r="F7" i="21"/>
  <c r="G7" i="21" s="1"/>
  <c r="H7" i="21" s="1"/>
  <c r="I7" i="21" s="1"/>
  <c r="J7" i="21" s="1"/>
  <c r="K7" i="21" s="1"/>
  <c r="L7" i="21" s="1"/>
  <c r="M7" i="21" s="1"/>
  <c r="E6" i="21"/>
  <c r="C16" i="21"/>
  <c r="D11" i="21"/>
  <c r="E11" i="21" s="1"/>
  <c r="F11" i="21" s="1"/>
  <c r="G11" i="21" s="1"/>
  <c r="H11" i="21" s="1"/>
  <c r="I11" i="21" s="1"/>
  <c r="J11" i="21" s="1"/>
  <c r="K11" i="21" s="1"/>
  <c r="L11" i="21" s="1"/>
  <c r="M11" i="21" s="1"/>
  <c r="E21" i="21" l="1"/>
  <c r="E4" i="22" s="1"/>
  <c r="E10" i="22" s="1"/>
  <c r="F22" i="21"/>
  <c r="F5" i="22" s="1"/>
  <c r="F6" i="21"/>
  <c r="G6" i="21" s="1"/>
  <c r="H6" i="21" s="1"/>
  <c r="I6" i="21" s="1"/>
  <c r="J6" i="21" s="1"/>
  <c r="K6" i="21" s="1"/>
  <c r="L6" i="21" s="1"/>
  <c r="M6" i="21" s="1"/>
  <c r="G22" i="21"/>
  <c r="G5" i="22" s="1"/>
  <c r="F21" i="21" l="1"/>
  <c r="F4" i="22" s="1"/>
  <c r="F10" i="22" s="1"/>
  <c r="I22" i="21"/>
  <c r="I5" i="22" s="1"/>
  <c r="H22" i="21"/>
  <c r="H5" i="22" s="1"/>
  <c r="G21" i="21" l="1"/>
  <c r="G4" i="22" s="1"/>
  <c r="G10" i="22" s="1"/>
  <c r="J22" i="21"/>
  <c r="J5" i="22" s="1"/>
  <c r="C16" i="19"/>
  <c r="C18" i="19" s="1"/>
  <c r="D24" i="19" s="1"/>
  <c r="F16" i="19"/>
  <c r="C6" i="19"/>
  <c r="C5" i="19"/>
  <c r="H21" i="21" l="1"/>
  <c r="H4" i="22" s="1"/>
  <c r="H10" i="22" s="1"/>
  <c r="K22" i="21"/>
  <c r="K5" i="22" s="1"/>
  <c r="D23" i="19"/>
  <c r="C10" i="19"/>
  <c r="C7" i="19"/>
  <c r="C9" i="19" s="1"/>
  <c r="C24" i="19" s="1"/>
  <c r="E24" i="19" s="1"/>
  <c r="I21" i="21" l="1"/>
  <c r="I4" i="22" s="1"/>
  <c r="I10" i="22" s="1"/>
  <c r="C8" i="19"/>
  <c r="C23" i="19" s="1"/>
  <c r="E23" i="19" s="1"/>
  <c r="E25" i="19" s="1"/>
  <c r="J21" i="21" l="1"/>
  <c r="K21" i="21" s="1"/>
  <c r="K4" i="22" s="1"/>
  <c r="K10" i="22" s="1"/>
  <c r="R4" i="22"/>
  <c r="C8" i="17"/>
  <c r="J4" i="22" l="1"/>
  <c r="F19" i="22"/>
  <c r="J19" i="22"/>
  <c r="K19" i="22"/>
  <c r="L19" i="22"/>
  <c r="M19" i="22"/>
  <c r="K24" i="22"/>
  <c r="D19" i="22"/>
  <c r="E19" i="22"/>
  <c r="H19" i="22"/>
  <c r="I19" i="22"/>
  <c r="G19" i="22"/>
  <c r="R5" i="22"/>
  <c r="O15" i="22" s="1"/>
  <c r="E8" i="18"/>
  <c r="D5" i="18"/>
  <c r="E5" i="18"/>
  <c r="F5" i="18"/>
  <c r="G5" i="18"/>
  <c r="C5" i="18"/>
  <c r="D4" i="18"/>
  <c r="E4" i="18"/>
  <c r="F4" i="18"/>
  <c r="G4" i="18"/>
  <c r="C4" i="18"/>
  <c r="D3" i="18"/>
  <c r="E3" i="18"/>
  <c r="F3" i="18"/>
  <c r="G3" i="18"/>
  <c r="C3" i="18"/>
  <c r="F4" i="16"/>
  <c r="G4" i="16"/>
  <c r="E3" i="16"/>
  <c r="E4" i="16" s="1"/>
  <c r="F3" i="16"/>
  <c r="G3" i="16"/>
  <c r="D3" i="16"/>
  <c r="D9" i="16"/>
  <c r="E5" i="16"/>
  <c r="F5" i="16"/>
  <c r="G5" i="16"/>
  <c r="D6" i="16"/>
  <c r="E6" i="16"/>
  <c r="F6" i="16"/>
  <c r="G6" i="16"/>
  <c r="C6" i="16"/>
  <c r="E7" i="16"/>
  <c r="F7" i="16"/>
  <c r="G7" i="16"/>
  <c r="J10" i="22" l="1"/>
  <c r="J24" i="22"/>
  <c r="L24" i="22"/>
  <c r="M24" i="22" s="1"/>
  <c r="F6" i="18"/>
  <c r="D6" i="18"/>
  <c r="G6" i="18"/>
  <c r="E6" i="18"/>
  <c r="E7" i="18" s="1"/>
  <c r="C6" i="18"/>
  <c r="G7" i="18" l="1"/>
  <c r="G8" i="18" s="1"/>
  <c r="D7" i="18"/>
  <c r="F7" i="18"/>
  <c r="F8" i="18" s="1"/>
  <c r="C10" i="18" s="1"/>
  <c r="C11" i="18"/>
  <c r="J11" i="22" l="1"/>
  <c r="D11" i="22"/>
  <c r="D12" i="22" s="1"/>
  <c r="E11" i="22"/>
  <c r="E12" i="22" s="1"/>
  <c r="F11" i="22"/>
  <c r="G11" i="22"/>
  <c r="G12" i="22" s="1"/>
  <c r="I11" i="22"/>
  <c r="H11" i="22"/>
  <c r="H12" i="22" s="1"/>
  <c r="K11" i="22"/>
  <c r="K12" i="22" s="1"/>
  <c r="C7" i="17"/>
  <c r="D7" i="17"/>
  <c r="E7" i="17"/>
  <c r="F7" i="17"/>
  <c r="G7" i="17"/>
  <c r="D10" i="16"/>
  <c r="G9" i="16"/>
  <c r="G10" i="16" s="1"/>
  <c r="I12" i="22" l="1"/>
  <c r="F12" i="22"/>
  <c r="J12" i="22"/>
  <c r="D6" i="17"/>
  <c r="G6" i="17"/>
  <c r="G8" i="17" s="1"/>
  <c r="F9" i="16"/>
  <c r="E9" i="16"/>
  <c r="E10" i="16" l="1"/>
  <c r="C13" i="16" s="1"/>
  <c r="E6" i="17"/>
  <c r="E8" i="17" s="1"/>
  <c r="F10" i="16"/>
  <c r="F6" i="17"/>
  <c r="F8" i="17" s="1"/>
  <c r="C6" i="17"/>
  <c r="E5" i="15" l="1"/>
  <c r="F5" i="15"/>
  <c r="G5" i="15"/>
  <c r="D5" i="15"/>
  <c r="D13" i="22" l="1"/>
  <c r="E13" i="22"/>
  <c r="F13" i="22"/>
  <c r="G13" i="22"/>
  <c r="H13" i="22"/>
  <c r="I13" i="22"/>
  <c r="J13" i="22"/>
  <c r="K13" i="22"/>
  <c r="E48" i="14"/>
  <c r="F48" i="14"/>
  <c r="G48" i="14"/>
  <c r="H48" i="14"/>
  <c r="D48" i="14"/>
  <c r="E47" i="14"/>
  <c r="F47" i="14"/>
  <c r="G47" i="14"/>
  <c r="H47" i="14"/>
  <c r="D47" i="14"/>
  <c r="E46" i="14"/>
  <c r="F46" i="14"/>
  <c r="G46" i="14"/>
  <c r="H46" i="14"/>
  <c r="D46" i="14"/>
  <c r="G26" i="14"/>
  <c r="H26" i="14"/>
  <c r="I26" i="14"/>
  <c r="E26" i="14"/>
  <c r="F25" i="14"/>
  <c r="G25" i="14"/>
  <c r="H25" i="14"/>
  <c r="I25" i="14"/>
  <c r="E25" i="14"/>
  <c r="F21" i="14"/>
  <c r="G21" i="14"/>
  <c r="H21" i="14"/>
  <c r="I21" i="14"/>
  <c r="E21" i="14"/>
  <c r="F20" i="14"/>
  <c r="G20" i="14"/>
  <c r="H20" i="14"/>
  <c r="I20" i="14"/>
  <c r="E20" i="14"/>
  <c r="F16" i="14"/>
  <c r="G16" i="14"/>
  <c r="H16" i="14"/>
  <c r="I16" i="14"/>
  <c r="E16" i="14"/>
  <c r="F11" i="14"/>
  <c r="G11" i="14"/>
  <c r="H11" i="14"/>
  <c r="I11" i="14"/>
  <c r="E11" i="14"/>
  <c r="F10" i="14"/>
  <c r="G10" i="14"/>
  <c r="H10" i="14"/>
  <c r="I10" i="14"/>
  <c r="E10" i="14"/>
  <c r="F6" i="14"/>
  <c r="G6" i="14"/>
  <c r="H6" i="14"/>
  <c r="I6" i="14"/>
  <c r="E6" i="14"/>
  <c r="F9" i="14"/>
  <c r="G9" i="14"/>
  <c r="H9" i="14"/>
  <c r="I9" i="14"/>
  <c r="E9" i="14"/>
  <c r="C11" i="15" l="1"/>
  <c r="I7" i="14"/>
  <c r="G11" i="15"/>
  <c r="H7" i="14"/>
  <c r="F11" i="15"/>
  <c r="G7" i="14"/>
  <c r="E11" i="15"/>
  <c r="F7" i="14"/>
  <c r="D11" i="15"/>
  <c r="E31" i="14"/>
  <c r="E12" i="14"/>
  <c r="E14" i="14" s="1"/>
  <c r="C12" i="15" s="1"/>
  <c r="F12" i="14"/>
  <c r="I12" i="14"/>
  <c r="I14" i="14" s="1"/>
  <c r="D49" i="14"/>
  <c r="E49" i="14"/>
  <c r="F49" i="14"/>
  <c r="G49" i="14"/>
  <c r="H49" i="14"/>
  <c r="G12" i="15" l="1"/>
  <c r="G12" i="14"/>
  <c r="H12" i="14"/>
  <c r="H14" i="14" s="1"/>
  <c r="G14" i="14"/>
  <c r="F14" i="14"/>
  <c r="E32" i="14"/>
  <c r="I35" i="14"/>
  <c r="I18" i="14"/>
  <c r="H18" i="14"/>
  <c r="H35" i="14"/>
  <c r="E18" i="14"/>
  <c r="E35" i="14"/>
  <c r="G18" i="14" l="1"/>
  <c r="E12" i="15"/>
  <c r="E6" i="15"/>
  <c r="G3" i="17"/>
  <c r="G17" i="15"/>
  <c r="G21" i="15"/>
  <c r="G7" i="15"/>
  <c r="G13" i="15"/>
  <c r="F12" i="15"/>
  <c r="F6" i="15"/>
  <c r="G6" i="15"/>
  <c r="C3" i="17"/>
  <c r="C17" i="15"/>
  <c r="C21" i="15"/>
  <c r="C13" i="15"/>
  <c r="F3" i="17"/>
  <c r="F17" i="15"/>
  <c r="F21" i="15"/>
  <c r="F13" i="15"/>
  <c r="F7" i="15"/>
  <c r="F35" i="14"/>
  <c r="D6" i="15"/>
  <c r="D12" i="15"/>
  <c r="G35" i="14"/>
  <c r="F18" i="14"/>
  <c r="H23" i="14"/>
  <c r="F14" i="15" s="1"/>
  <c r="G45" i="14"/>
  <c r="G52" i="14" s="1"/>
  <c r="G51" i="14"/>
  <c r="H36" i="14"/>
  <c r="D51" i="14"/>
  <c r="E36" i="14"/>
  <c r="E23" i="14"/>
  <c r="C14" i="15" s="1"/>
  <c r="D45" i="14"/>
  <c r="D52" i="14" s="1"/>
  <c r="H51" i="14"/>
  <c r="I36" i="14"/>
  <c r="I23" i="14"/>
  <c r="G14" i="15" s="1"/>
  <c r="H45" i="14"/>
  <c r="H52" i="14" s="1"/>
  <c r="G36" i="14"/>
  <c r="G23" i="14"/>
  <c r="E14" i="15" s="1"/>
  <c r="F45" i="14"/>
  <c r="F52" i="14" s="1"/>
  <c r="F51" i="14"/>
  <c r="F36" i="14"/>
  <c r="F23" i="14"/>
  <c r="D14" i="15" s="1"/>
  <c r="E51" i="14"/>
  <c r="E45" i="14"/>
  <c r="E52" i="14" s="1"/>
  <c r="D3" i="17" l="1"/>
  <c r="D21" i="15"/>
  <c r="D17" i="15"/>
  <c r="D13" i="15"/>
  <c r="D7" i="22" s="1"/>
  <c r="D7" i="15"/>
  <c r="E3" i="17"/>
  <c r="E21" i="15"/>
  <c r="E17" i="15"/>
  <c r="E13" i="15"/>
  <c r="E7" i="15"/>
  <c r="H41" i="14"/>
  <c r="I37" i="14"/>
  <c r="I28" i="14"/>
  <c r="E41" i="14"/>
  <c r="F37" i="14"/>
  <c r="D41" i="14"/>
  <c r="E37" i="14"/>
  <c r="E28" i="14"/>
  <c r="G28" i="14"/>
  <c r="F41" i="14"/>
  <c r="G37" i="14"/>
  <c r="H28" i="14"/>
  <c r="G41" i="14"/>
  <c r="H37" i="14"/>
  <c r="D1438" i="13"/>
  <c r="D1439" i="13"/>
  <c r="D1440" i="13"/>
  <c r="D1441" i="13"/>
  <c r="D1442" i="13"/>
  <c r="D1443" i="13"/>
  <c r="D1444" i="13"/>
  <c r="D1445" i="13"/>
  <c r="D1446" i="13"/>
  <c r="D1447" i="13"/>
  <c r="D1448" i="13"/>
  <c r="D1449" i="13"/>
  <c r="D1450" i="13"/>
  <c r="D1451" i="13"/>
  <c r="D1452" i="13"/>
  <c r="D1453" i="13"/>
  <c r="D1454" i="13"/>
  <c r="D1455" i="13"/>
  <c r="D1456" i="13"/>
  <c r="D1457" i="13"/>
  <c r="D1458" i="13"/>
  <c r="D1459" i="13"/>
  <c r="D1460" i="13"/>
  <c r="D1461" i="13"/>
  <c r="D1462" i="13"/>
  <c r="D1463" i="13"/>
  <c r="D1464" i="13"/>
  <c r="D1465" i="13"/>
  <c r="D1466" i="13"/>
  <c r="D1467" i="13"/>
  <c r="D1468" i="13"/>
  <c r="D1469" i="13"/>
  <c r="D1470" i="13"/>
  <c r="D1471" i="13"/>
  <c r="D1472" i="13"/>
  <c r="D1473" i="13"/>
  <c r="D1474" i="13"/>
  <c r="D1475" i="13"/>
  <c r="D1476" i="13"/>
  <c r="D1477" i="13"/>
  <c r="D1478" i="13"/>
  <c r="D1479" i="13"/>
  <c r="D1480" i="13"/>
  <c r="D1481" i="13"/>
  <c r="D1482" i="13"/>
  <c r="D1483" i="13"/>
  <c r="D1484" i="13"/>
  <c r="D1485" i="13"/>
  <c r="D1437" i="13"/>
  <c r="D161" i="13"/>
  <c r="D162" i="13"/>
  <c r="D163" i="13"/>
  <c r="D164" i="13"/>
  <c r="D165" i="13"/>
  <c r="D166" i="13"/>
  <c r="D167" i="13"/>
  <c r="D168" i="13"/>
  <c r="D169" i="13"/>
  <c r="D170" i="13"/>
  <c r="D171" i="13"/>
  <c r="D172" i="13"/>
  <c r="D173" i="13"/>
  <c r="D174" i="13"/>
  <c r="D175" i="13"/>
  <c r="D176" i="13"/>
  <c r="D177" i="13"/>
  <c r="D178" i="13"/>
  <c r="D179" i="13"/>
  <c r="D180" i="13"/>
  <c r="D181" i="13"/>
  <c r="D182" i="13"/>
  <c r="D183" i="13"/>
  <c r="D184" i="13"/>
  <c r="D185" i="13"/>
  <c r="D186" i="13"/>
  <c r="D187" i="13"/>
  <c r="D188" i="13"/>
  <c r="D189" i="13"/>
  <c r="D190" i="13"/>
  <c r="D191" i="13"/>
  <c r="D192" i="13"/>
  <c r="D193" i="13"/>
  <c r="D194" i="13"/>
  <c r="D195" i="13"/>
  <c r="D196" i="13"/>
  <c r="D197" i="13"/>
  <c r="D198" i="13"/>
  <c r="D199" i="13"/>
  <c r="D200" i="13"/>
  <c r="D201" i="13"/>
  <c r="D202" i="13"/>
  <c r="D203" i="13"/>
  <c r="D204" i="13"/>
  <c r="D205" i="13"/>
  <c r="D206" i="13"/>
  <c r="D207" i="13"/>
  <c r="D208" i="13"/>
  <c r="D209" i="13"/>
  <c r="D210" i="13"/>
  <c r="D211" i="13"/>
  <c r="D212" i="13"/>
  <c r="D213" i="13"/>
  <c r="D214" i="13"/>
  <c r="D215" i="13"/>
  <c r="D216" i="13"/>
  <c r="D217" i="13"/>
  <c r="D218" i="13"/>
  <c r="D219" i="13"/>
  <c r="D220" i="13"/>
  <c r="D221" i="13"/>
  <c r="D222" i="13"/>
  <c r="D223" i="13"/>
  <c r="D224" i="13"/>
  <c r="D225" i="13"/>
  <c r="D226" i="13"/>
  <c r="D227" i="13"/>
  <c r="D228" i="13"/>
  <c r="D229" i="13"/>
  <c r="D230" i="13"/>
  <c r="D231" i="13"/>
  <c r="D232" i="13"/>
  <c r="D233" i="13"/>
  <c r="D234" i="13"/>
  <c r="D235" i="13"/>
  <c r="D236" i="13"/>
  <c r="D237" i="13"/>
  <c r="D238" i="13"/>
  <c r="D239" i="13"/>
  <c r="D240" i="13"/>
  <c r="D241" i="13"/>
  <c r="D242" i="13"/>
  <c r="D243" i="13"/>
  <c r="D244" i="13"/>
  <c r="D245" i="13"/>
  <c r="D246" i="13"/>
  <c r="D247" i="13"/>
  <c r="D248" i="13"/>
  <c r="D249" i="13"/>
  <c r="D250" i="13"/>
  <c r="D251" i="13"/>
  <c r="D252" i="13"/>
  <c r="D253" i="13"/>
  <c r="D254" i="13"/>
  <c r="D255" i="13"/>
  <c r="D256" i="13"/>
  <c r="D257" i="13"/>
  <c r="D258" i="13"/>
  <c r="D259" i="13"/>
  <c r="D260" i="13"/>
  <c r="D261" i="13"/>
  <c r="D262" i="13"/>
  <c r="D263" i="13"/>
  <c r="D264" i="13"/>
  <c r="D265" i="13"/>
  <c r="D266" i="13"/>
  <c r="D267" i="13"/>
  <c r="D268" i="13"/>
  <c r="D269" i="13"/>
  <c r="D270" i="13"/>
  <c r="D271" i="13"/>
  <c r="D272" i="13"/>
  <c r="D273" i="13"/>
  <c r="D274" i="13"/>
  <c r="D275" i="13"/>
  <c r="D276" i="13"/>
  <c r="D277" i="13"/>
  <c r="D278" i="13"/>
  <c r="D279" i="13"/>
  <c r="D280" i="13"/>
  <c r="D281" i="13"/>
  <c r="D282" i="13"/>
  <c r="D283" i="13"/>
  <c r="D284" i="13"/>
  <c r="D285" i="13"/>
  <c r="D286" i="13"/>
  <c r="D287" i="13"/>
  <c r="D288" i="13"/>
  <c r="D289" i="13"/>
  <c r="D290" i="13"/>
  <c r="D291" i="13"/>
  <c r="D292" i="13"/>
  <c r="D293" i="13"/>
  <c r="D294" i="13"/>
  <c r="D295" i="13"/>
  <c r="D296" i="13"/>
  <c r="D297" i="13"/>
  <c r="D298" i="13"/>
  <c r="D299" i="13"/>
  <c r="D300" i="13"/>
  <c r="D301" i="13"/>
  <c r="D302" i="13"/>
  <c r="D303" i="13"/>
  <c r="D304" i="13"/>
  <c r="D305" i="13"/>
  <c r="D306" i="13"/>
  <c r="D307" i="13"/>
  <c r="D308" i="13"/>
  <c r="D309" i="13"/>
  <c r="D310" i="13"/>
  <c r="D311" i="13"/>
  <c r="D312" i="13"/>
  <c r="D313" i="13"/>
  <c r="D314" i="13"/>
  <c r="D315" i="13"/>
  <c r="D316" i="13"/>
  <c r="D317" i="13"/>
  <c r="D318" i="13"/>
  <c r="D319" i="13"/>
  <c r="D320" i="13"/>
  <c r="D321" i="13"/>
  <c r="D322" i="13"/>
  <c r="D323" i="13"/>
  <c r="D324" i="13"/>
  <c r="D325" i="13"/>
  <c r="D326" i="13"/>
  <c r="D327" i="13"/>
  <c r="D328" i="13"/>
  <c r="D329" i="13"/>
  <c r="D330" i="13"/>
  <c r="D331" i="13"/>
  <c r="D332" i="13"/>
  <c r="D333" i="13"/>
  <c r="D334" i="13"/>
  <c r="D335" i="13"/>
  <c r="D336" i="13"/>
  <c r="D337" i="13"/>
  <c r="D338" i="13"/>
  <c r="D339" i="13"/>
  <c r="D340" i="13"/>
  <c r="D341" i="13"/>
  <c r="D342" i="13"/>
  <c r="D343" i="13"/>
  <c r="D344" i="13"/>
  <c r="D345" i="13"/>
  <c r="D346" i="13"/>
  <c r="D347" i="13"/>
  <c r="D348" i="13"/>
  <c r="D349" i="13"/>
  <c r="D350" i="13"/>
  <c r="D351" i="13"/>
  <c r="D352" i="13"/>
  <c r="D353" i="13"/>
  <c r="D354" i="13"/>
  <c r="D355" i="13"/>
  <c r="D356" i="13"/>
  <c r="D357" i="13"/>
  <c r="D358" i="13"/>
  <c r="D359" i="13"/>
  <c r="D360" i="13"/>
  <c r="D361" i="13"/>
  <c r="D362" i="13"/>
  <c r="D363" i="13"/>
  <c r="D364" i="13"/>
  <c r="D365" i="13"/>
  <c r="D366" i="13"/>
  <c r="D367" i="13"/>
  <c r="D368" i="13"/>
  <c r="D369" i="13"/>
  <c r="D370" i="13"/>
  <c r="D371" i="13"/>
  <c r="D372" i="13"/>
  <c r="D373" i="13"/>
  <c r="D374" i="13"/>
  <c r="D375" i="13"/>
  <c r="D376" i="13"/>
  <c r="D377" i="13"/>
  <c r="D378" i="13"/>
  <c r="D379" i="13"/>
  <c r="D380" i="13"/>
  <c r="D381" i="13"/>
  <c r="D382" i="13"/>
  <c r="D383" i="13"/>
  <c r="D384" i="13"/>
  <c r="D385" i="13"/>
  <c r="D386" i="13"/>
  <c r="D387" i="13"/>
  <c r="D388" i="13"/>
  <c r="D389" i="13"/>
  <c r="D390" i="13"/>
  <c r="D391" i="13"/>
  <c r="D392" i="13"/>
  <c r="D393" i="13"/>
  <c r="D394" i="13"/>
  <c r="D395" i="13"/>
  <c r="D396" i="13"/>
  <c r="D397" i="13"/>
  <c r="D398" i="13"/>
  <c r="D399" i="13"/>
  <c r="D400" i="13"/>
  <c r="D401" i="13"/>
  <c r="D402" i="13"/>
  <c r="D403" i="13"/>
  <c r="D404" i="13"/>
  <c r="D405" i="13"/>
  <c r="D406" i="13"/>
  <c r="D407" i="13"/>
  <c r="D408" i="13"/>
  <c r="D409" i="13"/>
  <c r="D410" i="13"/>
  <c r="D411" i="13"/>
  <c r="D412" i="13"/>
  <c r="D413" i="13"/>
  <c r="D414" i="13"/>
  <c r="D415" i="13"/>
  <c r="D416" i="13"/>
  <c r="D417" i="13"/>
  <c r="D418" i="13"/>
  <c r="D419" i="13"/>
  <c r="D420" i="13"/>
  <c r="D421" i="13"/>
  <c r="D422" i="13"/>
  <c r="D423" i="13"/>
  <c r="D424" i="13"/>
  <c r="D425" i="13"/>
  <c r="D426" i="13"/>
  <c r="D427" i="13"/>
  <c r="D428" i="13"/>
  <c r="D429" i="13"/>
  <c r="D430" i="13"/>
  <c r="D431" i="13"/>
  <c r="D432" i="13"/>
  <c r="D433" i="13"/>
  <c r="D434" i="13"/>
  <c r="D435" i="13"/>
  <c r="D436" i="13"/>
  <c r="D437" i="13"/>
  <c r="D438" i="13"/>
  <c r="D439" i="13"/>
  <c r="D440" i="13"/>
  <c r="D441" i="13"/>
  <c r="D442" i="13"/>
  <c r="D443" i="13"/>
  <c r="D444" i="13"/>
  <c r="D445" i="13"/>
  <c r="D446" i="13"/>
  <c r="D447" i="13"/>
  <c r="D448" i="13"/>
  <c r="D449" i="13"/>
  <c r="D450" i="13"/>
  <c r="D451" i="13"/>
  <c r="D452" i="13"/>
  <c r="D453" i="13"/>
  <c r="D454" i="13"/>
  <c r="D455" i="13"/>
  <c r="D456" i="13"/>
  <c r="D457" i="13"/>
  <c r="D458" i="13"/>
  <c r="D459" i="13"/>
  <c r="D460" i="13"/>
  <c r="D461" i="13"/>
  <c r="D462" i="13"/>
  <c r="D463" i="13"/>
  <c r="D464" i="13"/>
  <c r="D465" i="13"/>
  <c r="D466" i="13"/>
  <c r="D467" i="13"/>
  <c r="D468" i="13"/>
  <c r="D469" i="13"/>
  <c r="D470" i="13"/>
  <c r="D471" i="13"/>
  <c r="D472" i="13"/>
  <c r="D473" i="13"/>
  <c r="D474" i="13"/>
  <c r="D475" i="13"/>
  <c r="D476" i="13"/>
  <c r="D477" i="13"/>
  <c r="D478" i="13"/>
  <c r="D479" i="13"/>
  <c r="D480" i="13"/>
  <c r="D481" i="13"/>
  <c r="D482" i="13"/>
  <c r="D483" i="13"/>
  <c r="D484" i="13"/>
  <c r="D485" i="13"/>
  <c r="D486" i="13"/>
  <c r="D487" i="13"/>
  <c r="D488" i="13"/>
  <c r="D489" i="13"/>
  <c r="D490" i="13"/>
  <c r="D491" i="13"/>
  <c r="D492" i="13"/>
  <c r="D493" i="13"/>
  <c r="D494" i="13"/>
  <c r="D495" i="13"/>
  <c r="D496" i="13"/>
  <c r="D497" i="13"/>
  <c r="D498" i="13"/>
  <c r="D499" i="13"/>
  <c r="D500" i="13"/>
  <c r="D501" i="13"/>
  <c r="D502" i="13"/>
  <c r="D503" i="13"/>
  <c r="D504" i="13"/>
  <c r="D505" i="13"/>
  <c r="D506" i="13"/>
  <c r="D507" i="13"/>
  <c r="D508" i="13"/>
  <c r="D509" i="13"/>
  <c r="D510" i="13"/>
  <c r="D511" i="13"/>
  <c r="D512" i="13"/>
  <c r="D513" i="13"/>
  <c r="D514" i="13"/>
  <c r="D515" i="13"/>
  <c r="D516" i="13"/>
  <c r="D517" i="13"/>
  <c r="D518" i="13"/>
  <c r="D519" i="13"/>
  <c r="D520" i="13"/>
  <c r="D521" i="13"/>
  <c r="D522" i="13"/>
  <c r="D523" i="13"/>
  <c r="D524" i="13"/>
  <c r="D525" i="13"/>
  <c r="D526" i="13"/>
  <c r="D527" i="13"/>
  <c r="D528" i="13"/>
  <c r="D529" i="13"/>
  <c r="D530" i="13"/>
  <c r="D531" i="13"/>
  <c r="D532" i="13"/>
  <c r="D533" i="13"/>
  <c r="D534" i="13"/>
  <c r="D535" i="13"/>
  <c r="D536" i="13"/>
  <c r="D537" i="13"/>
  <c r="D538" i="13"/>
  <c r="D539" i="13"/>
  <c r="D540" i="13"/>
  <c r="D541" i="13"/>
  <c r="D542" i="13"/>
  <c r="D543" i="13"/>
  <c r="D544" i="13"/>
  <c r="D545" i="13"/>
  <c r="D546" i="13"/>
  <c r="D547" i="13"/>
  <c r="D548" i="13"/>
  <c r="D549" i="13"/>
  <c r="D550" i="13"/>
  <c r="D551" i="13"/>
  <c r="D552" i="13"/>
  <c r="D553" i="13"/>
  <c r="D554" i="13"/>
  <c r="D555" i="13"/>
  <c r="D556" i="13"/>
  <c r="D557" i="13"/>
  <c r="D558" i="13"/>
  <c r="D559" i="13"/>
  <c r="D560" i="13"/>
  <c r="D561" i="13"/>
  <c r="D562" i="13"/>
  <c r="D563" i="13"/>
  <c r="D564" i="13"/>
  <c r="D565" i="13"/>
  <c r="D566" i="13"/>
  <c r="D567" i="13"/>
  <c r="D568" i="13"/>
  <c r="D569" i="13"/>
  <c r="D570" i="13"/>
  <c r="D571" i="13"/>
  <c r="D572" i="13"/>
  <c r="D573" i="13"/>
  <c r="D574" i="13"/>
  <c r="D575" i="13"/>
  <c r="D576" i="13"/>
  <c r="D577" i="13"/>
  <c r="D578" i="13"/>
  <c r="D579" i="13"/>
  <c r="D580" i="13"/>
  <c r="D581" i="13"/>
  <c r="D582" i="13"/>
  <c r="D583" i="13"/>
  <c r="D584" i="13"/>
  <c r="D585" i="13"/>
  <c r="D586" i="13"/>
  <c r="D587" i="13"/>
  <c r="D588" i="13"/>
  <c r="D589" i="13"/>
  <c r="D590" i="13"/>
  <c r="D591" i="13"/>
  <c r="D592" i="13"/>
  <c r="D593" i="13"/>
  <c r="D594" i="13"/>
  <c r="D595" i="13"/>
  <c r="D596" i="13"/>
  <c r="D597" i="13"/>
  <c r="D598" i="13"/>
  <c r="D599" i="13"/>
  <c r="D600" i="13"/>
  <c r="D601" i="13"/>
  <c r="D602" i="13"/>
  <c r="D603" i="13"/>
  <c r="D604" i="13"/>
  <c r="D605" i="13"/>
  <c r="D606" i="13"/>
  <c r="D607" i="13"/>
  <c r="D608" i="13"/>
  <c r="D609" i="13"/>
  <c r="D610" i="13"/>
  <c r="D611" i="13"/>
  <c r="D612" i="13"/>
  <c r="D613" i="13"/>
  <c r="D614" i="13"/>
  <c r="D615" i="13"/>
  <c r="D616" i="13"/>
  <c r="D617" i="13"/>
  <c r="D618" i="13"/>
  <c r="D619" i="13"/>
  <c r="D620" i="13"/>
  <c r="D621" i="13"/>
  <c r="D622" i="13"/>
  <c r="D623" i="13"/>
  <c r="D624" i="13"/>
  <c r="D625" i="13"/>
  <c r="D626" i="13"/>
  <c r="D627" i="13"/>
  <c r="D628" i="13"/>
  <c r="D629" i="13"/>
  <c r="D630" i="13"/>
  <c r="D631" i="13"/>
  <c r="D632" i="13"/>
  <c r="D633" i="13"/>
  <c r="D634" i="13"/>
  <c r="D635" i="13"/>
  <c r="D636" i="13"/>
  <c r="D637" i="13"/>
  <c r="D638" i="13"/>
  <c r="D639" i="13"/>
  <c r="D640" i="13"/>
  <c r="D641" i="13"/>
  <c r="D642" i="13"/>
  <c r="D643" i="13"/>
  <c r="D644" i="13"/>
  <c r="D645" i="13"/>
  <c r="D646" i="13"/>
  <c r="D647" i="13"/>
  <c r="D648" i="13"/>
  <c r="D649" i="13"/>
  <c r="D650" i="13"/>
  <c r="D651" i="13"/>
  <c r="D652" i="13"/>
  <c r="D653" i="13"/>
  <c r="D654" i="13"/>
  <c r="D655" i="13"/>
  <c r="D656" i="13"/>
  <c r="D657" i="13"/>
  <c r="D658" i="13"/>
  <c r="D659" i="13"/>
  <c r="D660" i="13"/>
  <c r="D661" i="13"/>
  <c r="D662" i="13"/>
  <c r="D663" i="13"/>
  <c r="D664" i="13"/>
  <c r="D665" i="13"/>
  <c r="D666" i="13"/>
  <c r="D667" i="13"/>
  <c r="D668" i="13"/>
  <c r="D669" i="13"/>
  <c r="D670" i="13"/>
  <c r="D671" i="13"/>
  <c r="D672" i="13"/>
  <c r="D673" i="13"/>
  <c r="D674" i="13"/>
  <c r="D675" i="13"/>
  <c r="D676" i="13"/>
  <c r="D677" i="13"/>
  <c r="D678" i="13"/>
  <c r="D679" i="13"/>
  <c r="D680" i="13"/>
  <c r="D681" i="13"/>
  <c r="D682" i="13"/>
  <c r="D683" i="13"/>
  <c r="D684" i="13"/>
  <c r="D685" i="13"/>
  <c r="D686" i="13"/>
  <c r="D687" i="13"/>
  <c r="D688" i="13"/>
  <c r="D689" i="13"/>
  <c r="D690" i="13"/>
  <c r="D691" i="13"/>
  <c r="D692" i="13"/>
  <c r="D693" i="13"/>
  <c r="D694" i="13"/>
  <c r="D695" i="13"/>
  <c r="D696" i="13"/>
  <c r="D697" i="13"/>
  <c r="D698" i="13"/>
  <c r="D699" i="13"/>
  <c r="D700" i="13"/>
  <c r="D701" i="13"/>
  <c r="D702" i="13"/>
  <c r="D703" i="13"/>
  <c r="D704" i="13"/>
  <c r="D705" i="13"/>
  <c r="D706" i="13"/>
  <c r="D707" i="13"/>
  <c r="D708" i="13"/>
  <c r="D709" i="13"/>
  <c r="D710" i="13"/>
  <c r="D711" i="13"/>
  <c r="D712" i="13"/>
  <c r="D713" i="13"/>
  <c r="D714" i="13"/>
  <c r="D715" i="13"/>
  <c r="D716" i="13"/>
  <c r="D717" i="13"/>
  <c r="D718" i="13"/>
  <c r="D719" i="13"/>
  <c r="D720" i="13"/>
  <c r="D721" i="13"/>
  <c r="D722" i="13"/>
  <c r="D723" i="13"/>
  <c r="D724" i="13"/>
  <c r="D725" i="13"/>
  <c r="D726" i="13"/>
  <c r="D727" i="13"/>
  <c r="D728" i="13"/>
  <c r="D729" i="13"/>
  <c r="D730" i="13"/>
  <c r="D731" i="13"/>
  <c r="D732" i="13"/>
  <c r="D733" i="13"/>
  <c r="D734" i="13"/>
  <c r="D735" i="13"/>
  <c r="D736" i="13"/>
  <c r="D737" i="13"/>
  <c r="D738" i="13"/>
  <c r="D739" i="13"/>
  <c r="D740" i="13"/>
  <c r="D741" i="13"/>
  <c r="D742" i="13"/>
  <c r="D743" i="13"/>
  <c r="D744" i="13"/>
  <c r="D745" i="13"/>
  <c r="D746" i="13"/>
  <c r="D747" i="13"/>
  <c r="D748" i="13"/>
  <c r="D749" i="13"/>
  <c r="D750" i="13"/>
  <c r="D751" i="13"/>
  <c r="D752" i="13"/>
  <c r="D753" i="13"/>
  <c r="D754" i="13"/>
  <c r="D755" i="13"/>
  <c r="D756" i="13"/>
  <c r="D757" i="13"/>
  <c r="D758" i="13"/>
  <c r="D759" i="13"/>
  <c r="D760" i="13"/>
  <c r="D761" i="13"/>
  <c r="D762" i="13"/>
  <c r="D763" i="13"/>
  <c r="D764" i="13"/>
  <c r="D765" i="13"/>
  <c r="D766" i="13"/>
  <c r="D767" i="13"/>
  <c r="D768" i="13"/>
  <c r="D769" i="13"/>
  <c r="D770" i="13"/>
  <c r="D771" i="13"/>
  <c r="D772" i="13"/>
  <c r="D773" i="13"/>
  <c r="D774" i="13"/>
  <c r="D775" i="13"/>
  <c r="D776" i="13"/>
  <c r="D777" i="13"/>
  <c r="D778" i="13"/>
  <c r="D779" i="13"/>
  <c r="D780" i="13"/>
  <c r="D781" i="13"/>
  <c r="D782" i="13"/>
  <c r="D783" i="13"/>
  <c r="D784" i="13"/>
  <c r="D785" i="13"/>
  <c r="D786" i="13"/>
  <c r="D787" i="13"/>
  <c r="D788" i="13"/>
  <c r="D789" i="13"/>
  <c r="D790" i="13"/>
  <c r="D791" i="13"/>
  <c r="D792" i="13"/>
  <c r="D793" i="13"/>
  <c r="D794" i="13"/>
  <c r="D795" i="13"/>
  <c r="D796" i="13"/>
  <c r="D797" i="13"/>
  <c r="D798" i="13"/>
  <c r="D799" i="13"/>
  <c r="D800" i="13"/>
  <c r="D801" i="13"/>
  <c r="D802" i="13"/>
  <c r="D803" i="13"/>
  <c r="D804" i="13"/>
  <c r="D805" i="13"/>
  <c r="D806" i="13"/>
  <c r="D807" i="13"/>
  <c r="D808" i="13"/>
  <c r="D809" i="13"/>
  <c r="D810" i="13"/>
  <c r="D811" i="13"/>
  <c r="D812" i="13"/>
  <c r="D813" i="13"/>
  <c r="D814" i="13"/>
  <c r="D815" i="13"/>
  <c r="D816" i="13"/>
  <c r="D817" i="13"/>
  <c r="D818" i="13"/>
  <c r="D819" i="13"/>
  <c r="D820" i="13"/>
  <c r="D821" i="13"/>
  <c r="D822" i="13"/>
  <c r="D823" i="13"/>
  <c r="D824" i="13"/>
  <c r="D825" i="13"/>
  <c r="D826" i="13"/>
  <c r="D827" i="13"/>
  <c r="D828" i="13"/>
  <c r="D829" i="13"/>
  <c r="D830" i="13"/>
  <c r="D831" i="13"/>
  <c r="D832" i="13"/>
  <c r="D833" i="13"/>
  <c r="D834" i="13"/>
  <c r="D835" i="13"/>
  <c r="D836" i="13"/>
  <c r="D837" i="13"/>
  <c r="D838" i="13"/>
  <c r="D839" i="13"/>
  <c r="D840" i="13"/>
  <c r="D841" i="13"/>
  <c r="D842" i="13"/>
  <c r="D843" i="13"/>
  <c r="D844" i="13"/>
  <c r="D845" i="13"/>
  <c r="D846" i="13"/>
  <c r="D847" i="13"/>
  <c r="D848" i="13"/>
  <c r="D849" i="13"/>
  <c r="D850" i="13"/>
  <c r="D851" i="13"/>
  <c r="D852" i="13"/>
  <c r="D853" i="13"/>
  <c r="D854" i="13"/>
  <c r="D855" i="13"/>
  <c r="D856" i="13"/>
  <c r="D857" i="13"/>
  <c r="D858" i="13"/>
  <c r="D859" i="13"/>
  <c r="D860" i="13"/>
  <c r="D861" i="13"/>
  <c r="D862" i="13"/>
  <c r="D863" i="13"/>
  <c r="D864" i="13"/>
  <c r="D865" i="13"/>
  <c r="D866" i="13"/>
  <c r="D867" i="13"/>
  <c r="D868" i="13"/>
  <c r="D869" i="13"/>
  <c r="D870" i="13"/>
  <c r="D871" i="13"/>
  <c r="D872" i="13"/>
  <c r="D873" i="13"/>
  <c r="D874" i="13"/>
  <c r="D875" i="13"/>
  <c r="D876" i="13"/>
  <c r="D877" i="13"/>
  <c r="D878" i="13"/>
  <c r="D879" i="13"/>
  <c r="D880" i="13"/>
  <c r="D881" i="13"/>
  <c r="D882" i="13"/>
  <c r="D883" i="13"/>
  <c r="D884" i="13"/>
  <c r="D885" i="13"/>
  <c r="D886" i="13"/>
  <c r="D887" i="13"/>
  <c r="D888" i="13"/>
  <c r="D889" i="13"/>
  <c r="D890" i="13"/>
  <c r="D891" i="13"/>
  <c r="D892" i="13"/>
  <c r="D893" i="13"/>
  <c r="D894" i="13"/>
  <c r="D895" i="13"/>
  <c r="D896" i="13"/>
  <c r="D897" i="13"/>
  <c r="D898" i="13"/>
  <c r="D899" i="13"/>
  <c r="D900" i="13"/>
  <c r="D901" i="13"/>
  <c r="D902" i="13"/>
  <c r="D903" i="13"/>
  <c r="D904" i="13"/>
  <c r="D905" i="13"/>
  <c r="D906" i="13"/>
  <c r="D907" i="13"/>
  <c r="D908" i="13"/>
  <c r="D909" i="13"/>
  <c r="D910" i="13"/>
  <c r="D911" i="13"/>
  <c r="D912" i="13"/>
  <c r="D913" i="13"/>
  <c r="D914" i="13"/>
  <c r="D915" i="13"/>
  <c r="D916" i="13"/>
  <c r="D917" i="13"/>
  <c r="D918" i="13"/>
  <c r="D919" i="13"/>
  <c r="D920" i="13"/>
  <c r="D921" i="13"/>
  <c r="D922" i="13"/>
  <c r="D923" i="13"/>
  <c r="D924" i="13"/>
  <c r="D925" i="13"/>
  <c r="D926" i="13"/>
  <c r="D927" i="13"/>
  <c r="D928" i="13"/>
  <c r="D929" i="13"/>
  <c r="D930" i="13"/>
  <c r="D931" i="13"/>
  <c r="D932" i="13"/>
  <c r="D933" i="13"/>
  <c r="D934" i="13"/>
  <c r="D935" i="13"/>
  <c r="D936" i="13"/>
  <c r="D937" i="13"/>
  <c r="D938" i="13"/>
  <c r="D939" i="13"/>
  <c r="D940" i="13"/>
  <c r="D941" i="13"/>
  <c r="D942" i="13"/>
  <c r="D943" i="13"/>
  <c r="D944" i="13"/>
  <c r="D945" i="13"/>
  <c r="D946" i="13"/>
  <c r="D947" i="13"/>
  <c r="D948" i="13"/>
  <c r="D949" i="13"/>
  <c r="D950" i="13"/>
  <c r="D951" i="13"/>
  <c r="D952" i="13"/>
  <c r="D953" i="13"/>
  <c r="D954" i="13"/>
  <c r="D955" i="13"/>
  <c r="D956" i="13"/>
  <c r="D957" i="13"/>
  <c r="D958" i="13"/>
  <c r="D959" i="13"/>
  <c r="D960" i="13"/>
  <c r="D961" i="13"/>
  <c r="D962" i="13"/>
  <c r="D963" i="13"/>
  <c r="D964" i="13"/>
  <c r="D965" i="13"/>
  <c r="D966" i="13"/>
  <c r="D967" i="13"/>
  <c r="D968" i="13"/>
  <c r="D969" i="13"/>
  <c r="D970" i="13"/>
  <c r="D971" i="13"/>
  <c r="D972" i="13"/>
  <c r="D973" i="13"/>
  <c r="D974" i="13"/>
  <c r="D975" i="13"/>
  <c r="D976" i="13"/>
  <c r="D977" i="13"/>
  <c r="D978" i="13"/>
  <c r="D979" i="13"/>
  <c r="D980" i="13"/>
  <c r="D981" i="13"/>
  <c r="D982" i="13"/>
  <c r="D983" i="13"/>
  <c r="D984" i="13"/>
  <c r="D985" i="13"/>
  <c r="D986" i="13"/>
  <c r="D987" i="13"/>
  <c r="D988" i="13"/>
  <c r="D989" i="13"/>
  <c r="D990" i="13"/>
  <c r="D991" i="13"/>
  <c r="D992" i="13"/>
  <c r="D993" i="13"/>
  <c r="D994" i="13"/>
  <c r="D995" i="13"/>
  <c r="D996" i="13"/>
  <c r="D997" i="13"/>
  <c r="D998" i="13"/>
  <c r="D999" i="13"/>
  <c r="D1000" i="13"/>
  <c r="D1001" i="13"/>
  <c r="D1002" i="13"/>
  <c r="D1003" i="13"/>
  <c r="D1004" i="13"/>
  <c r="D1005" i="13"/>
  <c r="D1006" i="13"/>
  <c r="D1007" i="13"/>
  <c r="D1008" i="13"/>
  <c r="D1009" i="13"/>
  <c r="D1010" i="13"/>
  <c r="D1011" i="13"/>
  <c r="D1012" i="13"/>
  <c r="D1013" i="13"/>
  <c r="D1014" i="13"/>
  <c r="D1015" i="13"/>
  <c r="D1016" i="13"/>
  <c r="D1017" i="13"/>
  <c r="D1018" i="13"/>
  <c r="D1019" i="13"/>
  <c r="D1020" i="13"/>
  <c r="D1021" i="13"/>
  <c r="D1022" i="13"/>
  <c r="D1023" i="13"/>
  <c r="D1024" i="13"/>
  <c r="D1025" i="13"/>
  <c r="D1026" i="13"/>
  <c r="D1027" i="13"/>
  <c r="D1028" i="13"/>
  <c r="D1029" i="13"/>
  <c r="D1030" i="13"/>
  <c r="D1031" i="13"/>
  <c r="D1032" i="13"/>
  <c r="D1033" i="13"/>
  <c r="D1034" i="13"/>
  <c r="D1035" i="13"/>
  <c r="D1036" i="13"/>
  <c r="D1037" i="13"/>
  <c r="D1038" i="13"/>
  <c r="D1039" i="13"/>
  <c r="D1040" i="13"/>
  <c r="D1041" i="13"/>
  <c r="D1042" i="13"/>
  <c r="D1043" i="13"/>
  <c r="D1044" i="13"/>
  <c r="D1045" i="13"/>
  <c r="D1046" i="13"/>
  <c r="D1047" i="13"/>
  <c r="D1048" i="13"/>
  <c r="D1049" i="13"/>
  <c r="D1050" i="13"/>
  <c r="D1051" i="13"/>
  <c r="D1052" i="13"/>
  <c r="D1053" i="13"/>
  <c r="D1054" i="13"/>
  <c r="D1055" i="13"/>
  <c r="D1056" i="13"/>
  <c r="D1057" i="13"/>
  <c r="D1058" i="13"/>
  <c r="D1059" i="13"/>
  <c r="D1060" i="13"/>
  <c r="D1061" i="13"/>
  <c r="D1062" i="13"/>
  <c r="D1063" i="13"/>
  <c r="D1064" i="13"/>
  <c r="D1065" i="13"/>
  <c r="D1066" i="13"/>
  <c r="D1067" i="13"/>
  <c r="D1068" i="13"/>
  <c r="D1069" i="13"/>
  <c r="D1070" i="13"/>
  <c r="D1071" i="13"/>
  <c r="D1072" i="13"/>
  <c r="D1073" i="13"/>
  <c r="D1074" i="13"/>
  <c r="D1075" i="13"/>
  <c r="D1076" i="13"/>
  <c r="D1077" i="13"/>
  <c r="D1078" i="13"/>
  <c r="D1079" i="13"/>
  <c r="D1080" i="13"/>
  <c r="D1081" i="13"/>
  <c r="D1082" i="13"/>
  <c r="D1083" i="13"/>
  <c r="D1084" i="13"/>
  <c r="D1085" i="13"/>
  <c r="D1086" i="13"/>
  <c r="D1087" i="13"/>
  <c r="D1088" i="13"/>
  <c r="D1089" i="13"/>
  <c r="D1090" i="13"/>
  <c r="D1091" i="13"/>
  <c r="D1092" i="13"/>
  <c r="D1093" i="13"/>
  <c r="D1094" i="13"/>
  <c r="D1095" i="13"/>
  <c r="D1096" i="13"/>
  <c r="D1097" i="13"/>
  <c r="D1098" i="13"/>
  <c r="D1099" i="13"/>
  <c r="D1100" i="13"/>
  <c r="D1101" i="13"/>
  <c r="D1102" i="13"/>
  <c r="D1103" i="13"/>
  <c r="D1104" i="13"/>
  <c r="D1105" i="13"/>
  <c r="D1106" i="13"/>
  <c r="D1107" i="13"/>
  <c r="D1108" i="13"/>
  <c r="D1109" i="13"/>
  <c r="D1110" i="13"/>
  <c r="D1111" i="13"/>
  <c r="D1112" i="13"/>
  <c r="D1113" i="13"/>
  <c r="D1114" i="13"/>
  <c r="D1115" i="13"/>
  <c r="D1116" i="13"/>
  <c r="D1117" i="13"/>
  <c r="D1118" i="13"/>
  <c r="D1119" i="13"/>
  <c r="D1120" i="13"/>
  <c r="D1121" i="13"/>
  <c r="D1122" i="13"/>
  <c r="D1123" i="13"/>
  <c r="D1124" i="13"/>
  <c r="D1125" i="13"/>
  <c r="D1126" i="13"/>
  <c r="D1127" i="13"/>
  <c r="D1128" i="13"/>
  <c r="D1129" i="13"/>
  <c r="D1130" i="13"/>
  <c r="D1131" i="13"/>
  <c r="D1132" i="13"/>
  <c r="D1133" i="13"/>
  <c r="D1134" i="13"/>
  <c r="D1135" i="13"/>
  <c r="D1136" i="13"/>
  <c r="D1137" i="13"/>
  <c r="D1138" i="13"/>
  <c r="D1139" i="13"/>
  <c r="D1140" i="13"/>
  <c r="D1141" i="13"/>
  <c r="D1142" i="13"/>
  <c r="D1143" i="13"/>
  <c r="D1144" i="13"/>
  <c r="D1145" i="13"/>
  <c r="D1146" i="13"/>
  <c r="D1147" i="13"/>
  <c r="D1148" i="13"/>
  <c r="D1149" i="13"/>
  <c r="D1150" i="13"/>
  <c r="D1151" i="13"/>
  <c r="D1152" i="13"/>
  <c r="D1153" i="13"/>
  <c r="D1154" i="13"/>
  <c r="D1155" i="13"/>
  <c r="D1156" i="13"/>
  <c r="D1157" i="13"/>
  <c r="D1158" i="13"/>
  <c r="D1159" i="13"/>
  <c r="D1160" i="13"/>
  <c r="D1161" i="13"/>
  <c r="D1162" i="13"/>
  <c r="D1163" i="13"/>
  <c r="D1164" i="13"/>
  <c r="D1165" i="13"/>
  <c r="D1166" i="13"/>
  <c r="D1167" i="13"/>
  <c r="D1168" i="13"/>
  <c r="D1169" i="13"/>
  <c r="D1170" i="13"/>
  <c r="D1171" i="13"/>
  <c r="D1172" i="13"/>
  <c r="D1173" i="13"/>
  <c r="D1174" i="13"/>
  <c r="D1175" i="13"/>
  <c r="D1176" i="13"/>
  <c r="D1177" i="13"/>
  <c r="D1178" i="13"/>
  <c r="D1179" i="13"/>
  <c r="D1180" i="13"/>
  <c r="D1181" i="13"/>
  <c r="D1182" i="13"/>
  <c r="D1183" i="13"/>
  <c r="D1184" i="13"/>
  <c r="D1185" i="13"/>
  <c r="D1186" i="13"/>
  <c r="D1187" i="13"/>
  <c r="D1188" i="13"/>
  <c r="D1189" i="13"/>
  <c r="D1190" i="13"/>
  <c r="D1191" i="13"/>
  <c r="D1192" i="13"/>
  <c r="D1193" i="13"/>
  <c r="D1194" i="13"/>
  <c r="D1195" i="13"/>
  <c r="D1196" i="13"/>
  <c r="D1197" i="13"/>
  <c r="D1198" i="13"/>
  <c r="D1199" i="13"/>
  <c r="D1200" i="13"/>
  <c r="D1201" i="13"/>
  <c r="D1202" i="13"/>
  <c r="D1203" i="13"/>
  <c r="D1204" i="13"/>
  <c r="D1205" i="13"/>
  <c r="D1206" i="13"/>
  <c r="D1207" i="13"/>
  <c r="D1208" i="13"/>
  <c r="D1209" i="13"/>
  <c r="D1210" i="13"/>
  <c r="D1211" i="13"/>
  <c r="D1212" i="13"/>
  <c r="D1213" i="13"/>
  <c r="D1214" i="13"/>
  <c r="D1215" i="13"/>
  <c r="D1216" i="13"/>
  <c r="D1217" i="13"/>
  <c r="D1218" i="13"/>
  <c r="D1219" i="13"/>
  <c r="D1220" i="13"/>
  <c r="D1221" i="13"/>
  <c r="D1222" i="13"/>
  <c r="D1223" i="13"/>
  <c r="D1224" i="13"/>
  <c r="D1225" i="13"/>
  <c r="D1226" i="13"/>
  <c r="D1227" i="13"/>
  <c r="D1228" i="13"/>
  <c r="D1229" i="13"/>
  <c r="D1230" i="13"/>
  <c r="D1231" i="13"/>
  <c r="D1232" i="13"/>
  <c r="D1233" i="13"/>
  <c r="D1234" i="13"/>
  <c r="D1235" i="13"/>
  <c r="D1236" i="13"/>
  <c r="D1237" i="13"/>
  <c r="D1238" i="13"/>
  <c r="D1239" i="13"/>
  <c r="D1240" i="13"/>
  <c r="D1241" i="13"/>
  <c r="D1242" i="13"/>
  <c r="D1243" i="13"/>
  <c r="D1244" i="13"/>
  <c r="D1245" i="13"/>
  <c r="D1246" i="13"/>
  <c r="D1247" i="13"/>
  <c r="D1248" i="13"/>
  <c r="D1249" i="13"/>
  <c r="D1250" i="13"/>
  <c r="D1251" i="13"/>
  <c r="D1252" i="13"/>
  <c r="D1253" i="13"/>
  <c r="D1254" i="13"/>
  <c r="D1255" i="13"/>
  <c r="D1256" i="13"/>
  <c r="D1257" i="13"/>
  <c r="D1258" i="13"/>
  <c r="D1259" i="13"/>
  <c r="D1260" i="13"/>
  <c r="D1261" i="13"/>
  <c r="D1262" i="13"/>
  <c r="D1263" i="13"/>
  <c r="D1264" i="13"/>
  <c r="D1265" i="13"/>
  <c r="D1266" i="13"/>
  <c r="D1267" i="13"/>
  <c r="D1268" i="13"/>
  <c r="D1269" i="13"/>
  <c r="D1270" i="13"/>
  <c r="D1271" i="13"/>
  <c r="D1272" i="13"/>
  <c r="D1273" i="13"/>
  <c r="D1274" i="13"/>
  <c r="D1275" i="13"/>
  <c r="D1276" i="13"/>
  <c r="D1277" i="13"/>
  <c r="D1278" i="13"/>
  <c r="D1279" i="13"/>
  <c r="D1280" i="13"/>
  <c r="D1281" i="13"/>
  <c r="D1282" i="13"/>
  <c r="D1283" i="13"/>
  <c r="D1284" i="13"/>
  <c r="D1285" i="13"/>
  <c r="D1286" i="13"/>
  <c r="D1287" i="13"/>
  <c r="D1288" i="13"/>
  <c r="D1289" i="13"/>
  <c r="D1290" i="13"/>
  <c r="D1291" i="13"/>
  <c r="D1292" i="13"/>
  <c r="D1293" i="13"/>
  <c r="D1294" i="13"/>
  <c r="D1295" i="13"/>
  <c r="D1296" i="13"/>
  <c r="D1297" i="13"/>
  <c r="D1298" i="13"/>
  <c r="D1299" i="13"/>
  <c r="D1300" i="13"/>
  <c r="D1301" i="13"/>
  <c r="D1302" i="13"/>
  <c r="D1303" i="13"/>
  <c r="D1304" i="13"/>
  <c r="D1305" i="13"/>
  <c r="D1306" i="13"/>
  <c r="D1307" i="13"/>
  <c r="D1308" i="13"/>
  <c r="D1309" i="13"/>
  <c r="D1310" i="13"/>
  <c r="D1311" i="13"/>
  <c r="D1312" i="13"/>
  <c r="D1313" i="13"/>
  <c r="D1314" i="13"/>
  <c r="D1315" i="13"/>
  <c r="D1316" i="13"/>
  <c r="D1317" i="13"/>
  <c r="D1318" i="13"/>
  <c r="D1319" i="13"/>
  <c r="D1320" i="13"/>
  <c r="D1321" i="13"/>
  <c r="D1322" i="13"/>
  <c r="D1323" i="13"/>
  <c r="D1324" i="13"/>
  <c r="D1325" i="13"/>
  <c r="D1326" i="13"/>
  <c r="D1327" i="13"/>
  <c r="D1328" i="13"/>
  <c r="D1329" i="13"/>
  <c r="D1330" i="13"/>
  <c r="D1331" i="13"/>
  <c r="D1332" i="13"/>
  <c r="D1333" i="13"/>
  <c r="D1334" i="13"/>
  <c r="D1335" i="13"/>
  <c r="D1336" i="13"/>
  <c r="D1337" i="13"/>
  <c r="D1338" i="13"/>
  <c r="D1339" i="13"/>
  <c r="D1340" i="13"/>
  <c r="D1341" i="13"/>
  <c r="D1342" i="13"/>
  <c r="D1343" i="13"/>
  <c r="D1344" i="13"/>
  <c r="D1345" i="13"/>
  <c r="D1346" i="13"/>
  <c r="D1347" i="13"/>
  <c r="D1348" i="13"/>
  <c r="D1349" i="13"/>
  <c r="D1350" i="13"/>
  <c r="D1351" i="13"/>
  <c r="D1352" i="13"/>
  <c r="D1353" i="13"/>
  <c r="D1354" i="13"/>
  <c r="D1355" i="13"/>
  <c r="D1356" i="13"/>
  <c r="D1357" i="13"/>
  <c r="D1358" i="13"/>
  <c r="D1359" i="13"/>
  <c r="D1360" i="13"/>
  <c r="D1361" i="13"/>
  <c r="D1362" i="13"/>
  <c r="D1363" i="13"/>
  <c r="D1364" i="13"/>
  <c r="D1365" i="13"/>
  <c r="D1366" i="13"/>
  <c r="D1367" i="13"/>
  <c r="D1368" i="13"/>
  <c r="D1369" i="13"/>
  <c r="D1370" i="13"/>
  <c r="D1371" i="13"/>
  <c r="D1372" i="13"/>
  <c r="D1373" i="13"/>
  <c r="D1374" i="13"/>
  <c r="D1375" i="13"/>
  <c r="D1376" i="13"/>
  <c r="D1377" i="13"/>
  <c r="D1378" i="13"/>
  <c r="D1379" i="13"/>
  <c r="D1380" i="13"/>
  <c r="D1381" i="13"/>
  <c r="D1382" i="13"/>
  <c r="D1383" i="13"/>
  <c r="D1384" i="13"/>
  <c r="D1385" i="13"/>
  <c r="D1386" i="13"/>
  <c r="D1387" i="13"/>
  <c r="D1388" i="13"/>
  <c r="D1389" i="13"/>
  <c r="D1390" i="13"/>
  <c r="D1391" i="13"/>
  <c r="D1392" i="13"/>
  <c r="D1393" i="13"/>
  <c r="D1394" i="13"/>
  <c r="D1395" i="13"/>
  <c r="D1396" i="13"/>
  <c r="D1397" i="13"/>
  <c r="D1398" i="13"/>
  <c r="D1399" i="13"/>
  <c r="D1400" i="13"/>
  <c r="D1401" i="13"/>
  <c r="D1402" i="13"/>
  <c r="D1403" i="13"/>
  <c r="D1404" i="13"/>
  <c r="D1405" i="13"/>
  <c r="D1406" i="13"/>
  <c r="D1407" i="13"/>
  <c r="D1408" i="13"/>
  <c r="D1409" i="13"/>
  <c r="D1410" i="13"/>
  <c r="D1411" i="13"/>
  <c r="D1412" i="13"/>
  <c r="D1413" i="13"/>
  <c r="D1414" i="13"/>
  <c r="D1415" i="13"/>
  <c r="D1416" i="13"/>
  <c r="D1417" i="13"/>
  <c r="D1418" i="13"/>
  <c r="D1419" i="13"/>
  <c r="D1420" i="13"/>
  <c r="D1421" i="13"/>
  <c r="D1422" i="13"/>
  <c r="D1423" i="13"/>
  <c r="D1424" i="13"/>
  <c r="D1425" i="13"/>
  <c r="D1426" i="13"/>
  <c r="D1427" i="13"/>
  <c r="D1428" i="13"/>
  <c r="D1429" i="13"/>
  <c r="D1430" i="13"/>
  <c r="D1431" i="13"/>
  <c r="D1432" i="13"/>
  <c r="D1433" i="13"/>
  <c r="D1434" i="13"/>
  <c r="D1435" i="13"/>
  <c r="D1436" i="13"/>
  <c r="D160" i="13"/>
  <c r="D6"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85" i="13"/>
  <c r="D86" i="13"/>
  <c r="D87" i="13"/>
  <c r="D88" i="13"/>
  <c r="D89" i="13"/>
  <c r="D90" i="13"/>
  <c r="D91" i="13"/>
  <c r="D92" i="13"/>
  <c r="D93" i="13"/>
  <c r="D94" i="13"/>
  <c r="D95" i="13"/>
  <c r="D96" i="13"/>
  <c r="D97" i="13"/>
  <c r="D98" i="13"/>
  <c r="D99" i="13"/>
  <c r="D100" i="13"/>
  <c r="D101" i="13"/>
  <c r="D102" i="13"/>
  <c r="D103" i="13"/>
  <c r="D104" i="13"/>
  <c r="D105" i="13"/>
  <c r="D106" i="13"/>
  <c r="D107" i="13"/>
  <c r="D108" i="13"/>
  <c r="D109" i="13"/>
  <c r="D110" i="13"/>
  <c r="D111" i="13"/>
  <c r="D112" i="13"/>
  <c r="D113" i="13"/>
  <c r="D114" i="13"/>
  <c r="D115" i="13"/>
  <c r="D116" i="13"/>
  <c r="D117" i="13"/>
  <c r="D118" i="13"/>
  <c r="D119" i="13"/>
  <c r="D120" i="13"/>
  <c r="D121" i="13"/>
  <c r="D122" i="13"/>
  <c r="D123" i="13"/>
  <c r="D124" i="13"/>
  <c r="D125" i="13"/>
  <c r="D126" i="13"/>
  <c r="D127" i="13"/>
  <c r="D128" i="13"/>
  <c r="D129" i="13"/>
  <c r="D130" i="13"/>
  <c r="D131" i="13"/>
  <c r="D132" i="13"/>
  <c r="D133" i="13"/>
  <c r="D134" i="13"/>
  <c r="D135" i="13"/>
  <c r="D136" i="13"/>
  <c r="D137" i="13"/>
  <c r="D138" i="13"/>
  <c r="D139" i="13"/>
  <c r="D140" i="13"/>
  <c r="D141" i="13"/>
  <c r="D142" i="13"/>
  <c r="D143" i="13"/>
  <c r="D144" i="13"/>
  <c r="D145" i="13"/>
  <c r="D146" i="13"/>
  <c r="D147" i="13"/>
  <c r="D148" i="13"/>
  <c r="D149" i="13"/>
  <c r="D150" i="13"/>
  <c r="D151" i="13"/>
  <c r="D152" i="13"/>
  <c r="D153" i="13"/>
  <c r="D154" i="13"/>
  <c r="D155" i="13"/>
  <c r="D156" i="13"/>
  <c r="D157" i="13"/>
  <c r="D158" i="13"/>
  <c r="D159" i="13"/>
  <c r="D5" i="13"/>
  <c r="H5" i="13"/>
  <c r="H1485" i="13"/>
  <c r="H1484" i="13"/>
  <c r="H1483" i="13"/>
  <c r="H1482" i="13"/>
  <c r="H1481" i="13"/>
  <c r="H1480" i="13"/>
  <c r="H1479" i="13"/>
  <c r="H1478" i="13"/>
  <c r="H1477" i="13"/>
  <c r="H1476" i="13"/>
  <c r="H1475" i="13"/>
  <c r="H1474" i="13"/>
  <c r="H1473" i="13"/>
  <c r="H1472" i="13"/>
  <c r="H1471" i="13"/>
  <c r="H1470" i="13"/>
  <c r="H1469" i="13"/>
  <c r="H1468" i="13"/>
  <c r="H1467" i="13"/>
  <c r="H1466" i="13"/>
  <c r="H1465" i="13"/>
  <c r="H1464" i="13"/>
  <c r="H1463" i="13"/>
  <c r="H1462" i="13"/>
  <c r="H1461" i="13"/>
  <c r="H1460" i="13"/>
  <c r="H1459" i="13"/>
  <c r="H1458" i="13"/>
  <c r="H1457" i="13"/>
  <c r="H1456" i="13"/>
  <c r="H1455" i="13"/>
  <c r="H1454" i="13"/>
  <c r="H1453" i="13"/>
  <c r="H1452" i="13"/>
  <c r="H1451" i="13"/>
  <c r="H1450" i="13"/>
  <c r="H1449" i="13"/>
  <c r="H1448" i="13"/>
  <c r="H1447" i="13"/>
  <c r="H1446" i="13"/>
  <c r="H1445" i="13"/>
  <c r="H1444" i="13"/>
  <c r="H1443" i="13"/>
  <c r="H1442" i="13"/>
  <c r="H1441" i="13"/>
  <c r="H1440" i="13"/>
  <c r="H1439" i="13"/>
  <c r="H1438" i="13"/>
  <c r="H1437" i="13"/>
  <c r="H1436" i="13"/>
  <c r="H1435" i="13"/>
  <c r="H1434" i="13"/>
  <c r="H1433" i="13"/>
  <c r="H1432" i="13"/>
  <c r="H1431" i="13"/>
  <c r="H1430" i="13"/>
  <c r="H1429" i="13"/>
  <c r="H1428" i="13"/>
  <c r="H1427" i="13"/>
  <c r="H1426" i="13"/>
  <c r="H1425" i="13"/>
  <c r="H1424" i="13"/>
  <c r="H1423" i="13"/>
  <c r="H1422" i="13"/>
  <c r="H1421" i="13"/>
  <c r="H1420" i="13"/>
  <c r="H1419" i="13"/>
  <c r="H1418" i="13"/>
  <c r="H1417" i="13"/>
  <c r="H1416" i="13"/>
  <c r="H1415" i="13"/>
  <c r="H1414" i="13"/>
  <c r="H1413" i="13"/>
  <c r="H1412" i="13"/>
  <c r="H1411" i="13"/>
  <c r="H1410" i="13"/>
  <c r="H1409" i="13"/>
  <c r="H1408" i="13"/>
  <c r="H1407" i="13"/>
  <c r="H1406" i="13"/>
  <c r="H1405" i="13"/>
  <c r="H1404" i="13"/>
  <c r="H1403" i="13"/>
  <c r="H1402" i="13"/>
  <c r="H1401" i="13"/>
  <c r="H1400" i="13"/>
  <c r="H1399" i="13"/>
  <c r="H1398" i="13"/>
  <c r="H1397" i="13"/>
  <c r="H1396" i="13"/>
  <c r="H1395" i="13"/>
  <c r="H1394" i="13"/>
  <c r="H1393" i="13"/>
  <c r="H1392" i="13"/>
  <c r="H1391" i="13"/>
  <c r="H1390" i="13"/>
  <c r="H1389" i="13"/>
  <c r="H1388" i="13"/>
  <c r="H1387" i="13"/>
  <c r="H1386" i="13"/>
  <c r="H1385" i="13"/>
  <c r="H1384" i="13"/>
  <c r="H1383" i="13"/>
  <c r="H1382" i="13"/>
  <c r="H1381" i="13"/>
  <c r="H1380" i="13"/>
  <c r="H1379" i="13"/>
  <c r="H1378" i="13"/>
  <c r="H1377" i="13"/>
  <c r="H1376" i="13"/>
  <c r="H1375" i="13"/>
  <c r="H1374" i="13"/>
  <c r="H1373" i="13"/>
  <c r="H1372" i="13"/>
  <c r="H1371" i="13"/>
  <c r="H1370" i="13"/>
  <c r="H1369" i="13"/>
  <c r="H1368" i="13"/>
  <c r="H1367" i="13"/>
  <c r="H1366" i="13"/>
  <c r="H1365" i="13"/>
  <c r="H1364" i="13"/>
  <c r="H1363" i="13"/>
  <c r="H1362" i="13"/>
  <c r="H1361" i="13"/>
  <c r="H1360" i="13"/>
  <c r="H1359" i="13"/>
  <c r="H1358" i="13"/>
  <c r="H1357" i="13"/>
  <c r="H1356" i="13"/>
  <c r="H1355" i="13"/>
  <c r="H1354" i="13"/>
  <c r="H1353" i="13"/>
  <c r="H1352" i="13"/>
  <c r="H1351" i="13"/>
  <c r="H1350" i="13"/>
  <c r="H1349" i="13"/>
  <c r="H1348" i="13"/>
  <c r="H1347" i="13"/>
  <c r="H1346" i="13"/>
  <c r="H1345" i="13"/>
  <c r="H1344" i="13"/>
  <c r="H1343" i="13"/>
  <c r="H1342" i="13"/>
  <c r="H1341" i="13"/>
  <c r="H1340" i="13"/>
  <c r="H1339" i="13"/>
  <c r="H1338" i="13"/>
  <c r="H1337" i="13"/>
  <c r="H1336" i="13"/>
  <c r="H1335" i="13"/>
  <c r="H1334" i="13"/>
  <c r="H1333" i="13"/>
  <c r="H1332" i="13"/>
  <c r="H1331" i="13"/>
  <c r="H1330" i="13"/>
  <c r="H1329" i="13"/>
  <c r="H1328" i="13"/>
  <c r="H1327" i="13"/>
  <c r="H1326" i="13"/>
  <c r="H1325" i="13"/>
  <c r="H1324" i="13"/>
  <c r="H1323" i="13"/>
  <c r="H1322" i="13"/>
  <c r="H1321" i="13"/>
  <c r="H1320" i="13"/>
  <c r="H1319" i="13"/>
  <c r="H1318" i="13"/>
  <c r="H1317" i="13"/>
  <c r="H1316" i="13"/>
  <c r="H1315" i="13"/>
  <c r="H1314" i="13"/>
  <c r="H1313" i="13"/>
  <c r="H1312" i="13"/>
  <c r="H1311" i="13"/>
  <c r="H1310" i="13"/>
  <c r="H1309" i="13"/>
  <c r="H1308" i="13"/>
  <c r="H1307" i="13"/>
  <c r="H1306" i="13"/>
  <c r="H1305" i="13"/>
  <c r="H1304" i="13"/>
  <c r="H1303" i="13"/>
  <c r="H1302" i="13"/>
  <c r="H1301" i="13"/>
  <c r="H1300" i="13"/>
  <c r="H1299" i="13"/>
  <c r="H1298" i="13"/>
  <c r="H1297" i="13"/>
  <c r="H1296" i="13"/>
  <c r="H1295" i="13"/>
  <c r="H1294" i="13"/>
  <c r="H1293" i="13"/>
  <c r="H1292" i="13"/>
  <c r="H1291" i="13"/>
  <c r="H1290" i="13"/>
  <c r="H1289" i="13"/>
  <c r="H1288" i="13"/>
  <c r="H1287" i="13"/>
  <c r="H1286" i="13"/>
  <c r="H1285" i="13"/>
  <c r="H1284" i="13"/>
  <c r="H1283" i="13"/>
  <c r="H1282" i="13"/>
  <c r="H1281" i="13"/>
  <c r="H1280" i="13"/>
  <c r="H1279" i="13"/>
  <c r="H1278" i="13"/>
  <c r="H1277" i="13"/>
  <c r="H1276" i="13"/>
  <c r="H1275" i="13"/>
  <c r="H1274" i="13"/>
  <c r="H1273" i="13"/>
  <c r="H1272" i="13"/>
  <c r="H1271" i="13"/>
  <c r="H1270" i="13"/>
  <c r="H1269" i="13"/>
  <c r="H1268" i="13"/>
  <c r="H1267" i="13"/>
  <c r="H1266" i="13"/>
  <c r="H1265" i="13"/>
  <c r="H1264" i="13"/>
  <c r="H1263" i="13"/>
  <c r="H1262" i="13"/>
  <c r="H1261" i="13"/>
  <c r="H1260" i="13"/>
  <c r="H1259" i="13"/>
  <c r="H1258" i="13"/>
  <c r="H1257" i="13"/>
  <c r="H1256" i="13"/>
  <c r="H1255" i="13"/>
  <c r="H1254" i="13"/>
  <c r="H1253" i="13"/>
  <c r="H1252" i="13"/>
  <c r="H1251" i="13"/>
  <c r="H1250" i="13"/>
  <c r="H1249" i="13"/>
  <c r="H1248" i="13"/>
  <c r="H1247" i="13"/>
  <c r="H1246" i="13"/>
  <c r="H1245" i="13"/>
  <c r="H1244" i="13"/>
  <c r="H1243" i="13"/>
  <c r="H1242" i="13"/>
  <c r="H1241" i="13"/>
  <c r="H1240" i="13"/>
  <c r="H1239" i="13"/>
  <c r="H1238" i="13"/>
  <c r="H1237" i="13"/>
  <c r="H1236" i="13"/>
  <c r="H1235" i="13"/>
  <c r="H1234" i="13"/>
  <c r="H1233" i="13"/>
  <c r="H1232" i="13"/>
  <c r="H1231" i="13"/>
  <c r="H1230" i="13"/>
  <c r="H1229" i="13"/>
  <c r="H1228" i="13"/>
  <c r="H1227" i="13"/>
  <c r="H1226" i="13"/>
  <c r="H1225" i="13"/>
  <c r="H1224" i="13"/>
  <c r="H1223" i="13"/>
  <c r="H1222" i="13"/>
  <c r="H1221" i="13"/>
  <c r="H1220" i="13"/>
  <c r="H1219" i="13"/>
  <c r="H1218" i="13"/>
  <c r="H1217" i="13"/>
  <c r="H1216" i="13"/>
  <c r="H1215" i="13"/>
  <c r="H1214" i="13"/>
  <c r="H1213" i="13"/>
  <c r="H1212" i="13"/>
  <c r="H1211" i="13"/>
  <c r="H1210" i="13"/>
  <c r="H1209" i="13"/>
  <c r="H1208" i="13"/>
  <c r="H1207" i="13"/>
  <c r="H1206" i="13"/>
  <c r="H1205" i="13"/>
  <c r="H1204" i="13"/>
  <c r="H1203" i="13"/>
  <c r="H1202" i="13"/>
  <c r="H1201" i="13"/>
  <c r="H1200" i="13"/>
  <c r="H1199" i="13"/>
  <c r="H1198" i="13"/>
  <c r="H1197" i="13"/>
  <c r="H1196" i="13"/>
  <c r="H1195" i="13"/>
  <c r="H1194" i="13"/>
  <c r="H1193" i="13"/>
  <c r="H1192" i="13"/>
  <c r="H1191" i="13"/>
  <c r="H1190" i="13"/>
  <c r="H1189" i="13"/>
  <c r="H1188" i="13"/>
  <c r="H1187" i="13"/>
  <c r="H1186" i="13"/>
  <c r="H1185" i="13"/>
  <c r="H1184" i="13"/>
  <c r="H1183" i="13"/>
  <c r="H1182" i="13"/>
  <c r="H1181" i="13"/>
  <c r="H1180" i="13"/>
  <c r="H1179" i="13"/>
  <c r="H1178" i="13"/>
  <c r="H1177" i="13"/>
  <c r="H1176" i="13"/>
  <c r="H1175" i="13"/>
  <c r="H1174" i="13"/>
  <c r="H1173" i="13"/>
  <c r="H1172" i="13"/>
  <c r="H1171" i="13"/>
  <c r="H1170" i="13"/>
  <c r="H1169" i="13"/>
  <c r="H1168" i="13"/>
  <c r="H1167" i="13"/>
  <c r="H1166" i="13"/>
  <c r="H1165" i="13"/>
  <c r="H1164" i="13"/>
  <c r="H1163" i="13"/>
  <c r="H1162" i="13"/>
  <c r="H1161" i="13"/>
  <c r="H1160" i="13"/>
  <c r="H1159" i="13"/>
  <c r="H1158" i="13"/>
  <c r="H1157" i="13"/>
  <c r="H1156" i="13"/>
  <c r="H1155" i="13"/>
  <c r="H1154" i="13"/>
  <c r="H1153" i="13"/>
  <c r="H1152" i="13"/>
  <c r="H1151" i="13"/>
  <c r="H1150" i="13"/>
  <c r="H1149" i="13"/>
  <c r="H1148" i="13"/>
  <c r="H1147" i="13"/>
  <c r="H1146" i="13"/>
  <c r="H1145" i="13"/>
  <c r="H1144" i="13"/>
  <c r="H1143" i="13"/>
  <c r="H1142" i="13"/>
  <c r="H1141" i="13"/>
  <c r="H1140" i="13"/>
  <c r="H1139" i="13"/>
  <c r="H1138" i="13"/>
  <c r="H1137" i="13"/>
  <c r="H1136" i="13"/>
  <c r="H1135" i="13"/>
  <c r="H1134" i="13"/>
  <c r="H1133" i="13"/>
  <c r="H1132" i="13"/>
  <c r="H1131" i="13"/>
  <c r="H1130" i="13"/>
  <c r="H1129" i="13"/>
  <c r="H1128" i="13"/>
  <c r="H1127" i="13"/>
  <c r="H1126" i="13"/>
  <c r="H1125" i="13"/>
  <c r="H1124" i="13"/>
  <c r="H1123" i="13"/>
  <c r="H1122" i="13"/>
  <c r="H1121" i="13"/>
  <c r="H1120" i="13"/>
  <c r="H1119" i="13"/>
  <c r="H1118" i="13"/>
  <c r="H1117" i="13"/>
  <c r="H1116" i="13"/>
  <c r="H1115" i="13"/>
  <c r="H1114" i="13"/>
  <c r="H1113" i="13"/>
  <c r="H1112" i="13"/>
  <c r="H1111" i="13"/>
  <c r="H1110" i="13"/>
  <c r="H1109" i="13"/>
  <c r="H1108" i="13"/>
  <c r="H1107" i="13"/>
  <c r="H1106" i="13"/>
  <c r="H1105" i="13"/>
  <c r="H1104" i="13"/>
  <c r="H1103" i="13"/>
  <c r="H1102" i="13"/>
  <c r="H1101" i="13"/>
  <c r="H1100" i="13"/>
  <c r="H1099" i="13"/>
  <c r="H1098" i="13"/>
  <c r="H1097" i="13"/>
  <c r="H1096" i="13"/>
  <c r="H1095" i="13"/>
  <c r="H1094" i="13"/>
  <c r="H1093" i="13"/>
  <c r="H1092" i="13"/>
  <c r="H1091" i="13"/>
  <c r="H1090" i="13"/>
  <c r="H1089" i="13"/>
  <c r="H1088" i="13"/>
  <c r="H1087" i="13"/>
  <c r="H1086" i="13"/>
  <c r="H1085" i="13"/>
  <c r="H1084" i="13"/>
  <c r="H1083" i="13"/>
  <c r="H1082" i="13"/>
  <c r="H1081" i="13"/>
  <c r="H1080" i="13"/>
  <c r="H1079" i="13"/>
  <c r="H1078" i="13"/>
  <c r="H1077" i="13"/>
  <c r="H1076" i="13"/>
  <c r="H1075" i="13"/>
  <c r="H1074" i="13"/>
  <c r="H1073" i="13"/>
  <c r="H1072" i="13"/>
  <c r="H1071" i="13"/>
  <c r="H1070" i="13"/>
  <c r="H1069" i="13"/>
  <c r="H1068" i="13"/>
  <c r="H1067" i="13"/>
  <c r="H1066" i="13"/>
  <c r="H1065" i="13"/>
  <c r="H1064" i="13"/>
  <c r="H1063" i="13"/>
  <c r="H1062" i="13"/>
  <c r="H1061" i="13"/>
  <c r="H1060" i="13"/>
  <c r="H1059" i="13"/>
  <c r="H1058" i="13"/>
  <c r="H1057" i="13"/>
  <c r="H1056" i="13"/>
  <c r="H1055" i="13"/>
  <c r="H1054" i="13"/>
  <c r="H1053" i="13"/>
  <c r="H1052" i="13"/>
  <c r="H1051" i="13"/>
  <c r="H1050" i="13"/>
  <c r="H1049" i="13"/>
  <c r="H1048" i="13"/>
  <c r="H1047" i="13"/>
  <c r="H1046" i="13"/>
  <c r="H1045" i="13"/>
  <c r="H1044" i="13"/>
  <c r="H1043" i="13"/>
  <c r="H1042" i="13"/>
  <c r="H1041" i="13"/>
  <c r="H1040" i="13"/>
  <c r="H1039" i="13"/>
  <c r="H1038" i="13"/>
  <c r="H1037" i="13"/>
  <c r="H1036" i="13"/>
  <c r="H1035" i="13"/>
  <c r="H1034" i="13"/>
  <c r="H1033" i="13"/>
  <c r="H1032" i="13"/>
  <c r="H1031" i="13"/>
  <c r="H1030" i="13"/>
  <c r="H1029" i="13"/>
  <c r="H1028" i="13"/>
  <c r="H1027" i="13"/>
  <c r="H1026" i="13"/>
  <c r="H1025" i="13"/>
  <c r="H1024" i="13"/>
  <c r="H1023" i="13"/>
  <c r="H1022" i="13"/>
  <c r="H1021" i="13"/>
  <c r="H1020" i="13"/>
  <c r="H1019" i="13"/>
  <c r="H1018" i="13"/>
  <c r="H1017" i="13"/>
  <c r="H1016" i="13"/>
  <c r="H1015" i="13"/>
  <c r="H1014" i="13"/>
  <c r="H1013" i="13"/>
  <c r="H1012" i="13"/>
  <c r="H1011" i="13"/>
  <c r="H1010" i="13"/>
  <c r="H1009" i="13"/>
  <c r="H1008" i="13"/>
  <c r="H1007" i="13"/>
  <c r="H1006" i="13"/>
  <c r="H1005" i="13"/>
  <c r="H1004" i="13"/>
  <c r="H1003" i="13"/>
  <c r="H1002" i="13"/>
  <c r="H1001" i="13"/>
  <c r="H1000" i="13"/>
  <c r="H999" i="13"/>
  <c r="H998" i="13"/>
  <c r="H997" i="13"/>
  <c r="H996" i="13"/>
  <c r="H995" i="13"/>
  <c r="H994" i="13"/>
  <c r="H993" i="13"/>
  <c r="H992" i="13"/>
  <c r="H991" i="13"/>
  <c r="H990" i="13"/>
  <c r="H989" i="13"/>
  <c r="H988" i="13"/>
  <c r="H987" i="13"/>
  <c r="H986" i="13"/>
  <c r="H985" i="13"/>
  <c r="H984" i="13"/>
  <c r="H983" i="13"/>
  <c r="H982" i="13"/>
  <c r="H981" i="13"/>
  <c r="H980" i="13"/>
  <c r="H979" i="13"/>
  <c r="H978" i="13"/>
  <c r="H977" i="13"/>
  <c r="H976" i="13"/>
  <c r="H975" i="13"/>
  <c r="H974" i="13"/>
  <c r="H973" i="13"/>
  <c r="H972" i="13"/>
  <c r="H971" i="13"/>
  <c r="H970" i="13"/>
  <c r="H969" i="13"/>
  <c r="H968" i="13"/>
  <c r="H967" i="13"/>
  <c r="H966" i="13"/>
  <c r="H965" i="13"/>
  <c r="H964" i="13"/>
  <c r="H963" i="13"/>
  <c r="H962" i="13"/>
  <c r="H961" i="13"/>
  <c r="H960" i="13"/>
  <c r="H959" i="13"/>
  <c r="H958" i="13"/>
  <c r="H957" i="13"/>
  <c r="H956" i="13"/>
  <c r="H955" i="13"/>
  <c r="H954" i="13"/>
  <c r="H953" i="13"/>
  <c r="H952" i="13"/>
  <c r="H951" i="13"/>
  <c r="H950" i="13"/>
  <c r="H949" i="13"/>
  <c r="H948" i="13"/>
  <c r="H947" i="13"/>
  <c r="H946" i="13"/>
  <c r="H945" i="13"/>
  <c r="H944" i="13"/>
  <c r="H943" i="13"/>
  <c r="H942" i="13"/>
  <c r="H941" i="13"/>
  <c r="H940" i="13"/>
  <c r="H939" i="13"/>
  <c r="H938" i="13"/>
  <c r="H937" i="13"/>
  <c r="H936" i="13"/>
  <c r="H935" i="13"/>
  <c r="H934" i="13"/>
  <c r="H933" i="13"/>
  <c r="H932" i="13"/>
  <c r="H931" i="13"/>
  <c r="H930" i="13"/>
  <c r="H929" i="13"/>
  <c r="H928" i="13"/>
  <c r="H927" i="13"/>
  <c r="H926" i="13"/>
  <c r="H925" i="13"/>
  <c r="H924" i="13"/>
  <c r="H923" i="13"/>
  <c r="H922" i="13"/>
  <c r="H921" i="13"/>
  <c r="H920" i="13"/>
  <c r="H919" i="13"/>
  <c r="H918" i="13"/>
  <c r="H917" i="13"/>
  <c r="H916" i="13"/>
  <c r="H915" i="13"/>
  <c r="H914" i="13"/>
  <c r="H913" i="13"/>
  <c r="H912" i="13"/>
  <c r="H911" i="13"/>
  <c r="H910" i="13"/>
  <c r="H909" i="13"/>
  <c r="H908" i="13"/>
  <c r="H907" i="13"/>
  <c r="H906" i="13"/>
  <c r="H905" i="13"/>
  <c r="H904" i="13"/>
  <c r="H903" i="13"/>
  <c r="H902" i="13"/>
  <c r="H901" i="13"/>
  <c r="H900" i="13"/>
  <c r="H899" i="13"/>
  <c r="H898" i="13"/>
  <c r="H897" i="13"/>
  <c r="H896" i="13"/>
  <c r="H895" i="13"/>
  <c r="H894" i="13"/>
  <c r="H893" i="13"/>
  <c r="H892" i="13"/>
  <c r="H891" i="13"/>
  <c r="H890" i="13"/>
  <c r="H889" i="13"/>
  <c r="H888" i="13"/>
  <c r="H887" i="13"/>
  <c r="H886" i="13"/>
  <c r="H885" i="13"/>
  <c r="H884" i="13"/>
  <c r="H883" i="13"/>
  <c r="H882" i="13"/>
  <c r="H881" i="13"/>
  <c r="H880" i="13"/>
  <c r="H879" i="13"/>
  <c r="H878" i="13"/>
  <c r="H877" i="13"/>
  <c r="H876" i="13"/>
  <c r="H875" i="13"/>
  <c r="H874" i="13"/>
  <c r="H873" i="13"/>
  <c r="H872" i="13"/>
  <c r="H871" i="13"/>
  <c r="H870" i="13"/>
  <c r="H869" i="13"/>
  <c r="H868" i="13"/>
  <c r="H867" i="13"/>
  <c r="H866" i="13"/>
  <c r="H865" i="13"/>
  <c r="H864" i="13"/>
  <c r="H863" i="13"/>
  <c r="H862" i="13"/>
  <c r="H861" i="13"/>
  <c r="H860" i="13"/>
  <c r="H859" i="13"/>
  <c r="H858" i="13"/>
  <c r="H857" i="13"/>
  <c r="H856" i="13"/>
  <c r="H855" i="13"/>
  <c r="H854" i="13"/>
  <c r="H853" i="13"/>
  <c r="H852" i="13"/>
  <c r="H851" i="13"/>
  <c r="H850" i="13"/>
  <c r="H849" i="13"/>
  <c r="H848" i="13"/>
  <c r="H847" i="13"/>
  <c r="H846" i="13"/>
  <c r="H845" i="13"/>
  <c r="H844" i="13"/>
  <c r="H843" i="13"/>
  <c r="H842" i="13"/>
  <c r="H841" i="13"/>
  <c r="H840" i="13"/>
  <c r="H839" i="13"/>
  <c r="H838" i="13"/>
  <c r="H837" i="13"/>
  <c r="H836" i="13"/>
  <c r="H835" i="13"/>
  <c r="H834" i="13"/>
  <c r="H833" i="13"/>
  <c r="H832" i="13"/>
  <c r="H831" i="13"/>
  <c r="H830" i="13"/>
  <c r="H829" i="13"/>
  <c r="H828" i="13"/>
  <c r="H827" i="13"/>
  <c r="H826" i="13"/>
  <c r="H825" i="13"/>
  <c r="H824" i="13"/>
  <c r="H823" i="13"/>
  <c r="H822" i="13"/>
  <c r="H821" i="13"/>
  <c r="H820" i="13"/>
  <c r="H819" i="13"/>
  <c r="H818" i="13"/>
  <c r="H817" i="13"/>
  <c r="H816" i="13"/>
  <c r="H815" i="13"/>
  <c r="H814" i="13"/>
  <c r="H813" i="13"/>
  <c r="H812" i="13"/>
  <c r="H811" i="13"/>
  <c r="H810" i="13"/>
  <c r="H809" i="13"/>
  <c r="H808" i="13"/>
  <c r="H807" i="13"/>
  <c r="H806" i="13"/>
  <c r="H805" i="13"/>
  <c r="H804" i="13"/>
  <c r="H803" i="13"/>
  <c r="H802" i="13"/>
  <c r="H801" i="13"/>
  <c r="H800" i="13"/>
  <c r="H799" i="13"/>
  <c r="H798" i="13"/>
  <c r="H797" i="13"/>
  <c r="H796" i="13"/>
  <c r="H795" i="13"/>
  <c r="H794" i="13"/>
  <c r="H793" i="13"/>
  <c r="H792" i="13"/>
  <c r="H791" i="13"/>
  <c r="H790" i="13"/>
  <c r="H789" i="13"/>
  <c r="H788" i="13"/>
  <c r="H787" i="13"/>
  <c r="H786" i="13"/>
  <c r="H785" i="13"/>
  <c r="H784" i="13"/>
  <c r="H783" i="13"/>
  <c r="H782" i="13"/>
  <c r="H781" i="13"/>
  <c r="H780" i="13"/>
  <c r="H779" i="13"/>
  <c r="H778" i="13"/>
  <c r="H777" i="13"/>
  <c r="H776" i="13"/>
  <c r="H775" i="13"/>
  <c r="H774" i="13"/>
  <c r="H773" i="13"/>
  <c r="H772" i="13"/>
  <c r="H771" i="13"/>
  <c r="H770" i="13"/>
  <c r="H769" i="13"/>
  <c r="H768" i="13"/>
  <c r="H767" i="13"/>
  <c r="H766" i="13"/>
  <c r="H765" i="13"/>
  <c r="H764" i="13"/>
  <c r="H763" i="13"/>
  <c r="H762" i="13"/>
  <c r="H761" i="13"/>
  <c r="H760" i="13"/>
  <c r="H759" i="13"/>
  <c r="H758" i="13"/>
  <c r="H757" i="13"/>
  <c r="H756" i="13"/>
  <c r="H755" i="13"/>
  <c r="H754" i="13"/>
  <c r="H753" i="13"/>
  <c r="H752" i="13"/>
  <c r="H751" i="13"/>
  <c r="H750" i="13"/>
  <c r="H749" i="13"/>
  <c r="H748" i="13"/>
  <c r="H747" i="13"/>
  <c r="H746" i="13"/>
  <c r="H745" i="13"/>
  <c r="H744" i="13"/>
  <c r="H743" i="13"/>
  <c r="H742" i="13"/>
  <c r="H741" i="13"/>
  <c r="H740" i="13"/>
  <c r="H739" i="13"/>
  <c r="H738" i="13"/>
  <c r="H737" i="13"/>
  <c r="H736" i="13"/>
  <c r="H735" i="13"/>
  <c r="H734" i="13"/>
  <c r="H733" i="13"/>
  <c r="H732" i="13"/>
  <c r="H731" i="13"/>
  <c r="H730" i="13"/>
  <c r="H729" i="13"/>
  <c r="H728" i="13"/>
  <c r="H727" i="13"/>
  <c r="H726" i="13"/>
  <c r="H725" i="13"/>
  <c r="H724" i="13"/>
  <c r="H723" i="13"/>
  <c r="H722" i="13"/>
  <c r="H721" i="13"/>
  <c r="H720" i="13"/>
  <c r="H719" i="13"/>
  <c r="H718" i="13"/>
  <c r="H717" i="13"/>
  <c r="H716" i="13"/>
  <c r="H715" i="13"/>
  <c r="H714" i="13"/>
  <c r="H713" i="13"/>
  <c r="H712" i="13"/>
  <c r="H711" i="13"/>
  <c r="H710" i="13"/>
  <c r="H709" i="13"/>
  <c r="H708" i="13"/>
  <c r="H707" i="13"/>
  <c r="H706" i="13"/>
  <c r="H705" i="13"/>
  <c r="H704" i="13"/>
  <c r="H703" i="13"/>
  <c r="H702" i="13"/>
  <c r="H701" i="13"/>
  <c r="H700" i="13"/>
  <c r="H699" i="13"/>
  <c r="H698" i="13"/>
  <c r="H697" i="13"/>
  <c r="H696" i="13"/>
  <c r="H695" i="13"/>
  <c r="H694" i="13"/>
  <c r="H693" i="13"/>
  <c r="H692" i="13"/>
  <c r="H691" i="13"/>
  <c r="H690" i="13"/>
  <c r="H689" i="13"/>
  <c r="H688" i="13"/>
  <c r="H687" i="13"/>
  <c r="H686" i="13"/>
  <c r="H685" i="13"/>
  <c r="H684" i="13"/>
  <c r="H683" i="13"/>
  <c r="H682" i="13"/>
  <c r="H681" i="13"/>
  <c r="H680" i="13"/>
  <c r="H679" i="13"/>
  <c r="H678" i="13"/>
  <c r="H677" i="13"/>
  <c r="H676" i="13"/>
  <c r="H675" i="13"/>
  <c r="H674" i="13"/>
  <c r="H673" i="13"/>
  <c r="H672" i="13"/>
  <c r="H671" i="13"/>
  <c r="H670" i="13"/>
  <c r="H669" i="13"/>
  <c r="H668" i="13"/>
  <c r="H667" i="13"/>
  <c r="H666" i="13"/>
  <c r="H665" i="13"/>
  <c r="H664" i="13"/>
  <c r="H663" i="13"/>
  <c r="H662" i="13"/>
  <c r="H661" i="13"/>
  <c r="H660" i="13"/>
  <c r="H659" i="13"/>
  <c r="H658" i="13"/>
  <c r="H657" i="13"/>
  <c r="H656" i="13"/>
  <c r="H655" i="13"/>
  <c r="H654" i="13"/>
  <c r="H653" i="13"/>
  <c r="H652" i="13"/>
  <c r="H651" i="13"/>
  <c r="H650" i="13"/>
  <c r="H649" i="13"/>
  <c r="H648" i="13"/>
  <c r="H647" i="13"/>
  <c r="H646" i="13"/>
  <c r="H645" i="13"/>
  <c r="H644" i="13"/>
  <c r="H643" i="13"/>
  <c r="H642" i="13"/>
  <c r="H641" i="13"/>
  <c r="H640" i="13"/>
  <c r="H639" i="13"/>
  <c r="H638" i="13"/>
  <c r="H637" i="13"/>
  <c r="H636" i="13"/>
  <c r="H635" i="13"/>
  <c r="H634" i="13"/>
  <c r="H633" i="13"/>
  <c r="H632" i="13"/>
  <c r="H631" i="13"/>
  <c r="H630" i="13"/>
  <c r="H629" i="13"/>
  <c r="H628" i="13"/>
  <c r="H627" i="13"/>
  <c r="H626" i="13"/>
  <c r="H625" i="13"/>
  <c r="H624" i="13"/>
  <c r="H623" i="13"/>
  <c r="H622" i="13"/>
  <c r="H621" i="13"/>
  <c r="H620" i="13"/>
  <c r="H619" i="13"/>
  <c r="H618" i="13"/>
  <c r="H617" i="13"/>
  <c r="H616" i="13"/>
  <c r="H615" i="13"/>
  <c r="H614" i="13"/>
  <c r="H613" i="13"/>
  <c r="H612" i="13"/>
  <c r="H611" i="13"/>
  <c r="H610" i="13"/>
  <c r="H609" i="13"/>
  <c r="H608" i="13"/>
  <c r="H607" i="13"/>
  <c r="H606" i="13"/>
  <c r="H605" i="13"/>
  <c r="H604" i="13"/>
  <c r="H603" i="13"/>
  <c r="H602" i="13"/>
  <c r="H601" i="13"/>
  <c r="H600" i="13"/>
  <c r="H599" i="13"/>
  <c r="H598" i="13"/>
  <c r="H597" i="13"/>
  <c r="H596" i="13"/>
  <c r="H595" i="13"/>
  <c r="H594" i="13"/>
  <c r="H593" i="13"/>
  <c r="H592" i="13"/>
  <c r="H591" i="13"/>
  <c r="H590" i="13"/>
  <c r="H589" i="13"/>
  <c r="H588" i="13"/>
  <c r="H587" i="13"/>
  <c r="H586" i="13"/>
  <c r="H585" i="13"/>
  <c r="H584" i="13"/>
  <c r="H583" i="13"/>
  <c r="H582" i="13"/>
  <c r="H581" i="13"/>
  <c r="H580" i="13"/>
  <c r="H579" i="13"/>
  <c r="H578" i="13"/>
  <c r="H577" i="13"/>
  <c r="H576" i="13"/>
  <c r="H575" i="13"/>
  <c r="H574" i="13"/>
  <c r="H573" i="13"/>
  <c r="H572" i="13"/>
  <c r="H571" i="13"/>
  <c r="H570" i="13"/>
  <c r="H569" i="13"/>
  <c r="H568" i="13"/>
  <c r="H567" i="13"/>
  <c r="H566" i="13"/>
  <c r="H565" i="13"/>
  <c r="H564" i="13"/>
  <c r="H563" i="13"/>
  <c r="H562" i="13"/>
  <c r="H561" i="13"/>
  <c r="H560" i="13"/>
  <c r="H559" i="13"/>
  <c r="H558" i="13"/>
  <c r="H557" i="13"/>
  <c r="H556" i="13"/>
  <c r="H555" i="13"/>
  <c r="H554" i="13"/>
  <c r="H553" i="13"/>
  <c r="H552" i="13"/>
  <c r="H551" i="13"/>
  <c r="H550" i="13"/>
  <c r="H549" i="13"/>
  <c r="H548" i="13"/>
  <c r="H547" i="13"/>
  <c r="H546" i="13"/>
  <c r="H545" i="13"/>
  <c r="H544" i="13"/>
  <c r="H543" i="13"/>
  <c r="H542" i="13"/>
  <c r="H541" i="13"/>
  <c r="H540" i="13"/>
  <c r="H539" i="13"/>
  <c r="H538" i="13"/>
  <c r="H537" i="13"/>
  <c r="H536" i="13"/>
  <c r="H535" i="13"/>
  <c r="H534" i="13"/>
  <c r="H533" i="13"/>
  <c r="H532" i="13"/>
  <c r="H531" i="13"/>
  <c r="H530" i="13"/>
  <c r="H529" i="13"/>
  <c r="H528" i="13"/>
  <c r="H527" i="13"/>
  <c r="H526" i="13"/>
  <c r="H525" i="13"/>
  <c r="H524" i="13"/>
  <c r="H523" i="13"/>
  <c r="H522" i="13"/>
  <c r="H521" i="13"/>
  <c r="H520" i="13"/>
  <c r="H519" i="13"/>
  <c r="H518" i="13"/>
  <c r="H517" i="13"/>
  <c r="H516" i="13"/>
  <c r="H515" i="13"/>
  <c r="H514" i="13"/>
  <c r="H513" i="13"/>
  <c r="H512" i="13"/>
  <c r="H511" i="13"/>
  <c r="H510" i="13"/>
  <c r="H509" i="13"/>
  <c r="H508" i="13"/>
  <c r="H507" i="13"/>
  <c r="H506" i="13"/>
  <c r="H505" i="13"/>
  <c r="H504" i="13"/>
  <c r="H503" i="13"/>
  <c r="H502" i="13"/>
  <c r="H501" i="13"/>
  <c r="H500" i="13"/>
  <c r="H499" i="13"/>
  <c r="H498" i="13"/>
  <c r="H497" i="13"/>
  <c r="H496" i="13"/>
  <c r="H495" i="13"/>
  <c r="H494" i="13"/>
  <c r="H493" i="13"/>
  <c r="H492" i="13"/>
  <c r="H491" i="13"/>
  <c r="H490" i="13"/>
  <c r="H489" i="13"/>
  <c r="H488" i="13"/>
  <c r="H487" i="13"/>
  <c r="H486" i="13"/>
  <c r="H485" i="13"/>
  <c r="H484" i="13"/>
  <c r="H483" i="13"/>
  <c r="H482" i="13"/>
  <c r="H481" i="13"/>
  <c r="H480" i="13"/>
  <c r="H479" i="13"/>
  <c r="H478" i="13"/>
  <c r="H477" i="13"/>
  <c r="H476" i="13"/>
  <c r="H475" i="13"/>
  <c r="H474" i="13"/>
  <c r="H473" i="13"/>
  <c r="H472" i="13"/>
  <c r="H471" i="13"/>
  <c r="H470" i="13"/>
  <c r="H469" i="13"/>
  <c r="H468" i="13"/>
  <c r="H467" i="13"/>
  <c r="H466" i="13"/>
  <c r="H465" i="13"/>
  <c r="H464" i="13"/>
  <c r="H463" i="13"/>
  <c r="H462" i="13"/>
  <c r="H461" i="13"/>
  <c r="H460" i="13"/>
  <c r="H459" i="13"/>
  <c r="H458" i="13"/>
  <c r="H457" i="13"/>
  <c r="H456" i="13"/>
  <c r="H455" i="13"/>
  <c r="H454" i="13"/>
  <c r="H453" i="13"/>
  <c r="H452" i="13"/>
  <c r="H451" i="13"/>
  <c r="H450" i="13"/>
  <c r="H449" i="13"/>
  <c r="H448" i="13"/>
  <c r="H447" i="13"/>
  <c r="H446" i="13"/>
  <c r="H445" i="13"/>
  <c r="H444" i="13"/>
  <c r="H443" i="13"/>
  <c r="H442" i="13"/>
  <c r="H441" i="13"/>
  <c r="H440" i="13"/>
  <c r="H439" i="13"/>
  <c r="H438" i="13"/>
  <c r="H437" i="13"/>
  <c r="H436" i="13"/>
  <c r="H435" i="13"/>
  <c r="H434" i="13"/>
  <c r="H433" i="13"/>
  <c r="H432" i="13"/>
  <c r="H431" i="13"/>
  <c r="H430" i="13"/>
  <c r="H429" i="13"/>
  <c r="H428" i="13"/>
  <c r="H427" i="13"/>
  <c r="H426" i="13"/>
  <c r="H425" i="13"/>
  <c r="H424" i="13"/>
  <c r="H423" i="13"/>
  <c r="H422" i="13"/>
  <c r="H421" i="13"/>
  <c r="H420" i="13"/>
  <c r="H419" i="13"/>
  <c r="H418" i="13"/>
  <c r="H417" i="13"/>
  <c r="H416" i="13"/>
  <c r="H415" i="13"/>
  <c r="H414" i="13"/>
  <c r="H413" i="13"/>
  <c r="H412" i="13"/>
  <c r="H411" i="13"/>
  <c r="H410" i="13"/>
  <c r="H409" i="13"/>
  <c r="H408" i="13"/>
  <c r="H407" i="13"/>
  <c r="H406" i="13"/>
  <c r="H405" i="13"/>
  <c r="H404" i="13"/>
  <c r="H403" i="13"/>
  <c r="H402" i="13"/>
  <c r="H401" i="13"/>
  <c r="H400" i="13"/>
  <c r="H399" i="13"/>
  <c r="H398" i="13"/>
  <c r="H397" i="13"/>
  <c r="H396" i="13"/>
  <c r="H395" i="13"/>
  <c r="H394" i="13"/>
  <c r="H393" i="13"/>
  <c r="H392" i="13"/>
  <c r="H391" i="13"/>
  <c r="H390" i="13"/>
  <c r="H389" i="13"/>
  <c r="H388" i="13"/>
  <c r="H387" i="13"/>
  <c r="H386" i="13"/>
  <c r="H385" i="13"/>
  <c r="H384" i="13"/>
  <c r="H383" i="13"/>
  <c r="H382" i="13"/>
  <c r="H381" i="13"/>
  <c r="H380" i="13"/>
  <c r="H379" i="13"/>
  <c r="H378" i="13"/>
  <c r="H377" i="13"/>
  <c r="H376" i="13"/>
  <c r="H375" i="13"/>
  <c r="H374" i="13"/>
  <c r="H373" i="13"/>
  <c r="H372" i="13"/>
  <c r="H371" i="13"/>
  <c r="H370" i="13"/>
  <c r="H369" i="13"/>
  <c r="H368" i="13"/>
  <c r="H367" i="13"/>
  <c r="H366" i="13"/>
  <c r="H365" i="13"/>
  <c r="H364" i="13"/>
  <c r="H363" i="13"/>
  <c r="H362" i="13"/>
  <c r="H361" i="13"/>
  <c r="H360" i="13"/>
  <c r="H359" i="13"/>
  <c r="H358" i="13"/>
  <c r="H357" i="13"/>
  <c r="H356" i="13"/>
  <c r="H355" i="13"/>
  <c r="H354" i="13"/>
  <c r="H353" i="13"/>
  <c r="H352" i="13"/>
  <c r="H351" i="13"/>
  <c r="H350" i="13"/>
  <c r="H349" i="13"/>
  <c r="H348" i="13"/>
  <c r="H347" i="13"/>
  <c r="H346" i="13"/>
  <c r="H345" i="13"/>
  <c r="H344" i="13"/>
  <c r="H343" i="13"/>
  <c r="H342" i="13"/>
  <c r="H341" i="13"/>
  <c r="H340" i="13"/>
  <c r="H339" i="13"/>
  <c r="H338" i="13"/>
  <c r="H337" i="13"/>
  <c r="H336" i="13"/>
  <c r="H335" i="13"/>
  <c r="H334" i="13"/>
  <c r="H333" i="13"/>
  <c r="H332" i="13"/>
  <c r="H331" i="13"/>
  <c r="H330" i="13"/>
  <c r="H329" i="13"/>
  <c r="H328" i="13"/>
  <c r="H327" i="13"/>
  <c r="H326" i="13"/>
  <c r="H325" i="13"/>
  <c r="H324" i="13"/>
  <c r="H323" i="13"/>
  <c r="H322" i="13"/>
  <c r="H321" i="13"/>
  <c r="H320" i="13"/>
  <c r="H319" i="13"/>
  <c r="H318" i="13"/>
  <c r="H317" i="13"/>
  <c r="H316" i="13"/>
  <c r="H315" i="13"/>
  <c r="H314" i="13"/>
  <c r="H313" i="13"/>
  <c r="H312" i="13"/>
  <c r="H311" i="13"/>
  <c r="H310" i="13"/>
  <c r="H309" i="13"/>
  <c r="H308" i="13"/>
  <c r="H307" i="13"/>
  <c r="H306" i="13"/>
  <c r="H305" i="13"/>
  <c r="H304" i="13"/>
  <c r="H303" i="13"/>
  <c r="H302" i="13"/>
  <c r="H301" i="13"/>
  <c r="H300" i="13"/>
  <c r="H299" i="13"/>
  <c r="H298" i="13"/>
  <c r="H297" i="13"/>
  <c r="H296" i="13"/>
  <c r="H295" i="13"/>
  <c r="H294" i="13"/>
  <c r="H293" i="13"/>
  <c r="H292" i="13"/>
  <c r="H291" i="13"/>
  <c r="H290" i="13"/>
  <c r="H289" i="13"/>
  <c r="H288" i="13"/>
  <c r="H287" i="13"/>
  <c r="H286" i="13"/>
  <c r="H285" i="13"/>
  <c r="H284" i="13"/>
  <c r="H283" i="13"/>
  <c r="H282" i="13"/>
  <c r="H281" i="13"/>
  <c r="H280" i="13"/>
  <c r="H279" i="13"/>
  <c r="H278" i="13"/>
  <c r="H277" i="13"/>
  <c r="H276" i="13"/>
  <c r="H275" i="13"/>
  <c r="H274" i="13"/>
  <c r="H273" i="13"/>
  <c r="H272" i="13"/>
  <c r="H271" i="13"/>
  <c r="H270" i="13"/>
  <c r="H269" i="13"/>
  <c r="H268" i="13"/>
  <c r="H267" i="13"/>
  <c r="H266" i="13"/>
  <c r="H265" i="13"/>
  <c r="H264" i="13"/>
  <c r="H263" i="13"/>
  <c r="H262" i="13"/>
  <c r="H261" i="13"/>
  <c r="H260" i="13"/>
  <c r="H259" i="13"/>
  <c r="H258" i="13"/>
  <c r="H257" i="13"/>
  <c r="H256" i="13"/>
  <c r="H255" i="13"/>
  <c r="H254" i="13"/>
  <c r="H253" i="13"/>
  <c r="H252" i="13"/>
  <c r="H251" i="13"/>
  <c r="H250" i="13"/>
  <c r="H249" i="13"/>
  <c r="H248" i="13"/>
  <c r="H247" i="13"/>
  <c r="H246" i="13"/>
  <c r="H245" i="13"/>
  <c r="H244" i="13"/>
  <c r="H243" i="13"/>
  <c r="H242" i="13"/>
  <c r="H241" i="13"/>
  <c r="H240" i="13"/>
  <c r="H239" i="13"/>
  <c r="H238" i="13"/>
  <c r="H237" i="13"/>
  <c r="H236" i="13"/>
  <c r="H235" i="13"/>
  <c r="H234" i="13"/>
  <c r="H233" i="13"/>
  <c r="H232" i="13"/>
  <c r="H231" i="13"/>
  <c r="H230" i="13"/>
  <c r="H229" i="13"/>
  <c r="H228" i="13"/>
  <c r="H227" i="13"/>
  <c r="H226" i="13"/>
  <c r="H225" i="13"/>
  <c r="H224" i="13"/>
  <c r="H223" i="13"/>
  <c r="H222" i="13"/>
  <c r="H221" i="13"/>
  <c r="H220" i="13"/>
  <c r="H219" i="13"/>
  <c r="H218" i="13"/>
  <c r="H217" i="13"/>
  <c r="H216" i="13"/>
  <c r="H215" i="13"/>
  <c r="H214" i="13"/>
  <c r="H213" i="13"/>
  <c r="H212" i="13"/>
  <c r="H211" i="13"/>
  <c r="H210" i="13"/>
  <c r="H209" i="13"/>
  <c r="H208" i="13"/>
  <c r="H207" i="13"/>
  <c r="H206" i="13"/>
  <c r="H205" i="13"/>
  <c r="H204" i="13"/>
  <c r="H203" i="13"/>
  <c r="H202" i="13"/>
  <c r="H201" i="13"/>
  <c r="H200" i="13"/>
  <c r="H199" i="13"/>
  <c r="H198" i="13"/>
  <c r="H197" i="13"/>
  <c r="H196" i="13"/>
  <c r="H195" i="13"/>
  <c r="H194" i="13"/>
  <c r="H193" i="13"/>
  <c r="H192" i="13"/>
  <c r="H191" i="13"/>
  <c r="H190" i="13"/>
  <c r="H189" i="13"/>
  <c r="H188" i="13"/>
  <c r="H187" i="13"/>
  <c r="H186" i="13"/>
  <c r="H185" i="13"/>
  <c r="H184" i="13"/>
  <c r="H183" i="13"/>
  <c r="H182" i="13"/>
  <c r="H181" i="13"/>
  <c r="H180" i="13"/>
  <c r="H179" i="13"/>
  <c r="H178" i="13"/>
  <c r="H177" i="13"/>
  <c r="H176" i="13"/>
  <c r="H175" i="13"/>
  <c r="H174" i="13"/>
  <c r="H173" i="13"/>
  <c r="H172" i="13"/>
  <c r="H171" i="13"/>
  <c r="H170" i="13"/>
  <c r="H169" i="13"/>
  <c r="H168" i="13"/>
  <c r="H167" i="13"/>
  <c r="H166" i="13"/>
  <c r="H165" i="13"/>
  <c r="H164" i="13"/>
  <c r="H163" i="13"/>
  <c r="H162" i="13"/>
  <c r="H161" i="13"/>
  <c r="H160" i="13"/>
  <c r="H159" i="13"/>
  <c r="H158" i="13"/>
  <c r="H157" i="13"/>
  <c r="H156" i="13"/>
  <c r="H155" i="13"/>
  <c r="H154" i="13"/>
  <c r="H153" i="13"/>
  <c r="H152" i="13"/>
  <c r="H151" i="13"/>
  <c r="H150" i="13"/>
  <c r="H149" i="13"/>
  <c r="H148" i="13"/>
  <c r="H147" i="13"/>
  <c r="H146" i="13"/>
  <c r="H145" i="13"/>
  <c r="H144" i="13"/>
  <c r="H143" i="13"/>
  <c r="H142" i="13"/>
  <c r="H141" i="13"/>
  <c r="H140" i="13"/>
  <c r="H139" i="13"/>
  <c r="H138" i="13"/>
  <c r="H137" i="13"/>
  <c r="H136" i="13"/>
  <c r="H135" i="13"/>
  <c r="H134" i="13"/>
  <c r="H133" i="13"/>
  <c r="H132" i="13"/>
  <c r="H131" i="13"/>
  <c r="H130" i="13"/>
  <c r="H129" i="13"/>
  <c r="H128" i="13"/>
  <c r="H127" i="13"/>
  <c r="H126" i="13"/>
  <c r="H125" i="13"/>
  <c r="H124" i="13"/>
  <c r="H123" i="13"/>
  <c r="H122" i="13"/>
  <c r="H121" i="13"/>
  <c r="H120" i="13"/>
  <c r="H119" i="13"/>
  <c r="H118" i="13"/>
  <c r="H117" i="13"/>
  <c r="H116" i="13"/>
  <c r="H115" i="13"/>
  <c r="H114" i="13"/>
  <c r="H113" i="13"/>
  <c r="H112" i="13"/>
  <c r="H111" i="13"/>
  <c r="H110" i="13"/>
  <c r="H109" i="13"/>
  <c r="H108" i="13"/>
  <c r="H107" i="13"/>
  <c r="H106" i="13"/>
  <c r="H105" i="13"/>
  <c r="H104" i="13"/>
  <c r="H103" i="13"/>
  <c r="H102" i="13"/>
  <c r="H101" i="13"/>
  <c r="H100" i="13"/>
  <c r="H99" i="13"/>
  <c r="H98" i="13"/>
  <c r="H97" i="13"/>
  <c r="H96" i="13"/>
  <c r="H95" i="13"/>
  <c r="H94" i="13"/>
  <c r="H93" i="13"/>
  <c r="H92" i="13"/>
  <c r="H91" i="13"/>
  <c r="H90" i="13"/>
  <c r="H89" i="13"/>
  <c r="H88" i="13"/>
  <c r="H87" i="13"/>
  <c r="H86" i="13"/>
  <c r="H85" i="13"/>
  <c r="H84" i="13"/>
  <c r="H83" i="13"/>
  <c r="H82" i="13"/>
  <c r="H81" i="13"/>
  <c r="H80" i="13"/>
  <c r="H79" i="13"/>
  <c r="H78" i="13"/>
  <c r="H77" i="13"/>
  <c r="H76" i="13"/>
  <c r="H75" i="13"/>
  <c r="H74" i="13"/>
  <c r="H73" i="13"/>
  <c r="H72" i="13"/>
  <c r="H71" i="13"/>
  <c r="H70" i="13"/>
  <c r="H69" i="13"/>
  <c r="H68" i="13"/>
  <c r="H67" i="13"/>
  <c r="H66" i="13"/>
  <c r="H65" i="13"/>
  <c r="H64" i="13"/>
  <c r="H63" i="13"/>
  <c r="H62" i="13"/>
  <c r="H61" i="13"/>
  <c r="H60" i="13"/>
  <c r="H59" i="13"/>
  <c r="H58" i="13"/>
  <c r="H57" i="13"/>
  <c r="H56" i="13"/>
  <c r="H55" i="13"/>
  <c r="H54" i="13"/>
  <c r="H53" i="13"/>
  <c r="H52" i="13"/>
  <c r="H51" i="13"/>
  <c r="H50" i="13"/>
  <c r="H49" i="13"/>
  <c r="H48" i="13"/>
  <c r="H47" i="13"/>
  <c r="H46" i="13"/>
  <c r="H45" i="13"/>
  <c r="H44" i="13"/>
  <c r="H43" i="13"/>
  <c r="H42" i="13"/>
  <c r="H41" i="13"/>
  <c r="H40" i="13"/>
  <c r="H39" i="13"/>
  <c r="H38" i="13"/>
  <c r="H37" i="13"/>
  <c r="H36" i="13"/>
  <c r="H35" i="13"/>
  <c r="H34" i="13"/>
  <c r="H33" i="13"/>
  <c r="H32" i="13"/>
  <c r="H31" i="13"/>
  <c r="H30" i="13"/>
  <c r="H29" i="13"/>
  <c r="H28" i="13"/>
  <c r="H27" i="13"/>
  <c r="H26" i="13"/>
  <c r="H25" i="13"/>
  <c r="H24" i="13"/>
  <c r="H23" i="13"/>
  <c r="H22" i="13"/>
  <c r="H21" i="13"/>
  <c r="H20" i="13"/>
  <c r="H19" i="13"/>
  <c r="H18" i="13"/>
  <c r="H17" i="13"/>
  <c r="H16" i="13"/>
  <c r="H15" i="13"/>
  <c r="H14" i="13"/>
  <c r="H13" i="13"/>
  <c r="H12" i="13"/>
  <c r="H11" i="13"/>
  <c r="H10" i="13"/>
  <c r="H9" i="13"/>
  <c r="H8" i="13"/>
  <c r="H7" i="13"/>
  <c r="H6" i="13"/>
  <c r="C4" i="17" l="1" a="1"/>
  <c r="C4" i="17" s="1"/>
  <c r="C5" i="17" s="1"/>
  <c r="F4" i="17" a="1"/>
  <c r="F4" i="17" s="1"/>
  <c r="F5" i="17" s="1"/>
  <c r="E4" i="17" a="1"/>
  <c r="E4" i="17" s="1"/>
  <c r="D4" i="17" a="1"/>
  <c r="D4" i="17" s="1"/>
  <c r="G4" i="17" a="1"/>
  <c r="G4" i="17" s="1"/>
  <c r="G5" i="17" s="1"/>
  <c r="D5" i="17"/>
  <c r="E5" i="17"/>
  <c r="E11" i="17" s="1"/>
  <c r="E7" i="22"/>
  <c r="D6" i="22"/>
  <c r="D8" i="22" s="1"/>
  <c r="D9" i="22" s="1"/>
  <c r="D11" i="17"/>
  <c r="D9" i="17"/>
  <c r="H38" i="14"/>
  <c r="F19" i="15"/>
  <c r="F20" i="15" s="1"/>
  <c r="F15" i="15"/>
  <c r="F8" i="15"/>
  <c r="G38" i="14"/>
  <c r="E19" i="15"/>
  <c r="E20" i="15" s="1"/>
  <c r="E8" i="15"/>
  <c r="E15" i="15"/>
  <c r="I38" i="14"/>
  <c r="G19" i="15"/>
  <c r="G20" i="15" s="1"/>
  <c r="G8" i="15"/>
  <c r="G15" i="15"/>
  <c r="E38" i="14"/>
  <c r="C19" i="15"/>
  <c r="C20" i="15" s="1"/>
  <c r="C15" i="15"/>
  <c r="F38" i="14"/>
  <c r="D19" i="15"/>
  <c r="D20" i="15" s="1"/>
  <c r="D8" i="15"/>
  <c r="D15" i="15"/>
  <c r="U20" i="10"/>
  <c r="T20" i="10"/>
  <c r="U19" i="10"/>
  <c r="T19" i="10"/>
  <c r="U18" i="10"/>
  <c r="T18" i="10"/>
  <c r="U17" i="10"/>
  <c r="T17" i="10"/>
  <c r="G9" i="17" l="1"/>
  <c r="G11" i="17"/>
  <c r="E9" i="17"/>
  <c r="F11" i="17"/>
  <c r="F9" i="17"/>
  <c r="C9" i="17"/>
  <c r="C11" i="17"/>
  <c r="D14" i="22"/>
  <c r="D15" i="22"/>
  <c r="F7" i="22"/>
  <c r="E6" i="22"/>
  <c r="E8" i="22" s="1"/>
  <c r="E9" i="22" s="1"/>
  <c r="K28" i="11"/>
  <c r="I28" i="11"/>
  <c r="K27" i="11"/>
  <c r="I27" i="11"/>
  <c r="K26" i="11"/>
  <c r="I26" i="11"/>
  <c r="K25" i="11"/>
  <c r="I25" i="11"/>
  <c r="C13" i="17" l="1"/>
  <c r="D54" i="14" s="1"/>
  <c r="D17" i="21" s="1"/>
  <c r="C14" i="17"/>
  <c r="E14" i="22"/>
  <c r="E15" i="22"/>
  <c r="G7" i="22"/>
  <c r="F6" i="22"/>
  <c r="F8" i="22" s="1"/>
  <c r="F9" i="22" s="1"/>
  <c r="D16" i="21" l="1"/>
  <c r="N17" i="21"/>
  <c r="O17" i="21" s="1"/>
  <c r="E17" i="21" s="1"/>
  <c r="F17" i="21" s="1"/>
  <c r="G17" i="21" s="1"/>
  <c r="H17" i="21" s="1"/>
  <c r="I17" i="21" s="1"/>
  <c r="J17" i="21" s="1"/>
  <c r="K17" i="21" s="1"/>
  <c r="L17" i="21" s="1"/>
  <c r="L22" i="21" s="1"/>
  <c r="F14" i="22"/>
  <c r="F15" i="22"/>
  <c r="H7" i="22"/>
  <c r="G6" i="22"/>
  <c r="G8" i="22" s="1"/>
  <c r="G9" i="22" s="1"/>
  <c r="L21" i="21" l="1"/>
  <c r="L5" i="22"/>
  <c r="E16" i="21"/>
  <c r="F16" i="21" s="1"/>
  <c r="G16" i="21" s="1"/>
  <c r="H16" i="21" s="1"/>
  <c r="I16" i="21" s="1"/>
  <c r="J16" i="21" s="1"/>
  <c r="K16" i="21" s="1"/>
  <c r="L16" i="21" s="1"/>
  <c r="M16" i="21" s="1"/>
  <c r="G14" i="22"/>
  <c r="G15" i="22"/>
  <c r="I7" i="22"/>
  <c r="H6" i="22"/>
  <c r="H8" i="22" s="1"/>
  <c r="H9" i="22" s="1"/>
  <c r="L4" i="22" l="1"/>
  <c r="M21" i="21"/>
  <c r="M4" i="22" s="1"/>
  <c r="H14" i="22"/>
  <c r="H15" i="22"/>
  <c r="J7" i="22"/>
  <c r="I6" i="22"/>
  <c r="I8" i="22" s="1"/>
  <c r="I9" i="22" s="1"/>
  <c r="M10" i="22" l="1"/>
  <c r="O4" i="22"/>
  <c r="M11" i="22"/>
  <c r="L10" i="22"/>
  <c r="L11" i="22"/>
  <c r="L12" i="22" s="1"/>
  <c r="I15" i="22"/>
  <c r="I14" i="22"/>
  <c r="K7" i="22"/>
  <c r="J6" i="22"/>
  <c r="J8" i="22" s="1"/>
  <c r="J9" i="22" s="1"/>
  <c r="M12" i="22" l="1"/>
  <c r="M13" i="22" s="1"/>
  <c r="L13" i="22"/>
  <c r="J14" i="22"/>
  <c r="J15" i="22"/>
  <c r="L7" i="22"/>
  <c r="K6" i="22"/>
  <c r="K8" i="22" s="1"/>
  <c r="K9" i="22" s="1"/>
  <c r="K15" i="22" l="1"/>
  <c r="K14" i="22"/>
  <c r="M7" i="22"/>
  <c r="L6" i="22"/>
  <c r="L8" i="22" s="1"/>
  <c r="L9" i="22" s="1"/>
  <c r="L15" i="22" l="1"/>
  <c r="L14" i="22"/>
  <c r="O7" i="22"/>
  <c r="O6" i="22" s="1"/>
  <c r="O8" i="22" s="1"/>
  <c r="O9" i="22" s="1"/>
  <c r="O13" i="22" s="1"/>
  <c r="O14" i="22" s="1"/>
  <c r="M6" i="22"/>
  <c r="M8" i="22" s="1"/>
  <c r="M9" i="22" s="1"/>
  <c r="M15" i="22" l="1"/>
  <c r="M14" i="22"/>
  <c r="M17" i="22" l="1"/>
  <c r="D22" i="22" s="1"/>
  <c r="D21" i="22"/>
  <c r="D24" i="22" s="1"/>
  <c r="D28" i="22" s="1"/>
  <c r="D31" i="22" s="1"/>
  <c r="I24" i="2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Manan</author>
  </authors>
  <commentList>
    <comment ref="C4" authorId="0" shapeId="0" xr:uid="{1E4F02EA-36DB-4261-AC69-0F82888B9CEE}">
      <text>
        <r>
          <rPr>
            <b/>
            <sz val="9"/>
            <color indexed="81"/>
            <rFont val="Tahoma"/>
            <family val="2"/>
          </rPr>
          <t>Manan:</t>
        </r>
        <r>
          <rPr>
            <sz val="9"/>
            <color indexed="81"/>
            <rFont val="Tahoma"/>
            <family val="2"/>
          </rPr>
          <t xml:space="preserve">
Source: Screener.in, https://www.screener.in/company/VBL/consolidated/</t>
        </r>
      </text>
    </comment>
    <comment ref="C9" authorId="0" shapeId="0" xr:uid="{1402ADFD-401C-45F2-AFD4-E22305014A16}">
      <text>
        <r>
          <rPr>
            <b/>
            <sz val="9"/>
            <color indexed="81"/>
            <rFont val="Tahoma"/>
            <family val="2"/>
          </rPr>
          <t>Manan:</t>
        </r>
        <r>
          <rPr>
            <sz val="9"/>
            <color indexed="81"/>
            <rFont val="Tahoma"/>
            <family val="2"/>
          </rPr>
          <t xml:space="preserve">
Source: Screener.in, https://www.screener.in/company/TATACONSUM/consolidated/</t>
        </r>
      </text>
    </comment>
    <comment ref="C14" authorId="0" shapeId="0" xr:uid="{32C5F7BE-2747-4ECE-A0A6-C55FCE1B87EA}">
      <text>
        <r>
          <rPr>
            <b/>
            <sz val="9"/>
            <color indexed="81"/>
            <rFont val="Tahoma"/>
            <family val="2"/>
          </rPr>
          <t>Manan:</t>
        </r>
        <r>
          <rPr>
            <sz val="9"/>
            <color indexed="81"/>
            <rFont val="Tahoma"/>
            <family val="2"/>
          </rPr>
          <t xml:space="preserve">
Source: Screener.in, https://www.screener.in/company/BRITANNIA/consolidated/</t>
        </r>
      </text>
    </comment>
    <comment ref="C19" authorId="0" shapeId="0" xr:uid="{C74ED66D-D68A-49BA-ACB2-597592FEBB22}">
      <text>
        <r>
          <rPr>
            <b/>
            <sz val="9"/>
            <color indexed="81"/>
            <rFont val="Tahoma"/>
            <family val="2"/>
          </rPr>
          <t>Manan:</t>
        </r>
        <r>
          <rPr>
            <sz val="9"/>
            <color indexed="81"/>
            <rFont val="Tahoma"/>
            <family val="2"/>
          </rPr>
          <t xml:space="preserve">
Source: Screener.in, https://www.screener.in/company/GODREJCP/consolidated/</t>
        </r>
      </text>
    </comment>
    <comment ref="C25" authorId="0" shapeId="0" xr:uid="{4FC2568B-0E28-4FC0-B5B2-00C7DAA7C3DF}">
      <text>
        <r>
          <rPr>
            <b/>
            <sz val="9"/>
            <color indexed="81"/>
            <rFont val="Tahoma"/>
            <family val="2"/>
          </rPr>
          <t>Manan:</t>
        </r>
        <r>
          <rPr>
            <sz val="9"/>
            <color indexed="81"/>
            <rFont val="Tahoma"/>
            <family val="2"/>
          </rPr>
          <t xml:space="preserve">
Source: Screener.in, https://www.screener.in/company/VBL/consolidated/</t>
        </r>
      </text>
    </comment>
    <comment ref="D25" authorId="0" shapeId="0" xr:uid="{F79F04CD-F6B0-4702-9BD7-915197AD6E84}">
      <text>
        <r>
          <rPr>
            <b/>
            <sz val="9"/>
            <color indexed="81"/>
            <rFont val="Tahoma"/>
            <family val="2"/>
          </rPr>
          <t>Manan:</t>
        </r>
        <r>
          <rPr>
            <sz val="9"/>
            <color indexed="81"/>
            <rFont val="Tahoma"/>
            <family val="2"/>
          </rPr>
          <t xml:space="preserve">
Source: Screener.in, https://www.screener.in/company/VBL/consolidated/</t>
        </r>
      </text>
    </comment>
    <comment ref="E25" authorId="0" shapeId="0" xr:uid="{B84EB8CC-ABD3-4881-BBA6-A623C9A36543}">
      <text>
        <r>
          <rPr>
            <b/>
            <sz val="9"/>
            <color indexed="81"/>
            <rFont val="Tahoma"/>
            <family val="2"/>
          </rPr>
          <t>Manan:</t>
        </r>
        <r>
          <rPr>
            <sz val="9"/>
            <color indexed="81"/>
            <rFont val="Tahoma"/>
            <family val="2"/>
          </rPr>
          <t xml:space="preserve">
Source: Screener.in, FY Dec 2025</t>
        </r>
      </text>
    </comment>
    <comment ref="F25" authorId="0" shapeId="0" xr:uid="{9166517F-5229-4EC4-9F96-D9E5919DD008}">
      <text>
        <r>
          <rPr>
            <b/>
            <sz val="9"/>
            <color indexed="81"/>
            <rFont val="Tahoma"/>
            <family val="2"/>
          </rPr>
          <t>Manan:</t>
        </r>
        <r>
          <rPr>
            <sz val="9"/>
            <color indexed="81"/>
            <rFont val="Tahoma"/>
            <family val="2"/>
          </rPr>
          <t xml:space="preserve">
Source: Screener.in, FY Dec 2025</t>
        </r>
      </text>
    </comment>
    <comment ref="G25" authorId="0" shapeId="0" xr:uid="{B121D568-D37E-4182-86C7-8A778974C244}">
      <text>
        <r>
          <rPr>
            <b/>
            <sz val="9"/>
            <color indexed="81"/>
            <rFont val="Tahoma"/>
            <family val="2"/>
          </rPr>
          <t>Manan:</t>
        </r>
        <r>
          <rPr>
            <sz val="9"/>
            <color indexed="81"/>
            <rFont val="Tahoma"/>
            <family val="2"/>
          </rPr>
          <t xml:space="preserve">
Source: Screener.in, Equity Capital Dec 2025</t>
        </r>
      </text>
    </comment>
    <comment ref="H25" authorId="0" shapeId="0" xr:uid="{B56C85F0-C531-496D-BB52-2B192C92D3D9}">
      <text>
        <r>
          <rPr>
            <b/>
            <sz val="9"/>
            <color indexed="81"/>
            <rFont val="Tahoma"/>
            <family val="2"/>
          </rPr>
          <t>Manan:</t>
        </r>
        <r>
          <rPr>
            <sz val="9"/>
            <color indexed="81"/>
            <rFont val="Tahoma"/>
            <family val="2"/>
          </rPr>
          <t xml:space="preserve">
Source: Screener.in, FY Dec 2025</t>
        </r>
      </text>
    </comment>
    <comment ref="J25" authorId="0" shapeId="0" xr:uid="{F7106251-1196-4968-8026-B3D3DCFA946B}">
      <text>
        <r>
          <rPr>
            <b/>
            <sz val="9"/>
            <color indexed="81"/>
            <rFont val="Tahoma"/>
            <family val="2"/>
          </rPr>
          <t>Manan:</t>
        </r>
        <r>
          <rPr>
            <sz val="9"/>
            <color indexed="81"/>
            <rFont val="Tahoma"/>
            <family val="2"/>
          </rPr>
          <t xml:space="preserve">
Source: Screener.in, FY Dec 2025</t>
        </r>
      </text>
    </comment>
    <comment ref="K25" authorId="0" shapeId="0" xr:uid="{30CF43E0-6435-4854-8ED8-BBA4A08331D6}">
      <text>
        <r>
          <rPr>
            <b/>
            <sz val="9"/>
            <color indexed="81"/>
            <rFont val="Tahoma"/>
            <family val="2"/>
          </rPr>
          <t>Manan:</t>
        </r>
        <r>
          <rPr>
            <sz val="9"/>
            <color indexed="81"/>
            <rFont val="Tahoma"/>
            <family val="2"/>
          </rPr>
          <t xml:space="preserve">
CEPS = (PAT + Depreciation 1,216) / Shares; Shares = Equity Capital / Face Value (₹2)</t>
        </r>
      </text>
    </comment>
    <comment ref="C26" authorId="0" shapeId="0" xr:uid="{2492B719-5684-435B-B1B1-A9EC2727E37C}">
      <text>
        <r>
          <rPr>
            <b/>
            <sz val="9"/>
            <color indexed="81"/>
            <rFont val="Tahoma"/>
            <family val="2"/>
          </rPr>
          <t>Manan:</t>
        </r>
        <r>
          <rPr>
            <sz val="9"/>
            <color indexed="81"/>
            <rFont val="Tahoma"/>
            <family val="2"/>
          </rPr>
          <t xml:space="preserve">
Source: Screener.in, https://www.screener.in/company/TATACONSUM/consolidated/</t>
        </r>
      </text>
    </comment>
    <comment ref="D26" authorId="0" shapeId="0" xr:uid="{EDE579CB-3D65-41C8-B3C0-725ED1FF4495}">
      <text>
        <r>
          <rPr>
            <b/>
            <sz val="9"/>
            <color indexed="81"/>
            <rFont val="Tahoma"/>
            <family val="2"/>
          </rPr>
          <t>Manan:</t>
        </r>
        <r>
          <rPr>
            <sz val="9"/>
            <color indexed="81"/>
            <rFont val="Tahoma"/>
            <family val="2"/>
          </rPr>
          <t xml:space="preserve">
Source: Screener.in</t>
        </r>
      </text>
    </comment>
    <comment ref="E26" authorId="0" shapeId="0" xr:uid="{CE69D4AC-BA0F-4C43-BD00-CBCC97F7DDBE}">
      <text>
        <r>
          <rPr>
            <b/>
            <sz val="9"/>
            <color indexed="81"/>
            <rFont val="Tahoma"/>
            <family val="2"/>
          </rPr>
          <t>Manan:</t>
        </r>
        <r>
          <rPr>
            <sz val="9"/>
            <color indexed="81"/>
            <rFont val="Tahoma"/>
            <family val="2"/>
          </rPr>
          <t xml:space="preserve">
Source: Screener.in, FY Mar 2025</t>
        </r>
      </text>
    </comment>
    <comment ref="F26" authorId="0" shapeId="0" xr:uid="{854C902A-677E-48BB-AF83-C39B27BE0CDC}">
      <text>
        <r>
          <rPr>
            <b/>
            <sz val="9"/>
            <color indexed="81"/>
            <rFont val="Tahoma"/>
            <family val="2"/>
          </rPr>
          <t>Manan:</t>
        </r>
        <r>
          <rPr>
            <sz val="9"/>
            <color indexed="81"/>
            <rFont val="Tahoma"/>
            <family val="2"/>
          </rPr>
          <t xml:space="preserve">
Source: Screener.in, FY Mar 2025</t>
        </r>
      </text>
    </comment>
    <comment ref="G26" authorId="0" shapeId="0" xr:uid="{AF0E18F5-F25B-4109-B718-DD1642D6BC64}">
      <text>
        <r>
          <rPr>
            <b/>
            <sz val="9"/>
            <color indexed="81"/>
            <rFont val="Tahoma"/>
            <family val="2"/>
          </rPr>
          <t>Manan:</t>
        </r>
        <r>
          <rPr>
            <sz val="9"/>
            <color indexed="81"/>
            <rFont val="Tahoma"/>
            <family val="2"/>
          </rPr>
          <t xml:space="preserve">
Source: Screener.in, Equity Capital Mar 2025</t>
        </r>
      </text>
    </comment>
    <comment ref="H26" authorId="0" shapeId="0" xr:uid="{489371C8-A4BE-43C6-BB31-2F8F78353ED4}">
      <text>
        <r>
          <rPr>
            <b/>
            <sz val="9"/>
            <color indexed="81"/>
            <rFont val="Tahoma"/>
            <family val="2"/>
          </rPr>
          <t>Manan:</t>
        </r>
        <r>
          <rPr>
            <sz val="9"/>
            <color indexed="81"/>
            <rFont val="Tahoma"/>
            <family val="2"/>
          </rPr>
          <t xml:space="preserve">
Source: Screener.in, FY Mar 2025</t>
        </r>
      </text>
    </comment>
    <comment ref="J26" authorId="0" shapeId="0" xr:uid="{ECC308D8-EB16-4DCE-9F4C-75282E1B6D76}">
      <text>
        <r>
          <rPr>
            <b/>
            <sz val="9"/>
            <color indexed="81"/>
            <rFont val="Tahoma"/>
            <family val="2"/>
          </rPr>
          <t>Manan:</t>
        </r>
        <r>
          <rPr>
            <sz val="9"/>
            <color indexed="81"/>
            <rFont val="Tahoma"/>
            <family val="2"/>
          </rPr>
          <t xml:space="preserve">
Source: Screener.in, FY Mar 2025</t>
        </r>
      </text>
    </comment>
    <comment ref="K26" authorId="0" shapeId="0" xr:uid="{187C5B62-7F7B-462A-85C0-AE0B50F20A05}">
      <text>
        <r>
          <rPr>
            <b/>
            <sz val="9"/>
            <color indexed="81"/>
            <rFont val="Tahoma"/>
            <family val="2"/>
          </rPr>
          <t>Manan:</t>
        </r>
        <r>
          <rPr>
            <sz val="9"/>
            <color indexed="81"/>
            <rFont val="Tahoma"/>
            <family val="2"/>
          </rPr>
          <t xml:space="preserve">
CEPS = (PAT + Depreciation 601) / Shares; FV ₹1</t>
        </r>
      </text>
    </comment>
    <comment ref="C27" authorId="0" shapeId="0" xr:uid="{0B803040-E8E9-4D3B-902A-C79E668E8754}">
      <text>
        <r>
          <rPr>
            <b/>
            <sz val="9"/>
            <color indexed="81"/>
            <rFont val="Tahoma"/>
            <family val="2"/>
          </rPr>
          <t>Manan:</t>
        </r>
        <r>
          <rPr>
            <sz val="9"/>
            <color indexed="81"/>
            <rFont val="Tahoma"/>
            <family val="2"/>
          </rPr>
          <t xml:space="preserve">
Source: Screener.in, https://www.screener.in/company/BRITANNIA/consolidated/</t>
        </r>
      </text>
    </comment>
    <comment ref="D27" authorId="0" shapeId="0" xr:uid="{62497101-5360-4C92-8FCA-E7FE288056D8}">
      <text>
        <r>
          <rPr>
            <b/>
            <sz val="9"/>
            <color indexed="81"/>
            <rFont val="Tahoma"/>
            <family val="2"/>
          </rPr>
          <t>Manan:</t>
        </r>
        <r>
          <rPr>
            <sz val="9"/>
            <color indexed="81"/>
            <rFont val="Tahoma"/>
            <family val="2"/>
          </rPr>
          <t xml:space="preserve">
Source: Screener.in</t>
        </r>
      </text>
    </comment>
    <comment ref="E27" authorId="0" shapeId="0" xr:uid="{27D8756C-B824-4F77-B9E9-9F126A6107D4}">
      <text>
        <r>
          <rPr>
            <b/>
            <sz val="9"/>
            <color indexed="81"/>
            <rFont val="Tahoma"/>
            <family val="2"/>
          </rPr>
          <t>Manan:</t>
        </r>
        <r>
          <rPr>
            <sz val="9"/>
            <color indexed="81"/>
            <rFont val="Tahoma"/>
            <family val="2"/>
          </rPr>
          <t xml:space="preserve">
Source: Screener.in, FY Mar 2025</t>
        </r>
      </text>
    </comment>
    <comment ref="F27" authorId="0" shapeId="0" xr:uid="{C888946B-7F5B-419E-BD90-6E3BC8F33008}">
      <text>
        <r>
          <rPr>
            <b/>
            <sz val="9"/>
            <color indexed="81"/>
            <rFont val="Tahoma"/>
            <family val="2"/>
          </rPr>
          <t>Manan:</t>
        </r>
        <r>
          <rPr>
            <sz val="9"/>
            <color indexed="81"/>
            <rFont val="Tahoma"/>
            <family val="2"/>
          </rPr>
          <t xml:space="preserve">
Source: Screener.in, FY Mar 2025</t>
        </r>
      </text>
    </comment>
    <comment ref="G27" authorId="0" shapeId="0" xr:uid="{23F39D62-DC20-410B-B30B-001D747843CE}">
      <text>
        <r>
          <rPr>
            <b/>
            <sz val="9"/>
            <color indexed="81"/>
            <rFont val="Tahoma"/>
            <family val="2"/>
          </rPr>
          <t>Manan:</t>
        </r>
        <r>
          <rPr>
            <sz val="9"/>
            <color indexed="81"/>
            <rFont val="Tahoma"/>
            <family val="2"/>
          </rPr>
          <t xml:space="preserve">
Source: Screener.in, Equity Capital Mar 2025</t>
        </r>
      </text>
    </comment>
    <comment ref="H27" authorId="0" shapeId="0" xr:uid="{1C38BE9F-1C54-44B3-8439-34CA9E04DE5E}">
      <text>
        <r>
          <rPr>
            <b/>
            <sz val="9"/>
            <color indexed="81"/>
            <rFont val="Tahoma"/>
            <family val="2"/>
          </rPr>
          <t>Manan:</t>
        </r>
        <r>
          <rPr>
            <sz val="9"/>
            <color indexed="81"/>
            <rFont val="Tahoma"/>
            <family val="2"/>
          </rPr>
          <t xml:space="preserve">
Source: Screener.in, FY Mar 2025</t>
        </r>
      </text>
    </comment>
    <comment ref="J27" authorId="0" shapeId="0" xr:uid="{5394A8D4-0624-4BE8-AB39-E79C11908469}">
      <text>
        <r>
          <rPr>
            <b/>
            <sz val="9"/>
            <color indexed="81"/>
            <rFont val="Tahoma"/>
            <family val="2"/>
          </rPr>
          <t>Manan:</t>
        </r>
        <r>
          <rPr>
            <sz val="9"/>
            <color indexed="81"/>
            <rFont val="Tahoma"/>
            <family val="2"/>
          </rPr>
          <t xml:space="preserve">
Source: Screener.in, FY Mar 2025</t>
        </r>
      </text>
    </comment>
    <comment ref="K27" authorId="0" shapeId="0" xr:uid="{F2329D55-EC82-468A-94D4-D6AAE00874C7}">
      <text>
        <r>
          <rPr>
            <b/>
            <sz val="9"/>
            <color indexed="81"/>
            <rFont val="Tahoma"/>
            <family val="2"/>
          </rPr>
          <t>Manan:</t>
        </r>
        <r>
          <rPr>
            <sz val="9"/>
            <color indexed="81"/>
            <rFont val="Tahoma"/>
            <family val="2"/>
          </rPr>
          <t xml:space="preserve">
CEPS = (PAT + Depreciation 313) / Shares; FV ₹1</t>
        </r>
      </text>
    </comment>
    <comment ref="C28" authorId="0" shapeId="0" xr:uid="{5A3A1F1C-2913-4D0B-8C4D-6FAFB3CDA6A8}">
      <text>
        <r>
          <rPr>
            <b/>
            <sz val="9"/>
            <color indexed="81"/>
            <rFont val="Tahoma"/>
            <family val="2"/>
          </rPr>
          <t>Manan:</t>
        </r>
        <r>
          <rPr>
            <sz val="9"/>
            <color indexed="81"/>
            <rFont val="Tahoma"/>
            <family val="2"/>
          </rPr>
          <t xml:space="preserve">
Source: Screener.in, https://www.screener.in/company/GODREJCP/consolidated/</t>
        </r>
      </text>
    </comment>
    <comment ref="D28" authorId="0" shapeId="0" xr:uid="{57C595C3-B96A-48E3-A3E5-A0B0445EADBB}">
      <text>
        <r>
          <rPr>
            <b/>
            <sz val="9"/>
            <color indexed="81"/>
            <rFont val="Tahoma"/>
            <family val="2"/>
          </rPr>
          <t>Manan:</t>
        </r>
        <r>
          <rPr>
            <sz val="9"/>
            <color indexed="81"/>
            <rFont val="Tahoma"/>
            <family val="2"/>
          </rPr>
          <t xml:space="preserve">
Source: Screener.in</t>
        </r>
      </text>
    </comment>
    <comment ref="E28" authorId="0" shapeId="0" xr:uid="{CB033ACC-900A-4539-82AC-B0C98A2CC527}">
      <text>
        <r>
          <rPr>
            <b/>
            <sz val="9"/>
            <color indexed="81"/>
            <rFont val="Tahoma"/>
            <family val="2"/>
          </rPr>
          <t>Manan:</t>
        </r>
        <r>
          <rPr>
            <sz val="9"/>
            <color indexed="81"/>
            <rFont val="Tahoma"/>
            <family val="2"/>
          </rPr>
          <t xml:space="preserve">
Source: Screener.in, FY Mar 2025</t>
        </r>
      </text>
    </comment>
    <comment ref="F28" authorId="0" shapeId="0" xr:uid="{7CBF916F-DC95-42DE-AFCB-B6159D4A061D}">
      <text>
        <r>
          <rPr>
            <b/>
            <sz val="9"/>
            <color indexed="81"/>
            <rFont val="Tahoma"/>
            <family val="2"/>
          </rPr>
          <t>Manan:</t>
        </r>
        <r>
          <rPr>
            <sz val="9"/>
            <color indexed="81"/>
            <rFont val="Tahoma"/>
            <family val="2"/>
          </rPr>
          <t xml:space="preserve">
Source: Screener.in, FY Mar 2025</t>
        </r>
      </text>
    </comment>
    <comment ref="G28" authorId="0" shapeId="0" xr:uid="{9D2646F9-7C40-48F3-97F6-E2735CDE9839}">
      <text>
        <r>
          <rPr>
            <b/>
            <sz val="9"/>
            <color indexed="81"/>
            <rFont val="Tahoma"/>
            <family val="2"/>
          </rPr>
          <t>Manan:</t>
        </r>
        <r>
          <rPr>
            <sz val="9"/>
            <color indexed="81"/>
            <rFont val="Tahoma"/>
            <family val="2"/>
          </rPr>
          <t xml:space="preserve">
Source: Screener.in, Equity Capital Mar 2025</t>
        </r>
      </text>
    </comment>
    <comment ref="H28" authorId="0" shapeId="0" xr:uid="{BF31B7A0-9553-4FF2-945C-8C6FB15A027B}">
      <text>
        <r>
          <rPr>
            <b/>
            <sz val="9"/>
            <color indexed="81"/>
            <rFont val="Tahoma"/>
            <family val="2"/>
          </rPr>
          <t>Manan:</t>
        </r>
        <r>
          <rPr>
            <sz val="9"/>
            <color indexed="81"/>
            <rFont val="Tahoma"/>
            <family val="2"/>
          </rPr>
          <t xml:space="preserve">
Source: Screener.in, FY Mar 2025</t>
        </r>
      </text>
    </comment>
    <comment ref="J28" authorId="0" shapeId="0" xr:uid="{11A85FC5-FE83-4FE4-8F89-F3B3958927DF}">
      <text>
        <r>
          <rPr>
            <b/>
            <sz val="9"/>
            <color indexed="81"/>
            <rFont val="Tahoma"/>
            <family val="2"/>
          </rPr>
          <t>Manan:</t>
        </r>
        <r>
          <rPr>
            <sz val="9"/>
            <color indexed="81"/>
            <rFont val="Tahoma"/>
            <family val="2"/>
          </rPr>
          <t xml:space="preserve">
Source: Screener.in, FY Mar 2025</t>
        </r>
      </text>
    </comment>
    <comment ref="K28" authorId="0" shapeId="0" xr:uid="{ED9FF21D-5564-43E6-A1FA-ACC97FD88FBA}">
      <text>
        <r>
          <rPr>
            <b/>
            <sz val="9"/>
            <color indexed="81"/>
            <rFont val="Tahoma"/>
            <family val="2"/>
          </rPr>
          <t>Manan:</t>
        </r>
        <r>
          <rPr>
            <sz val="9"/>
            <color indexed="81"/>
            <rFont val="Tahoma"/>
            <family val="2"/>
          </rPr>
          <t xml:space="preserve">
CEPS = (PAT + Depreciation 234) / Shares; FV ₹1</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
    <bk>
      <extLst>
        <ext uri="{3e2802c4-a4d2-4d8b-9148-e3be6c30e623}">
          <xlrd:rvb i="0"/>
        </ext>
      </extLst>
    </bk>
    <bk>
      <extLst>
        <ext uri="{3e2802c4-a4d2-4d8b-9148-e3be6c30e623}">
          <xlrd:rvb i="1"/>
        </ext>
      </extLst>
    </bk>
  </future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<sst xmlns="http://schemas.openxmlformats.org/spreadsheetml/2006/main" count="1111" uniqueCount="554">
  <si>
    <t>------------------- in Rs. Cr. -------------------</t>
  </si>
  <si>
    <t>Dec '25</t>
  </si>
  <si>
    <t>Dec '24</t>
  </si>
  <si>
    <t>Dec '23</t>
  </si>
  <si>
    <t>Dec '22</t>
  </si>
  <si>
    <t>Dec '21</t>
  </si>
  <si>
    <t>12 mths</t>
  </si>
  <si>
    <t>Income</t>
  </si>
  <si>
    <t>Sales Turnover</t>
  </si>
  <si>
    <t>Net Sales</t>
  </si>
  <si>
    <t>Other Income</t>
  </si>
  <si>
    <t>Stock Adjustments</t>
  </si>
  <si>
    <t>Total Income</t>
  </si>
  <si>
    <t>Expenditure</t>
  </si>
  <si>
    <t>Raw Materials</t>
  </si>
  <si>
    <t>Power &amp; Fuel Cost</t>
  </si>
  <si>
    <t>Employee Cost</t>
  </si>
  <si>
    <t>Selling and Admin Expenses</t>
  </si>
  <si>
    <t>Miscellaneous Expenses</t>
  </si>
  <si>
    <t>Total Expenses</t>
  </si>
  <si>
    <t>Operating Profit</t>
  </si>
  <si>
    <t>PBDIT</t>
  </si>
  <si>
    <t>Interest</t>
  </si>
  <si>
    <t>PBDT</t>
  </si>
  <si>
    <t>Depreciation</t>
  </si>
  <si>
    <t>Profit Before Tax</t>
  </si>
  <si>
    <t>PBT (Post Extra-ord Items)</t>
  </si>
  <si>
    <t>Tax</t>
  </si>
  <si>
    <t>Reported Net Profit</t>
  </si>
  <si>
    <t>Total Value Addition</t>
  </si>
  <si>
    <t>Equity Dividend</t>
  </si>
  <si>
    <t>Per share data (annualised)</t>
  </si>
  <si>
    <t>Shares in issue (lakhs)</t>
  </si>
  <si>
    <t>Earning Per Share (Rs)</t>
  </si>
  <si>
    <t>Equity Dividend (%)</t>
  </si>
  <si>
    <t>Book Value (Rs)</t>
  </si>
  <si>
    <t>Consolidated Profit &amp; Loss account</t>
  </si>
  <si>
    <t>INCOME</t>
  </si>
  <si>
    <t>Revenue From Operations [Gross]</t>
  </si>
  <si>
    <t>Less: Excise/Sevice Tax/Other Levies</t>
  </si>
  <si>
    <t>Revenue From Operations [Net]</t>
  </si>
  <si>
    <t>Other Operating Revenues</t>
  </si>
  <si>
    <t>Total Operating Revenues</t>
  </si>
  <si>
    <t>Total Revenue</t>
  </si>
  <si>
    <t>EXPENSES</t>
  </si>
  <si>
    <t>Cost Of Materials Consumed</t>
  </si>
  <si>
    <t>Purchase Of Stock-In Trade</t>
  </si>
  <si>
    <t>Changes In Inventories Of FG,WIP And Stock-In Trade</t>
  </si>
  <si>
    <t>Employee Benefit Expenses</t>
  </si>
  <si>
    <t>Finance Costs</t>
  </si>
  <si>
    <t>Depreciation And Amortisation Expenses</t>
  </si>
  <si>
    <t>Other Expenses</t>
  </si>
  <si>
    <t>Profit/Loss Before Exceptional, ExtraOrdinary Items And Tax</t>
  </si>
  <si>
    <t>Profit/Loss Before Tax</t>
  </si>
  <si>
    <t>Tax Expenses-Continued Operations</t>
  </si>
  <si>
    <t>Current Tax</t>
  </si>
  <si>
    <t>Deferred Tax</t>
  </si>
  <si>
    <t>Tax For Earlier Years</t>
  </si>
  <si>
    <t>Total Tax Expenses</t>
  </si>
  <si>
    <t>Profit/Loss After Tax And Before ExtraOrdinary Items</t>
  </si>
  <si>
    <t>Profit/Loss From Continuing Operations</t>
  </si>
  <si>
    <t>Profit/Loss For The Period</t>
  </si>
  <si>
    <t>Minority Interest</t>
  </si>
  <si>
    <t>Share Of Profit/Loss Of Associates</t>
  </si>
  <si>
    <t>Consolidated Profit/Loss After MI And Associates</t>
  </si>
  <si>
    <t>OTHER ADDITIONAL INFORMATION</t>
  </si>
  <si>
    <t>EARNINGS PER SHARE</t>
  </si>
  <si>
    <t>Basic EPS (Rs.)</t>
  </si>
  <si>
    <t>Diluted EPS (Rs.)</t>
  </si>
  <si>
    <t>DIVIDEND AND DIVIDEND PERCENTAGE</t>
  </si>
  <si>
    <t>Equity Share Dividend</t>
  </si>
  <si>
    <t>Standalone Balance Sheet</t>
  </si>
  <si>
    <t>Sources Of Funds</t>
  </si>
  <si>
    <t>Total Share Capital</t>
  </si>
  <si>
    <t>Equity Share Capital</t>
  </si>
  <si>
    <t>Share Application Money</t>
  </si>
  <si>
    <t>Reserves</t>
  </si>
  <si>
    <t>Networth</t>
  </si>
  <si>
    <t>Secured Loans</t>
  </si>
  <si>
    <t>Total Debt</t>
  </si>
  <si>
    <t>Total Liabilities</t>
  </si>
  <si>
    <t>Application Of Funds</t>
  </si>
  <si>
    <t>Gross Block</t>
  </si>
  <si>
    <t>Less: Accum. Depreciation</t>
  </si>
  <si>
    <t>Net Block</t>
  </si>
  <si>
    <t>Capital Work in Progress</t>
  </si>
  <si>
    <t>Investments</t>
  </si>
  <si>
    <t>Inventories</t>
  </si>
  <si>
    <t>Sundry Debtors</t>
  </si>
  <si>
    <t>Cash and Bank Balance</t>
  </si>
  <si>
    <t>Total Current Assets</t>
  </si>
  <si>
    <t>Loans and Advances</t>
  </si>
  <si>
    <t>Total CA, Loans &amp; Advances</t>
  </si>
  <si>
    <t>Current Liabilities</t>
  </si>
  <si>
    <t>Provisions</t>
  </si>
  <si>
    <t>Total CL &amp; Provisions</t>
  </si>
  <si>
    <t>Net Current Assets</t>
  </si>
  <si>
    <t>Total Assets</t>
  </si>
  <si>
    <t>Contingent Liabilities</t>
  </si>
  <si>
    <t>Net Sales/Income from operations</t>
  </si>
  <si>
    <t>Other Operating Income</t>
  </si>
  <si>
    <t>--</t>
  </si>
  <si>
    <t>Total Income From Operations</t>
  </si>
  <si>
    <t>EXPENDITURE</t>
  </si>
  <si>
    <t>Consumption of Raw Materials</t>
  </si>
  <si>
    <t>Purchase of Traded Goods</t>
  </si>
  <si>
    <t>Increase/Decrease in Stocks</t>
  </si>
  <si>
    <t>Power &amp; Fuel</t>
  </si>
  <si>
    <t>Employees Cost</t>
  </si>
  <si>
    <t>Excise Duty</t>
  </si>
  <si>
    <t>Admin. And Selling Expenses</t>
  </si>
  <si>
    <t>R &amp; D Expenses</t>
  </si>
  <si>
    <t>Provisions And Contingencies</t>
  </si>
  <si>
    <t>Exp. Capitalised</t>
  </si>
  <si>
    <t>P/L Before Other Inc., Int., Excpt. Items &amp; Tax</t>
  </si>
  <si>
    <t>P/L Before Int., Excpt. Items &amp; Tax</t>
  </si>
  <si>
    <t>P/L Before Exceptional Items &amp; Tax</t>
  </si>
  <si>
    <t>Exceptional Items</t>
  </si>
  <si>
    <t>P/L Before Tax</t>
  </si>
  <si>
    <t>P/L After Tax from Ordinary Activities</t>
  </si>
  <si>
    <t>Prior Year Adjustments</t>
  </si>
  <si>
    <t>Extra Ordinary Items</t>
  </si>
  <si>
    <t>Net Profit/(Loss) For the Period</t>
  </si>
  <si>
    <t>Category of shareholder</t>
  </si>
  <si>
    <t>Entity Type</t>
  </si>
  <si>
    <t>Nos. of shareholders</t>
  </si>
  <si>
    <t>Total nos. shares held</t>
  </si>
  <si>
    <t>A3) Indian</t>
  </si>
  <si>
    <t>-</t>
  </si>
  <si>
    <t>Individuals/Hindu undivided Family</t>
  </si>
  <si>
    <t>1,15,51,35,704</t>
  </si>
  <si>
    <t>Ravi Kant Jaipuria</t>
  </si>
  <si>
    <t>Promoter</t>
  </si>
  <si>
    <t>56,50,86,222</t>
  </si>
  <si>
    <t>Varun Jaipuria</t>
  </si>
  <si>
    <t>52,18,59,870</t>
  </si>
  <si>
    <t>Devyani Jaipuria</t>
  </si>
  <si>
    <t>Promoter Group</t>
  </si>
  <si>
    <t>6,57,79,775</t>
  </si>
  <si>
    <t>Vivek Gupta</t>
  </si>
  <si>
    <t>23,26,500</t>
  </si>
  <si>
    <t>Dhara Jaipuria</t>
  </si>
  <si>
    <t>Vivek Gupta (HUF)</t>
  </si>
  <si>
    <t>Madhav Hansraj Mariwala (HUF)</t>
  </si>
  <si>
    <t>Madhav H Mariwala</t>
  </si>
  <si>
    <t>Nandini Madhav Mariwala</t>
  </si>
  <si>
    <t>Bela Jyotikumar Saha</t>
  </si>
  <si>
    <t>Madhu Rajendra Jindal</t>
  </si>
  <si>
    <t>Aishwarya M Mariwala</t>
  </si>
  <si>
    <t>Kimaya Jaipuria</t>
  </si>
  <si>
    <t>Any Other (specify)</t>
  </si>
  <si>
    <t>85,50,82,025</t>
  </si>
  <si>
    <t>RJ Corp Limited</t>
  </si>
  <si>
    <t>85,50,41,916</t>
  </si>
  <si>
    <t>SFT Technologies Private Limited</t>
  </si>
  <si>
    <t>Lotus Holdings</t>
  </si>
  <si>
    <t>Marison Finvest Private Limited</t>
  </si>
  <si>
    <t>Devyani Jaipuria Sports Academy Private Limited</t>
  </si>
  <si>
    <t>Cryoviva Life Sciences Private Limited</t>
  </si>
  <si>
    <t>SFT Syscon Private Limited</t>
  </si>
  <si>
    <t>Sara Ferrous Private Limited</t>
  </si>
  <si>
    <t>Gee Kay Builder And Development Services Private Limited</t>
  </si>
  <si>
    <t>Chanda Exports Private Limited</t>
  </si>
  <si>
    <t>Manog Securities Private Limited</t>
  </si>
  <si>
    <t>Lineage Healthcare Limited</t>
  </si>
  <si>
    <t>Jacore Energy Private Limited</t>
  </si>
  <si>
    <t>KV Retail Private Limited</t>
  </si>
  <si>
    <t>Empire Stocks Private Limited</t>
  </si>
  <si>
    <t>Capital Infracon Private Limited</t>
  </si>
  <si>
    <t>CV Biotech Private Limited</t>
  </si>
  <si>
    <t>S V S India Private Limited</t>
  </si>
  <si>
    <t>Modern Montessori International (India) Private Limited</t>
  </si>
  <si>
    <t>Cryoviva Biotech Private Limited</t>
  </si>
  <si>
    <t>Accor Realcon Private Limited</t>
  </si>
  <si>
    <t>Devyani International Limited</t>
  </si>
  <si>
    <t>Devyani Food Industries Limited</t>
  </si>
  <si>
    <t>Devyani RK Private Limited</t>
  </si>
  <si>
    <t>Devyani PVR INOX Private Limited</t>
  </si>
  <si>
    <t>Sky Gate Hospitality Private Limited</t>
  </si>
  <si>
    <t>Sylvan Realty Private Limited</t>
  </si>
  <si>
    <t>Say Chefs Eatery Private Limited</t>
  </si>
  <si>
    <t>Blackvelvet Hospitality Private Limited</t>
  </si>
  <si>
    <t>Peanutbutter And Jelly Private Limited</t>
  </si>
  <si>
    <t>Fuelbuddy Future Energy Private Limited</t>
  </si>
  <si>
    <t>Voltsun Labs Private Limited</t>
  </si>
  <si>
    <t>Sub Total A1</t>
  </si>
  <si>
    <t>2,01,02,17,729</t>
  </si>
  <si>
    <t>A4) Foreign</t>
  </si>
  <si>
    <t>Accor Developers Private Limited</t>
  </si>
  <si>
    <t>Accor Industries Private Limited</t>
  </si>
  <si>
    <t>Africare Limited</t>
  </si>
  <si>
    <t>RV Enterprizes Pte. Ltd.</t>
  </si>
  <si>
    <t>Arctic Overseas Pte Ltd.</t>
  </si>
  <si>
    <t>Cryoviva International Pte. Ltd</t>
  </si>
  <si>
    <t>Cryoviva Singapore Pte. Ltd.</t>
  </si>
  <si>
    <t>Devyani Food Industries (Kenya) Ltd.</t>
  </si>
  <si>
    <t>Devyani International (Nepal) Private Limited</t>
  </si>
  <si>
    <t>Devyani International DMCC</t>
  </si>
  <si>
    <t>RDJ Global DMCC</t>
  </si>
  <si>
    <t>Reviva Cell (Thailand) Company Limited</t>
  </si>
  <si>
    <t>RJ Corp International (UK) Private Limited</t>
  </si>
  <si>
    <t>Varun Developers Private Limited</t>
  </si>
  <si>
    <t>Varun Food &amp; Beverages (Zambia) Limited</t>
  </si>
  <si>
    <t>Fuel Buddy Zambia Limited</t>
  </si>
  <si>
    <t>Arctic International Private Limited</t>
  </si>
  <si>
    <t>Africare Distributors Limited</t>
  </si>
  <si>
    <t>Cryoviva Malaysia SDN. BHD.</t>
  </si>
  <si>
    <t>Reviva Cell Technologies Pte. Ltd.</t>
  </si>
  <si>
    <t>Devyani International (Nigeria) Limited</t>
  </si>
  <si>
    <t>White Snow Company Limited</t>
  </si>
  <si>
    <t>Blackbriar Co. Ltd.</t>
  </si>
  <si>
    <t>Yellow Palm Co. Ltd.</t>
  </si>
  <si>
    <t>Restaurants Development Co. Ltd.</t>
  </si>
  <si>
    <t>RJ International Holdco FZCO</t>
  </si>
  <si>
    <t>Sub Total A2</t>
  </si>
  <si>
    <t>A=A1+A2</t>
  </si>
  <si>
    <t xml:space="preserve">Shareholding as a % </t>
  </si>
  <si>
    <t>Category &amp; Name of the Shareholders</t>
  </si>
  <si>
    <t>No. of shareholder</t>
  </si>
  <si>
    <t>Total no. shares held</t>
  </si>
  <si>
    <t>Institutions</t>
  </si>
  <si>
    <t>B1) Institutions (Domestic)</t>
  </si>
  <si>
    <t>Mutual Funds/</t>
  </si>
  <si>
    <t>28,08,38,227</t>
  </si>
  <si>
    <t>NIPPON LIFE INDIA TRUSTEE LTD-A/C NIPPON INDIA ARB</t>
  </si>
  <si>
    <t>5,91,57,638</t>
  </si>
  <si>
    <t>SBI ARBITRAGE OPPORTUNITIES FUND</t>
  </si>
  <si>
    <t>3,78,64,460</t>
  </si>
  <si>
    <t>Alternate Investment Funds</t>
  </si>
  <si>
    <t>81,35,193</t>
  </si>
  <si>
    <t>Banks</t>
  </si>
  <si>
    <t>Insurance Companies</t>
  </si>
  <si>
    <t>15,83,46,326</t>
  </si>
  <si>
    <t>LICI INDEX PLUS FLEXI GROWTH FUND</t>
  </si>
  <si>
    <t>7,31,23,131</t>
  </si>
  <si>
    <t>Provident Funds/ Pension Funds</t>
  </si>
  <si>
    <t>3,82,46,040</t>
  </si>
  <si>
    <t>NPS TRUST A/C - SBI PENSION FUND - UPS - CG SCHEM</t>
  </si>
  <si>
    <t>Sovereign Wealth Funds</t>
  </si>
  <si>
    <t>14,32,645</t>
  </si>
  <si>
    <t>NBFCs registered with RBI</t>
  </si>
  <si>
    <t>1,42,547</t>
  </si>
  <si>
    <t>Sub Total B1</t>
  </si>
  <si>
    <t>48,71,41,623</t>
  </si>
  <si>
    <t>B14) Institutions (Foreign)</t>
  </si>
  <si>
    <t>Foreign Portfolio Investors Category I</t>
  </si>
  <si>
    <t>63,87,80,636</t>
  </si>
  <si>
    <t>GOVERNMENT OF SINGAPORE</t>
  </si>
  <si>
    <t>4,63,03,882</t>
  </si>
  <si>
    <t>GOVERNMENT PENSION FUND GLOBAL</t>
  </si>
  <si>
    <t>6,23,23,233</t>
  </si>
  <si>
    <t>Foreign Portfolio Investors Category II</t>
  </si>
  <si>
    <t>2,09,19,503</t>
  </si>
  <si>
    <t>Sub Total B2</t>
  </si>
  <si>
    <t>65,97,00,139</t>
  </si>
  <si>
    <t>B20) Central Government/ State Government(s)/ President of India</t>
  </si>
  <si>
    <t>Central Government / President of India</t>
  </si>
  <si>
    <t>Sub Total B3</t>
  </si>
  <si>
    <t>B23) Non-Institutions</t>
  </si>
  <si>
    <t>Directors and their relatives (excluding independent directors and nominee directors)</t>
  </si>
  <si>
    <t>70,48,037</t>
  </si>
  <si>
    <t>Key Managerial Personnel</t>
  </si>
  <si>
    <t>Investor Education and Protection Fund (IEPF)</t>
  </si>
  <si>
    <t>Resident Individuals holding nominal share capital up to Rs. 2 lakhs</t>
  </si>
  <si>
    <t>8,51,098</t>
  </si>
  <si>
    <t>14,80,32,380</t>
  </si>
  <si>
    <t>Resident Individuals holding nominal share capital in excess of Rs. 2 lakhs</t>
  </si>
  <si>
    <t>2,83,63,193</t>
  </si>
  <si>
    <t>Non Resident Indians (NRIs)</t>
  </si>
  <si>
    <t>1,13,63,493</t>
  </si>
  <si>
    <t>Bodies Corporate</t>
  </si>
  <si>
    <t>2,66,99,216</t>
  </si>
  <si>
    <t>35,12,873</t>
  </si>
  <si>
    <t>Clearing Members</t>
  </si>
  <si>
    <t>HUF</t>
  </si>
  <si>
    <t>34,96,442</t>
  </si>
  <si>
    <t>Trusts</t>
  </si>
  <si>
    <t>ESOP or ESOS or ESPS</t>
  </si>
  <si>
    <t>Sub Total B4</t>
  </si>
  <si>
    <t>8,76,637</t>
  </si>
  <si>
    <t>22,50,34,816</t>
  </si>
  <si>
    <t>B=B1+B2+B3+B4</t>
  </si>
  <si>
    <t>8,77,590</t>
  </si>
  <si>
    <t>1,37,18,76,665</t>
  </si>
  <si>
    <t xml:space="preserve">Shareholding % </t>
  </si>
  <si>
    <t>(₹ Crores)</t>
  </si>
  <si>
    <t>Varun Beverages  |  Standalone Profit &amp; Loss  |  (₹ Crores)</t>
  </si>
  <si>
    <t>Varun Beverages  |  Consolidated Profit &amp; Loss  |  (₹ Crores)</t>
  </si>
  <si>
    <t>Varun Beverages  |  Standalone Balance Sheet  |  (₹ Crores)</t>
  </si>
  <si>
    <t>Varun Beverages  |  Consolidated Quarterly P&amp;L  |  (₹ Crores)</t>
  </si>
  <si>
    <t>Varun Beverages  |  Promoter Shareholding Pattern</t>
  </si>
  <si>
    <t>Varun Beverages  |  Public Shareholding Pattern</t>
  </si>
  <si>
    <t>VBL</t>
  </si>
  <si>
    <t>Varun Beverages Ltd is one of the largest franchisees of PepsiCo in the world, producing and distributing carbonated soft drinks (Pepsi, Mountain Dew, 7UP, Mirinda, Sting), non-carbonated beverages (Tropicana, Slice, Gatorade) and packaged drinking water (Aquafina). Operations span India and 6+ international geographies (Nepal, Sri Lanka, Morocco, Zambia, Zimbabwe, South Africa). FY Dec.</t>
  </si>
  <si>
    <t>TATACONSUM</t>
  </si>
  <si>
    <t>Tata Consumer Products Ltd is one of the leading Tata Group companies in food &amp; beverages, both in India and internationally. It is the second largest tea company globally and ranks among India's top 10 FMCG companies. Key brands include Tata Tea, Tetley, Tata Salt, Tata Sampann, Himalayan (mineral water), Eight O'Clock Coffee and Tata Soulfull. FY Mar.</t>
  </si>
  <si>
    <t>BRITANNIA</t>
  </si>
  <si>
    <t>Britannia Industries Ltd is one of India's leading food companies with a 100-year legacy and revenues over Rs.16,000 Cr. Britannia is among India's most trusted food brands with products including biscuits (Good Day, Tiger, NutriChoice, Milk Bikis, Marie Gold, Bourbon), bread, cakes, rusk, and dairy (cheese, milk, yoghurt, beverages). Part of Wadia Group. FY Mar.</t>
  </si>
  <si>
    <t>GODREJCP</t>
  </si>
  <si>
    <t>Godrej Consumer Products Ltd is an Indian FMCG company manufacturing and marketing household and personal care products. Top brands (~70% of revenue) include GoodKnight (mosquito repellents), HIT (pest control), Cinthol (premium personal care), Godrej Expert (hair color), Godrej No.1 (soaps), Darling (hair extensions in Africa), Aer (air fresheners). Geographic mix: India, Indonesia, Africa. FY Mar.</t>
  </si>
  <si>
    <t>Attribute</t>
  </si>
  <si>
    <t>LTP (₹)</t>
  </si>
  <si>
    <t>Change (%)</t>
  </si>
  <si>
    <t>Sales (₹ Cr)</t>
  </si>
  <si>
    <t>PAT (₹ Cr)</t>
  </si>
  <si>
    <t>Equity (₹ Cr)</t>
  </si>
  <si>
    <t>OPM %</t>
  </si>
  <si>
    <t>NPM %</t>
  </si>
  <si>
    <t>EPS (₹)</t>
  </si>
  <si>
    <t>CEPS (₹)</t>
  </si>
  <si>
    <t>VBL (Dec 2025)</t>
  </si>
  <si>
    <t>TATACONSUM (Mar 2025)</t>
  </si>
  <si>
    <t>BRITANNIA (Mar 2025)</t>
  </si>
  <si>
    <t>GODREJCP (Mar 2025)</t>
  </si>
  <si>
    <t>Metric</t>
  </si>
  <si>
    <t>Debtor Days</t>
  </si>
  <si>
    <t>Inventory Days</t>
  </si>
  <si>
    <t>Days Payable</t>
  </si>
  <si>
    <t>Cash Conversion Cycle</t>
  </si>
  <si>
    <t>Working Capital Days</t>
  </si>
  <si>
    <t>ROCE %</t>
  </si>
  <si>
    <t>Varun Beverages  |  Peer Comparison</t>
  </si>
  <si>
    <t>VARUN BEVERAGES LTD — STOCK ANALYSIS</t>
  </si>
  <si>
    <t>Value</t>
  </si>
  <si>
    <t>Market Cap</t>
  </si>
  <si>
    <t>₹ 1,75,373 Cr.</t>
  </si>
  <si>
    <t>Current Price</t>
  </si>
  <si>
    <t>High / Low</t>
  </si>
  <si>
    <t>₹ 568 / ₹ 381</t>
  </si>
  <si>
    <t>Stock P/E</t>
  </si>
  <si>
    <t>Book Value</t>
  </si>
  <si>
    <t>Dividend Yield</t>
  </si>
  <si>
    <t>ROCE</t>
  </si>
  <si>
    <t>ROE</t>
  </si>
  <si>
    <t>Face Value</t>
  </si>
  <si>
    <t>Recommendation</t>
  </si>
  <si>
    <t>Financial Year</t>
  </si>
  <si>
    <t>Revenue (₹ Cr)</t>
  </si>
  <si>
    <t>Revenue Change (%)</t>
  </si>
  <si>
    <t>PAT Change (%)</t>
  </si>
  <si>
    <t>Nifty 50 Change (%)</t>
  </si>
  <si>
    <t>Source: Screener.in (https://www.screener.in/company/VBL/consolidated/)</t>
  </si>
  <si>
    <t>All financial and stock data on this sheet is sourced from Screener.in for Varun Beverages Ltd (consolidated).</t>
  </si>
  <si>
    <t>ACCUMULATE ON DIPS. Varun Beverages trades at ₹520 (P/E 55.1x), having recovered ~34% from the ₹381 low but still ~9% below the 52-week high of ₹568. Operating fundamentals remain strong: CY25 revenue ₹21,685 Cr (+8.4% YoY), PAT ₹3,062 Cr (+16.3% YoY), 5-yr profit CAGR 50%, ROCE 19.7%, ROE 16.2%. At 55x P/E and ~9x book, the stock is no longer cheap, so accumulate selectively rather than chase. Add aggressively below ₹450 where margin of safety improves; outright BUY only on a re-rating event or earnings beat that compresses the multiple toward 45x.</t>
  </si>
  <si>
    <t>Thesis: VBL is the world's 2nd-largest PepsiCo bottler outside the US and the dominant CSD/NCB franchise in India, Nepal, Sri Lanka, Morocco, and now sub-Saharan Africa (post BevCo, Twizza, Crickley Dairy). The CY25 print confirms the operating model is intact: sales ₹21,685 Cr (+8.4%), PAT ₹3,062 Cr (+16.3%), OPM held at 23%. Strategic pivot to low/no-sugar (now 59% of mix) reduces regulatory risk. 5-yr compounded profit growth at 50% CAGR is among the best in Indian FMCG.
Valuation reality: at ₹520 the stock trades 55.1x TTM P/E and ~9x book, near the upper end of its historical range. Dividend yield 0.26% offers no margin of safety. Mkt cap ₹1.75 lakh Cr. The recovery from ₹381 low to ₹520 (+36%) has run ahead of fundamentals, requiring earnings to grow into the multiple. ROCE compression to 19.7% (from 28%+) is real, driven by the capex-heavy Africa/DRC build-out. Returns should normalize as new plants ramp.
Catalysts (positive): (1) Twizza/Crickley Dairy synergy, with SA being Africa's largest soft-drinks market; (2) DRC greenfield ramp + Morocco snack distribution scale-up; (3) summer demand season + favorable monsoon supporting India volumes; (4) borrowings down to ₹2,508 Cr in CY25 from ₹5,431 Cr in CY23, balance sheet de-risked. Risks: (1) further P/E de-rating if growth slows below 12%; (2) margin pressure from PET/sugar/aluminum; (3) integration drag from Twizza in early quarters; (4) climate/weather disruptions to peak season.</t>
  </si>
  <si>
    <t>Date</t>
  </si>
  <si>
    <t>Close</t>
  </si>
  <si>
    <t>Varun Beverages Ltd</t>
  </si>
  <si>
    <t>Nifty 50</t>
  </si>
  <si>
    <t>Close (₹)</t>
  </si>
  <si>
    <t>Daily Return</t>
  </si>
  <si>
    <t xml:space="preserve">BETA </t>
  </si>
  <si>
    <t>Standard Error</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</si>
  <si>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</si>
  <si>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</si>
  <si>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</si>
  <si>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</si>
  <si>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</si>
  <si>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</si>
  <si>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</si>
  <si>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</si>
  <si>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</si>
  <si>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</si>
  <si>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</si>
  <si>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</si>
  <si>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</si>
  <si>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</si>
  <si>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</si>
  <si>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</si>
  <si>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</si>
  <si>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</si>
  <si>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</si>
  <si>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</si>
  <si>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</si>
  <si>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</si>
  <si>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</si>
  <si>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</si>
  <si>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 xml:space="preserve">                                                                                                                                                                                                                                                                                                                                                                     </t>
  </si>
  <si>
    <t>Varun Beverages</t>
  </si>
  <si>
    <t>Previous Years �</t>
  </si>
  <si>
    <t>Consolidated Balance Sheet</t>
  </si>
  <si>
    <t>Mar '25</t>
  </si>
  <si>
    <t>[</t>
  </si>
  <si>
    <t>Mar 25</t>
  </si>
  <si>
    <t>Particulars</t>
  </si>
  <si>
    <t xml:space="preserve">revenue growth </t>
  </si>
  <si>
    <t>less: Material Consumed</t>
  </si>
  <si>
    <t xml:space="preserve">less: Employee Cost </t>
  </si>
  <si>
    <t>less: Other Expenses</t>
  </si>
  <si>
    <t>EBITDA</t>
  </si>
  <si>
    <t xml:space="preserve">less: Depreciation &amp; Amortization </t>
  </si>
  <si>
    <t>EBIT</t>
  </si>
  <si>
    <t xml:space="preserve">add: Other income </t>
  </si>
  <si>
    <t>less: Interest Expense</t>
  </si>
  <si>
    <t xml:space="preserve">EBT </t>
  </si>
  <si>
    <t xml:space="preserve">less: Tax </t>
  </si>
  <si>
    <t xml:space="preserve">less: Non Controlling interest </t>
  </si>
  <si>
    <t>PAT</t>
  </si>
  <si>
    <t xml:space="preserve">Historical Growth </t>
  </si>
  <si>
    <t xml:space="preserve">Average Growth </t>
  </si>
  <si>
    <t>CAGR</t>
  </si>
  <si>
    <t>Margin Analysis</t>
  </si>
  <si>
    <t>EBITDA Margin</t>
  </si>
  <si>
    <t>EBIT Margin</t>
  </si>
  <si>
    <t>EBT Margin</t>
  </si>
  <si>
    <t>PAT Margin</t>
  </si>
  <si>
    <t xml:space="preserve">Tax Rate </t>
  </si>
  <si>
    <t xml:space="preserve">Effective  Tax Rate </t>
  </si>
  <si>
    <t xml:space="preserve">Marginal Tax Rate </t>
  </si>
  <si>
    <t xml:space="preserve">Return on Capital </t>
  </si>
  <si>
    <t>EBIT(1-t)</t>
  </si>
  <si>
    <t xml:space="preserve">Book Equity </t>
  </si>
  <si>
    <t>Book Debt</t>
  </si>
  <si>
    <t xml:space="preserve">Cash and Cash Equivalent </t>
  </si>
  <si>
    <t>Capital Employed</t>
  </si>
  <si>
    <t>Pre Tax Return on Capital</t>
  </si>
  <si>
    <t>Post Tax Return on Capital</t>
  </si>
  <si>
    <t>Ratio Analysis</t>
  </si>
  <si>
    <t>Years</t>
  </si>
  <si>
    <t>Trend</t>
  </si>
  <si>
    <t>Mean</t>
  </si>
  <si>
    <t>Median</t>
  </si>
  <si>
    <t>SalesGrowth</t>
  </si>
  <si>
    <t>EBITDA Growth</t>
  </si>
  <si>
    <t>EBIT Growth</t>
  </si>
  <si>
    <t>Net Profit Growth</t>
  </si>
  <si>
    <t>Dividend Growth</t>
  </si>
  <si>
    <t>Gross Margin</t>
  </si>
  <si>
    <t>Net Profit Margin</t>
  </si>
  <si>
    <t>Return on Capital Employed</t>
  </si>
  <si>
    <t>Retained Earnings%</t>
  </si>
  <si>
    <t>Return on Equity%</t>
  </si>
  <si>
    <t>Self Sustained Growth Rate</t>
  </si>
  <si>
    <t>Interest Coverage Ratio</t>
  </si>
  <si>
    <t>Debtor Turnover Ratio</t>
  </si>
  <si>
    <t>Inventory Turnover</t>
  </si>
  <si>
    <t>Fixed Asset Turnover</t>
  </si>
  <si>
    <t>Capital Turnover Ratio</t>
  </si>
  <si>
    <t>Payable Days</t>
  </si>
  <si>
    <t>Cash Conversion Cycle (in days)</t>
  </si>
  <si>
    <t>CFO/Sales</t>
  </si>
  <si>
    <t>CFO/Total Assets</t>
  </si>
  <si>
    <t>CFO/Total Debt</t>
  </si>
  <si>
    <t xml:space="preserve">Particular </t>
  </si>
  <si>
    <t xml:space="preserve">Average Reinvestment rate   /Sales percentage </t>
  </si>
  <si>
    <t xml:space="preserve">Median Reinvestment rate   /Sales percentage </t>
  </si>
  <si>
    <t xml:space="preserve">Reinvestment Rate </t>
  </si>
  <si>
    <t>Free Cash Flow</t>
  </si>
  <si>
    <t>Reinvestment</t>
  </si>
  <si>
    <t xml:space="preserve">Less: Net Change in working Capital </t>
  </si>
  <si>
    <t xml:space="preserve">Less: Net Capital expenditure </t>
  </si>
  <si>
    <t>EBIT * (1- Tax)</t>
  </si>
  <si>
    <t>Less: Tax on EBIT</t>
  </si>
  <si>
    <t xml:space="preserve">Average  Non Cash working Capital  /Sales percentage </t>
  </si>
  <si>
    <t xml:space="preserve">Median Non Cash working Capital  /Sales percentage </t>
  </si>
  <si>
    <t xml:space="preserve">changein working Capital /percentage of sales </t>
  </si>
  <si>
    <t xml:space="preserve">Change in Working Capital </t>
  </si>
  <si>
    <t xml:space="preserve">Non Cash working Capital </t>
  </si>
  <si>
    <t>Trade Payable</t>
  </si>
  <si>
    <t xml:space="preserve">Trade Receivables </t>
  </si>
  <si>
    <t xml:space="preserve">Inventory </t>
  </si>
  <si>
    <t xml:space="preserve">       "Change in Working Capital " </t>
  </si>
  <si>
    <t xml:space="preserve">Varun Beverages    "Free Cash Flow " </t>
  </si>
  <si>
    <t>Weighted Average Cost of Capital</t>
  </si>
  <si>
    <t>Capital Structure</t>
  </si>
  <si>
    <t>Total Equity</t>
  </si>
  <si>
    <t>Total Mix</t>
  </si>
  <si>
    <t>% of Debt</t>
  </si>
  <si>
    <t>% of Equity</t>
  </si>
  <si>
    <t>Debt to Equity</t>
  </si>
  <si>
    <t>Cost of Equity</t>
  </si>
  <si>
    <t>Cost of Debt</t>
  </si>
  <si>
    <t>Risk free rate(Rf)</t>
  </si>
  <si>
    <t>Source</t>
  </si>
  <si>
    <t>Cost</t>
  </si>
  <si>
    <t>Beta</t>
  </si>
  <si>
    <t>Cost of debt*</t>
  </si>
  <si>
    <t>Market risk premium</t>
  </si>
  <si>
    <t>Tax rate</t>
  </si>
  <si>
    <t>Cost of equity</t>
  </si>
  <si>
    <t>Cost of Debt after tax</t>
  </si>
  <si>
    <t>WACC</t>
  </si>
  <si>
    <t>Weight</t>
  </si>
  <si>
    <t>Weighted Cost</t>
  </si>
  <si>
    <t xml:space="preserve">Debt </t>
  </si>
  <si>
    <t>Equity</t>
  </si>
  <si>
    <t xml:space="preserve"> </t>
  </si>
  <si>
    <t>Varun Beverages — Fixed Asset Schedule</t>
  </si>
  <si>
    <t>Beginning Balance</t>
  </si>
  <si>
    <t>Add: Net Purchases</t>
  </si>
  <si>
    <t>Total Fixed Assets</t>
  </si>
  <si>
    <t>Less: Depreciation</t>
  </si>
  <si>
    <t>Closing Balance (Fixed Assets)</t>
  </si>
  <si>
    <t>Net Capital Expenditure</t>
  </si>
  <si>
    <t>Net Capex / Sales (%)</t>
  </si>
  <si>
    <t>Median Capex / Sales (%)</t>
  </si>
  <si>
    <t>Average Capex / Sales (%)</t>
  </si>
  <si>
    <t xml:space="preserve">Varun Beverages </t>
  </si>
  <si>
    <t>VBL &amp; NIFTY 50 - DAILY PRICES (Apr 2020 - Mar 2026)</t>
  </si>
  <si>
    <t>Radico Khaitan "Growth Scenarios"</t>
  </si>
  <si>
    <t>Scenario 1: High Growth</t>
  </si>
  <si>
    <t>INR Cr.</t>
  </si>
  <si>
    <t>LTM</t>
  </si>
  <si>
    <t>Y1E</t>
  </si>
  <si>
    <t>Y2E</t>
  </si>
  <si>
    <t>Y3E</t>
  </si>
  <si>
    <t>Y4W</t>
  </si>
  <si>
    <t>Y5E</t>
  </si>
  <si>
    <t>Y6E</t>
  </si>
  <si>
    <t>Y7E</t>
  </si>
  <si>
    <t>Y8E</t>
  </si>
  <si>
    <t>Y9E</t>
  </si>
  <si>
    <t>Y10E</t>
  </si>
  <si>
    <t>Sales</t>
  </si>
  <si>
    <t>Sales Growth %</t>
  </si>
  <si>
    <t>Scenario 2: Average Growth</t>
  </si>
  <si>
    <t>Scenario 3: EBIT Growth</t>
  </si>
  <si>
    <t>Live Scenario</t>
  </si>
  <si>
    <t>Risk Free Rate</t>
  </si>
  <si>
    <t>INR Cr</t>
  </si>
  <si>
    <t xml:space="preserve">Sales </t>
  </si>
  <si>
    <t>Cost of Capital %</t>
  </si>
  <si>
    <t>Sales Growth</t>
  </si>
  <si>
    <t>Terminal reinvestment rate %</t>
  </si>
  <si>
    <t>EBIT Margin %</t>
  </si>
  <si>
    <t>Enterprise value = Equity Value + Minority interest</t>
  </si>
  <si>
    <t>EBIT(1-T)</t>
  </si>
  <si>
    <t>Less: Net Capital Expenditure</t>
  </si>
  <si>
    <t>Non Cash Working Capital</t>
  </si>
  <si>
    <t>Less: Change in Working Capital</t>
  </si>
  <si>
    <t>Free Cash Flow To Firm (FCFF)</t>
  </si>
  <si>
    <t>Implied Reinvestment rate %</t>
  </si>
  <si>
    <t>Terminal Value</t>
  </si>
  <si>
    <t>Present Value Interest Factor(PVIF)</t>
  </si>
  <si>
    <t>Present value of FCFF</t>
  </si>
  <si>
    <t>Present value of Terminal value</t>
  </si>
  <si>
    <t>Calculation of Sensitivity Analysis</t>
  </si>
  <si>
    <t>Value of operating assets</t>
  </si>
  <si>
    <t>Add: Cash</t>
  </si>
  <si>
    <t>Less: Debt</t>
  </si>
  <si>
    <t>Less: Minority Interest</t>
  </si>
  <si>
    <t>Equity Value</t>
  </si>
  <si>
    <t>No. of Shares outstanding (Cr)</t>
  </si>
  <si>
    <t xml:space="preserve">intrinsic value per share </t>
  </si>
  <si>
    <t>VBL - "VALUATION"</t>
  </si>
  <si>
    <t xml:space="preserve">ABOUT </t>
  </si>
  <si>
    <t>Varun Beverages Limited (VBL) is one of the largest franchise bottlers of PepsiCo beverages globally outside the United States. The company manufactures, bottles, distributes, and sells a wide range of carbonated soft drinks, fruit-based beverages, packaged drinking water, sports drinks, and juice products under well-known PepsiCo brands such as Pepsi, Mountain Dew, Mirinda, 7UP, Sting, Slice, Tropicana, and Aquafina. Headquartered in Gurugram, Haryana, Varun Beverages operates an extensive manufacturing and distribution network across India and several international markets in Asia and Africa. The company benefits from strong brand partnerships, a wide retail reach, and increasing beverage consumption trends, making it a key player in the fast-growing beverage industry.</t>
  </si>
  <si>
    <t>Varun Beverages (Nepal) Pvt. Ltd.,Kathmandu Nepal</t>
  </si>
  <si>
    <t>Varun Beverages Morocco SA,Casablanca Morocco</t>
  </si>
  <si>
    <t>Varun Beverages Zambia Ltd.,Lusaka Zambia</t>
  </si>
  <si>
    <t>Varun Beverages Zimbabwe (Pvt.) Ltd.,Harare Zimbabwe</t>
  </si>
  <si>
    <t>Varun Beverages Mozambique SA,Maputo Mozambique</t>
  </si>
  <si>
    <t>Lunarmech Technologies Pvt. Ltd.,India</t>
  </si>
  <si>
    <t>Subsidiary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</si>
</sst>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
    <numFmt numFmtId="165" formatCode="0.0%"/>
    <numFmt numFmtId="166" formatCode="yyyy"/>
    <numFmt numFmtId="167" formatCode="\₹\ #,##0"/>
    <numFmt numFmtId="168" formatCode="0.0"/>
    <numFmt numFmtId="169" formatCode="\₹\ #,##0.0"/>
    <numFmt numFmtId="170" formatCode="\₹\ #,##0.00"/>
    <numFmt numFmtId="171" formatCode="dd\-mmm\-yyyy"/>
    <numFmt numFmtId="172" formatCode="#,##0.0"/>
    <numFmt numFmtId="173" formatCode="#,##0.0;\(#,##0.0\);\-"/>
    <numFmt numFmtId="174" formatCode="_ * #,##0.00_ ;_ * \-#,##0.00_ ;_ * \-??_ ;_ @_ "/>
    <numFmt numFmtId="175" formatCode="0.0%;\(0.0%\);\-"/>
    <numFmt numFmtId="176" formatCode="#,##0.00;\(#,##0.00\);\-"/>
    <numFmt numFmtId="177" formatCode="_ * #,##0.0_ ;_ * \-#,##0.0_ ;_ * &quot;-&quot;??_ ;_ @_ "/>
  </numFmts>
  <fonts count="67" x14ac:knownFonts="1">
    <font>
      <sz val="11"/>
      <color theme="1"/>
      <name val="Calibri"/>
      <family val="2"/>
    </font>
    <font>
      <sz val="11"/>
      <color theme="1"/>
      <name val="Arial"/>
      <family val="2"/>
    </font>
    <font>
      <b/>
      <sz val="11"/>
      <color theme="1"/>
      <name val="Arial"/>
      <family val="2"/>
    </font>
    <font>
      <b/>
      <sz val="11"/>
      <color rgb="FF000000"/>
      <name val="Arial"/>
      <family val="2"/>
    </font>
    <font>
      <sz val="11"/>
      <color rgb="FF000000"/>
      <name val="Arial"/>
      <family val="2"/>
    </font>
    <font>
      <sz val="10"/>
      <color rgb="FF1A1A1A"/>
      <name val="Calibri"/>
      <family val="2"/>
    </font>
    <font>
      <b/>
      <sz val="10"/>
      <color rgb="FF1A1A1A"/>
      <name val="Calibri"/>
      <family val="2"/>
    </font>
    <font>
      <b/>
      <sz val="12"/>
      <color rgb="FFFFFFFF"/>
      <name val="Calibri"/>
      <family val="2"/>
    </font>
    <font>
      <b/>
      <sz val="10"/>
      <color rgb="FF4A5568"/>
      <name val="Calibri"/>
      <family val="2"/>
    </font>
    <font>
      <sz val="8"/>
      <color rgb="FFCCCCCC"/>
      <name val="Calibri"/>
      <family val="2"/>
    </font>
    <font>
      <b/>
      <sz val="10"/>
      <color rgb="FFFFFFFF"/>
      <name val="Calibri"/>
      <family val="2"/>
    </font>
    <font>
      <sz val="9"/>
      <color rgb="FF999999"/>
      <name val="Calibri"/>
      <family val="2"/>
    </font>
    <font>
      <b/>
      <sz val="11"/>
      <color rgb="FFFFFFFF"/>
      <name val="Calibri"/>
      <family val="2"/>
    </font>
    <font>
      <sz val="9"/>
      <color indexed="81"/>
      <name val="Tahoma"/>
      <family val="2"/>
    </font>
    <font>
      <b/>
      <sz val="9"/>
      <color indexed="81"/>
      <name val="Tahoma"/>
      <family val="2"/>
    </font>
    <font>
      <b/>
      <sz val="14"/>
      <color rgb="FFFFFFFF"/>
      <name val="Arial"/>
      <family val="2"/>
    </font>
    <font>
      <b/>
      <sz val="9"/>
      <color rgb="FFFFFFFF"/>
      <name val="Arial"/>
      <family val="2"/>
    </font>
    <font>
      <sz val="9"/>
      <color rgb="FF3A4F6A"/>
      <name val="Arial"/>
      <family val="2"/>
    </font>
    <font>
      <sz val="8"/>
      <color rgb="FF3A4F6A"/>
      <name val="Arial"/>
      <family val="2"/>
    </font>
    <font>
      <sz val="9"/>
      <color rgb="FF1A2B3C"/>
      <name val="Arial"/>
      <family val="2"/>
    </font>
    <font>
      <b/>
      <sz val="13"/>
      <color rgb="FFFFFFFF"/>
      <name val="Arial"/>
      <family val="2"/>
    </font>
    <font>
      <b/>
      <sz val="10"/>
      <color rgb="FFFFFFFF"/>
      <name val="Arial"/>
      <family val="2"/>
    </font>
    <font>
      <b/>
      <sz val="9"/>
      <color rgb="FF3A4F6A"/>
      <name val="Arial"/>
      <family val="2"/>
    </font>
    <font>
      <i/>
      <sz val="11"/>
      <color theme="1"/>
      <name val="Calibri"/>
      <family val="2"/>
    </font>
    <font>
      <b/>
      <sz val="10"/>
      <color rgb="FF4A5568"/>
      <name val="Calibri"/>
      <family val="2"/>
    </font>
    <font>
      <b/>
      <sz val="9"/>
      <color rgb="FFFFFFFF"/>
      <name val="Arial"/>
      <family val="2"/>
    </font>
    <font>
      <b/>
      <sz val="11"/>
      <color theme="1"/>
      <name val="Calibri"/>
      <family val="2"/>
    </font>
    <font>
      <u/>
      <sz val="11"/>
      <color theme="10"/>
      <name val="Calibri"/>
      <family val="2"/>
    </font>
    <font>
      <b/>
      <sz val="12"/>
      <color rgb="FFFFFFFF"/>
      <name val="Calibri"/>
      <family val="2"/>
    </font>
    <font>
      <sz val="10"/>
      <color rgb="FF1A1A1A"/>
      <name val="Calibri"/>
      <family val="2"/>
    </font>
    <font>
      <b/>
      <sz val="10"/>
      <color rgb="FFFFFFFF"/>
      <name val="Calibri"/>
      <family val="2"/>
    </font>
    <font>
      <b/>
      <sz val="10"/>
      <color rgb="FF1A1A1A"/>
      <name val="Calibri"/>
      <family val="2"/>
    </font>
    <font>
      <sz val="10"/>
      <color rgb="FFFFFFFF"/>
      <name val="Calibri"/>
      <family val="2"/>
    </font>
    <font>
      <b/>
      <u/>
      <sz val="12"/>
      <color rgb="FFFFFFFF"/>
      <name val="Calibri"/>
      <family val="2"/>
    </font>
    <font>
      <sz val="8"/>
      <color rgb="FFFFFFFF"/>
      <name val="Calibri"/>
      <family val="2"/>
    </font>
    <font>
      <sz val="9"/>
      <color rgb="FF1A2B3C"/>
      <name val="Arial"/>
      <family val="2"/>
    </font>
    <font>
      <b/>
      <sz val="11"/>
      <color rgb="FFFFFFFF"/>
      <name val="Arial"/>
      <family val="2"/>
    </font>
    <font>
      <b/>
      <sz val="8"/>
      <color rgb="FF2E4D7B"/>
      <name val="Arial"/>
      <family val="2"/>
    </font>
    <font>
      <b/>
      <sz val="9"/>
      <color rgb="FF2E4D7B"/>
      <name val="Arial"/>
      <family val="2"/>
    </font>
    <font>
      <i/>
      <sz val="8"/>
      <color rgb="FF7A8A9A"/>
      <name val="Arial"/>
      <family val="2"/>
    </font>
    <font>
      <sz val="9"/>
      <color rgb="FF3A4F6A"/>
      <name val="Arial"/>
      <family val="2"/>
    </font>
    <font>
      <b/>
      <sz val="9"/>
      <color rgb="FF1A2B3C"/>
      <name val="Arial"/>
      <family val="2"/>
    </font>
    <font>
      <b/>
      <sz val="10"/>
      <color rgb="FFC9A84C"/>
      <name val="Arial"/>
      <family val="2"/>
    </font>
    <font>
      <b/>
      <sz val="14"/>
      <color rgb="FFFFFFFF"/>
      <name val="Calibri"/>
      <family val="2"/>
    </font>
    <font>
      <b/>
      <sz val="11"/>
      <color rgb="FFFFFFFF"/>
      <name val="Calibri"/>
      <family val="2"/>
    </font>
    <font>
      <sz val="11"/>
      <color theme="1"/>
      <name val="Calibri"/>
      <family val="2"/>
    </font>
    <font>
      <b/>
      <sz val="11"/>
      <color theme="1"/>
      <name val="Aptos Narrow"/>
      <family val="2"/>
      <scheme val="minor"/>
    </font>
    <font>
      <sz val="16"/>
      <color rgb="FF333333"/>
      <name val="Arial"/>
      <family val="2"/>
    </font>
    <font>
      <b/>
      <sz val="13"/>
      <color rgb="FFFFFFFF"/>
      <name val="Calibri"/>
      <family val="2"/>
    </font>
    <font>
      <sz val="9"/>
      <color rgb="FF000000"/>
      <name val="Calibri"/>
      <family val="2"/>
    </font>
    <font>
      <sz val="9"/>
      <color rgb="FF375623"/>
      <name val="Calibri"/>
      <family val="2"/>
    </font>
    <font>
      <b/>
      <sz val="9"/>
      <color rgb="FF000000"/>
      <name val="Calibri"/>
      <family val="2"/>
    </font>
    <font>
      <sz val="9"/>
      <color rgb="FF0070C0"/>
      <name val="Calibri"/>
      <family val="2"/>
    </font>
    <font>
      <b/>
      <sz val="9"/>
      <color theme="1"/>
      <name val="Arial"/>
      <family val="2"/>
      <charset val="1"/>
    </font>
    <font>
      <b/>
      <sz val="9"/>
      <color rgb="FFFFFFFF"/>
      <name val="Calibri"/>
      <family val="2"/>
    </font>
    <font>
      <b/>
      <sz val="11"/>
      <color rgb="FF003366"/>
      <name val="Calibri"/>
      <family val="2"/>
    </font>
    <font>
      <b/>
      <sz val="14"/>
      <color rgb="FFFFFFFF"/>
      <name val="Calibri"/>
      <family val="2"/>
    </font>
    <font>
      <sz val="11"/>
      <color theme="1"/>
      <name val="Calibri"/>
      <family val="2"/>
    </font>
    <font>
      <b/>
      <sz val="11"/>
      <color theme="1"/>
      <name val="Calibri"/>
      <family val="2"/>
    </font>
    <font>
      <sz val="11"/>
      <color rgb="FF0000FF"/>
      <name val="Calibri"/>
      <family val="2"/>
    </font>
    <font>
      <sz val="11"/>
      <color rgb="FF000000"/>
      <name val="Calibri"/>
      <family val="2"/>
    </font>
    <font>
      <b/>
      <sz val="11"/>
      <color rgb="FF000000"/>
      <name val="Calibri"/>
      <family val="2"/>
    </font>
    <font>
      <sz val="11"/>
      <color theme="1"/>
      <name val="Arial Narrow"/>
      <family val="2"/>
    </font>
    <font>
      <b/>
      <sz val="11"/>
      <color theme="0"/>
      <name val="Aptos Narrow"/>
      <family val="2"/>
      <scheme val="minor"/>
    </font>
    <font>
      <i/>
      <sz val="11"/>
      <color theme="1"/>
      <name val="Aptos Narrow"/>
      <family val="2"/>
      <scheme val="minor"/>
    </font>
    <font>
      <b/>
      <i/>
      <sz val="11"/>
      <color theme="1"/>
      <name val="Aptos Narrow"/>
      <family val="2"/>
      <scheme val="minor"/>
    </font>
    <font>
      <b/>
      <sz val="11"/>
      <color indexed="8"/>
      <name val="Calibri"/>
      <family val="2"/>
    </font>
  </fonts>
  <fills count="36">
    <fill>
      <patternFill patternType="none"/>
    </fill>
    <fill>
      <patternFill patternType="gray125"/>
    </fill>
    <fill>
      <patternFill patternType="solid">
        <fgColor rgb="FFFFFFFF"/>
        <bgColor indexed="64"/>
      </patternFill>
    </fill>
    <fill>
      <patternFill patternType="solid">
        <fgColor rgb="FFE8EBEF"/>
        <bgColor indexed="64"/>
      </patternFill>
    </fill>
    <fill>
      <patternFill patternType="solid">
        <fgColor rgb="FFF7F8FB"/>
        <bgColor indexed="64"/>
      </patternFill>
    </fill>
    <fill>
      <patternFill patternType="solid">
        <fgColor rgb="FFF4F4F4"/>
        <bgColor indexed="64"/>
      </patternFill>
    </fill>
    <fill>
      <patternFill patternType="solid">
        <fgColor rgb="FF1A2744"/>
        <bgColor indexed="64"/>
      </patternFill>
    </fill>
    <fill>
      <patternFill patternType="solid">
        <fgColor rgb="FFF2F4F7"/>
        <bgColor indexed="64"/>
      </patternFill>
    </fill>
    <fill>
      <patternFill patternType="solid">
        <fgColor rgb="FF4A5568"/>
        <bgColor indexed="64"/>
      </patternFill>
    </fill>
    <fill>
      <patternFill patternType="solid">
        <fgColor rgb="FFF9FAFB"/>
        <bgColor indexed="64"/>
      </patternFill>
    </fill>
    <fill>
      <patternFill patternType="solid">
        <fgColor rgb="FFE8EBF0"/>
        <bgColor indexed="64"/>
      </patternFill>
    </fill>
    <fill>
      <patternFill patternType="solid">
        <fgColor rgb="FF2C3E6B"/>
        <bgColor indexed="64"/>
      </patternFill>
    </fill>
    <fill>
      <patternFill patternType="solid">
        <fgColor rgb="FFD1D8E3"/>
        <bgColor indexed="64"/>
      </patternFill>
    </fill>
    <fill>
      <patternFill patternType="solid">
        <fgColor rgb="FF2E4D7B"/>
        <bgColor indexed="64"/>
      </patternFill>
    </fill>
    <fill>
      <patternFill patternType="solid">
        <fgColor rgb="FFF0F5FC"/>
        <bgColor indexed="64"/>
      </patternFill>
    </fill>
    <fill>
      <patternFill patternType="solid">
        <fgColor rgb="FFEAF1FB"/>
        <bgColor indexed="64"/>
      </patternFill>
    </fill>
    <fill>
      <patternFill patternType="solid">
        <fgColor rgb="FF14243A"/>
        <bgColor indexed="64"/>
      </patternFill>
    </fill>
    <fill>
      <patternFill patternType="solid">
        <fgColor rgb="FFE8EEF6"/>
        <bgColor indexed="64"/>
      </patternFill>
    </fill>
    <fill>
      <patternFill patternType="solid">
        <fgColor rgb="FF3D6494"/>
        <bgColor indexed="64"/>
      </patternFill>
    </fill>
    <fill>
      <patternFill patternType="solid">
        <fgColor rgb="FFDCE3EC"/>
        <bgColor indexed="64"/>
      </patternFill>
    </fill>
    <fill>
      <patternFill patternType="solid">
        <fgColor rgb="FF00206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003366"/>
        <bgColor rgb="FF17375E"/>
      </patternFill>
    </fill>
    <fill>
      <patternFill patternType="solid">
        <fgColor rgb="FF17375E"/>
        <bgColor rgb="FF203864"/>
      </patternFill>
    </fill>
    <fill>
      <patternFill patternType="solid">
        <fgColor rgb="FFE0E0E0"/>
        <bgColor rgb="FFD9D9D9"/>
      </patternFill>
    </fill>
    <fill>
      <patternFill patternType="solid">
        <fgColor rgb="FFFFFFFF"/>
        <bgColor rgb="FFFFFDE7"/>
      </patternFill>
    </fill>
    <fill>
      <patternFill patternType="solid">
        <fgColor rgb="FFD9E1F2"/>
        <bgColor rgb="FFDAE3F3"/>
      </patternFill>
    </fill>
    <fill>
      <patternFill patternType="solid">
        <fgColor theme="0" tint="-0.249977111117893"/>
        <bgColor rgb="FFC9C9C9"/>
      </patternFill>
    </fill>
    <fill>
      <patternFill patternType="solid">
        <fgColor rgb="FFFFD700"/>
        <bgColor rgb="FFFFC000"/>
      </patternFill>
    </fill>
    <fill>
      <patternFill patternType="solid">
        <fgColor rgb="FF1F4E78"/>
        <bgColor indexed="64"/>
      </patternFill>
    </fill>
    <fill>
      <patternFill patternType="solid">
        <fgColor rgb="FFF2F2F2"/>
        <bgColor indexed="64"/>
      </patternFill>
    </fill>
    <fill>
      <patternFill patternType="solid">
        <fgColor rgb="FFDDEBF7"/>
        <bgColor indexed="64"/>
      </patternFill>
    </fill>
    <fill>
      <patternFill patternType="solid">
        <fgColor theme="0"/>
        <bgColor indexed="64"/>
      </patternFill>
    </fill>
    <fill>
      <patternFill patternType="solid">
        <fgColor theme="7" tint="-0.499984740745262"/>
        <bgColor indexed="64"/>
      </patternFill>
    </fill>
    <fill>
      <patternFill patternType="solid">
        <fgColor theme="0" tint="-0.249977111117893"/>
        <bgColor indexed="64"/>
      </patternFill>
    </fill>
  </fills>
  <borders count="99">
    <border>
      <left/>
      <right/>
      <top/>
      <bottom/>
      <diagonal/>
    </border>
    <border>
      <left style="medium">
        <color rgb="FFEEEEEE"/>
      </left>
      <right style="medium">
        <color rgb="FFEEEEEE"/>
      </right>
      <top/>
      <bottom/>
      <diagonal/>
    </border>
    <border>
      <left style="medium">
        <color rgb="FFEEEEEE"/>
      </left>
      <right/>
      <top/>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8899AA"/>
      </left>
      <right/>
      <top style="thin">
        <color rgb="FF8899AA"/>
      </top>
      <bottom style="thin">
        <color rgb="FFC5CDD8"/>
      </bottom>
      <diagonal/>
    </border>
    <border>
      <left/>
      <right/>
      <top style="thin">
        <color rgb="FF8899AA"/>
      </top>
      <bottom style="thin">
        <color rgb="FFC5CDD8"/>
      </bottom>
      <diagonal/>
    </border>
    <border>
      <left/>
      <right style="medium">
        <color rgb="FF8899AA"/>
      </right>
      <top style="thin">
        <color rgb="FF8899AA"/>
      </top>
      <bottom style="thin">
        <color rgb="FFC5CDD8"/>
      </bottom>
      <diagonal/>
    </border>
    <border>
      <left style="thin">
        <color rgb="FF8899AA"/>
      </left>
      <right/>
      <top style="thin">
        <color rgb="FFC5CDD8"/>
      </top>
      <bottom style="thin">
        <color rgb="FFC5CDD8"/>
      </bottom>
      <diagonal/>
    </border>
    <border>
      <left/>
      <right/>
      <top style="thin">
        <color rgb="FFC5CDD8"/>
      </top>
      <bottom style="thin">
        <color rgb="FFC5CDD8"/>
      </bottom>
      <diagonal/>
    </border>
    <border>
      <left/>
      <right style="medium">
        <color rgb="FF8899AA"/>
      </right>
      <top style="thin">
        <color rgb="FFC5CDD8"/>
      </top>
      <bottom style="thin">
        <color rgb="FFC5CDD8"/>
      </bottom>
      <diagonal/>
    </border>
    <border>
      <left style="thin">
        <color rgb="FF8899AA"/>
      </left>
      <right/>
      <top style="thin">
        <color rgb="FFC5CDD8"/>
      </top>
      <bottom style="thin">
        <color rgb="FF8899AA"/>
      </bottom>
      <diagonal/>
    </border>
    <border>
      <left/>
      <right/>
      <top style="thin">
        <color rgb="FFC5CDD8"/>
      </top>
      <bottom style="thin">
        <color rgb="FF8899AA"/>
      </bottom>
      <diagonal/>
    </border>
    <border>
      <left/>
      <right style="medium">
        <color rgb="FF8899AA"/>
      </right>
      <top style="thin">
        <color rgb="FFC5CDD8"/>
      </top>
      <bottom style="thin">
        <color rgb="FF8899AA"/>
      </bottom>
      <diagonal/>
    </border>
    <border>
      <left style="thin">
        <color rgb="FF8899AA"/>
      </left>
      <right/>
      <top style="thin">
        <color rgb="FFC5CDD8"/>
      </top>
      <bottom/>
      <diagonal/>
    </border>
    <border>
      <left/>
      <right/>
      <top style="thin">
        <color rgb="FFC5CDD8"/>
      </top>
      <bottom/>
      <diagonal/>
    </border>
    <border>
      <left/>
      <right style="medium">
        <color rgb="FF8899AA"/>
      </right>
      <top style="thin">
        <color rgb="FFC5CDD8"/>
      </top>
      <bottom/>
      <diagonal/>
    </border>
    <border>
      <left style="thin">
        <color rgb="FF8899AA"/>
      </left>
      <right/>
      <top/>
      <bottom style="thin">
        <color rgb="FFC5CDD8"/>
      </bottom>
      <diagonal/>
    </border>
    <border>
      <left/>
      <right/>
      <top/>
      <bottom style="thin">
        <color rgb="FFC5CDD8"/>
      </bottom>
      <diagonal/>
    </border>
    <border>
      <left/>
      <right style="medium">
        <color rgb="FF8899AA"/>
      </right>
      <top/>
      <bottom style="thin">
        <color rgb="FFC5CDD8"/>
      </bottom>
      <diagonal/>
    </border>
    <border>
      <left style="thin">
        <color rgb="FF8899AA"/>
      </left>
      <right/>
      <top style="thin">
        <color rgb="FF8899AA"/>
      </top>
      <bottom style="thin">
        <color rgb="FF8899AA"/>
      </bottom>
      <diagonal/>
    </border>
    <border>
      <left/>
      <right/>
      <top style="thin">
        <color rgb="FF8899AA"/>
      </top>
      <bottom style="thin">
        <color rgb="FF8899AA"/>
      </bottom>
      <diagonal/>
    </border>
    <border>
      <left/>
      <right style="medium">
        <color rgb="FF8899AA"/>
      </right>
      <top style="thin">
        <color rgb="FF8899AA"/>
      </top>
      <bottom style="thin">
        <color rgb="FF8899AA"/>
      </bottom>
      <diagonal/>
    </border>
    <border>
      <left/>
      <right style="thin">
        <color rgb="FF8899AA"/>
      </right>
      <top style="thin">
        <color rgb="FF8899AA"/>
      </top>
      <bottom style="thin">
        <color rgb="FFC5CDD8"/>
      </bottom>
      <diagonal/>
    </border>
    <border>
      <left/>
      <right style="thin">
        <color rgb="FF8899AA"/>
      </right>
      <top style="thin">
        <color rgb="FFC5CDD8"/>
      </top>
      <bottom style="thin">
        <color rgb="FFC5CDD8"/>
      </bottom>
      <diagonal/>
    </border>
    <border>
      <left/>
      <right style="thin">
        <color rgb="FF8899AA"/>
      </right>
      <top style="thin">
        <color rgb="FFC5CDD8"/>
      </top>
      <bottom style="thin">
        <color rgb="FF8899AA"/>
      </bottom>
      <diagonal/>
    </border>
    <border>
      <left/>
      <right style="thin">
        <color rgb="FF8899AA"/>
      </right>
      <top style="thin">
        <color rgb="FFC5CDD8"/>
      </top>
      <bottom/>
      <diagonal/>
    </border>
    <border>
      <left/>
      <right style="thin">
        <color rgb="FF8899AA"/>
      </right>
      <top/>
      <bottom style="thin">
        <color rgb="FFC5CDD8"/>
      </bottom>
      <diagonal/>
    </border>
    <border>
      <left/>
      <right style="thin">
        <color rgb="FF8899AA"/>
      </right>
      <top style="thin">
        <color rgb="FF8899AA"/>
      </top>
      <bottom style="thin">
        <color rgb="FF8899AA"/>
      </bottom>
      <diagonal/>
    </border>
    <border>
      <left style="thin">
        <color rgb="FF8899AA"/>
      </left>
      <right/>
      <top/>
      <bottom style="thin">
        <color rgb="FF8899AA"/>
      </bottom>
      <diagonal/>
    </border>
    <border>
      <left/>
      <right/>
      <top/>
      <bottom style="thin">
        <color rgb="FF8899AA"/>
      </bottom>
      <diagonal/>
    </border>
    <border>
      <left/>
      <right style="medium">
        <color rgb="FF8899AA"/>
      </right>
      <top/>
      <bottom style="thin">
        <color rgb="FF8899AA"/>
      </bottom>
      <diagonal/>
    </border>
    <border>
      <left/>
      <right/>
      <top style="thin">
        <color rgb="FF8899AA"/>
      </top>
      <bottom style="medium">
        <color rgb="FF8899AA"/>
      </bottom>
      <diagonal/>
    </border>
    <border>
      <left style="thin">
        <color rgb="FF8899AA"/>
      </left>
      <right/>
      <top style="thin">
        <color rgb="FF8899AA"/>
      </top>
      <bottom style="medium">
        <color rgb="FF8899AA"/>
      </bottom>
      <diagonal/>
    </border>
    <border>
      <left/>
      <right style="medium">
        <color rgb="FF000000"/>
      </right>
      <top style="thin">
        <color rgb="FF8899AA"/>
      </top>
      <bottom style="thin">
        <color rgb="FFC5CDD8"/>
      </bottom>
      <diagonal/>
    </border>
    <border>
      <left/>
      <right style="thin">
        <color rgb="FF8899AA"/>
      </right>
      <top style="thin">
        <color rgb="FF8899AA"/>
      </top>
      <bottom style="medium">
        <color rgb="FF8899AA"/>
      </bottom>
      <diagonal/>
    </border>
    <border>
      <left/>
      <right style="double">
        <color rgb="FF8899AA"/>
      </right>
      <top style="thin">
        <color rgb="FF8899AA"/>
      </top>
      <bottom style="thin">
        <color rgb="FFC5CDD8"/>
      </bottom>
      <diagonal/>
    </border>
    <border>
      <left/>
      <right style="double">
        <color rgb="FF8899AA"/>
      </right>
      <top style="thin">
        <color rgb="FFC5CDD8"/>
      </top>
      <bottom style="thin">
        <color rgb="FFC5CDD8"/>
      </bottom>
      <diagonal/>
    </border>
    <border>
      <left/>
      <right style="double">
        <color rgb="FF8899AA"/>
      </right>
      <top style="thin">
        <color rgb="FFC5CDD8"/>
      </top>
      <bottom style="thin">
        <color rgb="FF8899AA"/>
      </bottom>
      <diagonal/>
    </border>
    <border>
      <left/>
      <right/>
      <top style="thin">
        <color rgb="FF8899AA"/>
      </top>
      <bottom style="double">
        <color rgb="FF8899AA"/>
      </bottom>
      <diagonal/>
    </border>
    <border>
      <left/>
      <right style="double">
        <color rgb="FF8899AA"/>
      </right>
      <top style="thin">
        <color rgb="FF8899AA"/>
      </top>
      <bottom style="double">
        <color rgb="FF8899AA"/>
      </bottom>
      <diagonal/>
    </border>
    <border>
      <left/>
      <right style="double">
        <color rgb="FF8899AA"/>
      </right>
      <top style="thin">
        <color rgb="FFC5CDD8"/>
      </top>
      <bottom/>
      <diagonal/>
    </border>
    <border>
      <left style="thin">
        <color rgb="FFC5CDD8"/>
      </left>
      <right style="thin">
        <color rgb="FFC5CDD8"/>
      </right>
      <top style="thin">
        <color rgb="FFC5CDD8"/>
      </top>
      <bottom style="thin">
        <color rgb="FFC5CDD8"/>
      </bottom>
      <diagonal/>
    </border>
    <border>
      <left/>
      <right style="thin">
        <color rgb="FFC5CDD8"/>
      </right>
      <top style="thin">
        <color rgb="FFC5CDD8"/>
      </top>
      <bottom style="thin">
        <color rgb="FFC5CDD8"/>
      </bottom>
      <diagonal/>
    </border>
    <border>
      <left/>
      <right style="thin">
        <color rgb="FF8899AA"/>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rgb="FFC5CDD8"/>
      </bottom>
      <diagonal/>
    </border>
    <border>
      <left style="thin">
        <color rgb="FFC5CDD8"/>
      </left>
      <right style="thin">
        <color auto="1"/>
      </right>
      <top/>
      <bottom style="thin">
        <color auto="1"/>
      </bottom>
      <diagonal/>
    </border>
    <border>
      <left style="thin">
        <color rgb="FFC5CDD8"/>
      </left>
      <right style="thin">
        <color auto="1"/>
      </right>
      <top style="thin">
        <color auto="1"/>
      </top>
      <bottom style="thin">
        <color auto="1"/>
      </bottom>
      <diagonal/>
    </border>
    <border>
      <left style="thin">
        <color rgb="FFC5CDD8"/>
      </left>
      <right style="thin">
        <color auto="1"/>
      </right>
      <top style="thin">
        <color auto="1"/>
      </top>
      <bottom style="thin">
        <color rgb="FFC5CDD8"/>
      </bottom>
      <diagonal/>
    </border>
    <border>
      <left/>
      <right style="thin">
        <color rgb="FFC5CDD8"/>
      </right>
      <top/>
      <bottom/>
      <diagonal/>
    </border>
    <border>
      <left/>
      <right style="thin">
        <color rgb="FFC5CDD8"/>
      </right>
      <top/>
      <bottom style="thin">
        <color rgb="FFC5CDD8"/>
      </bottom>
      <diagonal/>
    </border>
    <border>
      <left style="thin">
        <color rgb="FFC5CDD8"/>
      </left>
      <right style="thin">
        <color auto="1"/>
      </right>
      <top style="thin">
        <color rgb="FFC5CDD8"/>
      </top>
      <bottom style="medium">
        <color rgb="FF1A2744"/>
      </bottom>
      <diagonal/>
    </border>
    <border>
      <left/>
      <right/>
      <top style="thin">
        <color rgb="FFC5CDD8"/>
      </top>
      <bottom style="medium">
        <color rgb="FF1A2744"/>
      </bottom>
      <diagonal/>
    </border>
    <border>
      <left/>
      <right style="thin">
        <color rgb="FFC5CDD8"/>
      </right>
      <top style="thin">
        <color rgb="FFC5CDD8"/>
      </top>
      <bottom style="medium">
        <color rgb="FF1A2744"/>
      </bottom>
      <diagonal/>
    </border>
    <border>
      <left style="thin">
        <color auto="1"/>
      </left>
      <right style="thin">
        <color auto="1"/>
      </right>
      <top style="thin">
        <color rgb="FFC5CDD8"/>
      </top>
      <bottom style="medium">
        <color rgb="FF1A2744"/>
      </bottom>
      <diagonal/>
    </border>
    <border>
      <left/>
      <right/>
      <top/>
      <bottom style="medium">
        <color indexed="64"/>
      </bottom>
      <diagonal/>
    </border>
    <border>
      <left/>
      <right/>
      <top style="medium">
        <color indexed="64"/>
      </top>
      <bottom style="thin">
        <color indexed="64"/>
      </bottom>
      <diagonal/>
    </border>
    <border>
      <left/>
      <right style="medium">
        <color rgb="FFEEEEEE"/>
      </right>
      <top/>
      <bottom/>
      <diagonal/>
    </border>
    <border>
      <left/>
      <right/>
      <top/>
      <bottom style="medium">
        <color rgb="FFEEEEEE"/>
      </bottom>
      <diagonal/>
    </border>
    <border>
      <left/>
      <right/>
      <top style="thin">
        <color rgb="FFC9A84C"/>
      </top>
      <bottom style="thin">
        <color rgb="FFC9A84C"/>
      </bottom>
      <diagonal/>
    </border>
    <border>
      <left/>
      <right style="thin">
        <color rgb="FFC8D4E3"/>
      </right>
      <top style="thin">
        <color rgb="FFC9A84C"/>
      </top>
      <bottom style="thin">
        <color rgb="FFC9A84C"/>
      </bottom>
      <diagonal/>
    </border>
    <border>
      <left/>
      <right style="thin">
        <color rgb="FFC8D4E3"/>
      </right>
      <top/>
      <bottom/>
      <diagonal/>
    </border>
    <border>
      <left/>
      <right/>
      <top/>
      <bottom style="thin">
        <color rgb="FFC9A84C"/>
      </bottom>
      <diagonal/>
    </border>
    <border>
      <left/>
      <right style="thin">
        <color rgb="FFC8D4E3"/>
      </right>
      <top/>
      <bottom style="thin">
        <color rgb="FFC9A84C"/>
      </bottom>
      <diagonal/>
    </border>
    <border>
      <left/>
      <right style="medium">
        <color rgb="FFEEEEEE"/>
      </right>
      <top/>
      <bottom style="thin">
        <color rgb="FFC9A84C"/>
      </bottom>
      <diagonal/>
    </border>
    <border>
      <left style="medium">
        <color rgb="FFEEEEEE"/>
      </left>
      <right style="medium">
        <color rgb="FFEEEEEE"/>
      </right>
      <top/>
      <bottom style="thin">
        <color rgb="FFC9A84C"/>
      </bottom>
      <diagonal/>
    </border>
    <border>
      <left/>
      <right/>
      <top/>
      <bottom style="thin">
        <color rgb="FFC8D4E3"/>
      </bottom>
      <diagonal/>
    </border>
    <border>
      <left/>
      <right style="thin">
        <color rgb="FFC8D4E3"/>
      </right>
      <top/>
      <bottom style="thin">
        <color rgb="FFC8D4E3"/>
      </bottom>
      <diagonal/>
    </border>
    <border>
      <left/>
      <right style="thin">
        <color rgb="FFC8D4E3"/>
      </right>
      <top style="thin">
        <color rgb="FFC9A84C"/>
      </top>
      <bottom/>
      <diagonal/>
    </border>
    <border>
      <left/>
      <right/>
      <top style="thin">
        <color rgb="FFC9A84C"/>
      </top>
      <bottom/>
      <diagonal/>
    </border>
    <border>
      <left/>
      <right style="thin">
        <color rgb="FFC8D4E3"/>
      </right>
      <top style="thin">
        <color rgb="FFC0CDD8"/>
      </top>
      <bottom style="thin">
        <color rgb="FFC8D4E3"/>
      </bottom>
      <diagonal/>
    </border>
    <border>
      <left/>
      <right/>
      <top style="thin">
        <color rgb="FFC0CDD8"/>
      </top>
      <bottom style="thin">
        <color rgb="FFC8D4E3"/>
      </bottom>
      <diagonal/>
    </border>
    <border>
      <left/>
      <right style="thin">
        <color rgb="FFC8D4E3"/>
      </right>
      <top style="medium">
        <color rgb="FFC9A84C"/>
      </top>
      <bottom/>
      <diagonal/>
    </border>
    <border>
      <left/>
      <right/>
      <top style="medium">
        <color rgb="FFC9A84C"/>
      </top>
      <bottom/>
      <diagonal/>
    </border>
    <border>
      <left/>
      <right style="thin">
        <color rgb="FFC8D4E3"/>
      </right>
      <top style="thin">
        <color rgb="FFC0CDD8"/>
      </top>
      <bottom/>
      <diagonal/>
    </border>
    <border>
      <left/>
      <right/>
      <top style="thin">
        <color rgb="FFC0CDD8"/>
      </top>
      <bottom/>
      <diagonal/>
    </border>
    <border>
      <left/>
      <right style="thin">
        <color rgb="FFC8D4E3"/>
      </right>
      <top style="thin">
        <color rgb="FFC0CDD8"/>
      </top>
      <bottom style="medium">
        <color rgb="FFC9A84C"/>
      </bottom>
      <diagonal/>
    </border>
    <border>
      <left/>
      <right/>
      <top style="thin">
        <color rgb="FFC0CDD8"/>
      </top>
      <bottom style="medium">
        <color rgb="FFC9A84C"/>
      </bottom>
      <diagonal/>
    </border>
    <border>
      <left/>
      <right style="thin">
        <color rgb="FFC8D4E3"/>
      </right>
      <top style="thin">
        <color rgb="FFC8D4E3"/>
      </top>
      <bottom style="thin">
        <color rgb="FFC9A84C"/>
      </bottom>
      <diagonal/>
    </border>
    <border>
      <left/>
      <right/>
      <top style="thin">
        <color rgb="FFC8D4E3"/>
      </top>
      <bottom style="thin">
        <color rgb="FFC9A84C"/>
      </bottom>
      <diagonal/>
    </border>
    <border>
      <left style="thin">
        <color auto="1"/>
      </left>
      <right style="thin">
        <color theme="0"/>
      </right>
      <top style="thin">
        <color auto="1"/>
      </top>
      <bottom style="thin">
        <color theme="0"/>
      </bottom>
      <diagonal/>
    </border>
    <border>
      <left style="thin">
        <color auto="1"/>
      </left>
      <right style="thin">
        <color theme="0"/>
      </right>
      <top style="thin">
        <color theme="0"/>
      </top>
      <bottom style="thin">
        <color theme="0"/>
      </bottom>
      <diagonal/>
    </border>
    <border>
      <left/>
      <right/>
      <top/>
      <bottom style="thin">
        <color rgb="FF595959"/>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style="thin">
        <color theme="0"/>
      </bottom>
      <diagonal/>
    </border>
    <border>
      <left style="thin">
        <color auto="1"/>
      </left>
      <right style="thin">
        <color theme="0"/>
      </right>
      <top/>
      <bottom style="thin">
        <color theme="0"/>
      </bottom>
      <diagonal/>
    </border>
    <border>
      <left style="thin">
        <color auto="1"/>
      </left>
      <right/>
      <top style="thin">
        <color auto="1"/>
      </top>
      <bottom style="thin">
        <color auto="1"/>
      </bottom>
      <diagonal/>
    </border>
    <border>
      <left/>
      <right/>
      <top style="thin">
        <color rgb="FF595959"/>
      </top>
      <bottom style="thin">
        <color rgb="FF595959"/>
      </bottom>
      <diagonal/>
    </border>
    <border>
      <left style="thin">
        <color auto="1"/>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right/>
      <top style="medium">
        <color rgb="FF003366"/>
      </top>
      <bottom style="medium">
        <color rgb="FF003366"/>
      </bottom>
      <diagonal/>
    </border>
    <border>
      <left style="thin">
        <color rgb="FFBFBFBF"/>
      </left>
      <right style="thin">
        <color rgb="FFBFBFBF"/>
      </right>
      <top style="thin">
        <color rgb="FFBFBFBF"/>
      </top>
      <bottom style="thin">
        <color rgb="FFBFBFBF"/>
      </bottom>
      <diagonal/>
    </border>
    <border>
      <left/>
      <right/>
      <top/>
      <bottom style="thin">
        <color indexed="64"/>
      </bottom>
      <diagonal/>
    </border>
    <border>
      <left/>
      <right/>
      <top style="thin">
        <color auto="1"/>
      </top>
      <bottom style="thick">
        <color auto="1"/>
      </bottom>
      <diagonal/>
    </border>
  </borders>
  <cellStyleXfs count="5">
    <xf numFmtId="0" fontId="0" fillId="0" borderId="0"/>
    <xf numFmtId="0" fontId="27" fillId="0" borderId="0" applyNumberFormat="0" applyFill="0" applyBorder="0" applyAlignment="0" applyProtection="0"/>
    <xf numFmtId="9" fontId="45" fillId="0" borderId="0" applyFont="0" applyFill="0" applyBorder="0" applyAlignment="0" applyProtection="0"/>
    <xf numFmtId="0" fontId="62" fillId="0" borderId="0"/>
    <xf numFmtId="0" fontId="27" fillId="0" borderId="0" applyNumberFormat="0" applyFill="0" applyBorder="0" applyAlignment="0" applyProtection="0">
      <alignment vertical="top"/>
      <protection locked="0"/>
    </xf>
  </cellStyleXfs>
  <cellXfs count="491">
    <xf numFmtId="0" fontId="0" fillId="0" borderId="0" xfId="0"/>
    <xf numFmtId="0" fontId="2" fillId="2" borderId="0" xfId="0" applyFont="1" applyFill="1" applyAlignment="1">
      <alignment vertical="center"/>
    </xf>
    <xf numFmtId="0" fontId="1" fillId="2" borderId="1" xfId="0" applyFont="1" applyFill="1" applyBorder="1" applyAlignment="1">
      <alignment vertical="center"/>
    </xf>
    <xf numFmtId="0" fontId="1" fillId="2" borderId="1" xfId="0" applyFont="1" applyFill="1" applyBorder="1" applyAlignment="1">
      <alignment horizontal="right" vertical="center"/>
    </xf>
    <xf numFmtId="0" fontId="2" fillId="2" borderId="1" xfId="0" applyFont="1" applyFill="1" applyBorder="1" applyAlignment="1">
      <alignment vertical="center"/>
    </xf>
    <xf numFmtId="0" fontId="2" fillId="2" borderId="1" xfId="0" applyFont="1" applyFill="1" applyBorder="1" applyAlignment="1">
      <alignment horizontal="right" vertical="center"/>
    </xf>
    <xf numFmtId="0" fontId="0" fillId="2" borderId="0" xfId="0" applyFill="1"/>
    <xf numFmtId="0" fontId="2" fillId="3" borderId="0" xfId="0" applyFont="1" applyFill="1" applyAlignment="1">
      <alignment vertical="center"/>
    </xf>
    <xf numFmtId="0" fontId="2" fillId="2" borderId="2" xfId="0" applyFont="1" applyFill="1" applyBorder="1" applyAlignment="1">
      <alignment vertical="center"/>
    </xf>
    <xf numFmtId="4" fontId="1" fillId="2" borderId="1" xfId="0" applyNumberFormat="1" applyFont="1" applyFill="1" applyBorder="1" applyAlignment="1">
      <alignment horizontal="right" vertical="center"/>
    </xf>
    <xf numFmtId="4" fontId="2" fillId="2" borderId="1" xfId="0" applyNumberFormat="1" applyFont="1" applyFill="1" applyBorder="1" applyAlignment="1">
      <alignment horizontal="right" vertical="center"/>
    </xf>
    <xf numFmtId="0" fontId="3" fillId="4" borderId="4" xfId="0" applyFont="1" applyFill="1" applyBorder="1" applyAlignment="1">
      <alignment horizontal="right" vertical="center"/>
    </xf>
    <xf numFmtId="0" fontId="4" fillId="5" borderId="3" xfId="0" applyFont="1" applyFill="1" applyBorder="1" applyAlignment="1">
      <alignment vertical="center"/>
    </xf>
    <xf numFmtId="0" fontId="5" fillId="2" borderId="9" xfId="0" applyFont="1" applyFill="1" applyBorder="1" applyAlignment="1">
      <alignment horizontal="right" vertical="center"/>
    </xf>
    <xf numFmtId="0" fontId="5" fillId="2" borderId="8" xfId="0" applyFont="1" applyFill="1" applyBorder="1" applyAlignment="1">
      <alignment horizontal="left" vertical="center"/>
    </xf>
    <xf numFmtId="4" fontId="5" fillId="2" borderId="9" xfId="0" applyNumberFormat="1" applyFont="1" applyFill="1" applyBorder="1" applyAlignment="1">
      <alignment horizontal="right" vertical="center"/>
    </xf>
    <xf numFmtId="4" fontId="5" fillId="2" borderId="10" xfId="0" applyNumberFormat="1" applyFont="1" applyFill="1" applyBorder="1" applyAlignment="1">
      <alignment horizontal="right" vertical="center"/>
    </xf>
    <xf numFmtId="0" fontId="5" fillId="6" borderId="9" xfId="0" applyFont="1" applyFill="1" applyBorder="1" applyAlignment="1">
      <alignment vertical="center"/>
    </xf>
    <xf numFmtId="0" fontId="5" fillId="6" borderId="10" xfId="0" applyFont="1" applyFill="1" applyBorder="1" applyAlignment="1">
      <alignment vertical="center"/>
    </xf>
    <xf numFmtId="0" fontId="8" fillId="7" borderId="8" xfId="0" applyFont="1" applyFill="1" applyBorder="1" applyAlignment="1">
      <alignment horizontal="left" vertical="center"/>
    </xf>
    <xf numFmtId="0" fontId="8" fillId="7" borderId="9" xfId="0" applyFont="1" applyFill="1" applyBorder="1" applyAlignment="1">
      <alignment horizontal="center" vertical="center"/>
    </xf>
    <xf numFmtId="0" fontId="8" fillId="7" borderId="10" xfId="0" applyFont="1" applyFill="1" applyBorder="1" applyAlignment="1">
      <alignment horizontal="center" vertical="center"/>
    </xf>
    <xf numFmtId="0" fontId="9" fillId="2" borderId="9" xfId="0" applyFont="1" applyFill="1" applyBorder="1" applyAlignment="1">
      <alignment vertical="center"/>
    </xf>
    <xf numFmtId="0" fontId="9" fillId="2" borderId="10" xfId="0" applyFont="1" applyFill="1" applyBorder="1" applyAlignment="1">
      <alignment vertical="center"/>
    </xf>
    <xf numFmtId="0" fontId="10" fillId="8" borderId="9" xfId="0" applyFont="1" applyFill="1" applyBorder="1" applyAlignment="1">
      <alignment horizontal="right" vertical="center"/>
    </xf>
    <xf numFmtId="0" fontId="10" fillId="8" borderId="10" xfId="0" applyFont="1" applyFill="1" applyBorder="1" applyAlignment="1">
      <alignment vertical="center"/>
    </xf>
    <xf numFmtId="0" fontId="5" fillId="9" borderId="8" xfId="0" applyFont="1" applyFill="1" applyBorder="1" applyAlignment="1">
      <alignment horizontal="left" vertical="center"/>
    </xf>
    <xf numFmtId="4" fontId="5" fillId="9" borderId="9" xfId="0" applyNumberFormat="1" applyFont="1" applyFill="1" applyBorder="1" applyAlignment="1">
      <alignment horizontal="right" vertical="center"/>
    </xf>
    <xf numFmtId="4" fontId="5" fillId="9" borderId="10" xfId="0" applyNumberFormat="1" applyFont="1" applyFill="1" applyBorder="1" applyAlignment="1">
      <alignment horizontal="right" vertical="center"/>
    </xf>
    <xf numFmtId="4" fontId="6" fillId="10" borderId="9" xfId="0" applyNumberFormat="1" applyFont="1" applyFill="1" applyBorder="1" applyAlignment="1">
      <alignment horizontal="right" vertical="center"/>
    </xf>
    <xf numFmtId="0" fontId="6" fillId="10" borderId="11" xfId="0" applyFont="1" applyFill="1" applyBorder="1" applyAlignment="1">
      <alignment horizontal="left" vertical="center"/>
    </xf>
    <xf numFmtId="4" fontId="6" fillId="10" borderId="12" xfId="0" applyNumberFormat="1" applyFont="1" applyFill="1" applyBorder="1" applyAlignment="1">
      <alignment horizontal="right" vertical="center"/>
    </xf>
    <xf numFmtId="4" fontId="6" fillId="10" borderId="13" xfId="0" applyNumberFormat="1" applyFont="1" applyFill="1" applyBorder="1" applyAlignment="1">
      <alignment horizontal="right" vertical="center"/>
    </xf>
    <xf numFmtId="0" fontId="10" fillId="8" borderId="8" xfId="0" applyFont="1" applyFill="1" applyBorder="1" applyAlignment="1">
      <alignment horizontal="left" vertical="center"/>
    </xf>
    <xf numFmtId="0" fontId="10" fillId="8" borderId="10" xfId="0" applyFont="1" applyFill="1" applyBorder="1" applyAlignment="1">
      <alignment horizontal="right" vertical="center"/>
    </xf>
    <xf numFmtId="0" fontId="11" fillId="2" borderId="8" xfId="0" applyFont="1" applyFill="1" applyBorder="1" applyAlignment="1">
      <alignment horizontal="left" vertical="center"/>
    </xf>
    <xf numFmtId="0" fontId="11" fillId="2" borderId="9" xfId="0" applyFont="1" applyFill="1" applyBorder="1" applyAlignment="1">
      <alignment horizontal="right" vertical="center"/>
    </xf>
    <xf numFmtId="0" fontId="11" fillId="2" borderId="10" xfId="0" applyFont="1" applyFill="1" applyBorder="1" applyAlignment="1">
      <alignment horizontal="right" vertical="center"/>
    </xf>
    <xf numFmtId="0" fontId="10" fillId="11" borderId="8" xfId="0" applyFont="1" applyFill="1" applyBorder="1" applyAlignment="1">
      <alignment horizontal="left" vertical="center"/>
    </xf>
    <xf numFmtId="4" fontId="10" fillId="11" borderId="9" xfId="0" applyNumberFormat="1" applyFont="1" applyFill="1" applyBorder="1" applyAlignment="1">
      <alignment horizontal="right" vertical="center"/>
    </xf>
    <xf numFmtId="4" fontId="10" fillId="11" borderId="10" xfId="0" applyNumberFormat="1" applyFont="1" applyFill="1" applyBorder="1" applyAlignment="1">
      <alignment horizontal="right" vertical="center"/>
    </xf>
    <xf numFmtId="0" fontId="5" fillId="2" borderId="14" xfId="0" applyFont="1" applyFill="1" applyBorder="1" applyAlignment="1">
      <alignment horizontal="left" vertical="center"/>
    </xf>
    <xf numFmtId="4" fontId="5" fillId="2" borderId="15" xfId="0" applyNumberFormat="1" applyFont="1" applyFill="1" applyBorder="1" applyAlignment="1">
      <alignment horizontal="right" vertical="center"/>
    </xf>
    <xf numFmtId="4" fontId="5" fillId="2" borderId="16" xfId="0" applyNumberFormat="1" applyFont="1" applyFill="1" applyBorder="1" applyAlignment="1">
      <alignment horizontal="right" vertical="center"/>
    </xf>
    <xf numFmtId="0" fontId="5" fillId="2" borderId="17" xfId="0" applyFont="1" applyFill="1" applyBorder="1" applyAlignment="1">
      <alignment horizontal="left" vertical="center"/>
    </xf>
    <xf numFmtId="4" fontId="5" fillId="2" borderId="18" xfId="0" applyNumberFormat="1" applyFont="1" applyFill="1" applyBorder="1" applyAlignment="1">
      <alignment horizontal="right" vertical="center"/>
    </xf>
    <xf numFmtId="4" fontId="5" fillId="2" borderId="19" xfId="0" applyNumberFormat="1" applyFont="1" applyFill="1" applyBorder="1" applyAlignment="1">
      <alignment horizontal="right" vertical="center"/>
    </xf>
    <xf numFmtId="0" fontId="6" fillId="12" borderId="20" xfId="0" applyFont="1" applyFill="1" applyBorder="1" applyAlignment="1">
      <alignment horizontal="left" vertical="center"/>
    </xf>
    <xf numFmtId="4" fontId="6" fillId="12" borderId="21" xfId="0" applyNumberFormat="1" applyFont="1" applyFill="1" applyBorder="1" applyAlignment="1">
      <alignment horizontal="right" vertical="center"/>
    </xf>
    <xf numFmtId="4" fontId="6" fillId="12" borderId="22" xfId="0" applyNumberFormat="1" applyFont="1" applyFill="1" applyBorder="1" applyAlignment="1">
      <alignment horizontal="right" vertical="center"/>
    </xf>
    <xf numFmtId="0" fontId="5" fillId="9" borderId="11" xfId="0" applyFont="1" applyFill="1" applyBorder="1" applyAlignment="1">
      <alignment horizontal="left" vertical="center"/>
    </xf>
    <xf numFmtId="4" fontId="5" fillId="9" borderId="12" xfId="0" applyNumberFormat="1" applyFont="1" applyFill="1" applyBorder="1" applyAlignment="1">
      <alignment horizontal="right" vertical="center"/>
    </xf>
    <xf numFmtId="4" fontId="5" fillId="9" borderId="13" xfId="0" applyNumberFormat="1" applyFont="1" applyFill="1" applyBorder="1" applyAlignment="1">
      <alignment horizontal="right" vertical="center"/>
    </xf>
    <xf numFmtId="0" fontId="5" fillId="6" borderId="8" xfId="0" applyFont="1" applyFill="1" applyBorder="1" applyAlignment="1">
      <alignment horizontal="left" vertical="center"/>
    </xf>
    <xf numFmtId="0" fontId="9" fillId="2" borderId="8" xfId="0" applyFont="1" applyFill="1" applyBorder="1" applyAlignment="1">
      <alignment horizontal="left" vertical="center"/>
    </xf>
    <xf numFmtId="4" fontId="5" fillId="2" borderId="24" xfId="0" applyNumberFormat="1" applyFont="1" applyFill="1" applyBorder="1" applyAlignment="1">
      <alignment horizontal="right" vertical="center"/>
    </xf>
    <xf numFmtId="0" fontId="5" fillId="6" borderId="24" xfId="0" applyFont="1" applyFill="1" applyBorder="1" applyAlignment="1">
      <alignment vertical="center"/>
    </xf>
    <xf numFmtId="0" fontId="8" fillId="7" borderId="8" xfId="0" applyFont="1" applyFill="1" applyBorder="1" applyAlignment="1">
      <alignment horizontal="left"/>
    </xf>
    <xf numFmtId="0" fontId="9" fillId="2" borderId="24" xfId="0" applyFont="1" applyFill="1" applyBorder="1" applyAlignment="1">
      <alignment vertical="center"/>
    </xf>
    <xf numFmtId="0" fontId="9" fillId="2" borderId="9" xfId="0" applyFont="1" applyFill="1" applyBorder="1" applyAlignment="1">
      <alignment horizontal="right" vertical="center"/>
    </xf>
    <xf numFmtId="0" fontId="9" fillId="2" borderId="24" xfId="0" applyFont="1" applyFill="1" applyBorder="1" applyAlignment="1">
      <alignment horizontal="right" vertical="center"/>
    </xf>
    <xf numFmtId="0" fontId="10" fillId="8" borderId="9" xfId="0" applyFont="1" applyFill="1" applyBorder="1" applyAlignment="1">
      <alignment vertical="center"/>
    </xf>
    <xf numFmtId="4" fontId="5" fillId="9" borderId="24" xfId="0" applyNumberFormat="1" applyFont="1" applyFill="1" applyBorder="1" applyAlignment="1">
      <alignment horizontal="right" vertical="center"/>
    </xf>
    <xf numFmtId="0" fontId="5" fillId="9" borderId="9" xfId="0" applyFont="1" applyFill="1" applyBorder="1" applyAlignment="1">
      <alignment horizontal="right" vertical="center"/>
    </xf>
    <xf numFmtId="0" fontId="10" fillId="8" borderId="24" xfId="0" applyFont="1" applyFill="1" applyBorder="1" applyAlignment="1">
      <alignment horizontal="right" vertical="center"/>
    </xf>
    <xf numFmtId="4" fontId="6" fillId="10" borderId="24" xfId="0" applyNumberFormat="1" applyFont="1" applyFill="1" applyBorder="1" applyAlignment="1">
      <alignment horizontal="right" vertical="center"/>
    </xf>
    <xf numFmtId="4" fontId="6" fillId="9" borderId="9" xfId="0" applyNumberFormat="1" applyFont="1" applyFill="1" applyBorder="1" applyAlignment="1">
      <alignment horizontal="right" vertical="center"/>
    </xf>
    <xf numFmtId="4" fontId="6" fillId="9" borderId="24" xfId="0" applyNumberFormat="1" applyFont="1" applyFill="1" applyBorder="1" applyAlignment="1">
      <alignment horizontal="right" vertical="center"/>
    </xf>
    <xf numFmtId="0" fontId="6" fillId="10" borderId="12" xfId="0" applyFont="1" applyFill="1" applyBorder="1" applyAlignment="1">
      <alignment horizontal="right" vertical="center"/>
    </xf>
    <xf numFmtId="4" fontId="6" fillId="10" borderId="25" xfId="0" applyNumberFormat="1" applyFont="1" applyFill="1" applyBorder="1" applyAlignment="1">
      <alignment horizontal="right" vertical="center"/>
    </xf>
    <xf numFmtId="4" fontId="6" fillId="12" borderId="28" xfId="0" applyNumberFormat="1" applyFont="1" applyFill="1" applyBorder="1" applyAlignment="1">
      <alignment horizontal="right" vertical="center"/>
    </xf>
    <xf numFmtId="0" fontId="10" fillId="8" borderId="18" xfId="0" applyFont="1" applyFill="1" applyBorder="1" applyAlignment="1">
      <alignment horizontal="right" vertical="center"/>
    </xf>
    <xf numFmtId="0" fontId="10" fillId="8" borderId="27" xfId="0" applyFont="1" applyFill="1" applyBorder="1" applyAlignment="1">
      <alignment horizontal="right" vertical="center"/>
    </xf>
    <xf numFmtId="0" fontId="6" fillId="12" borderId="21" xfId="0" applyFont="1" applyFill="1" applyBorder="1" applyAlignment="1">
      <alignment horizontal="right" vertical="center"/>
    </xf>
    <xf numFmtId="0" fontId="10" fillId="8" borderId="9" xfId="0" applyFont="1" applyFill="1" applyBorder="1" applyAlignment="1">
      <alignment horizontal="right"/>
    </xf>
    <xf numFmtId="0" fontId="10" fillId="8" borderId="24" xfId="0" applyFont="1" applyFill="1" applyBorder="1" applyAlignment="1">
      <alignment horizontal="right"/>
    </xf>
    <xf numFmtId="0" fontId="5" fillId="2" borderId="12" xfId="0" applyFont="1" applyFill="1" applyBorder="1" applyAlignment="1">
      <alignment horizontal="right"/>
    </xf>
    <xf numFmtId="0" fontId="5" fillId="2" borderId="25" xfId="0" applyFont="1" applyFill="1" applyBorder="1" applyAlignment="1">
      <alignment horizontal="right"/>
    </xf>
    <xf numFmtId="0" fontId="5" fillId="6" borderId="8" xfId="0" applyFont="1" applyFill="1" applyBorder="1" applyAlignment="1">
      <alignment horizontal="left"/>
    </xf>
    <xf numFmtId="0" fontId="9" fillId="2" borderId="8" xfId="0" applyFont="1" applyFill="1" applyBorder="1" applyAlignment="1">
      <alignment horizontal="left"/>
    </xf>
    <xf numFmtId="0" fontId="10" fillId="8" borderId="8" xfId="0" applyFont="1" applyFill="1" applyBorder="1" applyAlignment="1">
      <alignment horizontal="left"/>
    </xf>
    <xf numFmtId="0" fontId="5" fillId="2" borderId="8" xfId="0" applyFont="1" applyFill="1" applyBorder="1" applyAlignment="1">
      <alignment horizontal="left"/>
    </xf>
    <xf numFmtId="0" fontId="5" fillId="9" borderId="8" xfId="0" applyFont="1" applyFill="1" applyBorder="1" applyAlignment="1">
      <alignment horizontal="left"/>
    </xf>
    <xf numFmtId="0" fontId="6" fillId="10" borderId="11" xfId="0" applyFont="1" applyFill="1" applyBorder="1" applyAlignment="1">
      <alignment horizontal="left"/>
    </xf>
    <xf numFmtId="0" fontId="6" fillId="10" borderId="8" xfId="0" applyFont="1" applyFill="1" applyBorder="1" applyAlignment="1">
      <alignment horizontal="left"/>
    </xf>
    <xf numFmtId="0" fontId="6" fillId="9" borderId="8" xfId="0" applyFont="1" applyFill="1" applyBorder="1" applyAlignment="1">
      <alignment horizontal="left"/>
    </xf>
    <xf numFmtId="0" fontId="5" fillId="2" borderId="14" xfId="0" applyFont="1" applyFill="1" applyBorder="1" applyAlignment="1">
      <alignment horizontal="left"/>
    </xf>
    <xf numFmtId="0" fontId="6" fillId="12" borderId="20" xfId="0" applyFont="1" applyFill="1" applyBorder="1" applyAlignment="1">
      <alignment horizontal="left"/>
    </xf>
    <xf numFmtId="0" fontId="10" fillId="8" borderId="17" xfId="0" applyFont="1" applyFill="1" applyBorder="1" applyAlignment="1">
      <alignment horizontal="left"/>
    </xf>
    <xf numFmtId="0" fontId="5" fillId="2" borderId="11" xfId="0" applyFont="1" applyFill="1" applyBorder="1" applyAlignment="1">
      <alignment horizontal="left"/>
    </xf>
    <xf numFmtId="4" fontId="10" fillId="8" borderId="9" xfId="0" applyNumberFormat="1" applyFont="1" applyFill="1" applyBorder="1" applyAlignment="1">
      <alignment horizontal="right" vertical="center"/>
    </xf>
    <xf numFmtId="4" fontId="10" fillId="8" borderId="24" xfId="0" applyNumberFormat="1" applyFont="1" applyFill="1" applyBorder="1" applyAlignment="1">
      <alignment horizontal="right" vertical="center"/>
    </xf>
    <xf numFmtId="4" fontId="5" fillId="2" borderId="26" xfId="0" applyNumberFormat="1" applyFont="1" applyFill="1" applyBorder="1" applyAlignment="1">
      <alignment horizontal="right" vertical="center"/>
    </xf>
    <xf numFmtId="4" fontId="5" fillId="9" borderId="9" xfId="0" applyNumberFormat="1" applyFont="1" applyFill="1" applyBorder="1" applyAlignment="1">
      <alignment horizontal="right"/>
    </xf>
    <xf numFmtId="4" fontId="5" fillId="9" borderId="24" xfId="0" applyNumberFormat="1" applyFont="1" applyFill="1" applyBorder="1" applyAlignment="1">
      <alignment horizontal="right"/>
    </xf>
    <xf numFmtId="4" fontId="5" fillId="2" borderId="9" xfId="0" applyNumberFormat="1" applyFont="1" applyFill="1" applyBorder="1" applyAlignment="1">
      <alignment horizontal="right"/>
    </xf>
    <xf numFmtId="4" fontId="5" fillId="2" borderId="24" xfId="0" applyNumberFormat="1" applyFont="1" applyFill="1" applyBorder="1" applyAlignment="1">
      <alignment horizontal="right"/>
    </xf>
    <xf numFmtId="0" fontId="9" fillId="2" borderId="10" xfId="0" applyFont="1" applyFill="1" applyBorder="1" applyAlignment="1">
      <alignment horizontal="right" vertical="center"/>
    </xf>
    <xf numFmtId="4" fontId="6" fillId="10" borderId="15" xfId="0" applyNumberFormat="1" applyFont="1" applyFill="1" applyBorder="1" applyAlignment="1">
      <alignment horizontal="right" vertical="center"/>
    </xf>
    <xf numFmtId="4" fontId="6" fillId="10" borderId="16" xfId="0" applyNumberFormat="1" applyFont="1" applyFill="1" applyBorder="1" applyAlignment="1">
      <alignment horizontal="right" vertical="center"/>
    </xf>
    <xf numFmtId="4" fontId="10" fillId="8" borderId="18" xfId="0" applyNumberFormat="1" applyFont="1" applyFill="1" applyBorder="1" applyAlignment="1">
      <alignment horizontal="right" vertical="center"/>
    </xf>
    <xf numFmtId="4" fontId="10" fillId="8" borderId="19" xfId="0" applyNumberFormat="1" applyFont="1" applyFill="1" applyBorder="1" applyAlignment="1">
      <alignment horizontal="right" vertical="center"/>
    </xf>
    <xf numFmtId="0" fontId="6" fillId="10" borderId="15" xfId="0" applyFont="1" applyFill="1" applyBorder="1" applyAlignment="1">
      <alignment horizontal="right" vertical="center"/>
    </xf>
    <xf numFmtId="0" fontId="6" fillId="10" borderId="14" xfId="0" applyFont="1" applyFill="1" applyBorder="1" applyAlignment="1">
      <alignment horizontal="left" vertical="center"/>
    </xf>
    <xf numFmtId="0" fontId="10" fillId="8" borderId="17" xfId="0" applyFont="1" applyFill="1" applyBorder="1" applyAlignment="1">
      <alignment horizontal="left" vertical="center"/>
    </xf>
    <xf numFmtId="0" fontId="6" fillId="10" borderId="29" xfId="0" applyFont="1" applyFill="1" applyBorder="1" applyAlignment="1">
      <alignment horizontal="left" vertical="center"/>
    </xf>
    <xf numFmtId="0" fontId="5" fillId="9" borderId="14" xfId="0" applyFont="1" applyFill="1" applyBorder="1" applyAlignment="1">
      <alignment horizontal="left" vertical="center"/>
    </xf>
    <xf numFmtId="4" fontId="6" fillId="10" borderId="30" xfId="0" applyNumberFormat="1" applyFont="1" applyFill="1" applyBorder="1" applyAlignment="1">
      <alignment horizontal="right" vertical="center"/>
    </xf>
    <xf numFmtId="4" fontId="6" fillId="10" borderId="31" xfId="0" applyNumberFormat="1" applyFont="1" applyFill="1" applyBorder="1" applyAlignment="1">
      <alignment horizontal="right" vertical="center"/>
    </xf>
    <xf numFmtId="4" fontId="5" fillId="9" borderId="15" xfId="0" applyNumberFormat="1" applyFont="1" applyFill="1" applyBorder="1" applyAlignment="1">
      <alignment horizontal="right" vertical="center"/>
    </xf>
    <xf numFmtId="4" fontId="5" fillId="9" borderId="16" xfId="0" applyNumberFormat="1" applyFont="1" applyFill="1" applyBorder="1" applyAlignment="1">
      <alignment horizontal="right" vertical="center"/>
    </xf>
    <xf numFmtId="0" fontId="6" fillId="10" borderId="14" xfId="0" applyFont="1" applyFill="1" applyBorder="1" applyAlignment="1">
      <alignment horizontal="left"/>
    </xf>
    <xf numFmtId="4" fontId="5" fillId="2" borderId="12" xfId="0" applyNumberFormat="1" applyFont="1" applyFill="1" applyBorder="1" applyAlignment="1">
      <alignment horizontal="right"/>
    </xf>
    <xf numFmtId="4" fontId="5" fillId="2" borderId="25" xfId="0" applyNumberFormat="1" applyFont="1" applyFill="1" applyBorder="1" applyAlignment="1">
      <alignment horizontal="right"/>
    </xf>
    <xf numFmtId="0" fontId="5" fillId="2" borderId="9" xfId="0" applyFont="1" applyFill="1" applyBorder="1" applyAlignment="1">
      <alignment horizontal="left" vertical="center"/>
    </xf>
    <xf numFmtId="3" fontId="5" fillId="2" borderId="9" xfId="0" applyNumberFormat="1" applyFont="1" applyFill="1" applyBorder="1" applyAlignment="1">
      <alignment horizontal="right" vertical="center"/>
    </xf>
    <xf numFmtId="3" fontId="8" fillId="7" borderId="9" xfId="0" applyNumberFormat="1" applyFont="1" applyFill="1" applyBorder="1" applyAlignment="1">
      <alignment horizontal="center" vertical="center"/>
    </xf>
    <xf numFmtId="3" fontId="8" fillId="7" borderId="24" xfId="0" applyNumberFormat="1" applyFont="1" applyFill="1" applyBorder="1" applyAlignment="1">
      <alignment horizontal="center" vertical="center"/>
    </xf>
    <xf numFmtId="0" fontId="5" fillId="9" borderId="9" xfId="0" applyFont="1" applyFill="1" applyBorder="1" applyAlignment="1">
      <alignment horizontal="left" vertical="center"/>
    </xf>
    <xf numFmtId="3" fontId="5" fillId="9" borderId="9" xfId="0" applyNumberFormat="1" applyFont="1" applyFill="1" applyBorder="1" applyAlignment="1">
      <alignment horizontal="right" vertical="center"/>
    </xf>
    <xf numFmtId="0" fontId="10" fillId="8" borderId="9" xfId="0" applyFont="1" applyFill="1" applyBorder="1" applyAlignment="1">
      <alignment horizontal="left" vertical="center"/>
    </xf>
    <xf numFmtId="0" fontId="6" fillId="12" borderId="33" xfId="0" applyFont="1" applyFill="1" applyBorder="1" applyAlignment="1">
      <alignment horizontal="left"/>
    </xf>
    <xf numFmtId="4" fontId="6" fillId="12" borderId="32" xfId="0" applyNumberFormat="1" applyFont="1" applyFill="1" applyBorder="1" applyAlignment="1">
      <alignment horizontal="right" vertical="center"/>
    </xf>
    <xf numFmtId="4" fontId="6" fillId="12" borderId="35" xfId="0" applyNumberFormat="1" applyFont="1" applyFill="1" applyBorder="1" applyAlignment="1">
      <alignment horizontal="right" vertical="center"/>
    </xf>
    <xf numFmtId="0" fontId="5" fillId="2" borderId="37" xfId="0" applyFont="1" applyFill="1" applyBorder="1" applyAlignment="1">
      <alignment horizontal="right" vertical="center"/>
    </xf>
    <xf numFmtId="0" fontId="5" fillId="9" borderId="37" xfId="0" applyFont="1" applyFill="1" applyBorder="1" applyAlignment="1">
      <alignment horizontal="right" vertical="center"/>
    </xf>
    <xf numFmtId="0" fontId="10" fillId="8" borderId="37" xfId="0" applyFont="1" applyFill="1" applyBorder="1" applyAlignment="1">
      <alignment horizontal="right" vertical="center"/>
    </xf>
    <xf numFmtId="0" fontId="6" fillId="10" borderId="12" xfId="0" applyFont="1" applyFill="1" applyBorder="1" applyAlignment="1">
      <alignment horizontal="left" vertical="center"/>
    </xf>
    <xf numFmtId="0" fontId="6" fillId="10" borderId="38" xfId="0" applyFont="1" applyFill="1" applyBorder="1" applyAlignment="1">
      <alignment horizontal="right" vertical="center"/>
    </xf>
    <xf numFmtId="0" fontId="6" fillId="12" borderId="39" xfId="0" applyFont="1" applyFill="1" applyBorder="1" applyAlignment="1">
      <alignment horizontal="left" vertical="center"/>
    </xf>
    <xf numFmtId="0" fontId="6" fillId="12" borderId="39" xfId="0" applyFont="1" applyFill="1" applyBorder="1" applyAlignment="1">
      <alignment horizontal="right" vertical="center"/>
    </xf>
    <xf numFmtId="0" fontId="6" fillId="12" borderId="40" xfId="0" applyFont="1" applyFill="1" applyBorder="1" applyAlignment="1">
      <alignment horizontal="right" vertical="center"/>
    </xf>
    <xf numFmtId="0" fontId="6" fillId="10" borderId="15" xfId="0" applyFont="1" applyFill="1" applyBorder="1" applyAlignment="1">
      <alignment horizontal="left" vertical="center"/>
    </xf>
    <xf numFmtId="0" fontId="6" fillId="10" borderId="41" xfId="0" applyFont="1" applyFill="1" applyBorder="1" applyAlignment="1">
      <alignment horizontal="right" vertical="center"/>
    </xf>
    <xf numFmtId="10" fontId="10" fillId="8" borderId="9" xfId="0" applyNumberFormat="1" applyFont="1" applyFill="1" applyBorder="1" applyAlignment="1">
      <alignment horizontal="right" vertical="center"/>
    </xf>
    <xf numFmtId="10" fontId="5" fillId="9" borderId="9" xfId="0" applyNumberFormat="1" applyFont="1" applyFill="1" applyBorder="1" applyAlignment="1">
      <alignment horizontal="right" vertical="center"/>
    </xf>
    <xf numFmtId="10" fontId="5" fillId="2" borderId="9" xfId="0" applyNumberFormat="1" applyFont="1" applyFill="1" applyBorder="1" applyAlignment="1">
      <alignment horizontal="right" vertical="center"/>
    </xf>
    <xf numFmtId="10" fontId="6" fillId="10" borderId="12" xfId="0" applyNumberFormat="1" applyFont="1" applyFill="1" applyBorder="1" applyAlignment="1">
      <alignment horizontal="right" vertical="center"/>
    </xf>
    <xf numFmtId="10" fontId="6" fillId="10" borderId="15" xfId="0" applyNumberFormat="1" applyFont="1" applyFill="1" applyBorder="1" applyAlignment="1">
      <alignment horizontal="right" vertical="center"/>
    </xf>
    <xf numFmtId="10" fontId="6" fillId="12" borderId="39" xfId="0" applyNumberFormat="1" applyFont="1" applyFill="1" applyBorder="1" applyAlignment="1">
      <alignment horizontal="right" vertical="center"/>
    </xf>
    <xf numFmtId="0" fontId="10" fillId="10" borderId="12" xfId="0" applyFont="1" applyFill="1" applyBorder="1" applyAlignment="1">
      <alignment horizontal="left" vertical="center"/>
    </xf>
    <xf numFmtId="0" fontId="10" fillId="10" borderId="12" xfId="0" applyFont="1" applyFill="1" applyBorder="1" applyAlignment="1">
      <alignment horizontal="right" vertical="center"/>
    </xf>
    <xf numFmtId="0" fontId="6" fillId="10" borderId="21" xfId="0" applyFont="1" applyFill="1" applyBorder="1" applyAlignment="1">
      <alignment horizontal="left" vertical="center"/>
    </xf>
    <xf numFmtId="0" fontId="6" fillId="10" borderId="21" xfId="0" applyFont="1" applyFill="1" applyBorder="1" applyAlignment="1">
      <alignment horizontal="right" vertical="center"/>
    </xf>
    <xf numFmtId="0" fontId="6" fillId="12" borderId="21" xfId="0" applyFont="1" applyFill="1" applyBorder="1" applyAlignment="1">
      <alignment horizontal="left" vertical="center"/>
    </xf>
    <xf numFmtId="0" fontId="10" fillId="10" borderId="11" xfId="0" applyFont="1" applyFill="1" applyBorder="1" applyAlignment="1">
      <alignment horizontal="left"/>
    </xf>
    <xf numFmtId="0" fontId="6" fillId="10" borderId="20" xfId="0" applyFont="1" applyFill="1" applyBorder="1" applyAlignment="1">
      <alignment horizontal="left"/>
    </xf>
    <xf numFmtId="0" fontId="0" fillId="0" borderId="0" xfId="0" applyAlignment="1">
      <alignment horizontal="left"/>
    </xf>
    <xf numFmtId="10" fontId="10" fillId="8" borderId="10" xfId="0" applyNumberFormat="1" applyFont="1" applyFill="1" applyBorder="1" applyAlignment="1">
      <alignment horizontal="right" vertical="center"/>
    </xf>
    <xf numFmtId="0" fontId="12" fillId="8" borderId="42" xfId="0" applyFont="1" applyFill="1" applyBorder="1" applyAlignment="1">
      <alignment horizontal="left"/>
    </xf>
    <xf numFmtId="0" fontId="0" fillId="0" borderId="42" xfId="0" applyBorder="1"/>
    <xf numFmtId="0" fontId="10" fillId="8" borderId="42" xfId="0" applyFont="1" applyFill="1" applyBorder="1" applyAlignment="1">
      <alignment horizontal="left"/>
    </xf>
    <xf numFmtId="0" fontId="10" fillId="8" borderId="42" xfId="0" applyFont="1" applyFill="1" applyBorder="1" applyAlignment="1">
      <alignment horizontal="right"/>
    </xf>
    <xf numFmtId="0" fontId="6" fillId="9" borderId="42" xfId="0" applyFont="1" applyFill="1" applyBorder="1" applyAlignment="1">
      <alignment horizontal="left"/>
    </xf>
    <xf numFmtId="3" fontId="5" fillId="9" borderId="42" xfId="0" applyNumberFormat="1" applyFont="1" applyFill="1" applyBorder="1"/>
    <xf numFmtId="2" fontId="5" fillId="9" borderId="42" xfId="0" applyNumberFormat="1" applyFont="1" applyFill="1" applyBorder="1"/>
    <xf numFmtId="0" fontId="6" fillId="2" borderId="42" xfId="0" applyFont="1" applyFill="1" applyBorder="1" applyAlignment="1">
      <alignment horizontal="left"/>
    </xf>
    <xf numFmtId="3" fontId="5" fillId="2" borderId="42" xfId="0" applyNumberFormat="1" applyFont="1" applyFill="1" applyBorder="1"/>
    <xf numFmtId="2" fontId="5" fillId="2" borderId="42" xfId="0" applyNumberFormat="1" applyFont="1" applyFill="1" applyBorder="1"/>
    <xf numFmtId="0" fontId="12" fillId="6" borderId="42" xfId="0" applyFont="1" applyFill="1" applyBorder="1" applyAlignment="1">
      <alignment horizontal="left"/>
    </xf>
    <xf numFmtId="0" fontId="0" fillId="6" borderId="42" xfId="0" applyFill="1" applyBorder="1"/>
    <xf numFmtId="0" fontId="5" fillId="9" borderId="42" xfId="0" applyFont="1" applyFill="1" applyBorder="1"/>
    <xf numFmtId="1" fontId="5" fillId="9" borderId="42" xfId="0" applyNumberFormat="1" applyFont="1" applyFill="1" applyBorder="1" applyAlignment="1">
      <alignment horizontal="right"/>
    </xf>
    <xf numFmtId="0" fontId="5" fillId="2" borderId="42" xfId="0" applyFont="1" applyFill="1" applyBorder="1"/>
    <xf numFmtId="1" fontId="5" fillId="2" borderId="42" xfId="0" applyNumberFormat="1" applyFont="1" applyFill="1" applyBorder="1" applyAlignment="1">
      <alignment horizontal="right"/>
    </xf>
    <xf numFmtId="164" fontId="5" fillId="2" borderId="42" xfId="0" applyNumberFormat="1" applyFont="1" applyFill="1" applyBorder="1" applyAlignment="1">
      <alignment horizontal="right"/>
    </xf>
    <xf numFmtId="164" fontId="5" fillId="9" borderId="42" xfId="0" applyNumberFormat="1" applyFont="1" applyFill="1" applyBorder="1" applyAlignment="1">
      <alignment horizontal="right"/>
    </xf>
    <xf numFmtId="165" fontId="5" fillId="2" borderId="42" xfId="0" applyNumberFormat="1" applyFont="1" applyFill="1" applyBorder="1" applyAlignment="1">
      <alignment horizontal="right"/>
    </xf>
    <xf numFmtId="0" fontId="12" fillId="8" borderId="43" xfId="0" applyFont="1" applyFill="1" applyBorder="1" applyAlignment="1">
      <alignment horizontal="left"/>
    </xf>
    <xf numFmtId="0" fontId="0" fillId="0" borderId="44" xfId="0" applyBorder="1"/>
    <xf numFmtId="0" fontId="7" fillId="6" borderId="18" xfId="0" applyFont="1" applyFill="1" applyBorder="1" applyAlignment="1">
      <alignment horizontal="left"/>
    </xf>
    <xf numFmtId="0" fontId="0" fillId="6" borderId="18" xfId="0" applyFill="1" applyBorder="1"/>
    <xf numFmtId="0" fontId="0" fillId="6" borderId="27" xfId="0" applyFill="1" applyBorder="1"/>
    <xf numFmtId="0" fontId="0" fillId="0" borderId="30" xfId="0" applyBorder="1"/>
    <xf numFmtId="166" fontId="10" fillId="8" borderId="42" xfId="0" applyNumberFormat="1" applyFont="1" applyFill="1" applyBorder="1" applyAlignment="1">
      <alignment horizontal="right"/>
    </xf>
    <xf numFmtId="0" fontId="16" fillId="13" borderId="0" xfId="0" applyFont="1" applyFill="1" applyAlignment="1">
      <alignment horizontal="left"/>
    </xf>
    <xf numFmtId="0" fontId="16" fillId="13" borderId="0" xfId="0" applyFont="1" applyFill="1" applyAlignment="1">
      <alignment horizontal="right"/>
    </xf>
    <xf numFmtId="0" fontId="17" fillId="2" borderId="0" xfId="0" applyFont="1" applyFill="1"/>
    <xf numFmtId="0" fontId="17" fillId="2" borderId="0" xfId="0" applyFont="1" applyFill="1" applyAlignment="1">
      <alignment horizontal="right"/>
    </xf>
    <xf numFmtId="167" fontId="17" fillId="2" borderId="0" xfId="0" applyNumberFormat="1" applyFont="1" applyFill="1" applyAlignment="1">
      <alignment horizontal="right"/>
    </xf>
    <xf numFmtId="168" fontId="17" fillId="2" borderId="0" xfId="0" applyNumberFormat="1" applyFont="1" applyFill="1" applyAlignment="1">
      <alignment horizontal="right"/>
    </xf>
    <xf numFmtId="169" fontId="17" fillId="2" borderId="0" xfId="0" applyNumberFormat="1" applyFont="1" applyFill="1" applyAlignment="1">
      <alignment horizontal="right"/>
    </xf>
    <xf numFmtId="10" fontId="17" fillId="2" borderId="0" xfId="0" applyNumberFormat="1" applyFont="1" applyFill="1" applyAlignment="1">
      <alignment horizontal="right"/>
    </xf>
    <xf numFmtId="165" fontId="17" fillId="2" borderId="0" xfId="0" applyNumberFormat="1" applyFont="1" applyFill="1" applyAlignment="1">
      <alignment horizontal="right"/>
    </xf>
    <xf numFmtId="170" fontId="17" fillId="2" borderId="0" xfId="0" applyNumberFormat="1" applyFont="1" applyFill="1" applyAlignment="1">
      <alignment horizontal="right"/>
    </xf>
    <xf numFmtId="3" fontId="17" fillId="2" borderId="0" xfId="0" applyNumberFormat="1" applyFont="1" applyFill="1" applyAlignment="1">
      <alignment horizontal="right"/>
    </xf>
    <xf numFmtId="17" fontId="17" fillId="2" borderId="0" xfId="0" applyNumberFormat="1" applyFont="1" applyFill="1"/>
    <xf numFmtId="14" fontId="0" fillId="0" borderId="0" xfId="0" applyNumberFormat="1"/>
    <xf numFmtId="2" fontId="0" fillId="0" borderId="0" xfId="0" applyNumberFormat="1"/>
    <xf numFmtId="4" fontId="17" fillId="0" borderId="46" xfId="0" applyNumberFormat="1" applyFont="1" applyBorder="1" applyAlignment="1">
      <alignment horizontal="right" vertical="center"/>
    </xf>
    <xf numFmtId="4" fontId="17" fillId="15" borderId="45" xfId="0" applyNumberFormat="1" applyFont="1" applyFill="1" applyBorder="1" applyAlignment="1">
      <alignment horizontal="right" vertical="center"/>
    </xf>
    <xf numFmtId="4" fontId="17" fillId="0" borderId="45" xfId="0" applyNumberFormat="1" applyFont="1" applyBorder="1" applyAlignment="1">
      <alignment horizontal="right" vertical="center"/>
    </xf>
    <xf numFmtId="4" fontId="17" fillId="0" borderId="0" xfId="0" applyNumberFormat="1" applyFont="1" applyAlignment="1">
      <alignment horizontal="right" vertical="center"/>
    </xf>
    <xf numFmtId="4" fontId="17" fillId="15" borderId="0" xfId="0" applyNumberFormat="1" applyFont="1" applyFill="1" applyAlignment="1">
      <alignment horizontal="right" vertical="center"/>
    </xf>
    <xf numFmtId="4" fontId="17" fillId="0" borderId="18" xfId="0" applyNumberFormat="1" applyFont="1" applyBorder="1" applyAlignment="1">
      <alignment horizontal="right" vertical="center"/>
    </xf>
    <xf numFmtId="171" fontId="17" fillId="0" borderId="48" xfId="0" applyNumberFormat="1" applyFont="1" applyBorder="1" applyAlignment="1">
      <alignment horizontal="center" vertical="center"/>
    </xf>
    <xf numFmtId="171" fontId="17" fillId="15" borderId="49" xfId="0" applyNumberFormat="1" applyFont="1" applyFill="1" applyBorder="1" applyAlignment="1">
      <alignment horizontal="center" vertical="center"/>
    </xf>
    <xf numFmtId="171" fontId="17" fillId="0" borderId="49" xfId="0" applyNumberFormat="1" applyFont="1" applyBorder="1" applyAlignment="1">
      <alignment horizontal="center" vertical="center"/>
    </xf>
    <xf numFmtId="171" fontId="22" fillId="0" borderId="49" xfId="0" applyNumberFormat="1" applyFont="1" applyBorder="1" applyAlignment="1">
      <alignment horizontal="center" vertical="center"/>
    </xf>
    <xf numFmtId="171" fontId="22" fillId="0" borderId="50" xfId="0" applyNumberFormat="1" applyFont="1" applyBorder="1" applyAlignment="1">
      <alignment horizontal="center" vertical="center"/>
    </xf>
    <xf numFmtId="10" fontId="17" fillId="0" borderId="51" xfId="0" applyNumberFormat="1" applyFont="1" applyBorder="1" applyAlignment="1">
      <alignment horizontal="right" vertical="center"/>
    </xf>
    <xf numFmtId="10" fontId="17" fillId="15" borderId="51" xfId="0" applyNumberFormat="1" applyFont="1" applyFill="1" applyBorder="1" applyAlignment="1">
      <alignment horizontal="right" vertical="center"/>
    </xf>
    <xf numFmtId="10" fontId="17" fillId="15" borderId="52" xfId="0" applyNumberFormat="1" applyFont="1" applyFill="1" applyBorder="1" applyAlignment="1">
      <alignment horizontal="right" vertical="center"/>
    </xf>
    <xf numFmtId="4" fontId="17" fillId="15" borderId="47" xfId="0" applyNumberFormat="1" applyFont="1" applyFill="1" applyBorder="1" applyAlignment="1">
      <alignment horizontal="right" vertical="center"/>
    </xf>
    <xf numFmtId="171" fontId="17" fillId="15" borderId="50" xfId="0" applyNumberFormat="1" applyFont="1" applyFill="1" applyBorder="1" applyAlignment="1">
      <alignment horizontal="center" vertical="center"/>
    </xf>
    <xf numFmtId="0" fontId="16" fillId="8" borderId="53" xfId="0" applyFont="1" applyFill="1" applyBorder="1" applyAlignment="1">
      <alignment horizontal="center" vertical="center"/>
    </xf>
    <xf numFmtId="2" fontId="16" fillId="8" borderId="54" xfId="0" applyNumberFormat="1" applyFont="1" applyFill="1" applyBorder="1" applyAlignment="1">
      <alignment horizontal="center" vertical="center"/>
    </xf>
    <xf numFmtId="2" fontId="16" fillId="8" borderId="55" xfId="0" applyNumberFormat="1" applyFont="1" applyFill="1" applyBorder="1" applyAlignment="1">
      <alignment horizontal="center" vertical="center"/>
    </xf>
    <xf numFmtId="168" fontId="16" fillId="8" borderId="56" xfId="0" applyNumberFormat="1" applyFont="1" applyFill="1" applyBorder="1" applyAlignment="1">
      <alignment horizontal="center" vertical="center"/>
    </xf>
    <xf numFmtId="0" fontId="16" fillId="8" borderId="55" xfId="0" applyFont="1" applyFill="1" applyBorder="1" applyAlignment="1">
      <alignment horizontal="center" vertical="center"/>
    </xf>
    <xf numFmtId="0" fontId="0" fillId="0" borderId="57" xfId="0" applyBorder="1"/>
    <xf numFmtId="0" fontId="23" fillId="0" borderId="58" xfId="0" applyFont="1" applyBorder="1" applyAlignment="1">
      <alignment horizontal="center"/>
    </xf>
    <xf numFmtId="0" fontId="23" fillId="0" borderId="58" xfId="0" applyFont="1" applyBorder="1" applyAlignment="1">
      <alignment horizontal="centerContinuous"/>
    </xf>
    <xf numFmtId="17" fontId="24" fillId="7" borderId="9" xfId="0" applyNumberFormat="1" applyFont="1" applyFill="1" applyBorder="1" applyAlignment="1">
      <alignment horizontal="center" vertical="center"/>
    </xf>
    <xf numFmtId="17" fontId="25" fillId="13" borderId="0" xfId="0" applyNumberFormat="1" applyFont="1" applyFill="1" applyAlignment="1">
      <alignment horizontal="center"/>
    </xf>
    <xf numFmtId="4" fontId="10" fillId="8" borderId="9" xfId="0" applyNumberFormat="1" applyFont="1" applyFill="1" applyBorder="1" applyAlignment="1">
      <alignment vertical="center"/>
    </xf>
    <xf numFmtId="4" fontId="10" fillId="8" borderId="24" xfId="0" applyNumberFormat="1" applyFont="1" applyFill="1" applyBorder="1" applyAlignment="1">
      <alignment vertical="center"/>
    </xf>
    <xf numFmtId="0" fontId="5" fillId="2" borderId="10" xfId="0" applyFont="1" applyFill="1" applyBorder="1" applyAlignment="1">
      <alignment horizontal="right" vertical="center"/>
    </xf>
    <xf numFmtId="0" fontId="5" fillId="9" borderId="10" xfId="0" applyFont="1" applyFill="1" applyBorder="1" applyAlignment="1">
      <alignment horizontal="right" vertical="center"/>
    </xf>
    <xf numFmtId="0" fontId="10" fillId="10" borderId="13" xfId="0" applyFont="1" applyFill="1" applyBorder="1" applyAlignment="1">
      <alignment horizontal="right" vertical="center"/>
    </xf>
    <xf numFmtId="0" fontId="6" fillId="10" borderId="13" xfId="0" applyFont="1" applyFill="1" applyBorder="1" applyAlignment="1">
      <alignment horizontal="right" vertical="center"/>
    </xf>
    <xf numFmtId="0" fontId="6" fillId="10" borderId="22" xfId="0" applyFont="1" applyFill="1" applyBorder="1" applyAlignment="1">
      <alignment horizontal="right" vertical="center"/>
    </xf>
    <xf numFmtId="0" fontId="6" fillId="10" borderId="16" xfId="0" applyFont="1" applyFill="1" applyBorder="1" applyAlignment="1">
      <alignment horizontal="right" vertical="center"/>
    </xf>
    <xf numFmtId="0" fontId="6" fillId="12" borderId="22" xfId="0" applyFont="1" applyFill="1" applyBorder="1" applyAlignment="1">
      <alignment horizontal="right" vertical="center"/>
    </xf>
    <xf numFmtId="0" fontId="1" fillId="2" borderId="60" xfId="0" applyFont="1" applyFill="1" applyBorder="1" applyAlignment="1">
      <alignment vertical="center" wrapText="1"/>
    </xf>
    <xf numFmtId="0" fontId="2" fillId="3" borderId="0" xfId="0" applyFont="1" applyFill="1" applyAlignment="1">
      <alignment vertical="center" wrapText="1"/>
    </xf>
    <xf numFmtId="0" fontId="29" fillId="2" borderId="0" xfId="0" applyFont="1" applyFill="1"/>
    <xf numFmtId="0" fontId="5" fillId="2" borderId="17" xfId="0" applyFont="1" applyFill="1" applyBorder="1" applyAlignment="1">
      <alignment horizontal="left"/>
    </xf>
    <xf numFmtId="0" fontId="29" fillId="2" borderId="0" xfId="0" applyFont="1" applyFill="1" applyAlignment="1">
      <alignment vertical="center"/>
    </xf>
    <xf numFmtId="0" fontId="29" fillId="2" borderId="0" xfId="0" applyFont="1" applyFill="1" applyAlignment="1">
      <alignment horizontal="left"/>
    </xf>
    <xf numFmtId="0" fontId="28" fillId="6" borderId="5" xfId="0" applyFont="1" applyFill="1" applyBorder="1" applyAlignment="1">
      <alignment horizontal="left" vertical="center" wrapText="1"/>
    </xf>
    <xf numFmtId="0" fontId="33" fillId="6" borderId="6" xfId="1" applyFont="1" applyFill="1" applyBorder="1" applyAlignment="1">
      <alignment horizontal="left" vertical="center" wrapText="1"/>
    </xf>
    <xf numFmtId="0" fontId="28" fillId="6" borderId="6" xfId="0" applyFont="1" applyFill="1" applyBorder="1" applyAlignment="1">
      <alignment horizontal="left"/>
    </xf>
    <xf numFmtId="0" fontId="28" fillId="6" borderId="23" xfId="0" applyFont="1" applyFill="1" applyBorder="1" applyAlignment="1">
      <alignment horizontal="left"/>
    </xf>
    <xf numFmtId="0" fontId="32" fillId="6" borderId="8" xfId="0" applyFont="1" applyFill="1" applyBorder="1" applyAlignment="1">
      <alignment horizontal="left" vertical="center" wrapText="1"/>
    </xf>
    <xf numFmtId="0" fontId="32" fillId="6" borderId="9" xfId="0" applyFont="1" applyFill="1" applyBorder="1" applyAlignment="1">
      <alignment horizontal="left" vertical="center" wrapText="1"/>
    </xf>
    <xf numFmtId="0" fontId="32" fillId="6" borderId="9" xfId="0" applyFont="1" applyFill="1" applyBorder="1" applyAlignment="1">
      <alignment horizontal="left"/>
    </xf>
    <xf numFmtId="0" fontId="32" fillId="6" borderId="24" xfId="0" applyFont="1" applyFill="1" applyBorder="1" applyAlignment="1">
      <alignment horizontal="left"/>
    </xf>
    <xf numFmtId="0" fontId="24" fillId="7" borderId="8" xfId="0" applyFont="1" applyFill="1" applyBorder="1" applyAlignment="1">
      <alignment horizontal="left" vertical="center" wrapText="1"/>
    </xf>
    <xf numFmtId="0" fontId="24" fillId="7" borderId="9" xfId="0" applyFont="1" applyFill="1" applyBorder="1" applyAlignment="1">
      <alignment horizontal="center" vertical="center" wrapText="1"/>
    </xf>
    <xf numFmtId="0" fontId="24" fillId="7" borderId="24" xfId="0" applyFont="1" applyFill="1" applyBorder="1" applyAlignment="1">
      <alignment horizontal="center" vertical="center" wrapText="1"/>
    </xf>
    <xf numFmtId="0" fontId="34" fillId="2" borderId="8" xfId="0" applyFont="1" applyFill="1" applyBorder="1" applyAlignment="1">
      <alignment vertical="center" wrapText="1"/>
    </xf>
    <xf numFmtId="0" fontId="34" fillId="2" borderId="9" xfId="0" applyFont="1" applyFill="1" applyBorder="1" applyAlignment="1">
      <alignment vertical="center" wrapText="1"/>
    </xf>
    <xf numFmtId="0" fontId="34" fillId="2" borderId="24" xfId="0" applyFont="1" applyFill="1" applyBorder="1" applyAlignment="1">
      <alignment vertical="center" wrapText="1"/>
    </xf>
    <xf numFmtId="0" fontId="30" fillId="8" borderId="8" xfId="0" applyFont="1" applyFill="1" applyBorder="1" applyAlignment="1">
      <alignment horizontal="left" vertical="center" wrapText="1"/>
    </xf>
    <xf numFmtId="0" fontId="30" fillId="8" borderId="9" xfId="0" applyFont="1" applyFill="1" applyBorder="1" applyAlignment="1">
      <alignment horizontal="right" vertical="center" wrapText="1"/>
    </xf>
    <xf numFmtId="0" fontId="30" fillId="8" borderId="24" xfId="0" applyFont="1" applyFill="1" applyBorder="1" applyAlignment="1">
      <alignment horizontal="right" vertical="center" wrapText="1"/>
    </xf>
    <xf numFmtId="49" fontId="29" fillId="2" borderId="8" xfId="0" applyNumberFormat="1" applyFont="1" applyFill="1" applyBorder="1" applyAlignment="1">
      <alignment horizontal="left" vertical="center" wrapText="1"/>
    </xf>
    <xf numFmtId="4" fontId="29" fillId="2" borderId="9" xfId="0" applyNumberFormat="1" applyFont="1" applyFill="1" applyBorder="1" applyAlignment="1">
      <alignment horizontal="right" vertical="center" wrapText="1"/>
    </xf>
    <xf numFmtId="4" fontId="29" fillId="2" borderId="24" xfId="0" applyNumberFormat="1" applyFont="1" applyFill="1" applyBorder="1" applyAlignment="1">
      <alignment horizontal="right" vertical="center" wrapText="1"/>
    </xf>
    <xf numFmtId="49" fontId="29" fillId="9" borderId="8" xfId="0" applyNumberFormat="1" applyFont="1" applyFill="1" applyBorder="1" applyAlignment="1">
      <alignment horizontal="left" vertical="center" wrapText="1"/>
    </xf>
    <xf numFmtId="4" fontId="29" fillId="9" borderId="9" xfId="0" applyNumberFormat="1" applyFont="1" applyFill="1" applyBorder="1" applyAlignment="1">
      <alignment horizontal="right" vertical="center" wrapText="1"/>
    </xf>
    <xf numFmtId="4" fontId="29" fillId="9" borderId="24" xfId="0" applyNumberFormat="1" applyFont="1" applyFill="1" applyBorder="1" applyAlignment="1">
      <alignment horizontal="right" vertical="center" wrapText="1"/>
    </xf>
    <xf numFmtId="49" fontId="31" fillId="10" borderId="8" xfId="0" applyNumberFormat="1" applyFont="1" applyFill="1" applyBorder="1" applyAlignment="1">
      <alignment horizontal="left" vertical="center" wrapText="1"/>
    </xf>
    <xf numFmtId="4" fontId="31" fillId="10" borderId="9" xfId="0" applyNumberFormat="1" applyFont="1" applyFill="1" applyBorder="1" applyAlignment="1">
      <alignment horizontal="right" vertical="center" wrapText="1"/>
    </xf>
    <xf numFmtId="4" fontId="31" fillId="10" borderId="24" xfId="0" applyNumberFormat="1" applyFont="1" applyFill="1" applyBorder="1" applyAlignment="1">
      <alignment horizontal="right" vertical="center" wrapText="1"/>
    </xf>
    <xf numFmtId="49" fontId="29" fillId="9" borderId="11" xfId="0" applyNumberFormat="1" applyFont="1" applyFill="1" applyBorder="1" applyAlignment="1">
      <alignment horizontal="left" vertical="center" wrapText="1"/>
    </xf>
    <xf numFmtId="4" fontId="29" fillId="9" borderId="12" xfId="0" applyNumberFormat="1" applyFont="1" applyFill="1" applyBorder="1" applyAlignment="1">
      <alignment horizontal="right" vertical="center" wrapText="1"/>
    </xf>
    <xf numFmtId="4" fontId="29" fillId="9" borderId="25" xfId="0" applyNumberFormat="1" applyFont="1" applyFill="1" applyBorder="1" applyAlignment="1">
      <alignment horizontal="right" vertical="center" wrapText="1"/>
    </xf>
    <xf numFmtId="49" fontId="29" fillId="9" borderId="14" xfId="0" applyNumberFormat="1" applyFont="1" applyFill="1" applyBorder="1" applyAlignment="1">
      <alignment horizontal="left" vertical="center" wrapText="1"/>
    </xf>
    <xf numFmtId="4" fontId="29" fillId="9" borderId="15" xfId="0" applyNumberFormat="1" applyFont="1" applyFill="1" applyBorder="1" applyAlignment="1">
      <alignment horizontal="right" vertical="center" wrapText="1"/>
    </xf>
    <xf numFmtId="4" fontId="29" fillId="9" borderId="26" xfId="0" applyNumberFormat="1" applyFont="1" applyFill="1" applyBorder="1" applyAlignment="1">
      <alignment horizontal="right" vertical="center" wrapText="1"/>
    </xf>
    <xf numFmtId="0" fontId="34" fillId="2" borderId="17" xfId="0" applyFont="1" applyFill="1" applyBorder="1" applyAlignment="1">
      <alignment vertical="center" wrapText="1"/>
    </xf>
    <xf numFmtId="0" fontId="34" fillId="2" borderId="18" xfId="0" applyFont="1" applyFill="1" applyBorder="1" applyAlignment="1">
      <alignment horizontal="right" vertical="center" wrapText="1"/>
    </xf>
    <xf numFmtId="0" fontId="34" fillId="2" borderId="27" xfId="0" applyFont="1" applyFill="1" applyBorder="1" applyAlignment="1">
      <alignment horizontal="right" vertical="center" wrapText="1"/>
    </xf>
    <xf numFmtId="49" fontId="31" fillId="12" borderId="20" xfId="0" applyNumberFormat="1" applyFont="1" applyFill="1" applyBorder="1" applyAlignment="1">
      <alignment horizontal="left" vertical="center" wrapText="1"/>
    </xf>
    <xf numFmtId="4" fontId="31" fillId="12" borderId="21" xfId="0" applyNumberFormat="1" applyFont="1" applyFill="1" applyBorder="1" applyAlignment="1">
      <alignment horizontal="right" vertical="center" wrapText="1"/>
    </xf>
    <xf numFmtId="4" fontId="31" fillId="12" borderId="28" xfId="0" applyNumberFormat="1" applyFont="1" applyFill="1" applyBorder="1" applyAlignment="1">
      <alignment horizontal="right" vertical="center" wrapText="1"/>
    </xf>
    <xf numFmtId="49" fontId="31" fillId="10" borderId="14" xfId="0" applyNumberFormat="1" applyFont="1" applyFill="1" applyBorder="1" applyAlignment="1">
      <alignment horizontal="left" vertical="center" wrapText="1"/>
    </xf>
    <xf numFmtId="4" fontId="31" fillId="10" borderId="15" xfId="0" applyNumberFormat="1" applyFont="1" applyFill="1" applyBorder="1" applyAlignment="1">
      <alignment horizontal="right" vertical="center" wrapText="1"/>
    </xf>
    <xf numFmtId="4" fontId="31" fillId="10" borderId="26" xfId="0" applyNumberFormat="1" applyFont="1" applyFill="1" applyBorder="1" applyAlignment="1">
      <alignment horizontal="right" vertical="center" wrapText="1"/>
    </xf>
    <xf numFmtId="0" fontId="34" fillId="2" borderId="18" xfId="0" applyFont="1" applyFill="1" applyBorder="1" applyAlignment="1">
      <alignment vertical="center" wrapText="1"/>
    </xf>
    <xf numFmtId="0" fontId="34" fillId="2" borderId="27" xfId="0" applyFont="1" applyFill="1" applyBorder="1" applyAlignment="1">
      <alignment vertical="center" wrapText="1"/>
    </xf>
    <xf numFmtId="0" fontId="29" fillId="2" borderId="30" xfId="0" applyFont="1" applyFill="1" applyBorder="1"/>
    <xf numFmtId="0" fontId="35" fillId="0" borderId="0" xfId="0" applyFont="1"/>
    <xf numFmtId="0" fontId="36" fillId="16" borderId="61" xfId="0" applyFont="1" applyFill="1" applyBorder="1" applyAlignment="1">
      <alignment horizontal="center"/>
    </xf>
    <xf numFmtId="0" fontId="36" fillId="16" borderId="62" xfId="0" applyFont="1" applyFill="1" applyBorder="1" applyAlignment="1">
      <alignment horizontal="left"/>
    </xf>
    <xf numFmtId="0" fontId="36" fillId="16" borderId="61" xfId="0" applyFont="1" applyFill="1" applyBorder="1" applyAlignment="1">
      <alignment vertical="center"/>
    </xf>
    <xf numFmtId="0" fontId="37" fillId="17" borderId="0" xfId="0" applyFont="1" applyFill="1" applyAlignment="1">
      <alignment horizontal="center"/>
    </xf>
    <xf numFmtId="0" fontId="37" fillId="17" borderId="63" xfId="0" applyFont="1" applyFill="1" applyBorder="1" applyAlignment="1">
      <alignment horizontal="left"/>
    </xf>
    <xf numFmtId="0" fontId="37" fillId="17" borderId="0" xfId="0" applyFont="1" applyFill="1" applyAlignment="1">
      <alignment vertical="center"/>
    </xf>
    <xf numFmtId="0" fontId="37" fillId="17" borderId="59" xfId="0" applyFont="1" applyFill="1" applyBorder="1" applyAlignment="1">
      <alignment vertical="center"/>
    </xf>
    <xf numFmtId="0" fontId="25" fillId="13" borderId="64" xfId="0" applyFont="1" applyFill="1" applyBorder="1" applyAlignment="1">
      <alignment horizontal="right"/>
    </xf>
    <xf numFmtId="0" fontId="25" fillId="13" borderId="65" xfId="0" applyFont="1" applyFill="1" applyBorder="1" applyAlignment="1">
      <alignment horizontal="left"/>
    </xf>
    <xf numFmtId="0" fontId="25" fillId="13" borderId="66" xfId="0" applyFont="1" applyFill="1" applyBorder="1" applyAlignment="1">
      <alignment horizontal="right" vertical="center"/>
    </xf>
    <xf numFmtId="17" fontId="25" fillId="13" borderId="67" xfId="0" applyNumberFormat="1" applyFont="1" applyFill="1" applyBorder="1" applyAlignment="1">
      <alignment horizontal="right" vertical="center"/>
    </xf>
    <xf numFmtId="0" fontId="25" fillId="13" borderId="67" xfId="0" applyFont="1" applyFill="1" applyBorder="1" applyAlignment="1">
      <alignment horizontal="right" vertical="center"/>
    </xf>
    <xf numFmtId="0" fontId="38" fillId="17" borderId="0" xfId="0" applyFont="1" applyFill="1"/>
    <xf numFmtId="0" fontId="38" fillId="17" borderId="63" xfId="0" applyFont="1" applyFill="1" applyBorder="1" applyAlignment="1">
      <alignment horizontal="left"/>
    </xf>
    <xf numFmtId="0" fontId="38" fillId="17" borderId="0" xfId="0" applyFont="1" applyFill="1" applyAlignment="1">
      <alignment horizontal="right"/>
    </xf>
    <xf numFmtId="0" fontId="25" fillId="18" borderId="68" xfId="0" applyFont="1" applyFill="1" applyBorder="1"/>
    <xf numFmtId="0" fontId="25" fillId="18" borderId="69" xfId="0" applyFont="1" applyFill="1" applyBorder="1" applyAlignment="1">
      <alignment horizontal="left"/>
    </xf>
    <xf numFmtId="172" fontId="25" fillId="18" borderId="68" xfId="0" applyNumberFormat="1" applyFont="1" applyFill="1" applyBorder="1" applyAlignment="1">
      <alignment horizontal="right"/>
    </xf>
    <xf numFmtId="0" fontId="26" fillId="0" borderId="0" xfId="0" applyFont="1"/>
    <xf numFmtId="0" fontId="39" fillId="14" borderId="0" xfId="0" applyFont="1" applyFill="1"/>
    <xf numFmtId="0" fontId="39" fillId="14" borderId="63" xfId="0" applyFont="1" applyFill="1" applyBorder="1" applyAlignment="1">
      <alignment horizontal="left"/>
    </xf>
    <xf numFmtId="165" fontId="39" fillId="14" borderId="0" xfId="0" applyNumberFormat="1" applyFont="1" applyFill="1" applyAlignment="1">
      <alignment horizontal="right"/>
    </xf>
    <xf numFmtId="0" fontId="35" fillId="2" borderId="0" xfId="0" applyFont="1" applyFill="1"/>
    <xf numFmtId="0" fontId="35" fillId="2" borderId="63" xfId="0" applyFont="1" applyFill="1" applyBorder="1" applyAlignment="1">
      <alignment horizontal="left"/>
    </xf>
    <xf numFmtId="0" fontId="35" fillId="2" borderId="0" xfId="0" applyFont="1" applyFill="1" applyAlignment="1">
      <alignment horizontal="right"/>
    </xf>
    <xf numFmtId="0" fontId="40" fillId="2" borderId="0" xfId="0" applyFont="1" applyFill="1"/>
    <xf numFmtId="0" fontId="40" fillId="2" borderId="63" xfId="0" applyFont="1" applyFill="1" applyBorder="1" applyAlignment="1">
      <alignment horizontal="left"/>
    </xf>
    <xf numFmtId="172" fontId="40" fillId="2" borderId="0" xfId="0" applyNumberFormat="1" applyFont="1" applyFill="1" applyAlignment="1">
      <alignment horizontal="right"/>
    </xf>
    <xf numFmtId="0" fontId="40" fillId="15" borderId="0" xfId="0" applyFont="1" applyFill="1"/>
    <xf numFmtId="0" fontId="40" fillId="15" borderId="63" xfId="0" applyFont="1" applyFill="1" applyBorder="1" applyAlignment="1">
      <alignment horizontal="left"/>
    </xf>
    <xf numFmtId="172" fontId="40" fillId="15" borderId="0" xfId="0" applyNumberFormat="1" applyFont="1" applyFill="1" applyAlignment="1">
      <alignment horizontal="right"/>
    </xf>
    <xf numFmtId="0" fontId="41" fillId="19" borderId="68" xfId="0" applyFont="1" applyFill="1" applyBorder="1"/>
    <xf numFmtId="0" fontId="41" fillId="19" borderId="69" xfId="0" applyFont="1" applyFill="1" applyBorder="1" applyAlignment="1">
      <alignment horizontal="left"/>
    </xf>
    <xf numFmtId="172" fontId="41" fillId="19" borderId="68" xfId="0" applyNumberFormat="1" applyFont="1" applyFill="1" applyBorder="1" applyAlignment="1">
      <alignment horizontal="right"/>
    </xf>
    <xf numFmtId="0" fontId="42" fillId="16" borderId="64" xfId="0" applyFont="1" applyFill="1" applyBorder="1"/>
    <xf numFmtId="0" fontId="42" fillId="16" borderId="65" xfId="0" applyFont="1" applyFill="1" applyBorder="1" applyAlignment="1">
      <alignment horizontal="left"/>
    </xf>
    <xf numFmtId="172" fontId="42" fillId="16" borderId="64" xfId="0" applyNumberFormat="1" applyFont="1" applyFill="1" applyBorder="1" applyAlignment="1">
      <alignment horizontal="right"/>
    </xf>
    <xf numFmtId="0" fontId="25" fillId="13" borderId="0" xfId="0" applyFont="1" applyFill="1"/>
    <xf numFmtId="0" fontId="25" fillId="13" borderId="70" xfId="0" applyFont="1" applyFill="1" applyBorder="1" applyAlignment="1">
      <alignment horizontal="left"/>
    </xf>
    <xf numFmtId="0" fontId="25" fillId="13" borderId="71" xfId="0" applyFont="1" applyFill="1" applyBorder="1"/>
    <xf numFmtId="0" fontId="25" fillId="13" borderId="71" xfId="0" applyFont="1" applyFill="1" applyBorder="1" applyAlignment="1">
      <alignment horizontal="right"/>
    </xf>
    <xf numFmtId="165" fontId="40" fillId="2" borderId="0" xfId="0" applyNumberFormat="1" applyFont="1" applyFill="1" applyAlignment="1">
      <alignment horizontal="right"/>
    </xf>
    <xf numFmtId="0" fontId="40" fillId="2" borderId="0" xfId="0" applyFont="1" applyFill="1" applyAlignment="1">
      <alignment horizontal="right"/>
    </xf>
    <xf numFmtId="0" fontId="40" fillId="15" borderId="72" xfId="0" applyFont="1" applyFill="1" applyBorder="1" applyAlignment="1">
      <alignment horizontal="left"/>
    </xf>
    <xf numFmtId="0" fontId="40" fillId="15" borderId="73" xfId="0" applyFont="1" applyFill="1" applyBorder="1"/>
    <xf numFmtId="165" fontId="40" fillId="15" borderId="73" xfId="0" applyNumberFormat="1" applyFont="1" applyFill="1" applyBorder="1" applyAlignment="1">
      <alignment horizontal="right"/>
    </xf>
    <xf numFmtId="0" fontId="40" fillId="15" borderId="73" xfId="0" applyFont="1" applyFill="1" applyBorder="1" applyAlignment="1">
      <alignment horizontal="right"/>
    </xf>
    <xf numFmtId="0" fontId="25" fillId="13" borderId="74" xfId="0" applyFont="1" applyFill="1" applyBorder="1" applyAlignment="1">
      <alignment horizontal="left"/>
    </xf>
    <xf numFmtId="0" fontId="25" fillId="13" borderId="75" xfId="0" applyFont="1" applyFill="1" applyBorder="1"/>
    <xf numFmtId="0" fontId="25" fillId="13" borderId="75" xfId="0" applyFont="1" applyFill="1" applyBorder="1" applyAlignment="1">
      <alignment horizontal="right"/>
    </xf>
    <xf numFmtId="0" fontId="40" fillId="15" borderId="76" xfId="0" applyFont="1" applyFill="1" applyBorder="1" applyAlignment="1">
      <alignment horizontal="left"/>
    </xf>
    <xf numFmtId="0" fontId="40" fillId="15" borderId="77" xfId="0" applyFont="1" applyFill="1" applyBorder="1"/>
    <xf numFmtId="165" fontId="40" fillId="15" borderId="77" xfId="0" applyNumberFormat="1" applyFont="1" applyFill="1" applyBorder="1" applyAlignment="1">
      <alignment horizontal="right"/>
    </xf>
    <xf numFmtId="0" fontId="40" fillId="2" borderId="76" xfId="0" applyFont="1" applyFill="1" applyBorder="1" applyAlignment="1">
      <alignment horizontal="left"/>
    </xf>
    <xf numFmtId="0" fontId="40" fillId="2" borderId="77" xfId="0" applyFont="1" applyFill="1" applyBorder="1"/>
    <xf numFmtId="165" fontId="40" fillId="2" borderId="77" xfId="0" applyNumberFormat="1" applyFont="1" applyFill="1" applyBorder="1" applyAlignment="1">
      <alignment horizontal="right"/>
    </xf>
    <xf numFmtId="0" fontId="42" fillId="16" borderId="0" xfId="0" applyFont="1" applyFill="1"/>
    <xf numFmtId="0" fontId="42" fillId="16" borderId="78" xfId="0" applyFont="1" applyFill="1" applyBorder="1" applyAlignment="1">
      <alignment horizontal="left"/>
    </xf>
    <xf numFmtId="0" fontId="42" fillId="16" borderId="79" xfId="0" applyFont="1" applyFill="1" applyBorder="1"/>
    <xf numFmtId="165" fontId="42" fillId="16" borderId="79" xfId="0" applyNumberFormat="1" applyFont="1" applyFill="1" applyBorder="1" applyAlignment="1">
      <alignment horizontal="right"/>
    </xf>
    <xf numFmtId="9" fontId="40" fillId="15" borderId="73" xfId="0" applyNumberFormat="1" applyFont="1" applyFill="1" applyBorder="1" applyAlignment="1">
      <alignment horizontal="right"/>
    </xf>
    <xf numFmtId="172" fontId="40" fillId="15" borderId="77" xfId="0" applyNumberFormat="1" applyFont="1" applyFill="1" applyBorder="1" applyAlignment="1">
      <alignment horizontal="right"/>
    </xf>
    <xf numFmtId="0" fontId="40" fillId="15" borderId="77" xfId="0" applyFont="1" applyFill="1" applyBorder="1" applyAlignment="1">
      <alignment horizontal="right"/>
    </xf>
    <xf numFmtId="172" fontId="40" fillId="2" borderId="77" xfId="0" applyNumberFormat="1" applyFont="1" applyFill="1" applyBorder="1" applyAlignment="1">
      <alignment horizontal="right"/>
    </xf>
    <xf numFmtId="0" fontId="40" fillId="2" borderId="77" xfId="0" applyFont="1" applyFill="1" applyBorder="1" applyAlignment="1">
      <alignment horizontal="right"/>
    </xf>
    <xf numFmtId="0" fontId="41" fillId="19" borderId="0" xfId="0" applyFont="1" applyFill="1"/>
    <xf numFmtId="0" fontId="41" fillId="19" borderId="72" xfId="0" applyFont="1" applyFill="1" applyBorder="1" applyAlignment="1">
      <alignment horizontal="left"/>
    </xf>
    <xf numFmtId="172" fontId="41" fillId="19" borderId="73" xfId="0" applyNumberFormat="1" applyFont="1" applyFill="1" applyBorder="1" applyAlignment="1">
      <alignment horizontal="right"/>
    </xf>
    <xf numFmtId="0" fontId="41" fillId="19" borderId="73" xfId="0" applyFont="1" applyFill="1" applyBorder="1" applyAlignment="1">
      <alignment horizontal="right"/>
    </xf>
    <xf numFmtId="0" fontId="25" fillId="18" borderId="0" xfId="0" applyFont="1" applyFill="1"/>
    <xf numFmtId="0" fontId="25" fillId="18" borderId="70" xfId="0" applyFont="1" applyFill="1" applyBorder="1" applyAlignment="1">
      <alignment horizontal="left"/>
    </xf>
    <xf numFmtId="165" fontId="25" fillId="18" borderId="71" xfId="0" applyNumberFormat="1" applyFont="1" applyFill="1" applyBorder="1" applyAlignment="1">
      <alignment horizontal="right"/>
    </xf>
    <xf numFmtId="0" fontId="25" fillId="18" borderId="71" xfId="0" applyFont="1" applyFill="1" applyBorder="1" applyAlignment="1">
      <alignment horizontal="right"/>
    </xf>
    <xf numFmtId="0" fontId="42" fillId="16" borderId="80" xfId="0" applyFont="1" applyFill="1" applyBorder="1" applyAlignment="1">
      <alignment horizontal="left"/>
    </xf>
    <xf numFmtId="165" fontId="42" fillId="16" borderId="81" xfId="0" applyNumberFormat="1" applyFont="1" applyFill="1" applyBorder="1" applyAlignment="1">
      <alignment horizontal="right"/>
    </xf>
    <xf numFmtId="0" fontId="42" fillId="16" borderId="81" xfId="0" applyFont="1" applyFill="1" applyBorder="1" applyAlignment="1">
      <alignment horizontal="right"/>
    </xf>
    <xf numFmtId="0" fontId="44" fillId="20" borderId="0" xfId="0" applyFont="1" applyFill="1" applyAlignment="1">
      <alignment horizontal="center"/>
    </xf>
    <xf numFmtId="16" fontId="44" fillId="20" borderId="0" xfId="0" applyNumberFormat="1" applyFont="1" applyFill="1" applyAlignment="1">
      <alignment horizontal="center"/>
    </xf>
    <xf numFmtId="10" fontId="0" fillId="0" borderId="0" xfId="0" applyNumberFormat="1"/>
    <xf numFmtId="10" fontId="0" fillId="0" borderId="45" xfId="0" applyNumberFormat="1" applyBorder="1"/>
    <xf numFmtId="0" fontId="0" fillId="0" borderId="45" xfId="0" applyBorder="1"/>
    <xf numFmtId="4" fontId="46" fillId="0" borderId="45" xfId="0" applyNumberFormat="1" applyFont="1" applyBorder="1"/>
    <xf numFmtId="0" fontId="46" fillId="0" borderId="45" xfId="0" applyFont="1" applyBorder="1"/>
    <xf numFmtId="4" fontId="0" fillId="0" borderId="45" xfId="0" applyNumberFormat="1" applyBorder="1"/>
    <xf numFmtId="17" fontId="46" fillId="21" borderId="45" xfId="0" applyNumberFormat="1" applyFont="1" applyFill="1" applyBorder="1"/>
    <xf numFmtId="0" fontId="46" fillId="21" borderId="45" xfId="0" applyFont="1" applyFill="1" applyBorder="1"/>
    <xf numFmtId="0" fontId="47" fillId="22" borderId="0" xfId="0" applyFont="1" applyFill="1" applyAlignment="1">
      <alignment vertical="center" wrapText="1"/>
    </xf>
    <xf numFmtId="10" fontId="0" fillId="0" borderId="45" xfId="2" applyNumberFormat="1" applyFont="1" applyBorder="1"/>
    <xf numFmtId="10" fontId="0" fillId="0" borderId="45" xfId="0" applyNumberFormat="1" applyBorder="1" applyAlignment="1">
      <alignment horizontal="right"/>
    </xf>
    <xf numFmtId="0" fontId="48" fillId="23" borderId="0" xfId="0" applyFont="1" applyFill="1" applyAlignment="1">
      <alignment horizontal="left" vertical="center" indent="1"/>
    </xf>
    <xf numFmtId="0" fontId="48" fillId="23" borderId="0" xfId="0" applyFont="1" applyFill="1"/>
    <xf numFmtId="0" fontId="30" fillId="24" borderId="0" xfId="0" applyFont="1" applyFill="1"/>
    <xf numFmtId="0" fontId="49" fillId="25" borderId="83" xfId="0" applyFont="1" applyFill="1" applyBorder="1" applyAlignment="1">
      <alignment horizontal="left" vertical="center" indent="1"/>
    </xf>
    <xf numFmtId="173" fontId="50" fillId="26" borderId="84" xfId="0" applyNumberFormat="1" applyFont="1" applyFill="1" applyBorder="1" applyAlignment="1">
      <alignment horizontal="right" vertical="center"/>
    </xf>
    <xf numFmtId="174" fontId="51" fillId="27" borderId="85" xfId="0" applyNumberFormat="1" applyFont="1" applyFill="1" applyBorder="1" applyAlignment="1">
      <alignment horizontal="left" vertical="center" indent="1"/>
    </xf>
    <xf numFmtId="173" fontId="51" fillId="27" borderId="84" xfId="0" applyNumberFormat="1" applyFont="1" applyFill="1" applyBorder="1" applyAlignment="1">
      <alignment horizontal="right" vertical="center"/>
    </xf>
    <xf numFmtId="0" fontId="49" fillId="25" borderId="86" xfId="0" applyFont="1" applyFill="1" applyBorder="1" applyAlignment="1">
      <alignment horizontal="left" vertical="center" indent="1"/>
    </xf>
    <xf numFmtId="175" fontId="49" fillId="26" borderId="84" xfId="0" applyNumberFormat="1" applyFont="1" applyFill="1" applyBorder="1" applyAlignment="1">
      <alignment horizontal="right" vertical="center"/>
    </xf>
    <xf numFmtId="174" fontId="51" fillId="27" borderId="87" xfId="0" applyNumberFormat="1" applyFont="1" applyFill="1" applyBorder="1" applyAlignment="1">
      <alignment horizontal="left" vertical="center" indent="1"/>
    </xf>
    <xf numFmtId="175" fontId="51" fillId="27" borderId="84" xfId="0" applyNumberFormat="1" applyFont="1" applyFill="1" applyBorder="1" applyAlignment="1">
      <alignment horizontal="right" vertical="center"/>
    </xf>
    <xf numFmtId="0" fontId="49" fillId="0" borderId="0" xfId="0" applyFont="1" applyAlignment="1">
      <alignment horizontal="left" vertical="center" indent="1"/>
    </xf>
    <xf numFmtId="175" fontId="0" fillId="0" borderId="84" xfId="0" applyNumberFormat="1" applyBorder="1" applyAlignment="1">
      <alignment horizontal="right" vertical="center"/>
    </xf>
    <xf numFmtId="175" fontId="52" fillId="26" borderId="84" xfId="0" applyNumberFormat="1" applyFont="1" applyFill="1" applyBorder="1" applyAlignment="1">
      <alignment horizontal="right" vertical="center"/>
    </xf>
    <xf numFmtId="10" fontId="49" fillId="25" borderId="86" xfId="0" applyNumberFormat="1" applyFont="1" applyFill="1" applyBorder="1" applyAlignment="1">
      <alignment horizontal="left" vertical="center" indent="1"/>
    </xf>
    <xf numFmtId="175" fontId="53" fillId="26" borderId="84" xfId="0" applyNumberFormat="1" applyFont="1" applyFill="1" applyBorder="1" applyAlignment="1">
      <alignment horizontal="right" vertical="center"/>
    </xf>
    <xf numFmtId="175" fontId="50" fillId="26" borderId="84" xfId="0" applyNumberFormat="1" applyFont="1" applyFill="1" applyBorder="1" applyAlignment="1">
      <alignment horizontal="right" vertical="center"/>
    </xf>
    <xf numFmtId="0" fontId="49" fillId="25" borderId="89" xfId="0" applyFont="1" applyFill="1" applyBorder="1" applyAlignment="1">
      <alignment horizontal="left" vertical="center" indent="1"/>
    </xf>
    <xf numFmtId="10" fontId="49" fillId="28" borderId="90" xfId="0" applyNumberFormat="1" applyFont="1" applyFill="1" applyBorder="1" applyAlignment="1">
      <alignment horizontal="left" vertical="center" indent="1"/>
    </xf>
    <xf numFmtId="175" fontId="49" fillId="28" borderId="84" xfId="0" applyNumberFormat="1" applyFont="1" applyFill="1" applyBorder="1" applyAlignment="1">
      <alignment horizontal="right" vertical="center"/>
    </xf>
    <xf numFmtId="174" fontId="49" fillId="28" borderId="90" xfId="0" applyNumberFormat="1" applyFont="1" applyFill="1" applyBorder="1" applyAlignment="1">
      <alignment horizontal="left" vertical="center" indent="1"/>
    </xf>
    <xf numFmtId="175" fontId="51" fillId="27" borderId="91" xfId="0" applyNumberFormat="1" applyFont="1" applyFill="1" applyBorder="1" applyAlignment="1">
      <alignment horizontal="right" vertical="center"/>
    </xf>
    <xf numFmtId="175" fontId="30" fillId="24" borderId="84" xfId="0" applyNumberFormat="1" applyFont="1" applyFill="1" applyBorder="1" applyAlignment="1">
      <alignment horizontal="center" vertical="center" wrapText="1"/>
    </xf>
    <xf numFmtId="10" fontId="54" fillId="24" borderId="92" xfId="0" applyNumberFormat="1" applyFont="1" applyFill="1" applyBorder="1" applyAlignment="1">
      <alignment horizontal="center" vertical="center" wrapText="1"/>
    </xf>
    <xf numFmtId="10" fontId="54" fillId="24" borderId="93" xfId="0" applyNumberFormat="1" applyFont="1" applyFill="1" applyBorder="1" applyAlignment="1">
      <alignment horizontal="center" vertical="center" wrapText="1"/>
    </xf>
    <xf numFmtId="10" fontId="54" fillId="24" borderId="94" xfId="0" applyNumberFormat="1" applyFont="1" applyFill="1" applyBorder="1" applyAlignment="1">
      <alignment horizontal="center" vertical="center" wrapText="1"/>
    </xf>
    <xf numFmtId="0" fontId="54" fillId="24" borderId="0" xfId="0" applyFont="1" applyFill="1" applyAlignment="1">
      <alignment horizontal="center" vertical="center" wrapText="1"/>
    </xf>
    <xf numFmtId="10" fontId="55" fillId="29" borderId="95" xfId="0" applyNumberFormat="1" applyFont="1" applyFill="1" applyBorder="1" applyAlignment="1">
      <alignment horizontal="left" vertical="center" indent="1"/>
    </xf>
    <xf numFmtId="10" fontId="55" fillId="29" borderId="95" xfId="0" applyNumberFormat="1" applyFont="1" applyFill="1" applyBorder="1"/>
    <xf numFmtId="174" fontId="55" fillId="29" borderId="95" xfId="0" applyNumberFormat="1" applyFont="1" applyFill="1" applyBorder="1"/>
    <xf numFmtId="175" fontId="55" fillId="29" borderId="95" xfId="0" applyNumberFormat="1" applyFont="1" applyFill="1" applyBorder="1" applyAlignment="1">
      <alignment horizontal="right" vertical="center"/>
    </xf>
    <xf numFmtId="0" fontId="55" fillId="29" borderId="95" xfId="0" applyFont="1" applyFill="1" applyBorder="1"/>
    <xf numFmtId="2" fontId="49" fillId="26" borderId="84" xfId="0" applyNumberFormat="1" applyFont="1" applyFill="1" applyBorder="1" applyAlignment="1">
      <alignment horizontal="right" vertical="center"/>
    </xf>
    <xf numFmtId="0" fontId="56" fillId="30" borderId="0" xfId="0" applyFont="1" applyFill="1" applyAlignment="1">
      <alignment horizontal="left" vertical="center" wrapText="1"/>
    </xf>
    <xf numFmtId="0" fontId="0" fillId="30" borderId="0" xfId="0" applyFill="1"/>
    <xf numFmtId="0" fontId="57" fillId="2" borderId="96" xfId="0" applyFont="1" applyFill="1" applyBorder="1" applyAlignment="1">
      <alignment horizontal="left"/>
    </xf>
    <xf numFmtId="176" fontId="59" fillId="2" borderId="96" xfId="0" applyNumberFormat="1" applyFont="1" applyFill="1" applyBorder="1"/>
    <xf numFmtId="176" fontId="60" fillId="2" borderId="96" xfId="0" applyNumberFormat="1" applyFont="1" applyFill="1" applyBorder="1"/>
    <xf numFmtId="176" fontId="61" fillId="2" borderId="96" xfId="0" applyNumberFormat="1" applyFont="1" applyFill="1" applyBorder="1"/>
    <xf numFmtId="17" fontId="61" fillId="31" borderId="96" xfId="0" applyNumberFormat="1" applyFont="1" applyFill="1" applyBorder="1" applyAlignment="1">
      <alignment horizontal="center"/>
    </xf>
    <xf numFmtId="0" fontId="61" fillId="31" borderId="96" xfId="0" applyFont="1" applyFill="1" applyBorder="1" applyAlignment="1">
      <alignment horizontal="left"/>
    </xf>
    <xf numFmtId="0" fontId="58" fillId="2" borderId="96" xfId="0" applyFont="1" applyFill="1" applyBorder="1" applyAlignment="1">
      <alignment horizontal="left"/>
    </xf>
    <xf numFmtId="0" fontId="58" fillId="32" borderId="96" xfId="0" applyFont="1" applyFill="1" applyBorder="1" applyAlignment="1">
      <alignment horizontal="left"/>
    </xf>
    <xf numFmtId="176" fontId="61" fillId="32" borderId="96" xfId="0" applyNumberFormat="1" applyFont="1" applyFill="1" applyBorder="1"/>
    <xf numFmtId="0" fontId="57" fillId="32" borderId="96" xfId="0" applyFont="1" applyFill="1" applyBorder="1" applyAlignment="1">
      <alignment horizontal="left"/>
    </xf>
    <xf numFmtId="175" fontId="60" fillId="32" borderId="96" xfId="0" applyNumberFormat="1" applyFont="1" applyFill="1" applyBorder="1"/>
    <xf numFmtId="165" fontId="61" fillId="32" borderId="96" xfId="0" applyNumberFormat="1" applyFont="1" applyFill="1" applyBorder="1"/>
    <xf numFmtId="10" fontId="0" fillId="0" borderId="0" xfId="0" applyNumberFormat="1" applyAlignment="1">
      <alignment horizontal="right"/>
    </xf>
    <xf numFmtId="165" fontId="0" fillId="0" borderId="0" xfId="0" applyNumberFormat="1"/>
    <xf numFmtId="2" fontId="63" fillId="34" borderId="0" xfId="0" applyNumberFormat="1" applyFont="1" applyFill="1"/>
    <xf numFmtId="2" fontId="46" fillId="0" borderId="0" xfId="0" applyNumberFormat="1" applyFont="1"/>
    <xf numFmtId="2" fontId="64" fillId="0" borderId="97" xfId="0" applyNumberFormat="1" applyFont="1" applyBorder="1"/>
    <xf numFmtId="2" fontId="46" fillId="0" borderId="97" xfId="0" applyNumberFormat="1" applyFont="1" applyBorder="1" applyAlignment="1">
      <alignment horizontal="right"/>
    </xf>
    <xf numFmtId="2" fontId="0" fillId="0" borderId="0" xfId="0" applyNumberFormat="1" applyAlignment="1">
      <alignment horizontal="right"/>
    </xf>
    <xf numFmtId="2" fontId="46" fillId="0" borderId="0" xfId="0" applyNumberFormat="1" applyFont="1" applyAlignment="1">
      <alignment horizontal="right"/>
    </xf>
    <xf numFmtId="2" fontId="0" fillId="0" borderId="0" xfId="2" applyNumberFormat="1" applyFont="1"/>
    <xf numFmtId="2" fontId="63" fillId="34" borderId="0" xfId="0" applyNumberFormat="1" applyFont="1" applyFill="1" applyAlignment="1">
      <alignment horizontal="right"/>
    </xf>
    <xf numFmtId="2" fontId="0" fillId="0" borderId="0" xfId="2" applyNumberFormat="1" applyFont="1" applyAlignment="1">
      <alignment horizontal="right"/>
    </xf>
    <xf numFmtId="177" fontId="63" fillId="34" borderId="0" xfId="0" applyNumberFormat="1" applyFont="1" applyFill="1"/>
    <xf numFmtId="177" fontId="0" fillId="0" borderId="0" xfId="0" applyNumberFormat="1"/>
    <xf numFmtId="177" fontId="46" fillId="0" borderId="97" xfId="0" applyNumberFormat="1" applyFont="1" applyBorder="1"/>
    <xf numFmtId="177" fontId="46" fillId="0" borderId="97" xfId="0" applyNumberFormat="1" applyFont="1" applyBorder="1" applyAlignment="1">
      <alignment horizontal="right"/>
    </xf>
    <xf numFmtId="177" fontId="46" fillId="0" borderId="0" xfId="0" applyNumberFormat="1" applyFont="1"/>
    <xf numFmtId="177" fontId="0" fillId="0" borderId="0" xfId="0" applyNumberFormat="1" applyAlignment="1">
      <alignment horizontal="left"/>
    </xf>
    <xf numFmtId="177" fontId="64" fillId="0" borderId="0" xfId="0" applyNumberFormat="1" applyFont="1"/>
    <xf numFmtId="177" fontId="65" fillId="0" borderId="0" xfId="0" applyNumberFormat="1" applyFont="1"/>
    <xf numFmtId="177" fontId="0" fillId="0" borderId="0" xfId="2" applyNumberFormat="1" applyFont="1"/>
    <xf numFmtId="177" fontId="63" fillId="20" borderId="0" xfId="0" applyNumberFormat="1" applyFont="1" applyFill="1"/>
    <xf numFmtId="177" fontId="46" fillId="0" borderId="0" xfId="0" applyNumberFormat="1" applyFont="1" applyAlignment="1">
      <alignment horizontal="left"/>
    </xf>
    <xf numFmtId="177" fontId="0" fillId="35" borderId="0" xfId="0" applyNumberFormat="1" applyFill="1"/>
    <xf numFmtId="177" fontId="46" fillId="0" borderId="98" xfId="0" applyNumberFormat="1" applyFont="1" applyBorder="1"/>
    <xf numFmtId="177" fontId="0" fillId="0" borderId="98" xfId="0" applyNumberFormat="1" applyBorder="1"/>
    <xf numFmtId="177" fontId="0" fillId="33" borderId="0" xfId="0" applyNumberFormat="1" applyFill="1"/>
    <xf numFmtId="177" fontId="66" fillId="0" borderId="0" xfId="0" applyNumberFormat="1" applyFont="1"/>
    <xf numFmtId="2" fontId="66" fillId="0" borderId="0" xfId="0" applyNumberFormat="1" applyFont="1"/>
    <xf numFmtId="0" fontId="66" fillId="0" borderId="0" xfId="0" applyFont="1"/>
    <xf numFmtId="172" fontId="66" fillId="15" borderId="0" xfId="0" applyNumberFormat="1" applyFont="1" applyFill="1" applyAlignment="1">
      <alignment horizontal="right"/>
    </xf>
    <xf numFmtId="171" fontId="66" fillId="0" borderId="49" xfId="0" applyNumberFormat="1" applyFont="1" applyBorder="1" applyAlignment="1">
      <alignment horizontal="center" vertical="center"/>
    </xf>
    <xf numFmtId="3" fontId="66" fillId="2" borderId="42" xfId="0" applyNumberFormat="1" applyFont="1" applyFill="1" applyBorder="1"/>
    <xf numFmtId="4" fontId="66" fillId="9" borderId="9" xfId="0" applyNumberFormat="1" applyFont="1" applyFill="1" applyBorder="1" applyAlignment="1">
      <alignment horizontal="right" vertical="center"/>
    </xf>
    <xf numFmtId="4" fontId="66" fillId="2" borderId="9" xfId="0" applyNumberFormat="1" applyFont="1" applyFill="1" applyBorder="1" applyAlignment="1">
      <alignment horizontal="right" vertical="center"/>
    </xf>
    <xf numFmtId="4" fontId="66" fillId="9" borderId="9" xfId="0" applyNumberFormat="1" applyFont="1" applyFill="1" applyBorder="1" applyAlignment="1">
      <alignment horizontal="right" vertical="center" wrapText="1"/>
    </xf>
    <xf numFmtId="0" fontId="66" fillId="2" borderId="10" xfId="0" applyFont="1" applyFill="1" applyBorder="1" applyAlignment="1">
      <alignment horizontal="right" vertical="center"/>
    </xf>
    <xf numFmtId="0" fontId="66" fillId="2" borderId="37" xfId="0" applyFont="1" applyFill="1" applyBorder="1" applyAlignment="1">
      <alignment horizontal="right" vertical="center"/>
    </xf>
    <xf numFmtId="0" fontId="7" fillId="6" borderId="5" xfId="0" applyFont="1" applyFill="1" applyBorder="1" applyAlignment="1">
      <alignment horizontal="center"/>
    </xf>
    <xf numFmtId="0" fontId="7" fillId="6" borderId="6" xfId="0" applyFont="1" applyFill="1" applyBorder="1" applyAlignment="1">
      <alignment horizontal="center"/>
    </xf>
    <xf numFmtId="0" fontId="7" fillId="6" borderId="34" xfId="0" applyFont="1" applyFill="1" applyBorder="1" applyAlignment="1">
      <alignment horizontal="center"/>
    </xf>
    <xf numFmtId="0" fontId="0" fillId="2" borderId="0" xfId="0" applyFill="1" applyAlignment="1">
      <alignment horizontal="center"/>
    </xf>
    <xf numFmtId="0" fontId="0" fillId="0" borderId="0" xfId="0" applyAlignment="1">
      <alignment horizontal="center" vertical="center" wrapText="1"/>
    </xf>
    <xf numFmtId="0" fontId="26" fillId="0" borderId="0" xfId="0" applyFont="1" applyAlignment="1">
      <alignment horizontal="center"/>
    </xf>
    <xf numFmtId="0" fontId="0" fillId="0" borderId="0" xfId="0" applyAlignment="1">
      <alignment horizontal="center"/>
    </xf>
    <xf numFmtId="0" fontId="7" fillId="6" borderId="36" xfId="0" applyFont="1" applyFill="1" applyBorder="1" applyAlignment="1">
      <alignment horizontal="center"/>
    </xf>
    <xf numFmtId="0" fontId="8" fillId="7" borderId="9" xfId="0" applyFont="1" applyFill="1" applyBorder="1" applyAlignment="1">
      <alignment horizontal="left" vertical="center"/>
    </xf>
    <xf numFmtId="0" fontId="5" fillId="2" borderId="9" xfId="0" applyFont="1" applyFill="1" applyBorder="1" applyAlignment="1">
      <alignment horizontal="left" vertical="center"/>
    </xf>
    <xf numFmtId="0" fontId="8" fillId="7" borderId="9" xfId="0" applyFont="1" applyFill="1" applyBorder="1" applyAlignment="1">
      <alignment horizontal="center" vertical="center"/>
    </xf>
    <xf numFmtId="0" fontId="5" fillId="2" borderId="9" xfId="0" applyFont="1" applyFill="1" applyBorder="1" applyAlignment="1">
      <alignment horizontal="center" vertical="center"/>
    </xf>
    <xf numFmtId="0" fontId="8" fillId="7" borderId="37" xfId="0" applyFont="1" applyFill="1" applyBorder="1" applyAlignment="1">
      <alignment horizontal="center" vertical="center"/>
    </xf>
    <xf numFmtId="0" fontId="5" fillId="2" borderId="37" xfId="0" applyFont="1" applyFill="1" applyBorder="1" applyAlignment="1">
      <alignment horizontal="center" vertical="center"/>
    </xf>
    <xf numFmtId="0" fontId="7" fillId="6" borderId="5" xfId="0" applyFont="1" applyFill="1" applyBorder="1" applyAlignment="1">
      <alignment horizontal="left"/>
    </xf>
    <xf numFmtId="0" fontId="7" fillId="6" borderId="6" xfId="0" applyFont="1" applyFill="1" applyBorder="1" applyAlignment="1">
      <alignment horizontal="left"/>
    </xf>
    <xf numFmtId="0" fontId="7" fillId="6" borderId="7" xfId="0" applyFont="1" applyFill="1" applyBorder="1" applyAlignment="1">
      <alignment horizontal="center"/>
    </xf>
    <xf numFmtId="0" fontId="8" fillId="7" borderId="10" xfId="0" applyFont="1" applyFill="1" applyBorder="1" applyAlignment="1">
      <alignment horizontal="center" vertical="center"/>
    </xf>
    <xf numFmtId="0" fontId="5" fillId="2" borderId="10" xfId="0" applyFont="1" applyFill="1" applyBorder="1" applyAlignment="1">
      <alignment horizontal="center" vertical="center"/>
    </xf>
    <xf numFmtId="0" fontId="29" fillId="2" borderId="0" xfId="0" applyFont="1" applyFill="1" applyAlignment="1">
      <alignment horizontal="left"/>
    </xf>
    <xf numFmtId="0" fontId="29" fillId="2" borderId="0" xfId="0" applyFont="1" applyFill="1" applyAlignment="1">
      <alignment horizontal="center"/>
    </xf>
    <xf numFmtId="0" fontId="7" fillId="6" borderId="23" xfId="0" applyFont="1" applyFill="1" applyBorder="1" applyAlignment="1">
      <alignment horizontal="center"/>
    </xf>
    <xf numFmtId="0" fontId="7" fillId="6" borderId="5" xfId="0" applyFont="1" applyFill="1" applyBorder="1" applyAlignment="1">
      <alignment horizontal="left" vertical="center"/>
    </xf>
    <xf numFmtId="0" fontId="7" fillId="6" borderId="6" xfId="0" applyFont="1" applyFill="1" applyBorder="1" applyAlignment="1">
      <alignment horizontal="center" vertical="center"/>
    </xf>
    <xf numFmtId="0" fontId="7" fillId="6" borderId="7" xfId="0" applyFont="1" applyFill="1" applyBorder="1" applyAlignment="1">
      <alignment horizontal="center" vertical="center"/>
    </xf>
    <xf numFmtId="0" fontId="43" fillId="20" borderId="0" xfId="0" applyFont="1" applyFill="1" applyAlignment="1">
      <alignment horizontal="center"/>
    </xf>
    <xf numFmtId="0" fontId="5" fillId="9" borderId="42" xfId="0" applyFont="1" applyFill="1" applyBorder="1" applyAlignment="1">
      <alignment horizontal="left" vertical="top" wrapText="1"/>
    </xf>
    <xf numFmtId="0" fontId="19" fillId="0" borderId="0" xfId="0" applyFont="1" applyAlignment="1">
      <alignment horizontal="left" vertical="top" wrapText="1"/>
    </xf>
    <xf numFmtId="0" fontId="19" fillId="0" borderId="0" xfId="0" applyFont="1" applyAlignment="1">
      <alignment horizontal="left"/>
    </xf>
    <xf numFmtId="0" fontId="15" fillId="6" borderId="0" xfId="0" applyFont="1" applyFill="1" applyAlignment="1">
      <alignment horizontal="left" vertical="center"/>
    </xf>
    <xf numFmtId="0" fontId="15" fillId="6" borderId="0" xfId="0" applyFont="1" applyFill="1" applyAlignment="1">
      <alignment horizontal="left"/>
    </xf>
    <xf numFmtId="0" fontId="18" fillId="14" borderId="0" xfId="0" applyFont="1" applyFill="1" applyAlignment="1">
      <alignment horizontal="left" vertical="top" wrapText="1"/>
    </xf>
    <xf numFmtId="0" fontId="16" fillId="13" borderId="0" xfId="0" applyFont="1" applyFill="1" applyAlignment="1">
      <alignment horizontal="center"/>
    </xf>
    <xf numFmtId="14" fontId="20" fillId="6" borderId="0" xfId="0" applyNumberFormat="1" applyFont="1" applyFill="1" applyAlignment="1">
      <alignment horizontal="left" vertical="center"/>
    </xf>
    <xf numFmtId="14" fontId="0" fillId="0" borderId="0" xfId="0" applyNumberFormat="1"/>
    <xf numFmtId="14" fontId="21" fillId="13" borderId="0" xfId="0" applyNumberFormat="1" applyFont="1" applyFill="1" applyAlignment="1">
      <alignment horizontal="center" vertical="center"/>
    </xf>
    <xf numFmtId="0" fontId="21" fillId="13" borderId="0" xfId="0" applyFont="1" applyFill="1" applyAlignment="1">
      <alignment horizontal="center" vertical="center"/>
    </xf>
    <xf numFmtId="0" fontId="0" fillId="0" borderId="0" xfId="0"/>
    <xf numFmtId="0" fontId="30" fillId="24" borderId="82" xfId="0" applyFont="1" applyFill="1" applyBorder="1" applyAlignment="1">
      <alignment horizontal="center"/>
    </xf>
    <xf numFmtId="0" fontId="30" fillId="24" borderId="88" xfId="0" applyFont="1" applyFill="1" applyBorder="1" applyAlignment="1">
      <alignment horizontal="center"/>
    </xf>
    <xf numFmtId="0" fontId="30" fillId="24" borderId="88" xfId="0" applyFont="1" applyFill="1" applyBorder="1" applyAlignment="1">
      <alignment horizontal="center" vertical="center" wrapText="1"/>
    </xf>
    <xf numFmtId="2" fontId="0" fillId="0" borderId="0" xfId="0" applyNumberFormat="1" applyAlignment="1">
      <alignment horizontal="center"/>
    </xf>
    <xf numFmtId="177" fontId="46" fillId="0" borderId="0" xfId="0" applyNumberFormat="1" applyFont="1" applyAlignment="1">
      <alignment horizontal="center"/>
    </xf>
  </cellXfs>
  <cellStyles count="5">
    <cellStyle name="Hyperlink" xfId="1" builtinId="8"/>
    <cellStyle name="Hyperlink 2" xfId="4" xr:uid="{535D0D1C-3884-44CB-A8DD-9E3F38685C2B}"/>
    <cellStyle name="Normal" xfId="0" builtinId="0"/>
    <cellStyle name="Normal 2" xfId="3" xr:uid="{2A91DEB3-B615-4AF6-8890-1A3BBB2866F4}"/>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CC-4C0C-856B-038A882D2D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CC-4C0C-856B-038A882D2D6C}"/>
              </c:ext>
            </c:extLst>
          </c:dPt>
          <c:cat>
            <c:strRef>
              <c:f>'Cost of Capital '!$B$8:$B$9</c:f>
              <c:strCache>
                <c:ptCount val="2"/>
                <c:pt idx="0">
                  <c:v>% of Debt</c:v>
                </c:pt>
                <c:pt idx="1">
                  <c:v>% of Equity</c:v>
                </c:pt>
              </c:strCache>
            </c:strRef>
          </c:cat>
          <c:val>
            <c:numRef>
              <c:f>'Cost of Capital '!$C$8:$C$9</c:f>
              <c:numCache>
                <c:formatCode>0.0%;\(0.0%\);\-</c:formatCode>
                <c:ptCount val="2"/>
                <c:pt idx="0">
                  <c:v>0.85048430608881409</c:v>
                </c:pt>
                <c:pt idx="1">
                  <c:v>0.14951569391118599</c:v>
                </c:pt>
              </c:numCache>
            </c:numRef>
          </c:val>
          <c:extLst>
            <c:ext xmlns:c16="http://schemas.microsoft.com/office/drawing/2014/chart" uri="{C3380CC4-5D6E-409C-BE32-E72D297353CC}">
              <c16:uniqueId val="{00000000-BD27-48FD-9DDA-435E1DF0D1D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601980</xdr:colOff>
      <xdr:row>23</xdr:row>
      <xdr:rowOff>53340</xdr:rowOff>
    </xdr:to>
    <xdr:pic>
      <xdr:nvPicPr>
        <xdr:cNvPr id="2" name="Picture 1" descr="Trinkerr - Here's a look at Varun Beverages' products 🥤 ⚠️Disclaimer : Trinkerr does not give any recommendations. Please consult financial professionals before making any investments. . . . #lays #pepsi #varunbeverages #">
          <a:extLst>
            <a:ext uri="{FF2B5EF4-FFF2-40B4-BE49-F238E27FC236}">
              <a16:creationId xmlns:a16="http://schemas.microsoft.com/office/drawing/2014/main" id="{C476BF6E-AEAC-EFBC-6BF7-B6B546C249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259580" cy="4259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13</xdr:col>
      <xdr:colOff>410308</xdr:colOff>
      <xdr:row>16</xdr:row>
      <xdr:rowOff>53724</xdr:rowOff>
    </xdr:to>
    <xdr:pic>
      <xdr:nvPicPr>
        <xdr:cNvPr id="2" name="Picture 1">
          <a:extLst>
            <a:ext uri="{FF2B5EF4-FFF2-40B4-BE49-F238E27FC236}">
              <a16:creationId xmlns:a16="http://schemas.microsoft.com/office/drawing/2014/main" id="{9AE00138-39C8-680A-7A00-3C5B67658D5F}"/>
            </a:ext>
          </a:extLst>
        </xdr:cNvPr>
        <xdr:cNvPicPr>
          <a:picLocks noChangeAspect="1"/>
        </xdr:cNvPicPr>
      </xdr:nvPicPr>
      <xdr:blipFill>
        <a:blip xmlns:r="http://schemas.openxmlformats.org/officeDocument/2006/relationships" r:embed="rId1"/>
        <a:stretch>
          <a:fillRect/>
        </a:stretch>
      </xdr:blipFill>
      <xdr:spPr>
        <a:xfrm>
          <a:off x="190500" y="762000"/>
          <a:ext cx="9832731" cy="44352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144780</xdr:colOff>
      <xdr:row>1</xdr:row>
      <xdr:rowOff>102870</xdr:rowOff>
    </xdr:from>
    <xdr:to>
      <xdr:col>7</xdr:col>
      <xdr:colOff>281940</xdr:colOff>
      <xdr:row>12</xdr:row>
      <xdr:rowOff>45720</xdr:rowOff>
    </xdr:to>
    <xdr:graphicFrame macro="">
      <xdr:nvGraphicFramePr>
        <xdr:cNvPr id="4" name="Chart 3">
          <a:extLst>
            <a:ext uri="{FF2B5EF4-FFF2-40B4-BE49-F238E27FC236}">
              <a16:creationId xmlns:a16="http://schemas.microsoft.com/office/drawing/2014/main" id="{C0AF56E0-5C32-C95E-A2D3-0EF70B36C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B4F28BB-41A9-4732-9ED8-124F45DCBF84}">
  <we:reference id="wa200009404" version="1.0.0.8" store="en-US" storeType="OMEX"/>
  <we:alternateReferences>
    <we:reference id="WA200009404" version="1.0.0.8" store="" storeType="OMEX"/>
  </we:alternateReferences>
  <we:properties>
    <we:property name="claude.fileId" value="&quot;38f25f87-75fb-4e77-8e8f-d14d333802b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javascript:void(0);"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FEE25-4F85-451A-9731-FFE74267B49A}">
  <dimension ref="F3:R32"/>
  <sheetViews>
    <sheetView showGridLines="0" workbookViewId="0">
      <selection activeCell="G2" sqref="G2"/>
    </sheetView>
  </sheetViews>
  <sheetFormatPr defaultRowHeight="14.4" x14ac:dyDescent="0.3"/>
  <sheetData>
    <row r="3" spans="11:18" x14ac:dyDescent="0.3">
      <c r="K3" s="453" t="s">
        <v>545</v>
      </c>
      <c r="L3" s="453"/>
      <c r="M3" s="453"/>
      <c r="N3" s="453"/>
      <c r="O3" s="453"/>
      <c r="P3" s="453"/>
      <c r="Q3" s="453"/>
      <c r="R3" s="453"/>
    </row>
    <row r="4" spans="11:18" ht="14.4" customHeight="1" x14ac:dyDescent="0.3">
      <c r="K4" s="452" t="s">
        <v>546</v>
      </c>
      <c r="L4" s="452"/>
      <c r="M4" s="452"/>
      <c r="N4" s="452"/>
      <c r="O4" s="452"/>
      <c r="P4" s="452"/>
      <c r="Q4" s="452"/>
      <c r="R4" s="452"/>
    </row>
    <row r="5" spans="11:18" x14ac:dyDescent="0.3">
      <c r="K5" s="452"/>
      <c r="L5" s="452"/>
      <c r="M5" s="452"/>
      <c r="N5" s="452"/>
      <c r="O5" s="452"/>
      <c r="P5" s="452"/>
      <c r="Q5" s="452"/>
      <c r="R5" s="452"/>
    </row>
    <row r="6" spans="11:18" x14ac:dyDescent="0.3">
      <c r="K6" s="452"/>
      <c r="L6" s="452"/>
      <c r="M6" s="452"/>
      <c r="N6" s="452"/>
      <c r="O6" s="452"/>
      <c r="P6" s="452"/>
      <c r="Q6" s="452"/>
      <c r="R6" s="452"/>
    </row>
    <row r="7" spans="11:18" x14ac:dyDescent="0.3">
      <c r="K7" s="452"/>
      <c r="L7" s="452"/>
      <c r="M7" s="452"/>
      <c r="N7" s="452"/>
      <c r="O7" s="452"/>
      <c r="P7" s="452"/>
      <c r="Q7" s="452"/>
      <c r="R7" s="452"/>
    </row>
    <row r="8" spans="11:18" x14ac:dyDescent="0.3">
      <c r="K8" s="452"/>
      <c r="L8" s="452"/>
      <c r="M8" s="452"/>
      <c r="N8" s="452"/>
      <c r="O8" s="452"/>
      <c r="P8" s="452"/>
      <c r="Q8" s="452"/>
      <c r="R8" s="452"/>
    </row>
    <row r="9" spans="11:18" x14ac:dyDescent="0.3">
      <c r="K9" s="452"/>
      <c r="L9" s="452"/>
      <c r="M9" s="452"/>
      <c r="N9" s="452"/>
      <c r="O9" s="452"/>
      <c r="P9" s="452"/>
      <c r="Q9" s="452"/>
      <c r="R9" s="452"/>
    </row>
    <row r="10" spans="11:18" x14ac:dyDescent="0.3">
      <c r="K10" s="452"/>
      <c r="L10" s="452"/>
      <c r="M10" s="452"/>
      <c r="N10" s="452"/>
      <c r="O10" s="452"/>
      <c r="P10" s="452"/>
      <c r="Q10" s="452"/>
      <c r="R10" s="452"/>
    </row>
    <row r="11" spans="11:18" x14ac:dyDescent="0.3">
      <c r="K11" s="452"/>
      <c r="L11" s="452"/>
      <c r="M11" s="452"/>
      <c r="N11" s="452"/>
      <c r="O11" s="452"/>
      <c r="P11" s="452"/>
      <c r="Q11" s="452"/>
      <c r="R11" s="452"/>
    </row>
    <row r="12" spans="11:18" x14ac:dyDescent="0.3">
      <c r="K12" s="452"/>
      <c r="L12" s="452"/>
      <c r="M12" s="452"/>
      <c r="N12" s="452"/>
      <c r="O12" s="452"/>
      <c r="P12" s="452"/>
      <c r="Q12" s="452"/>
      <c r="R12" s="452"/>
    </row>
    <row r="13" spans="11:18" x14ac:dyDescent="0.3">
      <c r="K13" s="452"/>
      <c r="L13" s="452"/>
      <c r="M13" s="452"/>
      <c r="N13" s="452"/>
      <c r="O13" s="452"/>
      <c r="P13" s="452"/>
      <c r="Q13" s="452"/>
      <c r="R13" s="452"/>
    </row>
    <row r="26" spans="6:6" x14ac:dyDescent="0.3">
      <c r="F26" s="293" t="s">
        <v>553</v>
      </c>
    </row>
    <row r="27" spans="6:6" x14ac:dyDescent="0.3">
      <c r="F27" t="s">
        <v>547</v>
      </c>
    </row>
    <row r="28" spans="6:6" x14ac:dyDescent="0.3">
      <c r="F28" t="s">
        <v>548</v>
      </c>
    </row>
    <row r="29" spans="6:6" x14ac:dyDescent="0.3">
      <c r="F29" t="s">
        <v>549</v>
      </c>
    </row>
    <row r="30" spans="6:6" x14ac:dyDescent="0.3">
      <c r="F30" t="s">
        <v>550</v>
      </c>
    </row>
    <row r="31" spans="6:6" x14ac:dyDescent="0.3">
      <c r="F31" t="s">
        <v>551</v>
      </c>
    </row>
    <row r="32" spans="6:6" x14ac:dyDescent="0.3">
      <c r="F32" t="s">
        <v>552</v>
      </c>
    </row>
  </sheetData>
  <mergeCells count="2">
    <mergeCell ref="K4:R13"/>
    <mergeCell ref="K3:R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CF417-CDB5-4DCE-BB57-B370DAD1E893}">
  <dimension ref="A1:R85"/>
  <sheetViews>
    <sheetView showGridLines="0" workbookViewId="0">
      <selection activeCell="G2" sqref="G2"/>
    </sheetView>
  </sheetViews>
  <sheetFormatPr defaultRowHeight="14.4" x14ac:dyDescent="0.3"/>
  <cols>
    <col min="1" max="1" width="1.5546875" style="6" customWidth="1"/>
    <col min="2" max="2" width="22.21875" customWidth="1"/>
    <col min="3" max="3" width="17.5546875" customWidth="1"/>
    <col min="4" max="4" width="22.21875" customWidth="1"/>
    <col min="5" max="5" width="16.6640625" customWidth="1"/>
    <col min="6" max="6" width="14.77734375" customWidth="1"/>
  </cols>
  <sheetData>
    <row r="1" spans="2:18" s="6" customFormat="1" x14ac:dyDescent="0.3"/>
    <row r="2" spans="2:18" ht="28.05" customHeight="1" x14ac:dyDescent="0.3">
      <c r="B2" s="448" t="s">
        <v>290</v>
      </c>
      <c r="C2" s="449"/>
      <c r="D2" s="449"/>
      <c r="E2" s="449"/>
      <c r="F2" s="455"/>
    </row>
    <row r="3" spans="2:18" ht="18" customHeight="1" x14ac:dyDescent="0.3">
      <c r="B3" s="456" t="s">
        <v>123</v>
      </c>
      <c r="C3" s="458" t="s">
        <v>124</v>
      </c>
      <c r="D3" s="458" t="s">
        <v>125</v>
      </c>
      <c r="E3" s="458" t="s">
        <v>126</v>
      </c>
      <c r="F3" s="460" t="s">
        <v>216</v>
      </c>
      <c r="K3" s="454"/>
      <c r="L3" s="454"/>
      <c r="M3" s="454"/>
      <c r="N3" s="454"/>
      <c r="O3" s="454"/>
      <c r="P3" s="454"/>
      <c r="Q3" s="454"/>
      <c r="R3" s="454"/>
    </row>
    <row r="4" spans="2:18" ht="6" customHeight="1" x14ac:dyDescent="0.3">
      <c r="B4" s="457"/>
      <c r="C4" s="459"/>
      <c r="D4" s="459"/>
      <c r="E4" s="459"/>
      <c r="F4" s="461"/>
    </row>
    <row r="5" spans="2:18" ht="6" customHeight="1" x14ac:dyDescent="0.3">
      <c r="B5" s="457"/>
      <c r="C5" s="459"/>
      <c r="D5" s="459"/>
      <c r="E5" s="459"/>
      <c r="F5" s="461"/>
    </row>
    <row r="6" spans="2:18" ht="18" customHeight="1" x14ac:dyDescent="0.3">
      <c r="B6" s="120" t="s">
        <v>127</v>
      </c>
      <c r="C6" s="24"/>
      <c r="D6" s="24" t="s">
        <v>128</v>
      </c>
      <c r="E6" s="134" t="s">
        <v>128</v>
      </c>
      <c r="F6" s="126">
        <v>0</v>
      </c>
    </row>
    <row r="7" spans="2:18" ht="16.95" customHeight="1" x14ac:dyDescent="0.3">
      <c r="B7" s="118" t="s">
        <v>129</v>
      </c>
      <c r="C7" s="63"/>
      <c r="D7" s="63">
        <v>10</v>
      </c>
      <c r="E7" s="135" t="s">
        <v>130</v>
      </c>
      <c r="F7" s="125">
        <v>34.15</v>
      </c>
    </row>
    <row r="8" spans="2:18" ht="16.95" customHeight="1" x14ac:dyDescent="0.3">
      <c r="B8" s="114" t="s">
        <v>131</v>
      </c>
      <c r="C8" s="13" t="s">
        <v>132</v>
      </c>
      <c r="D8" s="13">
        <v>1</v>
      </c>
      <c r="E8" s="136" t="s">
        <v>133</v>
      </c>
      <c r="F8" s="124">
        <v>16.71</v>
      </c>
    </row>
    <row r="9" spans="2:18" ht="16.95" customHeight="1" x14ac:dyDescent="0.3">
      <c r="B9" s="118" t="s">
        <v>134</v>
      </c>
      <c r="C9" s="63" t="s">
        <v>132</v>
      </c>
      <c r="D9" s="63">
        <v>1</v>
      </c>
      <c r="E9" s="135" t="s">
        <v>135</v>
      </c>
      <c r="F9" s="125">
        <v>15.43</v>
      </c>
    </row>
    <row r="10" spans="2:18" ht="16.95" customHeight="1" x14ac:dyDescent="0.3">
      <c r="B10" s="114" t="s">
        <v>136</v>
      </c>
      <c r="C10" s="13" t="s">
        <v>137</v>
      </c>
      <c r="D10" s="13">
        <v>1</v>
      </c>
      <c r="E10" s="136" t="s">
        <v>138</v>
      </c>
      <c r="F10" s="124">
        <v>1.94</v>
      </c>
    </row>
    <row r="11" spans="2:18" ht="16.95" customHeight="1" x14ac:dyDescent="0.3">
      <c r="B11" s="118" t="s">
        <v>139</v>
      </c>
      <c r="C11" s="63" t="s">
        <v>137</v>
      </c>
      <c r="D11" s="63">
        <v>1</v>
      </c>
      <c r="E11" s="135" t="s">
        <v>140</v>
      </c>
      <c r="F11" s="125">
        <v>7.0000000000000007E-2</v>
      </c>
    </row>
    <row r="12" spans="2:18" ht="16.95" customHeight="1" x14ac:dyDescent="0.3">
      <c r="B12" s="114" t="s">
        <v>141</v>
      </c>
      <c r="C12" s="13" t="s">
        <v>137</v>
      </c>
      <c r="D12" s="13">
        <v>1</v>
      </c>
      <c r="E12" s="136">
        <v>33995</v>
      </c>
      <c r="F12" s="124">
        <v>0</v>
      </c>
    </row>
    <row r="13" spans="2:18" ht="16.95" customHeight="1" x14ac:dyDescent="0.3">
      <c r="B13" s="118" t="s">
        <v>142</v>
      </c>
      <c r="C13" s="63" t="s">
        <v>137</v>
      </c>
      <c r="D13" s="63">
        <v>1</v>
      </c>
      <c r="E13" s="135">
        <v>33750</v>
      </c>
      <c r="F13" s="125">
        <v>0</v>
      </c>
    </row>
    <row r="14" spans="2:18" ht="16.95" customHeight="1" x14ac:dyDescent="0.3">
      <c r="B14" s="114" t="s">
        <v>143</v>
      </c>
      <c r="C14" s="13" t="s">
        <v>137</v>
      </c>
      <c r="D14" s="13" t="s">
        <v>128</v>
      </c>
      <c r="E14" s="136" t="s">
        <v>128</v>
      </c>
      <c r="F14" s="124">
        <v>0</v>
      </c>
    </row>
    <row r="15" spans="2:18" ht="16.95" customHeight="1" x14ac:dyDescent="0.3">
      <c r="B15" s="118" t="s">
        <v>144</v>
      </c>
      <c r="C15" s="63" t="s">
        <v>137</v>
      </c>
      <c r="D15" s="63">
        <v>1</v>
      </c>
      <c r="E15" s="135">
        <v>11710</v>
      </c>
      <c r="F15" s="125">
        <v>0</v>
      </c>
    </row>
    <row r="16" spans="2:18" ht="16.95" customHeight="1" x14ac:dyDescent="0.3">
      <c r="B16" s="114" t="s">
        <v>145</v>
      </c>
      <c r="C16" s="13" t="s">
        <v>137</v>
      </c>
      <c r="D16" s="13">
        <v>1</v>
      </c>
      <c r="E16" s="136">
        <v>1250</v>
      </c>
      <c r="F16" s="124">
        <v>0</v>
      </c>
    </row>
    <row r="17" spans="2:6" ht="16.95" customHeight="1" x14ac:dyDescent="0.3">
      <c r="B17" s="118" t="s">
        <v>146</v>
      </c>
      <c r="C17" s="63" t="s">
        <v>137</v>
      </c>
      <c r="D17" s="63">
        <v>1</v>
      </c>
      <c r="E17" s="135">
        <v>2500</v>
      </c>
      <c r="F17" s="125">
        <v>0</v>
      </c>
    </row>
    <row r="18" spans="2:6" ht="16.95" customHeight="1" x14ac:dyDescent="0.3">
      <c r="B18" s="114" t="s">
        <v>147</v>
      </c>
      <c r="C18" s="13" t="s">
        <v>137</v>
      </c>
      <c r="D18" s="13">
        <v>1</v>
      </c>
      <c r="E18" s="136">
        <v>132</v>
      </c>
      <c r="F18" s="124">
        <v>0</v>
      </c>
    </row>
    <row r="19" spans="2:6" ht="16.95" customHeight="1" x14ac:dyDescent="0.3">
      <c r="B19" s="118" t="s">
        <v>148</v>
      </c>
      <c r="C19" s="63" t="s">
        <v>137</v>
      </c>
      <c r="D19" s="63" t="s">
        <v>128</v>
      </c>
      <c r="E19" s="135" t="s">
        <v>128</v>
      </c>
      <c r="F19" s="125">
        <v>0</v>
      </c>
    </row>
    <row r="20" spans="2:6" ht="16.95" customHeight="1" x14ac:dyDescent="0.3">
      <c r="B20" s="114" t="s">
        <v>149</v>
      </c>
      <c r="C20" s="13" t="s">
        <v>137</v>
      </c>
      <c r="D20" s="13" t="s">
        <v>128</v>
      </c>
      <c r="E20" s="136" t="s">
        <v>128</v>
      </c>
      <c r="F20" s="124">
        <v>0</v>
      </c>
    </row>
    <row r="21" spans="2:6" ht="16.95" customHeight="1" x14ac:dyDescent="0.3">
      <c r="B21" s="118" t="s">
        <v>150</v>
      </c>
      <c r="C21" s="63"/>
      <c r="D21" s="63">
        <v>4</v>
      </c>
      <c r="E21" s="135" t="s">
        <v>151</v>
      </c>
      <c r="F21" s="125">
        <v>25.28</v>
      </c>
    </row>
    <row r="22" spans="2:6" ht="16.95" customHeight="1" x14ac:dyDescent="0.3">
      <c r="B22" s="114" t="s">
        <v>152</v>
      </c>
      <c r="C22" s="13" t="s">
        <v>132</v>
      </c>
      <c r="D22" s="13">
        <v>1</v>
      </c>
      <c r="E22" s="136" t="s">
        <v>153</v>
      </c>
      <c r="F22" s="124">
        <v>25.28</v>
      </c>
    </row>
    <row r="23" spans="2:6" ht="16.95" customHeight="1" x14ac:dyDescent="0.3">
      <c r="B23" s="118" t="s">
        <v>154</v>
      </c>
      <c r="C23" s="63" t="s">
        <v>137</v>
      </c>
      <c r="D23" s="63">
        <v>1</v>
      </c>
      <c r="E23" s="135">
        <v>19074</v>
      </c>
      <c r="F23" s="125">
        <v>0</v>
      </c>
    </row>
    <row r="24" spans="2:6" ht="16.95" customHeight="1" x14ac:dyDescent="0.3">
      <c r="B24" s="114" t="s">
        <v>155</v>
      </c>
      <c r="C24" s="13" t="s">
        <v>137</v>
      </c>
      <c r="D24" s="13">
        <v>1</v>
      </c>
      <c r="E24" s="136">
        <v>18850</v>
      </c>
      <c r="F24" s="124">
        <v>0</v>
      </c>
    </row>
    <row r="25" spans="2:6" ht="16.95" customHeight="1" x14ac:dyDescent="0.3">
      <c r="B25" s="118" t="s">
        <v>156</v>
      </c>
      <c r="C25" s="63" t="s">
        <v>137</v>
      </c>
      <c r="D25" s="63">
        <v>1</v>
      </c>
      <c r="E25" s="135">
        <v>2185</v>
      </c>
      <c r="F25" s="125">
        <v>0</v>
      </c>
    </row>
    <row r="26" spans="2:6" ht="16.95" customHeight="1" x14ac:dyDescent="0.3">
      <c r="B26" s="114" t="s">
        <v>157</v>
      </c>
      <c r="C26" s="13" t="s">
        <v>137</v>
      </c>
      <c r="D26" s="13" t="s">
        <v>128</v>
      </c>
      <c r="E26" s="136" t="s">
        <v>128</v>
      </c>
      <c r="F26" s="447" t="s">
        <v>553</v>
      </c>
    </row>
    <row r="27" spans="2:6" ht="16.95" customHeight="1" x14ac:dyDescent="0.3">
      <c r="B27" s="118" t="s">
        <v>158</v>
      </c>
      <c r="C27" s="63" t="s">
        <v>137</v>
      </c>
      <c r="D27" s="63" t="s">
        <v>128</v>
      </c>
      <c r="E27" s="135" t="s">
        <v>128</v>
      </c>
      <c r="F27" s="125" t="s">
        <v>547</v>
      </c>
    </row>
    <row r="28" spans="2:6" ht="16.95" customHeight="1" x14ac:dyDescent="0.3">
      <c r="B28" s="114" t="s">
        <v>159</v>
      </c>
      <c r="C28" s="13" t="s">
        <v>137</v>
      </c>
      <c r="D28" s="13" t="s">
        <v>128</v>
      </c>
      <c r="E28" s="136" t="s">
        <v>128</v>
      </c>
      <c r="F28" s="124" t="s">
        <v>548</v>
      </c>
    </row>
    <row r="29" spans="2:6" ht="16.95" customHeight="1" x14ac:dyDescent="0.3">
      <c r="B29" s="118" t="s">
        <v>160</v>
      </c>
      <c r="C29" s="63" t="s">
        <v>137</v>
      </c>
      <c r="D29" s="63" t="s">
        <v>128</v>
      </c>
      <c r="E29" s="135" t="s">
        <v>128</v>
      </c>
      <c r="F29" s="125" t="s">
        <v>549</v>
      </c>
    </row>
    <row r="30" spans="2:6" ht="16.95" customHeight="1" x14ac:dyDescent="0.3">
      <c r="B30" s="114" t="s">
        <v>161</v>
      </c>
      <c r="C30" s="13" t="s">
        <v>137</v>
      </c>
      <c r="D30" s="13" t="s">
        <v>128</v>
      </c>
      <c r="E30" s="136" t="s">
        <v>128</v>
      </c>
      <c r="F30" s="124" t="s">
        <v>550</v>
      </c>
    </row>
    <row r="31" spans="2:6" ht="16.95" customHeight="1" x14ac:dyDescent="0.3">
      <c r="B31" s="118" t="s">
        <v>162</v>
      </c>
      <c r="C31" s="63" t="s">
        <v>137</v>
      </c>
      <c r="D31" s="63" t="s">
        <v>128</v>
      </c>
      <c r="E31" s="135" t="s">
        <v>128</v>
      </c>
      <c r="F31" s="125" t="s">
        <v>551</v>
      </c>
    </row>
    <row r="32" spans="2:6" ht="16.95" customHeight="1" x14ac:dyDescent="0.3">
      <c r="B32" s="114" t="s">
        <v>163</v>
      </c>
      <c r="C32" s="13" t="s">
        <v>137</v>
      </c>
      <c r="D32" s="13" t="s">
        <v>128</v>
      </c>
      <c r="E32" s="136" t="s">
        <v>128</v>
      </c>
      <c r="F32" s="124" t="s">
        <v>552</v>
      </c>
    </row>
    <row r="33" spans="2:6" ht="16.95" customHeight="1" x14ac:dyDescent="0.3">
      <c r="B33" s="118" t="s">
        <v>164</v>
      </c>
      <c r="C33" s="63" t="s">
        <v>137</v>
      </c>
      <c r="D33" s="63" t="s">
        <v>128</v>
      </c>
      <c r="E33" s="135" t="s">
        <v>128</v>
      </c>
      <c r="F33" s="125">
        <v>0</v>
      </c>
    </row>
    <row r="34" spans="2:6" ht="16.95" customHeight="1" x14ac:dyDescent="0.3">
      <c r="B34" s="114" t="s">
        <v>165</v>
      </c>
      <c r="C34" s="13" t="s">
        <v>137</v>
      </c>
      <c r="D34" s="13" t="s">
        <v>128</v>
      </c>
      <c r="E34" s="136" t="s">
        <v>128</v>
      </c>
      <c r="F34" s="124">
        <v>0</v>
      </c>
    </row>
    <row r="35" spans="2:6" ht="16.95" customHeight="1" x14ac:dyDescent="0.3">
      <c r="B35" s="118" t="s">
        <v>166</v>
      </c>
      <c r="C35" s="63" t="s">
        <v>137</v>
      </c>
      <c r="D35" s="63" t="s">
        <v>128</v>
      </c>
      <c r="E35" s="135" t="s">
        <v>128</v>
      </c>
      <c r="F35" s="125">
        <v>0</v>
      </c>
    </row>
    <row r="36" spans="2:6" ht="16.95" customHeight="1" x14ac:dyDescent="0.3">
      <c r="B36" s="114" t="s">
        <v>167</v>
      </c>
      <c r="C36" s="13" t="s">
        <v>137</v>
      </c>
      <c r="D36" s="13" t="s">
        <v>128</v>
      </c>
      <c r="E36" s="136" t="s">
        <v>128</v>
      </c>
      <c r="F36" s="124">
        <v>0</v>
      </c>
    </row>
    <row r="37" spans="2:6" ht="16.95" customHeight="1" x14ac:dyDescent="0.3">
      <c r="B37" s="118" t="s">
        <v>168</v>
      </c>
      <c r="C37" s="63" t="s">
        <v>137</v>
      </c>
      <c r="D37" s="63" t="s">
        <v>128</v>
      </c>
      <c r="E37" s="135" t="s">
        <v>128</v>
      </c>
      <c r="F37" s="125">
        <v>0</v>
      </c>
    </row>
    <row r="38" spans="2:6" ht="16.95" customHeight="1" x14ac:dyDescent="0.3">
      <c r="B38" s="114" t="s">
        <v>169</v>
      </c>
      <c r="C38" s="13" t="s">
        <v>137</v>
      </c>
      <c r="D38" s="13" t="s">
        <v>128</v>
      </c>
      <c r="E38" s="136" t="s">
        <v>128</v>
      </c>
      <c r="F38" s="124">
        <v>0</v>
      </c>
    </row>
    <row r="39" spans="2:6" ht="16.95" customHeight="1" x14ac:dyDescent="0.3">
      <c r="B39" s="118" t="s">
        <v>170</v>
      </c>
      <c r="C39" s="63" t="s">
        <v>137</v>
      </c>
      <c r="D39" s="63" t="s">
        <v>128</v>
      </c>
      <c r="E39" s="135" t="s">
        <v>128</v>
      </c>
      <c r="F39" s="125">
        <v>0</v>
      </c>
    </row>
    <row r="40" spans="2:6" ht="16.95" customHeight="1" x14ac:dyDescent="0.3">
      <c r="B40" s="114" t="s">
        <v>171</v>
      </c>
      <c r="C40" s="13" t="s">
        <v>137</v>
      </c>
      <c r="D40" s="13" t="s">
        <v>128</v>
      </c>
      <c r="E40" s="136" t="s">
        <v>128</v>
      </c>
      <c r="F40" s="124">
        <v>0</v>
      </c>
    </row>
    <row r="41" spans="2:6" ht="16.95" customHeight="1" x14ac:dyDescent="0.3">
      <c r="B41" s="118" t="s">
        <v>172</v>
      </c>
      <c r="C41" s="63" t="s">
        <v>137</v>
      </c>
      <c r="D41" s="63" t="s">
        <v>128</v>
      </c>
      <c r="E41" s="135" t="s">
        <v>128</v>
      </c>
      <c r="F41" s="125">
        <v>0</v>
      </c>
    </row>
    <row r="42" spans="2:6" ht="16.95" customHeight="1" x14ac:dyDescent="0.3">
      <c r="B42" s="114" t="s">
        <v>173</v>
      </c>
      <c r="C42" s="13" t="s">
        <v>137</v>
      </c>
      <c r="D42" s="13" t="s">
        <v>128</v>
      </c>
      <c r="E42" s="136" t="s">
        <v>128</v>
      </c>
      <c r="F42" s="124">
        <v>0</v>
      </c>
    </row>
    <row r="43" spans="2:6" ht="16.95" customHeight="1" x14ac:dyDescent="0.3">
      <c r="B43" s="118" t="s">
        <v>174</v>
      </c>
      <c r="C43" s="63" t="s">
        <v>137</v>
      </c>
      <c r="D43" s="63" t="s">
        <v>128</v>
      </c>
      <c r="E43" s="135" t="s">
        <v>128</v>
      </c>
      <c r="F43" s="125">
        <v>0</v>
      </c>
    </row>
    <row r="44" spans="2:6" ht="16.95" customHeight="1" x14ac:dyDescent="0.3">
      <c r="B44" s="114" t="s">
        <v>175</v>
      </c>
      <c r="C44" s="13" t="s">
        <v>137</v>
      </c>
      <c r="D44" s="13" t="s">
        <v>128</v>
      </c>
      <c r="E44" s="136" t="s">
        <v>128</v>
      </c>
      <c r="F44" s="124">
        <v>0</v>
      </c>
    </row>
    <row r="45" spans="2:6" ht="16.95" customHeight="1" x14ac:dyDescent="0.3">
      <c r="B45" s="118" t="s">
        <v>176</v>
      </c>
      <c r="C45" s="63" t="s">
        <v>137</v>
      </c>
      <c r="D45" s="63" t="s">
        <v>128</v>
      </c>
      <c r="E45" s="135" t="s">
        <v>128</v>
      </c>
      <c r="F45" s="125">
        <v>0</v>
      </c>
    </row>
    <row r="46" spans="2:6" ht="16.95" customHeight="1" x14ac:dyDescent="0.3">
      <c r="B46" s="114" t="s">
        <v>177</v>
      </c>
      <c r="C46" s="13" t="s">
        <v>137</v>
      </c>
      <c r="D46" s="13" t="s">
        <v>128</v>
      </c>
      <c r="E46" s="136" t="s">
        <v>128</v>
      </c>
      <c r="F46" s="124">
        <v>0</v>
      </c>
    </row>
    <row r="47" spans="2:6" ht="16.95" customHeight="1" x14ac:dyDescent="0.3">
      <c r="B47" s="118" t="s">
        <v>178</v>
      </c>
      <c r="C47" s="63" t="s">
        <v>137</v>
      </c>
      <c r="D47" s="63" t="s">
        <v>128</v>
      </c>
      <c r="E47" s="135" t="s">
        <v>128</v>
      </c>
      <c r="F47" s="125">
        <v>0</v>
      </c>
    </row>
    <row r="48" spans="2:6" ht="16.95" customHeight="1" x14ac:dyDescent="0.3">
      <c r="B48" s="114" t="s">
        <v>179</v>
      </c>
      <c r="C48" s="13" t="s">
        <v>137</v>
      </c>
      <c r="D48" s="13" t="s">
        <v>128</v>
      </c>
      <c r="E48" s="136" t="s">
        <v>128</v>
      </c>
      <c r="F48" s="124">
        <v>0</v>
      </c>
    </row>
    <row r="49" spans="2:6" ht="16.95" customHeight="1" x14ac:dyDescent="0.3">
      <c r="B49" s="118" t="s">
        <v>180</v>
      </c>
      <c r="C49" s="63" t="s">
        <v>137</v>
      </c>
      <c r="D49" s="63" t="s">
        <v>128</v>
      </c>
      <c r="E49" s="135" t="s">
        <v>128</v>
      </c>
      <c r="F49" s="125">
        <v>0</v>
      </c>
    </row>
    <row r="50" spans="2:6" ht="16.95" customHeight="1" x14ac:dyDescent="0.3">
      <c r="B50" s="114" t="s">
        <v>181</v>
      </c>
      <c r="C50" s="13" t="s">
        <v>137</v>
      </c>
      <c r="D50" s="13" t="s">
        <v>128</v>
      </c>
      <c r="E50" s="136" t="s">
        <v>128</v>
      </c>
      <c r="F50" s="124">
        <v>0</v>
      </c>
    </row>
    <row r="51" spans="2:6" ht="16.95" customHeight="1" x14ac:dyDescent="0.3">
      <c r="B51" s="118" t="s">
        <v>182</v>
      </c>
      <c r="C51" s="63" t="s">
        <v>137</v>
      </c>
      <c r="D51" s="63" t="s">
        <v>128</v>
      </c>
      <c r="E51" s="135" t="s">
        <v>128</v>
      </c>
      <c r="F51" s="125">
        <v>0</v>
      </c>
    </row>
    <row r="52" spans="2:6" ht="18" customHeight="1" x14ac:dyDescent="0.3">
      <c r="B52" s="127" t="s">
        <v>183</v>
      </c>
      <c r="C52" s="68" t="s">
        <v>137</v>
      </c>
      <c r="D52" s="68" t="s">
        <v>128</v>
      </c>
      <c r="E52" s="137" t="s">
        <v>128</v>
      </c>
      <c r="F52" s="128">
        <v>0</v>
      </c>
    </row>
    <row r="53" spans="2:6" ht="18" customHeight="1" x14ac:dyDescent="0.3">
      <c r="B53" s="120" t="s">
        <v>184</v>
      </c>
      <c r="C53" s="24" t="s">
        <v>137</v>
      </c>
      <c r="D53" s="24" t="s">
        <v>128</v>
      </c>
      <c r="E53" s="134" t="s">
        <v>128</v>
      </c>
      <c r="F53" s="126">
        <v>0</v>
      </c>
    </row>
    <row r="54" spans="2:6" ht="16.95" customHeight="1" x14ac:dyDescent="0.3">
      <c r="B54" s="114" t="s">
        <v>185</v>
      </c>
      <c r="C54" s="13"/>
      <c r="D54" s="13">
        <v>14</v>
      </c>
      <c r="E54" s="136" t="s">
        <v>186</v>
      </c>
      <c r="F54" s="124">
        <v>59.44</v>
      </c>
    </row>
    <row r="55" spans="2:6" ht="16.95" customHeight="1" x14ac:dyDescent="0.3">
      <c r="B55" s="118" t="s">
        <v>187</v>
      </c>
      <c r="C55" s="63"/>
      <c r="D55" s="63" t="s">
        <v>128</v>
      </c>
      <c r="E55" s="135" t="s">
        <v>128</v>
      </c>
      <c r="F55" s="125">
        <v>0</v>
      </c>
    </row>
    <row r="56" spans="2:6" ht="16.95" customHeight="1" x14ac:dyDescent="0.3">
      <c r="B56" s="114" t="s">
        <v>150</v>
      </c>
      <c r="C56" s="13"/>
      <c r="D56" s="13" t="s">
        <v>128</v>
      </c>
      <c r="E56" s="136" t="s">
        <v>128</v>
      </c>
      <c r="F56" s="124">
        <v>0</v>
      </c>
    </row>
    <row r="57" spans="2:6" ht="16.95" customHeight="1" x14ac:dyDescent="0.3">
      <c r="B57" s="118" t="s">
        <v>188</v>
      </c>
      <c r="C57" s="63" t="s">
        <v>137</v>
      </c>
      <c r="D57" s="63" t="s">
        <v>128</v>
      </c>
      <c r="E57" s="135" t="s">
        <v>128</v>
      </c>
      <c r="F57" s="125">
        <v>0</v>
      </c>
    </row>
    <row r="58" spans="2:6" ht="16.95" customHeight="1" x14ac:dyDescent="0.3">
      <c r="B58" s="114" t="s">
        <v>189</v>
      </c>
      <c r="C58" s="13" t="s">
        <v>137</v>
      </c>
      <c r="D58" s="13" t="s">
        <v>128</v>
      </c>
      <c r="E58" s="136" t="s">
        <v>128</v>
      </c>
      <c r="F58" s="124">
        <v>0</v>
      </c>
    </row>
    <row r="59" spans="2:6" ht="16.95" customHeight="1" x14ac:dyDescent="0.3">
      <c r="B59" s="118" t="s">
        <v>190</v>
      </c>
      <c r="C59" s="63" t="s">
        <v>137</v>
      </c>
      <c r="D59" s="63" t="s">
        <v>128</v>
      </c>
      <c r="E59" s="135" t="s">
        <v>128</v>
      </c>
      <c r="F59" s="125">
        <v>0</v>
      </c>
    </row>
    <row r="60" spans="2:6" ht="16.95" customHeight="1" x14ac:dyDescent="0.3">
      <c r="B60" s="114" t="s">
        <v>191</v>
      </c>
      <c r="C60" s="13" t="s">
        <v>137</v>
      </c>
      <c r="D60" s="13" t="s">
        <v>128</v>
      </c>
      <c r="E60" s="136" t="s">
        <v>128</v>
      </c>
      <c r="F60" s="124">
        <v>0</v>
      </c>
    </row>
    <row r="61" spans="2:6" ht="16.95" customHeight="1" x14ac:dyDescent="0.3">
      <c r="B61" s="118" t="s">
        <v>192</v>
      </c>
      <c r="C61" s="63" t="s">
        <v>137</v>
      </c>
      <c r="D61" s="63" t="s">
        <v>128</v>
      </c>
      <c r="E61" s="135" t="s">
        <v>128</v>
      </c>
      <c r="F61" s="125">
        <v>0</v>
      </c>
    </row>
    <row r="62" spans="2:6" ht="16.95" customHeight="1" x14ac:dyDescent="0.3">
      <c r="B62" s="114" t="s">
        <v>193</v>
      </c>
      <c r="C62" s="13" t="s">
        <v>137</v>
      </c>
      <c r="D62" s="13" t="s">
        <v>128</v>
      </c>
      <c r="E62" s="136" t="s">
        <v>128</v>
      </c>
      <c r="F62" s="124">
        <v>0</v>
      </c>
    </row>
    <row r="63" spans="2:6" ht="16.95" customHeight="1" x14ac:dyDescent="0.3">
      <c r="B63" s="118" t="s">
        <v>194</v>
      </c>
      <c r="C63" s="63" t="s">
        <v>137</v>
      </c>
      <c r="D63" s="63" t="s">
        <v>128</v>
      </c>
      <c r="E63" s="135" t="s">
        <v>128</v>
      </c>
      <c r="F63" s="125">
        <v>0</v>
      </c>
    </row>
    <row r="64" spans="2:6" ht="16.95" customHeight="1" x14ac:dyDescent="0.3">
      <c r="B64" s="114" t="s">
        <v>195</v>
      </c>
      <c r="C64" s="13" t="s">
        <v>137</v>
      </c>
      <c r="D64" s="13" t="s">
        <v>128</v>
      </c>
      <c r="E64" s="136" t="s">
        <v>128</v>
      </c>
      <c r="F64" s="124">
        <v>0</v>
      </c>
    </row>
    <row r="65" spans="2:6" ht="16.95" customHeight="1" x14ac:dyDescent="0.3">
      <c r="B65" s="118" t="s">
        <v>196</v>
      </c>
      <c r="C65" s="63" t="s">
        <v>137</v>
      </c>
      <c r="D65" s="63" t="s">
        <v>128</v>
      </c>
      <c r="E65" s="135" t="s">
        <v>128</v>
      </c>
      <c r="F65" s="125">
        <v>0</v>
      </c>
    </row>
    <row r="66" spans="2:6" ht="16.95" customHeight="1" x14ac:dyDescent="0.3">
      <c r="B66" s="114" t="s">
        <v>197</v>
      </c>
      <c r="C66" s="13" t="s">
        <v>137</v>
      </c>
      <c r="D66" s="13" t="s">
        <v>128</v>
      </c>
      <c r="E66" s="136" t="s">
        <v>128</v>
      </c>
      <c r="F66" s="124">
        <v>0</v>
      </c>
    </row>
    <row r="67" spans="2:6" ht="16.95" customHeight="1" x14ac:dyDescent="0.3">
      <c r="B67" s="118" t="s">
        <v>198</v>
      </c>
      <c r="C67" s="63" t="s">
        <v>137</v>
      </c>
      <c r="D67" s="63" t="s">
        <v>128</v>
      </c>
      <c r="E67" s="135" t="s">
        <v>128</v>
      </c>
      <c r="F67" s="125">
        <v>0</v>
      </c>
    </row>
    <row r="68" spans="2:6" ht="16.95" customHeight="1" x14ac:dyDescent="0.3">
      <c r="B68" s="114" t="s">
        <v>199</v>
      </c>
      <c r="C68" s="13" t="s">
        <v>137</v>
      </c>
      <c r="D68" s="13" t="s">
        <v>128</v>
      </c>
      <c r="E68" s="136" t="s">
        <v>128</v>
      </c>
      <c r="F68" s="124">
        <v>0</v>
      </c>
    </row>
    <row r="69" spans="2:6" ht="16.95" customHeight="1" x14ac:dyDescent="0.3">
      <c r="B69" s="118" t="s">
        <v>200</v>
      </c>
      <c r="C69" s="63" t="s">
        <v>137</v>
      </c>
      <c r="D69" s="63" t="s">
        <v>128</v>
      </c>
      <c r="E69" s="135" t="s">
        <v>128</v>
      </c>
      <c r="F69" s="125">
        <v>0</v>
      </c>
    </row>
    <row r="70" spans="2:6" ht="16.95" customHeight="1" x14ac:dyDescent="0.3">
      <c r="B70" s="114" t="s">
        <v>201</v>
      </c>
      <c r="C70" s="13" t="s">
        <v>137</v>
      </c>
      <c r="D70" s="13" t="s">
        <v>128</v>
      </c>
      <c r="E70" s="136" t="s">
        <v>128</v>
      </c>
      <c r="F70" s="124">
        <v>0</v>
      </c>
    </row>
    <row r="71" spans="2:6" ht="16.95" customHeight="1" x14ac:dyDescent="0.3">
      <c r="B71" s="118" t="s">
        <v>202</v>
      </c>
      <c r="C71" s="63" t="s">
        <v>137</v>
      </c>
      <c r="D71" s="63" t="s">
        <v>128</v>
      </c>
      <c r="E71" s="135" t="s">
        <v>128</v>
      </c>
      <c r="F71" s="125">
        <v>0</v>
      </c>
    </row>
    <row r="72" spans="2:6" ht="16.95" customHeight="1" x14ac:dyDescent="0.3">
      <c r="B72" s="114" t="s">
        <v>203</v>
      </c>
      <c r="C72" s="13" t="s">
        <v>137</v>
      </c>
      <c r="D72" s="13" t="s">
        <v>128</v>
      </c>
      <c r="E72" s="136" t="s">
        <v>128</v>
      </c>
      <c r="F72" s="124">
        <v>0</v>
      </c>
    </row>
    <row r="73" spans="2:6" ht="16.95" customHeight="1" x14ac:dyDescent="0.3">
      <c r="B73" s="118" t="s">
        <v>204</v>
      </c>
      <c r="C73" s="63" t="s">
        <v>137</v>
      </c>
      <c r="D73" s="63" t="s">
        <v>128</v>
      </c>
      <c r="E73" s="135" t="s">
        <v>128</v>
      </c>
      <c r="F73" s="125">
        <v>0</v>
      </c>
    </row>
    <row r="74" spans="2:6" ht="16.95" customHeight="1" x14ac:dyDescent="0.3">
      <c r="B74" s="114" t="s">
        <v>205</v>
      </c>
      <c r="C74" s="13" t="s">
        <v>137</v>
      </c>
      <c r="D74" s="13" t="s">
        <v>128</v>
      </c>
      <c r="E74" s="136" t="s">
        <v>128</v>
      </c>
      <c r="F74" s="124">
        <v>0</v>
      </c>
    </row>
    <row r="75" spans="2:6" ht="16.95" customHeight="1" x14ac:dyDescent="0.3">
      <c r="B75" s="118" t="s">
        <v>206</v>
      </c>
      <c r="C75" s="63" t="s">
        <v>137</v>
      </c>
      <c r="D75" s="63" t="s">
        <v>128</v>
      </c>
      <c r="E75" s="135" t="s">
        <v>128</v>
      </c>
      <c r="F75" s="125">
        <v>0</v>
      </c>
    </row>
    <row r="76" spans="2:6" ht="16.95" customHeight="1" x14ac:dyDescent="0.3">
      <c r="B76" s="114" t="s">
        <v>207</v>
      </c>
      <c r="C76" s="13" t="s">
        <v>137</v>
      </c>
      <c r="D76" s="13" t="s">
        <v>128</v>
      </c>
      <c r="E76" s="136" t="s">
        <v>128</v>
      </c>
      <c r="F76" s="124">
        <v>0</v>
      </c>
    </row>
    <row r="77" spans="2:6" ht="16.95" customHeight="1" x14ac:dyDescent="0.3">
      <c r="B77" s="118" t="s">
        <v>208</v>
      </c>
      <c r="C77" s="63" t="s">
        <v>137</v>
      </c>
      <c r="D77" s="63" t="s">
        <v>128</v>
      </c>
      <c r="E77" s="135" t="s">
        <v>128</v>
      </c>
      <c r="F77" s="125">
        <v>0</v>
      </c>
    </row>
    <row r="78" spans="2:6" ht="16.95" customHeight="1" x14ac:dyDescent="0.3">
      <c r="B78" s="114" t="s">
        <v>209</v>
      </c>
      <c r="C78" s="13" t="s">
        <v>137</v>
      </c>
      <c r="D78" s="13" t="s">
        <v>128</v>
      </c>
      <c r="E78" s="136" t="s">
        <v>128</v>
      </c>
      <c r="F78" s="124">
        <v>0</v>
      </c>
    </row>
    <row r="79" spans="2:6" ht="16.95" customHeight="1" x14ac:dyDescent="0.3">
      <c r="B79" s="118" t="s">
        <v>210</v>
      </c>
      <c r="C79" s="63" t="s">
        <v>137</v>
      </c>
      <c r="D79" s="63" t="s">
        <v>128</v>
      </c>
      <c r="E79" s="135" t="s">
        <v>128</v>
      </c>
      <c r="F79" s="125">
        <v>0</v>
      </c>
    </row>
    <row r="80" spans="2:6" ht="16.95" customHeight="1" x14ac:dyDescent="0.3">
      <c r="B80" s="114" t="s">
        <v>211</v>
      </c>
      <c r="C80" s="13" t="s">
        <v>137</v>
      </c>
      <c r="D80" s="13" t="s">
        <v>128</v>
      </c>
      <c r="E80" s="136" t="s">
        <v>128</v>
      </c>
      <c r="F80" s="124">
        <v>0</v>
      </c>
    </row>
    <row r="81" spans="2:6" ht="16.95" customHeight="1" x14ac:dyDescent="0.3">
      <c r="B81" s="118" t="s">
        <v>212</v>
      </c>
      <c r="C81" s="63" t="s">
        <v>137</v>
      </c>
      <c r="D81" s="63" t="s">
        <v>128</v>
      </c>
      <c r="E81" s="135" t="s">
        <v>128</v>
      </c>
      <c r="F81" s="125">
        <v>0</v>
      </c>
    </row>
    <row r="82" spans="2:6" ht="16.95" customHeight="1" x14ac:dyDescent="0.3">
      <c r="B82" s="114" t="s">
        <v>213</v>
      </c>
      <c r="C82" s="13" t="s">
        <v>137</v>
      </c>
      <c r="D82" s="13" t="s">
        <v>128</v>
      </c>
      <c r="E82" s="136" t="s">
        <v>128</v>
      </c>
      <c r="F82" s="124">
        <v>0</v>
      </c>
    </row>
    <row r="83" spans="2:6" ht="18" customHeight="1" x14ac:dyDescent="0.3">
      <c r="B83" s="132" t="s">
        <v>214</v>
      </c>
      <c r="C83" s="102"/>
      <c r="D83" s="102" t="s">
        <v>128</v>
      </c>
      <c r="E83" s="138" t="s">
        <v>128</v>
      </c>
      <c r="F83" s="133">
        <v>0</v>
      </c>
    </row>
    <row r="84" spans="2:6" ht="19.95" customHeight="1" thickBot="1" x14ac:dyDescent="0.35">
      <c r="B84" s="129" t="s">
        <v>215</v>
      </c>
      <c r="C84" s="130"/>
      <c r="D84" s="130">
        <v>14</v>
      </c>
      <c r="E84" s="139" t="s">
        <v>186</v>
      </c>
      <c r="F84" s="131">
        <v>59.44</v>
      </c>
    </row>
    <row r="85" spans="2:6" ht="15" thickTop="1" x14ac:dyDescent="0.3"/>
  </sheetData>
  <mergeCells count="7">
    <mergeCell ref="K3:R3"/>
    <mergeCell ref="B2:F2"/>
    <mergeCell ref="B3:B5"/>
    <mergeCell ref="C3:C5"/>
    <mergeCell ref="D3:D5"/>
    <mergeCell ref="E3:E5"/>
    <mergeCell ref="F3:F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2708A-3500-4582-A78F-668D17F5A9F7}">
  <dimension ref="A1:R84"/>
  <sheetViews>
    <sheetView showGridLines="0" topLeftCell="B1" workbookViewId="0">
      <selection activeCell="G2" sqref="G2"/>
    </sheetView>
  </sheetViews>
  <sheetFormatPr defaultRowHeight="14.4" x14ac:dyDescent="0.3"/>
  <cols>
    <col min="1" max="1" width="1.5546875" style="6" customWidth="1"/>
    <col min="2" max="2" width="53.6640625" customWidth="1"/>
    <col min="3" max="3" width="22.21875" customWidth="1"/>
    <col min="4" max="4" width="17.5546875" customWidth="1"/>
    <col min="5" max="5" width="22.21875" customWidth="1"/>
    <col min="6" max="6" width="16.6640625" customWidth="1"/>
  </cols>
  <sheetData>
    <row r="1" spans="2:18" s="6" customFormat="1" x14ac:dyDescent="0.3"/>
    <row r="2" spans="2:18" ht="28.05" customHeight="1" x14ac:dyDescent="0.3">
      <c r="B2" s="462" t="s">
        <v>291</v>
      </c>
      <c r="C2" s="463"/>
      <c r="D2" s="449"/>
      <c r="E2" s="449"/>
      <c r="F2" s="464"/>
    </row>
    <row r="3" spans="2:18" ht="18" customHeight="1" x14ac:dyDescent="0.3">
      <c r="B3" s="57"/>
      <c r="C3" s="456" t="s">
        <v>217</v>
      </c>
      <c r="D3" s="458" t="s">
        <v>218</v>
      </c>
      <c r="E3" s="458" t="s">
        <v>219</v>
      </c>
      <c r="F3" s="465" t="s">
        <v>284</v>
      </c>
      <c r="K3" s="454"/>
      <c r="L3" s="454"/>
      <c r="M3" s="454"/>
      <c r="N3" s="454"/>
      <c r="O3" s="454"/>
      <c r="P3" s="454"/>
      <c r="Q3" s="454"/>
      <c r="R3" s="454"/>
    </row>
    <row r="4" spans="2:18" ht="6" customHeight="1" x14ac:dyDescent="0.3">
      <c r="B4" s="81"/>
      <c r="C4" s="457"/>
      <c r="D4" s="459"/>
      <c r="E4" s="459"/>
      <c r="F4" s="466"/>
    </row>
    <row r="5" spans="2:18" ht="6" customHeight="1" x14ac:dyDescent="0.3">
      <c r="B5" s="81"/>
      <c r="C5" s="457"/>
      <c r="D5" s="459"/>
      <c r="E5" s="459"/>
      <c r="F5" s="466"/>
    </row>
    <row r="6" spans="2:18" ht="18" customHeight="1" x14ac:dyDescent="0.3">
      <c r="B6" s="80"/>
      <c r="C6" s="120" t="s">
        <v>220</v>
      </c>
      <c r="D6" s="24" t="s">
        <v>128</v>
      </c>
      <c r="E6" s="24" t="s">
        <v>128</v>
      </c>
      <c r="F6" s="148">
        <v>0</v>
      </c>
    </row>
    <row r="7" spans="2:18" ht="18" customHeight="1" x14ac:dyDescent="0.3">
      <c r="B7" s="80"/>
      <c r="C7" s="120" t="s">
        <v>221</v>
      </c>
      <c r="D7" s="24" t="s">
        <v>128</v>
      </c>
      <c r="E7" s="24" t="s">
        <v>128</v>
      </c>
      <c r="F7" s="148">
        <v>0</v>
      </c>
    </row>
    <row r="8" spans="2:18" ht="16.95" customHeight="1" x14ac:dyDescent="0.3">
      <c r="B8" s="81"/>
      <c r="C8" s="114" t="s">
        <v>222</v>
      </c>
      <c r="D8" s="13">
        <v>40</v>
      </c>
      <c r="E8" s="13" t="s">
        <v>223</v>
      </c>
      <c r="F8" s="217">
        <v>8.3000000000000007</v>
      </c>
    </row>
    <row r="9" spans="2:18" ht="16.95" customHeight="1" x14ac:dyDescent="0.3">
      <c r="B9" s="82"/>
      <c r="C9" s="118" t="s">
        <v>224</v>
      </c>
      <c r="D9" s="63">
        <v>1</v>
      </c>
      <c r="E9" s="63" t="s">
        <v>225</v>
      </c>
      <c r="F9" s="218">
        <v>1.75</v>
      </c>
    </row>
    <row r="10" spans="2:18" ht="16.95" customHeight="1" x14ac:dyDescent="0.3">
      <c r="B10" s="81"/>
      <c r="C10" s="114" t="s">
        <v>226</v>
      </c>
      <c r="D10" s="13">
        <v>1</v>
      </c>
      <c r="E10" s="13" t="s">
        <v>227</v>
      </c>
      <c r="F10" s="217">
        <v>1.1200000000000001</v>
      </c>
    </row>
    <row r="11" spans="2:18" ht="16.95" customHeight="1" x14ac:dyDescent="0.3">
      <c r="B11" s="82"/>
      <c r="C11" s="118" t="s">
        <v>228</v>
      </c>
      <c r="D11" s="63">
        <v>37</v>
      </c>
      <c r="E11" s="63" t="s">
        <v>229</v>
      </c>
      <c r="F11" s="218">
        <v>0.24</v>
      </c>
    </row>
    <row r="12" spans="2:18" ht="16.95" customHeight="1" x14ac:dyDescent="0.3">
      <c r="B12" s="81"/>
      <c r="C12" s="114" t="s">
        <v>230</v>
      </c>
      <c r="D12" s="13">
        <v>1</v>
      </c>
      <c r="E12" s="13">
        <v>645</v>
      </c>
      <c r="F12" s="217">
        <v>0</v>
      </c>
    </row>
    <row r="13" spans="2:18" ht="16.95" customHeight="1" x14ac:dyDescent="0.3">
      <c r="B13" s="82"/>
      <c r="C13" s="118" t="s">
        <v>231</v>
      </c>
      <c r="D13" s="63">
        <v>26</v>
      </c>
      <c r="E13" s="63" t="s">
        <v>232</v>
      </c>
      <c r="F13" s="218">
        <v>4.68</v>
      </c>
    </row>
    <row r="14" spans="2:18" ht="16.95" customHeight="1" x14ac:dyDescent="0.3">
      <c r="B14" s="81"/>
      <c r="C14" s="114" t="s">
        <v>233</v>
      </c>
      <c r="D14" s="13">
        <v>1</v>
      </c>
      <c r="E14" s="13" t="s">
        <v>234</v>
      </c>
      <c r="F14" s="217">
        <v>2.16</v>
      </c>
    </row>
    <row r="15" spans="2:18" ht="16.95" customHeight="1" x14ac:dyDescent="0.3">
      <c r="B15" s="82"/>
      <c r="C15" s="118" t="s">
        <v>235</v>
      </c>
      <c r="D15" s="63">
        <v>1</v>
      </c>
      <c r="E15" s="63" t="s">
        <v>236</v>
      </c>
      <c r="F15" s="218">
        <v>1.1299999999999999</v>
      </c>
    </row>
    <row r="16" spans="2:18" ht="16.95" customHeight="1" x14ac:dyDescent="0.3">
      <c r="B16" s="81"/>
      <c r="C16" s="114" t="s">
        <v>237</v>
      </c>
      <c r="D16" s="13">
        <v>1</v>
      </c>
      <c r="E16" s="13" t="s">
        <v>236</v>
      </c>
      <c r="F16" s="217">
        <v>1.1299999999999999</v>
      </c>
    </row>
    <row r="17" spans="2:6" ht="18" customHeight="1" x14ac:dyDescent="0.3">
      <c r="B17" s="145"/>
      <c r="C17" s="140" t="s">
        <v>238</v>
      </c>
      <c r="D17" s="141">
        <v>2</v>
      </c>
      <c r="E17" s="141" t="s">
        <v>239</v>
      </c>
      <c r="F17" s="219">
        <v>0.04</v>
      </c>
    </row>
    <row r="18" spans="2:6" ht="16.95" customHeight="1" x14ac:dyDescent="0.3">
      <c r="B18" s="81"/>
      <c r="C18" s="114" t="s">
        <v>240</v>
      </c>
      <c r="D18" s="13">
        <v>14</v>
      </c>
      <c r="E18" s="13" t="s">
        <v>241</v>
      </c>
      <c r="F18" s="217">
        <v>0</v>
      </c>
    </row>
    <row r="19" spans="2:6" ht="16.95" customHeight="1" x14ac:dyDescent="0.3">
      <c r="B19" s="82"/>
      <c r="C19" s="118" t="s">
        <v>242</v>
      </c>
      <c r="D19" s="63">
        <v>121</v>
      </c>
      <c r="E19" s="63" t="s">
        <v>243</v>
      </c>
      <c r="F19" s="218">
        <v>14.4</v>
      </c>
    </row>
    <row r="20" spans="2:6" ht="16.95" customHeight="1" x14ac:dyDescent="0.3">
      <c r="B20" s="81"/>
      <c r="C20" s="114" t="s">
        <v>244</v>
      </c>
      <c r="D20" s="13" t="s">
        <v>128</v>
      </c>
      <c r="E20" s="13" t="s">
        <v>128</v>
      </c>
      <c r="F20" s="217">
        <v>0</v>
      </c>
    </row>
    <row r="21" spans="2:6" ht="16.95" customHeight="1" x14ac:dyDescent="0.3">
      <c r="B21" s="82"/>
      <c r="C21" s="118" t="s">
        <v>245</v>
      </c>
      <c r="D21" s="63">
        <v>778</v>
      </c>
      <c r="E21" s="63" t="s">
        <v>246</v>
      </c>
      <c r="F21" s="218">
        <v>18.89</v>
      </c>
    </row>
    <row r="22" spans="2:6" ht="18" customHeight="1" x14ac:dyDescent="0.3">
      <c r="B22" s="80"/>
      <c r="C22" s="120" t="s">
        <v>247</v>
      </c>
      <c r="D22" s="24">
        <v>1</v>
      </c>
      <c r="E22" s="24" t="s">
        <v>248</v>
      </c>
      <c r="F22" s="34">
        <v>1.37</v>
      </c>
    </row>
    <row r="23" spans="2:6" ht="18" customHeight="1" x14ac:dyDescent="0.3">
      <c r="B23" s="83"/>
      <c r="C23" s="127" t="s">
        <v>249</v>
      </c>
      <c r="D23" s="68">
        <v>1</v>
      </c>
      <c r="E23" s="68" t="s">
        <v>250</v>
      </c>
      <c r="F23" s="220">
        <v>1.84</v>
      </c>
    </row>
    <row r="24" spans="2:6" ht="18" customHeight="1" x14ac:dyDescent="0.3">
      <c r="B24" s="146"/>
      <c r="C24" s="142" t="s">
        <v>251</v>
      </c>
      <c r="D24" s="143">
        <v>53</v>
      </c>
      <c r="E24" s="143" t="s">
        <v>252</v>
      </c>
      <c r="F24" s="221">
        <v>0.62</v>
      </c>
    </row>
    <row r="25" spans="2:6" ht="18" customHeight="1" x14ac:dyDescent="0.3">
      <c r="B25" s="80"/>
      <c r="C25" s="120" t="s">
        <v>253</v>
      </c>
      <c r="D25" s="24">
        <v>831</v>
      </c>
      <c r="E25" s="24" t="s">
        <v>254</v>
      </c>
      <c r="F25" s="34">
        <v>19.510000000000002</v>
      </c>
    </row>
    <row r="26" spans="2:6" ht="16.95" customHeight="1" x14ac:dyDescent="0.3">
      <c r="B26" s="81"/>
      <c r="C26" s="114" t="s">
        <v>255</v>
      </c>
      <c r="D26" s="13" t="s">
        <v>128</v>
      </c>
      <c r="E26" s="13" t="s">
        <v>128</v>
      </c>
      <c r="F26" s="446" t="s">
        <v>553</v>
      </c>
    </row>
    <row r="27" spans="2:6" ht="16.95" customHeight="1" x14ac:dyDescent="0.3">
      <c r="B27" s="82"/>
      <c r="C27" s="118" t="s">
        <v>256</v>
      </c>
      <c r="D27" s="63">
        <v>1</v>
      </c>
      <c r="E27" s="63">
        <v>87</v>
      </c>
      <c r="F27" s="218" t="s">
        <v>547</v>
      </c>
    </row>
    <row r="28" spans="2:6" ht="16.95" customHeight="1" x14ac:dyDescent="0.3">
      <c r="B28" s="81"/>
      <c r="C28" s="114" t="s">
        <v>257</v>
      </c>
      <c r="D28" s="13">
        <v>1</v>
      </c>
      <c r="E28" s="13">
        <v>87</v>
      </c>
      <c r="F28" s="217" t="s">
        <v>548</v>
      </c>
    </row>
    <row r="29" spans="2:6" ht="16.95" customHeight="1" x14ac:dyDescent="0.3">
      <c r="B29" s="82"/>
      <c r="C29" s="118" t="s">
        <v>258</v>
      </c>
      <c r="D29" s="63" t="s">
        <v>128</v>
      </c>
      <c r="E29" s="63" t="s">
        <v>128</v>
      </c>
      <c r="F29" s="218" t="s">
        <v>549</v>
      </c>
    </row>
    <row r="30" spans="2:6" ht="16.95" customHeight="1" x14ac:dyDescent="0.3">
      <c r="B30" s="81"/>
      <c r="C30" s="114" t="s">
        <v>259</v>
      </c>
      <c r="D30" s="13">
        <v>3</v>
      </c>
      <c r="E30" s="13" t="s">
        <v>260</v>
      </c>
      <c r="F30" s="217" t="s">
        <v>550</v>
      </c>
    </row>
    <row r="31" spans="2:6" ht="16.95" customHeight="1" x14ac:dyDescent="0.3">
      <c r="B31" s="82"/>
      <c r="C31" s="118" t="s">
        <v>261</v>
      </c>
      <c r="D31" s="63">
        <v>1</v>
      </c>
      <c r="E31" s="119">
        <v>11250</v>
      </c>
      <c r="F31" s="218" t="s">
        <v>551</v>
      </c>
    </row>
    <row r="32" spans="2:6" ht="16.95" customHeight="1" x14ac:dyDescent="0.3">
      <c r="B32" s="81"/>
      <c r="C32" s="114" t="s">
        <v>262</v>
      </c>
      <c r="D32" s="13">
        <v>1</v>
      </c>
      <c r="E32" s="115">
        <v>4374</v>
      </c>
      <c r="F32" s="217" t="s">
        <v>552</v>
      </c>
    </row>
    <row r="33" spans="2:6" ht="16.95" customHeight="1" x14ac:dyDescent="0.3">
      <c r="B33" s="82"/>
      <c r="C33" s="118" t="s">
        <v>263</v>
      </c>
      <c r="D33" s="63" t="s">
        <v>264</v>
      </c>
      <c r="E33" s="63" t="s">
        <v>265</v>
      </c>
      <c r="F33" s="218">
        <v>4.38</v>
      </c>
    </row>
    <row r="34" spans="2:6" ht="16.95" customHeight="1" x14ac:dyDescent="0.3">
      <c r="B34" s="81"/>
      <c r="C34" s="114" t="s">
        <v>266</v>
      </c>
      <c r="D34" s="13">
        <v>51</v>
      </c>
      <c r="E34" s="13" t="s">
        <v>267</v>
      </c>
      <c r="F34" s="217">
        <v>0.84</v>
      </c>
    </row>
    <row r="35" spans="2:6" ht="16.95" customHeight="1" x14ac:dyDescent="0.3">
      <c r="B35" s="82"/>
      <c r="C35" s="118" t="s">
        <v>268</v>
      </c>
      <c r="D35" s="119">
        <v>15755</v>
      </c>
      <c r="E35" s="63" t="s">
        <v>269</v>
      </c>
      <c r="F35" s="218">
        <v>0.34</v>
      </c>
    </row>
    <row r="36" spans="2:6" ht="16.95" customHeight="1" x14ac:dyDescent="0.3">
      <c r="B36" s="81"/>
      <c r="C36" s="114" t="s">
        <v>270</v>
      </c>
      <c r="D36" s="115">
        <v>2110</v>
      </c>
      <c r="E36" s="13" t="s">
        <v>271</v>
      </c>
      <c r="F36" s="217">
        <v>0.79</v>
      </c>
    </row>
    <row r="37" spans="2:6" ht="16.95" customHeight="1" x14ac:dyDescent="0.3">
      <c r="B37" s="82"/>
      <c r="C37" s="118" t="s">
        <v>150</v>
      </c>
      <c r="D37" s="119">
        <v>7618</v>
      </c>
      <c r="E37" s="63" t="s">
        <v>272</v>
      </c>
      <c r="F37" s="218">
        <v>0.1</v>
      </c>
    </row>
    <row r="38" spans="2:6" ht="16.95" customHeight="1" x14ac:dyDescent="0.3">
      <c r="B38" s="81"/>
      <c r="C38" s="114" t="s">
        <v>273</v>
      </c>
      <c r="D38" s="13">
        <v>4</v>
      </c>
      <c r="E38" s="13">
        <v>261</v>
      </c>
      <c r="F38" s="217">
        <v>0</v>
      </c>
    </row>
    <row r="39" spans="2:6" ht="16.95" customHeight="1" x14ac:dyDescent="0.3">
      <c r="B39" s="82"/>
      <c r="C39" s="118" t="s">
        <v>274</v>
      </c>
      <c r="D39" s="119">
        <v>7595</v>
      </c>
      <c r="E39" s="63" t="s">
        <v>275</v>
      </c>
      <c r="F39" s="218">
        <v>0.1</v>
      </c>
    </row>
    <row r="40" spans="2:6" ht="16.95" customHeight="1" x14ac:dyDescent="0.3">
      <c r="B40" s="81"/>
      <c r="C40" s="114" t="s">
        <v>276</v>
      </c>
      <c r="D40" s="13">
        <v>19</v>
      </c>
      <c r="E40" s="115">
        <v>16170</v>
      </c>
      <c r="F40" s="217">
        <v>0</v>
      </c>
    </row>
    <row r="41" spans="2:6" ht="16.95" customHeight="1" x14ac:dyDescent="0.3">
      <c r="B41" s="82"/>
      <c r="C41" s="118" t="s">
        <v>277</v>
      </c>
      <c r="D41" s="63" t="s">
        <v>128</v>
      </c>
      <c r="E41" s="63" t="s">
        <v>128</v>
      </c>
      <c r="F41" s="218">
        <v>0</v>
      </c>
    </row>
    <row r="42" spans="2:6" ht="18" customHeight="1" x14ac:dyDescent="0.3">
      <c r="B42" s="111"/>
      <c r="C42" s="132" t="s">
        <v>278</v>
      </c>
      <c r="D42" s="102" t="s">
        <v>279</v>
      </c>
      <c r="E42" s="102" t="s">
        <v>280</v>
      </c>
      <c r="F42" s="222">
        <v>6.65</v>
      </c>
    </row>
    <row r="43" spans="2:6" ht="19.95" customHeight="1" x14ac:dyDescent="0.3">
      <c r="B43" s="87"/>
      <c r="C43" s="144" t="s">
        <v>281</v>
      </c>
      <c r="D43" s="73" t="s">
        <v>282</v>
      </c>
      <c r="E43" s="73" t="s">
        <v>283</v>
      </c>
      <c r="F43" s="223">
        <v>40.56</v>
      </c>
    </row>
    <row r="44" spans="2:6" x14ac:dyDescent="0.3">
      <c r="B44" s="147"/>
      <c r="C44" s="147"/>
    </row>
    <row r="45" spans="2:6" x14ac:dyDescent="0.3">
      <c r="B45" s="147"/>
      <c r="C45" s="147"/>
    </row>
    <row r="46" spans="2:6" x14ac:dyDescent="0.3">
      <c r="B46" s="147"/>
      <c r="C46" s="147"/>
    </row>
    <row r="47" spans="2:6" x14ac:dyDescent="0.3">
      <c r="B47" s="147"/>
      <c r="C47" s="147"/>
    </row>
    <row r="48" spans="2:6" x14ac:dyDescent="0.3">
      <c r="B48" s="147"/>
      <c r="C48" s="147"/>
    </row>
    <row r="49" spans="2:3" x14ac:dyDescent="0.3">
      <c r="B49" s="147"/>
      <c r="C49" s="147"/>
    </row>
    <row r="50" spans="2:3" x14ac:dyDescent="0.3">
      <c r="B50" s="147"/>
      <c r="C50" s="147"/>
    </row>
    <row r="51" spans="2:3" x14ac:dyDescent="0.3">
      <c r="B51" s="147"/>
      <c r="C51" s="147"/>
    </row>
    <row r="52" spans="2:3" x14ac:dyDescent="0.3">
      <c r="B52" s="147"/>
      <c r="C52" s="147"/>
    </row>
    <row r="53" spans="2:3" x14ac:dyDescent="0.3">
      <c r="B53" s="147"/>
      <c r="C53" s="147"/>
    </row>
    <row r="54" spans="2:3" x14ac:dyDescent="0.3">
      <c r="B54" s="147"/>
      <c r="C54" s="147"/>
    </row>
    <row r="55" spans="2:3" x14ac:dyDescent="0.3">
      <c r="B55" s="147"/>
      <c r="C55" s="147"/>
    </row>
    <row r="56" spans="2:3" x14ac:dyDescent="0.3">
      <c r="B56" s="147"/>
      <c r="C56" s="147"/>
    </row>
    <row r="57" spans="2:3" x14ac:dyDescent="0.3">
      <c r="B57" s="147"/>
      <c r="C57" s="147"/>
    </row>
    <row r="58" spans="2:3" x14ac:dyDescent="0.3">
      <c r="B58" s="147"/>
      <c r="C58" s="147"/>
    </row>
    <row r="59" spans="2:3" x14ac:dyDescent="0.3">
      <c r="B59" s="147"/>
      <c r="C59" s="147"/>
    </row>
    <row r="60" spans="2:3" x14ac:dyDescent="0.3">
      <c r="B60" s="147"/>
      <c r="C60" s="147"/>
    </row>
    <row r="61" spans="2:3" x14ac:dyDescent="0.3">
      <c r="B61" s="147"/>
      <c r="C61" s="147"/>
    </row>
    <row r="62" spans="2:3" x14ac:dyDescent="0.3">
      <c r="B62" s="147"/>
      <c r="C62" s="147"/>
    </row>
    <row r="63" spans="2:3" x14ac:dyDescent="0.3">
      <c r="B63" s="147"/>
      <c r="C63" s="147"/>
    </row>
    <row r="64" spans="2:3" x14ac:dyDescent="0.3">
      <c r="B64" s="147"/>
      <c r="C64" s="147"/>
    </row>
    <row r="65" spans="2:3" x14ac:dyDescent="0.3">
      <c r="B65" s="147"/>
      <c r="C65" s="147"/>
    </row>
    <row r="66" spans="2:3" x14ac:dyDescent="0.3">
      <c r="B66" s="147"/>
      <c r="C66" s="147"/>
    </row>
    <row r="67" spans="2:3" x14ac:dyDescent="0.3">
      <c r="B67" s="147"/>
      <c r="C67" s="147"/>
    </row>
    <row r="68" spans="2:3" x14ac:dyDescent="0.3">
      <c r="B68" s="147"/>
      <c r="C68" s="147"/>
    </row>
    <row r="69" spans="2:3" x14ac:dyDescent="0.3">
      <c r="B69" s="147"/>
      <c r="C69" s="147"/>
    </row>
    <row r="70" spans="2:3" x14ac:dyDescent="0.3">
      <c r="B70" s="147"/>
      <c r="C70" s="147"/>
    </row>
    <row r="71" spans="2:3" x14ac:dyDescent="0.3">
      <c r="B71" s="147"/>
      <c r="C71" s="147"/>
    </row>
    <row r="72" spans="2:3" x14ac:dyDescent="0.3">
      <c r="B72" s="147"/>
      <c r="C72" s="147"/>
    </row>
    <row r="73" spans="2:3" x14ac:dyDescent="0.3">
      <c r="B73" s="147"/>
      <c r="C73" s="147"/>
    </row>
    <row r="74" spans="2:3" x14ac:dyDescent="0.3">
      <c r="B74" s="147"/>
      <c r="C74" s="147"/>
    </row>
    <row r="75" spans="2:3" x14ac:dyDescent="0.3">
      <c r="B75" s="147"/>
      <c r="C75" s="147"/>
    </row>
    <row r="76" spans="2:3" x14ac:dyDescent="0.3">
      <c r="B76" s="147"/>
      <c r="C76" s="147"/>
    </row>
    <row r="77" spans="2:3" x14ac:dyDescent="0.3">
      <c r="B77" s="147"/>
      <c r="C77" s="147"/>
    </row>
    <row r="78" spans="2:3" x14ac:dyDescent="0.3">
      <c r="B78" s="147"/>
      <c r="C78" s="147"/>
    </row>
    <row r="79" spans="2:3" x14ac:dyDescent="0.3">
      <c r="B79" s="147"/>
      <c r="C79" s="147"/>
    </row>
    <row r="80" spans="2:3" x14ac:dyDescent="0.3">
      <c r="B80" s="147"/>
      <c r="C80" s="147"/>
    </row>
    <row r="81" spans="2:3" x14ac:dyDescent="0.3">
      <c r="B81" s="147"/>
      <c r="C81" s="147"/>
    </row>
    <row r="82" spans="2:3" x14ac:dyDescent="0.3">
      <c r="B82" s="147"/>
      <c r="C82" s="147"/>
    </row>
    <row r="83" spans="2:3" x14ac:dyDescent="0.3">
      <c r="B83" s="147"/>
      <c r="C83" s="147"/>
    </row>
    <row r="84" spans="2:3" x14ac:dyDescent="0.3">
      <c r="B84" s="147"/>
      <c r="C84" s="147"/>
    </row>
  </sheetData>
  <mergeCells count="6">
    <mergeCell ref="B2:F2"/>
    <mergeCell ref="K3:R3"/>
    <mergeCell ref="C3:C5"/>
    <mergeCell ref="D3:D5"/>
    <mergeCell ref="E3:E5"/>
    <mergeCell ref="F3:F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6EEEC-5B20-406E-8939-1188AB6DEA95}">
  <dimension ref="A1:AH31"/>
  <sheetViews>
    <sheetView showGridLines="0" topLeftCell="C8" workbookViewId="0">
      <selection activeCell="F28" sqref="F28"/>
    </sheetView>
  </sheetViews>
  <sheetFormatPr defaultRowHeight="14.4" x14ac:dyDescent="0.3"/>
  <cols>
    <col min="1" max="1" width="1.5546875" style="6" customWidth="1"/>
    <col min="2" max="2" width="48.109375" customWidth="1"/>
    <col min="3" max="8" width="15.77734375" customWidth="1"/>
  </cols>
  <sheetData>
    <row r="1" spans="2:34" s="6" customFormat="1" ht="15" thickBot="1" x14ac:dyDescent="0.35"/>
    <row r="2" spans="2:34" ht="28.05" customHeight="1" thickBot="1" x14ac:dyDescent="0.35">
      <c r="B2" s="448" t="s">
        <v>289</v>
      </c>
      <c r="C2" s="449"/>
      <c r="D2" s="449"/>
      <c r="E2" s="449"/>
      <c r="F2" s="449"/>
      <c r="G2" s="449"/>
      <c r="H2" s="450"/>
      <c r="I2" s="11"/>
      <c r="J2" s="6"/>
      <c r="K2" s="6"/>
      <c r="L2" s="6"/>
      <c r="M2" s="6"/>
      <c r="N2" s="6"/>
      <c r="O2" s="6"/>
      <c r="P2" s="6"/>
      <c r="Q2" s="6"/>
      <c r="R2" s="6"/>
      <c r="S2" s="6"/>
      <c r="T2" s="6"/>
      <c r="U2" s="6"/>
      <c r="V2" s="6"/>
      <c r="W2" s="6"/>
      <c r="X2" s="6"/>
      <c r="Y2" s="6"/>
      <c r="Z2" s="6"/>
      <c r="AA2" s="6"/>
      <c r="AB2" s="6"/>
      <c r="AC2" s="6"/>
      <c r="AD2" s="6"/>
      <c r="AE2" s="6"/>
      <c r="AF2" s="6"/>
      <c r="AG2" s="6"/>
      <c r="AH2" s="6"/>
    </row>
    <row r="3" spans="2:34" s="6" customFormat="1" ht="28.05" customHeight="1" x14ac:dyDescent="0.3">
      <c r="D3" s="214">
        <v>45657</v>
      </c>
      <c r="E3" s="214">
        <v>45747</v>
      </c>
      <c r="F3" s="214">
        <v>45838</v>
      </c>
      <c r="G3" s="214">
        <v>45930</v>
      </c>
      <c r="H3" s="214">
        <v>46022</v>
      </c>
      <c r="K3" s="451"/>
      <c r="L3" s="451"/>
      <c r="M3" s="451"/>
      <c r="N3" s="451"/>
      <c r="O3" s="451"/>
      <c r="P3" s="451"/>
      <c r="Q3" s="451"/>
      <c r="R3" s="451"/>
    </row>
    <row r="4" spans="2:34" ht="18" customHeight="1" x14ac:dyDescent="0.3">
      <c r="B4" s="57"/>
      <c r="C4" s="20" t="s">
        <v>99</v>
      </c>
      <c r="D4" s="116">
        <v>3688</v>
      </c>
      <c r="E4" s="116">
        <v>5566</v>
      </c>
      <c r="F4" s="116">
        <v>7017</v>
      </c>
      <c r="G4" s="116">
        <v>4896</v>
      </c>
      <c r="H4" s="117">
        <v>4204</v>
      </c>
      <c r="I4" s="6"/>
      <c r="J4" s="6"/>
      <c r="K4" s="6"/>
      <c r="L4" s="6"/>
      <c r="M4" s="6"/>
      <c r="N4" s="6"/>
      <c r="O4" s="6"/>
      <c r="P4" s="6"/>
      <c r="Q4" s="6"/>
      <c r="R4" s="6"/>
      <c r="S4" s="6"/>
      <c r="T4" s="6"/>
      <c r="U4" s="6"/>
      <c r="V4" s="6"/>
      <c r="W4" s="6"/>
      <c r="X4" s="6"/>
      <c r="Y4" s="6"/>
      <c r="Z4" s="6"/>
      <c r="AA4" s="6"/>
      <c r="AB4" s="6"/>
      <c r="AC4" s="6"/>
      <c r="AD4" s="6"/>
      <c r="AE4" s="6"/>
      <c r="AF4" s="6"/>
      <c r="AG4" s="6"/>
      <c r="AH4" s="6"/>
    </row>
    <row r="5" spans="2:34" ht="16.95" customHeight="1" x14ac:dyDescent="0.3">
      <c r="B5" s="81"/>
      <c r="C5" s="15" t="s">
        <v>100</v>
      </c>
      <c r="D5" s="15" t="s">
        <v>101</v>
      </c>
      <c r="E5" s="15" t="s">
        <v>101</v>
      </c>
      <c r="F5" s="15" t="s">
        <v>101</v>
      </c>
      <c r="G5" s="15" t="s">
        <v>101</v>
      </c>
      <c r="H5" s="55" t="s">
        <v>101</v>
      </c>
      <c r="I5" s="6"/>
      <c r="J5" s="6"/>
      <c r="K5" s="6"/>
      <c r="L5" s="6"/>
      <c r="M5" s="6"/>
      <c r="N5" s="6"/>
      <c r="O5" s="6"/>
      <c r="P5" s="6"/>
      <c r="Q5" s="6"/>
      <c r="R5" s="6"/>
      <c r="S5" s="6"/>
      <c r="T5" s="6"/>
      <c r="U5" s="6"/>
      <c r="V5" s="6"/>
      <c r="W5" s="6"/>
      <c r="X5" s="6"/>
      <c r="Y5" s="6"/>
      <c r="Z5" s="6"/>
      <c r="AA5" s="6"/>
      <c r="AB5" s="6"/>
      <c r="AC5" s="6"/>
      <c r="AD5" s="6"/>
      <c r="AE5" s="6"/>
      <c r="AF5" s="6"/>
      <c r="AG5" s="6"/>
      <c r="AH5" s="6"/>
    </row>
    <row r="6" spans="2:34" ht="16.95" customHeight="1" x14ac:dyDescent="0.3">
      <c r="B6" s="82"/>
      <c r="C6" s="27" t="s">
        <v>102</v>
      </c>
      <c r="D6" s="27">
        <v>3688</v>
      </c>
      <c r="E6" s="27">
        <v>5566</v>
      </c>
      <c r="F6" s="27">
        <v>7017</v>
      </c>
      <c r="G6" s="27">
        <v>4896</v>
      </c>
      <c r="H6" s="62">
        <v>4204</v>
      </c>
      <c r="I6" s="6"/>
      <c r="J6" s="6"/>
      <c r="K6" s="6"/>
      <c r="L6" s="6"/>
      <c r="M6" s="6"/>
      <c r="N6" s="6"/>
      <c r="O6" s="6"/>
      <c r="P6" s="6"/>
      <c r="Q6" s="6"/>
      <c r="R6" s="6"/>
      <c r="S6" s="6"/>
      <c r="T6" s="6"/>
      <c r="U6" s="6"/>
      <c r="V6" s="6"/>
      <c r="W6" s="6"/>
      <c r="X6" s="6"/>
      <c r="Y6" s="6"/>
      <c r="Z6" s="6"/>
      <c r="AA6" s="6"/>
      <c r="AB6" s="6"/>
      <c r="AC6" s="6"/>
      <c r="AD6" s="6"/>
      <c r="AE6" s="6"/>
      <c r="AF6" s="6"/>
      <c r="AG6" s="6"/>
      <c r="AH6" s="6"/>
    </row>
    <row r="7" spans="2:34" ht="18" customHeight="1" thickBot="1" x14ac:dyDescent="0.35">
      <c r="B7" s="80"/>
      <c r="C7" s="90" t="s">
        <v>103</v>
      </c>
      <c r="D7" s="215"/>
      <c r="E7" s="215"/>
      <c r="F7" s="215"/>
      <c r="G7" s="215"/>
      <c r="H7" s="216"/>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2:34" ht="16.95" customHeight="1" x14ac:dyDescent="0.3">
      <c r="B8" s="81"/>
      <c r="C8" s="15" t="s">
        <v>104</v>
      </c>
      <c r="D8" s="15">
        <v>1705</v>
      </c>
      <c r="E8" s="15">
        <v>2671</v>
      </c>
      <c r="F8" s="15">
        <v>2845</v>
      </c>
      <c r="G8" s="15">
        <v>1898</v>
      </c>
      <c r="H8" s="55">
        <v>1922</v>
      </c>
      <c r="I8" s="6"/>
      <c r="J8" s="6"/>
      <c r="K8" s="6"/>
      <c r="L8" s="6"/>
      <c r="M8" s="6"/>
      <c r="N8" s="6"/>
      <c r="O8" s="6"/>
      <c r="P8" s="6"/>
      <c r="Q8" s="6"/>
      <c r="R8" s="6"/>
      <c r="S8" s="6"/>
      <c r="T8" s="6"/>
      <c r="U8" s="6"/>
      <c r="V8" s="6"/>
      <c r="W8" s="6"/>
      <c r="X8" s="6"/>
      <c r="Y8" s="6"/>
      <c r="Z8" s="6"/>
      <c r="AA8" s="6"/>
      <c r="AB8" s="6"/>
      <c r="AC8" s="6"/>
      <c r="AD8" s="6"/>
      <c r="AE8" s="6"/>
      <c r="AF8" s="6"/>
      <c r="AG8" s="6"/>
      <c r="AH8" s="6"/>
    </row>
    <row r="9" spans="2:34" ht="16.95" customHeight="1" x14ac:dyDescent="0.3">
      <c r="B9" s="82"/>
      <c r="C9" s="27" t="s">
        <v>105</v>
      </c>
      <c r="D9" s="27">
        <v>144</v>
      </c>
      <c r="E9" s="27">
        <v>71</v>
      </c>
      <c r="F9" s="27">
        <v>99</v>
      </c>
      <c r="G9" s="27">
        <v>88</v>
      </c>
      <c r="H9" s="62">
        <v>110</v>
      </c>
      <c r="I9" s="6"/>
      <c r="J9" s="6"/>
      <c r="K9" s="6"/>
      <c r="L9" s="6"/>
      <c r="M9" s="6"/>
      <c r="N9" s="6"/>
      <c r="O9" s="6"/>
      <c r="P9" s="6"/>
      <c r="Q9" s="6"/>
      <c r="R9" s="6"/>
      <c r="S9" s="6"/>
      <c r="T9" s="6"/>
      <c r="U9" s="6"/>
      <c r="V9" s="6"/>
      <c r="W9" s="6"/>
      <c r="X9" s="6"/>
      <c r="Y9" s="6"/>
      <c r="Z9" s="6"/>
      <c r="AA9" s="6"/>
      <c r="AB9" s="6"/>
      <c r="AC9" s="6"/>
      <c r="AD9" s="6"/>
      <c r="AE9" s="6"/>
      <c r="AF9" s="6"/>
      <c r="AG9" s="6"/>
      <c r="AH9" s="6"/>
    </row>
    <row r="10" spans="2:34" ht="16.95" customHeight="1" x14ac:dyDescent="0.3">
      <c r="B10" s="81"/>
      <c r="C10" s="15" t="s">
        <v>106</v>
      </c>
      <c r="D10" s="15">
        <v>-229</v>
      </c>
      <c r="E10" s="15">
        <v>-213</v>
      </c>
      <c r="F10" s="15">
        <v>246</v>
      </c>
      <c r="G10" s="15">
        <v>131</v>
      </c>
      <c r="H10" s="55">
        <v>-156</v>
      </c>
      <c r="I10" s="6"/>
      <c r="J10" s="6"/>
      <c r="K10" s="6"/>
      <c r="L10" s="6"/>
      <c r="M10" s="6"/>
      <c r="N10" s="6"/>
      <c r="O10" s="6"/>
      <c r="P10" s="6"/>
      <c r="Q10" s="6"/>
      <c r="R10" s="6"/>
      <c r="S10" s="6"/>
      <c r="T10" s="6"/>
      <c r="U10" s="6"/>
      <c r="V10" s="6"/>
      <c r="W10" s="6"/>
      <c r="X10" s="6"/>
      <c r="Y10" s="6"/>
      <c r="Z10" s="6"/>
      <c r="AA10" s="6"/>
      <c r="AB10" s="6"/>
      <c r="AC10" s="6"/>
      <c r="AD10" s="6"/>
      <c r="AE10" s="6"/>
      <c r="AF10" s="6"/>
      <c r="AG10" s="6"/>
      <c r="AH10" s="6"/>
    </row>
    <row r="11" spans="2:34" ht="16.95" customHeight="1" x14ac:dyDescent="0.3">
      <c r="B11" s="82"/>
      <c r="C11" s="27" t="s">
        <v>107</v>
      </c>
      <c r="D11" s="27" t="s">
        <v>101</v>
      </c>
      <c r="E11" s="27" t="s">
        <v>101</v>
      </c>
      <c r="F11" s="27" t="s">
        <v>101</v>
      </c>
      <c r="G11" s="27" t="s">
        <v>101</v>
      </c>
      <c r="H11" s="62" t="s">
        <v>101</v>
      </c>
      <c r="I11" s="6"/>
      <c r="J11" s="6"/>
      <c r="K11" s="6"/>
      <c r="L11" s="6"/>
      <c r="M11" s="6"/>
      <c r="N11" s="6"/>
      <c r="O11" s="6"/>
      <c r="P11" s="6"/>
      <c r="Q11" s="6"/>
      <c r="R11" s="6"/>
      <c r="S11" s="6"/>
      <c r="T11" s="6"/>
      <c r="U11" s="6"/>
      <c r="V11" s="6"/>
      <c r="W11" s="6"/>
      <c r="X11" s="6"/>
      <c r="Y11" s="6"/>
      <c r="Z11" s="6"/>
      <c r="AA11" s="6"/>
      <c r="AB11" s="6"/>
      <c r="AC11" s="6"/>
      <c r="AD11" s="6"/>
      <c r="AE11" s="6"/>
      <c r="AF11" s="6"/>
      <c r="AG11" s="6"/>
      <c r="AH11" s="6"/>
    </row>
    <row r="12" spans="2:34" ht="16.95" customHeight="1" x14ac:dyDescent="0.3">
      <c r="B12" s="81"/>
      <c r="C12" s="15" t="s">
        <v>108</v>
      </c>
      <c r="D12" s="15">
        <v>479</v>
      </c>
      <c r="E12" s="15">
        <v>511</v>
      </c>
      <c r="F12" s="15">
        <v>549</v>
      </c>
      <c r="G12" s="15">
        <v>553</v>
      </c>
      <c r="H12" s="55">
        <v>586</v>
      </c>
      <c r="I12" s="6"/>
      <c r="J12" s="6"/>
      <c r="K12" s="6"/>
      <c r="L12" s="6"/>
      <c r="M12" s="6"/>
      <c r="N12" s="6"/>
      <c r="O12" s="6"/>
      <c r="P12" s="6"/>
      <c r="Q12" s="6"/>
      <c r="R12" s="6"/>
      <c r="S12" s="6"/>
      <c r="T12" s="6"/>
      <c r="U12" s="6"/>
      <c r="V12" s="6"/>
      <c r="W12" s="6"/>
      <c r="X12" s="6"/>
      <c r="Y12" s="6"/>
      <c r="Z12" s="6"/>
      <c r="AA12" s="6"/>
      <c r="AB12" s="6"/>
      <c r="AC12" s="6"/>
      <c r="AD12" s="6"/>
      <c r="AE12" s="6"/>
      <c r="AF12" s="6"/>
      <c r="AG12" s="6"/>
      <c r="AH12" s="6"/>
    </row>
    <row r="13" spans="2:34" ht="16.95" customHeight="1" x14ac:dyDescent="0.3">
      <c r="B13" s="82"/>
      <c r="C13" s="27" t="s">
        <v>24</v>
      </c>
      <c r="D13" s="27">
        <v>260</v>
      </c>
      <c r="E13" s="27">
        <v>272</v>
      </c>
      <c r="F13" s="27">
        <v>306</v>
      </c>
      <c r="G13" s="27">
        <v>307</v>
      </c>
      <c r="H13" s="62">
        <v>330</v>
      </c>
      <c r="I13" s="6"/>
      <c r="J13" s="6"/>
      <c r="K13" s="6"/>
      <c r="L13" s="6"/>
      <c r="M13" s="6"/>
      <c r="N13" s="6"/>
      <c r="O13" s="6"/>
      <c r="P13" s="6"/>
      <c r="Q13" s="6"/>
      <c r="R13" s="6"/>
      <c r="S13" s="6"/>
      <c r="T13" s="6"/>
      <c r="U13" s="6"/>
      <c r="V13" s="6"/>
      <c r="W13" s="6"/>
      <c r="X13" s="6"/>
      <c r="Y13" s="6"/>
      <c r="Z13" s="6"/>
      <c r="AA13" s="6"/>
      <c r="AB13" s="6"/>
      <c r="AC13" s="6"/>
      <c r="AD13" s="6"/>
      <c r="AE13" s="6"/>
      <c r="AF13" s="6"/>
      <c r="AG13" s="6"/>
      <c r="AH13" s="6"/>
    </row>
    <row r="14" spans="2:34" ht="16.95" customHeight="1" x14ac:dyDescent="0.3">
      <c r="B14" s="81"/>
      <c r="C14" s="15" t="s">
        <v>109</v>
      </c>
      <c r="D14" s="15" t="s">
        <v>101</v>
      </c>
      <c r="E14" s="15" t="s">
        <v>101</v>
      </c>
      <c r="F14" s="15" t="s">
        <v>101</v>
      </c>
      <c r="G14" s="15" t="s">
        <v>101</v>
      </c>
      <c r="H14" s="55" t="s">
        <v>101</v>
      </c>
      <c r="I14" s="6"/>
      <c r="J14" s="6"/>
      <c r="K14" s="6"/>
      <c r="L14" s="6"/>
      <c r="M14" s="6"/>
      <c r="N14" s="6"/>
      <c r="O14" s="6"/>
      <c r="P14" s="6"/>
      <c r="Q14" s="6"/>
      <c r="R14" s="6"/>
      <c r="S14" s="6"/>
      <c r="T14" s="6"/>
      <c r="U14" s="6"/>
      <c r="V14" s="6"/>
      <c r="W14" s="6"/>
      <c r="X14" s="6"/>
      <c r="Y14" s="6"/>
      <c r="Z14" s="6"/>
      <c r="AA14" s="6"/>
      <c r="AB14" s="6"/>
      <c r="AC14" s="6"/>
      <c r="AD14" s="6"/>
      <c r="AE14" s="6"/>
      <c r="AF14" s="6"/>
      <c r="AG14" s="6"/>
      <c r="AH14" s="6"/>
    </row>
    <row r="15" spans="2:34" ht="16.95" customHeight="1" x14ac:dyDescent="0.3">
      <c r="B15" s="82"/>
      <c r="C15" s="27" t="s">
        <v>110</v>
      </c>
      <c r="D15" s="27" t="s">
        <v>101</v>
      </c>
      <c r="E15" s="27" t="s">
        <v>101</v>
      </c>
      <c r="F15" s="27" t="s">
        <v>101</v>
      </c>
      <c r="G15" s="27" t="s">
        <v>101</v>
      </c>
      <c r="H15" s="62" t="s">
        <v>101</v>
      </c>
      <c r="I15" s="6"/>
      <c r="J15" s="6"/>
      <c r="K15" s="6"/>
      <c r="L15" s="6"/>
      <c r="M15" s="6"/>
      <c r="N15" s="6"/>
      <c r="O15" s="6"/>
      <c r="P15" s="6"/>
      <c r="Q15" s="6"/>
      <c r="R15" s="6"/>
      <c r="S15" s="6"/>
      <c r="T15" s="6"/>
      <c r="U15" s="6"/>
      <c r="V15" s="6"/>
      <c r="W15" s="6"/>
      <c r="X15" s="6"/>
      <c r="Y15" s="6"/>
      <c r="Z15" s="6"/>
      <c r="AA15" s="6"/>
      <c r="AB15" s="6"/>
      <c r="AC15" s="6"/>
      <c r="AD15" s="6"/>
      <c r="AE15" s="6"/>
      <c r="AF15" s="6"/>
      <c r="AG15" s="6"/>
      <c r="AH15" s="6"/>
    </row>
    <row r="16" spans="2:34" ht="16.95" customHeight="1" x14ac:dyDescent="0.3">
      <c r="B16" s="81"/>
      <c r="C16" s="15" t="s">
        <v>111</v>
      </c>
      <c r="D16" s="15" t="s">
        <v>101</v>
      </c>
      <c r="E16" s="15" t="s">
        <v>101</v>
      </c>
      <c r="F16" s="15" t="s">
        <v>101</v>
      </c>
      <c r="G16" s="15" t="s">
        <v>101</v>
      </c>
      <c r="H16" s="55" t="s">
        <v>101</v>
      </c>
      <c r="I16" s="6"/>
      <c r="J16" s="6"/>
      <c r="K16" s="6"/>
      <c r="L16" s="6"/>
      <c r="M16" s="6"/>
      <c r="N16" s="6"/>
      <c r="O16" s="6"/>
      <c r="P16" s="6"/>
      <c r="Q16" s="6"/>
      <c r="R16" s="6"/>
      <c r="S16" s="6"/>
      <c r="T16" s="6"/>
      <c r="U16" s="6"/>
      <c r="V16" s="6"/>
      <c r="W16" s="6"/>
      <c r="X16" s="6"/>
      <c r="Y16" s="6"/>
      <c r="Z16" s="6"/>
      <c r="AA16" s="6"/>
      <c r="AB16" s="6"/>
      <c r="AC16" s="6"/>
      <c r="AD16" s="6"/>
      <c r="AE16" s="6"/>
      <c r="AF16" s="6"/>
      <c r="AG16" s="6"/>
      <c r="AH16" s="6"/>
    </row>
    <row r="17" spans="2:34" ht="16.95" customHeight="1" x14ac:dyDescent="0.3">
      <c r="B17" s="82"/>
      <c r="C17" s="27" t="s">
        <v>112</v>
      </c>
      <c r="D17" s="27" t="s">
        <v>101</v>
      </c>
      <c r="E17" s="27" t="s">
        <v>101</v>
      </c>
      <c r="F17" s="27" t="s">
        <v>101</v>
      </c>
      <c r="G17" s="27" t="s">
        <v>101</v>
      </c>
      <c r="H17" s="62" t="s">
        <v>101</v>
      </c>
      <c r="I17" s="6"/>
      <c r="J17" s="6"/>
      <c r="K17" s="6"/>
      <c r="L17" s="6"/>
      <c r="M17" s="6"/>
      <c r="N17" s="6"/>
      <c r="O17" s="6"/>
      <c r="P17" s="6"/>
      <c r="Q17" s="6"/>
      <c r="R17" s="6"/>
      <c r="S17" s="6"/>
      <c r="T17" s="6"/>
      <c r="U17" s="6"/>
      <c r="V17" s="6"/>
      <c r="W17" s="6"/>
      <c r="X17" s="6"/>
      <c r="Y17" s="6"/>
      <c r="Z17" s="6"/>
      <c r="AA17" s="6"/>
      <c r="AB17" s="6"/>
      <c r="AC17" s="6"/>
      <c r="AD17" s="6"/>
      <c r="AE17" s="6"/>
      <c r="AF17" s="6"/>
      <c r="AG17" s="6"/>
      <c r="AH17" s="6"/>
    </row>
    <row r="18" spans="2:34" ht="16.95" customHeight="1" x14ac:dyDescent="0.3">
      <c r="B18" s="81"/>
      <c r="C18" s="15" t="s">
        <v>113</v>
      </c>
      <c r="D18" s="15" t="s">
        <v>101</v>
      </c>
      <c r="E18" s="15" t="s">
        <v>101</v>
      </c>
      <c r="F18" s="15" t="s">
        <v>101</v>
      </c>
      <c r="G18" s="15" t="s">
        <v>101</v>
      </c>
      <c r="H18" s="55" t="s">
        <v>101</v>
      </c>
      <c r="I18" s="6"/>
      <c r="J18" s="6"/>
      <c r="K18" s="6"/>
      <c r="L18" s="6"/>
      <c r="M18" s="6"/>
      <c r="N18" s="6"/>
      <c r="O18" s="6"/>
      <c r="P18" s="6"/>
      <c r="Q18" s="6"/>
      <c r="R18" s="6"/>
      <c r="S18" s="6"/>
      <c r="T18" s="6"/>
      <c r="U18" s="6"/>
      <c r="V18" s="6"/>
      <c r="W18" s="6"/>
      <c r="X18" s="6"/>
      <c r="Y18" s="6"/>
      <c r="Z18" s="6"/>
      <c r="AA18" s="6"/>
      <c r="AB18" s="6"/>
      <c r="AC18" s="6"/>
      <c r="AD18" s="6"/>
      <c r="AE18" s="6"/>
      <c r="AF18" s="6"/>
      <c r="AG18" s="6"/>
      <c r="AH18" s="6"/>
    </row>
    <row r="19" spans="2:34" ht="16.95" customHeight="1" x14ac:dyDescent="0.3">
      <c r="B19" s="82"/>
      <c r="C19" s="27" t="s">
        <v>51</v>
      </c>
      <c r="D19" s="27">
        <v>1009</v>
      </c>
      <c r="E19" s="27">
        <v>1262</v>
      </c>
      <c r="F19" s="27">
        <v>1277</v>
      </c>
      <c r="G19" s="27">
        <v>1076</v>
      </c>
      <c r="H19" s="62">
        <v>1102</v>
      </c>
      <c r="I19" s="6"/>
      <c r="J19" s="6"/>
      <c r="K19" s="6"/>
      <c r="L19" s="6"/>
      <c r="M19" s="6"/>
      <c r="N19" s="6"/>
      <c r="O19" s="6"/>
      <c r="P19" s="6"/>
      <c r="Q19" s="6"/>
      <c r="R19" s="6"/>
      <c r="S19" s="6"/>
      <c r="T19" s="6"/>
      <c r="U19" s="6"/>
      <c r="V19" s="6"/>
      <c r="W19" s="6"/>
      <c r="X19" s="6"/>
      <c r="Y19" s="6"/>
      <c r="Z19" s="6"/>
      <c r="AA19" s="6"/>
      <c r="AB19" s="6"/>
      <c r="AC19" s="6"/>
      <c r="AD19" s="6"/>
      <c r="AE19" s="6"/>
      <c r="AF19" s="6"/>
      <c r="AG19" s="6"/>
      <c r="AH19" s="6"/>
    </row>
    <row r="20" spans="2:34" ht="18" customHeight="1" x14ac:dyDescent="0.3">
      <c r="B20" s="84"/>
      <c r="C20" s="29" t="s">
        <v>114</v>
      </c>
      <c r="D20" s="29">
        <v>319</v>
      </c>
      <c r="E20" s="29">
        <v>991</v>
      </c>
      <c r="F20" s="29">
        <v>1692</v>
      </c>
      <c r="G20" s="29">
        <v>839</v>
      </c>
      <c r="H20" s="65">
        <v>309</v>
      </c>
      <c r="I20" s="6"/>
      <c r="J20" s="6"/>
      <c r="K20" s="6"/>
      <c r="L20" s="6"/>
      <c r="M20" s="6"/>
      <c r="N20" s="6"/>
      <c r="O20" s="6"/>
      <c r="P20" s="6"/>
      <c r="Q20" s="6"/>
      <c r="R20" s="6"/>
      <c r="S20" s="6"/>
      <c r="T20" s="6"/>
      <c r="U20" s="6"/>
      <c r="V20" s="6"/>
      <c r="W20" s="6"/>
      <c r="X20" s="6"/>
      <c r="Y20" s="6"/>
      <c r="Z20" s="6"/>
      <c r="AA20" s="6"/>
      <c r="AB20" s="6"/>
      <c r="AC20" s="6"/>
      <c r="AD20" s="6"/>
      <c r="AE20" s="6"/>
      <c r="AF20" s="6"/>
      <c r="AG20" s="6"/>
      <c r="AH20" s="6"/>
    </row>
    <row r="21" spans="2:34" ht="16.95" customHeight="1" x14ac:dyDescent="0.3">
      <c r="B21" s="82"/>
      <c r="C21" s="27" t="s">
        <v>10</v>
      </c>
      <c r="D21" s="27">
        <v>44</v>
      </c>
      <c r="E21" s="27">
        <v>28</v>
      </c>
      <c r="F21" s="27">
        <v>77</v>
      </c>
      <c r="G21" s="27">
        <v>148</v>
      </c>
      <c r="H21" s="62">
        <v>99</v>
      </c>
      <c r="I21" s="6"/>
      <c r="J21" s="6"/>
      <c r="K21" s="6"/>
      <c r="L21" s="6"/>
      <c r="M21" s="6"/>
      <c r="N21" s="6"/>
      <c r="O21" s="6"/>
      <c r="P21" s="6"/>
      <c r="Q21" s="6"/>
      <c r="R21" s="6"/>
      <c r="S21" s="6"/>
      <c r="T21" s="6"/>
      <c r="U21" s="6"/>
      <c r="V21" s="6"/>
      <c r="W21" s="6"/>
      <c r="X21" s="6"/>
      <c r="Y21" s="6"/>
      <c r="Z21" s="6"/>
      <c r="AA21" s="6"/>
      <c r="AB21" s="6"/>
      <c r="AC21" s="6"/>
      <c r="AD21" s="6"/>
      <c r="AE21" s="6"/>
      <c r="AF21" s="6"/>
      <c r="AG21" s="6"/>
      <c r="AH21" s="6"/>
    </row>
    <row r="22" spans="2:34" ht="18" customHeight="1" x14ac:dyDescent="0.3">
      <c r="B22" s="84"/>
      <c r="C22" s="29" t="s">
        <v>115</v>
      </c>
      <c r="D22" s="29">
        <v>363</v>
      </c>
      <c r="E22" s="29">
        <v>1019</v>
      </c>
      <c r="F22" s="29">
        <v>1769</v>
      </c>
      <c r="G22" s="29">
        <v>987</v>
      </c>
      <c r="H22" s="65">
        <v>408</v>
      </c>
      <c r="I22" s="6"/>
      <c r="J22" s="6"/>
      <c r="K22" s="6"/>
      <c r="L22" s="6"/>
      <c r="M22" s="6"/>
      <c r="N22" s="6"/>
      <c r="O22" s="6"/>
      <c r="P22" s="6"/>
      <c r="Q22" s="6"/>
      <c r="R22" s="6"/>
      <c r="S22" s="6"/>
      <c r="T22" s="6"/>
      <c r="U22" s="6"/>
      <c r="V22" s="6"/>
      <c r="W22" s="6"/>
      <c r="X22" s="6"/>
      <c r="Y22" s="6"/>
      <c r="Z22" s="6"/>
      <c r="AA22" s="6"/>
      <c r="AB22" s="6"/>
      <c r="AC22" s="6"/>
      <c r="AD22" s="6"/>
      <c r="AE22" s="6"/>
      <c r="AF22" s="6"/>
      <c r="AG22" s="6"/>
      <c r="AH22" s="6"/>
    </row>
    <row r="23" spans="2:34" ht="16.95" customHeight="1" x14ac:dyDescent="0.3">
      <c r="B23" s="82"/>
      <c r="C23" s="27" t="s">
        <v>22</v>
      </c>
      <c r="D23" s="27">
        <v>109</v>
      </c>
      <c r="E23" s="27">
        <v>41</v>
      </c>
      <c r="F23" s="27">
        <v>36</v>
      </c>
      <c r="G23" s="27">
        <v>45</v>
      </c>
      <c r="H23" s="62">
        <v>46</v>
      </c>
      <c r="I23" s="6"/>
      <c r="J23" s="6"/>
      <c r="K23" s="6"/>
      <c r="L23" s="6"/>
      <c r="M23" s="6"/>
      <c r="N23" s="6"/>
      <c r="O23" s="6"/>
      <c r="P23" s="6"/>
      <c r="Q23" s="6"/>
      <c r="R23" s="6"/>
      <c r="S23" s="6"/>
      <c r="T23" s="6"/>
      <c r="U23" s="6"/>
      <c r="V23" s="6"/>
      <c r="W23" s="6"/>
      <c r="X23" s="6"/>
      <c r="Y23" s="6"/>
      <c r="Z23" s="6"/>
      <c r="AA23" s="6"/>
      <c r="AB23" s="6"/>
      <c r="AC23" s="6"/>
      <c r="AD23" s="6"/>
      <c r="AE23" s="6"/>
      <c r="AF23" s="6"/>
      <c r="AG23" s="6"/>
      <c r="AH23" s="6"/>
    </row>
    <row r="24" spans="2:34" ht="16.95" customHeight="1" x14ac:dyDescent="0.3">
      <c r="B24" s="81"/>
      <c r="C24" s="15" t="s">
        <v>116</v>
      </c>
      <c r="D24" s="15">
        <v>254</v>
      </c>
      <c r="E24" s="15">
        <v>978</v>
      </c>
      <c r="F24" s="15">
        <v>1733</v>
      </c>
      <c r="G24" s="15">
        <v>942</v>
      </c>
      <c r="H24" s="55">
        <v>361</v>
      </c>
      <c r="I24" s="6"/>
      <c r="J24" s="6"/>
      <c r="K24" s="6"/>
      <c r="L24" s="6"/>
      <c r="M24" s="6"/>
      <c r="N24" s="6"/>
      <c r="O24" s="6"/>
      <c r="P24" s="6"/>
      <c r="Q24" s="6"/>
      <c r="R24" s="6"/>
      <c r="S24" s="6"/>
      <c r="T24" s="6"/>
      <c r="U24" s="6"/>
      <c r="V24" s="6"/>
      <c r="W24" s="6"/>
      <c r="X24" s="6"/>
      <c r="Y24" s="6"/>
      <c r="Z24" s="6"/>
      <c r="AA24" s="6"/>
      <c r="AB24" s="6"/>
      <c r="AC24" s="6"/>
      <c r="AD24" s="6"/>
      <c r="AE24" s="6"/>
      <c r="AF24" s="6"/>
      <c r="AG24" s="6"/>
      <c r="AH24" s="6"/>
    </row>
    <row r="25" spans="2:34" ht="16.95" customHeight="1" x14ac:dyDescent="0.3">
      <c r="B25" s="82"/>
      <c r="C25" s="27" t="s">
        <v>117</v>
      </c>
      <c r="D25" s="27" t="s">
        <v>101</v>
      </c>
      <c r="E25" s="27" t="s">
        <v>101</v>
      </c>
      <c r="F25" s="27" t="s">
        <v>101</v>
      </c>
      <c r="G25" s="27" t="s">
        <v>101</v>
      </c>
      <c r="H25" s="62" t="s">
        <v>101</v>
      </c>
      <c r="I25" s="6"/>
      <c r="J25" s="6"/>
      <c r="K25" s="6"/>
      <c r="L25" s="6"/>
      <c r="M25" s="6"/>
      <c r="N25" s="6"/>
      <c r="O25" s="6"/>
      <c r="P25" s="6"/>
      <c r="Q25" s="6"/>
      <c r="R25" s="6"/>
      <c r="S25" s="6"/>
      <c r="T25" s="6"/>
      <c r="U25" s="6"/>
      <c r="V25" s="6"/>
      <c r="W25" s="6"/>
      <c r="X25" s="6"/>
      <c r="Y25" s="6"/>
      <c r="Z25" s="6"/>
      <c r="AA25" s="6"/>
      <c r="AB25" s="6"/>
      <c r="AC25" s="6"/>
      <c r="AD25" s="6"/>
      <c r="AE25" s="6"/>
      <c r="AF25" s="6"/>
      <c r="AG25" s="6"/>
      <c r="AH25" s="6"/>
    </row>
    <row r="26" spans="2:34" ht="16.95" customHeight="1" x14ac:dyDescent="0.3">
      <c r="B26" s="81"/>
      <c r="C26" s="15" t="s">
        <v>118</v>
      </c>
      <c r="D26" s="15">
        <v>254</v>
      </c>
      <c r="E26" s="15">
        <v>978</v>
      </c>
      <c r="F26" s="444">
        <v>1732</v>
      </c>
      <c r="G26" s="15">
        <v>942</v>
      </c>
      <c r="H26" s="55">
        <v>361</v>
      </c>
      <c r="I26" s="6"/>
      <c r="J26" s="6"/>
      <c r="K26" s="6"/>
      <c r="L26" s="6"/>
      <c r="M26" s="6"/>
      <c r="N26" s="6"/>
      <c r="O26" s="6"/>
      <c r="P26" s="6"/>
      <c r="Q26" s="6"/>
      <c r="R26" s="6"/>
      <c r="S26" s="6"/>
      <c r="T26" s="6"/>
      <c r="U26" s="6"/>
      <c r="V26" s="6"/>
      <c r="W26" s="6"/>
      <c r="X26" s="6"/>
      <c r="Y26" s="6"/>
      <c r="Z26" s="6"/>
      <c r="AA26" s="6"/>
      <c r="AB26" s="6"/>
      <c r="AC26" s="6"/>
      <c r="AD26" s="6"/>
      <c r="AE26" s="6"/>
      <c r="AF26" s="6"/>
      <c r="AG26" s="6"/>
      <c r="AH26" s="6"/>
    </row>
    <row r="27" spans="2:34" ht="18" customHeight="1" x14ac:dyDescent="0.3">
      <c r="B27" s="84"/>
      <c r="C27" s="29" t="s">
        <v>27</v>
      </c>
      <c r="D27" s="29">
        <v>58</v>
      </c>
      <c r="E27" s="29">
        <v>246</v>
      </c>
      <c r="F27" s="29">
        <v>1325</v>
      </c>
      <c r="G27" s="29">
        <v>195</v>
      </c>
      <c r="H27" s="65">
        <v>98</v>
      </c>
      <c r="I27" s="6"/>
      <c r="J27" s="6"/>
      <c r="K27" s="6"/>
      <c r="L27" s="6"/>
      <c r="M27" s="6"/>
      <c r="N27" s="6"/>
      <c r="O27" s="6"/>
      <c r="P27" s="6"/>
      <c r="Q27" s="6"/>
      <c r="R27" s="6"/>
      <c r="S27" s="6"/>
      <c r="T27" s="6"/>
      <c r="U27" s="6"/>
      <c r="V27" s="6"/>
      <c r="W27" s="6"/>
      <c r="X27" s="6"/>
      <c r="Y27" s="6"/>
      <c r="Z27" s="6"/>
      <c r="AA27" s="6"/>
      <c r="AB27" s="6"/>
      <c r="AC27" s="6"/>
      <c r="AD27" s="6"/>
      <c r="AE27" s="6"/>
      <c r="AF27" s="6"/>
      <c r="AG27" s="6"/>
      <c r="AH27" s="6"/>
    </row>
    <row r="28" spans="2:34" ht="16.95" customHeight="1" x14ac:dyDescent="0.3">
      <c r="B28" s="81"/>
      <c r="C28" s="15" t="s">
        <v>119</v>
      </c>
      <c r="D28" s="15">
        <v>196</v>
      </c>
      <c r="E28" s="15">
        <v>731</v>
      </c>
      <c r="F28" s="15"/>
      <c r="G28" s="15">
        <v>746</v>
      </c>
      <c r="H28" s="55">
        <v>262</v>
      </c>
      <c r="I28" s="6"/>
      <c r="J28" s="6"/>
      <c r="K28" s="6"/>
      <c r="L28" s="6"/>
      <c r="M28" s="6"/>
      <c r="N28" s="6"/>
      <c r="O28" s="6"/>
      <c r="P28" s="6"/>
      <c r="Q28" s="6"/>
      <c r="R28" s="6"/>
      <c r="S28" s="6"/>
      <c r="T28" s="6"/>
      <c r="U28" s="6"/>
      <c r="V28" s="6"/>
      <c r="W28" s="6"/>
      <c r="X28" s="6"/>
      <c r="Y28" s="6"/>
      <c r="Z28" s="6"/>
      <c r="AA28" s="6"/>
      <c r="AB28" s="6"/>
      <c r="AC28" s="6"/>
      <c r="AD28" s="6"/>
      <c r="AE28" s="6"/>
      <c r="AF28" s="6"/>
      <c r="AG28" s="6"/>
      <c r="AH28" s="6"/>
    </row>
    <row r="29" spans="2:34" ht="16.95" customHeight="1" x14ac:dyDescent="0.3">
      <c r="B29" s="82"/>
      <c r="C29" s="27" t="s">
        <v>120</v>
      </c>
      <c r="D29" s="27" t="s">
        <v>101</v>
      </c>
      <c r="E29" s="27" t="s">
        <v>101</v>
      </c>
      <c r="F29" s="27"/>
      <c r="G29" s="27" t="s">
        <v>101</v>
      </c>
      <c r="H29" s="62" t="s">
        <v>101</v>
      </c>
      <c r="I29" s="6"/>
      <c r="J29" s="6"/>
      <c r="K29" s="6"/>
      <c r="L29" s="6"/>
      <c r="M29" s="6"/>
      <c r="N29" s="6"/>
      <c r="O29" s="6"/>
      <c r="P29" s="6"/>
      <c r="Q29" s="6"/>
      <c r="R29" s="6"/>
      <c r="S29" s="6"/>
      <c r="T29" s="6"/>
      <c r="U29" s="6"/>
      <c r="V29" s="6"/>
      <c r="W29" s="6"/>
      <c r="X29" s="6"/>
      <c r="Y29" s="6"/>
      <c r="Z29" s="6"/>
      <c r="AA29" s="6"/>
      <c r="AB29" s="6"/>
      <c r="AC29" s="6"/>
      <c r="AD29" s="6"/>
      <c r="AE29" s="6"/>
      <c r="AF29" s="6"/>
      <c r="AG29" s="6"/>
      <c r="AH29" s="6"/>
    </row>
    <row r="30" spans="2:34" ht="16.95" customHeight="1" x14ac:dyDescent="0.3">
      <c r="B30" s="86"/>
      <c r="C30" s="42" t="s">
        <v>121</v>
      </c>
      <c r="D30" s="42" t="s">
        <v>101</v>
      </c>
      <c r="E30" s="42" t="s">
        <v>101</v>
      </c>
      <c r="F30" s="42"/>
      <c r="G30" s="42" t="s">
        <v>101</v>
      </c>
      <c r="H30" s="92" t="s">
        <v>101</v>
      </c>
      <c r="I30" s="6"/>
      <c r="J30" s="6"/>
      <c r="K30" s="6"/>
      <c r="L30" s="6"/>
      <c r="M30" s="6"/>
      <c r="N30" s="6"/>
      <c r="O30" s="6"/>
      <c r="P30" s="6"/>
      <c r="Q30" s="6"/>
      <c r="R30" s="6"/>
      <c r="S30" s="6"/>
      <c r="T30" s="6"/>
      <c r="U30" s="6"/>
      <c r="V30" s="6"/>
      <c r="W30" s="6"/>
      <c r="X30" s="6"/>
      <c r="Y30" s="6"/>
      <c r="Z30" s="6"/>
      <c r="AA30" s="6"/>
      <c r="AB30" s="6"/>
      <c r="AC30" s="6"/>
      <c r="AD30" s="6"/>
      <c r="AE30" s="6"/>
      <c r="AF30" s="6"/>
      <c r="AG30" s="6"/>
      <c r="AH30" s="6"/>
    </row>
    <row r="31" spans="2:34" ht="19.95" customHeight="1" thickBot="1" x14ac:dyDescent="0.35">
      <c r="B31" s="121"/>
      <c r="C31" s="122" t="s">
        <v>122</v>
      </c>
      <c r="D31" s="122">
        <v>196</v>
      </c>
      <c r="E31" s="122">
        <v>731</v>
      </c>
      <c r="F31" s="122"/>
      <c r="G31" s="122">
        <v>746</v>
      </c>
      <c r="H31" s="123">
        <v>262</v>
      </c>
      <c r="I31" s="6"/>
      <c r="J31" s="6"/>
      <c r="K31" s="6"/>
      <c r="L31" s="6"/>
      <c r="M31" s="6"/>
      <c r="N31" s="6"/>
      <c r="O31" s="6"/>
      <c r="P31" s="6"/>
      <c r="Q31" s="6"/>
      <c r="R31" s="6"/>
      <c r="S31" s="6"/>
      <c r="T31" s="6"/>
      <c r="U31" s="6"/>
      <c r="V31" s="6"/>
      <c r="W31" s="6"/>
      <c r="X31" s="6"/>
      <c r="Y31" s="6"/>
      <c r="Z31" s="6"/>
      <c r="AA31" s="6"/>
      <c r="AB31" s="6"/>
      <c r="AC31" s="6"/>
      <c r="AD31" s="6"/>
      <c r="AE31" s="6"/>
      <c r="AF31" s="6"/>
      <c r="AG31" s="6"/>
      <c r="AH31" s="6"/>
    </row>
  </sheetData>
  <sortState xmlns:xlrd2="http://schemas.microsoft.com/office/spreadsheetml/2017/richdata2" columnSort="1" ref="D3:H31">
    <sortCondition ref="D3:H3"/>
  </sortState>
  <mergeCells count="2">
    <mergeCell ref="B2:H2"/>
    <mergeCell ref="K3:R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2C93B-AB1F-4C36-A50A-039A467A0B27}">
  <dimension ref="A1:R46"/>
  <sheetViews>
    <sheetView showGridLines="0" zoomScale="85" zoomScaleNormal="61" workbookViewId="0">
      <selection activeCell="B2" sqref="B2:H2"/>
    </sheetView>
  </sheetViews>
  <sheetFormatPr defaultRowHeight="14.4" x14ac:dyDescent="0.3"/>
  <cols>
    <col min="1" max="1" width="3.33203125" style="6" customWidth="1"/>
    <col min="2" max="2" width="44.44140625" customWidth="1"/>
    <col min="3" max="7" width="17.5546875" customWidth="1"/>
    <col min="8" max="8" width="15.77734375" customWidth="1"/>
  </cols>
  <sheetData>
    <row r="1" spans="1:18" s="6" customFormat="1" x14ac:dyDescent="0.3">
      <c r="A1" s="226"/>
      <c r="B1" s="273"/>
      <c r="C1" s="273"/>
      <c r="D1" s="273"/>
      <c r="E1" s="273"/>
      <c r="F1" s="273"/>
      <c r="G1" s="273"/>
    </row>
    <row r="2" spans="1:18" ht="28.05" customHeight="1" x14ac:dyDescent="0.3">
      <c r="A2" s="226"/>
      <c r="B2" s="467"/>
      <c r="C2" s="468"/>
      <c r="D2" s="468"/>
      <c r="E2" s="468"/>
      <c r="F2" s="468"/>
      <c r="G2" s="468"/>
      <c r="H2" s="469"/>
      <c r="N2" s="1"/>
      <c r="O2" s="1"/>
      <c r="P2" s="1"/>
      <c r="Q2" s="1"/>
      <c r="R2" s="1"/>
    </row>
    <row r="3" spans="1:18" ht="4.05" customHeight="1" x14ac:dyDescent="0.3">
      <c r="A3" s="226"/>
      <c r="B3" s="229"/>
      <c r="C3" s="228"/>
      <c r="D3" s="228"/>
      <c r="E3" s="228"/>
      <c r="F3" s="228"/>
      <c r="G3" s="228"/>
      <c r="H3" s="56"/>
      <c r="K3" s="454"/>
      <c r="L3" s="454"/>
      <c r="M3" s="454"/>
      <c r="N3" s="454"/>
      <c r="O3" s="454"/>
      <c r="P3" s="454"/>
      <c r="Q3" s="454"/>
      <c r="R3" s="454"/>
    </row>
    <row r="4" spans="1:18" ht="18" customHeight="1" x14ac:dyDescent="0.3">
      <c r="A4" s="226"/>
      <c r="B4" s="230" t="s">
        <v>378</v>
      </c>
      <c r="C4" s="231" t="s">
        <v>379</v>
      </c>
      <c r="D4" s="232"/>
      <c r="E4" s="232"/>
      <c r="F4" s="232"/>
      <c r="G4" s="233"/>
      <c r="N4" s="4"/>
      <c r="O4" s="5"/>
      <c r="P4" s="5"/>
      <c r="Q4" s="5"/>
      <c r="R4" s="5"/>
    </row>
    <row r="5" spans="1:18" ht="10.050000000000001" customHeight="1" x14ac:dyDescent="0.3">
      <c r="A5" s="226"/>
      <c r="B5" s="234" t="s">
        <v>380</v>
      </c>
      <c r="C5" s="235" t="s">
        <v>0</v>
      </c>
      <c r="D5" s="236"/>
      <c r="E5" s="236"/>
      <c r="F5" s="236"/>
      <c r="G5" s="237"/>
      <c r="N5" s="7"/>
      <c r="O5" s="7"/>
      <c r="P5" s="7"/>
      <c r="Q5" s="7"/>
      <c r="R5" s="7"/>
    </row>
    <row r="6" spans="1:18" ht="10.050000000000001" customHeight="1" x14ac:dyDescent="0.3">
      <c r="A6" s="226"/>
      <c r="B6" s="238"/>
      <c r="C6" s="239" t="s">
        <v>4</v>
      </c>
      <c r="D6" s="239" t="s">
        <v>3</v>
      </c>
      <c r="E6" s="239" t="s">
        <v>2</v>
      </c>
      <c r="F6" s="239" t="s">
        <v>1</v>
      </c>
      <c r="G6" s="240" t="s">
        <v>381</v>
      </c>
      <c r="H6" s="6"/>
      <c r="I6" s="6"/>
      <c r="J6" s="6"/>
      <c r="K6" s="6"/>
      <c r="L6" s="6"/>
      <c r="N6" s="2"/>
      <c r="O6" s="3"/>
      <c r="P6" s="3"/>
      <c r="Q6" s="3"/>
      <c r="R6" s="3"/>
    </row>
    <row r="7" spans="1:18" ht="10.050000000000001" customHeight="1" x14ac:dyDescent="0.3">
      <c r="A7" s="226"/>
      <c r="B7" s="241" t="e" vm="1">
        <v>#VALUE!</v>
      </c>
      <c r="C7" s="242"/>
      <c r="D7" s="242"/>
      <c r="E7" s="242"/>
      <c r="F7" s="242"/>
      <c r="G7" s="243"/>
      <c r="H7" s="225"/>
      <c r="I7" s="225"/>
      <c r="J7" s="225"/>
      <c r="K7" s="225"/>
      <c r="L7" s="225"/>
      <c r="N7" s="7"/>
      <c r="O7" s="7"/>
      <c r="P7" s="7"/>
      <c r="Q7" s="7"/>
      <c r="R7" s="7"/>
    </row>
    <row r="8" spans="1:18" ht="16.95" customHeight="1" x14ac:dyDescent="0.3">
      <c r="A8" s="226"/>
      <c r="B8" s="241" t="e" vm="1">
        <v>#VALUE!</v>
      </c>
      <c r="C8" s="242"/>
      <c r="D8" s="242"/>
      <c r="E8" s="242"/>
      <c r="F8" s="242"/>
      <c r="G8" s="243"/>
      <c r="H8" s="225"/>
      <c r="I8" s="225"/>
      <c r="J8" s="225"/>
      <c r="K8" s="225"/>
      <c r="L8" s="225"/>
      <c r="N8" s="2"/>
      <c r="O8" s="9"/>
      <c r="P8" s="9"/>
      <c r="Q8" s="9"/>
      <c r="R8" s="9"/>
    </row>
    <row r="9" spans="1:18" ht="16.95" customHeight="1" x14ac:dyDescent="0.3">
      <c r="A9" s="226"/>
      <c r="B9" s="244" t="s">
        <v>72</v>
      </c>
      <c r="C9" s="245"/>
      <c r="D9" s="245"/>
      <c r="E9" s="245"/>
      <c r="F9" s="245"/>
      <c r="G9" s="246"/>
      <c r="H9" s="6"/>
      <c r="I9" s="6"/>
      <c r="J9" s="6"/>
      <c r="K9" s="6"/>
      <c r="L9" s="6"/>
      <c r="N9" s="2"/>
      <c r="O9" s="9"/>
      <c r="P9" s="9"/>
      <c r="Q9" s="9"/>
      <c r="R9" s="9"/>
    </row>
    <row r="10" spans="1:18" ht="16.95" customHeight="1" x14ac:dyDescent="0.3">
      <c r="A10" s="226"/>
      <c r="B10" s="247" t="s">
        <v>73</v>
      </c>
      <c r="C10" s="248">
        <v>649.54999999999995</v>
      </c>
      <c r="D10" s="248">
        <v>649.61</v>
      </c>
      <c r="E10" s="248">
        <v>676.3</v>
      </c>
      <c r="F10" s="248">
        <v>676.4</v>
      </c>
      <c r="G10" s="249">
        <v>676.4</v>
      </c>
      <c r="H10" s="6"/>
      <c r="I10" s="6"/>
      <c r="J10" s="6"/>
      <c r="K10" s="6"/>
      <c r="L10" s="6"/>
      <c r="N10" s="2"/>
      <c r="O10" s="3"/>
      <c r="P10" s="3"/>
      <c r="Q10" s="3"/>
      <c r="R10" s="3"/>
    </row>
    <row r="11" spans="1:18" ht="16.95" customHeight="1" x14ac:dyDescent="0.3">
      <c r="A11" s="226"/>
      <c r="B11" s="250" t="s">
        <v>74</v>
      </c>
      <c r="C11" s="251">
        <v>649.54999999999995</v>
      </c>
      <c r="D11" s="251">
        <v>649.61</v>
      </c>
      <c r="E11" s="251">
        <v>676.3</v>
      </c>
      <c r="F11" s="251">
        <v>676.4</v>
      </c>
      <c r="G11" s="252">
        <v>676.4</v>
      </c>
      <c r="H11" s="6"/>
      <c r="I11" s="6"/>
      <c r="J11" s="6"/>
      <c r="K11" s="6"/>
      <c r="L11" s="6"/>
      <c r="N11" s="2"/>
      <c r="O11" s="3"/>
      <c r="P11" s="3"/>
      <c r="Q11" s="3"/>
      <c r="R11" s="3"/>
    </row>
    <row r="12" spans="1:18" ht="16.95" customHeight="1" x14ac:dyDescent="0.3">
      <c r="A12" s="226"/>
      <c r="B12" s="247" t="s">
        <v>75</v>
      </c>
      <c r="C12" s="248">
        <v>0</v>
      </c>
      <c r="D12" s="248">
        <v>0.35</v>
      </c>
      <c r="E12" s="248">
        <v>0</v>
      </c>
      <c r="F12" s="248">
        <v>0.27</v>
      </c>
      <c r="G12" s="249">
        <v>0.27</v>
      </c>
      <c r="H12" s="6"/>
      <c r="I12" s="6"/>
      <c r="J12" s="6"/>
      <c r="K12" s="6"/>
      <c r="L12" s="6"/>
      <c r="N12" s="4"/>
      <c r="O12" s="10"/>
      <c r="P12" s="10"/>
      <c r="Q12" s="10"/>
      <c r="R12" s="10"/>
    </row>
    <row r="13" spans="1:18" ht="16.95" customHeight="1" x14ac:dyDescent="0.3">
      <c r="A13" s="226"/>
      <c r="B13" s="250" t="s">
        <v>76</v>
      </c>
      <c r="C13" s="251">
        <v>4452.83</v>
      </c>
      <c r="D13" s="251">
        <v>6286.54</v>
      </c>
      <c r="E13" s="251">
        <v>15933.53</v>
      </c>
      <c r="F13" s="251">
        <v>18902.03</v>
      </c>
      <c r="G13" s="252">
        <v>18902.03</v>
      </c>
      <c r="H13" s="6"/>
      <c r="I13" s="6"/>
      <c r="J13" s="6"/>
      <c r="K13" s="6"/>
      <c r="L13" s="6"/>
      <c r="N13" s="8"/>
      <c r="O13" s="5"/>
      <c r="P13" s="5"/>
      <c r="Q13" s="5"/>
      <c r="R13" s="5"/>
    </row>
    <row r="14" spans="1:18" ht="16.95" customHeight="1" x14ac:dyDescent="0.3">
      <c r="A14" s="226"/>
      <c r="B14" s="253" t="s">
        <v>77</v>
      </c>
      <c r="C14" s="254">
        <v>5102.38</v>
      </c>
      <c r="D14" s="254">
        <v>6936.5</v>
      </c>
      <c r="E14" s="254">
        <v>16609.830000000002</v>
      </c>
      <c r="F14" s="254">
        <v>19578.7</v>
      </c>
      <c r="G14" s="255">
        <v>19578.7</v>
      </c>
      <c r="H14" s="6"/>
      <c r="I14" s="6"/>
      <c r="J14" s="6"/>
      <c r="K14" s="6"/>
      <c r="L14" s="6"/>
      <c r="N14" s="2"/>
      <c r="O14" s="9"/>
      <c r="P14" s="9"/>
      <c r="Q14" s="9"/>
      <c r="R14" s="9"/>
    </row>
    <row r="15" spans="1:18" ht="18" customHeight="1" x14ac:dyDescent="0.3">
      <c r="A15" s="226"/>
      <c r="B15" s="250" t="s">
        <v>78</v>
      </c>
      <c r="C15" s="251">
        <v>3694.81</v>
      </c>
      <c r="D15" s="251">
        <v>5194.3900000000003</v>
      </c>
      <c r="E15" s="251">
        <v>2364.27</v>
      </c>
      <c r="F15" s="251">
        <v>2024.12</v>
      </c>
      <c r="G15" s="252">
        <v>2024.12</v>
      </c>
      <c r="H15" s="6"/>
      <c r="I15" s="6"/>
      <c r="J15" s="6"/>
      <c r="K15" s="6"/>
      <c r="L15" s="6"/>
      <c r="N15" s="2"/>
      <c r="O15" s="3"/>
      <c r="P15" s="3"/>
      <c r="Q15" s="3"/>
      <c r="R15" s="3"/>
    </row>
    <row r="16" spans="1:18" ht="16.95" customHeight="1" x14ac:dyDescent="0.3">
      <c r="A16" s="226"/>
      <c r="B16" s="253" t="s">
        <v>79</v>
      </c>
      <c r="C16" s="254">
        <v>3694.81</v>
      </c>
      <c r="D16" s="254">
        <v>5194.3900000000003</v>
      </c>
      <c r="E16" s="254">
        <v>2364.27</v>
      </c>
      <c r="F16" s="254">
        <v>2024.12</v>
      </c>
      <c r="G16" s="255">
        <v>2024.12</v>
      </c>
      <c r="H16" s="6"/>
      <c r="I16" s="6"/>
      <c r="J16" s="6"/>
      <c r="K16" s="6"/>
      <c r="L16" s="6"/>
      <c r="N16" s="2"/>
      <c r="O16" s="3"/>
      <c r="P16" s="3"/>
      <c r="Q16" s="9"/>
      <c r="R16" s="9"/>
    </row>
    <row r="17" spans="1:18" ht="16.95" customHeight="1" x14ac:dyDescent="0.3">
      <c r="A17" s="226"/>
      <c r="B17" s="259" t="s">
        <v>62</v>
      </c>
      <c r="C17" s="260">
        <v>113.11</v>
      </c>
      <c r="D17" s="260">
        <v>148.16</v>
      </c>
      <c r="E17" s="260">
        <v>129.81</v>
      </c>
      <c r="F17" s="260">
        <v>162.25</v>
      </c>
      <c r="G17" s="261">
        <v>162.25</v>
      </c>
      <c r="H17" s="6"/>
      <c r="I17" s="6"/>
      <c r="J17" s="6"/>
      <c r="K17" s="6"/>
      <c r="L17" s="6"/>
      <c r="N17" s="2"/>
      <c r="O17" s="3"/>
      <c r="P17" s="3"/>
      <c r="Q17" s="3"/>
      <c r="R17" s="3"/>
    </row>
    <row r="18" spans="1:18" ht="16.95" customHeight="1" x14ac:dyDescent="0.3">
      <c r="A18" s="226"/>
      <c r="B18" s="265" t="s">
        <v>80</v>
      </c>
      <c r="C18" s="266">
        <v>8910.2999999999993</v>
      </c>
      <c r="D18" s="266">
        <v>12279.05</v>
      </c>
      <c r="E18" s="266">
        <v>19103.91</v>
      </c>
      <c r="F18" s="266">
        <v>21765.07</v>
      </c>
      <c r="G18" s="267">
        <v>21765.07</v>
      </c>
      <c r="H18" s="6"/>
      <c r="I18" s="6"/>
      <c r="J18" s="6"/>
      <c r="K18" s="6"/>
      <c r="L18" s="6"/>
      <c r="N18" s="2"/>
      <c r="O18" s="9"/>
      <c r="P18" s="9"/>
      <c r="Q18" s="9"/>
      <c r="R18" s="9"/>
    </row>
    <row r="19" spans="1:18" ht="16.95" customHeight="1" x14ac:dyDescent="0.3">
      <c r="A19" s="226"/>
      <c r="B19" s="262"/>
      <c r="C19" s="263" t="s">
        <v>4</v>
      </c>
      <c r="D19" s="263" t="s">
        <v>3</v>
      </c>
      <c r="E19" s="263" t="s">
        <v>2</v>
      </c>
      <c r="F19" s="263" t="s">
        <v>1</v>
      </c>
      <c r="G19" s="264" t="s">
        <v>381</v>
      </c>
      <c r="H19" s="6"/>
      <c r="I19" s="6"/>
      <c r="J19" s="6"/>
      <c r="K19" s="6"/>
      <c r="L19" s="6"/>
      <c r="N19" s="2"/>
      <c r="O19" s="9"/>
      <c r="P19" s="9"/>
      <c r="Q19" s="9"/>
      <c r="R19" s="9"/>
    </row>
    <row r="20" spans="1:18" ht="16.95" customHeight="1" x14ac:dyDescent="0.3">
      <c r="A20" s="226"/>
      <c r="B20" s="241" t="e" vm="1">
        <v>#VALUE!</v>
      </c>
      <c r="C20" s="242"/>
      <c r="D20" s="242"/>
      <c r="E20" s="242"/>
      <c r="F20" s="242"/>
      <c r="G20" s="243"/>
      <c r="H20" s="225"/>
      <c r="I20" s="225"/>
      <c r="J20" s="225"/>
      <c r="K20" s="225"/>
      <c r="L20" s="225"/>
      <c r="N20" s="4"/>
      <c r="O20" s="5"/>
      <c r="P20" s="5"/>
      <c r="Q20" s="5"/>
      <c r="R20" s="5"/>
    </row>
    <row r="21" spans="1:18" ht="16.95" customHeight="1" x14ac:dyDescent="0.3">
      <c r="A21" s="226"/>
      <c r="B21" s="241" t="e" vm="1">
        <v>#VALUE!</v>
      </c>
      <c r="C21" s="242"/>
      <c r="D21" s="242"/>
      <c r="E21" s="242"/>
      <c r="F21" s="242"/>
      <c r="G21" s="243"/>
      <c r="H21" s="225"/>
      <c r="I21" s="225"/>
      <c r="J21" s="225"/>
      <c r="K21" s="225"/>
      <c r="L21" s="225"/>
      <c r="N21" s="2"/>
      <c r="O21" s="3"/>
      <c r="P21" s="3"/>
      <c r="Q21" s="3"/>
      <c r="R21" s="3"/>
    </row>
    <row r="22" spans="1:18" ht="18" customHeight="1" x14ac:dyDescent="0.3">
      <c r="A22" s="226"/>
      <c r="B22" s="244" t="s">
        <v>81</v>
      </c>
      <c r="C22" s="245"/>
      <c r="D22" s="245"/>
      <c r="E22" s="245"/>
      <c r="F22" s="245"/>
      <c r="G22" s="246"/>
      <c r="H22" s="6"/>
      <c r="I22" s="6"/>
      <c r="J22" s="6"/>
      <c r="K22" s="6"/>
      <c r="L22" s="6"/>
      <c r="N22" s="7"/>
      <c r="O22" s="7"/>
      <c r="P22" s="7"/>
      <c r="Q22" s="7"/>
      <c r="R22" s="7"/>
    </row>
    <row r="23" spans="1:18" ht="19.95" customHeight="1" x14ac:dyDescent="0.3">
      <c r="A23" s="226"/>
      <c r="B23" s="247" t="s">
        <v>82</v>
      </c>
      <c r="C23" s="248">
        <v>10243.19</v>
      </c>
      <c r="D23" s="248">
        <v>12208.09</v>
      </c>
      <c r="E23" s="248">
        <v>18526.73</v>
      </c>
      <c r="F23" s="248">
        <v>23253.35</v>
      </c>
      <c r="G23" s="249">
        <v>23253.35</v>
      </c>
      <c r="H23" s="6"/>
      <c r="I23" s="6"/>
      <c r="J23" s="6"/>
      <c r="K23" s="6"/>
      <c r="L23" s="6"/>
      <c r="N23" s="4"/>
      <c r="O23" s="10"/>
      <c r="P23" s="10"/>
      <c r="Q23" s="10"/>
      <c r="R23" s="10"/>
    </row>
    <row r="24" spans="1:18" ht="19.95" customHeight="1" x14ac:dyDescent="0.3">
      <c r="A24" s="226"/>
      <c r="B24" s="250" t="s">
        <v>83</v>
      </c>
      <c r="C24" s="251">
        <v>3310.97</v>
      </c>
      <c r="D24" s="251">
        <v>3798.92</v>
      </c>
      <c r="E24" s="251">
        <v>5124.99</v>
      </c>
      <c r="F24" s="251">
        <v>6494.42</v>
      </c>
      <c r="G24" s="252">
        <v>6494.42</v>
      </c>
      <c r="H24" s="6"/>
      <c r="I24" s="6"/>
      <c r="J24" s="6"/>
      <c r="K24" s="6"/>
      <c r="L24" s="6"/>
      <c r="N24" s="2"/>
      <c r="O24" s="9"/>
      <c r="P24" s="9"/>
      <c r="Q24" s="9"/>
      <c r="R24" s="9"/>
    </row>
    <row r="25" spans="1:18" ht="18" customHeight="1" x14ac:dyDescent="0.3">
      <c r="A25" s="226"/>
      <c r="B25" s="253" t="s">
        <v>84</v>
      </c>
      <c r="C25" s="254">
        <v>6932.22</v>
      </c>
      <c r="D25" s="254">
        <v>8409.17</v>
      </c>
      <c r="E25" s="254">
        <v>13401.74</v>
      </c>
      <c r="F25" s="254">
        <v>16758.93</v>
      </c>
      <c r="G25" s="255">
        <v>16758.93</v>
      </c>
      <c r="H25" s="6"/>
      <c r="I25" s="6"/>
      <c r="J25" s="6"/>
      <c r="K25" s="6"/>
      <c r="L25" s="6"/>
      <c r="N25" s="2"/>
      <c r="O25" s="3"/>
      <c r="P25" s="3"/>
      <c r="Q25" s="3"/>
      <c r="R25" s="3"/>
    </row>
    <row r="26" spans="1:18" ht="16.95" customHeight="1" x14ac:dyDescent="0.3">
      <c r="A26" s="226"/>
      <c r="B26" s="250" t="s">
        <v>85</v>
      </c>
      <c r="C26" s="251">
        <v>606.63</v>
      </c>
      <c r="D26" s="251">
        <v>1922.22</v>
      </c>
      <c r="E26" s="251">
        <v>1166.71</v>
      </c>
      <c r="F26" s="445" t="s">
        <v>553</v>
      </c>
      <c r="G26" s="252">
        <v>270.79000000000002</v>
      </c>
      <c r="H26" s="6"/>
      <c r="I26" s="6"/>
      <c r="J26" s="6"/>
      <c r="K26" s="6"/>
      <c r="L26" s="6"/>
      <c r="N26" s="2"/>
      <c r="O26" s="9"/>
      <c r="P26" s="9"/>
      <c r="Q26" s="9"/>
      <c r="R26" s="9"/>
    </row>
    <row r="27" spans="1:18" ht="16.95" customHeight="1" x14ac:dyDescent="0.3">
      <c r="A27" s="226"/>
      <c r="B27" s="247" t="s">
        <v>86</v>
      </c>
      <c r="C27" s="248">
        <v>0.01</v>
      </c>
      <c r="D27" s="248">
        <v>21.08</v>
      </c>
      <c r="E27" s="248">
        <v>59.5</v>
      </c>
      <c r="F27" s="248" t="s">
        <v>547</v>
      </c>
      <c r="G27" s="249">
        <v>174.28</v>
      </c>
      <c r="H27" s="6"/>
      <c r="I27" s="6"/>
      <c r="J27" s="6"/>
      <c r="K27" s="6"/>
      <c r="L27" s="6"/>
      <c r="N27" s="2"/>
      <c r="O27" s="3"/>
      <c r="P27" s="3"/>
      <c r="Q27" s="3"/>
      <c r="R27" s="3"/>
    </row>
    <row r="28" spans="1:18" ht="16.95" customHeight="1" x14ac:dyDescent="0.3">
      <c r="A28" s="226"/>
      <c r="B28" s="250" t="s">
        <v>87</v>
      </c>
      <c r="C28" s="251">
        <v>1993.89</v>
      </c>
      <c r="D28" s="251">
        <v>2150.5300000000002</v>
      </c>
      <c r="E28" s="251">
        <v>2791.23</v>
      </c>
      <c r="F28" s="251" t="s">
        <v>548</v>
      </c>
      <c r="G28" s="252">
        <v>2951.79</v>
      </c>
      <c r="H28" s="6"/>
      <c r="I28" s="6"/>
      <c r="J28" s="6"/>
      <c r="K28" s="6"/>
      <c r="L28" s="6"/>
      <c r="N28" s="2"/>
      <c r="O28" s="3"/>
      <c r="P28" s="9"/>
      <c r="Q28" s="9"/>
      <c r="R28" s="9"/>
    </row>
    <row r="29" spans="1:18" ht="18" customHeight="1" x14ac:dyDescent="0.3">
      <c r="A29" s="226"/>
      <c r="B29" s="247" t="s">
        <v>88</v>
      </c>
      <c r="C29" s="248">
        <v>299.33999999999997</v>
      </c>
      <c r="D29" s="248">
        <v>359.39</v>
      </c>
      <c r="E29" s="248">
        <v>845.84</v>
      </c>
      <c r="F29" s="248" t="s">
        <v>549</v>
      </c>
      <c r="G29" s="249">
        <v>1249.03</v>
      </c>
      <c r="H29" s="6"/>
      <c r="I29" s="6"/>
      <c r="J29" s="6"/>
      <c r="K29" s="6"/>
      <c r="L29" s="6"/>
      <c r="N29" s="2"/>
      <c r="O29" s="3"/>
      <c r="P29" s="9"/>
      <c r="Q29" s="9"/>
      <c r="R29" s="9"/>
    </row>
    <row r="30" spans="1:18" ht="16.95" customHeight="1" x14ac:dyDescent="0.3">
      <c r="A30" s="226"/>
      <c r="B30" s="250" t="s">
        <v>89</v>
      </c>
      <c r="C30" s="251">
        <v>285.27</v>
      </c>
      <c r="D30" s="251">
        <v>459.86</v>
      </c>
      <c r="E30" s="251">
        <v>2450.0500000000002</v>
      </c>
      <c r="F30" s="251" t="s">
        <v>550</v>
      </c>
      <c r="G30" s="252">
        <v>1998.49</v>
      </c>
      <c r="H30" s="6"/>
      <c r="I30" s="6"/>
      <c r="J30" s="6"/>
      <c r="K30" s="6"/>
      <c r="L30" s="6"/>
      <c r="N30" s="2"/>
      <c r="O30" s="3"/>
      <c r="P30" s="3"/>
      <c r="Q30" s="3"/>
      <c r="R30" s="3"/>
    </row>
    <row r="31" spans="1:18" ht="16.95" customHeight="1" x14ac:dyDescent="0.3">
      <c r="A31" s="226"/>
      <c r="B31" s="247" t="s">
        <v>90</v>
      </c>
      <c r="C31" s="248">
        <v>2578.5</v>
      </c>
      <c r="D31" s="248">
        <v>2969.78</v>
      </c>
      <c r="E31" s="248">
        <v>6087.12</v>
      </c>
      <c r="F31" s="248" t="s">
        <v>551</v>
      </c>
      <c r="G31" s="249">
        <v>6199.31</v>
      </c>
      <c r="H31" s="6"/>
      <c r="I31" s="6"/>
      <c r="J31" s="6"/>
      <c r="K31" s="6"/>
      <c r="L31" s="6"/>
      <c r="N31" s="4"/>
      <c r="O31" s="5"/>
      <c r="P31" s="10"/>
      <c r="Q31" s="10"/>
      <c r="R31" s="10"/>
    </row>
    <row r="32" spans="1:18" ht="16.95" customHeight="1" x14ac:dyDescent="0.3">
      <c r="A32" s="226"/>
      <c r="B32" s="250" t="s">
        <v>91</v>
      </c>
      <c r="C32" s="251">
        <v>1500.9</v>
      </c>
      <c r="D32" s="251">
        <v>1864.93</v>
      </c>
      <c r="E32" s="251">
        <v>2428.83</v>
      </c>
      <c r="F32" s="251" t="s">
        <v>552</v>
      </c>
      <c r="G32" s="252">
        <v>2161.85</v>
      </c>
      <c r="H32" s="6"/>
      <c r="I32" s="6"/>
      <c r="J32" s="6"/>
      <c r="K32" s="6"/>
      <c r="L32" s="6"/>
      <c r="N32" s="2"/>
      <c r="O32" s="9"/>
      <c r="P32" s="9"/>
      <c r="Q32" s="9"/>
      <c r="R32" s="9"/>
    </row>
    <row r="33" spans="1:18" ht="16.95" customHeight="1" x14ac:dyDescent="0.3">
      <c r="A33" s="226"/>
      <c r="B33" s="253" t="s">
        <v>92</v>
      </c>
      <c r="C33" s="254">
        <v>4079.4</v>
      </c>
      <c r="D33" s="254">
        <v>4834.71</v>
      </c>
      <c r="E33" s="254">
        <v>8515.9500000000007</v>
      </c>
      <c r="F33" s="254">
        <v>8361.16</v>
      </c>
      <c r="G33" s="255">
        <v>8361.16</v>
      </c>
      <c r="H33" s="6"/>
      <c r="I33" s="6"/>
      <c r="J33" s="6"/>
      <c r="K33" s="6"/>
      <c r="L33" s="6"/>
      <c r="N33" s="2"/>
      <c r="O33" s="3"/>
      <c r="P33" s="3"/>
      <c r="Q33" s="3"/>
      <c r="R33" s="3"/>
    </row>
    <row r="34" spans="1:18" ht="16.95" customHeight="1" x14ac:dyDescent="0.3">
      <c r="A34" s="226"/>
      <c r="B34" s="250" t="s">
        <v>93</v>
      </c>
      <c r="C34" s="251">
        <v>2474.64</v>
      </c>
      <c r="D34" s="251">
        <v>2612.96</v>
      </c>
      <c r="E34" s="251">
        <v>3776.68</v>
      </c>
      <c r="F34" s="251">
        <v>3559.1</v>
      </c>
      <c r="G34" s="252">
        <v>3559.1</v>
      </c>
      <c r="H34" s="6"/>
      <c r="I34" s="6"/>
      <c r="J34" s="6"/>
      <c r="K34" s="6"/>
      <c r="L34" s="6"/>
      <c r="N34" s="8"/>
      <c r="O34" s="5"/>
      <c r="P34" s="5"/>
      <c r="Q34" s="5"/>
      <c r="R34" s="5"/>
    </row>
    <row r="35" spans="1:18" ht="19.95" customHeight="1" x14ac:dyDescent="0.3">
      <c r="A35" s="226"/>
      <c r="B35" s="247" t="s">
        <v>94</v>
      </c>
      <c r="C35" s="248">
        <v>233.3</v>
      </c>
      <c r="D35" s="248">
        <v>295.19</v>
      </c>
      <c r="E35" s="248">
        <v>263.33</v>
      </c>
      <c r="F35" s="248">
        <v>240.99</v>
      </c>
      <c r="G35" s="249">
        <v>240.99</v>
      </c>
      <c r="H35" s="6"/>
      <c r="I35" s="6"/>
      <c r="J35" s="6"/>
      <c r="K35" s="6"/>
      <c r="L35" s="6"/>
      <c r="N35" s="2"/>
      <c r="O35" s="9"/>
      <c r="P35" s="9"/>
      <c r="Q35" s="9"/>
      <c r="R35" s="9"/>
    </row>
    <row r="36" spans="1:18" ht="18" customHeight="1" x14ac:dyDescent="0.3">
      <c r="A36" s="226"/>
      <c r="B36" s="253" t="s">
        <v>95</v>
      </c>
      <c r="C36" s="254">
        <v>2707.94</v>
      </c>
      <c r="D36" s="254">
        <v>2908.15</v>
      </c>
      <c r="E36" s="254">
        <v>4040.01</v>
      </c>
      <c r="F36" s="254">
        <v>3800.09</v>
      </c>
      <c r="G36" s="255">
        <v>3800.09</v>
      </c>
      <c r="H36" s="6"/>
      <c r="I36" s="6"/>
      <c r="J36" s="6"/>
      <c r="K36" s="6"/>
      <c r="L36" s="6"/>
      <c r="N36" s="4"/>
      <c r="O36" s="5"/>
      <c r="P36" s="5"/>
      <c r="Q36" s="5"/>
      <c r="R36" s="5"/>
    </row>
    <row r="37" spans="1:18" ht="18" customHeight="1" x14ac:dyDescent="0.3">
      <c r="A37" s="226"/>
      <c r="B37" s="268" t="s">
        <v>96</v>
      </c>
      <c r="C37" s="269">
        <v>1371.46</v>
      </c>
      <c r="D37" s="269">
        <v>1926.56</v>
      </c>
      <c r="E37" s="269">
        <v>4475.9399999999996</v>
      </c>
      <c r="F37" s="269">
        <v>4561.07</v>
      </c>
      <c r="G37" s="270">
        <v>4561.07</v>
      </c>
      <c r="H37" s="6"/>
      <c r="I37" s="6"/>
      <c r="J37" s="6"/>
      <c r="K37" s="6"/>
      <c r="L37" s="6"/>
      <c r="N37" s="2"/>
      <c r="O37" s="3"/>
      <c r="P37" s="3"/>
      <c r="Q37" s="3"/>
      <c r="R37" s="3"/>
    </row>
    <row r="38" spans="1:18" ht="16.95" customHeight="1" x14ac:dyDescent="0.3">
      <c r="A38" s="226"/>
      <c r="B38" s="265" t="s">
        <v>97</v>
      </c>
      <c r="C38" s="266">
        <v>8910.32</v>
      </c>
      <c r="D38" s="266">
        <v>12279.03</v>
      </c>
      <c r="E38" s="266">
        <v>19103.89</v>
      </c>
      <c r="F38" s="266">
        <v>21765.07</v>
      </c>
      <c r="G38" s="267">
        <v>21765.07</v>
      </c>
      <c r="H38" s="6"/>
      <c r="I38" s="6"/>
      <c r="J38" s="6"/>
      <c r="K38" s="6"/>
      <c r="L38" s="6"/>
      <c r="N38" s="2"/>
      <c r="O38" s="3"/>
      <c r="P38" s="3"/>
      <c r="Q38" s="3"/>
      <c r="R38" s="3"/>
    </row>
    <row r="39" spans="1:18" ht="16.95" customHeight="1" thickBot="1" x14ac:dyDescent="0.35">
      <c r="A39" s="226"/>
      <c r="B39" s="262" t="e" vm="1">
        <v>#VALUE!</v>
      </c>
      <c r="C39" s="271"/>
      <c r="D39" s="271"/>
      <c r="E39" s="271"/>
      <c r="F39" s="271"/>
      <c r="G39" s="272"/>
      <c r="H39" s="224"/>
      <c r="I39" s="224"/>
      <c r="J39" s="224"/>
      <c r="K39" s="224"/>
      <c r="L39" s="224"/>
    </row>
    <row r="40" spans="1:18" ht="18" customHeight="1" x14ac:dyDescent="0.3">
      <c r="A40" s="226"/>
      <c r="B40" s="247" t="s">
        <v>98</v>
      </c>
      <c r="C40" s="248">
        <v>1910.47</v>
      </c>
      <c r="D40" s="248">
        <v>3298.1</v>
      </c>
      <c r="E40" s="248">
        <v>2993.26</v>
      </c>
      <c r="F40" s="248">
        <v>3489.54</v>
      </c>
      <c r="G40" s="249">
        <v>3489.54</v>
      </c>
      <c r="H40" s="6"/>
      <c r="I40" s="6"/>
      <c r="J40" s="6"/>
      <c r="K40" s="6"/>
      <c r="L40" s="6"/>
      <c r="N40" s="1"/>
      <c r="O40" s="1"/>
      <c r="P40" s="1"/>
      <c r="Q40" s="1"/>
      <c r="R40" s="1"/>
    </row>
    <row r="41" spans="1:18" ht="16.95" customHeight="1" x14ac:dyDescent="0.3">
      <c r="A41" s="226"/>
      <c r="B41" s="256" t="s">
        <v>35</v>
      </c>
      <c r="C41" s="257">
        <v>78.55</v>
      </c>
      <c r="D41" s="257">
        <v>53.39</v>
      </c>
      <c r="E41" s="257">
        <v>49.12</v>
      </c>
      <c r="F41" s="257">
        <v>57.89</v>
      </c>
      <c r="G41" s="258">
        <v>57.89</v>
      </c>
      <c r="H41" s="6"/>
      <c r="I41" s="6"/>
      <c r="J41" s="6"/>
      <c r="K41" s="6"/>
      <c r="L41" s="6"/>
      <c r="N41" s="1"/>
      <c r="O41" s="1"/>
      <c r="P41" s="1"/>
      <c r="Q41" s="1"/>
      <c r="R41" s="1"/>
    </row>
    <row r="42" spans="1:18" ht="16.95" customHeight="1" x14ac:dyDescent="0.3">
      <c r="B42" s="227"/>
      <c r="C42" s="45"/>
      <c r="D42" s="45"/>
      <c r="E42" s="45"/>
      <c r="F42" s="45"/>
      <c r="G42" s="45"/>
      <c r="H42" s="55"/>
      <c r="I42" s="6"/>
      <c r="N42" s="4"/>
      <c r="O42" s="5"/>
      <c r="P42" s="5"/>
      <c r="Q42" s="5"/>
      <c r="R42" s="5"/>
    </row>
    <row r="43" spans="1:18" ht="16.95" customHeight="1" x14ac:dyDescent="0.3">
      <c r="B43" s="82"/>
      <c r="C43" s="93"/>
      <c r="D43" s="93"/>
      <c r="E43" s="93"/>
      <c r="F43" s="93"/>
      <c r="G43" s="93"/>
      <c r="H43" s="94"/>
    </row>
    <row r="44" spans="1:18" ht="16.95" customHeight="1" x14ac:dyDescent="0.3">
      <c r="B44" s="81"/>
      <c r="C44" s="95"/>
      <c r="D44" s="95"/>
      <c r="E44" s="95"/>
      <c r="F44" s="95"/>
      <c r="G44" s="95"/>
      <c r="H44" s="96"/>
    </row>
    <row r="45" spans="1:18" ht="16.95" customHeight="1" x14ac:dyDescent="0.3">
      <c r="B45" s="82"/>
      <c r="C45" s="93"/>
      <c r="D45" s="93"/>
      <c r="E45" s="93"/>
      <c r="F45" s="93"/>
      <c r="G45" s="93"/>
      <c r="H45" s="94"/>
    </row>
    <row r="46" spans="1:18" ht="16.95" customHeight="1" x14ac:dyDescent="0.3">
      <c r="B46" s="89"/>
      <c r="C46" s="112"/>
      <c r="D46" s="112"/>
      <c r="E46" s="112"/>
      <c r="F46" s="112"/>
      <c r="G46" s="112"/>
      <c r="H46" s="113"/>
    </row>
  </sheetData>
  <sortState xmlns:xlrd2="http://schemas.microsoft.com/office/spreadsheetml/2017/richdata2" columnSort="1" ref="C6:G41">
    <sortCondition ref="C6:G6"/>
  </sortState>
  <mergeCells count="2">
    <mergeCell ref="B2:H2"/>
    <mergeCell ref="K3:R3"/>
  </mergeCells>
  <hyperlinks>
    <hyperlink ref="C4" r:id="rId1" display="javascript:void(0);" xr:uid="{D39EB0CD-9B57-4B66-9302-B4ECCF97A35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8222A-9B36-48DB-A514-43DBD48B2505}">
  <dimension ref="A1:R40"/>
  <sheetViews>
    <sheetView showGridLines="0" topLeftCell="A11" workbookViewId="0">
      <selection activeCell="B2" sqref="B2:G2"/>
    </sheetView>
  </sheetViews>
  <sheetFormatPr defaultRowHeight="14.4" x14ac:dyDescent="0.3"/>
  <cols>
    <col min="1" max="1" width="1.5546875" style="6" customWidth="1"/>
    <col min="2" max="2" width="40.77734375" customWidth="1"/>
    <col min="3" max="7" width="16.6640625" customWidth="1"/>
  </cols>
  <sheetData>
    <row r="1" spans="2:18" s="6" customFormat="1" x14ac:dyDescent="0.3"/>
    <row r="2" spans="2:18" ht="28.05" customHeight="1" x14ac:dyDescent="0.3">
      <c r="B2" s="470" t="s">
        <v>288</v>
      </c>
      <c r="C2" s="471"/>
      <c r="D2" s="471"/>
      <c r="E2" s="471"/>
      <c r="F2" s="471"/>
      <c r="G2" s="472"/>
    </row>
    <row r="3" spans="2:18" ht="4.05" customHeight="1" x14ac:dyDescent="0.3">
      <c r="B3" s="53" t="s">
        <v>71</v>
      </c>
      <c r="C3" s="17" t="s">
        <v>0</v>
      </c>
      <c r="D3" s="17"/>
      <c r="E3" s="17"/>
      <c r="F3" s="17"/>
      <c r="G3" s="18"/>
      <c r="K3" s="454"/>
      <c r="L3" s="454"/>
      <c r="M3" s="454"/>
      <c r="N3" s="454"/>
      <c r="O3" s="454"/>
      <c r="P3" s="454"/>
      <c r="Q3" s="454"/>
      <c r="R3" s="454"/>
    </row>
    <row r="4" spans="2:18" ht="18" customHeight="1" x14ac:dyDescent="0.3">
      <c r="B4" s="19"/>
      <c r="C4" s="20" t="s">
        <v>5</v>
      </c>
      <c r="D4" s="20" t="s">
        <v>4</v>
      </c>
      <c r="E4" s="20" t="s">
        <v>3</v>
      </c>
      <c r="F4" s="20" t="s">
        <v>2</v>
      </c>
      <c r="G4" s="21" t="s">
        <v>1</v>
      </c>
      <c r="H4" s="6"/>
    </row>
    <row r="5" spans="2:18" ht="10.050000000000001" customHeight="1" x14ac:dyDescent="0.3">
      <c r="B5" s="54" t="e" vm="1">
        <v>#VALUE!</v>
      </c>
      <c r="C5" s="22"/>
      <c r="D5" s="22"/>
      <c r="E5" s="22"/>
      <c r="F5" s="22"/>
      <c r="G5" s="23"/>
      <c r="H5" s="7"/>
    </row>
    <row r="6" spans="2:18" ht="10.050000000000001" customHeight="1" x14ac:dyDescent="0.3">
      <c r="B6" s="54"/>
      <c r="C6" s="59" t="s">
        <v>6</v>
      </c>
      <c r="D6" s="59" t="s">
        <v>6</v>
      </c>
      <c r="E6" s="59" t="s">
        <v>6</v>
      </c>
      <c r="F6" s="59" t="s">
        <v>6</v>
      </c>
      <c r="G6" s="97" t="s">
        <v>6</v>
      </c>
      <c r="H6" s="6"/>
    </row>
    <row r="7" spans="2:18" ht="10.050000000000001" customHeight="1" x14ac:dyDescent="0.3">
      <c r="B7" s="54" t="e" vm="1">
        <v>#VALUE!</v>
      </c>
      <c r="C7" s="22"/>
      <c r="D7" s="22"/>
      <c r="E7" s="22"/>
      <c r="F7" s="22"/>
      <c r="G7" s="23"/>
      <c r="H7" s="7"/>
    </row>
    <row r="8" spans="2:18" ht="18" customHeight="1" x14ac:dyDescent="0.3">
      <c r="B8" s="33" t="s">
        <v>72</v>
      </c>
      <c r="C8" s="24"/>
      <c r="D8" s="24"/>
      <c r="E8" s="24"/>
      <c r="F8" s="24"/>
      <c r="G8" s="34"/>
      <c r="H8" s="6"/>
    </row>
    <row r="9" spans="2:18" ht="16.95" customHeight="1" x14ac:dyDescent="0.3">
      <c r="B9" s="26" t="s">
        <v>73</v>
      </c>
      <c r="C9" s="27">
        <v>433.03</v>
      </c>
      <c r="D9" s="27">
        <v>649.54999999999995</v>
      </c>
      <c r="E9" s="27">
        <v>649.61</v>
      </c>
      <c r="F9" s="27">
        <v>676.3</v>
      </c>
      <c r="G9" s="28">
        <v>676.4</v>
      </c>
      <c r="H9" s="6"/>
    </row>
    <row r="10" spans="2:18" ht="16.95" customHeight="1" x14ac:dyDescent="0.3">
      <c r="B10" s="14" t="s">
        <v>74</v>
      </c>
      <c r="C10" s="15">
        <v>433.03</v>
      </c>
      <c r="D10" s="15">
        <v>649.54999999999995</v>
      </c>
      <c r="E10" s="15">
        <v>649.61</v>
      </c>
      <c r="F10" s="15">
        <v>676.3</v>
      </c>
      <c r="G10" s="16">
        <v>676.4</v>
      </c>
      <c r="H10" s="6"/>
    </row>
    <row r="11" spans="2:18" ht="16.95" customHeight="1" x14ac:dyDescent="0.3">
      <c r="B11" s="26" t="s">
        <v>75</v>
      </c>
      <c r="C11" s="27">
        <v>0</v>
      </c>
      <c r="D11" s="27">
        <v>0</v>
      </c>
      <c r="E11" s="27">
        <v>0.35</v>
      </c>
      <c r="F11" s="27">
        <v>0</v>
      </c>
      <c r="G11" s="28">
        <v>0.27</v>
      </c>
      <c r="H11" s="6" t="s">
        <v>377</v>
      </c>
    </row>
    <row r="12" spans="2:18" ht="16.95" customHeight="1" x14ac:dyDescent="0.3">
      <c r="B12" s="14" t="s">
        <v>76</v>
      </c>
      <c r="C12" s="15">
        <v>3965.59</v>
      </c>
      <c r="D12" s="15">
        <v>4867.8500000000004</v>
      </c>
      <c r="E12" s="15">
        <v>6425.85</v>
      </c>
      <c r="F12" s="15">
        <v>15882.4</v>
      </c>
      <c r="G12" s="16">
        <v>18088.13</v>
      </c>
      <c r="H12" s="6"/>
    </row>
    <row r="13" spans="2:18" ht="16.95" customHeight="1" x14ac:dyDescent="0.3">
      <c r="B13" s="26" t="s">
        <v>77</v>
      </c>
      <c r="C13" s="27">
        <v>4398.62</v>
      </c>
      <c r="D13" s="27">
        <v>5517.4</v>
      </c>
      <c r="E13" s="27">
        <v>7075.81</v>
      </c>
      <c r="F13" s="27">
        <v>16558.7</v>
      </c>
      <c r="G13" s="28">
        <v>18764.8</v>
      </c>
      <c r="H13" s="6"/>
    </row>
    <row r="14" spans="2:18" ht="16.95" customHeight="1" x14ac:dyDescent="0.3">
      <c r="B14" s="14" t="s">
        <v>78</v>
      </c>
      <c r="C14" s="15">
        <v>2272.9699999999998</v>
      </c>
      <c r="D14" s="15">
        <v>3471.85</v>
      </c>
      <c r="E14" s="15">
        <v>4760.1099999999997</v>
      </c>
      <c r="F14" s="15">
        <v>831.54</v>
      </c>
      <c r="G14" s="16">
        <v>376.07</v>
      </c>
      <c r="H14" s="6"/>
    </row>
    <row r="15" spans="2:18" ht="18" customHeight="1" x14ac:dyDescent="0.3">
      <c r="B15" s="103" t="s">
        <v>79</v>
      </c>
      <c r="C15" s="98">
        <v>2272.9699999999998</v>
      </c>
      <c r="D15" s="98">
        <v>3471.85</v>
      </c>
      <c r="E15" s="98">
        <v>4760.1099999999997</v>
      </c>
      <c r="F15" s="98">
        <v>831.54</v>
      </c>
      <c r="G15" s="99">
        <v>376.07</v>
      </c>
      <c r="H15" s="6"/>
    </row>
    <row r="16" spans="2:18" ht="19.95" customHeight="1" x14ac:dyDescent="0.3">
      <c r="B16" s="47" t="s">
        <v>80</v>
      </c>
      <c r="C16" s="48">
        <v>6671.59</v>
      </c>
      <c r="D16" s="48">
        <v>8989.25</v>
      </c>
      <c r="E16" s="48">
        <v>11835.92</v>
      </c>
      <c r="F16" s="48">
        <v>17390.240000000002</v>
      </c>
      <c r="G16" s="49">
        <v>19140.87</v>
      </c>
      <c r="H16" s="6"/>
    </row>
    <row r="17" spans="2:8" ht="18" customHeight="1" x14ac:dyDescent="0.3">
      <c r="B17" s="104"/>
      <c r="C17" s="100" t="s">
        <v>5</v>
      </c>
      <c r="D17" s="100" t="s">
        <v>4</v>
      </c>
      <c r="E17" s="100" t="s">
        <v>3</v>
      </c>
      <c r="F17" s="100" t="s">
        <v>2</v>
      </c>
      <c r="G17" s="101" t="s">
        <v>1</v>
      </c>
      <c r="H17" s="6"/>
    </row>
    <row r="18" spans="2:8" ht="16.95" customHeight="1" x14ac:dyDescent="0.3">
      <c r="B18" s="14" t="e" vm="1">
        <v>#VALUE!</v>
      </c>
      <c r="C18" s="15"/>
      <c r="D18" s="15"/>
      <c r="E18" s="15"/>
      <c r="F18" s="15"/>
      <c r="G18" s="16"/>
      <c r="H18" s="6"/>
    </row>
    <row r="19" spans="2:8" ht="16.95" customHeight="1" x14ac:dyDescent="0.3">
      <c r="B19" s="26"/>
      <c r="C19" s="27" t="s">
        <v>6</v>
      </c>
      <c r="D19" s="27" t="s">
        <v>6</v>
      </c>
      <c r="E19" s="27" t="s">
        <v>6</v>
      </c>
      <c r="F19" s="27" t="s">
        <v>6</v>
      </c>
      <c r="G19" s="28" t="s">
        <v>6</v>
      </c>
      <c r="H19" s="6"/>
    </row>
    <row r="20" spans="2:8" ht="16.95" customHeight="1" x14ac:dyDescent="0.3">
      <c r="B20" s="14" t="e" vm="1">
        <v>#VALUE!</v>
      </c>
      <c r="C20" s="15"/>
      <c r="D20" s="15"/>
      <c r="E20" s="15"/>
      <c r="F20" s="15"/>
      <c r="G20" s="16"/>
      <c r="H20" s="6"/>
    </row>
    <row r="21" spans="2:8" ht="16.95" customHeight="1" x14ac:dyDescent="0.3">
      <c r="B21" s="26" t="s">
        <v>81</v>
      </c>
      <c r="C21" s="27"/>
      <c r="D21" s="27"/>
      <c r="E21" s="27"/>
      <c r="F21" s="27"/>
      <c r="G21" s="28"/>
      <c r="H21" s="6"/>
    </row>
    <row r="22" spans="2:8" ht="16.95" customHeight="1" x14ac:dyDescent="0.3">
      <c r="B22" s="14" t="s">
        <v>82</v>
      </c>
      <c r="C22" s="15">
        <v>7259.91</v>
      </c>
      <c r="D22" s="15">
        <v>8390.14</v>
      </c>
      <c r="E22" s="15">
        <v>9951.4599999999991</v>
      </c>
      <c r="F22" s="15">
        <v>12804.1</v>
      </c>
      <c r="G22" s="16">
        <v>15130.38</v>
      </c>
      <c r="H22" s="7"/>
    </row>
    <row r="23" spans="2:8" ht="16.95" customHeight="1" x14ac:dyDescent="0.3">
      <c r="B23" s="26" t="s">
        <v>83</v>
      </c>
      <c r="C23" s="27">
        <v>2248.3000000000002</v>
      </c>
      <c r="D23" s="27">
        <v>2638.27</v>
      </c>
      <c r="E23" s="27">
        <v>3013.25</v>
      </c>
      <c r="F23" s="27">
        <v>3623</v>
      </c>
      <c r="G23" s="28">
        <v>4293.4399999999996</v>
      </c>
      <c r="H23" s="6"/>
    </row>
    <row r="24" spans="2:8" ht="16.95" customHeight="1" x14ac:dyDescent="0.3">
      <c r="B24" s="14" t="s">
        <v>84</v>
      </c>
      <c r="C24" s="15">
        <v>5011.6099999999997</v>
      </c>
      <c r="D24" s="15">
        <v>5751.87</v>
      </c>
      <c r="E24" s="15">
        <v>6938.21</v>
      </c>
      <c r="F24" s="15">
        <v>9181.1</v>
      </c>
      <c r="G24" s="16">
        <v>10836.94</v>
      </c>
      <c r="H24" s="7"/>
    </row>
    <row r="25" spans="2:8" ht="16.95" customHeight="1" x14ac:dyDescent="0.3">
      <c r="B25" s="26" t="s">
        <v>85</v>
      </c>
      <c r="C25" s="27">
        <v>477.95</v>
      </c>
      <c r="D25" s="27">
        <v>539.95000000000005</v>
      </c>
      <c r="E25" s="27">
        <v>1576</v>
      </c>
      <c r="F25" s="27">
        <v>960.03</v>
      </c>
      <c r="G25" s="28">
        <v>140.72999999999999</v>
      </c>
      <c r="H25" s="6"/>
    </row>
    <row r="26" spans="2:8" ht="16.95" customHeight="1" x14ac:dyDescent="0.3">
      <c r="B26" s="14" t="s">
        <v>86</v>
      </c>
      <c r="C26" s="15">
        <v>1352.24</v>
      </c>
      <c r="D26" s="15">
        <v>1354.32</v>
      </c>
      <c r="E26" s="15">
        <v>1449.95</v>
      </c>
      <c r="F26" s="444" t="s">
        <v>553</v>
      </c>
      <c r="G26" s="16">
        <v>3770.46</v>
      </c>
      <c r="H26" s="6"/>
    </row>
    <row r="27" spans="2:8" ht="16.95" customHeight="1" x14ac:dyDescent="0.3">
      <c r="B27" s="26" t="s">
        <v>87</v>
      </c>
      <c r="C27" s="27">
        <v>1066.27</v>
      </c>
      <c r="D27" s="27">
        <v>1426.15</v>
      </c>
      <c r="E27" s="27">
        <v>1535.87</v>
      </c>
      <c r="F27" s="27" t="s">
        <v>547</v>
      </c>
      <c r="G27" s="28">
        <v>1659.03</v>
      </c>
      <c r="H27" s="6"/>
    </row>
    <row r="28" spans="2:8" ht="16.95" customHeight="1" x14ac:dyDescent="0.3">
      <c r="B28" s="14" t="s">
        <v>88</v>
      </c>
      <c r="C28" s="15">
        <v>132.07</v>
      </c>
      <c r="D28" s="15">
        <v>150.24</v>
      </c>
      <c r="E28" s="15">
        <v>212.94</v>
      </c>
      <c r="F28" s="15" t="s">
        <v>548</v>
      </c>
      <c r="G28" s="16">
        <v>266.20999999999998</v>
      </c>
      <c r="H28" s="6"/>
    </row>
    <row r="29" spans="2:8" ht="16.95" customHeight="1" x14ac:dyDescent="0.3">
      <c r="B29" s="26" t="s">
        <v>89</v>
      </c>
      <c r="C29" s="27">
        <v>24.24</v>
      </c>
      <c r="D29" s="27">
        <v>47.49</v>
      </c>
      <c r="E29" s="27">
        <v>52.31</v>
      </c>
      <c r="F29" s="27" t="s">
        <v>549</v>
      </c>
      <c r="G29" s="28">
        <v>1599.94</v>
      </c>
      <c r="H29" s="6"/>
    </row>
    <row r="30" spans="2:8" ht="16.95" customHeight="1" x14ac:dyDescent="0.3">
      <c r="B30" s="14" t="s">
        <v>90</v>
      </c>
      <c r="C30" s="15">
        <v>1222.58</v>
      </c>
      <c r="D30" s="15">
        <v>1623.88</v>
      </c>
      <c r="E30" s="15">
        <v>1801.12</v>
      </c>
      <c r="F30" s="15" t="s">
        <v>550</v>
      </c>
      <c r="G30" s="16">
        <v>3525.18</v>
      </c>
      <c r="H30" s="6"/>
    </row>
    <row r="31" spans="2:8" ht="16.95" customHeight="1" x14ac:dyDescent="0.3">
      <c r="B31" s="26" t="s">
        <v>91</v>
      </c>
      <c r="C31" s="27">
        <v>1001.24</v>
      </c>
      <c r="D31" s="27">
        <v>1798.93</v>
      </c>
      <c r="E31" s="27">
        <v>2244.17</v>
      </c>
      <c r="F31" s="27" t="s">
        <v>551</v>
      </c>
      <c r="G31" s="28">
        <v>2726.97</v>
      </c>
      <c r="H31" s="6"/>
    </row>
    <row r="32" spans="2:8" ht="16.95" customHeight="1" x14ac:dyDescent="0.3">
      <c r="B32" s="14" t="s">
        <v>92</v>
      </c>
      <c r="C32" s="15">
        <v>2223.8200000000002</v>
      </c>
      <c r="D32" s="15">
        <v>3422.81</v>
      </c>
      <c r="E32" s="15">
        <v>4045.29</v>
      </c>
      <c r="F32" s="15" t="s">
        <v>552</v>
      </c>
      <c r="G32" s="16">
        <v>6252.15</v>
      </c>
      <c r="H32" s="6"/>
    </row>
    <row r="33" spans="2:8" ht="18" customHeight="1" x14ac:dyDescent="0.3">
      <c r="B33" s="103" t="s">
        <v>93</v>
      </c>
      <c r="C33" s="98">
        <v>2145.64</v>
      </c>
      <c r="D33" s="98">
        <v>1853.72</v>
      </c>
      <c r="E33" s="98">
        <v>1886.35</v>
      </c>
      <c r="F33" s="98">
        <v>1851.23</v>
      </c>
      <c r="G33" s="99">
        <v>1648.92</v>
      </c>
      <c r="H33" s="6"/>
    </row>
    <row r="34" spans="2:8" ht="19.95" customHeight="1" x14ac:dyDescent="0.3">
      <c r="B34" s="47" t="s">
        <v>94</v>
      </c>
      <c r="C34" s="48">
        <v>248.4</v>
      </c>
      <c r="D34" s="48">
        <v>225.97</v>
      </c>
      <c r="E34" s="48">
        <v>287.2</v>
      </c>
      <c r="F34" s="48">
        <v>242.49</v>
      </c>
      <c r="G34" s="49">
        <v>210.48</v>
      </c>
      <c r="H34" s="6"/>
    </row>
    <row r="35" spans="2:8" ht="18" customHeight="1" x14ac:dyDescent="0.3">
      <c r="B35" s="105" t="s">
        <v>95</v>
      </c>
      <c r="C35" s="107">
        <v>2394.04</v>
      </c>
      <c r="D35" s="107">
        <v>2079.69</v>
      </c>
      <c r="E35" s="107">
        <v>2173.5500000000002</v>
      </c>
      <c r="F35" s="107">
        <v>2093.7199999999998</v>
      </c>
      <c r="G35" s="108">
        <v>1859.4</v>
      </c>
      <c r="H35" s="6"/>
    </row>
    <row r="36" spans="2:8" ht="16.95" customHeight="1" x14ac:dyDescent="0.3">
      <c r="B36" s="14" t="s">
        <v>96</v>
      </c>
      <c r="C36" s="15">
        <v>-170.22</v>
      </c>
      <c r="D36" s="15">
        <v>1343.12</v>
      </c>
      <c r="E36" s="15">
        <v>1871.74</v>
      </c>
      <c r="F36" s="15">
        <v>5153.12</v>
      </c>
      <c r="G36" s="16">
        <v>4392.75</v>
      </c>
      <c r="H36" s="6"/>
    </row>
    <row r="37" spans="2:8" ht="16.95" customHeight="1" x14ac:dyDescent="0.3">
      <c r="B37" s="26" t="s">
        <v>97</v>
      </c>
      <c r="C37" s="27">
        <v>6671.58</v>
      </c>
      <c r="D37" s="27">
        <v>8989.26</v>
      </c>
      <c r="E37" s="27">
        <v>11835.9</v>
      </c>
      <c r="F37" s="27">
        <v>17390.259999999998</v>
      </c>
      <c r="G37" s="28">
        <v>19140.88</v>
      </c>
      <c r="H37" s="6"/>
    </row>
    <row r="38" spans="2:8" ht="16.95" customHeight="1" x14ac:dyDescent="0.3">
      <c r="B38" s="14" t="e" vm="1">
        <v>#VALUE!</v>
      </c>
      <c r="C38" s="15"/>
      <c r="D38" s="15"/>
      <c r="E38" s="15"/>
      <c r="F38" s="15"/>
      <c r="G38" s="16"/>
      <c r="H38" s="6"/>
    </row>
    <row r="39" spans="2:8" ht="16.95" customHeight="1" x14ac:dyDescent="0.3">
      <c r="B39" s="106" t="s">
        <v>98</v>
      </c>
      <c r="C39" s="109">
        <v>700.47</v>
      </c>
      <c r="D39" s="109">
        <v>2051.21</v>
      </c>
      <c r="E39" s="109">
        <v>3262.02</v>
      </c>
      <c r="F39" s="109">
        <v>4257.8</v>
      </c>
      <c r="G39" s="110">
        <v>4277.24</v>
      </c>
      <c r="H39" s="6"/>
    </row>
    <row r="40" spans="2:8" ht="19.95" customHeight="1" x14ac:dyDescent="0.3">
      <c r="B40" s="47" t="s">
        <v>35</v>
      </c>
      <c r="C40" s="48">
        <v>101.58</v>
      </c>
      <c r="D40" s="48">
        <v>84.94</v>
      </c>
      <c r="E40" s="48">
        <v>54.46</v>
      </c>
      <c r="F40" s="48">
        <v>48.97</v>
      </c>
      <c r="G40" s="49">
        <v>55.48</v>
      </c>
      <c r="H40" s="6"/>
    </row>
  </sheetData>
  <sortState xmlns:xlrd2="http://schemas.microsoft.com/office/spreadsheetml/2017/richdata2" columnSort="1" ref="C4:G40">
    <sortCondition ref="C4:G4"/>
  </sortState>
  <mergeCells count="2">
    <mergeCell ref="B2:G2"/>
    <mergeCell ref="K3:R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39122-26AB-4823-9F44-71F52963BD37}">
  <dimension ref="A1:R48"/>
  <sheetViews>
    <sheetView showGridLines="0" topLeftCell="B1" zoomScale="84" workbookViewId="0">
      <selection activeCell="B2" sqref="B2:H2"/>
    </sheetView>
  </sheetViews>
  <sheetFormatPr defaultRowHeight="14.4" x14ac:dyDescent="0.3"/>
  <cols>
    <col min="1" max="1" width="1.5546875" style="6" customWidth="1"/>
    <col min="2" max="2" width="48.109375" customWidth="1"/>
    <col min="3" max="8" width="15.77734375" customWidth="1"/>
  </cols>
  <sheetData>
    <row r="1" spans="2:18" s="6" customFormat="1" x14ac:dyDescent="0.3"/>
    <row r="2" spans="2:18" ht="28.05" customHeight="1" x14ac:dyDescent="0.3">
      <c r="B2" s="462" t="s">
        <v>287</v>
      </c>
      <c r="C2" s="449"/>
      <c r="D2" s="449"/>
      <c r="E2" s="449"/>
      <c r="F2" s="449"/>
      <c r="G2" s="449"/>
      <c r="H2" s="469"/>
    </row>
    <row r="3" spans="2:18" ht="4.05" customHeight="1" x14ac:dyDescent="0.3">
      <c r="B3" s="78"/>
      <c r="C3" s="17" t="s">
        <v>36</v>
      </c>
      <c r="D3" s="17" t="s">
        <v>0</v>
      </c>
      <c r="E3" s="17"/>
      <c r="F3" s="17"/>
      <c r="G3" s="17"/>
      <c r="H3" s="56"/>
      <c r="K3" s="454"/>
      <c r="L3" s="454"/>
      <c r="M3" s="454"/>
      <c r="N3" s="454"/>
      <c r="O3" s="454"/>
      <c r="P3" s="454"/>
      <c r="Q3" s="454"/>
      <c r="R3" s="454"/>
    </row>
    <row r="4" spans="2:18" ht="18" customHeight="1" x14ac:dyDescent="0.3">
      <c r="B4" s="57"/>
      <c r="C4" s="20"/>
      <c r="D4" s="213">
        <v>44286</v>
      </c>
      <c r="E4" s="213">
        <v>44651</v>
      </c>
      <c r="F4" s="213">
        <v>45016</v>
      </c>
      <c r="G4" s="213">
        <v>45382</v>
      </c>
      <c r="H4" s="213">
        <v>45747</v>
      </c>
      <c r="I4" s="6"/>
    </row>
    <row r="5" spans="2:18" ht="10.050000000000001" customHeight="1" x14ac:dyDescent="0.3">
      <c r="B5" s="79"/>
      <c r="C5" s="22" t="e" vm="1">
        <v>#VALUE!</v>
      </c>
      <c r="D5" s="22"/>
      <c r="E5" s="22"/>
      <c r="F5" s="22"/>
      <c r="G5" s="22"/>
      <c r="H5" s="58"/>
      <c r="I5" s="7"/>
    </row>
    <row r="6" spans="2:18" ht="10.050000000000001" customHeight="1" x14ac:dyDescent="0.3">
      <c r="B6" s="79"/>
      <c r="C6" s="22"/>
      <c r="D6" s="59" t="s">
        <v>6</v>
      </c>
      <c r="E6" s="59" t="s">
        <v>6</v>
      </c>
      <c r="F6" s="59" t="s">
        <v>6</v>
      </c>
      <c r="G6" s="59" t="s">
        <v>6</v>
      </c>
      <c r="H6" s="60" t="s">
        <v>6</v>
      </c>
      <c r="I6" s="6"/>
    </row>
    <row r="7" spans="2:18" ht="10.050000000000001" customHeight="1" x14ac:dyDescent="0.3">
      <c r="B7" s="79"/>
      <c r="C7" s="22" t="e" vm="1">
        <v>#VALUE!</v>
      </c>
      <c r="D7" s="22"/>
      <c r="E7" s="22"/>
      <c r="F7" s="22"/>
      <c r="G7" s="22"/>
      <c r="H7" s="58"/>
      <c r="I7" s="7"/>
    </row>
    <row r="8" spans="2:18" ht="18" customHeight="1" x14ac:dyDescent="0.3">
      <c r="B8" s="80"/>
      <c r="C8" s="61" t="s">
        <v>37</v>
      </c>
      <c r="D8" s="61"/>
      <c r="E8" s="24"/>
      <c r="F8" s="24"/>
      <c r="G8" s="24"/>
      <c r="H8" s="64"/>
      <c r="I8" s="6"/>
    </row>
    <row r="9" spans="2:18" ht="16.95" customHeight="1" x14ac:dyDescent="0.3">
      <c r="B9" s="81"/>
      <c r="C9" s="15" t="s">
        <v>38</v>
      </c>
      <c r="D9" s="15">
        <v>8777.41</v>
      </c>
      <c r="E9" s="15">
        <v>13138.47</v>
      </c>
      <c r="F9" s="15">
        <v>15900.22</v>
      </c>
      <c r="G9" s="15">
        <v>19918.72</v>
      </c>
      <c r="H9" s="55">
        <v>21374.81</v>
      </c>
      <c r="I9" s="6"/>
    </row>
    <row r="10" spans="2:18" ht="16.95" customHeight="1" x14ac:dyDescent="0.3">
      <c r="B10" s="82"/>
      <c r="C10" s="27" t="s">
        <v>39</v>
      </c>
      <c r="D10" s="27">
        <v>135.06</v>
      </c>
      <c r="E10" s="27">
        <v>217.42</v>
      </c>
      <c r="F10" s="27">
        <v>278.48</v>
      </c>
      <c r="G10" s="27">
        <v>473.68</v>
      </c>
      <c r="H10" s="62">
        <v>540.21</v>
      </c>
      <c r="I10" s="6"/>
    </row>
    <row r="11" spans="2:18" ht="16.95" customHeight="1" x14ac:dyDescent="0.3">
      <c r="B11" s="81"/>
      <c r="C11" s="15" t="s">
        <v>40</v>
      </c>
      <c r="D11" s="15">
        <v>8642.35</v>
      </c>
      <c r="E11" s="15">
        <v>12921.05</v>
      </c>
      <c r="F11" s="15">
        <v>15621.74</v>
      </c>
      <c r="G11" s="15">
        <v>19445.05</v>
      </c>
      <c r="H11" s="55">
        <v>20834.599999999999</v>
      </c>
      <c r="I11" s="6"/>
    </row>
    <row r="12" spans="2:18" ht="16.95" customHeight="1" x14ac:dyDescent="0.3">
      <c r="B12" s="82"/>
      <c r="C12" s="27" t="s">
        <v>41</v>
      </c>
      <c r="D12" s="27">
        <v>180.88</v>
      </c>
      <c r="E12" s="27">
        <v>252.09</v>
      </c>
      <c r="F12" s="27">
        <v>420.84</v>
      </c>
      <c r="G12" s="27">
        <v>562.6</v>
      </c>
      <c r="H12" s="62">
        <v>850.78</v>
      </c>
      <c r="I12" s="6"/>
    </row>
    <row r="13" spans="2:18" ht="16.95" customHeight="1" x14ac:dyDescent="0.3">
      <c r="B13" s="81"/>
      <c r="C13" s="15" t="s">
        <v>42</v>
      </c>
      <c r="D13" s="15">
        <v>8823.23</v>
      </c>
      <c r="E13" s="15">
        <v>13173.14</v>
      </c>
      <c r="F13" s="15">
        <v>16042.58</v>
      </c>
      <c r="G13" s="15">
        <v>20007.650000000001</v>
      </c>
      <c r="H13" s="55">
        <v>21685.38</v>
      </c>
      <c r="I13" s="6"/>
    </row>
    <row r="14" spans="2:18" ht="16.95" customHeight="1" x14ac:dyDescent="0.3">
      <c r="B14" s="82"/>
      <c r="C14" s="27" t="s">
        <v>10</v>
      </c>
      <c r="D14" s="27">
        <v>67.930000000000007</v>
      </c>
      <c r="E14" s="27">
        <v>38.85</v>
      </c>
      <c r="F14" s="27">
        <v>79.36</v>
      </c>
      <c r="G14" s="27">
        <v>121.27</v>
      </c>
      <c r="H14" s="62">
        <v>352.35</v>
      </c>
      <c r="I14" s="6"/>
    </row>
    <row r="15" spans="2:18" ht="16.95" customHeight="1" x14ac:dyDescent="0.3">
      <c r="B15" s="81"/>
      <c r="C15" s="15" t="s">
        <v>43</v>
      </c>
      <c r="D15" s="15">
        <v>8891.16</v>
      </c>
      <c r="E15" s="15">
        <v>13211.99</v>
      </c>
      <c r="F15" s="15">
        <v>16121.94</v>
      </c>
      <c r="G15" s="15">
        <v>20128.919999999998</v>
      </c>
      <c r="H15" s="55">
        <v>22037.73</v>
      </c>
      <c r="I15" s="6"/>
    </row>
    <row r="16" spans="2:18" ht="18" customHeight="1" x14ac:dyDescent="0.3">
      <c r="B16" s="80"/>
      <c r="C16" s="90" t="s">
        <v>44</v>
      </c>
      <c r="D16" s="90"/>
      <c r="E16" s="90"/>
      <c r="F16" s="90"/>
      <c r="G16" s="90"/>
      <c r="H16" s="91"/>
      <c r="I16" s="6"/>
    </row>
    <row r="17" spans="2:9" ht="16.95" customHeight="1" x14ac:dyDescent="0.3">
      <c r="B17" s="81"/>
      <c r="C17" s="15" t="s">
        <v>45</v>
      </c>
      <c r="D17" s="15">
        <v>3968.91</v>
      </c>
      <c r="E17" s="15">
        <v>6417.09</v>
      </c>
      <c r="F17" s="15">
        <v>7026.46</v>
      </c>
      <c r="G17" s="15">
        <v>8293.74</v>
      </c>
      <c r="H17" s="55">
        <v>9337.06</v>
      </c>
      <c r="I17" s="6"/>
    </row>
    <row r="18" spans="2:9" ht="16.95" customHeight="1" x14ac:dyDescent="0.3">
      <c r="B18" s="82"/>
      <c r="C18" s="27" t="s">
        <v>46</v>
      </c>
      <c r="D18" s="27">
        <v>165.47</v>
      </c>
      <c r="E18" s="27">
        <v>188.57</v>
      </c>
      <c r="F18" s="27">
        <v>462.7</v>
      </c>
      <c r="G18" s="27">
        <v>685.92</v>
      </c>
      <c r="H18" s="62">
        <v>369.45</v>
      </c>
      <c r="I18" s="6"/>
    </row>
    <row r="19" spans="2:9" ht="16.95" customHeight="1" x14ac:dyDescent="0.3">
      <c r="B19" s="81"/>
      <c r="C19" s="15" t="s">
        <v>47</v>
      </c>
      <c r="D19" s="15">
        <v>-99.72</v>
      </c>
      <c r="E19" s="15">
        <v>-344.51</v>
      </c>
      <c r="F19" s="15">
        <v>-84.27</v>
      </c>
      <c r="G19" s="15">
        <v>-74.94</v>
      </c>
      <c r="H19" s="55">
        <v>8.91</v>
      </c>
      <c r="I19" s="6"/>
    </row>
    <row r="20" spans="2:9" ht="16.95" customHeight="1" x14ac:dyDescent="0.3">
      <c r="B20" s="82"/>
      <c r="C20" s="27" t="s">
        <v>48</v>
      </c>
      <c r="D20" s="27">
        <v>1007.7</v>
      </c>
      <c r="E20" s="27">
        <v>1216.6400000000001</v>
      </c>
      <c r="F20" s="27">
        <v>1446.59</v>
      </c>
      <c r="G20" s="27">
        <v>1885.03</v>
      </c>
      <c r="H20" s="62">
        <v>2200.7399999999998</v>
      </c>
      <c r="I20" s="6"/>
    </row>
    <row r="21" spans="2:9" ht="16.95" customHeight="1" x14ac:dyDescent="0.3">
      <c r="B21" s="81"/>
      <c r="C21" s="15" t="s">
        <v>49</v>
      </c>
      <c r="D21" s="15">
        <v>184.7</v>
      </c>
      <c r="E21" s="15">
        <v>186.12</v>
      </c>
      <c r="F21" s="15">
        <v>268.10000000000002</v>
      </c>
      <c r="G21" s="15">
        <v>450.39</v>
      </c>
      <c r="H21" s="55">
        <v>169.58</v>
      </c>
      <c r="I21" s="6"/>
    </row>
    <row r="22" spans="2:9" ht="16.95" customHeight="1" x14ac:dyDescent="0.3">
      <c r="B22" s="82"/>
      <c r="C22" s="27" t="s">
        <v>50</v>
      </c>
      <c r="D22" s="27">
        <v>531.26</v>
      </c>
      <c r="E22" s="27">
        <v>617.19000000000005</v>
      </c>
      <c r="F22" s="27">
        <v>680.91</v>
      </c>
      <c r="G22" s="27">
        <v>947.39</v>
      </c>
      <c r="H22" s="62">
        <v>1216.46</v>
      </c>
      <c r="I22" s="7"/>
    </row>
    <row r="23" spans="2:9" ht="16.95" customHeight="1" x14ac:dyDescent="0.3">
      <c r="B23" s="81"/>
      <c r="C23" s="15" t="s">
        <v>51</v>
      </c>
      <c r="D23" s="15">
        <v>2126.23</v>
      </c>
      <c r="E23" s="15">
        <v>2907.24</v>
      </c>
      <c r="F23" s="15">
        <v>3581.62</v>
      </c>
      <c r="G23" s="15">
        <v>4506.83</v>
      </c>
      <c r="H23" s="55">
        <v>4719.84</v>
      </c>
      <c r="I23" s="6"/>
    </row>
    <row r="24" spans="2:9" ht="18" customHeight="1" x14ac:dyDescent="0.3">
      <c r="B24" s="83"/>
      <c r="C24" s="31" t="s">
        <v>19</v>
      </c>
      <c r="D24" s="31">
        <v>7884.55</v>
      </c>
      <c r="E24" s="31">
        <v>11188.35</v>
      </c>
      <c r="F24" s="31">
        <v>13382.1</v>
      </c>
      <c r="G24" s="31">
        <v>16694.349999999999</v>
      </c>
      <c r="H24" s="69">
        <v>18022.05</v>
      </c>
      <c r="I24" s="7"/>
    </row>
    <row r="25" spans="2:9" ht="18" customHeight="1" x14ac:dyDescent="0.3">
      <c r="B25" s="84"/>
      <c r="C25" s="29" t="s">
        <v>52</v>
      </c>
      <c r="D25" s="29">
        <v>1006.61</v>
      </c>
      <c r="E25" s="29">
        <v>2023.64</v>
      </c>
      <c r="F25" s="29">
        <v>2739.84</v>
      </c>
      <c r="G25" s="29">
        <v>3434.57</v>
      </c>
      <c r="H25" s="65">
        <v>4015.68</v>
      </c>
      <c r="I25" s="6"/>
    </row>
    <row r="26" spans="2:9" ht="18" customHeight="1" x14ac:dyDescent="0.3">
      <c r="B26" s="85"/>
      <c r="C26" s="66" t="s">
        <v>53</v>
      </c>
      <c r="D26" s="66">
        <v>1006.61</v>
      </c>
      <c r="E26" s="66">
        <v>2023.64</v>
      </c>
      <c r="F26" s="443" t="s">
        <v>553</v>
      </c>
      <c r="G26" s="66">
        <v>3434.57</v>
      </c>
      <c r="H26" s="67">
        <v>4015.68</v>
      </c>
      <c r="I26" s="6"/>
    </row>
    <row r="27" spans="2:9" ht="18" customHeight="1" x14ac:dyDescent="0.3">
      <c r="B27" s="80"/>
      <c r="C27" s="90" t="s">
        <v>54</v>
      </c>
      <c r="D27" s="90"/>
      <c r="E27" s="90"/>
      <c r="F27" s="90" t="s">
        <v>547</v>
      </c>
      <c r="G27" s="90"/>
      <c r="H27" s="91"/>
      <c r="I27" s="6"/>
    </row>
    <row r="28" spans="2:9" ht="16.95" customHeight="1" x14ac:dyDescent="0.3">
      <c r="B28" s="81"/>
      <c r="C28" s="15" t="s">
        <v>55</v>
      </c>
      <c r="D28" s="15">
        <v>134.19999999999999</v>
      </c>
      <c r="E28" s="15">
        <v>425.87</v>
      </c>
      <c r="F28" s="15" t="s">
        <v>548</v>
      </c>
      <c r="G28" s="15">
        <v>750.21</v>
      </c>
      <c r="H28" s="55">
        <v>838.91</v>
      </c>
      <c r="I28" s="6"/>
    </row>
    <row r="29" spans="2:9" ht="16.95" customHeight="1" x14ac:dyDescent="0.3">
      <c r="B29" s="82"/>
      <c r="C29" s="27" t="s">
        <v>56</v>
      </c>
      <c r="D29" s="27">
        <v>91.35</v>
      </c>
      <c r="E29" s="27">
        <v>24.97</v>
      </c>
      <c r="F29" s="27" t="s">
        <v>549</v>
      </c>
      <c r="G29" s="27">
        <v>48.07</v>
      </c>
      <c r="H29" s="62">
        <v>107.01</v>
      </c>
      <c r="I29" s="6"/>
    </row>
    <row r="30" spans="2:9" ht="16.95" customHeight="1" x14ac:dyDescent="0.3">
      <c r="B30" s="81"/>
      <c r="C30" s="15" t="s">
        <v>57</v>
      </c>
      <c r="D30" s="15">
        <v>35.01</v>
      </c>
      <c r="E30" s="15">
        <v>22.69</v>
      </c>
      <c r="F30" s="15" t="s">
        <v>550</v>
      </c>
      <c r="G30" s="15">
        <v>0.53</v>
      </c>
      <c r="H30" s="55">
        <v>1.69</v>
      </c>
      <c r="I30" s="6"/>
    </row>
    <row r="31" spans="2:9" ht="18" customHeight="1" x14ac:dyDescent="0.3">
      <c r="B31" s="83"/>
      <c r="C31" s="31" t="s">
        <v>58</v>
      </c>
      <c r="D31" s="31">
        <v>260.56</v>
      </c>
      <c r="E31" s="31">
        <v>473.52</v>
      </c>
      <c r="F31" s="31" t="s">
        <v>551</v>
      </c>
      <c r="G31" s="31">
        <v>798.8</v>
      </c>
      <c r="H31" s="69">
        <v>947.61</v>
      </c>
      <c r="I31" s="6"/>
    </row>
    <row r="32" spans="2:9" ht="16.95" customHeight="1" x14ac:dyDescent="0.3">
      <c r="B32" s="81"/>
      <c r="C32" s="15" t="s">
        <v>59</v>
      </c>
      <c r="D32" s="15">
        <v>746.05</v>
      </c>
      <c r="E32" s="15">
        <v>1550.12</v>
      </c>
      <c r="F32" s="15" t="s">
        <v>552</v>
      </c>
      <c r="G32" s="15">
        <v>2635.76</v>
      </c>
      <c r="H32" s="55">
        <v>3068.07</v>
      </c>
      <c r="I32" s="6"/>
    </row>
    <row r="33" spans="2:9" ht="16.95" customHeight="1" x14ac:dyDescent="0.3">
      <c r="B33" s="82"/>
      <c r="C33" s="27" t="s">
        <v>60</v>
      </c>
      <c r="D33" s="27">
        <v>746.05</v>
      </c>
      <c r="E33" s="27">
        <v>1550.12</v>
      </c>
      <c r="F33" s="27">
        <v>2102.29</v>
      </c>
      <c r="G33" s="27">
        <v>2635.76</v>
      </c>
      <c r="H33" s="62">
        <v>3068.07</v>
      </c>
      <c r="I33" s="6"/>
    </row>
    <row r="34" spans="2:9" ht="16.95" customHeight="1" x14ac:dyDescent="0.3">
      <c r="B34" s="81"/>
      <c r="C34" s="15" t="s">
        <v>61</v>
      </c>
      <c r="D34" s="15">
        <v>746.05</v>
      </c>
      <c r="E34" s="15">
        <v>1550.12</v>
      </c>
      <c r="F34" s="15">
        <v>2102.29</v>
      </c>
      <c r="G34" s="15">
        <v>2635.76</v>
      </c>
      <c r="H34" s="55">
        <v>3068.07</v>
      </c>
      <c r="I34" s="6"/>
    </row>
    <row r="35" spans="2:9" ht="16.95" customHeight="1" x14ac:dyDescent="0.3">
      <c r="B35" s="82"/>
      <c r="C35" s="27" t="s">
        <v>62</v>
      </c>
      <c r="D35" s="27">
        <v>-52</v>
      </c>
      <c r="E35" s="27">
        <v>-52.68</v>
      </c>
      <c r="F35" s="27">
        <v>-45.89</v>
      </c>
      <c r="G35" s="27">
        <v>-39.65</v>
      </c>
      <c r="H35" s="62">
        <v>-25.55</v>
      </c>
      <c r="I35" s="6"/>
    </row>
    <row r="36" spans="2:9" ht="16.95" customHeight="1" x14ac:dyDescent="0.3">
      <c r="B36" s="86"/>
      <c r="C36" s="42" t="s">
        <v>63</v>
      </c>
      <c r="D36" s="42">
        <v>0</v>
      </c>
      <c r="E36" s="42">
        <v>-0.01</v>
      </c>
      <c r="F36" s="42">
        <v>-0.48</v>
      </c>
      <c r="G36" s="42">
        <v>-1.48</v>
      </c>
      <c r="H36" s="92">
        <v>-6.03</v>
      </c>
      <c r="I36" s="6"/>
    </row>
    <row r="37" spans="2:9" ht="19.95" customHeight="1" x14ac:dyDescent="0.3">
      <c r="B37" s="87"/>
      <c r="C37" s="48" t="s">
        <v>64</v>
      </c>
      <c r="D37" s="48">
        <v>694.05</v>
      </c>
      <c r="E37" s="48">
        <v>1497.43</v>
      </c>
      <c r="F37" s="48">
        <v>2055.92</v>
      </c>
      <c r="G37" s="48">
        <v>2594.63</v>
      </c>
      <c r="H37" s="70">
        <v>3036.49</v>
      </c>
      <c r="I37" s="6"/>
    </row>
    <row r="38" spans="2:9" ht="18" customHeight="1" x14ac:dyDescent="0.3">
      <c r="B38" s="88"/>
      <c r="C38" s="71" t="s">
        <v>65</v>
      </c>
      <c r="D38" s="71"/>
      <c r="E38" s="71"/>
      <c r="F38" s="71"/>
      <c r="G38" s="71"/>
      <c r="H38" s="72"/>
      <c r="I38" s="6"/>
    </row>
    <row r="39" spans="2:9" ht="15" customHeight="1" x14ac:dyDescent="0.3">
      <c r="B39" s="80"/>
      <c r="C39" s="24" t="s">
        <v>66</v>
      </c>
      <c r="D39" s="24"/>
      <c r="E39" s="24"/>
      <c r="F39" s="24"/>
      <c r="G39" s="24"/>
      <c r="H39" s="64"/>
      <c r="I39" s="6"/>
    </row>
    <row r="40" spans="2:9" ht="16.95" customHeight="1" x14ac:dyDescent="0.3">
      <c r="B40" s="81"/>
      <c r="C40" s="15" t="s">
        <v>67</v>
      </c>
      <c r="D40" s="15">
        <v>16</v>
      </c>
      <c r="E40" s="15">
        <v>23</v>
      </c>
      <c r="F40" s="15">
        <v>16</v>
      </c>
      <c r="G40" s="15">
        <v>8</v>
      </c>
      <c r="H40" s="55">
        <v>9</v>
      </c>
      <c r="I40" s="6"/>
    </row>
    <row r="41" spans="2:9" ht="16.95" customHeight="1" x14ac:dyDescent="0.3">
      <c r="B41" s="82"/>
      <c r="C41" s="93" t="s">
        <v>68</v>
      </c>
      <c r="D41" s="93">
        <v>16</v>
      </c>
      <c r="E41" s="93">
        <v>23</v>
      </c>
      <c r="F41" s="93">
        <v>16</v>
      </c>
      <c r="G41" s="93">
        <v>8</v>
      </c>
      <c r="H41" s="94">
        <v>9</v>
      </c>
    </row>
    <row r="42" spans="2:9" ht="18" customHeight="1" x14ac:dyDescent="0.3">
      <c r="B42" s="80"/>
      <c r="C42" s="74" t="s">
        <v>69</v>
      </c>
      <c r="D42" s="74"/>
      <c r="E42" s="74"/>
      <c r="F42" s="74"/>
      <c r="G42" s="74"/>
      <c r="H42" s="75"/>
    </row>
    <row r="43" spans="2:9" ht="16.95" customHeight="1" x14ac:dyDescent="0.3">
      <c r="B43" s="81"/>
      <c r="C43" s="95" t="s">
        <v>70</v>
      </c>
      <c r="D43" s="95">
        <v>108.26</v>
      </c>
      <c r="E43" s="95">
        <v>162.38999999999999</v>
      </c>
      <c r="F43" s="95">
        <v>227.35</v>
      </c>
      <c r="G43" s="95">
        <v>324.86</v>
      </c>
      <c r="H43" s="96">
        <v>507.28</v>
      </c>
    </row>
    <row r="44" spans="2:9" ht="16.95" customHeight="1" x14ac:dyDescent="0.3">
      <c r="B44" s="82"/>
      <c r="C44" s="93"/>
      <c r="D44" s="93"/>
      <c r="E44" s="93"/>
      <c r="F44" s="93"/>
      <c r="G44" s="93"/>
      <c r="H44" s="94"/>
    </row>
    <row r="45" spans="2:9" ht="16.95" customHeight="1" x14ac:dyDescent="0.3">
      <c r="B45" s="81"/>
      <c r="C45" s="95"/>
      <c r="D45" s="95"/>
      <c r="E45" s="95"/>
      <c r="F45" s="95"/>
      <c r="G45" s="95"/>
      <c r="H45" s="96"/>
    </row>
    <row r="46" spans="2:9" ht="16.95" customHeight="1" x14ac:dyDescent="0.3">
      <c r="B46" s="82"/>
      <c r="C46" s="93" t="e" vm="2">
        <v>#VALUE!</v>
      </c>
      <c r="D46" s="93"/>
      <c r="E46" s="93"/>
      <c r="F46" s="93"/>
      <c r="G46" s="93"/>
      <c r="H46" s="94"/>
    </row>
    <row r="47" spans="2:9" ht="16.95" customHeight="1" x14ac:dyDescent="0.3">
      <c r="B47" s="81"/>
      <c r="C47" s="95"/>
      <c r="D47" s="95"/>
      <c r="E47" s="95"/>
      <c r="F47" s="95"/>
      <c r="G47" s="95"/>
      <c r="H47" s="96"/>
    </row>
    <row r="48" spans="2:9" x14ac:dyDescent="0.3">
      <c r="B48" s="89"/>
      <c r="C48" s="76" t="e" vm="2">
        <v>#VALUE!</v>
      </c>
      <c r="D48" s="76"/>
      <c r="E48" s="76"/>
      <c r="F48" s="76"/>
      <c r="G48" s="76"/>
      <c r="H48" s="77"/>
    </row>
  </sheetData>
  <sortState xmlns:xlrd2="http://schemas.microsoft.com/office/spreadsheetml/2017/richdata2" columnSort="1" ref="D4:H43">
    <sortCondition ref="D4:H4"/>
  </sortState>
  <mergeCells count="2">
    <mergeCell ref="B2:H2"/>
    <mergeCell ref="K3:R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79E7C-7EB0-4856-8CF1-6B958799628D}">
  <dimension ref="B2:R35"/>
  <sheetViews>
    <sheetView showGridLines="0" tabSelected="1" zoomScale="70" workbookViewId="0">
      <selection activeCell="B2" sqref="B2:J2"/>
    </sheetView>
  </sheetViews>
  <sheetFormatPr defaultRowHeight="14.4" x14ac:dyDescent="0.3"/>
  <cols>
    <col min="2" max="2" width="33.33203125" customWidth="1"/>
    <col min="3" max="10" width="16.6640625" customWidth="1"/>
  </cols>
  <sheetData>
    <row r="2" spans="2:18" ht="18" x14ac:dyDescent="0.35">
      <c r="B2" s="473" t="s">
        <v>417</v>
      </c>
      <c r="C2" s="473"/>
      <c r="D2" s="473"/>
      <c r="E2" s="473"/>
      <c r="F2" s="473"/>
      <c r="G2" s="473"/>
      <c r="H2" s="473"/>
      <c r="I2" s="473"/>
      <c r="J2" s="473"/>
    </row>
    <row r="3" spans="2:18" x14ac:dyDescent="0.3">
      <c r="B3" s="351" t="s">
        <v>418</v>
      </c>
      <c r="C3" s="352">
        <v>46102</v>
      </c>
      <c r="D3" s="352">
        <v>46103</v>
      </c>
      <c r="E3" s="352">
        <v>46104</v>
      </c>
      <c r="F3" s="352">
        <v>46105</v>
      </c>
      <c r="G3" s="352">
        <v>46106</v>
      </c>
      <c r="H3" s="351" t="s">
        <v>419</v>
      </c>
      <c r="I3" s="351" t="s">
        <v>420</v>
      </c>
      <c r="J3" s="351" t="s">
        <v>421</v>
      </c>
      <c r="K3" s="454"/>
      <c r="L3" s="454"/>
      <c r="M3" s="454"/>
      <c r="N3" s="454"/>
      <c r="O3" s="454"/>
      <c r="P3" s="454"/>
      <c r="Q3" s="454"/>
      <c r="R3" s="454"/>
    </row>
    <row r="5" spans="2:18" x14ac:dyDescent="0.3">
      <c r="B5" t="s">
        <v>422</v>
      </c>
      <c r="C5" s="353"/>
      <c r="D5" s="353">
        <f>('Consolidated PL'!E9-'Consolidated PL'!D9)/'Consolidated PL'!D9</f>
        <v>0.49685043765757775</v>
      </c>
      <c r="E5" s="353">
        <f>('Consolidated PL'!F9-'Consolidated PL'!E9)/'Consolidated PL'!E9</f>
        <v>0.21020331895570793</v>
      </c>
      <c r="F5" s="353">
        <f>('Consolidated PL'!G9-'Consolidated PL'!F9)/'Consolidated PL'!F9</f>
        <v>0.25273235213097694</v>
      </c>
      <c r="G5" s="353">
        <f>('Consolidated PL'!H9-'Consolidated PL'!G9)/'Consolidated PL'!G9</f>
        <v>7.3101584840792988E-2</v>
      </c>
      <c r="H5" s="353"/>
      <c r="I5" s="353"/>
      <c r="J5" s="353"/>
    </row>
    <row r="6" spans="2:18" x14ac:dyDescent="0.3">
      <c r="B6" t="s">
        <v>423</v>
      </c>
      <c r="C6" s="353"/>
      <c r="D6" s="353">
        <f>('Assumptions '!F14-'Assumptions '!E14)/'Assumptions '!E14</f>
        <v>0.72078221691455868</v>
      </c>
      <c r="E6" s="353">
        <f>('Assumptions '!G14-'Assumptions '!F14)/'Assumptions '!F14</f>
        <v>0.25734024179620063</v>
      </c>
      <c r="F6" s="353">
        <f>('Assumptions '!H14-'Assumptions '!G14)/'Assumptions '!G14</f>
        <v>0.30101547995383543</v>
      </c>
      <c r="G6" s="353">
        <f>('Assumptions '!I14-'Assumptions '!H14)/'Assumptions '!H14</f>
        <v>1.2083973127441975E-2</v>
      </c>
      <c r="H6" s="353"/>
      <c r="I6" s="353"/>
      <c r="J6" s="353"/>
    </row>
    <row r="7" spans="2:18" x14ac:dyDescent="0.3">
      <c r="B7" t="s">
        <v>424</v>
      </c>
      <c r="C7" s="353"/>
      <c r="D7" s="353">
        <f>('Assumptions '!F18-'Assumptions '!E18)/'Assumptions '!E18</f>
        <v>1.0358938992042439</v>
      </c>
      <c r="E7" s="353">
        <f>('Assumptions '!G18-'Assumptions '!F18)/'Assumptions '!F18</f>
        <v>0.30690577070402325</v>
      </c>
      <c r="F7" s="353">
        <f>('Assumptions '!H18-'Assumptions '!G18)/'Assumptions '!G18</f>
        <v>0.27648510804592108</v>
      </c>
      <c r="G7" s="353">
        <f>('Assumptions '!I18-'Assumptions '!H18)/'Assumptions '!H18</f>
        <v>-6.8395666462569199E-2</v>
      </c>
      <c r="H7" s="353"/>
      <c r="I7" s="353"/>
      <c r="J7" s="353"/>
    </row>
    <row r="8" spans="2:18" x14ac:dyDescent="0.3">
      <c r="B8" t="s">
        <v>425</v>
      </c>
      <c r="C8" s="353"/>
      <c r="D8" s="353" t="e">
        <f>('Assumptions '!F28-'Assumptions '!E28)/'Assumptions '!E28</f>
        <v>#VALUE!</v>
      </c>
      <c r="E8" s="353" t="e">
        <f>('Assumptions '!G28-'Assumptions '!F28)/'Assumptions '!F28</f>
        <v>#VALUE!</v>
      </c>
      <c r="F8" s="353" t="e">
        <f>('Assumptions '!H28-'Assumptions '!G28)/'Assumptions '!G28</f>
        <v>#VALUE!</v>
      </c>
      <c r="G8" s="353">
        <f>('Assumptions '!I28-'Assumptions '!H28)/'Assumptions '!H28</f>
        <v>1.7230474719044972E-2</v>
      </c>
      <c r="H8" s="353"/>
      <c r="I8" s="353"/>
      <c r="J8" s="353"/>
    </row>
    <row r="9" spans="2:18" x14ac:dyDescent="0.3">
      <c r="B9" t="s">
        <v>426</v>
      </c>
      <c r="C9" s="353"/>
      <c r="D9" s="353"/>
      <c r="E9" s="353"/>
      <c r="F9" s="353"/>
      <c r="G9" s="353"/>
      <c r="H9" s="353"/>
      <c r="I9" s="353"/>
      <c r="J9" s="353"/>
    </row>
    <row r="11" spans="2:18" x14ac:dyDescent="0.3">
      <c r="B11" t="s">
        <v>427</v>
      </c>
      <c r="C11" s="353">
        <f>('Assumptions '!E6-'Assumptions '!E9)/'Assumptions '!E6</f>
        <v>0.53315244117630045</v>
      </c>
      <c r="D11" s="353">
        <f>('Assumptions '!F6-'Assumptions '!F9)/'Assumptions '!F6</f>
        <v>0.51543024754180189</v>
      </c>
      <c r="E11" s="353">
        <f>('Assumptions '!G6-'Assumptions '!G9)/'Assumptions '!G6</f>
        <v>0.52598814216598155</v>
      </c>
      <c r="F11" s="353">
        <f>('Assumptions '!H6-'Assumptions '!H9)/'Assumptions '!H6</f>
        <v>0.54205723307474141</v>
      </c>
      <c r="G11" s="353">
        <f>('Assumptions '!I6-'Assumptions '!I9)/'Assumptions '!I6</f>
        <v>0.53368819175794113</v>
      </c>
      <c r="H11" s="353"/>
      <c r="I11" s="353"/>
      <c r="J11" s="353"/>
    </row>
    <row r="12" spans="2:18" x14ac:dyDescent="0.3">
      <c r="B12" t="s">
        <v>402</v>
      </c>
      <c r="C12" s="353">
        <f>'Assumptions '!E14/'Assumptions '!E6</f>
        <v>0.17052769212077734</v>
      </c>
      <c r="D12" s="353">
        <f>'Assumptions '!F14/'Assumptions '!F6</f>
        <v>0.19627042693898719</v>
      </c>
      <c r="E12" s="353">
        <f>'Assumptions '!G14/'Assumptions '!G6</f>
        <v>0.20411554666765683</v>
      </c>
      <c r="F12" s="353">
        <f>'Assumptions '!H14/'Assumptions '!H6</f>
        <v>0.21334324159619025</v>
      </c>
      <c r="G12" s="353">
        <f>'Assumptions '!I14/'Assumptions '!I6</f>
        <v>0.20152054755070886</v>
      </c>
      <c r="H12" s="353"/>
      <c r="I12" s="353"/>
      <c r="J12" s="353"/>
    </row>
    <row r="13" spans="2:18" x14ac:dyDescent="0.3">
      <c r="B13" t="s">
        <v>403</v>
      </c>
      <c r="C13" s="353">
        <f>'Assumptions '!E18/'Assumptions '!E6</f>
        <v>0.10905598592975292</v>
      </c>
      <c r="D13" s="353">
        <f>'Assumptions '!F18/'Assumptions '!F6</f>
        <v>0.14850418503140228</v>
      </c>
      <c r="E13" s="353">
        <f>'Assumptions '!G18/'Assumptions '!G6</f>
        <v>0.16052821260627825</v>
      </c>
      <c r="F13" s="353">
        <f>'Assumptions '!H18/'Assumptions '!H6</f>
        <v>0.16462184463398138</v>
      </c>
      <c r="G13" s="353">
        <f>'Assumptions '!I18/'Assumptions '!I6</f>
        <v>0.14313401745173887</v>
      </c>
      <c r="H13" s="353"/>
      <c r="I13" s="353"/>
      <c r="J13" s="353"/>
    </row>
    <row r="14" spans="2:18" x14ac:dyDescent="0.3">
      <c r="B14" t="s">
        <v>404</v>
      </c>
      <c r="C14" s="353">
        <f>'Assumptions '!E23/'Assumptions '!E6</f>
        <v>0.33370900275966614</v>
      </c>
      <c r="D14" s="353">
        <f>'Assumptions '!F23/'Assumptions '!F6</f>
        <v>0.35910007313647113</v>
      </c>
      <c r="E14" s="353">
        <f>'Assumptions '!G23/'Assumptions '!G6</f>
        <v>0.37263774713956327</v>
      </c>
      <c r="F14" s="353">
        <f>'Assumptions '!H23/'Assumptions '!H6</f>
        <v>0.37323226219526306</v>
      </c>
      <c r="G14" s="353">
        <f>'Assumptions '!I23/'Assumptions '!I6</f>
        <v>0.36153321878029815</v>
      </c>
      <c r="H14" s="353"/>
      <c r="I14" s="353"/>
      <c r="J14" s="353"/>
    </row>
    <row r="15" spans="2:18" x14ac:dyDescent="0.3">
      <c r="B15" t="s">
        <v>428</v>
      </c>
      <c r="C15" s="353">
        <f>'Assumptions '!E28/'Assumptions '!E6</f>
        <v>0.30957667763976238</v>
      </c>
      <c r="D15" s="353" t="e">
        <f>'Assumptions '!F28/'Assumptions '!F6</f>
        <v>#VALUE!</v>
      </c>
      <c r="E15" s="353" t="e">
        <f>'Assumptions '!G28/'Assumptions '!G6</f>
        <v>#VALUE!</v>
      </c>
      <c r="F15" s="353">
        <f>'Assumptions '!H28/'Assumptions '!H6</f>
        <v>0.33419147803682681</v>
      </c>
      <c r="G15" s="353">
        <f>'Assumptions '!I28/'Assumptions '!I6</f>
        <v>0.31727702955660292</v>
      </c>
      <c r="H15" s="353"/>
      <c r="I15" s="353"/>
      <c r="J15" s="353"/>
    </row>
    <row r="17" spans="2:10" x14ac:dyDescent="0.3">
      <c r="B17" t="s">
        <v>429</v>
      </c>
      <c r="C17" s="188">
        <f>'Assumptions '!E18/('Consolidated BS'!C10+'Consolidated BS'!C15)</f>
        <v>0.21694795090646271</v>
      </c>
      <c r="D17" s="188">
        <f>'Assumptions '!F18/('Consolidated BS'!D10+'Consolidated BS'!D15)</f>
        <v>0.32834188911704321</v>
      </c>
      <c r="E17" s="188">
        <f>'Assumptions '!G18/('Consolidated BS'!E10+'Consolidated BS'!E15)</f>
        <v>0.82475654235883455</v>
      </c>
      <c r="F17" s="188">
        <f>'Assumptions '!H18/('Consolidated BS'!F10+'Consolidated BS'!F15)</f>
        <v>1.1853568942277781</v>
      </c>
      <c r="G17" s="188">
        <f>'Assumptions '!I18/('Consolidated BS'!G10+'Consolidated BS'!G15)</f>
        <v>1.1042836194510681</v>
      </c>
      <c r="H17" s="188"/>
      <c r="I17" s="188"/>
      <c r="J17" s="188"/>
    </row>
    <row r="18" spans="2:10" x14ac:dyDescent="0.3">
      <c r="B18" t="s">
        <v>430</v>
      </c>
      <c r="C18">
        <f>('Consolidated PL'!D37-'Consolidated PL'!D43)/'Consolidated PL'!D37</f>
        <v>0.84401700165694116</v>
      </c>
      <c r="D18">
        <f>('Consolidated PL'!E37-'Consolidated PL'!E43)/'Consolidated PL'!E37</f>
        <v>0.89155419618947118</v>
      </c>
      <c r="E18">
        <f>('Consolidated PL'!F37-'Consolidated PL'!F43)/'Consolidated PL'!F37</f>
        <v>0.88941690338145463</v>
      </c>
      <c r="F18">
        <f>('Consolidated PL'!G37-'Consolidated PL'!G43)/'Consolidated PL'!G37</f>
        <v>0.87479525018981508</v>
      </c>
      <c r="G18">
        <f>('Consolidated PL'!H37-'Consolidated PL'!H43)/'Consolidated PL'!H37</f>
        <v>0.83293868907850843</v>
      </c>
      <c r="H18" s="353"/>
      <c r="I18" s="353"/>
      <c r="J18" s="353"/>
    </row>
    <row r="19" spans="2:10" x14ac:dyDescent="0.3">
      <c r="B19" t="s">
        <v>431</v>
      </c>
      <c r="C19" s="353">
        <f>'Assumptions '!E28/('Consolidated BS'!C10+'Consolidated BS'!C13)</f>
        <v>0.52435726072930688</v>
      </c>
      <c r="D19" s="353" t="e">
        <f>'Assumptions '!F28/('Consolidated BS'!D10+'Consolidated BS'!D13)</f>
        <v>#VALUE!</v>
      </c>
      <c r="E19" s="353" t="e">
        <f>'Assumptions '!G28/('Consolidated BS'!E10+'Consolidated BS'!E13)</f>
        <v>#VALUE!</v>
      </c>
      <c r="F19" s="353">
        <f>'Assumptions '!H28/('Consolidated BS'!F10+'Consolidated BS'!F13)</f>
        <v>0.33191476538210668</v>
      </c>
      <c r="G19" s="353">
        <f>'Assumptions '!I28/('Consolidated BS'!G10+'Consolidated BS'!G13)</f>
        <v>0.33763381435590079</v>
      </c>
      <c r="H19" s="353"/>
      <c r="I19" s="353"/>
      <c r="J19" s="353"/>
    </row>
    <row r="20" spans="2:10" x14ac:dyDescent="0.3">
      <c r="B20" t="s">
        <v>432</v>
      </c>
      <c r="C20" s="188">
        <f>C19*C18</f>
        <v>0.44256644299779652</v>
      </c>
      <c r="D20" s="188" t="e">
        <f t="shared" ref="D20:G20" si="0">D19*D18</f>
        <v>#VALUE!</v>
      </c>
      <c r="E20" s="188" t="e">
        <f t="shared" si="0"/>
        <v>#VALUE!</v>
      </c>
      <c r="F20" s="188">
        <f t="shared" si="0"/>
        <v>0.29035746022413378</v>
      </c>
      <c r="G20" s="188">
        <f t="shared" si="0"/>
        <v>0.28122826671818046</v>
      </c>
      <c r="H20" s="188"/>
      <c r="I20" s="188"/>
      <c r="J20" s="188"/>
    </row>
    <row r="21" spans="2:10" x14ac:dyDescent="0.3">
      <c r="B21" t="s">
        <v>433</v>
      </c>
      <c r="C21" s="188">
        <f>'Consolidated PL'!D21/'Assumptions '!E18</f>
        <v>0.19596816976127315</v>
      </c>
      <c r="D21" s="188">
        <f>'Consolidated PL'!E21/'Assumptions '!F18</f>
        <v>9.6996607307578045E-2</v>
      </c>
      <c r="E21" s="188">
        <f>'Consolidated PL'!F21/'Assumptions '!G18</f>
        <v>0.10690943602381432</v>
      </c>
      <c r="F21" s="188">
        <f>'Consolidated PL'!G21/'Assumptions '!H18</f>
        <v>0.1406993889562273</v>
      </c>
      <c r="G21" s="188">
        <f>'Consolidated PL'!H21/'Assumptions '!I18</f>
        <v>5.6865204182231587E-2</v>
      </c>
      <c r="H21" s="188"/>
      <c r="I21" s="188"/>
      <c r="J21" s="188"/>
    </row>
    <row r="23" spans="2:10" x14ac:dyDescent="0.3">
      <c r="B23" t="s">
        <v>434</v>
      </c>
      <c r="C23" s="188"/>
      <c r="D23" s="188">
        <f>'Consolidated PL'!E11/(AVERAGE('Consolidated BS'!D29,'Consolidated BS'!C29))</f>
        <v>39.230185356671164</v>
      </c>
      <c r="E23" s="188">
        <f>'Consolidated PL'!F11/(AVERAGE('Consolidated BS'!E29,'Consolidated BS'!D29))</f>
        <v>25.923251163678302</v>
      </c>
      <c r="F23" s="188">
        <f>'Consolidated PL'!G11/(AVERAGE('Consolidated BS'!F29,'Consolidated BS'!E29))</f>
        <v>22.989040480469118</v>
      </c>
      <c r="G23" s="188">
        <f>'Consolidated PL'!H11/(AVERAGE('Consolidated BS'!G29,'Consolidated BS'!F29))</f>
        <v>16.680624164351535</v>
      </c>
      <c r="H23" s="188"/>
      <c r="I23" s="188"/>
      <c r="J23" s="188"/>
    </row>
    <row r="24" spans="2:10" x14ac:dyDescent="0.3">
      <c r="B24" t="s">
        <v>435</v>
      </c>
      <c r="C24" s="188"/>
      <c r="D24" s="188">
        <f>('Consolidated PL'!E17+'Consolidated PL'!E18+'Consolidated BS'!D28-'Consolidated BS'!C28)/AVERAGE('Standalone BS'!C27:D27)</f>
        <v>5.4262925189173572</v>
      </c>
      <c r="E24" s="188">
        <f>('Consolidated PL'!F17+'Consolidated PL'!F18+'Consolidated BS'!E28-'Consolidated BS'!D28)/AVERAGE('Standalone BS'!D27:E27)</f>
        <v>5.4894025023463708</v>
      </c>
      <c r="F24" s="188" t="e">
        <f>('Consolidated PL'!G17+'Consolidated PL'!G18+'Consolidated BS'!F28-'Consolidated BS'!E28)/AVERAGE('Standalone BS'!E27:F27)</f>
        <v>#VALUE!</v>
      </c>
      <c r="G24" s="188" t="e">
        <f>('Consolidated PL'!H17+'Consolidated PL'!H18+'Consolidated BS'!G28-'Consolidated BS'!F28)/AVERAGE('Standalone BS'!F27:G27)</f>
        <v>#VALUE!</v>
      </c>
      <c r="H24" s="188"/>
      <c r="I24" s="188"/>
      <c r="J24" s="188"/>
    </row>
    <row r="25" spans="2:10" x14ac:dyDescent="0.3">
      <c r="B25" t="s">
        <v>436</v>
      </c>
      <c r="C25" s="188"/>
      <c r="D25" s="188">
        <f>'Consolidated PL'!E11/AVERAGE('Consolidated BS'!D25,'Consolidated BS'!C25)</f>
        <v>1.6844692690818759</v>
      </c>
      <c r="E25" s="188">
        <f>'Consolidated PL'!F11/AVERAGE('Consolidated BS'!E25,'Consolidated BS'!D25)</f>
        <v>1.432470263734984</v>
      </c>
      <c r="F25" s="188">
        <f>'Consolidated PL'!G11/AVERAGE('Consolidated BS'!F25,'Consolidated BS'!E25)</f>
        <v>1.2894309045521868</v>
      </c>
      <c r="G25" s="188">
        <f>'Consolidated PL'!H11/AVERAGE('Consolidated BS'!G25,'Consolidated BS'!F25)</f>
        <v>1.243193927058589</v>
      </c>
      <c r="H25" s="188"/>
      <c r="I25" s="188"/>
      <c r="J25" s="188"/>
    </row>
    <row r="26" spans="2:10" x14ac:dyDescent="0.3">
      <c r="B26" t="s">
        <v>437</v>
      </c>
      <c r="C26" s="188"/>
      <c r="D26" s="188">
        <f>'Consolidated PL'!E11/AVERAGE('Consolidated BS'!D11,'Consolidated BS'!D15)</f>
        <v>4.4219883641341546</v>
      </c>
      <c r="E26" s="188">
        <f>'Consolidated PL'!F11/AVERAGE('Consolidated BS'!E11,'Consolidated BS'!E15)</f>
        <v>10.275533863716344</v>
      </c>
      <c r="F26" s="438" t="s">
        <v>553</v>
      </c>
      <c r="G26" s="188">
        <f>'Consolidated PL'!H11/AVERAGE('Consolidated BS'!G11,'Consolidated BS'!G15)</f>
        <v>15.430065320753039</v>
      </c>
      <c r="H26" s="188"/>
      <c r="I26" s="188"/>
      <c r="J26" s="188"/>
    </row>
    <row r="27" spans="2:10" x14ac:dyDescent="0.3">
      <c r="F27" t="s">
        <v>547</v>
      </c>
    </row>
    <row r="28" spans="2:10" x14ac:dyDescent="0.3">
      <c r="B28" t="s">
        <v>315</v>
      </c>
      <c r="C28" s="188"/>
      <c r="D28" s="188"/>
      <c r="E28" s="188"/>
      <c r="F28" s="188" t="s">
        <v>548</v>
      </c>
      <c r="G28" s="188"/>
      <c r="H28" s="188"/>
      <c r="I28" s="188"/>
      <c r="J28" s="188"/>
    </row>
    <row r="29" spans="2:10" x14ac:dyDescent="0.3">
      <c r="B29" t="s">
        <v>438</v>
      </c>
      <c r="C29" s="188"/>
      <c r="D29" s="188"/>
      <c r="E29" s="188"/>
      <c r="F29" s="188" t="s">
        <v>549</v>
      </c>
      <c r="G29" s="188"/>
      <c r="H29" s="188"/>
      <c r="I29" s="188"/>
      <c r="J29" s="188"/>
    </row>
    <row r="30" spans="2:10" x14ac:dyDescent="0.3">
      <c r="B30" t="s">
        <v>316</v>
      </c>
      <c r="C30" s="188"/>
      <c r="D30" s="188"/>
      <c r="E30" s="188"/>
      <c r="F30" s="188" t="s">
        <v>550</v>
      </c>
      <c r="G30" s="188"/>
      <c r="H30" s="188"/>
      <c r="I30" s="188"/>
      <c r="J30" s="188"/>
    </row>
    <row r="31" spans="2:10" x14ac:dyDescent="0.3">
      <c r="B31" t="s">
        <v>439</v>
      </c>
      <c r="C31" s="188"/>
      <c r="D31" s="188"/>
      <c r="E31" s="188"/>
      <c r="F31" s="188" t="s">
        <v>551</v>
      </c>
      <c r="G31" s="188"/>
      <c r="H31" s="188"/>
      <c r="I31" s="188"/>
      <c r="J31" s="188"/>
    </row>
    <row r="32" spans="2:10" x14ac:dyDescent="0.3">
      <c r="F32" t="s">
        <v>552</v>
      </c>
    </row>
    <row r="33" spans="2:10" x14ac:dyDescent="0.3">
      <c r="B33" t="s">
        <v>440</v>
      </c>
      <c r="C33" s="353"/>
      <c r="D33" s="353"/>
      <c r="E33" s="353"/>
      <c r="F33" s="353"/>
      <c r="G33" s="353"/>
      <c r="H33" s="353"/>
      <c r="I33" s="353"/>
      <c r="J33" s="353"/>
    </row>
    <row r="34" spans="2:10" x14ac:dyDescent="0.3">
      <c r="B34" t="s">
        <v>441</v>
      </c>
      <c r="C34" s="353"/>
      <c r="D34" s="353"/>
      <c r="E34" s="353"/>
      <c r="F34" s="353"/>
      <c r="G34" s="353"/>
      <c r="H34" s="353"/>
      <c r="I34" s="353"/>
      <c r="J34" s="353"/>
    </row>
    <row r="35" spans="2:10" x14ac:dyDescent="0.3">
      <c r="B35" t="s">
        <v>442</v>
      </c>
      <c r="C35" s="353"/>
      <c r="D35" s="353"/>
      <c r="E35" s="353"/>
      <c r="F35" s="353"/>
      <c r="G35" s="353"/>
      <c r="H35" s="353"/>
      <c r="I35" s="353"/>
      <c r="J35" s="353"/>
    </row>
  </sheetData>
  <mergeCells count="2">
    <mergeCell ref="B2:J2"/>
    <mergeCell ref="K3:R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741C2-DF23-4865-A32C-1CF315151D17}">
  <dimension ref="A1:R39"/>
  <sheetViews>
    <sheetView showGridLines="0" zoomScale="66" workbookViewId="0">
      <selection activeCell="G2" sqref="G2"/>
    </sheetView>
  </sheetViews>
  <sheetFormatPr defaultRowHeight="14.4" x14ac:dyDescent="0.3"/>
  <cols>
    <col min="1" max="1" width="1.5546875" style="6" customWidth="1"/>
    <col min="2" max="2" width="36.109375" customWidth="1"/>
    <col min="3" max="7" width="16.6640625" customWidth="1"/>
  </cols>
  <sheetData>
    <row r="1" spans="2:18" s="6" customFormat="1" x14ac:dyDescent="0.3"/>
    <row r="2" spans="2:18" ht="28.05" customHeight="1" x14ac:dyDescent="0.3">
      <c r="B2" s="470" t="s">
        <v>286</v>
      </c>
      <c r="C2" s="471"/>
      <c r="D2" s="471"/>
      <c r="E2" s="471"/>
      <c r="F2" s="471"/>
      <c r="G2" s="472"/>
    </row>
    <row r="3" spans="2:18" ht="4.05" customHeight="1" x14ac:dyDescent="0.3">
      <c r="B3" s="53"/>
      <c r="C3" s="17"/>
      <c r="D3" s="17"/>
      <c r="E3" s="17"/>
      <c r="F3" s="17"/>
      <c r="G3" s="18"/>
      <c r="K3" s="454"/>
      <c r="L3" s="454"/>
      <c r="M3" s="454"/>
      <c r="N3" s="454"/>
      <c r="O3" s="454"/>
      <c r="P3" s="454"/>
      <c r="Q3" s="454"/>
      <c r="R3" s="454"/>
    </row>
    <row r="4" spans="2:18" ht="18" customHeight="1" x14ac:dyDescent="0.3">
      <c r="B4" s="19" t="s">
        <v>285</v>
      </c>
      <c r="C4" s="20" t="s">
        <v>5</v>
      </c>
      <c r="D4" s="20" t="s">
        <v>4</v>
      </c>
      <c r="E4" s="20" t="s">
        <v>3</v>
      </c>
      <c r="F4" s="20" t="s">
        <v>2</v>
      </c>
      <c r="G4" s="21" t="s">
        <v>1</v>
      </c>
      <c r="H4" s="6"/>
    </row>
    <row r="5" spans="2:18" ht="10.050000000000001" customHeight="1" x14ac:dyDescent="0.3">
      <c r="B5" s="54" t="e" vm="1">
        <v>#VALUE!</v>
      </c>
      <c r="C5" s="22"/>
      <c r="D5" s="22"/>
      <c r="E5" s="22"/>
      <c r="F5" s="22"/>
      <c r="G5" s="23"/>
      <c r="H5" s="7"/>
    </row>
    <row r="6" spans="2:18" ht="10.050000000000001" customHeight="1" x14ac:dyDescent="0.3">
      <c r="B6" s="54" t="e" vm="1">
        <v>#VALUE!</v>
      </c>
      <c r="C6" s="22"/>
      <c r="D6" s="22"/>
      <c r="E6" s="22"/>
      <c r="F6" s="22"/>
      <c r="G6" s="23"/>
      <c r="H6" s="7"/>
    </row>
    <row r="7" spans="2:18" ht="18" customHeight="1" x14ac:dyDescent="0.3">
      <c r="B7" s="33" t="s">
        <v>7</v>
      </c>
      <c r="C7" s="24"/>
      <c r="D7" s="24"/>
      <c r="E7" s="24"/>
      <c r="F7" s="24"/>
      <c r="G7" s="25"/>
      <c r="H7" s="6"/>
    </row>
    <row r="8" spans="2:18" ht="16.95" customHeight="1" x14ac:dyDescent="0.3">
      <c r="B8" s="14" t="s">
        <v>8</v>
      </c>
      <c r="C8" s="15">
        <v>6595.74</v>
      </c>
      <c r="D8" s="15">
        <v>10595.83</v>
      </c>
      <c r="E8" s="15">
        <v>12632.83</v>
      </c>
      <c r="F8" s="15">
        <v>14348.6</v>
      </c>
      <c r="G8" s="16">
        <v>14556.82</v>
      </c>
      <c r="H8" s="6"/>
    </row>
    <row r="9" spans="2:18" ht="16.95" customHeight="1" x14ac:dyDescent="0.3">
      <c r="B9" s="26" t="s">
        <v>9</v>
      </c>
      <c r="C9" s="27">
        <v>6595.74</v>
      </c>
      <c r="D9" s="27">
        <v>10595.83</v>
      </c>
      <c r="E9" s="27">
        <v>12632.83</v>
      </c>
      <c r="F9" s="27">
        <v>14348.6</v>
      </c>
      <c r="G9" s="28">
        <v>14556.82</v>
      </c>
      <c r="H9" s="6"/>
    </row>
    <row r="10" spans="2:18" ht="16.95" customHeight="1" x14ac:dyDescent="0.3">
      <c r="B10" s="14" t="s">
        <v>10</v>
      </c>
      <c r="C10" s="15">
        <v>62.93</v>
      </c>
      <c r="D10" s="15">
        <v>151.82</v>
      </c>
      <c r="E10" s="15">
        <v>144.06</v>
      </c>
      <c r="F10" s="15">
        <v>374.75</v>
      </c>
      <c r="G10" s="16">
        <v>534.16</v>
      </c>
      <c r="H10" s="6"/>
    </row>
    <row r="11" spans="2:18" ht="16.95" customHeight="1" x14ac:dyDescent="0.3">
      <c r="B11" s="26" t="s">
        <v>11</v>
      </c>
      <c r="C11" s="27">
        <v>76.069999999999993</v>
      </c>
      <c r="D11" s="27">
        <v>302.35000000000002</v>
      </c>
      <c r="E11" s="27">
        <v>61.82</v>
      </c>
      <c r="F11" s="27">
        <v>-38.840000000000003</v>
      </c>
      <c r="G11" s="28">
        <v>-12.97</v>
      </c>
      <c r="H11" s="6"/>
    </row>
    <row r="12" spans="2:18" ht="18" customHeight="1" x14ac:dyDescent="0.3">
      <c r="B12" s="30" t="s">
        <v>12</v>
      </c>
      <c r="C12" s="31">
        <v>6734.74</v>
      </c>
      <c r="D12" s="31">
        <v>11050</v>
      </c>
      <c r="E12" s="31">
        <v>12838.71</v>
      </c>
      <c r="F12" s="31">
        <v>14684.51</v>
      </c>
      <c r="G12" s="32">
        <v>15078.01</v>
      </c>
      <c r="H12" s="6"/>
    </row>
    <row r="13" spans="2:18" ht="18" customHeight="1" x14ac:dyDescent="0.3">
      <c r="B13" s="33" t="s">
        <v>13</v>
      </c>
      <c r="C13" s="24"/>
      <c r="D13" s="24"/>
      <c r="E13" s="24"/>
      <c r="F13" s="24"/>
      <c r="G13" s="34"/>
      <c r="H13" s="6"/>
    </row>
    <row r="14" spans="2:18" ht="16.95" customHeight="1" x14ac:dyDescent="0.3">
      <c r="B14" s="14" t="s">
        <v>14</v>
      </c>
      <c r="C14" s="15">
        <v>3268.52</v>
      </c>
      <c r="D14" s="15">
        <v>5683.1</v>
      </c>
      <c r="E14" s="15">
        <v>6158.07</v>
      </c>
      <c r="F14" s="15">
        <v>6691.53</v>
      </c>
      <c r="G14" s="16">
        <v>6866.68</v>
      </c>
      <c r="H14" s="6"/>
    </row>
    <row r="15" spans="2:18" ht="16.95" customHeight="1" x14ac:dyDescent="0.3">
      <c r="B15" s="26" t="s">
        <v>15</v>
      </c>
      <c r="C15" s="27">
        <v>258.39</v>
      </c>
      <c r="D15" s="27">
        <v>388.97</v>
      </c>
      <c r="E15" s="27">
        <v>436.94</v>
      </c>
      <c r="F15" s="27">
        <v>475.66</v>
      </c>
      <c r="G15" s="28">
        <v>474.54</v>
      </c>
      <c r="H15" s="6"/>
    </row>
    <row r="16" spans="2:18" ht="16.95" customHeight="1" x14ac:dyDescent="0.3">
      <c r="B16" s="14" t="s">
        <v>16</v>
      </c>
      <c r="C16" s="15">
        <v>741.12</v>
      </c>
      <c r="D16" s="15">
        <v>920.47</v>
      </c>
      <c r="E16" s="15">
        <v>1036.8</v>
      </c>
      <c r="F16" s="15">
        <v>1177.55</v>
      </c>
      <c r="G16" s="16">
        <v>1260.22</v>
      </c>
      <c r="H16" s="6"/>
    </row>
    <row r="17" spans="2:8" ht="16.95" customHeight="1" x14ac:dyDescent="0.3">
      <c r="B17" s="26" t="s">
        <v>17</v>
      </c>
      <c r="C17" s="27">
        <v>59.51</v>
      </c>
      <c r="D17" s="27">
        <v>72.55</v>
      </c>
      <c r="E17" s="27">
        <v>100.34</v>
      </c>
      <c r="F17" s="27">
        <v>93.92</v>
      </c>
      <c r="G17" s="28">
        <v>111.27</v>
      </c>
      <c r="H17" s="6"/>
    </row>
    <row r="18" spans="2:8" ht="16.95" customHeight="1" x14ac:dyDescent="0.3">
      <c r="B18" s="14" t="s">
        <v>18</v>
      </c>
      <c r="C18" s="15">
        <v>1165.08</v>
      </c>
      <c r="D18" s="15">
        <v>1654.96</v>
      </c>
      <c r="E18" s="15">
        <v>1981.05</v>
      </c>
      <c r="F18" s="15">
        <v>2187.54</v>
      </c>
      <c r="G18" s="16">
        <v>2067.17</v>
      </c>
      <c r="H18" s="6"/>
    </row>
    <row r="19" spans="2:8" ht="18" customHeight="1" x14ac:dyDescent="0.3">
      <c r="B19" s="30" t="s">
        <v>19</v>
      </c>
      <c r="C19" s="31">
        <v>5492.62</v>
      </c>
      <c r="D19" s="31">
        <v>8720.0499999999993</v>
      </c>
      <c r="E19" s="31">
        <v>9713.2000000000007</v>
      </c>
      <c r="F19" s="31">
        <v>10626.2</v>
      </c>
      <c r="G19" s="32">
        <v>10779.88</v>
      </c>
      <c r="H19" s="6"/>
    </row>
    <row r="20" spans="2:8" ht="12" customHeight="1" x14ac:dyDescent="0.3">
      <c r="B20" s="35"/>
      <c r="C20" s="36" t="s">
        <v>5</v>
      </c>
      <c r="D20" s="36" t="s">
        <v>4</v>
      </c>
      <c r="E20" s="36" t="s">
        <v>3</v>
      </c>
      <c r="F20" s="36" t="s">
        <v>2</v>
      </c>
      <c r="G20" s="37" t="s">
        <v>1</v>
      </c>
      <c r="H20" s="6"/>
    </row>
    <row r="21" spans="2:8" ht="12" customHeight="1" x14ac:dyDescent="0.3">
      <c r="B21" s="35" t="e" vm="1">
        <v>#VALUE!</v>
      </c>
      <c r="C21" s="36"/>
      <c r="D21" s="36"/>
      <c r="E21" s="36"/>
      <c r="F21" s="36"/>
      <c r="G21" s="37"/>
      <c r="H21" s="7"/>
    </row>
    <row r="22" spans="2:8" ht="12" customHeight="1" x14ac:dyDescent="0.3">
      <c r="B22" s="35"/>
      <c r="C22" s="36" t="s">
        <v>6</v>
      </c>
      <c r="D22" s="36" t="s">
        <v>6</v>
      </c>
      <c r="E22" s="36" t="s">
        <v>6</v>
      </c>
      <c r="F22" s="36" t="s">
        <v>6</v>
      </c>
      <c r="G22" s="37" t="s">
        <v>6</v>
      </c>
      <c r="H22" s="6"/>
    </row>
    <row r="23" spans="2:8" ht="12" customHeight="1" x14ac:dyDescent="0.3">
      <c r="B23" s="35" t="e" vm="1">
        <v>#VALUE!</v>
      </c>
      <c r="C23" s="36"/>
      <c r="D23" s="36"/>
      <c r="E23" s="36"/>
      <c r="F23" s="36"/>
      <c r="G23" s="37"/>
      <c r="H23" s="7"/>
    </row>
    <row r="24" spans="2:8" ht="18" customHeight="1" x14ac:dyDescent="0.3">
      <c r="B24" s="38" t="s">
        <v>20</v>
      </c>
      <c r="C24" s="39">
        <v>1179.19</v>
      </c>
      <c r="D24" s="39">
        <v>2178.13</v>
      </c>
      <c r="E24" s="39">
        <v>2981.45</v>
      </c>
      <c r="F24" s="39">
        <v>3683.56</v>
      </c>
      <c r="G24" s="40">
        <v>3763.97</v>
      </c>
      <c r="H24" s="6"/>
    </row>
    <row r="25" spans="2:8" ht="16.95" customHeight="1" x14ac:dyDescent="0.3">
      <c r="B25" s="14" t="s">
        <v>21</v>
      </c>
      <c r="C25" s="15">
        <v>1242.1199999999999</v>
      </c>
      <c r="D25" s="15">
        <v>2329.9499999999998</v>
      </c>
      <c r="E25" s="15">
        <v>3125.51</v>
      </c>
      <c r="F25" s="15">
        <v>4058.31</v>
      </c>
      <c r="G25" s="16">
        <v>4298.13</v>
      </c>
      <c r="H25" s="6"/>
    </row>
    <row r="26" spans="2:8" ht="16.95" customHeight="1" x14ac:dyDescent="0.3">
      <c r="B26" s="26" t="s">
        <v>22</v>
      </c>
      <c r="C26" s="27">
        <v>155.13999999999999</v>
      </c>
      <c r="D26" s="27">
        <v>154.26</v>
      </c>
      <c r="E26" s="27">
        <v>241.1</v>
      </c>
      <c r="F26" s="443" t="s">
        <v>553</v>
      </c>
      <c r="G26" s="28">
        <v>32.24</v>
      </c>
      <c r="H26" s="6"/>
    </row>
    <row r="27" spans="2:8" ht="16.95" customHeight="1" x14ac:dyDescent="0.3">
      <c r="B27" s="14" t="s">
        <v>23</v>
      </c>
      <c r="C27" s="15">
        <v>1086.98</v>
      </c>
      <c r="D27" s="15">
        <v>2175.69</v>
      </c>
      <c r="E27" s="15">
        <v>2884.41</v>
      </c>
      <c r="F27" s="15" t="s">
        <v>547</v>
      </c>
      <c r="G27" s="16">
        <v>4265.8900000000003</v>
      </c>
      <c r="H27" s="6"/>
    </row>
    <row r="28" spans="2:8" ht="16.95" customHeight="1" x14ac:dyDescent="0.3">
      <c r="B28" s="26" t="s">
        <v>24</v>
      </c>
      <c r="C28" s="27">
        <v>399.83</v>
      </c>
      <c r="D28" s="27">
        <v>483.13</v>
      </c>
      <c r="E28" s="27">
        <v>518.33000000000004</v>
      </c>
      <c r="F28" s="27" t="s">
        <v>548</v>
      </c>
      <c r="G28" s="28">
        <v>702.42</v>
      </c>
      <c r="H28" s="6"/>
    </row>
    <row r="29" spans="2:8" ht="16.95" customHeight="1" x14ac:dyDescent="0.3">
      <c r="B29" s="14" t="s">
        <v>25</v>
      </c>
      <c r="C29" s="15">
        <v>687.15</v>
      </c>
      <c r="D29" s="15">
        <v>1692.56</v>
      </c>
      <c r="E29" s="15">
        <v>2366.08</v>
      </c>
      <c r="F29" s="15" t="s">
        <v>549</v>
      </c>
      <c r="G29" s="16">
        <v>3563.47</v>
      </c>
      <c r="H29" s="6"/>
    </row>
    <row r="30" spans="2:8" ht="16.95" customHeight="1" x14ac:dyDescent="0.3">
      <c r="B30" s="26" t="s">
        <v>26</v>
      </c>
      <c r="C30" s="27">
        <v>687.15</v>
      </c>
      <c r="D30" s="27">
        <v>1692.56</v>
      </c>
      <c r="E30" s="27">
        <v>2366.08</v>
      </c>
      <c r="F30" s="27" t="s">
        <v>550</v>
      </c>
      <c r="G30" s="28">
        <v>3563.47</v>
      </c>
      <c r="H30" s="6"/>
    </row>
    <row r="31" spans="2:8" ht="16.95" customHeight="1" x14ac:dyDescent="0.3">
      <c r="B31" s="41" t="s">
        <v>27</v>
      </c>
      <c r="C31" s="42">
        <v>192.04</v>
      </c>
      <c r="D31" s="42">
        <v>414.3</v>
      </c>
      <c r="E31" s="42">
        <v>593.04</v>
      </c>
      <c r="F31" s="42" t="s">
        <v>551</v>
      </c>
      <c r="G31" s="43">
        <v>866.6</v>
      </c>
      <c r="H31" s="6"/>
    </row>
    <row r="32" spans="2:8" ht="19.95" customHeight="1" x14ac:dyDescent="0.3">
      <c r="B32" s="47" t="s">
        <v>28</v>
      </c>
      <c r="C32" s="48">
        <v>489.49</v>
      </c>
      <c r="D32" s="48">
        <v>1270.2</v>
      </c>
      <c r="E32" s="48">
        <v>1775.13</v>
      </c>
      <c r="F32" s="48" t="s">
        <v>552</v>
      </c>
      <c r="G32" s="49">
        <v>2676.64</v>
      </c>
      <c r="H32" s="6"/>
    </row>
    <row r="33" spans="2:8" ht="16.95" customHeight="1" x14ac:dyDescent="0.3">
      <c r="B33" s="44" t="s">
        <v>29</v>
      </c>
      <c r="C33" s="45">
        <v>2224.09</v>
      </c>
      <c r="D33" s="45">
        <v>3036.94</v>
      </c>
      <c r="E33" s="45">
        <v>3555.13</v>
      </c>
      <c r="F33" s="45">
        <v>3934.67</v>
      </c>
      <c r="G33" s="46">
        <v>3913.2</v>
      </c>
      <c r="H33" s="6"/>
    </row>
    <row r="34" spans="2:8" ht="16.95" customHeight="1" x14ac:dyDescent="0.3">
      <c r="B34" s="26" t="s">
        <v>30</v>
      </c>
      <c r="C34" s="27">
        <v>108.26</v>
      </c>
      <c r="D34" s="27">
        <v>162.38999999999999</v>
      </c>
      <c r="E34" s="27">
        <v>227.35</v>
      </c>
      <c r="F34" s="27">
        <v>324.86</v>
      </c>
      <c r="G34" s="28">
        <v>507.28</v>
      </c>
      <c r="H34" s="6"/>
    </row>
    <row r="35" spans="2:8" ht="18" customHeight="1" x14ac:dyDescent="0.3">
      <c r="B35" s="33" t="s">
        <v>31</v>
      </c>
      <c r="C35" s="24"/>
      <c r="D35" s="24"/>
      <c r="E35" s="24"/>
      <c r="F35" s="24"/>
      <c r="G35" s="34"/>
      <c r="H35" s="6"/>
    </row>
    <row r="36" spans="2:8" ht="16.95" customHeight="1" x14ac:dyDescent="0.3">
      <c r="B36" s="14" t="s">
        <v>32</v>
      </c>
      <c r="C36" s="15">
        <v>4330.33</v>
      </c>
      <c r="D36" s="15">
        <v>6495.5</v>
      </c>
      <c r="E36" s="15">
        <v>12992.15</v>
      </c>
      <c r="F36" s="15">
        <v>33815.1</v>
      </c>
      <c r="G36" s="16">
        <v>33819.89</v>
      </c>
      <c r="H36" s="6"/>
    </row>
    <row r="37" spans="2:8" ht="16.95" customHeight="1" x14ac:dyDescent="0.3">
      <c r="B37" s="26" t="s">
        <v>33</v>
      </c>
      <c r="C37" s="27">
        <v>11.3</v>
      </c>
      <c r="D37" s="27">
        <v>19.559999999999999</v>
      </c>
      <c r="E37" s="27">
        <v>13.66</v>
      </c>
      <c r="F37" s="27">
        <v>6.86</v>
      </c>
      <c r="G37" s="28">
        <v>7.91</v>
      </c>
      <c r="H37" s="6"/>
    </row>
    <row r="38" spans="2:8" ht="16.95" customHeight="1" x14ac:dyDescent="0.3">
      <c r="B38" s="14" t="s">
        <v>34</v>
      </c>
      <c r="C38" s="15">
        <v>25</v>
      </c>
      <c r="D38" s="15">
        <v>35</v>
      </c>
      <c r="E38" s="15">
        <v>50</v>
      </c>
      <c r="F38" s="15">
        <v>50</v>
      </c>
      <c r="G38" s="16">
        <v>75</v>
      </c>
      <c r="H38" s="6"/>
    </row>
    <row r="39" spans="2:8" ht="16.95" customHeight="1" x14ac:dyDescent="0.3">
      <c r="B39" s="50" t="s">
        <v>35</v>
      </c>
      <c r="C39" s="51">
        <v>101.58</v>
      </c>
      <c r="D39" s="51">
        <v>84.94</v>
      </c>
      <c r="E39" s="51">
        <v>54.46</v>
      </c>
      <c r="F39" s="51">
        <v>48.97</v>
      </c>
      <c r="G39" s="52">
        <v>55.48</v>
      </c>
      <c r="H39" s="6"/>
    </row>
  </sheetData>
  <mergeCells count="2">
    <mergeCell ref="B2:G2"/>
    <mergeCell ref="K3:R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44376-4565-43B7-9F19-7D84AFD0A97F}">
  <dimension ref="A1:R48"/>
  <sheetViews>
    <sheetView showGridLines="0" topLeftCell="J8" workbookViewId="0">
      <selection activeCell="G2" sqref="G2"/>
    </sheetView>
  </sheetViews>
  <sheetFormatPr defaultRowHeight="14.4" x14ac:dyDescent="0.3"/>
  <cols>
    <col min="1" max="1" width="2.21875" customWidth="1"/>
    <col min="2" max="2" width="30.5546875" customWidth="1"/>
    <col min="3" max="6" width="16.6640625" customWidth="1"/>
    <col min="7" max="7" width="24.109375" customWidth="1"/>
    <col min="8" max="11" width="16.6640625" customWidth="1"/>
    <col min="12" max="12" width="2.21875" customWidth="1"/>
  </cols>
  <sheetData>
    <row r="1" spans="1:18" x14ac:dyDescent="0.3">
      <c r="B1" s="173"/>
      <c r="C1" s="173"/>
      <c r="D1" s="173"/>
      <c r="E1" s="173"/>
      <c r="F1" s="173"/>
      <c r="G1" s="173"/>
      <c r="H1" s="173"/>
      <c r="I1" s="173"/>
      <c r="J1" s="173"/>
      <c r="K1" s="173"/>
      <c r="L1" s="173"/>
    </row>
    <row r="2" spans="1:18" ht="25.95" customHeight="1" x14ac:dyDescent="0.3">
      <c r="A2" s="169"/>
      <c r="B2" s="170" t="s">
        <v>321</v>
      </c>
      <c r="C2" s="171"/>
      <c r="D2" s="171"/>
      <c r="E2" s="171"/>
      <c r="F2" s="171"/>
      <c r="G2" s="171"/>
      <c r="H2" s="171"/>
      <c r="I2" s="171"/>
      <c r="J2" s="171"/>
      <c r="K2" s="171"/>
      <c r="L2" s="172"/>
    </row>
    <row r="3" spans="1:18" x14ac:dyDescent="0.3">
      <c r="A3" s="169"/>
      <c r="K3" s="454"/>
      <c r="L3" s="454"/>
      <c r="M3" s="454"/>
      <c r="N3" s="454"/>
      <c r="O3" s="454"/>
      <c r="P3" s="454"/>
      <c r="Q3" s="454"/>
      <c r="R3" s="454"/>
    </row>
    <row r="4" spans="1:18" ht="18" customHeight="1" x14ac:dyDescent="0.3">
      <c r="A4" s="169"/>
      <c r="B4" s="168" t="s">
        <v>292</v>
      </c>
      <c r="C4" s="474" t="s">
        <v>293</v>
      </c>
      <c r="D4" s="474"/>
      <c r="E4" s="474"/>
      <c r="F4" s="474"/>
      <c r="G4" s="474"/>
      <c r="H4" s="474"/>
      <c r="I4" s="474"/>
      <c r="J4" s="474"/>
      <c r="K4" s="474"/>
      <c r="L4" s="474"/>
    </row>
    <row r="5" spans="1:18" ht="18" customHeight="1" x14ac:dyDescent="0.3">
      <c r="B5" s="150"/>
      <c r="C5" s="474"/>
      <c r="D5" s="474"/>
      <c r="E5" s="474"/>
      <c r="F5" s="474"/>
      <c r="G5" s="474"/>
      <c r="H5" s="474"/>
      <c r="I5" s="474"/>
      <c r="J5" s="474"/>
      <c r="K5" s="474"/>
      <c r="L5" s="474"/>
    </row>
    <row r="6" spans="1:18" ht="18" customHeight="1" x14ac:dyDescent="0.3">
      <c r="B6" s="150"/>
      <c r="C6" s="474"/>
      <c r="D6" s="474"/>
      <c r="E6" s="474"/>
      <c r="F6" s="474"/>
      <c r="G6" s="474"/>
      <c r="H6" s="474"/>
      <c r="I6" s="474"/>
      <c r="J6" s="474"/>
      <c r="K6" s="474"/>
      <c r="L6" s="474"/>
    </row>
    <row r="7" spans="1:18" ht="18" customHeight="1" x14ac:dyDescent="0.3">
      <c r="B7" s="150"/>
      <c r="C7" s="474"/>
      <c r="D7" s="474"/>
      <c r="E7" s="474"/>
      <c r="F7" s="474"/>
      <c r="G7" s="474"/>
      <c r="H7" s="474"/>
      <c r="I7" s="474"/>
      <c r="J7" s="474"/>
      <c r="K7" s="474"/>
      <c r="L7" s="474"/>
    </row>
    <row r="9" spans="1:18" ht="18" customHeight="1" x14ac:dyDescent="0.3">
      <c r="B9" s="149" t="s">
        <v>294</v>
      </c>
      <c r="C9" s="474" t="s">
        <v>295</v>
      </c>
      <c r="D9" s="474"/>
      <c r="E9" s="474"/>
      <c r="F9" s="474"/>
      <c r="G9" s="474"/>
      <c r="H9" s="474"/>
      <c r="I9" s="474"/>
      <c r="J9" s="474"/>
      <c r="K9" s="474"/>
      <c r="L9" s="474"/>
    </row>
    <row r="10" spans="1:18" ht="18" customHeight="1" x14ac:dyDescent="0.3">
      <c r="B10" s="150"/>
      <c r="C10" s="474"/>
      <c r="D10" s="474"/>
      <c r="E10" s="474"/>
      <c r="F10" s="474"/>
      <c r="G10" s="474"/>
      <c r="H10" s="474"/>
      <c r="I10" s="474"/>
      <c r="J10" s="474"/>
      <c r="K10" s="474"/>
      <c r="L10" s="474"/>
    </row>
    <row r="11" spans="1:18" ht="18" customHeight="1" x14ac:dyDescent="0.3">
      <c r="B11" s="150"/>
      <c r="C11" s="474"/>
      <c r="D11" s="474"/>
      <c r="E11" s="474"/>
      <c r="F11" s="474"/>
      <c r="G11" s="474"/>
      <c r="H11" s="474"/>
      <c r="I11" s="474"/>
      <c r="J11" s="474"/>
      <c r="K11" s="474"/>
      <c r="L11" s="474"/>
    </row>
    <row r="12" spans="1:18" ht="18" customHeight="1" x14ac:dyDescent="0.3">
      <c r="B12" s="150"/>
      <c r="C12" s="474"/>
      <c r="D12" s="474"/>
      <c r="E12" s="474"/>
      <c r="F12" s="474"/>
      <c r="G12" s="474"/>
      <c r="H12" s="474"/>
      <c r="I12" s="474"/>
      <c r="J12" s="474"/>
      <c r="K12" s="474"/>
      <c r="L12" s="474"/>
    </row>
    <row r="14" spans="1:18" ht="18" customHeight="1" x14ac:dyDescent="0.3">
      <c r="B14" s="149" t="s">
        <v>296</v>
      </c>
      <c r="C14" s="474" t="s">
        <v>297</v>
      </c>
      <c r="D14" s="474"/>
      <c r="E14" s="474"/>
      <c r="F14" s="474"/>
      <c r="G14" s="474"/>
      <c r="H14" s="474"/>
      <c r="I14" s="474"/>
      <c r="J14" s="474"/>
      <c r="K14" s="474"/>
      <c r="L14" s="474"/>
    </row>
    <row r="15" spans="1:18" ht="18" customHeight="1" x14ac:dyDescent="0.3">
      <c r="B15" s="150"/>
      <c r="C15" s="474"/>
      <c r="D15" s="474"/>
      <c r="E15" s="474"/>
      <c r="F15" s="474"/>
      <c r="G15" s="474"/>
      <c r="H15" s="474"/>
      <c r="I15" s="474"/>
      <c r="J15" s="474"/>
      <c r="K15" s="474"/>
      <c r="L15" s="474"/>
    </row>
    <row r="16" spans="1:18" ht="18" customHeight="1" x14ac:dyDescent="0.3">
      <c r="B16" s="150"/>
      <c r="C16" s="474"/>
      <c r="D16" s="474"/>
      <c r="E16" s="474"/>
      <c r="F16" s="474"/>
      <c r="G16" s="474"/>
      <c r="H16" s="474"/>
      <c r="I16" s="474"/>
      <c r="J16" s="474"/>
      <c r="K16" s="474"/>
      <c r="L16" s="474"/>
    </row>
    <row r="17" spans="2:12" ht="18" customHeight="1" x14ac:dyDescent="0.3">
      <c r="B17" s="150"/>
      <c r="C17" s="474"/>
      <c r="D17" s="474"/>
      <c r="E17" s="474"/>
      <c r="F17" s="474"/>
      <c r="G17" s="474"/>
      <c r="H17" s="474"/>
      <c r="I17" s="474"/>
      <c r="J17" s="474"/>
      <c r="K17" s="474"/>
      <c r="L17" s="474"/>
    </row>
    <row r="19" spans="2:12" ht="18" customHeight="1" x14ac:dyDescent="0.3">
      <c r="B19" s="149" t="s">
        <v>298</v>
      </c>
      <c r="C19" s="474" t="s">
        <v>299</v>
      </c>
      <c r="D19" s="474"/>
      <c r="E19" s="474"/>
      <c r="F19" s="474"/>
      <c r="G19" s="474"/>
      <c r="H19" s="474"/>
      <c r="I19" s="474"/>
      <c r="J19" s="474"/>
      <c r="K19" s="474"/>
      <c r="L19" s="474"/>
    </row>
    <row r="20" spans="2:12" ht="18" customHeight="1" x14ac:dyDescent="0.3">
      <c r="B20" s="150"/>
      <c r="C20" s="474"/>
      <c r="D20" s="474"/>
      <c r="E20" s="474"/>
      <c r="F20" s="474"/>
      <c r="G20" s="474"/>
      <c r="H20" s="474"/>
      <c r="I20" s="474"/>
      <c r="J20" s="474"/>
      <c r="K20" s="474"/>
      <c r="L20" s="474"/>
    </row>
    <row r="21" spans="2:12" ht="18" customHeight="1" x14ac:dyDescent="0.3">
      <c r="B21" s="150"/>
      <c r="C21" s="474"/>
      <c r="D21" s="474"/>
      <c r="E21" s="474"/>
      <c r="F21" s="474"/>
      <c r="G21" s="474"/>
      <c r="H21" s="474"/>
      <c r="I21" s="474"/>
      <c r="J21" s="474"/>
      <c r="K21" s="474"/>
      <c r="L21" s="474"/>
    </row>
    <row r="22" spans="2:12" ht="18" customHeight="1" x14ac:dyDescent="0.3">
      <c r="B22" s="150"/>
      <c r="C22" s="474"/>
      <c r="D22" s="474"/>
      <c r="E22" s="474"/>
      <c r="F22" s="474"/>
      <c r="G22" s="474"/>
      <c r="H22" s="474"/>
      <c r="I22" s="474"/>
      <c r="J22" s="474"/>
      <c r="K22" s="474"/>
      <c r="L22" s="474"/>
    </row>
    <row r="24" spans="2:12" x14ac:dyDescent="0.3">
      <c r="B24" s="151" t="s">
        <v>300</v>
      </c>
      <c r="C24" s="152" t="s">
        <v>301</v>
      </c>
      <c r="D24" s="152" t="s">
        <v>302</v>
      </c>
      <c r="E24" s="152" t="s">
        <v>303</v>
      </c>
      <c r="F24" s="152" t="s">
        <v>304</v>
      </c>
      <c r="G24" s="152" t="s">
        <v>305</v>
      </c>
      <c r="H24" s="152" t="s">
        <v>306</v>
      </c>
      <c r="I24" s="152" t="s">
        <v>307</v>
      </c>
      <c r="J24" s="152" t="s">
        <v>308</v>
      </c>
      <c r="K24" s="152" t="s">
        <v>309</v>
      </c>
    </row>
    <row r="25" spans="2:12" x14ac:dyDescent="0.3">
      <c r="B25" s="153" t="s">
        <v>310</v>
      </c>
      <c r="C25" s="154">
        <v>388</v>
      </c>
      <c r="D25" s="155">
        <v>-0.28000000000000003</v>
      </c>
      <c r="E25" s="154">
        <v>21685</v>
      </c>
      <c r="F25" s="154">
        <v>3062</v>
      </c>
      <c r="G25" s="154">
        <v>676</v>
      </c>
      <c r="H25" s="155">
        <v>23</v>
      </c>
      <c r="I25" s="155">
        <f>F25/E25*100</f>
        <v>14.120359695642149</v>
      </c>
      <c r="J25" s="155">
        <v>8.98</v>
      </c>
      <c r="K25" s="155">
        <f>(F25+1216)/(G25/2)</f>
        <v>12.65680473372781</v>
      </c>
    </row>
    <row r="26" spans="2:12" x14ac:dyDescent="0.3">
      <c r="B26" s="156" t="s">
        <v>311</v>
      </c>
      <c r="C26" s="157">
        <v>1179</v>
      </c>
      <c r="D26" s="158">
        <v>3.2</v>
      </c>
      <c r="E26" s="157">
        <v>17618</v>
      </c>
      <c r="F26" s="442" t="s">
        <v>553</v>
      </c>
      <c r="G26" s="157">
        <v>99</v>
      </c>
      <c r="H26" s="158">
        <v>14</v>
      </c>
      <c r="I26" s="158" t="e">
        <f>F26/E26*100</f>
        <v>#VALUE!</v>
      </c>
      <c r="J26" s="158">
        <v>12.92</v>
      </c>
      <c r="K26" s="158" t="e">
        <f>(F26+601)/(G26/1)</f>
        <v>#VALUE!</v>
      </c>
    </row>
    <row r="27" spans="2:12" x14ac:dyDescent="0.3">
      <c r="B27" s="153" t="s">
        <v>312</v>
      </c>
      <c r="C27" s="154">
        <v>5983</v>
      </c>
      <c r="D27" s="155">
        <v>0.34</v>
      </c>
      <c r="E27" s="154">
        <v>17943</v>
      </c>
      <c r="F27" s="154" t="s">
        <v>547</v>
      </c>
      <c r="G27" s="154">
        <v>24</v>
      </c>
      <c r="H27" s="155">
        <v>18</v>
      </c>
      <c r="I27" s="155" t="e">
        <f>F27/E27*100</f>
        <v>#VALUE!</v>
      </c>
      <c r="J27" s="155">
        <v>90.45</v>
      </c>
      <c r="K27" s="155" t="e">
        <f>(F27+313)/(G27/1)</f>
        <v>#VALUE!</v>
      </c>
    </row>
    <row r="28" spans="2:12" x14ac:dyDescent="0.3">
      <c r="B28" s="156" t="s">
        <v>313</v>
      </c>
      <c r="C28" s="157">
        <v>1161</v>
      </c>
      <c r="D28" s="158">
        <v>0.61</v>
      </c>
      <c r="E28" s="157">
        <v>14364</v>
      </c>
      <c r="F28" s="157" t="s">
        <v>548</v>
      </c>
      <c r="G28" s="157">
        <v>102</v>
      </c>
      <c r="H28" s="158">
        <v>21</v>
      </c>
      <c r="I28" s="158" t="e">
        <f>F28/E28*100</f>
        <v>#VALUE!</v>
      </c>
      <c r="J28" s="158">
        <v>18.11</v>
      </c>
      <c r="K28" s="158" t="e">
        <f>(F28+234)/(G28/1)</f>
        <v>#VALUE!</v>
      </c>
    </row>
    <row r="29" spans="2:12" x14ac:dyDescent="0.3">
      <c r="F29" t="s">
        <v>549</v>
      </c>
    </row>
    <row r="30" spans="2:12" x14ac:dyDescent="0.3">
      <c r="F30" t="s">
        <v>550</v>
      </c>
    </row>
    <row r="31" spans="2:12" x14ac:dyDescent="0.3">
      <c r="F31" t="s">
        <v>551</v>
      </c>
    </row>
    <row r="32" spans="2:12" x14ac:dyDescent="0.3">
      <c r="B32" s="159" t="s">
        <v>292</v>
      </c>
      <c r="C32" s="160"/>
      <c r="D32" s="160"/>
      <c r="E32" s="160"/>
      <c r="F32" t="s">
        <v>552</v>
      </c>
      <c r="G32" s="159" t="s">
        <v>294</v>
      </c>
      <c r="H32" s="160"/>
      <c r="I32" s="160"/>
      <c r="J32" s="160"/>
    </row>
    <row r="33" spans="2:10" x14ac:dyDescent="0.3">
      <c r="B33" s="151" t="s">
        <v>314</v>
      </c>
      <c r="C33" s="174">
        <v>45261</v>
      </c>
      <c r="D33" s="174">
        <v>45627</v>
      </c>
      <c r="E33" s="174">
        <v>45992</v>
      </c>
      <c r="G33" s="151" t="s">
        <v>314</v>
      </c>
      <c r="H33" s="174">
        <v>44986</v>
      </c>
      <c r="I33" s="174">
        <v>45352</v>
      </c>
      <c r="J33" s="174">
        <v>45717</v>
      </c>
    </row>
    <row r="34" spans="2:10" x14ac:dyDescent="0.3">
      <c r="B34" s="161" t="s">
        <v>315</v>
      </c>
      <c r="C34" s="162">
        <v>8</v>
      </c>
      <c r="D34" s="162">
        <v>15</v>
      </c>
      <c r="E34" s="162">
        <v>21</v>
      </c>
      <c r="G34" s="161" t="s">
        <v>315</v>
      </c>
      <c r="H34" s="162">
        <v>21</v>
      </c>
      <c r="I34" s="162">
        <v>22</v>
      </c>
      <c r="J34" s="162">
        <v>18</v>
      </c>
    </row>
    <row r="35" spans="2:10" x14ac:dyDescent="0.3">
      <c r="B35" s="163" t="s">
        <v>316</v>
      </c>
      <c r="C35" s="164">
        <v>106</v>
      </c>
      <c r="D35" s="164">
        <v>114</v>
      </c>
      <c r="E35" s="164">
        <v>111</v>
      </c>
      <c r="G35" s="163" t="s">
        <v>316</v>
      </c>
      <c r="H35" s="164">
        <v>144</v>
      </c>
      <c r="I35" s="164">
        <v>140</v>
      </c>
      <c r="J35" s="164">
        <v>152</v>
      </c>
    </row>
    <row r="36" spans="2:10" x14ac:dyDescent="0.3">
      <c r="B36" s="161" t="s">
        <v>317</v>
      </c>
      <c r="C36" s="162">
        <v>37</v>
      </c>
      <c r="D36" s="162">
        <v>64</v>
      </c>
      <c r="E36" s="162">
        <v>53</v>
      </c>
      <c r="G36" s="161" t="s">
        <v>317</v>
      </c>
      <c r="H36" s="162">
        <v>125</v>
      </c>
      <c r="I36" s="162">
        <v>136</v>
      </c>
      <c r="J36" s="162">
        <v>148</v>
      </c>
    </row>
    <row r="37" spans="2:10" x14ac:dyDescent="0.3">
      <c r="B37" s="163" t="s">
        <v>318</v>
      </c>
      <c r="C37" s="165">
        <v>77</v>
      </c>
      <c r="D37" s="165">
        <v>66</v>
      </c>
      <c r="E37" s="165">
        <v>79</v>
      </c>
      <c r="G37" s="163" t="s">
        <v>318</v>
      </c>
      <c r="H37" s="165">
        <v>40</v>
      </c>
      <c r="I37" s="165">
        <v>25</v>
      </c>
      <c r="J37" s="165">
        <v>22</v>
      </c>
    </row>
    <row r="38" spans="2:10" x14ac:dyDescent="0.3">
      <c r="B38" s="161" t="s">
        <v>319</v>
      </c>
      <c r="C38" s="166">
        <v>-9</v>
      </c>
      <c r="D38" s="166">
        <v>16</v>
      </c>
      <c r="E38" s="166">
        <v>31</v>
      </c>
      <c r="G38" s="161" t="s">
        <v>319</v>
      </c>
      <c r="H38" s="166">
        <v>22</v>
      </c>
      <c r="I38" s="166">
        <v>-35</v>
      </c>
      <c r="J38" s="166">
        <v>0</v>
      </c>
    </row>
    <row r="39" spans="2:10" x14ac:dyDescent="0.3">
      <c r="B39" s="163" t="s">
        <v>320</v>
      </c>
      <c r="C39" s="167">
        <v>0.28999999999999998</v>
      </c>
      <c r="D39" s="167">
        <v>0.25</v>
      </c>
      <c r="E39" s="167">
        <v>0.2</v>
      </c>
      <c r="G39" s="163" t="s">
        <v>320</v>
      </c>
      <c r="H39" s="167">
        <v>0.09</v>
      </c>
      <c r="I39" s="167">
        <v>0.11</v>
      </c>
      <c r="J39" s="167">
        <v>0.09</v>
      </c>
    </row>
    <row r="41" spans="2:10" x14ac:dyDescent="0.3">
      <c r="B41" s="159" t="s">
        <v>296</v>
      </c>
      <c r="C41" s="160"/>
      <c r="D41" s="160"/>
      <c r="E41" s="160"/>
      <c r="G41" s="159" t="s">
        <v>298</v>
      </c>
      <c r="H41" s="160"/>
      <c r="I41" s="160"/>
      <c r="J41" s="160"/>
    </row>
    <row r="42" spans="2:10" x14ac:dyDescent="0.3">
      <c r="B42" s="151" t="s">
        <v>314</v>
      </c>
      <c r="C42" s="174">
        <v>44986</v>
      </c>
      <c r="D42" s="174">
        <v>45352</v>
      </c>
      <c r="E42" s="174">
        <v>45717</v>
      </c>
      <c r="G42" s="151" t="s">
        <v>314</v>
      </c>
      <c r="H42" s="174">
        <v>44986</v>
      </c>
      <c r="I42" s="174">
        <v>45352</v>
      </c>
      <c r="J42" s="174">
        <v>45717</v>
      </c>
    </row>
    <row r="43" spans="2:10" x14ac:dyDescent="0.3">
      <c r="B43" s="161" t="s">
        <v>315</v>
      </c>
      <c r="C43" s="162">
        <v>7</v>
      </c>
      <c r="D43" s="162">
        <v>9</v>
      </c>
      <c r="E43" s="162">
        <v>9</v>
      </c>
      <c r="G43" s="161" t="s">
        <v>315</v>
      </c>
      <c r="H43" s="162">
        <v>34</v>
      </c>
      <c r="I43" s="162">
        <v>40</v>
      </c>
      <c r="J43" s="162">
        <v>46</v>
      </c>
    </row>
    <row r="44" spans="2:10" x14ac:dyDescent="0.3">
      <c r="B44" s="163" t="s">
        <v>316</v>
      </c>
      <c r="C44" s="164">
        <v>45</v>
      </c>
      <c r="D44" s="164">
        <v>45</v>
      </c>
      <c r="E44" s="164">
        <v>43</v>
      </c>
      <c r="G44" s="163" t="s">
        <v>316</v>
      </c>
      <c r="H44" s="164">
        <v>84</v>
      </c>
      <c r="I44" s="164">
        <v>73</v>
      </c>
      <c r="J44" s="164">
        <v>79</v>
      </c>
    </row>
    <row r="45" spans="2:10" x14ac:dyDescent="0.3">
      <c r="B45" s="161" t="s">
        <v>317</v>
      </c>
      <c r="C45" s="162">
        <v>55</v>
      </c>
      <c r="D45" s="162">
        <v>63</v>
      </c>
      <c r="E45" s="162">
        <v>60</v>
      </c>
      <c r="G45" s="161" t="s">
        <v>317</v>
      </c>
      <c r="H45" s="162">
        <v>99</v>
      </c>
      <c r="I45" s="162">
        <v>97</v>
      </c>
      <c r="J45" s="162">
        <v>120</v>
      </c>
    </row>
    <row r="46" spans="2:10" x14ac:dyDescent="0.3">
      <c r="B46" s="163" t="s">
        <v>318</v>
      </c>
      <c r="C46" s="165">
        <v>-2</v>
      </c>
      <c r="D46" s="165">
        <v>-9</v>
      </c>
      <c r="E46" s="165">
        <v>-9</v>
      </c>
      <c r="G46" s="163" t="s">
        <v>318</v>
      </c>
      <c r="H46" s="165">
        <v>19</v>
      </c>
      <c r="I46" s="165">
        <v>16</v>
      </c>
      <c r="J46" s="165">
        <v>6</v>
      </c>
    </row>
    <row r="47" spans="2:10" x14ac:dyDescent="0.3">
      <c r="B47" s="161" t="s">
        <v>319</v>
      </c>
      <c r="C47" s="166">
        <v>-31</v>
      </c>
      <c r="D47" s="166">
        <v>-30</v>
      </c>
      <c r="E47" s="166">
        <v>-23</v>
      </c>
      <c r="G47" s="161" t="s">
        <v>319</v>
      </c>
      <c r="H47" s="166">
        <v>-2</v>
      </c>
      <c r="I47" s="166">
        <v>-60</v>
      </c>
      <c r="J47" s="166">
        <v>-81</v>
      </c>
    </row>
    <row r="48" spans="2:10" x14ac:dyDescent="0.3">
      <c r="B48" s="163" t="s">
        <v>320</v>
      </c>
      <c r="C48" s="167">
        <v>0.49</v>
      </c>
      <c r="D48" s="167">
        <v>0.49</v>
      </c>
      <c r="E48" s="167">
        <v>0.53</v>
      </c>
      <c r="G48" s="163" t="s">
        <v>320</v>
      </c>
      <c r="H48" s="167">
        <v>0.17</v>
      </c>
      <c r="I48" s="167">
        <v>0.19</v>
      </c>
      <c r="J48" s="167">
        <v>0.19</v>
      </c>
    </row>
  </sheetData>
  <mergeCells count="5">
    <mergeCell ref="C4:L7"/>
    <mergeCell ref="C9:L12"/>
    <mergeCell ref="C14:L17"/>
    <mergeCell ref="C19:L22"/>
    <mergeCell ref="K3:R3"/>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0EB4E-F894-424E-8277-3F473D2F19EF}">
  <dimension ref="B2:Y50"/>
  <sheetViews>
    <sheetView showGridLines="0" zoomScale="52" workbookViewId="0">
      <selection activeCell="G2" sqref="G2"/>
    </sheetView>
  </sheetViews>
  <sheetFormatPr defaultRowHeight="14.4" x14ac:dyDescent="0.3"/>
  <cols>
    <col min="1" max="1" width="2.77734375" customWidth="1"/>
    <col min="2" max="2" width="25.88671875" customWidth="1"/>
    <col min="3" max="3" width="22.21875" customWidth="1"/>
    <col min="4" max="5" width="14.77734375" customWidth="1"/>
    <col min="6" max="14" width="7.44140625" customWidth="1"/>
    <col min="15" max="15" width="2.77734375" customWidth="1"/>
    <col min="16" max="16" width="22.21875" customWidth="1"/>
    <col min="17" max="17" width="20.33203125" customWidth="1"/>
    <col min="18" max="22" width="17.5546875" customWidth="1"/>
    <col min="23" max="25" width="9.21875" customWidth="1"/>
  </cols>
  <sheetData>
    <row r="2" spans="2:25" ht="31.95" customHeight="1" x14ac:dyDescent="0.3">
      <c r="B2" s="477" t="s">
        <v>322</v>
      </c>
      <c r="C2" s="478"/>
      <c r="D2" s="478"/>
      <c r="E2" s="478"/>
      <c r="F2" s="478"/>
      <c r="G2" s="478"/>
      <c r="H2" s="478"/>
      <c r="I2" s="478"/>
      <c r="J2" s="478"/>
      <c r="K2" s="478"/>
      <c r="L2" s="478"/>
      <c r="M2" s="478"/>
      <c r="N2" s="478"/>
    </row>
    <row r="3" spans="2:25" x14ac:dyDescent="0.3">
      <c r="K3" s="480" t="s">
        <v>335</v>
      </c>
      <c r="L3" s="480"/>
      <c r="M3" s="480"/>
      <c r="N3" s="480"/>
      <c r="O3" s="480"/>
      <c r="P3" s="480"/>
      <c r="Q3" s="480"/>
      <c r="R3" s="480"/>
      <c r="S3" s="175"/>
      <c r="T3" s="175"/>
      <c r="U3" s="175"/>
      <c r="V3" s="175"/>
      <c r="W3" s="175"/>
      <c r="X3" s="175"/>
      <c r="Y3" s="175"/>
    </row>
    <row r="4" spans="2:25" ht="60" customHeight="1" x14ac:dyDescent="0.3">
      <c r="P4" s="479" t="s">
        <v>343</v>
      </c>
      <c r="Q4" s="479"/>
      <c r="R4" s="479"/>
      <c r="S4" s="479"/>
      <c r="T4" s="479"/>
      <c r="U4" s="479"/>
      <c r="V4" s="479"/>
      <c r="W4" s="479"/>
      <c r="X4" s="479"/>
      <c r="Y4" s="479"/>
    </row>
    <row r="5" spans="2:25" ht="60" customHeight="1" x14ac:dyDescent="0.3">
      <c r="P5" s="479"/>
      <c r="Q5" s="479"/>
      <c r="R5" s="479"/>
      <c r="S5" s="479"/>
      <c r="T5" s="479"/>
      <c r="U5" s="479"/>
      <c r="V5" s="479"/>
      <c r="W5" s="479"/>
      <c r="X5" s="479"/>
      <c r="Y5" s="479"/>
    </row>
    <row r="7" spans="2:25" ht="22.05" customHeight="1" x14ac:dyDescent="0.3">
      <c r="P7" s="479" t="s">
        <v>344</v>
      </c>
      <c r="Q7" s="479"/>
      <c r="R7" s="479"/>
      <c r="S7" s="479"/>
      <c r="T7" s="479"/>
      <c r="U7" s="479"/>
      <c r="V7" s="479"/>
      <c r="W7" s="479"/>
      <c r="X7" s="479"/>
      <c r="Y7" s="479"/>
    </row>
    <row r="8" spans="2:25" ht="22.05" customHeight="1" x14ac:dyDescent="0.3">
      <c r="P8" s="479"/>
      <c r="Q8" s="479"/>
      <c r="R8" s="479"/>
      <c r="S8" s="479"/>
      <c r="T8" s="479"/>
      <c r="U8" s="479"/>
      <c r="V8" s="479"/>
      <c r="W8" s="479"/>
      <c r="X8" s="479"/>
      <c r="Y8" s="479"/>
    </row>
    <row r="9" spans="2:25" ht="22.05" customHeight="1" x14ac:dyDescent="0.3">
      <c r="P9" s="479"/>
      <c r="Q9" s="479"/>
      <c r="R9" s="479"/>
      <c r="S9" s="479"/>
      <c r="T9" s="479"/>
      <c r="U9" s="479"/>
      <c r="V9" s="479"/>
      <c r="W9" s="479"/>
      <c r="X9" s="479"/>
      <c r="Y9" s="479"/>
    </row>
    <row r="10" spans="2:25" ht="22.05" customHeight="1" x14ac:dyDescent="0.3">
      <c r="P10" s="479"/>
      <c r="Q10" s="479"/>
      <c r="R10" s="479"/>
      <c r="S10" s="479"/>
      <c r="T10" s="479"/>
      <c r="U10" s="479"/>
      <c r="V10" s="479"/>
      <c r="W10" s="479"/>
      <c r="X10" s="479"/>
      <c r="Y10" s="479"/>
    </row>
    <row r="11" spans="2:25" ht="22.05" customHeight="1" x14ac:dyDescent="0.3">
      <c r="P11" s="479"/>
      <c r="Q11" s="479"/>
      <c r="R11" s="479"/>
      <c r="S11" s="479"/>
      <c r="T11" s="479"/>
      <c r="U11" s="479"/>
      <c r="V11" s="479"/>
      <c r="W11" s="479"/>
      <c r="X11" s="479"/>
      <c r="Y11" s="479"/>
    </row>
    <row r="12" spans="2:25" ht="22.05" customHeight="1" x14ac:dyDescent="0.3">
      <c r="P12" s="479"/>
      <c r="Q12" s="479"/>
      <c r="R12" s="479"/>
      <c r="S12" s="479"/>
      <c r="T12" s="479"/>
      <c r="U12" s="479"/>
      <c r="V12" s="479"/>
      <c r="W12" s="479"/>
      <c r="X12" s="479"/>
      <c r="Y12" s="479"/>
    </row>
    <row r="13" spans="2:25" ht="22.05" customHeight="1" x14ac:dyDescent="0.3">
      <c r="P13" s="479"/>
      <c r="Q13" s="479"/>
      <c r="R13" s="479"/>
      <c r="S13" s="479"/>
      <c r="T13" s="479"/>
      <c r="U13" s="479"/>
      <c r="V13" s="479"/>
      <c r="W13" s="479"/>
      <c r="X13" s="479"/>
      <c r="Y13" s="479"/>
    </row>
    <row r="14" spans="2:25" ht="22.05" customHeight="1" x14ac:dyDescent="0.3">
      <c r="P14" s="479"/>
      <c r="Q14" s="479"/>
      <c r="R14" s="479"/>
      <c r="S14" s="479"/>
      <c r="T14" s="479"/>
      <c r="U14" s="479"/>
      <c r="V14" s="479"/>
      <c r="W14" s="479"/>
      <c r="X14" s="479"/>
      <c r="Y14" s="479"/>
    </row>
    <row r="15" spans="2:25" ht="22.05" customHeight="1" x14ac:dyDescent="0.3">
      <c r="P15" s="479"/>
      <c r="Q15" s="479"/>
      <c r="R15" s="479"/>
      <c r="S15" s="479"/>
      <c r="T15" s="479"/>
      <c r="U15" s="479"/>
      <c r="V15" s="479"/>
      <c r="W15" s="479"/>
      <c r="X15" s="479"/>
      <c r="Y15" s="479"/>
    </row>
    <row r="16" spans="2:25" x14ac:dyDescent="0.3">
      <c r="Q16" s="175" t="s">
        <v>336</v>
      </c>
      <c r="R16" s="176" t="s">
        <v>337</v>
      </c>
      <c r="S16" s="176" t="s">
        <v>304</v>
      </c>
      <c r="T16" s="176" t="s">
        <v>338</v>
      </c>
      <c r="U16" s="176" t="s">
        <v>339</v>
      </c>
      <c r="V16" s="176" t="s">
        <v>340</v>
      </c>
    </row>
    <row r="17" spans="2:22" x14ac:dyDescent="0.3">
      <c r="Q17" s="186">
        <v>45992</v>
      </c>
      <c r="R17" s="185">
        <v>21685</v>
      </c>
      <c r="S17" s="185">
        <v>3062</v>
      </c>
      <c r="T17" s="183">
        <f t="shared" ref="T17:U20" si="0">R17/R18-1</f>
        <v>8.3816473410635695E-2</v>
      </c>
      <c r="U17" s="183">
        <f t="shared" si="0"/>
        <v>0.16249050873196658</v>
      </c>
      <c r="V17" s="183">
        <v>7.0000000000000001E-3</v>
      </c>
    </row>
    <row r="18" spans="2:22" x14ac:dyDescent="0.3">
      <c r="Q18" s="186">
        <v>45627</v>
      </c>
      <c r="R18" s="185">
        <v>20008</v>
      </c>
      <c r="S18" s="185">
        <v>2634</v>
      </c>
      <c r="T18" s="183">
        <f t="shared" si="0"/>
        <v>0.24714828897338403</v>
      </c>
      <c r="U18" s="183">
        <f t="shared" si="0"/>
        <v>0.25309229305423409</v>
      </c>
      <c r="V18" s="183">
        <v>0.27</v>
      </c>
    </row>
    <row r="19" spans="2:22" x14ac:dyDescent="0.3">
      <c r="Q19" s="186">
        <v>45261</v>
      </c>
      <c r="R19" s="185">
        <v>16043</v>
      </c>
      <c r="S19" s="185">
        <v>2102</v>
      </c>
      <c r="T19" s="183">
        <f t="shared" si="0"/>
        <v>0.21786988537159346</v>
      </c>
      <c r="U19" s="183">
        <f t="shared" si="0"/>
        <v>0.35612903225806458</v>
      </c>
      <c r="V19" s="183">
        <v>0.2</v>
      </c>
    </row>
    <row r="20" spans="2:22" x14ac:dyDescent="0.3">
      <c r="Q20" s="186">
        <v>44896</v>
      </c>
      <c r="R20" s="185">
        <v>13173</v>
      </c>
      <c r="S20" s="185">
        <v>1550</v>
      </c>
      <c r="T20" s="183">
        <f t="shared" si="0"/>
        <v>0.49302958177490641</v>
      </c>
      <c r="U20" s="183">
        <f t="shared" si="0"/>
        <v>1.0777479892761392</v>
      </c>
      <c r="V20" s="183">
        <v>4.2999999999999997E-2</v>
      </c>
    </row>
    <row r="21" spans="2:22" x14ac:dyDescent="0.3">
      <c r="B21" s="175" t="s">
        <v>314</v>
      </c>
      <c r="C21" s="176" t="s">
        <v>323</v>
      </c>
      <c r="Q21" s="186">
        <v>44531</v>
      </c>
      <c r="R21" s="185">
        <v>8823</v>
      </c>
      <c r="S21" s="185">
        <v>746</v>
      </c>
      <c r="T21" s="178" t="s">
        <v>128</v>
      </c>
      <c r="U21" s="178" t="s">
        <v>128</v>
      </c>
      <c r="V21" s="183">
        <v>0.24</v>
      </c>
    </row>
    <row r="22" spans="2:22" x14ac:dyDescent="0.3">
      <c r="B22" s="177" t="s">
        <v>324</v>
      </c>
      <c r="C22" s="178" t="s">
        <v>325</v>
      </c>
    </row>
    <row r="23" spans="2:22" x14ac:dyDescent="0.3">
      <c r="B23" s="177" t="s">
        <v>326</v>
      </c>
      <c r="C23" s="179">
        <v>520</v>
      </c>
    </row>
    <row r="24" spans="2:22" x14ac:dyDescent="0.3">
      <c r="B24" s="177" t="s">
        <v>327</v>
      </c>
      <c r="C24" s="178" t="s">
        <v>328</v>
      </c>
    </row>
    <row r="25" spans="2:22" x14ac:dyDescent="0.3">
      <c r="B25" s="177" t="s">
        <v>329</v>
      </c>
      <c r="C25" s="180">
        <v>55.1</v>
      </c>
    </row>
    <row r="26" spans="2:22" x14ac:dyDescent="0.3">
      <c r="B26" s="177" t="s">
        <v>330</v>
      </c>
      <c r="C26" s="181">
        <v>57.9</v>
      </c>
      <c r="F26" s="439" t="s">
        <v>553</v>
      </c>
    </row>
    <row r="27" spans="2:22" x14ac:dyDescent="0.3">
      <c r="B27" s="177" t="s">
        <v>331</v>
      </c>
      <c r="C27" s="182">
        <v>2.5999999999999999E-3</v>
      </c>
      <c r="F27" t="s">
        <v>547</v>
      </c>
    </row>
    <row r="28" spans="2:22" x14ac:dyDescent="0.3">
      <c r="B28" s="177" t="s">
        <v>332</v>
      </c>
      <c r="C28" s="183">
        <v>0.19700000000000001</v>
      </c>
      <c r="F28" t="s">
        <v>548</v>
      </c>
    </row>
    <row r="29" spans="2:22" x14ac:dyDescent="0.3">
      <c r="B29" s="177" t="s">
        <v>333</v>
      </c>
      <c r="C29" s="183">
        <v>0.16200000000000001</v>
      </c>
      <c r="F29" t="s">
        <v>549</v>
      </c>
    </row>
    <row r="30" spans="2:22" x14ac:dyDescent="0.3">
      <c r="B30" s="177" t="s">
        <v>334</v>
      </c>
      <c r="C30" s="184">
        <v>2</v>
      </c>
      <c r="F30" t="s">
        <v>550</v>
      </c>
    </row>
    <row r="31" spans="2:22" x14ac:dyDescent="0.3">
      <c r="F31" t="s">
        <v>551</v>
      </c>
    </row>
    <row r="32" spans="2:22" x14ac:dyDescent="0.3">
      <c r="F32" t="s">
        <v>552</v>
      </c>
    </row>
    <row r="34" spans="2:5" x14ac:dyDescent="0.3">
      <c r="B34" s="475" t="s">
        <v>341</v>
      </c>
      <c r="C34" s="476"/>
      <c r="D34" s="476"/>
      <c r="E34" s="476"/>
    </row>
    <row r="35" spans="2:5" x14ac:dyDescent="0.3">
      <c r="B35" s="476"/>
      <c r="C35" s="476"/>
      <c r="D35" s="476"/>
      <c r="E35" s="476"/>
    </row>
    <row r="36" spans="2:5" x14ac:dyDescent="0.3">
      <c r="B36" s="476"/>
      <c r="C36" s="476"/>
      <c r="D36" s="476"/>
      <c r="E36" s="476"/>
    </row>
    <row r="37" spans="2:5" x14ac:dyDescent="0.3">
      <c r="B37" s="476"/>
      <c r="C37" s="476"/>
      <c r="D37" s="476"/>
      <c r="E37" s="476"/>
    </row>
    <row r="38" spans="2:5" x14ac:dyDescent="0.3">
      <c r="B38" s="476"/>
      <c r="C38" s="476"/>
      <c r="D38" s="476"/>
      <c r="E38" s="476"/>
    </row>
    <row r="39" spans="2:5" x14ac:dyDescent="0.3">
      <c r="B39" s="476"/>
      <c r="C39" s="476"/>
      <c r="D39" s="476"/>
      <c r="E39" s="476"/>
    </row>
    <row r="40" spans="2:5" x14ac:dyDescent="0.3">
      <c r="B40" s="476"/>
      <c r="C40" s="476"/>
      <c r="D40" s="476"/>
      <c r="E40" s="476"/>
    </row>
    <row r="41" spans="2:5" x14ac:dyDescent="0.3">
      <c r="B41" s="476"/>
      <c r="C41" s="476"/>
      <c r="D41" s="476"/>
      <c r="E41" s="476"/>
    </row>
    <row r="42" spans="2:5" x14ac:dyDescent="0.3">
      <c r="B42" s="475" t="s">
        <v>342</v>
      </c>
      <c r="C42" s="476"/>
      <c r="D42" s="476"/>
      <c r="E42" s="476"/>
    </row>
    <row r="43" spans="2:5" x14ac:dyDescent="0.3">
      <c r="B43" s="476"/>
      <c r="C43" s="476"/>
      <c r="D43" s="476"/>
      <c r="E43" s="476"/>
    </row>
    <row r="44" spans="2:5" x14ac:dyDescent="0.3">
      <c r="B44" s="476"/>
      <c r="C44" s="476"/>
      <c r="D44" s="476"/>
      <c r="E44" s="476"/>
    </row>
    <row r="45" spans="2:5" x14ac:dyDescent="0.3">
      <c r="B45" s="476"/>
      <c r="C45" s="476"/>
      <c r="D45" s="476"/>
      <c r="E45" s="476"/>
    </row>
    <row r="46" spans="2:5" x14ac:dyDescent="0.3">
      <c r="B46" s="476"/>
      <c r="C46" s="476"/>
      <c r="D46" s="476"/>
      <c r="E46" s="476"/>
    </row>
    <row r="47" spans="2:5" x14ac:dyDescent="0.3">
      <c r="B47" s="476"/>
      <c r="C47" s="476"/>
      <c r="D47" s="476"/>
      <c r="E47" s="476"/>
    </row>
    <row r="48" spans="2:5" x14ac:dyDescent="0.3">
      <c r="B48" s="476"/>
      <c r="C48" s="476"/>
      <c r="D48" s="476"/>
      <c r="E48" s="476"/>
    </row>
    <row r="49" spans="2:5" x14ac:dyDescent="0.3">
      <c r="B49" s="476"/>
      <c r="C49" s="476"/>
      <c r="D49" s="476"/>
      <c r="E49" s="476"/>
    </row>
    <row r="50" spans="2:5" x14ac:dyDescent="0.3">
      <c r="B50" s="476"/>
      <c r="C50" s="476"/>
      <c r="D50" s="476"/>
      <c r="E50" s="476"/>
    </row>
  </sheetData>
  <mergeCells count="6">
    <mergeCell ref="B42:E50"/>
    <mergeCell ref="B2:N2"/>
    <mergeCell ref="P4:Y5"/>
    <mergeCell ref="P7:Y15"/>
    <mergeCell ref="B34:E41"/>
    <mergeCell ref="K3:R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466E1-DCD8-42B6-929C-6A501F4B5D55}">
  <dimension ref="B1:Y1485"/>
  <sheetViews>
    <sheetView showGridLines="0" topLeftCell="B1" workbookViewId="0">
      <selection activeCell="G2" sqref="G2"/>
    </sheetView>
  </sheetViews>
  <sheetFormatPr defaultRowHeight="14.4" x14ac:dyDescent="0.3"/>
  <cols>
    <col min="1" max="1" width="1.44140625" customWidth="1"/>
    <col min="2" max="2" width="17.5546875" style="187" customWidth="1"/>
    <col min="3" max="4" width="15.77734375" style="188" customWidth="1"/>
    <col min="5" max="5" width="3.33203125" customWidth="1"/>
    <col min="6" max="7" width="17.5546875" customWidth="1"/>
    <col min="8" max="8" width="15.77734375" customWidth="1"/>
    <col min="9" max="9" width="1.44140625" customWidth="1"/>
    <col min="12" max="12" width="26.44140625" bestFit="1" customWidth="1"/>
    <col min="16" max="16" width="9.44140625" customWidth="1"/>
    <col min="17" max="17" width="16.21875" customWidth="1"/>
  </cols>
  <sheetData>
    <row r="1" spans="2:25" ht="28.05" customHeight="1" x14ac:dyDescent="0.3">
      <c r="B1" s="481" t="s">
        <v>498</v>
      </c>
      <c r="C1" s="482"/>
      <c r="D1" s="482"/>
      <c r="E1" s="482"/>
      <c r="F1" s="482"/>
      <c r="G1" s="482"/>
      <c r="H1" s="482"/>
    </row>
    <row r="2" spans="2:25" ht="22.05" customHeight="1" x14ac:dyDescent="0.3">
      <c r="B2" s="483" t="s">
        <v>347</v>
      </c>
      <c r="C2" s="482"/>
      <c r="D2" s="482"/>
      <c r="F2" s="484" t="s">
        <v>348</v>
      </c>
      <c r="G2" s="485"/>
      <c r="H2" s="485"/>
    </row>
    <row r="3" spans="2:25" ht="22.05" customHeight="1" thickBot="1" x14ac:dyDescent="0.35">
      <c r="B3" s="205" t="s">
        <v>345</v>
      </c>
      <c r="C3" s="206" t="s">
        <v>349</v>
      </c>
      <c r="D3" s="207" t="s">
        <v>350</v>
      </c>
      <c r="F3" s="205" t="s">
        <v>345</v>
      </c>
      <c r="G3" s="208" t="s">
        <v>346</v>
      </c>
      <c r="H3" s="209" t="s">
        <v>350</v>
      </c>
      <c r="K3" s="454"/>
      <c r="L3" s="454"/>
      <c r="M3" s="454"/>
      <c r="N3" s="454"/>
      <c r="O3" s="454"/>
      <c r="P3" s="454"/>
      <c r="Q3" s="454"/>
      <c r="R3" s="454"/>
    </row>
    <row r="4" spans="2:25" x14ac:dyDescent="0.3">
      <c r="B4" s="195">
        <v>43922</v>
      </c>
      <c r="C4" s="192">
        <v>46.97</v>
      </c>
      <c r="D4" s="200"/>
      <c r="F4" s="195">
        <v>43922</v>
      </c>
      <c r="G4" s="189">
        <v>8253.7998046875</v>
      </c>
      <c r="H4" s="200"/>
    </row>
    <row r="5" spans="2:25" x14ac:dyDescent="0.3">
      <c r="B5" s="196">
        <v>43924</v>
      </c>
      <c r="C5" s="193">
        <v>46.97</v>
      </c>
      <c r="D5" s="201">
        <f>(C5-C4)/C4</f>
        <v>0</v>
      </c>
      <c r="F5" s="196">
        <v>43924</v>
      </c>
      <c r="G5" s="190">
        <v>8083.7998046875</v>
      </c>
      <c r="H5" s="201">
        <f>(G5-G4)/G4</f>
        <v>-2.0596574186770748E-2</v>
      </c>
      <c r="K5" t="s">
        <v>351</v>
      </c>
      <c r="L5" s="188">
        <f>SLOPE(D5:D1485,H5:H1485)</f>
        <v>0.65919937999680112</v>
      </c>
    </row>
    <row r="6" spans="2:25" x14ac:dyDescent="0.3">
      <c r="B6" s="197">
        <v>43928</v>
      </c>
      <c r="C6" s="192">
        <v>46.48</v>
      </c>
      <c r="D6" s="201">
        <f t="shared" ref="D6:D69" si="0">(C6-C5)/C5</f>
        <v>-1.0432190760059655E-2</v>
      </c>
      <c r="F6" s="197">
        <v>43928</v>
      </c>
      <c r="G6" s="191">
        <v>8792.2001953125</v>
      </c>
      <c r="H6" s="200">
        <f t="shared" ref="H6:H69" si="1">(G6-G5)/G5</f>
        <v>8.7632104671150374E-2</v>
      </c>
      <c r="L6" s="188">
        <f>_xlfn.COVARIANCE.S(D5:D1485,H5:H1485)/_xlfn.VAR.S(H5:H1485)</f>
        <v>0.65919937999680023</v>
      </c>
    </row>
    <row r="7" spans="2:25" x14ac:dyDescent="0.3">
      <c r="B7" s="196">
        <v>43929</v>
      </c>
      <c r="C7" s="193">
        <v>47.45</v>
      </c>
      <c r="D7" s="201">
        <f t="shared" si="0"/>
        <v>2.0869191049914072E-2</v>
      </c>
      <c r="F7" s="196">
        <v>43929</v>
      </c>
      <c r="G7" s="190">
        <v>8748.75</v>
      </c>
      <c r="H7" s="201">
        <f t="shared" si="1"/>
        <v>-4.9419024075071866E-3</v>
      </c>
    </row>
    <row r="8" spans="2:25" x14ac:dyDescent="0.3">
      <c r="B8" s="197">
        <v>43930</v>
      </c>
      <c r="C8" s="192">
        <v>50.51</v>
      </c>
      <c r="D8" s="201">
        <f t="shared" si="0"/>
        <v>6.4488935721812329E-2</v>
      </c>
      <c r="F8" s="197">
        <v>43930</v>
      </c>
      <c r="G8" s="191">
        <v>9111.900390625</v>
      </c>
      <c r="H8" s="200">
        <f t="shared" si="1"/>
        <v>4.1508831618802686E-2</v>
      </c>
      <c r="L8" t="s">
        <v>353</v>
      </c>
    </row>
    <row r="9" spans="2:25" ht="15" thickBot="1" x14ac:dyDescent="0.35">
      <c r="B9" s="196">
        <v>43934</v>
      </c>
      <c r="C9" s="193">
        <v>48.53</v>
      </c>
      <c r="D9" s="201">
        <f t="shared" si="0"/>
        <v>-3.9200158384478261E-2</v>
      </c>
      <c r="F9" s="196">
        <v>43934</v>
      </c>
      <c r="G9" s="190">
        <v>8993.849609375</v>
      </c>
      <c r="H9" s="201">
        <f t="shared" si="1"/>
        <v>-1.2955670737079107E-2</v>
      </c>
    </row>
    <row r="10" spans="2:25" x14ac:dyDescent="0.3">
      <c r="B10" s="197">
        <v>43936</v>
      </c>
      <c r="C10" s="192">
        <v>49.58</v>
      </c>
      <c r="D10" s="201">
        <f t="shared" si="0"/>
        <v>2.1636101380589266E-2</v>
      </c>
      <c r="F10" s="197">
        <v>43936</v>
      </c>
      <c r="G10" s="191">
        <v>8925.2998046875</v>
      </c>
      <c r="H10" s="200">
        <f t="shared" si="1"/>
        <v>-7.6218535626885646E-3</v>
      </c>
      <c r="L10" s="212" t="s">
        <v>354</v>
      </c>
      <c r="M10" s="212"/>
      <c r="Y10">
        <v>7.2022420404185361E-4</v>
      </c>
    </row>
    <row r="11" spans="2:25" x14ac:dyDescent="0.3">
      <c r="B11" s="196">
        <v>43937</v>
      </c>
      <c r="C11" s="193">
        <v>50.45</v>
      </c>
      <c r="D11" s="201">
        <f t="shared" si="0"/>
        <v>1.7547398144413161E-2</v>
      </c>
      <c r="F11" s="196">
        <v>43937</v>
      </c>
      <c r="G11" s="190">
        <v>8992.7998046875</v>
      </c>
      <c r="H11" s="201">
        <f t="shared" si="1"/>
        <v>7.5627711647903986E-3</v>
      </c>
      <c r="L11" t="s">
        <v>355</v>
      </c>
      <c r="M11">
        <v>0.28727263961417804</v>
      </c>
      <c r="Y11">
        <v>2.5459046100811077E-4</v>
      </c>
    </row>
    <row r="12" spans="2:25" x14ac:dyDescent="0.3">
      <c r="B12" s="197">
        <v>43938</v>
      </c>
      <c r="C12" s="192">
        <v>52.88</v>
      </c>
      <c r="D12" s="201">
        <f t="shared" si="0"/>
        <v>4.8166501486620411E-2</v>
      </c>
      <c r="F12" s="197">
        <v>43938</v>
      </c>
      <c r="G12" s="191">
        <v>9266.75</v>
      </c>
      <c r="H12" s="200">
        <f t="shared" si="1"/>
        <v>3.0463281876874804E-2</v>
      </c>
      <c r="L12" t="s">
        <v>356</v>
      </c>
      <c r="M12">
        <v>8.2525569470897411E-2</v>
      </c>
      <c r="Y12">
        <v>8.928929498506795E-4</v>
      </c>
    </row>
    <row r="13" spans="2:25" x14ac:dyDescent="0.3">
      <c r="B13" s="196">
        <v>43941</v>
      </c>
      <c r="C13" s="193">
        <v>56.85</v>
      </c>
      <c r="D13" s="201">
        <f t="shared" si="0"/>
        <v>7.5075642965204206E-2</v>
      </c>
      <c r="F13" s="196">
        <v>43941</v>
      </c>
      <c r="G13" s="190">
        <v>9261.849609375</v>
      </c>
      <c r="H13" s="201">
        <f t="shared" si="1"/>
        <v>-5.2881437666927461E-4</v>
      </c>
      <c r="L13" t="s">
        <v>357</v>
      </c>
      <c r="M13">
        <v>8.1905235170336835E-2</v>
      </c>
      <c r="Y13" t="e">
        <v>#N/A</v>
      </c>
    </row>
    <row r="14" spans="2:25" x14ac:dyDescent="0.3">
      <c r="B14" s="197">
        <v>43942</v>
      </c>
      <c r="C14" s="192">
        <v>53.06</v>
      </c>
      <c r="D14" s="201">
        <f t="shared" si="0"/>
        <v>-6.6666666666666652E-2</v>
      </c>
      <c r="F14" s="197">
        <v>43942</v>
      </c>
      <c r="G14" s="191">
        <v>8981.4501953125</v>
      </c>
      <c r="H14" s="200">
        <f t="shared" si="1"/>
        <v>-3.0274667144095602E-2</v>
      </c>
      <c r="L14" t="s">
        <v>352</v>
      </c>
      <c r="M14">
        <v>2.1541995830812701E-2</v>
      </c>
      <c r="Y14">
        <v>9.7975989150706419E-3</v>
      </c>
    </row>
    <row r="15" spans="2:25" ht="15" thickBot="1" x14ac:dyDescent="0.35">
      <c r="B15" s="196">
        <v>43943</v>
      </c>
      <c r="C15" s="193">
        <v>56.92</v>
      </c>
      <c r="D15" s="201">
        <f t="shared" si="0"/>
        <v>7.2747832642291732E-2</v>
      </c>
      <c r="F15" s="196">
        <v>43943</v>
      </c>
      <c r="G15" s="190">
        <v>9187.2998046875</v>
      </c>
      <c r="H15" s="201">
        <f t="shared" si="1"/>
        <v>2.2919417788725787E-2</v>
      </c>
      <c r="L15" s="210" t="s">
        <v>358</v>
      </c>
      <c r="M15" s="210">
        <v>1481</v>
      </c>
      <c r="Y15">
        <v>9.599294450059343E-5</v>
      </c>
    </row>
    <row r="16" spans="2:25" x14ac:dyDescent="0.3">
      <c r="B16" s="197">
        <v>43944</v>
      </c>
      <c r="C16" s="192">
        <v>54.44</v>
      </c>
      <c r="D16" s="201">
        <f t="shared" si="0"/>
        <v>-4.3569922698524312E-2</v>
      </c>
      <c r="F16" s="197">
        <v>43944</v>
      </c>
      <c r="G16" s="191">
        <v>9313.900390625</v>
      </c>
      <c r="H16" s="200">
        <f t="shared" si="1"/>
        <v>1.3779955877014752E-2</v>
      </c>
      <c r="Y16">
        <v>7.3387766241101087</v>
      </c>
    </row>
    <row r="17" spans="2:25" ht="15" thickBot="1" x14ac:dyDescent="0.35">
      <c r="B17" s="196">
        <v>43945</v>
      </c>
      <c r="C17" s="193">
        <v>56.9</v>
      </c>
      <c r="D17" s="201">
        <f t="shared" si="0"/>
        <v>4.5187362233651746E-2</v>
      </c>
      <c r="F17" s="196">
        <v>43945</v>
      </c>
      <c r="G17" s="190">
        <v>9154.400390625</v>
      </c>
      <c r="H17" s="201">
        <f t="shared" si="1"/>
        <v>-1.7124941572334865E-2</v>
      </c>
      <c r="L17" t="s">
        <v>359</v>
      </c>
      <c r="Y17">
        <v>4.1102009549871692E-2</v>
      </c>
    </row>
    <row r="18" spans="2:25" x14ac:dyDescent="0.3">
      <c r="B18" s="197">
        <v>43948</v>
      </c>
      <c r="C18" s="192">
        <v>56.43</v>
      </c>
      <c r="D18" s="201">
        <f t="shared" si="0"/>
        <v>-8.2601054481546369E-3</v>
      </c>
      <c r="F18" s="197">
        <v>43948</v>
      </c>
      <c r="G18" s="191">
        <v>9282.2998046875</v>
      </c>
      <c r="H18" s="200">
        <f t="shared" si="1"/>
        <v>1.3971358975458566E-2</v>
      </c>
      <c r="L18" s="211"/>
      <c r="M18" s="211" t="s">
        <v>364</v>
      </c>
      <c r="N18" s="211" t="s">
        <v>365</v>
      </c>
      <c r="O18" s="211" t="s">
        <v>366</v>
      </c>
      <c r="P18" s="211" t="s">
        <v>367</v>
      </c>
      <c r="Q18" s="211" t="s">
        <v>368</v>
      </c>
      <c r="Y18">
        <v>0.14692570408756112</v>
      </c>
    </row>
    <row r="19" spans="2:25" x14ac:dyDescent="0.3">
      <c r="B19" s="196">
        <v>43949</v>
      </c>
      <c r="C19" s="193">
        <v>57.87</v>
      </c>
      <c r="D19" s="201">
        <f t="shared" si="0"/>
        <v>2.5518341307814951E-2</v>
      </c>
      <c r="F19" s="196">
        <v>43949</v>
      </c>
      <c r="G19" s="190">
        <v>9380.900390625</v>
      </c>
      <c r="H19" s="201">
        <f t="shared" si="1"/>
        <v>1.0622430648890199E-2</v>
      </c>
      <c r="L19" t="s">
        <v>360</v>
      </c>
      <c r="M19">
        <v>1</v>
      </c>
      <c r="N19">
        <v>6.17354487462769E-2</v>
      </c>
      <c r="O19">
        <v>6.17354487462769E-2</v>
      </c>
      <c r="P19">
        <v>133.03402600230356</v>
      </c>
      <c r="Q19">
        <v>1.5618078553459787E-29</v>
      </c>
      <c r="Y19">
        <v>-5.9293599416410735E-2</v>
      </c>
    </row>
    <row r="20" spans="2:25" x14ac:dyDescent="0.3">
      <c r="B20" s="197">
        <v>43950</v>
      </c>
      <c r="C20" s="192">
        <v>57.55</v>
      </c>
      <c r="D20" s="201">
        <f t="shared" si="0"/>
        <v>-5.5296353896664993E-3</v>
      </c>
      <c r="F20" s="197">
        <v>43950</v>
      </c>
      <c r="G20" s="191">
        <v>9553.349609375</v>
      </c>
      <c r="H20" s="200">
        <f t="shared" si="1"/>
        <v>1.838301352419654E-2</v>
      </c>
      <c r="L20" t="s">
        <v>361</v>
      </c>
      <c r="M20">
        <v>1479</v>
      </c>
      <c r="N20">
        <v>0.68634116729025785</v>
      </c>
      <c r="O20">
        <v>4.6405758437475175E-4</v>
      </c>
      <c r="Y20">
        <v>8.7632104671150374E-2</v>
      </c>
    </row>
    <row r="21" spans="2:25" ht="15" thickBot="1" x14ac:dyDescent="0.35">
      <c r="B21" s="196">
        <v>43951</v>
      </c>
      <c r="C21" s="193">
        <v>58.51</v>
      </c>
      <c r="D21" s="201">
        <f t="shared" si="0"/>
        <v>1.6681146828844497E-2</v>
      </c>
      <c r="F21" s="196">
        <v>43951</v>
      </c>
      <c r="G21" s="190">
        <v>9859.900390625</v>
      </c>
      <c r="H21" s="201">
        <f t="shared" si="1"/>
        <v>3.2088303452139151E-2</v>
      </c>
      <c r="L21" s="210" t="s">
        <v>362</v>
      </c>
      <c r="M21" s="210">
        <v>1480</v>
      </c>
      <c r="N21" s="210">
        <v>0.74807661603653475</v>
      </c>
      <c r="O21" s="210"/>
      <c r="P21" s="210"/>
      <c r="Q21" s="210"/>
      <c r="Y21">
        <v>1.0666520461859852</v>
      </c>
    </row>
    <row r="22" spans="2:25" ht="15" thickBot="1" x14ac:dyDescent="0.35">
      <c r="B22" s="197">
        <v>43955</v>
      </c>
      <c r="C22" s="192">
        <v>53.89</v>
      </c>
      <c r="D22" s="201">
        <f t="shared" si="0"/>
        <v>-7.8960861391215137E-2</v>
      </c>
      <c r="F22" s="197">
        <v>43955</v>
      </c>
      <c r="G22" s="191">
        <v>9293.5</v>
      </c>
      <c r="H22" s="200">
        <f t="shared" si="1"/>
        <v>-5.7444839013134998E-2</v>
      </c>
      <c r="Y22">
        <v>1481</v>
      </c>
    </row>
    <row r="23" spans="2:25" x14ac:dyDescent="0.3">
      <c r="B23" s="196">
        <v>43956</v>
      </c>
      <c r="C23" s="193">
        <v>54.21</v>
      </c>
      <c r="D23" s="201">
        <f t="shared" si="0"/>
        <v>5.9380218964557481E-3</v>
      </c>
      <c r="F23" s="196">
        <v>43956</v>
      </c>
      <c r="G23" s="190">
        <v>9205.599609375</v>
      </c>
      <c r="H23" s="201">
        <f t="shared" si="1"/>
        <v>-9.4582655216011186E-3</v>
      </c>
      <c r="L23" s="211"/>
      <c r="M23" s="211" t="s">
        <v>369</v>
      </c>
      <c r="N23" s="211" t="s">
        <v>352</v>
      </c>
      <c r="O23" s="211" t="s">
        <v>370</v>
      </c>
      <c r="P23" s="211" t="s">
        <v>371</v>
      </c>
      <c r="Q23" s="211" t="s">
        <v>372</v>
      </c>
      <c r="R23" s="211" t="s">
        <v>373</v>
      </c>
      <c r="S23" s="211" t="s">
        <v>374</v>
      </c>
      <c r="T23" s="211" t="s">
        <v>375</v>
      </c>
    </row>
    <row r="24" spans="2:25" x14ac:dyDescent="0.3">
      <c r="B24" s="197">
        <v>43957</v>
      </c>
      <c r="C24" s="192">
        <v>53.83</v>
      </c>
      <c r="D24" s="201">
        <f t="shared" si="0"/>
        <v>-7.009776793949503E-3</v>
      </c>
      <c r="F24" s="197">
        <v>43957</v>
      </c>
      <c r="G24" s="191">
        <v>9270.900390625</v>
      </c>
      <c r="H24" s="200">
        <f t="shared" si="1"/>
        <v>7.0935934671216378E-3</v>
      </c>
      <c r="L24" t="s">
        <v>363</v>
      </c>
      <c r="M24">
        <v>1.1952093231219648E-3</v>
      </c>
      <c r="N24">
        <v>5.6127984771149923E-4</v>
      </c>
      <c r="O24">
        <v>2.1294356602952695</v>
      </c>
      <c r="P24">
        <v>3.3382989786822498E-2</v>
      </c>
      <c r="Q24">
        <v>9.4220035799516023E-5</v>
      </c>
      <c r="R24">
        <v>2.2961986104444135E-3</v>
      </c>
      <c r="S24">
        <v>9.4220035799516023E-5</v>
      </c>
      <c r="T24">
        <v>2.2961986104444135E-3</v>
      </c>
    </row>
    <row r="25" spans="2:25" ht="15" thickBot="1" x14ac:dyDescent="0.35">
      <c r="B25" s="196">
        <v>43958</v>
      </c>
      <c r="C25" s="193">
        <v>52.43</v>
      </c>
      <c r="D25" s="201">
        <f t="shared" si="0"/>
        <v>-2.6007802340702185E-2</v>
      </c>
      <c r="F25" s="196">
        <v>43958</v>
      </c>
      <c r="G25" s="190">
        <v>9199.0498046875</v>
      </c>
      <c r="H25" s="201">
        <f t="shared" si="1"/>
        <v>-7.7501195040513404E-3</v>
      </c>
      <c r="L25" s="210" t="s">
        <v>376</v>
      </c>
      <c r="M25" s="210">
        <v>0.65919937999679934</v>
      </c>
      <c r="N25" s="210">
        <v>5.7152525100656208E-2</v>
      </c>
      <c r="O25" s="210">
        <v>11.534037714621126</v>
      </c>
      <c r="P25" s="210">
        <v>1.5618078553465266E-29</v>
      </c>
      <c r="Q25" s="210">
        <v>0.54709074446354344</v>
      </c>
      <c r="R25" s="210">
        <v>0.77130801553005524</v>
      </c>
      <c r="S25" s="210">
        <v>0.54709074446354344</v>
      </c>
      <c r="T25" s="210">
        <v>0.77130801553005524</v>
      </c>
    </row>
    <row r="26" spans="2:25" x14ac:dyDescent="0.3">
      <c r="B26" s="197">
        <v>43959</v>
      </c>
      <c r="C26" s="192">
        <v>54.22</v>
      </c>
      <c r="D26" s="201">
        <f t="shared" si="0"/>
        <v>3.4140759107381256E-2</v>
      </c>
      <c r="F26" s="441" t="s">
        <v>553</v>
      </c>
      <c r="G26" s="191">
        <v>9251.5</v>
      </c>
      <c r="H26" s="200">
        <f t="shared" si="1"/>
        <v>5.7016970693835461E-3</v>
      </c>
    </row>
    <row r="27" spans="2:25" x14ac:dyDescent="0.3">
      <c r="B27" s="196">
        <v>43962</v>
      </c>
      <c r="C27" s="193">
        <v>53.94</v>
      </c>
      <c r="D27" s="201">
        <f t="shared" si="0"/>
        <v>-5.1641460715603311E-3</v>
      </c>
      <c r="F27" s="196" t="s">
        <v>547</v>
      </c>
      <c r="G27" s="190">
        <v>9239.2001953125</v>
      </c>
      <c r="H27" s="201">
        <f t="shared" si="1"/>
        <v>-1.3294930214019349E-3</v>
      </c>
    </row>
    <row r="28" spans="2:25" x14ac:dyDescent="0.3">
      <c r="B28" s="197">
        <v>43963</v>
      </c>
      <c r="C28" s="192">
        <v>54.51</v>
      </c>
      <c r="D28" s="201">
        <f t="shared" si="0"/>
        <v>1.0567296996662964E-2</v>
      </c>
      <c r="F28" s="197" t="s">
        <v>548</v>
      </c>
      <c r="G28" s="191">
        <v>9196.5498046875</v>
      </c>
      <c r="H28" s="200">
        <f t="shared" si="1"/>
        <v>-4.6162427183511663E-3</v>
      </c>
    </row>
    <row r="29" spans="2:25" x14ac:dyDescent="0.3">
      <c r="B29" s="196">
        <v>43964</v>
      </c>
      <c r="C29" s="193">
        <v>57.68</v>
      </c>
      <c r="D29" s="201">
        <f t="shared" si="0"/>
        <v>5.8154467070262374E-2</v>
      </c>
      <c r="F29" s="196" t="s">
        <v>549</v>
      </c>
      <c r="G29" s="190">
        <v>9383.5498046875</v>
      </c>
      <c r="H29" s="201">
        <f t="shared" si="1"/>
        <v>2.0333712530397619E-2</v>
      </c>
    </row>
    <row r="30" spans="2:25" x14ac:dyDescent="0.3">
      <c r="B30" s="197">
        <v>43965</v>
      </c>
      <c r="C30" s="192">
        <v>56.23</v>
      </c>
      <c r="D30" s="201">
        <f t="shared" si="0"/>
        <v>-2.5138696255201157E-2</v>
      </c>
      <c r="F30" s="197" t="s">
        <v>550</v>
      </c>
      <c r="G30" s="191">
        <v>9142.75</v>
      </c>
      <c r="H30" s="200">
        <f t="shared" si="1"/>
        <v>-2.5661909373274686E-2</v>
      </c>
    </row>
    <row r="31" spans="2:25" x14ac:dyDescent="0.3">
      <c r="B31" s="196">
        <v>43966</v>
      </c>
      <c r="C31" s="193">
        <v>55.31</v>
      </c>
      <c r="D31" s="201">
        <f t="shared" si="0"/>
        <v>-1.6361372932598161E-2</v>
      </c>
      <c r="F31" s="196" t="s">
        <v>551</v>
      </c>
      <c r="G31" s="190">
        <v>9136.849609375</v>
      </c>
      <c r="H31" s="201">
        <f t="shared" si="1"/>
        <v>-6.453627874545405E-4</v>
      </c>
    </row>
    <row r="32" spans="2:25" x14ac:dyDescent="0.3">
      <c r="B32" s="197">
        <v>43969</v>
      </c>
      <c r="C32" s="192">
        <v>54.77</v>
      </c>
      <c r="D32" s="201">
        <f t="shared" si="0"/>
        <v>-9.7631531368649275E-3</v>
      </c>
      <c r="F32" s="197" t="s">
        <v>552</v>
      </c>
      <c r="G32" s="191">
        <v>8823.25</v>
      </c>
      <c r="H32" s="200">
        <f t="shared" si="1"/>
        <v>-3.4322509703259917E-2</v>
      </c>
    </row>
    <row r="33" spans="2:8" x14ac:dyDescent="0.3">
      <c r="B33" s="196">
        <v>43970</v>
      </c>
      <c r="C33" s="193">
        <v>53.83</v>
      </c>
      <c r="D33" s="201">
        <f t="shared" si="0"/>
        <v>-1.7162680299434085E-2</v>
      </c>
      <c r="F33" s="196">
        <v>43970</v>
      </c>
      <c r="G33" s="190">
        <v>8879.099609375</v>
      </c>
      <c r="H33" s="201">
        <f t="shared" si="1"/>
        <v>6.3298228402232735E-3</v>
      </c>
    </row>
    <row r="34" spans="2:8" x14ac:dyDescent="0.3">
      <c r="B34" s="197">
        <v>43971</v>
      </c>
      <c r="C34" s="192">
        <v>52.68</v>
      </c>
      <c r="D34" s="201">
        <f t="shared" si="0"/>
        <v>-2.1363551922719649E-2</v>
      </c>
      <c r="F34" s="197">
        <v>43971</v>
      </c>
      <c r="G34" s="191">
        <v>9066.5498046875</v>
      </c>
      <c r="H34" s="200">
        <f t="shared" si="1"/>
        <v>2.1111396826157987E-2</v>
      </c>
    </row>
    <row r="35" spans="2:8" x14ac:dyDescent="0.3">
      <c r="B35" s="196">
        <v>43972</v>
      </c>
      <c r="C35" s="193">
        <v>50.69</v>
      </c>
      <c r="D35" s="201">
        <f t="shared" si="0"/>
        <v>-3.777524677296891E-2</v>
      </c>
      <c r="F35" s="196">
        <v>43972</v>
      </c>
      <c r="G35" s="190">
        <v>9106.25</v>
      </c>
      <c r="H35" s="201">
        <f t="shared" si="1"/>
        <v>4.378754451001261E-3</v>
      </c>
    </row>
    <row r="36" spans="2:8" x14ac:dyDescent="0.3">
      <c r="B36" s="197">
        <v>43973</v>
      </c>
      <c r="C36" s="192">
        <v>50.92</v>
      </c>
      <c r="D36" s="201">
        <f t="shared" si="0"/>
        <v>4.5373840994279739E-3</v>
      </c>
      <c r="F36" s="197">
        <v>43973</v>
      </c>
      <c r="G36" s="191">
        <v>9039.25</v>
      </c>
      <c r="H36" s="200">
        <f t="shared" si="1"/>
        <v>-7.3575840768702813E-3</v>
      </c>
    </row>
    <row r="37" spans="2:8" x14ac:dyDescent="0.3">
      <c r="B37" s="196">
        <v>43977</v>
      </c>
      <c r="C37" s="193">
        <v>51.88</v>
      </c>
      <c r="D37" s="201">
        <f t="shared" si="0"/>
        <v>1.8853102906520047E-2</v>
      </c>
      <c r="F37" s="196">
        <v>43977</v>
      </c>
      <c r="G37" s="190">
        <v>9029.0498046875</v>
      </c>
      <c r="H37" s="201">
        <f t="shared" si="1"/>
        <v>-1.1284338094974694E-3</v>
      </c>
    </row>
    <row r="38" spans="2:8" x14ac:dyDescent="0.3">
      <c r="B38" s="197">
        <v>43978</v>
      </c>
      <c r="C38" s="192">
        <v>51.97</v>
      </c>
      <c r="D38" s="201">
        <f t="shared" si="0"/>
        <v>1.7347725520431053E-3</v>
      </c>
      <c r="F38" s="197">
        <v>43978</v>
      </c>
      <c r="G38" s="191">
        <v>9314.9501953125</v>
      </c>
      <c r="H38" s="200">
        <f t="shared" si="1"/>
        <v>3.1664504771761547E-2</v>
      </c>
    </row>
    <row r="39" spans="2:8" x14ac:dyDescent="0.3">
      <c r="B39" s="196">
        <v>43979</v>
      </c>
      <c r="C39" s="193">
        <v>53.49</v>
      </c>
      <c r="D39" s="201">
        <f t="shared" si="0"/>
        <v>2.924764287088711E-2</v>
      </c>
      <c r="F39" s="196">
        <v>43979</v>
      </c>
      <c r="G39" s="190">
        <v>9490.099609375</v>
      </c>
      <c r="H39" s="201">
        <f t="shared" si="1"/>
        <v>1.8803043536468854E-2</v>
      </c>
    </row>
    <row r="40" spans="2:8" x14ac:dyDescent="0.3">
      <c r="B40" s="197">
        <v>43980</v>
      </c>
      <c r="C40" s="192">
        <v>55.2</v>
      </c>
      <c r="D40" s="201">
        <f t="shared" si="0"/>
        <v>3.1968592260235573E-2</v>
      </c>
      <c r="F40" s="197">
        <v>43980</v>
      </c>
      <c r="G40" s="191">
        <v>9580.2998046875</v>
      </c>
      <c r="H40" s="200">
        <f t="shared" si="1"/>
        <v>9.5046626511057671E-3</v>
      </c>
    </row>
    <row r="41" spans="2:8" x14ac:dyDescent="0.3">
      <c r="B41" s="196">
        <v>43983</v>
      </c>
      <c r="C41" s="193">
        <v>54.46</v>
      </c>
      <c r="D41" s="201">
        <f t="shared" si="0"/>
        <v>-1.3405797101449311E-2</v>
      </c>
      <c r="F41" s="196">
        <v>43983</v>
      </c>
      <c r="G41" s="190">
        <v>9826.150390625</v>
      </c>
      <c r="H41" s="201">
        <f t="shared" si="1"/>
        <v>2.5662097319460599E-2</v>
      </c>
    </row>
    <row r="42" spans="2:8" x14ac:dyDescent="0.3">
      <c r="B42" s="197">
        <v>43984</v>
      </c>
      <c r="C42" s="192">
        <v>52.91</v>
      </c>
      <c r="D42" s="201">
        <f t="shared" si="0"/>
        <v>-2.8461255967682782E-2</v>
      </c>
      <c r="F42" s="197">
        <v>43984</v>
      </c>
      <c r="G42" s="191">
        <v>9979.099609375</v>
      </c>
      <c r="H42" s="200">
        <f t="shared" si="1"/>
        <v>1.556552797074293E-2</v>
      </c>
    </row>
    <row r="43" spans="2:8" x14ac:dyDescent="0.3">
      <c r="B43" s="196">
        <v>43985</v>
      </c>
      <c r="C43" s="193">
        <v>53.88</v>
      </c>
      <c r="D43" s="201">
        <f t="shared" si="0"/>
        <v>1.8333018333018446E-2</v>
      </c>
      <c r="F43" s="196">
        <v>43985</v>
      </c>
      <c r="G43" s="190">
        <v>10061.5498046875</v>
      </c>
      <c r="H43" s="201">
        <f t="shared" si="1"/>
        <v>8.262288035990847E-3</v>
      </c>
    </row>
    <row r="44" spans="2:8" x14ac:dyDescent="0.3">
      <c r="B44" s="197">
        <v>43986</v>
      </c>
      <c r="C44" s="192">
        <v>53.29</v>
      </c>
      <c r="D44" s="201">
        <f t="shared" si="0"/>
        <v>-1.0950259836674154E-2</v>
      </c>
      <c r="F44" s="197">
        <v>43986</v>
      </c>
      <c r="G44" s="191">
        <v>10029.099609375</v>
      </c>
      <c r="H44" s="200">
        <f t="shared" si="1"/>
        <v>-3.2251686810099594E-3</v>
      </c>
    </row>
    <row r="45" spans="2:8" x14ac:dyDescent="0.3">
      <c r="B45" s="196">
        <v>43987</v>
      </c>
      <c r="C45" s="193">
        <v>55.26</v>
      </c>
      <c r="D45" s="201">
        <f t="shared" si="0"/>
        <v>3.6967536123099998E-2</v>
      </c>
      <c r="F45" s="196">
        <v>43987</v>
      </c>
      <c r="G45" s="190">
        <v>10142.150390625</v>
      </c>
      <c r="H45" s="201">
        <f t="shared" si="1"/>
        <v>1.1272276241460641E-2</v>
      </c>
    </row>
    <row r="46" spans="2:8" x14ac:dyDescent="0.3">
      <c r="B46" s="197">
        <v>43990</v>
      </c>
      <c r="C46" s="192">
        <v>54.24</v>
      </c>
      <c r="D46" s="201">
        <f t="shared" si="0"/>
        <v>-1.8458197611292002E-2</v>
      </c>
      <c r="F46" s="197">
        <v>43990</v>
      </c>
      <c r="G46" s="191">
        <v>10167.4501953125</v>
      </c>
      <c r="H46" s="200">
        <f t="shared" si="1"/>
        <v>2.4945207587225419E-3</v>
      </c>
    </row>
    <row r="47" spans="2:8" x14ac:dyDescent="0.3">
      <c r="B47" s="196">
        <v>43991</v>
      </c>
      <c r="C47" s="193">
        <v>54.78</v>
      </c>
      <c r="D47" s="201">
        <f t="shared" si="0"/>
        <v>9.9557522123893648E-3</v>
      </c>
      <c r="F47" s="196">
        <v>43991</v>
      </c>
      <c r="G47" s="190">
        <v>10046.650390625</v>
      </c>
      <c r="H47" s="201">
        <f t="shared" si="1"/>
        <v>-1.1881032349997872E-2</v>
      </c>
    </row>
    <row r="48" spans="2:8" x14ac:dyDescent="0.3">
      <c r="B48" s="197">
        <v>43992</v>
      </c>
      <c r="C48" s="192">
        <v>54.26</v>
      </c>
      <c r="D48" s="201">
        <f t="shared" si="0"/>
        <v>-9.4925155166119598E-3</v>
      </c>
      <c r="F48" s="197">
        <v>43992</v>
      </c>
      <c r="G48" s="191">
        <v>10116.150390625</v>
      </c>
      <c r="H48" s="200">
        <f t="shared" si="1"/>
        <v>6.9177285262014996E-3</v>
      </c>
    </row>
    <row r="49" spans="2:8" x14ac:dyDescent="0.3">
      <c r="B49" s="196">
        <v>43993</v>
      </c>
      <c r="C49" s="193">
        <v>54.19</v>
      </c>
      <c r="D49" s="201">
        <f t="shared" si="0"/>
        <v>-1.2900847769996367E-3</v>
      </c>
      <c r="F49" s="196">
        <v>43993</v>
      </c>
      <c r="G49" s="190">
        <v>9902</v>
      </c>
      <c r="H49" s="201">
        <f t="shared" si="1"/>
        <v>-2.1169158460066079E-2</v>
      </c>
    </row>
    <row r="50" spans="2:8" x14ac:dyDescent="0.3">
      <c r="B50" s="197">
        <v>43994</v>
      </c>
      <c r="C50" s="192">
        <v>55.22</v>
      </c>
      <c r="D50" s="201">
        <f t="shared" si="0"/>
        <v>1.9007196899797033E-2</v>
      </c>
      <c r="F50" s="197">
        <v>43994</v>
      </c>
      <c r="G50" s="191">
        <v>9972.900390625</v>
      </c>
      <c r="H50" s="200">
        <f t="shared" si="1"/>
        <v>7.1602091117955969E-3</v>
      </c>
    </row>
    <row r="51" spans="2:8" x14ac:dyDescent="0.3">
      <c r="B51" s="196">
        <v>43997</v>
      </c>
      <c r="C51" s="193">
        <v>57.18</v>
      </c>
      <c r="D51" s="201">
        <f t="shared" si="0"/>
        <v>3.5494386091995671E-2</v>
      </c>
      <c r="F51" s="196">
        <v>43997</v>
      </c>
      <c r="G51" s="190">
        <v>9813.7001953125</v>
      </c>
      <c r="H51" s="201">
        <f t="shared" si="1"/>
        <v>-1.5963279394844428E-2</v>
      </c>
    </row>
    <row r="52" spans="2:8" x14ac:dyDescent="0.3">
      <c r="B52" s="197">
        <v>43998</v>
      </c>
      <c r="C52" s="192">
        <v>56.62</v>
      </c>
      <c r="D52" s="201">
        <f t="shared" si="0"/>
        <v>-9.7936341378104634E-3</v>
      </c>
      <c r="F52" s="197">
        <v>43998</v>
      </c>
      <c r="G52" s="191">
        <v>9914</v>
      </c>
      <c r="H52" s="200">
        <f t="shared" si="1"/>
        <v>1.0220386061458048E-2</v>
      </c>
    </row>
    <row r="53" spans="2:8" x14ac:dyDescent="0.3">
      <c r="B53" s="196">
        <v>43999</v>
      </c>
      <c r="C53" s="193">
        <v>57.83</v>
      </c>
      <c r="D53" s="201">
        <f t="shared" si="0"/>
        <v>2.1370540445072427E-2</v>
      </c>
      <c r="F53" s="196">
        <v>43999</v>
      </c>
      <c r="G53" s="190">
        <v>9881.150390625</v>
      </c>
      <c r="H53" s="201">
        <f t="shared" si="1"/>
        <v>-3.3134566648174301E-3</v>
      </c>
    </row>
    <row r="54" spans="2:8" x14ac:dyDescent="0.3">
      <c r="B54" s="197">
        <v>44000</v>
      </c>
      <c r="C54" s="192">
        <v>61.8</v>
      </c>
      <c r="D54" s="201">
        <f t="shared" si="0"/>
        <v>6.8649489884143156E-2</v>
      </c>
      <c r="F54" s="197">
        <v>44000</v>
      </c>
      <c r="G54" s="191">
        <v>10091.650390625</v>
      </c>
      <c r="H54" s="200">
        <f t="shared" si="1"/>
        <v>2.1303187551898549E-2</v>
      </c>
    </row>
    <row r="55" spans="2:8" x14ac:dyDescent="0.3">
      <c r="B55" s="196">
        <v>44001</v>
      </c>
      <c r="C55" s="193">
        <v>63.97</v>
      </c>
      <c r="D55" s="201">
        <f t="shared" si="0"/>
        <v>3.5113268608414266E-2</v>
      </c>
      <c r="F55" s="196">
        <v>44001</v>
      </c>
      <c r="G55" s="190">
        <v>10244.400390625</v>
      </c>
      <c r="H55" s="201">
        <f t="shared" si="1"/>
        <v>1.5136275444292302E-2</v>
      </c>
    </row>
    <row r="56" spans="2:8" x14ac:dyDescent="0.3">
      <c r="B56" s="197">
        <v>44004</v>
      </c>
      <c r="C56" s="192">
        <v>61.9</v>
      </c>
      <c r="D56" s="201">
        <f t="shared" si="0"/>
        <v>-3.2358918242926374E-2</v>
      </c>
      <c r="F56" s="197">
        <v>44004</v>
      </c>
      <c r="G56" s="191">
        <v>10311.2001953125</v>
      </c>
      <c r="H56" s="200">
        <f t="shared" si="1"/>
        <v>6.5206163504338216E-3</v>
      </c>
    </row>
    <row r="57" spans="2:8" x14ac:dyDescent="0.3">
      <c r="B57" s="196">
        <v>44005</v>
      </c>
      <c r="C57" s="193">
        <v>61.85</v>
      </c>
      <c r="D57" s="201">
        <f t="shared" si="0"/>
        <v>-8.0775444264938865E-4</v>
      </c>
      <c r="F57" s="196">
        <v>44005</v>
      </c>
      <c r="G57" s="190">
        <v>10471</v>
      </c>
      <c r="H57" s="201">
        <f t="shared" si="1"/>
        <v>1.5497691991291706E-2</v>
      </c>
    </row>
    <row r="58" spans="2:8" x14ac:dyDescent="0.3">
      <c r="B58" s="197">
        <v>44006</v>
      </c>
      <c r="C58" s="192">
        <v>60.16</v>
      </c>
      <c r="D58" s="201">
        <f t="shared" si="0"/>
        <v>-2.7324171382376795E-2</v>
      </c>
      <c r="F58" s="197">
        <v>44006</v>
      </c>
      <c r="G58" s="191">
        <v>10305.2998046875</v>
      </c>
      <c r="H58" s="200">
        <f t="shared" si="1"/>
        <v>-1.5824677233549803E-2</v>
      </c>
    </row>
    <row r="59" spans="2:8" x14ac:dyDescent="0.3">
      <c r="B59" s="196">
        <v>44007</v>
      </c>
      <c r="C59" s="193">
        <v>60.74</v>
      </c>
      <c r="D59" s="201">
        <f t="shared" si="0"/>
        <v>9.6409574468086009E-3</v>
      </c>
      <c r="F59" s="196">
        <v>44007</v>
      </c>
      <c r="G59" s="190">
        <v>10288.900390625</v>
      </c>
      <c r="H59" s="201">
        <f t="shared" si="1"/>
        <v>-1.5913572989929427E-3</v>
      </c>
    </row>
    <row r="60" spans="2:8" x14ac:dyDescent="0.3">
      <c r="B60" s="197">
        <v>44008</v>
      </c>
      <c r="C60" s="192">
        <v>59.58</v>
      </c>
      <c r="D60" s="201">
        <f t="shared" si="0"/>
        <v>-1.9097793875535129E-2</v>
      </c>
      <c r="F60" s="197">
        <v>44008</v>
      </c>
      <c r="G60" s="191">
        <v>10383</v>
      </c>
      <c r="H60" s="200">
        <f t="shared" si="1"/>
        <v>9.1457401473865295E-3</v>
      </c>
    </row>
    <row r="61" spans="2:8" x14ac:dyDescent="0.3">
      <c r="B61" s="196">
        <v>44011</v>
      </c>
      <c r="C61" s="193">
        <v>59.61</v>
      </c>
      <c r="D61" s="201">
        <f t="shared" si="0"/>
        <v>5.0352467270898182E-4</v>
      </c>
      <c r="F61" s="196">
        <v>44011</v>
      </c>
      <c r="G61" s="190">
        <v>10312.400390625</v>
      </c>
      <c r="H61" s="201">
        <f t="shared" si="1"/>
        <v>-6.7995386087835886E-3</v>
      </c>
    </row>
    <row r="62" spans="2:8" x14ac:dyDescent="0.3">
      <c r="B62" s="197">
        <v>44012</v>
      </c>
      <c r="C62" s="192">
        <v>59.51</v>
      </c>
      <c r="D62" s="201">
        <f t="shared" si="0"/>
        <v>-1.6775708773695927E-3</v>
      </c>
      <c r="F62" s="197">
        <v>44012</v>
      </c>
      <c r="G62" s="191">
        <v>10302.099609375</v>
      </c>
      <c r="H62" s="200">
        <f t="shared" si="1"/>
        <v>-9.9887328457149869E-4</v>
      </c>
    </row>
    <row r="63" spans="2:8" x14ac:dyDescent="0.3">
      <c r="B63" s="196">
        <v>44013</v>
      </c>
      <c r="C63" s="193">
        <v>60.36</v>
      </c>
      <c r="D63" s="201">
        <f t="shared" si="0"/>
        <v>1.4283313728785102E-2</v>
      </c>
      <c r="F63" s="196">
        <v>44013</v>
      </c>
      <c r="G63" s="190">
        <v>10430.0498046875</v>
      </c>
      <c r="H63" s="201">
        <f t="shared" si="1"/>
        <v>1.2419817334717306E-2</v>
      </c>
    </row>
    <row r="64" spans="2:8" x14ac:dyDescent="0.3">
      <c r="B64" s="197">
        <v>44014</v>
      </c>
      <c r="C64" s="192">
        <v>59.56</v>
      </c>
      <c r="D64" s="201">
        <f t="shared" si="0"/>
        <v>-1.3253810470510224E-2</v>
      </c>
      <c r="F64" s="197">
        <v>44014</v>
      </c>
      <c r="G64" s="191">
        <v>10551.7001953125</v>
      </c>
      <c r="H64" s="200">
        <f t="shared" si="1"/>
        <v>1.1663452514898594E-2</v>
      </c>
    </row>
    <row r="65" spans="2:8" x14ac:dyDescent="0.3">
      <c r="B65" s="196">
        <v>44015</v>
      </c>
      <c r="C65" s="193">
        <v>61.01</v>
      </c>
      <c r="D65" s="201">
        <f t="shared" si="0"/>
        <v>2.4345198119543245E-2</v>
      </c>
      <c r="F65" s="196">
        <v>44015</v>
      </c>
      <c r="G65" s="190">
        <v>10607.349609375</v>
      </c>
      <c r="H65" s="201">
        <f t="shared" si="1"/>
        <v>5.2739760448483703E-3</v>
      </c>
    </row>
    <row r="66" spans="2:8" x14ac:dyDescent="0.3">
      <c r="B66" s="197">
        <v>44018</v>
      </c>
      <c r="C66" s="192">
        <v>61.14</v>
      </c>
      <c r="D66" s="201">
        <f t="shared" si="0"/>
        <v>2.1307982297984356E-3</v>
      </c>
      <c r="F66" s="197">
        <v>44018</v>
      </c>
      <c r="G66" s="191">
        <v>10763.650390625</v>
      </c>
      <c r="H66" s="200">
        <f t="shared" si="1"/>
        <v>1.4735139974255027E-2</v>
      </c>
    </row>
    <row r="67" spans="2:8" x14ac:dyDescent="0.3">
      <c r="B67" s="196">
        <v>44019</v>
      </c>
      <c r="C67" s="193">
        <v>60.66</v>
      </c>
      <c r="D67" s="201">
        <f t="shared" si="0"/>
        <v>-7.8508341511286227E-3</v>
      </c>
      <c r="F67" s="196">
        <v>44019</v>
      </c>
      <c r="G67" s="190">
        <v>10799.650390625</v>
      </c>
      <c r="H67" s="201">
        <f t="shared" si="1"/>
        <v>3.3445902359812369E-3</v>
      </c>
    </row>
    <row r="68" spans="2:8" x14ac:dyDescent="0.3">
      <c r="B68" s="197">
        <v>44020</v>
      </c>
      <c r="C68" s="192">
        <v>59.42</v>
      </c>
      <c r="D68" s="201">
        <f t="shared" si="0"/>
        <v>-2.0441806791955078E-2</v>
      </c>
      <c r="F68" s="197">
        <v>44020</v>
      </c>
      <c r="G68" s="191">
        <v>10705.75</v>
      </c>
      <c r="H68" s="200">
        <f t="shared" si="1"/>
        <v>-8.6947620736420681E-3</v>
      </c>
    </row>
    <row r="69" spans="2:8" x14ac:dyDescent="0.3">
      <c r="B69" s="196">
        <v>44021</v>
      </c>
      <c r="C69" s="193">
        <v>60.18</v>
      </c>
      <c r="D69" s="201">
        <f t="shared" si="0"/>
        <v>1.279030629417701E-2</v>
      </c>
      <c r="F69" s="196">
        <v>44021</v>
      </c>
      <c r="G69" s="190">
        <v>10813.4501953125</v>
      </c>
      <c r="H69" s="201">
        <f t="shared" si="1"/>
        <v>1.0060032721901781E-2</v>
      </c>
    </row>
    <row r="70" spans="2:8" x14ac:dyDescent="0.3">
      <c r="B70" s="198">
        <v>44022</v>
      </c>
      <c r="C70" s="192">
        <v>59.45</v>
      </c>
      <c r="D70" s="201">
        <f t="shared" ref="D70:D133" si="2">(C70-C69)/C69</f>
        <v>-1.2130275839149168E-2</v>
      </c>
      <c r="F70" s="197">
        <v>44022</v>
      </c>
      <c r="G70" s="191">
        <v>10768.0498046875</v>
      </c>
      <c r="H70" s="200">
        <f t="shared" ref="H70:H133" si="3">(G70-G69)/G69</f>
        <v>-4.198511095439319E-3</v>
      </c>
    </row>
    <row r="71" spans="2:8" x14ac:dyDescent="0.3">
      <c r="B71" s="198">
        <v>44025</v>
      </c>
      <c r="C71" s="192">
        <v>59.48</v>
      </c>
      <c r="D71" s="201">
        <f t="shared" si="2"/>
        <v>5.0462573591243112E-4</v>
      </c>
      <c r="F71" s="196">
        <v>44025</v>
      </c>
      <c r="G71" s="190">
        <v>10802.7001953125</v>
      </c>
      <c r="H71" s="201">
        <f t="shared" si="3"/>
        <v>3.2178891492418752E-3</v>
      </c>
    </row>
    <row r="72" spans="2:8" x14ac:dyDescent="0.3">
      <c r="B72" s="198">
        <v>44026</v>
      </c>
      <c r="C72" s="192">
        <v>59.5</v>
      </c>
      <c r="D72" s="201">
        <f t="shared" si="2"/>
        <v>3.362474781439665E-4</v>
      </c>
      <c r="F72" s="197">
        <v>44026</v>
      </c>
      <c r="G72" s="191">
        <v>10607.349609375</v>
      </c>
      <c r="H72" s="200">
        <f t="shared" si="3"/>
        <v>-1.8083496015400519E-2</v>
      </c>
    </row>
    <row r="73" spans="2:8" x14ac:dyDescent="0.3">
      <c r="B73" s="198">
        <v>44027</v>
      </c>
      <c r="C73" s="192">
        <v>59.6</v>
      </c>
      <c r="D73" s="201">
        <f t="shared" si="2"/>
        <v>1.680672268907587E-3</v>
      </c>
      <c r="F73" s="196">
        <v>44027</v>
      </c>
      <c r="G73" s="190">
        <v>10618.2001953125</v>
      </c>
      <c r="H73" s="201">
        <f t="shared" si="3"/>
        <v>1.0229309240368605E-3</v>
      </c>
    </row>
    <row r="74" spans="2:8" x14ac:dyDescent="0.3">
      <c r="B74" s="198">
        <v>44028</v>
      </c>
      <c r="C74" s="192">
        <v>60.1</v>
      </c>
      <c r="D74" s="201">
        <f t="shared" si="2"/>
        <v>8.389261744966443E-3</v>
      </c>
      <c r="F74" s="197">
        <v>44028</v>
      </c>
      <c r="G74" s="191">
        <v>10739.9501953125</v>
      </c>
      <c r="H74" s="200">
        <f t="shared" si="3"/>
        <v>1.1466161662100478E-2</v>
      </c>
    </row>
    <row r="75" spans="2:8" x14ac:dyDescent="0.3">
      <c r="B75" s="198">
        <v>44029</v>
      </c>
      <c r="C75" s="192">
        <v>60.34</v>
      </c>
      <c r="D75" s="201">
        <f t="shared" si="2"/>
        <v>3.9933444259567718E-3</v>
      </c>
      <c r="F75" s="196">
        <v>44029</v>
      </c>
      <c r="G75" s="190">
        <v>10901.7001953125</v>
      </c>
      <c r="H75" s="201">
        <f t="shared" si="3"/>
        <v>1.5060591255869745E-2</v>
      </c>
    </row>
    <row r="76" spans="2:8" x14ac:dyDescent="0.3">
      <c r="B76" s="198">
        <v>44032</v>
      </c>
      <c r="C76" s="192">
        <v>61.82</v>
      </c>
      <c r="D76" s="201">
        <f t="shared" si="2"/>
        <v>2.4527676499834221E-2</v>
      </c>
      <c r="F76" s="197">
        <v>44032</v>
      </c>
      <c r="G76" s="191">
        <v>11022.2001953125</v>
      </c>
      <c r="H76" s="200">
        <f t="shared" si="3"/>
        <v>1.1053321760931606E-2</v>
      </c>
    </row>
    <row r="77" spans="2:8" x14ac:dyDescent="0.3">
      <c r="B77" s="198">
        <v>44033</v>
      </c>
      <c r="C77" s="192">
        <v>62.52</v>
      </c>
      <c r="D77" s="201">
        <f t="shared" si="2"/>
        <v>1.1323196376577206E-2</v>
      </c>
      <c r="F77" s="196">
        <v>44033</v>
      </c>
      <c r="G77" s="190">
        <v>11162.25</v>
      </c>
      <c r="H77" s="201">
        <f t="shared" si="3"/>
        <v>1.2706156865764434E-2</v>
      </c>
    </row>
    <row r="78" spans="2:8" x14ac:dyDescent="0.3">
      <c r="B78" s="198">
        <v>44034</v>
      </c>
      <c r="C78" s="192">
        <v>62.39</v>
      </c>
      <c r="D78" s="201">
        <f t="shared" si="2"/>
        <v>-2.0793346129239052E-3</v>
      </c>
      <c r="F78" s="197">
        <v>44034</v>
      </c>
      <c r="G78" s="191">
        <v>11132.599609375</v>
      </c>
      <c r="H78" s="200">
        <f t="shared" si="3"/>
        <v>-2.6563094918139263E-3</v>
      </c>
    </row>
    <row r="79" spans="2:8" x14ac:dyDescent="0.3">
      <c r="B79" s="198">
        <v>44035</v>
      </c>
      <c r="C79" s="192">
        <v>61.24</v>
      </c>
      <c r="D79" s="201">
        <f t="shared" si="2"/>
        <v>-1.8432441096329518E-2</v>
      </c>
      <c r="F79" s="196">
        <v>44035</v>
      </c>
      <c r="G79" s="190">
        <v>11215.4501953125</v>
      </c>
      <c r="H79" s="201">
        <f t="shared" si="3"/>
        <v>7.4421598588464239E-3</v>
      </c>
    </row>
    <row r="80" spans="2:8" x14ac:dyDescent="0.3">
      <c r="B80" s="198">
        <v>44036</v>
      </c>
      <c r="C80" s="192">
        <v>60.77</v>
      </c>
      <c r="D80" s="201">
        <f t="shared" si="2"/>
        <v>-7.6747224036577211E-3</v>
      </c>
      <c r="F80" s="197">
        <v>44036</v>
      </c>
      <c r="G80" s="191">
        <v>11194.150390625</v>
      </c>
      <c r="H80" s="200">
        <f t="shared" si="3"/>
        <v>-1.8991484351116158E-3</v>
      </c>
    </row>
    <row r="81" spans="2:8" x14ac:dyDescent="0.3">
      <c r="B81" s="198">
        <v>44039</v>
      </c>
      <c r="C81" s="192">
        <v>59.98</v>
      </c>
      <c r="D81" s="201">
        <f t="shared" si="2"/>
        <v>-1.2999835445121051E-2</v>
      </c>
      <c r="F81" s="196">
        <v>44039</v>
      </c>
      <c r="G81" s="190">
        <v>11131.7998046875</v>
      </c>
      <c r="H81" s="201">
        <f t="shared" si="3"/>
        <v>-5.5699256988469672E-3</v>
      </c>
    </row>
    <row r="82" spans="2:8" x14ac:dyDescent="0.3">
      <c r="B82" s="198">
        <v>44040</v>
      </c>
      <c r="C82" s="192">
        <v>61.32</v>
      </c>
      <c r="D82" s="201">
        <f t="shared" si="2"/>
        <v>2.2340780260086755E-2</v>
      </c>
      <c r="F82" s="197">
        <v>44040</v>
      </c>
      <c r="G82" s="191">
        <v>11300.5498046875</v>
      </c>
      <c r="H82" s="200">
        <f t="shared" si="3"/>
        <v>1.515927369884436E-2</v>
      </c>
    </row>
    <row r="83" spans="2:8" x14ac:dyDescent="0.3">
      <c r="B83" s="198">
        <v>44041</v>
      </c>
      <c r="C83" s="192">
        <v>60.89</v>
      </c>
      <c r="D83" s="201">
        <f t="shared" si="2"/>
        <v>-7.0123939986953638E-3</v>
      </c>
      <c r="F83" s="196">
        <v>44041</v>
      </c>
      <c r="G83" s="190">
        <v>11202.849609375</v>
      </c>
      <c r="H83" s="201">
        <f t="shared" si="3"/>
        <v>-8.6456143286031701E-3</v>
      </c>
    </row>
    <row r="84" spans="2:8" x14ac:dyDescent="0.3">
      <c r="B84" s="198">
        <v>44042</v>
      </c>
      <c r="C84" s="192">
        <v>59.67</v>
      </c>
      <c r="D84" s="201">
        <f t="shared" si="2"/>
        <v>-2.003613072754145E-2</v>
      </c>
      <c r="F84" s="197">
        <v>44042</v>
      </c>
      <c r="G84" s="191">
        <v>11102.150390625</v>
      </c>
      <c r="H84" s="200">
        <f t="shared" si="3"/>
        <v>-8.988714680747906E-3</v>
      </c>
    </row>
    <row r="85" spans="2:8" x14ac:dyDescent="0.3">
      <c r="B85" s="198">
        <v>44043</v>
      </c>
      <c r="C85" s="192">
        <v>61.88</v>
      </c>
      <c r="D85" s="201">
        <f t="shared" si="2"/>
        <v>3.7037037037037049E-2</v>
      </c>
      <c r="F85" s="196">
        <v>44043</v>
      </c>
      <c r="G85" s="190">
        <v>11073.4501953125</v>
      </c>
      <c r="H85" s="201">
        <f t="shared" si="3"/>
        <v>-2.5851023723057593E-3</v>
      </c>
    </row>
    <row r="86" spans="2:8" x14ac:dyDescent="0.3">
      <c r="B86" s="198">
        <v>44046</v>
      </c>
      <c r="C86" s="192">
        <v>59.76</v>
      </c>
      <c r="D86" s="201">
        <f t="shared" si="2"/>
        <v>-3.4259857789269627E-2</v>
      </c>
      <c r="F86" s="197">
        <v>44046</v>
      </c>
      <c r="G86" s="191">
        <v>10891.599609375</v>
      </c>
      <c r="H86" s="200">
        <f t="shared" si="3"/>
        <v>-1.6422215545294015E-2</v>
      </c>
    </row>
    <row r="87" spans="2:8" x14ac:dyDescent="0.3">
      <c r="B87" s="198">
        <v>44047</v>
      </c>
      <c r="C87" s="192">
        <v>62.58</v>
      </c>
      <c r="D87" s="201">
        <f t="shared" si="2"/>
        <v>4.7188755020080325E-2</v>
      </c>
      <c r="F87" s="196">
        <v>44047</v>
      </c>
      <c r="G87" s="190">
        <v>11095.25</v>
      </c>
      <c r="H87" s="201">
        <f t="shared" si="3"/>
        <v>1.8697932161379389E-2</v>
      </c>
    </row>
    <row r="88" spans="2:8" x14ac:dyDescent="0.3">
      <c r="B88" s="198">
        <v>44048</v>
      </c>
      <c r="C88" s="192">
        <v>65.31</v>
      </c>
      <c r="D88" s="201">
        <f t="shared" si="2"/>
        <v>4.3624161073825565E-2</v>
      </c>
      <c r="F88" s="197">
        <v>44048</v>
      </c>
      <c r="G88" s="191">
        <v>11101.650390625</v>
      </c>
      <c r="H88" s="200">
        <f t="shared" si="3"/>
        <v>5.7685862193280904E-4</v>
      </c>
    </row>
    <row r="89" spans="2:8" x14ac:dyDescent="0.3">
      <c r="B89" s="198">
        <v>44049</v>
      </c>
      <c r="C89" s="192">
        <v>68.89</v>
      </c>
      <c r="D89" s="201">
        <f t="shared" si="2"/>
        <v>5.4815495329964756E-2</v>
      </c>
      <c r="F89" s="196">
        <v>44049</v>
      </c>
      <c r="G89" s="190">
        <v>11200.150390625</v>
      </c>
      <c r="H89" s="201">
        <f t="shared" si="3"/>
        <v>8.872554668374371E-3</v>
      </c>
    </row>
    <row r="90" spans="2:8" x14ac:dyDescent="0.3">
      <c r="B90" s="198">
        <v>44050</v>
      </c>
      <c r="C90" s="192">
        <v>65.11</v>
      </c>
      <c r="D90" s="201">
        <f t="shared" si="2"/>
        <v>-5.4870082740600977E-2</v>
      </c>
      <c r="F90" s="197">
        <v>44050</v>
      </c>
      <c r="G90" s="191">
        <v>11214.0498046875</v>
      </c>
      <c r="H90" s="200">
        <f t="shared" si="3"/>
        <v>1.2410024488719721E-3</v>
      </c>
    </row>
    <row r="91" spans="2:8" x14ac:dyDescent="0.3">
      <c r="B91" s="198">
        <v>44053</v>
      </c>
      <c r="C91" s="192">
        <v>64.84</v>
      </c>
      <c r="D91" s="201">
        <f t="shared" si="2"/>
        <v>-4.1468284441713412E-3</v>
      </c>
      <c r="F91" s="196">
        <v>44053</v>
      </c>
      <c r="G91" s="190">
        <v>11270.150390625</v>
      </c>
      <c r="H91" s="201">
        <f t="shared" si="3"/>
        <v>5.0027052594371233E-3</v>
      </c>
    </row>
    <row r="92" spans="2:8" x14ac:dyDescent="0.3">
      <c r="B92" s="198">
        <v>44054</v>
      </c>
      <c r="C92" s="192">
        <v>64.7</v>
      </c>
      <c r="D92" s="201">
        <f t="shared" si="2"/>
        <v>-2.1591610117211685E-3</v>
      </c>
      <c r="F92" s="197">
        <v>44054</v>
      </c>
      <c r="G92" s="191">
        <v>11322.5</v>
      </c>
      <c r="H92" s="200">
        <f t="shared" si="3"/>
        <v>4.6449787767292505E-3</v>
      </c>
    </row>
    <row r="93" spans="2:8" x14ac:dyDescent="0.3">
      <c r="B93" s="198">
        <v>44055</v>
      </c>
      <c r="C93" s="192">
        <v>64.33</v>
      </c>
      <c r="D93" s="201">
        <f t="shared" si="2"/>
        <v>-5.7187017001546292E-3</v>
      </c>
      <c r="F93" s="196">
        <v>44055</v>
      </c>
      <c r="G93" s="190">
        <v>11308.400390625</v>
      </c>
      <c r="H93" s="201">
        <f t="shared" si="3"/>
        <v>-1.2452735151247515E-3</v>
      </c>
    </row>
    <row r="94" spans="2:8" x14ac:dyDescent="0.3">
      <c r="B94" s="198">
        <v>44056</v>
      </c>
      <c r="C94" s="192">
        <v>67.349999999999994</v>
      </c>
      <c r="D94" s="201">
        <f t="shared" si="2"/>
        <v>4.6945437587439701E-2</v>
      </c>
      <c r="F94" s="197">
        <v>44056</v>
      </c>
      <c r="G94" s="191">
        <v>11300.4501953125</v>
      </c>
      <c r="H94" s="200">
        <f t="shared" si="3"/>
        <v>-7.0303447330101151E-4</v>
      </c>
    </row>
    <row r="95" spans="2:8" x14ac:dyDescent="0.3">
      <c r="B95" s="198">
        <v>44057</v>
      </c>
      <c r="C95" s="192">
        <v>67.11</v>
      </c>
      <c r="D95" s="201">
        <f t="shared" si="2"/>
        <v>-3.5634743875277639E-3</v>
      </c>
      <c r="F95" s="196">
        <v>44057</v>
      </c>
      <c r="G95" s="190">
        <v>11178.400390625</v>
      </c>
      <c r="H95" s="201">
        <f t="shared" si="3"/>
        <v>-1.0800437378868946E-2</v>
      </c>
    </row>
    <row r="96" spans="2:8" x14ac:dyDescent="0.3">
      <c r="B96" s="198">
        <v>44060</v>
      </c>
      <c r="C96" s="192">
        <v>68.39</v>
      </c>
      <c r="D96" s="201">
        <f t="shared" si="2"/>
        <v>1.9073163462971259E-2</v>
      </c>
      <c r="F96" s="197">
        <v>44060</v>
      </c>
      <c r="G96" s="191">
        <v>11247.099609375</v>
      </c>
      <c r="H96" s="200">
        <f t="shared" si="3"/>
        <v>6.1457110453492112E-3</v>
      </c>
    </row>
    <row r="97" spans="2:8" x14ac:dyDescent="0.3">
      <c r="B97" s="198">
        <v>44061</v>
      </c>
      <c r="C97" s="192">
        <v>68.400000000000006</v>
      </c>
      <c r="D97" s="201">
        <f t="shared" si="2"/>
        <v>1.4622020763276964E-4</v>
      </c>
      <c r="F97" s="196">
        <v>44061</v>
      </c>
      <c r="G97" s="190">
        <v>11385.349609375</v>
      </c>
      <c r="H97" s="201">
        <f t="shared" si="3"/>
        <v>1.2292057935075276E-2</v>
      </c>
    </row>
    <row r="98" spans="2:8" x14ac:dyDescent="0.3">
      <c r="B98" s="198">
        <v>44062</v>
      </c>
      <c r="C98" s="192">
        <v>65.819999999999993</v>
      </c>
      <c r="D98" s="201">
        <f t="shared" si="2"/>
        <v>-3.7719298245614215E-2</v>
      </c>
      <c r="F98" s="197">
        <v>44062</v>
      </c>
      <c r="G98" s="191">
        <v>11408.400390625</v>
      </c>
      <c r="H98" s="200">
        <f t="shared" si="3"/>
        <v>2.0246002135076617E-3</v>
      </c>
    </row>
    <row r="99" spans="2:8" x14ac:dyDescent="0.3">
      <c r="B99" s="198">
        <v>44063</v>
      </c>
      <c r="C99" s="192">
        <v>65.62</v>
      </c>
      <c r="D99" s="201">
        <f t="shared" si="2"/>
        <v>-3.0385900941961204E-3</v>
      </c>
      <c r="F99" s="196">
        <v>44063</v>
      </c>
      <c r="G99" s="190">
        <v>11312.2001953125</v>
      </c>
      <c r="H99" s="201">
        <f t="shared" si="3"/>
        <v>-8.432399987605076E-3</v>
      </c>
    </row>
    <row r="100" spans="2:8" x14ac:dyDescent="0.3">
      <c r="B100" s="198">
        <v>44064</v>
      </c>
      <c r="C100" s="192">
        <v>65.760000000000005</v>
      </c>
      <c r="D100" s="201">
        <f t="shared" si="2"/>
        <v>2.1334958854008009E-3</v>
      </c>
      <c r="F100" s="197">
        <v>44064</v>
      </c>
      <c r="G100" s="191">
        <v>11371.599609375</v>
      </c>
      <c r="H100" s="200">
        <f t="shared" si="3"/>
        <v>5.2509160938571144E-3</v>
      </c>
    </row>
    <row r="101" spans="2:8" x14ac:dyDescent="0.3">
      <c r="B101" s="198">
        <v>44067</v>
      </c>
      <c r="C101" s="192">
        <v>67.37</v>
      </c>
      <c r="D101" s="201">
        <f t="shared" si="2"/>
        <v>2.4482968369829675E-2</v>
      </c>
      <c r="F101" s="196">
        <v>44067</v>
      </c>
      <c r="G101" s="190">
        <v>11466.4501953125</v>
      </c>
      <c r="H101" s="201">
        <f t="shared" si="3"/>
        <v>8.341006471886599E-3</v>
      </c>
    </row>
    <row r="102" spans="2:8" x14ac:dyDescent="0.3">
      <c r="B102" s="198">
        <v>44068</v>
      </c>
      <c r="C102" s="192">
        <v>66.84</v>
      </c>
      <c r="D102" s="201">
        <f t="shared" si="2"/>
        <v>-7.8670031171144596E-3</v>
      </c>
      <c r="F102" s="197">
        <v>44068</v>
      </c>
      <c r="G102" s="191">
        <v>11472.25</v>
      </c>
      <c r="H102" s="200">
        <f t="shared" si="3"/>
        <v>5.0580646919575584E-4</v>
      </c>
    </row>
    <row r="103" spans="2:8" x14ac:dyDescent="0.3">
      <c r="B103" s="198">
        <v>44069</v>
      </c>
      <c r="C103" s="192">
        <v>67.25</v>
      </c>
      <c r="D103" s="201">
        <f t="shared" si="2"/>
        <v>6.1340514661878598E-3</v>
      </c>
      <c r="F103" s="196">
        <v>44069</v>
      </c>
      <c r="G103" s="190">
        <v>11549.599609375</v>
      </c>
      <c r="H103" s="201">
        <f t="shared" si="3"/>
        <v>6.7423225064830354E-3</v>
      </c>
    </row>
    <row r="104" spans="2:8" x14ac:dyDescent="0.3">
      <c r="B104" s="198">
        <v>44070</v>
      </c>
      <c r="C104" s="192">
        <v>66.67</v>
      </c>
      <c r="D104" s="201">
        <f t="shared" si="2"/>
        <v>-8.6245353159851053E-3</v>
      </c>
      <c r="F104" s="197">
        <v>44070</v>
      </c>
      <c r="G104" s="191">
        <v>11559.25</v>
      </c>
      <c r="H104" s="200">
        <f t="shared" si="3"/>
        <v>8.3556062126747827E-4</v>
      </c>
    </row>
    <row r="105" spans="2:8" x14ac:dyDescent="0.3">
      <c r="B105" s="198">
        <v>44071</v>
      </c>
      <c r="C105" s="192">
        <v>66.13</v>
      </c>
      <c r="D105" s="201">
        <f t="shared" si="2"/>
        <v>-8.0995950202490813E-3</v>
      </c>
      <c r="F105" s="196">
        <v>44071</v>
      </c>
      <c r="G105" s="190">
        <v>11647.599609375</v>
      </c>
      <c r="H105" s="201">
        <f t="shared" si="3"/>
        <v>7.6431956549949179E-3</v>
      </c>
    </row>
    <row r="106" spans="2:8" x14ac:dyDescent="0.3">
      <c r="B106" s="198">
        <v>44074</v>
      </c>
      <c r="C106" s="192">
        <v>64.53</v>
      </c>
      <c r="D106" s="201">
        <f t="shared" si="2"/>
        <v>-2.4194767881445554E-2</v>
      </c>
      <c r="F106" s="197">
        <v>44074</v>
      </c>
      <c r="G106" s="191">
        <v>11387.5</v>
      </c>
      <c r="H106" s="200">
        <f t="shared" si="3"/>
        <v>-2.2330747801946185E-2</v>
      </c>
    </row>
    <row r="107" spans="2:8" x14ac:dyDescent="0.3">
      <c r="B107" s="198">
        <v>44075</v>
      </c>
      <c r="C107" s="192">
        <v>66.97</v>
      </c>
      <c r="D107" s="201">
        <f t="shared" si="2"/>
        <v>3.7811870447853675E-2</v>
      </c>
      <c r="F107" s="196">
        <v>44075</v>
      </c>
      <c r="G107" s="190">
        <v>11470.25</v>
      </c>
      <c r="H107" s="201">
        <f t="shared" si="3"/>
        <v>7.2667398463227223E-3</v>
      </c>
    </row>
    <row r="108" spans="2:8" x14ac:dyDescent="0.3">
      <c r="B108" s="198">
        <v>44076</v>
      </c>
      <c r="C108" s="192">
        <v>67.180000000000007</v>
      </c>
      <c r="D108" s="201">
        <f t="shared" si="2"/>
        <v>3.1357324175004921E-3</v>
      </c>
      <c r="F108" s="197">
        <v>44076</v>
      </c>
      <c r="G108" s="191">
        <v>11535</v>
      </c>
      <c r="H108" s="200">
        <f t="shared" si="3"/>
        <v>5.6450382511279177E-3</v>
      </c>
    </row>
    <row r="109" spans="2:8" x14ac:dyDescent="0.3">
      <c r="B109" s="198">
        <v>44077</v>
      </c>
      <c r="C109" s="192">
        <v>65.81</v>
      </c>
      <c r="D109" s="201">
        <f t="shared" si="2"/>
        <v>-2.039297409943442E-2</v>
      </c>
      <c r="F109" s="196">
        <v>44077</v>
      </c>
      <c r="G109" s="190">
        <v>11527.4501953125</v>
      </c>
      <c r="H109" s="201">
        <f t="shared" si="3"/>
        <v>-6.5451276007802341E-4</v>
      </c>
    </row>
    <row r="110" spans="2:8" x14ac:dyDescent="0.3">
      <c r="B110" s="198">
        <v>44078</v>
      </c>
      <c r="C110" s="192">
        <v>64.92</v>
      </c>
      <c r="D110" s="201">
        <f t="shared" si="2"/>
        <v>-1.3523780580458906E-2</v>
      </c>
      <c r="F110" s="197">
        <v>44078</v>
      </c>
      <c r="G110" s="191">
        <v>11333.849609375</v>
      </c>
      <c r="H110" s="200">
        <f t="shared" si="3"/>
        <v>-1.6794744948559863E-2</v>
      </c>
    </row>
    <row r="111" spans="2:8" x14ac:dyDescent="0.3">
      <c r="B111" s="198">
        <v>44081</v>
      </c>
      <c r="C111" s="192">
        <v>65.28</v>
      </c>
      <c r="D111" s="201">
        <f t="shared" si="2"/>
        <v>5.5452865064694922E-3</v>
      </c>
      <c r="F111" s="196">
        <v>44081</v>
      </c>
      <c r="G111" s="190">
        <v>11355.0498046875</v>
      </c>
      <c r="H111" s="201">
        <f t="shared" si="3"/>
        <v>1.870520259503344E-3</v>
      </c>
    </row>
    <row r="112" spans="2:8" x14ac:dyDescent="0.3">
      <c r="B112" s="198">
        <v>44082</v>
      </c>
      <c r="C112" s="192">
        <v>64.819999999999993</v>
      </c>
      <c r="D112" s="201">
        <f t="shared" si="2"/>
        <v>-7.0465686274511019E-3</v>
      </c>
      <c r="F112" s="197">
        <v>44082</v>
      </c>
      <c r="G112" s="191">
        <v>11317.349609375</v>
      </c>
      <c r="H112" s="200">
        <f t="shared" si="3"/>
        <v>-3.3201259317186711E-3</v>
      </c>
    </row>
    <row r="113" spans="2:8" x14ac:dyDescent="0.3">
      <c r="B113" s="198">
        <v>44083</v>
      </c>
      <c r="C113" s="192">
        <v>63.36</v>
      </c>
      <c r="D113" s="201">
        <f t="shared" si="2"/>
        <v>-2.2523912372724372E-2</v>
      </c>
      <c r="F113" s="196">
        <v>44083</v>
      </c>
      <c r="G113" s="190">
        <v>11278</v>
      </c>
      <c r="H113" s="201">
        <f t="shared" si="3"/>
        <v>-3.4769279675166877E-3</v>
      </c>
    </row>
    <row r="114" spans="2:8" x14ac:dyDescent="0.3">
      <c r="B114" s="198">
        <v>44084</v>
      </c>
      <c r="C114" s="192">
        <v>63.84</v>
      </c>
      <c r="D114" s="201">
        <f t="shared" si="2"/>
        <v>7.5757575757576384E-3</v>
      </c>
      <c r="F114" s="197">
        <v>44084</v>
      </c>
      <c r="G114" s="191">
        <v>11449.25</v>
      </c>
      <c r="H114" s="200">
        <f t="shared" si="3"/>
        <v>1.5184429863450966E-2</v>
      </c>
    </row>
    <row r="115" spans="2:8" x14ac:dyDescent="0.3">
      <c r="B115" s="198">
        <v>44085</v>
      </c>
      <c r="C115" s="192">
        <v>63.75</v>
      </c>
      <c r="D115" s="201">
        <f t="shared" si="2"/>
        <v>-1.4097744360902788E-3</v>
      </c>
      <c r="F115" s="196">
        <v>44085</v>
      </c>
      <c r="G115" s="190">
        <v>11464.4501953125</v>
      </c>
      <c r="H115" s="201">
        <f t="shared" si="3"/>
        <v>1.3276149365678974E-3</v>
      </c>
    </row>
    <row r="116" spans="2:8" x14ac:dyDescent="0.3">
      <c r="B116" s="198">
        <v>44088</v>
      </c>
      <c r="C116" s="192">
        <v>65.150000000000006</v>
      </c>
      <c r="D116" s="201">
        <f t="shared" si="2"/>
        <v>2.1960784313725581E-2</v>
      </c>
      <c r="F116" s="197">
        <v>44088</v>
      </c>
      <c r="G116" s="191">
        <v>11440.0498046875</v>
      </c>
      <c r="H116" s="200">
        <f t="shared" si="3"/>
        <v>-2.1283524468514552E-3</v>
      </c>
    </row>
    <row r="117" spans="2:8" x14ac:dyDescent="0.3">
      <c r="B117" s="198">
        <v>44089</v>
      </c>
      <c r="C117" s="192">
        <v>64.489999999999995</v>
      </c>
      <c r="D117" s="201">
        <f t="shared" si="2"/>
        <v>-1.0130468150422269E-2</v>
      </c>
      <c r="F117" s="196">
        <v>44089</v>
      </c>
      <c r="G117" s="190">
        <v>11521.7998046875</v>
      </c>
      <c r="H117" s="201">
        <f t="shared" si="3"/>
        <v>7.1459479106903336E-3</v>
      </c>
    </row>
    <row r="118" spans="2:8" x14ac:dyDescent="0.3">
      <c r="B118" s="198">
        <v>44090</v>
      </c>
      <c r="C118" s="192">
        <v>63.79</v>
      </c>
      <c r="D118" s="201">
        <f t="shared" si="2"/>
        <v>-1.0854396030392243E-2</v>
      </c>
      <c r="F118" s="197">
        <v>44090</v>
      </c>
      <c r="G118" s="191">
        <v>11604.5498046875</v>
      </c>
      <c r="H118" s="200">
        <f t="shared" si="3"/>
        <v>7.1820376506050903E-3</v>
      </c>
    </row>
    <row r="119" spans="2:8" x14ac:dyDescent="0.3">
      <c r="B119" s="198">
        <v>44091</v>
      </c>
      <c r="C119" s="192">
        <v>62.56</v>
      </c>
      <c r="D119" s="201">
        <f t="shared" si="2"/>
        <v>-1.9282019125254693E-2</v>
      </c>
      <c r="F119" s="196">
        <v>44091</v>
      </c>
      <c r="G119" s="190">
        <v>11516.099609375</v>
      </c>
      <c r="H119" s="201">
        <f t="shared" si="3"/>
        <v>-7.6220272911209138E-3</v>
      </c>
    </row>
    <row r="120" spans="2:8" x14ac:dyDescent="0.3">
      <c r="B120" s="198">
        <v>44092</v>
      </c>
      <c r="C120" s="192">
        <v>61.83</v>
      </c>
      <c r="D120" s="201">
        <f t="shared" si="2"/>
        <v>-1.1668797953964258E-2</v>
      </c>
      <c r="F120" s="197">
        <v>44092</v>
      </c>
      <c r="G120" s="191">
        <v>11504.9501953125</v>
      </c>
      <c r="H120" s="200">
        <f t="shared" si="3"/>
        <v>-9.6815887676271147E-4</v>
      </c>
    </row>
    <row r="121" spans="2:8" x14ac:dyDescent="0.3">
      <c r="B121" s="198">
        <v>44095</v>
      </c>
      <c r="C121" s="192">
        <v>60.53</v>
      </c>
      <c r="D121" s="201">
        <f t="shared" si="2"/>
        <v>-2.1025392204431462E-2</v>
      </c>
      <c r="F121" s="196">
        <v>44095</v>
      </c>
      <c r="G121" s="190">
        <v>11250.5498046875</v>
      </c>
      <c r="H121" s="201">
        <f t="shared" si="3"/>
        <v>-2.2112254838673809E-2</v>
      </c>
    </row>
    <row r="122" spans="2:8" x14ac:dyDescent="0.3">
      <c r="B122" s="198">
        <v>44096</v>
      </c>
      <c r="C122" s="192">
        <v>60.21</v>
      </c>
      <c r="D122" s="201">
        <f t="shared" si="2"/>
        <v>-5.2866347265818651E-3</v>
      </c>
      <c r="F122" s="197">
        <v>44096</v>
      </c>
      <c r="G122" s="191">
        <v>11153.650390625</v>
      </c>
      <c r="H122" s="200">
        <f t="shared" si="3"/>
        <v>-8.6128603263573144E-3</v>
      </c>
    </row>
    <row r="123" spans="2:8" x14ac:dyDescent="0.3">
      <c r="B123" s="198">
        <v>44097</v>
      </c>
      <c r="C123" s="192">
        <v>59.5</v>
      </c>
      <c r="D123" s="201">
        <f t="shared" si="2"/>
        <v>-1.1792061119415394E-2</v>
      </c>
      <c r="F123" s="196">
        <v>44097</v>
      </c>
      <c r="G123" s="190">
        <v>11131.849609375</v>
      </c>
      <c r="H123" s="201">
        <f t="shared" si="3"/>
        <v>-1.9545871070447262E-3</v>
      </c>
    </row>
    <row r="124" spans="2:8" x14ac:dyDescent="0.3">
      <c r="B124" s="198">
        <v>44098</v>
      </c>
      <c r="C124" s="192">
        <v>59.79</v>
      </c>
      <c r="D124" s="201">
        <f t="shared" si="2"/>
        <v>4.8739495798319184E-3</v>
      </c>
      <c r="F124" s="197">
        <v>44098</v>
      </c>
      <c r="G124" s="191">
        <v>10805.5498046875</v>
      </c>
      <c r="H124" s="200">
        <f t="shared" si="3"/>
        <v>-2.9312272096516417E-2</v>
      </c>
    </row>
    <row r="125" spans="2:8" x14ac:dyDescent="0.3">
      <c r="B125" s="198">
        <v>44099</v>
      </c>
      <c r="C125" s="192">
        <v>60.98</v>
      </c>
      <c r="D125" s="201">
        <f t="shared" si="2"/>
        <v>1.9902993811674156E-2</v>
      </c>
      <c r="F125" s="196">
        <v>44099</v>
      </c>
      <c r="G125" s="190">
        <v>11050.25</v>
      </c>
      <c r="H125" s="201">
        <f t="shared" si="3"/>
        <v>2.264578848235449E-2</v>
      </c>
    </row>
    <row r="126" spans="2:8" x14ac:dyDescent="0.3">
      <c r="B126" s="198">
        <v>44102</v>
      </c>
      <c r="C126" s="192">
        <v>62.33</v>
      </c>
      <c r="D126" s="201">
        <f t="shared" si="2"/>
        <v>2.213840603476552E-2</v>
      </c>
      <c r="F126" s="197">
        <v>44102</v>
      </c>
      <c r="G126" s="191">
        <v>11227.5498046875</v>
      </c>
      <c r="H126" s="200">
        <f t="shared" si="3"/>
        <v>1.6044868187371327E-2</v>
      </c>
    </row>
    <row r="127" spans="2:8" x14ac:dyDescent="0.3">
      <c r="B127" s="198">
        <v>44103</v>
      </c>
      <c r="C127" s="192">
        <v>62.92</v>
      </c>
      <c r="D127" s="201">
        <f t="shared" si="2"/>
        <v>9.4657468313814122E-3</v>
      </c>
      <c r="F127" s="196">
        <v>44103</v>
      </c>
      <c r="G127" s="190">
        <v>11222.400390625</v>
      </c>
      <c r="H127" s="201">
        <f t="shared" si="3"/>
        <v>-4.5864094589454597E-4</v>
      </c>
    </row>
    <row r="128" spans="2:8" x14ac:dyDescent="0.3">
      <c r="B128" s="198">
        <v>44104</v>
      </c>
      <c r="C128" s="192">
        <v>61.22</v>
      </c>
      <c r="D128" s="201">
        <f t="shared" si="2"/>
        <v>-2.7018436109345245E-2</v>
      </c>
      <c r="F128" s="197">
        <v>44104</v>
      </c>
      <c r="G128" s="191">
        <v>11247.5498046875</v>
      </c>
      <c r="H128" s="200">
        <f t="shared" si="3"/>
        <v>2.2410013176422921E-3</v>
      </c>
    </row>
    <row r="129" spans="2:8" x14ac:dyDescent="0.3">
      <c r="B129" s="198">
        <v>44105</v>
      </c>
      <c r="C129" s="192">
        <v>61.31</v>
      </c>
      <c r="D129" s="201">
        <f t="shared" si="2"/>
        <v>1.4701078079059689E-3</v>
      </c>
      <c r="F129" s="196">
        <v>44105</v>
      </c>
      <c r="G129" s="190">
        <v>11416.9501953125</v>
      </c>
      <c r="H129" s="201">
        <f t="shared" si="3"/>
        <v>1.5061092732783554E-2</v>
      </c>
    </row>
    <row r="130" spans="2:8" x14ac:dyDescent="0.3">
      <c r="B130" s="198">
        <v>44109</v>
      </c>
      <c r="C130" s="192">
        <v>60.89</v>
      </c>
      <c r="D130" s="201">
        <f t="shared" si="2"/>
        <v>-6.8504322296526129E-3</v>
      </c>
      <c r="F130" s="197">
        <v>44109</v>
      </c>
      <c r="G130" s="191">
        <v>11503.349609375</v>
      </c>
      <c r="H130" s="200">
        <f t="shared" si="3"/>
        <v>7.5676439490796176E-3</v>
      </c>
    </row>
    <row r="131" spans="2:8" x14ac:dyDescent="0.3">
      <c r="B131" s="198">
        <v>44110</v>
      </c>
      <c r="C131" s="192">
        <v>60.52</v>
      </c>
      <c r="D131" s="201">
        <f t="shared" si="2"/>
        <v>-6.0765314501559772E-3</v>
      </c>
      <c r="F131" s="196">
        <v>44110</v>
      </c>
      <c r="G131" s="190">
        <v>11662.400390625</v>
      </c>
      <c r="H131" s="201">
        <f t="shared" si="3"/>
        <v>1.3826475474619739E-2</v>
      </c>
    </row>
    <row r="132" spans="2:8" x14ac:dyDescent="0.3">
      <c r="B132" s="198">
        <v>44111</v>
      </c>
      <c r="C132" s="192">
        <v>59.93</v>
      </c>
      <c r="D132" s="201">
        <f t="shared" si="2"/>
        <v>-9.7488433575678018E-3</v>
      </c>
      <c r="F132" s="197">
        <v>44111</v>
      </c>
      <c r="G132" s="191">
        <v>11738.849609375</v>
      </c>
      <c r="H132" s="200">
        <f t="shared" si="3"/>
        <v>6.5551872847252682E-3</v>
      </c>
    </row>
    <row r="133" spans="2:8" x14ac:dyDescent="0.3">
      <c r="B133" s="198">
        <v>44112</v>
      </c>
      <c r="C133" s="192">
        <v>59.29</v>
      </c>
      <c r="D133" s="201">
        <f t="shared" si="2"/>
        <v>-1.0679125646587696E-2</v>
      </c>
      <c r="F133" s="196">
        <v>44112</v>
      </c>
      <c r="G133" s="190">
        <v>11834.599609375</v>
      </c>
      <c r="H133" s="201">
        <f t="shared" si="3"/>
        <v>8.1566766068398352E-3</v>
      </c>
    </row>
    <row r="134" spans="2:8" x14ac:dyDescent="0.3">
      <c r="B134" s="198">
        <v>44113</v>
      </c>
      <c r="C134" s="192">
        <v>57.76</v>
      </c>
      <c r="D134" s="201">
        <f t="shared" ref="D134:D159" si="4">(C134-C133)/C133</f>
        <v>-2.580536346770115E-2</v>
      </c>
      <c r="F134" s="197">
        <v>44113</v>
      </c>
      <c r="G134" s="191">
        <v>11914.2001953125</v>
      </c>
      <c r="H134" s="200">
        <f t="shared" ref="H134:H197" si="5">(G134-G133)/G133</f>
        <v>6.7260903253915667E-3</v>
      </c>
    </row>
    <row r="135" spans="2:8" x14ac:dyDescent="0.3">
      <c r="B135" s="198">
        <v>44116</v>
      </c>
      <c r="C135" s="192">
        <v>58.69</v>
      </c>
      <c r="D135" s="201">
        <f t="shared" si="4"/>
        <v>1.6101108033240993E-2</v>
      </c>
      <c r="F135" s="196">
        <v>44116</v>
      </c>
      <c r="G135" s="190">
        <v>11930.9501953125</v>
      </c>
      <c r="H135" s="201">
        <f t="shared" si="5"/>
        <v>1.4058853909967107E-3</v>
      </c>
    </row>
    <row r="136" spans="2:8" x14ac:dyDescent="0.3">
      <c r="B136" s="198">
        <v>44117</v>
      </c>
      <c r="C136" s="192">
        <v>60.69</v>
      </c>
      <c r="D136" s="201">
        <f t="shared" si="4"/>
        <v>3.4077355597205657E-2</v>
      </c>
      <c r="F136" s="197">
        <v>44117</v>
      </c>
      <c r="G136" s="191">
        <v>11934.5</v>
      </c>
      <c r="H136" s="200">
        <f t="shared" si="5"/>
        <v>2.9752908438882491E-4</v>
      </c>
    </row>
    <row r="137" spans="2:8" x14ac:dyDescent="0.3">
      <c r="B137" s="198">
        <v>44118</v>
      </c>
      <c r="C137" s="192">
        <v>58.83</v>
      </c>
      <c r="D137" s="201">
        <f t="shared" si="4"/>
        <v>-3.0647553138902613E-2</v>
      </c>
      <c r="F137" s="196">
        <v>44118</v>
      </c>
      <c r="G137" s="190">
        <v>11971.0498046875</v>
      </c>
      <c r="H137" s="201">
        <f t="shared" si="5"/>
        <v>3.0625333853533873E-3</v>
      </c>
    </row>
    <row r="138" spans="2:8" x14ac:dyDescent="0.3">
      <c r="B138" s="198">
        <v>44119</v>
      </c>
      <c r="C138" s="192">
        <v>58.68</v>
      </c>
      <c r="D138" s="201">
        <f t="shared" si="4"/>
        <v>-2.5497195308515821E-3</v>
      </c>
      <c r="F138" s="197">
        <v>44119</v>
      </c>
      <c r="G138" s="191">
        <v>11680.349609375</v>
      </c>
      <c r="H138" s="200">
        <f t="shared" si="5"/>
        <v>-2.4283600858353342E-2</v>
      </c>
    </row>
    <row r="139" spans="2:8" x14ac:dyDescent="0.3">
      <c r="B139" s="198">
        <v>44120</v>
      </c>
      <c r="C139" s="192">
        <v>59.86</v>
      </c>
      <c r="D139" s="201">
        <f t="shared" si="4"/>
        <v>2.0109066121336054E-2</v>
      </c>
      <c r="F139" s="196">
        <v>44120</v>
      </c>
      <c r="G139" s="190">
        <v>11762.4501953125</v>
      </c>
      <c r="H139" s="201">
        <f t="shared" si="5"/>
        <v>7.0289493622351512E-3</v>
      </c>
    </row>
    <row r="140" spans="2:8" x14ac:dyDescent="0.3">
      <c r="B140" s="198">
        <v>44123</v>
      </c>
      <c r="C140" s="192">
        <v>59.58</v>
      </c>
      <c r="D140" s="201">
        <f t="shared" si="4"/>
        <v>-4.6775810223855857E-3</v>
      </c>
      <c r="F140" s="197">
        <v>44123</v>
      </c>
      <c r="G140" s="191">
        <v>11873.0498046875</v>
      </c>
      <c r="H140" s="200">
        <f t="shared" si="5"/>
        <v>9.4027696218493221E-3</v>
      </c>
    </row>
    <row r="141" spans="2:8" x14ac:dyDescent="0.3">
      <c r="B141" s="198">
        <v>44124</v>
      </c>
      <c r="C141" s="192">
        <v>59.36</v>
      </c>
      <c r="D141" s="201">
        <f t="shared" si="4"/>
        <v>-3.6925142665323743E-3</v>
      </c>
      <c r="F141" s="196">
        <v>44124</v>
      </c>
      <c r="G141" s="190">
        <v>11896.7998046875</v>
      </c>
      <c r="H141" s="201">
        <f t="shared" si="5"/>
        <v>2.000328507897226E-3</v>
      </c>
    </row>
    <row r="142" spans="2:8" x14ac:dyDescent="0.3">
      <c r="B142" s="198">
        <v>44125</v>
      </c>
      <c r="C142" s="192">
        <v>58.83</v>
      </c>
      <c r="D142" s="201">
        <f t="shared" si="4"/>
        <v>-8.9285714285714472E-3</v>
      </c>
      <c r="F142" s="197">
        <v>44125</v>
      </c>
      <c r="G142" s="191">
        <v>11937.650390625</v>
      </c>
      <c r="H142" s="200">
        <f t="shared" si="5"/>
        <v>3.4337457642520234E-3</v>
      </c>
    </row>
    <row r="143" spans="2:8" x14ac:dyDescent="0.3">
      <c r="B143" s="198">
        <v>44126</v>
      </c>
      <c r="C143" s="192">
        <v>58.74</v>
      </c>
      <c r="D143" s="201">
        <f t="shared" si="4"/>
        <v>-1.5298317185109011E-3</v>
      </c>
      <c r="F143" s="196">
        <v>44126</v>
      </c>
      <c r="G143" s="190">
        <v>11896.4501953125</v>
      </c>
      <c r="H143" s="201">
        <f t="shared" si="5"/>
        <v>-3.4512817819539903E-3</v>
      </c>
    </row>
    <row r="144" spans="2:8" x14ac:dyDescent="0.3">
      <c r="B144" s="198">
        <v>44127</v>
      </c>
      <c r="C144" s="192">
        <v>58.74</v>
      </c>
      <c r="D144" s="201">
        <f t="shared" si="4"/>
        <v>0</v>
      </c>
      <c r="F144" s="197">
        <v>44127</v>
      </c>
      <c r="G144" s="191">
        <v>11930.349609375</v>
      </c>
      <c r="H144" s="200">
        <f t="shared" si="5"/>
        <v>2.8495402835256875E-3</v>
      </c>
    </row>
    <row r="145" spans="2:8" x14ac:dyDescent="0.3">
      <c r="B145" s="198">
        <v>44130</v>
      </c>
      <c r="C145" s="192">
        <v>58.93</v>
      </c>
      <c r="D145" s="201">
        <f t="shared" si="4"/>
        <v>3.2345931222335328E-3</v>
      </c>
      <c r="F145" s="196">
        <v>44130</v>
      </c>
      <c r="G145" s="190">
        <v>11767.75</v>
      </c>
      <c r="H145" s="201">
        <f t="shared" si="5"/>
        <v>-1.3629073304543183E-2</v>
      </c>
    </row>
    <row r="146" spans="2:8" x14ac:dyDescent="0.3">
      <c r="B146" s="198">
        <v>44131</v>
      </c>
      <c r="C146" s="192">
        <v>58.91</v>
      </c>
      <c r="D146" s="201">
        <f t="shared" si="4"/>
        <v>-3.3938571186158367E-4</v>
      </c>
      <c r="F146" s="197">
        <v>44131</v>
      </c>
      <c r="G146" s="191">
        <v>11889.400390625</v>
      </c>
      <c r="H146" s="200">
        <f t="shared" si="5"/>
        <v>1.0337608346965222E-2</v>
      </c>
    </row>
    <row r="147" spans="2:8" x14ac:dyDescent="0.3">
      <c r="B147" s="198">
        <v>44132</v>
      </c>
      <c r="C147" s="192">
        <v>58.25</v>
      </c>
      <c r="D147" s="201">
        <f t="shared" si="4"/>
        <v>-1.1203530809709669E-2</v>
      </c>
      <c r="F147" s="196">
        <v>44132</v>
      </c>
      <c r="G147" s="190">
        <v>11729.599609375</v>
      </c>
      <c r="H147" s="201">
        <f t="shared" si="5"/>
        <v>-1.3440608945763632E-2</v>
      </c>
    </row>
    <row r="148" spans="2:8" x14ac:dyDescent="0.3">
      <c r="B148" s="198">
        <v>44133</v>
      </c>
      <c r="C148" s="192">
        <v>57.33</v>
      </c>
      <c r="D148" s="201">
        <f t="shared" si="4"/>
        <v>-1.5793991416309043E-2</v>
      </c>
      <c r="F148" s="197">
        <v>44133</v>
      </c>
      <c r="G148" s="191">
        <v>11670.7998046875</v>
      </c>
      <c r="H148" s="200">
        <f t="shared" si="5"/>
        <v>-5.012942184360979E-3</v>
      </c>
    </row>
    <row r="149" spans="2:8" x14ac:dyDescent="0.3">
      <c r="B149" s="198">
        <v>44134</v>
      </c>
      <c r="C149" s="192">
        <v>57.42</v>
      </c>
      <c r="D149" s="201">
        <f t="shared" si="4"/>
        <v>1.5698587127159151E-3</v>
      </c>
      <c r="F149" s="196">
        <v>44134</v>
      </c>
      <c r="G149" s="190">
        <v>11642.400390625</v>
      </c>
      <c r="H149" s="201">
        <f t="shared" si="5"/>
        <v>-2.4333734223676395E-3</v>
      </c>
    </row>
    <row r="150" spans="2:8" x14ac:dyDescent="0.3">
      <c r="B150" s="198">
        <v>44137</v>
      </c>
      <c r="C150" s="192">
        <v>58.76</v>
      </c>
      <c r="D150" s="201">
        <f t="shared" si="4"/>
        <v>2.3336816440264651E-2</v>
      </c>
      <c r="F150" s="197">
        <v>44137</v>
      </c>
      <c r="G150" s="191">
        <v>11669.150390625</v>
      </c>
      <c r="H150" s="200">
        <f t="shared" si="5"/>
        <v>2.2976361491175257E-3</v>
      </c>
    </row>
    <row r="151" spans="2:8" x14ac:dyDescent="0.3">
      <c r="B151" s="198">
        <v>44138</v>
      </c>
      <c r="C151" s="192">
        <v>58.93</v>
      </c>
      <c r="D151" s="201">
        <f t="shared" si="4"/>
        <v>2.8931245745405327E-3</v>
      </c>
      <c r="F151" s="196">
        <v>44138</v>
      </c>
      <c r="G151" s="190">
        <v>11813.5</v>
      </c>
      <c r="H151" s="201">
        <f t="shared" si="5"/>
        <v>1.2370190163199074E-2</v>
      </c>
    </row>
    <row r="152" spans="2:8" x14ac:dyDescent="0.3">
      <c r="B152" s="198">
        <v>44139</v>
      </c>
      <c r="C152" s="192">
        <v>59</v>
      </c>
      <c r="D152" s="201">
        <f t="shared" si="4"/>
        <v>1.1878499915153619E-3</v>
      </c>
      <c r="F152" s="197">
        <v>44139</v>
      </c>
      <c r="G152" s="191">
        <v>11908.5</v>
      </c>
      <c r="H152" s="200">
        <f t="shared" si="5"/>
        <v>8.041647267956151E-3</v>
      </c>
    </row>
    <row r="153" spans="2:8" x14ac:dyDescent="0.3">
      <c r="B153" s="198">
        <v>44140</v>
      </c>
      <c r="C153" s="192">
        <v>61.23</v>
      </c>
      <c r="D153" s="201">
        <f t="shared" si="4"/>
        <v>3.7796610169491471E-2</v>
      </c>
      <c r="F153" s="196">
        <v>44140</v>
      </c>
      <c r="G153" s="190">
        <v>12120.2998046875</v>
      </c>
      <c r="H153" s="201">
        <f t="shared" si="5"/>
        <v>1.7785598915690475E-2</v>
      </c>
    </row>
    <row r="154" spans="2:8" x14ac:dyDescent="0.3">
      <c r="B154" s="198">
        <v>44141</v>
      </c>
      <c r="C154" s="192">
        <v>60.87</v>
      </c>
      <c r="D154" s="201">
        <f t="shared" si="4"/>
        <v>-5.8794708476237051E-3</v>
      </c>
      <c r="F154" s="197">
        <v>44141</v>
      </c>
      <c r="G154" s="191">
        <v>12263.5498046875</v>
      </c>
      <c r="H154" s="200">
        <f t="shared" si="5"/>
        <v>1.1819014571289595E-2</v>
      </c>
    </row>
    <row r="155" spans="2:8" x14ac:dyDescent="0.3">
      <c r="B155" s="198">
        <v>44144</v>
      </c>
      <c r="C155" s="192">
        <v>60.66</v>
      </c>
      <c r="D155" s="201">
        <f t="shared" si="4"/>
        <v>-3.4499753573188903E-3</v>
      </c>
      <c r="F155" s="196">
        <v>44144</v>
      </c>
      <c r="G155" s="190">
        <v>12461.0498046875</v>
      </c>
      <c r="H155" s="201">
        <f t="shared" si="5"/>
        <v>1.6104635537461554E-2</v>
      </c>
    </row>
    <row r="156" spans="2:8" x14ac:dyDescent="0.3">
      <c r="B156" s="198">
        <v>44145</v>
      </c>
      <c r="C156" s="192">
        <v>63.55</v>
      </c>
      <c r="D156" s="201">
        <f t="shared" si="4"/>
        <v>4.7642598087701958E-2</v>
      </c>
      <c r="F156" s="197">
        <v>44145</v>
      </c>
      <c r="G156" s="191">
        <v>12631.099609375</v>
      </c>
      <c r="H156" s="200">
        <f t="shared" si="5"/>
        <v>1.3646507104363872E-2</v>
      </c>
    </row>
    <row r="157" spans="2:8" x14ac:dyDescent="0.3">
      <c r="B157" s="198">
        <v>44146</v>
      </c>
      <c r="C157" s="192">
        <v>64.61</v>
      </c>
      <c r="D157" s="201">
        <f t="shared" si="4"/>
        <v>1.6679779701022853E-2</v>
      </c>
      <c r="F157" s="196">
        <v>44146</v>
      </c>
      <c r="G157" s="190">
        <v>12749.150390625</v>
      </c>
      <c r="H157" s="201">
        <f t="shared" si="5"/>
        <v>9.3460415087203378E-3</v>
      </c>
    </row>
    <row r="158" spans="2:8" x14ac:dyDescent="0.3">
      <c r="B158" s="198">
        <v>44147</v>
      </c>
      <c r="C158" s="192">
        <v>62.81</v>
      </c>
      <c r="D158" s="201">
        <f t="shared" si="4"/>
        <v>-2.7859464479182746E-2</v>
      </c>
      <c r="F158" s="197">
        <v>44147</v>
      </c>
      <c r="G158" s="191">
        <v>12690.7998046875</v>
      </c>
      <c r="H158" s="200">
        <f t="shared" si="5"/>
        <v>-4.5768215253314216E-3</v>
      </c>
    </row>
    <row r="159" spans="2:8" x14ac:dyDescent="0.3">
      <c r="B159" s="198">
        <v>44148</v>
      </c>
      <c r="C159" s="192">
        <v>65.09</v>
      </c>
      <c r="D159" s="201">
        <f t="shared" si="4"/>
        <v>3.6299952236904971E-2</v>
      </c>
      <c r="F159" s="196">
        <v>44148</v>
      </c>
      <c r="G159" s="190">
        <v>12719.9501953125</v>
      </c>
      <c r="H159" s="201">
        <f t="shared" si="5"/>
        <v>2.2969703307614193E-3</v>
      </c>
    </row>
    <row r="160" spans="2:8" x14ac:dyDescent="0.3">
      <c r="B160" s="198">
        <v>44152</v>
      </c>
      <c r="C160" s="192">
        <v>65.23</v>
      </c>
      <c r="D160" s="201">
        <f>(C160-C159)/C159</f>
        <v>2.1508680288830936E-3</v>
      </c>
      <c r="F160" s="197">
        <v>44152</v>
      </c>
      <c r="G160" s="191">
        <v>12874.2001953125</v>
      </c>
      <c r="H160" s="200">
        <f t="shared" si="5"/>
        <v>1.2126619808373427E-2</v>
      </c>
    </row>
    <row r="161" spans="2:8" x14ac:dyDescent="0.3">
      <c r="B161" s="198">
        <v>44153</v>
      </c>
      <c r="C161" s="192">
        <v>67.73</v>
      </c>
      <c r="D161" s="201">
        <f t="shared" ref="D161:D224" si="6">(C161-C160)/C160</f>
        <v>3.8325923654760077E-2</v>
      </c>
      <c r="F161" s="196">
        <v>44153</v>
      </c>
      <c r="G161" s="190">
        <v>12938.25</v>
      </c>
      <c r="H161" s="201">
        <f t="shared" si="5"/>
        <v>4.9750511655722541E-3</v>
      </c>
    </row>
    <row r="162" spans="2:8" x14ac:dyDescent="0.3">
      <c r="B162" s="198">
        <v>44154</v>
      </c>
      <c r="C162" s="192">
        <v>67.38</v>
      </c>
      <c r="D162" s="201">
        <f t="shared" si="6"/>
        <v>-5.1675771445446406E-3</v>
      </c>
      <c r="F162" s="197">
        <v>44154</v>
      </c>
      <c r="G162" s="191">
        <v>12771.7001953125</v>
      </c>
      <c r="H162" s="200">
        <f t="shared" si="5"/>
        <v>-1.2872668613413716E-2</v>
      </c>
    </row>
    <row r="163" spans="2:8" x14ac:dyDescent="0.3">
      <c r="B163" s="198">
        <v>44155</v>
      </c>
      <c r="C163" s="192">
        <v>67.489999999999995</v>
      </c>
      <c r="D163" s="201">
        <f t="shared" si="6"/>
        <v>1.6325319085782049E-3</v>
      </c>
      <c r="F163" s="196">
        <v>44155</v>
      </c>
      <c r="G163" s="190">
        <v>12859.0498046875</v>
      </c>
      <c r="H163" s="201">
        <f t="shared" si="5"/>
        <v>6.83930941371919E-3</v>
      </c>
    </row>
    <row r="164" spans="2:8" x14ac:dyDescent="0.3">
      <c r="B164" s="198">
        <v>44158</v>
      </c>
      <c r="C164" s="192">
        <v>66.3</v>
      </c>
      <c r="D164" s="201">
        <f t="shared" si="6"/>
        <v>-1.7632241813601984E-2</v>
      </c>
      <c r="F164" s="197">
        <v>44158</v>
      </c>
      <c r="G164" s="191">
        <v>12926.4501953125</v>
      </c>
      <c r="H164" s="200">
        <f t="shared" si="5"/>
        <v>5.241475198302023E-3</v>
      </c>
    </row>
    <row r="165" spans="2:8" x14ac:dyDescent="0.3">
      <c r="B165" s="198">
        <v>44159</v>
      </c>
      <c r="C165" s="192">
        <v>67.33</v>
      </c>
      <c r="D165" s="201">
        <f t="shared" si="6"/>
        <v>1.5535444947209671E-2</v>
      </c>
      <c r="F165" s="196">
        <v>44159</v>
      </c>
      <c r="G165" s="190">
        <v>13055.150390625</v>
      </c>
      <c r="H165" s="201">
        <f t="shared" si="5"/>
        <v>9.9563448098976444E-3</v>
      </c>
    </row>
    <row r="166" spans="2:8" x14ac:dyDescent="0.3">
      <c r="B166" s="198">
        <v>44160</v>
      </c>
      <c r="C166" s="192">
        <v>66.14</v>
      </c>
      <c r="D166" s="201">
        <f t="shared" si="6"/>
        <v>-1.7674142284271464E-2</v>
      </c>
      <c r="F166" s="197">
        <v>44160</v>
      </c>
      <c r="G166" s="191">
        <v>12858.400390625</v>
      </c>
      <c r="H166" s="200">
        <f t="shared" si="5"/>
        <v>-1.507068046809232E-2</v>
      </c>
    </row>
    <row r="167" spans="2:8" x14ac:dyDescent="0.3">
      <c r="B167" s="198">
        <v>44161</v>
      </c>
      <c r="C167" s="192">
        <v>68.17</v>
      </c>
      <c r="D167" s="201">
        <f t="shared" si="6"/>
        <v>3.0692470517084989E-2</v>
      </c>
      <c r="F167" s="196">
        <v>44161</v>
      </c>
      <c r="G167" s="190">
        <v>12987</v>
      </c>
      <c r="H167" s="201">
        <f t="shared" si="5"/>
        <v>1.0001213639976662E-2</v>
      </c>
    </row>
    <row r="168" spans="2:8" x14ac:dyDescent="0.3">
      <c r="B168" s="198">
        <v>44162</v>
      </c>
      <c r="C168" s="192">
        <v>76.400000000000006</v>
      </c>
      <c r="D168" s="201">
        <f t="shared" si="6"/>
        <v>0.12072759278274907</v>
      </c>
      <c r="F168" s="197">
        <v>44162</v>
      </c>
      <c r="G168" s="191">
        <v>12968.9501953125</v>
      </c>
      <c r="H168" s="200">
        <f t="shared" si="5"/>
        <v>-1.3898363507738507E-3</v>
      </c>
    </row>
    <row r="169" spans="2:8" x14ac:dyDescent="0.3">
      <c r="B169" s="198">
        <v>44166</v>
      </c>
      <c r="C169" s="192">
        <v>73.260000000000005</v>
      </c>
      <c r="D169" s="201">
        <f t="shared" si="6"/>
        <v>-4.1099476439790582E-2</v>
      </c>
      <c r="F169" s="196">
        <v>44166</v>
      </c>
      <c r="G169" s="190">
        <v>13109.0498046875</v>
      </c>
      <c r="H169" s="201">
        <f t="shared" si="5"/>
        <v>1.0802694687318455E-2</v>
      </c>
    </row>
    <row r="170" spans="2:8" x14ac:dyDescent="0.3">
      <c r="B170" s="198">
        <v>44167</v>
      </c>
      <c r="C170" s="192">
        <v>76.3</v>
      </c>
      <c r="D170" s="201">
        <f t="shared" si="6"/>
        <v>4.1496041496041386E-2</v>
      </c>
      <c r="F170" s="197">
        <v>44167</v>
      </c>
      <c r="G170" s="191">
        <v>13113.75</v>
      </c>
      <c r="H170" s="200">
        <f t="shared" si="5"/>
        <v>3.5854584295036521E-4</v>
      </c>
    </row>
    <row r="171" spans="2:8" x14ac:dyDescent="0.3">
      <c r="B171" s="198">
        <v>44168</v>
      </c>
      <c r="C171" s="192">
        <v>74.209999999999994</v>
      </c>
      <c r="D171" s="201">
        <f t="shared" si="6"/>
        <v>-2.7391874180865052E-2</v>
      </c>
      <c r="F171" s="196">
        <v>44168</v>
      </c>
      <c r="G171" s="190">
        <v>13133.900390625</v>
      </c>
      <c r="H171" s="201">
        <f t="shared" si="5"/>
        <v>1.5365849299399485E-3</v>
      </c>
    </row>
    <row r="172" spans="2:8" x14ac:dyDescent="0.3">
      <c r="B172" s="198">
        <v>44169</v>
      </c>
      <c r="C172" s="192">
        <v>73.239999999999995</v>
      </c>
      <c r="D172" s="201">
        <f t="shared" si="6"/>
        <v>-1.3071014688047418E-2</v>
      </c>
      <c r="F172" s="197">
        <v>44169</v>
      </c>
      <c r="G172" s="191">
        <v>13258.5498046875</v>
      </c>
      <c r="H172" s="200">
        <f t="shared" si="5"/>
        <v>9.4906623588736031E-3</v>
      </c>
    </row>
    <row r="173" spans="2:8" x14ac:dyDescent="0.3">
      <c r="B173" s="198">
        <v>44172</v>
      </c>
      <c r="C173" s="192">
        <v>75.41</v>
      </c>
      <c r="D173" s="201">
        <f t="shared" si="6"/>
        <v>2.9628618241398168E-2</v>
      </c>
      <c r="F173" s="196">
        <v>44172</v>
      </c>
      <c r="G173" s="190">
        <v>13355.75</v>
      </c>
      <c r="H173" s="201">
        <f t="shared" si="5"/>
        <v>7.3311332494399436E-3</v>
      </c>
    </row>
    <row r="174" spans="2:8" x14ac:dyDescent="0.3">
      <c r="B174" s="198">
        <v>44173</v>
      </c>
      <c r="C174" s="192">
        <v>77.62</v>
      </c>
      <c r="D174" s="201">
        <f t="shared" si="6"/>
        <v>2.9306458029439174E-2</v>
      </c>
      <c r="F174" s="197">
        <v>44173</v>
      </c>
      <c r="G174" s="191">
        <v>13392.9501953125</v>
      </c>
      <c r="H174" s="200">
        <f t="shared" si="5"/>
        <v>2.7853318093330587E-3</v>
      </c>
    </row>
    <row r="175" spans="2:8" x14ac:dyDescent="0.3">
      <c r="B175" s="198">
        <v>44174</v>
      </c>
      <c r="C175" s="192">
        <v>79.55</v>
      </c>
      <c r="D175" s="201">
        <f t="shared" si="6"/>
        <v>2.4864725586189029E-2</v>
      </c>
      <c r="F175" s="196">
        <v>44174</v>
      </c>
      <c r="G175" s="190">
        <v>13529.099609375</v>
      </c>
      <c r="H175" s="201">
        <f t="shared" si="5"/>
        <v>1.0165752285866931E-2</v>
      </c>
    </row>
    <row r="176" spans="2:8" x14ac:dyDescent="0.3">
      <c r="B176" s="198">
        <v>44175</v>
      </c>
      <c r="C176" s="192">
        <v>79.86</v>
      </c>
      <c r="D176" s="201">
        <f t="shared" si="6"/>
        <v>3.8969201759899721E-3</v>
      </c>
      <c r="F176" s="197">
        <v>44175</v>
      </c>
      <c r="G176" s="191">
        <v>13478.2998046875</v>
      </c>
      <c r="H176" s="200">
        <f t="shared" si="5"/>
        <v>-3.7548548058806688E-3</v>
      </c>
    </row>
    <row r="177" spans="2:8" x14ac:dyDescent="0.3">
      <c r="B177" s="198">
        <v>44176</v>
      </c>
      <c r="C177" s="192">
        <v>79.790000000000006</v>
      </c>
      <c r="D177" s="201">
        <f t="shared" si="6"/>
        <v>-8.7653393438508859E-4</v>
      </c>
      <c r="F177" s="196">
        <v>44176</v>
      </c>
      <c r="G177" s="190">
        <v>13513.849609375</v>
      </c>
      <c r="H177" s="201">
        <f t="shared" si="5"/>
        <v>2.6375585350265351E-3</v>
      </c>
    </row>
    <row r="178" spans="2:8" x14ac:dyDescent="0.3">
      <c r="B178" s="198">
        <v>44179</v>
      </c>
      <c r="C178" s="192">
        <v>79.069999999999993</v>
      </c>
      <c r="D178" s="201">
        <f t="shared" si="6"/>
        <v>-9.0236871788446291E-3</v>
      </c>
      <c r="F178" s="197">
        <v>44179</v>
      </c>
      <c r="G178" s="191">
        <v>13558.150390625</v>
      </c>
      <c r="H178" s="200">
        <f t="shared" si="5"/>
        <v>3.2781762806703943E-3</v>
      </c>
    </row>
    <row r="179" spans="2:8" x14ac:dyDescent="0.3">
      <c r="B179" s="198">
        <v>44180</v>
      </c>
      <c r="C179" s="192">
        <v>80.61</v>
      </c>
      <c r="D179" s="201">
        <f t="shared" si="6"/>
        <v>1.9476413304666831E-2</v>
      </c>
      <c r="F179" s="196">
        <v>44180</v>
      </c>
      <c r="G179" s="190">
        <v>13567.849609375</v>
      </c>
      <c r="H179" s="201">
        <f t="shared" si="5"/>
        <v>7.1537919779284052E-4</v>
      </c>
    </row>
    <row r="180" spans="2:8" x14ac:dyDescent="0.3">
      <c r="B180" s="198">
        <v>44181</v>
      </c>
      <c r="C180" s="192">
        <v>85.47</v>
      </c>
      <c r="D180" s="201">
        <f t="shared" si="6"/>
        <v>6.0290286564942307E-2</v>
      </c>
      <c r="F180" s="197">
        <v>44181</v>
      </c>
      <c r="G180" s="191">
        <v>13682.7001953125</v>
      </c>
      <c r="H180" s="200">
        <f t="shared" si="5"/>
        <v>8.4649070592691042E-3</v>
      </c>
    </row>
    <row r="181" spans="2:8" x14ac:dyDescent="0.3">
      <c r="B181" s="198">
        <v>44182</v>
      </c>
      <c r="C181" s="192">
        <v>86.03</v>
      </c>
      <c r="D181" s="201">
        <f t="shared" si="6"/>
        <v>6.5520065520065784E-3</v>
      </c>
      <c r="F181" s="196">
        <v>44182</v>
      </c>
      <c r="G181" s="190">
        <v>13740.7001953125</v>
      </c>
      <c r="H181" s="201">
        <f t="shared" si="5"/>
        <v>4.2389293905504104E-3</v>
      </c>
    </row>
    <row r="182" spans="2:8" x14ac:dyDescent="0.3">
      <c r="B182" s="198">
        <v>44183</v>
      </c>
      <c r="C182" s="192">
        <v>84.96</v>
      </c>
      <c r="D182" s="201">
        <f t="shared" si="6"/>
        <v>-1.2437521794722857E-2</v>
      </c>
      <c r="F182" s="197">
        <v>44183</v>
      </c>
      <c r="G182" s="191">
        <v>13760.5498046875</v>
      </c>
      <c r="H182" s="200">
        <f t="shared" si="5"/>
        <v>1.4445849987885983E-3</v>
      </c>
    </row>
    <row r="183" spans="2:8" x14ac:dyDescent="0.3">
      <c r="B183" s="198">
        <v>44186</v>
      </c>
      <c r="C183" s="192">
        <v>79.58</v>
      </c>
      <c r="D183" s="201">
        <f t="shared" si="6"/>
        <v>-6.3323917137476413E-2</v>
      </c>
      <c r="F183" s="196">
        <v>44186</v>
      </c>
      <c r="G183" s="190">
        <v>13328.400390625</v>
      </c>
      <c r="H183" s="201">
        <f t="shared" si="5"/>
        <v>-3.1404952577933277E-2</v>
      </c>
    </row>
    <row r="184" spans="2:8" x14ac:dyDescent="0.3">
      <c r="B184" s="198">
        <v>44187</v>
      </c>
      <c r="C184" s="192">
        <v>79.72</v>
      </c>
      <c r="D184" s="201">
        <f t="shared" si="6"/>
        <v>1.7592359889419525E-3</v>
      </c>
      <c r="F184" s="197">
        <v>44187</v>
      </c>
      <c r="G184" s="191">
        <v>13466.2998046875</v>
      </c>
      <c r="H184" s="200">
        <f t="shared" si="5"/>
        <v>1.034628387660806E-2</v>
      </c>
    </row>
    <row r="185" spans="2:8" x14ac:dyDescent="0.3">
      <c r="B185" s="198">
        <v>44188</v>
      </c>
      <c r="C185" s="192">
        <v>79.349999999999994</v>
      </c>
      <c r="D185" s="201">
        <f t="shared" si="6"/>
        <v>-4.6412443552434086E-3</v>
      </c>
      <c r="F185" s="196">
        <v>44188</v>
      </c>
      <c r="G185" s="190">
        <v>13601.099609375</v>
      </c>
      <c r="H185" s="201">
        <f t="shared" si="5"/>
        <v>1.0010159185716136E-2</v>
      </c>
    </row>
    <row r="186" spans="2:8" x14ac:dyDescent="0.3">
      <c r="B186" s="198">
        <v>44189</v>
      </c>
      <c r="C186" s="192">
        <v>80.48</v>
      </c>
      <c r="D186" s="201">
        <f t="shared" si="6"/>
        <v>1.4240705734089599E-2</v>
      </c>
      <c r="F186" s="197">
        <v>44189</v>
      </c>
      <c r="G186" s="191">
        <v>13749.25</v>
      </c>
      <c r="H186" s="200">
        <f t="shared" si="5"/>
        <v>1.0892530374741357E-2</v>
      </c>
    </row>
    <row r="187" spans="2:8" x14ac:dyDescent="0.3">
      <c r="B187" s="198">
        <v>44193</v>
      </c>
      <c r="C187" s="192">
        <v>78.64</v>
      </c>
      <c r="D187" s="201">
        <f t="shared" si="6"/>
        <v>-2.2862823061630261E-2</v>
      </c>
      <c r="F187" s="196">
        <v>44193</v>
      </c>
      <c r="G187" s="190">
        <v>13873.2001953125</v>
      </c>
      <c r="H187" s="201">
        <f t="shared" si="5"/>
        <v>9.0150513891666811E-3</v>
      </c>
    </row>
    <row r="188" spans="2:8" x14ac:dyDescent="0.3">
      <c r="B188" s="198">
        <v>44194</v>
      </c>
      <c r="C188" s="192">
        <v>79.099999999999994</v>
      </c>
      <c r="D188" s="201">
        <f t="shared" si="6"/>
        <v>5.8494404883010394E-3</v>
      </c>
      <c r="F188" s="197">
        <v>44194</v>
      </c>
      <c r="G188" s="191">
        <v>13932.599609375</v>
      </c>
      <c r="H188" s="200">
        <f t="shared" si="5"/>
        <v>4.281594241144878E-3</v>
      </c>
    </row>
    <row r="189" spans="2:8" x14ac:dyDescent="0.3">
      <c r="B189" s="198">
        <v>44195</v>
      </c>
      <c r="C189" s="192">
        <v>79.14</v>
      </c>
      <c r="D189" s="201">
        <f t="shared" si="6"/>
        <v>5.0568900126430163E-4</v>
      </c>
      <c r="F189" s="196">
        <v>44195</v>
      </c>
      <c r="G189" s="190">
        <v>13981.9501953125</v>
      </c>
      <c r="H189" s="201">
        <f t="shared" si="5"/>
        <v>3.542094606974341E-3</v>
      </c>
    </row>
    <row r="190" spans="2:8" x14ac:dyDescent="0.3">
      <c r="B190" s="198">
        <v>44196</v>
      </c>
      <c r="C190" s="192">
        <v>80.31</v>
      </c>
      <c r="D190" s="201">
        <f t="shared" si="6"/>
        <v>1.4783927217589104E-2</v>
      </c>
      <c r="F190" s="197">
        <v>44196</v>
      </c>
      <c r="G190" s="191">
        <v>13981.75</v>
      </c>
      <c r="H190" s="200">
        <f t="shared" si="5"/>
        <v>-1.4318125133010144E-5</v>
      </c>
    </row>
    <row r="191" spans="2:8" x14ac:dyDescent="0.3">
      <c r="B191" s="198">
        <v>44197</v>
      </c>
      <c r="C191" s="192">
        <v>79.599999999999994</v>
      </c>
      <c r="D191" s="201">
        <f t="shared" si="6"/>
        <v>-8.8407421242685594E-3</v>
      </c>
      <c r="F191" s="196">
        <v>44197</v>
      </c>
      <c r="G191" s="190">
        <v>14018.5</v>
      </c>
      <c r="H191" s="201">
        <f t="shared" si="5"/>
        <v>2.6284263414808589E-3</v>
      </c>
    </row>
    <row r="192" spans="2:8" x14ac:dyDescent="0.3">
      <c r="B192" s="198">
        <v>44200</v>
      </c>
      <c r="C192" s="192">
        <v>83.4</v>
      </c>
      <c r="D192" s="201">
        <f t="shared" si="6"/>
        <v>4.7738693467336828E-2</v>
      </c>
      <c r="F192" s="197">
        <v>44200</v>
      </c>
      <c r="G192" s="191">
        <v>14132.900390625</v>
      </c>
      <c r="H192" s="200">
        <f t="shared" si="5"/>
        <v>8.1606727271106034E-3</v>
      </c>
    </row>
    <row r="193" spans="2:8" x14ac:dyDescent="0.3">
      <c r="B193" s="198">
        <v>44201</v>
      </c>
      <c r="C193" s="192">
        <v>84.73</v>
      </c>
      <c r="D193" s="201">
        <f t="shared" si="6"/>
        <v>1.5947242206234991E-2</v>
      </c>
      <c r="F193" s="196">
        <v>44201</v>
      </c>
      <c r="G193" s="190">
        <v>14199.5</v>
      </c>
      <c r="H193" s="201">
        <f t="shared" si="5"/>
        <v>4.7123808655142414E-3</v>
      </c>
    </row>
    <row r="194" spans="2:8" x14ac:dyDescent="0.3">
      <c r="B194" s="198">
        <v>44202</v>
      </c>
      <c r="C194" s="192">
        <v>84.18</v>
      </c>
      <c r="D194" s="201">
        <f t="shared" si="6"/>
        <v>-6.491207364569776E-3</v>
      </c>
      <c r="F194" s="197">
        <v>44202</v>
      </c>
      <c r="G194" s="191">
        <v>14146.25</v>
      </c>
      <c r="H194" s="200">
        <f t="shared" si="5"/>
        <v>-3.7501320469030598E-3</v>
      </c>
    </row>
    <row r="195" spans="2:8" x14ac:dyDescent="0.3">
      <c r="B195" s="198">
        <v>44203</v>
      </c>
      <c r="C195" s="192">
        <v>86.4</v>
      </c>
      <c r="D195" s="201">
        <f t="shared" si="6"/>
        <v>2.6372059871703477E-2</v>
      </c>
      <c r="F195" s="196">
        <v>44203</v>
      </c>
      <c r="G195" s="190">
        <v>14137.349609375</v>
      </c>
      <c r="H195" s="201">
        <f t="shared" si="5"/>
        <v>-6.2916961208800914E-4</v>
      </c>
    </row>
    <row r="196" spans="2:8" x14ac:dyDescent="0.3">
      <c r="B196" s="198">
        <v>44204</v>
      </c>
      <c r="C196" s="192">
        <v>86.81</v>
      </c>
      <c r="D196" s="201">
        <f t="shared" si="6"/>
        <v>4.7453703703703304E-3</v>
      </c>
      <c r="F196" s="197">
        <v>44204</v>
      </c>
      <c r="G196" s="191">
        <v>14347.25</v>
      </c>
      <c r="H196" s="200">
        <f t="shared" si="5"/>
        <v>1.4847223590326102E-2</v>
      </c>
    </row>
    <row r="197" spans="2:8" x14ac:dyDescent="0.3">
      <c r="B197" s="198">
        <v>44207</v>
      </c>
      <c r="C197" s="192">
        <v>87.35</v>
      </c>
      <c r="D197" s="201">
        <f t="shared" si="6"/>
        <v>6.2204815113465275E-3</v>
      </c>
      <c r="F197" s="196">
        <v>44207</v>
      </c>
      <c r="G197" s="190">
        <v>14484.75</v>
      </c>
      <c r="H197" s="201">
        <f t="shared" si="5"/>
        <v>9.5837181341372046E-3</v>
      </c>
    </row>
    <row r="198" spans="2:8" x14ac:dyDescent="0.3">
      <c r="B198" s="198">
        <v>44208</v>
      </c>
      <c r="C198" s="192">
        <v>84.9</v>
      </c>
      <c r="D198" s="201">
        <f t="shared" si="6"/>
        <v>-2.8048082427017618E-2</v>
      </c>
      <c r="F198" s="197">
        <v>44208</v>
      </c>
      <c r="G198" s="191">
        <v>14563.4501953125</v>
      </c>
      <c r="H198" s="200">
        <f t="shared" ref="H198:H261" si="7">(G198-G197)/G197</f>
        <v>5.4333140242323824E-3</v>
      </c>
    </row>
    <row r="199" spans="2:8" x14ac:dyDescent="0.3">
      <c r="B199" s="198">
        <v>44209</v>
      </c>
      <c r="C199" s="192">
        <v>82.21</v>
      </c>
      <c r="D199" s="201">
        <f t="shared" si="6"/>
        <v>-3.1684334511189773E-2</v>
      </c>
      <c r="F199" s="196">
        <v>44209</v>
      </c>
      <c r="G199" s="190">
        <v>14564.849609375</v>
      </c>
      <c r="H199" s="201">
        <f t="shared" si="7"/>
        <v>9.6090833128981056E-5</v>
      </c>
    </row>
    <row r="200" spans="2:8" x14ac:dyDescent="0.3">
      <c r="B200" s="198">
        <v>44210</v>
      </c>
      <c r="C200" s="192">
        <v>79.87</v>
      </c>
      <c r="D200" s="201">
        <f t="shared" si="6"/>
        <v>-2.8463690548594933E-2</v>
      </c>
      <c r="F200" s="197">
        <v>44210</v>
      </c>
      <c r="G200" s="191">
        <v>14595.599609375</v>
      </c>
      <c r="H200" s="200">
        <f t="shared" si="7"/>
        <v>2.1112473403231747E-3</v>
      </c>
    </row>
    <row r="201" spans="2:8" x14ac:dyDescent="0.3">
      <c r="B201" s="198">
        <v>44211</v>
      </c>
      <c r="C201" s="192">
        <v>78.53</v>
      </c>
      <c r="D201" s="201">
        <f t="shared" si="6"/>
        <v>-1.677726305246029E-2</v>
      </c>
      <c r="F201" s="196">
        <v>44211</v>
      </c>
      <c r="G201" s="190">
        <v>14433.7001953125</v>
      </c>
      <c r="H201" s="201">
        <f t="shared" si="7"/>
        <v>-1.1092344158201577E-2</v>
      </c>
    </row>
    <row r="202" spans="2:8" x14ac:dyDescent="0.3">
      <c r="B202" s="198">
        <v>44214</v>
      </c>
      <c r="C202" s="192">
        <v>76.84</v>
      </c>
      <c r="D202" s="201">
        <f t="shared" si="6"/>
        <v>-2.152043804915316E-2</v>
      </c>
      <c r="F202" s="197">
        <v>44214</v>
      </c>
      <c r="G202" s="191">
        <v>14281.2998046875</v>
      </c>
      <c r="H202" s="200">
        <f t="shared" si="7"/>
        <v>-1.0558650142566607E-2</v>
      </c>
    </row>
    <row r="203" spans="2:8" x14ac:dyDescent="0.3">
      <c r="B203" s="198">
        <v>44215</v>
      </c>
      <c r="C203" s="192">
        <v>76.64</v>
      </c>
      <c r="D203" s="201">
        <f t="shared" si="6"/>
        <v>-2.6028110359188291E-3</v>
      </c>
      <c r="F203" s="196">
        <v>44215</v>
      </c>
      <c r="G203" s="190">
        <v>14521.150390625</v>
      </c>
      <c r="H203" s="201">
        <f t="shared" si="7"/>
        <v>1.6794730817062932E-2</v>
      </c>
    </row>
    <row r="204" spans="2:8" x14ac:dyDescent="0.3">
      <c r="B204" s="198">
        <v>44216</v>
      </c>
      <c r="C204" s="192">
        <v>80.39</v>
      </c>
      <c r="D204" s="201">
        <f t="shared" si="6"/>
        <v>4.8930062630480164E-2</v>
      </c>
      <c r="F204" s="197">
        <v>44216</v>
      </c>
      <c r="G204" s="191">
        <v>14644.7001953125</v>
      </c>
      <c r="H204" s="200">
        <f t="shared" si="7"/>
        <v>8.5082656238630369E-3</v>
      </c>
    </row>
    <row r="205" spans="2:8" x14ac:dyDescent="0.3">
      <c r="B205" s="198">
        <v>44217</v>
      </c>
      <c r="C205" s="192">
        <v>80.98</v>
      </c>
      <c r="D205" s="201">
        <f t="shared" si="6"/>
        <v>7.3392212961811594E-3</v>
      </c>
      <c r="F205" s="196">
        <v>44217</v>
      </c>
      <c r="G205" s="190">
        <v>14590.349609375</v>
      </c>
      <c r="H205" s="201">
        <f t="shared" si="7"/>
        <v>-3.7112802046228729E-3</v>
      </c>
    </row>
    <row r="206" spans="2:8" x14ac:dyDescent="0.3">
      <c r="B206" s="198">
        <v>44218</v>
      </c>
      <c r="C206" s="192">
        <v>79.260000000000005</v>
      </c>
      <c r="D206" s="201">
        <f t="shared" si="6"/>
        <v>-2.1239812299333152E-2</v>
      </c>
      <c r="F206" s="197">
        <v>44218</v>
      </c>
      <c r="G206" s="191">
        <v>14371.900390625</v>
      </c>
      <c r="H206" s="200">
        <f t="shared" si="7"/>
        <v>-1.4972171647596155E-2</v>
      </c>
    </row>
    <row r="207" spans="2:8" x14ac:dyDescent="0.3">
      <c r="B207" s="198">
        <v>44221</v>
      </c>
      <c r="C207" s="192">
        <v>78.27</v>
      </c>
      <c r="D207" s="201">
        <f t="shared" si="6"/>
        <v>-1.2490537471612528E-2</v>
      </c>
      <c r="F207" s="196">
        <v>44221</v>
      </c>
      <c r="G207" s="190">
        <v>14238.900390625</v>
      </c>
      <c r="H207" s="201">
        <f t="shared" si="7"/>
        <v>-9.2541693433081298E-3</v>
      </c>
    </row>
    <row r="208" spans="2:8" x14ac:dyDescent="0.3">
      <c r="B208" s="198">
        <v>44223</v>
      </c>
      <c r="C208" s="192">
        <v>78.959999999999994</v>
      </c>
      <c r="D208" s="201">
        <f t="shared" si="6"/>
        <v>8.8156381755461581E-3</v>
      </c>
      <c r="F208" s="197">
        <v>44223</v>
      </c>
      <c r="G208" s="191">
        <v>13967.5</v>
      </c>
      <c r="H208" s="200">
        <f t="shared" si="7"/>
        <v>-1.9060488041878015E-2</v>
      </c>
    </row>
    <row r="209" spans="2:8" x14ac:dyDescent="0.3">
      <c r="B209" s="198">
        <v>44224</v>
      </c>
      <c r="C209" s="192">
        <v>75.599999999999994</v>
      </c>
      <c r="D209" s="201">
        <f t="shared" si="6"/>
        <v>-4.2553191489361701E-2</v>
      </c>
      <c r="F209" s="196">
        <v>44224</v>
      </c>
      <c r="G209" s="190">
        <v>13817.5498046875</v>
      </c>
      <c r="H209" s="201">
        <f t="shared" si="7"/>
        <v>-1.0735650281904421E-2</v>
      </c>
    </row>
    <row r="210" spans="2:8" x14ac:dyDescent="0.3">
      <c r="B210" s="198">
        <v>44225</v>
      </c>
      <c r="C210" s="192">
        <v>78.78</v>
      </c>
      <c r="D210" s="201">
        <f t="shared" si="6"/>
        <v>4.2063492063492157E-2</v>
      </c>
      <c r="F210" s="197">
        <v>44225</v>
      </c>
      <c r="G210" s="191">
        <v>13634.599609375</v>
      </c>
      <c r="H210" s="200">
        <f t="shared" si="7"/>
        <v>-1.3240422354072899E-2</v>
      </c>
    </row>
    <row r="211" spans="2:8" x14ac:dyDescent="0.3">
      <c r="B211" s="198">
        <v>44228</v>
      </c>
      <c r="C211" s="192">
        <v>79.069999999999993</v>
      </c>
      <c r="D211" s="201">
        <f t="shared" si="6"/>
        <v>3.6811373445035799E-3</v>
      </c>
      <c r="F211" s="196">
        <v>44228</v>
      </c>
      <c r="G211" s="190">
        <v>14281.2001953125</v>
      </c>
      <c r="H211" s="201">
        <f t="shared" si="7"/>
        <v>4.7423511101338432E-2</v>
      </c>
    </row>
    <row r="212" spans="2:8" x14ac:dyDescent="0.3">
      <c r="B212" s="198">
        <v>44229</v>
      </c>
      <c r="C212" s="192">
        <v>76.290000000000006</v>
      </c>
      <c r="D212" s="201">
        <f t="shared" si="6"/>
        <v>-3.5158720121411247E-2</v>
      </c>
      <c r="F212" s="197">
        <v>44229</v>
      </c>
      <c r="G212" s="191">
        <v>14647.849609375</v>
      </c>
      <c r="H212" s="200">
        <f t="shared" si="7"/>
        <v>2.5673571481957438E-2</v>
      </c>
    </row>
    <row r="213" spans="2:8" x14ac:dyDescent="0.3">
      <c r="B213" s="198">
        <v>44230</v>
      </c>
      <c r="C213" s="192">
        <v>78.64</v>
      </c>
      <c r="D213" s="201">
        <f t="shared" si="6"/>
        <v>3.080351291125959E-2</v>
      </c>
      <c r="F213" s="196">
        <v>44230</v>
      </c>
      <c r="G213" s="190">
        <v>14789.9501953125</v>
      </c>
      <c r="H213" s="201">
        <f t="shared" si="7"/>
        <v>9.7011226717232252E-3</v>
      </c>
    </row>
    <row r="214" spans="2:8" x14ac:dyDescent="0.3">
      <c r="B214" s="198">
        <v>44231</v>
      </c>
      <c r="C214" s="192">
        <v>79.16</v>
      </c>
      <c r="D214" s="201">
        <f t="shared" si="6"/>
        <v>6.6124109867751277E-3</v>
      </c>
      <c r="F214" s="197">
        <v>44231</v>
      </c>
      <c r="G214" s="191">
        <v>14895.650390625</v>
      </c>
      <c r="H214" s="200">
        <f t="shared" si="7"/>
        <v>7.146758029381358E-3</v>
      </c>
    </row>
    <row r="215" spans="2:8" x14ac:dyDescent="0.3">
      <c r="B215" s="198">
        <v>44232</v>
      </c>
      <c r="C215" s="192">
        <v>79.02</v>
      </c>
      <c r="D215" s="201">
        <f t="shared" si="6"/>
        <v>-1.7685699848408361E-3</v>
      </c>
      <c r="F215" s="196">
        <v>44232</v>
      </c>
      <c r="G215" s="190">
        <v>14924.25</v>
      </c>
      <c r="H215" s="201">
        <f t="shared" si="7"/>
        <v>1.919997356610892E-3</v>
      </c>
    </row>
    <row r="216" spans="2:8" x14ac:dyDescent="0.3">
      <c r="B216" s="198">
        <v>44235</v>
      </c>
      <c r="C216" s="192">
        <v>77.790000000000006</v>
      </c>
      <c r="D216" s="201">
        <f t="shared" si="6"/>
        <v>-1.5565679574791063E-2</v>
      </c>
      <c r="F216" s="197">
        <v>44235</v>
      </c>
      <c r="G216" s="191">
        <v>15115.7998046875</v>
      </c>
      <c r="H216" s="200">
        <f t="shared" si="7"/>
        <v>1.2834802732968156E-2</v>
      </c>
    </row>
    <row r="217" spans="2:8" x14ac:dyDescent="0.3">
      <c r="B217" s="198">
        <v>44236</v>
      </c>
      <c r="C217" s="192">
        <v>78.59</v>
      </c>
      <c r="D217" s="201">
        <f t="shared" si="6"/>
        <v>1.0284098213137898E-2</v>
      </c>
      <c r="F217" s="196">
        <v>44236</v>
      </c>
      <c r="G217" s="190">
        <v>15109.2998046875</v>
      </c>
      <c r="H217" s="201">
        <f t="shared" si="7"/>
        <v>-4.3001363368045607E-4</v>
      </c>
    </row>
    <row r="218" spans="2:8" x14ac:dyDescent="0.3">
      <c r="B218" s="198">
        <v>44237</v>
      </c>
      <c r="C218" s="192">
        <v>78.11</v>
      </c>
      <c r="D218" s="201">
        <f t="shared" si="6"/>
        <v>-6.1076472833694355E-3</v>
      </c>
      <c r="F218" s="197">
        <v>44237</v>
      </c>
      <c r="G218" s="191">
        <v>15106.5</v>
      </c>
      <c r="H218" s="200">
        <f t="shared" si="7"/>
        <v>-1.8530340410820298E-4</v>
      </c>
    </row>
    <row r="219" spans="2:8" x14ac:dyDescent="0.3">
      <c r="B219" s="198">
        <v>44238</v>
      </c>
      <c r="C219" s="192">
        <v>79.3</v>
      </c>
      <c r="D219" s="201">
        <f t="shared" si="6"/>
        <v>1.523492510562025E-2</v>
      </c>
      <c r="F219" s="196">
        <v>44238</v>
      </c>
      <c r="G219" s="190">
        <v>15173.2998046875</v>
      </c>
      <c r="H219" s="201">
        <f t="shared" si="7"/>
        <v>4.4219246475027309E-3</v>
      </c>
    </row>
    <row r="220" spans="2:8" x14ac:dyDescent="0.3">
      <c r="B220" s="198">
        <v>44239</v>
      </c>
      <c r="C220" s="192">
        <v>80.02</v>
      </c>
      <c r="D220" s="201">
        <f t="shared" si="6"/>
        <v>9.0794451450189016E-3</v>
      </c>
      <c r="F220" s="197">
        <v>44239</v>
      </c>
      <c r="G220" s="191">
        <v>15163.2998046875</v>
      </c>
      <c r="H220" s="200">
        <f t="shared" si="7"/>
        <v>-6.590524229219205E-4</v>
      </c>
    </row>
    <row r="221" spans="2:8" x14ac:dyDescent="0.3">
      <c r="B221" s="198">
        <v>44242</v>
      </c>
      <c r="C221" s="192">
        <v>82.85</v>
      </c>
      <c r="D221" s="201">
        <f t="shared" si="6"/>
        <v>3.5366158460384885E-2</v>
      </c>
      <c r="F221" s="196">
        <v>44242</v>
      </c>
      <c r="G221" s="190">
        <v>15314.7001953125</v>
      </c>
      <c r="H221" s="201">
        <f t="shared" si="7"/>
        <v>9.984659841533761E-3</v>
      </c>
    </row>
    <row r="222" spans="2:8" x14ac:dyDescent="0.3">
      <c r="B222" s="198">
        <v>44243</v>
      </c>
      <c r="C222" s="192">
        <v>79.05</v>
      </c>
      <c r="D222" s="201">
        <f t="shared" si="6"/>
        <v>-4.5866022933011438E-2</v>
      </c>
      <c r="F222" s="197">
        <v>44243</v>
      </c>
      <c r="G222" s="191">
        <v>15313.4501953125</v>
      </c>
      <c r="H222" s="200">
        <f t="shared" si="7"/>
        <v>-8.1620925258634719E-5</v>
      </c>
    </row>
    <row r="223" spans="2:8" x14ac:dyDescent="0.3">
      <c r="B223" s="198">
        <v>44244</v>
      </c>
      <c r="C223" s="192">
        <v>82.88</v>
      </c>
      <c r="D223" s="201">
        <f t="shared" si="6"/>
        <v>4.8450347881087902E-2</v>
      </c>
      <c r="F223" s="196">
        <v>44244</v>
      </c>
      <c r="G223" s="190">
        <v>15208.900390625</v>
      </c>
      <c r="H223" s="201">
        <f t="shared" si="7"/>
        <v>-6.8273186874309392E-3</v>
      </c>
    </row>
    <row r="224" spans="2:8" x14ac:dyDescent="0.3">
      <c r="B224" s="198">
        <v>44245</v>
      </c>
      <c r="C224" s="192">
        <v>83.17</v>
      </c>
      <c r="D224" s="201">
        <f t="shared" si="6"/>
        <v>3.4990347490348249E-3</v>
      </c>
      <c r="F224" s="197">
        <v>44245</v>
      </c>
      <c r="G224" s="191">
        <v>15118.9501953125</v>
      </c>
      <c r="H224" s="200">
        <f t="shared" si="7"/>
        <v>-5.9143128695843573E-3</v>
      </c>
    </row>
    <row r="225" spans="2:8" x14ac:dyDescent="0.3">
      <c r="B225" s="198">
        <v>44246</v>
      </c>
      <c r="C225" s="192">
        <v>85.4</v>
      </c>
      <c r="D225" s="201">
        <f t="shared" ref="D225:D288" si="8">(C225-C224)/C224</f>
        <v>2.6812552603102127E-2</v>
      </c>
      <c r="F225" s="196">
        <v>44246</v>
      </c>
      <c r="G225" s="190">
        <v>14981.75</v>
      </c>
      <c r="H225" s="201">
        <f t="shared" si="7"/>
        <v>-9.0747170630297962E-3</v>
      </c>
    </row>
    <row r="226" spans="2:8" x14ac:dyDescent="0.3">
      <c r="B226" s="198">
        <v>44249</v>
      </c>
      <c r="C226" s="192">
        <v>89.87</v>
      </c>
      <c r="D226" s="201">
        <f t="shared" si="8"/>
        <v>5.2341920374707245E-2</v>
      </c>
      <c r="F226" s="197">
        <v>44249</v>
      </c>
      <c r="G226" s="191">
        <v>14675.7001953125</v>
      </c>
      <c r="H226" s="200">
        <f t="shared" si="7"/>
        <v>-2.0428174591586429E-2</v>
      </c>
    </row>
    <row r="227" spans="2:8" x14ac:dyDescent="0.3">
      <c r="B227" s="198">
        <v>44250</v>
      </c>
      <c r="C227" s="192">
        <v>90.52</v>
      </c>
      <c r="D227" s="201">
        <f t="shared" si="8"/>
        <v>7.2326694113718868E-3</v>
      </c>
      <c r="F227" s="196">
        <v>44250</v>
      </c>
      <c r="G227" s="190">
        <v>14707.7998046875</v>
      </c>
      <c r="H227" s="201">
        <f t="shared" si="7"/>
        <v>2.1872625461000351E-3</v>
      </c>
    </row>
    <row r="228" spans="2:8" x14ac:dyDescent="0.3">
      <c r="B228" s="198">
        <v>44251</v>
      </c>
      <c r="C228" s="192">
        <v>91.85</v>
      </c>
      <c r="D228" s="201">
        <f t="shared" si="8"/>
        <v>1.4692885550154643E-2</v>
      </c>
      <c r="F228" s="197">
        <v>44251</v>
      </c>
      <c r="G228" s="191">
        <v>14982</v>
      </c>
      <c r="H228" s="200">
        <f t="shared" si="7"/>
        <v>1.8643182457862263E-2</v>
      </c>
    </row>
    <row r="229" spans="2:8" x14ac:dyDescent="0.3">
      <c r="B229" s="198">
        <v>44252</v>
      </c>
      <c r="C229" s="192">
        <v>91.41</v>
      </c>
      <c r="D229" s="201">
        <f t="shared" si="8"/>
        <v>-4.7904191616766224E-3</v>
      </c>
      <c r="F229" s="196">
        <v>44252</v>
      </c>
      <c r="G229" s="190">
        <v>15097.349609375</v>
      </c>
      <c r="H229" s="201">
        <f t="shared" si="7"/>
        <v>7.6992130139500736E-3</v>
      </c>
    </row>
    <row r="230" spans="2:8" x14ac:dyDescent="0.3">
      <c r="B230" s="198">
        <v>44253</v>
      </c>
      <c r="C230" s="192">
        <v>91.44</v>
      </c>
      <c r="D230" s="201">
        <f t="shared" si="8"/>
        <v>3.2819166393174858E-4</v>
      </c>
      <c r="F230" s="197">
        <v>44253</v>
      </c>
      <c r="G230" s="191">
        <v>14529.150390625</v>
      </c>
      <c r="H230" s="200">
        <f t="shared" si="7"/>
        <v>-3.7635693247586012E-2</v>
      </c>
    </row>
    <row r="231" spans="2:8" x14ac:dyDescent="0.3">
      <c r="B231" s="198">
        <v>44256</v>
      </c>
      <c r="C231" s="192">
        <v>91.62</v>
      </c>
      <c r="D231" s="201">
        <f t="shared" si="8"/>
        <v>1.9685039370079486E-3</v>
      </c>
      <c r="F231" s="196">
        <v>44256</v>
      </c>
      <c r="G231" s="190">
        <v>14761.5498046875</v>
      </c>
      <c r="H231" s="201">
        <f t="shared" si="7"/>
        <v>1.5995389118723471E-2</v>
      </c>
    </row>
    <row r="232" spans="2:8" x14ac:dyDescent="0.3">
      <c r="B232" s="198">
        <v>44257</v>
      </c>
      <c r="C232" s="192">
        <v>92.49</v>
      </c>
      <c r="D232" s="201">
        <f t="shared" si="8"/>
        <v>9.4957432874917085E-3</v>
      </c>
      <c r="F232" s="197">
        <v>44257</v>
      </c>
      <c r="G232" s="191">
        <v>14919.099609375</v>
      </c>
      <c r="H232" s="200">
        <f t="shared" si="7"/>
        <v>1.0672985341787783E-2</v>
      </c>
    </row>
    <row r="233" spans="2:8" x14ac:dyDescent="0.3">
      <c r="B233" s="198">
        <v>44258</v>
      </c>
      <c r="C233" s="192">
        <v>91.91</v>
      </c>
      <c r="D233" s="201">
        <f t="shared" si="8"/>
        <v>-6.2709482106173458E-3</v>
      </c>
      <c r="F233" s="196">
        <v>44258</v>
      </c>
      <c r="G233" s="190">
        <v>15245.599609375</v>
      </c>
      <c r="H233" s="201">
        <f t="shared" si="7"/>
        <v>2.1884698711632098E-2</v>
      </c>
    </row>
    <row r="234" spans="2:8" x14ac:dyDescent="0.3">
      <c r="B234" s="198">
        <v>44259</v>
      </c>
      <c r="C234" s="192">
        <v>92.06</v>
      </c>
      <c r="D234" s="201">
        <f t="shared" si="8"/>
        <v>1.6320313350016939E-3</v>
      </c>
      <c r="F234" s="197">
        <v>44259</v>
      </c>
      <c r="G234" s="191">
        <v>15080.75</v>
      </c>
      <c r="H234" s="200">
        <f t="shared" si="7"/>
        <v>-1.0812930524138177E-2</v>
      </c>
    </row>
    <row r="235" spans="2:8" x14ac:dyDescent="0.3">
      <c r="B235" s="198">
        <v>44260</v>
      </c>
      <c r="C235" s="192">
        <v>91.49</v>
      </c>
      <c r="D235" s="201">
        <f t="shared" si="8"/>
        <v>-6.1916141646752923E-3</v>
      </c>
      <c r="F235" s="196">
        <v>44260</v>
      </c>
      <c r="G235" s="190">
        <v>14938.099609375</v>
      </c>
      <c r="H235" s="201">
        <f t="shared" si="7"/>
        <v>-9.4591045289524733E-3</v>
      </c>
    </row>
    <row r="236" spans="2:8" x14ac:dyDescent="0.3">
      <c r="B236" s="198">
        <v>44263</v>
      </c>
      <c r="C236" s="192">
        <v>87.58</v>
      </c>
      <c r="D236" s="201">
        <f t="shared" si="8"/>
        <v>-4.2736911137829237E-2</v>
      </c>
      <c r="F236" s="197">
        <v>44263</v>
      </c>
      <c r="G236" s="191">
        <v>14956.2001953125</v>
      </c>
      <c r="H236" s="200">
        <f t="shared" si="7"/>
        <v>1.2117060677611399E-3</v>
      </c>
    </row>
    <row r="237" spans="2:8" x14ac:dyDescent="0.3">
      <c r="B237" s="198">
        <v>44264</v>
      </c>
      <c r="C237" s="192">
        <v>87.08</v>
      </c>
      <c r="D237" s="201">
        <f t="shared" si="8"/>
        <v>-5.7090659968029233E-3</v>
      </c>
      <c r="F237" s="196">
        <v>44264</v>
      </c>
      <c r="G237" s="190">
        <v>15098.400390625</v>
      </c>
      <c r="H237" s="201">
        <f t="shared" si="7"/>
        <v>9.5077756017914027E-3</v>
      </c>
    </row>
    <row r="238" spans="2:8" x14ac:dyDescent="0.3">
      <c r="B238" s="198">
        <v>44265</v>
      </c>
      <c r="C238" s="192">
        <v>86.74</v>
      </c>
      <c r="D238" s="201">
        <f t="shared" si="8"/>
        <v>-3.9044556729444582E-3</v>
      </c>
      <c r="F238" s="197">
        <v>44265</v>
      </c>
      <c r="G238" s="191">
        <v>15174.7998046875</v>
      </c>
      <c r="H238" s="200">
        <f t="shared" si="7"/>
        <v>5.0600998838220262E-3</v>
      </c>
    </row>
    <row r="239" spans="2:8" x14ac:dyDescent="0.3">
      <c r="B239" s="198">
        <v>44267</v>
      </c>
      <c r="C239" s="192">
        <v>85.58</v>
      </c>
      <c r="D239" s="201">
        <f t="shared" si="8"/>
        <v>-1.3373299515794289E-2</v>
      </c>
      <c r="F239" s="196">
        <v>44267</v>
      </c>
      <c r="G239" s="190">
        <v>15030.9501953125</v>
      </c>
      <c r="H239" s="201">
        <f t="shared" si="7"/>
        <v>-9.4795062357636382E-3</v>
      </c>
    </row>
    <row r="240" spans="2:8" x14ac:dyDescent="0.3">
      <c r="B240" s="198">
        <v>44270</v>
      </c>
      <c r="C240" s="192">
        <v>84.43</v>
      </c>
      <c r="D240" s="201">
        <f t="shared" si="8"/>
        <v>-1.3437719093245986E-2</v>
      </c>
      <c r="F240" s="197">
        <v>44270</v>
      </c>
      <c r="G240" s="191">
        <v>14929.5</v>
      </c>
      <c r="H240" s="200">
        <f t="shared" si="7"/>
        <v>-6.7494199630930788E-3</v>
      </c>
    </row>
    <row r="241" spans="2:8" x14ac:dyDescent="0.3">
      <c r="B241" s="198">
        <v>44271</v>
      </c>
      <c r="C241" s="192">
        <v>87.31</v>
      </c>
      <c r="D241" s="201">
        <f t="shared" si="8"/>
        <v>3.4111097950965237E-2</v>
      </c>
      <c r="F241" s="196">
        <v>44271</v>
      </c>
      <c r="G241" s="190">
        <v>14910.4501953125</v>
      </c>
      <c r="H241" s="201">
        <f t="shared" si="7"/>
        <v>-1.2759841044576174E-3</v>
      </c>
    </row>
    <row r="242" spans="2:8" x14ac:dyDescent="0.3">
      <c r="B242" s="198">
        <v>44272</v>
      </c>
      <c r="C242" s="192">
        <v>88.25</v>
      </c>
      <c r="D242" s="201">
        <f t="shared" si="8"/>
        <v>1.0766235253693709E-2</v>
      </c>
      <c r="F242" s="197">
        <v>44272</v>
      </c>
      <c r="G242" s="191">
        <v>14721.2998046875</v>
      </c>
      <c r="H242" s="200">
        <f t="shared" si="7"/>
        <v>-1.2685759862868828E-2</v>
      </c>
    </row>
    <row r="243" spans="2:8" x14ac:dyDescent="0.3">
      <c r="B243" s="198">
        <v>44273</v>
      </c>
      <c r="C243" s="192">
        <v>85.52</v>
      </c>
      <c r="D243" s="201">
        <f t="shared" si="8"/>
        <v>-3.0934844192634606E-2</v>
      </c>
      <c r="F243" s="196">
        <v>44273</v>
      </c>
      <c r="G243" s="190">
        <v>14557.849609375</v>
      </c>
      <c r="H243" s="201">
        <f t="shared" si="7"/>
        <v>-1.1102973071742945E-2</v>
      </c>
    </row>
    <row r="244" spans="2:8" x14ac:dyDescent="0.3">
      <c r="B244" s="198">
        <v>44274</v>
      </c>
      <c r="C244" s="192">
        <v>85.57</v>
      </c>
      <c r="D244" s="201">
        <f t="shared" si="8"/>
        <v>5.8465855940127644E-4</v>
      </c>
      <c r="F244" s="197">
        <v>44274</v>
      </c>
      <c r="G244" s="191">
        <v>14744</v>
      </c>
      <c r="H244" s="200">
        <f t="shared" si="7"/>
        <v>1.2786942826028538E-2</v>
      </c>
    </row>
    <row r="245" spans="2:8" x14ac:dyDescent="0.3">
      <c r="B245" s="198">
        <v>44277</v>
      </c>
      <c r="C245" s="192">
        <v>87.67</v>
      </c>
      <c r="D245" s="201">
        <f t="shared" si="8"/>
        <v>2.4541311207198886E-2</v>
      </c>
      <c r="F245" s="196">
        <v>44277</v>
      </c>
      <c r="G245" s="190">
        <v>14736.400390625</v>
      </c>
      <c r="H245" s="201">
        <f t="shared" si="7"/>
        <v>-5.1543742369777532E-4</v>
      </c>
    </row>
    <row r="246" spans="2:8" x14ac:dyDescent="0.3">
      <c r="B246" s="198">
        <v>44278</v>
      </c>
      <c r="C246" s="192">
        <v>87.6</v>
      </c>
      <c r="D246" s="201">
        <f t="shared" si="8"/>
        <v>-7.9844872818532443E-4</v>
      </c>
      <c r="F246" s="197">
        <v>44278</v>
      </c>
      <c r="G246" s="191">
        <v>14814.75</v>
      </c>
      <c r="H246" s="200">
        <f t="shared" si="7"/>
        <v>5.3167399974314239E-3</v>
      </c>
    </row>
    <row r="247" spans="2:8" x14ac:dyDescent="0.3">
      <c r="B247" s="198">
        <v>44279</v>
      </c>
      <c r="C247" s="192">
        <v>86.93</v>
      </c>
      <c r="D247" s="201">
        <f t="shared" si="8"/>
        <v>-7.6484018264838761E-3</v>
      </c>
      <c r="F247" s="196">
        <v>44279</v>
      </c>
      <c r="G247" s="190">
        <v>14549.400390625</v>
      </c>
      <c r="H247" s="201">
        <f t="shared" si="7"/>
        <v>-1.7911176994211849E-2</v>
      </c>
    </row>
    <row r="248" spans="2:8" x14ac:dyDescent="0.3">
      <c r="B248" s="198">
        <v>44280</v>
      </c>
      <c r="C248" s="192">
        <v>87.56</v>
      </c>
      <c r="D248" s="201">
        <f t="shared" si="8"/>
        <v>7.2472103991716944E-3</v>
      </c>
      <c r="F248" s="197">
        <v>44280</v>
      </c>
      <c r="G248" s="191">
        <v>14324.900390625</v>
      </c>
      <c r="H248" s="200">
        <f t="shared" si="7"/>
        <v>-1.5430189146808966E-2</v>
      </c>
    </row>
    <row r="249" spans="2:8" x14ac:dyDescent="0.3">
      <c r="B249" s="198">
        <v>44281</v>
      </c>
      <c r="C249" s="192">
        <v>87.11</v>
      </c>
      <c r="D249" s="201">
        <f t="shared" si="8"/>
        <v>-5.139333028780297E-3</v>
      </c>
      <c r="F249" s="196">
        <v>44281</v>
      </c>
      <c r="G249" s="190">
        <v>14507.2998046875</v>
      </c>
      <c r="H249" s="201">
        <f t="shared" si="7"/>
        <v>1.2733031929623202E-2</v>
      </c>
    </row>
    <row r="250" spans="2:8" x14ac:dyDescent="0.3">
      <c r="B250" s="198">
        <v>44285</v>
      </c>
      <c r="C250" s="192">
        <v>89.05</v>
      </c>
      <c r="D250" s="201">
        <f t="shared" si="8"/>
        <v>2.2270692228217169E-2</v>
      </c>
      <c r="F250" s="197">
        <v>44285</v>
      </c>
      <c r="G250" s="191">
        <v>14845.099609375</v>
      </c>
      <c r="H250" s="200">
        <f t="shared" si="7"/>
        <v>2.3284815867550514E-2</v>
      </c>
    </row>
    <row r="251" spans="2:8" x14ac:dyDescent="0.3">
      <c r="B251" s="198">
        <v>44286</v>
      </c>
      <c r="C251" s="192">
        <v>87.93</v>
      </c>
      <c r="D251" s="201">
        <f t="shared" si="8"/>
        <v>-1.2577203818079622E-2</v>
      </c>
      <c r="F251" s="196">
        <v>44286</v>
      </c>
      <c r="G251" s="190">
        <v>14690.7001953125</v>
      </c>
      <c r="H251" s="201">
        <f t="shared" si="7"/>
        <v>-1.0400699094332345E-2</v>
      </c>
    </row>
    <row r="252" spans="2:8" x14ac:dyDescent="0.3">
      <c r="B252" s="198">
        <v>44287</v>
      </c>
      <c r="C252" s="192">
        <v>88.46</v>
      </c>
      <c r="D252" s="201">
        <f t="shared" si="8"/>
        <v>6.027521892414271E-3</v>
      </c>
      <c r="F252" s="197">
        <v>44287</v>
      </c>
      <c r="G252" s="191">
        <v>14867.349609375</v>
      </c>
      <c r="H252" s="200">
        <f t="shared" si="7"/>
        <v>1.2024574166918552E-2</v>
      </c>
    </row>
    <row r="253" spans="2:8" x14ac:dyDescent="0.3">
      <c r="B253" s="198">
        <v>44291</v>
      </c>
      <c r="C253" s="192">
        <v>85.52</v>
      </c>
      <c r="D253" s="201">
        <f t="shared" si="8"/>
        <v>-3.3235360614967194E-2</v>
      </c>
      <c r="F253" s="196">
        <v>44291</v>
      </c>
      <c r="G253" s="190">
        <v>14637.7998046875</v>
      </c>
      <c r="H253" s="201">
        <f t="shared" si="7"/>
        <v>-1.5439860548026079E-2</v>
      </c>
    </row>
    <row r="254" spans="2:8" x14ac:dyDescent="0.3">
      <c r="B254" s="198">
        <v>44292</v>
      </c>
      <c r="C254" s="192">
        <v>86.15</v>
      </c>
      <c r="D254" s="201">
        <f t="shared" si="8"/>
        <v>7.366697848456615E-3</v>
      </c>
      <c r="F254" s="197">
        <v>44292</v>
      </c>
      <c r="G254" s="191">
        <v>14683.5</v>
      </c>
      <c r="H254" s="200">
        <f t="shared" si="7"/>
        <v>3.1220672452334885E-3</v>
      </c>
    </row>
    <row r="255" spans="2:8" x14ac:dyDescent="0.3">
      <c r="B255" s="198">
        <v>44293</v>
      </c>
      <c r="C255" s="192">
        <v>88.19</v>
      </c>
      <c r="D255" s="201">
        <f t="shared" si="8"/>
        <v>2.3679628554846104E-2</v>
      </c>
      <c r="F255" s="196">
        <v>44293</v>
      </c>
      <c r="G255" s="190">
        <v>14819.0498046875</v>
      </c>
      <c r="H255" s="201">
        <f t="shared" si="7"/>
        <v>9.231436965811966E-3</v>
      </c>
    </row>
    <row r="256" spans="2:8" x14ac:dyDescent="0.3">
      <c r="B256" s="198">
        <v>44294</v>
      </c>
      <c r="C256" s="192">
        <v>87.78</v>
      </c>
      <c r="D256" s="201">
        <f t="shared" si="8"/>
        <v>-4.6490531806326861E-3</v>
      </c>
      <c r="F256" s="197">
        <v>44294</v>
      </c>
      <c r="G256" s="191">
        <v>14873.7998046875</v>
      </c>
      <c r="H256" s="200">
        <f t="shared" si="7"/>
        <v>3.6945688638337464E-3</v>
      </c>
    </row>
    <row r="257" spans="2:8" x14ac:dyDescent="0.3">
      <c r="B257" s="198">
        <v>44295</v>
      </c>
      <c r="C257" s="192">
        <v>86.77</v>
      </c>
      <c r="D257" s="201">
        <f t="shared" si="8"/>
        <v>-1.1506037821827353E-2</v>
      </c>
      <c r="F257" s="196">
        <v>44295</v>
      </c>
      <c r="G257" s="190">
        <v>14834.849609375</v>
      </c>
      <c r="H257" s="201">
        <f t="shared" si="7"/>
        <v>-2.6187118170183242E-3</v>
      </c>
    </row>
    <row r="258" spans="2:8" x14ac:dyDescent="0.3">
      <c r="B258" s="198">
        <v>44298</v>
      </c>
      <c r="C258" s="192">
        <v>86.7</v>
      </c>
      <c r="D258" s="201">
        <f t="shared" si="8"/>
        <v>-8.0673043678682933E-4</v>
      </c>
      <c r="F258" s="197">
        <v>44298</v>
      </c>
      <c r="G258" s="191">
        <v>14310.7998046875</v>
      </c>
      <c r="H258" s="200">
        <f t="shared" si="7"/>
        <v>-3.5325589304007678E-2</v>
      </c>
    </row>
    <row r="259" spans="2:8" x14ac:dyDescent="0.3">
      <c r="B259" s="198">
        <v>44299</v>
      </c>
      <c r="C259" s="192">
        <v>88.07</v>
      </c>
      <c r="D259" s="201">
        <f t="shared" si="8"/>
        <v>1.5801614763552369E-2</v>
      </c>
      <c r="F259" s="196">
        <v>44299</v>
      </c>
      <c r="G259" s="190">
        <v>14504.7998046875</v>
      </c>
      <c r="H259" s="201">
        <f t="shared" si="7"/>
        <v>1.3556195506030022E-2</v>
      </c>
    </row>
    <row r="260" spans="2:8" x14ac:dyDescent="0.3">
      <c r="B260" s="198">
        <v>44301</v>
      </c>
      <c r="C260" s="192">
        <v>87.46</v>
      </c>
      <c r="D260" s="201">
        <f t="shared" si="8"/>
        <v>-6.9263086181446517E-3</v>
      </c>
      <c r="F260" s="197">
        <v>44301</v>
      </c>
      <c r="G260" s="191">
        <v>14581.4501953125</v>
      </c>
      <c r="H260" s="200">
        <f t="shared" si="7"/>
        <v>5.2844845607747703E-3</v>
      </c>
    </row>
    <row r="261" spans="2:8" x14ac:dyDescent="0.3">
      <c r="B261" s="198">
        <v>44302</v>
      </c>
      <c r="C261" s="192">
        <v>86.74</v>
      </c>
      <c r="D261" s="201">
        <f t="shared" si="8"/>
        <v>-8.2323347816144407E-3</v>
      </c>
      <c r="F261" s="196">
        <v>44302</v>
      </c>
      <c r="G261" s="190">
        <v>14617.849609375</v>
      </c>
      <c r="H261" s="201">
        <f t="shared" si="7"/>
        <v>2.4962821650072447E-3</v>
      </c>
    </row>
    <row r="262" spans="2:8" x14ac:dyDescent="0.3">
      <c r="B262" s="198">
        <v>44305</v>
      </c>
      <c r="C262" s="192">
        <v>82.07</v>
      </c>
      <c r="D262" s="201">
        <f t="shared" si="8"/>
        <v>-5.3839059257551322E-2</v>
      </c>
      <c r="F262" s="197">
        <v>44305</v>
      </c>
      <c r="G262" s="191">
        <v>14359.4501953125</v>
      </c>
      <c r="H262" s="200">
        <f t="shared" ref="H262:H325" si="9">(G262-G261)/G261</f>
        <v>-1.7676978554819603E-2</v>
      </c>
    </row>
    <row r="263" spans="2:8" x14ac:dyDescent="0.3">
      <c r="B263" s="198">
        <v>44306</v>
      </c>
      <c r="C263" s="192">
        <v>81.209999999999994</v>
      </c>
      <c r="D263" s="201">
        <f t="shared" si="8"/>
        <v>-1.0478859510174236E-2</v>
      </c>
      <c r="F263" s="196">
        <v>44306</v>
      </c>
      <c r="G263" s="190">
        <v>14296.400390625</v>
      </c>
      <c r="H263" s="201">
        <f t="shared" si="9"/>
        <v>-4.390823034999069E-3</v>
      </c>
    </row>
    <row r="264" spans="2:8" x14ac:dyDescent="0.3">
      <c r="B264" s="198">
        <v>44308</v>
      </c>
      <c r="C264" s="192">
        <v>78.09</v>
      </c>
      <c r="D264" s="201">
        <f t="shared" si="8"/>
        <v>-3.8418913926856181E-2</v>
      </c>
      <c r="F264" s="197">
        <v>44308</v>
      </c>
      <c r="G264" s="191">
        <v>14406.150390625</v>
      </c>
      <c r="H264" s="200">
        <f t="shared" si="9"/>
        <v>7.6767575754222439E-3</v>
      </c>
    </row>
    <row r="265" spans="2:8" x14ac:dyDescent="0.3">
      <c r="B265" s="198">
        <v>44309</v>
      </c>
      <c r="C265" s="192">
        <v>77.14</v>
      </c>
      <c r="D265" s="201">
        <f t="shared" si="8"/>
        <v>-1.2165450121654537E-2</v>
      </c>
      <c r="F265" s="196">
        <v>44309</v>
      </c>
      <c r="G265" s="190">
        <v>14341.349609375</v>
      </c>
      <c r="H265" s="201">
        <f t="shared" si="9"/>
        <v>-4.4981330537941623E-3</v>
      </c>
    </row>
    <row r="266" spans="2:8" x14ac:dyDescent="0.3">
      <c r="B266" s="198">
        <v>44312</v>
      </c>
      <c r="C266" s="192">
        <v>78.819999999999993</v>
      </c>
      <c r="D266" s="201">
        <f t="shared" si="8"/>
        <v>2.1778584392014425E-2</v>
      </c>
      <c r="F266" s="197">
        <v>44312</v>
      </c>
      <c r="G266" s="191">
        <v>14485</v>
      </c>
      <c r="H266" s="200">
        <f t="shared" si="9"/>
        <v>1.001651828716979E-2</v>
      </c>
    </row>
    <row r="267" spans="2:8" x14ac:dyDescent="0.3">
      <c r="B267" s="198">
        <v>44313</v>
      </c>
      <c r="C267" s="192">
        <v>81.72</v>
      </c>
      <c r="D267" s="201">
        <f t="shared" si="8"/>
        <v>3.6792692210099037E-2</v>
      </c>
      <c r="F267" s="196">
        <v>44313</v>
      </c>
      <c r="G267" s="190">
        <v>14653.0498046875</v>
      </c>
      <c r="H267" s="201">
        <f t="shared" si="9"/>
        <v>1.1601643402657923E-2</v>
      </c>
    </row>
    <row r="268" spans="2:8" x14ac:dyDescent="0.3">
      <c r="B268" s="198">
        <v>44314</v>
      </c>
      <c r="C268" s="192">
        <v>82.65</v>
      </c>
      <c r="D268" s="201">
        <f t="shared" si="8"/>
        <v>1.1380323054331948E-2</v>
      </c>
      <c r="F268" s="197">
        <v>44314</v>
      </c>
      <c r="G268" s="191">
        <v>14864.5498046875</v>
      </c>
      <c r="H268" s="200">
        <f t="shared" si="9"/>
        <v>1.4433855260107101E-2</v>
      </c>
    </row>
    <row r="269" spans="2:8" x14ac:dyDescent="0.3">
      <c r="B269" s="198">
        <v>44315</v>
      </c>
      <c r="C269" s="192">
        <v>82.16</v>
      </c>
      <c r="D269" s="201">
        <f t="shared" si="8"/>
        <v>-5.9286146400485068E-3</v>
      </c>
      <c r="F269" s="196">
        <v>44315</v>
      </c>
      <c r="G269" s="190">
        <v>14894.900390625</v>
      </c>
      <c r="H269" s="201">
        <f t="shared" si="9"/>
        <v>2.0418099664161384E-3</v>
      </c>
    </row>
    <row r="270" spans="2:8" x14ac:dyDescent="0.3">
      <c r="B270" s="198">
        <v>44316</v>
      </c>
      <c r="C270" s="192">
        <v>83.34</v>
      </c>
      <c r="D270" s="201">
        <f t="shared" si="8"/>
        <v>1.4362220058422673E-2</v>
      </c>
      <c r="F270" s="197">
        <v>44316</v>
      </c>
      <c r="G270" s="191">
        <v>14631.099609375</v>
      </c>
      <c r="H270" s="200">
        <f t="shared" si="9"/>
        <v>-1.7710812045177479E-2</v>
      </c>
    </row>
    <row r="271" spans="2:8" x14ac:dyDescent="0.3">
      <c r="B271" s="198">
        <v>44319</v>
      </c>
      <c r="C271" s="192">
        <v>88.01</v>
      </c>
      <c r="D271" s="201">
        <f t="shared" si="8"/>
        <v>5.6035517158627327E-2</v>
      </c>
      <c r="F271" s="196">
        <v>44319</v>
      </c>
      <c r="G271" s="190">
        <v>14634.150390625</v>
      </c>
      <c r="H271" s="201">
        <f t="shared" si="9"/>
        <v>2.0851346320171222E-4</v>
      </c>
    </row>
    <row r="272" spans="2:8" x14ac:dyDescent="0.3">
      <c r="B272" s="198">
        <v>44320</v>
      </c>
      <c r="C272" s="192">
        <v>87.75</v>
      </c>
      <c r="D272" s="201">
        <f t="shared" si="8"/>
        <v>-2.9542097488922292E-3</v>
      </c>
      <c r="F272" s="197">
        <v>44320</v>
      </c>
      <c r="G272" s="191">
        <v>14496.5</v>
      </c>
      <c r="H272" s="200">
        <f t="shared" si="9"/>
        <v>-9.4061074234403283E-3</v>
      </c>
    </row>
    <row r="273" spans="2:8" x14ac:dyDescent="0.3">
      <c r="B273" s="198">
        <v>44321</v>
      </c>
      <c r="C273" s="192">
        <v>87.67</v>
      </c>
      <c r="D273" s="201">
        <f t="shared" si="8"/>
        <v>-9.1168091168089224E-4</v>
      </c>
      <c r="F273" s="196">
        <v>44321</v>
      </c>
      <c r="G273" s="190">
        <v>14617.849609375</v>
      </c>
      <c r="H273" s="201">
        <f t="shared" si="9"/>
        <v>8.3709591539337085E-3</v>
      </c>
    </row>
    <row r="274" spans="2:8" x14ac:dyDescent="0.3">
      <c r="B274" s="198">
        <v>44322</v>
      </c>
      <c r="C274" s="192">
        <v>87.1</v>
      </c>
      <c r="D274" s="201">
        <f t="shared" si="8"/>
        <v>-6.5016539295084681E-3</v>
      </c>
      <c r="F274" s="197">
        <v>44322</v>
      </c>
      <c r="G274" s="191">
        <v>14724.7998046875</v>
      </c>
      <c r="H274" s="200">
        <f t="shared" si="9"/>
        <v>7.3164109749705355E-3</v>
      </c>
    </row>
    <row r="275" spans="2:8" x14ac:dyDescent="0.3">
      <c r="B275" s="198">
        <v>44323</v>
      </c>
      <c r="C275" s="192">
        <v>87.56</v>
      </c>
      <c r="D275" s="201">
        <f t="shared" si="8"/>
        <v>5.2812858783008957E-3</v>
      </c>
      <c r="F275" s="196">
        <v>44323</v>
      </c>
      <c r="G275" s="190">
        <v>14823.150390625</v>
      </c>
      <c r="H275" s="201">
        <f t="shared" si="9"/>
        <v>6.6792477481555316E-3</v>
      </c>
    </row>
    <row r="276" spans="2:8" x14ac:dyDescent="0.3">
      <c r="B276" s="198">
        <v>44326</v>
      </c>
      <c r="C276" s="192">
        <v>86.38</v>
      </c>
      <c r="D276" s="201">
        <f t="shared" si="8"/>
        <v>-1.3476473275468328E-2</v>
      </c>
      <c r="F276" s="197">
        <v>44326</v>
      </c>
      <c r="G276" s="191">
        <v>14942.349609375</v>
      </c>
      <c r="H276" s="200">
        <f t="shared" si="9"/>
        <v>8.041422748121637E-3</v>
      </c>
    </row>
    <row r="277" spans="2:8" x14ac:dyDescent="0.3">
      <c r="B277" s="198">
        <v>44327</v>
      </c>
      <c r="C277" s="192">
        <v>87.04</v>
      </c>
      <c r="D277" s="201">
        <f t="shared" si="8"/>
        <v>7.6406575596204077E-3</v>
      </c>
      <c r="F277" s="196">
        <v>44327</v>
      </c>
      <c r="G277" s="190">
        <v>14850.75</v>
      </c>
      <c r="H277" s="201">
        <f t="shared" si="9"/>
        <v>-6.1302011912189071E-3</v>
      </c>
    </row>
    <row r="278" spans="2:8" x14ac:dyDescent="0.3">
      <c r="B278" s="198">
        <v>44328</v>
      </c>
      <c r="C278" s="192">
        <v>85.93</v>
      </c>
      <c r="D278" s="201">
        <f t="shared" si="8"/>
        <v>-1.2752757352941169E-2</v>
      </c>
      <c r="F278" s="197">
        <v>44328</v>
      </c>
      <c r="G278" s="191">
        <v>14696.5</v>
      </c>
      <c r="H278" s="200">
        <f t="shared" si="9"/>
        <v>-1.0386680807366631E-2</v>
      </c>
    </row>
    <row r="279" spans="2:8" x14ac:dyDescent="0.3">
      <c r="B279" s="198">
        <v>44330</v>
      </c>
      <c r="C279" s="192">
        <v>85.4</v>
      </c>
      <c r="D279" s="201">
        <f t="shared" si="8"/>
        <v>-6.1678110089607944E-3</v>
      </c>
      <c r="F279" s="196">
        <v>44330</v>
      </c>
      <c r="G279" s="190">
        <v>14677.7998046875</v>
      </c>
      <c r="H279" s="201">
        <f t="shared" si="9"/>
        <v>-1.2724250884564353E-3</v>
      </c>
    </row>
    <row r="280" spans="2:8" x14ac:dyDescent="0.3">
      <c r="B280" s="198">
        <v>44333</v>
      </c>
      <c r="C280" s="192">
        <v>85.35</v>
      </c>
      <c r="D280" s="201">
        <f t="shared" si="8"/>
        <v>-5.8548009367694802E-4</v>
      </c>
      <c r="F280" s="197">
        <v>44333</v>
      </c>
      <c r="G280" s="191">
        <v>14923.150390625</v>
      </c>
      <c r="H280" s="200">
        <f t="shared" si="9"/>
        <v>1.6715760481972569E-2</v>
      </c>
    </row>
    <row r="281" spans="2:8" x14ac:dyDescent="0.3">
      <c r="B281" s="198">
        <v>44334</v>
      </c>
      <c r="C281" s="192">
        <v>85.89</v>
      </c>
      <c r="D281" s="201">
        <f t="shared" si="8"/>
        <v>6.3268892794376835E-3</v>
      </c>
      <c r="F281" s="196">
        <v>44334</v>
      </c>
      <c r="G281" s="190">
        <v>15108.099609375</v>
      </c>
      <c r="H281" s="201">
        <f t="shared" si="9"/>
        <v>1.239344333527514E-2</v>
      </c>
    </row>
    <row r="282" spans="2:8" x14ac:dyDescent="0.3">
      <c r="B282" s="198">
        <v>44335</v>
      </c>
      <c r="C282" s="192">
        <v>88</v>
      </c>
      <c r="D282" s="201">
        <f t="shared" si="8"/>
        <v>2.4566305739899864E-2</v>
      </c>
      <c r="F282" s="197">
        <v>44335</v>
      </c>
      <c r="G282" s="191">
        <v>15030.150390625</v>
      </c>
      <c r="H282" s="200">
        <f t="shared" si="9"/>
        <v>-5.1594324081388979E-3</v>
      </c>
    </row>
    <row r="283" spans="2:8" x14ac:dyDescent="0.3">
      <c r="B283" s="198">
        <v>44336</v>
      </c>
      <c r="C283" s="192">
        <v>88.2</v>
      </c>
      <c r="D283" s="201">
        <f t="shared" si="8"/>
        <v>2.2727272727273051E-3</v>
      </c>
      <c r="F283" s="196">
        <v>44336</v>
      </c>
      <c r="G283" s="190">
        <v>14906.0498046875</v>
      </c>
      <c r="H283" s="201">
        <f t="shared" si="9"/>
        <v>-8.2567760609306533E-3</v>
      </c>
    </row>
    <row r="284" spans="2:8" x14ac:dyDescent="0.3">
      <c r="B284" s="198">
        <v>44337</v>
      </c>
      <c r="C284" s="192">
        <v>86.95</v>
      </c>
      <c r="D284" s="201">
        <f t="shared" si="8"/>
        <v>-1.4172335600907028E-2</v>
      </c>
      <c r="F284" s="197">
        <v>44337</v>
      </c>
      <c r="G284" s="191">
        <v>15175.2998046875</v>
      </c>
      <c r="H284" s="200">
        <f t="shared" si="9"/>
        <v>1.8063135674974671E-2</v>
      </c>
    </row>
    <row r="285" spans="2:8" x14ac:dyDescent="0.3">
      <c r="B285" s="198">
        <v>44340</v>
      </c>
      <c r="C285" s="192">
        <v>88.08</v>
      </c>
      <c r="D285" s="201">
        <f t="shared" si="8"/>
        <v>1.2995974698102306E-2</v>
      </c>
      <c r="F285" s="196">
        <v>44340</v>
      </c>
      <c r="G285" s="190">
        <v>15197.7001953125</v>
      </c>
      <c r="H285" s="201">
        <f t="shared" si="9"/>
        <v>1.4761086049898495E-3</v>
      </c>
    </row>
    <row r="286" spans="2:8" x14ac:dyDescent="0.3">
      <c r="B286" s="198">
        <v>44341</v>
      </c>
      <c r="C286" s="192">
        <v>89.98</v>
      </c>
      <c r="D286" s="201">
        <f t="shared" si="8"/>
        <v>2.1571298819255288E-2</v>
      </c>
      <c r="F286" s="197">
        <v>44341</v>
      </c>
      <c r="G286" s="191">
        <v>15208.4501953125</v>
      </c>
      <c r="H286" s="200">
        <f t="shared" si="9"/>
        <v>7.0734386531165255E-4</v>
      </c>
    </row>
    <row r="287" spans="2:8" x14ac:dyDescent="0.3">
      <c r="B287" s="198">
        <v>44342</v>
      </c>
      <c r="C287" s="192">
        <v>89.11</v>
      </c>
      <c r="D287" s="201">
        <f t="shared" si="8"/>
        <v>-9.6688152922872247E-3</v>
      </c>
      <c r="F287" s="196">
        <v>44342</v>
      </c>
      <c r="G287" s="190">
        <v>15301.4501953125</v>
      </c>
      <c r="H287" s="201">
        <f t="shared" si="9"/>
        <v>6.1150215048647203E-3</v>
      </c>
    </row>
    <row r="288" spans="2:8" x14ac:dyDescent="0.3">
      <c r="B288" s="198">
        <v>44343</v>
      </c>
      <c r="C288" s="192">
        <v>89.2</v>
      </c>
      <c r="D288" s="201">
        <f t="shared" si="8"/>
        <v>1.0099876557064685E-3</v>
      </c>
      <c r="F288" s="197">
        <v>44343</v>
      </c>
      <c r="G288" s="191">
        <v>15337.849609375</v>
      </c>
      <c r="H288" s="200">
        <f t="shared" si="9"/>
        <v>2.3788211965458492E-3</v>
      </c>
    </row>
    <row r="289" spans="2:8" x14ac:dyDescent="0.3">
      <c r="B289" s="198">
        <v>44344</v>
      </c>
      <c r="C289" s="192">
        <v>88.34</v>
      </c>
      <c r="D289" s="201">
        <f t="shared" ref="D289:D352" si="10">(C289-C288)/C288</f>
        <v>-9.6412556053811597E-3</v>
      </c>
      <c r="F289" s="196">
        <v>44344</v>
      </c>
      <c r="G289" s="190">
        <v>15435.650390625</v>
      </c>
      <c r="H289" s="201">
        <f t="shared" si="9"/>
        <v>6.3764337075140533E-3</v>
      </c>
    </row>
    <row r="290" spans="2:8" x14ac:dyDescent="0.3">
      <c r="B290" s="198">
        <v>44347</v>
      </c>
      <c r="C290" s="192">
        <v>88.69</v>
      </c>
      <c r="D290" s="201">
        <f t="shared" si="10"/>
        <v>3.9619651347067497E-3</v>
      </c>
      <c r="F290" s="197">
        <v>44347</v>
      </c>
      <c r="G290" s="191">
        <v>15582.7998046875</v>
      </c>
      <c r="H290" s="200">
        <f t="shared" si="9"/>
        <v>9.5330880357249285E-3</v>
      </c>
    </row>
    <row r="291" spans="2:8" x14ac:dyDescent="0.3">
      <c r="B291" s="198">
        <v>44348</v>
      </c>
      <c r="C291" s="192">
        <v>88.26</v>
      </c>
      <c r="D291" s="201">
        <f t="shared" si="10"/>
        <v>-4.8483481790505423E-3</v>
      </c>
      <c r="F291" s="196">
        <v>44348</v>
      </c>
      <c r="G291" s="190">
        <v>15574.849609375</v>
      </c>
      <c r="H291" s="201">
        <f t="shared" si="9"/>
        <v>-5.1019042868717874E-4</v>
      </c>
    </row>
    <row r="292" spans="2:8" x14ac:dyDescent="0.3">
      <c r="B292" s="198">
        <v>44349</v>
      </c>
      <c r="C292" s="192">
        <v>89.33</v>
      </c>
      <c r="D292" s="201">
        <f t="shared" si="10"/>
        <v>1.2123272150464458E-2</v>
      </c>
      <c r="F292" s="197">
        <v>44349</v>
      </c>
      <c r="G292" s="191">
        <v>15576.2001953125</v>
      </c>
      <c r="H292" s="200">
        <f t="shared" si="9"/>
        <v>8.6715825280716621E-5</v>
      </c>
    </row>
    <row r="293" spans="2:8" x14ac:dyDescent="0.3">
      <c r="B293" s="198">
        <v>44350</v>
      </c>
      <c r="C293" s="192">
        <v>90.12</v>
      </c>
      <c r="D293" s="201">
        <f t="shared" si="10"/>
        <v>8.8436135676705063E-3</v>
      </c>
      <c r="F293" s="196">
        <v>44350</v>
      </c>
      <c r="G293" s="190">
        <v>15690.349609375</v>
      </c>
      <c r="H293" s="201">
        <f t="shared" si="9"/>
        <v>7.3284506253875779E-3</v>
      </c>
    </row>
    <row r="294" spans="2:8" x14ac:dyDescent="0.3">
      <c r="B294" s="198">
        <v>44351</v>
      </c>
      <c r="C294" s="192">
        <v>92.78</v>
      </c>
      <c r="D294" s="201">
        <f t="shared" si="10"/>
        <v>2.9516200621393658E-2</v>
      </c>
      <c r="F294" s="197">
        <v>44351</v>
      </c>
      <c r="G294" s="191">
        <v>15670.25</v>
      </c>
      <c r="H294" s="200">
        <f t="shared" si="9"/>
        <v>-1.2810173052479636E-3</v>
      </c>
    </row>
    <row r="295" spans="2:8" x14ac:dyDescent="0.3">
      <c r="B295" s="198">
        <v>44354</v>
      </c>
      <c r="C295" s="192">
        <v>98.75</v>
      </c>
      <c r="D295" s="201">
        <f t="shared" si="10"/>
        <v>6.4345764173313197E-2</v>
      </c>
      <c r="F295" s="196">
        <v>44354</v>
      </c>
      <c r="G295" s="190">
        <v>15751.650390625</v>
      </c>
      <c r="H295" s="201">
        <f t="shared" si="9"/>
        <v>5.1945814919991708E-3</v>
      </c>
    </row>
    <row r="296" spans="2:8" x14ac:dyDescent="0.3">
      <c r="B296" s="198">
        <v>44355</v>
      </c>
      <c r="C296" s="192">
        <v>97.9</v>
      </c>
      <c r="D296" s="201">
        <f t="shared" si="10"/>
        <v>-8.6075949367088039E-3</v>
      </c>
      <c r="F296" s="197">
        <v>44355</v>
      </c>
      <c r="G296" s="191">
        <v>15740.099609375</v>
      </c>
      <c r="H296" s="200">
        <f t="shared" si="9"/>
        <v>-7.3330609577741419E-4</v>
      </c>
    </row>
    <row r="297" spans="2:8" x14ac:dyDescent="0.3">
      <c r="B297" s="198">
        <v>44356</v>
      </c>
      <c r="C297" s="192">
        <v>100.87</v>
      </c>
      <c r="D297" s="201">
        <f t="shared" si="10"/>
        <v>3.0337078651685379E-2</v>
      </c>
      <c r="F297" s="196">
        <v>44356</v>
      </c>
      <c r="G297" s="190">
        <v>15635.349609375</v>
      </c>
      <c r="H297" s="201">
        <f t="shared" si="9"/>
        <v>-6.6549769442125761E-3</v>
      </c>
    </row>
    <row r="298" spans="2:8" x14ac:dyDescent="0.3">
      <c r="B298" s="198">
        <v>44357</v>
      </c>
      <c r="C298" s="192">
        <v>103.8</v>
      </c>
      <c r="D298" s="201">
        <f t="shared" si="10"/>
        <v>2.9047288589273249E-2</v>
      </c>
      <c r="F298" s="197">
        <v>44357</v>
      </c>
      <c r="G298" s="191">
        <v>15737.75</v>
      </c>
      <c r="H298" s="200">
        <f t="shared" si="9"/>
        <v>6.5492869160789623E-3</v>
      </c>
    </row>
    <row r="299" spans="2:8" x14ac:dyDescent="0.3">
      <c r="B299" s="198">
        <v>44358</v>
      </c>
      <c r="C299" s="192">
        <v>103.93</v>
      </c>
      <c r="D299" s="201">
        <f t="shared" si="10"/>
        <v>1.252408477842097E-3</v>
      </c>
      <c r="F299" s="196">
        <v>44358</v>
      </c>
      <c r="G299" s="190">
        <v>15799.349609375</v>
      </c>
      <c r="H299" s="201">
        <f t="shared" si="9"/>
        <v>3.9141306333497486E-3</v>
      </c>
    </row>
    <row r="300" spans="2:8" x14ac:dyDescent="0.3">
      <c r="B300" s="198">
        <v>44361</v>
      </c>
      <c r="C300" s="192">
        <v>102.01</v>
      </c>
      <c r="D300" s="201">
        <f t="shared" si="10"/>
        <v>-1.8473972866352367E-2</v>
      </c>
      <c r="F300" s="197">
        <v>44361</v>
      </c>
      <c r="G300" s="191">
        <v>15811.849609375</v>
      </c>
      <c r="H300" s="200">
        <f t="shared" si="9"/>
        <v>7.9117180827385227E-4</v>
      </c>
    </row>
    <row r="301" spans="2:8" x14ac:dyDescent="0.3">
      <c r="B301" s="198">
        <v>44362</v>
      </c>
      <c r="C301" s="192">
        <v>104.38</v>
      </c>
      <c r="D301" s="201">
        <f t="shared" si="10"/>
        <v>2.3233016370943931E-2</v>
      </c>
      <c r="F301" s="196">
        <v>44362</v>
      </c>
      <c r="G301" s="190">
        <v>15869.25</v>
      </c>
      <c r="H301" s="201">
        <f t="shared" si="9"/>
        <v>3.630213545097643E-3</v>
      </c>
    </row>
    <row r="302" spans="2:8" x14ac:dyDescent="0.3">
      <c r="B302" s="198">
        <v>44363</v>
      </c>
      <c r="C302" s="192">
        <v>103.66</v>
      </c>
      <c r="D302" s="201">
        <f t="shared" si="10"/>
        <v>-6.8978731557769579E-3</v>
      </c>
      <c r="F302" s="197">
        <v>44363</v>
      </c>
      <c r="G302" s="191">
        <v>15767.5498046875</v>
      </c>
      <c r="H302" s="200">
        <f t="shared" si="9"/>
        <v>-6.4086327528081041E-3</v>
      </c>
    </row>
    <row r="303" spans="2:8" x14ac:dyDescent="0.3">
      <c r="B303" s="198">
        <v>44364</v>
      </c>
      <c r="C303" s="192">
        <v>104.05</v>
      </c>
      <c r="D303" s="201">
        <f t="shared" si="10"/>
        <v>3.7622998263553984E-3</v>
      </c>
      <c r="F303" s="196">
        <v>44364</v>
      </c>
      <c r="G303" s="190">
        <v>15691.400390625</v>
      </c>
      <c r="H303" s="201">
        <f t="shared" si="9"/>
        <v>-4.829502047290931E-3</v>
      </c>
    </row>
    <row r="304" spans="2:8" x14ac:dyDescent="0.3">
      <c r="B304" s="198">
        <v>44365</v>
      </c>
      <c r="C304" s="192">
        <v>104.74</v>
      </c>
      <c r="D304" s="201">
        <f t="shared" si="10"/>
        <v>6.6314271984622558E-3</v>
      </c>
      <c r="F304" s="197">
        <v>44365</v>
      </c>
      <c r="G304" s="191">
        <v>15683.349609375</v>
      </c>
      <c r="H304" s="200">
        <f t="shared" si="9"/>
        <v>-5.1306964640390079E-4</v>
      </c>
    </row>
    <row r="305" spans="2:8" x14ac:dyDescent="0.3">
      <c r="B305" s="198">
        <v>44368</v>
      </c>
      <c r="C305" s="192">
        <v>103.45</v>
      </c>
      <c r="D305" s="201">
        <f t="shared" si="10"/>
        <v>-1.2316211571510331E-2</v>
      </c>
      <c r="F305" s="196">
        <v>44368</v>
      </c>
      <c r="G305" s="190">
        <v>15746.5</v>
      </c>
      <c r="H305" s="201">
        <f t="shared" si="9"/>
        <v>4.0265882096545708E-3</v>
      </c>
    </row>
    <row r="306" spans="2:8" x14ac:dyDescent="0.3">
      <c r="B306" s="198">
        <v>44369</v>
      </c>
      <c r="C306" s="192">
        <v>102.29</v>
      </c>
      <c r="D306" s="201">
        <f t="shared" si="10"/>
        <v>-1.1213146447559174E-2</v>
      </c>
      <c r="F306" s="197">
        <v>44369</v>
      </c>
      <c r="G306" s="191">
        <v>15772.75</v>
      </c>
      <c r="H306" s="200">
        <f t="shared" si="9"/>
        <v>1.6670371193598578E-3</v>
      </c>
    </row>
    <row r="307" spans="2:8" x14ac:dyDescent="0.3">
      <c r="B307" s="198">
        <v>44370</v>
      </c>
      <c r="C307" s="192">
        <v>99.09</v>
      </c>
      <c r="D307" s="201">
        <f t="shared" si="10"/>
        <v>-3.1283605435526468E-2</v>
      </c>
      <c r="F307" s="196">
        <v>44370</v>
      </c>
      <c r="G307" s="190">
        <v>15686.9501953125</v>
      </c>
      <c r="H307" s="201">
        <f t="shared" si="9"/>
        <v>-5.4397492312691191E-3</v>
      </c>
    </row>
    <row r="308" spans="2:8" x14ac:dyDescent="0.3">
      <c r="B308" s="198">
        <v>44371</v>
      </c>
      <c r="C308" s="192">
        <v>94.87</v>
      </c>
      <c r="D308" s="201">
        <f t="shared" si="10"/>
        <v>-4.2587546674740122E-2</v>
      </c>
      <c r="F308" s="197">
        <v>44371</v>
      </c>
      <c r="G308" s="191">
        <v>15790.4501953125</v>
      </c>
      <c r="H308" s="200">
        <f t="shared" si="9"/>
        <v>6.5978407983297719E-3</v>
      </c>
    </row>
    <row r="309" spans="2:8" x14ac:dyDescent="0.3">
      <c r="B309" s="198">
        <v>44372</v>
      </c>
      <c r="C309" s="192">
        <v>94.22</v>
      </c>
      <c r="D309" s="201">
        <f t="shared" si="10"/>
        <v>-6.8514809739644317E-3</v>
      </c>
      <c r="F309" s="196">
        <v>44372</v>
      </c>
      <c r="G309" s="190">
        <v>15860.349609375</v>
      </c>
      <c r="H309" s="201">
        <f t="shared" si="9"/>
        <v>4.4266891189239247E-3</v>
      </c>
    </row>
    <row r="310" spans="2:8" x14ac:dyDescent="0.3">
      <c r="B310" s="198">
        <v>44375</v>
      </c>
      <c r="C310" s="192">
        <v>95.92</v>
      </c>
      <c r="D310" s="201">
        <f t="shared" si="10"/>
        <v>1.8042878369772902E-2</v>
      </c>
      <c r="F310" s="197">
        <v>44375</v>
      </c>
      <c r="G310" s="191">
        <v>15814.7001953125</v>
      </c>
      <c r="H310" s="200">
        <f t="shared" si="9"/>
        <v>-2.8782098242977434E-3</v>
      </c>
    </row>
    <row r="311" spans="2:8" x14ac:dyDescent="0.3">
      <c r="B311" s="198">
        <v>44376</v>
      </c>
      <c r="C311" s="192">
        <v>95.3</v>
      </c>
      <c r="D311" s="201">
        <f t="shared" si="10"/>
        <v>-6.4637197664721077E-3</v>
      </c>
      <c r="F311" s="196">
        <v>44376</v>
      </c>
      <c r="G311" s="190">
        <v>15748.4501953125</v>
      </c>
      <c r="H311" s="201">
        <f t="shared" si="9"/>
        <v>-4.1891404314851697E-3</v>
      </c>
    </row>
    <row r="312" spans="2:8" x14ac:dyDescent="0.3">
      <c r="B312" s="198">
        <v>44377</v>
      </c>
      <c r="C312" s="192">
        <v>95.95</v>
      </c>
      <c r="D312" s="201">
        <f t="shared" si="10"/>
        <v>6.8205666316894622E-3</v>
      </c>
      <c r="F312" s="197">
        <v>44377</v>
      </c>
      <c r="G312" s="191">
        <v>15721.5</v>
      </c>
      <c r="H312" s="200">
        <f t="shared" si="9"/>
        <v>-1.7112919035373831E-3</v>
      </c>
    </row>
    <row r="313" spans="2:8" x14ac:dyDescent="0.3">
      <c r="B313" s="198">
        <v>44378</v>
      </c>
      <c r="C313" s="192">
        <v>95.18</v>
      </c>
      <c r="D313" s="201">
        <f t="shared" si="10"/>
        <v>-8.0250130276185092E-3</v>
      </c>
      <c r="F313" s="196">
        <v>44378</v>
      </c>
      <c r="G313" s="190">
        <v>15680</v>
      </c>
      <c r="H313" s="201">
        <f t="shared" si="9"/>
        <v>-2.6396972299080877E-3</v>
      </c>
    </row>
    <row r="314" spans="2:8" x14ac:dyDescent="0.3">
      <c r="B314" s="198">
        <v>44379</v>
      </c>
      <c r="C314" s="192">
        <v>94.58</v>
      </c>
      <c r="D314" s="201">
        <f t="shared" si="10"/>
        <v>-6.3038453456609423E-3</v>
      </c>
      <c r="F314" s="197">
        <v>44379</v>
      </c>
      <c r="G314" s="191">
        <v>15722.2001953125</v>
      </c>
      <c r="H314" s="200">
        <f t="shared" si="9"/>
        <v>2.6913389867665818E-3</v>
      </c>
    </row>
    <row r="315" spans="2:8" x14ac:dyDescent="0.3">
      <c r="B315" s="198">
        <v>44382</v>
      </c>
      <c r="C315" s="192">
        <v>93.79</v>
      </c>
      <c r="D315" s="201">
        <f t="shared" si="10"/>
        <v>-8.3527172763796995E-3</v>
      </c>
      <c r="F315" s="196">
        <v>44382</v>
      </c>
      <c r="G315" s="190">
        <v>15834.349609375</v>
      </c>
      <c r="H315" s="201">
        <f t="shared" si="9"/>
        <v>7.1331882732250679E-3</v>
      </c>
    </row>
    <row r="316" spans="2:8" x14ac:dyDescent="0.3">
      <c r="B316" s="198">
        <v>44383</v>
      </c>
      <c r="C316" s="192">
        <v>95.15</v>
      </c>
      <c r="D316" s="201">
        <f t="shared" si="10"/>
        <v>1.4500479795287338E-2</v>
      </c>
      <c r="F316" s="197">
        <v>44383</v>
      </c>
      <c r="G316" s="191">
        <v>15818.25</v>
      </c>
      <c r="H316" s="200">
        <f t="shared" si="9"/>
        <v>-1.016752173102705E-3</v>
      </c>
    </row>
    <row r="317" spans="2:8" x14ac:dyDescent="0.3">
      <c r="B317" s="198">
        <v>44384</v>
      </c>
      <c r="C317" s="192">
        <v>98.08</v>
      </c>
      <c r="D317" s="201">
        <f t="shared" si="10"/>
        <v>3.0793483972674646E-2</v>
      </c>
      <c r="F317" s="196">
        <v>44384</v>
      </c>
      <c r="G317" s="190">
        <v>15879.650390625</v>
      </c>
      <c r="H317" s="201">
        <f t="shared" si="9"/>
        <v>3.8816171589777632E-3</v>
      </c>
    </row>
    <row r="318" spans="2:8" x14ac:dyDescent="0.3">
      <c r="B318" s="198">
        <v>44385</v>
      </c>
      <c r="C318" s="192">
        <v>101.26</v>
      </c>
      <c r="D318" s="201">
        <f t="shared" si="10"/>
        <v>3.2422512234910349E-2</v>
      </c>
      <c r="F318" s="197">
        <v>44385</v>
      </c>
      <c r="G318" s="191">
        <v>15727.900390625</v>
      </c>
      <c r="H318" s="200">
        <f t="shared" si="9"/>
        <v>-9.5562557277451086E-3</v>
      </c>
    </row>
    <row r="319" spans="2:8" x14ac:dyDescent="0.3">
      <c r="B319" s="198">
        <v>44386</v>
      </c>
      <c r="C319" s="192">
        <v>101.27</v>
      </c>
      <c r="D319" s="201">
        <f t="shared" si="10"/>
        <v>9.8755678451421141E-5</v>
      </c>
      <c r="F319" s="196">
        <v>44386</v>
      </c>
      <c r="G319" s="190">
        <v>15689.7998046875</v>
      </c>
      <c r="H319" s="201">
        <f t="shared" si="9"/>
        <v>-2.4224839292732799E-3</v>
      </c>
    </row>
    <row r="320" spans="2:8" x14ac:dyDescent="0.3">
      <c r="B320" s="198">
        <v>44389</v>
      </c>
      <c r="C320" s="192">
        <v>102.74</v>
      </c>
      <c r="D320" s="201">
        <f t="shared" si="10"/>
        <v>1.4515651229386778E-2</v>
      </c>
      <c r="F320" s="197">
        <v>44389</v>
      </c>
      <c r="G320" s="191">
        <v>15692.599609375</v>
      </c>
      <c r="H320" s="200">
        <f t="shared" si="9"/>
        <v>1.7844744498674405E-4</v>
      </c>
    </row>
    <row r="321" spans="2:8" x14ac:dyDescent="0.3">
      <c r="B321" s="198">
        <v>44390</v>
      </c>
      <c r="C321" s="192">
        <v>103.5</v>
      </c>
      <c r="D321" s="201">
        <f t="shared" si="10"/>
        <v>7.3973136071637646E-3</v>
      </c>
      <c r="F321" s="196">
        <v>44390</v>
      </c>
      <c r="G321" s="190">
        <v>15812.349609375</v>
      </c>
      <c r="H321" s="201">
        <f t="shared" si="9"/>
        <v>7.6309854951285136E-3</v>
      </c>
    </row>
    <row r="322" spans="2:8" x14ac:dyDescent="0.3">
      <c r="B322" s="198">
        <v>44391</v>
      </c>
      <c r="C322" s="192">
        <v>102.3</v>
      </c>
      <c r="D322" s="201">
        <f t="shared" si="10"/>
        <v>-1.1594202898550753E-2</v>
      </c>
      <c r="F322" s="197">
        <v>44391</v>
      </c>
      <c r="G322" s="191">
        <v>15853.9501953125</v>
      </c>
      <c r="H322" s="200">
        <f t="shared" si="9"/>
        <v>2.6308921169334244E-3</v>
      </c>
    </row>
    <row r="323" spans="2:8" x14ac:dyDescent="0.3">
      <c r="B323" s="198">
        <v>44392</v>
      </c>
      <c r="C323" s="192">
        <v>104.72</v>
      </c>
      <c r="D323" s="201">
        <f t="shared" si="10"/>
        <v>2.365591397849464E-2</v>
      </c>
      <c r="F323" s="196">
        <v>44392</v>
      </c>
      <c r="G323" s="190">
        <v>15924.2001953125</v>
      </c>
      <c r="H323" s="201">
        <f t="shared" si="9"/>
        <v>4.4310723280038215E-3</v>
      </c>
    </row>
    <row r="324" spans="2:8" x14ac:dyDescent="0.3">
      <c r="B324" s="198">
        <v>44393</v>
      </c>
      <c r="C324" s="192">
        <v>104.91</v>
      </c>
      <c r="D324" s="201">
        <f t="shared" si="10"/>
        <v>1.8143621084797338E-3</v>
      </c>
      <c r="F324" s="197">
        <v>44393</v>
      </c>
      <c r="G324" s="191">
        <v>15923.400390625</v>
      </c>
      <c r="H324" s="200">
        <f t="shared" si="9"/>
        <v>-5.0225736783655429E-5</v>
      </c>
    </row>
    <row r="325" spans="2:8" x14ac:dyDescent="0.3">
      <c r="B325" s="198">
        <v>44396</v>
      </c>
      <c r="C325" s="192">
        <v>102.08</v>
      </c>
      <c r="D325" s="201">
        <f t="shared" si="10"/>
        <v>-2.6975502811934022E-2</v>
      </c>
      <c r="F325" s="196">
        <v>44396</v>
      </c>
      <c r="G325" s="190">
        <v>15752.400390625</v>
      </c>
      <c r="H325" s="201">
        <f t="shared" si="9"/>
        <v>-1.0738912280361756E-2</v>
      </c>
    </row>
    <row r="326" spans="2:8" x14ac:dyDescent="0.3">
      <c r="B326" s="198">
        <v>44397</v>
      </c>
      <c r="C326" s="192">
        <v>102.35</v>
      </c>
      <c r="D326" s="201">
        <f t="shared" si="10"/>
        <v>2.6449843260187697E-3</v>
      </c>
      <c r="F326" s="197">
        <v>44397</v>
      </c>
      <c r="G326" s="191">
        <v>15632.099609375</v>
      </c>
      <c r="H326" s="200">
        <f t="shared" ref="H326:H389" si="11">(G326-G325)/G325</f>
        <v>-7.6369809214344685E-3</v>
      </c>
    </row>
    <row r="327" spans="2:8" x14ac:dyDescent="0.3">
      <c r="B327" s="198">
        <v>44399</v>
      </c>
      <c r="C327" s="192">
        <v>99.84</v>
      </c>
      <c r="D327" s="201">
        <f t="shared" si="10"/>
        <v>-2.4523693209574902E-2</v>
      </c>
      <c r="F327" s="196">
        <v>44399</v>
      </c>
      <c r="G327" s="190">
        <v>15824.0498046875</v>
      </c>
      <c r="H327" s="201">
        <f t="shared" si="11"/>
        <v>1.2279233123449532E-2</v>
      </c>
    </row>
    <row r="328" spans="2:8" x14ac:dyDescent="0.3">
      <c r="B328" s="198">
        <v>44400</v>
      </c>
      <c r="C328" s="192">
        <v>96.32</v>
      </c>
      <c r="D328" s="201">
        <f t="shared" si="10"/>
        <v>-3.525641025641036E-2</v>
      </c>
      <c r="F328" s="197">
        <v>44400</v>
      </c>
      <c r="G328" s="191">
        <v>15856.0498046875</v>
      </c>
      <c r="H328" s="200">
        <f t="shared" si="11"/>
        <v>2.0222383267853947E-3</v>
      </c>
    </row>
    <row r="329" spans="2:8" x14ac:dyDescent="0.3">
      <c r="B329" s="198">
        <v>44403</v>
      </c>
      <c r="C329" s="192">
        <v>98.77</v>
      </c>
      <c r="D329" s="201">
        <f t="shared" si="10"/>
        <v>2.5436046511627938E-2</v>
      </c>
      <c r="F329" s="196">
        <v>44403</v>
      </c>
      <c r="G329" s="190">
        <v>15824.4501953125</v>
      </c>
      <c r="H329" s="201">
        <f t="shared" si="11"/>
        <v>-1.9929055322251985E-3</v>
      </c>
    </row>
    <row r="330" spans="2:8" x14ac:dyDescent="0.3">
      <c r="B330" s="198">
        <v>44404</v>
      </c>
      <c r="C330" s="192">
        <v>97.64</v>
      </c>
      <c r="D330" s="201">
        <f t="shared" si="10"/>
        <v>-1.1440720866659872E-2</v>
      </c>
      <c r="F330" s="197">
        <v>44404</v>
      </c>
      <c r="G330" s="191">
        <v>15746.4501953125</v>
      </c>
      <c r="H330" s="200">
        <f t="shared" si="11"/>
        <v>-4.9290812026508866E-3</v>
      </c>
    </row>
    <row r="331" spans="2:8" x14ac:dyDescent="0.3">
      <c r="B331" s="198">
        <v>44405</v>
      </c>
      <c r="C331" s="192">
        <v>99.85</v>
      </c>
      <c r="D331" s="201">
        <f t="shared" si="10"/>
        <v>2.2634166325276463E-2</v>
      </c>
      <c r="F331" s="196">
        <v>44405</v>
      </c>
      <c r="G331" s="190">
        <v>15709.400390625</v>
      </c>
      <c r="H331" s="201">
        <f t="shared" si="11"/>
        <v>-2.3528988583426387E-3</v>
      </c>
    </row>
    <row r="332" spans="2:8" x14ac:dyDescent="0.3">
      <c r="B332" s="198">
        <v>44406</v>
      </c>
      <c r="C332" s="192">
        <v>99</v>
      </c>
      <c r="D332" s="201">
        <f t="shared" si="10"/>
        <v>-8.5127691537305386E-3</v>
      </c>
      <c r="F332" s="197">
        <v>44406</v>
      </c>
      <c r="G332" s="191">
        <v>15778.4501953125</v>
      </c>
      <c r="H332" s="200">
        <f t="shared" si="11"/>
        <v>4.3954449546468556E-3</v>
      </c>
    </row>
    <row r="333" spans="2:8" x14ac:dyDescent="0.3">
      <c r="B333" s="198">
        <v>44407</v>
      </c>
      <c r="C333" s="192">
        <v>100.19</v>
      </c>
      <c r="D333" s="201">
        <f t="shared" si="10"/>
        <v>1.2020202020201997E-2</v>
      </c>
      <c r="F333" s="196">
        <v>44407</v>
      </c>
      <c r="G333" s="190">
        <v>15763.0498046875</v>
      </c>
      <c r="H333" s="201">
        <f t="shared" si="11"/>
        <v>-9.7603949908687388E-4</v>
      </c>
    </row>
    <row r="334" spans="2:8" x14ac:dyDescent="0.3">
      <c r="B334" s="198">
        <v>44410</v>
      </c>
      <c r="C334" s="192">
        <v>103.78</v>
      </c>
      <c r="D334" s="201">
        <f t="shared" si="10"/>
        <v>3.5831919353228901E-2</v>
      </c>
      <c r="F334" s="197">
        <v>44410</v>
      </c>
      <c r="G334" s="191">
        <v>15885.150390625</v>
      </c>
      <c r="H334" s="200">
        <f t="shared" si="11"/>
        <v>7.7460001364197065E-3</v>
      </c>
    </row>
    <row r="335" spans="2:8" x14ac:dyDescent="0.3">
      <c r="B335" s="198">
        <v>44411</v>
      </c>
      <c r="C335" s="192">
        <v>103.71</v>
      </c>
      <c r="D335" s="201">
        <f t="shared" si="10"/>
        <v>-6.7450375794957974E-4</v>
      </c>
      <c r="F335" s="196">
        <v>44411</v>
      </c>
      <c r="G335" s="190">
        <v>16130.75</v>
      </c>
      <c r="H335" s="201">
        <f t="shared" si="11"/>
        <v>1.5460955882416225E-2</v>
      </c>
    </row>
    <row r="336" spans="2:8" x14ac:dyDescent="0.3">
      <c r="B336" s="198">
        <v>44412</v>
      </c>
      <c r="C336" s="192">
        <v>104.26</v>
      </c>
      <c r="D336" s="201">
        <f t="shared" si="10"/>
        <v>5.3032494455694862E-3</v>
      </c>
      <c r="F336" s="197">
        <v>44412</v>
      </c>
      <c r="G336" s="191">
        <v>16258.7998046875</v>
      </c>
      <c r="H336" s="200">
        <f t="shared" si="11"/>
        <v>7.9382424678021788E-3</v>
      </c>
    </row>
    <row r="337" spans="2:8" x14ac:dyDescent="0.3">
      <c r="B337" s="198">
        <v>44413</v>
      </c>
      <c r="C337" s="192">
        <v>102.58</v>
      </c>
      <c r="D337" s="201">
        <f t="shared" si="10"/>
        <v>-1.6113562248225653E-2</v>
      </c>
      <c r="F337" s="196">
        <v>44413</v>
      </c>
      <c r="G337" s="190">
        <v>16294.599609375</v>
      </c>
      <c r="H337" s="201">
        <f t="shared" si="11"/>
        <v>2.2018725316476757E-3</v>
      </c>
    </row>
    <row r="338" spans="2:8" x14ac:dyDescent="0.3">
      <c r="B338" s="198">
        <v>44414</v>
      </c>
      <c r="C338" s="192">
        <v>101.67</v>
      </c>
      <c r="D338" s="201">
        <f t="shared" si="10"/>
        <v>-8.8711249756287438E-3</v>
      </c>
      <c r="F338" s="197">
        <v>44414</v>
      </c>
      <c r="G338" s="191">
        <v>16238.2001953125</v>
      </c>
      <c r="H338" s="200">
        <f t="shared" si="11"/>
        <v>-3.4612335015615195E-3</v>
      </c>
    </row>
    <row r="339" spans="2:8" x14ac:dyDescent="0.3">
      <c r="B339" s="198">
        <v>44417</v>
      </c>
      <c r="C339" s="192">
        <v>100.6</v>
      </c>
      <c r="D339" s="201">
        <f t="shared" si="10"/>
        <v>-1.0524245106717884E-2</v>
      </c>
      <c r="F339" s="196">
        <v>44417</v>
      </c>
      <c r="G339" s="190">
        <v>16258.25</v>
      </c>
      <c r="H339" s="201">
        <f t="shared" si="11"/>
        <v>1.2347307242392418E-3</v>
      </c>
    </row>
    <row r="340" spans="2:8" x14ac:dyDescent="0.3">
      <c r="B340" s="198">
        <v>44418</v>
      </c>
      <c r="C340" s="192">
        <v>99.46</v>
      </c>
      <c r="D340" s="201">
        <f t="shared" si="10"/>
        <v>-1.1332007952286288E-2</v>
      </c>
      <c r="F340" s="197">
        <v>44418</v>
      </c>
      <c r="G340" s="191">
        <v>16280.099609375</v>
      </c>
      <c r="H340" s="200">
        <f t="shared" si="11"/>
        <v>1.3439090538649608E-3</v>
      </c>
    </row>
    <row r="341" spans="2:8" x14ac:dyDescent="0.3">
      <c r="B341" s="198">
        <v>44419</v>
      </c>
      <c r="C341" s="192">
        <v>101.92</v>
      </c>
      <c r="D341" s="201">
        <f t="shared" si="10"/>
        <v>2.4733561230645566E-2</v>
      </c>
      <c r="F341" s="196">
        <v>44419</v>
      </c>
      <c r="G341" s="190">
        <v>16282.25</v>
      </c>
      <c r="H341" s="201">
        <f t="shared" si="11"/>
        <v>1.3208706805219322E-4</v>
      </c>
    </row>
    <row r="342" spans="2:8" x14ac:dyDescent="0.3">
      <c r="B342" s="198">
        <v>44420</v>
      </c>
      <c r="C342" s="192">
        <v>102.15</v>
      </c>
      <c r="D342" s="201">
        <f t="shared" si="10"/>
        <v>2.2566718995290815E-3</v>
      </c>
      <c r="F342" s="197">
        <v>44420</v>
      </c>
      <c r="G342" s="191">
        <v>16364.400390625</v>
      </c>
      <c r="H342" s="200">
        <f t="shared" si="11"/>
        <v>5.0453954843464512E-3</v>
      </c>
    </row>
    <row r="343" spans="2:8" x14ac:dyDescent="0.3">
      <c r="B343" s="198">
        <v>44421</v>
      </c>
      <c r="C343" s="192">
        <v>102.31</v>
      </c>
      <c r="D343" s="201">
        <f t="shared" si="10"/>
        <v>1.5663240332843523E-3</v>
      </c>
      <c r="F343" s="196">
        <v>44421</v>
      </c>
      <c r="G343" s="190">
        <v>16529.099609375</v>
      </c>
      <c r="H343" s="201">
        <f t="shared" si="11"/>
        <v>1.0064482340847301E-2</v>
      </c>
    </row>
    <row r="344" spans="2:8" x14ac:dyDescent="0.3">
      <c r="B344" s="198">
        <v>44424</v>
      </c>
      <c r="C344" s="192">
        <v>101.67</v>
      </c>
      <c r="D344" s="201">
        <f t="shared" si="10"/>
        <v>-6.2554979962858035E-3</v>
      </c>
      <c r="F344" s="197">
        <v>44424</v>
      </c>
      <c r="G344" s="191">
        <v>16563.05078125</v>
      </c>
      <c r="H344" s="200">
        <f t="shared" si="11"/>
        <v>2.0540242770237479E-3</v>
      </c>
    </row>
    <row r="345" spans="2:8" x14ac:dyDescent="0.3">
      <c r="B345" s="198">
        <v>44425</v>
      </c>
      <c r="C345" s="192">
        <v>103.96</v>
      </c>
      <c r="D345" s="201">
        <f t="shared" si="10"/>
        <v>2.2523851676994118E-2</v>
      </c>
      <c r="F345" s="196">
        <v>44425</v>
      </c>
      <c r="G345" s="190">
        <v>16614.599609375</v>
      </c>
      <c r="H345" s="201">
        <f t="shared" si="11"/>
        <v>3.1122785775284361E-3</v>
      </c>
    </row>
    <row r="346" spans="2:8" x14ac:dyDescent="0.3">
      <c r="B346" s="198">
        <v>44426</v>
      </c>
      <c r="C346" s="192">
        <v>104.37</v>
      </c>
      <c r="D346" s="201">
        <f t="shared" si="10"/>
        <v>3.9438245479031441E-3</v>
      </c>
      <c r="F346" s="197">
        <v>44426</v>
      </c>
      <c r="G346" s="191">
        <v>16568.849609375</v>
      </c>
      <c r="H346" s="200">
        <f t="shared" si="11"/>
        <v>-2.7536023181795473E-3</v>
      </c>
    </row>
    <row r="347" spans="2:8" x14ac:dyDescent="0.3">
      <c r="B347" s="198">
        <v>44428</v>
      </c>
      <c r="C347" s="192">
        <v>106.44</v>
      </c>
      <c r="D347" s="201">
        <f t="shared" si="10"/>
        <v>1.9833285426846727E-2</v>
      </c>
      <c r="F347" s="196">
        <v>44428</v>
      </c>
      <c r="G347" s="190">
        <v>16450.5</v>
      </c>
      <c r="H347" s="201">
        <f t="shared" si="11"/>
        <v>-7.142898400624949E-3</v>
      </c>
    </row>
    <row r="348" spans="2:8" x14ac:dyDescent="0.3">
      <c r="B348" s="198">
        <v>44431</v>
      </c>
      <c r="C348" s="192">
        <v>109.98</v>
      </c>
      <c r="D348" s="201">
        <f t="shared" si="10"/>
        <v>3.3258173618940311E-2</v>
      </c>
      <c r="F348" s="197">
        <v>44431</v>
      </c>
      <c r="G348" s="191">
        <v>16496.44921875</v>
      </c>
      <c r="H348" s="200">
        <f t="shared" si="11"/>
        <v>2.7931806783988329E-3</v>
      </c>
    </row>
    <row r="349" spans="2:8" x14ac:dyDescent="0.3">
      <c r="B349" s="198">
        <v>44432</v>
      </c>
      <c r="C349" s="192">
        <v>106.46</v>
      </c>
      <c r="D349" s="201">
        <f t="shared" si="10"/>
        <v>-3.2005819239861885E-2</v>
      </c>
      <c r="F349" s="196">
        <v>44432</v>
      </c>
      <c r="G349" s="190">
        <v>16624.599609375</v>
      </c>
      <c r="H349" s="201">
        <f t="shared" si="11"/>
        <v>7.7683620836017982E-3</v>
      </c>
    </row>
    <row r="350" spans="2:8" x14ac:dyDescent="0.3">
      <c r="B350" s="198">
        <v>44433</v>
      </c>
      <c r="C350" s="192">
        <v>109.62</v>
      </c>
      <c r="D350" s="201">
        <f t="shared" si="10"/>
        <v>2.9682509862859394E-2</v>
      </c>
      <c r="F350" s="197">
        <v>44433</v>
      </c>
      <c r="G350" s="191">
        <v>16634.650390625</v>
      </c>
      <c r="H350" s="200">
        <f t="shared" si="11"/>
        <v>6.0457283099510741E-4</v>
      </c>
    </row>
    <row r="351" spans="2:8" x14ac:dyDescent="0.3">
      <c r="B351" s="198">
        <v>44434</v>
      </c>
      <c r="C351" s="192">
        <v>112.11</v>
      </c>
      <c r="D351" s="201">
        <f t="shared" si="10"/>
        <v>2.27148330596606E-2</v>
      </c>
      <c r="F351" s="196">
        <v>44434</v>
      </c>
      <c r="G351" s="190">
        <v>16636.900390625</v>
      </c>
      <c r="H351" s="201">
        <f t="shared" si="11"/>
        <v>1.3525983096513173E-4</v>
      </c>
    </row>
    <row r="352" spans="2:8" x14ac:dyDescent="0.3">
      <c r="B352" s="198">
        <v>44435</v>
      </c>
      <c r="C352" s="192">
        <v>112.48</v>
      </c>
      <c r="D352" s="201">
        <f t="shared" si="10"/>
        <v>3.3003300330033407E-3</v>
      </c>
      <c r="F352" s="197">
        <v>44435</v>
      </c>
      <c r="G352" s="191">
        <v>16705.19921875</v>
      </c>
      <c r="H352" s="200">
        <f t="shared" si="11"/>
        <v>4.1052615884799564E-3</v>
      </c>
    </row>
    <row r="353" spans="2:8" x14ac:dyDescent="0.3">
      <c r="B353" s="198">
        <v>44438</v>
      </c>
      <c r="C353" s="192">
        <v>111.97</v>
      </c>
      <c r="D353" s="201">
        <f t="shared" ref="D353:D416" si="12">(C353-C352)/C352</f>
        <v>-4.5341394025605001E-3</v>
      </c>
      <c r="F353" s="196">
        <v>44438</v>
      </c>
      <c r="G353" s="190">
        <v>16931.05078125</v>
      </c>
      <c r="H353" s="201">
        <f t="shared" si="11"/>
        <v>1.3519836521704158E-2</v>
      </c>
    </row>
    <row r="354" spans="2:8" x14ac:dyDescent="0.3">
      <c r="B354" s="198">
        <v>44439</v>
      </c>
      <c r="C354" s="192">
        <v>111.75</v>
      </c>
      <c r="D354" s="201">
        <f t="shared" si="12"/>
        <v>-1.9648120032151367E-3</v>
      </c>
      <c r="F354" s="197">
        <v>44439</v>
      </c>
      <c r="G354" s="191">
        <v>17132.19921875</v>
      </c>
      <c r="H354" s="200">
        <f t="shared" si="11"/>
        <v>1.1880446175423345E-2</v>
      </c>
    </row>
    <row r="355" spans="2:8" x14ac:dyDescent="0.3">
      <c r="B355" s="198">
        <v>44440</v>
      </c>
      <c r="C355" s="192">
        <v>111.72</v>
      </c>
      <c r="D355" s="201">
        <f t="shared" si="12"/>
        <v>-2.6845637583893634E-4</v>
      </c>
      <c r="F355" s="196">
        <v>44440</v>
      </c>
      <c r="G355" s="190">
        <v>17076.25</v>
      </c>
      <c r="H355" s="201">
        <f t="shared" si="11"/>
        <v>-3.2657347743637881E-3</v>
      </c>
    </row>
    <row r="356" spans="2:8" x14ac:dyDescent="0.3">
      <c r="B356" s="198">
        <v>44441</v>
      </c>
      <c r="C356" s="192">
        <v>116.43</v>
      </c>
      <c r="D356" s="201">
        <f t="shared" si="12"/>
        <v>4.2158968850698246E-2</v>
      </c>
      <c r="F356" s="197">
        <v>44441</v>
      </c>
      <c r="G356" s="191">
        <v>17234.150390625</v>
      </c>
      <c r="H356" s="200">
        <f t="shared" si="11"/>
        <v>9.2467837273991649E-3</v>
      </c>
    </row>
    <row r="357" spans="2:8" x14ac:dyDescent="0.3">
      <c r="B357" s="198">
        <v>44442</v>
      </c>
      <c r="C357" s="192">
        <v>119.78</v>
      </c>
      <c r="D357" s="201">
        <f t="shared" si="12"/>
        <v>2.8772653096280978E-2</v>
      </c>
      <c r="F357" s="196">
        <v>44442</v>
      </c>
      <c r="G357" s="190">
        <v>17323.599609375</v>
      </c>
      <c r="H357" s="201">
        <f t="shared" si="11"/>
        <v>5.1902308336974016E-3</v>
      </c>
    </row>
    <row r="358" spans="2:8" x14ac:dyDescent="0.3">
      <c r="B358" s="198">
        <v>44445</v>
      </c>
      <c r="C358" s="192">
        <v>123.94</v>
      </c>
      <c r="D358" s="201">
        <f t="shared" si="12"/>
        <v>3.4730338954750348E-2</v>
      </c>
      <c r="F358" s="197">
        <v>44445</v>
      </c>
      <c r="G358" s="191">
        <v>17377.80078125</v>
      </c>
      <c r="H358" s="200">
        <f t="shared" si="11"/>
        <v>3.1287476677576867E-3</v>
      </c>
    </row>
    <row r="359" spans="2:8" x14ac:dyDescent="0.3">
      <c r="B359" s="198">
        <v>44446</v>
      </c>
      <c r="C359" s="192">
        <v>122.26</v>
      </c>
      <c r="D359" s="201">
        <f t="shared" si="12"/>
        <v>-1.3554945941584578E-2</v>
      </c>
      <c r="F359" s="196">
        <v>44446</v>
      </c>
      <c r="G359" s="190">
        <v>17362.099609375</v>
      </c>
      <c r="H359" s="201">
        <f t="shared" si="11"/>
        <v>-9.0351892466974189E-4</v>
      </c>
    </row>
    <row r="360" spans="2:8" x14ac:dyDescent="0.3">
      <c r="B360" s="198">
        <v>44447</v>
      </c>
      <c r="C360" s="192">
        <v>122.42</v>
      </c>
      <c r="D360" s="201">
        <f t="shared" si="12"/>
        <v>1.3086864060199296E-3</v>
      </c>
      <c r="F360" s="197">
        <v>44447</v>
      </c>
      <c r="G360" s="191">
        <v>17353.5</v>
      </c>
      <c r="H360" s="200">
        <f t="shared" si="11"/>
        <v>-4.9530929832682655E-4</v>
      </c>
    </row>
    <row r="361" spans="2:8" x14ac:dyDescent="0.3">
      <c r="B361" s="198">
        <v>44448</v>
      </c>
      <c r="C361" s="192">
        <v>123.43</v>
      </c>
      <c r="D361" s="201">
        <f t="shared" si="12"/>
        <v>8.2502859009966102E-3</v>
      </c>
      <c r="F361" s="196">
        <v>44448</v>
      </c>
      <c r="G361" s="190">
        <v>17369.25</v>
      </c>
      <c r="H361" s="201">
        <f t="shared" si="11"/>
        <v>9.0759789091537728E-4</v>
      </c>
    </row>
    <row r="362" spans="2:8" x14ac:dyDescent="0.3">
      <c r="B362" s="198">
        <v>44452</v>
      </c>
      <c r="C362" s="192">
        <v>122.54</v>
      </c>
      <c r="D362" s="201">
        <f t="shared" si="12"/>
        <v>-7.2105646925382854E-3</v>
      </c>
      <c r="F362" s="197">
        <v>44452</v>
      </c>
      <c r="G362" s="191">
        <v>17355.30078125</v>
      </c>
      <c r="H362" s="200">
        <f t="shared" si="11"/>
        <v>-8.0309850741972161E-4</v>
      </c>
    </row>
    <row r="363" spans="2:8" x14ac:dyDescent="0.3">
      <c r="B363" s="198">
        <v>44453</v>
      </c>
      <c r="C363" s="192">
        <v>122.9</v>
      </c>
      <c r="D363" s="201">
        <f t="shared" si="12"/>
        <v>2.9378162232740284E-3</v>
      </c>
      <c r="F363" s="196">
        <v>44453</v>
      </c>
      <c r="G363" s="190">
        <v>17380</v>
      </c>
      <c r="H363" s="201">
        <f t="shared" si="11"/>
        <v>1.4231512931590379E-3</v>
      </c>
    </row>
    <row r="364" spans="2:8" x14ac:dyDescent="0.3">
      <c r="B364" s="198">
        <v>44454</v>
      </c>
      <c r="C364" s="192">
        <v>123.45</v>
      </c>
      <c r="D364" s="201">
        <f t="shared" si="12"/>
        <v>4.4751830756712538E-3</v>
      </c>
      <c r="F364" s="197">
        <v>44454</v>
      </c>
      <c r="G364" s="191">
        <v>17519.44921875</v>
      </c>
      <c r="H364" s="200">
        <f t="shared" si="11"/>
        <v>8.0235453826237053E-3</v>
      </c>
    </row>
    <row r="365" spans="2:8" x14ac:dyDescent="0.3">
      <c r="B365" s="198">
        <v>44455</v>
      </c>
      <c r="C365" s="192">
        <v>123.2</v>
      </c>
      <c r="D365" s="201">
        <f t="shared" si="12"/>
        <v>-2.025111381125962E-3</v>
      </c>
      <c r="F365" s="196">
        <v>44455</v>
      </c>
      <c r="G365" s="190">
        <v>17629.5</v>
      </c>
      <c r="H365" s="201">
        <f t="shared" si="11"/>
        <v>6.2816347635072543E-3</v>
      </c>
    </row>
    <row r="366" spans="2:8" x14ac:dyDescent="0.3">
      <c r="B366" s="198">
        <v>44456</v>
      </c>
      <c r="C366" s="192">
        <v>116.39</v>
      </c>
      <c r="D366" s="201">
        <f t="shared" si="12"/>
        <v>-5.5275974025974041E-2</v>
      </c>
      <c r="F366" s="197">
        <v>44456</v>
      </c>
      <c r="G366" s="191">
        <v>17585.150390625</v>
      </c>
      <c r="H366" s="200">
        <f t="shared" si="11"/>
        <v>-2.5156476006126098E-3</v>
      </c>
    </row>
    <row r="367" spans="2:8" x14ac:dyDescent="0.3">
      <c r="B367" s="198">
        <v>44459</v>
      </c>
      <c r="C367" s="192">
        <v>115.63</v>
      </c>
      <c r="D367" s="201">
        <f t="shared" si="12"/>
        <v>-6.5297705988487421E-3</v>
      </c>
      <c r="F367" s="196">
        <v>44459</v>
      </c>
      <c r="G367" s="190">
        <v>17396.900390625</v>
      </c>
      <c r="H367" s="201">
        <f t="shared" si="11"/>
        <v>-1.0705054879733066E-2</v>
      </c>
    </row>
    <row r="368" spans="2:8" x14ac:dyDescent="0.3">
      <c r="B368" s="198">
        <v>44460</v>
      </c>
      <c r="C368" s="192">
        <v>121.17</v>
      </c>
      <c r="D368" s="201">
        <f t="shared" si="12"/>
        <v>4.7911441667387415E-2</v>
      </c>
      <c r="F368" s="197">
        <v>44460</v>
      </c>
      <c r="G368" s="191">
        <v>17562</v>
      </c>
      <c r="H368" s="200">
        <f t="shared" si="11"/>
        <v>9.4901738624640509E-3</v>
      </c>
    </row>
    <row r="369" spans="2:8" x14ac:dyDescent="0.3">
      <c r="B369" s="198">
        <v>44461</v>
      </c>
      <c r="C369" s="192">
        <v>120.86</v>
      </c>
      <c r="D369" s="201">
        <f t="shared" si="12"/>
        <v>-2.5583890401914854E-3</v>
      </c>
      <c r="F369" s="196">
        <v>44461</v>
      </c>
      <c r="G369" s="190">
        <v>17546.650390625</v>
      </c>
      <c r="H369" s="201">
        <f t="shared" si="11"/>
        <v>-8.7402399356565307E-4</v>
      </c>
    </row>
    <row r="370" spans="2:8" x14ac:dyDescent="0.3">
      <c r="B370" s="198">
        <v>44462</v>
      </c>
      <c r="C370" s="192">
        <v>122.84</v>
      </c>
      <c r="D370" s="201">
        <f t="shared" si="12"/>
        <v>1.6382591428098659E-2</v>
      </c>
      <c r="F370" s="197">
        <v>44462</v>
      </c>
      <c r="G370" s="191">
        <v>17822.94921875</v>
      </c>
      <c r="H370" s="200">
        <f t="shared" si="11"/>
        <v>1.5746528367181906E-2</v>
      </c>
    </row>
    <row r="371" spans="2:8" x14ac:dyDescent="0.3">
      <c r="B371" s="198">
        <v>44463</v>
      </c>
      <c r="C371" s="192">
        <v>122.49</v>
      </c>
      <c r="D371" s="201">
        <f t="shared" si="12"/>
        <v>-2.8492347769456896E-3</v>
      </c>
      <c r="F371" s="196">
        <v>44463</v>
      </c>
      <c r="G371" s="190">
        <v>17853.19921875</v>
      </c>
      <c r="H371" s="201">
        <f t="shared" si="11"/>
        <v>1.6972499684943592E-3</v>
      </c>
    </row>
    <row r="372" spans="2:8" x14ac:dyDescent="0.3">
      <c r="B372" s="198">
        <v>44466</v>
      </c>
      <c r="C372" s="192">
        <v>119.12</v>
      </c>
      <c r="D372" s="201">
        <f t="shared" si="12"/>
        <v>-2.7512449995917957E-2</v>
      </c>
      <c r="F372" s="197">
        <v>44466</v>
      </c>
      <c r="G372" s="191">
        <v>17855.099609375</v>
      </c>
      <c r="H372" s="200">
        <f t="shared" si="11"/>
        <v>1.0644538279750718E-4</v>
      </c>
    </row>
    <row r="373" spans="2:8" x14ac:dyDescent="0.3">
      <c r="B373" s="198">
        <v>44467</v>
      </c>
      <c r="C373" s="192">
        <v>119.63</v>
      </c>
      <c r="D373" s="201">
        <f t="shared" si="12"/>
        <v>4.2813969106782314E-3</v>
      </c>
      <c r="F373" s="196">
        <v>44467</v>
      </c>
      <c r="G373" s="190">
        <v>17748.599609375</v>
      </c>
      <c r="H373" s="201">
        <f t="shared" si="11"/>
        <v>-5.9646824901543032E-3</v>
      </c>
    </row>
    <row r="374" spans="2:8" x14ac:dyDescent="0.3">
      <c r="B374" s="198">
        <v>44468</v>
      </c>
      <c r="C374" s="192">
        <v>118.77</v>
      </c>
      <c r="D374" s="201">
        <f t="shared" si="12"/>
        <v>-7.1888322327175415E-3</v>
      </c>
      <c r="F374" s="197">
        <v>44468</v>
      </c>
      <c r="G374" s="191">
        <v>17711.30078125</v>
      </c>
      <c r="H374" s="200">
        <f t="shared" si="11"/>
        <v>-2.1015082285871364E-3</v>
      </c>
    </row>
    <row r="375" spans="2:8" x14ac:dyDescent="0.3">
      <c r="B375" s="198">
        <v>44469</v>
      </c>
      <c r="C375" s="192">
        <v>118.44</v>
      </c>
      <c r="D375" s="201">
        <f t="shared" si="12"/>
        <v>-2.7784794139934185E-3</v>
      </c>
      <c r="F375" s="196">
        <v>44469</v>
      </c>
      <c r="G375" s="190">
        <v>17618.150390625</v>
      </c>
      <c r="H375" s="201">
        <f t="shared" si="11"/>
        <v>-5.2593760207388773E-3</v>
      </c>
    </row>
    <row r="376" spans="2:8" x14ac:dyDescent="0.3">
      <c r="B376" s="198">
        <v>44470</v>
      </c>
      <c r="C376" s="192">
        <v>120.1</v>
      </c>
      <c r="D376" s="201">
        <f t="shared" si="12"/>
        <v>1.4015535292131008E-2</v>
      </c>
      <c r="F376" s="197">
        <v>44470</v>
      </c>
      <c r="G376" s="191">
        <v>17532.05078125</v>
      </c>
      <c r="H376" s="200">
        <f t="shared" si="11"/>
        <v>-4.8869834497959255E-3</v>
      </c>
    </row>
    <row r="377" spans="2:8" x14ac:dyDescent="0.3">
      <c r="B377" s="198">
        <v>44473</v>
      </c>
      <c r="C377" s="192">
        <v>120.95</v>
      </c>
      <c r="D377" s="201">
        <f t="shared" si="12"/>
        <v>7.0774354704413699E-3</v>
      </c>
      <c r="F377" s="196">
        <v>44473</v>
      </c>
      <c r="G377" s="190">
        <v>17691.25</v>
      </c>
      <c r="H377" s="201">
        <f t="shared" si="11"/>
        <v>9.080467581137671E-3</v>
      </c>
    </row>
    <row r="378" spans="2:8" x14ac:dyDescent="0.3">
      <c r="B378" s="198">
        <v>44474</v>
      </c>
      <c r="C378" s="192">
        <v>120.59</v>
      </c>
      <c r="D378" s="201">
        <f t="shared" si="12"/>
        <v>-2.9764365440264526E-3</v>
      </c>
      <c r="F378" s="197">
        <v>44474</v>
      </c>
      <c r="G378" s="191">
        <v>17822.30078125</v>
      </c>
      <c r="H378" s="200">
        <f t="shared" si="11"/>
        <v>7.4076609199463014E-3</v>
      </c>
    </row>
    <row r="379" spans="2:8" x14ac:dyDescent="0.3">
      <c r="B379" s="198">
        <v>44475</v>
      </c>
      <c r="C379" s="192">
        <v>118.23</v>
      </c>
      <c r="D379" s="201">
        <f t="shared" si="12"/>
        <v>-1.9570445310556427E-2</v>
      </c>
      <c r="F379" s="196">
        <v>44475</v>
      </c>
      <c r="G379" s="190">
        <v>17646</v>
      </c>
      <c r="H379" s="201">
        <f t="shared" si="11"/>
        <v>-9.8921448702895716E-3</v>
      </c>
    </row>
    <row r="380" spans="2:8" x14ac:dyDescent="0.3">
      <c r="B380" s="198">
        <v>44476</v>
      </c>
      <c r="C380" s="192">
        <v>119.54</v>
      </c>
      <c r="D380" s="201">
        <f t="shared" si="12"/>
        <v>1.1080098113845912E-2</v>
      </c>
      <c r="F380" s="197">
        <v>44476</v>
      </c>
      <c r="G380" s="191">
        <v>17790.349609375</v>
      </c>
      <c r="H380" s="200">
        <f t="shared" si="11"/>
        <v>8.1803020160376282E-3</v>
      </c>
    </row>
    <row r="381" spans="2:8" x14ac:dyDescent="0.3">
      <c r="B381" s="198">
        <v>44477</v>
      </c>
      <c r="C381" s="192">
        <v>118.85</v>
      </c>
      <c r="D381" s="201">
        <f t="shared" si="12"/>
        <v>-5.7721264848587242E-3</v>
      </c>
      <c r="F381" s="196">
        <v>44477</v>
      </c>
      <c r="G381" s="190">
        <v>17895.19921875</v>
      </c>
      <c r="H381" s="201">
        <f t="shared" si="11"/>
        <v>5.8936227604963589E-3</v>
      </c>
    </row>
    <row r="382" spans="2:8" x14ac:dyDescent="0.3">
      <c r="B382" s="198">
        <v>44480</v>
      </c>
      <c r="C382" s="192">
        <v>120.54</v>
      </c>
      <c r="D382" s="201">
        <f t="shared" si="12"/>
        <v>1.4219604543542382E-2</v>
      </c>
      <c r="F382" s="197">
        <v>44480</v>
      </c>
      <c r="G382" s="191">
        <v>17945.94921875</v>
      </c>
      <c r="H382" s="200">
        <f t="shared" si="11"/>
        <v>2.8359561343595336E-3</v>
      </c>
    </row>
    <row r="383" spans="2:8" x14ac:dyDescent="0.3">
      <c r="B383" s="198">
        <v>44481</v>
      </c>
      <c r="C383" s="192">
        <v>120.03</v>
      </c>
      <c r="D383" s="201">
        <f t="shared" si="12"/>
        <v>-4.2309606769537506E-3</v>
      </c>
      <c r="F383" s="196">
        <v>44481</v>
      </c>
      <c r="G383" s="190">
        <v>17991.94921875</v>
      </c>
      <c r="H383" s="201">
        <f t="shared" si="11"/>
        <v>2.5632525445875558E-3</v>
      </c>
    </row>
    <row r="384" spans="2:8" x14ac:dyDescent="0.3">
      <c r="B384" s="198">
        <v>44482</v>
      </c>
      <c r="C384" s="192">
        <v>118.36</v>
      </c>
      <c r="D384" s="201">
        <f t="shared" si="12"/>
        <v>-1.3913188369574288E-2</v>
      </c>
      <c r="F384" s="197">
        <v>44482</v>
      </c>
      <c r="G384" s="191">
        <v>18161.75</v>
      </c>
      <c r="H384" s="200">
        <f t="shared" si="11"/>
        <v>9.4375978492116375E-3</v>
      </c>
    </row>
    <row r="385" spans="2:8" x14ac:dyDescent="0.3">
      <c r="B385" s="198">
        <v>44483</v>
      </c>
      <c r="C385" s="192">
        <v>118.5</v>
      </c>
      <c r="D385" s="201">
        <f t="shared" si="12"/>
        <v>1.1828320378506299E-3</v>
      </c>
      <c r="F385" s="196">
        <v>44483</v>
      </c>
      <c r="G385" s="190">
        <v>18338.55078125</v>
      </c>
      <c r="H385" s="201">
        <f t="shared" si="11"/>
        <v>9.7347877407188178E-3</v>
      </c>
    </row>
    <row r="386" spans="2:8" x14ac:dyDescent="0.3">
      <c r="B386" s="198">
        <v>44487</v>
      </c>
      <c r="C386" s="192">
        <v>118.79</v>
      </c>
      <c r="D386" s="201">
        <f t="shared" si="12"/>
        <v>2.4472573839662976E-3</v>
      </c>
      <c r="F386" s="197">
        <v>44487</v>
      </c>
      <c r="G386" s="191">
        <v>18477.05078125</v>
      </c>
      <c r="H386" s="200">
        <f t="shared" si="11"/>
        <v>7.5523961327198996E-3</v>
      </c>
    </row>
    <row r="387" spans="2:8" x14ac:dyDescent="0.3">
      <c r="B387" s="198">
        <v>44488</v>
      </c>
      <c r="C387" s="192">
        <v>119.37</v>
      </c>
      <c r="D387" s="201">
        <f t="shared" si="12"/>
        <v>4.8825658725481797E-3</v>
      </c>
      <c r="F387" s="196">
        <v>44488</v>
      </c>
      <c r="G387" s="190">
        <v>18418.75</v>
      </c>
      <c r="H387" s="201">
        <f t="shared" si="11"/>
        <v>-3.1553077349964326E-3</v>
      </c>
    </row>
    <row r="388" spans="2:8" x14ac:dyDescent="0.3">
      <c r="B388" s="198">
        <v>44489</v>
      </c>
      <c r="C388" s="192">
        <v>112.24</v>
      </c>
      <c r="D388" s="201">
        <f t="shared" si="12"/>
        <v>-5.9730250481695647E-2</v>
      </c>
      <c r="F388" s="197">
        <v>44489</v>
      </c>
      <c r="G388" s="191">
        <v>18266.599609375</v>
      </c>
      <c r="H388" s="200">
        <f t="shared" si="11"/>
        <v>-8.2606252120800815E-3</v>
      </c>
    </row>
    <row r="389" spans="2:8" x14ac:dyDescent="0.3">
      <c r="B389" s="198">
        <v>44490</v>
      </c>
      <c r="C389" s="192">
        <v>109.46</v>
      </c>
      <c r="D389" s="201">
        <f t="shared" si="12"/>
        <v>-2.4768353528153968E-2</v>
      </c>
      <c r="F389" s="196">
        <v>44490</v>
      </c>
      <c r="G389" s="190">
        <v>18178.099609375</v>
      </c>
      <c r="H389" s="201">
        <f t="shared" si="11"/>
        <v>-4.8449082967023036E-3</v>
      </c>
    </row>
    <row r="390" spans="2:8" x14ac:dyDescent="0.3">
      <c r="B390" s="198">
        <v>44491</v>
      </c>
      <c r="C390" s="192">
        <v>109.58</v>
      </c>
      <c r="D390" s="201">
        <f t="shared" si="12"/>
        <v>1.0962908825142021E-3</v>
      </c>
      <c r="F390" s="197">
        <v>44491</v>
      </c>
      <c r="G390" s="191">
        <v>18114.900390625</v>
      </c>
      <c r="H390" s="200">
        <f t="shared" ref="H390:H453" si="13">(G390-G389)/G389</f>
        <v>-3.4766680845673349E-3</v>
      </c>
    </row>
    <row r="391" spans="2:8" x14ac:dyDescent="0.3">
      <c r="B391" s="198">
        <v>44494</v>
      </c>
      <c r="C391" s="192">
        <v>108.21</v>
      </c>
      <c r="D391" s="201">
        <f t="shared" si="12"/>
        <v>-1.2502281438218694E-2</v>
      </c>
      <c r="F391" s="196">
        <v>44494</v>
      </c>
      <c r="G391" s="190">
        <v>18125.400390625</v>
      </c>
      <c r="H391" s="201">
        <f t="shared" si="13"/>
        <v>5.7963332801068358E-4</v>
      </c>
    </row>
    <row r="392" spans="2:8" x14ac:dyDescent="0.3">
      <c r="B392" s="198">
        <v>44495</v>
      </c>
      <c r="C392" s="192">
        <v>108.76</v>
      </c>
      <c r="D392" s="201">
        <f t="shared" si="12"/>
        <v>5.0827095462527621E-3</v>
      </c>
      <c r="F392" s="197">
        <v>44495</v>
      </c>
      <c r="G392" s="191">
        <v>18268.400390625</v>
      </c>
      <c r="H392" s="200">
        <f t="shared" si="13"/>
        <v>7.8894808897001737E-3</v>
      </c>
    </row>
    <row r="393" spans="2:8" x14ac:dyDescent="0.3">
      <c r="B393" s="198">
        <v>44496</v>
      </c>
      <c r="C393" s="192">
        <v>107.64</v>
      </c>
      <c r="D393" s="201">
        <f t="shared" si="12"/>
        <v>-1.0297903641044543E-2</v>
      </c>
      <c r="F393" s="196">
        <v>44496</v>
      </c>
      <c r="G393" s="190">
        <v>18210.94921875</v>
      </c>
      <c r="H393" s="201">
        <f t="shared" si="13"/>
        <v>-3.144838663842887E-3</v>
      </c>
    </row>
    <row r="394" spans="2:8" x14ac:dyDescent="0.3">
      <c r="B394" s="198">
        <v>44497</v>
      </c>
      <c r="C394" s="192">
        <v>108.65</v>
      </c>
      <c r="D394" s="201">
        <f t="shared" si="12"/>
        <v>9.3831289483463868E-3</v>
      </c>
      <c r="F394" s="197">
        <v>44497</v>
      </c>
      <c r="G394" s="191">
        <v>17857.25</v>
      </c>
      <c r="H394" s="200">
        <f t="shared" si="13"/>
        <v>-1.942233842406365E-2</v>
      </c>
    </row>
    <row r="395" spans="2:8" x14ac:dyDescent="0.3">
      <c r="B395" s="198">
        <v>44498</v>
      </c>
      <c r="C395" s="192">
        <v>112.07</v>
      </c>
      <c r="D395" s="201">
        <f t="shared" si="12"/>
        <v>3.1477220432581568E-2</v>
      </c>
      <c r="F395" s="196">
        <v>44498</v>
      </c>
      <c r="G395" s="190">
        <v>17671.650390625</v>
      </c>
      <c r="H395" s="201">
        <f t="shared" si="13"/>
        <v>-1.0393515763905417E-2</v>
      </c>
    </row>
    <row r="396" spans="2:8" x14ac:dyDescent="0.3">
      <c r="B396" s="198">
        <v>44501</v>
      </c>
      <c r="C396" s="192">
        <v>121.58</v>
      </c>
      <c r="D396" s="201">
        <f t="shared" si="12"/>
        <v>8.4857678236816322E-2</v>
      </c>
      <c r="F396" s="197">
        <v>44501</v>
      </c>
      <c r="G396" s="191">
        <v>17929.650390625</v>
      </c>
      <c r="H396" s="200">
        <f t="shared" si="13"/>
        <v>1.4599655057507915E-2</v>
      </c>
    </row>
    <row r="397" spans="2:8" x14ac:dyDescent="0.3">
      <c r="B397" s="198">
        <v>44502</v>
      </c>
      <c r="C397" s="192">
        <v>121.13</v>
      </c>
      <c r="D397" s="201">
        <f t="shared" si="12"/>
        <v>-3.7012666556999743E-3</v>
      </c>
      <c r="F397" s="196">
        <v>44502</v>
      </c>
      <c r="G397" s="190">
        <v>17888.94921875</v>
      </c>
      <c r="H397" s="201">
        <f t="shared" si="13"/>
        <v>-2.2700482713417379E-3</v>
      </c>
    </row>
    <row r="398" spans="2:8" x14ac:dyDescent="0.3">
      <c r="B398" s="198">
        <v>44503</v>
      </c>
      <c r="C398" s="192">
        <v>123.76</v>
      </c>
      <c r="D398" s="201">
        <f t="shared" si="12"/>
        <v>2.1712210022290183E-2</v>
      </c>
      <c r="F398" s="197">
        <v>44503</v>
      </c>
      <c r="G398" s="191">
        <v>17829.19921875</v>
      </c>
      <c r="H398" s="200">
        <f t="shared" si="13"/>
        <v>-3.3400508475575552E-3</v>
      </c>
    </row>
    <row r="399" spans="2:8" x14ac:dyDescent="0.3">
      <c r="B399" s="198">
        <v>44504</v>
      </c>
      <c r="C399" s="192">
        <v>123.63</v>
      </c>
      <c r="D399" s="201">
        <f t="shared" si="12"/>
        <v>-1.0504201680673049E-3</v>
      </c>
      <c r="F399" s="196">
        <v>44504</v>
      </c>
      <c r="G399" s="190">
        <v>17916.80078125</v>
      </c>
      <c r="H399" s="201">
        <f t="shared" si="13"/>
        <v>4.9133761659847404E-3</v>
      </c>
    </row>
    <row r="400" spans="2:8" x14ac:dyDescent="0.3">
      <c r="B400" s="198">
        <v>44508</v>
      </c>
      <c r="C400" s="192">
        <v>132.6</v>
      </c>
      <c r="D400" s="201">
        <f t="shared" si="12"/>
        <v>7.2555205047318605E-2</v>
      </c>
      <c r="F400" s="197">
        <v>44508</v>
      </c>
      <c r="G400" s="191">
        <v>18068.55078125</v>
      </c>
      <c r="H400" s="200">
        <f t="shared" si="13"/>
        <v>8.4697040421863115E-3</v>
      </c>
    </row>
    <row r="401" spans="2:8" x14ac:dyDescent="0.3">
      <c r="B401" s="198">
        <v>44509</v>
      </c>
      <c r="C401" s="192">
        <v>127.47</v>
      </c>
      <c r="D401" s="201">
        <f t="shared" si="12"/>
        <v>-3.8687782805429831E-2</v>
      </c>
      <c r="F401" s="196">
        <v>44509</v>
      </c>
      <c r="G401" s="190">
        <v>18044.25</v>
      </c>
      <c r="H401" s="201">
        <f t="shared" si="13"/>
        <v>-1.3449214352717915E-3</v>
      </c>
    </row>
    <row r="402" spans="2:8" x14ac:dyDescent="0.3">
      <c r="B402" s="198">
        <v>44510</v>
      </c>
      <c r="C402" s="192">
        <v>125.05</v>
      </c>
      <c r="D402" s="201">
        <f t="shared" si="12"/>
        <v>-1.8984859182552771E-2</v>
      </c>
      <c r="F402" s="197">
        <v>44510</v>
      </c>
      <c r="G402" s="191">
        <v>18017.19921875</v>
      </c>
      <c r="H402" s="200">
        <f t="shared" si="13"/>
        <v>-1.499135805034845E-3</v>
      </c>
    </row>
    <row r="403" spans="2:8" x14ac:dyDescent="0.3">
      <c r="B403" s="198">
        <v>44511</v>
      </c>
      <c r="C403" s="192">
        <v>121.6</v>
      </c>
      <c r="D403" s="201">
        <f t="shared" si="12"/>
        <v>-2.7588964414234328E-2</v>
      </c>
      <c r="F403" s="196">
        <v>44511</v>
      </c>
      <c r="G403" s="190">
        <v>17873.599609375</v>
      </c>
      <c r="H403" s="201">
        <f t="shared" si="13"/>
        <v>-7.970140510271978E-3</v>
      </c>
    </row>
    <row r="404" spans="2:8" x14ac:dyDescent="0.3">
      <c r="B404" s="198">
        <v>44512</v>
      </c>
      <c r="C404" s="192">
        <v>128.22999999999999</v>
      </c>
      <c r="D404" s="201">
        <f t="shared" si="12"/>
        <v>5.4523026315789438E-2</v>
      </c>
      <c r="F404" s="197">
        <v>44512</v>
      </c>
      <c r="G404" s="191">
        <v>18102.75</v>
      </c>
      <c r="H404" s="200">
        <f t="shared" si="13"/>
        <v>1.2820606684330492E-2</v>
      </c>
    </row>
    <row r="405" spans="2:8" x14ac:dyDescent="0.3">
      <c r="B405" s="198">
        <v>44515</v>
      </c>
      <c r="C405" s="192">
        <v>123.07</v>
      </c>
      <c r="D405" s="201">
        <f t="shared" si="12"/>
        <v>-4.0240193402479897E-2</v>
      </c>
      <c r="F405" s="196">
        <v>44515</v>
      </c>
      <c r="G405" s="190">
        <v>18109.44921875</v>
      </c>
      <c r="H405" s="201">
        <f t="shared" si="13"/>
        <v>3.7006635732140142E-4</v>
      </c>
    </row>
    <row r="406" spans="2:8" x14ac:dyDescent="0.3">
      <c r="B406" s="198">
        <v>44516</v>
      </c>
      <c r="C406" s="192">
        <v>121.65</v>
      </c>
      <c r="D406" s="201">
        <f t="shared" si="12"/>
        <v>-1.1538149020882323E-2</v>
      </c>
      <c r="F406" s="197">
        <v>44516</v>
      </c>
      <c r="G406" s="191">
        <v>17999.19921875</v>
      </c>
      <c r="H406" s="200">
        <f t="shared" si="13"/>
        <v>-6.0879819517564533E-3</v>
      </c>
    </row>
    <row r="407" spans="2:8" x14ac:dyDescent="0.3">
      <c r="B407" s="198">
        <v>44517</v>
      </c>
      <c r="C407" s="192">
        <v>122.81</v>
      </c>
      <c r="D407" s="201">
        <f t="shared" si="12"/>
        <v>9.5355528154541427E-3</v>
      </c>
      <c r="F407" s="196">
        <v>44517</v>
      </c>
      <c r="G407" s="190">
        <v>17898.650390625</v>
      </c>
      <c r="H407" s="201">
        <f t="shared" si="13"/>
        <v>-5.5862945291619958E-3</v>
      </c>
    </row>
    <row r="408" spans="2:8" x14ac:dyDescent="0.3">
      <c r="B408" s="198">
        <v>44518</v>
      </c>
      <c r="C408" s="192">
        <v>125.3</v>
      </c>
      <c r="D408" s="201">
        <f t="shared" si="12"/>
        <v>2.0275221887468404E-2</v>
      </c>
      <c r="F408" s="197">
        <v>44518</v>
      </c>
      <c r="G408" s="191">
        <v>17764.80078125</v>
      </c>
      <c r="H408" s="200">
        <f t="shared" si="13"/>
        <v>-7.4781956434608098E-3</v>
      </c>
    </row>
    <row r="409" spans="2:8" x14ac:dyDescent="0.3">
      <c r="B409" s="198">
        <v>44522</v>
      </c>
      <c r="C409" s="192">
        <v>120.42</v>
      </c>
      <c r="D409" s="201">
        <f t="shared" si="12"/>
        <v>-3.8946528332003155E-2</v>
      </c>
      <c r="F409" s="196">
        <v>44522</v>
      </c>
      <c r="G409" s="190">
        <v>17416.55078125</v>
      </c>
      <c r="H409" s="201">
        <f t="shared" si="13"/>
        <v>-1.96033721001568E-2</v>
      </c>
    </row>
    <row r="410" spans="2:8" x14ac:dyDescent="0.3">
      <c r="B410" s="198">
        <v>44523</v>
      </c>
      <c r="C410" s="192">
        <v>121.27</v>
      </c>
      <c r="D410" s="201">
        <f t="shared" si="12"/>
        <v>7.0586281348612714E-3</v>
      </c>
      <c r="F410" s="197">
        <v>44523</v>
      </c>
      <c r="G410" s="191">
        <v>17503.349609375</v>
      </c>
      <c r="H410" s="200">
        <f t="shared" si="13"/>
        <v>4.9836979327987458E-3</v>
      </c>
    </row>
    <row r="411" spans="2:8" x14ac:dyDescent="0.3">
      <c r="B411" s="198">
        <v>44524</v>
      </c>
      <c r="C411" s="192">
        <v>120.82</v>
      </c>
      <c r="D411" s="201">
        <f t="shared" si="12"/>
        <v>-3.7107281273192285E-3</v>
      </c>
      <c r="F411" s="196">
        <v>44524</v>
      </c>
      <c r="G411" s="190">
        <v>17415.05078125</v>
      </c>
      <c r="H411" s="201">
        <f t="shared" si="13"/>
        <v>-5.0446817378146927E-3</v>
      </c>
    </row>
    <row r="412" spans="2:8" x14ac:dyDescent="0.3">
      <c r="B412" s="198">
        <v>44525</v>
      </c>
      <c r="C412" s="192">
        <v>120.24</v>
      </c>
      <c r="D412" s="201">
        <f t="shared" si="12"/>
        <v>-4.8005297136235582E-3</v>
      </c>
      <c r="F412" s="197">
        <v>44525</v>
      </c>
      <c r="G412" s="191">
        <v>17536.25</v>
      </c>
      <c r="H412" s="200">
        <f t="shared" si="13"/>
        <v>6.9594525030320176E-3</v>
      </c>
    </row>
    <row r="413" spans="2:8" x14ac:dyDescent="0.3">
      <c r="B413" s="198">
        <v>44526</v>
      </c>
      <c r="C413" s="192">
        <v>116.62</v>
      </c>
      <c r="D413" s="201">
        <f t="shared" si="12"/>
        <v>-3.0106453759148291E-2</v>
      </c>
      <c r="F413" s="196">
        <v>44526</v>
      </c>
      <c r="G413" s="190">
        <v>17026.44921875</v>
      </c>
      <c r="H413" s="201">
        <f t="shared" si="13"/>
        <v>-2.9071254187753939E-2</v>
      </c>
    </row>
    <row r="414" spans="2:8" x14ac:dyDescent="0.3">
      <c r="B414" s="198">
        <v>44529</v>
      </c>
      <c r="C414" s="192">
        <v>115.12</v>
      </c>
      <c r="D414" s="201">
        <f t="shared" si="12"/>
        <v>-1.2862287772251757E-2</v>
      </c>
      <c r="F414" s="197">
        <v>44529</v>
      </c>
      <c r="G414" s="191">
        <v>17053.94921875</v>
      </c>
      <c r="H414" s="200">
        <f t="shared" si="13"/>
        <v>1.615134174289037E-3</v>
      </c>
    </row>
    <row r="415" spans="2:8" x14ac:dyDescent="0.3">
      <c r="B415" s="198">
        <v>44530</v>
      </c>
      <c r="C415" s="192">
        <v>117.62</v>
      </c>
      <c r="D415" s="201">
        <f t="shared" si="12"/>
        <v>2.1716469770674079E-2</v>
      </c>
      <c r="F415" s="196">
        <v>44530</v>
      </c>
      <c r="G415" s="190">
        <v>16983.19921875</v>
      </c>
      <c r="H415" s="201">
        <f t="shared" si="13"/>
        <v>-4.1485991949720222E-3</v>
      </c>
    </row>
    <row r="416" spans="2:8" x14ac:dyDescent="0.3">
      <c r="B416" s="198">
        <v>44531</v>
      </c>
      <c r="C416" s="192">
        <v>117.55</v>
      </c>
      <c r="D416" s="201">
        <f t="shared" si="12"/>
        <v>-5.9513688148280387E-4</v>
      </c>
      <c r="F416" s="197">
        <v>44531</v>
      </c>
      <c r="G416" s="191">
        <v>17166.900390625</v>
      </c>
      <c r="H416" s="200">
        <f t="shared" si="13"/>
        <v>1.0816641170421411E-2</v>
      </c>
    </row>
    <row r="417" spans="2:8" x14ac:dyDescent="0.3">
      <c r="B417" s="198">
        <v>44532</v>
      </c>
      <c r="C417" s="192">
        <v>120.21</v>
      </c>
      <c r="D417" s="201">
        <f t="shared" ref="D417:D480" si="14">(C417-C416)/C416</f>
        <v>2.2628668651637571E-2</v>
      </c>
      <c r="F417" s="196">
        <v>44532</v>
      </c>
      <c r="G417" s="190">
        <v>17401.650390625</v>
      </c>
      <c r="H417" s="201">
        <f t="shared" si="13"/>
        <v>1.3674571102433792E-2</v>
      </c>
    </row>
    <row r="418" spans="2:8" x14ac:dyDescent="0.3">
      <c r="B418" s="198">
        <v>44533</v>
      </c>
      <c r="C418" s="192">
        <v>115.87</v>
      </c>
      <c r="D418" s="201">
        <f t="shared" si="14"/>
        <v>-3.6103485566924463E-2</v>
      </c>
      <c r="F418" s="197">
        <v>44533</v>
      </c>
      <c r="G418" s="191">
        <v>17196.69921875</v>
      </c>
      <c r="H418" s="200">
        <f t="shared" si="13"/>
        <v>-1.1777685867394267E-2</v>
      </c>
    </row>
    <row r="419" spans="2:8" x14ac:dyDescent="0.3">
      <c r="B419" s="198">
        <v>44536</v>
      </c>
      <c r="C419" s="192">
        <v>116.84</v>
      </c>
      <c r="D419" s="201">
        <f t="shared" si="14"/>
        <v>8.3714507637869928E-3</v>
      </c>
      <c r="F419" s="196">
        <v>44536</v>
      </c>
      <c r="G419" s="190">
        <v>16912.25</v>
      </c>
      <c r="H419" s="201">
        <f t="shared" si="13"/>
        <v>-1.6540919575999662E-2</v>
      </c>
    </row>
    <row r="420" spans="2:8" x14ac:dyDescent="0.3">
      <c r="B420" s="198">
        <v>44537</v>
      </c>
      <c r="C420" s="192">
        <v>114.98</v>
      </c>
      <c r="D420" s="201">
        <f t="shared" si="14"/>
        <v>-1.5919205751454977E-2</v>
      </c>
      <c r="F420" s="197">
        <v>44537</v>
      </c>
      <c r="G420" s="191">
        <v>17176.69921875</v>
      </c>
      <c r="H420" s="200">
        <f t="shared" si="13"/>
        <v>1.5636548581649395E-2</v>
      </c>
    </row>
    <row r="421" spans="2:8" x14ac:dyDescent="0.3">
      <c r="B421" s="198">
        <v>44538</v>
      </c>
      <c r="C421" s="192">
        <v>117.68</v>
      </c>
      <c r="D421" s="201">
        <f t="shared" si="14"/>
        <v>2.3482344755609695E-2</v>
      </c>
      <c r="F421" s="196">
        <v>44538</v>
      </c>
      <c r="G421" s="190">
        <v>17469.75</v>
      </c>
      <c r="H421" s="201">
        <f t="shared" si="13"/>
        <v>1.7060948527881727E-2</v>
      </c>
    </row>
    <row r="422" spans="2:8" x14ac:dyDescent="0.3">
      <c r="B422" s="198">
        <v>44539</v>
      </c>
      <c r="C422" s="192">
        <v>117.95</v>
      </c>
      <c r="D422" s="201">
        <f t="shared" si="14"/>
        <v>2.2943575798776003E-3</v>
      </c>
      <c r="F422" s="197">
        <v>44539</v>
      </c>
      <c r="G422" s="191">
        <v>17516.849609375</v>
      </c>
      <c r="H422" s="200">
        <f t="shared" si="13"/>
        <v>2.6960665936833668E-3</v>
      </c>
    </row>
    <row r="423" spans="2:8" x14ac:dyDescent="0.3">
      <c r="B423" s="198">
        <v>44540</v>
      </c>
      <c r="C423" s="192">
        <v>117.6</v>
      </c>
      <c r="D423" s="201">
        <f t="shared" si="14"/>
        <v>-2.967359050445176E-3</v>
      </c>
      <c r="F423" s="196">
        <v>44540</v>
      </c>
      <c r="G423" s="190">
        <v>17511.30078125</v>
      </c>
      <c r="H423" s="201">
        <f t="shared" si="13"/>
        <v>-3.1677089480920548E-4</v>
      </c>
    </row>
    <row r="424" spans="2:8" x14ac:dyDescent="0.3">
      <c r="B424" s="198">
        <v>44543</v>
      </c>
      <c r="C424" s="192">
        <v>119.04</v>
      </c>
      <c r="D424" s="201">
        <f t="shared" si="14"/>
        <v>1.2244897959183775E-2</v>
      </c>
      <c r="F424" s="197">
        <v>44543</v>
      </c>
      <c r="G424" s="191">
        <v>17368.25</v>
      </c>
      <c r="H424" s="200">
        <f t="shared" si="13"/>
        <v>-8.1690551168631508E-3</v>
      </c>
    </row>
    <row r="425" spans="2:8" x14ac:dyDescent="0.3">
      <c r="B425" s="198">
        <v>44544</v>
      </c>
      <c r="C425" s="192">
        <v>119.93</v>
      </c>
      <c r="D425" s="201">
        <f t="shared" si="14"/>
        <v>7.4764784946236605E-3</v>
      </c>
      <c r="F425" s="196">
        <v>44544</v>
      </c>
      <c r="G425" s="190">
        <v>17324.900390625</v>
      </c>
      <c r="H425" s="201">
        <f t="shared" si="13"/>
        <v>-2.4959111813222402E-3</v>
      </c>
    </row>
    <row r="426" spans="2:8" x14ac:dyDescent="0.3">
      <c r="B426" s="198">
        <v>44545</v>
      </c>
      <c r="C426" s="192">
        <v>119.08</v>
      </c>
      <c r="D426" s="201">
        <f t="shared" si="14"/>
        <v>-7.0874676894856041E-3</v>
      </c>
      <c r="F426" s="197">
        <v>44545</v>
      </c>
      <c r="G426" s="191">
        <v>17221.400390625</v>
      </c>
      <c r="H426" s="200">
        <f t="shared" si="13"/>
        <v>-5.9740603216401067E-3</v>
      </c>
    </row>
    <row r="427" spans="2:8" x14ac:dyDescent="0.3">
      <c r="B427" s="198">
        <v>44546</v>
      </c>
      <c r="C427" s="192">
        <v>115.45</v>
      </c>
      <c r="D427" s="201">
        <f t="shared" si="14"/>
        <v>-3.0483708431306648E-2</v>
      </c>
      <c r="F427" s="196">
        <v>44546</v>
      </c>
      <c r="G427" s="190">
        <v>17248.400390625</v>
      </c>
      <c r="H427" s="201">
        <f t="shared" si="13"/>
        <v>1.5678167505296654E-3</v>
      </c>
    </row>
    <row r="428" spans="2:8" x14ac:dyDescent="0.3">
      <c r="B428" s="198">
        <v>44547</v>
      </c>
      <c r="C428" s="192">
        <v>114.29</v>
      </c>
      <c r="D428" s="201">
        <f t="shared" si="14"/>
        <v>-1.0047639670853153E-2</v>
      </c>
      <c r="F428" s="197">
        <v>44547</v>
      </c>
      <c r="G428" s="191">
        <v>16985.19921875</v>
      </c>
      <c r="H428" s="200">
        <f t="shared" si="13"/>
        <v>-1.525945397337004E-2</v>
      </c>
    </row>
    <row r="429" spans="2:8" x14ac:dyDescent="0.3">
      <c r="B429" s="198">
        <v>44550</v>
      </c>
      <c r="C429" s="192">
        <v>109.23</v>
      </c>
      <c r="D429" s="201">
        <f t="shared" si="14"/>
        <v>-4.4273339749759402E-2</v>
      </c>
      <c r="F429" s="196">
        <v>44550</v>
      </c>
      <c r="G429" s="190">
        <v>16614.19921875</v>
      </c>
      <c r="H429" s="201">
        <f t="shared" si="13"/>
        <v>-2.1842546279377886E-2</v>
      </c>
    </row>
    <row r="430" spans="2:8" x14ac:dyDescent="0.3">
      <c r="B430" s="198">
        <v>44551</v>
      </c>
      <c r="C430" s="192">
        <v>110.75</v>
      </c>
      <c r="D430" s="201">
        <f t="shared" si="14"/>
        <v>1.3915590954865843E-2</v>
      </c>
      <c r="F430" s="197">
        <v>44551</v>
      </c>
      <c r="G430" s="191">
        <v>16770.849609375</v>
      </c>
      <c r="H430" s="200">
        <f t="shared" si="13"/>
        <v>9.4287054442089378E-3</v>
      </c>
    </row>
    <row r="431" spans="2:8" x14ac:dyDescent="0.3">
      <c r="B431" s="198">
        <v>44552</v>
      </c>
      <c r="C431" s="192">
        <v>111.94</v>
      </c>
      <c r="D431" s="201">
        <f t="shared" si="14"/>
        <v>1.074492099322797E-2</v>
      </c>
      <c r="F431" s="196">
        <v>44552</v>
      </c>
      <c r="G431" s="190">
        <v>16955.44921875</v>
      </c>
      <c r="H431" s="201">
        <f t="shared" si="13"/>
        <v>1.1007170994593368E-2</v>
      </c>
    </row>
    <row r="432" spans="2:8" x14ac:dyDescent="0.3">
      <c r="B432" s="198">
        <v>44553</v>
      </c>
      <c r="C432" s="192">
        <v>112.1</v>
      </c>
      <c r="D432" s="201">
        <f t="shared" si="14"/>
        <v>1.4293371448990226E-3</v>
      </c>
      <c r="F432" s="197">
        <v>44553</v>
      </c>
      <c r="G432" s="191">
        <v>17072.599609375</v>
      </c>
      <c r="H432" s="200">
        <f t="shared" si="13"/>
        <v>6.9093062126275315E-3</v>
      </c>
    </row>
    <row r="433" spans="2:8" x14ac:dyDescent="0.3">
      <c r="B433" s="198">
        <v>44554</v>
      </c>
      <c r="C433" s="192">
        <v>110.76</v>
      </c>
      <c r="D433" s="201">
        <f t="shared" si="14"/>
        <v>-1.195361284567341E-2</v>
      </c>
      <c r="F433" s="196">
        <v>44554</v>
      </c>
      <c r="G433" s="190">
        <v>17003.75</v>
      </c>
      <c r="H433" s="201">
        <f t="shared" si="13"/>
        <v>-4.0327548791803756E-3</v>
      </c>
    </row>
    <row r="434" spans="2:8" x14ac:dyDescent="0.3">
      <c r="B434" s="198">
        <v>44557</v>
      </c>
      <c r="C434" s="192">
        <v>112.81</v>
      </c>
      <c r="D434" s="201">
        <f t="shared" si="14"/>
        <v>1.8508486818345948E-2</v>
      </c>
      <c r="F434" s="197">
        <v>44557</v>
      </c>
      <c r="G434" s="191">
        <v>17086.25</v>
      </c>
      <c r="H434" s="200">
        <f t="shared" si="13"/>
        <v>4.8518709108284937E-3</v>
      </c>
    </row>
    <row r="435" spans="2:8" x14ac:dyDescent="0.3">
      <c r="B435" s="198">
        <v>44558</v>
      </c>
      <c r="C435" s="192">
        <v>114.77</v>
      </c>
      <c r="D435" s="201">
        <f t="shared" si="14"/>
        <v>1.7374346245900129E-2</v>
      </c>
      <c r="F435" s="196">
        <v>44558</v>
      </c>
      <c r="G435" s="190">
        <v>17233.25</v>
      </c>
      <c r="H435" s="201">
        <f t="shared" si="13"/>
        <v>8.6034091740434561E-3</v>
      </c>
    </row>
    <row r="436" spans="2:8" x14ac:dyDescent="0.3">
      <c r="B436" s="198">
        <v>44559</v>
      </c>
      <c r="C436" s="192">
        <v>116.86</v>
      </c>
      <c r="D436" s="201">
        <f t="shared" si="14"/>
        <v>1.8210333710900091E-2</v>
      </c>
      <c r="F436" s="197">
        <v>44559</v>
      </c>
      <c r="G436" s="191">
        <v>17213.599609375</v>
      </c>
      <c r="H436" s="200">
        <f t="shared" si="13"/>
        <v>-1.1402602889762524E-3</v>
      </c>
    </row>
    <row r="437" spans="2:8" x14ac:dyDescent="0.3">
      <c r="B437" s="198">
        <v>44560</v>
      </c>
      <c r="C437" s="192">
        <v>113.65</v>
      </c>
      <c r="D437" s="201">
        <f t="shared" si="14"/>
        <v>-2.7468766044839926E-2</v>
      </c>
      <c r="F437" s="196">
        <v>44560</v>
      </c>
      <c r="G437" s="190">
        <v>17203.94921875</v>
      </c>
      <c r="H437" s="201">
        <f t="shared" si="13"/>
        <v>-5.606259494814862E-4</v>
      </c>
    </row>
    <row r="438" spans="2:8" x14ac:dyDescent="0.3">
      <c r="B438" s="198">
        <v>44561</v>
      </c>
      <c r="C438" s="192">
        <v>117.21</v>
      </c>
      <c r="D438" s="201">
        <f t="shared" si="14"/>
        <v>3.1324241091068968E-2</v>
      </c>
      <c r="F438" s="197">
        <v>44561</v>
      </c>
      <c r="G438" s="191">
        <v>17354.05078125</v>
      </c>
      <c r="H438" s="200">
        <f t="shared" si="13"/>
        <v>8.7248317576065267E-3</v>
      </c>
    </row>
    <row r="439" spans="2:8" x14ac:dyDescent="0.3">
      <c r="B439" s="198">
        <v>44564</v>
      </c>
      <c r="C439" s="192">
        <v>116.09</v>
      </c>
      <c r="D439" s="201">
        <f t="shared" si="14"/>
        <v>-9.5554986775871539E-3</v>
      </c>
      <c r="F439" s="196">
        <v>44564</v>
      </c>
      <c r="G439" s="190">
        <v>17625.69921875</v>
      </c>
      <c r="H439" s="201">
        <f t="shared" si="13"/>
        <v>1.565331581220793E-2</v>
      </c>
    </row>
    <row r="440" spans="2:8" x14ac:dyDescent="0.3">
      <c r="B440" s="198">
        <v>44565</v>
      </c>
      <c r="C440" s="192">
        <v>115.44</v>
      </c>
      <c r="D440" s="201">
        <f t="shared" si="14"/>
        <v>-5.5991041433371145E-3</v>
      </c>
      <c r="F440" s="197">
        <v>44565</v>
      </c>
      <c r="G440" s="191">
        <v>17805.25</v>
      </c>
      <c r="H440" s="200">
        <f t="shared" si="13"/>
        <v>1.0186874235264159E-2</v>
      </c>
    </row>
    <row r="441" spans="2:8" x14ac:dyDescent="0.3">
      <c r="B441" s="198">
        <v>44566</v>
      </c>
      <c r="C441" s="192">
        <v>115.45</v>
      </c>
      <c r="D441" s="201">
        <f t="shared" si="14"/>
        <v>8.6625086625130942E-5</v>
      </c>
      <c r="F441" s="196">
        <v>44566</v>
      </c>
      <c r="G441" s="190">
        <v>17925.25</v>
      </c>
      <c r="H441" s="201">
        <f t="shared" si="13"/>
        <v>6.7395852346920151E-3</v>
      </c>
    </row>
    <row r="442" spans="2:8" x14ac:dyDescent="0.3">
      <c r="B442" s="198">
        <v>44567</v>
      </c>
      <c r="C442" s="192">
        <v>111.01</v>
      </c>
      <c r="D442" s="201">
        <f t="shared" si="14"/>
        <v>-3.8458207016024232E-2</v>
      </c>
      <c r="F442" s="197">
        <v>44567</v>
      </c>
      <c r="G442" s="191">
        <v>17745.900390625</v>
      </c>
      <c r="H442" s="200">
        <f t="shared" si="13"/>
        <v>-1.0005417462796892E-2</v>
      </c>
    </row>
    <row r="443" spans="2:8" x14ac:dyDescent="0.3">
      <c r="B443" s="198">
        <v>44568</v>
      </c>
      <c r="C443" s="192">
        <v>112.33</v>
      </c>
      <c r="D443" s="201">
        <f t="shared" si="14"/>
        <v>1.1890820646788515E-2</v>
      </c>
      <c r="F443" s="196">
        <v>44568</v>
      </c>
      <c r="G443" s="190">
        <v>17812.69921875</v>
      </c>
      <c r="H443" s="201">
        <f t="shared" si="13"/>
        <v>3.7641836511315718E-3</v>
      </c>
    </row>
    <row r="444" spans="2:8" x14ac:dyDescent="0.3">
      <c r="B444" s="198">
        <v>44571</v>
      </c>
      <c r="C444" s="192">
        <v>112.12</v>
      </c>
      <c r="D444" s="201">
        <f t="shared" si="14"/>
        <v>-1.869491676310814E-3</v>
      </c>
      <c r="F444" s="197">
        <v>44571</v>
      </c>
      <c r="G444" s="191">
        <v>18003.30078125</v>
      </c>
      <c r="H444" s="200">
        <f t="shared" si="13"/>
        <v>1.0700318921871708E-2</v>
      </c>
    </row>
    <row r="445" spans="2:8" x14ac:dyDescent="0.3">
      <c r="B445" s="198">
        <v>44572</v>
      </c>
      <c r="C445" s="192">
        <v>114.72</v>
      </c>
      <c r="D445" s="201">
        <f t="shared" si="14"/>
        <v>2.3189439885836553E-2</v>
      </c>
      <c r="F445" s="196">
        <v>44572</v>
      </c>
      <c r="G445" s="190">
        <v>18055.75</v>
      </c>
      <c r="H445" s="201">
        <f t="shared" si="13"/>
        <v>2.9133112526023332E-3</v>
      </c>
    </row>
    <row r="446" spans="2:8" x14ac:dyDescent="0.3">
      <c r="B446" s="198">
        <v>44573</v>
      </c>
      <c r="C446" s="192">
        <v>119.99</v>
      </c>
      <c r="D446" s="201">
        <f t="shared" si="14"/>
        <v>4.5937935843793548E-2</v>
      </c>
      <c r="F446" s="197">
        <v>44573</v>
      </c>
      <c r="G446" s="191">
        <v>18212.349609375</v>
      </c>
      <c r="H446" s="200">
        <f t="shared" si="13"/>
        <v>8.6731157318305808E-3</v>
      </c>
    </row>
    <row r="447" spans="2:8" x14ac:dyDescent="0.3">
      <c r="B447" s="198">
        <v>44574</v>
      </c>
      <c r="C447" s="192">
        <v>119.49</v>
      </c>
      <c r="D447" s="201">
        <f t="shared" si="14"/>
        <v>-4.1670139178264856E-3</v>
      </c>
      <c r="F447" s="196">
        <v>44574</v>
      </c>
      <c r="G447" s="190">
        <v>18257.80078125</v>
      </c>
      <c r="H447" s="201">
        <f t="shared" si="13"/>
        <v>2.495623730592319E-3</v>
      </c>
    </row>
    <row r="448" spans="2:8" x14ac:dyDescent="0.3">
      <c r="B448" s="198">
        <v>44575</v>
      </c>
      <c r="C448" s="192">
        <v>122.53</v>
      </c>
      <c r="D448" s="201">
        <f t="shared" si="14"/>
        <v>2.5441459536362929E-2</v>
      </c>
      <c r="F448" s="197">
        <v>44575</v>
      </c>
      <c r="G448" s="191">
        <v>18255.75</v>
      </c>
      <c r="H448" s="200">
        <f t="shared" si="13"/>
        <v>-1.1232356375068276E-4</v>
      </c>
    </row>
    <row r="449" spans="2:8" x14ac:dyDescent="0.3">
      <c r="B449" s="198">
        <v>44578</v>
      </c>
      <c r="C449" s="192">
        <v>124.36</v>
      </c>
      <c r="D449" s="201">
        <f t="shared" si="14"/>
        <v>1.4935117930302768E-2</v>
      </c>
      <c r="F449" s="196">
        <v>44578</v>
      </c>
      <c r="G449" s="190">
        <v>18308.099609375</v>
      </c>
      <c r="H449" s="201">
        <f t="shared" si="13"/>
        <v>2.867568266162716E-3</v>
      </c>
    </row>
    <row r="450" spans="2:8" x14ac:dyDescent="0.3">
      <c r="B450" s="198">
        <v>44579</v>
      </c>
      <c r="C450" s="192">
        <v>121.82</v>
      </c>
      <c r="D450" s="201">
        <f t="shared" si="14"/>
        <v>-2.0424573817947943E-2</v>
      </c>
      <c r="F450" s="197">
        <v>44579</v>
      </c>
      <c r="G450" s="191">
        <v>18113.05078125</v>
      </c>
      <c r="H450" s="200">
        <f t="shared" si="13"/>
        <v>-1.0653690567923372E-2</v>
      </c>
    </row>
    <row r="451" spans="2:8" x14ac:dyDescent="0.3">
      <c r="B451" s="198">
        <v>44580</v>
      </c>
      <c r="C451" s="192">
        <v>124.02</v>
      </c>
      <c r="D451" s="201">
        <f t="shared" si="14"/>
        <v>1.8059431948776909E-2</v>
      </c>
      <c r="F451" s="196">
        <v>44580</v>
      </c>
      <c r="G451" s="190">
        <v>17938.400390625</v>
      </c>
      <c r="H451" s="201">
        <f t="shared" si="13"/>
        <v>-9.642240433941256E-3</v>
      </c>
    </row>
    <row r="452" spans="2:8" x14ac:dyDescent="0.3">
      <c r="B452" s="198">
        <v>44581</v>
      </c>
      <c r="C452" s="192">
        <v>124.02</v>
      </c>
      <c r="D452" s="201">
        <f t="shared" si="14"/>
        <v>0</v>
      </c>
      <c r="F452" s="197">
        <v>44581</v>
      </c>
      <c r="G452" s="191">
        <v>17757</v>
      </c>
      <c r="H452" s="200">
        <f t="shared" si="13"/>
        <v>-1.0112406160797024E-2</v>
      </c>
    </row>
    <row r="453" spans="2:8" x14ac:dyDescent="0.3">
      <c r="B453" s="198">
        <v>44582</v>
      </c>
      <c r="C453" s="192">
        <v>120.84</v>
      </c>
      <c r="D453" s="201">
        <f t="shared" si="14"/>
        <v>-2.5641025641025581E-2</v>
      </c>
      <c r="F453" s="196">
        <v>44582</v>
      </c>
      <c r="G453" s="190">
        <v>17617.150390625</v>
      </c>
      <c r="H453" s="201">
        <f t="shared" si="13"/>
        <v>-7.875745304668582E-3</v>
      </c>
    </row>
    <row r="454" spans="2:8" x14ac:dyDescent="0.3">
      <c r="B454" s="198">
        <v>44585</v>
      </c>
      <c r="C454" s="192">
        <v>118.84</v>
      </c>
      <c r="D454" s="201">
        <f t="shared" si="14"/>
        <v>-1.6550810989738495E-2</v>
      </c>
      <c r="F454" s="197">
        <v>44585</v>
      </c>
      <c r="G454" s="191">
        <v>17149.099609375</v>
      </c>
      <c r="H454" s="200">
        <f t="shared" ref="H454:H517" si="15">(G454-G453)/G453</f>
        <v>-2.6567905187383431E-2</v>
      </c>
    </row>
    <row r="455" spans="2:8" x14ac:dyDescent="0.3">
      <c r="B455" s="198">
        <v>44586</v>
      </c>
      <c r="C455" s="192">
        <v>115.15</v>
      </c>
      <c r="D455" s="201">
        <f t="shared" si="14"/>
        <v>-3.1050151464153464E-2</v>
      </c>
      <c r="F455" s="196">
        <v>44586</v>
      </c>
      <c r="G455" s="190">
        <v>17277.94921875</v>
      </c>
      <c r="H455" s="201">
        <f t="shared" si="15"/>
        <v>7.5134912216942877E-3</v>
      </c>
    </row>
    <row r="456" spans="2:8" x14ac:dyDescent="0.3">
      <c r="B456" s="198">
        <v>44588</v>
      </c>
      <c r="C456" s="192">
        <v>114</v>
      </c>
      <c r="D456" s="201">
        <f t="shared" si="14"/>
        <v>-9.9869735128094283E-3</v>
      </c>
      <c r="F456" s="197">
        <v>44588</v>
      </c>
      <c r="G456" s="191">
        <v>17110.150390625</v>
      </c>
      <c r="H456" s="200">
        <f t="shared" si="15"/>
        <v>-9.7117329146276816E-3</v>
      </c>
    </row>
    <row r="457" spans="2:8" x14ac:dyDescent="0.3">
      <c r="B457" s="198">
        <v>44589</v>
      </c>
      <c r="C457" s="192">
        <v>116.97</v>
      </c>
      <c r="D457" s="201">
        <f t="shared" si="14"/>
        <v>2.6052631578947359E-2</v>
      </c>
      <c r="F457" s="196">
        <v>44589</v>
      </c>
      <c r="G457" s="190">
        <v>17101.94921875</v>
      </c>
      <c r="H457" s="201">
        <f t="shared" si="15"/>
        <v>-4.7931617710932507E-4</v>
      </c>
    </row>
    <row r="458" spans="2:8" x14ac:dyDescent="0.3">
      <c r="B458" s="198">
        <v>44592</v>
      </c>
      <c r="C458" s="192">
        <v>119.39</v>
      </c>
      <c r="D458" s="201">
        <f t="shared" si="14"/>
        <v>2.0689065572368999E-2</v>
      </c>
      <c r="F458" s="197">
        <v>44592</v>
      </c>
      <c r="G458" s="191">
        <v>17339.849609375</v>
      </c>
      <c r="H458" s="200">
        <f t="shared" si="15"/>
        <v>1.3910717870929826E-2</v>
      </c>
    </row>
    <row r="459" spans="2:8" x14ac:dyDescent="0.3">
      <c r="B459" s="198">
        <v>44593</v>
      </c>
      <c r="C459" s="192">
        <v>121.09</v>
      </c>
      <c r="D459" s="201">
        <f t="shared" si="14"/>
        <v>1.423904849652402E-2</v>
      </c>
      <c r="F459" s="196">
        <v>44593</v>
      </c>
      <c r="G459" s="190">
        <v>17576.849609375</v>
      </c>
      <c r="H459" s="201">
        <f t="shared" si="15"/>
        <v>1.366793861187026E-2</v>
      </c>
    </row>
    <row r="460" spans="2:8" x14ac:dyDescent="0.3">
      <c r="B460" s="198">
        <v>44594</v>
      </c>
      <c r="C460" s="192">
        <v>124.12</v>
      </c>
      <c r="D460" s="201">
        <f t="shared" si="14"/>
        <v>2.5022710380708572E-2</v>
      </c>
      <c r="F460" s="197">
        <v>44594</v>
      </c>
      <c r="G460" s="191">
        <v>17780</v>
      </c>
      <c r="H460" s="200">
        <f t="shared" si="15"/>
        <v>1.1557838585399586E-2</v>
      </c>
    </row>
    <row r="461" spans="2:8" x14ac:dyDescent="0.3">
      <c r="B461" s="198">
        <v>44595</v>
      </c>
      <c r="C461" s="192">
        <v>124.78</v>
      </c>
      <c r="D461" s="201">
        <f t="shared" si="14"/>
        <v>5.3174347405736105E-3</v>
      </c>
      <c r="F461" s="196">
        <v>44595</v>
      </c>
      <c r="G461" s="190">
        <v>17560.19921875</v>
      </c>
      <c r="H461" s="201">
        <f t="shared" si="15"/>
        <v>-1.2362248664229471E-2</v>
      </c>
    </row>
    <row r="462" spans="2:8" x14ac:dyDescent="0.3">
      <c r="B462" s="198">
        <v>44596</v>
      </c>
      <c r="C462" s="192">
        <v>125.38</v>
      </c>
      <c r="D462" s="201">
        <f t="shared" si="14"/>
        <v>4.8084628946946173E-3</v>
      </c>
      <c r="F462" s="197">
        <v>44596</v>
      </c>
      <c r="G462" s="191">
        <v>17516.30078125</v>
      </c>
      <c r="H462" s="200">
        <f t="shared" si="15"/>
        <v>-2.4998826581151311E-3</v>
      </c>
    </row>
    <row r="463" spans="2:8" x14ac:dyDescent="0.3">
      <c r="B463" s="198">
        <v>44599</v>
      </c>
      <c r="C463" s="192">
        <v>124.22</v>
      </c>
      <c r="D463" s="201">
        <f t="shared" si="14"/>
        <v>-9.2518743021215242E-3</v>
      </c>
      <c r="F463" s="196">
        <v>44599</v>
      </c>
      <c r="G463" s="190">
        <v>17213.599609375</v>
      </c>
      <c r="H463" s="201">
        <f t="shared" si="15"/>
        <v>-1.7281112927623445E-2</v>
      </c>
    </row>
    <row r="464" spans="2:8" x14ac:dyDescent="0.3">
      <c r="B464" s="198">
        <v>44600</v>
      </c>
      <c r="C464" s="192">
        <v>124.78</v>
      </c>
      <c r="D464" s="201">
        <f t="shared" si="14"/>
        <v>4.5081307357913566E-3</v>
      </c>
      <c r="F464" s="197">
        <v>44600</v>
      </c>
      <c r="G464" s="191">
        <v>17266.75</v>
      </c>
      <c r="H464" s="200">
        <f t="shared" si="15"/>
        <v>3.0876976246184346E-3</v>
      </c>
    </row>
    <row r="465" spans="2:8" x14ac:dyDescent="0.3">
      <c r="B465" s="198">
        <v>44601</v>
      </c>
      <c r="C465" s="192">
        <v>122.34</v>
      </c>
      <c r="D465" s="201">
        <f t="shared" si="14"/>
        <v>-1.9554415771758277E-2</v>
      </c>
      <c r="F465" s="196">
        <v>44601</v>
      </c>
      <c r="G465" s="190">
        <v>17463.80078125</v>
      </c>
      <c r="H465" s="201">
        <f t="shared" si="15"/>
        <v>1.1412152330345897E-2</v>
      </c>
    </row>
    <row r="466" spans="2:8" x14ac:dyDescent="0.3">
      <c r="B466" s="198">
        <v>44602</v>
      </c>
      <c r="C466" s="192">
        <v>117.61</v>
      </c>
      <c r="D466" s="201">
        <f t="shared" si="14"/>
        <v>-3.8662743174758901E-2</v>
      </c>
      <c r="F466" s="197">
        <v>44602</v>
      </c>
      <c r="G466" s="191">
        <v>17605.849609375</v>
      </c>
      <c r="H466" s="200">
        <f t="shared" si="15"/>
        <v>8.1339010851240717E-3</v>
      </c>
    </row>
    <row r="467" spans="2:8" x14ac:dyDescent="0.3">
      <c r="B467" s="198">
        <v>44603</v>
      </c>
      <c r="C467" s="192">
        <v>123.57</v>
      </c>
      <c r="D467" s="201">
        <f t="shared" si="14"/>
        <v>5.0675962928322368E-2</v>
      </c>
      <c r="F467" s="196">
        <v>44603</v>
      </c>
      <c r="G467" s="190">
        <v>17374.75</v>
      </c>
      <c r="H467" s="201">
        <f t="shared" si="15"/>
        <v>-1.3126296912813624E-2</v>
      </c>
    </row>
    <row r="468" spans="2:8" x14ac:dyDescent="0.3">
      <c r="B468" s="198">
        <v>44606</v>
      </c>
      <c r="C468" s="192">
        <v>120.24</v>
      </c>
      <c r="D468" s="201">
        <f t="shared" si="14"/>
        <v>-2.6948288419519288E-2</v>
      </c>
      <c r="F468" s="197">
        <v>44606</v>
      </c>
      <c r="G468" s="191">
        <v>16842.80078125</v>
      </c>
      <c r="H468" s="200">
        <f t="shared" si="15"/>
        <v>-3.0616222895293456E-2</v>
      </c>
    </row>
    <row r="469" spans="2:8" x14ac:dyDescent="0.3">
      <c r="B469" s="198">
        <v>44607</v>
      </c>
      <c r="C469" s="192">
        <v>120.38</v>
      </c>
      <c r="D469" s="201">
        <f t="shared" si="14"/>
        <v>1.1643379906853008E-3</v>
      </c>
      <c r="F469" s="196">
        <v>44607</v>
      </c>
      <c r="G469" s="190">
        <v>17352.44921875</v>
      </c>
      <c r="H469" s="201">
        <f t="shared" si="15"/>
        <v>3.0259126383977576E-2</v>
      </c>
    </row>
    <row r="470" spans="2:8" x14ac:dyDescent="0.3">
      <c r="B470" s="198">
        <v>44608</v>
      </c>
      <c r="C470" s="192">
        <v>123.91</v>
      </c>
      <c r="D470" s="201">
        <f t="shared" si="14"/>
        <v>2.9323807941518534E-2</v>
      </c>
      <c r="F470" s="197">
        <v>44608</v>
      </c>
      <c r="G470" s="191">
        <v>17322.19921875</v>
      </c>
      <c r="H470" s="200">
        <f t="shared" si="15"/>
        <v>-1.7432697608654399E-3</v>
      </c>
    </row>
    <row r="471" spans="2:8" x14ac:dyDescent="0.3">
      <c r="B471" s="198">
        <v>44609</v>
      </c>
      <c r="C471" s="192">
        <v>122.8</v>
      </c>
      <c r="D471" s="201">
        <f t="shared" si="14"/>
        <v>-8.9581147607134173E-3</v>
      </c>
      <c r="F471" s="196">
        <v>44609</v>
      </c>
      <c r="G471" s="190">
        <v>17304.599609375</v>
      </c>
      <c r="H471" s="201">
        <f t="shared" si="15"/>
        <v>-1.0160147191904897E-3</v>
      </c>
    </row>
    <row r="472" spans="2:8" x14ac:dyDescent="0.3">
      <c r="B472" s="198">
        <v>44610</v>
      </c>
      <c r="C472" s="192">
        <v>125.85</v>
      </c>
      <c r="D472" s="201">
        <f t="shared" si="14"/>
        <v>2.4837133550488576E-2</v>
      </c>
      <c r="F472" s="197">
        <v>44610</v>
      </c>
      <c r="G472" s="191">
        <v>17276.30078125</v>
      </c>
      <c r="H472" s="200">
        <f t="shared" si="15"/>
        <v>-1.6353356196504385E-3</v>
      </c>
    </row>
    <row r="473" spans="2:8" x14ac:dyDescent="0.3">
      <c r="B473" s="198">
        <v>44613</v>
      </c>
      <c r="C473" s="192">
        <v>124.06</v>
      </c>
      <c r="D473" s="201">
        <f t="shared" si="14"/>
        <v>-1.4223281684545031E-2</v>
      </c>
      <c r="F473" s="196">
        <v>44613</v>
      </c>
      <c r="G473" s="190">
        <v>17206.650390625</v>
      </c>
      <c r="H473" s="201">
        <f t="shared" si="15"/>
        <v>-4.0315569581071253E-3</v>
      </c>
    </row>
    <row r="474" spans="2:8" x14ac:dyDescent="0.3">
      <c r="B474" s="198">
        <v>44614</v>
      </c>
      <c r="C474" s="192">
        <v>121.07</v>
      </c>
      <c r="D474" s="201">
        <f t="shared" si="14"/>
        <v>-2.4101241334838056E-2</v>
      </c>
      <c r="F474" s="197">
        <v>44614</v>
      </c>
      <c r="G474" s="191">
        <v>17092.19921875</v>
      </c>
      <c r="H474" s="200">
        <f t="shared" si="15"/>
        <v>-6.6515660675803834E-3</v>
      </c>
    </row>
    <row r="475" spans="2:8" x14ac:dyDescent="0.3">
      <c r="B475" s="198">
        <v>44615</v>
      </c>
      <c r="C475" s="192">
        <v>121.61</v>
      </c>
      <c r="D475" s="201">
        <f t="shared" si="14"/>
        <v>4.4602296192285977E-3</v>
      </c>
      <c r="F475" s="196">
        <v>44615</v>
      </c>
      <c r="G475" s="190">
        <v>17063.25</v>
      </c>
      <c r="H475" s="201">
        <f t="shared" si="15"/>
        <v>-1.6937094155936908E-3</v>
      </c>
    </row>
    <row r="476" spans="2:8" x14ac:dyDescent="0.3">
      <c r="B476" s="198">
        <v>44616</v>
      </c>
      <c r="C476" s="192">
        <v>116.73</v>
      </c>
      <c r="D476" s="201">
        <f t="shared" si="14"/>
        <v>-4.0128278924430522E-2</v>
      </c>
      <c r="F476" s="197">
        <v>44616</v>
      </c>
      <c r="G476" s="191">
        <v>16247.9501953125</v>
      </c>
      <c r="H476" s="200">
        <f t="shared" si="15"/>
        <v>-4.7781038470836444E-2</v>
      </c>
    </row>
    <row r="477" spans="2:8" x14ac:dyDescent="0.3">
      <c r="B477" s="198">
        <v>44617</v>
      </c>
      <c r="C477" s="192">
        <v>123</v>
      </c>
      <c r="D477" s="201">
        <f t="shared" si="14"/>
        <v>5.3713698278077579E-2</v>
      </c>
      <c r="F477" s="196">
        <v>44617</v>
      </c>
      <c r="G477" s="190">
        <v>16658.400390625</v>
      </c>
      <c r="H477" s="201">
        <f t="shared" si="15"/>
        <v>2.5261660109649649E-2</v>
      </c>
    </row>
    <row r="478" spans="2:8" x14ac:dyDescent="0.3">
      <c r="B478" s="198">
        <v>44620</v>
      </c>
      <c r="C478" s="192">
        <v>124.76</v>
      </c>
      <c r="D478" s="201">
        <f t="shared" si="14"/>
        <v>1.4308943089430936E-2</v>
      </c>
      <c r="F478" s="197">
        <v>44620</v>
      </c>
      <c r="G478" s="191">
        <v>16793.900390625</v>
      </c>
      <c r="H478" s="200">
        <f t="shared" si="15"/>
        <v>8.1340342903665937E-3</v>
      </c>
    </row>
    <row r="479" spans="2:8" x14ac:dyDescent="0.3">
      <c r="B479" s="198">
        <v>44622</v>
      </c>
      <c r="C479" s="192">
        <v>128.76</v>
      </c>
      <c r="D479" s="201">
        <f t="shared" si="14"/>
        <v>3.2061558191728005E-2</v>
      </c>
      <c r="F479" s="196">
        <v>44622</v>
      </c>
      <c r="G479" s="190">
        <v>16605.94921875</v>
      </c>
      <c r="H479" s="201">
        <f t="shared" si="15"/>
        <v>-1.1191633122935609E-2</v>
      </c>
    </row>
    <row r="480" spans="2:8" x14ac:dyDescent="0.3">
      <c r="B480" s="198">
        <v>44623</v>
      </c>
      <c r="C480" s="192">
        <v>129.88</v>
      </c>
      <c r="D480" s="201">
        <f t="shared" si="14"/>
        <v>8.6983535259397681E-3</v>
      </c>
      <c r="F480" s="197">
        <v>44623</v>
      </c>
      <c r="G480" s="191">
        <v>16498.05078125</v>
      </c>
      <c r="H480" s="200">
        <f t="shared" si="15"/>
        <v>-6.4975772284170561E-3</v>
      </c>
    </row>
    <row r="481" spans="2:8" x14ac:dyDescent="0.3">
      <c r="B481" s="198">
        <v>44624</v>
      </c>
      <c r="C481" s="192">
        <v>122.9</v>
      </c>
      <c r="D481" s="201">
        <f t="shared" ref="D481:D544" si="16">(C481-C480)/C480</f>
        <v>-5.374191561441323E-2</v>
      </c>
      <c r="F481" s="196">
        <v>44624</v>
      </c>
      <c r="G481" s="190">
        <v>16245.349609375</v>
      </c>
      <c r="H481" s="201">
        <f t="shared" si="15"/>
        <v>-1.5317032007332306E-2</v>
      </c>
    </row>
    <row r="482" spans="2:8" x14ac:dyDescent="0.3">
      <c r="B482" s="198">
        <v>44627</v>
      </c>
      <c r="C482" s="192">
        <v>119.37</v>
      </c>
      <c r="D482" s="201">
        <f t="shared" si="16"/>
        <v>-2.8722538649308387E-2</v>
      </c>
      <c r="F482" s="197">
        <v>44627</v>
      </c>
      <c r="G482" s="191">
        <v>15863.150390625</v>
      </c>
      <c r="H482" s="200">
        <f t="shared" si="15"/>
        <v>-2.3526684739947814E-2</v>
      </c>
    </row>
    <row r="483" spans="2:8" x14ac:dyDescent="0.3">
      <c r="B483" s="198">
        <v>44628</v>
      </c>
      <c r="C483" s="192">
        <v>120.14</v>
      </c>
      <c r="D483" s="201">
        <f t="shared" si="16"/>
        <v>6.4505319594537654E-3</v>
      </c>
      <c r="F483" s="196">
        <v>44628</v>
      </c>
      <c r="G483" s="190">
        <v>16013.4501953125</v>
      </c>
      <c r="H483" s="201">
        <f t="shared" si="15"/>
        <v>9.4747765094836418E-3</v>
      </c>
    </row>
    <row r="484" spans="2:8" x14ac:dyDescent="0.3">
      <c r="B484" s="198">
        <v>44629</v>
      </c>
      <c r="C484" s="192">
        <v>119.54</v>
      </c>
      <c r="D484" s="201">
        <f t="shared" si="16"/>
        <v>-4.9941734642916123E-3</v>
      </c>
      <c r="F484" s="197">
        <v>44629</v>
      </c>
      <c r="G484" s="191">
        <v>16345.349609375</v>
      </c>
      <c r="H484" s="200">
        <f t="shared" si="15"/>
        <v>2.0726290088294307E-2</v>
      </c>
    </row>
    <row r="485" spans="2:8" x14ac:dyDescent="0.3">
      <c r="B485" s="198">
        <v>44630</v>
      </c>
      <c r="C485" s="192">
        <v>121.71</v>
      </c>
      <c r="D485" s="201">
        <f t="shared" si="16"/>
        <v>1.8152919524845136E-2</v>
      </c>
      <c r="F485" s="196">
        <v>44630</v>
      </c>
      <c r="G485" s="190">
        <v>16594.900390625</v>
      </c>
      <c r="H485" s="201">
        <f t="shared" si="15"/>
        <v>1.5267387190474546E-2</v>
      </c>
    </row>
    <row r="486" spans="2:8" x14ac:dyDescent="0.3">
      <c r="B486" s="198">
        <v>44631</v>
      </c>
      <c r="C486" s="192">
        <v>120.12</v>
      </c>
      <c r="D486" s="201">
        <f t="shared" si="16"/>
        <v>-1.3063840276065971E-2</v>
      </c>
      <c r="F486" s="197">
        <v>44631</v>
      </c>
      <c r="G486" s="191">
        <v>16630.44921875</v>
      </c>
      <c r="H486" s="200">
        <f t="shared" si="15"/>
        <v>2.14215375134657E-3</v>
      </c>
    </row>
    <row r="487" spans="2:8" x14ac:dyDescent="0.3">
      <c r="B487" s="198">
        <v>44634</v>
      </c>
      <c r="C487" s="192">
        <v>118.67</v>
      </c>
      <c r="D487" s="201">
        <f t="shared" si="16"/>
        <v>-1.2071262071262094E-2</v>
      </c>
      <c r="F487" s="196">
        <v>44634</v>
      </c>
      <c r="G487" s="190">
        <v>16871.30078125</v>
      </c>
      <c r="H487" s="201">
        <f t="shared" si="15"/>
        <v>1.4482565042708041E-2</v>
      </c>
    </row>
    <row r="488" spans="2:8" x14ac:dyDescent="0.3">
      <c r="B488" s="198">
        <v>44635</v>
      </c>
      <c r="C488" s="192">
        <v>122.05</v>
      </c>
      <c r="D488" s="201">
        <f t="shared" si="16"/>
        <v>2.8482346001516771E-2</v>
      </c>
      <c r="F488" s="197">
        <v>44635</v>
      </c>
      <c r="G488" s="191">
        <v>16663</v>
      </c>
      <c r="H488" s="200">
        <f t="shared" si="15"/>
        <v>-1.2346456503312184E-2</v>
      </c>
    </row>
    <row r="489" spans="2:8" x14ac:dyDescent="0.3">
      <c r="B489" s="198">
        <v>44636</v>
      </c>
      <c r="C489" s="192">
        <v>124.14</v>
      </c>
      <c r="D489" s="201">
        <f t="shared" si="16"/>
        <v>1.7124129455141364E-2</v>
      </c>
      <c r="F489" s="196">
        <v>44636</v>
      </c>
      <c r="G489" s="190">
        <v>16975.349609375</v>
      </c>
      <c r="H489" s="201">
        <f t="shared" si="15"/>
        <v>1.8745100484606612E-2</v>
      </c>
    </row>
    <row r="490" spans="2:8" x14ac:dyDescent="0.3">
      <c r="B490" s="198">
        <v>44637</v>
      </c>
      <c r="C490" s="192">
        <v>125.21</v>
      </c>
      <c r="D490" s="201">
        <f t="shared" si="16"/>
        <v>8.6193007894312321E-3</v>
      </c>
      <c r="F490" s="197">
        <v>44637</v>
      </c>
      <c r="G490" s="191">
        <v>17287.05078125</v>
      </c>
      <c r="H490" s="200">
        <f t="shared" si="15"/>
        <v>1.8361988356508215E-2</v>
      </c>
    </row>
    <row r="491" spans="2:8" x14ac:dyDescent="0.3">
      <c r="B491" s="198">
        <v>44641</v>
      </c>
      <c r="C491" s="192">
        <v>124.47</v>
      </c>
      <c r="D491" s="201">
        <f t="shared" si="16"/>
        <v>-5.9100710805845775E-3</v>
      </c>
      <c r="F491" s="196">
        <v>44641</v>
      </c>
      <c r="G491" s="190">
        <v>17117.599609375</v>
      </c>
      <c r="H491" s="201">
        <f t="shared" si="15"/>
        <v>-9.80220247046369E-3</v>
      </c>
    </row>
    <row r="492" spans="2:8" x14ac:dyDescent="0.3">
      <c r="B492" s="198">
        <v>44642</v>
      </c>
      <c r="C492" s="192">
        <v>126.75</v>
      </c>
      <c r="D492" s="201">
        <f t="shared" si="16"/>
        <v>1.8317666907688608E-2</v>
      </c>
      <c r="F492" s="197">
        <v>44642</v>
      </c>
      <c r="G492" s="191">
        <v>17315.5</v>
      </c>
      <c r="H492" s="200">
        <f t="shared" si="15"/>
        <v>1.1561223252155842E-2</v>
      </c>
    </row>
    <row r="493" spans="2:8" x14ac:dyDescent="0.3">
      <c r="B493" s="198">
        <v>44643</v>
      </c>
      <c r="C493" s="192">
        <v>130.11000000000001</v>
      </c>
      <c r="D493" s="201">
        <f t="shared" si="16"/>
        <v>2.6508875739645079E-2</v>
      </c>
      <c r="F493" s="196">
        <v>44643</v>
      </c>
      <c r="G493" s="190">
        <v>17245.650390625</v>
      </c>
      <c r="H493" s="201">
        <f t="shared" si="15"/>
        <v>-4.0339354552279749E-3</v>
      </c>
    </row>
    <row r="494" spans="2:8" x14ac:dyDescent="0.3">
      <c r="B494" s="198">
        <v>44644</v>
      </c>
      <c r="C494" s="192">
        <v>127.86</v>
      </c>
      <c r="D494" s="201">
        <f t="shared" si="16"/>
        <v>-1.7293059718699669E-2</v>
      </c>
      <c r="F494" s="197">
        <v>44644</v>
      </c>
      <c r="G494" s="191">
        <v>17222.75</v>
      </c>
      <c r="H494" s="200">
        <f t="shared" si="15"/>
        <v>-1.3278937068937106E-3</v>
      </c>
    </row>
    <row r="495" spans="2:8" x14ac:dyDescent="0.3">
      <c r="B495" s="198">
        <v>44645</v>
      </c>
      <c r="C495" s="192">
        <v>126.35</v>
      </c>
      <c r="D495" s="201">
        <f t="shared" si="16"/>
        <v>-1.1809791959956243E-2</v>
      </c>
      <c r="F495" s="196">
        <v>44645</v>
      </c>
      <c r="G495" s="190">
        <v>17153</v>
      </c>
      <c r="H495" s="201">
        <f t="shared" si="15"/>
        <v>-4.0498758909001172E-3</v>
      </c>
    </row>
    <row r="496" spans="2:8" x14ac:dyDescent="0.3">
      <c r="B496" s="198">
        <v>44648</v>
      </c>
      <c r="C496" s="192">
        <v>123.87</v>
      </c>
      <c r="D496" s="201">
        <f t="shared" si="16"/>
        <v>-1.962801741195085E-2</v>
      </c>
      <c r="F496" s="197">
        <v>44648</v>
      </c>
      <c r="G496" s="191">
        <v>17222</v>
      </c>
      <c r="H496" s="200">
        <f t="shared" si="15"/>
        <v>4.022619949862998E-3</v>
      </c>
    </row>
    <row r="497" spans="2:8" x14ac:dyDescent="0.3">
      <c r="B497" s="198">
        <v>44649</v>
      </c>
      <c r="C497" s="192">
        <v>123.25</v>
      </c>
      <c r="D497" s="201">
        <f t="shared" si="16"/>
        <v>-5.0052474368289697E-3</v>
      </c>
      <c r="F497" s="196">
        <v>44649</v>
      </c>
      <c r="G497" s="190">
        <v>17325.30078125</v>
      </c>
      <c r="H497" s="201">
        <f t="shared" si="15"/>
        <v>5.9981872749970966E-3</v>
      </c>
    </row>
    <row r="498" spans="2:8" x14ac:dyDescent="0.3">
      <c r="B498" s="198">
        <v>44650</v>
      </c>
      <c r="C498" s="192">
        <v>126.78</v>
      </c>
      <c r="D498" s="201">
        <f t="shared" si="16"/>
        <v>2.8640973630831651E-2</v>
      </c>
      <c r="F498" s="197">
        <v>44650</v>
      </c>
      <c r="G498" s="191">
        <v>17498.25</v>
      </c>
      <c r="H498" s="200">
        <f t="shared" si="15"/>
        <v>9.9824655821947536E-3</v>
      </c>
    </row>
    <row r="499" spans="2:8" x14ac:dyDescent="0.3">
      <c r="B499" s="198">
        <v>44651</v>
      </c>
      <c r="C499" s="192">
        <v>124.2</v>
      </c>
      <c r="D499" s="201">
        <f t="shared" si="16"/>
        <v>-2.0350212967344992E-2</v>
      </c>
      <c r="F499" s="196">
        <v>44651</v>
      </c>
      <c r="G499" s="190">
        <v>17464.75</v>
      </c>
      <c r="H499" s="201">
        <f t="shared" si="15"/>
        <v>-1.9144771620019144E-3</v>
      </c>
    </row>
    <row r="500" spans="2:8" x14ac:dyDescent="0.3">
      <c r="B500" s="198">
        <v>44652</v>
      </c>
      <c r="C500" s="192">
        <v>123.89</v>
      </c>
      <c r="D500" s="201">
        <f t="shared" si="16"/>
        <v>-2.4959742351046881E-3</v>
      </c>
      <c r="F500" s="197">
        <v>44652</v>
      </c>
      <c r="G500" s="191">
        <v>17670.44921875</v>
      </c>
      <c r="H500" s="200">
        <f t="shared" si="15"/>
        <v>1.1777965258592307E-2</v>
      </c>
    </row>
    <row r="501" spans="2:8" x14ac:dyDescent="0.3">
      <c r="B501" s="198">
        <v>44655</v>
      </c>
      <c r="C501" s="192">
        <v>125.65</v>
      </c>
      <c r="D501" s="201">
        <f t="shared" si="16"/>
        <v>1.4206150617483293E-2</v>
      </c>
      <c r="F501" s="196">
        <v>44655</v>
      </c>
      <c r="G501" s="190">
        <v>18053.400390625</v>
      </c>
      <c r="H501" s="201">
        <f t="shared" si="15"/>
        <v>2.1671841339984326E-2</v>
      </c>
    </row>
    <row r="502" spans="2:8" x14ac:dyDescent="0.3">
      <c r="B502" s="198">
        <v>44656</v>
      </c>
      <c r="C502" s="192">
        <v>125.95</v>
      </c>
      <c r="D502" s="201">
        <f t="shared" si="16"/>
        <v>2.3875845602864872E-3</v>
      </c>
      <c r="F502" s="197">
        <v>44656</v>
      </c>
      <c r="G502" s="191">
        <v>17957.400390625</v>
      </c>
      <c r="H502" s="200">
        <f t="shared" si="15"/>
        <v>-5.3175577964720763E-3</v>
      </c>
    </row>
    <row r="503" spans="2:8" x14ac:dyDescent="0.3">
      <c r="B503" s="198">
        <v>44657</v>
      </c>
      <c r="C503" s="192">
        <v>128.44</v>
      </c>
      <c r="D503" s="201">
        <f t="shared" si="16"/>
        <v>1.9769749900754228E-2</v>
      </c>
      <c r="F503" s="196">
        <v>44657</v>
      </c>
      <c r="G503" s="190">
        <v>17807.650390625</v>
      </c>
      <c r="H503" s="201">
        <f t="shared" si="15"/>
        <v>-8.3391803235717699E-3</v>
      </c>
    </row>
    <row r="504" spans="2:8" x14ac:dyDescent="0.3">
      <c r="B504" s="198">
        <v>44658</v>
      </c>
      <c r="C504" s="192">
        <v>126.7</v>
      </c>
      <c r="D504" s="201">
        <f t="shared" si="16"/>
        <v>-1.3547181563375857E-2</v>
      </c>
      <c r="F504" s="197">
        <v>44658</v>
      </c>
      <c r="G504" s="191">
        <v>17639.55078125</v>
      </c>
      <c r="H504" s="200">
        <f t="shared" si="15"/>
        <v>-9.4397411049521492E-3</v>
      </c>
    </row>
    <row r="505" spans="2:8" x14ac:dyDescent="0.3">
      <c r="B505" s="198">
        <v>44659</v>
      </c>
      <c r="C505" s="192">
        <v>126.97</v>
      </c>
      <c r="D505" s="201">
        <f t="shared" si="16"/>
        <v>2.1310181531175691E-3</v>
      </c>
      <c r="F505" s="196">
        <v>44659</v>
      </c>
      <c r="G505" s="190">
        <v>17784.349609375</v>
      </c>
      <c r="H505" s="201">
        <f t="shared" si="15"/>
        <v>8.2087593907954979E-3</v>
      </c>
    </row>
    <row r="506" spans="2:8" x14ac:dyDescent="0.3">
      <c r="B506" s="198">
        <v>44662</v>
      </c>
      <c r="C506" s="192">
        <v>125.75</v>
      </c>
      <c r="D506" s="201">
        <f t="shared" si="16"/>
        <v>-9.6085689532960459E-3</v>
      </c>
      <c r="F506" s="197">
        <v>44662</v>
      </c>
      <c r="G506" s="191">
        <v>17674.94921875</v>
      </c>
      <c r="H506" s="200">
        <f t="shared" si="15"/>
        <v>-6.1514979759130298E-3</v>
      </c>
    </row>
    <row r="507" spans="2:8" x14ac:dyDescent="0.3">
      <c r="B507" s="198">
        <v>44663</v>
      </c>
      <c r="C507" s="192">
        <v>129.82</v>
      </c>
      <c r="D507" s="201">
        <f t="shared" si="16"/>
        <v>3.2365805168986031E-2</v>
      </c>
      <c r="F507" s="196">
        <v>44663</v>
      </c>
      <c r="G507" s="190">
        <v>17530.30078125</v>
      </c>
      <c r="H507" s="201">
        <f t="shared" si="15"/>
        <v>-8.1838106412522836E-3</v>
      </c>
    </row>
    <row r="508" spans="2:8" x14ac:dyDescent="0.3">
      <c r="B508" s="198">
        <v>44664</v>
      </c>
      <c r="C508" s="192">
        <v>133.41</v>
      </c>
      <c r="D508" s="201">
        <f t="shared" si="16"/>
        <v>2.7653674318286886E-2</v>
      </c>
      <c r="F508" s="197">
        <v>44664</v>
      </c>
      <c r="G508" s="191">
        <v>17475.650390625</v>
      </c>
      <c r="H508" s="200">
        <f t="shared" si="15"/>
        <v>-3.1174816283501979E-3</v>
      </c>
    </row>
    <row r="509" spans="2:8" x14ac:dyDescent="0.3">
      <c r="B509" s="198">
        <v>44669</v>
      </c>
      <c r="C509" s="192">
        <v>139.71</v>
      </c>
      <c r="D509" s="201">
        <f t="shared" si="16"/>
        <v>4.7222846863053829E-2</v>
      </c>
      <c r="F509" s="196">
        <v>44669</v>
      </c>
      <c r="G509" s="190">
        <v>17173.650390625</v>
      </c>
      <c r="H509" s="201">
        <f t="shared" si="15"/>
        <v>-1.7281188010147601E-2</v>
      </c>
    </row>
    <row r="510" spans="2:8" x14ac:dyDescent="0.3">
      <c r="B510" s="198">
        <v>44670</v>
      </c>
      <c r="C510" s="192">
        <v>138.12</v>
      </c>
      <c r="D510" s="201">
        <f t="shared" si="16"/>
        <v>-1.1380717199914132E-2</v>
      </c>
      <c r="F510" s="197">
        <v>44670</v>
      </c>
      <c r="G510" s="191">
        <v>16958.650390625</v>
      </c>
      <c r="H510" s="200">
        <f t="shared" si="15"/>
        <v>-1.2519178806467803E-2</v>
      </c>
    </row>
    <row r="511" spans="2:8" x14ac:dyDescent="0.3">
      <c r="B511" s="198">
        <v>44671</v>
      </c>
      <c r="C511" s="192">
        <v>141.21</v>
      </c>
      <c r="D511" s="201">
        <f t="shared" si="16"/>
        <v>2.2371850564726348E-2</v>
      </c>
      <c r="F511" s="196">
        <v>44671</v>
      </c>
      <c r="G511" s="190">
        <v>17136.55078125</v>
      </c>
      <c r="H511" s="201">
        <f t="shared" si="15"/>
        <v>1.0490244596547968E-2</v>
      </c>
    </row>
    <row r="512" spans="2:8" x14ac:dyDescent="0.3">
      <c r="B512" s="198">
        <v>44672</v>
      </c>
      <c r="C512" s="192">
        <v>139.33000000000001</v>
      </c>
      <c r="D512" s="201">
        <f t="shared" si="16"/>
        <v>-1.3313504709298176E-2</v>
      </c>
      <c r="F512" s="197">
        <v>44672</v>
      </c>
      <c r="G512" s="191">
        <v>17392.599609375</v>
      </c>
      <c r="H512" s="200">
        <f t="shared" si="15"/>
        <v>1.4941678252146078E-2</v>
      </c>
    </row>
    <row r="513" spans="2:8" x14ac:dyDescent="0.3">
      <c r="B513" s="198">
        <v>44673</v>
      </c>
      <c r="C513" s="192">
        <v>137.21</v>
      </c>
      <c r="D513" s="201">
        <f t="shared" si="16"/>
        <v>-1.5215675016148743E-2</v>
      </c>
      <c r="F513" s="196">
        <v>44673</v>
      </c>
      <c r="G513" s="190">
        <v>17171.94921875</v>
      </c>
      <c r="H513" s="201">
        <f t="shared" si="15"/>
        <v>-1.2686452605168035E-2</v>
      </c>
    </row>
    <row r="514" spans="2:8" x14ac:dyDescent="0.3">
      <c r="B514" s="198">
        <v>44676</v>
      </c>
      <c r="C514" s="192">
        <v>144.46</v>
      </c>
      <c r="D514" s="201">
        <f t="shared" si="16"/>
        <v>5.2838714379418408E-2</v>
      </c>
      <c r="F514" s="197">
        <v>44676</v>
      </c>
      <c r="G514" s="191">
        <v>16953.94921875</v>
      </c>
      <c r="H514" s="200">
        <f t="shared" si="15"/>
        <v>-1.2695122564301929E-2</v>
      </c>
    </row>
    <row r="515" spans="2:8" x14ac:dyDescent="0.3">
      <c r="B515" s="198">
        <v>44677</v>
      </c>
      <c r="C515" s="192">
        <v>141.28</v>
      </c>
      <c r="D515" s="201">
        <f t="shared" si="16"/>
        <v>-2.2013013983109557E-2</v>
      </c>
      <c r="F515" s="196">
        <v>44677</v>
      </c>
      <c r="G515" s="190">
        <v>17200.80078125</v>
      </c>
      <c r="H515" s="201">
        <f t="shared" si="15"/>
        <v>1.4560121616207138E-2</v>
      </c>
    </row>
    <row r="516" spans="2:8" x14ac:dyDescent="0.3">
      <c r="B516" s="198">
        <v>44678</v>
      </c>
      <c r="C516" s="192">
        <v>136.76</v>
      </c>
      <c r="D516" s="201">
        <f t="shared" si="16"/>
        <v>-3.199320498301253E-2</v>
      </c>
      <c r="F516" s="197">
        <v>44678</v>
      </c>
      <c r="G516" s="191">
        <v>17038.400390625</v>
      </c>
      <c r="H516" s="200">
        <f t="shared" si="15"/>
        <v>-9.4414436101153531E-3</v>
      </c>
    </row>
    <row r="517" spans="2:8" x14ac:dyDescent="0.3">
      <c r="B517" s="198">
        <v>44679</v>
      </c>
      <c r="C517" s="192">
        <v>139.81</v>
      </c>
      <c r="D517" s="201">
        <f t="shared" si="16"/>
        <v>2.2301842644048053E-2</v>
      </c>
      <c r="F517" s="196">
        <v>44679</v>
      </c>
      <c r="G517" s="190">
        <v>17245.05078125</v>
      </c>
      <c r="H517" s="201">
        <f t="shared" si="15"/>
        <v>1.2128508890934666E-2</v>
      </c>
    </row>
    <row r="518" spans="2:8" x14ac:dyDescent="0.3">
      <c r="B518" s="198">
        <v>44680</v>
      </c>
      <c r="C518" s="192">
        <v>142.97</v>
      </c>
      <c r="D518" s="201">
        <f t="shared" si="16"/>
        <v>2.2602102853873089E-2</v>
      </c>
      <c r="F518" s="197">
        <v>44680</v>
      </c>
      <c r="G518" s="191">
        <v>17102.55078125</v>
      </c>
      <c r="H518" s="200">
        <f t="shared" ref="H518:H581" si="17">(G518-G517)/G517</f>
        <v>-8.2632403816946566E-3</v>
      </c>
    </row>
    <row r="519" spans="2:8" x14ac:dyDescent="0.3">
      <c r="B519" s="198">
        <v>44683</v>
      </c>
      <c r="C519" s="192">
        <v>145.78</v>
      </c>
      <c r="D519" s="201">
        <f t="shared" si="16"/>
        <v>1.9654472966356595E-2</v>
      </c>
      <c r="F519" s="196">
        <v>44683</v>
      </c>
      <c r="G519" s="190">
        <v>17069.099609375</v>
      </c>
      <c r="H519" s="201">
        <f t="shared" si="17"/>
        <v>-1.9559171203674158E-3</v>
      </c>
    </row>
    <row r="520" spans="2:8" x14ac:dyDescent="0.3">
      <c r="B520" s="198">
        <v>44685</v>
      </c>
      <c r="C520" s="192">
        <v>143.82</v>
      </c>
      <c r="D520" s="201">
        <f t="shared" si="16"/>
        <v>-1.3444916998216545E-2</v>
      </c>
      <c r="F520" s="197">
        <v>44685</v>
      </c>
      <c r="G520" s="191">
        <v>16677.599609375</v>
      </c>
      <c r="H520" s="200">
        <f t="shared" si="17"/>
        <v>-2.2936183451936345E-2</v>
      </c>
    </row>
    <row r="521" spans="2:8" x14ac:dyDescent="0.3">
      <c r="B521" s="198">
        <v>44686</v>
      </c>
      <c r="C521" s="192">
        <v>145.05000000000001</v>
      </c>
      <c r="D521" s="201">
        <f t="shared" si="16"/>
        <v>8.5523571130581167E-3</v>
      </c>
      <c r="F521" s="196">
        <v>44686</v>
      </c>
      <c r="G521" s="190">
        <v>16682.650390625</v>
      </c>
      <c r="H521" s="201">
        <f t="shared" si="17"/>
        <v>3.0284821366983761E-4</v>
      </c>
    </row>
    <row r="522" spans="2:8" x14ac:dyDescent="0.3">
      <c r="B522" s="198">
        <v>44687</v>
      </c>
      <c r="C522" s="192">
        <v>141.91999999999999</v>
      </c>
      <c r="D522" s="201">
        <f t="shared" si="16"/>
        <v>-2.1578765942778515E-2</v>
      </c>
      <c r="F522" s="197">
        <v>44687</v>
      </c>
      <c r="G522" s="191">
        <v>16411.25</v>
      </c>
      <c r="H522" s="200">
        <f t="shared" si="17"/>
        <v>-1.6268421639856246E-2</v>
      </c>
    </row>
    <row r="523" spans="2:8" x14ac:dyDescent="0.3">
      <c r="B523" s="198">
        <v>44690</v>
      </c>
      <c r="C523" s="192">
        <v>139.72</v>
      </c>
      <c r="D523" s="201">
        <f t="shared" si="16"/>
        <v>-1.5501691093573767E-2</v>
      </c>
      <c r="F523" s="196">
        <v>44690</v>
      </c>
      <c r="G523" s="190">
        <v>16301.849609375</v>
      </c>
      <c r="H523" s="201">
        <f t="shared" si="17"/>
        <v>-6.6661826871810496E-3</v>
      </c>
    </row>
    <row r="524" spans="2:8" x14ac:dyDescent="0.3">
      <c r="B524" s="198">
        <v>44691</v>
      </c>
      <c r="C524" s="192">
        <v>142.74</v>
      </c>
      <c r="D524" s="201">
        <f t="shared" si="16"/>
        <v>2.161465788720305E-2</v>
      </c>
      <c r="F524" s="197">
        <v>44691</v>
      </c>
      <c r="G524" s="191">
        <v>16240.0498046875</v>
      </c>
      <c r="H524" s="200">
        <f t="shared" si="17"/>
        <v>-3.7909688880922855E-3</v>
      </c>
    </row>
    <row r="525" spans="2:8" x14ac:dyDescent="0.3">
      <c r="B525" s="198">
        <v>44692</v>
      </c>
      <c r="C525" s="192">
        <v>138.47</v>
      </c>
      <c r="D525" s="201">
        <f t="shared" si="16"/>
        <v>-2.9914529914529985E-2</v>
      </c>
      <c r="F525" s="196">
        <v>44692</v>
      </c>
      <c r="G525" s="190">
        <v>16167.099609375</v>
      </c>
      <c r="H525" s="201">
        <f t="shared" si="17"/>
        <v>-4.4919933245182401E-3</v>
      </c>
    </row>
    <row r="526" spans="2:8" x14ac:dyDescent="0.3">
      <c r="B526" s="198">
        <v>44693</v>
      </c>
      <c r="C526" s="192">
        <v>140.43</v>
      </c>
      <c r="D526" s="201">
        <f t="shared" si="16"/>
        <v>1.4154690546688871E-2</v>
      </c>
      <c r="F526" s="197">
        <v>44693</v>
      </c>
      <c r="G526" s="191">
        <v>15808</v>
      </c>
      <c r="H526" s="200">
        <f t="shared" si="17"/>
        <v>-2.2211752141785831E-2</v>
      </c>
    </row>
    <row r="527" spans="2:8" x14ac:dyDescent="0.3">
      <c r="B527" s="198">
        <v>44694</v>
      </c>
      <c r="C527" s="192">
        <v>143.96</v>
      </c>
      <c r="D527" s="201">
        <f t="shared" si="16"/>
        <v>2.5137078971729693E-2</v>
      </c>
      <c r="F527" s="196">
        <v>44694</v>
      </c>
      <c r="G527" s="190">
        <v>15782.150390625</v>
      </c>
      <c r="H527" s="201">
        <f t="shared" si="17"/>
        <v>-1.6352232651189271E-3</v>
      </c>
    </row>
    <row r="528" spans="2:8" x14ac:dyDescent="0.3">
      <c r="B528" s="198">
        <v>44697</v>
      </c>
      <c r="C528" s="192">
        <v>145.72</v>
      </c>
      <c r="D528" s="201">
        <f t="shared" si="16"/>
        <v>1.2225618227285294E-2</v>
      </c>
      <c r="F528" s="197">
        <v>44697</v>
      </c>
      <c r="G528" s="191">
        <v>15842.2998046875</v>
      </c>
      <c r="H528" s="200">
        <f t="shared" si="17"/>
        <v>3.8112305721171107E-3</v>
      </c>
    </row>
    <row r="529" spans="2:8" x14ac:dyDescent="0.3">
      <c r="B529" s="198">
        <v>44698</v>
      </c>
      <c r="C529" s="192">
        <v>146.44999999999999</v>
      </c>
      <c r="D529" s="201">
        <f t="shared" si="16"/>
        <v>5.0096074663737973E-3</v>
      </c>
      <c r="F529" s="196">
        <v>44698</v>
      </c>
      <c r="G529" s="190">
        <v>16259.2998046875</v>
      </c>
      <c r="H529" s="201">
        <f t="shared" si="17"/>
        <v>2.6321935902047247E-2</v>
      </c>
    </row>
    <row r="530" spans="2:8" x14ac:dyDescent="0.3">
      <c r="B530" s="198">
        <v>44699</v>
      </c>
      <c r="C530" s="192">
        <v>145.56</v>
      </c>
      <c r="D530" s="201">
        <f t="shared" si="16"/>
        <v>-6.0771594400818463E-3</v>
      </c>
      <c r="F530" s="197">
        <v>44699</v>
      </c>
      <c r="G530" s="191">
        <v>16240.2998046875</v>
      </c>
      <c r="H530" s="200">
        <f t="shared" si="17"/>
        <v>-1.1685620062508698E-3</v>
      </c>
    </row>
    <row r="531" spans="2:8" x14ac:dyDescent="0.3">
      <c r="B531" s="198">
        <v>44700</v>
      </c>
      <c r="C531" s="192">
        <v>140.02000000000001</v>
      </c>
      <c r="D531" s="201">
        <f t="shared" si="16"/>
        <v>-3.8059906567738333E-2</v>
      </c>
      <c r="F531" s="196">
        <v>44700</v>
      </c>
      <c r="G531" s="190">
        <v>15809.400390625</v>
      </c>
      <c r="H531" s="201">
        <f t="shared" si="17"/>
        <v>-2.6532725334179351E-2</v>
      </c>
    </row>
    <row r="532" spans="2:8" x14ac:dyDescent="0.3">
      <c r="B532" s="198">
        <v>44701</v>
      </c>
      <c r="C532" s="192">
        <v>145.58000000000001</v>
      </c>
      <c r="D532" s="201">
        <f t="shared" si="16"/>
        <v>3.9708613055277828E-2</v>
      </c>
      <c r="F532" s="197">
        <v>44701</v>
      </c>
      <c r="G532" s="191">
        <v>16266.150390625</v>
      </c>
      <c r="H532" s="200">
        <f t="shared" si="17"/>
        <v>2.8891038794289343E-2</v>
      </c>
    </row>
    <row r="533" spans="2:8" x14ac:dyDescent="0.3">
      <c r="B533" s="198">
        <v>44704</v>
      </c>
      <c r="C533" s="192">
        <v>142.38</v>
      </c>
      <c r="D533" s="201">
        <f t="shared" si="16"/>
        <v>-2.1981041351834159E-2</v>
      </c>
      <c r="F533" s="196">
        <v>44704</v>
      </c>
      <c r="G533" s="190">
        <v>16214.7001953125</v>
      </c>
      <c r="H533" s="201">
        <f t="shared" si="17"/>
        <v>-3.1630222318707523E-3</v>
      </c>
    </row>
    <row r="534" spans="2:8" x14ac:dyDescent="0.3">
      <c r="B534" s="198">
        <v>44705</v>
      </c>
      <c r="C534" s="192">
        <v>146.34</v>
      </c>
      <c r="D534" s="201">
        <f t="shared" si="16"/>
        <v>2.7812895069532294E-2</v>
      </c>
      <c r="F534" s="197">
        <v>44705</v>
      </c>
      <c r="G534" s="191">
        <v>16125.150390625</v>
      </c>
      <c r="H534" s="200">
        <f t="shared" si="17"/>
        <v>-5.5227542667355585E-3</v>
      </c>
    </row>
    <row r="535" spans="2:8" x14ac:dyDescent="0.3">
      <c r="B535" s="198">
        <v>44706</v>
      </c>
      <c r="C535" s="192">
        <v>140.33000000000001</v>
      </c>
      <c r="D535" s="201">
        <f t="shared" si="16"/>
        <v>-4.1068744020773477E-2</v>
      </c>
      <c r="F535" s="196">
        <v>44706</v>
      </c>
      <c r="G535" s="190">
        <v>16025.7998046875</v>
      </c>
      <c r="H535" s="201">
        <f t="shared" si="17"/>
        <v>-6.1612191843656494E-3</v>
      </c>
    </row>
    <row r="536" spans="2:8" x14ac:dyDescent="0.3">
      <c r="B536" s="198">
        <v>44707</v>
      </c>
      <c r="C536" s="192">
        <v>141.28</v>
      </c>
      <c r="D536" s="201">
        <f t="shared" si="16"/>
        <v>6.7697570013538697E-3</v>
      </c>
      <c r="F536" s="197">
        <v>44707</v>
      </c>
      <c r="G536" s="191">
        <v>16170.150390625</v>
      </c>
      <c r="H536" s="200">
        <f t="shared" si="17"/>
        <v>9.0073873189953288E-3</v>
      </c>
    </row>
    <row r="537" spans="2:8" x14ac:dyDescent="0.3">
      <c r="B537" s="198">
        <v>44708</v>
      </c>
      <c r="C537" s="192">
        <v>143.77000000000001</v>
      </c>
      <c r="D537" s="201">
        <f t="shared" si="16"/>
        <v>1.7624575311438344E-2</v>
      </c>
      <c r="F537" s="196">
        <v>44708</v>
      </c>
      <c r="G537" s="190">
        <v>16352.4501953125</v>
      </c>
      <c r="H537" s="201">
        <f t="shared" si="17"/>
        <v>1.1273847198922301E-2</v>
      </c>
    </row>
    <row r="538" spans="2:8" x14ac:dyDescent="0.3">
      <c r="B538" s="198">
        <v>44711</v>
      </c>
      <c r="C538" s="192">
        <v>143.53</v>
      </c>
      <c r="D538" s="201">
        <f t="shared" si="16"/>
        <v>-1.6693329623705159E-3</v>
      </c>
      <c r="F538" s="197">
        <v>44711</v>
      </c>
      <c r="G538" s="191">
        <v>16661.400390625</v>
      </c>
      <c r="H538" s="200">
        <f t="shared" si="17"/>
        <v>1.8893205092962884E-2</v>
      </c>
    </row>
    <row r="539" spans="2:8" x14ac:dyDescent="0.3">
      <c r="B539" s="198">
        <v>44712</v>
      </c>
      <c r="C539" s="192">
        <v>139.4</v>
      </c>
      <c r="D539" s="201">
        <f t="shared" si="16"/>
        <v>-2.8774472235769493E-2</v>
      </c>
      <c r="F539" s="196">
        <v>44712</v>
      </c>
      <c r="G539" s="190">
        <v>16584.55078125</v>
      </c>
      <c r="H539" s="201">
        <f t="shared" si="17"/>
        <v>-4.6124339835348759E-3</v>
      </c>
    </row>
    <row r="540" spans="2:8" x14ac:dyDescent="0.3">
      <c r="B540" s="198">
        <v>44713</v>
      </c>
      <c r="C540" s="192">
        <v>146.34</v>
      </c>
      <c r="D540" s="201">
        <f t="shared" si="16"/>
        <v>4.9784791965566698E-2</v>
      </c>
      <c r="F540" s="197">
        <v>44713</v>
      </c>
      <c r="G540" s="191">
        <v>16522.75</v>
      </c>
      <c r="H540" s="200">
        <f t="shared" si="17"/>
        <v>-3.7264067061659654E-3</v>
      </c>
    </row>
    <row r="541" spans="2:8" x14ac:dyDescent="0.3">
      <c r="B541" s="198">
        <v>44714</v>
      </c>
      <c r="C541" s="192">
        <v>150.29</v>
      </c>
      <c r="D541" s="201">
        <f t="shared" si="16"/>
        <v>2.6991936586032449E-2</v>
      </c>
      <c r="F541" s="196">
        <v>44714</v>
      </c>
      <c r="G541" s="190">
        <v>16628</v>
      </c>
      <c r="H541" s="201">
        <f t="shared" si="17"/>
        <v>6.3700049931155528E-3</v>
      </c>
    </row>
    <row r="542" spans="2:8" x14ac:dyDescent="0.3">
      <c r="B542" s="198">
        <v>44715</v>
      </c>
      <c r="C542" s="192">
        <v>145.19999999999999</v>
      </c>
      <c r="D542" s="201">
        <f t="shared" si="16"/>
        <v>-3.3867855479406503E-2</v>
      </c>
      <c r="F542" s="197">
        <v>44715</v>
      </c>
      <c r="G542" s="191">
        <v>16584.30078125</v>
      </c>
      <c r="H542" s="200">
        <f t="shared" si="17"/>
        <v>-2.6280502014674042E-3</v>
      </c>
    </row>
    <row r="543" spans="2:8" x14ac:dyDescent="0.3">
      <c r="B543" s="198">
        <v>44718</v>
      </c>
      <c r="C543" s="192">
        <v>145.09</v>
      </c>
      <c r="D543" s="201">
        <f t="shared" si="16"/>
        <v>-7.5757575757565588E-4</v>
      </c>
      <c r="F543" s="196">
        <v>44718</v>
      </c>
      <c r="G543" s="190">
        <v>16569.55078125</v>
      </c>
      <c r="H543" s="201">
        <f t="shared" si="17"/>
        <v>-8.893953501299351E-4</v>
      </c>
    </row>
    <row r="544" spans="2:8" x14ac:dyDescent="0.3">
      <c r="B544" s="198">
        <v>44719</v>
      </c>
      <c r="C544" s="192">
        <v>147.08000000000001</v>
      </c>
      <c r="D544" s="201">
        <f t="shared" si="16"/>
        <v>1.3715624784616508E-2</v>
      </c>
      <c r="F544" s="197">
        <v>44719</v>
      </c>
      <c r="G544" s="191">
        <v>16416.349609375</v>
      </c>
      <c r="H544" s="200">
        <f t="shared" si="17"/>
        <v>-9.2459460064760173E-3</v>
      </c>
    </row>
    <row r="545" spans="2:8" x14ac:dyDescent="0.3">
      <c r="B545" s="198">
        <v>44720</v>
      </c>
      <c r="C545" s="192">
        <v>147.4</v>
      </c>
      <c r="D545" s="201">
        <f t="shared" ref="D545:D608" si="18">(C545-C544)/C544</f>
        <v>2.1756867011149929E-3</v>
      </c>
      <c r="F545" s="196">
        <v>44720</v>
      </c>
      <c r="G545" s="190">
        <v>16356.25</v>
      </c>
      <c r="H545" s="201">
        <f t="shared" si="17"/>
        <v>-3.6609606157923498E-3</v>
      </c>
    </row>
    <row r="546" spans="2:8" x14ac:dyDescent="0.3">
      <c r="B546" s="198">
        <v>44721</v>
      </c>
      <c r="C546" s="192">
        <v>146.46</v>
      </c>
      <c r="D546" s="201">
        <f t="shared" si="18"/>
        <v>-6.3772048846675554E-3</v>
      </c>
      <c r="F546" s="197">
        <v>44721</v>
      </c>
      <c r="G546" s="191">
        <v>16478.099609375</v>
      </c>
      <c r="H546" s="200">
        <f t="shared" si="17"/>
        <v>7.4497277416889565E-3</v>
      </c>
    </row>
    <row r="547" spans="2:8" x14ac:dyDescent="0.3">
      <c r="B547" s="198">
        <v>44722</v>
      </c>
      <c r="C547" s="192">
        <v>149.33000000000001</v>
      </c>
      <c r="D547" s="201">
        <f t="shared" si="18"/>
        <v>1.9595794073467187E-2</v>
      </c>
      <c r="F547" s="196">
        <v>44722</v>
      </c>
      <c r="G547" s="190">
        <v>16201.7998046875</v>
      </c>
      <c r="H547" s="201">
        <f t="shared" si="17"/>
        <v>-1.6767698414100061E-2</v>
      </c>
    </row>
    <row r="548" spans="2:8" x14ac:dyDescent="0.3">
      <c r="B548" s="198">
        <v>44725</v>
      </c>
      <c r="C548" s="192">
        <v>148.06</v>
      </c>
      <c r="D548" s="201">
        <f t="shared" si="18"/>
        <v>-8.5046541217438567E-3</v>
      </c>
      <c r="F548" s="197">
        <v>44725</v>
      </c>
      <c r="G548" s="191">
        <v>15774.400390625</v>
      </c>
      <c r="H548" s="200">
        <f t="shared" si="17"/>
        <v>-2.6379749115209097E-2</v>
      </c>
    </row>
    <row r="549" spans="2:8" x14ac:dyDescent="0.3">
      <c r="B549" s="198">
        <v>44726</v>
      </c>
      <c r="C549" s="192">
        <v>153.13</v>
      </c>
      <c r="D549" s="201">
        <f t="shared" si="18"/>
        <v>3.4242874510333601E-2</v>
      </c>
      <c r="F549" s="196">
        <v>44726</v>
      </c>
      <c r="G549" s="190">
        <v>15732.099609375</v>
      </c>
      <c r="H549" s="201">
        <f t="shared" si="17"/>
        <v>-2.6816094559854137E-3</v>
      </c>
    </row>
    <row r="550" spans="2:8" x14ac:dyDescent="0.3">
      <c r="B550" s="198">
        <v>44727</v>
      </c>
      <c r="C550" s="192">
        <v>155.72999999999999</v>
      </c>
      <c r="D550" s="201">
        <f t="shared" si="18"/>
        <v>1.6979037419186275E-2</v>
      </c>
      <c r="F550" s="197">
        <v>44727</v>
      </c>
      <c r="G550" s="191">
        <v>15692.150390625</v>
      </c>
      <c r="H550" s="200">
        <f t="shared" si="17"/>
        <v>-2.5393443813560425E-3</v>
      </c>
    </row>
    <row r="551" spans="2:8" x14ac:dyDescent="0.3">
      <c r="B551" s="198">
        <v>44728</v>
      </c>
      <c r="C551" s="192">
        <v>154.21</v>
      </c>
      <c r="D551" s="201">
        <f t="shared" si="18"/>
        <v>-9.7604828870479794E-3</v>
      </c>
      <c r="F551" s="196">
        <v>44728</v>
      </c>
      <c r="G551" s="190">
        <v>15360.599609375</v>
      </c>
      <c r="H551" s="201">
        <f t="shared" si="17"/>
        <v>-2.1128447854290206E-2</v>
      </c>
    </row>
    <row r="552" spans="2:8" x14ac:dyDescent="0.3">
      <c r="B552" s="198">
        <v>44729</v>
      </c>
      <c r="C552" s="192">
        <v>148.65</v>
      </c>
      <c r="D552" s="201">
        <f t="shared" si="18"/>
        <v>-3.6054730562220361E-2</v>
      </c>
      <c r="F552" s="197">
        <v>44729</v>
      </c>
      <c r="G552" s="191">
        <v>15293.5</v>
      </c>
      <c r="H552" s="200">
        <f t="shared" si="17"/>
        <v>-4.3682936266398898E-3</v>
      </c>
    </row>
    <row r="553" spans="2:8" x14ac:dyDescent="0.3">
      <c r="B553" s="198">
        <v>44732</v>
      </c>
      <c r="C553" s="192">
        <v>148.91</v>
      </c>
      <c r="D553" s="201">
        <f t="shared" si="18"/>
        <v>1.7490750084089531E-3</v>
      </c>
      <c r="F553" s="196">
        <v>44732</v>
      </c>
      <c r="G553" s="190">
        <v>15350.150390625</v>
      </c>
      <c r="H553" s="201">
        <f t="shared" si="17"/>
        <v>3.7042135956452085E-3</v>
      </c>
    </row>
    <row r="554" spans="2:8" x14ac:dyDescent="0.3">
      <c r="B554" s="198">
        <v>44733</v>
      </c>
      <c r="C554" s="192">
        <v>146.19999999999999</v>
      </c>
      <c r="D554" s="201">
        <f t="shared" si="18"/>
        <v>-1.819891209455381E-2</v>
      </c>
      <c r="F554" s="197">
        <v>44733</v>
      </c>
      <c r="G554" s="191">
        <v>15638.7998046875</v>
      </c>
      <c r="H554" s="200">
        <f t="shared" si="17"/>
        <v>1.8804337854487124E-2</v>
      </c>
    </row>
    <row r="555" spans="2:8" x14ac:dyDescent="0.3">
      <c r="B555" s="198">
        <v>44734</v>
      </c>
      <c r="C555" s="192">
        <v>148.13999999999999</v>
      </c>
      <c r="D555" s="201">
        <f t="shared" si="18"/>
        <v>1.3269493844049234E-2</v>
      </c>
      <c r="F555" s="196">
        <v>44734</v>
      </c>
      <c r="G555" s="190">
        <v>15413.2998046875</v>
      </c>
      <c r="H555" s="201">
        <f t="shared" si="17"/>
        <v>-1.4419265085317462E-2</v>
      </c>
    </row>
    <row r="556" spans="2:8" x14ac:dyDescent="0.3">
      <c r="B556" s="198">
        <v>44735</v>
      </c>
      <c r="C556" s="192">
        <v>149.13999999999999</v>
      </c>
      <c r="D556" s="201">
        <f t="shared" si="18"/>
        <v>6.7503712704198738E-3</v>
      </c>
      <c r="F556" s="197">
        <v>44735</v>
      </c>
      <c r="G556" s="191">
        <v>15556.650390625</v>
      </c>
      <c r="H556" s="200">
        <f t="shared" si="17"/>
        <v>9.3004475196092756E-3</v>
      </c>
    </row>
    <row r="557" spans="2:8" x14ac:dyDescent="0.3">
      <c r="B557" s="198">
        <v>44736</v>
      </c>
      <c r="C557" s="192">
        <v>152.5</v>
      </c>
      <c r="D557" s="201">
        <f t="shared" si="18"/>
        <v>2.2529167225425868E-2</v>
      </c>
      <c r="F557" s="196">
        <v>44736</v>
      </c>
      <c r="G557" s="190">
        <v>15699.25</v>
      </c>
      <c r="H557" s="201">
        <f t="shared" si="17"/>
        <v>9.1664725885294493E-3</v>
      </c>
    </row>
    <row r="558" spans="2:8" x14ac:dyDescent="0.3">
      <c r="B558" s="198">
        <v>44739</v>
      </c>
      <c r="C558" s="192">
        <v>153.66</v>
      </c>
      <c r="D558" s="201">
        <f t="shared" si="18"/>
        <v>7.6065573770491583E-3</v>
      </c>
      <c r="F558" s="197">
        <v>44739</v>
      </c>
      <c r="G558" s="191">
        <v>15832.0498046875</v>
      </c>
      <c r="H558" s="200">
        <f t="shared" si="17"/>
        <v>8.4589903777250505E-3</v>
      </c>
    </row>
    <row r="559" spans="2:8" x14ac:dyDescent="0.3">
      <c r="B559" s="198">
        <v>44740</v>
      </c>
      <c r="C559" s="192">
        <v>154.37</v>
      </c>
      <c r="D559" s="201">
        <f t="shared" si="18"/>
        <v>4.6205909150072106E-3</v>
      </c>
      <c r="F559" s="196">
        <v>44740</v>
      </c>
      <c r="G559" s="190">
        <v>15850.2001953125</v>
      </c>
      <c r="H559" s="201">
        <f t="shared" si="17"/>
        <v>1.14643339611186E-3</v>
      </c>
    </row>
    <row r="560" spans="2:8" x14ac:dyDescent="0.3">
      <c r="B560" s="198">
        <v>44741</v>
      </c>
      <c r="C560" s="192">
        <v>155.38999999999999</v>
      </c>
      <c r="D560" s="201">
        <f t="shared" si="18"/>
        <v>6.6075014575369684E-3</v>
      </c>
      <c r="F560" s="197">
        <v>44741</v>
      </c>
      <c r="G560" s="191">
        <v>15799.099609375</v>
      </c>
      <c r="H560" s="200">
        <f t="shared" si="17"/>
        <v>-3.2239710103227821E-3</v>
      </c>
    </row>
    <row r="561" spans="2:8" x14ac:dyDescent="0.3">
      <c r="B561" s="198">
        <v>44742</v>
      </c>
      <c r="C561" s="192">
        <v>156.47</v>
      </c>
      <c r="D561" s="201">
        <f t="shared" si="18"/>
        <v>6.9502541991119928E-3</v>
      </c>
      <c r="F561" s="196">
        <v>44742</v>
      </c>
      <c r="G561" s="190">
        <v>15780.25</v>
      </c>
      <c r="H561" s="201">
        <f t="shared" si="17"/>
        <v>-1.1930812414028243E-3</v>
      </c>
    </row>
    <row r="562" spans="2:8" x14ac:dyDescent="0.3">
      <c r="B562" s="198">
        <v>44743</v>
      </c>
      <c r="C562" s="192">
        <v>157.15</v>
      </c>
      <c r="D562" s="201">
        <f t="shared" si="18"/>
        <v>4.3458809995526732E-3</v>
      </c>
      <c r="F562" s="197">
        <v>44743</v>
      </c>
      <c r="G562" s="191">
        <v>15752.0498046875</v>
      </c>
      <c r="H562" s="200">
        <f t="shared" si="17"/>
        <v>-1.7870563085185596E-3</v>
      </c>
    </row>
    <row r="563" spans="2:8" x14ac:dyDescent="0.3">
      <c r="B563" s="198">
        <v>44746</v>
      </c>
      <c r="C563" s="192">
        <v>155.59</v>
      </c>
      <c r="D563" s="201">
        <f t="shared" si="18"/>
        <v>-9.9268215081132812E-3</v>
      </c>
      <c r="F563" s="196">
        <v>44746</v>
      </c>
      <c r="G563" s="190">
        <v>15835.349609375</v>
      </c>
      <c r="H563" s="201">
        <f t="shared" si="17"/>
        <v>5.288188249805534E-3</v>
      </c>
    </row>
    <row r="564" spans="2:8" x14ac:dyDescent="0.3">
      <c r="B564" s="198">
        <v>44747</v>
      </c>
      <c r="C564" s="192">
        <v>157.41999999999999</v>
      </c>
      <c r="D564" s="201">
        <f t="shared" si="18"/>
        <v>1.1761681341988458E-2</v>
      </c>
      <c r="F564" s="197">
        <v>44747</v>
      </c>
      <c r="G564" s="191">
        <v>15810.849609375</v>
      </c>
      <c r="H564" s="200">
        <f t="shared" si="17"/>
        <v>-1.5471713984448608E-3</v>
      </c>
    </row>
    <row r="565" spans="2:8" x14ac:dyDescent="0.3">
      <c r="B565" s="198">
        <v>44748</v>
      </c>
      <c r="C565" s="192">
        <v>162.49</v>
      </c>
      <c r="D565" s="201">
        <f t="shared" si="18"/>
        <v>3.2206835217888592E-2</v>
      </c>
      <c r="F565" s="196">
        <v>44748</v>
      </c>
      <c r="G565" s="190">
        <v>15989.7998046875</v>
      </c>
      <c r="H565" s="201">
        <f t="shared" si="17"/>
        <v>1.1318189707300232E-2</v>
      </c>
    </row>
    <row r="566" spans="2:8" x14ac:dyDescent="0.3">
      <c r="B566" s="198">
        <v>44749</v>
      </c>
      <c r="C566" s="192">
        <v>163.72</v>
      </c>
      <c r="D566" s="201">
        <f t="shared" si="18"/>
        <v>7.5696965967135803E-3</v>
      </c>
      <c r="F566" s="197">
        <v>44749</v>
      </c>
      <c r="G566" s="191">
        <v>16132.900390625</v>
      </c>
      <c r="H566" s="200">
        <f t="shared" si="17"/>
        <v>8.9494920315105666E-3</v>
      </c>
    </row>
    <row r="567" spans="2:8" x14ac:dyDescent="0.3">
      <c r="B567" s="198">
        <v>44750</v>
      </c>
      <c r="C567" s="192">
        <v>167.95</v>
      </c>
      <c r="D567" s="201">
        <f t="shared" si="18"/>
        <v>2.583679452724157E-2</v>
      </c>
      <c r="F567" s="196">
        <v>44750</v>
      </c>
      <c r="G567" s="190">
        <v>16220.599609375</v>
      </c>
      <c r="H567" s="201">
        <f t="shared" si="17"/>
        <v>5.436047866567313E-3</v>
      </c>
    </row>
    <row r="568" spans="2:8" x14ac:dyDescent="0.3">
      <c r="B568" s="198">
        <v>44753</v>
      </c>
      <c r="C568" s="192">
        <v>169.27</v>
      </c>
      <c r="D568" s="201">
        <f t="shared" si="18"/>
        <v>7.8594819886872377E-3</v>
      </c>
      <c r="F568" s="197">
        <v>44753</v>
      </c>
      <c r="G568" s="191">
        <v>16216</v>
      </c>
      <c r="H568" s="200">
        <f t="shared" si="17"/>
        <v>-2.8356592763325282E-4</v>
      </c>
    </row>
    <row r="569" spans="2:8" x14ac:dyDescent="0.3">
      <c r="B569" s="198">
        <v>44754</v>
      </c>
      <c r="C569" s="192">
        <v>168.92</v>
      </c>
      <c r="D569" s="201">
        <f t="shared" si="18"/>
        <v>-2.0677024871508403E-3</v>
      </c>
      <c r="F569" s="196">
        <v>44754</v>
      </c>
      <c r="G569" s="190">
        <v>16058.2998046875</v>
      </c>
      <c r="H569" s="201">
        <f t="shared" si="17"/>
        <v>-9.7249750439380861E-3</v>
      </c>
    </row>
    <row r="570" spans="2:8" x14ac:dyDescent="0.3">
      <c r="B570" s="198">
        <v>44755</v>
      </c>
      <c r="C570" s="192">
        <v>173.12</v>
      </c>
      <c r="D570" s="201">
        <f t="shared" si="18"/>
        <v>2.4863840871418526E-2</v>
      </c>
      <c r="F570" s="197">
        <v>44755</v>
      </c>
      <c r="G570" s="191">
        <v>15966.650390625</v>
      </c>
      <c r="H570" s="200">
        <f t="shared" si="17"/>
        <v>-5.707292501522924E-3</v>
      </c>
    </row>
    <row r="571" spans="2:8" x14ac:dyDescent="0.3">
      <c r="B571" s="198">
        <v>44756</v>
      </c>
      <c r="C571" s="192">
        <v>165.22</v>
      </c>
      <c r="D571" s="201">
        <f t="shared" si="18"/>
        <v>-4.5633086876155297E-2</v>
      </c>
      <c r="F571" s="196">
        <v>44756</v>
      </c>
      <c r="G571" s="190">
        <v>15938.650390625</v>
      </c>
      <c r="H571" s="201">
        <f t="shared" si="17"/>
        <v>-1.7536552323109999E-3</v>
      </c>
    </row>
    <row r="572" spans="2:8" x14ac:dyDescent="0.3">
      <c r="B572" s="198">
        <v>44757</v>
      </c>
      <c r="C572" s="192">
        <v>163.6</v>
      </c>
      <c r="D572" s="201">
        <f t="shared" si="18"/>
        <v>-9.8051083403946533E-3</v>
      </c>
      <c r="F572" s="197">
        <v>44757</v>
      </c>
      <c r="G572" s="191">
        <v>16049.2001953125</v>
      </c>
      <c r="H572" s="200">
        <f t="shared" si="17"/>
        <v>6.9359576863875878E-3</v>
      </c>
    </row>
    <row r="573" spans="2:8" x14ac:dyDescent="0.3">
      <c r="B573" s="198">
        <v>44760</v>
      </c>
      <c r="C573" s="192">
        <v>169.45</v>
      </c>
      <c r="D573" s="201">
        <f t="shared" si="18"/>
        <v>3.5757946210268912E-2</v>
      </c>
      <c r="F573" s="196">
        <v>44760</v>
      </c>
      <c r="G573" s="190">
        <v>16278.5</v>
      </c>
      <c r="H573" s="201">
        <f t="shared" si="17"/>
        <v>1.4287304158276481E-2</v>
      </c>
    </row>
    <row r="574" spans="2:8" x14ac:dyDescent="0.3">
      <c r="B574" s="198">
        <v>44761</v>
      </c>
      <c r="C574" s="192">
        <v>173.99</v>
      </c>
      <c r="D574" s="201">
        <f t="shared" si="18"/>
        <v>2.6792564178223788E-2</v>
      </c>
      <c r="F574" s="197">
        <v>44761</v>
      </c>
      <c r="G574" s="191">
        <v>16340.5498046875</v>
      </c>
      <c r="H574" s="200">
        <f t="shared" si="17"/>
        <v>3.8117642711244892E-3</v>
      </c>
    </row>
    <row r="575" spans="2:8" x14ac:dyDescent="0.3">
      <c r="B575" s="198">
        <v>44762</v>
      </c>
      <c r="C575" s="192">
        <v>176.81</v>
      </c>
      <c r="D575" s="201">
        <f t="shared" si="18"/>
        <v>1.6207828036093989E-2</v>
      </c>
      <c r="F575" s="196">
        <v>44762</v>
      </c>
      <c r="G575" s="190">
        <v>16520.849609375</v>
      </c>
      <c r="H575" s="201">
        <f t="shared" si="17"/>
        <v>1.1033888506969248E-2</v>
      </c>
    </row>
    <row r="576" spans="2:8" x14ac:dyDescent="0.3">
      <c r="B576" s="198">
        <v>44763</v>
      </c>
      <c r="C576" s="192">
        <v>172.58</v>
      </c>
      <c r="D576" s="201">
        <f t="shared" si="18"/>
        <v>-2.3923986199875513E-2</v>
      </c>
      <c r="F576" s="197">
        <v>44763</v>
      </c>
      <c r="G576" s="191">
        <v>16605.25</v>
      </c>
      <c r="H576" s="200">
        <f t="shared" si="17"/>
        <v>5.1087197462959628E-3</v>
      </c>
    </row>
    <row r="577" spans="2:8" x14ac:dyDescent="0.3">
      <c r="B577" s="198">
        <v>44764</v>
      </c>
      <c r="C577" s="192">
        <v>172.65</v>
      </c>
      <c r="D577" s="201">
        <f t="shared" si="18"/>
        <v>4.0560899293077515E-4</v>
      </c>
      <c r="F577" s="196">
        <v>44764</v>
      </c>
      <c r="G577" s="190">
        <v>16719.44921875</v>
      </c>
      <c r="H577" s="201">
        <f t="shared" si="17"/>
        <v>6.8772959606148657E-3</v>
      </c>
    </row>
    <row r="578" spans="2:8" x14ac:dyDescent="0.3">
      <c r="B578" s="198">
        <v>44767</v>
      </c>
      <c r="C578" s="192">
        <v>173.17</v>
      </c>
      <c r="D578" s="201">
        <f t="shared" si="18"/>
        <v>3.0118737329857038E-3</v>
      </c>
      <c r="F578" s="197">
        <v>44767</v>
      </c>
      <c r="G578" s="191">
        <v>16631</v>
      </c>
      <c r="H578" s="200">
        <f t="shared" si="17"/>
        <v>-5.2901993117577557E-3</v>
      </c>
    </row>
    <row r="579" spans="2:8" x14ac:dyDescent="0.3">
      <c r="B579" s="198">
        <v>44768</v>
      </c>
      <c r="C579" s="192">
        <v>173.8</v>
      </c>
      <c r="D579" s="201">
        <f t="shared" si="18"/>
        <v>3.6380435410291847E-3</v>
      </c>
      <c r="F579" s="196">
        <v>44768</v>
      </c>
      <c r="G579" s="190">
        <v>16483.849609375</v>
      </c>
      <c r="H579" s="201">
        <f t="shared" si="17"/>
        <v>-8.8479580677650171E-3</v>
      </c>
    </row>
    <row r="580" spans="2:8" x14ac:dyDescent="0.3">
      <c r="B580" s="198">
        <v>44769</v>
      </c>
      <c r="C580" s="192">
        <v>172.17</v>
      </c>
      <c r="D580" s="201">
        <f t="shared" si="18"/>
        <v>-9.3785960874569838E-3</v>
      </c>
      <c r="F580" s="197">
        <v>44769</v>
      </c>
      <c r="G580" s="191">
        <v>16641.80078125</v>
      </c>
      <c r="H580" s="200">
        <f t="shared" si="17"/>
        <v>9.5821774414374099E-3</v>
      </c>
    </row>
    <row r="581" spans="2:8" x14ac:dyDescent="0.3">
      <c r="B581" s="198">
        <v>44770</v>
      </c>
      <c r="C581" s="192">
        <v>173.43</v>
      </c>
      <c r="D581" s="201">
        <f t="shared" si="18"/>
        <v>7.3183481442761194E-3</v>
      </c>
      <c r="F581" s="196">
        <v>44770</v>
      </c>
      <c r="G581" s="190">
        <v>16929.599609375</v>
      </c>
      <c r="H581" s="201">
        <f t="shared" si="17"/>
        <v>1.7293731123692903E-2</v>
      </c>
    </row>
    <row r="582" spans="2:8" x14ac:dyDescent="0.3">
      <c r="B582" s="198">
        <v>44771</v>
      </c>
      <c r="C582" s="192">
        <v>174.71</v>
      </c>
      <c r="D582" s="201">
        <f t="shared" si="18"/>
        <v>7.3804993369082691E-3</v>
      </c>
      <c r="F582" s="197">
        <v>44771</v>
      </c>
      <c r="G582" s="191">
        <v>17158.25</v>
      </c>
      <c r="H582" s="200">
        <f t="shared" ref="H582:H645" si="19">(G582-G581)/G581</f>
        <v>1.3505953826479256E-2</v>
      </c>
    </row>
    <row r="583" spans="2:8" x14ac:dyDescent="0.3">
      <c r="B583" s="198">
        <v>44774</v>
      </c>
      <c r="C583" s="192">
        <v>183.29</v>
      </c>
      <c r="D583" s="201">
        <f t="shared" si="18"/>
        <v>4.9109953637456266E-2</v>
      </c>
      <c r="F583" s="196">
        <v>44774</v>
      </c>
      <c r="G583" s="190">
        <v>17340.05078125</v>
      </c>
      <c r="H583" s="201">
        <f t="shared" si="19"/>
        <v>1.059553166843938E-2</v>
      </c>
    </row>
    <row r="584" spans="2:8" x14ac:dyDescent="0.3">
      <c r="B584" s="198">
        <v>44775</v>
      </c>
      <c r="C584" s="192">
        <v>181.22</v>
      </c>
      <c r="D584" s="201">
        <f t="shared" si="18"/>
        <v>-1.1293578482186662E-2</v>
      </c>
      <c r="F584" s="197">
        <v>44775</v>
      </c>
      <c r="G584" s="191">
        <v>17345.44921875</v>
      </c>
      <c r="H584" s="200">
        <f t="shared" si="19"/>
        <v>3.1132766380577117E-4</v>
      </c>
    </row>
    <row r="585" spans="2:8" x14ac:dyDescent="0.3">
      <c r="B585" s="198">
        <v>44776</v>
      </c>
      <c r="C585" s="192">
        <v>186.56</v>
      </c>
      <c r="D585" s="201">
        <f t="shared" si="18"/>
        <v>2.9466946253172959E-2</v>
      </c>
      <c r="F585" s="196">
        <v>44776</v>
      </c>
      <c r="G585" s="190">
        <v>17388.150390625</v>
      </c>
      <c r="H585" s="201">
        <f t="shared" si="19"/>
        <v>2.4618083588657416E-3</v>
      </c>
    </row>
    <row r="586" spans="2:8" x14ac:dyDescent="0.3">
      <c r="B586" s="198">
        <v>44777</v>
      </c>
      <c r="C586" s="192">
        <v>198.66</v>
      </c>
      <c r="D586" s="201">
        <f t="shared" si="18"/>
        <v>6.4858490566037708E-2</v>
      </c>
      <c r="F586" s="197">
        <v>44777</v>
      </c>
      <c r="G586" s="191">
        <v>17382</v>
      </c>
      <c r="H586" s="200">
        <f t="shared" si="19"/>
        <v>-3.537116074356043E-4</v>
      </c>
    </row>
    <row r="587" spans="2:8" x14ac:dyDescent="0.3">
      <c r="B587" s="198">
        <v>44778</v>
      </c>
      <c r="C587" s="192">
        <v>202.92</v>
      </c>
      <c r="D587" s="201">
        <f t="shared" si="18"/>
        <v>2.1443672606463259E-2</v>
      </c>
      <c r="F587" s="196">
        <v>44778</v>
      </c>
      <c r="G587" s="190">
        <v>17397.5</v>
      </c>
      <c r="H587" s="201">
        <f t="shared" si="19"/>
        <v>8.9172707398458174E-4</v>
      </c>
    </row>
    <row r="588" spans="2:8" x14ac:dyDescent="0.3">
      <c r="B588" s="198">
        <v>44781</v>
      </c>
      <c r="C588" s="192">
        <v>200.23</v>
      </c>
      <c r="D588" s="201">
        <f t="shared" si="18"/>
        <v>-1.3256455746106829E-2</v>
      </c>
      <c r="F588" s="197">
        <v>44781</v>
      </c>
      <c r="G588" s="191">
        <v>17525.099609375</v>
      </c>
      <c r="H588" s="200">
        <f t="shared" si="19"/>
        <v>7.3343646716482252E-3</v>
      </c>
    </row>
    <row r="589" spans="2:8" x14ac:dyDescent="0.3">
      <c r="B589" s="198">
        <v>44783</v>
      </c>
      <c r="C589" s="192">
        <v>198.52</v>
      </c>
      <c r="D589" s="201">
        <f t="shared" si="18"/>
        <v>-8.5401787943863543E-3</v>
      </c>
      <c r="F589" s="196">
        <v>44783</v>
      </c>
      <c r="G589" s="190">
        <v>17534.75</v>
      </c>
      <c r="H589" s="201">
        <f t="shared" si="19"/>
        <v>5.5066109979982946E-4</v>
      </c>
    </row>
    <row r="590" spans="2:8" x14ac:dyDescent="0.3">
      <c r="B590" s="198">
        <v>44784</v>
      </c>
      <c r="C590" s="192">
        <v>198.94</v>
      </c>
      <c r="D590" s="201">
        <f t="shared" si="18"/>
        <v>2.1156558533144644E-3</v>
      </c>
      <c r="F590" s="197">
        <v>44784</v>
      </c>
      <c r="G590" s="191">
        <v>17659</v>
      </c>
      <c r="H590" s="200">
        <f t="shared" si="19"/>
        <v>7.0859293688247619E-3</v>
      </c>
    </row>
    <row r="591" spans="2:8" x14ac:dyDescent="0.3">
      <c r="B591" s="198">
        <v>44785</v>
      </c>
      <c r="C591" s="192">
        <v>203.48</v>
      </c>
      <c r="D591" s="201">
        <f t="shared" si="18"/>
        <v>2.2820951040514688E-2</v>
      </c>
      <c r="F591" s="196">
        <v>44785</v>
      </c>
      <c r="G591" s="190">
        <v>17698.150390625</v>
      </c>
      <c r="H591" s="201">
        <f t="shared" si="19"/>
        <v>2.2170219505634522E-3</v>
      </c>
    </row>
    <row r="592" spans="2:8" x14ac:dyDescent="0.3">
      <c r="B592" s="198">
        <v>44789</v>
      </c>
      <c r="C592" s="192">
        <v>206.2</v>
      </c>
      <c r="D592" s="201">
        <f t="shared" si="18"/>
        <v>1.336740711617849E-2</v>
      </c>
      <c r="F592" s="197">
        <v>44789</v>
      </c>
      <c r="G592" s="191">
        <v>17825.25</v>
      </c>
      <c r="H592" s="200">
        <f t="shared" si="19"/>
        <v>7.18151934353133E-3</v>
      </c>
    </row>
    <row r="593" spans="2:8" x14ac:dyDescent="0.3">
      <c r="B593" s="198">
        <v>44790</v>
      </c>
      <c r="C593" s="192">
        <v>205.66</v>
      </c>
      <c r="D593" s="201">
        <f t="shared" si="18"/>
        <v>-2.6188166828321631E-3</v>
      </c>
      <c r="F593" s="196">
        <v>44790</v>
      </c>
      <c r="G593" s="190">
        <v>17944.25</v>
      </c>
      <c r="H593" s="201">
        <f t="shared" si="19"/>
        <v>6.675923198833116E-3</v>
      </c>
    </row>
    <row r="594" spans="2:8" x14ac:dyDescent="0.3">
      <c r="B594" s="198">
        <v>44791</v>
      </c>
      <c r="C594" s="192">
        <v>206.53</v>
      </c>
      <c r="D594" s="201">
        <f t="shared" si="18"/>
        <v>4.2302829913449603E-3</v>
      </c>
      <c r="F594" s="197">
        <v>44791</v>
      </c>
      <c r="G594" s="191">
        <v>17956.5</v>
      </c>
      <c r="H594" s="200">
        <f t="shared" si="19"/>
        <v>6.8266993605193866E-4</v>
      </c>
    </row>
    <row r="595" spans="2:8" x14ac:dyDescent="0.3">
      <c r="B595" s="198">
        <v>44792</v>
      </c>
      <c r="C595" s="192">
        <v>196.06</v>
      </c>
      <c r="D595" s="201">
        <f t="shared" si="18"/>
        <v>-5.0694814312690642E-2</v>
      </c>
      <c r="F595" s="196">
        <v>44792</v>
      </c>
      <c r="G595" s="190">
        <v>17758.44921875</v>
      </c>
      <c r="H595" s="201">
        <f t="shared" si="19"/>
        <v>-1.1029475746944004E-2</v>
      </c>
    </row>
    <row r="596" spans="2:8" x14ac:dyDescent="0.3">
      <c r="B596" s="198">
        <v>44795</v>
      </c>
      <c r="C596" s="192">
        <v>182.49</v>
      </c>
      <c r="D596" s="201">
        <f t="shared" si="18"/>
        <v>-6.921350606957051E-2</v>
      </c>
      <c r="F596" s="197">
        <v>44795</v>
      </c>
      <c r="G596" s="191">
        <v>17490.69921875</v>
      </c>
      <c r="H596" s="200">
        <f t="shared" si="19"/>
        <v>-1.5077330047338822E-2</v>
      </c>
    </row>
    <row r="597" spans="2:8" x14ac:dyDescent="0.3">
      <c r="B597" s="198">
        <v>44796</v>
      </c>
      <c r="C597" s="192">
        <v>191.18</v>
      </c>
      <c r="D597" s="201">
        <f t="shared" si="18"/>
        <v>4.7619047619047603E-2</v>
      </c>
      <c r="F597" s="196">
        <v>44796</v>
      </c>
      <c r="G597" s="190">
        <v>17577.5</v>
      </c>
      <c r="H597" s="201">
        <f t="shared" si="19"/>
        <v>4.9626821755044369E-3</v>
      </c>
    </row>
    <row r="598" spans="2:8" x14ac:dyDescent="0.3">
      <c r="B598" s="198">
        <v>44797</v>
      </c>
      <c r="C598" s="192">
        <v>204.55</v>
      </c>
      <c r="D598" s="201">
        <f t="shared" si="18"/>
        <v>6.9934093524427268E-2</v>
      </c>
      <c r="F598" s="197">
        <v>44797</v>
      </c>
      <c r="G598" s="191">
        <v>17604.94921875</v>
      </c>
      <c r="H598" s="200">
        <f t="shared" si="19"/>
        <v>1.5616110795050491E-3</v>
      </c>
    </row>
    <row r="599" spans="2:8" x14ac:dyDescent="0.3">
      <c r="B599" s="198">
        <v>44798</v>
      </c>
      <c r="C599" s="192">
        <v>204.03</v>
      </c>
      <c r="D599" s="201">
        <f t="shared" si="18"/>
        <v>-2.5421657296505022E-3</v>
      </c>
      <c r="F599" s="196">
        <v>44798</v>
      </c>
      <c r="G599" s="190">
        <v>17522.44921875</v>
      </c>
      <c r="H599" s="201">
        <f t="shared" si="19"/>
        <v>-4.686182219266732E-3</v>
      </c>
    </row>
    <row r="600" spans="2:8" x14ac:dyDescent="0.3">
      <c r="B600" s="198">
        <v>44799</v>
      </c>
      <c r="C600" s="192">
        <v>203.06</v>
      </c>
      <c r="D600" s="201">
        <f t="shared" si="18"/>
        <v>-4.7542028133117625E-3</v>
      </c>
      <c r="F600" s="197">
        <v>44799</v>
      </c>
      <c r="G600" s="191">
        <v>17558.900390625</v>
      </c>
      <c r="H600" s="200">
        <f t="shared" si="19"/>
        <v>2.0802555293466174E-3</v>
      </c>
    </row>
    <row r="601" spans="2:8" x14ac:dyDescent="0.3">
      <c r="B601" s="198">
        <v>44802</v>
      </c>
      <c r="C601" s="192">
        <v>198.85</v>
      </c>
      <c r="D601" s="201">
        <f t="shared" si="18"/>
        <v>-2.0732788338422181E-2</v>
      </c>
      <c r="F601" s="196">
        <v>44802</v>
      </c>
      <c r="G601" s="190">
        <v>17312.900390625</v>
      </c>
      <c r="H601" s="201">
        <f t="shared" si="19"/>
        <v>-1.400998892455382E-2</v>
      </c>
    </row>
    <row r="602" spans="2:8" x14ac:dyDescent="0.3">
      <c r="B602" s="198">
        <v>44803</v>
      </c>
      <c r="C602" s="192">
        <v>205.19</v>
      </c>
      <c r="D602" s="201">
        <f t="shared" si="18"/>
        <v>3.1883329142569791E-2</v>
      </c>
      <c r="F602" s="197">
        <v>44803</v>
      </c>
      <c r="G602" s="191">
        <v>17759.30078125</v>
      </c>
      <c r="H602" s="200">
        <f t="shared" si="19"/>
        <v>2.5784263789025638E-2</v>
      </c>
    </row>
    <row r="603" spans="2:8" x14ac:dyDescent="0.3">
      <c r="B603" s="198">
        <v>44805</v>
      </c>
      <c r="C603" s="192">
        <v>206.79</v>
      </c>
      <c r="D603" s="201">
        <f t="shared" si="18"/>
        <v>7.7976509576489807E-3</v>
      </c>
      <c r="F603" s="196">
        <v>44805</v>
      </c>
      <c r="G603" s="190">
        <v>17542.80078125</v>
      </c>
      <c r="H603" s="201">
        <f t="shared" si="19"/>
        <v>-1.2190795272107639E-2</v>
      </c>
    </row>
    <row r="604" spans="2:8" x14ac:dyDescent="0.3">
      <c r="B604" s="198">
        <v>44806</v>
      </c>
      <c r="C604" s="192">
        <v>204.69</v>
      </c>
      <c r="D604" s="201">
        <f t="shared" si="18"/>
        <v>-1.0155229943420835E-2</v>
      </c>
      <c r="F604" s="197">
        <v>44806</v>
      </c>
      <c r="G604" s="191">
        <v>17539.44921875</v>
      </c>
      <c r="H604" s="200">
        <f t="shared" si="19"/>
        <v>-1.9105059344812252E-4</v>
      </c>
    </row>
    <row r="605" spans="2:8" x14ac:dyDescent="0.3">
      <c r="B605" s="198">
        <v>44809</v>
      </c>
      <c r="C605" s="192">
        <v>205.04</v>
      </c>
      <c r="D605" s="201">
        <f t="shared" si="18"/>
        <v>1.7099027798133486E-3</v>
      </c>
      <c r="F605" s="196">
        <v>44809</v>
      </c>
      <c r="G605" s="190">
        <v>17665.80078125</v>
      </c>
      <c r="H605" s="201">
        <f t="shared" si="19"/>
        <v>7.2038500710117975E-3</v>
      </c>
    </row>
    <row r="606" spans="2:8" x14ac:dyDescent="0.3">
      <c r="B606" s="198">
        <v>44810</v>
      </c>
      <c r="C606" s="192">
        <v>217.02</v>
      </c>
      <c r="D606" s="201">
        <f t="shared" si="18"/>
        <v>5.8427623878267748E-2</v>
      </c>
      <c r="F606" s="197">
        <v>44810</v>
      </c>
      <c r="G606" s="191">
        <v>17655.599609375</v>
      </c>
      <c r="H606" s="200">
        <f t="shared" si="19"/>
        <v>-5.7745312546642362E-4</v>
      </c>
    </row>
    <row r="607" spans="2:8" x14ac:dyDescent="0.3">
      <c r="B607" s="198">
        <v>44811</v>
      </c>
      <c r="C607" s="192">
        <v>214.86</v>
      </c>
      <c r="D607" s="201">
        <f t="shared" si="18"/>
        <v>-9.9529997235277695E-3</v>
      </c>
      <c r="F607" s="196">
        <v>44811</v>
      </c>
      <c r="G607" s="190">
        <v>17624.400390625</v>
      </c>
      <c r="H607" s="201">
        <f t="shared" si="19"/>
        <v>-1.7671004916442166E-3</v>
      </c>
    </row>
    <row r="608" spans="2:8" x14ac:dyDescent="0.3">
      <c r="B608" s="198">
        <v>44812</v>
      </c>
      <c r="C608" s="192">
        <v>217.91</v>
      </c>
      <c r="D608" s="201">
        <f t="shared" si="18"/>
        <v>1.4195289956250502E-2</v>
      </c>
      <c r="F608" s="197">
        <v>44812</v>
      </c>
      <c r="G608" s="191">
        <v>17798.75</v>
      </c>
      <c r="H608" s="200">
        <f t="shared" si="19"/>
        <v>9.8925129655895866E-3</v>
      </c>
    </row>
    <row r="609" spans="2:8" x14ac:dyDescent="0.3">
      <c r="B609" s="198">
        <v>44813</v>
      </c>
      <c r="C609" s="192">
        <v>214.33</v>
      </c>
      <c r="D609" s="201">
        <f t="shared" ref="D609:D672" si="20">(C609-C608)/C608</f>
        <v>-1.6428800881097629E-2</v>
      </c>
      <c r="F609" s="196">
        <v>44813</v>
      </c>
      <c r="G609" s="190">
        <v>17833.349609375</v>
      </c>
      <c r="H609" s="201">
        <f t="shared" si="19"/>
        <v>1.943934791769085E-3</v>
      </c>
    </row>
    <row r="610" spans="2:8" x14ac:dyDescent="0.3">
      <c r="B610" s="198">
        <v>44816</v>
      </c>
      <c r="C610" s="192">
        <v>211.73</v>
      </c>
      <c r="D610" s="201">
        <f t="shared" si="20"/>
        <v>-1.2130826295898954E-2</v>
      </c>
      <c r="F610" s="197">
        <v>44816</v>
      </c>
      <c r="G610" s="191">
        <v>17936.349609375</v>
      </c>
      <c r="H610" s="200">
        <f t="shared" si="19"/>
        <v>5.77569566324505E-3</v>
      </c>
    </row>
    <row r="611" spans="2:8" x14ac:dyDescent="0.3">
      <c r="B611" s="198">
        <v>44817</v>
      </c>
      <c r="C611" s="192">
        <v>213.44</v>
      </c>
      <c r="D611" s="201">
        <f t="shared" si="20"/>
        <v>8.0763236197043779E-3</v>
      </c>
      <c r="F611" s="196">
        <v>44817</v>
      </c>
      <c r="G611" s="190">
        <v>18070.05078125</v>
      </c>
      <c r="H611" s="201">
        <f t="shared" si="19"/>
        <v>7.4542019299800475E-3</v>
      </c>
    </row>
    <row r="612" spans="2:8" x14ac:dyDescent="0.3">
      <c r="B612" s="198">
        <v>44818</v>
      </c>
      <c r="C612" s="192">
        <v>212.74</v>
      </c>
      <c r="D612" s="201">
        <f t="shared" si="20"/>
        <v>-3.2796101949024957E-3</v>
      </c>
      <c r="F612" s="197">
        <v>44818</v>
      </c>
      <c r="G612" s="191">
        <v>18003.75</v>
      </c>
      <c r="H612" s="200">
        <f t="shared" si="19"/>
        <v>-3.6690976717561625E-3</v>
      </c>
    </row>
    <row r="613" spans="2:8" x14ac:dyDescent="0.3">
      <c r="B613" s="198">
        <v>44819</v>
      </c>
      <c r="C613" s="192">
        <v>217.14</v>
      </c>
      <c r="D613" s="201">
        <f t="shared" si="20"/>
        <v>2.0682523267838569E-2</v>
      </c>
      <c r="F613" s="196">
        <v>44819</v>
      </c>
      <c r="G613" s="190">
        <v>17877.400390625</v>
      </c>
      <c r="H613" s="201">
        <f t="shared" si="19"/>
        <v>-7.0179606679164064E-3</v>
      </c>
    </row>
    <row r="614" spans="2:8" x14ac:dyDescent="0.3">
      <c r="B614" s="198">
        <v>44820</v>
      </c>
      <c r="C614" s="192">
        <v>218.72</v>
      </c>
      <c r="D614" s="201">
        <f t="shared" si="20"/>
        <v>7.2764115317307384E-3</v>
      </c>
      <c r="F614" s="197">
        <v>44820</v>
      </c>
      <c r="G614" s="191">
        <v>17530.849609375</v>
      </c>
      <c r="H614" s="200">
        <f t="shared" si="19"/>
        <v>-1.9384853148544628E-2</v>
      </c>
    </row>
    <row r="615" spans="2:8" x14ac:dyDescent="0.3">
      <c r="B615" s="198">
        <v>44823</v>
      </c>
      <c r="C615" s="192">
        <v>214.51</v>
      </c>
      <c r="D615" s="201">
        <f t="shared" si="20"/>
        <v>-1.9248354059985404E-2</v>
      </c>
      <c r="F615" s="196">
        <v>44823</v>
      </c>
      <c r="G615" s="190">
        <v>17622.25</v>
      </c>
      <c r="H615" s="201">
        <f t="shared" si="19"/>
        <v>5.2136885924867933E-3</v>
      </c>
    </row>
    <row r="616" spans="2:8" x14ac:dyDescent="0.3">
      <c r="B616" s="198">
        <v>44824</v>
      </c>
      <c r="C616" s="192">
        <v>222.75</v>
      </c>
      <c r="D616" s="201">
        <f t="shared" si="20"/>
        <v>3.8413127593119246E-2</v>
      </c>
      <c r="F616" s="197">
        <v>44824</v>
      </c>
      <c r="G616" s="191">
        <v>17816.25</v>
      </c>
      <c r="H616" s="200">
        <f t="shared" si="19"/>
        <v>1.1008809885230319E-2</v>
      </c>
    </row>
    <row r="617" spans="2:8" x14ac:dyDescent="0.3">
      <c r="B617" s="198">
        <v>44825</v>
      </c>
      <c r="C617" s="192">
        <v>223.1</v>
      </c>
      <c r="D617" s="201">
        <f t="shared" si="20"/>
        <v>1.5712682379348791E-3</v>
      </c>
      <c r="F617" s="196">
        <v>44825</v>
      </c>
      <c r="G617" s="190">
        <v>17718.349609375</v>
      </c>
      <c r="H617" s="201">
        <f t="shared" si="19"/>
        <v>-5.4950054374517648E-3</v>
      </c>
    </row>
    <row r="618" spans="2:8" x14ac:dyDescent="0.3">
      <c r="B618" s="198">
        <v>44826</v>
      </c>
      <c r="C618" s="192">
        <v>232.25</v>
      </c>
      <c r="D618" s="201">
        <f t="shared" si="20"/>
        <v>4.1012998655311543E-2</v>
      </c>
      <c r="F618" s="197">
        <v>44826</v>
      </c>
      <c r="G618" s="191">
        <v>17629.80078125</v>
      </c>
      <c r="H618" s="200">
        <f t="shared" si="19"/>
        <v>-4.9975776569025207E-3</v>
      </c>
    </row>
    <row r="619" spans="2:8" x14ac:dyDescent="0.3">
      <c r="B619" s="198">
        <v>44827</v>
      </c>
      <c r="C619" s="192">
        <v>229.95</v>
      </c>
      <c r="D619" s="201">
        <f t="shared" si="20"/>
        <v>-9.9031216361679716E-3</v>
      </c>
      <c r="F619" s="196">
        <v>44827</v>
      </c>
      <c r="G619" s="190">
        <v>17327.349609375</v>
      </c>
      <c r="H619" s="201">
        <f t="shared" si="19"/>
        <v>-1.7155677232420515E-2</v>
      </c>
    </row>
    <row r="620" spans="2:8" x14ac:dyDescent="0.3">
      <c r="B620" s="198">
        <v>44830</v>
      </c>
      <c r="C620" s="192">
        <v>215.66</v>
      </c>
      <c r="D620" s="201">
        <f t="shared" si="20"/>
        <v>-6.2143944335725128E-2</v>
      </c>
      <c r="F620" s="197">
        <v>44830</v>
      </c>
      <c r="G620" s="191">
        <v>17016.30078125</v>
      </c>
      <c r="H620" s="200">
        <f t="shared" si="19"/>
        <v>-1.7951321762256493E-2</v>
      </c>
    </row>
    <row r="621" spans="2:8" x14ac:dyDescent="0.3">
      <c r="B621" s="198">
        <v>44831</v>
      </c>
      <c r="C621" s="192">
        <v>206.06</v>
      </c>
      <c r="D621" s="201">
        <f t="shared" si="20"/>
        <v>-4.4514513586200476E-2</v>
      </c>
      <c r="F621" s="196">
        <v>44831</v>
      </c>
      <c r="G621" s="190">
        <v>17007.400390625</v>
      </c>
      <c r="H621" s="201">
        <f t="shared" si="19"/>
        <v>-5.2305085220444639E-4</v>
      </c>
    </row>
    <row r="622" spans="2:8" x14ac:dyDescent="0.3">
      <c r="B622" s="198">
        <v>44832</v>
      </c>
      <c r="C622" s="192">
        <v>204.31</v>
      </c>
      <c r="D622" s="201">
        <f t="shared" si="20"/>
        <v>-8.4926720372706984E-3</v>
      </c>
      <c r="F622" s="197">
        <v>44832</v>
      </c>
      <c r="G622" s="191">
        <v>16858.599609375</v>
      </c>
      <c r="H622" s="200">
        <f t="shared" si="19"/>
        <v>-8.7491784653946029E-3</v>
      </c>
    </row>
    <row r="623" spans="2:8" x14ac:dyDescent="0.3">
      <c r="B623" s="198">
        <v>44833</v>
      </c>
      <c r="C623" s="192">
        <v>204.99</v>
      </c>
      <c r="D623" s="201">
        <f t="shared" si="20"/>
        <v>3.3282756595370113E-3</v>
      </c>
      <c r="F623" s="196">
        <v>44833</v>
      </c>
      <c r="G623" s="190">
        <v>16818.099609375</v>
      </c>
      <c r="H623" s="201">
        <f t="shared" si="19"/>
        <v>-2.4023347691037229E-3</v>
      </c>
    </row>
    <row r="624" spans="2:8" x14ac:dyDescent="0.3">
      <c r="B624" s="198">
        <v>44834</v>
      </c>
      <c r="C624" s="192">
        <v>207.19</v>
      </c>
      <c r="D624" s="201">
        <f t="shared" si="20"/>
        <v>1.073223084052875E-2</v>
      </c>
      <c r="F624" s="197">
        <v>44834</v>
      </c>
      <c r="G624" s="191">
        <v>17094.349609375</v>
      </c>
      <c r="H624" s="200">
        <f t="shared" si="19"/>
        <v>1.6425755966269134E-2</v>
      </c>
    </row>
    <row r="625" spans="2:8" x14ac:dyDescent="0.3">
      <c r="B625" s="198">
        <v>44837</v>
      </c>
      <c r="C625" s="192">
        <v>212.34</v>
      </c>
      <c r="D625" s="201">
        <f t="shared" si="20"/>
        <v>2.4856411988995637E-2</v>
      </c>
      <c r="F625" s="196">
        <v>44837</v>
      </c>
      <c r="G625" s="190">
        <v>16887.349609375</v>
      </c>
      <c r="H625" s="201">
        <f t="shared" si="19"/>
        <v>-1.2109264448790473E-2</v>
      </c>
    </row>
    <row r="626" spans="2:8" x14ac:dyDescent="0.3">
      <c r="B626" s="198">
        <v>44838</v>
      </c>
      <c r="C626" s="192">
        <v>226.8</v>
      </c>
      <c r="D626" s="201">
        <f t="shared" si="20"/>
        <v>6.8098332862390545E-2</v>
      </c>
      <c r="F626" s="197">
        <v>44838</v>
      </c>
      <c r="G626" s="191">
        <v>17274.30078125</v>
      </c>
      <c r="H626" s="200">
        <f t="shared" si="19"/>
        <v>2.2913670932719031E-2</v>
      </c>
    </row>
    <row r="627" spans="2:8" x14ac:dyDescent="0.3">
      <c r="B627" s="198">
        <v>44840</v>
      </c>
      <c r="C627" s="192">
        <v>226.73</v>
      </c>
      <c r="D627" s="201">
        <f t="shared" si="20"/>
        <v>-3.0864197530873722E-4</v>
      </c>
      <c r="F627" s="196">
        <v>44840</v>
      </c>
      <c r="G627" s="190">
        <v>17331.80078125</v>
      </c>
      <c r="H627" s="201">
        <f t="shared" si="19"/>
        <v>3.3286441360574244E-3</v>
      </c>
    </row>
    <row r="628" spans="2:8" x14ac:dyDescent="0.3">
      <c r="B628" s="198">
        <v>44841</v>
      </c>
      <c r="C628" s="192">
        <v>225.25</v>
      </c>
      <c r="D628" s="201">
        <f t="shared" si="20"/>
        <v>-6.527587879857054E-3</v>
      </c>
      <c r="F628" s="197">
        <v>44841</v>
      </c>
      <c r="G628" s="191">
        <v>17314.650390625</v>
      </c>
      <c r="H628" s="200">
        <f t="shared" si="19"/>
        <v>-9.8953310400115763E-4</v>
      </c>
    </row>
    <row r="629" spans="2:8" x14ac:dyDescent="0.3">
      <c r="B629" s="198">
        <v>44844</v>
      </c>
      <c r="C629" s="192">
        <v>216.19</v>
      </c>
      <c r="D629" s="201">
        <f t="shared" si="20"/>
        <v>-4.0221975582685913E-2</v>
      </c>
      <c r="F629" s="196">
        <v>44844</v>
      </c>
      <c r="G629" s="190">
        <v>17241</v>
      </c>
      <c r="H629" s="201">
        <f t="shared" si="19"/>
        <v>-4.253645841147213E-3</v>
      </c>
    </row>
    <row r="630" spans="2:8" x14ac:dyDescent="0.3">
      <c r="B630" s="198">
        <v>44845</v>
      </c>
      <c r="C630" s="192">
        <v>207.4</v>
      </c>
      <c r="D630" s="201">
        <f t="shared" si="20"/>
        <v>-4.0658679864933586E-2</v>
      </c>
      <c r="F630" s="197">
        <v>44845</v>
      </c>
      <c r="G630" s="191">
        <v>16983.55078125</v>
      </c>
      <c r="H630" s="200">
        <f t="shared" si="19"/>
        <v>-1.4932383199930399E-2</v>
      </c>
    </row>
    <row r="631" spans="2:8" x14ac:dyDescent="0.3">
      <c r="B631" s="198">
        <v>44846</v>
      </c>
      <c r="C631" s="192">
        <v>211.98</v>
      </c>
      <c r="D631" s="201">
        <f t="shared" si="20"/>
        <v>2.2082931533268967E-2</v>
      </c>
      <c r="F631" s="196">
        <v>44846</v>
      </c>
      <c r="G631" s="190">
        <v>17123.599609375</v>
      </c>
      <c r="H631" s="201">
        <f t="shared" si="19"/>
        <v>8.2461453396197471E-3</v>
      </c>
    </row>
    <row r="632" spans="2:8" x14ac:dyDescent="0.3">
      <c r="B632" s="198">
        <v>44847</v>
      </c>
      <c r="C632" s="192">
        <v>211.87</v>
      </c>
      <c r="D632" s="201">
        <f t="shared" si="20"/>
        <v>-5.189168789507747E-4</v>
      </c>
      <c r="F632" s="197">
        <v>44847</v>
      </c>
      <c r="G632" s="191">
        <v>17014.349609375</v>
      </c>
      <c r="H632" s="200">
        <f t="shared" si="19"/>
        <v>-6.3800837728176449E-3</v>
      </c>
    </row>
    <row r="633" spans="2:8" x14ac:dyDescent="0.3">
      <c r="B633" s="198">
        <v>44848</v>
      </c>
      <c r="C633" s="192">
        <v>203.67</v>
      </c>
      <c r="D633" s="201">
        <f t="shared" si="20"/>
        <v>-3.870297824137451E-2</v>
      </c>
      <c r="F633" s="196">
        <v>44848</v>
      </c>
      <c r="G633" s="190">
        <v>17185.69921875</v>
      </c>
      <c r="H633" s="201">
        <f t="shared" si="19"/>
        <v>1.0070888003887344E-2</v>
      </c>
    </row>
    <row r="634" spans="2:8" x14ac:dyDescent="0.3">
      <c r="B634" s="198">
        <v>44851</v>
      </c>
      <c r="C634" s="192">
        <v>196.62</v>
      </c>
      <c r="D634" s="201">
        <f t="shared" si="20"/>
        <v>-3.4614818088083581E-2</v>
      </c>
      <c r="F634" s="197">
        <v>44851</v>
      </c>
      <c r="G634" s="191">
        <v>17311.80078125</v>
      </c>
      <c r="H634" s="200">
        <f t="shared" si="19"/>
        <v>7.3375869608156676E-3</v>
      </c>
    </row>
    <row r="635" spans="2:8" x14ac:dyDescent="0.3">
      <c r="B635" s="198">
        <v>44852</v>
      </c>
      <c r="C635" s="192">
        <v>198.28</v>
      </c>
      <c r="D635" s="201">
        <f t="shared" si="20"/>
        <v>8.4426813142101341E-3</v>
      </c>
      <c r="F635" s="196">
        <v>44852</v>
      </c>
      <c r="G635" s="190">
        <v>17486.94921875</v>
      </c>
      <c r="H635" s="201">
        <f t="shared" si="19"/>
        <v>1.0117285874136163E-2</v>
      </c>
    </row>
    <row r="636" spans="2:8" x14ac:dyDescent="0.3">
      <c r="B636" s="198">
        <v>44853</v>
      </c>
      <c r="C636" s="192">
        <v>201.62</v>
      </c>
      <c r="D636" s="201">
        <f t="shared" si="20"/>
        <v>1.6844865846278007E-2</v>
      </c>
      <c r="F636" s="197">
        <v>44853</v>
      </c>
      <c r="G636" s="191">
        <v>17512.25</v>
      </c>
      <c r="H636" s="200">
        <f t="shared" si="19"/>
        <v>1.4468379208691124E-3</v>
      </c>
    </row>
    <row r="637" spans="2:8" x14ac:dyDescent="0.3">
      <c r="B637" s="198">
        <v>44854</v>
      </c>
      <c r="C637" s="192">
        <v>202.29</v>
      </c>
      <c r="D637" s="201">
        <f t="shared" si="20"/>
        <v>3.3230830274773708E-3</v>
      </c>
      <c r="F637" s="196">
        <v>44854</v>
      </c>
      <c r="G637" s="190">
        <v>17563.94921875</v>
      </c>
      <c r="H637" s="201">
        <f t="shared" si="19"/>
        <v>2.9521745492441004E-3</v>
      </c>
    </row>
    <row r="638" spans="2:8" x14ac:dyDescent="0.3">
      <c r="B638" s="198">
        <v>44855</v>
      </c>
      <c r="C638" s="192">
        <v>201.02</v>
      </c>
      <c r="D638" s="201">
        <f t="shared" si="20"/>
        <v>-6.2781155766472975E-3</v>
      </c>
      <c r="F638" s="197">
        <v>44855</v>
      </c>
      <c r="G638" s="191">
        <v>17576.30078125</v>
      </c>
      <c r="H638" s="200">
        <f t="shared" si="19"/>
        <v>7.0323378564624668E-4</v>
      </c>
    </row>
    <row r="639" spans="2:8" x14ac:dyDescent="0.3">
      <c r="B639" s="198">
        <v>44858</v>
      </c>
      <c r="C639" s="192">
        <v>204.32</v>
      </c>
      <c r="D639" s="201">
        <f t="shared" si="20"/>
        <v>1.6416276987364354E-2</v>
      </c>
      <c r="F639" s="196">
        <v>44858</v>
      </c>
      <c r="G639" s="190">
        <v>17730.75</v>
      </c>
      <c r="H639" s="201">
        <f t="shared" si="19"/>
        <v>8.7873563767617655E-3</v>
      </c>
    </row>
    <row r="640" spans="2:8" x14ac:dyDescent="0.3">
      <c r="B640" s="198">
        <v>44859</v>
      </c>
      <c r="C640" s="192">
        <v>204.9</v>
      </c>
      <c r="D640" s="201">
        <f t="shared" si="20"/>
        <v>2.8386844166014709E-3</v>
      </c>
      <c r="F640" s="197">
        <v>44859</v>
      </c>
      <c r="G640" s="191">
        <v>17656.349609375</v>
      </c>
      <c r="H640" s="200">
        <f t="shared" si="19"/>
        <v>-4.1961220267050185E-3</v>
      </c>
    </row>
    <row r="641" spans="2:8" x14ac:dyDescent="0.3">
      <c r="B641" s="198">
        <v>44861</v>
      </c>
      <c r="C641" s="192">
        <v>208.79</v>
      </c>
      <c r="D641" s="201">
        <f t="shared" si="20"/>
        <v>1.8984870668618772E-2</v>
      </c>
      <c r="F641" s="196">
        <v>44861</v>
      </c>
      <c r="G641" s="190">
        <v>17736.94921875</v>
      </c>
      <c r="H641" s="201">
        <f t="shared" si="19"/>
        <v>4.5649078749666347E-3</v>
      </c>
    </row>
    <row r="642" spans="2:8" x14ac:dyDescent="0.3">
      <c r="B642" s="198">
        <v>44862</v>
      </c>
      <c r="C642" s="192">
        <v>206.36</v>
      </c>
      <c r="D642" s="201">
        <f t="shared" si="20"/>
        <v>-1.1638488433353985E-2</v>
      </c>
      <c r="F642" s="197">
        <v>44862</v>
      </c>
      <c r="G642" s="191">
        <v>17786.80078125</v>
      </c>
      <c r="H642" s="200">
        <f t="shared" si="19"/>
        <v>2.8106052447453111E-3</v>
      </c>
    </row>
    <row r="643" spans="2:8" x14ac:dyDescent="0.3">
      <c r="B643" s="198">
        <v>44865</v>
      </c>
      <c r="C643" s="192">
        <v>208.15</v>
      </c>
      <c r="D643" s="201">
        <f t="shared" si="20"/>
        <v>8.6741616592362469E-3</v>
      </c>
      <c r="F643" s="196">
        <v>44865</v>
      </c>
      <c r="G643" s="190">
        <v>18012.19921875</v>
      </c>
      <c r="H643" s="201">
        <f t="shared" si="19"/>
        <v>1.2672230395564126E-2</v>
      </c>
    </row>
    <row r="644" spans="2:8" x14ac:dyDescent="0.3">
      <c r="B644" s="198">
        <v>44866</v>
      </c>
      <c r="C644" s="192">
        <v>219.65</v>
      </c>
      <c r="D644" s="201">
        <f t="shared" si="20"/>
        <v>5.5248618784530384E-2</v>
      </c>
      <c r="F644" s="197">
        <v>44866</v>
      </c>
      <c r="G644" s="191">
        <v>18145.400390625</v>
      </c>
      <c r="H644" s="200">
        <f t="shared" si="19"/>
        <v>7.3950532223928962E-3</v>
      </c>
    </row>
    <row r="645" spans="2:8" x14ac:dyDescent="0.3">
      <c r="B645" s="198">
        <v>44867</v>
      </c>
      <c r="C645" s="192">
        <v>223.71</v>
      </c>
      <c r="D645" s="201">
        <f t="shared" si="20"/>
        <v>1.8483951741406792E-2</v>
      </c>
      <c r="F645" s="196">
        <v>44867</v>
      </c>
      <c r="G645" s="190">
        <v>18082.849609375</v>
      </c>
      <c r="H645" s="201">
        <f t="shared" si="19"/>
        <v>-3.4471976315450983E-3</v>
      </c>
    </row>
    <row r="646" spans="2:8" x14ac:dyDescent="0.3">
      <c r="B646" s="198">
        <v>44868</v>
      </c>
      <c r="C646" s="192">
        <v>235.92</v>
      </c>
      <c r="D646" s="201">
        <f t="shared" si="20"/>
        <v>5.4579589647311161E-2</v>
      </c>
      <c r="F646" s="197">
        <v>44868</v>
      </c>
      <c r="G646" s="191">
        <v>18052.69921875</v>
      </c>
      <c r="H646" s="200">
        <f t="shared" ref="H646:H709" si="21">(G646-G645)/G645</f>
        <v>-1.6673473084335456E-3</v>
      </c>
    </row>
    <row r="647" spans="2:8" x14ac:dyDescent="0.3">
      <c r="B647" s="198">
        <v>44869</v>
      </c>
      <c r="C647" s="192">
        <v>225.98</v>
      </c>
      <c r="D647" s="201">
        <f t="shared" si="20"/>
        <v>-4.2132926415734143E-2</v>
      </c>
      <c r="F647" s="196">
        <v>44869</v>
      </c>
      <c r="G647" s="190">
        <v>18117.150390625</v>
      </c>
      <c r="H647" s="201">
        <f t="shared" si="21"/>
        <v>3.5701681556882833E-3</v>
      </c>
    </row>
    <row r="648" spans="2:8" x14ac:dyDescent="0.3">
      <c r="B648" s="198">
        <v>44872</v>
      </c>
      <c r="C648" s="192">
        <v>226.51</v>
      </c>
      <c r="D648" s="201">
        <f t="shared" si="20"/>
        <v>2.3453402956013858E-3</v>
      </c>
      <c r="F648" s="197">
        <v>44872</v>
      </c>
      <c r="G648" s="191">
        <v>18202.80078125</v>
      </c>
      <c r="H648" s="200">
        <f t="shared" si="21"/>
        <v>4.7275862251119315E-3</v>
      </c>
    </row>
    <row r="649" spans="2:8" x14ac:dyDescent="0.3">
      <c r="B649" s="198">
        <v>44874</v>
      </c>
      <c r="C649" s="192">
        <v>227.79</v>
      </c>
      <c r="D649" s="201">
        <f t="shared" si="20"/>
        <v>5.6509646373228608E-3</v>
      </c>
      <c r="F649" s="196">
        <v>44874</v>
      </c>
      <c r="G649" s="190">
        <v>18157</v>
      </c>
      <c r="H649" s="201">
        <f t="shared" si="21"/>
        <v>-2.5161392359563488E-3</v>
      </c>
    </row>
    <row r="650" spans="2:8" x14ac:dyDescent="0.3">
      <c r="B650" s="198">
        <v>44875</v>
      </c>
      <c r="C650" s="192">
        <v>226.01</v>
      </c>
      <c r="D650" s="201">
        <f t="shared" si="20"/>
        <v>-7.8142148470082152E-3</v>
      </c>
      <c r="F650" s="197">
        <v>44875</v>
      </c>
      <c r="G650" s="191">
        <v>18028.19921875</v>
      </c>
      <c r="H650" s="200">
        <f t="shared" si="21"/>
        <v>-7.093725904609792E-3</v>
      </c>
    </row>
    <row r="651" spans="2:8" x14ac:dyDescent="0.3">
      <c r="B651" s="198">
        <v>44876</v>
      </c>
      <c r="C651" s="192">
        <v>219.53</v>
      </c>
      <c r="D651" s="201">
        <f t="shared" si="20"/>
        <v>-2.8671297730188887E-2</v>
      </c>
      <c r="F651" s="196">
        <v>44876</v>
      </c>
      <c r="G651" s="190">
        <v>18349.69921875</v>
      </c>
      <c r="H651" s="201">
        <f t="shared" si="21"/>
        <v>1.7833173247033349E-2</v>
      </c>
    </row>
    <row r="652" spans="2:8" x14ac:dyDescent="0.3">
      <c r="B652" s="198">
        <v>44879</v>
      </c>
      <c r="C652" s="192">
        <v>215.14</v>
      </c>
      <c r="D652" s="201">
        <f t="shared" si="20"/>
        <v>-1.9997266888352457E-2</v>
      </c>
      <c r="F652" s="197">
        <v>44879</v>
      </c>
      <c r="G652" s="191">
        <v>18329.150390625</v>
      </c>
      <c r="H652" s="200">
        <f t="shared" si="21"/>
        <v>-1.1198455015547556E-3</v>
      </c>
    </row>
    <row r="653" spans="2:8" x14ac:dyDescent="0.3">
      <c r="B653" s="198">
        <v>44880</v>
      </c>
      <c r="C653" s="192">
        <v>216.79</v>
      </c>
      <c r="D653" s="201">
        <f t="shared" si="20"/>
        <v>7.6694245607511653E-3</v>
      </c>
      <c r="F653" s="196">
        <v>44880</v>
      </c>
      <c r="G653" s="190">
        <v>18403.400390625</v>
      </c>
      <c r="H653" s="201">
        <f t="shared" si="21"/>
        <v>4.0509242609508738E-3</v>
      </c>
    </row>
    <row r="654" spans="2:8" x14ac:dyDescent="0.3">
      <c r="B654" s="198">
        <v>44881</v>
      </c>
      <c r="C654" s="192">
        <v>224.53</v>
      </c>
      <c r="D654" s="201">
        <f t="shared" si="20"/>
        <v>3.5702753817058022E-2</v>
      </c>
      <c r="F654" s="197">
        <v>44881</v>
      </c>
      <c r="G654" s="191">
        <v>18409.650390625</v>
      </c>
      <c r="H654" s="200">
        <f t="shared" si="21"/>
        <v>3.3961115159912808E-4</v>
      </c>
    </row>
    <row r="655" spans="2:8" x14ac:dyDescent="0.3">
      <c r="B655" s="198">
        <v>44882</v>
      </c>
      <c r="C655" s="192">
        <v>227.77</v>
      </c>
      <c r="D655" s="201">
        <f t="shared" si="20"/>
        <v>1.4430142965305344E-2</v>
      </c>
      <c r="F655" s="196">
        <v>44882</v>
      </c>
      <c r="G655" s="190">
        <v>18343.900390625</v>
      </c>
      <c r="H655" s="201">
        <f t="shared" si="21"/>
        <v>-3.5714963948192506E-3</v>
      </c>
    </row>
    <row r="656" spans="2:8" x14ac:dyDescent="0.3">
      <c r="B656" s="198">
        <v>44883</v>
      </c>
      <c r="C656" s="192">
        <v>226.97</v>
      </c>
      <c r="D656" s="201">
        <f t="shared" si="20"/>
        <v>-3.5123150546604526E-3</v>
      </c>
      <c r="F656" s="197">
        <v>44883</v>
      </c>
      <c r="G656" s="191">
        <v>18307.650390625</v>
      </c>
      <c r="H656" s="200">
        <f t="shared" si="21"/>
        <v>-1.9761337135545203E-3</v>
      </c>
    </row>
    <row r="657" spans="2:8" x14ac:dyDescent="0.3">
      <c r="B657" s="198">
        <v>44886</v>
      </c>
      <c r="C657" s="192">
        <v>218.91</v>
      </c>
      <c r="D657" s="201">
        <f t="shared" si="20"/>
        <v>-3.5511301053002611E-2</v>
      </c>
      <c r="F657" s="196">
        <v>44886</v>
      </c>
      <c r="G657" s="190">
        <v>18159.94921875</v>
      </c>
      <c r="H657" s="201">
        <f t="shared" si="21"/>
        <v>-8.0677295405769262E-3</v>
      </c>
    </row>
    <row r="658" spans="2:8" x14ac:dyDescent="0.3">
      <c r="B658" s="198">
        <v>44887</v>
      </c>
      <c r="C658" s="192">
        <v>229.21</v>
      </c>
      <c r="D658" s="201">
        <f t="shared" si="20"/>
        <v>4.7051299620848801E-2</v>
      </c>
      <c r="F658" s="197">
        <v>44887</v>
      </c>
      <c r="G658" s="191">
        <v>18244.19921875</v>
      </c>
      <c r="H658" s="200">
        <f t="shared" si="21"/>
        <v>4.6393301536885668E-3</v>
      </c>
    </row>
    <row r="659" spans="2:8" x14ac:dyDescent="0.3">
      <c r="B659" s="198">
        <v>44888</v>
      </c>
      <c r="C659" s="192">
        <v>231.06</v>
      </c>
      <c r="D659" s="201">
        <f t="shared" si="20"/>
        <v>8.0712010819772011E-3</v>
      </c>
      <c r="F659" s="196">
        <v>44888</v>
      </c>
      <c r="G659" s="190">
        <v>18267.25</v>
      </c>
      <c r="H659" s="201">
        <f t="shared" si="21"/>
        <v>1.2634580983039343E-3</v>
      </c>
    </row>
    <row r="660" spans="2:8" x14ac:dyDescent="0.3">
      <c r="B660" s="198">
        <v>44889</v>
      </c>
      <c r="C660" s="192">
        <v>233.28</v>
      </c>
      <c r="D660" s="201">
        <f t="shared" si="20"/>
        <v>9.6078940534925945E-3</v>
      </c>
      <c r="F660" s="197">
        <v>44889</v>
      </c>
      <c r="G660" s="191">
        <v>18484.099609375</v>
      </c>
      <c r="H660" s="200">
        <f t="shared" si="21"/>
        <v>1.1870949889830161E-2</v>
      </c>
    </row>
    <row r="661" spans="2:8" x14ac:dyDescent="0.3">
      <c r="B661" s="198">
        <v>44890</v>
      </c>
      <c r="C661" s="192">
        <v>228.57</v>
      </c>
      <c r="D661" s="201">
        <f t="shared" si="20"/>
        <v>-2.0190329218107029E-2</v>
      </c>
      <c r="F661" s="196">
        <v>44890</v>
      </c>
      <c r="G661" s="190">
        <v>18512.75</v>
      </c>
      <c r="H661" s="201">
        <f t="shared" si="21"/>
        <v>1.5500019600883741E-3</v>
      </c>
    </row>
    <row r="662" spans="2:8" x14ac:dyDescent="0.3">
      <c r="B662" s="198">
        <v>44893</v>
      </c>
      <c r="C662" s="192">
        <v>234.79</v>
      </c>
      <c r="D662" s="201">
        <f t="shared" si="20"/>
        <v>2.7212670079187991E-2</v>
      </c>
      <c r="F662" s="197">
        <v>44893</v>
      </c>
      <c r="G662" s="191">
        <v>18562.75</v>
      </c>
      <c r="H662" s="200">
        <f t="shared" si="21"/>
        <v>2.7008413120687092E-3</v>
      </c>
    </row>
    <row r="663" spans="2:8" x14ac:dyDescent="0.3">
      <c r="B663" s="198">
        <v>44894</v>
      </c>
      <c r="C663" s="192">
        <v>227.41</v>
      </c>
      <c r="D663" s="201">
        <f t="shared" si="20"/>
        <v>-3.1432343796584161E-2</v>
      </c>
      <c r="F663" s="196">
        <v>44894</v>
      </c>
      <c r="G663" s="190">
        <v>18618.05078125</v>
      </c>
      <c r="H663" s="201">
        <f t="shared" si="21"/>
        <v>2.9791265437502526E-3</v>
      </c>
    </row>
    <row r="664" spans="2:8" x14ac:dyDescent="0.3">
      <c r="B664" s="198">
        <v>44895</v>
      </c>
      <c r="C664" s="192">
        <v>247.97</v>
      </c>
      <c r="D664" s="201">
        <f t="shared" si="20"/>
        <v>9.0409392726793034E-2</v>
      </c>
      <c r="F664" s="197">
        <v>44895</v>
      </c>
      <c r="G664" s="191">
        <v>18758.349609375</v>
      </c>
      <c r="H664" s="200">
        <f t="shared" si="21"/>
        <v>7.5356346254191742E-3</v>
      </c>
    </row>
    <row r="665" spans="2:8" x14ac:dyDescent="0.3">
      <c r="B665" s="198">
        <v>44896</v>
      </c>
      <c r="C665" s="192">
        <v>250.84</v>
      </c>
      <c r="D665" s="201">
        <f t="shared" si="20"/>
        <v>1.1573980723474632E-2</v>
      </c>
      <c r="F665" s="196">
        <v>44896</v>
      </c>
      <c r="G665" s="190">
        <v>18812.5</v>
      </c>
      <c r="H665" s="201">
        <f t="shared" si="21"/>
        <v>2.8867353340049093E-3</v>
      </c>
    </row>
    <row r="666" spans="2:8" x14ac:dyDescent="0.3">
      <c r="B666" s="198">
        <v>44897</v>
      </c>
      <c r="C666" s="192">
        <v>261.63</v>
      </c>
      <c r="D666" s="201">
        <f t="shared" si="20"/>
        <v>4.3015468027427811E-2</v>
      </c>
      <c r="F666" s="197">
        <v>44897</v>
      </c>
      <c r="G666" s="191">
        <v>18696.099609375</v>
      </c>
      <c r="H666" s="200">
        <f t="shared" si="21"/>
        <v>-6.1873961794019936E-3</v>
      </c>
    </row>
    <row r="667" spans="2:8" x14ac:dyDescent="0.3">
      <c r="B667" s="198">
        <v>44900</v>
      </c>
      <c r="C667" s="192">
        <v>268.42</v>
      </c>
      <c r="D667" s="201">
        <f t="shared" si="20"/>
        <v>2.595268126743883E-2</v>
      </c>
      <c r="F667" s="196">
        <v>44900</v>
      </c>
      <c r="G667" s="190">
        <v>18701.05078125</v>
      </c>
      <c r="H667" s="201">
        <f t="shared" si="21"/>
        <v>2.6482378562624241E-4</v>
      </c>
    </row>
    <row r="668" spans="2:8" x14ac:dyDescent="0.3">
      <c r="B668" s="198">
        <v>44901</v>
      </c>
      <c r="C668" s="192">
        <v>259.85000000000002</v>
      </c>
      <c r="D668" s="201">
        <f t="shared" si="20"/>
        <v>-3.1927576186573256E-2</v>
      </c>
      <c r="F668" s="197">
        <v>44901</v>
      </c>
      <c r="G668" s="191">
        <v>18642.75</v>
      </c>
      <c r="H668" s="200">
        <f t="shared" si="21"/>
        <v>-3.1175136590962781E-3</v>
      </c>
    </row>
    <row r="669" spans="2:8" x14ac:dyDescent="0.3">
      <c r="B669" s="198">
        <v>44902</v>
      </c>
      <c r="C669" s="192">
        <v>259.70999999999998</v>
      </c>
      <c r="D669" s="201">
        <f t="shared" si="20"/>
        <v>-5.3877236867440131E-4</v>
      </c>
      <c r="F669" s="196">
        <v>44902</v>
      </c>
      <c r="G669" s="190">
        <v>18560.5</v>
      </c>
      <c r="H669" s="201">
        <f t="shared" si="21"/>
        <v>-4.4119027503989484E-3</v>
      </c>
    </row>
    <row r="670" spans="2:8" x14ac:dyDescent="0.3">
      <c r="B670" s="198">
        <v>44903</v>
      </c>
      <c r="C670" s="192">
        <v>271.18</v>
      </c>
      <c r="D670" s="201">
        <f t="shared" si="20"/>
        <v>4.4164645181163711E-2</v>
      </c>
      <c r="F670" s="197">
        <v>44903</v>
      </c>
      <c r="G670" s="191">
        <v>18609.349609375</v>
      </c>
      <c r="H670" s="200">
        <f t="shared" si="21"/>
        <v>2.6319123609277765E-3</v>
      </c>
    </row>
    <row r="671" spans="2:8" x14ac:dyDescent="0.3">
      <c r="B671" s="198">
        <v>44904</v>
      </c>
      <c r="C671" s="192">
        <v>279.82</v>
      </c>
      <c r="D671" s="201">
        <f t="shared" si="20"/>
        <v>3.1860756692971406E-2</v>
      </c>
      <c r="F671" s="196">
        <v>44904</v>
      </c>
      <c r="G671" s="190">
        <v>18496.599609375</v>
      </c>
      <c r="H671" s="201">
        <f t="shared" si="21"/>
        <v>-6.058782405979353E-3</v>
      </c>
    </row>
    <row r="672" spans="2:8" x14ac:dyDescent="0.3">
      <c r="B672" s="198">
        <v>44907</v>
      </c>
      <c r="C672" s="192">
        <v>273.07</v>
      </c>
      <c r="D672" s="201">
        <f t="shared" si="20"/>
        <v>-2.4122650275176901E-2</v>
      </c>
      <c r="F672" s="197">
        <v>44907</v>
      </c>
      <c r="G672" s="191">
        <v>18497.150390625</v>
      </c>
      <c r="H672" s="200">
        <f t="shared" si="21"/>
        <v>2.9777432697458433E-5</v>
      </c>
    </row>
    <row r="673" spans="2:8" x14ac:dyDescent="0.3">
      <c r="B673" s="198">
        <v>44908</v>
      </c>
      <c r="C673" s="192">
        <v>272.47000000000003</v>
      </c>
      <c r="D673" s="201">
        <f t="shared" ref="D673:D736" si="22">(C673-C672)/C672</f>
        <v>-2.1972388032371402E-3</v>
      </c>
      <c r="F673" s="196">
        <v>44908</v>
      </c>
      <c r="G673" s="190">
        <v>18608</v>
      </c>
      <c r="H673" s="201">
        <f t="shared" si="21"/>
        <v>5.9927938646799584E-3</v>
      </c>
    </row>
    <row r="674" spans="2:8" x14ac:dyDescent="0.3">
      <c r="B674" s="198">
        <v>44909</v>
      </c>
      <c r="C674" s="192">
        <v>275.57</v>
      </c>
      <c r="D674" s="201">
        <f t="shared" si="22"/>
        <v>1.1377399346716943E-2</v>
      </c>
      <c r="F674" s="197">
        <v>44909</v>
      </c>
      <c r="G674" s="191">
        <v>18660.30078125</v>
      </c>
      <c r="H674" s="200">
        <f t="shared" si="21"/>
        <v>2.8106610731943251E-3</v>
      </c>
    </row>
    <row r="675" spans="2:8" x14ac:dyDescent="0.3">
      <c r="B675" s="198">
        <v>44910</v>
      </c>
      <c r="C675" s="192">
        <v>274.44</v>
      </c>
      <c r="D675" s="201">
        <f t="shared" si="22"/>
        <v>-4.1005915012519338E-3</v>
      </c>
      <c r="F675" s="196">
        <v>44910</v>
      </c>
      <c r="G675" s="190">
        <v>18414.900390625</v>
      </c>
      <c r="H675" s="201">
        <f t="shared" si="21"/>
        <v>-1.3150934355333651E-2</v>
      </c>
    </row>
    <row r="676" spans="2:8" x14ac:dyDescent="0.3">
      <c r="B676" s="198">
        <v>44911</v>
      </c>
      <c r="C676" s="192">
        <v>277.12</v>
      </c>
      <c r="D676" s="201">
        <f t="shared" si="22"/>
        <v>9.7653403293980721E-3</v>
      </c>
      <c r="F676" s="197">
        <v>44911</v>
      </c>
      <c r="G676" s="191">
        <v>18269</v>
      </c>
      <c r="H676" s="200">
        <f t="shared" si="21"/>
        <v>-7.9229530179418008E-3</v>
      </c>
    </row>
    <row r="677" spans="2:8" x14ac:dyDescent="0.3">
      <c r="B677" s="198">
        <v>44914</v>
      </c>
      <c r="C677" s="192">
        <v>280.54000000000002</v>
      </c>
      <c r="D677" s="201">
        <f t="shared" si="22"/>
        <v>1.2341224018475807E-2</v>
      </c>
      <c r="F677" s="196">
        <v>44914</v>
      </c>
      <c r="G677" s="190">
        <v>18420.44921875</v>
      </c>
      <c r="H677" s="201">
        <f t="shared" si="21"/>
        <v>8.2899566889265974E-3</v>
      </c>
    </row>
    <row r="678" spans="2:8" x14ac:dyDescent="0.3">
      <c r="B678" s="198">
        <v>44915</v>
      </c>
      <c r="C678" s="192">
        <v>276.06</v>
      </c>
      <c r="D678" s="201">
        <f t="shared" si="22"/>
        <v>-1.5969202252798239E-2</v>
      </c>
      <c r="F678" s="197">
        <v>44915</v>
      </c>
      <c r="G678" s="191">
        <v>18385.30078125</v>
      </c>
      <c r="H678" s="200">
        <f t="shared" si="21"/>
        <v>-1.9081205394395452E-3</v>
      </c>
    </row>
    <row r="679" spans="2:8" x14ac:dyDescent="0.3">
      <c r="B679" s="198">
        <v>44916</v>
      </c>
      <c r="C679" s="192">
        <v>272.06</v>
      </c>
      <c r="D679" s="201">
        <f t="shared" si="22"/>
        <v>-1.448960370933855E-2</v>
      </c>
      <c r="F679" s="196">
        <v>44916</v>
      </c>
      <c r="G679" s="190">
        <v>18199.099609375</v>
      </c>
      <c r="H679" s="201">
        <f t="shared" si="21"/>
        <v>-1.012771964355866E-2</v>
      </c>
    </row>
    <row r="680" spans="2:8" x14ac:dyDescent="0.3">
      <c r="B680" s="198">
        <v>44917</v>
      </c>
      <c r="C680" s="192">
        <v>273.92</v>
      </c>
      <c r="D680" s="201">
        <f t="shared" si="22"/>
        <v>6.836727192531109E-3</v>
      </c>
      <c r="F680" s="197">
        <v>44917</v>
      </c>
      <c r="G680" s="191">
        <v>18127.349609375</v>
      </c>
      <c r="H680" s="200">
        <f t="shared" si="21"/>
        <v>-3.9425027358517802E-3</v>
      </c>
    </row>
    <row r="681" spans="2:8" x14ac:dyDescent="0.3">
      <c r="B681" s="198">
        <v>44918</v>
      </c>
      <c r="C681" s="192">
        <v>255.48</v>
      </c>
      <c r="D681" s="201">
        <f t="shared" si="22"/>
        <v>-6.7318925233644952E-2</v>
      </c>
      <c r="F681" s="196">
        <v>44918</v>
      </c>
      <c r="G681" s="190">
        <v>17806.80078125</v>
      </c>
      <c r="H681" s="201">
        <f t="shared" si="21"/>
        <v>-1.7683160254117921E-2</v>
      </c>
    </row>
    <row r="682" spans="2:8" x14ac:dyDescent="0.3">
      <c r="B682" s="198">
        <v>44921</v>
      </c>
      <c r="C682" s="192">
        <v>268.39999999999998</v>
      </c>
      <c r="D682" s="201">
        <f t="shared" si="22"/>
        <v>5.0571473305151042E-2</v>
      </c>
      <c r="F682" s="197">
        <v>44921</v>
      </c>
      <c r="G682" s="191">
        <v>18014.599609375</v>
      </c>
      <c r="H682" s="200">
        <f t="shared" si="21"/>
        <v>1.1669632893506936E-2</v>
      </c>
    </row>
    <row r="683" spans="2:8" x14ac:dyDescent="0.3">
      <c r="B683" s="198">
        <v>44922</v>
      </c>
      <c r="C683" s="192">
        <v>261.69</v>
      </c>
      <c r="D683" s="201">
        <f t="shared" si="22"/>
        <v>-2.4999999999999925E-2</v>
      </c>
      <c r="F683" s="196">
        <v>44922</v>
      </c>
      <c r="G683" s="190">
        <v>18132.30078125</v>
      </c>
      <c r="H683" s="201">
        <f t="shared" si="21"/>
        <v>6.533654614990554E-3</v>
      </c>
    </row>
    <row r="684" spans="2:8" x14ac:dyDescent="0.3">
      <c r="B684" s="198">
        <v>44923</v>
      </c>
      <c r="C684" s="192">
        <v>262.58999999999997</v>
      </c>
      <c r="D684" s="201">
        <f t="shared" si="22"/>
        <v>3.4391837670525328E-3</v>
      </c>
      <c r="F684" s="197">
        <v>44923</v>
      </c>
      <c r="G684" s="191">
        <v>18122.5</v>
      </c>
      <c r="H684" s="200">
        <f t="shared" si="21"/>
        <v>-5.405150382313676E-4</v>
      </c>
    </row>
    <row r="685" spans="2:8" x14ac:dyDescent="0.3">
      <c r="B685" s="198">
        <v>44924</v>
      </c>
      <c r="C685" s="192">
        <v>269.29000000000002</v>
      </c>
      <c r="D685" s="201">
        <f t="shared" si="22"/>
        <v>2.5515061502723053E-2</v>
      </c>
      <c r="F685" s="196">
        <v>44924</v>
      </c>
      <c r="G685" s="190">
        <v>18191</v>
      </c>
      <c r="H685" s="201">
        <f t="shared" si="21"/>
        <v>3.7798317009242652E-3</v>
      </c>
    </row>
    <row r="686" spans="2:8" x14ac:dyDescent="0.3">
      <c r="B686" s="198">
        <v>44925</v>
      </c>
      <c r="C686" s="192">
        <v>262.42</v>
      </c>
      <c r="D686" s="201">
        <f t="shared" si="22"/>
        <v>-2.5511530320472368E-2</v>
      </c>
      <c r="F686" s="197">
        <v>44925</v>
      </c>
      <c r="G686" s="191">
        <v>18105.30078125</v>
      </c>
      <c r="H686" s="200">
        <f t="shared" si="21"/>
        <v>-4.7110779368918698E-3</v>
      </c>
    </row>
    <row r="687" spans="2:8" x14ac:dyDescent="0.3">
      <c r="B687" s="198">
        <v>44928</v>
      </c>
      <c r="C687" s="192">
        <v>264.51</v>
      </c>
      <c r="D687" s="201">
        <f t="shared" si="22"/>
        <v>7.9643319868911468E-3</v>
      </c>
      <c r="F687" s="196">
        <v>44928</v>
      </c>
      <c r="G687" s="190">
        <v>18197.44921875</v>
      </c>
      <c r="H687" s="201">
        <f t="shared" si="21"/>
        <v>5.0895833553579895E-3</v>
      </c>
    </row>
    <row r="688" spans="2:8" x14ac:dyDescent="0.3">
      <c r="B688" s="198">
        <v>44929</v>
      </c>
      <c r="C688" s="192">
        <v>259.27</v>
      </c>
      <c r="D688" s="201">
        <f t="shared" si="22"/>
        <v>-1.9810215114740497E-2</v>
      </c>
      <c r="F688" s="197">
        <v>44929</v>
      </c>
      <c r="G688" s="191">
        <v>18232.55078125</v>
      </c>
      <c r="H688" s="200">
        <f t="shared" si="21"/>
        <v>1.928927624858137E-3</v>
      </c>
    </row>
    <row r="689" spans="2:8" x14ac:dyDescent="0.3">
      <c r="B689" s="198">
        <v>44930</v>
      </c>
      <c r="C689" s="192">
        <v>259.64</v>
      </c>
      <c r="D689" s="201">
        <f t="shared" si="22"/>
        <v>1.4270837351024206E-3</v>
      </c>
      <c r="F689" s="196">
        <v>44930</v>
      </c>
      <c r="G689" s="190">
        <v>18042.94921875</v>
      </c>
      <c r="H689" s="201">
        <f t="shared" si="21"/>
        <v>-1.0399069487028801E-2</v>
      </c>
    </row>
    <row r="690" spans="2:8" x14ac:dyDescent="0.3">
      <c r="B690" s="198">
        <v>44931</v>
      </c>
      <c r="C690" s="192">
        <v>259.7</v>
      </c>
      <c r="D690" s="201">
        <f t="shared" si="22"/>
        <v>2.3108920043137527E-4</v>
      </c>
      <c r="F690" s="197">
        <v>44931</v>
      </c>
      <c r="G690" s="191">
        <v>17992.150390625</v>
      </c>
      <c r="H690" s="200">
        <f t="shared" si="21"/>
        <v>-2.8154392892826255E-3</v>
      </c>
    </row>
    <row r="691" spans="2:8" x14ac:dyDescent="0.3">
      <c r="B691" s="198">
        <v>44932</v>
      </c>
      <c r="C691" s="192">
        <v>258.12</v>
      </c>
      <c r="D691" s="201">
        <f t="shared" si="22"/>
        <v>-6.0839430111666697E-3</v>
      </c>
      <c r="F691" s="196">
        <v>44932</v>
      </c>
      <c r="G691" s="190">
        <v>17859.44921875</v>
      </c>
      <c r="H691" s="201">
        <f t="shared" si="21"/>
        <v>-7.3755037054462009E-3</v>
      </c>
    </row>
    <row r="692" spans="2:8" x14ac:dyDescent="0.3">
      <c r="B692" s="198">
        <v>44935</v>
      </c>
      <c r="C692" s="192">
        <v>259.68</v>
      </c>
      <c r="D692" s="201">
        <f t="shared" si="22"/>
        <v>6.0437006043700696E-3</v>
      </c>
      <c r="F692" s="197">
        <v>44935</v>
      </c>
      <c r="G692" s="191">
        <v>18101.19921875</v>
      </c>
      <c r="H692" s="200">
        <f t="shared" si="21"/>
        <v>1.3536251708490276E-2</v>
      </c>
    </row>
    <row r="693" spans="2:8" x14ac:dyDescent="0.3">
      <c r="B693" s="198">
        <v>44936</v>
      </c>
      <c r="C693" s="192">
        <v>255.42</v>
      </c>
      <c r="D693" s="201">
        <f t="shared" si="22"/>
        <v>-1.6404805914972346E-2</v>
      </c>
      <c r="F693" s="196">
        <v>44936</v>
      </c>
      <c r="G693" s="190">
        <v>17914.150390625</v>
      </c>
      <c r="H693" s="201">
        <f t="shared" si="21"/>
        <v>-1.0333504750958532E-2</v>
      </c>
    </row>
    <row r="694" spans="2:8" x14ac:dyDescent="0.3">
      <c r="B694" s="198">
        <v>44937</v>
      </c>
      <c r="C694" s="192">
        <v>243.07</v>
      </c>
      <c r="D694" s="201">
        <f t="shared" si="22"/>
        <v>-4.8351734398246006E-2</v>
      </c>
      <c r="F694" s="197">
        <v>44937</v>
      </c>
      <c r="G694" s="191">
        <v>17895.69921875</v>
      </c>
      <c r="H694" s="200">
        <f t="shared" si="21"/>
        <v>-1.0299775022909285E-3</v>
      </c>
    </row>
    <row r="695" spans="2:8" x14ac:dyDescent="0.3">
      <c r="B695" s="198">
        <v>44938</v>
      </c>
      <c r="C695" s="192">
        <v>235.54</v>
      </c>
      <c r="D695" s="201">
        <f t="shared" si="22"/>
        <v>-3.0978730406878683E-2</v>
      </c>
      <c r="F695" s="196">
        <v>44938</v>
      </c>
      <c r="G695" s="190">
        <v>17858.19921875</v>
      </c>
      <c r="H695" s="201">
        <f t="shared" si="21"/>
        <v>-2.0954755408891671E-3</v>
      </c>
    </row>
    <row r="696" spans="2:8" x14ac:dyDescent="0.3">
      <c r="B696" s="198">
        <v>44939</v>
      </c>
      <c r="C696" s="192">
        <v>225.35</v>
      </c>
      <c r="D696" s="201">
        <f t="shared" si="22"/>
        <v>-4.3262290906003219E-2</v>
      </c>
      <c r="F696" s="197">
        <v>44939</v>
      </c>
      <c r="G696" s="191">
        <v>17956.599609375</v>
      </c>
      <c r="H696" s="200">
        <f t="shared" si="21"/>
        <v>5.5100959183883276E-3</v>
      </c>
    </row>
    <row r="697" spans="2:8" x14ac:dyDescent="0.3">
      <c r="B697" s="198">
        <v>44942</v>
      </c>
      <c r="C697" s="192">
        <v>239.56</v>
      </c>
      <c r="D697" s="201">
        <f t="shared" si="22"/>
        <v>6.3057466163745315E-2</v>
      </c>
      <c r="F697" s="196">
        <v>44942</v>
      </c>
      <c r="G697" s="190">
        <v>17894.849609375</v>
      </c>
      <c r="H697" s="201">
        <f t="shared" si="21"/>
        <v>-3.4388470725693972E-3</v>
      </c>
    </row>
    <row r="698" spans="2:8" x14ac:dyDescent="0.3">
      <c r="B698" s="198">
        <v>44943</v>
      </c>
      <c r="C698" s="192">
        <v>240.14</v>
      </c>
      <c r="D698" s="201">
        <f t="shared" si="22"/>
        <v>2.4211053598262818E-3</v>
      </c>
      <c r="F698" s="197">
        <v>44943</v>
      </c>
      <c r="G698" s="191">
        <v>18053.30078125</v>
      </c>
      <c r="H698" s="200">
        <f t="shared" si="21"/>
        <v>8.854568511824118E-3</v>
      </c>
    </row>
    <row r="699" spans="2:8" x14ac:dyDescent="0.3">
      <c r="B699" s="198">
        <v>44944</v>
      </c>
      <c r="C699" s="192">
        <v>241.53</v>
      </c>
      <c r="D699" s="201">
        <f t="shared" si="22"/>
        <v>5.7882901640710204E-3</v>
      </c>
      <c r="F699" s="196">
        <v>44944</v>
      </c>
      <c r="G699" s="190">
        <v>18165.349609375</v>
      </c>
      <c r="H699" s="201">
        <f t="shared" si="21"/>
        <v>6.2065563235601173E-3</v>
      </c>
    </row>
    <row r="700" spans="2:8" x14ac:dyDescent="0.3">
      <c r="B700" s="198">
        <v>44945</v>
      </c>
      <c r="C700" s="192">
        <v>242.97</v>
      </c>
      <c r="D700" s="201">
        <f t="shared" si="22"/>
        <v>5.9619922990932711E-3</v>
      </c>
      <c r="F700" s="197">
        <v>44945</v>
      </c>
      <c r="G700" s="191">
        <v>18107.849609375</v>
      </c>
      <c r="H700" s="200">
        <f t="shared" si="21"/>
        <v>-3.1653670992560848E-3</v>
      </c>
    </row>
    <row r="701" spans="2:8" x14ac:dyDescent="0.3">
      <c r="B701" s="198">
        <v>44946</v>
      </c>
      <c r="C701" s="192">
        <v>244.58</v>
      </c>
      <c r="D701" s="201">
        <f t="shared" si="22"/>
        <v>6.6263324690291545E-3</v>
      </c>
      <c r="F701" s="196">
        <v>44946</v>
      </c>
      <c r="G701" s="190">
        <v>18027.650390625</v>
      </c>
      <c r="H701" s="201">
        <f t="shared" si="21"/>
        <v>-4.4289753051891022E-3</v>
      </c>
    </row>
    <row r="702" spans="2:8" x14ac:dyDescent="0.3">
      <c r="B702" s="198">
        <v>44949</v>
      </c>
      <c r="C702" s="192">
        <v>245.41</v>
      </c>
      <c r="D702" s="201">
        <f t="shared" si="22"/>
        <v>3.3935726551638894E-3</v>
      </c>
      <c r="F702" s="197">
        <v>44949</v>
      </c>
      <c r="G702" s="191">
        <v>18118.55078125</v>
      </c>
      <c r="H702" s="200">
        <f t="shared" si="21"/>
        <v>5.042276095628709E-3</v>
      </c>
    </row>
    <row r="703" spans="2:8" x14ac:dyDescent="0.3">
      <c r="B703" s="198">
        <v>44950</v>
      </c>
      <c r="C703" s="192">
        <v>247.73</v>
      </c>
      <c r="D703" s="201">
        <f t="shared" si="22"/>
        <v>9.4535674992868805E-3</v>
      </c>
      <c r="F703" s="196">
        <v>44950</v>
      </c>
      <c r="G703" s="190">
        <v>18118.30078125</v>
      </c>
      <c r="H703" s="201">
        <f t="shared" si="21"/>
        <v>-1.3798013043003017E-5</v>
      </c>
    </row>
    <row r="704" spans="2:8" x14ac:dyDescent="0.3">
      <c r="B704" s="198">
        <v>44951</v>
      </c>
      <c r="C704" s="192">
        <v>245.97</v>
      </c>
      <c r="D704" s="201">
        <f t="shared" si="22"/>
        <v>-7.104508941185932E-3</v>
      </c>
      <c r="F704" s="197">
        <v>44951</v>
      </c>
      <c r="G704" s="191">
        <v>17891.94921875</v>
      </c>
      <c r="H704" s="200">
        <f t="shared" si="21"/>
        <v>-1.2492979625012262E-2</v>
      </c>
    </row>
    <row r="705" spans="2:8" x14ac:dyDescent="0.3">
      <c r="B705" s="198">
        <v>44953</v>
      </c>
      <c r="C705" s="192">
        <v>246.54</v>
      </c>
      <c r="D705" s="201">
        <f t="shared" si="22"/>
        <v>2.3173557750944961E-3</v>
      </c>
      <c r="F705" s="196">
        <v>44953</v>
      </c>
      <c r="G705" s="190">
        <v>17604.349609375</v>
      </c>
      <c r="H705" s="201">
        <f t="shared" si="21"/>
        <v>-1.6074246906178778E-2</v>
      </c>
    </row>
    <row r="706" spans="2:8" x14ac:dyDescent="0.3">
      <c r="B706" s="198">
        <v>44956</v>
      </c>
      <c r="C706" s="192">
        <v>237.02</v>
      </c>
      <c r="D706" s="201">
        <f t="shared" si="22"/>
        <v>-3.8614423622941436E-2</v>
      </c>
      <c r="F706" s="197">
        <v>44956</v>
      </c>
      <c r="G706" s="191">
        <v>17648.94921875</v>
      </c>
      <c r="H706" s="200">
        <f t="shared" si="21"/>
        <v>2.5334426073456854E-3</v>
      </c>
    </row>
    <row r="707" spans="2:8" x14ac:dyDescent="0.3">
      <c r="B707" s="198">
        <v>44957</v>
      </c>
      <c r="C707" s="192">
        <v>227.43</v>
      </c>
      <c r="D707" s="201">
        <f t="shared" si="22"/>
        <v>-4.0460720614294163E-2</v>
      </c>
      <c r="F707" s="196">
        <v>44957</v>
      </c>
      <c r="G707" s="190">
        <v>17662.150390625</v>
      </c>
      <c r="H707" s="201">
        <f t="shared" si="21"/>
        <v>7.4798628016761802E-4</v>
      </c>
    </row>
    <row r="708" spans="2:8" x14ac:dyDescent="0.3">
      <c r="B708" s="198">
        <v>44958</v>
      </c>
      <c r="C708" s="192">
        <v>232.71</v>
      </c>
      <c r="D708" s="201">
        <f t="shared" si="22"/>
        <v>2.3215934573275299E-2</v>
      </c>
      <c r="F708" s="197">
        <v>44958</v>
      </c>
      <c r="G708" s="191">
        <v>17616.30078125</v>
      </c>
      <c r="H708" s="200">
        <f t="shared" si="21"/>
        <v>-2.5959245256645981E-3</v>
      </c>
    </row>
    <row r="709" spans="2:8" x14ac:dyDescent="0.3">
      <c r="B709" s="198">
        <v>44959</v>
      </c>
      <c r="C709" s="192">
        <v>228.96</v>
      </c>
      <c r="D709" s="201">
        <f t="shared" si="22"/>
        <v>-1.6114477246358127E-2</v>
      </c>
      <c r="F709" s="196">
        <v>44959</v>
      </c>
      <c r="G709" s="190">
        <v>17610.400390625</v>
      </c>
      <c r="H709" s="201">
        <f t="shared" si="21"/>
        <v>-3.3493925304000889E-4</v>
      </c>
    </row>
    <row r="710" spans="2:8" x14ac:dyDescent="0.3">
      <c r="B710" s="198">
        <v>44960</v>
      </c>
      <c r="C710" s="192">
        <v>229.15</v>
      </c>
      <c r="D710" s="201">
        <f t="shared" si="22"/>
        <v>8.2983927323548965E-4</v>
      </c>
      <c r="F710" s="197">
        <v>44960</v>
      </c>
      <c r="G710" s="191">
        <v>17854.05078125</v>
      </c>
      <c r="H710" s="200">
        <f t="shared" ref="H710:H773" si="23">(G710-G709)/G709</f>
        <v>1.3835596307890234E-2</v>
      </c>
    </row>
    <row r="711" spans="2:8" x14ac:dyDescent="0.3">
      <c r="B711" s="198">
        <v>44963</v>
      </c>
      <c r="C711" s="192">
        <v>242.43</v>
      </c>
      <c r="D711" s="201">
        <f t="shared" si="22"/>
        <v>5.7953305694959635E-2</v>
      </c>
      <c r="F711" s="196">
        <v>44963</v>
      </c>
      <c r="G711" s="190">
        <v>17764.599609375</v>
      </c>
      <c r="H711" s="201">
        <f t="shared" si="23"/>
        <v>-5.0101331608701366E-3</v>
      </c>
    </row>
    <row r="712" spans="2:8" x14ac:dyDescent="0.3">
      <c r="B712" s="198">
        <v>44964</v>
      </c>
      <c r="C712" s="192">
        <v>258.75</v>
      </c>
      <c r="D712" s="201">
        <f t="shared" si="22"/>
        <v>6.7318401187971749E-2</v>
      </c>
      <c r="F712" s="197">
        <v>44964</v>
      </c>
      <c r="G712" s="191">
        <v>17721.5</v>
      </c>
      <c r="H712" s="200">
        <f t="shared" si="23"/>
        <v>-2.4261514654264895E-3</v>
      </c>
    </row>
    <row r="713" spans="2:8" x14ac:dyDescent="0.3">
      <c r="B713" s="198">
        <v>44965</v>
      </c>
      <c r="C713" s="192">
        <v>260.02</v>
      </c>
      <c r="D713" s="201">
        <f t="shared" si="22"/>
        <v>4.9082125603864034E-3</v>
      </c>
      <c r="F713" s="196">
        <v>44965</v>
      </c>
      <c r="G713" s="190">
        <v>17871.69921875</v>
      </c>
      <c r="H713" s="201">
        <f t="shared" si="23"/>
        <v>8.4755364246818839E-3</v>
      </c>
    </row>
    <row r="714" spans="2:8" x14ac:dyDescent="0.3">
      <c r="B714" s="198">
        <v>44966</v>
      </c>
      <c r="C714" s="192">
        <v>252.72</v>
      </c>
      <c r="D714" s="201">
        <f t="shared" si="22"/>
        <v>-2.8074763479732263E-2</v>
      </c>
      <c r="F714" s="197">
        <v>44966</v>
      </c>
      <c r="G714" s="191">
        <v>17893.44921875</v>
      </c>
      <c r="H714" s="200">
        <f t="shared" si="23"/>
        <v>1.2170079483645908E-3</v>
      </c>
    </row>
    <row r="715" spans="2:8" x14ac:dyDescent="0.3">
      <c r="B715" s="198">
        <v>44967</v>
      </c>
      <c r="C715" s="192">
        <v>252.35</v>
      </c>
      <c r="D715" s="201">
        <f t="shared" si="22"/>
        <v>-1.464070908515371E-3</v>
      </c>
      <c r="F715" s="196">
        <v>44967</v>
      </c>
      <c r="G715" s="190">
        <v>17856.5</v>
      </c>
      <c r="H715" s="201">
        <f t="shared" si="23"/>
        <v>-2.0649578680046795E-3</v>
      </c>
    </row>
    <row r="716" spans="2:8" x14ac:dyDescent="0.3">
      <c r="B716" s="198">
        <v>44970</v>
      </c>
      <c r="C716" s="192">
        <v>254.78</v>
      </c>
      <c r="D716" s="201">
        <f t="shared" si="22"/>
        <v>9.6294828611056347E-3</v>
      </c>
      <c r="F716" s="197">
        <v>44970</v>
      </c>
      <c r="G716" s="191">
        <v>17770.900390625</v>
      </c>
      <c r="H716" s="200">
        <f t="shared" si="23"/>
        <v>-4.7937507000252013E-3</v>
      </c>
    </row>
    <row r="717" spans="2:8" x14ac:dyDescent="0.3">
      <c r="B717" s="198">
        <v>44971</v>
      </c>
      <c r="C717" s="192">
        <v>250.26</v>
      </c>
      <c r="D717" s="201">
        <f t="shared" si="22"/>
        <v>-1.7740795980846262E-2</v>
      </c>
      <c r="F717" s="196">
        <v>44971</v>
      </c>
      <c r="G717" s="190">
        <v>17929.849609375</v>
      </c>
      <c r="H717" s="201">
        <f t="shared" si="23"/>
        <v>8.944353704995911E-3</v>
      </c>
    </row>
    <row r="718" spans="2:8" x14ac:dyDescent="0.3">
      <c r="B718" s="198">
        <v>44972</v>
      </c>
      <c r="C718" s="192">
        <v>253.75</v>
      </c>
      <c r="D718" s="201">
        <f t="shared" si="22"/>
        <v>1.394549668344925E-2</v>
      </c>
      <c r="F718" s="197">
        <v>44972</v>
      </c>
      <c r="G718" s="191">
        <v>18015.849609375</v>
      </c>
      <c r="H718" s="200">
        <f t="shared" si="23"/>
        <v>4.796470794436172E-3</v>
      </c>
    </row>
    <row r="719" spans="2:8" x14ac:dyDescent="0.3">
      <c r="B719" s="198">
        <v>44973</v>
      </c>
      <c r="C719" s="192">
        <v>252.9</v>
      </c>
      <c r="D719" s="201">
        <f t="shared" si="22"/>
        <v>-3.3497536945812584E-3</v>
      </c>
      <c r="F719" s="196">
        <v>44973</v>
      </c>
      <c r="G719" s="190">
        <v>18035.849609375</v>
      </c>
      <c r="H719" s="201">
        <f t="shared" si="23"/>
        <v>1.110133600892877E-3</v>
      </c>
    </row>
    <row r="720" spans="2:8" x14ac:dyDescent="0.3">
      <c r="B720" s="198">
        <v>44974</v>
      </c>
      <c r="C720" s="192">
        <v>254.61</v>
      </c>
      <c r="D720" s="201">
        <f t="shared" si="22"/>
        <v>6.7615658362989639E-3</v>
      </c>
      <c r="F720" s="197">
        <v>44974</v>
      </c>
      <c r="G720" s="191">
        <v>17944.19921875</v>
      </c>
      <c r="H720" s="200">
        <f t="shared" si="23"/>
        <v>-5.0815676893513411E-3</v>
      </c>
    </row>
    <row r="721" spans="2:8" x14ac:dyDescent="0.3">
      <c r="B721" s="198">
        <v>44977</v>
      </c>
      <c r="C721" s="192">
        <v>259.43</v>
      </c>
      <c r="D721" s="201">
        <f t="shared" si="22"/>
        <v>1.8930913946820598E-2</v>
      </c>
      <c r="F721" s="196">
        <v>44977</v>
      </c>
      <c r="G721" s="190">
        <v>17844.599609375</v>
      </c>
      <c r="H721" s="201">
        <f t="shared" si="23"/>
        <v>-5.5505184801408012E-3</v>
      </c>
    </row>
    <row r="722" spans="2:8" x14ac:dyDescent="0.3">
      <c r="B722" s="198">
        <v>44978</v>
      </c>
      <c r="C722" s="192">
        <v>262.8</v>
      </c>
      <c r="D722" s="201">
        <f t="shared" si="22"/>
        <v>1.2990016574798613E-2</v>
      </c>
      <c r="F722" s="197">
        <v>44978</v>
      </c>
      <c r="G722" s="191">
        <v>17826.69921875</v>
      </c>
      <c r="H722" s="200">
        <f t="shared" si="23"/>
        <v>-1.0031264929920697E-3</v>
      </c>
    </row>
    <row r="723" spans="2:8" x14ac:dyDescent="0.3">
      <c r="B723" s="198">
        <v>44979</v>
      </c>
      <c r="C723" s="192">
        <v>259.27999999999997</v>
      </c>
      <c r="D723" s="201">
        <f t="shared" si="22"/>
        <v>-1.3394216133942307E-2</v>
      </c>
      <c r="F723" s="196">
        <v>44979</v>
      </c>
      <c r="G723" s="190">
        <v>17554.30078125</v>
      </c>
      <c r="H723" s="201">
        <f t="shared" si="23"/>
        <v>-1.5280363131582609E-2</v>
      </c>
    </row>
    <row r="724" spans="2:8" x14ac:dyDescent="0.3">
      <c r="B724" s="198">
        <v>44980</v>
      </c>
      <c r="C724" s="192">
        <v>258.08</v>
      </c>
      <c r="D724" s="201">
        <f t="shared" si="22"/>
        <v>-4.6282011724775871E-3</v>
      </c>
      <c r="F724" s="197">
        <v>44980</v>
      </c>
      <c r="G724" s="191">
        <v>17511.25</v>
      </c>
      <c r="H724" s="200">
        <f t="shared" si="23"/>
        <v>-2.4524349779846064E-3</v>
      </c>
    </row>
    <row r="725" spans="2:8" x14ac:dyDescent="0.3">
      <c r="B725" s="198">
        <v>44981</v>
      </c>
      <c r="C725" s="192">
        <v>256.26</v>
      </c>
      <c r="D725" s="201">
        <f t="shared" si="22"/>
        <v>-7.0520768753874509E-3</v>
      </c>
      <c r="F725" s="196">
        <v>44981</v>
      </c>
      <c r="G725" s="190">
        <v>17465.80078125</v>
      </c>
      <c r="H725" s="201">
        <f t="shared" si="23"/>
        <v>-2.5954297237490184E-3</v>
      </c>
    </row>
    <row r="726" spans="2:8" x14ac:dyDescent="0.3">
      <c r="B726" s="198">
        <v>44984</v>
      </c>
      <c r="C726" s="192">
        <v>255.35</v>
      </c>
      <c r="D726" s="201">
        <f t="shared" si="22"/>
        <v>-3.5510809334269749E-3</v>
      </c>
      <c r="F726" s="197">
        <v>44984</v>
      </c>
      <c r="G726" s="191">
        <v>17392.69921875</v>
      </c>
      <c r="H726" s="200">
        <f t="shared" si="23"/>
        <v>-4.1854114458053631E-3</v>
      </c>
    </row>
    <row r="727" spans="2:8" x14ac:dyDescent="0.3">
      <c r="B727" s="198">
        <v>44985</v>
      </c>
      <c r="C727" s="192">
        <v>258.08999999999997</v>
      </c>
      <c r="D727" s="201">
        <f t="shared" si="22"/>
        <v>1.073037008028189E-2</v>
      </c>
      <c r="F727" s="196">
        <v>44985</v>
      </c>
      <c r="G727" s="190">
        <v>17303.94921875</v>
      </c>
      <c r="H727" s="201">
        <f t="shared" si="23"/>
        <v>-5.1027157362857215E-3</v>
      </c>
    </row>
    <row r="728" spans="2:8" x14ac:dyDescent="0.3">
      <c r="B728" s="198">
        <v>44986</v>
      </c>
      <c r="C728" s="192">
        <v>266.64999999999998</v>
      </c>
      <c r="D728" s="201">
        <f t="shared" si="22"/>
        <v>3.3166724785927401E-2</v>
      </c>
      <c r="F728" s="197">
        <v>44986</v>
      </c>
      <c r="G728" s="191">
        <v>17450.900390625</v>
      </c>
      <c r="H728" s="200">
        <f t="shared" si="23"/>
        <v>8.4923487706360379E-3</v>
      </c>
    </row>
    <row r="729" spans="2:8" x14ac:dyDescent="0.3">
      <c r="B729" s="198">
        <v>44987</v>
      </c>
      <c r="C729" s="192">
        <v>266.32</v>
      </c>
      <c r="D729" s="201">
        <f t="shared" si="22"/>
        <v>-1.2375773485842269E-3</v>
      </c>
      <c r="F729" s="196">
        <v>44987</v>
      </c>
      <c r="G729" s="190">
        <v>17321.900390625</v>
      </c>
      <c r="H729" s="201">
        <f t="shared" si="23"/>
        <v>-7.3921687198043708E-3</v>
      </c>
    </row>
    <row r="730" spans="2:8" x14ac:dyDescent="0.3">
      <c r="B730" s="198">
        <v>44988</v>
      </c>
      <c r="C730" s="192">
        <v>269.55</v>
      </c>
      <c r="D730" s="201">
        <f t="shared" si="22"/>
        <v>1.2128266746770871E-2</v>
      </c>
      <c r="F730" s="197">
        <v>44988</v>
      </c>
      <c r="G730" s="191">
        <v>17594.349609375</v>
      </c>
      <c r="H730" s="200">
        <f t="shared" si="23"/>
        <v>1.5728598629827915E-2</v>
      </c>
    </row>
    <row r="731" spans="2:8" x14ac:dyDescent="0.3">
      <c r="B731" s="198">
        <v>44991</v>
      </c>
      <c r="C731" s="192">
        <v>268.08</v>
      </c>
      <c r="D731" s="201">
        <f t="shared" si="22"/>
        <v>-5.4535336672232506E-3</v>
      </c>
      <c r="F731" s="196">
        <v>44991</v>
      </c>
      <c r="G731" s="190">
        <v>17711.44921875</v>
      </c>
      <c r="H731" s="201">
        <f t="shared" si="23"/>
        <v>6.6555236183669141E-3</v>
      </c>
    </row>
    <row r="732" spans="2:8" x14ac:dyDescent="0.3">
      <c r="B732" s="198">
        <v>44993</v>
      </c>
      <c r="C732" s="192">
        <v>267.86</v>
      </c>
      <c r="D732" s="201">
        <f t="shared" si="22"/>
        <v>-8.2065055207389758E-4</v>
      </c>
      <c r="F732" s="197">
        <v>44993</v>
      </c>
      <c r="G732" s="191">
        <v>17754.400390625</v>
      </c>
      <c r="H732" s="200">
        <f t="shared" si="23"/>
        <v>2.4250512391459354E-3</v>
      </c>
    </row>
    <row r="733" spans="2:8" x14ac:dyDescent="0.3">
      <c r="B733" s="198">
        <v>44994</v>
      </c>
      <c r="C733" s="192">
        <v>267.02</v>
      </c>
      <c r="D733" s="201">
        <f t="shared" si="22"/>
        <v>-3.1359665496902551E-3</v>
      </c>
      <c r="F733" s="196">
        <v>44994</v>
      </c>
      <c r="G733" s="190">
        <v>17589.599609375</v>
      </c>
      <c r="H733" s="201">
        <f t="shared" si="23"/>
        <v>-9.2822498999752812E-3</v>
      </c>
    </row>
    <row r="734" spans="2:8" x14ac:dyDescent="0.3">
      <c r="B734" s="198">
        <v>44995</v>
      </c>
      <c r="C734" s="192">
        <v>266.63</v>
      </c>
      <c r="D734" s="201">
        <f t="shared" si="22"/>
        <v>-1.4605647517039412E-3</v>
      </c>
      <c r="F734" s="197">
        <v>44995</v>
      </c>
      <c r="G734" s="191">
        <v>17412.900390625</v>
      </c>
      <c r="H734" s="200">
        <f t="shared" si="23"/>
        <v>-1.0045664635585105E-2</v>
      </c>
    </row>
    <row r="735" spans="2:8" x14ac:dyDescent="0.3">
      <c r="B735" s="198">
        <v>44998</v>
      </c>
      <c r="C735" s="192">
        <v>260.43</v>
      </c>
      <c r="D735" s="201">
        <f t="shared" si="22"/>
        <v>-2.3253197314630721E-2</v>
      </c>
      <c r="F735" s="196">
        <v>44998</v>
      </c>
      <c r="G735" s="190">
        <v>17154.30078125</v>
      </c>
      <c r="H735" s="201">
        <f t="shared" si="23"/>
        <v>-1.4851035931626214E-2</v>
      </c>
    </row>
    <row r="736" spans="2:8" x14ac:dyDescent="0.3">
      <c r="B736" s="198">
        <v>44999</v>
      </c>
      <c r="C736" s="192">
        <v>260.42</v>
      </c>
      <c r="D736" s="201">
        <f t="shared" si="22"/>
        <v>-3.839803402062322E-5</v>
      </c>
      <c r="F736" s="197">
        <v>44999</v>
      </c>
      <c r="G736" s="191">
        <v>17043.30078125</v>
      </c>
      <c r="H736" s="200">
        <f t="shared" si="23"/>
        <v>-6.470680525861203E-3</v>
      </c>
    </row>
    <row r="737" spans="2:8" x14ac:dyDescent="0.3">
      <c r="B737" s="198">
        <v>45000</v>
      </c>
      <c r="C737" s="192">
        <v>267</v>
      </c>
      <c r="D737" s="201">
        <f t="shared" ref="D737:D800" si="24">(C737-C736)/C736</f>
        <v>2.5266876583979664E-2</v>
      </c>
      <c r="F737" s="196">
        <v>45000</v>
      </c>
      <c r="G737" s="190">
        <v>16972.150390625</v>
      </c>
      <c r="H737" s="201">
        <f t="shared" si="23"/>
        <v>-4.1746837386848982E-3</v>
      </c>
    </row>
    <row r="738" spans="2:8" x14ac:dyDescent="0.3">
      <c r="B738" s="198">
        <v>45001</v>
      </c>
      <c r="C738" s="192">
        <v>259.16000000000003</v>
      </c>
      <c r="D738" s="201">
        <f t="shared" si="24"/>
        <v>-2.9363295880149718E-2</v>
      </c>
      <c r="F738" s="197">
        <v>45001</v>
      </c>
      <c r="G738" s="191">
        <v>16985.599609375</v>
      </c>
      <c r="H738" s="200">
        <f t="shared" si="23"/>
        <v>7.9242868113100259E-4</v>
      </c>
    </row>
    <row r="739" spans="2:8" x14ac:dyDescent="0.3">
      <c r="B739" s="198">
        <v>45002</v>
      </c>
      <c r="C739" s="192">
        <v>261.16000000000003</v>
      </c>
      <c r="D739" s="201">
        <f t="shared" si="24"/>
        <v>7.7172403148634038E-3</v>
      </c>
      <c r="F739" s="196">
        <v>45002</v>
      </c>
      <c r="G739" s="190">
        <v>17100.05078125</v>
      </c>
      <c r="H739" s="201">
        <f t="shared" si="23"/>
        <v>6.7381296219787279E-3</v>
      </c>
    </row>
    <row r="740" spans="2:8" x14ac:dyDescent="0.3">
      <c r="B740" s="198">
        <v>45005</v>
      </c>
      <c r="C740" s="192">
        <v>258.52999999999997</v>
      </c>
      <c r="D740" s="201">
        <f t="shared" si="24"/>
        <v>-1.0070454893552044E-2</v>
      </c>
      <c r="F740" s="197">
        <v>45005</v>
      </c>
      <c r="G740" s="191">
        <v>16988.400390625</v>
      </c>
      <c r="H740" s="200">
        <f t="shared" si="23"/>
        <v>-6.5292432199922654E-3</v>
      </c>
    </row>
    <row r="741" spans="2:8" x14ac:dyDescent="0.3">
      <c r="B741" s="198">
        <v>45006</v>
      </c>
      <c r="C741" s="192">
        <v>266.56</v>
      </c>
      <c r="D741" s="201">
        <f t="shared" si="24"/>
        <v>3.1060225118941825E-2</v>
      </c>
      <c r="F741" s="196">
        <v>45006</v>
      </c>
      <c r="G741" s="190">
        <v>17107.5</v>
      </c>
      <c r="H741" s="201">
        <f t="shared" si="23"/>
        <v>7.0106429467441077E-3</v>
      </c>
    </row>
    <row r="742" spans="2:8" x14ac:dyDescent="0.3">
      <c r="B742" s="198">
        <v>45007</v>
      </c>
      <c r="C742" s="192">
        <v>268.76</v>
      </c>
      <c r="D742" s="201">
        <f t="shared" si="24"/>
        <v>8.2533013205281693E-3</v>
      </c>
      <c r="F742" s="197">
        <v>45007</v>
      </c>
      <c r="G742" s="191">
        <v>17151.900390625</v>
      </c>
      <c r="H742" s="200">
        <f t="shared" si="23"/>
        <v>2.5953757489405233E-3</v>
      </c>
    </row>
    <row r="743" spans="2:8" x14ac:dyDescent="0.3">
      <c r="B743" s="198">
        <v>45008</v>
      </c>
      <c r="C743" s="192">
        <v>268.87</v>
      </c>
      <c r="D743" s="201">
        <f t="shared" si="24"/>
        <v>4.0928709629414213E-4</v>
      </c>
      <c r="F743" s="196">
        <v>45008</v>
      </c>
      <c r="G743" s="190">
        <v>17076.900390625</v>
      </c>
      <c r="H743" s="201">
        <f t="shared" si="23"/>
        <v>-4.3726933046436068E-3</v>
      </c>
    </row>
    <row r="744" spans="2:8" x14ac:dyDescent="0.3">
      <c r="B744" s="198">
        <v>45009</v>
      </c>
      <c r="C744" s="192">
        <v>268.26</v>
      </c>
      <c r="D744" s="201">
        <f t="shared" si="24"/>
        <v>-2.2687544166326242E-3</v>
      </c>
      <c r="F744" s="197">
        <v>45009</v>
      </c>
      <c r="G744" s="191">
        <v>16945.05078125</v>
      </c>
      <c r="H744" s="200">
        <f t="shared" si="23"/>
        <v>-7.7209333285906939E-3</v>
      </c>
    </row>
    <row r="745" spans="2:8" x14ac:dyDescent="0.3">
      <c r="B745" s="198">
        <v>45012</v>
      </c>
      <c r="C745" s="192">
        <v>269.61</v>
      </c>
      <c r="D745" s="201">
        <f t="shared" si="24"/>
        <v>5.0324312234400316E-3</v>
      </c>
      <c r="F745" s="196">
        <v>45012</v>
      </c>
      <c r="G745" s="190">
        <v>16985.69921875</v>
      </c>
      <c r="H745" s="201">
        <f t="shared" si="23"/>
        <v>2.3988383407489234E-3</v>
      </c>
    </row>
    <row r="746" spans="2:8" x14ac:dyDescent="0.3">
      <c r="B746" s="198">
        <v>45013</v>
      </c>
      <c r="C746" s="192">
        <v>268.81</v>
      </c>
      <c r="D746" s="201">
        <f t="shared" si="24"/>
        <v>-2.9672489892808552E-3</v>
      </c>
      <c r="F746" s="197">
        <v>45013</v>
      </c>
      <c r="G746" s="191">
        <v>16951.69921875</v>
      </c>
      <c r="H746" s="200">
        <f t="shared" si="23"/>
        <v>-2.0016838613548761E-3</v>
      </c>
    </row>
    <row r="747" spans="2:8" x14ac:dyDescent="0.3">
      <c r="B747" s="198">
        <v>45014</v>
      </c>
      <c r="C747" s="192">
        <v>269.33999999999997</v>
      </c>
      <c r="D747" s="201">
        <f t="shared" si="24"/>
        <v>1.9716528402960185E-3</v>
      </c>
      <c r="F747" s="196">
        <v>45014</v>
      </c>
      <c r="G747" s="190">
        <v>17080.69921875</v>
      </c>
      <c r="H747" s="201">
        <f t="shared" si="23"/>
        <v>7.6098565893214518E-3</v>
      </c>
    </row>
    <row r="748" spans="2:8" x14ac:dyDescent="0.3">
      <c r="B748" s="198">
        <v>45016</v>
      </c>
      <c r="C748" s="192">
        <v>275.2</v>
      </c>
      <c r="D748" s="201">
        <f t="shared" si="24"/>
        <v>2.1756887205762285E-2</v>
      </c>
      <c r="F748" s="197">
        <v>45016</v>
      </c>
      <c r="G748" s="191">
        <v>17359.75</v>
      </c>
      <c r="H748" s="200">
        <f t="shared" si="23"/>
        <v>1.6337198944623856E-2</v>
      </c>
    </row>
    <row r="749" spans="2:8" x14ac:dyDescent="0.3">
      <c r="B749" s="198">
        <v>45019</v>
      </c>
      <c r="C749" s="192">
        <v>280.64999999999998</v>
      </c>
      <c r="D749" s="201">
        <f t="shared" si="24"/>
        <v>1.9803779069767401E-2</v>
      </c>
      <c r="F749" s="196">
        <v>45019</v>
      </c>
      <c r="G749" s="190">
        <v>17398.05078125</v>
      </c>
      <c r="H749" s="201">
        <f t="shared" si="23"/>
        <v>2.2062979737611428E-3</v>
      </c>
    </row>
    <row r="750" spans="2:8" x14ac:dyDescent="0.3">
      <c r="B750" s="198">
        <v>45021</v>
      </c>
      <c r="C750" s="192">
        <v>288.5</v>
      </c>
      <c r="D750" s="201">
        <f t="shared" si="24"/>
        <v>2.7970782112952158E-2</v>
      </c>
      <c r="F750" s="197">
        <v>45021</v>
      </c>
      <c r="G750" s="191">
        <v>17557.05078125</v>
      </c>
      <c r="H750" s="200">
        <f t="shared" si="23"/>
        <v>9.1389548173612303E-3</v>
      </c>
    </row>
    <row r="751" spans="2:8" x14ac:dyDescent="0.3">
      <c r="B751" s="198">
        <v>45022</v>
      </c>
      <c r="C751" s="192">
        <v>276.49</v>
      </c>
      <c r="D751" s="201">
        <f t="shared" si="24"/>
        <v>-4.1629116117850924E-2</v>
      </c>
      <c r="F751" s="196">
        <v>45022</v>
      </c>
      <c r="G751" s="190">
        <v>17599.150390625</v>
      </c>
      <c r="H751" s="201">
        <f t="shared" si="23"/>
        <v>2.3978747854372074E-3</v>
      </c>
    </row>
    <row r="752" spans="2:8" x14ac:dyDescent="0.3">
      <c r="B752" s="198">
        <v>45026</v>
      </c>
      <c r="C752" s="192">
        <v>280.5</v>
      </c>
      <c r="D752" s="201">
        <f t="shared" si="24"/>
        <v>1.4503237006763321E-2</v>
      </c>
      <c r="F752" s="197">
        <v>45026</v>
      </c>
      <c r="G752" s="191">
        <v>17624.05078125</v>
      </c>
      <c r="H752" s="200">
        <f t="shared" si="23"/>
        <v>1.4148632219350965E-3</v>
      </c>
    </row>
    <row r="753" spans="2:8" x14ac:dyDescent="0.3">
      <c r="B753" s="198">
        <v>45027</v>
      </c>
      <c r="C753" s="192">
        <v>285.37</v>
      </c>
      <c r="D753" s="201">
        <f t="shared" si="24"/>
        <v>1.7361853832442084E-2</v>
      </c>
      <c r="F753" s="196">
        <v>45027</v>
      </c>
      <c r="G753" s="190">
        <v>17722.30078125</v>
      </c>
      <c r="H753" s="201">
        <f t="shared" si="23"/>
        <v>5.574768321964148E-3</v>
      </c>
    </row>
    <row r="754" spans="2:8" x14ac:dyDescent="0.3">
      <c r="B754" s="198">
        <v>45028</v>
      </c>
      <c r="C754" s="192">
        <v>287.39</v>
      </c>
      <c r="D754" s="201">
        <f t="shared" si="24"/>
        <v>7.0785296282019194E-3</v>
      </c>
      <c r="F754" s="197">
        <v>45028</v>
      </c>
      <c r="G754" s="191">
        <v>17812.400390625</v>
      </c>
      <c r="H754" s="200">
        <f t="shared" si="23"/>
        <v>5.0839679614468796E-3</v>
      </c>
    </row>
    <row r="755" spans="2:8" x14ac:dyDescent="0.3">
      <c r="B755" s="198">
        <v>45029</v>
      </c>
      <c r="C755" s="192">
        <v>283.83999999999997</v>
      </c>
      <c r="D755" s="201">
        <f t="shared" si="24"/>
        <v>-1.2352552280872722E-2</v>
      </c>
      <c r="F755" s="196">
        <v>45029</v>
      </c>
      <c r="G755" s="190">
        <v>17828</v>
      </c>
      <c r="H755" s="201">
        <f t="shared" si="23"/>
        <v>8.7577244127132723E-4</v>
      </c>
    </row>
    <row r="756" spans="2:8" x14ac:dyDescent="0.3">
      <c r="B756" s="198">
        <v>45033</v>
      </c>
      <c r="C756" s="192">
        <v>288.32</v>
      </c>
      <c r="D756" s="201">
        <f t="shared" si="24"/>
        <v>1.578354002254798E-2</v>
      </c>
      <c r="F756" s="197">
        <v>45033</v>
      </c>
      <c r="G756" s="191">
        <v>17706.849609375</v>
      </c>
      <c r="H756" s="200">
        <f t="shared" si="23"/>
        <v>-6.7955121508301549E-3</v>
      </c>
    </row>
    <row r="757" spans="2:8" x14ac:dyDescent="0.3">
      <c r="B757" s="198">
        <v>45034</v>
      </c>
      <c r="C757" s="192">
        <v>280.85000000000002</v>
      </c>
      <c r="D757" s="201">
        <f t="shared" si="24"/>
        <v>-2.5908712541620318E-2</v>
      </c>
      <c r="F757" s="196">
        <v>45034</v>
      </c>
      <c r="G757" s="190">
        <v>17660.150390625</v>
      </c>
      <c r="H757" s="201">
        <f t="shared" si="23"/>
        <v>-2.6373533282439362E-3</v>
      </c>
    </row>
    <row r="758" spans="2:8" x14ac:dyDescent="0.3">
      <c r="B758" s="198">
        <v>45035</v>
      </c>
      <c r="C758" s="192">
        <v>285.93</v>
      </c>
      <c r="D758" s="201">
        <f t="shared" si="24"/>
        <v>1.8087947302830636E-2</v>
      </c>
      <c r="F758" s="197">
        <v>45035</v>
      </c>
      <c r="G758" s="191">
        <v>17618.75</v>
      </c>
      <c r="H758" s="200">
        <f t="shared" si="23"/>
        <v>-2.3442830162407708E-3</v>
      </c>
    </row>
    <row r="759" spans="2:8" x14ac:dyDescent="0.3">
      <c r="B759" s="198">
        <v>45036</v>
      </c>
      <c r="C759" s="192">
        <v>274.35000000000002</v>
      </c>
      <c r="D759" s="201">
        <f t="shared" si="24"/>
        <v>-4.0499422935683503E-2</v>
      </c>
      <c r="F759" s="196">
        <v>45036</v>
      </c>
      <c r="G759" s="190">
        <v>17624.44921875</v>
      </c>
      <c r="H759" s="201">
        <f t="shared" si="23"/>
        <v>3.2347463639588507E-4</v>
      </c>
    </row>
    <row r="760" spans="2:8" x14ac:dyDescent="0.3">
      <c r="B760" s="198">
        <v>45037</v>
      </c>
      <c r="C760" s="192">
        <v>277.42</v>
      </c>
      <c r="D760" s="201">
        <f t="shared" si="24"/>
        <v>1.1190085657007446E-2</v>
      </c>
      <c r="F760" s="197">
        <v>45037</v>
      </c>
      <c r="G760" s="191">
        <v>17624.05078125</v>
      </c>
      <c r="H760" s="200">
        <f t="shared" si="23"/>
        <v>-2.2607089450268724E-5</v>
      </c>
    </row>
    <row r="761" spans="2:8" x14ac:dyDescent="0.3">
      <c r="B761" s="198">
        <v>45040</v>
      </c>
      <c r="C761" s="192">
        <v>287.83999999999997</v>
      </c>
      <c r="D761" s="201">
        <f t="shared" si="24"/>
        <v>3.7560377766563187E-2</v>
      </c>
      <c r="F761" s="196">
        <v>45040</v>
      </c>
      <c r="G761" s="190">
        <v>17743.400390625</v>
      </c>
      <c r="H761" s="201">
        <f t="shared" si="23"/>
        <v>6.7719737565653465E-3</v>
      </c>
    </row>
    <row r="762" spans="2:8" x14ac:dyDescent="0.3">
      <c r="B762" s="198">
        <v>45041</v>
      </c>
      <c r="C762" s="192">
        <v>285.37</v>
      </c>
      <c r="D762" s="201">
        <f t="shared" si="24"/>
        <v>-8.5811561978876138E-3</v>
      </c>
      <c r="F762" s="197">
        <v>45041</v>
      </c>
      <c r="G762" s="191">
        <v>17769.25</v>
      </c>
      <c r="H762" s="200">
        <f t="shared" si="23"/>
        <v>1.4568576938982925E-3</v>
      </c>
    </row>
    <row r="763" spans="2:8" x14ac:dyDescent="0.3">
      <c r="B763" s="198">
        <v>45042</v>
      </c>
      <c r="C763" s="192">
        <v>287.67</v>
      </c>
      <c r="D763" s="201">
        <f t="shared" si="24"/>
        <v>8.0597119529032882E-3</v>
      </c>
      <c r="F763" s="196">
        <v>45042</v>
      </c>
      <c r="G763" s="190">
        <v>17813.599609375</v>
      </c>
      <c r="H763" s="201">
        <f t="shared" si="23"/>
        <v>2.495862761512163E-3</v>
      </c>
    </row>
    <row r="764" spans="2:8" x14ac:dyDescent="0.3">
      <c r="B764" s="198">
        <v>45043</v>
      </c>
      <c r="C764" s="192">
        <v>290.55</v>
      </c>
      <c r="D764" s="201">
        <f t="shared" si="24"/>
        <v>1.0011471477734889E-2</v>
      </c>
      <c r="F764" s="197">
        <v>45043</v>
      </c>
      <c r="G764" s="191">
        <v>17915.05078125</v>
      </c>
      <c r="H764" s="200">
        <f t="shared" si="23"/>
        <v>5.6951528101938445E-3</v>
      </c>
    </row>
    <row r="765" spans="2:8" x14ac:dyDescent="0.3">
      <c r="B765" s="198">
        <v>45044</v>
      </c>
      <c r="C765" s="192">
        <v>286.95</v>
      </c>
      <c r="D765" s="201">
        <f t="shared" si="24"/>
        <v>-1.2390294269488978E-2</v>
      </c>
      <c r="F765" s="196">
        <v>45044</v>
      </c>
      <c r="G765" s="190">
        <v>18065</v>
      </c>
      <c r="H765" s="201">
        <f t="shared" si="23"/>
        <v>8.3700136036978338E-3</v>
      </c>
    </row>
    <row r="766" spans="2:8" x14ac:dyDescent="0.3">
      <c r="B766" s="198">
        <v>45048</v>
      </c>
      <c r="C766" s="192">
        <v>280.97000000000003</v>
      </c>
      <c r="D766" s="201">
        <f t="shared" si="24"/>
        <v>-2.0839867572747733E-2</v>
      </c>
      <c r="F766" s="197">
        <v>45048</v>
      </c>
      <c r="G766" s="191">
        <v>18147.650390625</v>
      </c>
      <c r="H766" s="200">
        <f t="shared" si="23"/>
        <v>4.5751669319125379E-3</v>
      </c>
    </row>
    <row r="767" spans="2:8" x14ac:dyDescent="0.3">
      <c r="B767" s="198">
        <v>45049</v>
      </c>
      <c r="C767" s="192">
        <v>283.97000000000003</v>
      </c>
      <c r="D767" s="201">
        <f t="shared" si="24"/>
        <v>1.067729650852404E-2</v>
      </c>
      <c r="F767" s="196">
        <v>45049</v>
      </c>
      <c r="G767" s="190">
        <v>18089.849609375</v>
      </c>
      <c r="H767" s="201">
        <f t="shared" si="23"/>
        <v>-3.18502836487635E-3</v>
      </c>
    </row>
    <row r="768" spans="2:8" x14ac:dyDescent="0.3">
      <c r="B768" s="198">
        <v>45050</v>
      </c>
      <c r="C768" s="192">
        <v>286.43</v>
      </c>
      <c r="D768" s="201">
        <f t="shared" si="24"/>
        <v>8.662886924675069E-3</v>
      </c>
      <c r="F768" s="197">
        <v>45050</v>
      </c>
      <c r="G768" s="191">
        <v>18255.80078125</v>
      </c>
      <c r="H768" s="200">
        <f t="shared" si="23"/>
        <v>9.173717607303733E-3</v>
      </c>
    </row>
    <row r="769" spans="2:8" x14ac:dyDescent="0.3">
      <c r="B769" s="198">
        <v>45051</v>
      </c>
      <c r="C769" s="192">
        <v>288.42</v>
      </c>
      <c r="D769" s="201">
        <f t="shared" si="24"/>
        <v>6.9475962713403238E-3</v>
      </c>
      <c r="F769" s="196">
        <v>45051</v>
      </c>
      <c r="G769" s="190">
        <v>18069</v>
      </c>
      <c r="H769" s="201">
        <f t="shared" si="23"/>
        <v>-1.0232406865540384E-2</v>
      </c>
    </row>
    <row r="770" spans="2:8" x14ac:dyDescent="0.3">
      <c r="B770" s="198">
        <v>45054</v>
      </c>
      <c r="C770" s="192">
        <v>289.18</v>
      </c>
      <c r="D770" s="201">
        <f t="shared" si="24"/>
        <v>2.6350461133069513E-3</v>
      </c>
      <c r="F770" s="197">
        <v>45054</v>
      </c>
      <c r="G770" s="191">
        <v>18264.400390625</v>
      </c>
      <c r="H770" s="200">
        <f t="shared" si="23"/>
        <v>1.0814123118324201E-2</v>
      </c>
    </row>
    <row r="771" spans="2:8" x14ac:dyDescent="0.3">
      <c r="B771" s="198">
        <v>45055</v>
      </c>
      <c r="C771" s="192">
        <v>298.91000000000003</v>
      </c>
      <c r="D771" s="201">
        <f t="shared" si="24"/>
        <v>3.3646863545196824E-2</v>
      </c>
      <c r="F771" s="196">
        <v>45055</v>
      </c>
      <c r="G771" s="190">
        <v>18265.94921875</v>
      </c>
      <c r="H771" s="201">
        <f t="shared" si="23"/>
        <v>8.4800381719347525E-5</v>
      </c>
    </row>
    <row r="772" spans="2:8" x14ac:dyDescent="0.3">
      <c r="B772" s="198">
        <v>45056</v>
      </c>
      <c r="C772" s="192">
        <v>318.95999999999998</v>
      </c>
      <c r="D772" s="201">
        <f t="shared" si="24"/>
        <v>6.7077046602656162E-2</v>
      </c>
      <c r="F772" s="197">
        <v>45056</v>
      </c>
      <c r="G772" s="191">
        <v>18315.099609375</v>
      </c>
      <c r="H772" s="200">
        <f t="shared" si="23"/>
        <v>2.6908205008337105E-3</v>
      </c>
    </row>
    <row r="773" spans="2:8" x14ac:dyDescent="0.3">
      <c r="B773" s="198">
        <v>45057</v>
      </c>
      <c r="C773" s="192">
        <v>313.64</v>
      </c>
      <c r="D773" s="201">
        <f t="shared" si="24"/>
        <v>-1.6679207424128397E-2</v>
      </c>
      <c r="F773" s="196">
        <v>45057</v>
      </c>
      <c r="G773" s="190">
        <v>18297</v>
      </c>
      <c r="H773" s="201">
        <f t="shared" si="23"/>
        <v>-9.8823428542727139E-4</v>
      </c>
    </row>
    <row r="774" spans="2:8" x14ac:dyDescent="0.3">
      <c r="B774" s="198">
        <v>45058</v>
      </c>
      <c r="C774" s="192">
        <v>308.94</v>
      </c>
      <c r="D774" s="201">
        <f t="shared" si="24"/>
        <v>-1.4985333503379635E-2</v>
      </c>
      <c r="F774" s="197">
        <v>45058</v>
      </c>
      <c r="G774" s="191">
        <v>18314.80078125</v>
      </c>
      <c r="H774" s="200">
        <f t="shared" ref="H774:H837" si="25">(G774-G773)/G773</f>
        <v>9.7287977537301195E-4</v>
      </c>
    </row>
    <row r="775" spans="2:8" x14ac:dyDescent="0.3">
      <c r="B775" s="198">
        <v>45061</v>
      </c>
      <c r="C775" s="192">
        <v>309.47000000000003</v>
      </c>
      <c r="D775" s="201">
        <f t="shared" si="24"/>
        <v>1.7155434712242815E-3</v>
      </c>
      <c r="F775" s="196">
        <v>45061</v>
      </c>
      <c r="G775" s="190">
        <v>18398.849609375</v>
      </c>
      <c r="H775" s="201">
        <f t="shared" si="25"/>
        <v>4.589120522186952E-3</v>
      </c>
    </row>
    <row r="776" spans="2:8" x14ac:dyDescent="0.3">
      <c r="B776" s="198">
        <v>45062</v>
      </c>
      <c r="C776" s="192">
        <v>312.52999999999997</v>
      </c>
      <c r="D776" s="201">
        <f t="shared" si="24"/>
        <v>9.8878728148122444E-3</v>
      </c>
      <c r="F776" s="197">
        <v>45062</v>
      </c>
      <c r="G776" s="191">
        <v>18286.5</v>
      </c>
      <c r="H776" s="200">
        <f t="shared" si="25"/>
        <v>-6.1063388070606911E-3</v>
      </c>
    </row>
    <row r="777" spans="2:8" x14ac:dyDescent="0.3">
      <c r="B777" s="198">
        <v>45063</v>
      </c>
      <c r="C777" s="192">
        <v>315.25</v>
      </c>
      <c r="D777" s="201">
        <f t="shared" si="24"/>
        <v>8.7031644962084521E-3</v>
      </c>
      <c r="F777" s="196">
        <v>45063</v>
      </c>
      <c r="G777" s="190">
        <v>18181.75</v>
      </c>
      <c r="H777" s="201">
        <f t="shared" si="25"/>
        <v>-5.7282694884204198E-3</v>
      </c>
    </row>
    <row r="778" spans="2:8" x14ac:dyDescent="0.3">
      <c r="B778" s="198">
        <v>45064</v>
      </c>
      <c r="C778" s="192">
        <v>312.95</v>
      </c>
      <c r="D778" s="201">
        <f t="shared" si="24"/>
        <v>-7.2957969865186717E-3</v>
      </c>
      <c r="F778" s="197">
        <v>45064</v>
      </c>
      <c r="G778" s="191">
        <v>18129.94921875</v>
      </c>
      <c r="H778" s="200">
        <f t="shared" si="25"/>
        <v>-2.8490536527011976E-3</v>
      </c>
    </row>
    <row r="779" spans="2:8" x14ac:dyDescent="0.3">
      <c r="B779" s="198">
        <v>45065</v>
      </c>
      <c r="C779" s="192">
        <v>315.20999999999998</v>
      </c>
      <c r="D779" s="201">
        <f t="shared" si="24"/>
        <v>7.2216008947115868E-3</v>
      </c>
      <c r="F779" s="196">
        <v>45065</v>
      </c>
      <c r="G779" s="190">
        <v>18203.400390625</v>
      </c>
      <c r="H779" s="201">
        <f t="shared" si="25"/>
        <v>4.051372179191587E-3</v>
      </c>
    </row>
    <row r="780" spans="2:8" x14ac:dyDescent="0.3">
      <c r="B780" s="198">
        <v>45068</v>
      </c>
      <c r="C780" s="192">
        <v>314.61</v>
      </c>
      <c r="D780" s="201">
        <f t="shared" si="24"/>
        <v>-1.903492909488804E-3</v>
      </c>
      <c r="F780" s="197">
        <v>45068</v>
      </c>
      <c r="G780" s="191">
        <v>18314.400390625</v>
      </c>
      <c r="H780" s="200">
        <f t="shared" si="25"/>
        <v>6.0977618257062847E-3</v>
      </c>
    </row>
    <row r="781" spans="2:8" x14ac:dyDescent="0.3">
      <c r="B781" s="198">
        <v>45069</v>
      </c>
      <c r="C781" s="192">
        <v>308.92</v>
      </c>
      <c r="D781" s="201">
        <f t="shared" si="24"/>
        <v>-1.8085884110485992E-2</v>
      </c>
      <c r="F781" s="196">
        <v>45069</v>
      </c>
      <c r="G781" s="190">
        <v>18348</v>
      </c>
      <c r="H781" s="201">
        <f t="shared" si="25"/>
        <v>1.8346005688616145E-3</v>
      </c>
    </row>
    <row r="782" spans="2:8" x14ac:dyDescent="0.3">
      <c r="B782" s="198">
        <v>45070</v>
      </c>
      <c r="C782" s="192">
        <v>320.62</v>
      </c>
      <c r="D782" s="201">
        <f t="shared" si="24"/>
        <v>3.7873883206007992E-2</v>
      </c>
      <c r="F782" s="197">
        <v>45070</v>
      </c>
      <c r="G782" s="191">
        <v>18285.400390625</v>
      </c>
      <c r="H782" s="200">
        <f t="shared" si="25"/>
        <v>-3.4117947119577064E-3</v>
      </c>
    </row>
    <row r="783" spans="2:8" x14ac:dyDescent="0.3">
      <c r="B783" s="198">
        <v>45071</v>
      </c>
      <c r="C783" s="192">
        <v>321.19</v>
      </c>
      <c r="D783" s="201">
        <f t="shared" si="24"/>
        <v>1.7778055018401633E-3</v>
      </c>
      <c r="F783" s="196">
        <v>45071</v>
      </c>
      <c r="G783" s="190">
        <v>18321.150390625</v>
      </c>
      <c r="H783" s="201">
        <f t="shared" si="25"/>
        <v>1.955111686716424E-3</v>
      </c>
    </row>
    <row r="784" spans="2:8" x14ac:dyDescent="0.3">
      <c r="B784" s="198">
        <v>45072</v>
      </c>
      <c r="C784" s="192">
        <v>337.93</v>
      </c>
      <c r="D784" s="201">
        <f t="shared" si="24"/>
        <v>5.2118683645194459E-2</v>
      </c>
      <c r="F784" s="197">
        <v>45072</v>
      </c>
      <c r="G784" s="191">
        <v>18499.349609375</v>
      </c>
      <c r="H784" s="200">
        <f t="shared" si="25"/>
        <v>9.7264208278747162E-3</v>
      </c>
    </row>
    <row r="785" spans="2:8" x14ac:dyDescent="0.3">
      <c r="B785" s="198">
        <v>45075</v>
      </c>
      <c r="C785" s="192">
        <v>335.9</v>
      </c>
      <c r="D785" s="201">
        <f t="shared" si="24"/>
        <v>-6.0071612464120665E-3</v>
      </c>
      <c r="F785" s="196">
        <v>45075</v>
      </c>
      <c r="G785" s="190">
        <v>18598.650390625</v>
      </c>
      <c r="H785" s="201">
        <f t="shared" si="25"/>
        <v>5.3677985089636282E-3</v>
      </c>
    </row>
    <row r="786" spans="2:8" x14ac:dyDescent="0.3">
      <c r="B786" s="198">
        <v>45076</v>
      </c>
      <c r="C786" s="192">
        <v>327.27999999999997</v>
      </c>
      <c r="D786" s="201">
        <f t="shared" si="24"/>
        <v>-2.5662399523667775E-2</v>
      </c>
      <c r="F786" s="197">
        <v>45076</v>
      </c>
      <c r="G786" s="191">
        <v>18633.849609375</v>
      </c>
      <c r="H786" s="200">
        <f t="shared" si="25"/>
        <v>1.892568439683281E-3</v>
      </c>
    </row>
    <row r="787" spans="2:8" x14ac:dyDescent="0.3">
      <c r="B787" s="198">
        <v>45077</v>
      </c>
      <c r="C787" s="192">
        <v>336.44</v>
      </c>
      <c r="D787" s="201">
        <f t="shared" si="24"/>
        <v>2.7988266927401691E-2</v>
      </c>
      <c r="F787" s="196">
        <v>45077</v>
      </c>
      <c r="G787" s="190">
        <v>18534.400390625</v>
      </c>
      <c r="H787" s="201">
        <f t="shared" si="25"/>
        <v>-5.33701950132545E-3</v>
      </c>
    </row>
    <row r="788" spans="2:8" x14ac:dyDescent="0.3">
      <c r="B788" s="198">
        <v>45078</v>
      </c>
      <c r="C788" s="192">
        <v>335.36</v>
      </c>
      <c r="D788" s="201">
        <f t="shared" si="24"/>
        <v>-3.2100820354297472E-3</v>
      </c>
      <c r="F788" s="197">
        <v>45078</v>
      </c>
      <c r="G788" s="191">
        <v>18487.75</v>
      </c>
      <c r="H788" s="200">
        <f t="shared" si="25"/>
        <v>-2.5169624936232909E-3</v>
      </c>
    </row>
    <row r="789" spans="2:8" x14ac:dyDescent="0.3">
      <c r="B789" s="198">
        <v>45079</v>
      </c>
      <c r="C789" s="192">
        <v>336.58</v>
      </c>
      <c r="D789" s="201">
        <f t="shared" si="24"/>
        <v>3.6378816793892245E-3</v>
      </c>
      <c r="F789" s="196">
        <v>45079</v>
      </c>
      <c r="G789" s="190">
        <v>18534.099609375</v>
      </c>
      <c r="H789" s="201">
        <f t="shared" si="25"/>
        <v>2.5070443604548959E-3</v>
      </c>
    </row>
    <row r="790" spans="2:8" x14ac:dyDescent="0.3">
      <c r="B790" s="198">
        <v>45082</v>
      </c>
      <c r="C790" s="192">
        <v>338.55</v>
      </c>
      <c r="D790" s="201">
        <f t="shared" si="24"/>
        <v>5.8529918592905919E-3</v>
      </c>
      <c r="F790" s="197">
        <v>45082</v>
      </c>
      <c r="G790" s="191">
        <v>18593.849609375</v>
      </c>
      <c r="H790" s="200">
        <f t="shared" si="25"/>
        <v>3.2237875731377309E-3</v>
      </c>
    </row>
    <row r="791" spans="2:8" x14ac:dyDescent="0.3">
      <c r="B791" s="198">
        <v>45083</v>
      </c>
      <c r="C791" s="192">
        <v>334.95</v>
      </c>
      <c r="D791" s="201">
        <f t="shared" si="24"/>
        <v>-1.0633584404076274E-2</v>
      </c>
      <c r="F791" s="196">
        <v>45083</v>
      </c>
      <c r="G791" s="190">
        <v>18599</v>
      </c>
      <c r="H791" s="201">
        <f t="shared" si="25"/>
        <v>2.7699431442121478E-4</v>
      </c>
    </row>
    <row r="792" spans="2:8" x14ac:dyDescent="0.3">
      <c r="B792" s="198">
        <v>45084</v>
      </c>
      <c r="C792" s="192">
        <v>327.14999999999998</v>
      </c>
      <c r="D792" s="201">
        <f t="shared" si="24"/>
        <v>-2.3287057769816426E-2</v>
      </c>
      <c r="F792" s="197">
        <v>45084</v>
      </c>
      <c r="G792" s="191">
        <v>18726.400390625</v>
      </c>
      <c r="H792" s="200">
        <f t="shared" si="25"/>
        <v>6.8498516385289534E-3</v>
      </c>
    </row>
    <row r="793" spans="2:8" x14ac:dyDescent="0.3">
      <c r="B793" s="198">
        <v>45085</v>
      </c>
      <c r="C793" s="192">
        <v>314.08</v>
      </c>
      <c r="D793" s="201">
        <f t="shared" si="24"/>
        <v>-3.9951092770900178E-2</v>
      </c>
      <c r="F793" s="196">
        <v>45085</v>
      </c>
      <c r="G793" s="190">
        <v>18634.55078125</v>
      </c>
      <c r="H793" s="201">
        <f t="shared" si="25"/>
        <v>-4.904819263662796E-3</v>
      </c>
    </row>
    <row r="794" spans="2:8" x14ac:dyDescent="0.3">
      <c r="B794" s="198">
        <v>45086</v>
      </c>
      <c r="C794" s="192">
        <v>315.98</v>
      </c>
      <c r="D794" s="201">
        <f t="shared" si="24"/>
        <v>6.0494141619970524E-3</v>
      </c>
      <c r="F794" s="197">
        <v>45086</v>
      </c>
      <c r="G794" s="191">
        <v>18563.400390625</v>
      </c>
      <c r="H794" s="200">
        <f t="shared" si="25"/>
        <v>-3.8181972541345725E-3</v>
      </c>
    </row>
    <row r="795" spans="2:8" x14ac:dyDescent="0.3">
      <c r="B795" s="198">
        <v>45089</v>
      </c>
      <c r="C795" s="192">
        <v>316.89999999999998</v>
      </c>
      <c r="D795" s="201">
        <f t="shared" si="24"/>
        <v>2.9115766820683557E-3</v>
      </c>
      <c r="F795" s="196">
        <v>45089</v>
      </c>
      <c r="G795" s="190">
        <v>18601.5</v>
      </c>
      <c r="H795" s="201">
        <f t="shared" si="25"/>
        <v>2.0524046550351462E-3</v>
      </c>
    </row>
    <row r="796" spans="2:8" x14ac:dyDescent="0.3">
      <c r="B796" s="198">
        <v>45090</v>
      </c>
      <c r="C796" s="192">
        <v>320.66000000000003</v>
      </c>
      <c r="D796" s="201">
        <f t="shared" si="24"/>
        <v>1.1864941621962916E-2</v>
      </c>
      <c r="F796" s="197">
        <v>45090</v>
      </c>
      <c r="G796" s="191">
        <v>18716.150390625</v>
      </c>
      <c r="H796" s="200">
        <f t="shared" si="25"/>
        <v>6.1635024393194094E-3</v>
      </c>
    </row>
    <row r="797" spans="2:8" x14ac:dyDescent="0.3">
      <c r="B797" s="198">
        <v>45091</v>
      </c>
      <c r="C797" s="192">
        <v>320.66000000000003</v>
      </c>
      <c r="D797" s="201">
        <f t="shared" si="24"/>
        <v>0</v>
      </c>
      <c r="F797" s="196">
        <v>45091</v>
      </c>
      <c r="G797" s="190">
        <v>18755.900390625</v>
      </c>
      <c r="H797" s="201">
        <f t="shared" si="25"/>
        <v>2.1238341844010264E-3</v>
      </c>
    </row>
    <row r="798" spans="2:8" x14ac:dyDescent="0.3">
      <c r="B798" s="198">
        <v>45092</v>
      </c>
      <c r="C798" s="192">
        <v>328.49</v>
      </c>
      <c r="D798" s="201">
        <f t="shared" si="24"/>
        <v>2.4418387076654349E-2</v>
      </c>
      <c r="F798" s="197">
        <v>45092</v>
      </c>
      <c r="G798" s="191">
        <v>18688.099609375</v>
      </c>
      <c r="H798" s="200">
        <f t="shared" si="25"/>
        <v>-3.6149041015322157E-3</v>
      </c>
    </row>
    <row r="799" spans="2:8" x14ac:dyDescent="0.3">
      <c r="B799" s="198">
        <v>45093</v>
      </c>
      <c r="C799" s="192">
        <v>326.12</v>
      </c>
      <c r="D799" s="201">
        <f t="shared" si="24"/>
        <v>-7.2148315017200055E-3</v>
      </c>
      <c r="F799" s="196">
        <v>45093</v>
      </c>
      <c r="G799" s="190">
        <v>18826</v>
      </c>
      <c r="H799" s="201">
        <f t="shared" si="25"/>
        <v>7.3790483520229863E-3</v>
      </c>
    </row>
    <row r="800" spans="2:8" x14ac:dyDescent="0.3">
      <c r="B800" s="198">
        <v>45096</v>
      </c>
      <c r="C800" s="192">
        <v>318.22000000000003</v>
      </c>
      <c r="D800" s="201">
        <f t="shared" si="24"/>
        <v>-2.4224211946522682E-2</v>
      </c>
      <c r="F800" s="197">
        <v>45096</v>
      </c>
      <c r="G800" s="191">
        <v>18755.44921875</v>
      </c>
      <c r="H800" s="200">
        <f t="shared" si="25"/>
        <v>-3.7475183921172844E-3</v>
      </c>
    </row>
    <row r="801" spans="2:8" x14ac:dyDescent="0.3">
      <c r="B801" s="198">
        <v>45097</v>
      </c>
      <c r="C801" s="192">
        <v>322.99</v>
      </c>
      <c r="D801" s="201">
        <f t="shared" ref="D801:D864" si="26">(C801-C800)/C800</f>
        <v>1.498962981585061E-2</v>
      </c>
      <c r="F801" s="196">
        <v>45097</v>
      </c>
      <c r="G801" s="190">
        <v>18816.69921875</v>
      </c>
      <c r="H801" s="201">
        <f t="shared" si="25"/>
        <v>3.2657175674986124E-3</v>
      </c>
    </row>
    <row r="802" spans="2:8" x14ac:dyDescent="0.3">
      <c r="B802" s="198">
        <v>45098</v>
      </c>
      <c r="C802" s="192">
        <v>325.51</v>
      </c>
      <c r="D802" s="201">
        <f t="shared" si="26"/>
        <v>7.8020991361961107E-3</v>
      </c>
      <c r="F802" s="197">
        <v>45098</v>
      </c>
      <c r="G802" s="191">
        <v>18856.849609375</v>
      </c>
      <c r="H802" s="200">
        <f t="shared" si="25"/>
        <v>2.133763746671995E-3</v>
      </c>
    </row>
    <row r="803" spans="2:8" x14ac:dyDescent="0.3">
      <c r="B803" s="198">
        <v>45099</v>
      </c>
      <c r="C803" s="192">
        <v>319.10000000000002</v>
      </c>
      <c r="D803" s="201">
        <f t="shared" si="26"/>
        <v>-1.9692175355595736E-2</v>
      </c>
      <c r="F803" s="196">
        <v>45099</v>
      </c>
      <c r="G803" s="190">
        <v>18771.25</v>
      </c>
      <c r="H803" s="201">
        <f t="shared" si="25"/>
        <v>-4.5394438174042985E-3</v>
      </c>
    </row>
    <row r="804" spans="2:8" x14ac:dyDescent="0.3">
      <c r="B804" s="198">
        <v>45100</v>
      </c>
      <c r="C804" s="192">
        <v>304.22000000000003</v>
      </c>
      <c r="D804" s="201">
        <f t="shared" si="26"/>
        <v>-4.6631150109683467E-2</v>
      </c>
      <c r="F804" s="197">
        <v>45100</v>
      </c>
      <c r="G804" s="191">
        <v>18665.5</v>
      </c>
      <c r="H804" s="200">
        <f t="shared" si="25"/>
        <v>-5.6336152360657917E-3</v>
      </c>
    </row>
    <row r="805" spans="2:8" x14ac:dyDescent="0.3">
      <c r="B805" s="198">
        <v>45103</v>
      </c>
      <c r="C805" s="192">
        <v>317.37</v>
      </c>
      <c r="D805" s="201">
        <f t="shared" si="26"/>
        <v>4.3225297482085256E-2</v>
      </c>
      <c r="F805" s="196">
        <v>45103</v>
      </c>
      <c r="G805" s="190">
        <v>18691.19921875</v>
      </c>
      <c r="H805" s="201">
        <f t="shared" si="25"/>
        <v>1.3768299134767352E-3</v>
      </c>
    </row>
    <row r="806" spans="2:8" x14ac:dyDescent="0.3">
      <c r="B806" s="198">
        <v>45104</v>
      </c>
      <c r="C806" s="192">
        <v>317.45</v>
      </c>
      <c r="D806" s="201">
        <f t="shared" si="26"/>
        <v>2.5207171440269741E-4</v>
      </c>
      <c r="F806" s="197">
        <v>45104</v>
      </c>
      <c r="G806" s="191">
        <v>18817.400390625</v>
      </c>
      <c r="H806" s="200">
        <f t="shared" si="25"/>
        <v>6.7519034171120394E-3</v>
      </c>
    </row>
    <row r="807" spans="2:8" x14ac:dyDescent="0.3">
      <c r="B807" s="198">
        <v>45105</v>
      </c>
      <c r="C807" s="192">
        <v>315.13</v>
      </c>
      <c r="D807" s="201">
        <f t="shared" si="26"/>
        <v>-7.3082375177193045E-3</v>
      </c>
      <c r="F807" s="196">
        <v>45105</v>
      </c>
      <c r="G807" s="190">
        <v>18972.099609375</v>
      </c>
      <c r="H807" s="201">
        <f t="shared" si="25"/>
        <v>8.2210728123249463E-3</v>
      </c>
    </row>
    <row r="808" spans="2:8" x14ac:dyDescent="0.3">
      <c r="B808" s="198">
        <v>45107</v>
      </c>
      <c r="C808" s="192">
        <v>318.7</v>
      </c>
      <c r="D808" s="201">
        <f t="shared" si="26"/>
        <v>1.1328658014152868E-2</v>
      </c>
      <c r="F808" s="197">
        <v>45107</v>
      </c>
      <c r="G808" s="191">
        <v>19189.05078125</v>
      </c>
      <c r="H808" s="200">
        <f t="shared" si="25"/>
        <v>1.143527476356883E-2</v>
      </c>
    </row>
    <row r="809" spans="2:8" x14ac:dyDescent="0.3">
      <c r="B809" s="198">
        <v>45110</v>
      </c>
      <c r="C809" s="192">
        <v>324.97000000000003</v>
      </c>
      <c r="D809" s="201">
        <f t="shared" si="26"/>
        <v>1.9673674301851393E-2</v>
      </c>
      <c r="F809" s="196">
        <v>45110</v>
      </c>
      <c r="G809" s="190">
        <v>19322.55078125</v>
      </c>
      <c r="H809" s="201">
        <f t="shared" si="25"/>
        <v>6.9570924336937751E-3</v>
      </c>
    </row>
    <row r="810" spans="2:8" x14ac:dyDescent="0.3">
      <c r="B810" s="198">
        <v>45111</v>
      </c>
      <c r="C810" s="192">
        <v>319.29000000000002</v>
      </c>
      <c r="D810" s="201">
        <f t="shared" si="26"/>
        <v>-1.7478536480290508E-2</v>
      </c>
      <c r="F810" s="197">
        <v>45111</v>
      </c>
      <c r="G810" s="191">
        <v>19389</v>
      </c>
      <c r="H810" s="200">
        <f t="shared" si="25"/>
        <v>3.4389465191355714E-3</v>
      </c>
    </row>
    <row r="811" spans="2:8" x14ac:dyDescent="0.3">
      <c r="B811" s="198">
        <v>45112</v>
      </c>
      <c r="C811" s="192">
        <v>327.87</v>
      </c>
      <c r="D811" s="201">
        <f t="shared" si="26"/>
        <v>2.6872122521845294E-2</v>
      </c>
      <c r="F811" s="196">
        <v>45112</v>
      </c>
      <c r="G811" s="190">
        <v>19398.5</v>
      </c>
      <c r="H811" s="201">
        <f t="shared" si="25"/>
        <v>4.8996853886224153E-4</v>
      </c>
    </row>
    <row r="812" spans="2:8" x14ac:dyDescent="0.3">
      <c r="B812" s="198">
        <v>45113</v>
      </c>
      <c r="C812" s="192">
        <v>323.19</v>
      </c>
      <c r="D812" s="201">
        <f t="shared" si="26"/>
        <v>-1.4273950041174877E-2</v>
      </c>
      <c r="F812" s="197">
        <v>45113</v>
      </c>
      <c r="G812" s="191">
        <v>19497.30078125</v>
      </c>
      <c r="H812" s="200">
        <f t="shared" si="25"/>
        <v>5.0932175812562824E-3</v>
      </c>
    </row>
    <row r="813" spans="2:8" x14ac:dyDescent="0.3">
      <c r="B813" s="198">
        <v>45114</v>
      </c>
      <c r="C813" s="192">
        <v>326.08999999999997</v>
      </c>
      <c r="D813" s="201">
        <f t="shared" si="26"/>
        <v>8.9730499087223529E-3</v>
      </c>
      <c r="F813" s="196">
        <v>45114</v>
      </c>
      <c r="G813" s="190">
        <v>19331.80078125</v>
      </c>
      <c r="H813" s="201">
        <f t="shared" si="25"/>
        <v>-8.4883544577184066E-3</v>
      </c>
    </row>
    <row r="814" spans="2:8" x14ac:dyDescent="0.3">
      <c r="B814" s="198">
        <v>45117</v>
      </c>
      <c r="C814" s="192">
        <v>322.55</v>
      </c>
      <c r="D814" s="201">
        <f t="shared" si="26"/>
        <v>-1.0855898678278892E-2</v>
      </c>
      <c r="F814" s="197">
        <v>45117</v>
      </c>
      <c r="G814" s="191">
        <v>19355.900390625</v>
      </c>
      <c r="H814" s="200">
        <f t="shared" si="25"/>
        <v>1.2466303397029789E-3</v>
      </c>
    </row>
    <row r="815" spans="2:8" x14ac:dyDescent="0.3">
      <c r="B815" s="198">
        <v>45118</v>
      </c>
      <c r="C815" s="192">
        <v>327.71</v>
      </c>
      <c r="D815" s="201">
        <f t="shared" si="26"/>
        <v>1.5997519764377518E-2</v>
      </c>
      <c r="F815" s="196">
        <v>45118</v>
      </c>
      <c r="G815" s="190">
        <v>19439.400390625</v>
      </c>
      <c r="H815" s="201">
        <f t="shared" si="25"/>
        <v>4.3139300324382271E-3</v>
      </c>
    </row>
    <row r="816" spans="2:8" x14ac:dyDescent="0.3">
      <c r="B816" s="198">
        <v>45119</v>
      </c>
      <c r="C816" s="192">
        <v>334.27</v>
      </c>
      <c r="D816" s="201">
        <f t="shared" si="26"/>
        <v>2.0017698574959577E-2</v>
      </c>
      <c r="F816" s="197">
        <v>45119</v>
      </c>
      <c r="G816" s="191">
        <v>19384.30078125</v>
      </c>
      <c r="H816" s="200">
        <f t="shared" si="25"/>
        <v>-2.8344294714755078E-3</v>
      </c>
    </row>
    <row r="817" spans="2:8" x14ac:dyDescent="0.3">
      <c r="B817" s="198">
        <v>45120</v>
      </c>
      <c r="C817" s="192">
        <v>330.73</v>
      </c>
      <c r="D817" s="201">
        <f t="shared" si="26"/>
        <v>-1.0590241421605182E-2</v>
      </c>
      <c r="F817" s="196">
        <v>45120</v>
      </c>
      <c r="G817" s="190">
        <v>19413.75</v>
      </c>
      <c r="H817" s="201">
        <f t="shared" si="25"/>
        <v>1.5192303855749891E-3</v>
      </c>
    </row>
    <row r="818" spans="2:8" x14ac:dyDescent="0.3">
      <c r="B818" s="198">
        <v>45121</v>
      </c>
      <c r="C818" s="192">
        <v>330.73</v>
      </c>
      <c r="D818" s="201">
        <f t="shared" si="26"/>
        <v>0</v>
      </c>
      <c r="F818" s="197">
        <v>45121</v>
      </c>
      <c r="G818" s="191">
        <v>19564.5</v>
      </c>
      <c r="H818" s="200">
        <f t="shared" si="25"/>
        <v>7.7651149314274673E-3</v>
      </c>
    </row>
    <row r="819" spans="2:8" x14ac:dyDescent="0.3">
      <c r="B819" s="198">
        <v>45124</v>
      </c>
      <c r="C819" s="192">
        <v>329.16</v>
      </c>
      <c r="D819" s="201">
        <f t="shared" si="26"/>
        <v>-4.747074653040223E-3</v>
      </c>
      <c r="F819" s="196">
        <v>45124</v>
      </c>
      <c r="G819" s="190">
        <v>19711.44921875</v>
      </c>
      <c r="H819" s="201">
        <f t="shared" si="25"/>
        <v>7.5110132510414268E-3</v>
      </c>
    </row>
    <row r="820" spans="2:8" x14ac:dyDescent="0.3">
      <c r="B820" s="198">
        <v>45125</v>
      </c>
      <c r="C820" s="192">
        <v>327.26</v>
      </c>
      <c r="D820" s="201">
        <f t="shared" si="26"/>
        <v>-5.7722688054442639E-3</v>
      </c>
      <c r="F820" s="197">
        <v>45125</v>
      </c>
      <c r="G820" s="191">
        <v>19749.25</v>
      </c>
      <c r="H820" s="200">
        <f t="shared" si="25"/>
        <v>1.917706853032551E-3</v>
      </c>
    </row>
    <row r="821" spans="2:8" x14ac:dyDescent="0.3">
      <c r="B821" s="198">
        <v>45126</v>
      </c>
      <c r="C821" s="192">
        <v>325.57</v>
      </c>
      <c r="D821" s="201">
        <f t="shared" si="26"/>
        <v>-5.1640897146000052E-3</v>
      </c>
      <c r="F821" s="196">
        <v>45126</v>
      </c>
      <c r="G821" s="190">
        <v>19833.150390625</v>
      </c>
      <c r="H821" s="201">
        <f t="shared" si="25"/>
        <v>4.248282371482461E-3</v>
      </c>
    </row>
    <row r="822" spans="2:8" x14ac:dyDescent="0.3">
      <c r="B822" s="198">
        <v>45127</v>
      </c>
      <c r="C822" s="192">
        <v>322.69</v>
      </c>
      <c r="D822" s="201">
        <f t="shared" si="26"/>
        <v>-8.8460238965506512E-3</v>
      </c>
      <c r="F822" s="197">
        <v>45127</v>
      </c>
      <c r="G822" s="191">
        <v>19979.150390625</v>
      </c>
      <c r="H822" s="200">
        <f t="shared" si="25"/>
        <v>7.3614124394989332E-3</v>
      </c>
    </row>
    <row r="823" spans="2:8" x14ac:dyDescent="0.3">
      <c r="B823" s="198">
        <v>45128</v>
      </c>
      <c r="C823" s="192">
        <v>317.77</v>
      </c>
      <c r="D823" s="201">
        <f t="shared" si="26"/>
        <v>-1.5246831324181151E-2</v>
      </c>
      <c r="F823" s="196">
        <v>45128</v>
      </c>
      <c r="G823" s="190">
        <v>19745</v>
      </c>
      <c r="H823" s="201">
        <f t="shared" si="25"/>
        <v>-1.1719737128305142E-2</v>
      </c>
    </row>
    <row r="824" spans="2:8" x14ac:dyDescent="0.3">
      <c r="B824" s="198">
        <v>45131</v>
      </c>
      <c r="C824" s="192">
        <v>324.72000000000003</v>
      </c>
      <c r="D824" s="201">
        <f t="shared" si="26"/>
        <v>2.1871164678855921E-2</v>
      </c>
      <c r="F824" s="197">
        <v>45131</v>
      </c>
      <c r="G824" s="191">
        <v>19672.349609375</v>
      </c>
      <c r="H824" s="200">
        <f t="shared" si="25"/>
        <v>-3.6794322929855658E-3</v>
      </c>
    </row>
    <row r="825" spans="2:8" x14ac:dyDescent="0.3">
      <c r="B825" s="198">
        <v>45132</v>
      </c>
      <c r="C825" s="192">
        <v>319.51</v>
      </c>
      <c r="D825" s="201">
        <f t="shared" si="26"/>
        <v>-1.6044592264104571E-2</v>
      </c>
      <c r="F825" s="196">
        <v>45132</v>
      </c>
      <c r="G825" s="190">
        <v>19680.599609375</v>
      </c>
      <c r="H825" s="201">
        <f t="shared" si="25"/>
        <v>4.193703428322768E-4</v>
      </c>
    </row>
    <row r="826" spans="2:8" x14ac:dyDescent="0.3">
      <c r="B826" s="198">
        <v>45133</v>
      </c>
      <c r="C826" s="192">
        <v>320.43</v>
      </c>
      <c r="D826" s="201">
        <f t="shared" si="26"/>
        <v>2.8794090951770397E-3</v>
      </c>
      <c r="F826" s="197">
        <v>45133</v>
      </c>
      <c r="G826" s="191">
        <v>19778.30078125</v>
      </c>
      <c r="H826" s="200">
        <f t="shared" si="25"/>
        <v>4.9643391875346787E-3</v>
      </c>
    </row>
    <row r="827" spans="2:8" x14ac:dyDescent="0.3">
      <c r="B827" s="198">
        <v>45134</v>
      </c>
      <c r="C827" s="192">
        <v>317.89999999999998</v>
      </c>
      <c r="D827" s="201">
        <f t="shared" si="26"/>
        <v>-7.8956402334364115E-3</v>
      </c>
      <c r="F827" s="196">
        <v>45134</v>
      </c>
      <c r="G827" s="190">
        <v>19659.900390625</v>
      </c>
      <c r="H827" s="201">
        <f t="shared" si="25"/>
        <v>-5.9863783008722669E-3</v>
      </c>
    </row>
    <row r="828" spans="2:8" x14ac:dyDescent="0.3">
      <c r="B828" s="198">
        <v>45135</v>
      </c>
      <c r="C828" s="192">
        <v>319.37</v>
      </c>
      <c r="D828" s="201">
        <f t="shared" si="26"/>
        <v>4.6240956275559212E-3</v>
      </c>
      <c r="F828" s="197">
        <v>45135</v>
      </c>
      <c r="G828" s="191">
        <v>19646.05078125</v>
      </c>
      <c r="H828" s="200">
        <f t="shared" si="25"/>
        <v>-7.0445979378432207E-4</v>
      </c>
    </row>
    <row r="829" spans="2:8" x14ac:dyDescent="0.3">
      <c r="B829" s="198">
        <v>45138</v>
      </c>
      <c r="C829" s="192">
        <v>319.43</v>
      </c>
      <c r="D829" s="201">
        <f t="shared" si="26"/>
        <v>1.8786986880421541E-4</v>
      </c>
      <c r="F829" s="196">
        <v>45138</v>
      </c>
      <c r="G829" s="190">
        <v>19753.80078125</v>
      </c>
      <c r="H829" s="201">
        <f t="shared" si="25"/>
        <v>5.4845628365592716E-3</v>
      </c>
    </row>
    <row r="830" spans="2:8" x14ac:dyDescent="0.3">
      <c r="B830" s="198">
        <v>45139</v>
      </c>
      <c r="C830" s="192">
        <v>317.95999999999998</v>
      </c>
      <c r="D830" s="201">
        <f t="shared" si="26"/>
        <v>-4.6019472184830081E-3</v>
      </c>
      <c r="F830" s="197">
        <v>45139</v>
      </c>
      <c r="G830" s="191">
        <v>19733.55078125</v>
      </c>
      <c r="H830" s="200">
        <f t="shared" si="25"/>
        <v>-1.0251191770254656E-3</v>
      </c>
    </row>
    <row r="831" spans="2:8" x14ac:dyDescent="0.3">
      <c r="B831" s="198">
        <v>45140</v>
      </c>
      <c r="C831" s="192">
        <v>320.89999999999998</v>
      </c>
      <c r="D831" s="201">
        <f t="shared" si="26"/>
        <v>9.2464460938482766E-3</v>
      </c>
      <c r="F831" s="196">
        <v>45140</v>
      </c>
      <c r="G831" s="190">
        <v>19526.55078125</v>
      </c>
      <c r="H831" s="201">
        <f t="shared" si="25"/>
        <v>-1.0489749274959822E-2</v>
      </c>
    </row>
    <row r="832" spans="2:8" x14ac:dyDescent="0.3">
      <c r="B832" s="198">
        <v>45141</v>
      </c>
      <c r="C832" s="192">
        <v>326.66000000000003</v>
      </c>
      <c r="D832" s="201">
        <f t="shared" si="26"/>
        <v>1.7949516983484102E-2</v>
      </c>
      <c r="F832" s="197">
        <v>45141</v>
      </c>
      <c r="G832" s="191">
        <v>19381.650390625</v>
      </c>
      <c r="H832" s="200">
        <f t="shared" si="25"/>
        <v>-7.4206854169113091E-3</v>
      </c>
    </row>
    <row r="833" spans="2:8" x14ac:dyDescent="0.3">
      <c r="B833" s="198">
        <v>45142</v>
      </c>
      <c r="C833" s="192">
        <v>327.73</v>
      </c>
      <c r="D833" s="201">
        <f t="shared" si="26"/>
        <v>3.2755770525928888E-3</v>
      </c>
      <c r="F833" s="196">
        <v>45142</v>
      </c>
      <c r="G833" s="190">
        <v>19517</v>
      </c>
      <c r="H833" s="201">
        <f t="shared" si="25"/>
        <v>6.9833892701144417E-3</v>
      </c>
    </row>
    <row r="834" spans="2:8" x14ac:dyDescent="0.3">
      <c r="B834" s="198">
        <v>45145</v>
      </c>
      <c r="C834" s="192">
        <v>327.26</v>
      </c>
      <c r="D834" s="201">
        <f t="shared" si="26"/>
        <v>-1.4341073444604621E-3</v>
      </c>
      <c r="F834" s="197">
        <v>45145</v>
      </c>
      <c r="G834" s="191">
        <v>19597.30078125</v>
      </c>
      <c r="H834" s="200">
        <f t="shared" si="25"/>
        <v>4.1144018676026028E-3</v>
      </c>
    </row>
    <row r="835" spans="2:8" x14ac:dyDescent="0.3">
      <c r="B835" s="198">
        <v>45146</v>
      </c>
      <c r="C835" s="192">
        <v>325.73</v>
      </c>
      <c r="D835" s="201">
        <f t="shared" si="26"/>
        <v>-4.6751818126259635E-3</v>
      </c>
      <c r="F835" s="196">
        <v>45146</v>
      </c>
      <c r="G835" s="190">
        <v>19570.849609375</v>
      </c>
      <c r="H835" s="201">
        <f t="shared" si="25"/>
        <v>-1.349735464605796E-3</v>
      </c>
    </row>
    <row r="836" spans="2:8" x14ac:dyDescent="0.3">
      <c r="B836" s="198">
        <v>45147</v>
      </c>
      <c r="C836" s="192">
        <v>326.89999999999998</v>
      </c>
      <c r="D836" s="201">
        <f t="shared" si="26"/>
        <v>3.591931968194391E-3</v>
      </c>
      <c r="F836" s="197">
        <v>45147</v>
      </c>
      <c r="G836" s="191">
        <v>19632.55078125</v>
      </c>
      <c r="H836" s="200">
        <f t="shared" si="25"/>
        <v>3.1527078847636415E-3</v>
      </c>
    </row>
    <row r="837" spans="2:8" x14ac:dyDescent="0.3">
      <c r="B837" s="198">
        <v>45148</v>
      </c>
      <c r="C837" s="192">
        <v>325.02999999999997</v>
      </c>
      <c r="D837" s="201">
        <f t="shared" si="26"/>
        <v>-5.7204037932089471E-3</v>
      </c>
      <c r="F837" s="196">
        <v>45148</v>
      </c>
      <c r="G837" s="190">
        <v>19543.099609375</v>
      </c>
      <c r="H837" s="201">
        <f t="shared" si="25"/>
        <v>-4.5562684580156563E-3</v>
      </c>
    </row>
    <row r="838" spans="2:8" x14ac:dyDescent="0.3">
      <c r="B838" s="198">
        <v>45149</v>
      </c>
      <c r="C838" s="192">
        <v>337.3</v>
      </c>
      <c r="D838" s="201">
        <f t="shared" si="26"/>
        <v>3.7750361505091957E-2</v>
      </c>
      <c r="F838" s="197">
        <v>45149</v>
      </c>
      <c r="G838" s="191">
        <v>19428.30078125</v>
      </c>
      <c r="H838" s="200">
        <f t="shared" ref="H838:H901" si="27">(G838-G837)/G837</f>
        <v>-5.8741361615907628E-3</v>
      </c>
    </row>
    <row r="839" spans="2:8" x14ac:dyDescent="0.3">
      <c r="B839" s="198">
        <v>45152</v>
      </c>
      <c r="C839" s="192">
        <v>345.26</v>
      </c>
      <c r="D839" s="201">
        <f t="shared" si="26"/>
        <v>2.3599169878446426E-2</v>
      </c>
      <c r="F839" s="196">
        <v>45152</v>
      </c>
      <c r="G839" s="190">
        <v>19434.55078125</v>
      </c>
      <c r="H839" s="201">
        <f t="shared" si="27"/>
        <v>3.2169565781232879E-4</v>
      </c>
    </row>
    <row r="840" spans="2:8" x14ac:dyDescent="0.3">
      <c r="B840" s="198">
        <v>45154</v>
      </c>
      <c r="C840" s="192">
        <v>354.09</v>
      </c>
      <c r="D840" s="201">
        <f t="shared" si="26"/>
        <v>2.5574929038985068E-2</v>
      </c>
      <c r="F840" s="197">
        <v>45154</v>
      </c>
      <c r="G840" s="191">
        <v>19465</v>
      </c>
      <c r="H840" s="200">
        <f t="shared" si="27"/>
        <v>1.5667570139761961E-3</v>
      </c>
    </row>
    <row r="841" spans="2:8" x14ac:dyDescent="0.3">
      <c r="B841" s="198">
        <v>45155</v>
      </c>
      <c r="C841" s="192">
        <v>355.4</v>
      </c>
      <c r="D841" s="201">
        <f t="shared" si="26"/>
        <v>3.6996243892795685E-3</v>
      </c>
      <c r="F841" s="196">
        <v>45155</v>
      </c>
      <c r="G841" s="190">
        <v>19365.25</v>
      </c>
      <c r="H841" s="201">
        <f t="shared" si="27"/>
        <v>-5.124582584125353E-3</v>
      </c>
    </row>
    <row r="842" spans="2:8" x14ac:dyDescent="0.3">
      <c r="B842" s="198">
        <v>45156</v>
      </c>
      <c r="C842" s="192">
        <v>357.63</v>
      </c>
      <c r="D842" s="201">
        <f t="shared" si="26"/>
        <v>6.274620146314064E-3</v>
      </c>
      <c r="F842" s="197">
        <v>45156</v>
      </c>
      <c r="G842" s="191">
        <v>19310.150390625</v>
      </c>
      <c r="H842" s="200">
        <f t="shared" si="27"/>
        <v>-2.8452826260957128E-3</v>
      </c>
    </row>
    <row r="843" spans="2:8" x14ac:dyDescent="0.3">
      <c r="B843" s="198">
        <v>45159</v>
      </c>
      <c r="C843" s="192">
        <v>357.65</v>
      </c>
      <c r="D843" s="201">
        <f t="shared" si="26"/>
        <v>5.5923720045806589E-5</v>
      </c>
      <c r="F843" s="196">
        <v>45159</v>
      </c>
      <c r="G843" s="190">
        <v>19393.599609375</v>
      </c>
      <c r="H843" s="201">
        <f t="shared" si="27"/>
        <v>4.3215209131936255E-3</v>
      </c>
    </row>
    <row r="844" spans="2:8" x14ac:dyDescent="0.3">
      <c r="B844" s="198">
        <v>45160</v>
      </c>
      <c r="C844" s="192">
        <v>360.31</v>
      </c>
      <c r="D844" s="201">
        <f t="shared" si="26"/>
        <v>7.4374388368517409E-3</v>
      </c>
      <c r="F844" s="197">
        <v>45160</v>
      </c>
      <c r="G844" s="191">
        <v>19396.44921875</v>
      </c>
      <c r="H844" s="200">
        <f t="shared" si="27"/>
        <v>1.4693555773021523E-4</v>
      </c>
    </row>
    <row r="845" spans="2:8" x14ac:dyDescent="0.3">
      <c r="B845" s="198">
        <v>45161</v>
      </c>
      <c r="C845" s="192">
        <v>352.85</v>
      </c>
      <c r="D845" s="201">
        <f t="shared" si="26"/>
        <v>-2.0704393438983042E-2</v>
      </c>
      <c r="F845" s="196">
        <v>45161</v>
      </c>
      <c r="G845" s="190">
        <v>19444</v>
      </c>
      <c r="H845" s="201">
        <f t="shared" si="27"/>
        <v>2.4515199000461384E-3</v>
      </c>
    </row>
    <row r="846" spans="2:8" x14ac:dyDescent="0.3">
      <c r="B846" s="198">
        <v>45162</v>
      </c>
      <c r="C846" s="192">
        <v>351.88</v>
      </c>
      <c r="D846" s="201">
        <f t="shared" si="26"/>
        <v>-2.7490435029049942E-3</v>
      </c>
      <c r="F846" s="197">
        <v>45162</v>
      </c>
      <c r="G846" s="191">
        <v>19386.69921875</v>
      </c>
      <c r="H846" s="200">
        <f t="shared" si="27"/>
        <v>-2.9469646806212714E-3</v>
      </c>
    </row>
    <row r="847" spans="2:8" x14ac:dyDescent="0.3">
      <c r="B847" s="198">
        <v>45163</v>
      </c>
      <c r="C847" s="192">
        <v>347.52</v>
      </c>
      <c r="D847" s="201">
        <f t="shared" si="26"/>
        <v>-1.2390587700352432E-2</v>
      </c>
      <c r="F847" s="196">
        <v>45163</v>
      </c>
      <c r="G847" s="190">
        <v>19265.80078125</v>
      </c>
      <c r="H847" s="201">
        <f t="shared" si="27"/>
        <v>-6.2361537740819812E-3</v>
      </c>
    </row>
    <row r="848" spans="2:8" x14ac:dyDescent="0.3">
      <c r="B848" s="198">
        <v>45166</v>
      </c>
      <c r="C848" s="192">
        <v>347.78</v>
      </c>
      <c r="D848" s="201">
        <f t="shared" si="26"/>
        <v>7.481583793738229E-4</v>
      </c>
      <c r="F848" s="197">
        <v>45166</v>
      </c>
      <c r="G848" s="191">
        <v>19306.05078125</v>
      </c>
      <c r="H848" s="200">
        <f t="shared" si="27"/>
        <v>2.089194238900902E-3</v>
      </c>
    </row>
    <row r="849" spans="2:8" x14ac:dyDescent="0.3">
      <c r="B849" s="198">
        <v>45167</v>
      </c>
      <c r="C849" s="192">
        <v>353.53</v>
      </c>
      <c r="D849" s="201">
        <f t="shared" si="26"/>
        <v>1.6533440680890219E-2</v>
      </c>
      <c r="F849" s="196">
        <v>45167</v>
      </c>
      <c r="G849" s="190">
        <v>19342.650390625</v>
      </c>
      <c r="H849" s="201">
        <f t="shared" si="27"/>
        <v>1.8957584743610782E-3</v>
      </c>
    </row>
    <row r="850" spans="2:8" x14ac:dyDescent="0.3">
      <c r="B850" s="198">
        <v>45168</v>
      </c>
      <c r="C850" s="192">
        <v>358.14</v>
      </c>
      <c r="D850" s="201">
        <f t="shared" si="26"/>
        <v>1.3039911747235068E-2</v>
      </c>
      <c r="F850" s="197">
        <v>45168</v>
      </c>
      <c r="G850" s="191">
        <v>19347.44921875</v>
      </c>
      <c r="H850" s="200">
        <f t="shared" si="27"/>
        <v>2.4809568637635602E-4</v>
      </c>
    </row>
    <row r="851" spans="2:8" x14ac:dyDescent="0.3">
      <c r="B851" s="198">
        <v>45169</v>
      </c>
      <c r="C851" s="192">
        <v>357.73</v>
      </c>
      <c r="D851" s="201">
        <f t="shared" si="26"/>
        <v>-1.1448037080470435E-3</v>
      </c>
      <c r="F851" s="196">
        <v>45169</v>
      </c>
      <c r="G851" s="190">
        <v>19253.80078125</v>
      </c>
      <c r="H851" s="201">
        <f t="shared" si="27"/>
        <v>-4.8403506033882458E-3</v>
      </c>
    </row>
    <row r="852" spans="2:8" x14ac:dyDescent="0.3">
      <c r="B852" s="198">
        <v>45170</v>
      </c>
      <c r="C852" s="192">
        <v>362.08</v>
      </c>
      <c r="D852" s="201">
        <f t="shared" si="26"/>
        <v>1.2160008945293841E-2</v>
      </c>
      <c r="F852" s="197">
        <v>45170</v>
      </c>
      <c r="G852" s="191">
        <v>19435.30078125</v>
      </c>
      <c r="H852" s="200">
        <f t="shared" si="27"/>
        <v>9.4267101889176502E-3</v>
      </c>
    </row>
    <row r="853" spans="2:8" x14ac:dyDescent="0.3">
      <c r="B853" s="198">
        <v>45173</v>
      </c>
      <c r="C853" s="192">
        <v>367.09</v>
      </c>
      <c r="D853" s="201">
        <f t="shared" si="26"/>
        <v>1.3836721166592994E-2</v>
      </c>
      <c r="F853" s="196">
        <v>45173</v>
      </c>
      <c r="G853" s="190">
        <v>19528.80078125</v>
      </c>
      <c r="H853" s="201">
        <f t="shared" si="27"/>
        <v>4.8108337016426897E-3</v>
      </c>
    </row>
    <row r="854" spans="2:8" x14ac:dyDescent="0.3">
      <c r="B854" s="198">
        <v>45174</v>
      </c>
      <c r="C854" s="192">
        <v>372.16</v>
      </c>
      <c r="D854" s="201">
        <f t="shared" si="26"/>
        <v>1.3811326922553189E-2</v>
      </c>
      <c r="F854" s="197">
        <v>45174</v>
      </c>
      <c r="G854" s="191">
        <v>19574.900390625</v>
      </c>
      <c r="H854" s="200">
        <f t="shared" si="27"/>
        <v>2.3605960187407502E-3</v>
      </c>
    </row>
    <row r="855" spans="2:8" x14ac:dyDescent="0.3">
      <c r="B855" s="198">
        <v>45175</v>
      </c>
      <c r="C855" s="192">
        <v>368.07</v>
      </c>
      <c r="D855" s="201">
        <f t="shared" si="26"/>
        <v>-1.0989896818572742E-2</v>
      </c>
      <c r="F855" s="196">
        <v>45175</v>
      </c>
      <c r="G855" s="190">
        <v>19611.05078125</v>
      </c>
      <c r="H855" s="201">
        <f t="shared" si="27"/>
        <v>1.8467726478094107E-3</v>
      </c>
    </row>
    <row r="856" spans="2:8" x14ac:dyDescent="0.3">
      <c r="B856" s="198">
        <v>45176</v>
      </c>
      <c r="C856" s="192">
        <v>366.08</v>
      </c>
      <c r="D856" s="201">
        <f t="shared" si="26"/>
        <v>-5.4065802700573509E-3</v>
      </c>
      <c r="F856" s="197">
        <v>45176</v>
      </c>
      <c r="G856" s="191">
        <v>19727.05078125</v>
      </c>
      <c r="H856" s="200">
        <f t="shared" si="27"/>
        <v>5.9150323607803238E-3</v>
      </c>
    </row>
    <row r="857" spans="2:8" x14ac:dyDescent="0.3">
      <c r="B857" s="198">
        <v>45177</v>
      </c>
      <c r="C857" s="192">
        <v>361.86</v>
      </c>
      <c r="D857" s="201">
        <f t="shared" si="26"/>
        <v>-1.1527534965034884E-2</v>
      </c>
      <c r="F857" s="196">
        <v>45177</v>
      </c>
      <c r="G857" s="190">
        <v>19819.94921875</v>
      </c>
      <c r="H857" s="201">
        <f t="shared" si="27"/>
        <v>4.7091903665750848E-3</v>
      </c>
    </row>
    <row r="858" spans="2:8" x14ac:dyDescent="0.3">
      <c r="B858" s="198">
        <v>45180</v>
      </c>
      <c r="C858" s="192">
        <v>365.72</v>
      </c>
      <c r="D858" s="201">
        <f t="shared" si="26"/>
        <v>1.0667108826618067E-2</v>
      </c>
      <c r="F858" s="197">
        <v>45180</v>
      </c>
      <c r="G858" s="191">
        <v>19996.349609375</v>
      </c>
      <c r="H858" s="200">
        <f t="shared" si="27"/>
        <v>8.9001434200508597E-3</v>
      </c>
    </row>
    <row r="859" spans="2:8" x14ac:dyDescent="0.3">
      <c r="B859" s="198">
        <v>45181</v>
      </c>
      <c r="C859" s="192">
        <v>365.86</v>
      </c>
      <c r="D859" s="201">
        <f t="shared" si="26"/>
        <v>3.828065186481088E-4</v>
      </c>
      <c r="F859" s="196">
        <v>45181</v>
      </c>
      <c r="G859" s="190">
        <v>19993.19921875</v>
      </c>
      <c r="H859" s="201">
        <f t="shared" si="27"/>
        <v>-1.5754828688947231E-4</v>
      </c>
    </row>
    <row r="860" spans="2:8" x14ac:dyDescent="0.3">
      <c r="B860" s="198">
        <v>45182</v>
      </c>
      <c r="C860" s="192">
        <v>363.21</v>
      </c>
      <c r="D860" s="201">
        <f t="shared" si="26"/>
        <v>-7.2432077843984964E-3</v>
      </c>
      <c r="F860" s="197">
        <v>45182</v>
      </c>
      <c r="G860" s="191">
        <v>20070</v>
      </c>
      <c r="H860" s="200">
        <f t="shared" si="27"/>
        <v>3.8413452699443307E-3</v>
      </c>
    </row>
    <row r="861" spans="2:8" x14ac:dyDescent="0.3">
      <c r="B861" s="198">
        <v>45183</v>
      </c>
      <c r="C861" s="192">
        <v>363.65</v>
      </c>
      <c r="D861" s="201">
        <f t="shared" si="26"/>
        <v>1.2114203904077469E-3</v>
      </c>
      <c r="F861" s="196">
        <v>45183</v>
      </c>
      <c r="G861" s="190">
        <v>20103.099609375</v>
      </c>
      <c r="H861" s="201">
        <f t="shared" si="27"/>
        <v>1.6492082399103139E-3</v>
      </c>
    </row>
    <row r="862" spans="2:8" x14ac:dyDescent="0.3">
      <c r="B862" s="198">
        <v>45184</v>
      </c>
      <c r="C862" s="192">
        <v>364.15</v>
      </c>
      <c r="D862" s="201">
        <f t="shared" si="26"/>
        <v>1.3749484394335212E-3</v>
      </c>
      <c r="F862" s="197">
        <v>45184</v>
      </c>
      <c r="G862" s="191">
        <v>20192.349609375</v>
      </c>
      <c r="H862" s="200">
        <f t="shared" si="27"/>
        <v>4.439613877174375E-3</v>
      </c>
    </row>
    <row r="863" spans="2:8" x14ac:dyDescent="0.3">
      <c r="B863" s="198">
        <v>45187</v>
      </c>
      <c r="C863" s="192">
        <v>362.74</v>
      </c>
      <c r="D863" s="201">
        <f t="shared" si="26"/>
        <v>-3.8720307565562771E-3</v>
      </c>
      <c r="F863" s="196">
        <v>45187</v>
      </c>
      <c r="G863" s="190">
        <v>20133.30078125</v>
      </c>
      <c r="H863" s="201">
        <f t="shared" si="27"/>
        <v>-2.9243168460982138E-3</v>
      </c>
    </row>
    <row r="864" spans="2:8" x14ac:dyDescent="0.3">
      <c r="B864" s="198">
        <v>45189</v>
      </c>
      <c r="C864" s="192">
        <v>359.77</v>
      </c>
      <c r="D864" s="201">
        <f t="shared" si="26"/>
        <v>-8.1876826377020109E-3</v>
      </c>
      <c r="F864" s="197">
        <v>45189</v>
      </c>
      <c r="G864" s="191">
        <v>19901.400390625</v>
      </c>
      <c r="H864" s="200">
        <f t="shared" si="27"/>
        <v>-1.1518249945432057E-2</v>
      </c>
    </row>
    <row r="865" spans="2:8" x14ac:dyDescent="0.3">
      <c r="B865" s="198">
        <v>45190</v>
      </c>
      <c r="C865" s="192">
        <v>363.69</v>
      </c>
      <c r="D865" s="201">
        <f t="shared" ref="D865:D928" si="28">(C865-C864)/C864</f>
        <v>1.0895850126469734E-2</v>
      </c>
      <c r="F865" s="196">
        <v>45190</v>
      </c>
      <c r="G865" s="190">
        <v>19742.349609375</v>
      </c>
      <c r="H865" s="201">
        <f t="shared" si="27"/>
        <v>-7.9919391664982752E-3</v>
      </c>
    </row>
    <row r="866" spans="2:8" x14ac:dyDescent="0.3">
      <c r="B866" s="198">
        <v>45191</v>
      </c>
      <c r="C866" s="192">
        <v>365.18</v>
      </c>
      <c r="D866" s="201">
        <f t="shared" si="28"/>
        <v>4.0968957078831121E-3</v>
      </c>
      <c r="F866" s="197">
        <v>45191</v>
      </c>
      <c r="G866" s="191">
        <v>19674.25</v>
      </c>
      <c r="H866" s="200">
        <f t="shared" si="27"/>
        <v>-3.4494176591149876E-3</v>
      </c>
    </row>
    <row r="867" spans="2:8" x14ac:dyDescent="0.3">
      <c r="B867" s="198">
        <v>45194</v>
      </c>
      <c r="C867" s="192">
        <v>368.26</v>
      </c>
      <c r="D867" s="201">
        <f t="shared" si="28"/>
        <v>8.4341968344377686E-3</v>
      </c>
      <c r="F867" s="196">
        <v>45194</v>
      </c>
      <c r="G867" s="190">
        <v>19674.55078125</v>
      </c>
      <c r="H867" s="201">
        <f t="shared" si="27"/>
        <v>1.5288066889462116E-5</v>
      </c>
    </row>
    <row r="868" spans="2:8" x14ac:dyDescent="0.3">
      <c r="B868" s="198">
        <v>45195</v>
      </c>
      <c r="C868" s="192">
        <v>384.79</v>
      </c>
      <c r="D868" s="201">
        <f t="shared" si="28"/>
        <v>4.4886764785749281E-2</v>
      </c>
      <c r="F868" s="197">
        <v>45195</v>
      </c>
      <c r="G868" s="191">
        <v>19664.69921875</v>
      </c>
      <c r="H868" s="200">
        <f t="shared" si="27"/>
        <v>-5.0072617207548218E-4</v>
      </c>
    </row>
    <row r="869" spans="2:8" x14ac:dyDescent="0.3">
      <c r="B869" s="198">
        <v>45196</v>
      </c>
      <c r="C869" s="192">
        <v>384.61</v>
      </c>
      <c r="D869" s="201">
        <f t="shared" si="28"/>
        <v>-4.6778762441853169E-4</v>
      </c>
      <c r="F869" s="196">
        <v>45196</v>
      </c>
      <c r="G869" s="190">
        <v>19716.44921875</v>
      </c>
      <c r="H869" s="201">
        <f t="shared" si="27"/>
        <v>2.6316191986632139E-3</v>
      </c>
    </row>
    <row r="870" spans="2:8" x14ac:dyDescent="0.3">
      <c r="B870" s="198">
        <v>45197</v>
      </c>
      <c r="C870" s="192">
        <v>376.18</v>
      </c>
      <c r="D870" s="201">
        <f t="shared" si="28"/>
        <v>-2.1918306856296005E-2</v>
      </c>
      <c r="F870" s="197">
        <v>45197</v>
      </c>
      <c r="G870" s="191">
        <v>19523.55078125</v>
      </c>
      <c r="H870" s="200">
        <f t="shared" si="27"/>
        <v>-9.7836296667737181E-3</v>
      </c>
    </row>
    <row r="871" spans="2:8" x14ac:dyDescent="0.3">
      <c r="B871" s="198">
        <v>45198</v>
      </c>
      <c r="C871" s="192">
        <v>376.1</v>
      </c>
      <c r="D871" s="201">
        <f t="shared" si="28"/>
        <v>-2.1266415014084769E-4</v>
      </c>
      <c r="F871" s="196">
        <v>45198</v>
      </c>
      <c r="G871" s="190">
        <v>19638.30078125</v>
      </c>
      <c r="H871" s="201">
        <f t="shared" si="27"/>
        <v>5.8775169171687482E-3</v>
      </c>
    </row>
    <row r="872" spans="2:8" x14ac:dyDescent="0.3">
      <c r="B872" s="198">
        <v>45202</v>
      </c>
      <c r="C872" s="192">
        <v>369.18</v>
      </c>
      <c r="D872" s="201">
        <f t="shared" si="28"/>
        <v>-1.8399361871842636E-2</v>
      </c>
      <c r="F872" s="197">
        <v>45202</v>
      </c>
      <c r="G872" s="191">
        <v>19528.75</v>
      </c>
      <c r="H872" s="200">
        <f t="shared" si="27"/>
        <v>-5.5784246544688561E-3</v>
      </c>
    </row>
    <row r="873" spans="2:8" x14ac:dyDescent="0.3">
      <c r="B873" s="198">
        <v>45203</v>
      </c>
      <c r="C873" s="192">
        <v>366.06</v>
      </c>
      <c r="D873" s="201">
        <f t="shared" si="28"/>
        <v>-8.4511620347797935E-3</v>
      </c>
      <c r="F873" s="196">
        <v>45203</v>
      </c>
      <c r="G873" s="190">
        <v>19436.099609375</v>
      </c>
      <c r="H873" s="201">
        <f t="shared" si="27"/>
        <v>-4.7443072713307301E-3</v>
      </c>
    </row>
    <row r="874" spans="2:8" x14ac:dyDescent="0.3">
      <c r="B874" s="198">
        <v>45204</v>
      </c>
      <c r="C874" s="192">
        <v>366.32</v>
      </c>
      <c r="D874" s="201">
        <f t="shared" si="28"/>
        <v>7.1026607659943977E-4</v>
      </c>
      <c r="F874" s="197">
        <v>45204</v>
      </c>
      <c r="G874" s="191">
        <v>19545.75</v>
      </c>
      <c r="H874" s="200">
        <f t="shared" si="27"/>
        <v>5.6415841052857201E-3</v>
      </c>
    </row>
    <row r="875" spans="2:8" x14ac:dyDescent="0.3">
      <c r="B875" s="198">
        <v>45205</v>
      </c>
      <c r="C875" s="192">
        <v>368.68</v>
      </c>
      <c r="D875" s="201">
        <f t="shared" si="28"/>
        <v>6.4424546844289521E-3</v>
      </c>
      <c r="F875" s="196">
        <v>45205</v>
      </c>
      <c r="G875" s="190">
        <v>19653.5</v>
      </c>
      <c r="H875" s="201">
        <f t="shared" si="27"/>
        <v>5.512707366051443E-3</v>
      </c>
    </row>
    <row r="876" spans="2:8" x14ac:dyDescent="0.3">
      <c r="B876" s="198">
        <v>45208</v>
      </c>
      <c r="C876" s="192">
        <v>369.44</v>
      </c>
      <c r="D876" s="201">
        <f t="shared" si="28"/>
        <v>2.061408267332079E-3</v>
      </c>
      <c r="F876" s="197">
        <v>45208</v>
      </c>
      <c r="G876" s="191">
        <v>19512.349609375</v>
      </c>
      <c r="H876" s="200">
        <f t="shared" si="27"/>
        <v>-7.181946758847025E-3</v>
      </c>
    </row>
    <row r="877" spans="2:8" x14ac:dyDescent="0.3">
      <c r="B877" s="198">
        <v>45209</v>
      </c>
      <c r="C877" s="192">
        <v>369.04</v>
      </c>
      <c r="D877" s="201">
        <f t="shared" si="28"/>
        <v>-1.0827197921177384E-3</v>
      </c>
      <c r="F877" s="196">
        <v>45209</v>
      </c>
      <c r="G877" s="190">
        <v>19689.849609375</v>
      </c>
      <c r="H877" s="201">
        <f t="shared" si="27"/>
        <v>9.0968029762401072E-3</v>
      </c>
    </row>
    <row r="878" spans="2:8" x14ac:dyDescent="0.3">
      <c r="B878" s="198">
        <v>45210</v>
      </c>
      <c r="C878" s="192">
        <v>364.94</v>
      </c>
      <c r="D878" s="201">
        <f t="shared" si="28"/>
        <v>-1.11099067851724E-2</v>
      </c>
      <c r="F878" s="197">
        <v>45210</v>
      </c>
      <c r="G878" s="191">
        <v>19811.349609375</v>
      </c>
      <c r="H878" s="200">
        <f t="shared" si="27"/>
        <v>6.1706921287072586E-3</v>
      </c>
    </row>
    <row r="879" spans="2:8" x14ac:dyDescent="0.3">
      <c r="B879" s="198">
        <v>45211</v>
      </c>
      <c r="C879" s="192">
        <v>367.75</v>
      </c>
      <c r="D879" s="201">
        <f t="shared" si="28"/>
        <v>7.6998958732942468E-3</v>
      </c>
      <c r="F879" s="196">
        <v>45211</v>
      </c>
      <c r="G879" s="190">
        <v>19794</v>
      </c>
      <c r="H879" s="201">
        <f t="shared" si="27"/>
        <v>-8.7574091200681898E-4</v>
      </c>
    </row>
    <row r="880" spans="2:8" x14ac:dyDescent="0.3">
      <c r="B880" s="198">
        <v>45212</v>
      </c>
      <c r="C880" s="192">
        <v>369.66</v>
      </c>
      <c r="D880" s="201">
        <f t="shared" si="28"/>
        <v>5.193745751189735E-3</v>
      </c>
      <c r="F880" s="197">
        <v>45212</v>
      </c>
      <c r="G880" s="191">
        <v>19751.05078125</v>
      </c>
      <c r="H880" s="200">
        <f t="shared" si="27"/>
        <v>-2.1698099802970596E-3</v>
      </c>
    </row>
    <row r="881" spans="2:8" x14ac:dyDescent="0.3">
      <c r="B881" s="198">
        <v>45215</v>
      </c>
      <c r="C881" s="192">
        <v>366.93</v>
      </c>
      <c r="D881" s="201">
        <f t="shared" si="28"/>
        <v>-7.3851647459828437E-3</v>
      </c>
      <c r="F881" s="196">
        <v>45215</v>
      </c>
      <c r="G881" s="190">
        <v>19731.75</v>
      </c>
      <c r="H881" s="201">
        <f t="shared" si="27"/>
        <v>-9.7720275562870559E-4</v>
      </c>
    </row>
    <row r="882" spans="2:8" x14ac:dyDescent="0.3">
      <c r="B882" s="198">
        <v>45216</v>
      </c>
      <c r="C882" s="192">
        <v>369.89</v>
      </c>
      <c r="D882" s="201">
        <f t="shared" si="28"/>
        <v>8.0669337475812262E-3</v>
      </c>
      <c r="F882" s="197">
        <v>45216</v>
      </c>
      <c r="G882" s="191">
        <v>19811.5</v>
      </c>
      <c r="H882" s="200">
        <f t="shared" si="27"/>
        <v>4.0417094276990126E-3</v>
      </c>
    </row>
    <row r="883" spans="2:8" x14ac:dyDescent="0.3">
      <c r="B883" s="198">
        <v>45217</v>
      </c>
      <c r="C883" s="192">
        <v>368.01</v>
      </c>
      <c r="D883" s="201">
        <f t="shared" si="28"/>
        <v>-5.082592121982199E-3</v>
      </c>
      <c r="F883" s="196">
        <v>45217</v>
      </c>
      <c r="G883" s="190">
        <v>19671.099609375</v>
      </c>
      <c r="H883" s="201">
        <f t="shared" si="27"/>
        <v>-7.0868127413371024E-3</v>
      </c>
    </row>
    <row r="884" spans="2:8" x14ac:dyDescent="0.3">
      <c r="B884" s="198">
        <v>45218</v>
      </c>
      <c r="C884" s="192">
        <v>371.68</v>
      </c>
      <c r="D884" s="201">
        <f t="shared" si="28"/>
        <v>9.9725550936116299E-3</v>
      </c>
      <c r="F884" s="197">
        <v>45218</v>
      </c>
      <c r="G884" s="191">
        <v>19624.69921875</v>
      </c>
      <c r="H884" s="200">
        <f t="shared" si="27"/>
        <v>-2.3588102112444267E-3</v>
      </c>
    </row>
    <row r="885" spans="2:8" x14ac:dyDescent="0.3">
      <c r="B885" s="198">
        <v>45219</v>
      </c>
      <c r="C885" s="192">
        <v>368.34</v>
      </c>
      <c r="D885" s="201">
        <f t="shared" si="28"/>
        <v>-8.9862247094275507E-3</v>
      </c>
      <c r="F885" s="196">
        <v>45219</v>
      </c>
      <c r="G885" s="190">
        <v>19542.650390625</v>
      </c>
      <c r="H885" s="201">
        <f t="shared" si="27"/>
        <v>-4.1808960845936532E-3</v>
      </c>
    </row>
    <row r="886" spans="2:8" x14ac:dyDescent="0.3">
      <c r="B886" s="198">
        <v>45222</v>
      </c>
      <c r="C886" s="192">
        <v>366.97</v>
      </c>
      <c r="D886" s="201">
        <f t="shared" si="28"/>
        <v>-3.7193896943040336E-3</v>
      </c>
      <c r="F886" s="197">
        <v>45222</v>
      </c>
      <c r="G886" s="191">
        <v>19281.75</v>
      </c>
      <c r="H886" s="200">
        <f t="shared" si="27"/>
        <v>-1.3350307425555702E-2</v>
      </c>
    </row>
    <row r="887" spans="2:8" x14ac:dyDescent="0.3">
      <c r="B887" s="198">
        <v>45224</v>
      </c>
      <c r="C887" s="192">
        <v>351.64</v>
      </c>
      <c r="D887" s="201">
        <f t="shared" si="28"/>
        <v>-4.1774531978090959E-2</v>
      </c>
      <c r="F887" s="196">
        <v>45224</v>
      </c>
      <c r="G887" s="190">
        <v>19122.150390625</v>
      </c>
      <c r="H887" s="201">
        <f t="shared" si="27"/>
        <v>-8.2772367329210263E-3</v>
      </c>
    </row>
    <row r="888" spans="2:8" x14ac:dyDescent="0.3">
      <c r="B888" s="198">
        <v>45225</v>
      </c>
      <c r="C888" s="192">
        <v>346.97</v>
      </c>
      <c r="D888" s="201">
        <f t="shared" si="28"/>
        <v>-1.3280627914912864E-2</v>
      </c>
      <c r="F888" s="197">
        <v>45225</v>
      </c>
      <c r="G888" s="191">
        <v>18857.25</v>
      </c>
      <c r="H888" s="200">
        <f t="shared" si="27"/>
        <v>-1.385306491234754E-2</v>
      </c>
    </row>
    <row r="889" spans="2:8" x14ac:dyDescent="0.3">
      <c r="B889" s="198">
        <v>45226</v>
      </c>
      <c r="C889" s="192">
        <v>366.45</v>
      </c>
      <c r="D889" s="201">
        <f t="shared" si="28"/>
        <v>5.6143182407700838E-2</v>
      </c>
      <c r="F889" s="196">
        <v>45226</v>
      </c>
      <c r="G889" s="190">
        <v>19047.25</v>
      </c>
      <c r="H889" s="201">
        <f t="shared" si="27"/>
        <v>1.007570032746026E-2</v>
      </c>
    </row>
    <row r="890" spans="2:8" x14ac:dyDescent="0.3">
      <c r="B890" s="198">
        <v>45229</v>
      </c>
      <c r="C890" s="192">
        <v>364.47</v>
      </c>
      <c r="D890" s="201">
        <f t="shared" si="28"/>
        <v>-5.4031927957428338E-3</v>
      </c>
      <c r="F890" s="197">
        <v>45229</v>
      </c>
      <c r="G890" s="191">
        <v>19140.900390625</v>
      </c>
      <c r="H890" s="200">
        <f t="shared" si="27"/>
        <v>4.9167407696649118E-3</v>
      </c>
    </row>
    <row r="891" spans="2:8" x14ac:dyDescent="0.3">
      <c r="B891" s="198">
        <v>45230</v>
      </c>
      <c r="C891" s="192">
        <v>361.42</v>
      </c>
      <c r="D891" s="201">
        <f t="shared" si="28"/>
        <v>-8.3683156364035751E-3</v>
      </c>
      <c r="F891" s="196">
        <v>45230</v>
      </c>
      <c r="G891" s="190">
        <v>19079.599609375</v>
      </c>
      <c r="H891" s="201">
        <f t="shared" si="27"/>
        <v>-3.2026069828995319E-3</v>
      </c>
    </row>
    <row r="892" spans="2:8" x14ac:dyDescent="0.3">
      <c r="B892" s="198">
        <v>45231</v>
      </c>
      <c r="C892" s="192">
        <v>365.18</v>
      </c>
      <c r="D892" s="201">
        <f t="shared" si="28"/>
        <v>1.0403408776492698E-2</v>
      </c>
      <c r="F892" s="197">
        <v>45231</v>
      </c>
      <c r="G892" s="191">
        <v>18989.150390625</v>
      </c>
      <c r="H892" s="200">
        <f t="shared" si="27"/>
        <v>-4.7406245729368791E-3</v>
      </c>
    </row>
    <row r="893" spans="2:8" x14ac:dyDescent="0.3">
      <c r="B893" s="198">
        <v>45232</v>
      </c>
      <c r="C893" s="192">
        <v>368.32</v>
      </c>
      <c r="D893" s="201">
        <f t="shared" si="28"/>
        <v>8.5984993701735749E-3</v>
      </c>
      <c r="F893" s="196">
        <v>45232</v>
      </c>
      <c r="G893" s="190">
        <v>19133.25</v>
      </c>
      <c r="H893" s="201">
        <f t="shared" si="27"/>
        <v>7.5885232572670764E-3</v>
      </c>
    </row>
    <row r="894" spans="2:8" x14ac:dyDescent="0.3">
      <c r="B894" s="198">
        <v>45233</v>
      </c>
      <c r="C894" s="192">
        <v>378.54</v>
      </c>
      <c r="D894" s="201">
        <f t="shared" si="28"/>
        <v>2.7747610773240734E-2</v>
      </c>
      <c r="F894" s="197">
        <v>45233</v>
      </c>
      <c r="G894" s="191">
        <v>19230.599609375</v>
      </c>
      <c r="H894" s="200">
        <f t="shared" si="27"/>
        <v>5.0879808383311777E-3</v>
      </c>
    </row>
    <row r="895" spans="2:8" x14ac:dyDescent="0.3">
      <c r="B895" s="198">
        <v>45236</v>
      </c>
      <c r="C895" s="192">
        <v>376.08</v>
      </c>
      <c r="D895" s="201">
        <f t="shared" si="28"/>
        <v>-6.4986527183389766E-3</v>
      </c>
      <c r="F895" s="196">
        <v>45236</v>
      </c>
      <c r="G895" s="190">
        <v>19411.75</v>
      </c>
      <c r="H895" s="201">
        <f t="shared" si="27"/>
        <v>9.4199033989916994E-3</v>
      </c>
    </row>
    <row r="896" spans="2:8" x14ac:dyDescent="0.3">
      <c r="B896" s="198">
        <v>45237</v>
      </c>
      <c r="C896" s="192">
        <v>394.19</v>
      </c>
      <c r="D896" s="201">
        <f t="shared" si="28"/>
        <v>4.8154647947245305E-2</v>
      </c>
      <c r="F896" s="197">
        <v>45237</v>
      </c>
      <c r="G896" s="191">
        <v>19406.69921875</v>
      </c>
      <c r="H896" s="200">
        <f t="shared" si="27"/>
        <v>-2.6019195847875644E-4</v>
      </c>
    </row>
    <row r="897" spans="2:8" x14ac:dyDescent="0.3">
      <c r="B897" s="198">
        <v>45238</v>
      </c>
      <c r="C897" s="192">
        <v>401.21</v>
      </c>
      <c r="D897" s="201">
        <f t="shared" si="28"/>
        <v>1.7808670945483097E-2</v>
      </c>
      <c r="F897" s="196">
        <v>45238</v>
      </c>
      <c r="G897" s="190">
        <v>19443.5</v>
      </c>
      <c r="H897" s="201">
        <f t="shared" si="27"/>
        <v>1.8962926582818634E-3</v>
      </c>
    </row>
    <row r="898" spans="2:8" x14ac:dyDescent="0.3">
      <c r="B898" s="198">
        <v>45239</v>
      </c>
      <c r="C898" s="192">
        <v>398.71</v>
      </c>
      <c r="D898" s="201">
        <f t="shared" si="28"/>
        <v>-6.2311507689240056E-3</v>
      </c>
      <c r="F898" s="197">
        <v>45239</v>
      </c>
      <c r="G898" s="191">
        <v>19395.30078125</v>
      </c>
      <c r="H898" s="200">
        <f t="shared" si="27"/>
        <v>-2.4789373698151053E-3</v>
      </c>
    </row>
    <row r="899" spans="2:8" x14ac:dyDescent="0.3">
      <c r="B899" s="198">
        <v>45240</v>
      </c>
      <c r="C899" s="192">
        <v>401.29</v>
      </c>
      <c r="D899" s="201">
        <f t="shared" si="28"/>
        <v>6.4708685510773273E-3</v>
      </c>
      <c r="F899" s="196">
        <v>45240</v>
      </c>
      <c r="G899" s="190">
        <v>19425.349609375</v>
      </c>
      <c r="H899" s="201">
        <f t="shared" si="27"/>
        <v>1.5492839458333678E-3</v>
      </c>
    </row>
    <row r="900" spans="2:8" x14ac:dyDescent="0.3">
      <c r="B900" s="198">
        <v>45243</v>
      </c>
      <c r="C900" s="192">
        <v>401.17</v>
      </c>
      <c r="D900" s="201">
        <f t="shared" si="28"/>
        <v>-2.9903561015725422E-4</v>
      </c>
      <c r="F900" s="197">
        <v>45243</v>
      </c>
      <c r="G900" s="191">
        <v>19443.55078125</v>
      </c>
      <c r="H900" s="200">
        <f t="shared" si="27"/>
        <v>9.3698040143461864E-4</v>
      </c>
    </row>
    <row r="901" spans="2:8" x14ac:dyDescent="0.3">
      <c r="B901" s="198">
        <v>45245</v>
      </c>
      <c r="C901" s="192">
        <v>403.34</v>
      </c>
      <c r="D901" s="201">
        <f t="shared" si="28"/>
        <v>5.4091781538997408E-3</v>
      </c>
      <c r="F901" s="196">
        <v>45245</v>
      </c>
      <c r="G901" s="190">
        <v>19675.44921875</v>
      </c>
      <c r="H901" s="201">
        <f t="shared" si="27"/>
        <v>1.1926753508604336E-2</v>
      </c>
    </row>
    <row r="902" spans="2:8" x14ac:dyDescent="0.3">
      <c r="B902" s="198">
        <v>45246</v>
      </c>
      <c r="C902" s="192">
        <v>415.41</v>
      </c>
      <c r="D902" s="201">
        <f t="shared" si="28"/>
        <v>2.9925125204542199E-2</v>
      </c>
      <c r="F902" s="197">
        <v>45246</v>
      </c>
      <c r="G902" s="191">
        <v>19765.19921875</v>
      </c>
      <c r="H902" s="200">
        <f t="shared" ref="H902:H965" si="29">(G902-G901)/G901</f>
        <v>4.5615222809993819E-3</v>
      </c>
    </row>
    <row r="903" spans="2:8" x14ac:dyDescent="0.3">
      <c r="B903" s="198">
        <v>45247</v>
      </c>
      <c r="C903" s="192">
        <v>414.97</v>
      </c>
      <c r="D903" s="201">
        <f t="shared" si="28"/>
        <v>-1.0591945307045995E-3</v>
      </c>
      <c r="F903" s="196">
        <v>45247</v>
      </c>
      <c r="G903" s="190">
        <v>19731.80078125</v>
      </c>
      <c r="H903" s="201">
        <f t="shared" si="29"/>
        <v>-1.6897597201204532E-3</v>
      </c>
    </row>
    <row r="904" spans="2:8" x14ac:dyDescent="0.3">
      <c r="B904" s="198">
        <v>45250</v>
      </c>
      <c r="C904" s="192">
        <v>416.52</v>
      </c>
      <c r="D904" s="201">
        <f t="shared" si="28"/>
        <v>3.7352097742004348E-3</v>
      </c>
      <c r="F904" s="197">
        <v>45250</v>
      </c>
      <c r="G904" s="191">
        <v>19694</v>
      </c>
      <c r="H904" s="200">
        <f t="shared" si="29"/>
        <v>-1.9157289123818803E-3</v>
      </c>
    </row>
    <row r="905" spans="2:8" x14ac:dyDescent="0.3">
      <c r="B905" s="198">
        <v>45251</v>
      </c>
      <c r="C905" s="192">
        <v>412.73</v>
      </c>
      <c r="D905" s="201">
        <f t="shared" si="28"/>
        <v>-9.0992029194275521E-3</v>
      </c>
      <c r="F905" s="196">
        <v>45251</v>
      </c>
      <c r="G905" s="190">
        <v>19783.400390625</v>
      </c>
      <c r="H905" s="201">
        <f t="shared" si="29"/>
        <v>4.5394734754239871E-3</v>
      </c>
    </row>
    <row r="906" spans="2:8" x14ac:dyDescent="0.3">
      <c r="B906" s="198">
        <v>45252</v>
      </c>
      <c r="C906" s="192">
        <v>410.16</v>
      </c>
      <c r="D906" s="201">
        <f t="shared" si="28"/>
        <v>-6.2268311002350038E-3</v>
      </c>
      <c r="F906" s="197">
        <v>45252</v>
      </c>
      <c r="G906" s="191">
        <v>19811.849609375</v>
      </c>
      <c r="H906" s="200">
        <f t="shared" si="29"/>
        <v>1.438034826585301E-3</v>
      </c>
    </row>
    <row r="907" spans="2:8" x14ac:dyDescent="0.3">
      <c r="B907" s="198">
        <v>45253</v>
      </c>
      <c r="C907" s="192">
        <v>419.41</v>
      </c>
      <c r="D907" s="201">
        <f t="shared" si="28"/>
        <v>2.2552174761068852E-2</v>
      </c>
      <c r="F907" s="196">
        <v>45253</v>
      </c>
      <c r="G907" s="190">
        <v>19802</v>
      </c>
      <c r="H907" s="201">
        <f t="shared" si="29"/>
        <v>-4.9715748752398909E-4</v>
      </c>
    </row>
    <row r="908" spans="2:8" x14ac:dyDescent="0.3">
      <c r="B908" s="198">
        <v>45254</v>
      </c>
      <c r="C908" s="192">
        <v>424.8</v>
      </c>
      <c r="D908" s="201">
        <f t="shared" si="28"/>
        <v>1.2851386471471797E-2</v>
      </c>
      <c r="F908" s="197">
        <v>45254</v>
      </c>
      <c r="G908" s="191">
        <v>19794.69921875</v>
      </c>
      <c r="H908" s="200">
        <f t="shared" si="29"/>
        <v>-3.6868908443591557E-4</v>
      </c>
    </row>
    <row r="909" spans="2:8" x14ac:dyDescent="0.3">
      <c r="B909" s="198">
        <v>45258</v>
      </c>
      <c r="C909" s="192">
        <v>421.54</v>
      </c>
      <c r="D909" s="201">
        <f t="shared" si="28"/>
        <v>-7.6741996233521438E-3</v>
      </c>
      <c r="F909" s="196">
        <v>45258</v>
      </c>
      <c r="G909" s="190">
        <v>19889.69921875</v>
      </c>
      <c r="H909" s="201">
        <f t="shared" si="29"/>
        <v>4.7992646389905125E-3</v>
      </c>
    </row>
    <row r="910" spans="2:8" x14ac:dyDescent="0.3">
      <c r="B910" s="198">
        <v>45259</v>
      </c>
      <c r="C910" s="192">
        <v>421.89</v>
      </c>
      <c r="D910" s="201">
        <f t="shared" si="28"/>
        <v>8.3028894055123086E-4</v>
      </c>
      <c r="F910" s="197">
        <v>45259</v>
      </c>
      <c r="G910" s="191">
        <v>20096.599609375</v>
      </c>
      <c r="H910" s="200">
        <f t="shared" si="29"/>
        <v>1.0402389113554579E-2</v>
      </c>
    </row>
    <row r="911" spans="2:8" x14ac:dyDescent="0.3">
      <c r="B911" s="198">
        <v>45260</v>
      </c>
      <c r="C911" s="192">
        <v>439.45</v>
      </c>
      <c r="D911" s="201">
        <f t="shared" si="28"/>
        <v>4.1622223802412955E-2</v>
      </c>
      <c r="F911" s="196">
        <v>45260</v>
      </c>
      <c r="G911" s="190">
        <v>20133.150390625</v>
      </c>
      <c r="H911" s="201">
        <f t="shared" si="29"/>
        <v>1.8187545137212753E-3</v>
      </c>
    </row>
    <row r="912" spans="2:8" x14ac:dyDescent="0.3">
      <c r="B912" s="198">
        <v>45261</v>
      </c>
      <c r="C912" s="192">
        <v>433.11</v>
      </c>
      <c r="D912" s="201">
        <f t="shared" si="28"/>
        <v>-1.442712481510974E-2</v>
      </c>
      <c r="F912" s="197">
        <v>45261</v>
      </c>
      <c r="G912" s="191">
        <v>20267.900390625</v>
      </c>
      <c r="H912" s="200">
        <f t="shared" si="29"/>
        <v>6.6929416105065368E-3</v>
      </c>
    </row>
    <row r="913" spans="2:8" x14ac:dyDescent="0.3">
      <c r="B913" s="198">
        <v>45264</v>
      </c>
      <c r="C913" s="192">
        <v>425.71</v>
      </c>
      <c r="D913" s="201">
        <f t="shared" si="28"/>
        <v>-1.7085728798688634E-2</v>
      </c>
      <c r="F913" s="196">
        <v>45264</v>
      </c>
      <c r="G913" s="190">
        <v>20686.80078125</v>
      </c>
      <c r="H913" s="201">
        <f t="shared" si="29"/>
        <v>2.0668169003769332E-2</v>
      </c>
    </row>
    <row r="914" spans="2:8" x14ac:dyDescent="0.3">
      <c r="B914" s="198">
        <v>45265</v>
      </c>
      <c r="C914" s="192">
        <v>422.29</v>
      </c>
      <c r="D914" s="201">
        <f t="shared" si="28"/>
        <v>-8.0336379225293252E-3</v>
      </c>
      <c r="F914" s="197">
        <v>45265</v>
      </c>
      <c r="G914" s="191">
        <v>20855.099609375</v>
      </c>
      <c r="H914" s="200">
        <f t="shared" si="29"/>
        <v>8.1355657602475619E-3</v>
      </c>
    </row>
    <row r="915" spans="2:8" x14ac:dyDescent="0.3">
      <c r="B915" s="198">
        <v>45266</v>
      </c>
      <c r="C915" s="192">
        <v>426.94</v>
      </c>
      <c r="D915" s="201">
        <f t="shared" si="28"/>
        <v>1.1011390276823929E-2</v>
      </c>
      <c r="F915" s="196">
        <v>45266</v>
      </c>
      <c r="G915" s="190">
        <v>20937.69921875</v>
      </c>
      <c r="H915" s="201">
        <f t="shared" si="29"/>
        <v>3.9606432442005199E-3</v>
      </c>
    </row>
    <row r="916" spans="2:8" x14ac:dyDescent="0.3">
      <c r="B916" s="198">
        <v>45267</v>
      </c>
      <c r="C916" s="192">
        <v>428.32</v>
      </c>
      <c r="D916" s="201">
        <f t="shared" si="28"/>
        <v>3.2323043050545637E-3</v>
      </c>
      <c r="F916" s="197">
        <v>45267</v>
      </c>
      <c r="G916" s="191">
        <v>20901.150390625</v>
      </c>
      <c r="H916" s="200">
        <f t="shared" si="29"/>
        <v>-1.7455990623969808E-3</v>
      </c>
    </row>
    <row r="917" spans="2:8" x14ac:dyDescent="0.3">
      <c r="B917" s="198">
        <v>45268</v>
      </c>
      <c r="C917" s="192">
        <v>424.32</v>
      </c>
      <c r="D917" s="201">
        <f t="shared" si="28"/>
        <v>-9.3388121031004849E-3</v>
      </c>
      <c r="F917" s="196">
        <v>45268</v>
      </c>
      <c r="G917" s="190">
        <v>20969.400390625</v>
      </c>
      <c r="H917" s="201">
        <f t="shared" si="29"/>
        <v>3.2653705047073797E-3</v>
      </c>
    </row>
    <row r="918" spans="2:8" x14ac:dyDescent="0.3">
      <c r="B918" s="198">
        <v>45271</v>
      </c>
      <c r="C918" s="192">
        <v>439.15</v>
      </c>
      <c r="D918" s="201">
        <f t="shared" si="28"/>
        <v>3.4950037707390615E-2</v>
      </c>
      <c r="F918" s="197">
        <v>45271</v>
      </c>
      <c r="G918" s="191">
        <v>20997.099609375</v>
      </c>
      <c r="H918" s="200">
        <f t="shared" si="29"/>
        <v>1.3209351833628857E-3</v>
      </c>
    </row>
    <row r="919" spans="2:8" x14ac:dyDescent="0.3">
      <c r="B919" s="198">
        <v>45272</v>
      </c>
      <c r="C919" s="192">
        <v>429.55</v>
      </c>
      <c r="D919" s="201">
        <f t="shared" si="28"/>
        <v>-2.1860412159854188E-2</v>
      </c>
      <c r="F919" s="196">
        <v>45272</v>
      </c>
      <c r="G919" s="190">
        <v>20906.400390625</v>
      </c>
      <c r="H919" s="201">
        <f t="shared" si="29"/>
        <v>-4.3196070141755995E-3</v>
      </c>
    </row>
    <row r="920" spans="2:8" x14ac:dyDescent="0.3">
      <c r="B920" s="198">
        <v>45273</v>
      </c>
      <c r="C920" s="192">
        <v>434.58</v>
      </c>
      <c r="D920" s="201">
        <f t="shared" si="28"/>
        <v>1.1709928995460302E-2</v>
      </c>
      <c r="F920" s="197">
        <v>45273</v>
      </c>
      <c r="G920" s="191">
        <v>20926.349609375</v>
      </c>
      <c r="H920" s="200">
        <f t="shared" si="29"/>
        <v>9.5421585625738684E-4</v>
      </c>
    </row>
    <row r="921" spans="2:8" x14ac:dyDescent="0.3">
      <c r="B921" s="198">
        <v>45274</v>
      </c>
      <c r="C921" s="192">
        <v>439.13</v>
      </c>
      <c r="D921" s="201">
        <f t="shared" si="28"/>
        <v>1.0469878963597063E-2</v>
      </c>
      <c r="F921" s="196">
        <v>45274</v>
      </c>
      <c r="G921" s="190">
        <v>21182.69921875</v>
      </c>
      <c r="H921" s="201">
        <f t="shared" si="29"/>
        <v>1.2250087289956937E-2</v>
      </c>
    </row>
    <row r="922" spans="2:8" x14ac:dyDescent="0.3">
      <c r="B922" s="198">
        <v>45275</v>
      </c>
      <c r="C922" s="192">
        <v>437.06</v>
      </c>
      <c r="D922" s="201">
        <f t="shared" si="28"/>
        <v>-4.7138660533327104E-3</v>
      </c>
      <c r="F922" s="197">
        <v>45275</v>
      </c>
      <c r="G922" s="191">
        <v>21456.650390625</v>
      </c>
      <c r="H922" s="200">
        <f t="shared" si="29"/>
        <v>1.2932779200891942E-2</v>
      </c>
    </row>
    <row r="923" spans="2:8" x14ac:dyDescent="0.3">
      <c r="B923" s="198">
        <v>45278</v>
      </c>
      <c r="C923" s="192">
        <v>450.19</v>
      </c>
      <c r="D923" s="201">
        <f t="shared" si="28"/>
        <v>3.0041641879833422E-2</v>
      </c>
      <c r="F923" s="196">
        <v>45278</v>
      </c>
      <c r="G923" s="190">
        <v>21418.650390625</v>
      </c>
      <c r="H923" s="201">
        <f t="shared" si="29"/>
        <v>-1.7710126840955215E-3</v>
      </c>
    </row>
    <row r="924" spans="2:8" x14ac:dyDescent="0.3">
      <c r="B924" s="198">
        <v>45279</v>
      </c>
      <c r="C924" s="192">
        <v>465.96</v>
      </c>
      <c r="D924" s="201">
        <f t="shared" si="28"/>
        <v>3.5029654146027191E-2</v>
      </c>
      <c r="F924" s="197">
        <v>45279</v>
      </c>
      <c r="G924" s="191">
        <v>21453.099609375</v>
      </c>
      <c r="H924" s="200">
        <f t="shared" si="29"/>
        <v>1.6083748565725931E-3</v>
      </c>
    </row>
    <row r="925" spans="2:8" x14ac:dyDescent="0.3">
      <c r="B925" s="198">
        <v>45280</v>
      </c>
      <c r="C925" s="192">
        <v>498.47</v>
      </c>
      <c r="D925" s="201">
        <f t="shared" si="28"/>
        <v>6.9769937333676812E-2</v>
      </c>
      <c r="F925" s="196">
        <v>45280</v>
      </c>
      <c r="G925" s="190">
        <v>21150.150390625</v>
      </c>
      <c r="H925" s="201">
        <f t="shared" si="29"/>
        <v>-1.412146609423336E-2</v>
      </c>
    </row>
    <row r="926" spans="2:8" x14ac:dyDescent="0.3">
      <c r="B926" s="198">
        <v>45281</v>
      </c>
      <c r="C926" s="192">
        <v>513.54</v>
      </c>
      <c r="D926" s="201">
        <f t="shared" si="28"/>
        <v>3.0232511485144414E-2</v>
      </c>
      <c r="F926" s="197">
        <v>45281</v>
      </c>
      <c r="G926" s="191">
        <v>21255.05078125</v>
      </c>
      <c r="H926" s="200">
        <f t="shared" si="29"/>
        <v>4.9597940765233554E-3</v>
      </c>
    </row>
    <row r="927" spans="2:8" x14ac:dyDescent="0.3">
      <c r="B927" s="198">
        <v>45282</v>
      </c>
      <c r="C927" s="192">
        <v>492.58</v>
      </c>
      <c r="D927" s="201">
        <f t="shared" si="28"/>
        <v>-4.0814736924095457E-2</v>
      </c>
      <c r="F927" s="196">
        <v>45282</v>
      </c>
      <c r="G927" s="190">
        <v>21349.400390625</v>
      </c>
      <c r="H927" s="201">
        <f t="shared" si="29"/>
        <v>4.4389265566107177E-3</v>
      </c>
    </row>
    <row r="928" spans="2:8" x14ac:dyDescent="0.3">
      <c r="B928" s="198">
        <v>45286</v>
      </c>
      <c r="C928" s="192">
        <v>497.14</v>
      </c>
      <c r="D928" s="201">
        <f t="shared" si="28"/>
        <v>9.2573795119574535E-3</v>
      </c>
      <c r="F928" s="197">
        <v>45286</v>
      </c>
      <c r="G928" s="191">
        <v>21441.349609375</v>
      </c>
      <c r="H928" s="200">
        <f t="shared" si="29"/>
        <v>4.3068759341071223E-3</v>
      </c>
    </row>
    <row r="929" spans="2:8" x14ac:dyDescent="0.3">
      <c r="B929" s="198">
        <v>45287</v>
      </c>
      <c r="C929" s="192">
        <v>491.97</v>
      </c>
      <c r="D929" s="201">
        <f t="shared" ref="D929:D992" si="30">(C929-C928)/C928</f>
        <v>-1.0399485054511725E-2</v>
      </c>
      <c r="F929" s="196">
        <v>45287</v>
      </c>
      <c r="G929" s="190">
        <v>21654.75</v>
      </c>
      <c r="H929" s="201">
        <f t="shared" si="29"/>
        <v>9.9527499207276091E-3</v>
      </c>
    </row>
    <row r="930" spans="2:8" x14ac:dyDescent="0.3">
      <c r="B930" s="198">
        <v>45288</v>
      </c>
      <c r="C930" s="192">
        <v>492.26</v>
      </c>
      <c r="D930" s="201">
        <f t="shared" si="30"/>
        <v>5.8946683740871114E-4</v>
      </c>
      <c r="F930" s="197">
        <v>45288</v>
      </c>
      <c r="G930" s="191">
        <v>21778.69921875</v>
      </c>
      <c r="H930" s="200">
        <f t="shared" si="29"/>
        <v>5.7238813077962114E-3</v>
      </c>
    </row>
    <row r="931" spans="2:8" x14ac:dyDescent="0.3">
      <c r="B931" s="198">
        <v>45289</v>
      </c>
      <c r="C931" s="192">
        <v>491.91</v>
      </c>
      <c r="D931" s="201">
        <f t="shared" si="30"/>
        <v>-7.110063787428714E-4</v>
      </c>
      <c r="F931" s="196">
        <v>45289</v>
      </c>
      <c r="G931" s="190">
        <v>21731.400390625</v>
      </c>
      <c r="H931" s="201">
        <f t="shared" si="29"/>
        <v>-2.171793074045436E-3</v>
      </c>
    </row>
    <row r="932" spans="2:8" x14ac:dyDescent="0.3">
      <c r="B932" s="198">
        <v>45292</v>
      </c>
      <c r="C932" s="192">
        <v>494.13</v>
      </c>
      <c r="D932" s="201">
        <f t="shared" si="30"/>
        <v>4.5130206745135704E-3</v>
      </c>
      <c r="F932" s="197">
        <v>45292</v>
      </c>
      <c r="G932" s="191">
        <v>21741.900390625</v>
      </c>
      <c r="H932" s="200">
        <f t="shared" si="29"/>
        <v>4.8317180721265139E-4</v>
      </c>
    </row>
    <row r="933" spans="2:8" x14ac:dyDescent="0.3">
      <c r="B933" s="198">
        <v>45293</v>
      </c>
      <c r="C933" s="192">
        <v>491.61</v>
      </c>
      <c r="D933" s="201">
        <f t="shared" si="30"/>
        <v>-5.0998725031873833E-3</v>
      </c>
      <c r="F933" s="196">
        <v>45293</v>
      </c>
      <c r="G933" s="190">
        <v>21665.80078125</v>
      </c>
      <c r="H933" s="201">
        <f t="shared" si="29"/>
        <v>-3.5001360510240297E-3</v>
      </c>
    </row>
    <row r="934" spans="2:8" x14ac:dyDescent="0.3">
      <c r="B934" s="198">
        <v>45294</v>
      </c>
      <c r="C934" s="192">
        <v>487.49</v>
      </c>
      <c r="D934" s="201">
        <f t="shared" si="30"/>
        <v>-8.380626919712789E-3</v>
      </c>
      <c r="F934" s="197">
        <v>45294</v>
      </c>
      <c r="G934" s="191">
        <v>21517.349609375</v>
      </c>
      <c r="H934" s="200">
        <f t="shared" si="29"/>
        <v>-6.8518663756694607E-3</v>
      </c>
    </row>
    <row r="935" spans="2:8" x14ac:dyDescent="0.3">
      <c r="B935" s="198">
        <v>45295</v>
      </c>
      <c r="C935" s="192">
        <v>501.09</v>
      </c>
      <c r="D935" s="201">
        <f t="shared" si="30"/>
        <v>2.7898008164269964E-2</v>
      </c>
      <c r="F935" s="196">
        <v>45295</v>
      </c>
      <c r="G935" s="190">
        <v>21658.599609375</v>
      </c>
      <c r="H935" s="201">
        <f t="shared" si="29"/>
        <v>6.5644701863494422E-3</v>
      </c>
    </row>
    <row r="936" spans="2:8" x14ac:dyDescent="0.3">
      <c r="B936" s="198">
        <v>45296</v>
      </c>
      <c r="C936" s="192">
        <v>508.71</v>
      </c>
      <c r="D936" s="201">
        <f t="shared" si="30"/>
        <v>1.5206849069029525E-2</v>
      </c>
      <c r="F936" s="197">
        <v>45296</v>
      </c>
      <c r="G936" s="191">
        <v>21710.80078125</v>
      </c>
      <c r="H936" s="200">
        <f t="shared" si="29"/>
        <v>2.4101822286056087E-3</v>
      </c>
    </row>
    <row r="937" spans="2:8" x14ac:dyDescent="0.3">
      <c r="B937" s="198">
        <v>45299</v>
      </c>
      <c r="C937" s="192">
        <v>504.87</v>
      </c>
      <c r="D937" s="201">
        <f t="shared" si="30"/>
        <v>-7.5485050421654288E-3</v>
      </c>
      <c r="F937" s="196">
        <v>45299</v>
      </c>
      <c r="G937" s="190">
        <v>21513</v>
      </c>
      <c r="H937" s="201">
        <f t="shared" si="29"/>
        <v>-9.1107086856430358E-3</v>
      </c>
    </row>
    <row r="938" spans="2:8" x14ac:dyDescent="0.3">
      <c r="B938" s="198">
        <v>45300</v>
      </c>
      <c r="C938" s="192">
        <v>516.03</v>
      </c>
      <c r="D938" s="201">
        <f t="shared" si="30"/>
        <v>2.2104700219858515E-2</v>
      </c>
      <c r="F938" s="197">
        <v>45300</v>
      </c>
      <c r="G938" s="191">
        <v>21544.849609375</v>
      </c>
      <c r="H938" s="200">
        <f t="shared" si="29"/>
        <v>1.4804820050667038E-3</v>
      </c>
    </row>
    <row r="939" spans="2:8" x14ac:dyDescent="0.3">
      <c r="B939" s="198">
        <v>45301</v>
      </c>
      <c r="C939" s="192">
        <v>504.55</v>
      </c>
      <c r="D939" s="201">
        <f t="shared" si="30"/>
        <v>-2.2246768598724806E-2</v>
      </c>
      <c r="F939" s="196">
        <v>45301</v>
      </c>
      <c r="G939" s="190">
        <v>21618.69921875</v>
      </c>
      <c r="H939" s="201">
        <f t="shared" si="29"/>
        <v>3.4277152411806657E-3</v>
      </c>
    </row>
    <row r="940" spans="2:8" x14ac:dyDescent="0.3">
      <c r="B940" s="198">
        <v>45302</v>
      </c>
      <c r="C940" s="192">
        <v>508.29</v>
      </c>
      <c r="D940" s="201">
        <f t="shared" si="30"/>
        <v>7.4125458329204422E-3</v>
      </c>
      <c r="F940" s="197">
        <v>45302</v>
      </c>
      <c r="G940" s="191">
        <v>21647.19921875</v>
      </c>
      <c r="H940" s="200">
        <f t="shared" si="29"/>
        <v>1.3183031833516521E-3</v>
      </c>
    </row>
    <row r="941" spans="2:8" x14ac:dyDescent="0.3">
      <c r="B941" s="198">
        <v>45303</v>
      </c>
      <c r="C941" s="192">
        <v>503.1</v>
      </c>
      <c r="D941" s="201">
        <f t="shared" si="30"/>
        <v>-1.0210706486454578E-2</v>
      </c>
      <c r="F941" s="196">
        <v>45303</v>
      </c>
      <c r="G941" s="190">
        <v>21894.55078125</v>
      </c>
      <c r="H941" s="201">
        <f t="shared" si="29"/>
        <v>1.1426492637705911E-2</v>
      </c>
    </row>
    <row r="942" spans="2:8" x14ac:dyDescent="0.3">
      <c r="B942" s="198">
        <v>45306</v>
      </c>
      <c r="C942" s="192">
        <v>505.75</v>
      </c>
      <c r="D942" s="201">
        <f t="shared" si="30"/>
        <v>5.267342476644757E-3</v>
      </c>
      <c r="F942" s="197">
        <v>45306</v>
      </c>
      <c r="G942" s="191">
        <v>22097.44921875</v>
      </c>
      <c r="H942" s="200">
        <f t="shared" si="29"/>
        <v>9.2670746948486215E-3</v>
      </c>
    </row>
    <row r="943" spans="2:8" x14ac:dyDescent="0.3">
      <c r="B943" s="198">
        <v>45307</v>
      </c>
      <c r="C943" s="192">
        <v>503.52</v>
      </c>
      <c r="D943" s="201">
        <f t="shared" si="30"/>
        <v>-4.4092931290163487E-3</v>
      </c>
      <c r="F943" s="196">
        <v>45307</v>
      </c>
      <c r="G943" s="190">
        <v>22032.30078125</v>
      </c>
      <c r="H943" s="201">
        <f t="shared" si="29"/>
        <v>-2.9482333845447023E-3</v>
      </c>
    </row>
    <row r="944" spans="2:8" x14ac:dyDescent="0.3">
      <c r="B944" s="198">
        <v>45308</v>
      </c>
      <c r="C944" s="192">
        <v>496.52</v>
      </c>
      <c r="D944" s="201">
        <f t="shared" si="30"/>
        <v>-1.390212901175723E-2</v>
      </c>
      <c r="F944" s="197">
        <v>45308</v>
      </c>
      <c r="G944" s="191">
        <v>21571.94921875</v>
      </c>
      <c r="H944" s="200">
        <f t="shared" si="29"/>
        <v>-2.0894393512082492E-2</v>
      </c>
    </row>
    <row r="945" spans="2:8" x14ac:dyDescent="0.3">
      <c r="B945" s="198">
        <v>45309</v>
      </c>
      <c r="C945" s="192">
        <v>489.22</v>
      </c>
      <c r="D945" s="201">
        <f t="shared" si="30"/>
        <v>-1.470232820430185E-2</v>
      </c>
      <c r="F945" s="196">
        <v>45309</v>
      </c>
      <c r="G945" s="190">
        <v>21462.25</v>
      </c>
      <c r="H945" s="201">
        <f t="shared" si="29"/>
        <v>-5.0852715087355742E-3</v>
      </c>
    </row>
    <row r="946" spans="2:8" x14ac:dyDescent="0.3">
      <c r="B946" s="198">
        <v>45310</v>
      </c>
      <c r="C946" s="192">
        <v>504.02</v>
      </c>
      <c r="D946" s="201">
        <f t="shared" si="30"/>
        <v>3.0252238256816881E-2</v>
      </c>
      <c r="F946" s="197">
        <v>45310</v>
      </c>
      <c r="G946" s="191">
        <v>21622.400390625</v>
      </c>
      <c r="H946" s="200">
        <f t="shared" si="29"/>
        <v>7.4619571864552878E-3</v>
      </c>
    </row>
    <row r="947" spans="2:8" x14ac:dyDescent="0.3">
      <c r="B947" s="198">
        <v>45314</v>
      </c>
      <c r="C947" s="192">
        <v>505.77</v>
      </c>
      <c r="D947" s="201">
        <f t="shared" si="30"/>
        <v>3.4720844410936077E-3</v>
      </c>
      <c r="F947" s="196">
        <v>45314</v>
      </c>
      <c r="G947" s="190">
        <v>21238.80078125</v>
      </c>
      <c r="H947" s="201">
        <f t="shared" si="29"/>
        <v>-1.7740842942734536E-2</v>
      </c>
    </row>
    <row r="948" spans="2:8" x14ac:dyDescent="0.3">
      <c r="B948" s="198">
        <v>45315</v>
      </c>
      <c r="C948" s="192">
        <v>503.62</v>
      </c>
      <c r="D948" s="201">
        <f t="shared" si="30"/>
        <v>-4.2509441050279321E-3</v>
      </c>
      <c r="F948" s="197">
        <v>45315</v>
      </c>
      <c r="G948" s="191">
        <v>21453.94921875</v>
      </c>
      <c r="H948" s="200">
        <f t="shared" si="29"/>
        <v>1.0129971071150917E-2</v>
      </c>
    </row>
    <row r="949" spans="2:8" x14ac:dyDescent="0.3">
      <c r="B949" s="198">
        <v>45316</v>
      </c>
      <c r="C949" s="192">
        <v>500.06</v>
      </c>
      <c r="D949" s="201">
        <f t="shared" si="30"/>
        <v>-7.0688217306699537E-3</v>
      </c>
      <c r="F949" s="196">
        <v>45316</v>
      </c>
      <c r="G949" s="190">
        <v>21352.599609375</v>
      </c>
      <c r="H949" s="201">
        <f t="shared" si="29"/>
        <v>-4.7240537554001476E-3</v>
      </c>
    </row>
    <row r="950" spans="2:8" x14ac:dyDescent="0.3">
      <c r="B950" s="198">
        <v>45320</v>
      </c>
      <c r="C950" s="192">
        <v>504.89</v>
      </c>
      <c r="D950" s="201">
        <f t="shared" si="30"/>
        <v>9.6588409390872768E-3</v>
      </c>
      <c r="F950" s="197">
        <v>45320</v>
      </c>
      <c r="G950" s="191">
        <v>21737.599609375</v>
      </c>
      <c r="H950" s="200">
        <f t="shared" si="29"/>
        <v>1.8030591452244681E-2</v>
      </c>
    </row>
    <row r="951" spans="2:8" x14ac:dyDescent="0.3">
      <c r="B951" s="198">
        <v>45321</v>
      </c>
      <c r="C951" s="192">
        <v>497.59</v>
      </c>
      <c r="D951" s="201">
        <f t="shared" si="30"/>
        <v>-1.4458594941472423E-2</v>
      </c>
      <c r="F951" s="196">
        <v>45321</v>
      </c>
      <c r="G951" s="190">
        <v>21522.099609375</v>
      </c>
      <c r="H951" s="201">
        <f t="shared" si="29"/>
        <v>-9.9136981024831768E-3</v>
      </c>
    </row>
    <row r="952" spans="2:8" x14ac:dyDescent="0.3">
      <c r="B952" s="198">
        <v>45322</v>
      </c>
      <c r="C952" s="192">
        <v>509.21</v>
      </c>
      <c r="D952" s="201">
        <f t="shared" si="30"/>
        <v>2.3352559335999529E-2</v>
      </c>
      <c r="F952" s="197">
        <v>45322</v>
      </c>
      <c r="G952" s="191">
        <v>21725.69921875</v>
      </c>
      <c r="H952" s="200">
        <f t="shared" si="29"/>
        <v>9.4600254190029057E-3</v>
      </c>
    </row>
    <row r="953" spans="2:8" x14ac:dyDescent="0.3">
      <c r="B953" s="198">
        <v>45323</v>
      </c>
      <c r="C953" s="192">
        <v>510.84</v>
      </c>
      <c r="D953" s="201">
        <f t="shared" si="30"/>
        <v>3.2010369002965292E-3</v>
      </c>
      <c r="F953" s="196">
        <v>45323</v>
      </c>
      <c r="G953" s="190">
        <v>21697.44921875</v>
      </c>
      <c r="H953" s="201">
        <f t="shared" si="29"/>
        <v>-1.3003033741542051E-3</v>
      </c>
    </row>
    <row r="954" spans="2:8" x14ac:dyDescent="0.3">
      <c r="B954" s="198">
        <v>45324</v>
      </c>
      <c r="C954" s="192">
        <v>511.33</v>
      </c>
      <c r="D954" s="201">
        <f t="shared" si="30"/>
        <v>9.5920444757655846E-4</v>
      </c>
      <c r="F954" s="197">
        <v>45324</v>
      </c>
      <c r="G954" s="191">
        <v>21853.80078125</v>
      </c>
      <c r="H954" s="200">
        <f t="shared" si="29"/>
        <v>7.2059881750933062E-3</v>
      </c>
    </row>
    <row r="955" spans="2:8" x14ac:dyDescent="0.3">
      <c r="B955" s="198">
        <v>45327</v>
      </c>
      <c r="C955" s="192">
        <v>518</v>
      </c>
      <c r="D955" s="201">
        <f t="shared" si="30"/>
        <v>1.3044413588093827E-2</v>
      </c>
      <c r="F955" s="196">
        <v>45327</v>
      </c>
      <c r="G955" s="190">
        <v>21771.69921875</v>
      </c>
      <c r="H955" s="201">
        <f t="shared" si="29"/>
        <v>-3.7568550808077758E-3</v>
      </c>
    </row>
    <row r="956" spans="2:8" x14ac:dyDescent="0.3">
      <c r="B956" s="198">
        <v>45328</v>
      </c>
      <c r="C956" s="192">
        <v>535.75</v>
      </c>
      <c r="D956" s="201">
        <f t="shared" si="30"/>
        <v>3.4266409266409267E-2</v>
      </c>
      <c r="F956" s="197">
        <v>45328</v>
      </c>
      <c r="G956" s="191">
        <v>21929.400390625</v>
      </c>
      <c r="H956" s="200">
        <f t="shared" si="29"/>
        <v>7.243402101531249E-3</v>
      </c>
    </row>
    <row r="957" spans="2:8" x14ac:dyDescent="0.3">
      <c r="B957" s="198">
        <v>45329</v>
      </c>
      <c r="C957" s="192">
        <v>534.98</v>
      </c>
      <c r="D957" s="201">
        <f t="shared" si="30"/>
        <v>-1.4372375174987995E-3</v>
      </c>
      <c r="F957" s="196">
        <v>45329</v>
      </c>
      <c r="G957" s="190">
        <v>21930.5</v>
      </c>
      <c r="H957" s="201">
        <f t="shared" si="29"/>
        <v>5.0143157378351857E-5</v>
      </c>
    </row>
    <row r="958" spans="2:8" x14ac:dyDescent="0.3">
      <c r="B958" s="198">
        <v>45330</v>
      </c>
      <c r="C958" s="192">
        <v>546.97</v>
      </c>
      <c r="D958" s="201">
        <f t="shared" si="30"/>
        <v>2.2412052787020093E-2</v>
      </c>
      <c r="F958" s="197">
        <v>45330</v>
      </c>
      <c r="G958" s="191">
        <v>21717.94921875</v>
      </c>
      <c r="H958" s="200">
        <f t="shared" si="29"/>
        <v>-9.6920171108729851E-3</v>
      </c>
    </row>
    <row r="959" spans="2:8" x14ac:dyDescent="0.3">
      <c r="B959" s="198">
        <v>45331</v>
      </c>
      <c r="C959" s="192">
        <v>544.84</v>
      </c>
      <c r="D959" s="201">
        <f t="shared" si="30"/>
        <v>-3.8941806680439428E-3</v>
      </c>
      <c r="F959" s="196">
        <v>45331</v>
      </c>
      <c r="G959" s="190">
        <v>21782.5</v>
      </c>
      <c r="H959" s="201">
        <f t="shared" si="29"/>
        <v>2.9722318898448593E-3</v>
      </c>
    </row>
    <row r="960" spans="2:8" x14ac:dyDescent="0.3">
      <c r="B960" s="198">
        <v>45334</v>
      </c>
      <c r="C960" s="192">
        <v>552.54</v>
      </c>
      <c r="D960" s="201">
        <f t="shared" si="30"/>
        <v>1.4132589384039225E-2</v>
      </c>
      <c r="F960" s="197">
        <v>45334</v>
      </c>
      <c r="G960" s="191">
        <v>21616.05078125</v>
      </c>
      <c r="H960" s="200">
        <f t="shared" si="29"/>
        <v>-7.6414194307356824E-3</v>
      </c>
    </row>
    <row r="961" spans="2:8" x14ac:dyDescent="0.3">
      <c r="B961" s="198">
        <v>45335</v>
      </c>
      <c r="C961" s="192">
        <v>554.58000000000004</v>
      </c>
      <c r="D961" s="201">
        <f t="shared" si="30"/>
        <v>3.6920403952656411E-3</v>
      </c>
      <c r="F961" s="196">
        <v>45335</v>
      </c>
      <c r="G961" s="190">
        <v>21743.25</v>
      </c>
      <c r="H961" s="201">
        <f t="shared" si="29"/>
        <v>5.8844800115076526E-3</v>
      </c>
    </row>
    <row r="962" spans="2:8" x14ac:dyDescent="0.3">
      <c r="B962" s="198">
        <v>45336</v>
      </c>
      <c r="C962" s="192">
        <v>568.98</v>
      </c>
      <c r="D962" s="201">
        <f t="shared" si="30"/>
        <v>2.5965595585848707E-2</v>
      </c>
      <c r="F962" s="197">
        <v>45336</v>
      </c>
      <c r="G962" s="191">
        <v>21840.05078125</v>
      </c>
      <c r="H962" s="200">
        <f t="shared" si="29"/>
        <v>4.4519922849619994E-3</v>
      </c>
    </row>
    <row r="963" spans="2:8" x14ac:dyDescent="0.3">
      <c r="B963" s="198">
        <v>45337</v>
      </c>
      <c r="C963" s="192">
        <v>566.83000000000004</v>
      </c>
      <c r="D963" s="201">
        <f t="shared" si="30"/>
        <v>-3.7786916939083572E-3</v>
      </c>
      <c r="F963" s="196">
        <v>45337</v>
      </c>
      <c r="G963" s="190">
        <v>21910.75</v>
      </c>
      <c r="H963" s="201">
        <f t="shared" si="29"/>
        <v>3.2371361888359849E-3</v>
      </c>
    </row>
    <row r="964" spans="2:8" x14ac:dyDescent="0.3">
      <c r="B964" s="198">
        <v>45338</v>
      </c>
      <c r="C964" s="192">
        <v>565.94000000000005</v>
      </c>
      <c r="D964" s="201">
        <f t="shared" si="30"/>
        <v>-1.570135666778375E-3</v>
      </c>
      <c r="F964" s="197">
        <v>45338</v>
      </c>
      <c r="G964" s="191">
        <v>22040.69921875</v>
      </c>
      <c r="H964" s="200">
        <f t="shared" si="29"/>
        <v>5.9308430222607626E-3</v>
      </c>
    </row>
    <row r="965" spans="2:8" x14ac:dyDescent="0.3">
      <c r="B965" s="198">
        <v>45341</v>
      </c>
      <c r="C965" s="192">
        <v>572</v>
      </c>
      <c r="D965" s="201">
        <f t="shared" si="30"/>
        <v>1.0707848888574662E-2</v>
      </c>
      <c r="F965" s="196">
        <v>45341</v>
      </c>
      <c r="G965" s="190">
        <v>22122.25</v>
      </c>
      <c r="H965" s="201">
        <f t="shared" si="29"/>
        <v>3.7000088082788604E-3</v>
      </c>
    </row>
    <row r="966" spans="2:8" x14ac:dyDescent="0.3">
      <c r="B966" s="198">
        <v>45342</v>
      </c>
      <c r="C966" s="192">
        <v>571.67999999999995</v>
      </c>
      <c r="D966" s="201">
        <f t="shared" si="30"/>
        <v>-5.5944055944064694E-4</v>
      </c>
      <c r="F966" s="197">
        <v>45342</v>
      </c>
      <c r="G966" s="191">
        <v>22196.94921875</v>
      </c>
      <c r="H966" s="200">
        <f t="shared" ref="H966:H1029" si="31">(G966-G965)/G965</f>
        <v>3.3766555730090748E-3</v>
      </c>
    </row>
    <row r="967" spans="2:8" x14ac:dyDescent="0.3">
      <c r="B967" s="198">
        <v>45343</v>
      </c>
      <c r="C967" s="192">
        <v>582.29999999999995</v>
      </c>
      <c r="D967" s="201">
        <f t="shared" si="30"/>
        <v>1.8576826196473561E-2</v>
      </c>
      <c r="F967" s="196">
        <v>45343</v>
      </c>
      <c r="G967" s="190">
        <v>22055.05078125</v>
      </c>
      <c r="H967" s="201">
        <f t="shared" si="31"/>
        <v>-6.3927000103301077E-3</v>
      </c>
    </row>
    <row r="968" spans="2:8" x14ac:dyDescent="0.3">
      <c r="B968" s="198">
        <v>45344</v>
      </c>
      <c r="C968" s="192">
        <v>595.42999999999995</v>
      </c>
      <c r="D968" s="201">
        <f t="shared" si="30"/>
        <v>2.2548514511420224E-2</v>
      </c>
      <c r="F968" s="197">
        <v>45344</v>
      </c>
      <c r="G968" s="191">
        <v>22217.44921875</v>
      </c>
      <c r="H968" s="200">
        <f t="shared" si="31"/>
        <v>7.3633218581415499E-3</v>
      </c>
    </row>
    <row r="969" spans="2:8" x14ac:dyDescent="0.3">
      <c r="B969" s="198">
        <v>45345</v>
      </c>
      <c r="C969" s="192">
        <v>602.30999999999995</v>
      </c>
      <c r="D969" s="201">
        <f t="shared" si="30"/>
        <v>1.1554674772853225E-2</v>
      </c>
      <c r="F969" s="196">
        <v>45345</v>
      </c>
      <c r="G969" s="190">
        <v>22212.69921875</v>
      </c>
      <c r="H969" s="201">
        <f t="shared" si="31"/>
        <v>-2.1379592019012364E-4</v>
      </c>
    </row>
    <row r="970" spans="2:8" x14ac:dyDescent="0.3">
      <c r="B970" s="198">
        <v>45348</v>
      </c>
      <c r="C970" s="192">
        <v>610.96</v>
      </c>
      <c r="D970" s="201">
        <f t="shared" si="30"/>
        <v>1.4361375371486596E-2</v>
      </c>
      <c r="F970" s="197">
        <v>45348</v>
      </c>
      <c r="G970" s="191">
        <v>22122.05078125</v>
      </c>
      <c r="H970" s="200">
        <f t="shared" si="31"/>
        <v>-4.0809285088361791E-3</v>
      </c>
    </row>
    <row r="971" spans="2:8" x14ac:dyDescent="0.3">
      <c r="B971" s="198">
        <v>45349</v>
      </c>
      <c r="C971" s="192">
        <v>583.41999999999996</v>
      </c>
      <c r="D971" s="201">
        <f t="shared" si="30"/>
        <v>-4.5076600759460642E-2</v>
      </c>
      <c r="F971" s="196">
        <v>45349</v>
      </c>
      <c r="G971" s="190">
        <v>22198.349609375</v>
      </c>
      <c r="H971" s="201">
        <f t="shared" si="31"/>
        <v>3.4489943486464033E-3</v>
      </c>
    </row>
    <row r="972" spans="2:8" x14ac:dyDescent="0.3">
      <c r="B972" s="198">
        <v>45350</v>
      </c>
      <c r="C972" s="192">
        <v>555.91999999999996</v>
      </c>
      <c r="D972" s="201">
        <f t="shared" si="30"/>
        <v>-4.7135854101676325E-2</v>
      </c>
      <c r="F972" s="197">
        <v>45350</v>
      </c>
      <c r="G972" s="191">
        <v>21951.150390625</v>
      </c>
      <c r="H972" s="200">
        <f t="shared" si="31"/>
        <v>-1.1135927809948569E-2</v>
      </c>
    </row>
    <row r="973" spans="2:8" x14ac:dyDescent="0.3">
      <c r="B973" s="198">
        <v>45351</v>
      </c>
      <c r="C973" s="192">
        <v>560.15</v>
      </c>
      <c r="D973" s="201">
        <f t="shared" si="30"/>
        <v>7.6090084904303114E-3</v>
      </c>
      <c r="F973" s="196">
        <v>45351</v>
      </c>
      <c r="G973" s="190">
        <v>21982.80078125</v>
      </c>
      <c r="H973" s="201">
        <f t="shared" si="31"/>
        <v>1.4418556686904846E-3</v>
      </c>
    </row>
    <row r="974" spans="2:8" x14ac:dyDescent="0.3">
      <c r="B974" s="198">
        <v>45352</v>
      </c>
      <c r="C974" s="192">
        <v>563.87</v>
      </c>
      <c r="D974" s="201">
        <f t="shared" si="30"/>
        <v>6.6410782826029236E-3</v>
      </c>
      <c r="F974" s="197">
        <v>45352</v>
      </c>
      <c r="G974" s="191">
        <v>22338.75</v>
      </c>
      <c r="H974" s="200">
        <f t="shared" si="31"/>
        <v>1.6192168700068607E-2</v>
      </c>
    </row>
    <row r="975" spans="2:8" x14ac:dyDescent="0.3">
      <c r="B975" s="198">
        <v>45355</v>
      </c>
      <c r="C975" s="192">
        <v>570.35</v>
      </c>
      <c r="D975" s="201">
        <f t="shared" si="30"/>
        <v>1.1492010569812222E-2</v>
      </c>
      <c r="F975" s="196">
        <v>45355</v>
      </c>
      <c r="G975" s="190">
        <v>22405.599609375</v>
      </c>
      <c r="H975" s="201">
        <f t="shared" si="31"/>
        <v>2.9925402887359411E-3</v>
      </c>
    </row>
    <row r="976" spans="2:8" x14ac:dyDescent="0.3">
      <c r="B976" s="198">
        <v>45356</v>
      </c>
      <c r="C976" s="192">
        <v>548.64</v>
      </c>
      <c r="D976" s="201">
        <f t="shared" si="30"/>
        <v>-3.8064346453931856E-2</v>
      </c>
      <c r="F976" s="197">
        <v>45356</v>
      </c>
      <c r="G976" s="191">
        <v>22356.30078125</v>
      </c>
      <c r="H976" s="200">
        <f t="shared" si="31"/>
        <v>-2.2002905070379049E-3</v>
      </c>
    </row>
    <row r="977" spans="2:8" x14ac:dyDescent="0.3">
      <c r="B977" s="198">
        <v>45357</v>
      </c>
      <c r="C977" s="192">
        <v>570.23</v>
      </c>
      <c r="D977" s="201">
        <f t="shared" si="30"/>
        <v>3.9351851851851909E-2</v>
      </c>
      <c r="F977" s="196">
        <v>45357</v>
      </c>
      <c r="G977" s="190">
        <v>22474.05078125</v>
      </c>
      <c r="H977" s="201">
        <f t="shared" si="31"/>
        <v>5.2669715420341689E-3</v>
      </c>
    </row>
    <row r="978" spans="2:8" x14ac:dyDescent="0.3">
      <c r="B978" s="198">
        <v>45358</v>
      </c>
      <c r="C978" s="192">
        <v>566.05999999999995</v>
      </c>
      <c r="D978" s="201">
        <f t="shared" si="30"/>
        <v>-7.3128386791296018E-3</v>
      </c>
      <c r="F978" s="197">
        <v>45358</v>
      </c>
      <c r="G978" s="191">
        <v>22493.55078125</v>
      </c>
      <c r="H978" s="200">
        <f t="shared" si="31"/>
        <v>8.6766734621195941E-4</v>
      </c>
    </row>
    <row r="979" spans="2:8" x14ac:dyDescent="0.3">
      <c r="B979" s="198">
        <v>45362</v>
      </c>
      <c r="C979" s="192">
        <v>562.44000000000005</v>
      </c>
      <c r="D979" s="201">
        <f t="shared" si="30"/>
        <v>-6.3950817934492659E-3</v>
      </c>
      <c r="F979" s="196">
        <v>45362</v>
      </c>
      <c r="G979" s="190">
        <v>22332.650390625</v>
      </c>
      <c r="H979" s="201">
        <f t="shared" si="31"/>
        <v>-7.1531788017711326E-3</v>
      </c>
    </row>
    <row r="980" spans="2:8" x14ac:dyDescent="0.3">
      <c r="B980" s="198">
        <v>45363</v>
      </c>
      <c r="C980" s="192">
        <v>565.74</v>
      </c>
      <c r="D980" s="201">
        <f t="shared" si="30"/>
        <v>5.8672925112011132E-3</v>
      </c>
      <c r="F980" s="197">
        <v>45363</v>
      </c>
      <c r="G980" s="191">
        <v>22335.69921875</v>
      </c>
      <c r="H980" s="200">
        <f t="shared" si="31"/>
        <v>1.3651886684617893E-4</v>
      </c>
    </row>
    <row r="981" spans="2:8" x14ac:dyDescent="0.3">
      <c r="B981" s="198">
        <v>45364</v>
      </c>
      <c r="C981" s="192">
        <v>554.34</v>
      </c>
      <c r="D981" s="201">
        <f t="shared" si="30"/>
        <v>-2.0150599215187148E-2</v>
      </c>
      <c r="F981" s="196">
        <v>45364</v>
      </c>
      <c r="G981" s="190">
        <v>21997.69921875</v>
      </c>
      <c r="H981" s="201">
        <f t="shared" si="31"/>
        <v>-1.5132725270416491E-2</v>
      </c>
    </row>
    <row r="982" spans="2:8" x14ac:dyDescent="0.3">
      <c r="B982" s="198">
        <v>45365</v>
      </c>
      <c r="C982" s="192">
        <v>563.80999999999995</v>
      </c>
      <c r="D982" s="201">
        <f t="shared" si="30"/>
        <v>1.7083378432009081E-2</v>
      </c>
      <c r="F982" s="197">
        <v>45365</v>
      </c>
      <c r="G982" s="191">
        <v>22146.650390625</v>
      </c>
      <c r="H982" s="200">
        <f t="shared" si="31"/>
        <v>6.7712159528047237E-3</v>
      </c>
    </row>
    <row r="983" spans="2:8" x14ac:dyDescent="0.3">
      <c r="B983" s="198">
        <v>45366</v>
      </c>
      <c r="C983" s="192">
        <v>570.37</v>
      </c>
      <c r="D983" s="201">
        <f t="shared" si="30"/>
        <v>1.1635125308171299E-2</v>
      </c>
      <c r="F983" s="196">
        <v>45366</v>
      </c>
      <c r="G983" s="190">
        <v>22023.349609375</v>
      </c>
      <c r="H983" s="201">
        <f t="shared" si="31"/>
        <v>-5.5674686273186943E-3</v>
      </c>
    </row>
    <row r="984" spans="2:8" x14ac:dyDescent="0.3">
      <c r="B984" s="198">
        <v>45369</v>
      </c>
      <c r="C984" s="192">
        <v>571.27</v>
      </c>
      <c r="D984" s="201">
        <f t="shared" si="30"/>
        <v>1.5779231025474293E-3</v>
      </c>
      <c r="F984" s="197">
        <v>45369</v>
      </c>
      <c r="G984" s="191">
        <v>22055.69921875</v>
      </c>
      <c r="H984" s="200">
        <f t="shared" si="31"/>
        <v>1.4688778023679591E-3</v>
      </c>
    </row>
    <row r="985" spans="2:8" x14ac:dyDescent="0.3">
      <c r="B985" s="198">
        <v>45370</v>
      </c>
      <c r="C985" s="192">
        <v>556.27</v>
      </c>
      <c r="D985" s="201">
        <f t="shared" si="30"/>
        <v>-2.6257286396975162E-2</v>
      </c>
      <c r="F985" s="196">
        <v>45370</v>
      </c>
      <c r="G985" s="190">
        <v>21817.44921875</v>
      </c>
      <c r="H985" s="201">
        <f t="shared" si="31"/>
        <v>-1.080219664028873E-2</v>
      </c>
    </row>
    <row r="986" spans="2:8" x14ac:dyDescent="0.3">
      <c r="B986" s="198">
        <v>45371</v>
      </c>
      <c r="C986" s="192">
        <v>556.83000000000004</v>
      </c>
      <c r="D986" s="201">
        <f t="shared" si="30"/>
        <v>1.0067053768854318E-3</v>
      </c>
      <c r="F986" s="197">
        <v>45371</v>
      </c>
      <c r="G986" s="191">
        <v>21839.099609375</v>
      </c>
      <c r="H986" s="200">
        <f t="shared" si="31"/>
        <v>9.9234289068006964E-4</v>
      </c>
    </row>
    <row r="987" spans="2:8" x14ac:dyDescent="0.3">
      <c r="B987" s="198">
        <v>45372</v>
      </c>
      <c r="C987" s="192">
        <v>556.87</v>
      </c>
      <c r="D987" s="201">
        <f t="shared" si="30"/>
        <v>7.1835210028129985E-5</v>
      </c>
      <c r="F987" s="196">
        <v>45372</v>
      </c>
      <c r="G987" s="190">
        <v>22011.94921875</v>
      </c>
      <c r="H987" s="201">
        <f t="shared" si="31"/>
        <v>7.9146856998078725E-3</v>
      </c>
    </row>
    <row r="988" spans="2:8" x14ac:dyDescent="0.3">
      <c r="B988" s="198">
        <v>45373</v>
      </c>
      <c r="C988" s="192">
        <v>557.73</v>
      </c>
      <c r="D988" s="201">
        <f t="shared" si="30"/>
        <v>1.5443460771814132E-3</v>
      </c>
      <c r="F988" s="197">
        <v>45373</v>
      </c>
      <c r="G988" s="191">
        <v>22096.75</v>
      </c>
      <c r="H988" s="200">
        <f t="shared" si="31"/>
        <v>3.8524885010077091E-3</v>
      </c>
    </row>
    <row r="989" spans="2:8" x14ac:dyDescent="0.3">
      <c r="B989" s="198">
        <v>45377</v>
      </c>
      <c r="C989" s="192">
        <v>557.45000000000005</v>
      </c>
      <c r="D989" s="201">
        <f t="shared" si="30"/>
        <v>-5.0203503487345619E-4</v>
      </c>
      <c r="F989" s="196">
        <v>45377</v>
      </c>
      <c r="G989" s="190">
        <v>22004.69921875</v>
      </c>
      <c r="H989" s="201">
        <f t="shared" si="31"/>
        <v>-4.1658063402989125E-3</v>
      </c>
    </row>
    <row r="990" spans="2:8" x14ac:dyDescent="0.3">
      <c r="B990" s="198">
        <v>45378</v>
      </c>
      <c r="C990" s="192">
        <v>550.41</v>
      </c>
      <c r="D990" s="201">
        <f t="shared" si="30"/>
        <v>-1.2628935330523054E-2</v>
      </c>
      <c r="F990" s="197">
        <v>45378</v>
      </c>
      <c r="G990" s="191">
        <v>22123.650390625</v>
      </c>
      <c r="H990" s="200">
        <f t="shared" si="31"/>
        <v>5.40571678315161E-3</v>
      </c>
    </row>
    <row r="991" spans="2:8" x14ac:dyDescent="0.3">
      <c r="B991" s="198">
        <v>45379</v>
      </c>
      <c r="C991" s="192">
        <v>556.21</v>
      </c>
      <c r="D991" s="201">
        <f t="shared" si="30"/>
        <v>1.0537599244199903E-2</v>
      </c>
      <c r="F991" s="196">
        <v>45379</v>
      </c>
      <c r="G991" s="190">
        <v>22326.900390625</v>
      </c>
      <c r="H991" s="201">
        <f t="shared" si="31"/>
        <v>9.1870010785438973E-3</v>
      </c>
    </row>
    <row r="992" spans="2:8" x14ac:dyDescent="0.3">
      <c r="B992" s="198">
        <v>45383</v>
      </c>
      <c r="C992" s="192">
        <v>555.66</v>
      </c>
      <c r="D992" s="201">
        <f t="shared" si="30"/>
        <v>-9.8883515219084193E-4</v>
      </c>
      <c r="F992" s="197">
        <v>45383</v>
      </c>
      <c r="G992" s="191">
        <v>22462</v>
      </c>
      <c r="H992" s="200">
        <f t="shared" si="31"/>
        <v>6.0509791780917303E-3</v>
      </c>
    </row>
    <row r="993" spans="2:8" x14ac:dyDescent="0.3">
      <c r="B993" s="198">
        <v>45384</v>
      </c>
      <c r="C993" s="192">
        <v>560.53</v>
      </c>
      <c r="D993" s="201">
        <f t="shared" ref="D993:D1056" si="32">(C993-C992)/C992</f>
        <v>8.7643523017672757E-3</v>
      </c>
      <c r="F993" s="196">
        <v>45384</v>
      </c>
      <c r="G993" s="190">
        <v>22453.30078125</v>
      </c>
      <c r="H993" s="201">
        <f t="shared" si="31"/>
        <v>-3.872860275131333E-4</v>
      </c>
    </row>
    <row r="994" spans="2:8" x14ac:dyDescent="0.3">
      <c r="B994" s="198">
        <v>45385</v>
      </c>
      <c r="C994" s="192">
        <v>586.96</v>
      </c>
      <c r="D994" s="201">
        <f t="shared" si="32"/>
        <v>4.7151802758104051E-2</v>
      </c>
      <c r="F994" s="197">
        <v>45385</v>
      </c>
      <c r="G994" s="191">
        <v>22434.650390625</v>
      </c>
      <c r="H994" s="200">
        <f t="shared" si="31"/>
        <v>-8.3063024036868183E-4</v>
      </c>
    </row>
    <row r="995" spans="2:8" x14ac:dyDescent="0.3">
      <c r="B995" s="198">
        <v>45386</v>
      </c>
      <c r="C995" s="192">
        <v>602.84</v>
      </c>
      <c r="D995" s="201">
        <f t="shared" si="32"/>
        <v>2.7054654490936341E-2</v>
      </c>
      <c r="F995" s="196">
        <v>45386</v>
      </c>
      <c r="G995" s="190">
        <v>22514.650390625</v>
      </c>
      <c r="H995" s="201">
        <f t="shared" si="31"/>
        <v>3.5659124883635554E-3</v>
      </c>
    </row>
    <row r="996" spans="2:8" x14ac:dyDescent="0.3">
      <c r="B996" s="198">
        <v>45387</v>
      </c>
      <c r="C996" s="192">
        <v>594.55999999999995</v>
      </c>
      <c r="D996" s="201">
        <f t="shared" si="32"/>
        <v>-1.3734987724769568E-2</v>
      </c>
      <c r="F996" s="197">
        <v>45387</v>
      </c>
      <c r="G996" s="191">
        <v>22513.69921875</v>
      </c>
      <c r="H996" s="200">
        <f t="shared" si="31"/>
        <v>-4.2246797462867275E-5</v>
      </c>
    </row>
    <row r="997" spans="2:8" x14ac:dyDescent="0.3">
      <c r="B997" s="198">
        <v>45390</v>
      </c>
      <c r="C997" s="192">
        <v>577.17999999999995</v>
      </c>
      <c r="D997" s="201">
        <f t="shared" si="32"/>
        <v>-2.9231700753498381E-2</v>
      </c>
      <c r="F997" s="196">
        <v>45390</v>
      </c>
      <c r="G997" s="190">
        <v>22666.30078125</v>
      </c>
      <c r="H997" s="201">
        <f t="shared" si="31"/>
        <v>6.7781647528145621E-3</v>
      </c>
    </row>
    <row r="998" spans="2:8" x14ac:dyDescent="0.3">
      <c r="B998" s="198">
        <v>45391</v>
      </c>
      <c r="C998" s="192">
        <v>571.09</v>
      </c>
      <c r="D998" s="201">
        <f t="shared" si="32"/>
        <v>-1.0551301153885995E-2</v>
      </c>
      <c r="F998" s="197">
        <v>45391</v>
      </c>
      <c r="G998" s="191">
        <v>22642.75</v>
      </c>
      <c r="H998" s="200">
        <f t="shared" si="31"/>
        <v>-1.0390218270412109E-3</v>
      </c>
    </row>
    <row r="999" spans="2:8" x14ac:dyDescent="0.3">
      <c r="B999" s="198">
        <v>45392</v>
      </c>
      <c r="C999" s="192">
        <v>566.62</v>
      </c>
      <c r="D999" s="201">
        <f t="shared" si="32"/>
        <v>-7.8271375790156146E-3</v>
      </c>
      <c r="F999" s="196">
        <v>45392</v>
      </c>
      <c r="G999" s="190">
        <v>22753.80078125</v>
      </c>
      <c r="H999" s="201">
        <f t="shared" si="31"/>
        <v>4.9044741142308243E-3</v>
      </c>
    </row>
    <row r="1000" spans="2:8" x14ac:dyDescent="0.3">
      <c r="B1000" s="198">
        <v>45394</v>
      </c>
      <c r="C1000" s="192">
        <v>551.61</v>
      </c>
      <c r="D1000" s="201">
        <f t="shared" si="32"/>
        <v>-2.6490416857858867E-2</v>
      </c>
      <c r="F1000" s="197">
        <v>45394</v>
      </c>
      <c r="G1000" s="191">
        <v>22519.400390625</v>
      </c>
      <c r="H1000" s="200">
        <f t="shared" si="31"/>
        <v>-1.0301592814249954E-2</v>
      </c>
    </row>
    <row r="1001" spans="2:8" x14ac:dyDescent="0.3">
      <c r="B1001" s="198">
        <v>45397</v>
      </c>
      <c r="C1001" s="192">
        <v>549.72</v>
      </c>
      <c r="D1001" s="201">
        <f t="shared" si="32"/>
        <v>-3.4263338228095689E-3</v>
      </c>
      <c r="F1001" s="196">
        <v>45397</v>
      </c>
      <c r="G1001" s="190">
        <v>22272.5</v>
      </c>
      <c r="H1001" s="201">
        <f t="shared" si="31"/>
        <v>-1.0963897188301094E-2</v>
      </c>
    </row>
    <row r="1002" spans="2:8" x14ac:dyDescent="0.3">
      <c r="B1002" s="198">
        <v>45398</v>
      </c>
      <c r="C1002" s="192">
        <v>558.80999999999995</v>
      </c>
      <c r="D1002" s="201">
        <f t="shared" si="32"/>
        <v>1.6535690897183871E-2</v>
      </c>
      <c r="F1002" s="197">
        <v>45398</v>
      </c>
      <c r="G1002" s="191">
        <v>22147.900390625</v>
      </c>
      <c r="H1002" s="200">
        <f t="shared" si="31"/>
        <v>-5.5943252609720511E-3</v>
      </c>
    </row>
    <row r="1003" spans="2:8" x14ac:dyDescent="0.3">
      <c r="B1003" s="198">
        <v>45400</v>
      </c>
      <c r="C1003" s="192">
        <v>556.42999999999995</v>
      </c>
      <c r="D1003" s="201">
        <f t="shared" si="32"/>
        <v>-4.2590504822748263E-3</v>
      </c>
      <c r="F1003" s="196">
        <v>45400</v>
      </c>
      <c r="G1003" s="190">
        <v>21995.849609375</v>
      </c>
      <c r="H1003" s="201">
        <f t="shared" si="31"/>
        <v>-6.8652458503182393E-3</v>
      </c>
    </row>
    <row r="1004" spans="2:8" x14ac:dyDescent="0.3">
      <c r="B1004" s="198">
        <v>45401</v>
      </c>
      <c r="C1004" s="192">
        <v>555.69000000000005</v>
      </c>
      <c r="D1004" s="201">
        <f t="shared" si="32"/>
        <v>-1.32990672681181E-3</v>
      </c>
      <c r="F1004" s="197">
        <v>45401</v>
      </c>
      <c r="G1004" s="191">
        <v>22147</v>
      </c>
      <c r="H1004" s="200">
        <f t="shared" si="31"/>
        <v>6.8717686886064708E-3</v>
      </c>
    </row>
    <row r="1005" spans="2:8" x14ac:dyDescent="0.3">
      <c r="B1005" s="198">
        <v>45404</v>
      </c>
      <c r="C1005" s="192">
        <v>569.29999999999995</v>
      </c>
      <c r="D1005" s="201">
        <f t="shared" si="32"/>
        <v>2.4492072918353577E-2</v>
      </c>
      <c r="F1005" s="196">
        <v>45404</v>
      </c>
      <c r="G1005" s="190">
        <v>22336.400390625</v>
      </c>
      <c r="H1005" s="201">
        <f t="shared" si="31"/>
        <v>8.5519659829773782E-3</v>
      </c>
    </row>
    <row r="1006" spans="2:8" x14ac:dyDescent="0.3">
      <c r="B1006" s="198">
        <v>45405</v>
      </c>
      <c r="C1006" s="192">
        <v>569.55999999999995</v>
      </c>
      <c r="D1006" s="201">
        <f t="shared" si="32"/>
        <v>4.5670121201473905E-4</v>
      </c>
      <c r="F1006" s="197">
        <v>45405</v>
      </c>
      <c r="G1006" s="191">
        <v>22368</v>
      </c>
      <c r="H1006" s="200">
        <f t="shared" si="31"/>
        <v>1.4147135985377009E-3</v>
      </c>
    </row>
    <row r="1007" spans="2:8" x14ac:dyDescent="0.3">
      <c r="B1007" s="198">
        <v>45406</v>
      </c>
      <c r="C1007" s="192">
        <v>575.19000000000005</v>
      </c>
      <c r="D1007" s="201">
        <f t="shared" si="32"/>
        <v>9.884823372428032E-3</v>
      </c>
      <c r="F1007" s="196">
        <v>45406</v>
      </c>
      <c r="G1007" s="190">
        <v>22402.400390625</v>
      </c>
      <c r="H1007" s="201">
        <f t="shared" si="31"/>
        <v>1.5379287654238199E-3</v>
      </c>
    </row>
    <row r="1008" spans="2:8" x14ac:dyDescent="0.3">
      <c r="B1008" s="198">
        <v>45407</v>
      </c>
      <c r="C1008" s="192">
        <v>573.94000000000005</v>
      </c>
      <c r="D1008" s="201">
        <f t="shared" si="32"/>
        <v>-2.1731949442792813E-3</v>
      </c>
      <c r="F1008" s="197">
        <v>45407</v>
      </c>
      <c r="G1008" s="191">
        <v>22570.349609375</v>
      </c>
      <c r="H1008" s="200">
        <f t="shared" si="31"/>
        <v>7.4969296067167743E-3</v>
      </c>
    </row>
    <row r="1009" spans="2:8" x14ac:dyDescent="0.3">
      <c r="B1009" s="198">
        <v>45408</v>
      </c>
      <c r="C1009" s="192">
        <v>581</v>
      </c>
      <c r="D1009" s="201">
        <f t="shared" si="32"/>
        <v>1.2300937380213864E-2</v>
      </c>
      <c r="F1009" s="196">
        <v>45408</v>
      </c>
      <c r="G1009" s="190">
        <v>22419.94921875</v>
      </c>
      <c r="H1009" s="201">
        <f t="shared" si="31"/>
        <v>-6.6636269808832953E-3</v>
      </c>
    </row>
    <row r="1010" spans="2:8" x14ac:dyDescent="0.3">
      <c r="B1010" s="198">
        <v>45411</v>
      </c>
      <c r="C1010" s="192">
        <v>591.53</v>
      </c>
      <c r="D1010" s="201">
        <f t="shared" si="32"/>
        <v>1.8123924268502536E-2</v>
      </c>
      <c r="F1010" s="197">
        <v>45411</v>
      </c>
      <c r="G1010" s="191">
        <v>22643.400390625</v>
      </c>
      <c r="H1010" s="200">
        <f t="shared" si="31"/>
        <v>9.9666225688025117E-3</v>
      </c>
    </row>
    <row r="1011" spans="2:8" x14ac:dyDescent="0.3">
      <c r="B1011" s="198">
        <v>45412</v>
      </c>
      <c r="C1011" s="192">
        <v>588.87</v>
      </c>
      <c r="D1011" s="201">
        <f t="shared" si="32"/>
        <v>-4.4968133484353592E-3</v>
      </c>
      <c r="F1011" s="196">
        <v>45412</v>
      </c>
      <c r="G1011" s="190">
        <v>22604.849609375</v>
      </c>
      <c r="H1011" s="201">
        <f t="shared" si="31"/>
        <v>-1.7025173156396201E-3</v>
      </c>
    </row>
    <row r="1012" spans="2:8" x14ac:dyDescent="0.3">
      <c r="B1012" s="198">
        <v>45414</v>
      </c>
      <c r="C1012" s="192">
        <v>603.73</v>
      </c>
      <c r="D1012" s="201">
        <f t="shared" si="32"/>
        <v>2.5234771681355839E-2</v>
      </c>
      <c r="F1012" s="197">
        <v>45414</v>
      </c>
      <c r="G1012" s="191">
        <v>22648.19921875</v>
      </c>
      <c r="H1012" s="200">
        <f t="shared" si="31"/>
        <v>1.9177127972141625E-3</v>
      </c>
    </row>
    <row r="1013" spans="2:8" x14ac:dyDescent="0.3">
      <c r="B1013" s="198">
        <v>45415</v>
      </c>
      <c r="C1013" s="192">
        <v>599.71</v>
      </c>
      <c r="D1013" s="201">
        <f t="shared" si="32"/>
        <v>-6.658605668096635E-3</v>
      </c>
      <c r="F1013" s="196">
        <v>45415</v>
      </c>
      <c r="G1013" s="190">
        <v>22475.849609375</v>
      </c>
      <c r="H1013" s="201">
        <f t="shared" si="31"/>
        <v>-7.6098592965534824E-3</v>
      </c>
    </row>
    <row r="1014" spans="2:8" x14ac:dyDescent="0.3">
      <c r="B1014" s="198">
        <v>45418</v>
      </c>
      <c r="C1014" s="192">
        <v>599.89</v>
      </c>
      <c r="D1014" s="201">
        <f t="shared" si="32"/>
        <v>3.0014507011713988E-4</v>
      </c>
      <c r="F1014" s="197">
        <v>45418</v>
      </c>
      <c r="G1014" s="191">
        <v>22442.69921875</v>
      </c>
      <c r="H1014" s="200">
        <f t="shared" si="31"/>
        <v>-1.4749338156797639E-3</v>
      </c>
    </row>
    <row r="1015" spans="2:8" x14ac:dyDescent="0.3">
      <c r="B1015" s="198">
        <v>45419</v>
      </c>
      <c r="C1015" s="192">
        <v>574.28</v>
      </c>
      <c r="D1015" s="201">
        <f t="shared" si="32"/>
        <v>-4.269116004600846E-2</v>
      </c>
      <c r="F1015" s="196">
        <v>45419</v>
      </c>
      <c r="G1015" s="190">
        <v>22302.5</v>
      </c>
      <c r="H1015" s="201">
        <f t="shared" si="31"/>
        <v>-6.2469855957820357E-3</v>
      </c>
    </row>
    <row r="1016" spans="2:8" x14ac:dyDescent="0.3">
      <c r="B1016" s="198">
        <v>45420</v>
      </c>
      <c r="C1016" s="192">
        <v>598.36</v>
      </c>
      <c r="D1016" s="201">
        <f t="shared" si="32"/>
        <v>4.193076548025361E-2</v>
      </c>
      <c r="F1016" s="197">
        <v>45420</v>
      </c>
      <c r="G1016" s="191">
        <v>22302.5</v>
      </c>
      <c r="H1016" s="200">
        <f t="shared" si="31"/>
        <v>0</v>
      </c>
    </row>
    <row r="1017" spans="2:8" x14ac:dyDescent="0.3">
      <c r="B1017" s="198">
        <v>45421</v>
      </c>
      <c r="C1017" s="192">
        <v>575.16999999999996</v>
      </c>
      <c r="D1017" s="201">
        <f t="shared" si="32"/>
        <v>-3.875593288321421E-2</v>
      </c>
      <c r="F1017" s="196">
        <v>45421</v>
      </c>
      <c r="G1017" s="190">
        <v>21957.5</v>
      </c>
      <c r="H1017" s="201">
        <f t="shared" si="31"/>
        <v>-1.5469117811904494E-2</v>
      </c>
    </row>
    <row r="1018" spans="2:8" x14ac:dyDescent="0.3">
      <c r="B1018" s="198">
        <v>45422</v>
      </c>
      <c r="C1018" s="192">
        <v>582.44000000000005</v>
      </c>
      <c r="D1018" s="201">
        <f t="shared" si="32"/>
        <v>1.2639741293878499E-2</v>
      </c>
      <c r="F1018" s="197">
        <v>45422</v>
      </c>
      <c r="G1018" s="191">
        <v>22055.19921875</v>
      </c>
      <c r="H1018" s="200">
        <f t="shared" si="31"/>
        <v>4.4494691449390869E-3</v>
      </c>
    </row>
    <row r="1019" spans="2:8" x14ac:dyDescent="0.3">
      <c r="B1019" s="198">
        <v>45425</v>
      </c>
      <c r="C1019" s="192">
        <v>588.01</v>
      </c>
      <c r="D1019" s="201">
        <f t="shared" si="32"/>
        <v>9.5632168120320313E-3</v>
      </c>
      <c r="F1019" s="196">
        <v>45425</v>
      </c>
      <c r="G1019" s="190">
        <v>22104.05078125</v>
      </c>
      <c r="H1019" s="201">
        <f t="shared" si="31"/>
        <v>2.214968090538459E-3</v>
      </c>
    </row>
    <row r="1020" spans="2:8" x14ac:dyDescent="0.3">
      <c r="B1020" s="198">
        <v>45426</v>
      </c>
      <c r="C1020" s="192">
        <v>592.69000000000005</v>
      </c>
      <c r="D1020" s="201">
        <f t="shared" si="32"/>
        <v>7.9590483155049466E-3</v>
      </c>
      <c r="F1020" s="197">
        <v>45426</v>
      </c>
      <c r="G1020" s="191">
        <v>22217.849609375</v>
      </c>
      <c r="H1020" s="200">
        <f t="shared" si="31"/>
        <v>5.1483245877054842E-3</v>
      </c>
    </row>
    <row r="1021" spans="2:8" x14ac:dyDescent="0.3">
      <c r="B1021" s="198">
        <v>45427</v>
      </c>
      <c r="C1021" s="192">
        <v>596.80999999999995</v>
      </c>
      <c r="D1021" s="201">
        <f t="shared" si="32"/>
        <v>6.9513573706320173E-3</v>
      </c>
      <c r="F1021" s="196">
        <v>45427</v>
      </c>
      <c r="G1021" s="190">
        <v>22200.55078125</v>
      </c>
      <c r="H1021" s="201">
        <f t="shared" si="31"/>
        <v>-7.7860046895360301E-4</v>
      </c>
    </row>
    <row r="1022" spans="2:8" x14ac:dyDescent="0.3">
      <c r="B1022" s="198">
        <v>45428</v>
      </c>
      <c r="C1022" s="192">
        <v>594.36</v>
      </c>
      <c r="D1022" s="201">
        <f t="shared" si="32"/>
        <v>-4.1051590958595396E-3</v>
      </c>
      <c r="F1022" s="197">
        <v>45428</v>
      </c>
      <c r="G1022" s="191">
        <v>22403.849609375</v>
      </c>
      <c r="H1022" s="200">
        <f t="shared" si="31"/>
        <v>9.1573776762647191E-3</v>
      </c>
    </row>
    <row r="1023" spans="2:8" x14ac:dyDescent="0.3">
      <c r="B1023" s="198">
        <v>45429</v>
      </c>
      <c r="C1023" s="192">
        <v>603.21</v>
      </c>
      <c r="D1023" s="201">
        <f t="shared" si="32"/>
        <v>1.4889965677367291E-2</v>
      </c>
      <c r="F1023" s="196">
        <v>45429</v>
      </c>
      <c r="G1023" s="190">
        <v>22466.099609375</v>
      </c>
      <c r="H1023" s="201">
        <f t="shared" si="31"/>
        <v>2.7785403439751347E-3</v>
      </c>
    </row>
    <row r="1024" spans="2:8" x14ac:dyDescent="0.3">
      <c r="B1024" s="198">
        <v>45433</v>
      </c>
      <c r="C1024" s="192">
        <v>601.62</v>
      </c>
      <c r="D1024" s="201">
        <f t="shared" si="32"/>
        <v>-2.6358979459890118E-3</v>
      </c>
      <c r="F1024" s="197">
        <v>45433</v>
      </c>
      <c r="G1024" s="191">
        <v>22529.05078125</v>
      </c>
      <c r="H1024" s="200">
        <f t="shared" si="31"/>
        <v>2.8020516676036979E-3</v>
      </c>
    </row>
    <row r="1025" spans="2:8" x14ac:dyDescent="0.3">
      <c r="B1025" s="198">
        <v>45434</v>
      </c>
      <c r="C1025" s="192">
        <v>602.66</v>
      </c>
      <c r="D1025" s="201">
        <f t="shared" si="32"/>
        <v>1.7286659353079412E-3</v>
      </c>
      <c r="F1025" s="196">
        <v>45434</v>
      </c>
      <c r="G1025" s="190">
        <v>22597.80078125</v>
      </c>
      <c r="H1025" s="201">
        <f t="shared" si="31"/>
        <v>3.051615474950138E-3</v>
      </c>
    </row>
    <row r="1026" spans="2:8" x14ac:dyDescent="0.3">
      <c r="B1026" s="198">
        <v>45435</v>
      </c>
      <c r="C1026" s="192">
        <v>597.98</v>
      </c>
      <c r="D1026" s="201">
        <f t="shared" si="32"/>
        <v>-7.7655726280157142E-3</v>
      </c>
      <c r="F1026" s="197">
        <v>45435</v>
      </c>
      <c r="G1026" s="191">
        <v>22967.650390625</v>
      </c>
      <c r="H1026" s="200">
        <f t="shared" si="31"/>
        <v>1.6366619608483058E-2</v>
      </c>
    </row>
    <row r="1027" spans="2:8" x14ac:dyDescent="0.3">
      <c r="B1027" s="198">
        <v>45436</v>
      </c>
      <c r="C1027" s="192">
        <v>596.37</v>
      </c>
      <c r="D1027" s="201">
        <f t="shared" si="32"/>
        <v>-2.6923977390548408E-3</v>
      </c>
      <c r="F1027" s="196">
        <v>45436</v>
      </c>
      <c r="G1027" s="190">
        <v>22957.099609375</v>
      </c>
      <c r="H1027" s="201">
        <f t="shared" si="31"/>
        <v>-4.5937573371922485E-4</v>
      </c>
    </row>
    <row r="1028" spans="2:8" x14ac:dyDescent="0.3">
      <c r="B1028" s="198">
        <v>45439</v>
      </c>
      <c r="C1028" s="192">
        <v>595.66999999999996</v>
      </c>
      <c r="D1028" s="201">
        <f t="shared" si="32"/>
        <v>-1.1737679628419362E-3</v>
      </c>
      <c r="F1028" s="197">
        <v>45439</v>
      </c>
      <c r="G1028" s="191">
        <v>22932.44921875</v>
      </c>
      <c r="H1028" s="200">
        <f t="shared" si="31"/>
        <v>-1.0737589261900274E-3</v>
      </c>
    </row>
    <row r="1029" spans="2:8" x14ac:dyDescent="0.3">
      <c r="B1029" s="198">
        <v>45440</v>
      </c>
      <c r="C1029" s="192">
        <v>585.12</v>
      </c>
      <c r="D1029" s="201">
        <f t="shared" si="32"/>
        <v>-1.7711148790437583E-2</v>
      </c>
      <c r="F1029" s="196">
        <v>45440</v>
      </c>
      <c r="G1029" s="190">
        <v>22888.150390625</v>
      </c>
      <c r="H1029" s="201">
        <f t="shared" si="31"/>
        <v>-1.9317094176221025E-3</v>
      </c>
    </row>
    <row r="1030" spans="2:8" x14ac:dyDescent="0.3">
      <c r="B1030" s="198">
        <v>45441</v>
      </c>
      <c r="C1030" s="192">
        <v>569.29999999999995</v>
      </c>
      <c r="D1030" s="201">
        <f t="shared" si="32"/>
        <v>-2.7037188952693549E-2</v>
      </c>
      <c r="F1030" s="197">
        <v>45441</v>
      </c>
      <c r="G1030" s="191">
        <v>22704.69921875</v>
      </c>
      <c r="H1030" s="200">
        <f t="shared" ref="H1030:H1093" si="33">(G1030-G1029)/G1029</f>
        <v>-8.0151156272610692E-3</v>
      </c>
    </row>
    <row r="1031" spans="2:8" x14ac:dyDescent="0.3">
      <c r="B1031" s="198">
        <v>45442</v>
      </c>
      <c r="C1031" s="192">
        <v>572.69000000000005</v>
      </c>
      <c r="D1031" s="201">
        <f t="shared" si="32"/>
        <v>5.9546811874233276E-3</v>
      </c>
      <c r="F1031" s="196">
        <v>45442</v>
      </c>
      <c r="G1031" s="190">
        <v>22488.650390625</v>
      </c>
      <c r="H1031" s="201">
        <f t="shared" si="33"/>
        <v>-9.5155996581792416E-3</v>
      </c>
    </row>
    <row r="1032" spans="2:8" x14ac:dyDescent="0.3">
      <c r="B1032" s="198">
        <v>45443</v>
      </c>
      <c r="C1032" s="192">
        <v>567.91</v>
      </c>
      <c r="D1032" s="201">
        <f t="shared" si="32"/>
        <v>-8.3465749358293071E-3</v>
      </c>
      <c r="F1032" s="197">
        <v>45443</v>
      </c>
      <c r="G1032" s="191">
        <v>22530.69921875</v>
      </c>
      <c r="H1032" s="200">
        <f t="shared" si="33"/>
        <v>1.869779973213919E-3</v>
      </c>
    </row>
    <row r="1033" spans="2:8" x14ac:dyDescent="0.3">
      <c r="B1033" s="198">
        <v>45446</v>
      </c>
      <c r="C1033" s="192">
        <v>582.74</v>
      </c>
      <c r="D1033" s="201">
        <f t="shared" si="32"/>
        <v>2.6113292599179522E-2</v>
      </c>
      <c r="F1033" s="196">
        <v>45446</v>
      </c>
      <c r="G1033" s="190">
        <v>23263.900390625</v>
      </c>
      <c r="H1033" s="201">
        <f t="shared" si="33"/>
        <v>3.2542317695352818E-2</v>
      </c>
    </row>
    <row r="1034" spans="2:8" x14ac:dyDescent="0.3">
      <c r="B1034" s="198">
        <v>45447</v>
      </c>
      <c r="C1034" s="192">
        <v>562.58000000000004</v>
      </c>
      <c r="D1034" s="201">
        <f t="shared" si="32"/>
        <v>-3.4595188248618541E-2</v>
      </c>
      <c r="F1034" s="197">
        <v>45447</v>
      </c>
      <c r="G1034" s="191">
        <v>21884.5</v>
      </c>
      <c r="H1034" s="200">
        <f t="shared" si="33"/>
        <v>-5.9293599416410735E-2</v>
      </c>
    </row>
    <row r="1035" spans="2:8" x14ac:dyDescent="0.3">
      <c r="B1035" s="198">
        <v>45448</v>
      </c>
      <c r="C1035" s="192">
        <v>594.66</v>
      </c>
      <c r="D1035" s="201">
        <f t="shared" si="32"/>
        <v>5.7023001173166346E-2</v>
      </c>
      <c r="F1035" s="196">
        <v>45448</v>
      </c>
      <c r="G1035" s="190">
        <v>22620.349609375</v>
      </c>
      <c r="H1035" s="201">
        <f t="shared" si="33"/>
        <v>3.362423676003564E-2</v>
      </c>
    </row>
    <row r="1036" spans="2:8" x14ac:dyDescent="0.3">
      <c r="B1036" s="198">
        <v>45449</v>
      </c>
      <c r="C1036" s="192">
        <v>596.80999999999995</v>
      </c>
      <c r="D1036" s="201">
        <f t="shared" si="32"/>
        <v>3.6155113846567406E-3</v>
      </c>
      <c r="F1036" s="197">
        <v>45449</v>
      </c>
      <c r="G1036" s="191">
        <v>22821.400390625</v>
      </c>
      <c r="H1036" s="200">
        <f t="shared" si="33"/>
        <v>8.8880492442377883E-3</v>
      </c>
    </row>
    <row r="1037" spans="2:8" x14ac:dyDescent="0.3">
      <c r="B1037" s="198">
        <v>45450</v>
      </c>
      <c r="C1037" s="192">
        <v>604.45000000000005</v>
      </c>
      <c r="D1037" s="201">
        <f t="shared" si="32"/>
        <v>1.280139407851762E-2</v>
      </c>
      <c r="F1037" s="196">
        <v>45450</v>
      </c>
      <c r="G1037" s="190">
        <v>23290.150390625</v>
      </c>
      <c r="H1037" s="201">
        <f t="shared" si="33"/>
        <v>2.0539931466807E-2</v>
      </c>
    </row>
    <row r="1038" spans="2:8" x14ac:dyDescent="0.3">
      <c r="B1038" s="198">
        <v>45453</v>
      </c>
      <c r="C1038" s="192">
        <v>615.37</v>
      </c>
      <c r="D1038" s="201">
        <f t="shared" si="32"/>
        <v>1.8066010422698252E-2</v>
      </c>
      <c r="F1038" s="197">
        <v>45453</v>
      </c>
      <c r="G1038" s="191">
        <v>23259.19921875</v>
      </c>
      <c r="H1038" s="200">
        <f t="shared" si="33"/>
        <v>-1.328938257412833E-3</v>
      </c>
    </row>
    <row r="1039" spans="2:8" x14ac:dyDescent="0.3">
      <c r="B1039" s="198">
        <v>45454</v>
      </c>
      <c r="C1039" s="192">
        <v>615.85</v>
      </c>
      <c r="D1039" s="201">
        <f t="shared" si="32"/>
        <v>7.8001852544000872E-4</v>
      </c>
      <c r="F1039" s="196">
        <v>45454</v>
      </c>
      <c r="G1039" s="190">
        <v>23264.849609375</v>
      </c>
      <c r="H1039" s="201">
        <f t="shared" si="33"/>
        <v>2.4293143421915555E-4</v>
      </c>
    </row>
    <row r="1040" spans="2:8" x14ac:dyDescent="0.3">
      <c r="B1040" s="198">
        <v>45455</v>
      </c>
      <c r="C1040" s="192">
        <v>620.03</v>
      </c>
      <c r="D1040" s="201">
        <f t="shared" si="32"/>
        <v>6.787367053665584E-3</v>
      </c>
      <c r="F1040" s="197">
        <v>45455</v>
      </c>
      <c r="G1040" s="191">
        <v>23322.94921875</v>
      </c>
      <c r="H1040" s="200">
        <f t="shared" si="33"/>
        <v>2.4973129141392641E-3</v>
      </c>
    </row>
    <row r="1041" spans="2:8" x14ac:dyDescent="0.3">
      <c r="B1041" s="198">
        <v>45456</v>
      </c>
      <c r="C1041" s="192">
        <v>628.30999999999995</v>
      </c>
      <c r="D1041" s="201">
        <f t="shared" si="32"/>
        <v>1.3354192539070647E-2</v>
      </c>
      <c r="F1041" s="196">
        <v>45456</v>
      </c>
      <c r="G1041" s="190">
        <v>23398.900390625</v>
      </c>
      <c r="H1041" s="201">
        <f t="shared" si="33"/>
        <v>3.2564994745150257E-3</v>
      </c>
    </row>
    <row r="1042" spans="2:8" x14ac:dyDescent="0.3">
      <c r="B1042" s="198">
        <v>45457</v>
      </c>
      <c r="C1042" s="192">
        <v>652.47</v>
      </c>
      <c r="D1042" s="201">
        <f t="shared" si="32"/>
        <v>3.8452356320924516E-2</v>
      </c>
      <c r="F1042" s="197">
        <v>45457</v>
      </c>
      <c r="G1042" s="191">
        <v>23465.599609375</v>
      </c>
      <c r="H1042" s="200">
        <f t="shared" si="33"/>
        <v>2.8505279152657831E-3</v>
      </c>
    </row>
    <row r="1043" spans="2:8" x14ac:dyDescent="0.3">
      <c r="B1043" s="198">
        <v>45461</v>
      </c>
      <c r="C1043" s="192">
        <v>646.76</v>
      </c>
      <c r="D1043" s="201">
        <f t="shared" si="32"/>
        <v>-8.7513602157954177E-3</v>
      </c>
      <c r="F1043" s="196">
        <v>45461</v>
      </c>
      <c r="G1043" s="190">
        <v>23557.900390625</v>
      </c>
      <c r="H1043" s="201">
        <f t="shared" si="33"/>
        <v>3.9334507869606666E-3</v>
      </c>
    </row>
    <row r="1044" spans="2:8" x14ac:dyDescent="0.3">
      <c r="B1044" s="198">
        <v>45462</v>
      </c>
      <c r="C1044" s="192">
        <v>646</v>
      </c>
      <c r="D1044" s="201">
        <f t="shared" si="32"/>
        <v>-1.1750881316098566E-3</v>
      </c>
      <c r="F1044" s="197">
        <v>45462</v>
      </c>
      <c r="G1044" s="191">
        <v>23516</v>
      </c>
      <c r="H1044" s="200">
        <f t="shared" si="33"/>
        <v>-1.7786131162042989E-3</v>
      </c>
    </row>
    <row r="1045" spans="2:8" x14ac:dyDescent="0.3">
      <c r="B1045" s="198">
        <v>45463</v>
      </c>
      <c r="C1045" s="192">
        <v>642.32000000000005</v>
      </c>
      <c r="D1045" s="201">
        <f t="shared" si="32"/>
        <v>-5.6965944272445047E-3</v>
      </c>
      <c r="F1045" s="196">
        <v>45463</v>
      </c>
      <c r="G1045" s="190">
        <v>23567</v>
      </c>
      <c r="H1045" s="201">
        <f t="shared" si="33"/>
        <v>2.1687361796223848E-3</v>
      </c>
    </row>
    <row r="1046" spans="2:8" x14ac:dyDescent="0.3">
      <c r="B1046" s="198">
        <v>45464</v>
      </c>
      <c r="C1046" s="192">
        <v>634.28</v>
      </c>
      <c r="D1046" s="201">
        <f t="shared" si="32"/>
        <v>-1.2517125420351346E-2</v>
      </c>
      <c r="F1046" s="197">
        <v>45464</v>
      </c>
      <c r="G1046" s="191">
        <v>23501.099609375</v>
      </c>
      <c r="H1046" s="200">
        <f t="shared" si="33"/>
        <v>-2.7962995130903384E-3</v>
      </c>
    </row>
    <row r="1047" spans="2:8" x14ac:dyDescent="0.3">
      <c r="B1047" s="198">
        <v>45467</v>
      </c>
      <c r="C1047" s="192">
        <v>628.19000000000005</v>
      </c>
      <c r="D1047" s="201">
        <f t="shared" si="32"/>
        <v>-9.6014378507913202E-3</v>
      </c>
      <c r="F1047" s="196">
        <v>45467</v>
      </c>
      <c r="G1047" s="190">
        <v>23537.849609375</v>
      </c>
      <c r="H1047" s="201">
        <f t="shared" si="33"/>
        <v>1.5637566161091365E-3</v>
      </c>
    </row>
    <row r="1048" spans="2:8" x14ac:dyDescent="0.3">
      <c r="B1048" s="198">
        <v>45468</v>
      </c>
      <c r="C1048" s="192">
        <v>632.41</v>
      </c>
      <c r="D1048" s="201">
        <f t="shared" si="32"/>
        <v>6.7177127938997964E-3</v>
      </c>
      <c r="F1048" s="197">
        <v>45468</v>
      </c>
      <c r="G1048" s="191">
        <v>23721.30078125</v>
      </c>
      <c r="H1048" s="200">
        <f t="shared" si="33"/>
        <v>7.7938798539154731E-3</v>
      </c>
    </row>
    <row r="1049" spans="2:8" x14ac:dyDescent="0.3">
      <c r="B1049" s="198">
        <v>45469</v>
      </c>
      <c r="C1049" s="192">
        <v>639.85</v>
      </c>
      <c r="D1049" s="201">
        <f t="shared" si="32"/>
        <v>1.1764519852627338E-2</v>
      </c>
      <c r="F1049" s="196">
        <v>45469</v>
      </c>
      <c r="G1049" s="190">
        <v>23868.80078125</v>
      </c>
      <c r="H1049" s="201">
        <f t="shared" si="33"/>
        <v>6.2180401218380173E-3</v>
      </c>
    </row>
    <row r="1050" spans="2:8" x14ac:dyDescent="0.3">
      <c r="B1050" s="198">
        <v>45470</v>
      </c>
      <c r="C1050" s="192">
        <v>652.54999999999995</v>
      </c>
      <c r="D1050" s="201">
        <f t="shared" si="32"/>
        <v>1.9848401969211428E-2</v>
      </c>
      <c r="F1050" s="197">
        <v>45470</v>
      </c>
      <c r="G1050" s="191">
        <v>24044.5</v>
      </c>
      <c r="H1050" s="200">
        <f t="shared" si="33"/>
        <v>7.3610408985448281E-3</v>
      </c>
    </row>
    <row r="1051" spans="2:8" x14ac:dyDescent="0.3">
      <c r="B1051" s="198">
        <v>45471</v>
      </c>
      <c r="C1051" s="192">
        <v>648.59</v>
      </c>
      <c r="D1051" s="201">
        <f t="shared" si="32"/>
        <v>-6.0685004980460091E-3</v>
      </c>
      <c r="F1051" s="196">
        <v>45471</v>
      </c>
      <c r="G1051" s="190">
        <v>24010.599609375</v>
      </c>
      <c r="H1051" s="201">
        <f t="shared" si="33"/>
        <v>-1.4099020825968517E-3</v>
      </c>
    </row>
    <row r="1052" spans="2:8" x14ac:dyDescent="0.3">
      <c r="B1052" s="198">
        <v>45474</v>
      </c>
      <c r="C1052" s="192">
        <v>639.97</v>
      </c>
      <c r="D1052" s="201">
        <f t="shared" si="32"/>
        <v>-1.3290368337470519E-2</v>
      </c>
      <c r="F1052" s="197">
        <v>45474</v>
      </c>
      <c r="G1052" s="191">
        <v>24141.94921875</v>
      </c>
      <c r="H1052" s="200">
        <f t="shared" si="33"/>
        <v>5.4704843490753228E-3</v>
      </c>
    </row>
    <row r="1053" spans="2:8" x14ac:dyDescent="0.3">
      <c r="B1053" s="198">
        <v>45475</v>
      </c>
      <c r="C1053" s="192">
        <v>627.75</v>
      </c>
      <c r="D1053" s="201">
        <f t="shared" si="32"/>
        <v>-1.9094645061487298E-2</v>
      </c>
      <c r="F1053" s="196">
        <v>45475</v>
      </c>
      <c r="G1053" s="190">
        <v>24123.849609375</v>
      </c>
      <c r="H1053" s="201">
        <f t="shared" si="33"/>
        <v>-7.4971615634676354E-4</v>
      </c>
    </row>
    <row r="1054" spans="2:8" x14ac:dyDescent="0.3">
      <c r="B1054" s="198">
        <v>45476</v>
      </c>
      <c r="C1054" s="192">
        <v>642.20000000000005</v>
      </c>
      <c r="D1054" s="201">
        <f t="shared" si="32"/>
        <v>2.3018717642373628E-2</v>
      </c>
      <c r="F1054" s="197">
        <v>45476</v>
      </c>
      <c r="G1054" s="191">
        <v>24286.5</v>
      </c>
      <c r="H1054" s="200">
        <f t="shared" si="33"/>
        <v>6.742306607722794E-3</v>
      </c>
    </row>
    <row r="1055" spans="2:8" x14ac:dyDescent="0.3">
      <c r="B1055" s="198">
        <v>45477</v>
      </c>
      <c r="C1055" s="192">
        <v>644.25</v>
      </c>
      <c r="D1055" s="201">
        <f t="shared" si="32"/>
        <v>3.1921519775770079E-3</v>
      </c>
      <c r="F1055" s="196">
        <v>45477</v>
      </c>
      <c r="G1055" s="190">
        <v>24302.150390625</v>
      </c>
      <c r="H1055" s="201">
        <f t="shared" si="33"/>
        <v>6.4440700080291519E-4</v>
      </c>
    </row>
    <row r="1056" spans="2:8" x14ac:dyDescent="0.3">
      <c r="B1056" s="198">
        <v>45478</v>
      </c>
      <c r="C1056" s="192">
        <v>642.48</v>
      </c>
      <c r="D1056" s="201">
        <f t="shared" si="32"/>
        <v>-2.747380675203697E-3</v>
      </c>
      <c r="F1056" s="197">
        <v>45478</v>
      </c>
      <c r="G1056" s="191">
        <v>24323.849609375</v>
      </c>
      <c r="H1056" s="200">
        <f t="shared" si="33"/>
        <v>8.928929498506795E-4</v>
      </c>
    </row>
    <row r="1057" spans="2:8" x14ac:dyDescent="0.3">
      <c r="B1057" s="198">
        <v>45481</v>
      </c>
      <c r="C1057" s="192">
        <v>635.77</v>
      </c>
      <c r="D1057" s="201">
        <f t="shared" ref="D1057:D1120" si="34">(C1057-C1056)/C1056</f>
        <v>-1.0443904868634099E-2</v>
      </c>
      <c r="F1057" s="196">
        <v>45481</v>
      </c>
      <c r="G1057" s="190">
        <v>24320.55078125</v>
      </c>
      <c r="H1057" s="201">
        <f t="shared" si="33"/>
        <v>-1.3562113637343622E-4</v>
      </c>
    </row>
    <row r="1058" spans="2:8" x14ac:dyDescent="0.3">
      <c r="B1058" s="198">
        <v>45482</v>
      </c>
      <c r="C1058" s="192">
        <v>641.42999999999995</v>
      </c>
      <c r="D1058" s="201">
        <f t="shared" si="34"/>
        <v>8.9025905594790067E-3</v>
      </c>
      <c r="F1058" s="197">
        <v>45482</v>
      </c>
      <c r="G1058" s="191">
        <v>24433.19921875</v>
      </c>
      <c r="H1058" s="200">
        <f t="shared" si="33"/>
        <v>4.631820986013468E-3</v>
      </c>
    </row>
    <row r="1059" spans="2:8" x14ac:dyDescent="0.3">
      <c r="B1059" s="198">
        <v>45483</v>
      </c>
      <c r="C1059" s="192">
        <v>636.59</v>
      </c>
      <c r="D1059" s="201">
        <f t="shared" si="34"/>
        <v>-7.5456402101553065E-3</v>
      </c>
      <c r="F1059" s="196">
        <v>45483</v>
      </c>
      <c r="G1059" s="190">
        <v>24324.44921875</v>
      </c>
      <c r="H1059" s="201">
        <f t="shared" si="33"/>
        <v>-4.4509111977667423E-3</v>
      </c>
    </row>
    <row r="1060" spans="2:8" x14ac:dyDescent="0.3">
      <c r="B1060" s="198">
        <v>45484</v>
      </c>
      <c r="C1060" s="192">
        <v>633.84</v>
      </c>
      <c r="D1060" s="201">
        <f t="shared" si="34"/>
        <v>-4.3198919241584062E-3</v>
      </c>
      <c r="F1060" s="197">
        <v>45484</v>
      </c>
      <c r="G1060" s="191">
        <v>24315.94921875</v>
      </c>
      <c r="H1060" s="200">
        <f t="shared" si="33"/>
        <v>-3.4944265021417015E-4</v>
      </c>
    </row>
    <row r="1061" spans="2:8" x14ac:dyDescent="0.3">
      <c r="B1061" s="198">
        <v>45485</v>
      </c>
      <c r="C1061" s="192">
        <v>630.67999999999995</v>
      </c>
      <c r="D1061" s="201">
        <f t="shared" si="34"/>
        <v>-4.9854852959738761E-3</v>
      </c>
      <c r="F1061" s="196">
        <v>45485</v>
      </c>
      <c r="G1061" s="190">
        <v>24502.150390625</v>
      </c>
      <c r="H1061" s="201">
        <f t="shared" si="33"/>
        <v>7.6575736443560468E-3</v>
      </c>
    </row>
    <row r="1062" spans="2:8" x14ac:dyDescent="0.3">
      <c r="B1062" s="198">
        <v>45488</v>
      </c>
      <c r="C1062" s="192">
        <v>647.92999999999995</v>
      </c>
      <c r="D1062" s="201">
        <f t="shared" si="34"/>
        <v>2.7351430202321305E-2</v>
      </c>
      <c r="F1062" s="197">
        <v>45488</v>
      </c>
      <c r="G1062" s="191">
        <v>24586.69921875</v>
      </c>
      <c r="H1062" s="200">
        <f t="shared" si="33"/>
        <v>3.4506697076412537E-3</v>
      </c>
    </row>
    <row r="1063" spans="2:8" x14ac:dyDescent="0.3">
      <c r="B1063" s="198">
        <v>45489</v>
      </c>
      <c r="C1063" s="192">
        <v>636.45000000000005</v>
      </c>
      <c r="D1063" s="201">
        <f t="shared" si="34"/>
        <v>-1.7717963360239387E-2</v>
      </c>
      <c r="F1063" s="196">
        <v>45489</v>
      </c>
      <c r="G1063" s="190">
        <v>24613</v>
      </c>
      <c r="H1063" s="201">
        <f t="shared" si="33"/>
        <v>1.0697158254550424E-3</v>
      </c>
    </row>
    <row r="1064" spans="2:8" x14ac:dyDescent="0.3">
      <c r="B1064" s="198">
        <v>45491</v>
      </c>
      <c r="C1064" s="192">
        <v>633.13</v>
      </c>
      <c r="D1064" s="201">
        <f t="shared" si="34"/>
        <v>-5.2164349124048234E-3</v>
      </c>
      <c r="F1064" s="197">
        <v>45491</v>
      </c>
      <c r="G1064" s="191">
        <v>24800.849609375</v>
      </c>
      <c r="H1064" s="200">
        <f t="shared" si="33"/>
        <v>7.63212974342827E-3</v>
      </c>
    </row>
    <row r="1065" spans="2:8" x14ac:dyDescent="0.3">
      <c r="B1065" s="198">
        <v>45492</v>
      </c>
      <c r="C1065" s="192">
        <v>620.80999999999995</v>
      </c>
      <c r="D1065" s="201">
        <f t="shared" si="34"/>
        <v>-1.9458878903226905E-2</v>
      </c>
      <c r="F1065" s="196">
        <v>45492</v>
      </c>
      <c r="G1065" s="190">
        <v>24530.900390625</v>
      </c>
      <c r="H1065" s="201">
        <f t="shared" si="33"/>
        <v>-1.0884676251089243E-2</v>
      </c>
    </row>
    <row r="1066" spans="2:8" x14ac:dyDescent="0.3">
      <c r="B1066" s="198">
        <v>45495</v>
      </c>
      <c r="C1066" s="192">
        <v>621.94000000000005</v>
      </c>
      <c r="D1066" s="201">
        <f t="shared" si="34"/>
        <v>1.8202026384886024E-3</v>
      </c>
      <c r="F1066" s="197">
        <v>45495</v>
      </c>
      <c r="G1066" s="191">
        <v>24509.25</v>
      </c>
      <c r="H1066" s="200">
        <f t="shared" si="33"/>
        <v>-8.8257627238477363E-4</v>
      </c>
    </row>
    <row r="1067" spans="2:8" x14ac:dyDescent="0.3">
      <c r="B1067" s="198">
        <v>45496</v>
      </c>
      <c r="C1067" s="192">
        <v>616.47</v>
      </c>
      <c r="D1067" s="201">
        <f t="shared" si="34"/>
        <v>-8.795060616779796E-3</v>
      </c>
      <c r="F1067" s="196">
        <v>45496</v>
      </c>
      <c r="G1067" s="190">
        <v>24479.05078125</v>
      </c>
      <c r="H1067" s="201">
        <f t="shared" si="33"/>
        <v>-1.2321559717249609E-3</v>
      </c>
    </row>
    <row r="1068" spans="2:8" x14ac:dyDescent="0.3">
      <c r="B1068" s="198">
        <v>45497</v>
      </c>
      <c r="C1068" s="192">
        <v>641.62</v>
      </c>
      <c r="D1068" s="201">
        <f t="shared" si="34"/>
        <v>4.0796794653429974E-2</v>
      </c>
      <c r="F1068" s="197">
        <v>45497</v>
      </c>
      <c r="G1068" s="191">
        <v>24413.5</v>
      </c>
      <c r="H1068" s="200">
        <f t="shared" si="33"/>
        <v>-2.6778318259059845E-3</v>
      </c>
    </row>
    <row r="1069" spans="2:8" x14ac:dyDescent="0.3">
      <c r="B1069" s="198">
        <v>45498</v>
      </c>
      <c r="C1069" s="192">
        <v>657.59</v>
      </c>
      <c r="D1069" s="201">
        <f t="shared" si="34"/>
        <v>2.4890121878993841E-2</v>
      </c>
      <c r="F1069" s="196">
        <v>45498</v>
      </c>
      <c r="G1069" s="190">
        <v>24406.099609375</v>
      </c>
      <c r="H1069" s="201">
        <f t="shared" si="33"/>
        <v>-3.031269840457124E-4</v>
      </c>
    </row>
    <row r="1070" spans="2:8" x14ac:dyDescent="0.3">
      <c r="B1070" s="198">
        <v>45499</v>
      </c>
      <c r="C1070" s="192">
        <v>667.36</v>
      </c>
      <c r="D1070" s="201">
        <f t="shared" si="34"/>
        <v>1.4857281892972796E-2</v>
      </c>
      <c r="F1070" s="197">
        <v>45499</v>
      </c>
      <c r="G1070" s="191">
        <v>24834.849609375</v>
      </c>
      <c r="H1070" s="200">
        <f t="shared" si="33"/>
        <v>1.756732976027461E-2</v>
      </c>
    </row>
    <row r="1071" spans="2:8" x14ac:dyDescent="0.3">
      <c r="B1071" s="198">
        <v>45502</v>
      </c>
      <c r="C1071" s="192">
        <v>670.8</v>
      </c>
      <c r="D1071" s="201">
        <f t="shared" si="34"/>
        <v>5.1546391752576434E-3</v>
      </c>
      <c r="F1071" s="196">
        <v>45502</v>
      </c>
      <c r="G1071" s="190">
        <v>24836.099609375</v>
      </c>
      <c r="H1071" s="201">
        <f t="shared" si="33"/>
        <v>5.0332497263367071E-5</v>
      </c>
    </row>
    <row r="1072" spans="2:8" x14ac:dyDescent="0.3">
      <c r="B1072" s="198">
        <v>45503</v>
      </c>
      <c r="C1072" s="192">
        <v>627.85</v>
      </c>
      <c r="D1072" s="201">
        <f t="shared" si="34"/>
        <v>-6.4028026237328464E-2</v>
      </c>
      <c r="F1072" s="197">
        <v>45503</v>
      </c>
      <c r="G1072" s="191">
        <v>24857.30078125</v>
      </c>
      <c r="H1072" s="200">
        <f t="shared" si="33"/>
        <v>8.5364337430008915E-4</v>
      </c>
    </row>
    <row r="1073" spans="2:8" x14ac:dyDescent="0.3">
      <c r="B1073" s="198">
        <v>45504</v>
      </c>
      <c r="C1073" s="192">
        <v>627.85</v>
      </c>
      <c r="D1073" s="201">
        <f t="shared" si="34"/>
        <v>0</v>
      </c>
      <c r="F1073" s="196">
        <v>45504</v>
      </c>
      <c r="G1073" s="190">
        <v>24951.150390625</v>
      </c>
      <c r="H1073" s="201">
        <f t="shared" si="33"/>
        <v>3.7755350108564997E-3</v>
      </c>
    </row>
    <row r="1074" spans="2:8" x14ac:dyDescent="0.3">
      <c r="B1074" s="198">
        <v>45505</v>
      </c>
      <c r="C1074" s="192">
        <v>627.20000000000005</v>
      </c>
      <c r="D1074" s="201">
        <f t="shared" si="34"/>
        <v>-1.0352791271800226E-3</v>
      </c>
      <c r="F1074" s="197">
        <v>45505</v>
      </c>
      <c r="G1074" s="191">
        <v>25010.900390625</v>
      </c>
      <c r="H1074" s="200">
        <f t="shared" si="33"/>
        <v>2.3946791656728628E-3</v>
      </c>
    </row>
    <row r="1075" spans="2:8" x14ac:dyDescent="0.3">
      <c r="B1075" s="198">
        <v>45506</v>
      </c>
      <c r="C1075" s="192">
        <v>625.84</v>
      </c>
      <c r="D1075" s="201">
        <f t="shared" si="34"/>
        <v>-2.1683673469387972E-3</v>
      </c>
      <c r="F1075" s="196">
        <v>45506</v>
      </c>
      <c r="G1075" s="190">
        <v>24717.69921875</v>
      </c>
      <c r="H1075" s="201">
        <f t="shared" si="33"/>
        <v>-1.1722935491954641E-2</v>
      </c>
    </row>
    <row r="1076" spans="2:8" x14ac:dyDescent="0.3">
      <c r="B1076" s="198">
        <v>45509</v>
      </c>
      <c r="C1076" s="192">
        <v>598.94000000000005</v>
      </c>
      <c r="D1076" s="201">
        <f t="shared" si="34"/>
        <v>-4.2982231880352766E-2</v>
      </c>
      <c r="F1076" s="197">
        <v>45509</v>
      </c>
      <c r="G1076" s="191">
        <v>24055.599609375</v>
      </c>
      <c r="H1076" s="200">
        <f t="shared" si="33"/>
        <v>-2.6786457894622889E-2</v>
      </c>
    </row>
    <row r="1077" spans="2:8" x14ac:dyDescent="0.3">
      <c r="B1077" s="198">
        <v>45510</v>
      </c>
      <c r="C1077" s="192">
        <v>581.9</v>
      </c>
      <c r="D1077" s="201">
        <f t="shared" si="34"/>
        <v>-2.8450262129762708E-2</v>
      </c>
      <c r="F1077" s="196">
        <v>45510</v>
      </c>
      <c r="G1077" s="190">
        <v>23992.55078125</v>
      </c>
      <c r="H1077" s="201">
        <f t="shared" si="33"/>
        <v>-2.6209626510589443E-3</v>
      </c>
    </row>
    <row r="1078" spans="2:8" x14ac:dyDescent="0.3">
      <c r="B1078" s="198">
        <v>45511</v>
      </c>
      <c r="C1078" s="192">
        <v>604.95000000000005</v>
      </c>
      <c r="D1078" s="201">
        <f t="shared" si="34"/>
        <v>3.9611617116343131E-2</v>
      </c>
      <c r="F1078" s="197">
        <v>45511</v>
      </c>
      <c r="G1078" s="191">
        <v>24297.5</v>
      </c>
      <c r="H1078" s="200">
        <f t="shared" si="33"/>
        <v>1.2710162480444369E-2</v>
      </c>
    </row>
    <row r="1079" spans="2:8" x14ac:dyDescent="0.3">
      <c r="B1079" s="198">
        <v>45512</v>
      </c>
      <c r="C1079" s="192">
        <v>592.89</v>
      </c>
      <c r="D1079" s="201">
        <f t="shared" si="34"/>
        <v>-1.9935531862137462E-2</v>
      </c>
      <c r="F1079" s="196">
        <v>45512</v>
      </c>
      <c r="G1079" s="190">
        <v>24117</v>
      </c>
      <c r="H1079" s="201">
        <f t="shared" si="33"/>
        <v>-7.428747813561066E-3</v>
      </c>
    </row>
    <row r="1080" spans="2:8" x14ac:dyDescent="0.3">
      <c r="B1080" s="198">
        <v>45513</v>
      </c>
      <c r="C1080" s="192">
        <v>600.97</v>
      </c>
      <c r="D1080" s="201">
        <f t="shared" si="34"/>
        <v>1.3628160367015873E-2</v>
      </c>
      <c r="F1080" s="197">
        <v>45513</v>
      </c>
      <c r="G1080" s="191">
        <v>24367.5</v>
      </c>
      <c r="H1080" s="200">
        <f t="shared" si="33"/>
        <v>1.0386864037815649E-2</v>
      </c>
    </row>
    <row r="1081" spans="2:8" x14ac:dyDescent="0.3">
      <c r="B1081" s="198">
        <v>45516</v>
      </c>
      <c r="C1081" s="192">
        <v>586.89</v>
      </c>
      <c r="D1081" s="201">
        <f t="shared" si="34"/>
        <v>-2.342879012263514E-2</v>
      </c>
      <c r="F1081" s="196">
        <v>45516</v>
      </c>
      <c r="G1081" s="190">
        <v>24347</v>
      </c>
      <c r="H1081" s="201">
        <f t="shared" si="33"/>
        <v>-8.412844977941931E-4</v>
      </c>
    </row>
    <row r="1082" spans="2:8" x14ac:dyDescent="0.3">
      <c r="B1082" s="198">
        <v>45517</v>
      </c>
      <c r="C1082" s="192">
        <v>593.36</v>
      </c>
      <c r="D1082" s="201">
        <f t="shared" si="34"/>
        <v>1.1024212373698695E-2</v>
      </c>
      <c r="F1082" s="197">
        <v>45517</v>
      </c>
      <c r="G1082" s="191">
        <v>24139</v>
      </c>
      <c r="H1082" s="200">
        <f t="shared" si="33"/>
        <v>-8.5431469996303452E-3</v>
      </c>
    </row>
    <row r="1083" spans="2:8" x14ac:dyDescent="0.3">
      <c r="B1083" s="198">
        <v>45518</v>
      </c>
      <c r="C1083" s="192">
        <v>582.45000000000005</v>
      </c>
      <c r="D1083" s="201">
        <f t="shared" si="34"/>
        <v>-1.8386814075771821E-2</v>
      </c>
      <c r="F1083" s="196">
        <v>45518</v>
      </c>
      <c r="G1083" s="190">
        <v>24143.75</v>
      </c>
      <c r="H1083" s="201">
        <f t="shared" si="33"/>
        <v>1.9677699987571978E-4</v>
      </c>
    </row>
    <row r="1084" spans="2:8" x14ac:dyDescent="0.3">
      <c r="B1084" s="198">
        <v>45520</v>
      </c>
      <c r="C1084" s="192">
        <v>566.41</v>
      </c>
      <c r="D1084" s="201">
        <f t="shared" si="34"/>
        <v>-2.7538844536011804E-2</v>
      </c>
      <c r="F1084" s="197">
        <v>45520</v>
      </c>
      <c r="G1084" s="191">
        <v>24541.150390625</v>
      </c>
      <c r="H1084" s="200">
        <f t="shared" si="33"/>
        <v>1.6459762490292518E-2</v>
      </c>
    </row>
    <row r="1085" spans="2:8" x14ac:dyDescent="0.3">
      <c r="B1085" s="198">
        <v>45523</v>
      </c>
      <c r="C1085" s="192">
        <v>600.89</v>
      </c>
      <c r="D1085" s="201">
        <f t="shared" si="34"/>
        <v>6.0874631450715949E-2</v>
      </c>
      <c r="F1085" s="196">
        <v>45523</v>
      </c>
      <c r="G1085" s="190">
        <v>24572.650390625</v>
      </c>
      <c r="H1085" s="201">
        <f t="shared" si="33"/>
        <v>1.2835584110202657E-3</v>
      </c>
    </row>
    <row r="1086" spans="2:8" x14ac:dyDescent="0.3">
      <c r="B1086" s="198">
        <v>45524</v>
      </c>
      <c r="C1086" s="192">
        <v>594.20000000000005</v>
      </c>
      <c r="D1086" s="201">
        <f t="shared" si="34"/>
        <v>-1.1133485330093597E-2</v>
      </c>
      <c r="F1086" s="197">
        <v>45524</v>
      </c>
      <c r="G1086" s="191">
        <v>24698.849609375</v>
      </c>
      <c r="H1086" s="200">
        <f t="shared" si="33"/>
        <v>5.1357593399101852E-3</v>
      </c>
    </row>
    <row r="1087" spans="2:8" x14ac:dyDescent="0.3">
      <c r="B1087" s="198">
        <v>45525</v>
      </c>
      <c r="C1087" s="192">
        <v>615.91</v>
      </c>
      <c r="D1087" s="201">
        <f t="shared" si="34"/>
        <v>3.6536519690339823E-2</v>
      </c>
      <c r="F1087" s="196">
        <v>45525</v>
      </c>
      <c r="G1087" s="190">
        <v>24770.19921875</v>
      </c>
      <c r="H1087" s="201">
        <f t="shared" si="33"/>
        <v>2.8887826964992596E-3</v>
      </c>
    </row>
    <row r="1088" spans="2:8" x14ac:dyDescent="0.3">
      <c r="B1088" s="198">
        <v>45526</v>
      </c>
      <c r="C1088" s="192">
        <v>635.07000000000005</v>
      </c>
      <c r="D1088" s="201">
        <f t="shared" si="34"/>
        <v>3.1108441168352652E-2</v>
      </c>
      <c r="F1088" s="197">
        <v>45526</v>
      </c>
      <c r="G1088" s="191">
        <v>24811.5</v>
      </c>
      <c r="H1088" s="200">
        <f t="shared" si="33"/>
        <v>1.667357653657345E-3</v>
      </c>
    </row>
    <row r="1089" spans="2:8" x14ac:dyDescent="0.3">
      <c r="B1089" s="198">
        <v>45527</v>
      </c>
      <c r="C1089" s="192">
        <v>630.25</v>
      </c>
      <c r="D1089" s="201">
        <f t="shared" si="34"/>
        <v>-7.5897145196593286E-3</v>
      </c>
      <c r="F1089" s="196">
        <v>45527</v>
      </c>
      <c r="G1089" s="190">
        <v>24823.150390625</v>
      </c>
      <c r="H1089" s="201">
        <f t="shared" si="33"/>
        <v>4.6955607782681415E-4</v>
      </c>
    </row>
    <row r="1090" spans="2:8" x14ac:dyDescent="0.3">
      <c r="B1090" s="198">
        <v>45530</v>
      </c>
      <c r="C1090" s="192">
        <v>627.82000000000005</v>
      </c>
      <c r="D1090" s="201">
        <f t="shared" si="34"/>
        <v>-3.8556128520427606E-3</v>
      </c>
      <c r="F1090" s="197">
        <v>45530</v>
      </c>
      <c r="G1090" s="191">
        <v>25010.599609375</v>
      </c>
      <c r="H1090" s="200">
        <f t="shared" si="33"/>
        <v>7.551387144670978E-3</v>
      </c>
    </row>
    <row r="1091" spans="2:8" x14ac:dyDescent="0.3">
      <c r="B1091" s="198">
        <v>45531</v>
      </c>
      <c r="C1091" s="192">
        <v>623.34</v>
      </c>
      <c r="D1091" s="201">
        <f t="shared" si="34"/>
        <v>-7.1358032557102642E-3</v>
      </c>
      <c r="F1091" s="196">
        <v>45531</v>
      </c>
      <c r="G1091" s="190">
        <v>25017.75</v>
      </c>
      <c r="H1091" s="201">
        <f t="shared" si="33"/>
        <v>2.8589441023715959E-4</v>
      </c>
    </row>
    <row r="1092" spans="2:8" x14ac:dyDescent="0.3">
      <c r="B1092" s="198">
        <v>45532</v>
      </c>
      <c r="C1092" s="192">
        <v>608.70000000000005</v>
      </c>
      <c r="D1092" s="201">
        <f t="shared" si="34"/>
        <v>-2.3486379824814684E-2</v>
      </c>
      <c r="F1092" s="197">
        <v>45532</v>
      </c>
      <c r="G1092" s="191">
        <v>25052.349609375</v>
      </c>
      <c r="H1092" s="200">
        <f t="shared" si="33"/>
        <v>1.3830024432652816E-3</v>
      </c>
    </row>
    <row r="1093" spans="2:8" x14ac:dyDescent="0.3">
      <c r="B1093" s="198">
        <v>45533</v>
      </c>
      <c r="C1093" s="192">
        <v>601.15</v>
      </c>
      <c r="D1093" s="201">
        <f t="shared" si="34"/>
        <v>-1.2403482832265595E-2</v>
      </c>
      <c r="F1093" s="196">
        <v>45533</v>
      </c>
      <c r="G1093" s="190">
        <v>25151.94921875</v>
      </c>
      <c r="H1093" s="201">
        <f t="shared" si="33"/>
        <v>3.9756594063228385E-3</v>
      </c>
    </row>
    <row r="1094" spans="2:8" x14ac:dyDescent="0.3">
      <c r="B1094" s="198">
        <v>45534</v>
      </c>
      <c r="C1094" s="192">
        <v>597.91</v>
      </c>
      <c r="D1094" s="201">
        <f t="shared" si="34"/>
        <v>-5.3896697995508766E-3</v>
      </c>
      <c r="F1094" s="197">
        <v>45534</v>
      </c>
      <c r="G1094" s="191">
        <v>25235.900390625</v>
      </c>
      <c r="H1094" s="200">
        <f t="shared" ref="H1094:H1157" si="35">(G1094-G1093)/G1093</f>
        <v>3.3377600735777966E-3</v>
      </c>
    </row>
    <row r="1095" spans="2:8" x14ac:dyDescent="0.3">
      <c r="B1095" s="198">
        <v>45537</v>
      </c>
      <c r="C1095" s="192">
        <v>606.09</v>
      </c>
      <c r="D1095" s="201">
        <f t="shared" si="34"/>
        <v>1.3680988777575327E-2</v>
      </c>
      <c r="F1095" s="196">
        <v>45537</v>
      </c>
      <c r="G1095" s="190">
        <v>25278.69921875</v>
      </c>
      <c r="H1095" s="201">
        <f t="shared" si="35"/>
        <v>1.6959501132323192E-3</v>
      </c>
    </row>
    <row r="1096" spans="2:8" x14ac:dyDescent="0.3">
      <c r="B1096" s="198">
        <v>45538</v>
      </c>
      <c r="C1096" s="192">
        <v>597.49</v>
      </c>
      <c r="D1096" s="201">
        <f t="shared" si="34"/>
        <v>-1.4189311818376845E-2</v>
      </c>
      <c r="F1096" s="197">
        <v>45538</v>
      </c>
      <c r="G1096" s="191">
        <v>25279.849609375</v>
      </c>
      <c r="H1096" s="200">
        <f t="shared" si="35"/>
        <v>4.5508299894905958E-5</v>
      </c>
    </row>
    <row r="1097" spans="2:8" x14ac:dyDescent="0.3">
      <c r="B1097" s="198">
        <v>45539</v>
      </c>
      <c r="C1097" s="192">
        <v>606.51</v>
      </c>
      <c r="D1097" s="201">
        <f t="shared" si="34"/>
        <v>1.5096486970493199E-2</v>
      </c>
      <c r="F1097" s="196">
        <v>45539</v>
      </c>
      <c r="G1097" s="190">
        <v>25198.69921875</v>
      </c>
      <c r="H1097" s="201">
        <f t="shared" si="35"/>
        <v>-3.2100820170585776E-3</v>
      </c>
    </row>
    <row r="1098" spans="2:8" x14ac:dyDescent="0.3">
      <c r="B1098" s="198">
        <v>45540</v>
      </c>
      <c r="C1098" s="192">
        <v>599.72</v>
      </c>
      <c r="D1098" s="201">
        <f t="shared" si="34"/>
        <v>-1.1195198760119311E-2</v>
      </c>
      <c r="F1098" s="197">
        <v>45540</v>
      </c>
      <c r="G1098" s="191">
        <v>25145.099609375</v>
      </c>
      <c r="H1098" s="200">
        <f t="shared" si="35"/>
        <v>-2.1270784221717794E-3</v>
      </c>
    </row>
    <row r="1099" spans="2:8" x14ac:dyDescent="0.3">
      <c r="B1099" s="198">
        <v>45541</v>
      </c>
      <c r="C1099" s="192">
        <v>594.86</v>
      </c>
      <c r="D1099" s="201">
        <f t="shared" si="34"/>
        <v>-8.1037817648236064E-3</v>
      </c>
      <c r="F1099" s="196">
        <v>45541</v>
      </c>
      <c r="G1099" s="190">
        <v>24852.150390625</v>
      </c>
      <c r="H1099" s="201">
        <f t="shared" si="35"/>
        <v>-1.1650350298901897E-2</v>
      </c>
    </row>
    <row r="1100" spans="2:8" x14ac:dyDescent="0.3">
      <c r="B1100" s="198">
        <v>45544</v>
      </c>
      <c r="C1100" s="192">
        <v>607.84</v>
      </c>
      <c r="D1100" s="201">
        <f t="shared" si="34"/>
        <v>2.1820260229297679E-2</v>
      </c>
      <c r="F1100" s="197">
        <v>45544</v>
      </c>
      <c r="G1100" s="191">
        <v>24936.400390625</v>
      </c>
      <c r="H1100" s="200">
        <f t="shared" si="35"/>
        <v>3.3900486950127948E-3</v>
      </c>
    </row>
    <row r="1101" spans="2:8" x14ac:dyDescent="0.3">
      <c r="B1101" s="198">
        <v>45545</v>
      </c>
      <c r="C1101" s="192">
        <v>605.51</v>
      </c>
      <c r="D1101" s="201">
        <f t="shared" si="34"/>
        <v>-3.8332455909450528E-3</v>
      </c>
      <c r="F1101" s="196">
        <v>45545</v>
      </c>
      <c r="G1101" s="190">
        <v>25041.099609375</v>
      </c>
      <c r="H1101" s="201">
        <f t="shared" si="35"/>
        <v>4.1986500501236075E-3</v>
      </c>
    </row>
    <row r="1102" spans="2:8" x14ac:dyDescent="0.3">
      <c r="B1102" s="198">
        <v>45546</v>
      </c>
      <c r="C1102" s="192">
        <v>625.09</v>
      </c>
      <c r="D1102" s="201">
        <f t="shared" si="34"/>
        <v>3.2336377599048803E-2</v>
      </c>
      <c r="F1102" s="197">
        <v>45546</v>
      </c>
      <c r="G1102" s="191">
        <v>24918.44921875</v>
      </c>
      <c r="H1102" s="200">
        <f t="shared" si="35"/>
        <v>-4.8979634496195048E-3</v>
      </c>
    </row>
    <row r="1103" spans="2:8" x14ac:dyDescent="0.3">
      <c r="B1103" s="198">
        <v>45547</v>
      </c>
      <c r="C1103" s="192">
        <v>642.96</v>
      </c>
      <c r="D1103" s="201">
        <f t="shared" si="34"/>
        <v>2.8587883344798354E-2</v>
      </c>
      <c r="F1103" s="196">
        <v>45547</v>
      </c>
      <c r="G1103" s="190">
        <v>25388.900390625</v>
      </c>
      <c r="H1103" s="201">
        <f t="shared" si="35"/>
        <v>1.8879632827271085E-2</v>
      </c>
    </row>
    <row r="1104" spans="2:8" x14ac:dyDescent="0.3">
      <c r="B1104" s="198">
        <v>45548</v>
      </c>
      <c r="C1104" s="192">
        <v>644.01</v>
      </c>
      <c r="D1104" s="201">
        <f t="shared" si="34"/>
        <v>1.6330720418065733E-3</v>
      </c>
      <c r="F1104" s="197">
        <v>45548</v>
      </c>
      <c r="G1104" s="191">
        <v>25356.5</v>
      </c>
      <c r="H1104" s="200">
        <f t="shared" si="35"/>
        <v>-1.2761636040355664E-3</v>
      </c>
    </row>
    <row r="1105" spans="2:8" x14ac:dyDescent="0.3">
      <c r="B1105" s="198">
        <v>45551</v>
      </c>
      <c r="C1105" s="192">
        <v>618.51</v>
      </c>
      <c r="D1105" s="201">
        <f t="shared" si="34"/>
        <v>-3.9595658452508502E-2</v>
      </c>
      <c r="F1105" s="196">
        <v>45551</v>
      </c>
      <c r="G1105" s="190">
        <v>25383.75</v>
      </c>
      <c r="H1105" s="201">
        <f t="shared" si="35"/>
        <v>1.0746751326089958E-3</v>
      </c>
    </row>
    <row r="1106" spans="2:8" x14ac:dyDescent="0.3">
      <c r="B1106" s="198">
        <v>45552</v>
      </c>
      <c r="C1106" s="192">
        <v>646.99</v>
      </c>
      <c r="D1106" s="201">
        <f t="shared" si="34"/>
        <v>4.6046143150474554E-2</v>
      </c>
      <c r="F1106" s="197">
        <v>45552</v>
      </c>
      <c r="G1106" s="191">
        <v>25418.55078125</v>
      </c>
      <c r="H1106" s="200">
        <f t="shared" si="35"/>
        <v>1.3709866056039789E-3</v>
      </c>
    </row>
    <row r="1107" spans="2:8" x14ac:dyDescent="0.3">
      <c r="B1107" s="198">
        <v>45553</v>
      </c>
      <c r="C1107" s="192">
        <v>644.05999999999995</v>
      </c>
      <c r="D1107" s="201">
        <f t="shared" si="34"/>
        <v>-4.528663503299995E-3</v>
      </c>
      <c r="F1107" s="196">
        <v>45553</v>
      </c>
      <c r="G1107" s="190">
        <v>25377.55078125</v>
      </c>
      <c r="H1107" s="201">
        <f t="shared" si="35"/>
        <v>-1.6129951842196943E-3</v>
      </c>
    </row>
    <row r="1108" spans="2:8" x14ac:dyDescent="0.3">
      <c r="B1108" s="198">
        <v>45554</v>
      </c>
      <c r="C1108" s="192">
        <v>649.48</v>
      </c>
      <c r="D1108" s="201">
        <f t="shared" si="34"/>
        <v>8.4153650281030851E-3</v>
      </c>
      <c r="F1108" s="197">
        <v>45554</v>
      </c>
      <c r="G1108" s="191">
        <v>25415.80078125</v>
      </c>
      <c r="H1108" s="200">
        <f t="shared" si="35"/>
        <v>1.5072376499098844E-3</v>
      </c>
    </row>
    <row r="1109" spans="2:8" x14ac:dyDescent="0.3">
      <c r="B1109" s="198">
        <v>45555</v>
      </c>
      <c r="C1109" s="192">
        <v>651.77</v>
      </c>
      <c r="D1109" s="201">
        <f t="shared" si="34"/>
        <v>3.5258976411898187E-3</v>
      </c>
      <c r="F1109" s="196">
        <v>45555</v>
      </c>
      <c r="G1109" s="190">
        <v>25790.94921875</v>
      </c>
      <c r="H1109" s="201">
        <f t="shared" si="35"/>
        <v>1.4760441377741608E-2</v>
      </c>
    </row>
    <row r="1110" spans="2:8" x14ac:dyDescent="0.3">
      <c r="B1110" s="198">
        <v>45558</v>
      </c>
      <c r="C1110" s="192">
        <v>651.42999999999995</v>
      </c>
      <c r="D1110" s="201">
        <f t="shared" si="34"/>
        <v>-5.2165641253821421E-4</v>
      </c>
      <c r="F1110" s="197">
        <v>45558</v>
      </c>
      <c r="G1110" s="191">
        <v>25939.05078125</v>
      </c>
      <c r="H1110" s="200">
        <f t="shared" si="35"/>
        <v>5.7423850996662926E-3</v>
      </c>
    </row>
    <row r="1111" spans="2:8" x14ac:dyDescent="0.3">
      <c r="B1111" s="198">
        <v>45559</v>
      </c>
      <c r="C1111" s="192">
        <v>644.21</v>
      </c>
      <c r="D1111" s="201">
        <f t="shared" si="34"/>
        <v>-1.1083309027830947E-2</v>
      </c>
      <c r="F1111" s="196">
        <v>45559</v>
      </c>
      <c r="G1111" s="190">
        <v>25940.400390625</v>
      </c>
      <c r="H1111" s="201">
        <f t="shared" si="35"/>
        <v>5.2030021699003842E-5</v>
      </c>
    </row>
    <row r="1112" spans="2:8" x14ac:dyDescent="0.3">
      <c r="B1112" s="198">
        <v>45560</v>
      </c>
      <c r="C1112" s="192">
        <v>630.71</v>
      </c>
      <c r="D1112" s="201">
        <f t="shared" si="34"/>
        <v>-2.0955899473774079E-2</v>
      </c>
      <c r="F1112" s="197">
        <v>45560</v>
      </c>
      <c r="G1112" s="191">
        <v>26004.150390625</v>
      </c>
      <c r="H1112" s="200">
        <f t="shared" si="35"/>
        <v>2.4575565157058869E-3</v>
      </c>
    </row>
    <row r="1113" spans="2:8" x14ac:dyDescent="0.3">
      <c r="B1113" s="198">
        <v>45561</v>
      </c>
      <c r="C1113" s="192">
        <v>624.29</v>
      </c>
      <c r="D1113" s="201">
        <f t="shared" si="34"/>
        <v>-1.0179004613848E-2</v>
      </c>
      <c r="F1113" s="196">
        <v>45561</v>
      </c>
      <c r="G1113" s="190">
        <v>26216.05078125</v>
      </c>
      <c r="H1113" s="201">
        <f t="shared" si="35"/>
        <v>8.1487142414540942E-3</v>
      </c>
    </row>
    <row r="1114" spans="2:8" x14ac:dyDescent="0.3">
      <c r="B1114" s="198">
        <v>45562</v>
      </c>
      <c r="C1114" s="192">
        <v>606.05999999999995</v>
      </c>
      <c r="D1114" s="201">
        <f t="shared" si="34"/>
        <v>-2.9201172531996378E-2</v>
      </c>
      <c r="F1114" s="197">
        <v>45562</v>
      </c>
      <c r="G1114" s="191">
        <v>26178.94921875</v>
      </c>
      <c r="H1114" s="200">
        <f t="shared" si="35"/>
        <v>-1.4152231703234049E-3</v>
      </c>
    </row>
    <row r="1115" spans="2:8" x14ac:dyDescent="0.3">
      <c r="B1115" s="198">
        <v>45565</v>
      </c>
      <c r="C1115" s="192">
        <v>603.82000000000005</v>
      </c>
      <c r="D1115" s="201">
        <f t="shared" si="34"/>
        <v>-3.6960036960035237E-3</v>
      </c>
      <c r="F1115" s="196">
        <v>45565</v>
      </c>
      <c r="G1115" s="190">
        <v>25810.849609375</v>
      </c>
      <c r="H1115" s="201">
        <f t="shared" si="35"/>
        <v>-1.406090085202343E-2</v>
      </c>
    </row>
    <row r="1116" spans="2:8" x14ac:dyDescent="0.3">
      <c r="B1116" s="198">
        <v>45566</v>
      </c>
      <c r="C1116" s="192">
        <v>609.75</v>
      </c>
      <c r="D1116" s="201">
        <f t="shared" si="34"/>
        <v>9.8208075254213999E-3</v>
      </c>
      <c r="F1116" s="197">
        <v>45566</v>
      </c>
      <c r="G1116" s="191">
        <v>25796.900390625</v>
      </c>
      <c r="H1116" s="200">
        <f t="shared" si="35"/>
        <v>-5.4044012347944466E-4</v>
      </c>
    </row>
    <row r="1117" spans="2:8" x14ac:dyDescent="0.3">
      <c r="B1117" s="198">
        <v>45568</v>
      </c>
      <c r="C1117" s="192">
        <v>585.35</v>
      </c>
      <c r="D1117" s="201">
        <f t="shared" si="34"/>
        <v>-4.0016400164001605E-2</v>
      </c>
      <c r="F1117" s="196">
        <v>45568</v>
      </c>
      <c r="G1117" s="190">
        <v>25250.099609375</v>
      </c>
      <c r="H1117" s="201">
        <f t="shared" si="35"/>
        <v>-2.1196375260987402E-2</v>
      </c>
    </row>
    <row r="1118" spans="2:8" x14ac:dyDescent="0.3">
      <c r="B1118" s="198">
        <v>45569</v>
      </c>
      <c r="C1118" s="192">
        <v>576.53</v>
      </c>
      <c r="D1118" s="201">
        <f t="shared" si="34"/>
        <v>-1.50679080891775E-2</v>
      </c>
      <c r="F1118" s="197">
        <v>45569</v>
      </c>
      <c r="G1118" s="191">
        <v>25014.599609375</v>
      </c>
      <c r="H1118" s="200">
        <f t="shared" si="35"/>
        <v>-9.3266958801446562E-3</v>
      </c>
    </row>
    <row r="1119" spans="2:8" x14ac:dyDescent="0.3">
      <c r="B1119" s="198">
        <v>45572</v>
      </c>
      <c r="C1119" s="192">
        <v>539.83000000000004</v>
      </c>
      <c r="D1119" s="201">
        <f t="shared" si="34"/>
        <v>-6.3656704768181943E-2</v>
      </c>
      <c r="F1119" s="196">
        <v>45572</v>
      </c>
      <c r="G1119" s="190">
        <v>24795.75</v>
      </c>
      <c r="H1119" s="201">
        <f t="shared" si="35"/>
        <v>-8.7488751686027114E-3</v>
      </c>
    </row>
    <row r="1120" spans="2:8" x14ac:dyDescent="0.3">
      <c r="B1120" s="198">
        <v>45573</v>
      </c>
      <c r="C1120" s="192">
        <v>587.59</v>
      </c>
      <c r="D1120" s="201">
        <f t="shared" si="34"/>
        <v>8.8472296834188516E-2</v>
      </c>
      <c r="F1120" s="197">
        <v>45573</v>
      </c>
      <c r="G1120" s="191">
        <v>25013.150390625</v>
      </c>
      <c r="H1120" s="200">
        <f t="shared" si="35"/>
        <v>8.7676473034693451E-3</v>
      </c>
    </row>
    <row r="1121" spans="2:8" x14ac:dyDescent="0.3">
      <c r="B1121" s="198">
        <v>45574</v>
      </c>
      <c r="C1121" s="192">
        <v>589.98</v>
      </c>
      <c r="D1121" s="201">
        <f t="shared" ref="D1121:D1184" si="36">(C1121-C1120)/C1120</f>
        <v>4.0674620058203615E-3</v>
      </c>
      <c r="F1121" s="196">
        <v>45574</v>
      </c>
      <c r="G1121" s="190">
        <v>24981.94921875</v>
      </c>
      <c r="H1121" s="201">
        <f t="shared" si="35"/>
        <v>-1.2473907279865989E-3</v>
      </c>
    </row>
    <row r="1122" spans="2:8" x14ac:dyDescent="0.3">
      <c r="B1122" s="198">
        <v>45575</v>
      </c>
      <c r="C1122" s="192">
        <v>586.24</v>
      </c>
      <c r="D1122" s="201">
        <f t="shared" si="36"/>
        <v>-6.3391979389131985E-3</v>
      </c>
      <c r="F1122" s="197">
        <v>45575</v>
      </c>
      <c r="G1122" s="191">
        <v>24998.44921875</v>
      </c>
      <c r="H1122" s="200">
        <f t="shared" si="35"/>
        <v>6.6047688495083712E-4</v>
      </c>
    </row>
    <row r="1123" spans="2:8" x14ac:dyDescent="0.3">
      <c r="B1123" s="198">
        <v>45576</v>
      </c>
      <c r="C1123" s="192">
        <v>589.92999999999995</v>
      </c>
      <c r="D1123" s="201">
        <f t="shared" si="36"/>
        <v>6.2943504366811216E-3</v>
      </c>
      <c r="F1123" s="196">
        <v>45576</v>
      </c>
      <c r="G1123" s="190">
        <v>24964.25</v>
      </c>
      <c r="H1123" s="201">
        <f t="shared" si="35"/>
        <v>-1.3680536120756241E-3</v>
      </c>
    </row>
    <row r="1124" spans="2:8" x14ac:dyDescent="0.3">
      <c r="B1124" s="198">
        <v>45579</v>
      </c>
      <c r="C1124" s="192">
        <v>589.23</v>
      </c>
      <c r="D1124" s="201">
        <f t="shared" si="36"/>
        <v>-1.1865814588170322E-3</v>
      </c>
      <c r="F1124" s="197">
        <v>45579</v>
      </c>
      <c r="G1124" s="191">
        <v>25127.94921875</v>
      </c>
      <c r="H1124" s="200">
        <f t="shared" si="35"/>
        <v>6.5573457544288337E-3</v>
      </c>
    </row>
    <row r="1125" spans="2:8" x14ac:dyDescent="0.3">
      <c r="B1125" s="198">
        <v>45580</v>
      </c>
      <c r="C1125" s="192">
        <v>608.54999999999995</v>
      </c>
      <c r="D1125" s="201">
        <f t="shared" si="36"/>
        <v>3.2788554554248658E-2</v>
      </c>
      <c r="F1125" s="196">
        <v>45580</v>
      </c>
      <c r="G1125" s="190">
        <v>25057.349609375</v>
      </c>
      <c r="H1125" s="201">
        <f t="shared" si="35"/>
        <v>-2.8096049048968912E-3</v>
      </c>
    </row>
    <row r="1126" spans="2:8" x14ac:dyDescent="0.3">
      <c r="B1126" s="198">
        <v>45581</v>
      </c>
      <c r="C1126" s="192">
        <v>605.80999999999995</v>
      </c>
      <c r="D1126" s="201">
        <f t="shared" si="36"/>
        <v>-4.5025059567825312E-3</v>
      </c>
      <c r="F1126" s="197">
        <v>45581</v>
      </c>
      <c r="G1126" s="191">
        <v>24971.30078125</v>
      </c>
      <c r="H1126" s="200">
        <f t="shared" si="35"/>
        <v>-3.4340754096676505E-3</v>
      </c>
    </row>
    <row r="1127" spans="2:8" x14ac:dyDescent="0.3">
      <c r="B1127" s="198">
        <v>45582</v>
      </c>
      <c r="C1127" s="192">
        <v>585.99</v>
      </c>
      <c r="D1127" s="201">
        <f t="shared" si="36"/>
        <v>-3.2716528284445517E-2</v>
      </c>
      <c r="F1127" s="196">
        <v>45582</v>
      </c>
      <c r="G1127" s="190">
        <v>24749.849609375</v>
      </c>
      <c r="H1127" s="201">
        <f t="shared" si="35"/>
        <v>-8.8682273228345102E-3</v>
      </c>
    </row>
    <row r="1128" spans="2:8" x14ac:dyDescent="0.3">
      <c r="B1128" s="198">
        <v>45583</v>
      </c>
      <c r="C1128" s="192">
        <v>586.34</v>
      </c>
      <c r="D1128" s="201">
        <f t="shared" si="36"/>
        <v>5.9727981706176345E-4</v>
      </c>
      <c r="F1128" s="197">
        <v>45583</v>
      </c>
      <c r="G1128" s="191">
        <v>24854.05078125</v>
      </c>
      <c r="H1128" s="200">
        <f t="shared" si="35"/>
        <v>4.2101739412400158E-3</v>
      </c>
    </row>
    <row r="1129" spans="2:8" x14ac:dyDescent="0.3">
      <c r="B1129" s="198">
        <v>45586</v>
      </c>
      <c r="C1129" s="192">
        <v>576.09</v>
      </c>
      <c r="D1129" s="201">
        <f t="shared" si="36"/>
        <v>-1.7481324828597742E-2</v>
      </c>
      <c r="F1129" s="196">
        <v>45586</v>
      </c>
      <c r="G1129" s="190">
        <v>24781.099609375</v>
      </c>
      <c r="H1129" s="201">
        <f t="shared" si="35"/>
        <v>-2.9351823779983047E-3</v>
      </c>
    </row>
    <row r="1130" spans="2:8" x14ac:dyDescent="0.3">
      <c r="B1130" s="198">
        <v>45587</v>
      </c>
      <c r="C1130" s="192">
        <v>592.12</v>
      </c>
      <c r="D1130" s="201">
        <f t="shared" si="36"/>
        <v>2.7825513374646275E-2</v>
      </c>
      <c r="F1130" s="197">
        <v>45587</v>
      </c>
      <c r="G1130" s="191">
        <v>24472.099609375</v>
      </c>
      <c r="H1130" s="200">
        <f t="shared" si="35"/>
        <v>-1.2469180337869326E-2</v>
      </c>
    </row>
    <row r="1131" spans="2:8" x14ac:dyDescent="0.3">
      <c r="B1131" s="198">
        <v>45588</v>
      </c>
      <c r="C1131" s="192">
        <v>626.17999999999995</v>
      </c>
      <c r="D1131" s="201">
        <f t="shared" si="36"/>
        <v>5.7522123893805219E-2</v>
      </c>
      <c r="F1131" s="196">
        <v>45588</v>
      </c>
      <c r="G1131" s="190">
        <v>24435.5</v>
      </c>
      <c r="H1131" s="201">
        <f t="shared" si="35"/>
        <v>-1.4955647434917714E-3</v>
      </c>
    </row>
    <row r="1132" spans="2:8" x14ac:dyDescent="0.3">
      <c r="B1132" s="198">
        <v>45589</v>
      </c>
      <c r="C1132" s="192">
        <v>606.80999999999995</v>
      </c>
      <c r="D1132" s="201">
        <f t="shared" si="36"/>
        <v>-3.0933597368168905E-2</v>
      </c>
      <c r="F1132" s="197">
        <v>45589</v>
      </c>
      <c r="G1132" s="191">
        <v>24399.400390625</v>
      </c>
      <c r="H1132" s="200">
        <f t="shared" si="35"/>
        <v>-1.4773427748562542E-3</v>
      </c>
    </row>
    <row r="1133" spans="2:8" x14ac:dyDescent="0.3">
      <c r="B1133" s="198">
        <v>45590</v>
      </c>
      <c r="C1133" s="192">
        <v>608.70000000000005</v>
      </c>
      <c r="D1133" s="201">
        <f t="shared" si="36"/>
        <v>3.1146487368370664E-3</v>
      </c>
      <c r="F1133" s="196">
        <v>45590</v>
      </c>
      <c r="G1133" s="190">
        <v>24180.80078125</v>
      </c>
      <c r="H1133" s="201">
        <f t="shared" si="35"/>
        <v>-8.9592205494932031E-3</v>
      </c>
    </row>
    <row r="1134" spans="2:8" x14ac:dyDescent="0.3">
      <c r="B1134" s="198">
        <v>45593</v>
      </c>
      <c r="C1134" s="192">
        <v>601.33000000000004</v>
      </c>
      <c r="D1134" s="201">
        <f t="shared" si="36"/>
        <v>-1.2107770658781014E-2</v>
      </c>
      <c r="F1134" s="197">
        <v>45593</v>
      </c>
      <c r="G1134" s="191">
        <v>24339.150390625</v>
      </c>
      <c r="H1134" s="200">
        <f t="shared" si="35"/>
        <v>6.5485676346080995E-3</v>
      </c>
    </row>
    <row r="1135" spans="2:8" x14ac:dyDescent="0.3">
      <c r="B1135" s="198">
        <v>45594</v>
      </c>
      <c r="C1135" s="192">
        <v>606.80999999999995</v>
      </c>
      <c r="D1135" s="201">
        <f t="shared" si="36"/>
        <v>9.1131325561670026E-3</v>
      </c>
      <c r="F1135" s="196">
        <v>45594</v>
      </c>
      <c r="G1135" s="190">
        <v>24466.849609375</v>
      </c>
      <c r="H1135" s="201">
        <f t="shared" si="35"/>
        <v>5.2466588480092318E-3</v>
      </c>
    </row>
    <row r="1136" spans="2:8" x14ac:dyDescent="0.3">
      <c r="B1136" s="198">
        <v>45595</v>
      </c>
      <c r="C1136" s="192">
        <v>603.07000000000005</v>
      </c>
      <c r="D1136" s="201">
        <f t="shared" si="36"/>
        <v>-6.1633789818887228E-3</v>
      </c>
      <c r="F1136" s="197">
        <v>45595</v>
      </c>
      <c r="G1136" s="191">
        <v>24340.849609375</v>
      </c>
      <c r="H1136" s="200">
        <f t="shared" si="35"/>
        <v>-5.149825253829181E-3</v>
      </c>
    </row>
    <row r="1137" spans="2:8" x14ac:dyDescent="0.3">
      <c r="B1137" s="198">
        <v>45596</v>
      </c>
      <c r="C1137" s="192">
        <v>595.30999999999995</v>
      </c>
      <c r="D1137" s="201">
        <f t="shared" si="36"/>
        <v>-1.2867494652362253E-2</v>
      </c>
      <c r="F1137" s="196">
        <v>45596</v>
      </c>
      <c r="G1137" s="190">
        <v>24205.349609375</v>
      </c>
      <c r="H1137" s="201">
        <f t="shared" si="35"/>
        <v>-5.566773640794013E-3</v>
      </c>
    </row>
    <row r="1138" spans="2:8" x14ac:dyDescent="0.3">
      <c r="B1138" s="198">
        <v>45597</v>
      </c>
      <c r="C1138" s="192">
        <v>606.01</v>
      </c>
      <c r="D1138" s="201">
        <f t="shared" si="36"/>
        <v>1.7973828761485691E-2</v>
      </c>
      <c r="F1138" s="197">
        <v>45597</v>
      </c>
      <c r="G1138" s="191">
        <v>24304.349609375</v>
      </c>
      <c r="H1138" s="200">
        <f t="shared" si="35"/>
        <v>4.0900049616162618E-3</v>
      </c>
    </row>
    <row r="1139" spans="2:8" x14ac:dyDescent="0.3">
      <c r="B1139" s="198">
        <v>45600</v>
      </c>
      <c r="C1139" s="192">
        <v>591.07000000000005</v>
      </c>
      <c r="D1139" s="201">
        <f t="shared" si="36"/>
        <v>-2.4653058530387191E-2</v>
      </c>
      <c r="F1139" s="196">
        <v>45600</v>
      </c>
      <c r="G1139" s="190">
        <v>23995.349609375</v>
      </c>
      <c r="H1139" s="201">
        <f t="shared" si="35"/>
        <v>-1.2713773664645128E-2</v>
      </c>
    </row>
    <row r="1140" spans="2:8" x14ac:dyDescent="0.3">
      <c r="B1140" s="198">
        <v>45601</v>
      </c>
      <c r="C1140" s="192">
        <v>583.85</v>
      </c>
      <c r="D1140" s="201">
        <f t="shared" si="36"/>
        <v>-1.2215135263166844E-2</v>
      </c>
      <c r="F1140" s="197">
        <v>45601</v>
      </c>
      <c r="G1140" s="191">
        <v>24213.30078125</v>
      </c>
      <c r="H1140" s="200">
        <f t="shared" si="35"/>
        <v>9.0830588186073483E-3</v>
      </c>
    </row>
    <row r="1141" spans="2:8" x14ac:dyDescent="0.3">
      <c r="B1141" s="198">
        <v>45602</v>
      </c>
      <c r="C1141" s="192">
        <v>596.75</v>
      </c>
      <c r="D1141" s="201">
        <f t="shared" si="36"/>
        <v>2.2094716108589495E-2</v>
      </c>
      <c r="F1141" s="196">
        <v>45602</v>
      </c>
      <c r="G1141" s="190">
        <v>24484.05078125</v>
      </c>
      <c r="H1141" s="201">
        <f t="shared" si="35"/>
        <v>1.1181870759630595E-2</v>
      </c>
    </row>
    <row r="1142" spans="2:8" x14ac:dyDescent="0.3">
      <c r="B1142" s="198">
        <v>45603</v>
      </c>
      <c r="C1142" s="192">
        <v>594.80999999999995</v>
      </c>
      <c r="D1142" s="201">
        <f t="shared" si="36"/>
        <v>-3.250942605781407E-3</v>
      </c>
      <c r="F1142" s="197">
        <v>45603</v>
      </c>
      <c r="G1142" s="191">
        <v>24199.349609375</v>
      </c>
      <c r="H1142" s="200">
        <f t="shared" si="35"/>
        <v>-1.1628025706147672E-2</v>
      </c>
    </row>
    <row r="1143" spans="2:8" x14ac:dyDescent="0.3">
      <c r="B1143" s="198">
        <v>45604</v>
      </c>
      <c r="C1143" s="192">
        <v>589.13</v>
      </c>
      <c r="D1143" s="201">
        <f t="shared" si="36"/>
        <v>-9.5492678334257158E-3</v>
      </c>
      <c r="F1143" s="196">
        <v>45604</v>
      </c>
      <c r="G1143" s="190">
        <v>24148.19921875</v>
      </c>
      <c r="H1143" s="201">
        <f t="shared" si="35"/>
        <v>-2.1137093124678017E-3</v>
      </c>
    </row>
    <row r="1144" spans="2:8" x14ac:dyDescent="0.3">
      <c r="B1144" s="198">
        <v>45607</v>
      </c>
      <c r="C1144" s="192">
        <v>588.38</v>
      </c>
      <c r="D1144" s="201">
        <f t="shared" si="36"/>
        <v>-1.2730636701576903E-3</v>
      </c>
      <c r="F1144" s="197">
        <v>45607</v>
      </c>
      <c r="G1144" s="191">
        <v>24141.30078125</v>
      </c>
      <c r="H1144" s="200">
        <f t="shared" si="35"/>
        <v>-2.8567088740280355E-4</v>
      </c>
    </row>
    <row r="1145" spans="2:8" x14ac:dyDescent="0.3">
      <c r="B1145" s="198">
        <v>45608</v>
      </c>
      <c r="C1145" s="192">
        <v>581.91</v>
      </c>
      <c r="D1145" s="201">
        <f t="shared" si="36"/>
        <v>-1.0996294911451829E-2</v>
      </c>
      <c r="F1145" s="196">
        <v>45608</v>
      </c>
      <c r="G1145" s="190">
        <v>23883.44921875</v>
      </c>
      <c r="H1145" s="201">
        <f t="shared" si="35"/>
        <v>-1.0680930776533279E-2</v>
      </c>
    </row>
    <row r="1146" spans="2:8" x14ac:dyDescent="0.3">
      <c r="B1146" s="198">
        <v>45609</v>
      </c>
      <c r="C1146" s="192">
        <v>565.78</v>
      </c>
      <c r="D1146" s="201">
        <f t="shared" si="36"/>
        <v>-2.7719063085356835E-2</v>
      </c>
      <c r="F1146" s="197">
        <v>45609</v>
      </c>
      <c r="G1146" s="191">
        <v>23559.05078125</v>
      </c>
      <c r="H1146" s="200">
        <f t="shared" si="35"/>
        <v>-1.3582562322921387E-2</v>
      </c>
    </row>
    <row r="1147" spans="2:8" x14ac:dyDescent="0.3">
      <c r="B1147" s="198">
        <v>45610</v>
      </c>
      <c r="C1147" s="192">
        <v>573.29999999999995</v>
      </c>
      <c r="D1147" s="201">
        <f t="shared" si="36"/>
        <v>1.3291385344126661E-2</v>
      </c>
      <c r="F1147" s="196">
        <v>45610</v>
      </c>
      <c r="G1147" s="190">
        <v>23532.69921875</v>
      </c>
      <c r="H1147" s="201">
        <f t="shared" si="35"/>
        <v>-1.1185324376894032E-3</v>
      </c>
    </row>
    <row r="1148" spans="2:8" x14ac:dyDescent="0.3">
      <c r="B1148" s="198">
        <v>45614</v>
      </c>
      <c r="C1148" s="192">
        <v>607.36</v>
      </c>
      <c r="D1148" s="201">
        <f t="shared" si="36"/>
        <v>5.9410430839002375E-2</v>
      </c>
      <c r="F1148" s="197">
        <v>45614</v>
      </c>
      <c r="G1148" s="191">
        <v>23453.80078125</v>
      </c>
      <c r="H1148" s="200">
        <f t="shared" si="35"/>
        <v>-3.3527151631265739E-3</v>
      </c>
    </row>
    <row r="1149" spans="2:8" x14ac:dyDescent="0.3">
      <c r="B1149" s="198">
        <v>45615</v>
      </c>
      <c r="C1149" s="192">
        <v>627.77</v>
      </c>
      <c r="D1149" s="201">
        <f t="shared" si="36"/>
        <v>3.3604452054794468E-2</v>
      </c>
      <c r="F1149" s="196">
        <v>45615</v>
      </c>
      <c r="G1149" s="190">
        <v>23518.5</v>
      </c>
      <c r="H1149" s="201">
        <f t="shared" si="35"/>
        <v>2.7585814066316875E-3</v>
      </c>
    </row>
    <row r="1150" spans="2:8" x14ac:dyDescent="0.3">
      <c r="B1150" s="198">
        <v>45617</v>
      </c>
      <c r="C1150" s="192">
        <v>624.19000000000005</v>
      </c>
      <c r="D1150" s="201">
        <f t="shared" si="36"/>
        <v>-5.7027255204930589E-3</v>
      </c>
      <c r="F1150" s="197">
        <v>45617</v>
      </c>
      <c r="G1150" s="191">
        <v>23349.900390625</v>
      </c>
      <c r="H1150" s="200">
        <f t="shared" si="35"/>
        <v>-7.1688079331164827E-3</v>
      </c>
    </row>
    <row r="1151" spans="2:8" x14ac:dyDescent="0.3">
      <c r="B1151" s="198">
        <v>45618</v>
      </c>
      <c r="C1151" s="192">
        <v>613.88</v>
      </c>
      <c r="D1151" s="201">
        <f t="shared" si="36"/>
        <v>-1.6517406558900428E-2</v>
      </c>
      <c r="F1151" s="196">
        <v>45618</v>
      </c>
      <c r="G1151" s="190">
        <v>23907.25</v>
      </c>
      <c r="H1151" s="201">
        <f t="shared" si="35"/>
        <v>2.3869464111237762E-2</v>
      </c>
    </row>
    <row r="1152" spans="2:8" x14ac:dyDescent="0.3">
      <c r="B1152" s="198">
        <v>45621</v>
      </c>
      <c r="C1152" s="192">
        <v>598.64</v>
      </c>
      <c r="D1152" s="201">
        <f t="shared" si="36"/>
        <v>-2.4825698833648286E-2</v>
      </c>
      <c r="F1152" s="197">
        <v>45621</v>
      </c>
      <c r="G1152" s="191">
        <v>24221.900390625</v>
      </c>
      <c r="H1152" s="200">
        <f t="shared" si="35"/>
        <v>1.3161295867362411E-2</v>
      </c>
    </row>
    <row r="1153" spans="2:8" x14ac:dyDescent="0.3">
      <c r="B1153" s="198">
        <v>45622</v>
      </c>
      <c r="C1153" s="192">
        <v>611.74</v>
      </c>
      <c r="D1153" s="201">
        <f t="shared" si="36"/>
        <v>2.1882934651877628E-2</v>
      </c>
      <c r="F1153" s="196">
        <v>45622</v>
      </c>
      <c r="G1153" s="190">
        <v>24194.5</v>
      </c>
      <c r="H1153" s="201">
        <f t="shared" si="35"/>
        <v>-1.1312238174179439E-3</v>
      </c>
    </row>
    <row r="1154" spans="2:8" x14ac:dyDescent="0.3">
      <c r="B1154" s="198">
        <v>45623</v>
      </c>
      <c r="C1154" s="192">
        <v>610.49</v>
      </c>
      <c r="D1154" s="201">
        <f t="shared" si="36"/>
        <v>-2.0433517507437802E-3</v>
      </c>
      <c r="F1154" s="197">
        <v>45623</v>
      </c>
      <c r="G1154" s="191">
        <v>24274.900390625</v>
      </c>
      <c r="H1154" s="200">
        <f t="shared" si="35"/>
        <v>3.3230854378061129E-3</v>
      </c>
    </row>
    <row r="1155" spans="2:8" x14ac:dyDescent="0.3">
      <c r="B1155" s="198">
        <v>45624</v>
      </c>
      <c r="C1155" s="192">
        <v>628.12</v>
      </c>
      <c r="D1155" s="201">
        <f t="shared" si="36"/>
        <v>2.8878441907320342E-2</v>
      </c>
      <c r="F1155" s="196">
        <v>45624</v>
      </c>
      <c r="G1155" s="190">
        <v>23914.150390625</v>
      </c>
      <c r="H1155" s="201">
        <f t="shared" si="35"/>
        <v>-1.4861029054492934E-2</v>
      </c>
    </row>
    <row r="1156" spans="2:8" x14ac:dyDescent="0.3">
      <c r="B1156" s="198">
        <v>45625</v>
      </c>
      <c r="C1156" s="192">
        <v>618.66</v>
      </c>
      <c r="D1156" s="201">
        <f t="shared" si="36"/>
        <v>-1.5060816404508751E-2</v>
      </c>
      <c r="F1156" s="197">
        <v>45625</v>
      </c>
      <c r="G1156" s="191">
        <v>24131.099609375</v>
      </c>
      <c r="H1156" s="200">
        <f t="shared" si="35"/>
        <v>9.0720019405351737E-3</v>
      </c>
    </row>
    <row r="1157" spans="2:8" x14ac:dyDescent="0.3">
      <c r="B1157" s="198">
        <v>45628</v>
      </c>
      <c r="C1157" s="192">
        <v>629.66999999999996</v>
      </c>
      <c r="D1157" s="201">
        <f t="shared" si="36"/>
        <v>1.7796527979827354E-2</v>
      </c>
      <c r="F1157" s="196">
        <v>45628</v>
      </c>
      <c r="G1157" s="190">
        <v>24276.05078125</v>
      </c>
      <c r="H1157" s="201">
        <f t="shared" si="35"/>
        <v>6.0068200049485541E-3</v>
      </c>
    </row>
    <row r="1158" spans="2:8" x14ac:dyDescent="0.3">
      <c r="B1158" s="198">
        <v>45629</v>
      </c>
      <c r="C1158" s="192">
        <v>618.55999999999995</v>
      </c>
      <c r="D1158" s="201">
        <f t="shared" si="36"/>
        <v>-1.7644162815443034E-2</v>
      </c>
      <c r="F1158" s="197">
        <v>45629</v>
      </c>
      <c r="G1158" s="191">
        <v>24457.150390625</v>
      </c>
      <c r="H1158" s="200">
        <f t="shared" ref="H1158:H1221" si="37">(G1158-G1157)/G1157</f>
        <v>7.4600111445999777E-3</v>
      </c>
    </row>
    <row r="1159" spans="2:8" x14ac:dyDescent="0.3">
      <c r="B1159" s="198">
        <v>45630</v>
      </c>
      <c r="C1159" s="192">
        <v>616.37</v>
      </c>
      <c r="D1159" s="201">
        <f t="shared" si="36"/>
        <v>-3.5404811174339452E-3</v>
      </c>
      <c r="F1159" s="196">
        <v>45630</v>
      </c>
      <c r="G1159" s="190">
        <v>24467.44921875</v>
      </c>
      <c r="H1159" s="201">
        <f t="shared" si="37"/>
        <v>4.2109681465375389E-4</v>
      </c>
    </row>
    <row r="1160" spans="2:8" x14ac:dyDescent="0.3">
      <c r="B1160" s="198">
        <v>45631</v>
      </c>
      <c r="C1160" s="192">
        <v>630.91</v>
      </c>
      <c r="D1160" s="201">
        <f t="shared" si="36"/>
        <v>2.3589726949721699E-2</v>
      </c>
      <c r="F1160" s="197">
        <v>45631</v>
      </c>
      <c r="G1160" s="191">
        <v>24708.400390625</v>
      </c>
      <c r="H1160" s="200">
        <f t="shared" si="37"/>
        <v>9.8478255628851284E-3</v>
      </c>
    </row>
    <row r="1161" spans="2:8" x14ac:dyDescent="0.3">
      <c r="B1161" s="198">
        <v>45632</v>
      </c>
      <c r="C1161" s="192">
        <v>641.41999999999996</v>
      </c>
      <c r="D1161" s="201">
        <f t="shared" si="36"/>
        <v>1.6658477437352381E-2</v>
      </c>
      <c r="F1161" s="196">
        <v>45632</v>
      </c>
      <c r="G1161" s="190">
        <v>24677.80078125</v>
      </c>
      <c r="H1161" s="201">
        <f t="shared" si="37"/>
        <v>-1.2384293961259537E-3</v>
      </c>
    </row>
    <row r="1162" spans="2:8" x14ac:dyDescent="0.3">
      <c r="B1162" s="198">
        <v>45635</v>
      </c>
      <c r="C1162" s="192">
        <v>638.98</v>
      </c>
      <c r="D1162" s="201">
        <f t="shared" si="36"/>
        <v>-3.8040597424463551E-3</v>
      </c>
      <c r="F1162" s="197">
        <v>45635</v>
      </c>
      <c r="G1162" s="191">
        <v>24619</v>
      </c>
      <c r="H1162" s="200">
        <f t="shared" si="37"/>
        <v>-2.3827399277279349E-3</v>
      </c>
    </row>
    <row r="1163" spans="2:8" x14ac:dyDescent="0.3">
      <c r="B1163" s="198">
        <v>45636</v>
      </c>
      <c r="C1163" s="192">
        <v>642.71</v>
      </c>
      <c r="D1163" s="201">
        <f t="shared" si="36"/>
        <v>5.8374284015149424E-3</v>
      </c>
      <c r="F1163" s="196">
        <v>45636</v>
      </c>
      <c r="G1163" s="190">
        <v>24610.05078125</v>
      </c>
      <c r="H1163" s="201">
        <f t="shared" si="37"/>
        <v>-3.6350862138998332E-4</v>
      </c>
    </row>
    <row r="1164" spans="2:8" x14ac:dyDescent="0.3">
      <c r="B1164" s="198">
        <v>45637</v>
      </c>
      <c r="C1164" s="192">
        <v>641.32000000000005</v>
      </c>
      <c r="D1164" s="201">
        <f t="shared" si="36"/>
        <v>-2.1627172441691998E-3</v>
      </c>
      <c r="F1164" s="197">
        <v>45637</v>
      </c>
      <c r="G1164" s="191">
        <v>24641.80078125</v>
      </c>
      <c r="H1164" s="200">
        <f t="shared" si="37"/>
        <v>1.2901233029632678E-3</v>
      </c>
    </row>
    <row r="1165" spans="2:8" x14ac:dyDescent="0.3">
      <c r="B1165" s="198">
        <v>45638</v>
      </c>
      <c r="C1165" s="192">
        <v>643.61</v>
      </c>
      <c r="D1165" s="201">
        <f t="shared" si="36"/>
        <v>3.5707603068670297E-3</v>
      </c>
      <c r="F1165" s="196">
        <v>45638</v>
      </c>
      <c r="G1165" s="190">
        <v>24548.69921875</v>
      </c>
      <c r="H1165" s="201">
        <f t="shared" si="37"/>
        <v>-3.778196379659119E-3</v>
      </c>
    </row>
    <row r="1166" spans="2:8" x14ac:dyDescent="0.3">
      <c r="B1166" s="198">
        <v>45639</v>
      </c>
      <c r="C1166" s="192">
        <v>643.01</v>
      </c>
      <c r="D1166" s="201">
        <f t="shared" si="36"/>
        <v>-9.3224157486680248E-4</v>
      </c>
      <c r="F1166" s="197">
        <v>45639</v>
      </c>
      <c r="G1166" s="191">
        <v>24768.30078125</v>
      </c>
      <c r="H1166" s="200">
        <f t="shared" si="37"/>
        <v>8.9455478085890185E-3</v>
      </c>
    </row>
    <row r="1167" spans="2:8" x14ac:dyDescent="0.3">
      <c r="B1167" s="198">
        <v>45642</v>
      </c>
      <c r="C1167" s="192">
        <v>642.76</v>
      </c>
      <c r="D1167" s="201">
        <f t="shared" si="36"/>
        <v>-3.8879644173496524E-4</v>
      </c>
      <c r="F1167" s="196">
        <v>45642</v>
      </c>
      <c r="G1167" s="190">
        <v>24668.25</v>
      </c>
      <c r="H1167" s="201">
        <f t="shared" si="37"/>
        <v>-4.0394689217332193E-3</v>
      </c>
    </row>
    <row r="1168" spans="2:8" x14ac:dyDescent="0.3">
      <c r="B1168" s="198">
        <v>45643</v>
      </c>
      <c r="C1168" s="192">
        <v>645.20000000000005</v>
      </c>
      <c r="D1168" s="201">
        <f t="shared" si="36"/>
        <v>3.7961291928558941E-3</v>
      </c>
      <c r="F1168" s="197">
        <v>45643</v>
      </c>
      <c r="G1168" s="191">
        <v>24336</v>
      </c>
      <c r="H1168" s="200">
        <f t="shared" si="37"/>
        <v>-1.3468730047733423E-2</v>
      </c>
    </row>
    <row r="1169" spans="2:8" x14ac:dyDescent="0.3">
      <c r="B1169" s="198">
        <v>45644</v>
      </c>
      <c r="C1169" s="192">
        <v>630.86</v>
      </c>
      <c r="D1169" s="201">
        <f t="shared" si="36"/>
        <v>-2.2225666460012446E-2</v>
      </c>
      <c r="F1169" s="196">
        <v>45644</v>
      </c>
      <c r="G1169" s="190">
        <v>24198.849609375</v>
      </c>
      <c r="H1169" s="201">
        <f t="shared" si="37"/>
        <v>-5.6356998120069036E-3</v>
      </c>
    </row>
    <row r="1170" spans="2:8" x14ac:dyDescent="0.3">
      <c r="B1170" s="198">
        <v>45645</v>
      </c>
      <c r="C1170" s="192">
        <v>625.42999999999995</v>
      </c>
      <c r="D1170" s="201">
        <f t="shared" si="36"/>
        <v>-8.6072979741940586E-3</v>
      </c>
      <c r="F1170" s="197">
        <v>45645</v>
      </c>
      <c r="G1170" s="191">
        <v>23951.69921875</v>
      </c>
      <c r="H1170" s="200">
        <f t="shared" si="37"/>
        <v>-1.0213311567061031E-2</v>
      </c>
    </row>
    <row r="1171" spans="2:8" x14ac:dyDescent="0.3">
      <c r="B1171" s="198">
        <v>45646</v>
      </c>
      <c r="C1171" s="192">
        <v>610.04999999999995</v>
      </c>
      <c r="D1171" s="201">
        <f t="shared" si="36"/>
        <v>-2.45910813360408E-2</v>
      </c>
      <c r="F1171" s="196">
        <v>45646</v>
      </c>
      <c r="G1171" s="190">
        <v>23587.5</v>
      </c>
      <c r="H1171" s="201">
        <f t="shared" si="37"/>
        <v>-1.5205569150805617E-2</v>
      </c>
    </row>
    <row r="1172" spans="2:8" x14ac:dyDescent="0.3">
      <c r="B1172" s="198">
        <v>45649</v>
      </c>
      <c r="C1172" s="192">
        <v>623.99</v>
      </c>
      <c r="D1172" s="201">
        <f t="shared" si="36"/>
        <v>2.2850586017539636E-2</v>
      </c>
      <c r="F1172" s="197">
        <v>45649</v>
      </c>
      <c r="G1172" s="191">
        <v>23753.44921875</v>
      </c>
      <c r="H1172" s="200">
        <f t="shared" si="37"/>
        <v>7.0354729729729731E-3</v>
      </c>
    </row>
    <row r="1173" spans="2:8" x14ac:dyDescent="0.3">
      <c r="B1173" s="198">
        <v>45650</v>
      </c>
      <c r="C1173" s="192">
        <v>624.74</v>
      </c>
      <c r="D1173" s="201">
        <f t="shared" si="36"/>
        <v>1.2019423388195324E-3</v>
      </c>
      <c r="F1173" s="196">
        <v>45650</v>
      </c>
      <c r="G1173" s="190">
        <v>23727.650390625</v>
      </c>
      <c r="H1173" s="201">
        <f t="shared" si="37"/>
        <v>-1.0861087115144297E-3</v>
      </c>
    </row>
    <row r="1174" spans="2:8" x14ac:dyDescent="0.3">
      <c r="B1174" s="198">
        <v>45652</v>
      </c>
      <c r="C1174" s="192">
        <v>621.54999999999995</v>
      </c>
      <c r="D1174" s="201">
        <f t="shared" si="36"/>
        <v>-5.1061241476455079E-3</v>
      </c>
      <c r="F1174" s="197">
        <v>45652</v>
      </c>
      <c r="G1174" s="191">
        <v>23750.19921875</v>
      </c>
      <c r="H1174" s="200">
        <f t="shared" si="37"/>
        <v>9.5031862631915877E-4</v>
      </c>
    </row>
    <row r="1175" spans="2:8" x14ac:dyDescent="0.3">
      <c r="B1175" s="198">
        <v>45653</v>
      </c>
      <c r="C1175" s="192">
        <v>621.75</v>
      </c>
      <c r="D1175" s="201">
        <f t="shared" si="36"/>
        <v>3.2177620464973934E-4</v>
      </c>
      <c r="F1175" s="196">
        <v>45653</v>
      </c>
      <c r="G1175" s="190">
        <v>23813.400390625</v>
      </c>
      <c r="H1175" s="201">
        <f t="shared" si="37"/>
        <v>2.6610796521279179E-3</v>
      </c>
    </row>
    <row r="1176" spans="2:8" x14ac:dyDescent="0.3">
      <c r="B1176" s="198">
        <v>45656</v>
      </c>
      <c r="C1176" s="192">
        <v>640.82000000000005</v>
      </c>
      <c r="D1176" s="201">
        <f t="shared" si="36"/>
        <v>3.0671491757137192E-2</v>
      </c>
      <c r="F1176" s="197">
        <v>45656</v>
      </c>
      <c r="G1176" s="191">
        <v>23644.900390625</v>
      </c>
      <c r="H1176" s="200">
        <f t="shared" si="37"/>
        <v>-7.0758479358679106E-3</v>
      </c>
    </row>
    <row r="1177" spans="2:8" x14ac:dyDescent="0.3">
      <c r="B1177" s="198">
        <v>45657</v>
      </c>
      <c r="C1177" s="192">
        <v>635.89</v>
      </c>
      <c r="D1177" s="201">
        <f t="shared" si="36"/>
        <v>-7.6932680003746192E-3</v>
      </c>
      <c r="F1177" s="196">
        <v>45657</v>
      </c>
      <c r="G1177" s="190">
        <v>23644.80078125</v>
      </c>
      <c r="H1177" s="201">
        <f t="shared" si="37"/>
        <v>-4.2127212783477941E-6</v>
      </c>
    </row>
    <row r="1178" spans="2:8" x14ac:dyDescent="0.3">
      <c r="B1178" s="198">
        <v>45658</v>
      </c>
      <c r="C1178" s="192">
        <v>648.19000000000005</v>
      </c>
      <c r="D1178" s="201">
        <f t="shared" si="36"/>
        <v>1.9342968123417681E-2</v>
      </c>
      <c r="F1178" s="197">
        <v>45658</v>
      </c>
      <c r="G1178" s="191">
        <v>23742.900390625</v>
      </c>
      <c r="H1178" s="200">
        <f t="shared" si="37"/>
        <v>4.1488871182535671E-3</v>
      </c>
    </row>
    <row r="1179" spans="2:8" x14ac:dyDescent="0.3">
      <c r="B1179" s="198">
        <v>45659</v>
      </c>
      <c r="C1179" s="192">
        <v>646.04999999999995</v>
      </c>
      <c r="D1179" s="201">
        <f t="shared" si="36"/>
        <v>-3.3015011030717843E-3</v>
      </c>
      <c r="F1179" s="196">
        <v>45659</v>
      </c>
      <c r="G1179" s="190">
        <v>24188.650390625</v>
      </c>
      <c r="H1179" s="201">
        <f t="shared" si="37"/>
        <v>1.8774033191665436E-2</v>
      </c>
    </row>
    <row r="1180" spans="2:8" x14ac:dyDescent="0.3">
      <c r="B1180" s="198">
        <v>45660</v>
      </c>
      <c r="C1180" s="192">
        <v>649.53</v>
      </c>
      <c r="D1180" s="201">
        <f t="shared" si="36"/>
        <v>5.3865799860692183E-3</v>
      </c>
      <c r="F1180" s="197">
        <v>45660</v>
      </c>
      <c r="G1180" s="191">
        <v>24004.75</v>
      </c>
      <c r="H1180" s="200">
        <f t="shared" si="37"/>
        <v>-7.602755327609176E-3</v>
      </c>
    </row>
    <row r="1181" spans="2:8" x14ac:dyDescent="0.3">
      <c r="B1181" s="198">
        <v>45663</v>
      </c>
      <c r="C1181" s="192">
        <v>628.12</v>
      </c>
      <c r="D1181" s="201">
        <f t="shared" si="36"/>
        <v>-3.2962295813896154E-2</v>
      </c>
      <c r="F1181" s="196">
        <v>45663</v>
      </c>
      <c r="G1181" s="190">
        <v>23616.05078125</v>
      </c>
      <c r="H1181" s="201">
        <f t="shared" si="37"/>
        <v>-1.6192595996625668E-2</v>
      </c>
    </row>
    <row r="1182" spans="2:8" x14ac:dyDescent="0.3">
      <c r="B1182" s="198">
        <v>45664</v>
      </c>
      <c r="C1182" s="192">
        <v>615.66999999999996</v>
      </c>
      <c r="D1182" s="201">
        <f t="shared" si="36"/>
        <v>-1.9821053301916903E-2</v>
      </c>
      <c r="F1182" s="197">
        <v>45664</v>
      </c>
      <c r="G1182" s="191">
        <v>23707.900390625</v>
      </c>
      <c r="H1182" s="200">
        <f t="shared" si="37"/>
        <v>3.8892874268344705E-3</v>
      </c>
    </row>
    <row r="1183" spans="2:8" x14ac:dyDescent="0.3">
      <c r="B1183" s="198">
        <v>45665</v>
      </c>
      <c r="C1183" s="192">
        <v>604.47</v>
      </c>
      <c r="D1183" s="201">
        <f t="shared" si="36"/>
        <v>-1.8191563662351473E-2</v>
      </c>
      <c r="F1183" s="196">
        <v>45665</v>
      </c>
      <c r="G1183" s="190">
        <v>23688.94921875</v>
      </c>
      <c r="H1183" s="201">
        <f t="shared" si="37"/>
        <v>-7.9936103841966573E-4</v>
      </c>
    </row>
    <row r="1184" spans="2:8" x14ac:dyDescent="0.3">
      <c r="B1184" s="198">
        <v>45666</v>
      </c>
      <c r="C1184" s="192">
        <v>602.97</v>
      </c>
      <c r="D1184" s="201">
        <f t="shared" si="36"/>
        <v>-2.4815127301603054E-3</v>
      </c>
      <c r="F1184" s="197">
        <v>45666</v>
      </c>
      <c r="G1184" s="191">
        <v>23526.5</v>
      </c>
      <c r="H1184" s="200">
        <f t="shared" si="37"/>
        <v>-6.8575949591474531E-3</v>
      </c>
    </row>
    <row r="1185" spans="2:8" x14ac:dyDescent="0.3">
      <c r="B1185" s="198">
        <v>45667</v>
      </c>
      <c r="C1185" s="192">
        <v>594.11</v>
      </c>
      <c r="D1185" s="201">
        <f t="shared" ref="D1185:D1248" si="38">(C1185-C1184)/C1184</f>
        <v>-1.4693931704728283E-2</v>
      </c>
      <c r="F1185" s="196">
        <v>45667</v>
      </c>
      <c r="G1185" s="190">
        <v>23431.5</v>
      </c>
      <c r="H1185" s="201">
        <f t="shared" si="37"/>
        <v>-4.0379997024631801E-3</v>
      </c>
    </row>
    <row r="1186" spans="2:8" x14ac:dyDescent="0.3">
      <c r="B1186" s="198">
        <v>45670</v>
      </c>
      <c r="C1186" s="192">
        <v>572.4</v>
      </c>
      <c r="D1186" s="201">
        <f t="shared" si="38"/>
        <v>-3.6542054501691665E-2</v>
      </c>
      <c r="F1186" s="197">
        <v>45670</v>
      </c>
      <c r="G1186" s="191">
        <v>23085.94921875</v>
      </c>
      <c r="H1186" s="200">
        <f t="shared" si="37"/>
        <v>-1.4747275302477434E-2</v>
      </c>
    </row>
    <row r="1187" spans="2:8" x14ac:dyDescent="0.3">
      <c r="B1187" s="198">
        <v>45671</v>
      </c>
      <c r="C1187" s="192">
        <v>563.98</v>
      </c>
      <c r="D1187" s="201">
        <f t="shared" si="38"/>
        <v>-1.4709993011879733E-2</v>
      </c>
      <c r="F1187" s="196">
        <v>45671</v>
      </c>
      <c r="G1187" s="190">
        <v>23176.05078125</v>
      </c>
      <c r="H1187" s="201">
        <f t="shared" si="37"/>
        <v>3.9028744993868871E-3</v>
      </c>
    </row>
    <row r="1188" spans="2:8" x14ac:dyDescent="0.3">
      <c r="B1188" s="198">
        <v>45672</v>
      </c>
      <c r="C1188" s="192">
        <v>558.21</v>
      </c>
      <c r="D1188" s="201">
        <f t="shared" si="38"/>
        <v>-1.0230859250327993E-2</v>
      </c>
      <c r="F1188" s="197">
        <v>45672</v>
      </c>
      <c r="G1188" s="191">
        <v>23213.19921875</v>
      </c>
      <c r="H1188" s="200">
        <f t="shared" si="37"/>
        <v>1.6028803979862699E-3</v>
      </c>
    </row>
    <row r="1189" spans="2:8" x14ac:dyDescent="0.3">
      <c r="B1189" s="198">
        <v>45673</v>
      </c>
      <c r="C1189" s="192">
        <v>572.35</v>
      </c>
      <c r="D1189" s="201">
        <f t="shared" si="38"/>
        <v>2.5330968631876866E-2</v>
      </c>
      <c r="F1189" s="196">
        <v>45673</v>
      </c>
      <c r="G1189" s="190">
        <v>23311.80078125</v>
      </c>
      <c r="H1189" s="201">
        <f t="shared" si="37"/>
        <v>4.2476507253837101E-3</v>
      </c>
    </row>
    <row r="1190" spans="2:8" x14ac:dyDescent="0.3">
      <c r="B1190" s="198">
        <v>45674</v>
      </c>
      <c r="C1190" s="192">
        <v>554.08000000000004</v>
      </c>
      <c r="D1190" s="201">
        <f t="shared" si="38"/>
        <v>-3.1921027343408723E-2</v>
      </c>
      <c r="F1190" s="197">
        <v>45674</v>
      </c>
      <c r="G1190" s="191">
        <v>23203.19921875</v>
      </c>
      <c r="H1190" s="200">
        <f t="shared" si="37"/>
        <v>-4.6586517926727362E-3</v>
      </c>
    </row>
    <row r="1191" spans="2:8" x14ac:dyDescent="0.3">
      <c r="B1191" s="198">
        <v>45677</v>
      </c>
      <c r="C1191" s="192">
        <v>550.64</v>
      </c>
      <c r="D1191" s="201">
        <f t="shared" si="38"/>
        <v>-6.2084897487728382E-3</v>
      </c>
      <c r="F1191" s="196">
        <v>45677</v>
      </c>
      <c r="G1191" s="190">
        <v>23344.75</v>
      </c>
      <c r="H1191" s="201">
        <f t="shared" si="37"/>
        <v>6.1004855371674738E-3</v>
      </c>
    </row>
    <row r="1192" spans="2:8" x14ac:dyDescent="0.3">
      <c r="B1192" s="198">
        <v>45678</v>
      </c>
      <c r="C1192" s="192">
        <v>539.29</v>
      </c>
      <c r="D1192" s="201">
        <f t="shared" si="38"/>
        <v>-2.0612378323405532E-2</v>
      </c>
      <c r="F1192" s="197">
        <v>45678</v>
      </c>
      <c r="G1192" s="191">
        <v>23024.650390625</v>
      </c>
      <c r="H1192" s="200">
        <f t="shared" si="37"/>
        <v>-1.371184567729361E-2</v>
      </c>
    </row>
    <row r="1193" spans="2:8" x14ac:dyDescent="0.3">
      <c r="B1193" s="198">
        <v>45679</v>
      </c>
      <c r="C1193" s="192">
        <v>532.41</v>
      </c>
      <c r="D1193" s="201">
        <f t="shared" si="38"/>
        <v>-1.2757514509818458E-2</v>
      </c>
      <c r="F1193" s="196">
        <v>45679</v>
      </c>
      <c r="G1193" s="190">
        <v>23155.349609375</v>
      </c>
      <c r="H1193" s="201">
        <f t="shared" si="37"/>
        <v>5.6764909144165375E-3</v>
      </c>
    </row>
    <row r="1194" spans="2:8" x14ac:dyDescent="0.3">
      <c r="B1194" s="198">
        <v>45680</v>
      </c>
      <c r="C1194" s="192">
        <v>538.19000000000005</v>
      </c>
      <c r="D1194" s="201">
        <f t="shared" si="38"/>
        <v>1.0856294960650789E-2</v>
      </c>
      <c r="F1194" s="197">
        <v>45680</v>
      </c>
      <c r="G1194" s="191">
        <v>23205.349609375</v>
      </c>
      <c r="H1194" s="200">
        <f t="shared" si="37"/>
        <v>2.1593282262409156E-3</v>
      </c>
    </row>
    <row r="1195" spans="2:8" x14ac:dyDescent="0.3">
      <c r="B1195" s="198">
        <v>45681</v>
      </c>
      <c r="C1195" s="192">
        <v>539.49</v>
      </c>
      <c r="D1195" s="201">
        <f t="shared" si="38"/>
        <v>2.415503818354028E-3</v>
      </c>
      <c r="F1195" s="196">
        <v>45681</v>
      </c>
      <c r="G1195" s="190">
        <v>23092.19921875</v>
      </c>
      <c r="H1195" s="201">
        <f t="shared" si="37"/>
        <v>-4.8760476583936943E-3</v>
      </c>
    </row>
    <row r="1196" spans="2:8" x14ac:dyDescent="0.3">
      <c r="B1196" s="198">
        <v>45684</v>
      </c>
      <c r="C1196" s="192">
        <v>523.04999999999995</v>
      </c>
      <c r="D1196" s="201">
        <f t="shared" si="38"/>
        <v>-3.0473224712228315E-2</v>
      </c>
      <c r="F1196" s="197">
        <v>45684</v>
      </c>
      <c r="G1196" s="191">
        <v>22829.150390625</v>
      </c>
      <c r="H1196" s="200">
        <f t="shared" si="37"/>
        <v>-1.1391241935562993E-2</v>
      </c>
    </row>
    <row r="1197" spans="2:8" x14ac:dyDescent="0.3">
      <c r="B1197" s="198">
        <v>45685</v>
      </c>
      <c r="C1197" s="192">
        <v>537.14</v>
      </c>
      <c r="D1197" s="201">
        <f t="shared" si="38"/>
        <v>2.6938151228372113E-2</v>
      </c>
      <c r="F1197" s="196">
        <v>45685</v>
      </c>
      <c r="G1197" s="190">
        <v>22957.25</v>
      </c>
      <c r="H1197" s="201">
        <f t="shared" si="37"/>
        <v>5.6112298172780566E-3</v>
      </c>
    </row>
    <row r="1198" spans="2:8" x14ac:dyDescent="0.3">
      <c r="B1198" s="198">
        <v>45686</v>
      </c>
      <c r="C1198" s="192">
        <v>539.34</v>
      </c>
      <c r="D1198" s="201">
        <f t="shared" si="38"/>
        <v>4.0957664668429938E-3</v>
      </c>
      <c r="F1198" s="197">
        <v>45686</v>
      </c>
      <c r="G1198" s="191">
        <v>23163.099609375</v>
      </c>
      <c r="H1198" s="200">
        <f t="shared" si="37"/>
        <v>8.9666492883511747E-3</v>
      </c>
    </row>
    <row r="1199" spans="2:8" x14ac:dyDescent="0.3">
      <c r="B1199" s="198">
        <v>45687</v>
      </c>
      <c r="C1199" s="192">
        <v>538.39</v>
      </c>
      <c r="D1199" s="201">
        <f t="shared" si="38"/>
        <v>-1.7614120962658906E-3</v>
      </c>
      <c r="F1199" s="196">
        <v>45687</v>
      </c>
      <c r="G1199" s="190">
        <v>23249.5</v>
      </c>
      <c r="H1199" s="201">
        <f t="shared" si="37"/>
        <v>3.7300875997627893E-3</v>
      </c>
    </row>
    <row r="1200" spans="2:8" x14ac:dyDescent="0.3">
      <c r="B1200" s="198">
        <v>45688</v>
      </c>
      <c r="C1200" s="192">
        <v>534.55999999999995</v>
      </c>
      <c r="D1200" s="201">
        <f t="shared" si="38"/>
        <v>-7.1138022623006393E-3</v>
      </c>
      <c r="F1200" s="197">
        <v>45688</v>
      </c>
      <c r="G1200" s="191">
        <v>23508.400390625</v>
      </c>
      <c r="H1200" s="200">
        <f t="shared" si="37"/>
        <v>1.1135740150325814E-2</v>
      </c>
    </row>
    <row r="1201" spans="2:8" x14ac:dyDescent="0.3">
      <c r="B1201" s="198">
        <v>45689</v>
      </c>
      <c r="C1201" s="192">
        <v>559.1</v>
      </c>
      <c r="D1201" s="201">
        <f t="shared" si="38"/>
        <v>4.5906914097575725E-2</v>
      </c>
      <c r="F1201" s="196">
        <v>45689</v>
      </c>
      <c r="G1201" s="190">
        <v>23482.150390625</v>
      </c>
      <c r="H1201" s="201">
        <f t="shared" si="37"/>
        <v>-1.1166221250199708E-3</v>
      </c>
    </row>
    <row r="1202" spans="2:8" x14ac:dyDescent="0.3">
      <c r="B1202" s="198">
        <v>45691</v>
      </c>
      <c r="C1202" s="192">
        <v>580.12</v>
      </c>
      <c r="D1202" s="201">
        <f t="shared" si="38"/>
        <v>3.759613664818455E-2</v>
      </c>
      <c r="F1202" s="197">
        <v>45691</v>
      </c>
      <c r="G1202" s="191">
        <v>23361.05078125</v>
      </c>
      <c r="H1202" s="200">
        <f t="shared" si="37"/>
        <v>-5.1570919766934014E-3</v>
      </c>
    </row>
    <row r="1203" spans="2:8" x14ac:dyDescent="0.3">
      <c r="B1203" s="198">
        <v>45692</v>
      </c>
      <c r="C1203" s="192">
        <v>584.15</v>
      </c>
      <c r="D1203" s="201">
        <f t="shared" si="38"/>
        <v>6.9468385851202729E-3</v>
      </c>
      <c r="F1203" s="196">
        <v>45692</v>
      </c>
      <c r="G1203" s="190">
        <v>23739.25</v>
      </c>
      <c r="H1203" s="201">
        <f t="shared" si="37"/>
        <v>1.6189306820631095E-2</v>
      </c>
    </row>
    <row r="1204" spans="2:8" x14ac:dyDescent="0.3">
      <c r="B1204" s="198">
        <v>45693</v>
      </c>
      <c r="C1204" s="192">
        <v>581.26</v>
      </c>
      <c r="D1204" s="201">
        <f t="shared" si="38"/>
        <v>-4.9473594111101365E-3</v>
      </c>
      <c r="F1204" s="197">
        <v>45693</v>
      </c>
      <c r="G1204" s="191">
        <v>23696.30078125</v>
      </c>
      <c r="H1204" s="200">
        <f t="shared" si="37"/>
        <v>-1.8092070621439178E-3</v>
      </c>
    </row>
    <row r="1205" spans="2:8" x14ac:dyDescent="0.3">
      <c r="B1205" s="198">
        <v>45694</v>
      </c>
      <c r="C1205" s="192">
        <v>566.28</v>
      </c>
      <c r="D1205" s="201">
        <f t="shared" si="38"/>
        <v>-2.577159962839352E-2</v>
      </c>
      <c r="F1205" s="196">
        <v>45694</v>
      </c>
      <c r="G1205" s="190">
        <v>23603.349609375</v>
      </c>
      <c r="H1205" s="201">
        <f t="shared" si="37"/>
        <v>-3.9226026346082174E-3</v>
      </c>
    </row>
    <row r="1206" spans="2:8" x14ac:dyDescent="0.3">
      <c r="B1206" s="198">
        <v>45695</v>
      </c>
      <c r="C1206" s="192">
        <v>551.44000000000005</v>
      </c>
      <c r="D1206" s="201">
        <f t="shared" si="38"/>
        <v>-2.6206117115207882E-2</v>
      </c>
      <c r="F1206" s="197">
        <v>45695</v>
      </c>
      <c r="G1206" s="191">
        <v>23559.94921875</v>
      </c>
      <c r="H1206" s="200">
        <f t="shared" si="37"/>
        <v>-1.8387386257991884E-3</v>
      </c>
    </row>
    <row r="1207" spans="2:8" x14ac:dyDescent="0.3">
      <c r="B1207" s="198">
        <v>45698</v>
      </c>
      <c r="C1207" s="192">
        <v>546.21</v>
      </c>
      <c r="D1207" s="201">
        <f t="shared" si="38"/>
        <v>-9.4842593935877302E-3</v>
      </c>
      <c r="F1207" s="196">
        <v>45698</v>
      </c>
      <c r="G1207" s="190">
        <v>23381.599609375</v>
      </c>
      <c r="H1207" s="201">
        <f t="shared" si="37"/>
        <v>-7.5700336923078711E-3</v>
      </c>
    </row>
    <row r="1208" spans="2:8" x14ac:dyDescent="0.3">
      <c r="B1208" s="198">
        <v>45699</v>
      </c>
      <c r="C1208" s="192">
        <v>518.22</v>
      </c>
      <c r="D1208" s="201">
        <f t="shared" si="38"/>
        <v>-5.1244027022573746E-2</v>
      </c>
      <c r="F1208" s="197">
        <v>45699</v>
      </c>
      <c r="G1208" s="191">
        <v>23071.80078125</v>
      </c>
      <c r="H1208" s="200">
        <f t="shared" si="37"/>
        <v>-1.3249684936046216E-2</v>
      </c>
    </row>
    <row r="1209" spans="2:8" x14ac:dyDescent="0.3">
      <c r="B1209" s="198">
        <v>45700</v>
      </c>
      <c r="C1209" s="192">
        <v>532.30999999999995</v>
      </c>
      <c r="D1209" s="201">
        <f t="shared" si="38"/>
        <v>2.7189224653621856E-2</v>
      </c>
      <c r="F1209" s="196">
        <v>45700</v>
      </c>
      <c r="G1209" s="190">
        <v>23045.25</v>
      </c>
      <c r="H1209" s="201">
        <f t="shared" si="37"/>
        <v>-1.1507892904301298E-3</v>
      </c>
    </row>
    <row r="1210" spans="2:8" x14ac:dyDescent="0.3">
      <c r="B1210" s="198">
        <v>45701</v>
      </c>
      <c r="C1210" s="192">
        <v>511.3</v>
      </c>
      <c r="D1210" s="201">
        <f t="shared" si="38"/>
        <v>-3.9469482068719239E-2</v>
      </c>
      <c r="F1210" s="197">
        <v>45701</v>
      </c>
      <c r="G1210" s="191">
        <v>23031.400390625</v>
      </c>
      <c r="H1210" s="200">
        <f t="shared" si="37"/>
        <v>-6.0097457719052736E-4</v>
      </c>
    </row>
    <row r="1211" spans="2:8" x14ac:dyDescent="0.3">
      <c r="B1211" s="198">
        <v>45702</v>
      </c>
      <c r="C1211" s="192">
        <v>486.55</v>
      </c>
      <c r="D1211" s="201">
        <f t="shared" si="38"/>
        <v>-4.8406023860747112E-2</v>
      </c>
      <c r="F1211" s="196">
        <v>45702</v>
      </c>
      <c r="G1211" s="190">
        <v>22929.25</v>
      </c>
      <c r="H1211" s="201">
        <f t="shared" si="37"/>
        <v>-4.4352661537064254E-3</v>
      </c>
    </row>
    <row r="1212" spans="2:8" x14ac:dyDescent="0.3">
      <c r="B1212" s="198">
        <v>45705</v>
      </c>
      <c r="C1212" s="192">
        <v>472.61</v>
      </c>
      <c r="D1212" s="201">
        <f t="shared" si="38"/>
        <v>-2.8650703935875033E-2</v>
      </c>
      <c r="F1212" s="197">
        <v>45705</v>
      </c>
      <c r="G1212" s="191">
        <v>22959.5</v>
      </c>
      <c r="H1212" s="200">
        <f t="shared" si="37"/>
        <v>1.3192755977626831E-3</v>
      </c>
    </row>
    <row r="1213" spans="2:8" x14ac:dyDescent="0.3">
      <c r="B1213" s="198">
        <v>45706</v>
      </c>
      <c r="C1213" s="192">
        <v>467.18</v>
      </c>
      <c r="D1213" s="201">
        <f t="shared" si="38"/>
        <v>-1.1489388713738615E-2</v>
      </c>
      <c r="F1213" s="196">
        <v>45706</v>
      </c>
      <c r="G1213" s="190">
        <v>22945.30078125</v>
      </c>
      <c r="H1213" s="201">
        <f t="shared" si="37"/>
        <v>-6.1844634029486708E-4</v>
      </c>
    </row>
    <row r="1214" spans="2:8" x14ac:dyDescent="0.3">
      <c r="B1214" s="198">
        <v>45707</v>
      </c>
      <c r="C1214" s="192">
        <v>473.95</v>
      </c>
      <c r="D1214" s="201">
        <f t="shared" si="38"/>
        <v>1.4491202534355027E-2</v>
      </c>
      <c r="F1214" s="197">
        <v>45707</v>
      </c>
      <c r="G1214" s="191">
        <v>22932.900390625</v>
      </c>
      <c r="H1214" s="200">
        <f t="shared" si="37"/>
        <v>-5.4043269004052947E-4</v>
      </c>
    </row>
    <row r="1215" spans="2:8" x14ac:dyDescent="0.3">
      <c r="B1215" s="198">
        <v>45708</v>
      </c>
      <c r="C1215" s="192">
        <v>466.49</v>
      </c>
      <c r="D1215" s="201">
        <f t="shared" si="38"/>
        <v>-1.5740056968034561E-2</v>
      </c>
      <c r="F1215" s="196">
        <v>45708</v>
      </c>
      <c r="G1215" s="190">
        <v>22913.150390625</v>
      </c>
      <c r="H1215" s="201">
        <f t="shared" si="37"/>
        <v>-8.6120811862392364E-4</v>
      </c>
    </row>
    <row r="1216" spans="2:8" x14ac:dyDescent="0.3">
      <c r="B1216" s="198">
        <v>45709</v>
      </c>
      <c r="C1216" s="192">
        <v>475.7</v>
      </c>
      <c r="D1216" s="201">
        <f t="shared" si="38"/>
        <v>1.9743188492786511E-2</v>
      </c>
      <c r="F1216" s="197">
        <v>45709</v>
      </c>
      <c r="G1216" s="191">
        <v>22795.900390625</v>
      </c>
      <c r="H1216" s="200">
        <f t="shared" si="37"/>
        <v>-5.1171487988824647E-3</v>
      </c>
    </row>
    <row r="1217" spans="2:8" x14ac:dyDescent="0.3">
      <c r="B1217" s="198">
        <v>45712</v>
      </c>
      <c r="C1217" s="192">
        <v>497.91</v>
      </c>
      <c r="D1217" s="201">
        <f t="shared" si="38"/>
        <v>4.6689089762455407E-2</v>
      </c>
      <c r="F1217" s="196">
        <v>45712</v>
      </c>
      <c r="G1217" s="190">
        <v>22553.349609375</v>
      </c>
      <c r="H1217" s="201">
        <f t="shared" si="37"/>
        <v>-1.0640105330068515E-2</v>
      </c>
    </row>
    <row r="1218" spans="2:8" x14ac:dyDescent="0.3">
      <c r="B1218" s="198">
        <v>45713</v>
      </c>
      <c r="C1218" s="192">
        <v>474.55</v>
      </c>
      <c r="D1218" s="201">
        <f t="shared" si="38"/>
        <v>-4.6916109337028805E-2</v>
      </c>
      <c r="F1218" s="197">
        <v>45713</v>
      </c>
      <c r="G1218" s="191">
        <v>22547.55078125</v>
      </c>
      <c r="H1218" s="200">
        <f t="shared" si="37"/>
        <v>-2.5711604818955748E-4</v>
      </c>
    </row>
    <row r="1219" spans="2:8" x14ac:dyDescent="0.3">
      <c r="B1219" s="198">
        <v>45715</v>
      </c>
      <c r="C1219" s="192">
        <v>446.47</v>
      </c>
      <c r="D1219" s="201">
        <f t="shared" si="38"/>
        <v>-5.9171847012959612E-2</v>
      </c>
      <c r="F1219" s="196">
        <v>45715</v>
      </c>
      <c r="G1219" s="190">
        <v>22545.05078125</v>
      </c>
      <c r="H1219" s="201">
        <f t="shared" si="37"/>
        <v>-1.1087678764998901E-4</v>
      </c>
    </row>
    <row r="1220" spans="2:8" x14ac:dyDescent="0.3">
      <c r="B1220" s="198">
        <v>45716</v>
      </c>
      <c r="C1220" s="192">
        <v>434.27</v>
      </c>
      <c r="D1220" s="201">
        <f t="shared" si="38"/>
        <v>-2.7325464196922625E-2</v>
      </c>
      <c r="F1220" s="197">
        <v>45716</v>
      </c>
      <c r="G1220" s="191">
        <v>22124.69921875</v>
      </c>
      <c r="H1220" s="200">
        <f t="shared" si="37"/>
        <v>-1.8644959666695139E-2</v>
      </c>
    </row>
    <row r="1221" spans="2:8" x14ac:dyDescent="0.3">
      <c r="B1221" s="198">
        <v>45719</v>
      </c>
      <c r="C1221" s="192">
        <v>455.08</v>
      </c>
      <c r="D1221" s="201">
        <f t="shared" si="38"/>
        <v>4.7919497087065659E-2</v>
      </c>
      <c r="F1221" s="196">
        <v>45719</v>
      </c>
      <c r="G1221" s="190">
        <v>22119.30078125</v>
      </c>
      <c r="H1221" s="201">
        <f t="shared" si="37"/>
        <v>-2.4400049223833022E-4</v>
      </c>
    </row>
    <row r="1222" spans="2:8" x14ac:dyDescent="0.3">
      <c r="B1222" s="198">
        <v>45720</v>
      </c>
      <c r="C1222" s="192">
        <v>475.35</v>
      </c>
      <c r="D1222" s="201">
        <f t="shared" si="38"/>
        <v>4.4541619055990245E-2</v>
      </c>
      <c r="F1222" s="197">
        <v>45720</v>
      </c>
      <c r="G1222" s="191">
        <v>22082.650390625</v>
      </c>
      <c r="H1222" s="200">
        <f t="shared" ref="H1222:H1285" si="39">(G1222-G1221)/G1221</f>
        <v>-1.6569416451024373E-3</v>
      </c>
    </row>
    <row r="1223" spans="2:8" x14ac:dyDescent="0.3">
      <c r="B1223" s="198">
        <v>45721</v>
      </c>
      <c r="C1223" s="192">
        <v>474.05</v>
      </c>
      <c r="D1223" s="201">
        <f t="shared" si="38"/>
        <v>-2.7348269696013702E-3</v>
      </c>
      <c r="F1223" s="196">
        <v>45721</v>
      </c>
      <c r="G1223" s="190">
        <v>22337.30078125</v>
      </c>
      <c r="H1223" s="201">
        <f t="shared" si="39"/>
        <v>1.153169506922546E-2</v>
      </c>
    </row>
    <row r="1224" spans="2:8" x14ac:dyDescent="0.3">
      <c r="B1224" s="198">
        <v>45722</v>
      </c>
      <c r="C1224" s="192">
        <v>489.34</v>
      </c>
      <c r="D1224" s="201">
        <f t="shared" si="38"/>
        <v>3.225398164750546E-2</v>
      </c>
      <c r="F1224" s="197">
        <v>45722</v>
      </c>
      <c r="G1224" s="191">
        <v>22544.69921875</v>
      </c>
      <c r="H1224" s="200">
        <f t="shared" si="39"/>
        <v>9.2848477768670643E-3</v>
      </c>
    </row>
    <row r="1225" spans="2:8" x14ac:dyDescent="0.3">
      <c r="B1225" s="198">
        <v>45723</v>
      </c>
      <c r="C1225" s="192">
        <v>485.76</v>
      </c>
      <c r="D1225" s="201">
        <f t="shared" si="38"/>
        <v>-7.3159766215718808E-3</v>
      </c>
      <c r="F1225" s="196">
        <v>45723</v>
      </c>
      <c r="G1225" s="190">
        <v>22552.5</v>
      </c>
      <c r="H1225" s="201">
        <f t="shared" si="39"/>
        <v>3.4601398645018238E-4</v>
      </c>
    </row>
    <row r="1226" spans="2:8" x14ac:dyDescent="0.3">
      <c r="B1226" s="198">
        <v>45726</v>
      </c>
      <c r="C1226" s="192">
        <v>479.93</v>
      </c>
      <c r="D1226" s="201">
        <f t="shared" si="38"/>
        <v>-1.2001811594202867E-2</v>
      </c>
      <c r="F1226" s="197">
        <v>45726</v>
      </c>
      <c r="G1226" s="191">
        <v>22460.30078125</v>
      </c>
      <c r="H1226" s="200">
        <f t="shared" si="39"/>
        <v>-4.0882039130916746E-3</v>
      </c>
    </row>
    <row r="1227" spans="2:8" x14ac:dyDescent="0.3">
      <c r="B1227" s="198">
        <v>45727</v>
      </c>
      <c r="C1227" s="192">
        <v>483.22</v>
      </c>
      <c r="D1227" s="201">
        <f t="shared" si="38"/>
        <v>6.8551663784302301E-3</v>
      </c>
      <c r="F1227" s="196">
        <v>45727</v>
      </c>
      <c r="G1227" s="190">
        <v>22497.900390625</v>
      </c>
      <c r="H1227" s="201">
        <f t="shared" si="39"/>
        <v>1.6740474556061328E-3</v>
      </c>
    </row>
    <row r="1228" spans="2:8" x14ac:dyDescent="0.3">
      <c r="B1228" s="198">
        <v>45728</v>
      </c>
      <c r="C1228" s="192">
        <v>476.39</v>
      </c>
      <c r="D1228" s="201">
        <f t="shared" si="38"/>
        <v>-1.4134348743843467E-2</v>
      </c>
      <c r="F1228" s="197">
        <v>45728</v>
      </c>
      <c r="G1228" s="191">
        <v>22470.5</v>
      </c>
      <c r="H1228" s="200">
        <f t="shared" si="39"/>
        <v>-1.217908789231634E-3</v>
      </c>
    </row>
    <row r="1229" spans="2:8" x14ac:dyDescent="0.3">
      <c r="B1229" s="198">
        <v>45729</v>
      </c>
      <c r="C1229" s="192">
        <v>486.15</v>
      </c>
      <c r="D1229" s="201">
        <f t="shared" si="38"/>
        <v>2.0487415772791184E-2</v>
      </c>
      <c r="F1229" s="196">
        <v>45729</v>
      </c>
      <c r="G1229" s="190">
        <v>22397.19921875</v>
      </c>
      <c r="H1229" s="201">
        <f t="shared" si="39"/>
        <v>-3.2620894617387242E-3</v>
      </c>
    </row>
    <row r="1230" spans="2:8" x14ac:dyDescent="0.3">
      <c r="B1230" s="198">
        <v>45733</v>
      </c>
      <c r="C1230" s="192">
        <v>505.18</v>
      </c>
      <c r="D1230" s="201">
        <f t="shared" si="38"/>
        <v>3.9144297027666419E-2</v>
      </c>
      <c r="F1230" s="197">
        <v>45733</v>
      </c>
      <c r="G1230" s="191">
        <v>22508.75</v>
      </c>
      <c r="H1230" s="200">
        <f t="shared" si="39"/>
        <v>4.9805683362683286E-3</v>
      </c>
    </row>
    <row r="1231" spans="2:8" x14ac:dyDescent="0.3">
      <c r="B1231" s="198">
        <v>45734</v>
      </c>
      <c r="C1231" s="192">
        <v>505.18</v>
      </c>
      <c r="D1231" s="201">
        <f t="shared" si="38"/>
        <v>0</v>
      </c>
      <c r="F1231" s="196">
        <v>45734</v>
      </c>
      <c r="G1231" s="190">
        <v>22834.30078125</v>
      </c>
      <c r="H1231" s="201">
        <f t="shared" si="39"/>
        <v>1.4463298994835342E-2</v>
      </c>
    </row>
    <row r="1232" spans="2:8" x14ac:dyDescent="0.3">
      <c r="B1232" s="198">
        <v>45735</v>
      </c>
      <c r="C1232" s="192">
        <v>538.69000000000005</v>
      </c>
      <c r="D1232" s="201">
        <f t="shared" si="38"/>
        <v>6.6332792272061541E-2</v>
      </c>
      <c r="F1232" s="197">
        <v>45735</v>
      </c>
      <c r="G1232" s="191">
        <v>22907.599609375</v>
      </c>
      <c r="H1232" s="200">
        <f t="shared" si="39"/>
        <v>3.2100316461272198E-3</v>
      </c>
    </row>
    <row r="1233" spans="2:8" x14ac:dyDescent="0.3">
      <c r="B1233" s="198">
        <v>45736</v>
      </c>
      <c r="C1233" s="192">
        <v>546.51</v>
      </c>
      <c r="D1233" s="201">
        <f t="shared" si="38"/>
        <v>1.4516697915312954E-2</v>
      </c>
      <c r="F1233" s="196">
        <v>45736</v>
      </c>
      <c r="G1233" s="190">
        <v>23190.650390625</v>
      </c>
      <c r="H1233" s="201">
        <f t="shared" si="39"/>
        <v>1.2356195589090036E-2</v>
      </c>
    </row>
    <row r="1234" spans="2:8" x14ac:dyDescent="0.3">
      <c r="B1234" s="198">
        <v>45737</v>
      </c>
      <c r="C1234" s="192">
        <v>535.75</v>
      </c>
      <c r="D1234" s="201">
        <f t="shared" si="38"/>
        <v>-1.9688569285099981E-2</v>
      </c>
      <c r="F1234" s="197">
        <v>45737</v>
      </c>
      <c r="G1234" s="191">
        <v>23350.400390625</v>
      </c>
      <c r="H1234" s="200">
        <f t="shared" si="39"/>
        <v>6.8885519512889631E-3</v>
      </c>
    </row>
    <row r="1235" spans="2:8" x14ac:dyDescent="0.3">
      <c r="B1235" s="198">
        <v>45740</v>
      </c>
      <c r="C1235" s="192">
        <v>528.92999999999995</v>
      </c>
      <c r="D1235" s="201">
        <f t="shared" si="38"/>
        <v>-1.2729818012132618E-2</v>
      </c>
      <c r="F1235" s="196">
        <v>45740</v>
      </c>
      <c r="G1235" s="190">
        <v>23658.349609375</v>
      </c>
      <c r="H1235" s="201">
        <f t="shared" si="39"/>
        <v>1.3188177230298765E-2</v>
      </c>
    </row>
    <row r="1236" spans="2:8" x14ac:dyDescent="0.3">
      <c r="B1236" s="198">
        <v>45741</v>
      </c>
      <c r="C1236" s="192">
        <v>515.04</v>
      </c>
      <c r="D1236" s="201">
        <f t="shared" si="38"/>
        <v>-2.6260563779706175E-2</v>
      </c>
      <c r="F1236" s="197">
        <v>45741</v>
      </c>
      <c r="G1236" s="191">
        <v>23668.650390625</v>
      </c>
      <c r="H1236" s="200">
        <f t="shared" si="39"/>
        <v>4.3539728764165997E-4</v>
      </c>
    </row>
    <row r="1237" spans="2:8" x14ac:dyDescent="0.3">
      <c r="B1237" s="198">
        <v>45742</v>
      </c>
      <c r="C1237" s="192">
        <v>525.74</v>
      </c>
      <c r="D1237" s="201">
        <f t="shared" si="38"/>
        <v>2.0775085430257932E-2</v>
      </c>
      <c r="F1237" s="196">
        <v>45742</v>
      </c>
      <c r="G1237" s="190">
        <v>23486.849609375</v>
      </c>
      <c r="H1237" s="201">
        <f t="shared" si="39"/>
        <v>-7.6810793285454976E-3</v>
      </c>
    </row>
    <row r="1238" spans="2:8" x14ac:dyDescent="0.3">
      <c r="B1238" s="198">
        <v>45743</v>
      </c>
      <c r="C1238" s="192">
        <v>534.11</v>
      </c>
      <c r="D1238" s="201">
        <f t="shared" si="38"/>
        <v>1.5920416936128133E-2</v>
      </c>
      <c r="F1238" s="197">
        <v>45743</v>
      </c>
      <c r="G1238" s="191">
        <v>23591.94921875</v>
      </c>
      <c r="H1238" s="200">
        <f t="shared" si="39"/>
        <v>4.4748278770026483E-3</v>
      </c>
    </row>
    <row r="1239" spans="2:8" x14ac:dyDescent="0.3">
      <c r="B1239" s="198">
        <v>45744</v>
      </c>
      <c r="C1239" s="192">
        <v>537.44000000000005</v>
      </c>
      <c r="D1239" s="201">
        <f t="shared" si="38"/>
        <v>6.2346707607047998E-3</v>
      </c>
      <c r="F1239" s="196">
        <v>45744</v>
      </c>
      <c r="G1239" s="190">
        <v>23519.349609375</v>
      </c>
      <c r="H1239" s="201">
        <f t="shared" si="39"/>
        <v>-3.0773044101544836E-3</v>
      </c>
    </row>
    <row r="1240" spans="2:8" x14ac:dyDescent="0.3">
      <c r="B1240" s="198">
        <v>45748</v>
      </c>
      <c r="C1240" s="192">
        <v>536.54999999999995</v>
      </c>
      <c r="D1240" s="201">
        <f t="shared" si="38"/>
        <v>-1.6559988091695817E-3</v>
      </c>
      <c r="F1240" s="197">
        <v>45748</v>
      </c>
      <c r="G1240" s="191">
        <v>23165.69921875</v>
      </c>
      <c r="H1240" s="200">
        <f t="shared" si="39"/>
        <v>-1.5036571865236959E-2</v>
      </c>
    </row>
    <row r="1241" spans="2:8" x14ac:dyDescent="0.3">
      <c r="B1241" s="198">
        <v>45749</v>
      </c>
      <c r="C1241" s="192">
        <v>544.66</v>
      </c>
      <c r="D1241" s="201">
        <f t="shared" si="38"/>
        <v>1.5115087130742735E-2</v>
      </c>
      <c r="F1241" s="196">
        <v>45749</v>
      </c>
      <c r="G1241" s="190">
        <v>23332.349609375</v>
      </c>
      <c r="H1241" s="201">
        <f t="shared" si="39"/>
        <v>7.1938424586863083E-3</v>
      </c>
    </row>
    <row r="1242" spans="2:8" x14ac:dyDescent="0.3">
      <c r="B1242" s="198">
        <v>45750</v>
      </c>
      <c r="C1242" s="192">
        <v>542.27</v>
      </c>
      <c r="D1242" s="201">
        <f t="shared" si="38"/>
        <v>-4.3880586053684622E-3</v>
      </c>
      <c r="F1242" s="197">
        <v>45750</v>
      </c>
      <c r="G1242" s="191">
        <v>23250.099609375</v>
      </c>
      <c r="H1242" s="200">
        <f t="shared" si="39"/>
        <v>-3.5251486188494162E-3</v>
      </c>
    </row>
    <row r="1243" spans="2:8" x14ac:dyDescent="0.3">
      <c r="B1243" s="198">
        <v>45751</v>
      </c>
      <c r="C1243" s="192">
        <v>533.75</v>
      </c>
      <c r="D1243" s="201">
        <f t="shared" si="38"/>
        <v>-1.5711730318844822E-2</v>
      </c>
      <c r="F1243" s="196">
        <v>45751</v>
      </c>
      <c r="G1243" s="190">
        <v>22904.44921875</v>
      </c>
      <c r="H1243" s="201">
        <f t="shared" si="39"/>
        <v>-1.4866619775066488E-2</v>
      </c>
    </row>
    <row r="1244" spans="2:8" x14ac:dyDescent="0.3">
      <c r="B1244" s="198">
        <v>45754</v>
      </c>
      <c r="C1244" s="192">
        <v>517.95000000000005</v>
      </c>
      <c r="D1244" s="201">
        <f t="shared" si="38"/>
        <v>-2.9601873536299679E-2</v>
      </c>
      <c r="F1244" s="197">
        <v>45754</v>
      </c>
      <c r="G1244" s="191">
        <v>22161.599609375</v>
      </c>
      <c r="H1244" s="200">
        <f t="shared" si="39"/>
        <v>-3.2432546283055336E-2</v>
      </c>
    </row>
    <row r="1245" spans="2:8" x14ac:dyDescent="0.3">
      <c r="B1245" s="198">
        <v>45755</v>
      </c>
      <c r="C1245" s="192">
        <v>538.69000000000005</v>
      </c>
      <c r="D1245" s="201">
        <f t="shared" si="38"/>
        <v>4.0042475142388276E-2</v>
      </c>
      <c r="F1245" s="196">
        <v>45755</v>
      </c>
      <c r="G1245" s="190">
        <v>22535.849609375</v>
      </c>
      <c r="H1245" s="201">
        <f t="shared" si="39"/>
        <v>1.688731890281428E-2</v>
      </c>
    </row>
    <row r="1246" spans="2:8" x14ac:dyDescent="0.3">
      <c r="B1246" s="198">
        <v>45756</v>
      </c>
      <c r="C1246" s="192">
        <v>538.49</v>
      </c>
      <c r="D1246" s="201">
        <f t="shared" si="38"/>
        <v>-3.7127104642752871E-4</v>
      </c>
      <c r="F1246" s="197">
        <v>45756</v>
      </c>
      <c r="G1246" s="191">
        <v>22399.150390625</v>
      </c>
      <c r="H1246" s="200">
        <f t="shared" si="39"/>
        <v>-6.0658560080704745E-3</v>
      </c>
    </row>
    <row r="1247" spans="2:8" x14ac:dyDescent="0.3">
      <c r="B1247" s="198">
        <v>45758</v>
      </c>
      <c r="C1247" s="192">
        <v>544.02</v>
      </c>
      <c r="D1247" s="201">
        <f t="shared" si="38"/>
        <v>1.0269457185834413E-2</v>
      </c>
      <c r="F1247" s="196">
        <v>45758</v>
      </c>
      <c r="G1247" s="190">
        <v>22828.55078125</v>
      </c>
      <c r="H1247" s="201">
        <f t="shared" si="39"/>
        <v>1.9170387409190411E-2</v>
      </c>
    </row>
    <row r="1248" spans="2:8" x14ac:dyDescent="0.3">
      <c r="B1248" s="198">
        <v>45762</v>
      </c>
      <c r="C1248" s="192">
        <v>548.85</v>
      </c>
      <c r="D1248" s="201">
        <f t="shared" si="38"/>
        <v>8.8783500606596094E-3</v>
      </c>
      <c r="F1248" s="197">
        <v>45762</v>
      </c>
      <c r="G1248" s="191">
        <v>23328.55078125</v>
      </c>
      <c r="H1248" s="200">
        <f t="shared" si="39"/>
        <v>2.1902397782108445E-2</v>
      </c>
    </row>
    <row r="1249" spans="2:8" x14ac:dyDescent="0.3">
      <c r="B1249" s="198">
        <v>45763</v>
      </c>
      <c r="C1249" s="192">
        <v>547.46</v>
      </c>
      <c r="D1249" s="201">
        <f t="shared" ref="D1249:D1312" si="40">(C1249-C1248)/C1248</f>
        <v>-2.5325680969299196E-3</v>
      </c>
      <c r="F1249" s="196">
        <v>45763</v>
      </c>
      <c r="G1249" s="190">
        <v>23437.19921875</v>
      </c>
      <c r="H1249" s="201">
        <f t="shared" si="39"/>
        <v>4.657316201027141E-3</v>
      </c>
    </row>
    <row r="1250" spans="2:8" x14ac:dyDescent="0.3">
      <c r="B1250" s="198">
        <v>45764</v>
      </c>
      <c r="C1250" s="192">
        <v>554.98</v>
      </c>
      <c r="D1250" s="201">
        <f t="shared" si="40"/>
        <v>1.3736163372666463E-2</v>
      </c>
      <c r="F1250" s="197">
        <v>45764</v>
      </c>
      <c r="G1250" s="191">
        <v>23851.650390625</v>
      </c>
      <c r="H1250" s="200">
        <f t="shared" si="39"/>
        <v>1.7683476937954037E-2</v>
      </c>
    </row>
    <row r="1251" spans="2:8" x14ac:dyDescent="0.3">
      <c r="B1251" s="198">
        <v>45768</v>
      </c>
      <c r="C1251" s="192">
        <v>545.05999999999995</v>
      </c>
      <c r="D1251" s="201">
        <f t="shared" si="40"/>
        <v>-1.7874518000648803E-2</v>
      </c>
      <c r="F1251" s="196">
        <v>45768</v>
      </c>
      <c r="G1251" s="190">
        <v>24125.55078125</v>
      </c>
      <c r="H1251" s="201">
        <f t="shared" si="39"/>
        <v>1.1483498464016469E-2</v>
      </c>
    </row>
    <row r="1252" spans="2:8" x14ac:dyDescent="0.3">
      <c r="B1252" s="198">
        <v>45769</v>
      </c>
      <c r="C1252" s="192">
        <v>547.71</v>
      </c>
      <c r="D1252" s="201">
        <f t="shared" si="40"/>
        <v>4.8618500715519233E-3</v>
      </c>
      <c r="F1252" s="197">
        <v>45769</v>
      </c>
      <c r="G1252" s="191">
        <v>24167.25</v>
      </c>
      <c r="H1252" s="200">
        <f t="shared" si="39"/>
        <v>1.728425565413743E-3</v>
      </c>
    </row>
    <row r="1253" spans="2:8" x14ac:dyDescent="0.3">
      <c r="B1253" s="198">
        <v>45770</v>
      </c>
      <c r="C1253" s="192">
        <v>547.41</v>
      </c>
      <c r="D1253" s="201">
        <f t="shared" si="40"/>
        <v>-5.4773511529836627E-4</v>
      </c>
      <c r="F1253" s="196">
        <v>45770</v>
      </c>
      <c r="G1253" s="190">
        <v>24328.94921875</v>
      </c>
      <c r="H1253" s="201">
        <f t="shared" si="39"/>
        <v>6.6908406521221904E-3</v>
      </c>
    </row>
    <row r="1254" spans="2:8" x14ac:dyDescent="0.3">
      <c r="B1254" s="198">
        <v>45771</v>
      </c>
      <c r="C1254" s="192">
        <v>530.66</v>
      </c>
      <c r="D1254" s="201">
        <f t="shared" si="40"/>
        <v>-3.0598637218903567E-2</v>
      </c>
      <c r="F1254" s="197">
        <v>45771</v>
      </c>
      <c r="G1254" s="191">
        <v>24246.69921875</v>
      </c>
      <c r="H1254" s="200">
        <f t="shared" si="39"/>
        <v>-3.3807460922566689E-3</v>
      </c>
    </row>
    <row r="1255" spans="2:8" x14ac:dyDescent="0.3">
      <c r="B1255" s="198">
        <v>45772</v>
      </c>
      <c r="C1255" s="192">
        <v>520.29</v>
      </c>
      <c r="D1255" s="201">
        <f t="shared" si="40"/>
        <v>-1.954170278521088E-2</v>
      </c>
      <c r="F1255" s="196">
        <v>45772</v>
      </c>
      <c r="G1255" s="190">
        <v>24039.349609375</v>
      </c>
      <c r="H1255" s="201">
        <f t="shared" si="39"/>
        <v>-8.5516633626838701E-3</v>
      </c>
    </row>
    <row r="1256" spans="2:8" x14ac:dyDescent="0.3">
      <c r="B1256" s="198">
        <v>45775</v>
      </c>
      <c r="C1256" s="192">
        <v>531.51</v>
      </c>
      <c r="D1256" s="201">
        <f t="shared" si="40"/>
        <v>2.1564896500028883E-2</v>
      </c>
      <c r="F1256" s="197">
        <v>45775</v>
      </c>
      <c r="G1256" s="191">
        <v>24328.5</v>
      </c>
      <c r="H1256" s="200">
        <f t="shared" si="39"/>
        <v>1.2028211882747256E-2</v>
      </c>
    </row>
    <row r="1257" spans="2:8" x14ac:dyDescent="0.3">
      <c r="B1257" s="198">
        <v>45776</v>
      </c>
      <c r="C1257" s="192">
        <v>527.47</v>
      </c>
      <c r="D1257" s="201">
        <f t="shared" si="40"/>
        <v>-7.6009858704445144E-3</v>
      </c>
      <c r="F1257" s="196">
        <v>45776</v>
      </c>
      <c r="G1257" s="190">
        <v>24335.94921875</v>
      </c>
      <c r="H1257" s="201">
        <f t="shared" si="39"/>
        <v>3.0619309657397702E-4</v>
      </c>
    </row>
    <row r="1258" spans="2:8" x14ac:dyDescent="0.3">
      <c r="B1258" s="198">
        <v>45777</v>
      </c>
      <c r="C1258" s="192">
        <v>520.69000000000005</v>
      </c>
      <c r="D1258" s="201">
        <f t="shared" si="40"/>
        <v>-1.2853811591180488E-2</v>
      </c>
      <c r="F1258" s="197">
        <v>45777</v>
      </c>
      <c r="G1258" s="191">
        <v>24334.19921875</v>
      </c>
      <c r="H1258" s="200">
        <f t="shared" si="39"/>
        <v>-7.1910077731904783E-5</v>
      </c>
    </row>
    <row r="1259" spans="2:8" x14ac:dyDescent="0.3">
      <c r="B1259" s="198">
        <v>45779</v>
      </c>
      <c r="C1259" s="192">
        <v>520.19000000000005</v>
      </c>
      <c r="D1259" s="201">
        <f t="shared" si="40"/>
        <v>-9.6026426472565238E-4</v>
      </c>
      <c r="F1259" s="196">
        <v>45779</v>
      </c>
      <c r="G1259" s="190">
        <v>24346.69921875</v>
      </c>
      <c r="H1259" s="201">
        <f t="shared" si="39"/>
        <v>5.1368035116473008E-4</v>
      </c>
    </row>
    <row r="1260" spans="2:8" x14ac:dyDescent="0.3">
      <c r="B1260" s="198">
        <v>45782</v>
      </c>
      <c r="C1260" s="192">
        <v>537.04</v>
      </c>
      <c r="D1260" s="201">
        <f t="shared" si="40"/>
        <v>3.2392010611507156E-2</v>
      </c>
      <c r="F1260" s="197">
        <v>45782</v>
      </c>
      <c r="G1260" s="191">
        <v>24461.150390625</v>
      </c>
      <c r="H1260" s="200">
        <f t="shared" si="39"/>
        <v>4.700890697612853E-3</v>
      </c>
    </row>
    <row r="1261" spans="2:8" x14ac:dyDescent="0.3">
      <c r="B1261" s="198">
        <v>45783</v>
      </c>
      <c r="C1261" s="192">
        <v>512.66999999999996</v>
      </c>
      <c r="D1261" s="201">
        <f t="shared" si="40"/>
        <v>-4.5378370326232695E-2</v>
      </c>
      <c r="F1261" s="196">
        <v>45783</v>
      </c>
      <c r="G1261" s="190">
        <v>24379.599609375</v>
      </c>
      <c r="H1261" s="201">
        <f t="shared" si="39"/>
        <v>-3.3338898599493184E-3</v>
      </c>
    </row>
    <row r="1262" spans="2:8" x14ac:dyDescent="0.3">
      <c r="B1262" s="198">
        <v>45784</v>
      </c>
      <c r="C1262" s="192">
        <v>510.97</v>
      </c>
      <c r="D1262" s="201">
        <f t="shared" si="40"/>
        <v>-3.3159732381452629E-3</v>
      </c>
      <c r="F1262" s="197">
        <v>45784</v>
      </c>
      <c r="G1262" s="191">
        <v>24414.400390625</v>
      </c>
      <c r="H1262" s="200">
        <f t="shared" si="39"/>
        <v>1.4274549954716078E-3</v>
      </c>
    </row>
    <row r="1263" spans="2:8" x14ac:dyDescent="0.3">
      <c r="B1263" s="198">
        <v>45785</v>
      </c>
      <c r="C1263" s="192">
        <v>487.67</v>
      </c>
      <c r="D1263" s="201">
        <f t="shared" si="40"/>
        <v>-4.5599545961602463E-2</v>
      </c>
      <c r="F1263" s="196">
        <v>45785</v>
      </c>
      <c r="G1263" s="190">
        <v>24273.80078125</v>
      </c>
      <c r="H1263" s="201">
        <f t="shared" si="39"/>
        <v>-5.7588802970966885E-3</v>
      </c>
    </row>
    <row r="1264" spans="2:8" x14ac:dyDescent="0.3">
      <c r="B1264" s="198">
        <v>45786</v>
      </c>
      <c r="C1264" s="192">
        <v>495.16</v>
      </c>
      <c r="D1264" s="201">
        <f t="shared" si="40"/>
        <v>1.5358746693460761E-2</v>
      </c>
      <c r="F1264" s="197">
        <v>45786</v>
      </c>
      <c r="G1264" s="191">
        <v>24008</v>
      </c>
      <c r="H1264" s="200">
        <f t="shared" si="39"/>
        <v>-1.0950109694206379E-2</v>
      </c>
    </row>
    <row r="1265" spans="2:8" x14ac:dyDescent="0.3">
      <c r="B1265" s="198">
        <v>45789</v>
      </c>
      <c r="C1265" s="192">
        <v>512.72</v>
      </c>
      <c r="D1265" s="201">
        <f t="shared" si="40"/>
        <v>3.5463284594878429E-2</v>
      </c>
      <c r="F1265" s="196">
        <v>45789</v>
      </c>
      <c r="G1265" s="190">
        <v>24924.69921875</v>
      </c>
      <c r="H1265" s="201">
        <f t="shared" si="39"/>
        <v>3.8183073090219927E-2</v>
      </c>
    </row>
    <row r="1266" spans="2:8" x14ac:dyDescent="0.3">
      <c r="B1266" s="198">
        <v>45790</v>
      </c>
      <c r="C1266" s="192">
        <v>507.63</v>
      </c>
      <c r="D1266" s="201">
        <f t="shared" si="40"/>
        <v>-9.927445779372818E-3</v>
      </c>
      <c r="F1266" s="197">
        <v>45790</v>
      </c>
      <c r="G1266" s="191">
        <v>24578.349609375</v>
      </c>
      <c r="H1266" s="200">
        <f t="shared" si="39"/>
        <v>-1.389583907654352E-2</v>
      </c>
    </row>
    <row r="1267" spans="2:8" x14ac:dyDescent="0.3">
      <c r="B1267" s="198">
        <v>45791</v>
      </c>
      <c r="C1267" s="192">
        <v>508.98</v>
      </c>
      <c r="D1267" s="201">
        <f t="shared" si="40"/>
        <v>2.6594172921222598E-3</v>
      </c>
      <c r="F1267" s="196">
        <v>45791</v>
      </c>
      <c r="G1267" s="190">
        <v>24666.900390625</v>
      </c>
      <c r="H1267" s="201">
        <f t="shared" si="39"/>
        <v>3.6027960647212775E-3</v>
      </c>
    </row>
    <row r="1268" spans="2:8" x14ac:dyDescent="0.3">
      <c r="B1268" s="198">
        <v>45792</v>
      </c>
      <c r="C1268" s="192">
        <v>505.48</v>
      </c>
      <c r="D1268" s="201">
        <f t="shared" si="40"/>
        <v>-6.8764980942276708E-3</v>
      </c>
      <c r="F1268" s="197">
        <v>45792</v>
      </c>
      <c r="G1268" s="191">
        <v>25062.099609375</v>
      </c>
      <c r="H1268" s="200">
        <f t="shared" si="39"/>
        <v>1.6021438141461865E-2</v>
      </c>
    </row>
    <row r="1269" spans="2:8" x14ac:dyDescent="0.3">
      <c r="B1269" s="198">
        <v>45793</v>
      </c>
      <c r="C1269" s="192">
        <v>500.54</v>
      </c>
      <c r="D1269" s="201">
        <f t="shared" si="40"/>
        <v>-9.7728891350795238E-3</v>
      </c>
      <c r="F1269" s="196">
        <v>45793</v>
      </c>
      <c r="G1269" s="190">
        <v>25019.80078125</v>
      </c>
      <c r="H1269" s="201">
        <f t="shared" si="39"/>
        <v>-1.6877607536591724E-3</v>
      </c>
    </row>
    <row r="1270" spans="2:8" x14ac:dyDescent="0.3">
      <c r="B1270" s="198">
        <v>45796</v>
      </c>
      <c r="C1270" s="192">
        <v>493.71</v>
      </c>
      <c r="D1270" s="201">
        <f t="shared" si="40"/>
        <v>-1.364526311583498E-2</v>
      </c>
      <c r="F1270" s="197">
        <v>45796</v>
      </c>
      <c r="G1270" s="191">
        <v>24945.44921875</v>
      </c>
      <c r="H1270" s="200">
        <f t="shared" si="39"/>
        <v>-2.9717088137536066E-3</v>
      </c>
    </row>
    <row r="1271" spans="2:8" x14ac:dyDescent="0.3">
      <c r="B1271" s="198">
        <v>45797</v>
      </c>
      <c r="C1271" s="192">
        <v>479.24</v>
      </c>
      <c r="D1271" s="201">
        <f t="shared" si="40"/>
        <v>-2.9308703489902922E-2</v>
      </c>
      <c r="F1271" s="196">
        <v>45797</v>
      </c>
      <c r="G1271" s="190">
        <v>24683.900390625</v>
      </c>
      <c r="H1271" s="201">
        <f t="shared" si="39"/>
        <v>-1.0484831354666864E-2</v>
      </c>
    </row>
    <row r="1272" spans="2:8" x14ac:dyDescent="0.3">
      <c r="B1272" s="198">
        <v>45798</v>
      </c>
      <c r="C1272" s="192">
        <v>478.09</v>
      </c>
      <c r="D1272" s="201">
        <f t="shared" si="40"/>
        <v>-2.3996327518571781E-3</v>
      </c>
      <c r="F1272" s="197">
        <v>45798</v>
      </c>
      <c r="G1272" s="191">
        <v>24813.44921875</v>
      </c>
      <c r="H1272" s="200">
        <f t="shared" si="39"/>
        <v>5.2483127088862724E-3</v>
      </c>
    </row>
    <row r="1273" spans="2:8" x14ac:dyDescent="0.3">
      <c r="B1273" s="198">
        <v>45799</v>
      </c>
      <c r="C1273" s="192">
        <v>468.52</v>
      </c>
      <c r="D1273" s="201">
        <f t="shared" si="40"/>
        <v>-2.0017151582338039E-2</v>
      </c>
      <c r="F1273" s="196">
        <v>45799</v>
      </c>
      <c r="G1273" s="190">
        <v>24609.69921875</v>
      </c>
      <c r="H1273" s="201">
        <f t="shared" si="39"/>
        <v>-8.2112727740421762E-3</v>
      </c>
    </row>
    <row r="1274" spans="2:8" x14ac:dyDescent="0.3">
      <c r="B1274" s="198">
        <v>45800</v>
      </c>
      <c r="C1274" s="192">
        <v>487.67</v>
      </c>
      <c r="D1274" s="201">
        <f t="shared" si="40"/>
        <v>4.0873388542645002E-2</v>
      </c>
      <c r="F1274" s="197">
        <v>45800</v>
      </c>
      <c r="G1274" s="191">
        <v>24853.150390625</v>
      </c>
      <c r="H1274" s="200">
        <f t="shared" si="39"/>
        <v>9.8924887180057795E-3</v>
      </c>
    </row>
    <row r="1275" spans="2:8" x14ac:dyDescent="0.3">
      <c r="B1275" s="198">
        <v>45803</v>
      </c>
      <c r="C1275" s="192">
        <v>481.64</v>
      </c>
      <c r="D1275" s="201">
        <f t="shared" si="40"/>
        <v>-1.2364918900075931E-2</v>
      </c>
      <c r="F1275" s="196">
        <v>45803</v>
      </c>
      <c r="G1275" s="190">
        <v>25001.150390625</v>
      </c>
      <c r="H1275" s="201">
        <f t="shared" si="39"/>
        <v>5.9549794562796321E-3</v>
      </c>
    </row>
    <row r="1276" spans="2:8" x14ac:dyDescent="0.3">
      <c r="B1276" s="198">
        <v>45804</v>
      </c>
      <c r="C1276" s="192">
        <v>484.48</v>
      </c>
      <c r="D1276" s="201">
        <f t="shared" si="40"/>
        <v>5.8965202225729424E-3</v>
      </c>
      <c r="F1276" s="197">
        <v>45804</v>
      </c>
      <c r="G1276" s="191">
        <v>24826.19921875</v>
      </c>
      <c r="H1276" s="200">
        <f t="shared" si="39"/>
        <v>-6.9977248703165145E-3</v>
      </c>
    </row>
    <row r="1277" spans="2:8" x14ac:dyDescent="0.3">
      <c r="B1277" s="198">
        <v>45805</v>
      </c>
      <c r="C1277" s="192">
        <v>482.83</v>
      </c>
      <c r="D1277" s="201">
        <f t="shared" si="40"/>
        <v>-3.4057133421400965E-3</v>
      </c>
      <c r="F1277" s="196">
        <v>45805</v>
      </c>
      <c r="G1277" s="190">
        <v>24752.44921875</v>
      </c>
      <c r="H1277" s="201">
        <f t="shared" si="39"/>
        <v>-2.9706520659956788E-3</v>
      </c>
    </row>
    <row r="1278" spans="2:8" x14ac:dyDescent="0.3">
      <c r="B1278" s="198">
        <v>45806</v>
      </c>
      <c r="C1278" s="192">
        <v>481.99</v>
      </c>
      <c r="D1278" s="201">
        <f t="shared" si="40"/>
        <v>-1.7397427666051716E-3</v>
      </c>
      <c r="F1278" s="197">
        <v>45806</v>
      </c>
      <c r="G1278" s="191">
        <v>24833.599609375</v>
      </c>
      <c r="H1278" s="200">
        <f t="shared" si="39"/>
        <v>3.2784792287758142E-3</v>
      </c>
    </row>
    <row r="1279" spans="2:8" x14ac:dyDescent="0.3">
      <c r="B1279" s="198">
        <v>45807</v>
      </c>
      <c r="C1279" s="192">
        <v>474.9</v>
      </c>
      <c r="D1279" s="201">
        <f t="shared" si="40"/>
        <v>-1.4709848752048863E-2</v>
      </c>
      <c r="F1279" s="196">
        <v>45807</v>
      </c>
      <c r="G1279" s="190">
        <v>24750.69921875</v>
      </c>
      <c r="H1279" s="201">
        <f t="shared" si="39"/>
        <v>-3.3382349691143463E-3</v>
      </c>
    </row>
    <row r="1280" spans="2:8" x14ac:dyDescent="0.3">
      <c r="B1280" s="198">
        <v>45810</v>
      </c>
      <c r="C1280" s="192">
        <v>480.59</v>
      </c>
      <c r="D1280" s="201">
        <f t="shared" si="40"/>
        <v>1.1981469783112229E-2</v>
      </c>
      <c r="F1280" s="197">
        <v>45810</v>
      </c>
      <c r="G1280" s="191">
        <v>24716.599609375</v>
      </c>
      <c r="H1280" s="200">
        <f t="shared" si="39"/>
        <v>-1.3777230725331466E-3</v>
      </c>
    </row>
    <row r="1281" spans="2:8" x14ac:dyDescent="0.3">
      <c r="B1281" s="198">
        <v>45811</v>
      </c>
      <c r="C1281" s="192">
        <v>473.35</v>
      </c>
      <c r="D1281" s="201">
        <f t="shared" si="40"/>
        <v>-1.5064816163465642E-2</v>
      </c>
      <c r="F1281" s="196">
        <v>45811</v>
      </c>
      <c r="G1281" s="190">
        <v>24542.5</v>
      </c>
      <c r="H1281" s="201">
        <f t="shared" si="39"/>
        <v>-7.0438333802585072E-3</v>
      </c>
    </row>
    <row r="1282" spans="2:8" x14ac:dyDescent="0.3">
      <c r="B1282" s="198">
        <v>45812</v>
      </c>
      <c r="C1282" s="192">
        <v>466.77</v>
      </c>
      <c r="D1282" s="201">
        <f t="shared" si="40"/>
        <v>-1.3900918981726081E-2</v>
      </c>
      <c r="F1282" s="197">
        <v>45812</v>
      </c>
      <c r="G1282" s="191">
        <v>24620.19921875</v>
      </c>
      <c r="H1282" s="200">
        <f t="shared" si="39"/>
        <v>3.1659048079861465E-3</v>
      </c>
    </row>
    <row r="1283" spans="2:8" x14ac:dyDescent="0.3">
      <c r="B1283" s="198">
        <v>45813</v>
      </c>
      <c r="C1283" s="192">
        <v>467.07</v>
      </c>
      <c r="D1283" s="201">
        <f t="shared" si="40"/>
        <v>6.4271482743109322E-4</v>
      </c>
      <c r="F1283" s="196">
        <v>45813</v>
      </c>
      <c r="G1283" s="190">
        <v>24750.900390625</v>
      </c>
      <c r="H1283" s="201">
        <f t="shared" si="39"/>
        <v>5.3086967621066988E-3</v>
      </c>
    </row>
    <row r="1284" spans="2:8" x14ac:dyDescent="0.3">
      <c r="B1284" s="198">
        <v>45814</v>
      </c>
      <c r="C1284" s="192">
        <v>475.95</v>
      </c>
      <c r="D1284" s="201">
        <f t="shared" si="40"/>
        <v>1.9012139507996649E-2</v>
      </c>
      <c r="F1284" s="197">
        <v>45814</v>
      </c>
      <c r="G1284" s="191">
        <v>25003.05078125</v>
      </c>
      <c r="H1284" s="200">
        <f t="shared" si="39"/>
        <v>1.0187523954502602E-2</v>
      </c>
    </row>
    <row r="1285" spans="2:8" x14ac:dyDescent="0.3">
      <c r="B1285" s="198">
        <v>45817</v>
      </c>
      <c r="C1285" s="192">
        <v>475.55</v>
      </c>
      <c r="D1285" s="201">
        <f t="shared" si="40"/>
        <v>-8.4042441432918846E-4</v>
      </c>
      <c r="F1285" s="196">
        <v>45817</v>
      </c>
      <c r="G1285" s="190">
        <v>25103.19921875</v>
      </c>
      <c r="H1285" s="201">
        <f t="shared" si="39"/>
        <v>4.0054487100870968E-3</v>
      </c>
    </row>
    <row r="1286" spans="2:8" x14ac:dyDescent="0.3">
      <c r="B1286" s="198">
        <v>45818</v>
      </c>
      <c r="C1286" s="192">
        <v>475.2</v>
      </c>
      <c r="D1286" s="201">
        <f t="shared" si="40"/>
        <v>-7.3598990642418825E-4</v>
      </c>
      <c r="F1286" s="197">
        <v>45818</v>
      </c>
      <c r="G1286" s="191">
        <v>25104.25</v>
      </c>
      <c r="H1286" s="200">
        <f t="shared" ref="H1286:H1349" si="41">(G1286-G1285)/G1285</f>
        <v>4.185845958690213E-5</v>
      </c>
    </row>
    <row r="1287" spans="2:8" x14ac:dyDescent="0.3">
      <c r="B1287" s="198">
        <v>45819</v>
      </c>
      <c r="C1287" s="192">
        <v>474.05</v>
      </c>
      <c r="D1287" s="201">
        <f t="shared" si="40"/>
        <v>-2.4200336700336222E-3</v>
      </c>
      <c r="F1287" s="196">
        <v>45819</v>
      </c>
      <c r="G1287" s="190">
        <v>25141.400390625</v>
      </c>
      <c r="H1287" s="201">
        <f t="shared" si="41"/>
        <v>1.4798446727147794E-3</v>
      </c>
    </row>
    <row r="1288" spans="2:8" x14ac:dyDescent="0.3">
      <c r="B1288" s="198">
        <v>45820</v>
      </c>
      <c r="C1288" s="192">
        <v>475.55</v>
      </c>
      <c r="D1288" s="201">
        <f t="shared" si="40"/>
        <v>3.1642231832085224E-3</v>
      </c>
      <c r="F1288" s="197">
        <v>45820</v>
      </c>
      <c r="G1288" s="191">
        <v>24888.19921875</v>
      </c>
      <c r="H1288" s="200">
        <f t="shared" si="41"/>
        <v>-1.0071084662786582E-2</v>
      </c>
    </row>
    <row r="1289" spans="2:8" x14ac:dyDescent="0.3">
      <c r="B1289" s="198">
        <v>45821</v>
      </c>
      <c r="C1289" s="192">
        <v>468.86</v>
      </c>
      <c r="D1289" s="201">
        <f t="shared" si="40"/>
        <v>-1.4067921354221422E-2</v>
      </c>
      <c r="F1289" s="196">
        <v>45821</v>
      </c>
      <c r="G1289" s="190">
        <v>24718.599609375</v>
      </c>
      <c r="H1289" s="201">
        <f t="shared" si="41"/>
        <v>-6.814458847919736E-3</v>
      </c>
    </row>
    <row r="1290" spans="2:8" x14ac:dyDescent="0.3">
      <c r="B1290" s="198">
        <v>45824</v>
      </c>
      <c r="C1290" s="192">
        <v>472.11</v>
      </c>
      <c r="D1290" s="201">
        <f t="shared" si="40"/>
        <v>6.9317066928294155E-3</v>
      </c>
      <c r="F1290" s="197">
        <v>45824</v>
      </c>
      <c r="G1290" s="191">
        <v>24946.5</v>
      </c>
      <c r="H1290" s="200">
        <f t="shared" si="41"/>
        <v>9.2197937677086055E-3</v>
      </c>
    </row>
    <row r="1291" spans="2:8" x14ac:dyDescent="0.3">
      <c r="B1291" s="198">
        <v>45825</v>
      </c>
      <c r="C1291" s="192">
        <v>469.31</v>
      </c>
      <c r="D1291" s="201">
        <f t="shared" si="40"/>
        <v>-5.9308212069221393E-3</v>
      </c>
      <c r="F1291" s="196">
        <v>45825</v>
      </c>
      <c r="G1291" s="190">
        <v>24853.400390625</v>
      </c>
      <c r="H1291" s="201">
        <f t="shared" si="41"/>
        <v>-3.7319707924959415E-3</v>
      </c>
    </row>
    <row r="1292" spans="2:8" x14ac:dyDescent="0.3">
      <c r="B1292" s="198">
        <v>45826</v>
      </c>
      <c r="C1292" s="192">
        <v>468.37</v>
      </c>
      <c r="D1292" s="201">
        <f t="shared" si="40"/>
        <v>-2.0029404870980753E-3</v>
      </c>
      <c r="F1292" s="197">
        <v>45826</v>
      </c>
      <c r="G1292" s="191">
        <v>24812.05078125</v>
      </c>
      <c r="H1292" s="200">
        <f t="shared" si="41"/>
        <v>-1.6637405234334682E-3</v>
      </c>
    </row>
    <row r="1293" spans="2:8" x14ac:dyDescent="0.3">
      <c r="B1293" s="198">
        <v>45827</v>
      </c>
      <c r="C1293" s="192">
        <v>447.66</v>
      </c>
      <c r="D1293" s="201">
        <f t="shared" si="40"/>
        <v>-4.4217178726220677E-2</v>
      </c>
      <c r="F1293" s="196">
        <v>45827</v>
      </c>
      <c r="G1293" s="190">
        <v>24793.25</v>
      </c>
      <c r="H1293" s="201">
        <f t="shared" si="41"/>
        <v>-7.5772782410260889E-4</v>
      </c>
    </row>
    <row r="1294" spans="2:8" x14ac:dyDescent="0.3">
      <c r="B1294" s="198">
        <v>45828</v>
      </c>
      <c r="C1294" s="192">
        <v>458.59</v>
      </c>
      <c r="D1294" s="201">
        <f t="shared" si="40"/>
        <v>2.4415851315730576E-2</v>
      </c>
      <c r="F1294" s="197">
        <v>45828</v>
      </c>
      <c r="G1294" s="191">
        <v>25112.400390625</v>
      </c>
      <c r="H1294" s="200">
        <f t="shared" si="41"/>
        <v>1.2872470959837859E-2</v>
      </c>
    </row>
    <row r="1295" spans="2:8" x14ac:dyDescent="0.3">
      <c r="B1295" s="198">
        <v>45831</v>
      </c>
      <c r="C1295" s="192">
        <v>460.78</v>
      </c>
      <c r="D1295" s="201">
        <f t="shared" si="40"/>
        <v>4.7755075339627941E-3</v>
      </c>
      <c r="F1295" s="196">
        <v>45831</v>
      </c>
      <c r="G1295" s="190">
        <v>24971.900390625</v>
      </c>
      <c r="H1295" s="201">
        <f t="shared" si="41"/>
        <v>-5.5948454872697742E-3</v>
      </c>
    </row>
    <row r="1296" spans="2:8" x14ac:dyDescent="0.3">
      <c r="B1296" s="198">
        <v>45832</v>
      </c>
      <c r="C1296" s="192">
        <v>461.73</v>
      </c>
      <c r="D1296" s="201">
        <f t="shared" si="40"/>
        <v>2.0617214288815608E-3</v>
      </c>
      <c r="F1296" s="197">
        <v>45832</v>
      </c>
      <c r="G1296" s="191">
        <v>25044.349609375</v>
      </c>
      <c r="H1296" s="200">
        <f t="shared" si="41"/>
        <v>2.9012296868362901E-3</v>
      </c>
    </row>
    <row r="1297" spans="2:8" x14ac:dyDescent="0.3">
      <c r="B1297" s="198">
        <v>45833</v>
      </c>
      <c r="C1297" s="192">
        <v>459.29</v>
      </c>
      <c r="D1297" s="201">
        <f t="shared" si="40"/>
        <v>-5.2844736101184623E-3</v>
      </c>
      <c r="F1297" s="196">
        <v>45833</v>
      </c>
      <c r="G1297" s="190">
        <v>25244.75</v>
      </c>
      <c r="H1297" s="201">
        <f t="shared" si="41"/>
        <v>8.0018205204252114E-3</v>
      </c>
    </row>
    <row r="1298" spans="2:8" x14ac:dyDescent="0.3">
      <c r="B1298" s="198">
        <v>45834</v>
      </c>
      <c r="C1298" s="192">
        <v>457.39</v>
      </c>
      <c r="D1298" s="201">
        <f t="shared" si="40"/>
        <v>-4.1368198741536591E-3</v>
      </c>
      <c r="F1298" s="197">
        <v>45834</v>
      </c>
      <c r="G1298" s="191">
        <v>25549</v>
      </c>
      <c r="H1298" s="200">
        <f t="shared" si="41"/>
        <v>1.205201081412967E-2</v>
      </c>
    </row>
    <row r="1299" spans="2:8" x14ac:dyDescent="0.3">
      <c r="B1299" s="198">
        <v>45835</v>
      </c>
      <c r="C1299" s="192">
        <v>460.58</v>
      </c>
      <c r="D1299" s="201">
        <f t="shared" si="40"/>
        <v>6.9743544896040529E-3</v>
      </c>
      <c r="F1299" s="196">
        <v>45835</v>
      </c>
      <c r="G1299" s="190">
        <v>25637.80078125</v>
      </c>
      <c r="H1299" s="201">
        <f t="shared" si="41"/>
        <v>3.4757047731809464E-3</v>
      </c>
    </row>
    <row r="1300" spans="2:8" x14ac:dyDescent="0.3">
      <c r="B1300" s="198">
        <v>45838</v>
      </c>
      <c r="C1300" s="192">
        <v>456.54</v>
      </c>
      <c r="D1300" s="201">
        <f t="shared" si="40"/>
        <v>-8.7715489165833601E-3</v>
      </c>
      <c r="F1300" s="197">
        <v>45838</v>
      </c>
      <c r="G1300" s="191">
        <v>25517.05078125</v>
      </c>
      <c r="H1300" s="200">
        <f t="shared" si="41"/>
        <v>-4.7098423546652075E-3</v>
      </c>
    </row>
    <row r="1301" spans="2:8" x14ac:dyDescent="0.3">
      <c r="B1301" s="198">
        <v>45839</v>
      </c>
      <c r="C1301" s="192">
        <v>450.61</v>
      </c>
      <c r="D1301" s="201">
        <f t="shared" si="40"/>
        <v>-1.298900424935385E-2</v>
      </c>
      <c r="F1301" s="196">
        <v>45839</v>
      </c>
      <c r="G1301" s="190">
        <v>25541.80078125</v>
      </c>
      <c r="H1301" s="201">
        <f t="shared" si="41"/>
        <v>9.6993967728380148E-4</v>
      </c>
    </row>
    <row r="1302" spans="2:8" x14ac:dyDescent="0.3">
      <c r="B1302" s="198">
        <v>45840</v>
      </c>
      <c r="C1302" s="192">
        <v>452.05</v>
      </c>
      <c r="D1302" s="201">
        <f t="shared" si="40"/>
        <v>3.1956680943609722E-3</v>
      </c>
      <c r="F1302" s="197">
        <v>45840</v>
      </c>
      <c r="G1302" s="191">
        <v>25453.400390625</v>
      </c>
      <c r="H1302" s="200">
        <f t="shared" si="41"/>
        <v>-3.4610085397695964E-3</v>
      </c>
    </row>
    <row r="1303" spans="2:8" x14ac:dyDescent="0.3">
      <c r="B1303" s="198">
        <v>45841</v>
      </c>
      <c r="C1303" s="192">
        <v>449.71</v>
      </c>
      <c r="D1303" s="201">
        <f t="shared" si="40"/>
        <v>-5.1764185377724406E-3</v>
      </c>
      <c r="F1303" s="196">
        <v>45841</v>
      </c>
      <c r="G1303" s="190">
        <v>25405.30078125</v>
      </c>
      <c r="H1303" s="201">
        <f t="shared" si="41"/>
        <v>-1.8897125192245848E-3</v>
      </c>
    </row>
    <row r="1304" spans="2:8" x14ac:dyDescent="0.3">
      <c r="B1304" s="198">
        <v>45842</v>
      </c>
      <c r="C1304" s="192">
        <v>455.15</v>
      </c>
      <c r="D1304" s="201">
        <f t="shared" si="40"/>
        <v>1.209668453003046E-2</v>
      </c>
      <c r="F1304" s="197">
        <v>45842</v>
      </c>
      <c r="G1304" s="191">
        <v>25461</v>
      </c>
      <c r="H1304" s="200">
        <f t="shared" si="41"/>
        <v>2.1924250859926041E-3</v>
      </c>
    </row>
    <row r="1305" spans="2:8" x14ac:dyDescent="0.3">
      <c r="B1305" s="198">
        <v>45845</v>
      </c>
      <c r="C1305" s="192">
        <v>463.03</v>
      </c>
      <c r="D1305" s="201">
        <f t="shared" si="40"/>
        <v>1.7312973744919247E-2</v>
      </c>
      <c r="F1305" s="196">
        <v>45845</v>
      </c>
      <c r="G1305" s="190">
        <v>25461.30078125</v>
      </c>
      <c r="H1305" s="201">
        <f t="shared" si="41"/>
        <v>1.1813410706570834E-5</v>
      </c>
    </row>
    <row r="1306" spans="2:8" x14ac:dyDescent="0.3">
      <c r="B1306" s="198">
        <v>45846</v>
      </c>
      <c r="C1306" s="192">
        <v>457.14</v>
      </c>
      <c r="D1306" s="201">
        <f t="shared" si="40"/>
        <v>-1.2720558063192422E-2</v>
      </c>
      <c r="F1306" s="197">
        <v>45846</v>
      </c>
      <c r="G1306" s="191">
        <v>25522.5</v>
      </c>
      <c r="H1306" s="200">
        <f t="shared" si="41"/>
        <v>2.4036171315751404E-3</v>
      </c>
    </row>
    <row r="1307" spans="2:8" x14ac:dyDescent="0.3">
      <c r="B1307" s="198">
        <v>45847</v>
      </c>
      <c r="C1307" s="192">
        <v>464.72</v>
      </c>
      <c r="D1307" s="201">
        <f t="shared" si="40"/>
        <v>1.6581353633460298E-2</v>
      </c>
      <c r="F1307" s="196">
        <v>45847</v>
      </c>
      <c r="G1307" s="190">
        <v>25476.099609375</v>
      </c>
      <c r="H1307" s="201">
        <f t="shared" si="41"/>
        <v>-1.8180190273288275E-3</v>
      </c>
    </row>
    <row r="1308" spans="2:8" x14ac:dyDescent="0.3">
      <c r="B1308" s="198">
        <v>45848</v>
      </c>
      <c r="C1308" s="192">
        <v>458.74</v>
      </c>
      <c r="D1308" s="201">
        <f t="shared" si="40"/>
        <v>-1.2867963504906219E-2</v>
      </c>
      <c r="F1308" s="197">
        <v>45848</v>
      </c>
      <c r="G1308" s="191">
        <v>25355.25</v>
      </c>
      <c r="H1308" s="200">
        <f t="shared" si="41"/>
        <v>-4.7436464461980792E-3</v>
      </c>
    </row>
    <row r="1309" spans="2:8" x14ac:dyDescent="0.3">
      <c r="B1309" s="198">
        <v>45849</v>
      </c>
      <c r="C1309" s="192">
        <v>451.25</v>
      </c>
      <c r="D1309" s="201">
        <f t="shared" si="40"/>
        <v>-1.6327331385970287E-2</v>
      </c>
      <c r="F1309" s="196">
        <v>45849</v>
      </c>
      <c r="G1309" s="190">
        <v>25149.849609375</v>
      </c>
      <c r="H1309" s="201">
        <f t="shared" si="41"/>
        <v>-8.1009018102759789E-3</v>
      </c>
    </row>
    <row r="1310" spans="2:8" x14ac:dyDescent="0.3">
      <c r="B1310" s="198">
        <v>45852</v>
      </c>
      <c r="C1310" s="192">
        <v>460.18</v>
      </c>
      <c r="D1310" s="201">
        <f t="shared" si="40"/>
        <v>1.9789473684210541E-2</v>
      </c>
      <c r="F1310" s="197">
        <v>45852</v>
      </c>
      <c r="G1310" s="191">
        <v>25082.30078125</v>
      </c>
      <c r="H1310" s="200">
        <f t="shared" si="41"/>
        <v>-2.685854157148523E-3</v>
      </c>
    </row>
    <row r="1311" spans="2:8" x14ac:dyDescent="0.3">
      <c r="B1311" s="198">
        <v>45853</v>
      </c>
      <c r="C1311" s="192">
        <v>468.77</v>
      </c>
      <c r="D1311" s="201">
        <f t="shared" si="40"/>
        <v>1.8666608718327555E-2</v>
      </c>
      <c r="F1311" s="196">
        <v>45853</v>
      </c>
      <c r="G1311" s="190">
        <v>25195.80078125</v>
      </c>
      <c r="H1311" s="201">
        <f t="shared" si="41"/>
        <v>4.5251032187942535E-3</v>
      </c>
    </row>
    <row r="1312" spans="2:8" x14ac:dyDescent="0.3">
      <c r="B1312" s="198">
        <v>45854</v>
      </c>
      <c r="C1312" s="192">
        <v>479.04</v>
      </c>
      <c r="D1312" s="201">
        <f t="shared" si="40"/>
        <v>2.1908398574994218E-2</v>
      </c>
      <c r="F1312" s="197">
        <v>45854</v>
      </c>
      <c r="G1312" s="191">
        <v>25212.05078125</v>
      </c>
      <c r="H1312" s="200">
        <f t="shared" si="41"/>
        <v>6.4494874130346306E-4</v>
      </c>
    </row>
    <row r="1313" spans="2:8" x14ac:dyDescent="0.3">
      <c r="B1313" s="198">
        <v>45855</v>
      </c>
      <c r="C1313" s="192">
        <v>489.07</v>
      </c>
      <c r="D1313" s="201">
        <f t="shared" ref="D1313:D1376" si="42">(C1313-C1312)/C1312</f>
        <v>2.0937708750834946E-2</v>
      </c>
      <c r="F1313" s="196">
        <v>45855</v>
      </c>
      <c r="G1313" s="190">
        <v>25111.44921875</v>
      </c>
      <c r="H1313" s="201">
        <f t="shared" si="41"/>
        <v>-3.9902173517283477E-3</v>
      </c>
    </row>
    <row r="1314" spans="2:8" x14ac:dyDescent="0.3">
      <c r="B1314" s="198">
        <v>45856</v>
      </c>
      <c r="C1314" s="192">
        <v>483.78</v>
      </c>
      <c r="D1314" s="201">
        <f t="shared" si="42"/>
        <v>-1.0816447543296503E-2</v>
      </c>
      <c r="F1314" s="197">
        <v>45856</v>
      </c>
      <c r="G1314" s="191">
        <v>24968.400390625</v>
      </c>
      <c r="H1314" s="200">
        <f t="shared" si="41"/>
        <v>-5.6965580472428303E-3</v>
      </c>
    </row>
    <row r="1315" spans="2:8" x14ac:dyDescent="0.3">
      <c r="B1315" s="198">
        <v>45859</v>
      </c>
      <c r="C1315" s="192">
        <v>488.22</v>
      </c>
      <c r="D1315" s="201">
        <f t="shared" si="42"/>
        <v>9.1777254123776401E-3</v>
      </c>
      <c r="F1315" s="196">
        <v>45859</v>
      </c>
      <c r="G1315" s="190">
        <v>25090.69921875</v>
      </c>
      <c r="H1315" s="201">
        <f t="shared" si="41"/>
        <v>4.8981443028653171E-3</v>
      </c>
    </row>
    <row r="1316" spans="2:8" x14ac:dyDescent="0.3">
      <c r="B1316" s="198">
        <v>45860</v>
      </c>
      <c r="C1316" s="192">
        <v>484.18</v>
      </c>
      <c r="D1316" s="201">
        <f t="shared" si="42"/>
        <v>-8.2749580107329083E-3</v>
      </c>
      <c r="F1316" s="197">
        <v>45860</v>
      </c>
      <c r="G1316" s="191">
        <v>25060.900390625</v>
      </c>
      <c r="H1316" s="200">
        <f t="shared" si="41"/>
        <v>-1.1876443882732318E-3</v>
      </c>
    </row>
    <row r="1317" spans="2:8" x14ac:dyDescent="0.3">
      <c r="B1317" s="198">
        <v>45861</v>
      </c>
      <c r="C1317" s="192">
        <v>486.68</v>
      </c>
      <c r="D1317" s="201">
        <f t="shared" si="42"/>
        <v>5.1633689950018585E-3</v>
      </c>
      <c r="F1317" s="196">
        <v>45861</v>
      </c>
      <c r="G1317" s="190">
        <v>25219.900390625</v>
      </c>
      <c r="H1317" s="201">
        <f t="shared" si="41"/>
        <v>6.3445445902446549E-3</v>
      </c>
    </row>
    <row r="1318" spans="2:8" x14ac:dyDescent="0.3">
      <c r="B1318" s="198">
        <v>45862</v>
      </c>
      <c r="C1318" s="192">
        <v>484.93</v>
      </c>
      <c r="D1318" s="201">
        <f t="shared" si="42"/>
        <v>-3.5957918961124352E-3</v>
      </c>
      <c r="F1318" s="197">
        <v>45862</v>
      </c>
      <c r="G1318" s="191">
        <v>25062.099609375</v>
      </c>
      <c r="H1318" s="200">
        <f t="shared" si="41"/>
        <v>-6.2569946274910479E-3</v>
      </c>
    </row>
    <row r="1319" spans="2:8" x14ac:dyDescent="0.3">
      <c r="B1319" s="198">
        <v>45863</v>
      </c>
      <c r="C1319" s="192">
        <v>476.1</v>
      </c>
      <c r="D1319" s="201">
        <f t="shared" si="42"/>
        <v>-1.8208813643206204E-2</v>
      </c>
      <c r="F1319" s="196">
        <v>45863</v>
      </c>
      <c r="G1319" s="190">
        <v>24837</v>
      </c>
      <c r="H1319" s="201">
        <f t="shared" si="41"/>
        <v>-8.9816740370306722E-3</v>
      </c>
    </row>
    <row r="1320" spans="2:8" x14ac:dyDescent="0.3">
      <c r="B1320" s="198">
        <v>45866</v>
      </c>
      <c r="C1320" s="192">
        <v>485.68</v>
      </c>
      <c r="D1320" s="201">
        <f t="shared" si="42"/>
        <v>2.012182314639778E-2</v>
      </c>
      <c r="F1320" s="197">
        <v>45866</v>
      </c>
      <c r="G1320" s="191">
        <v>24680.900390625</v>
      </c>
      <c r="H1320" s="200">
        <f t="shared" si="41"/>
        <v>-6.2849623293876073E-3</v>
      </c>
    </row>
    <row r="1321" spans="2:8" x14ac:dyDescent="0.3">
      <c r="B1321" s="198">
        <v>45867</v>
      </c>
      <c r="C1321" s="192">
        <v>511.02</v>
      </c>
      <c r="D1321" s="201">
        <f t="shared" si="42"/>
        <v>5.2174271125020537E-2</v>
      </c>
      <c r="F1321" s="196">
        <v>45867</v>
      </c>
      <c r="G1321" s="190">
        <v>24821.099609375</v>
      </c>
      <c r="H1321" s="201">
        <f t="shared" si="41"/>
        <v>5.6804742343700898E-3</v>
      </c>
    </row>
    <row r="1322" spans="2:8" x14ac:dyDescent="0.3">
      <c r="B1322" s="198">
        <v>45868</v>
      </c>
      <c r="C1322" s="192">
        <v>520.95000000000005</v>
      </c>
      <c r="D1322" s="201">
        <f t="shared" si="42"/>
        <v>1.9431724785722797E-2</v>
      </c>
      <c r="F1322" s="197">
        <v>45868</v>
      </c>
      <c r="G1322" s="191">
        <v>24855.05078125</v>
      </c>
      <c r="H1322" s="200">
        <f t="shared" si="41"/>
        <v>1.3678351245235141E-3</v>
      </c>
    </row>
    <row r="1323" spans="2:8" x14ac:dyDescent="0.3">
      <c r="B1323" s="198">
        <v>45869</v>
      </c>
      <c r="C1323" s="192">
        <v>521.45000000000005</v>
      </c>
      <c r="D1323" s="201">
        <f t="shared" si="42"/>
        <v>9.5978500815817249E-4</v>
      </c>
      <c r="F1323" s="196">
        <v>45869</v>
      </c>
      <c r="G1323" s="190">
        <v>24768.349609375</v>
      </c>
      <c r="H1323" s="201">
        <f t="shared" si="41"/>
        <v>-3.4882717656889721E-3</v>
      </c>
    </row>
    <row r="1324" spans="2:8" x14ac:dyDescent="0.3">
      <c r="B1324" s="198">
        <v>45870</v>
      </c>
      <c r="C1324" s="192">
        <v>511.26</v>
      </c>
      <c r="D1324" s="201">
        <f t="shared" si="42"/>
        <v>-1.9541662671397168E-2</v>
      </c>
      <c r="F1324" s="197">
        <v>45870</v>
      </c>
      <c r="G1324" s="191">
        <v>24565.349609375</v>
      </c>
      <c r="H1324" s="200">
        <f t="shared" si="41"/>
        <v>-8.1959437427822409E-3</v>
      </c>
    </row>
    <row r="1325" spans="2:8" x14ac:dyDescent="0.3">
      <c r="B1325" s="198">
        <v>45873</v>
      </c>
      <c r="C1325" s="192">
        <v>507.97</v>
      </c>
      <c r="D1325" s="201">
        <f t="shared" si="42"/>
        <v>-6.4350819543871288E-3</v>
      </c>
      <c r="F1325" s="196">
        <v>45873</v>
      </c>
      <c r="G1325" s="190">
        <v>24722.75</v>
      </c>
      <c r="H1325" s="201">
        <f t="shared" si="41"/>
        <v>6.4074150430544043E-3</v>
      </c>
    </row>
    <row r="1326" spans="2:8" x14ac:dyDescent="0.3">
      <c r="B1326" s="198">
        <v>45874</v>
      </c>
      <c r="C1326" s="192">
        <v>507.47</v>
      </c>
      <c r="D1326" s="201">
        <f t="shared" si="42"/>
        <v>-9.8431009705297542E-4</v>
      </c>
      <c r="F1326" s="197">
        <v>45874</v>
      </c>
      <c r="G1326" s="191">
        <v>24649.55078125</v>
      </c>
      <c r="H1326" s="200">
        <f t="shared" si="41"/>
        <v>-2.9608040671041855E-3</v>
      </c>
    </row>
    <row r="1327" spans="2:8" x14ac:dyDescent="0.3">
      <c r="B1327" s="198">
        <v>45875</v>
      </c>
      <c r="C1327" s="192">
        <v>498.58</v>
      </c>
      <c r="D1327" s="201">
        <f t="shared" si="42"/>
        <v>-1.7518276942479441E-2</v>
      </c>
      <c r="F1327" s="196">
        <v>45875</v>
      </c>
      <c r="G1327" s="190">
        <v>24574.19921875</v>
      </c>
      <c r="H1327" s="201">
        <f t="shared" si="41"/>
        <v>-3.0569142281212337E-3</v>
      </c>
    </row>
    <row r="1328" spans="2:8" x14ac:dyDescent="0.3">
      <c r="B1328" s="198">
        <v>45876</v>
      </c>
      <c r="C1328" s="192">
        <v>502.07</v>
      </c>
      <c r="D1328" s="201">
        <f t="shared" si="42"/>
        <v>6.9998796582293899E-3</v>
      </c>
      <c r="F1328" s="197">
        <v>45876</v>
      </c>
      <c r="G1328" s="191">
        <v>24596.150390625</v>
      </c>
      <c r="H1328" s="200">
        <f t="shared" si="41"/>
        <v>8.9326092295415906E-4</v>
      </c>
    </row>
    <row r="1329" spans="2:8" x14ac:dyDescent="0.3">
      <c r="B1329" s="198">
        <v>45877</v>
      </c>
      <c r="C1329" s="192">
        <v>495.33</v>
      </c>
      <c r="D1329" s="201">
        <f t="shared" si="42"/>
        <v>-1.342442288923857E-2</v>
      </c>
      <c r="F1329" s="196">
        <v>45877</v>
      </c>
      <c r="G1329" s="190">
        <v>24363.30078125</v>
      </c>
      <c r="H1329" s="201">
        <f t="shared" si="41"/>
        <v>-9.4669127354072569E-3</v>
      </c>
    </row>
    <row r="1330" spans="2:8" x14ac:dyDescent="0.3">
      <c r="B1330" s="198">
        <v>45880</v>
      </c>
      <c r="C1330" s="192">
        <v>510.11</v>
      </c>
      <c r="D1330" s="201">
        <f t="shared" si="42"/>
        <v>2.9838693396321704E-2</v>
      </c>
      <c r="F1330" s="197">
        <v>45880</v>
      </c>
      <c r="G1330" s="191">
        <v>24585.05078125</v>
      </c>
      <c r="H1330" s="200">
        <f t="shared" si="41"/>
        <v>9.1018044718578876E-3</v>
      </c>
    </row>
    <row r="1331" spans="2:8" x14ac:dyDescent="0.3">
      <c r="B1331" s="198">
        <v>45881</v>
      </c>
      <c r="C1331" s="192">
        <v>513.61</v>
      </c>
      <c r="D1331" s="201">
        <f t="shared" si="42"/>
        <v>6.8612652173060708E-3</v>
      </c>
      <c r="F1331" s="196">
        <v>45881</v>
      </c>
      <c r="G1331" s="190">
        <v>24487.400390625</v>
      </c>
      <c r="H1331" s="201">
        <f t="shared" si="41"/>
        <v>-3.9719417907191756E-3</v>
      </c>
    </row>
    <row r="1332" spans="2:8" x14ac:dyDescent="0.3">
      <c r="B1332" s="198">
        <v>45882</v>
      </c>
      <c r="C1332" s="192">
        <v>510.46</v>
      </c>
      <c r="D1332" s="201">
        <f t="shared" si="42"/>
        <v>-6.133058156967415E-3</v>
      </c>
      <c r="F1332" s="197">
        <v>45882</v>
      </c>
      <c r="G1332" s="191">
        <v>24619.349609375</v>
      </c>
      <c r="H1332" s="200">
        <f t="shared" si="41"/>
        <v>5.3884535167120782E-3</v>
      </c>
    </row>
    <row r="1333" spans="2:8" x14ac:dyDescent="0.3">
      <c r="B1333" s="198">
        <v>45883</v>
      </c>
      <c r="C1333" s="192">
        <v>501.22</v>
      </c>
      <c r="D1333" s="201">
        <f t="shared" si="42"/>
        <v>-1.8101320377698453E-2</v>
      </c>
      <c r="F1333" s="196">
        <v>45883</v>
      </c>
      <c r="G1333" s="190">
        <v>24631.30078125</v>
      </c>
      <c r="H1333" s="201">
        <f t="shared" si="41"/>
        <v>4.8543816407111817E-4</v>
      </c>
    </row>
    <row r="1334" spans="2:8" x14ac:dyDescent="0.3">
      <c r="B1334" s="198">
        <v>45887</v>
      </c>
      <c r="C1334" s="192">
        <v>499.18</v>
      </c>
      <c r="D1334" s="201">
        <f t="shared" si="42"/>
        <v>-4.0700690315630273E-3</v>
      </c>
      <c r="F1334" s="197">
        <v>45887</v>
      </c>
      <c r="G1334" s="191">
        <v>24876.94921875</v>
      </c>
      <c r="H1334" s="200">
        <f t="shared" si="41"/>
        <v>9.9730192766349594E-3</v>
      </c>
    </row>
    <row r="1335" spans="2:8" x14ac:dyDescent="0.3">
      <c r="B1335" s="198">
        <v>45888</v>
      </c>
      <c r="C1335" s="192">
        <v>504.77</v>
      </c>
      <c r="D1335" s="201">
        <f t="shared" si="42"/>
        <v>1.1198365319123313E-2</v>
      </c>
      <c r="F1335" s="196">
        <v>45888</v>
      </c>
      <c r="G1335" s="190">
        <v>24980.650390625</v>
      </c>
      <c r="H1335" s="201">
        <f t="shared" si="41"/>
        <v>4.1685646806256856E-3</v>
      </c>
    </row>
    <row r="1336" spans="2:8" x14ac:dyDescent="0.3">
      <c r="B1336" s="198">
        <v>45889</v>
      </c>
      <c r="C1336" s="192">
        <v>517</v>
      </c>
      <c r="D1336" s="201">
        <f t="shared" si="42"/>
        <v>2.4228856707015113E-2</v>
      </c>
      <c r="F1336" s="197">
        <v>45889</v>
      </c>
      <c r="G1336" s="191">
        <v>25050.55078125</v>
      </c>
      <c r="H1336" s="200">
        <f t="shared" si="41"/>
        <v>2.7981813736616301E-3</v>
      </c>
    </row>
    <row r="1337" spans="2:8" x14ac:dyDescent="0.3">
      <c r="B1337" s="198">
        <v>45890</v>
      </c>
      <c r="C1337" s="192">
        <v>516.6</v>
      </c>
      <c r="D1337" s="201">
        <f t="shared" si="42"/>
        <v>-7.7369439071562338E-4</v>
      </c>
      <c r="F1337" s="196">
        <v>45890</v>
      </c>
      <c r="G1337" s="190">
        <v>25083.75</v>
      </c>
      <c r="H1337" s="201">
        <f t="shared" si="41"/>
        <v>1.325288974278728E-3</v>
      </c>
    </row>
    <row r="1338" spans="2:8" x14ac:dyDescent="0.3">
      <c r="B1338" s="198">
        <v>45891</v>
      </c>
      <c r="C1338" s="192">
        <v>515.96</v>
      </c>
      <c r="D1338" s="201">
        <f t="shared" si="42"/>
        <v>-1.2388695315524319E-3</v>
      </c>
      <c r="F1338" s="197">
        <v>45891</v>
      </c>
      <c r="G1338" s="191">
        <v>24870.099609375</v>
      </c>
      <c r="H1338" s="200">
        <f t="shared" si="41"/>
        <v>-8.5174820600986689E-3</v>
      </c>
    </row>
    <row r="1339" spans="2:8" x14ac:dyDescent="0.3">
      <c r="B1339" s="198">
        <v>45894</v>
      </c>
      <c r="C1339" s="192">
        <v>515.36</v>
      </c>
      <c r="D1339" s="201">
        <f t="shared" si="42"/>
        <v>-1.1628808434762826E-3</v>
      </c>
      <c r="F1339" s="196">
        <v>45894</v>
      </c>
      <c r="G1339" s="190">
        <v>24967.75</v>
      </c>
      <c r="H1339" s="201">
        <f t="shared" si="41"/>
        <v>3.9264173509055761E-3</v>
      </c>
    </row>
    <row r="1340" spans="2:8" x14ac:dyDescent="0.3">
      <c r="B1340" s="198">
        <v>45895</v>
      </c>
      <c r="C1340" s="192">
        <v>507.92</v>
      </c>
      <c r="D1340" s="201">
        <f t="shared" si="42"/>
        <v>-1.4436510400496736E-2</v>
      </c>
      <c r="F1340" s="197">
        <v>45895</v>
      </c>
      <c r="G1340" s="191">
        <v>24712.05078125</v>
      </c>
      <c r="H1340" s="200">
        <f t="shared" si="41"/>
        <v>-1.0241179872034925E-2</v>
      </c>
    </row>
    <row r="1341" spans="2:8" x14ac:dyDescent="0.3">
      <c r="B1341" s="198">
        <v>45897</v>
      </c>
      <c r="C1341" s="192">
        <v>497.08</v>
      </c>
      <c r="D1341" s="201">
        <f t="shared" si="42"/>
        <v>-2.1341943613167491E-2</v>
      </c>
      <c r="F1341" s="196">
        <v>45897</v>
      </c>
      <c r="G1341" s="190">
        <v>24500.900390625</v>
      </c>
      <c r="H1341" s="201">
        <f t="shared" si="41"/>
        <v>-8.5444301039235507E-3</v>
      </c>
    </row>
    <row r="1342" spans="2:8" x14ac:dyDescent="0.3">
      <c r="B1342" s="198">
        <v>45898</v>
      </c>
      <c r="C1342" s="192">
        <v>486.54</v>
      </c>
      <c r="D1342" s="201">
        <f t="shared" si="42"/>
        <v>-2.1203830369356972E-2</v>
      </c>
      <c r="F1342" s="197">
        <v>45898</v>
      </c>
      <c r="G1342" s="191">
        <v>24426.849609375</v>
      </c>
      <c r="H1342" s="200">
        <f t="shared" si="41"/>
        <v>-3.0223697933295024E-3</v>
      </c>
    </row>
    <row r="1343" spans="2:8" x14ac:dyDescent="0.3">
      <c r="B1343" s="198">
        <v>45901</v>
      </c>
      <c r="C1343" s="192">
        <v>494.73</v>
      </c>
      <c r="D1343" s="201">
        <f t="shared" si="42"/>
        <v>1.6833148353681091E-2</v>
      </c>
      <c r="F1343" s="196">
        <v>45901</v>
      </c>
      <c r="G1343" s="190">
        <v>24625.05078125</v>
      </c>
      <c r="H1343" s="201">
        <f t="shared" si="41"/>
        <v>8.1140701746053485E-3</v>
      </c>
    </row>
    <row r="1344" spans="2:8" x14ac:dyDescent="0.3">
      <c r="B1344" s="198">
        <v>45902</v>
      </c>
      <c r="C1344" s="192">
        <v>498.58</v>
      </c>
      <c r="D1344" s="201">
        <f t="shared" si="42"/>
        <v>7.7820225173326173E-3</v>
      </c>
      <c r="F1344" s="197">
        <v>45902</v>
      </c>
      <c r="G1344" s="191">
        <v>24579.599609375</v>
      </c>
      <c r="H1344" s="200">
        <f t="shared" si="41"/>
        <v>-1.8457290617896885E-3</v>
      </c>
    </row>
    <row r="1345" spans="2:8" x14ac:dyDescent="0.3">
      <c r="B1345" s="198">
        <v>45903</v>
      </c>
      <c r="C1345" s="192">
        <v>504.62</v>
      </c>
      <c r="D1345" s="201">
        <f t="shared" si="42"/>
        <v>1.2114404909944284E-2</v>
      </c>
      <c r="F1345" s="196">
        <v>45903</v>
      </c>
      <c r="G1345" s="190">
        <v>24715.05078125</v>
      </c>
      <c r="H1345" s="201">
        <f t="shared" si="41"/>
        <v>5.5107151470171652E-3</v>
      </c>
    </row>
    <row r="1346" spans="2:8" x14ac:dyDescent="0.3">
      <c r="B1346" s="198">
        <v>45904</v>
      </c>
      <c r="C1346" s="192">
        <v>488.89</v>
      </c>
      <c r="D1346" s="201">
        <f t="shared" si="42"/>
        <v>-3.1171970988070268E-2</v>
      </c>
      <c r="F1346" s="197">
        <v>45904</v>
      </c>
      <c r="G1346" s="191">
        <v>24734.30078125</v>
      </c>
      <c r="H1346" s="200">
        <f t="shared" si="41"/>
        <v>7.7887762280480347E-4</v>
      </c>
    </row>
    <row r="1347" spans="2:8" x14ac:dyDescent="0.3">
      <c r="B1347" s="198">
        <v>45905</v>
      </c>
      <c r="C1347" s="192">
        <v>469.06</v>
      </c>
      <c r="D1347" s="201">
        <f t="shared" si="42"/>
        <v>-4.0561271451655757E-2</v>
      </c>
      <c r="F1347" s="196">
        <v>45905</v>
      </c>
      <c r="G1347" s="190">
        <v>24741</v>
      </c>
      <c r="H1347" s="201">
        <f t="shared" si="41"/>
        <v>2.708473067117542E-4</v>
      </c>
    </row>
    <row r="1348" spans="2:8" x14ac:dyDescent="0.3">
      <c r="B1348" s="198">
        <v>45908</v>
      </c>
      <c r="C1348" s="192">
        <v>473.46</v>
      </c>
      <c r="D1348" s="201">
        <f t="shared" si="42"/>
        <v>9.3804630537670606E-3</v>
      </c>
      <c r="F1348" s="197">
        <v>45908</v>
      </c>
      <c r="G1348" s="191">
        <v>24773.150390625</v>
      </c>
      <c r="H1348" s="200">
        <f t="shared" si="41"/>
        <v>1.2994782193524919E-3</v>
      </c>
    </row>
    <row r="1349" spans="2:8" x14ac:dyDescent="0.3">
      <c r="B1349" s="198">
        <v>45909</v>
      </c>
      <c r="C1349" s="192">
        <v>473.91</v>
      </c>
      <c r="D1349" s="201">
        <f t="shared" si="42"/>
        <v>9.5044987960977805E-4</v>
      </c>
      <c r="F1349" s="196">
        <v>45909</v>
      </c>
      <c r="G1349" s="190">
        <v>24868.599609375</v>
      </c>
      <c r="H1349" s="201">
        <f t="shared" si="41"/>
        <v>3.852930178235273E-3</v>
      </c>
    </row>
    <row r="1350" spans="2:8" x14ac:dyDescent="0.3">
      <c r="B1350" s="198">
        <v>45910</v>
      </c>
      <c r="C1350" s="192">
        <v>475.21</v>
      </c>
      <c r="D1350" s="201">
        <f t="shared" si="42"/>
        <v>2.743136882530342E-3</v>
      </c>
      <c r="F1350" s="197">
        <v>45910</v>
      </c>
      <c r="G1350" s="191">
        <v>24973.099609375</v>
      </c>
      <c r="H1350" s="200">
        <f t="shared" ref="H1350:H1413" si="43">(G1350-G1349)/G1349</f>
        <v>4.20208623088714E-3</v>
      </c>
    </row>
    <row r="1351" spans="2:8" x14ac:dyDescent="0.3">
      <c r="B1351" s="198">
        <v>45911</v>
      </c>
      <c r="C1351" s="192">
        <v>474.06</v>
      </c>
      <c r="D1351" s="201">
        <f t="shared" si="42"/>
        <v>-2.4199827444708177E-3</v>
      </c>
      <c r="F1351" s="196">
        <v>45911</v>
      </c>
      <c r="G1351" s="190">
        <v>25005.5</v>
      </c>
      <c r="H1351" s="201">
        <f t="shared" si="43"/>
        <v>1.2974116602184522E-3</v>
      </c>
    </row>
    <row r="1352" spans="2:8" x14ac:dyDescent="0.3">
      <c r="B1352" s="198">
        <v>45912</v>
      </c>
      <c r="C1352" s="192">
        <v>469.21</v>
      </c>
      <c r="D1352" s="201">
        <f t="shared" si="42"/>
        <v>-1.0230772476057932E-2</v>
      </c>
      <c r="F1352" s="197">
        <v>45912</v>
      </c>
      <c r="G1352" s="191">
        <v>25114</v>
      </c>
      <c r="H1352" s="200">
        <f t="shared" si="43"/>
        <v>4.3390454100097975E-3</v>
      </c>
    </row>
    <row r="1353" spans="2:8" x14ac:dyDescent="0.3">
      <c r="B1353" s="198">
        <v>45915</v>
      </c>
      <c r="C1353" s="192">
        <v>471.06</v>
      </c>
      <c r="D1353" s="201">
        <f t="shared" si="42"/>
        <v>3.9427974680847017E-3</v>
      </c>
      <c r="F1353" s="196">
        <v>45915</v>
      </c>
      <c r="G1353" s="190">
        <v>25069.19921875</v>
      </c>
      <c r="H1353" s="201">
        <f t="shared" si="43"/>
        <v>-1.7838966811340288E-3</v>
      </c>
    </row>
    <row r="1354" spans="2:8" x14ac:dyDescent="0.3">
      <c r="B1354" s="198">
        <v>45916</v>
      </c>
      <c r="C1354" s="192">
        <v>462.32</v>
      </c>
      <c r="D1354" s="201">
        <f t="shared" si="42"/>
        <v>-1.8553899715535196E-2</v>
      </c>
      <c r="F1354" s="197">
        <v>45916</v>
      </c>
      <c r="G1354" s="191">
        <v>25239.099609375</v>
      </c>
      <c r="H1354" s="200">
        <f t="shared" si="43"/>
        <v>6.7772563910987009E-3</v>
      </c>
    </row>
    <row r="1355" spans="2:8" x14ac:dyDescent="0.3">
      <c r="B1355" s="198">
        <v>45917</v>
      </c>
      <c r="C1355" s="192">
        <v>470.46</v>
      </c>
      <c r="D1355" s="201">
        <f t="shared" si="42"/>
        <v>1.7606852396608381E-2</v>
      </c>
      <c r="F1355" s="196">
        <v>45917</v>
      </c>
      <c r="G1355" s="190">
        <v>25330.25</v>
      </c>
      <c r="H1355" s="201">
        <f t="shared" si="43"/>
        <v>3.6114755294654973E-3</v>
      </c>
    </row>
    <row r="1356" spans="2:8" x14ac:dyDescent="0.3">
      <c r="B1356" s="198">
        <v>45918</v>
      </c>
      <c r="C1356" s="192">
        <v>472.96</v>
      </c>
      <c r="D1356" s="201">
        <f t="shared" si="42"/>
        <v>5.3139480508438549E-3</v>
      </c>
      <c r="F1356" s="197">
        <v>45918</v>
      </c>
      <c r="G1356" s="191">
        <v>25423.599609375</v>
      </c>
      <c r="H1356" s="200">
        <f t="shared" si="43"/>
        <v>3.6853015416350018E-3</v>
      </c>
    </row>
    <row r="1357" spans="2:8" x14ac:dyDescent="0.3">
      <c r="B1357" s="198">
        <v>45919</v>
      </c>
      <c r="C1357" s="192">
        <v>473.86</v>
      </c>
      <c r="D1357" s="201">
        <f t="shared" si="42"/>
        <v>1.9029093369418854E-3</v>
      </c>
      <c r="F1357" s="196">
        <v>45919</v>
      </c>
      <c r="G1357" s="190">
        <v>25327.05078125</v>
      </c>
      <c r="H1357" s="201">
        <f t="shared" si="43"/>
        <v>-3.7976065391384403E-3</v>
      </c>
    </row>
    <row r="1358" spans="2:8" x14ac:dyDescent="0.3">
      <c r="B1358" s="198">
        <v>45922</v>
      </c>
      <c r="C1358" s="192">
        <v>463.37</v>
      </c>
      <c r="D1358" s="201">
        <f t="shared" si="42"/>
        <v>-2.2137340142658189E-2</v>
      </c>
      <c r="F1358" s="197">
        <v>45922</v>
      </c>
      <c r="G1358" s="191">
        <v>25202.349609375</v>
      </c>
      <c r="H1358" s="200">
        <f t="shared" si="43"/>
        <v>-4.9236357186648108E-3</v>
      </c>
    </row>
    <row r="1359" spans="2:8" x14ac:dyDescent="0.3">
      <c r="B1359" s="198">
        <v>45923</v>
      </c>
      <c r="C1359" s="192">
        <v>457.93</v>
      </c>
      <c r="D1359" s="201">
        <f t="shared" si="42"/>
        <v>-1.1740078123313978E-2</v>
      </c>
      <c r="F1359" s="196">
        <v>45923</v>
      </c>
      <c r="G1359" s="190">
        <v>25169.5</v>
      </c>
      <c r="H1359" s="201">
        <f t="shared" si="43"/>
        <v>-1.3034343973539794E-3</v>
      </c>
    </row>
    <row r="1360" spans="2:8" x14ac:dyDescent="0.3">
      <c r="B1360" s="198">
        <v>45924</v>
      </c>
      <c r="C1360" s="192">
        <v>452.04</v>
      </c>
      <c r="D1360" s="201">
        <f t="shared" si="42"/>
        <v>-1.286222785141831E-2</v>
      </c>
      <c r="F1360" s="197">
        <v>45924</v>
      </c>
      <c r="G1360" s="191">
        <v>25056.900390625</v>
      </c>
      <c r="H1360" s="200">
        <f t="shared" si="43"/>
        <v>-4.4736530076084149E-3</v>
      </c>
    </row>
    <row r="1361" spans="2:8" x14ac:dyDescent="0.3">
      <c r="B1361" s="198">
        <v>45925</v>
      </c>
      <c r="C1361" s="192">
        <v>451.29</v>
      </c>
      <c r="D1361" s="201">
        <f t="shared" si="42"/>
        <v>-1.6591452083886381E-3</v>
      </c>
      <c r="F1361" s="196">
        <v>45925</v>
      </c>
      <c r="G1361" s="190">
        <v>24890.849609375</v>
      </c>
      <c r="H1361" s="201">
        <f t="shared" si="43"/>
        <v>-6.6269482123226878E-3</v>
      </c>
    </row>
    <row r="1362" spans="2:8" x14ac:dyDescent="0.3">
      <c r="B1362" s="198">
        <v>45926</v>
      </c>
      <c r="C1362" s="192">
        <v>444.2</v>
      </c>
      <c r="D1362" s="201">
        <f t="shared" si="42"/>
        <v>-1.571051873518144E-2</v>
      </c>
      <c r="F1362" s="197">
        <v>45926</v>
      </c>
      <c r="G1362" s="191">
        <v>24654.69921875</v>
      </c>
      <c r="H1362" s="200">
        <f t="shared" si="43"/>
        <v>-9.4874379272315099E-3</v>
      </c>
    </row>
    <row r="1363" spans="2:8" x14ac:dyDescent="0.3">
      <c r="B1363" s="198">
        <v>45929</v>
      </c>
      <c r="C1363" s="192">
        <v>451.14</v>
      </c>
      <c r="D1363" s="201">
        <f t="shared" si="42"/>
        <v>1.5623592976136871E-2</v>
      </c>
      <c r="F1363" s="196">
        <v>45929</v>
      </c>
      <c r="G1363" s="190">
        <v>24634.900390625</v>
      </c>
      <c r="H1363" s="201">
        <f t="shared" si="43"/>
        <v>-8.030448049409952E-4</v>
      </c>
    </row>
    <row r="1364" spans="2:8" x14ac:dyDescent="0.3">
      <c r="B1364" s="198">
        <v>45930</v>
      </c>
      <c r="C1364" s="192">
        <v>443.15</v>
      </c>
      <c r="D1364" s="201">
        <f t="shared" si="42"/>
        <v>-1.7710688478077781E-2</v>
      </c>
      <c r="F1364" s="197">
        <v>45930</v>
      </c>
      <c r="G1364" s="191">
        <v>24611.099609375</v>
      </c>
      <c r="H1364" s="200">
        <f t="shared" si="43"/>
        <v>-9.6614075448251335E-4</v>
      </c>
    </row>
    <row r="1365" spans="2:8" x14ac:dyDescent="0.3">
      <c r="B1365" s="198">
        <v>45931</v>
      </c>
      <c r="C1365" s="192">
        <v>442.4</v>
      </c>
      <c r="D1365" s="201">
        <f t="shared" si="42"/>
        <v>-1.6924292000451316E-3</v>
      </c>
      <c r="F1365" s="196">
        <v>45931</v>
      </c>
      <c r="G1365" s="190">
        <v>24836.30078125</v>
      </c>
      <c r="H1365" s="201">
        <f t="shared" si="43"/>
        <v>9.1503904924758045E-3</v>
      </c>
    </row>
    <row r="1366" spans="2:8" x14ac:dyDescent="0.3">
      <c r="B1366" s="198">
        <v>45933</v>
      </c>
      <c r="C1366" s="192">
        <v>442.9</v>
      </c>
      <c r="D1366" s="201">
        <f t="shared" si="42"/>
        <v>1.1301989150090416E-3</v>
      </c>
      <c r="F1366" s="197">
        <v>45933</v>
      </c>
      <c r="G1366" s="191">
        <v>24894.25</v>
      </c>
      <c r="H1366" s="200">
        <f t="shared" si="43"/>
        <v>2.3332467769817144E-3</v>
      </c>
    </row>
    <row r="1367" spans="2:8" x14ac:dyDescent="0.3">
      <c r="B1367" s="198">
        <v>45936</v>
      </c>
      <c r="C1367" s="192">
        <v>438.4</v>
      </c>
      <c r="D1367" s="201">
        <f t="shared" si="42"/>
        <v>-1.0160307067058028E-2</v>
      </c>
      <c r="F1367" s="196">
        <v>45936</v>
      </c>
      <c r="G1367" s="190">
        <v>25077.650390625</v>
      </c>
      <c r="H1367" s="201">
        <f t="shared" si="43"/>
        <v>7.3671787912871446E-3</v>
      </c>
    </row>
    <row r="1368" spans="2:8" x14ac:dyDescent="0.3">
      <c r="B1368" s="198">
        <v>45937</v>
      </c>
      <c r="C1368" s="192">
        <v>439.45</v>
      </c>
      <c r="D1368" s="201">
        <f t="shared" si="42"/>
        <v>2.3950729927007561E-3</v>
      </c>
      <c r="F1368" s="197">
        <v>45937</v>
      </c>
      <c r="G1368" s="191">
        <v>25108.30078125</v>
      </c>
      <c r="H1368" s="200">
        <f t="shared" si="43"/>
        <v>1.2222193924698109E-3</v>
      </c>
    </row>
    <row r="1369" spans="2:8" x14ac:dyDescent="0.3">
      <c r="B1369" s="198">
        <v>45938</v>
      </c>
      <c r="C1369" s="192">
        <v>434.31</v>
      </c>
      <c r="D1369" s="201">
        <f t="shared" si="42"/>
        <v>-1.169643873023094E-2</v>
      </c>
      <c r="F1369" s="196">
        <v>45938</v>
      </c>
      <c r="G1369" s="190">
        <v>25046.150390625</v>
      </c>
      <c r="H1369" s="201">
        <f t="shared" si="43"/>
        <v>-2.4752925801897249E-3</v>
      </c>
    </row>
    <row r="1370" spans="2:8" x14ac:dyDescent="0.3">
      <c r="B1370" s="198">
        <v>45939</v>
      </c>
      <c r="C1370" s="192">
        <v>445.34</v>
      </c>
      <c r="D1370" s="201">
        <f t="shared" si="42"/>
        <v>2.5396606110842424E-2</v>
      </c>
      <c r="F1370" s="197">
        <v>45939</v>
      </c>
      <c r="G1370" s="191">
        <v>25181.80078125</v>
      </c>
      <c r="H1370" s="200">
        <f t="shared" si="43"/>
        <v>5.4160175719369296E-3</v>
      </c>
    </row>
    <row r="1371" spans="2:8" x14ac:dyDescent="0.3">
      <c r="B1371" s="198">
        <v>45940</v>
      </c>
      <c r="C1371" s="192">
        <v>443.1</v>
      </c>
      <c r="D1371" s="201">
        <f t="shared" si="42"/>
        <v>-5.0298648223827914E-3</v>
      </c>
      <c r="F1371" s="196">
        <v>45940</v>
      </c>
      <c r="G1371" s="190">
        <v>25285.349609375</v>
      </c>
      <c r="H1371" s="201">
        <f t="shared" si="43"/>
        <v>4.1120501676790702E-3</v>
      </c>
    </row>
    <row r="1372" spans="2:8" x14ac:dyDescent="0.3">
      <c r="B1372" s="198">
        <v>45943</v>
      </c>
      <c r="C1372" s="192">
        <v>441.9</v>
      </c>
      <c r="D1372" s="201">
        <f t="shared" si="42"/>
        <v>-2.7081922816521E-3</v>
      </c>
      <c r="F1372" s="197">
        <v>45943</v>
      </c>
      <c r="G1372" s="191">
        <v>25227.349609375</v>
      </c>
      <c r="H1372" s="200">
        <f t="shared" si="43"/>
        <v>-2.2938183927065595E-3</v>
      </c>
    </row>
    <row r="1373" spans="2:8" x14ac:dyDescent="0.3">
      <c r="B1373" s="198">
        <v>45944</v>
      </c>
      <c r="C1373" s="192">
        <v>441.05</v>
      </c>
      <c r="D1373" s="201">
        <f t="shared" si="42"/>
        <v>-1.9235121068114187E-3</v>
      </c>
      <c r="F1373" s="196">
        <v>45944</v>
      </c>
      <c r="G1373" s="190">
        <v>25145.5</v>
      </c>
      <c r="H1373" s="201">
        <f t="shared" si="43"/>
        <v>-3.2444791324643557E-3</v>
      </c>
    </row>
    <row r="1374" spans="2:8" x14ac:dyDescent="0.3">
      <c r="B1374" s="198">
        <v>45945</v>
      </c>
      <c r="C1374" s="192">
        <v>444.79</v>
      </c>
      <c r="D1374" s="201">
        <f t="shared" si="42"/>
        <v>8.4797641990704206E-3</v>
      </c>
      <c r="F1374" s="197">
        <v>45945</v>
      </c>
      <c r="G1374" s="191">
        <v>25323.55078125</v>
      </c>
      <c r="H1374" s="200">
        <f t="shared" si="43"/>
        <v>7.0808208725219226E-3</v>
      </c>
    </row>
    <row r="1375" spans="2:8" x14ac:dyDescent="0.3">
      <c r="B1375" s="198">
        <v>45946</v>
      </c>
      <c r="C1375" s="192">
        <v>460.72</v>
      </c>
      <c r="D1375" s="201">
        <f t="shared" si="42"/>
        <v>3.581465410643226E-2</v>
      </c>
      <c r="F1375" s="196">
        <v>45946</v>
      </c>
      <c r="G1375" s="190">
        <v>25585.30078125</v>
      </c>
      <c r="H1375" s="201">
        <f t="shared" si="43"/>
        <v>1.0336228211479895E-2</v>
      </c>
    </row>
    <row r="1376" spans="2:8" x14ac:dyDescent="0.3">
      <c r="B1376" s="198">
        <v>45947</v>
      </c>
      <c r="C1376" s="192">
        <v>460.97</v>
      </c>
      <c r="D1376" s="201">
        <f t="shared" si="42"/>
        <v>5.4262892863344322E-4</v>
      </c>
      <c r="F1376" s="197">
        <v>45947</v>
      </c>
      <c r="G1376" s="191">
        <v>25709.849609375</v>
      </c>
      <c r="H1376" s="200">
        <f t="shared" si="43"/>
        <v>4.8679837376105692E-3</v>
      </c>
    </row>
    <row r="1377" spans="2:8" x14ac:dyDescent="0.3">
      <c r="B1377" s="198">
        <v>45950</v>
      </c>
      <c r="C1377" s="192">
        <v>455.78</v>
      </c>
      <c r="D1377" s="201">
        <f t="shared" ref="D1377:D1436" si="44">(C1377-C1376)/C1376</f>
        <v>-1.1258867171399558E-2</v>
      </c>
      <c r="F1377" s="196">
        <v>45950</v>
      </c>
      <c r="G1377" s="190">
        <v>25843.150390625</v>
      </c>
      <c r="H1377" s="201">
        <f t="shared" si="43"/>
        <v>5.1848137299641134E-3</v>
      </c>
    </row>
    <row r="1378" spans="2:8" x14ac:dyDescent="0.3">
      <c r="B1378" s="198">
        <v>45951</v>
      </c>
      <c r="C1378" s="192">
        <v>458.88</v>
      </c>
      <c r="D1378" s="201">
        <f t="shared" si="44"/>
        <v>6.8015270525253911E-3</v>
      </c>
      <c r="F1378" s="197">
        <v>45951</v>
      </c>
      <c r="G1378" s="191">
        <v>25868.599609375</v>
      </c>
      <c r="H1378" s="200">
        <f t="shared" si="43"/>
        <v>9.8475682590277742E-4</v>
      </c>
    </row>
    <row r="1379" spans="2:8" x14ac:dyDescent="0.3">
      <c r="B1379" s="198">
        <v>45953</v>
      </c>
      <c r="C1379" s="192">
        <v>464.97</v>
      </c>
      <c r="D1379" s="201">
        <f t="shared" si="44"/>
        <v>1.3271443514644422E-2</v>
      </c>
      <c r="F1379" s="196">
        <v>45953</v>
      </c>
      <c r="G1379" s="190">
        <v>25891.400390625</v>
      </c>
      <c r="H1379" s="201">
        <f t="shared" si="43"/>
        <v>8.8140763683770514E-4</v>
      </c>
    </row>
    <row r="1380" spans="2:8" x14ac:dyDescent="0.3">
      <c r="B1380" s="198">
        <v>45954</v>
      </c>
      <c r="C1380" s="192">
        <v>460.82</v>
      </c>
      <c r="D1380" s="201">
        <f t="shared" si="44"/>
        <v>-8.9253070090544208E-3</v>
      </c>
      <c r="F1380" s="197">
        <v>45954</v>
      </c>
      <c r="G1380" s="191">
        <v>25795.150390625</v>
      </c>
      <c r="H1380" s="200">
        <f t="shared" si="43"/>
        <v>-3.7174505259611641E-3</v>
      </c>
    </row>
    <row r="1381" spans="2:8" x14ac:dyDescent="0.3">
      <c r="B1381" s="198">
        <v>45957</v>
      </c>
      <c r="C1381" s="192">
        <v>458.78</v>
      </c>
      <c r="D1381" s="201">
        <f t="shared" si="44"/>
        <v>-4.4268911939586396E-3</v>
      </c>
      <c r="F1381" s="196">
        <v>45957</v>
      </c>
      <c r="G1381" s="190">
        <v>25966.05078125</v>
      </c>
      <c r="H1381" s="201">
        <f t="shared" si="43"/>
        <v>6.6252915000298701E-3</v>
      </c>
    </row>
    <row r="1382" spans="2:8" x14ac:dyDescent="0.3">
      <c r="B1382" s="198">
        <v>45958</v>
      </c>
      <c r="C1382" s="192">
        <v>453.58</v>
      </c>
      <c r="D1382" s="201">
        <f t="shared" si="44"/>
        <v>-1.1334408649025653E-2</v>
      </c>
      <c r="F1382" s="197">
        <v>45958</v>
      </c>
      <c r="G1382" s="191">
        <v>25936.19921875</v>
      </c>
      <c r="H1382" s="200">
        <f t="shared" si="43"/>
        <v>-1.1496381468049702E-3</v>
      </c>
    </row>
    <row r="1383" spans="2:8" x14ac:dyDescent="0.3">
      <c r="B1383" s="198">
        <v>45959</v>
      </c>
      <c r="C1383" s="192">
        <v>494.83</v>
      </c>
      <c r="D1383" s="201">
        <f t="shared" si="44"/>
        <v>9.0943163278804182E-2</v>
      </c>
      <c r="F1383" s="196">
        <v>45959</v>
      </c>
      <c r="G1383" s="190">
        <v>26053.900390625</v>
      </c>
      <c r="H1383" s="201">
        <f t="shared" si="43"/>
        <v>4.5381040946782421E-3</v>
      </c>
    </row>
    <row r="1384" spans="2:8" x14ac:dyDescent="0.3">
      <c r="B1384" s="198">
        <v>45960</v>
      </c>
      <c r="C1384" s="192">
        <v>484.64</v>
      </c>
      <c r="D1384" s="201">
        <f t="shared" si="44"/>
        <v>-2.0592930905563522E-2</v>
      </c>
      <c r="F1384" s="197">
        <v>45960</v>
      </c>
      <c r="G1384" s="191">
        <v>25877.849609375</v>
      </c>
      <c r="H1384" s="200">
        <f t="shared" si="43"/>
        <v>-6.7571756478100502E-3</v>
      </c>
    </row>
    <row r="1385" spans="2:8" x14ac:dyDescent="0.3">
      <c r="B1385" s="198">
        <v>45961</v>
      </c>
      <c r="C1385" s="192">
        <v>469.06</v>
      </c>
      <c r="D1385" s="201">
        <f t="shared" si="44"/>
        <v>-3.2147573456586302E-2</v>
      </c>
      <c r="F1385" s="196">
        <v>45961</v>
      </c>
      <c r="G1385" s="190">
        <v>25722.099609375</v>
      </c>
      <c r="H1385" s="201">
        <f t="shared" si="43"/>
        <v>-6.0186608373972101E-3</v>
      </c>
    </row>
    <row r="1386" spans="2:8" x14ac:dyDescent="0.3">
      <c r="B1386" s="198">
        <v>45964</v>
      </c>
      <c r="C1386" s="192">
        <v>474.16</v>
      </c>
      <c r="D1386" s="201">
        <f t="shared" si="44"/>
        <v>1.0872809448684651E-2</v>
      </c>
      <c r="F1386" s="197">
        <v>45964</v>
      </c>
      <c r="G1386" s="191">
        <v>25763.349609375</v>
      </c>
      <c r="H1386" s="200">
        <f t="shared" si="43"/>
        <v>1.6036793506920993E-3</v>
      </c>
    </row>
    <row r="1387" spans="2:8" x14ac:dyDescent="0.3">
      <c r="B1387" s="198">
        <v>45965</v>
      </c>
      <c r="C1387" s="192">
        <v>470.41</v>
      </c>
      <c r="D1387" s="201">
        <f t="shared" si="44"/>
        <v>-7.9087227939935879E-3</v>
      </c>
      <c r="F1387" s="196">
        <v>45965</v>
      </c>
      <c r="G1387" s="190">
        <v>25597.650390625</v>
      </c>
      <c r="H1387" s="201">
        <f t="shared" si="43"/>
        <v>-6.4315867797603409E-3</v>
      </c>
    </row>
    <row r="1388" spans="2:8" x14ac:dyDescent="0.3">
      <c r="B1388" s="198">
        <v>45967</v>
      </c>
      <c r="C1388" s="192">
        <v>471.26</v>
      </c>
      <c r="D1388" s="201">
        <f t="shared" si="44"/>
        <v>1.8069343763949871E-3</v>
      </c>
      <c r="F1388" s="197">
        <v>45967</v>
      </c>
      <c r="G1388" s="191">
        <v>25509.69921875</v>
      </c>
      <c r="H1388" s="200">
        <f t="shared" si="43"/>
        <v>-3.4359080045569977E-3</v>
      </c>
    </row>
    <row r="1389" spans="2:8" x14ac:dyDescent="0.3">
      <c r="B1389" s="198">
        <v>45968</v>
      </c>
      <c r="C1389" s="192">
        <v>469.61</v>
      </c>
      <c r="D1389" s="201">
        <f t="shared" si="44"/>
        <v>-3.5012519628230218E-3</v>
      </c>
      <c r="F1389" s="196">
        <v>45968</v>
      </c>
      <c r="G1389" s="190">
        <v>25492.30078125</v>
      </c>
      <c r="H1389" s="201">
        <f t="shared" si="43"/>
        <v>-6.8203224784445498E-4</v>
      </c>
    </row>
    <row r="1390" spans="2:8" x14ac:dyDescent="0.3">
      <c r="B1390" s="198">
        <v>45971</v>
      </c>
      <c r="C1390" s="192">
        <v>462.67</v>
      </c>
      <c r="D1390" s="201">
        <f t="shared" si="44"/>
        <v>-1.4778220225293324E-2</v>
      </c>
      <c r="F1390" s="197">
        <v>45971</v>
      </c>
      <c r="G1390" s="191">
        <v>25574.349609375</v>
      </c>
      <c r="H1390" s="200">
        <f t="shared" si="43"/>
        <v>3.2185728871263058E-3</v>
      </c>
    </row>
    <row r="1391" spans="2:8" x14ac:dyDescent="0.3">
      <c r="B1391" s="198">
        <v>45972</v>
      </c>
      <c r="C1391" s="192">
        <v>470.01</v>
      </c>
      <c r="D1391" s="201">
        <f t="shared" si="44"/>
        <v>1.5864439017009908E-2</v>
      </c>
      <c r="F1391" s="196">
        <v>45972</v>
      </c>
      <c r="G1391" s="190">
        <v>25694.94921875</v>
      </c>
      <c r="H1391" s="201">
        <f t="shared" si="43"/>
        <v>4.7156471705849679E-3</v>
      </c>
    </row>
    <row r="1392" spans="2:8" x14ac:dyDescent="0.3">
      <c r="B1392" s="198">
        <v>45973</v>
      </c>
      <c r="C1392" s="192">
        <v>458.73</v>
      </c>
      <c r="D1392" s="201">
        <f t="shared" si="44"/>
        <v>-2.3999489372566483E-2</v>
      </c>
      <c r="F1392" s="197">
        <v>45973</v>
      </c>
      <c r="G1392" s="191">
        <v>25875.80078125</v>
      </c>
      <c r="H1392" s="200">
        <f t="shared" si="43"/>
        <v>7.0384090258497119E-3</v>
      </c>
    </row>
    <row r="1393" spans="2:8" x14ac:dyDescent="0.3">
      <c r="B1393" s="198">
        <v>45974</v>
      </c>
      <c r="C1393" s="192">
        <v>452.43</v>
      </c>
      <c r="D1393" s="201">
        <f t="shared" si="44"/>
        <v>-1.3733568765940774E-2</v>
      </c>
      <c r="F1393" s="196">
        <v>45974</v>
      </c>
      <c r="G1393" s="190">
        <v>25879.150390625</v>
      </c>
      <c r="H1393" s="201">
        <f t="shared" si="43"/>
        <v>1.2944949620369539E-4</v>
      </c>
    </row>
    <row r="1394" spans="2:8" x14ac:dyDescent="0.3">
      <c r="B1394" s="198">
        <v>45975</v>
      </c>
      <c r="C1394" s="192">
        <v>458.83</v>
      </c>
      <c r="D1394" s="201">
        <f t="shared" si="44"/>
        <v>1.4145834714762454E-2</v>
      </c>
      <c r="F1394" s="197">
        <v>45975</v>
      </c>
      <c r="G1394" s="191">
        <v>25910.05078125</v>
      </c>
      <c r="H1394" s="200">
        <f t="shared" si="43"/>
        <v>1.1940264714483827E-3</v>
      </c>
    </row>
    <row r="1395" spans="2:8" x14ac:dyDescent="0.3">
      <c r="B1395" s="198">
        <v>45978</v>
      </c>
      <c r="C1395" s="192">
        <v>461.12</v>
      </c>
      <c r="D1395" s="201">
        <f t="shared" si="44"/>
        <v>4.9909552557592584E-3</v>
      </c>
      <c r="F1395" s="196">
        <v>45978</v>
      </c>
      <c r="G1395" s="190">
        <v>26013.44921875</v>
      </c>
      <c r="H1395" s="201">
        <f t="shared" si="43"/>
        <v>3.9906690408659891E-3</v>
      </c>
    </row>
    <row r="1396" spans="2:8" x14ac:dyDescent="0.3">
      <c r="B1396" s="198">
        <v>45979</v>
      </c>
      <c r="C1396" s="192">
        <v>457.33</v>
      </c>
      <c r="D1396" s="201">
        <f t="shared" si="44"/>
        <v>-8.2191186675919948E-3</v>
      </c>
      <c r="F1396" s="197">
        <v>45979</v>
      </c>
      <c r="G1396" s="191">
        <v>25910.05078125</v>
      </c>
      <c r="H1396" s="200">
        <f t="shared" si="43"/>
        <v>-3.974806902018682E-3</v>
      </c>
    </row>
    <row r="1397" spans="2:8" x14ac:dyDescent="0.3">
      <c r="B1397" s="198">
        <v>45980</v>
      </c>
      <c r="C1397" s="192">
        <v>453.98</v>
      </c>
      <c r="D1397" s="201">
        <f t="shared" si="44"/>
        <v>-7.3251262764305117E-3</v>
      </c>
      <c r="F1397" s="196">
        <v>45980</v>
      </c>
      <c r="G1397" s="190">
        <v>26052.650390625</v>
      </c>
      <c r="H1397" s="201">
        <f t="shared" si="43"/>
        <v>5.503640675154263E-3</v>
      </c>
    </row>
    <row r="1398" spans="2:8" x14ac:dyDescent="0.3">
      <c r="B1398" s="198">
        <v>45981</v>
      </c>
      <c r="C1398" s="192">
        <v>450.94</v>
      </c>
      <c r="D1398" s="201">
        <f t="shared" si="44"/>
        <v>-6.696330234812151E-3</v>
      </c>
      <c r="F1398" s="197">
        <v>45981</v>
      </c>
      <c r="G1398" s="191">
        <v>26192.150390625</v>
      </c>
      <c r="H1398" s="200">
        <f t="shared" si="43"/>
        <v>5.3545415882216276E-3</v>
      </c>
    </row>
    <row r="1399" spans="2:8" x14ac:dyDescent="0.3">
      <c r="B1399" s="198">
        <v>45982</v>
      </c>
      <c r="C1399" s="192">
        <v>447.09</v>
      </c>
      <c r="D1399" s="201">
        <f t="shared" si="44"/>
        <v>-8.5377212045948964E-3</v>
      </c>
      <c r="F1399" s="196">
        <v>45982</v>
      </c>
      <c r="G1399" s="190">
        <v>26068.150390625</v>
      </c>
      <c r="H1399" s="201">
        <f t="shared" si="43"/>
        <v>-4.7342428227803521E-3</v>
      </c>
    </row>
    <row r="1400" spans="2:8" x14ac:dyDescent="0.3">
      <c r="B1400" s="198">
        <v>45985</v>
      </c>
      <c r="C1400" s="192">
        <v>445.54</v>
      </c>
      <c r="D1400" s="201">
        <f t="shared" si="44"/>
        <v>-3.4668634950456387E-3</v>
      </c>
      <c r="F1400" s="197">
        <v>45985</v>
      </c>
      <c r="G1400" s="191">
        <v>25959.5</v>
      </c>
      <c r="H1400" s="200">
        <f t="shared" si="43"/>
        <v>-4.167936312968119E-3</v>
      </c>
    </row>
    <row r="1401" spans="2:8" x14ac:dyDescent="0.3">
      <c r="B1401" s="198">
        <v>45986</v>
      </c>
      <c r="C1401" s="192">
        <v>448.49</v>
      </c>
      <c r="D1401" s="201">
        <f t="shared" si="44"/>
        <v>6.6211787942720935E-3</v>
      </c>
      <c r="F1401" s="196">
        <v>45986</v>
      </c>
      <c r="G1401" s="190">
        <v>25884.80078125</v>
      </c>
      <c r="H1401" s="201">
        <f t="shared" si="43"/>
        <v>-2.8775291800689534E-3</v>
      </c>
    </row>
    <row r="1402" spans="2:8" x14ac:dyDescent="0.3">
      <c r="B1402" s="198">
        <v>45987</v>
      </c>
      <c r="C1402" s="192">
        <v>464.92</v>
      </c>
      <c r="D1402" s="201">
        <f t="shared" si="44"/>
        <v>3.6634038663069426E-2</v>
      </c>
      <c r="F1402" s="197">
        <v>45987</v>
      </c>
      <c r="G1402" s="191">
        <v>26205.30078125</v>
      </c>
      <c r="H1402" s="200">
        <f t="shared" si="43"/>
        <v>1.2381783530362669E-2</v>
      </c>
    </row>
    <row r="1403" spans="2:8" x14ac:dyDescent="0.3">
      <c r="B1403" s="198">
        <v>45988</v>
      </c>
      <c r="C1403" s="192">
        <v>466.72</v>
      </c>
      <c r="D1403" s="201">
        <f t="shared" si="44"/>
        <v>3.8716338294760631E-3</v>
      </c>
      <c r="F1403" s="196">
        <v>45988</v>
      </c>
      <c r="G1403" s="190">
        <v>26215.55078125</v>
      </c>
      <c r="H1403" s="201">
        <f t="shared" si="43"/>
        <v>3.9114223818922608E-4</v>
      </c>
    </row>
    <row r="1404" spans="2:8" x14ac:dyDescent="0.3">
      <c r="B1404" s="198">
        <v>45989</v>
      </c>
      <c r="C1404" s="192">
        <v>480.95</v>
      </c>
      <c r="D1404" s="201">
        <f t="shared" si="44"/>
        <v>3.0489372643126414E-2</v>
      </c>
      <c r="F1404" s="197">
        <v>45989</v>
      </c>
      <c r="G1404" s="191">
        <v>26202.94921875</v>
      </c>
      <c r="H1404" s="200">
        <f t="shared" si="43"/>
        <v>-4.8069035837358583E-4</v>
      </c>
    </row>
    <row r="1405" spans="2:8" x14ac:dyDescent="0.3">
      <c r="B1405" s="198">
        <v>45992</v>
      </c>
      <c r="C1405" s="192">
        <v>483.55</v>
      </c>
      <c r="D1405" s="201">
        <f t="shared" si="44"/>
        <v>5.4059673562740886E-3</v>
      </c>
      <c r="F1405" s="196">
        <v>45992</v>
      </c>
      <c r="G1405" s="190">
        <v>26175.75</v>
      </c>
      <c r="H1405" s="201">
        <f t="shared" si="43"/>
        <v>-1.0380212747402153E-3</v>
      </c>
    </row>
    <row r="1406" spans="2:8" x14ac:dyDescent="0.3">
      <c r="B1406" s="198">
        <v>45993</v>
      </c>
      <c r="C1406" s="192">
        <v>480.8</v>
      </c>
      <c r="D1406" s="201">
        <f t="shared" si="44"/>
        <v>-5.6871057801675109E-3</v>
      </c>
      <c r="F1406" s="197">
        <v>45993</v>
      </c>
      <c r="G1406" s="191">
        <v>26032.19921875</v>
      </c>
      <c r="H1406" s="200">
        <f t="shared" si="43"/>
        <v>-5.4841133969418263E-3</v>
      </c>
    </row>
    <row r="1407" spans="2:8" x14ac:dyDescent="0.3">
      <c r="B1407" s="198">
        <v>45994</v>
      </c>
      <c r="C1407" s="192">
        <v>476.9</v>
      </c>
      <c r="D1407" s="201">
        <f t="shared" si="44"/>
        <v>-8.1114808652246965E-3</v>
      </c>
      <c r="F1407" s="196">
        <v>45994</v>
      </c>
      <c r="G1407" s="190">
        <v>25986</v>
      </c>
      <c r="H1407" s="201">
        <f t="shared" si="43"/>
        <v>-1.7746951904364832E-3</v>
      </c>
    </row>
    <row r="1408" spans="2:8" x14ac:dyDescent="0.3">
      <c r="B1408" s="198">
        <v>45995</v>
      </c>
      <c r="C1408" s="192">
        <v>479.3</v>
      </c>
      <c r="D1408" s="201">
        <f t="shared" si="44"/>
        <v>5.0325015726568135E-3</v>
      </c>
      <c r="F1408" s="197">
        <v>45995</v>
      </c>
      <c r="G1408" s="191">
        <v>26033.75</v>
      </c>
      <c r="H1408" s="200">
        <f t="shared" si="43"/>
        <v>1.8375278996382667E-3</v>
      </c>
    </row>
    <row r="1409" spans="2:8" x14ac:dyDescent="0.3">
      <c r="B1409" s="198">
        <v>45996</v>
      </c>
      <c r="C1409" s="192">
        <v>479.35</v>
      </c>
      <c r="D1409" s="201">
        <f t="shared" si="44"/>
        <v>1.0431879824746791E-4</v>
      </c>
      <c r="F1409" s="196">
        <v>45996</v>
      </c>
      <c r="G1409" s="190">
        <v>26186.44921875</v>
      </c>
      <c r="H1409" s="201">
        <f t="shared" si="43"/>
        <v>5.8654330916598644E-3</v>
      </c>
    </row>
    <row r="1410" spans="2:8" x14ac:dyDescent="0.3">
      <c r="B1410" s="198">
        <v>45999</v>
      </c>
      <c r="C1410" s="192">
        <v>469.21</v>
      </c>
      <c r="D1410" s="201">
        <f t="shared" si="44"/>
        <v>-2.1153645561698221E-2</v>
      </c>
      <c r="F1410" s="197">
        <v>45999</v>
      </c>
      <c r="G1410" s="191">
        <v>25960.55078125</v>
      </c>
      <c r="H1410" s="200">
        <f t="shared" si="43"/>
        <v>-8.6265394598918129E-3</v>
      </c>
    </row>
    <row r="1411" spans="2:8" x14ac:dyDescent="0.3">
      <c r="B1411" s="198">
        <v>46000</v>
      </c>
      <c r="C1411" s="192">
        <v>470.96</v>
      </c>
      <c r="D1411" s="201">
        <f t="shared" si="44"/>
        <v>3.7296732806206176E-3</v>
      </c>
      <c r="F1411" s="196">
        <v>46000</v>
      </c>
      <c r="G1411" s="190">
        <v>25839.650390625</v>
      </c>
      <c r="H1411" s="201">
        <f t="shared" si="43"/>
        <v>-4.6570811090926572E-3</v>
      </c>
    </row>
    <row r="1412" spans="2:8" x14ac:dyDescent="0.3">
      <c r="B1412" s="198">
        <v>46001</v>
      </c>
      <c r="C1412" s="192">
        <v>472.36</v>
      </c>
      <c r="D1412" s="201">
        <f t="shared" si="44"/>
        <v>2.9726516052319394E-3</v>
      </c>
      <c r="F1412" s="197">
        <v>46001</v>
      </c>
      <c r="G1412" s="191">
        <v>25758</v>
      </c>
      <c r="H1412" s="200">
        <f t="shared" si="43"/>
        <v>-3.159887590995579E-3</v>
      </c>
    </row>
    <row r="1413" spans="2:8" x14ac:dyDescent="0.3">
      <c r="B1413" s="198">
        <v>46002</v>
      </c>
      <c r="C1413" s="192">
        <v>477.9</v>
      </c>
      <c r="D1413" s="201">
        <f t="shared" si="44"/>
        <v>1.172834278939784E-2</v>
      </c>
      <c r="F1413" s="196">
        <v>46002</v>
      </c>
      <c r="G1413" s="190">
        <v>25898.55078125</v>
      </c>
      <c r="H1413" s="201">
        <f t="shared" si="43"/>
        <v>5.4565875164997281E-3</v>
      </c>
    </row>
    <row r="1414" spans="2:8" x14ac:dyDescent="0.3">
      <c r="B1414" s="198">
        <v>46003</v>
      </c>
      <c r="C1414" s="192">
        <v>479.35</v>
      </c>
      <c r="D1414" s="201">
        <f t="shared" si="44"/>
        <v>3.0341075538816605E-3</v>
      </c>
      <c r="F1414" s="197">
        <v>46003</v>
      </c>
      <c r="G1414" s="191">
        <v>26046.94921875</v>
      </c>
      <c r="H1414" s="200">
        <f t="shared" ref="H1414:H1477" si="45">(G1414-G1413)/G1413</f>
        <v>5.7299900196514974E-3</v>
      </c>
    </row>
    <row r="1415" spans="2:8" x14ac:dyDescent="0.3">
      <c r="B1415" s="198">
        <v>46006</v>
      </c>
      <c r="C1415" s="192">
        <v>477</v>
      </c>
      <c r="D1415" s="201">
        <f t="shared" si="44"/>
        <v>-4.9024720976322579E-3</v>
      </c>
      <c r="F1415" s="196">
        <v>46006</v>
      </c>
      <c r="G1415" s="190">
        <v>26027.30078125</v>
      </c>
      <c r="H1415" s="201">
        <f t="shared" si="45"/>
        <v>-7.5434698071496196E-4</v>
      </c>
    </row>
    <row r="1416" spans="2:8" x14ac:dyDescent="0.3">
      <c r="B1416" s="198">
        <v>46007</v>
      </c>
      <c r="C1416" s="192">
        <v>476.55</v>
      </c>
      <c r="D1416" s="201">
        <f t="shared" si="44"/>
        <v>-9.4339622641507049E-4</v>
      </c>
      <c r="F1416" s="197">
        <v>46007</v>
      </c>
      <c r="G1416" s="191">
        <v>25860.099609375</v>
      </c>
      <c r="H1416" s="200">
        <f t="shared" si="45"/>
        <v>-6.4240688375742476E-3</v>
      </c>
    </row>
    <row r="1417" spans="2:8" x14ac:dyDescent="0.3">
      <c r="B1417" s="198">
        <v>46008</v>
      </c>
      <c r="C1417" s="192">
        <v>470.26</v>
      </c>
      <c r="D1417" s="201">
        <f t="shared" si="44"/>
        <v>-1.3199034728779814E-2</v>
      </c>
      <c r="F1417" s="196">
        <v>46008</v>
      </c>
      <c r="G1417" s="190">
        <v>25818.55078125</v>
      </c>
      <c r="H1417" s="201">
        <f t="shared" si="45"/>
        <v>-1.6066770334456639E-3</v>
      </c>
    </row>
    <row r="1418" spans="2:8" x14ac:dyDescent="0.3">
      <c r="B1418" s="198">
        <v>46009</v>
      </c>
      <c r="C1418" s="192">
        <v>473.01</v>
      </c>
      <c r="D1418" s="201">
        <f t="shared" si="44"/>
        <v>5.8478288606302895E-3</v>
      </c>
      <c r="F1418" s="197">
        <v>46009</v>
      </c>
      <c r="G1418" s="191">
        <v>25815.55078125</v>
      </c>
      <c r="H1418" s="200">
        <f t="shared" si="45"/>
        <v>-1.1619552256893776E-4</v>
      </c>
    </row>
    <row r="1419" spans="2:8" x14ac:dyDescent="0.3">
      <c r="B1419" s="198">
        <v>46010</v>
      </c>
      <c r="C1419" s="192">
        <v>468.81</v>
      </c>
      <c r="D1419" s="201">
        <f t="shared" si="44"/>
        <v>-8.8793048772752986E-3</v>
      </c>
      <c r="F1419" s="196">
        <v>46010</v>
      </c>
      <c r="G1419" s="190">
        <v>25966.400390625</v>
      </c>
      <c r="H1419" s="201">
        <f t="shared" si="45"/>
        <v>5.8433620360547577E-3</v>
      </c>
    </row>
    <row r="1420" spans="2:8" x14ac:dyDescent="0.3">
      <c r="B1420" s="198">
        <v>46013</v>
      </c>
      <c r="C1420" s="192">
        <v>485.04</v>
      </c>
      <c r="D1420" s="201">
        <f t="shared" si="44"/>
        <v>3.4619568695207055E-2</v>
      </c>
      <c r="F1420" s="197">
        <v>46013</v>
      </c>
      <c r="G1420" s="191">
        <v>26172.400390625</v>
      </c>
      <c r="H1420" s="200">
        <f t="shared" si="45"/>
        <v>7.9333291061157232E-3</v>
      </c>
    </row>
    <row r="1421" spans="2:8" x14ac:dyDescent="0.3">
      <c r="B1421" s="198">
        <v>46014</v>
      </c>
      <c r="C1421" s="192">
        <v>481.15</v>
      </c>
      <c r="D1421" s="201">
        <f t="shared" si="44"/>
        <v>-8.0199571169388972E-3</v>
      </c>
      <c r="F1421" s="196">
        <v>46014</v>
      </c>
      <c r="G1421" s="190">
        <v>26177.150390625</v>
      </c>
      <c r="H1421" s="201">
        <f t="shared" si="45"/>
        <v>1.814888939916057E-4</v>
      </c>
    </row>
    <row r="1422" spans="2:8" x14ac:dyDescent="0.3">
      <c r="B1422" s="198">
        <v>46015</v>
      </c>
      <c r="C1422" s="192">
        <v>477.05</v>
      </c>
      <c r="D1422" s="201">
        <f t="shared" si="44"/>
        <v>-8.5212511690740227E-3</v>
      </c>
      <c r="F1422" s="197">
        <v>46015</v>
      </c>
      <c r="G1422" s="191">
        <v>26142.099609375</v>
      </c>
      <c r="H1422" s="200">
        <f t="shared" si="45"/>
        <v>-1.3389838361685454E-3</v>
      </c>
    </row>
    <row r="1423" spans="2:8" x14ac:dyDescent="0.3">
      <c r="B1423" s="198">
        <v>46017</v>
      </c>
      <c r="C1423" s="192">
        <v>482.25</v>
      </c>
      <c r="D1423" s="201">
        <f t="shared" si="44"/>
        <v>1.0900324913531052E-2</v>
      </c>
      <c r="F1423" s="196">
        <v>46017</v>
      </c>
      <c r="G1423" s="190">
        <v>26042.30078125</v>
      </c>
      <c r="H1423" s="201">
        <f t="shared" si="45"/>
        <v>-3.8175521330050493E-3</v>
      </c>
    </row>
    <row r="1424" spans="2:8" x14ac:dyDescent="0.3">
      <c r="B1424" s="198">
        <v>46020</v>
      </c>
      <c r="C1424" s="192">
        <v>482.1</v>
      </c>
      <c r="D1424" s="201">
        <f t="shared" si="44"/>
        <v>-3.1104199066869315E-4</v>
      </c>
      <c r="F1424" s="197">
        <v>46020</v>
      </c>
      <c r="G1424" s="191">
        <v>25942.099609375</v>
      </c>
      <c r="H1424" s="200">
        <f t="shared" si="45"/>
        <v>-3.8476313101775974E-3</v>
      </c>
    </row>
    <row r="1425" spans="2:8" x14ac:dyDescent="0.3">
      <c r="B1425" s="198">
        <v>46021</v>
      </c>
      <c r="C1425" s="192">
        <v>483.85</v>
      </c>
      <c r="D1425" s="201">
        <f t="shared" si="44"/>
        <v>3.6299522920555899E-3</v>
      </c>
      <c r="F1425" s="196">
        <v>46021</v>
      </c>
      <c r="G1425" s="190">
        <v>25938.849609375</v>
      </c>
      <c r="H1425" s="201">
        <f t="shared" si="45"/>
        <v>-1.2527898855285829E-4</v>
      </c>
    </row>
    <row r="1426" spans="2:8" x14ac:dyDescent="0.3">
      <c r="B1426" s="198">
        <v>46022</v>
      </c>
      <c r="C1426" s="192">
        <v>489.24</v>
      </c>
      <c r="D1426" s="201">
        <f t="shared" si="44"/>
        <v>1.1139816058695849E-2</v>
      </c>
      <c r="F1426" s="197">
        <v>46022</v>
      </c>
      <c r="G1426" s="191">
        <v>26129.599609375</v>
      </c>
      <c r="H1426" s="200">
        <f t="shared" si="45"/>
        <v>7.353834224439075E-3</v>
      </c>
    </row>
    <row r="1427" spans="2:8" x14ac:dyDescent="0.3">
      <c r="B1427" s="198">
        <v>46023</v>
      </c>
      <c r="C1427" s="192">
        <v>491.14</v>
      </c>
      <c r="D1427" s="201">
        <f t="shared" si="44"/>
        <v>3.8835745237510775E-3</v>
      </c>
      <c r="F1427" s="196">
        <v>46023</v>
      </c>
      <c r="G1427" s="190">
        <v>26146.55078125</v>
      </c>
      <c r="H1427" s="201">
        <f t="shared" si="45"/>
        <v>6.4873446698043217E-4</v>
      </c>
    </row>
    <row r="1428" spans="2:8" x14ac:dyDescent="0.3">
      <c r="B1428" s="198">
        <v>46024</v>
      </c>
      <c r="C1428" s="192">
        <v>493.18</v>
      </c>
      <c r="D1428" s="201">
        <f t="shared" si="44"/>
        <v>4.1536018243271177E-3</v>
      </c>
      <c r="F1428" s="197">
        <v>46024</v>
      </c>
      <c r="G1428" s="191">
        <v>26328.55078125</v>
      </c>
      <c r="H1428" s="200">
        <f t="shared" si="45"/>
        <v>6.9607651702386052E-3</v>
      </c>
    </row>
    <row r="1429" spans="2:8" x14ac:dyDescent="0.3">
      <c r="B1429" s="198">
        <v>46027</v>
      </c>
      <c r="C1429" s="192">
        <v>488.09</v>
      </c>
      <c r="D1429" s="201">
        <f t="shared" si="44"/>
        <v>-1.0320775376130483E-2</v>
      </c>
      <c r="F1429" s="196">
        <v>46027</v>
      </c>
      <c r="G1429" s="190">
        <v>26250.30078125</v>
      </c>
      <c r="H1429" s="201">
        <f t="shared" si="45"/>
        <v>-2.9720587604740519E-3</v>
      </c>
    </row>
    <row r="1430" spans="2:8" x14ac:dyDescent="0.3">
      <c r="B1430" s="198">
        <v>46028</v>
      </c>
      <c r="C1430" s="192">
        <v>498.23</v>
      </c>
      <c r="D1430" s="201">
        <f t="shared" si="44"/>
        <v>2.0774857096027461E-2</v>
      </c>
      <c r="F1430" s="197">
        <v>46028</v>
      </c>
      <c r="G1430" s="191">
        <v>26178.69921875</v>
      </c>
      <c r="H1430" s="200">
        <f t="shared" si="45"/>
        <v>-2.7276473171363958E-3</v>
      </c>
    </row>
    <row r="1431" spans="2:8" x14ac:dyDescent="0.3">
      <c r="B1431" s="198">
        <v>46029</v>
      </c>
      <c r="C1431" s="192">
        <v>509.06</v>
      </c>
      <c r="D1431" s="201">
        <f t="shared" si="44"/>
        <v>2.1736948798747532E-2</v>
      </c>
      <c r="F1431" s="196">
        <v>46029</v>
      </c>
      <c r="G1431" s="190">
        <v>26140.75</v>
      </c>
      <c r="H1431" s="201">
        <f t="shared" si="45"/>
        <v>-1.4496220164682432E-3</v>
      </c>
    </row>
    <row r="1432" spans="2:8" x14ac:dyDescent="0.3">
      <c r="B1432" s="198">
        <v>46030</v>
      </c>
      <c r="C1432" s="192">
        <v>500.28</v>
      </c>
      <c r="D1432" s="201">
        <f t="shared" si="44"/>
        <v>-1.7247475739598533E-2</v>
      </c>
      <c r="F1432" s="197">
        <v>46030</v>
      </c>
      <c r="G1432" s="191">
        <v>25876.849609375</v>
      </c>
      <c r="H1432" s="200">
        <f t="shared" si="45"/>
        <v>-1.0095364158449929E-2</v>
      </c>
    </row>
    <row r="1433" spans="2:8" x14ac:dyDescent="0.3">
      <c r="B1433" s="198">
        <v>46031</v>
      </c>
      <c r="C1433" s="192">
        <v>488.39</v>
      </c>
      <c r="D1433" s="201">
        <f t="shared" si="44"/>
        <v>-2.3766690653234161E-2</v>
      </c>
      <c r="F1433" s="196">
        <v>46031</v>
      </c>
      <c r="G1433" s="190">
        <v>25683.30078125</v>
      </c>
      <c r="H1433" s="201">
        <f t="shared" si="45"/>
        <v>-7.4796132854935563E-3</v>
      </c>
    </row>
    <row r="1434" spans="2:8" x14ac:dyDescent="0.3">
      <c r="B1434" s="198">
        <v>46034</v>
      </c>
      <c r="C1434" s="192">
        <v>493.18</v>
      </c>
      <c r="D1434" s="201">
        <f t="shared" si="44"/>
        <v>9.8077356211225056E-3</v>
      </c>
      <c r="F1434" s="197">
        <v>46034</v>
      </c>
      <c r="G1434" s="191">
        <v>25790.25</v>
      </c>
      <c r="H1434" s="200">
        <f t="shared" si="45"/>
        <v>4.1641539637334267E-3</v>
      </c>
    </row>
    <row r="1435" spans="2:8" x14ac:dyDescent="0.3">
      <c r="B1435" s="198">
        <v>46035</v>
      </c>
      <c r="C1435" s="192">
        <v>500.57</v>
      </c>
      <c r="D1435" s="201">
        <f t="shared" si="44"/>
        <v>1.4984387039214864E-2</v>
      </c>
      <c r="F1435" s="196">
        <v>46035</v>
      </c>
      <c r="G1435" s="190">
        <v>25732.30078125</v>
      </c>
      <c r="H1435" s="201">
        <f t="shared" si="45"/>
        <v>-2.2469428853927357E-3</v>
      </c>
    </row>
    <row r="1436" spans="2:8" x14ac:dyDescent="0.3">
      <c r="B1436" s="198">
        <v>46036</v>
      </c>
      <c r="C1436" s="192">
        <v>501.77</v>
      </c>
      <c r="D1436" s="201">
        <f t="shared" si="44"/>
        <v>2.3972671154883205E-3</v>
      </c>
      <c r="F1436" s="197">
        <v>46036</v>
      </c>
      <c r="G1436" s="191">
        <v>25665.599609375</v>
      </c>
      <c r="H1436" s="200">
        <f t="shared" si="45"/>
        <v>-2.5921184600641006E-3</v>
      </c>
    </row>
    <row r="1437" spans="2:8" x14ac:dyDescent="0.3">
      <c r="B1437" s="198">
        <v>46038</v>
      </c>
      <c r="C1437" s="192">
        <v>499.78</v>
      </c>
      <c r="D1437" s="201">
        <f>(C1437-C1436)/C1436</f>
        <v>-3.965960499830618E-3</v>
      </c>
      <c r="F1437" s="196">
        <v>46038</v>
      </c>
      <c r="G1437" s="190">
        <v>25694.349609375</v>
      </c>
      <c r="H1437" s="201">
        <f t="shared" si="45"/>
        <v>1.1201764399651254E-3</v>
      </c>
    </row>
    <row r="1438" spans="2:8" x14ac:dyDescent="0.3">
      <c r="B1438" s="198">
        <v>46041</v>
      </c>
      <c r="C1438" s="192">
        <v>495.38</v>
      </c>
      <c r="D1438" s="201">
        <f t="shared" ref="D1438:D1485" si="46">(C1438-C1437)/C1437</f>
        <v>-8.8038737044299036E-3</v>
      </c>
      <c r="F1438" s="197">
        <v>46041</v>
      </c>
      <c r="G1438" s="191">
        <v>25585.5</v>
      </c>
      <c r="H1438" s="200">
        <f t="shared" si="45"/>
        <v>-4.2363247573810724E-3</v>
      </c>
    </row>
    <row r="1439" spans="2:8" x14ac:dyDescent="0.3">
      <c r="B1439" s="198">
        <v>46042</v>
      </c>
      <c r="C1439" s="192">
        <v>488.49</v>
      </c>
      <c r="D1439" s="201">
        <f t="shared" si="46"/>
        <v>-1.3908514675602539E-2</v>
      </c>
      <c r="F1439" s="196">
        <v>46042</v>
      </c>
      <c r="G1439" s="190">
        <v>25232.5</v>
      </c>
      <c r="H1439" s="201">
        <f t="shared" si="45"/>
        <v>-1.3796877137441129E-2</v>
      </c>
    </row>
    <row r="1440" spans="2:8" x14ac:dyDescent="0.3">
      <c r="B1440" s="198">
        <v>46043</v>
      </c>
      <c r="C1440" s="192">
        <v>477.4</v>
      </c>
      <c r="D1440" s="201">
        <f t="shared" si="46"/>
        <v>-2.270261417838652E-2</v>
      </c>
      <c r="F1440" s="197">
        <v>46043</v>
      </c>
      <c r="G1440" s="191">
        <v>25157.5</v>
      </c>
      <c r="H1440" s="200">
        <f t="shared" si="45"/>
        <v>-2.9723570791637768E-3</v>
      </c>
    </row>
    <row r="1441" spans="2:8" x14ac:dyDescent="0.3">
      <c r="B1441" s="198">
        <v>46044</v>
      </c>
      <c r="C1441" s="192">
        <v>486.49</v>
      </c>
      <c r="D1441" s="201">
        <f t="shared" si="46"/>
        <v>1.9040636782572333E-2</v>
      </c>
      <c r="F1441" s="196">
        <v>46044</v>
      </c>
      <c r="G1441" s="190">
        <v>25289.900390625</v>
      </c>
      <c r="H1441" s="201">
        <f t="shared" si="45"/>
        <v>5.2628596094603996E-3</v>
      </c>
    </row>
    <row r="1442" spans="2:8" x14ac:dyDescent="0.3">
      <c r="B1442" s="198">
        <v>46045</v>
      </c>
      <c r="C1442" s="192">
        <v>473.51</v>
      </c>
      <c r="D1442" s="201">
        <f t="shared" si="46"/>
        <v>-2.6680918415589259E-2</v>
      </c>
      <c r="F1442" s="197">
        <v>46045</v>
      </c>
      <c r="G1442" s="191">
        <v>25048.650390625</v>
      </c>
      <c r="H1442" s="200">
        <f t="shared" si="45"/>
        <v>-9.5393811867061241E-3</v>
      </c>
    </row>
    <row r="1443" spans="2:8" x14ac:dyDescent="0.3">
      <c r="B1443" s="198">
        <v>46049</v>
      </c>
      <c r="C1443" s="192">
        <v>471.06</v>
      </c>
      <c r="D1443" s="201">
        <f t="shared" si="46"/>
        <v>-5.1741251504719829E-3</v>
      </c>
      <c r="F1443" s="196">
        <v>46049</v>
      </c>
      <c r="G1443" s="190">
        <v>25175.400390625</v>
      </c>
      <c r="H1443" s="201">
        <f t="shared" si="45"/>
        <v>5.0601528634628126E-3</v>
      </c>
    </row>
    <row r="1444" spans="2:8" x14ac:dyDescent="0.3">
      <c r="B1444" s="198">
        <v>46050</v>
      </c>
      <c r="C1444" s="192">
        <v>467.82</v>
      </c>
      <c r="D1444" s="201">
        <f t="shared" si="46"/>
        <v>-6.8781047000382308E-3</v>
      </c>
      <c r="F1444" s="197">
        <v>46050</v>
      </c>
      <c r="G1444" s="191">
        <v>25342.75</v>
      </c>
      <c r="H1444" s="200">
        <f t="shared" si="45"/>
        <v>6.6473464881741809E-3</v>
      </c>
    </row>
    <row r="1445" spans="2:8" x14ac:dyDescent="0.3">
      <c r="B1445" s="198">
        <v>46051</v>
      </c>
      <c r="C1445" s="192">
        <v>466.47</v>
      </c>
      <c r="D1445" s="201">
        <f t="shared" si="46"/>
        <v>-2.8857252789533708E-3</v>
      </c>
      <c r="F1445" s="196">
        <v>46051</v>
      </c>
      <c r="G1445" s="190">
        <v>25418.900390625</v>
      </c>
      <c r="H1445" s="201">
        <f t="shared" si="45"/>
        <v>3.004819548983437E-3</v>
      </c>
    </row>
    <row r="1446" spans="2:8" x14ac:dyDescent="0.3">
      <c r="B1446" s="198">
        <v>46052</v>
      </c>
      <c r="C1446" s="192">
        <v>470.66</v>
      </c>
      <c r="D1446" s="201">
        <f t="shared" si="46"/>
        <v>8.9823568503869435E-3</v>
      </c>
      <c r="F1446" s="197">
        <v>46052</v>
      </c>
      <c r="G1446" s="191">
        <v>25320.650390625</v>
      </c>
      <c r="H1446" s="200">
        <f t="shared" si="45"/>
        <v>-3.8652340774047241E-3</v>
      </c>
    </row>
    <row r="1447" spans="2:8" x14ac:dyDescent="0.3">
      <c r="B1447" s="198">
        <v>46055</v>
      </c>
      <c r="C1447" s="192">
        <v>465.72</v>
      </c>
      <c r="D1447" s="201">
        <f t="shared" si="46"/>
        <v>-1.0495899375345254E-2</v>
      </c>
      <c r="F1447" s="196">
        <v>46055</v>
      </c>
      <c r="G1447" s="190">
        <v>25088.400390625</v>
      </c>
      <c r="H1447" s="201">
        <f t="shared" si="45"/>
        <v>-9.1723552285209401E-3</v>
      </c>
    </row>
    <row r="1448" spans="2:8" x14ac:dyDescent="0.3">
      <c r="B1448" s="198">
        <v>46056</v>
      </c>
      <c r="C1448" s="192">
        <v>450.54</v>
      </c>
      <c r="D1448" s="201">
        <f t="shared" si="46"/>
        <v>-3.2594692089667622E-2</v>
      </c>
      <c r="F1448" s="197">
        <v>46056</v>
      </c>
      <c r="G1448" s="191">
        <v>25727.55078125</v>
      </c>
      <c r="H1448" s="200">
        <f t="shared" si="45"/>
        <v>2.5475932330218904E-2</v>
      </c>
    </row>
    <row r="1449" spans="2:8" x14ac:dyDescent="0.3">
      <c r="B1449" s="198">
        <v>46057</v>
      </c>
      <c r="C1449" s="192">
        <v>444.35</v>
      </c>
      <c r="D1449" s="201">
        <f t="shared" si="46"/>
        <v>-1.3739068673147772E-2</v>
      </c>
      <c r="F1449" s="196">
        <v>46057</v>
      </c>
      <c r="G1449" s="190">
        <v>25776</v>
      </c>
      <c r="H1449" s="201">
        <f t="shared" si="45"/>
        <v>1.8831648283174059E-3</v>
      </c>
    </row>
    <row r="1450" spans="2:8" x14ac:dyDescent="0.3">
      <c r="B1450" s="198">
        <v>46058</v>
      </c>
      <c r="C1450" s="192">
        <v>436.55</v>
      </c>
      <c r="D1450" s="201">
        <f t="shared" si="46"/>
        <v>-1.7553730167660653E-2</v>
      </c>
      <c r="F1450" s="197">
        <v>46058</v>
      </c>
      <c r="G1450" s="191">
        <v>25642.80078125</v>
      </c>
      <c r="H1450" s="200">
        <f t="shared" si="45"/>
        <v>-5.1675674561607694E-3</v>
      </c>
    </row>
    <row r="1451" spans="2:8" x14ac:dyDescent="0.3">
      <c r="B1451" s="198">
        <v>46059</v>
      </c>
      <c r="C1451" s="192">
        <v>438.5</v>
      </c>
      <c r="D1451" s="201">
        <f t="shared" si="46"/>
        <v>4.4668422861069493E-3</v>
      </c>
      <c r="F1451" s="196">
        <v>46059</v>
      </c>
      <c r="G1451" s="190">
        <v>25693.69921875</v>
      </c>
      <c r="H1451" s="201">
        <f t="shared" si="45"/>
        <v>1.9849016468285676E-3</v>
      </c>
    </row>
    <row r="1452" spans="2:8" x14ac:dyDescent="0.3">
      <c r="B1452" s="198">
        <v>46062</v>
      </c>
      <c r="C1452" s="192">
        <v>456.78</v>
      </c>
      <c r="D1452" s="201">
        <f t="shared" si="46"/>
        <v>4.1687571265678389E-2</v>
      </c>
      <c r="F1452" s="197">
        <v>46062</v>
      </c>
      <c r="G1452" s="191">
        <v>25867.30078125</v>
      </c>
      <c r="H1452" s="200">
        <f t="shared" si="45"/>
        <v>6.7565810988132885E-3</v>
      </c>
    </row>
    <row r="1453" spans="2:8" x14ac:dyDescent="0.3">
      <c r="B1453" s="198">
        <v>46063</v>
      </c>
      <c r="C1453" s="192">
        <v>455.93</v>
      </c>
      <c r="D1453" s="201">
        <f t="shared" si="46"/>
        <v>-1.8608520513156573E-3</v>
      </c>
      <c r="F1453" s="196">
        <v>46063</v>
      </c>
      <c r="G1453" s="190">
        <v>25935.150390625</v>
      </c>
      <c r="H1453" s="201">
        <f t="shared" si="45"/>
        <v>2.6229876069706129E-3</v>
      </c>
    </row>
    <row r="1454" spans="2:8" x14ac:dyDescent="0.3">
      <c r="B1454" s="198">
        <v>46064</v>
      </c>
      <c r="C1454" s="192">
        <v>456.33</v>
      </c>
      <c r="D1454" s="201">
        <f t="shared" si="46"/>
        <v>8.7732765994774913E-4</v>
      </c>
      <c r="F1454" s="197">
        <v>46064</v>
      </c>
      <c r="G1454" s="191">
        <v>25953.849609375</v>
      </c>
      <c r="H1454" s="200">
        <f t="shared" si="45"/>
        <v>7.2099904833246569E-4</v>
      </c>
    </row>
    <row r="1455" spans="2:8" x14ac:dyDescent="0.3">
      <c r="B1455" s="198">
        <v>46065</v>
      </c>
      <c r="C1455" s="192">
        <v>455.13</v>
      </c>
      <c r="D1455" s="201">
        <f t="shared" si="46"/>
        <v>-2.6296758924462312E-3</v>
      </c>
      <c r="F1455" s="196">
        <v>46065</v>
      </c>
      <c r="G1455" s="190">
        <v>25807.19921875</v>
      </c>
      <c r="H1455" s="201">
        <f t="shared" si="45"/>
        <v>-5.6504292362096155E-3</v>
      </c>
    </row>
    <row r="1456" spans="2:8" x14ac:dyDescent="0.3">
      <c r="B1456" s="198">
        <v>46066</v>
      </c>
      <c r="C1456" s="192">
        <v>448.74</v>
      </c>
      <c r="D1456" s="201">
        <f t="shared" si="46"/>
        <v>-1.4039944631204242E-2</v>
      </c>
      <c r="F1456" s="197">
        <v>46066</v>
      </c>
      <c r="G1456" s="191">
        <v>25471.099609375</v>
      </c>
      <c r="H1456" s="200">
        <f t="shared" si="45"/>
        <v>-1.3023482576552116E-2</v>
      </c>
    </row>
    <row r="1457" spans="2:8" x14ac:dyDescent="0.3">
      <c r="B1457" s="198">
        <v>46069</v>
      </c>
      <c r="C1457" s="192">
        <v>455.28</v>
      </c>
      <c r="D1457" s="201">
        <f t="shared" si="46"/>
        <v>1.457414092793146E-2</v>
      </c>
      <c r="F1457" s="196">
        <v>46069</v>
      </c>
      <c r="G1457" s="190">
        <v>25682.75</v>
      </c>
      <c r="H1457" s="201">
        <f t="shared" si="45"/>
        <v>8.3094328030933959E-3</v>
      </c>
    </row>
    <row r="1458" spans="2:8" x14ac:dyDescent="0.3">
      <c r="B1458" s="198">
        <v>46070</v>
      </c>
      <c r="C1458" s="192">
        <v>457.48</v>
      </c>
      <c r="D1458" s="201">
        <f t="shared" si="46"/>
        <v>4.832191179054748E-3</v>
      </c>
      <c r="F1458" s="197">
        <v>46070</v>
      </c>
      <c r="G1458" s="191">
        <v>25725.400390625</v>
      </c>
      <c r="H1458" s="200">
        <f t="shared" si="45"/>
        <v>1.6606629206373927E-3</v>
      </c>
    </row>
    <row r="1459" spans="2:8" x14ac:dyDescent="0.3">
      <c r="B1459" s="198">
        <v>46071</v>
      </c>
      <c r="C1459" s="192">
        <v>463.07</v>
      </c>
      <c r="D1459" s="201">
        <f t="shared" si="46"/>
        <v>1.2219113403864595E-2</v>
      </c>
      <c r="F1459" s="196">
        <v>46071</v>
      </c>
      <c r="G1459" s="190">
        <v>25819.349609375</v>
      </c>
      <c r="H1459" s="201">
        <f t="shared" si="45"/>
        <v>3.6520021971839754E-3</v>
      </c>
    </row>
    <row r="1460" spans="2:8" x14ac:dyDescent="0.3">
      <c r="B1460" s="198">
        <v>46072</v>
      </c>
      <c r="C1460" s="192">
        <v>452.93</v>
      </c>
      <c r="D1460" s="201">
        <f t="shared" si="46"/>
        <v>-2.1897337335607978E-2</v>
      </c>
      <c r="F1460" s="197">
        <v>46072</v>
      </c>
      <c r="G1460" s="191">
        <v>25454.349609375</v>
      </c>
      <c r="H1460" s="200">
        <f t="shared" si="45"/>
        <v>-1.4136684522350191E-2</v>
      </c>
    </row>
    <row r="1461" spans="2:8" x14ac:dyDescent="0.3">
      <c r="B1461" s="198">
        <v>46073</v>
      </c>
      <c r="C1461" s="192">
        <v>453.28</v>
      </c>
      <c r="D1461" s="201">
        <f t="shared" si="46"/>
        <v>7.7274634049404078E-4</v>
      </c>
      <c r="F1461" s="196">
        <v>46073</v>
      </c>
      <c r="G1461" s="190">
        <v>25571.25</v>
      </c>
      <c r="H1461" s="201">
        <f t="shared" si="45"/>
        <v>4.5925506806877847E-3</v>
      </c>
    </row>
    <row r="1462" spans="2:8" x14ac:dyDescent="0.3">
      <c r="B1462" s="198">
        <v>46076</v>
      </c>
      <c r="C1462" s="192">
        <v>456.73</v>
      </c>
      <c r="D1462" s="201">
        <f t="shared" si="46"/>
        <v>7.6111895517120666E-3</v>
      </c>
      <c r="F1462" s="197">
        <v>46076</v>
      </c>
      <c r="G1462" s="191">
        <v>25713</v>
      </c>
      <c r="H1462" s="200">
        <f t="shared" si="45"/>
        <v>5.5433347998240208E-3</v>
      </c>
    </row>
    <row r="1463" spans="2:8" x14ac:dyDescent="0.3">
      <c r="B1463" s="198">
        <v>46077</v>
      </c>
      <c r="C1463" s="192">
        <v>458.53</v>
      </c>
      <c r="D1463" s="201">
        <f t="shared" si="46"/>
        <v>3.9410592691523534E-3</v>
      </c>
      <c r="F1463" s="196">
        <v>46077</v>
      </c>
      <c r="G1463" s="190">
        <v>25424.650390625</v>
      </c>
      <c r="H1463" s="201">
        <f t="shared" si="45"/>
        <v>-1.1214156627970288E-2</v>
      </c>
    </row>
    <row r="1464" spans="2:8" x14ac:dyDescent="0.3">
      <c r="B1464" s="198">
        <v>46078</v>
      </c>
      <c r="C1464" s="192">
        <v>455.28</v>
      </c>
      <c r="D1464" s="201">
        <f t="shared" si="46"/>
        <v>-7.0878677512921729E-3</v>
      </c>
      <c r="F1464" s="197">
        <v>46078</v>
      </c>
      <c r="G1464" s="191">
        <v>25482.5</v>
      </c>
      <c r="H1464" s="200">
        <f t="shared" si="45"/>
        <v>2.2753354908011348E-3</v>
      </c>
    </row>
    <row r="1465" spans="2:8" x14ac:dyDescent="0.3">
      <c r="B1465" s="198">
        <v>46079</v>
      </c>
      <c r="C1465" s="192">
        <v>459.88</v>
      </c>
      <c r="D1465" s="201">
        <f t="shared" si="46"/>
        <v>1.0103672465296133E-2</v>
      </c>
      <c r="F1465" s="196">
        <v>46079</v>
      </c>
      <c r="G1465" s="190">
        <v>25496.55078125</v>
      </c>
      <c r="H1465" s="201">
        <f t="shared" si="45"/>
        <v>5.5138943392524285E-4</v>
      </c>
    </row>
    <row r="1466" spans="2:8" x14ac:dyDescent="0.3">
      <c r="B1466" s="198">
        <v>46080</v>
      </c>
      <c r="C1466" s="192">
        <v>450.84</v>
      </c>
      <c r="D1466" s="201">
        <f t="shared" si="46"/>
        <v>-1.9657301904844788E-2</v>
      </c>
      <c r="F1466" s="197">
        <v>46080</v>
      </c>
      <c r="G1466" s="191">
        <v>25178.650390625</v>
      </c>
      <c r="H1466" s="200">
        <f t="shared" si="45"/>
        <v>-1.2468368500212268E-2</v>
      </c>
    </row>
    <row r="1467" spans="2:8" x14ac:dyDescent="0.3">
      <c r="B1467" s="198">
        <v>46083</v>
      </c>
      <c r="C1467" s="192">
        <v>444.74</v>
      </c>
      <c r="D1467" s="201">
        <f t="shared" si="46"/>
        <v>-1.353029899742695E-2</v>
      </c>
      <c r="F1467" s="196">
        <v>46083</v>
      </c>
      <c r="G1467" s="190">
        <v>24865.69921875</v>
      </c>
      <c r="H1467" s="201">
        <f t="shared" si="45"/>
        <v>-1.2429227421638295E-2</v>
      </c>
    </row>
    <row r="1468" spans="2:8" x14ac:dyDescent="0.3">
      <c r="B1468" s="198">
        <v>46085</v>
      </c>
      <c r="C1468" s="192">
        <v>429.21</v>
      </c>
      <c r="D1468" s="201">
        <f t="shared" si="46"/>
        <v>-3.4919278679678083E-2</v>
      </c>
      <c r="F1468" s="197">
        <v>46085</v>
      </c>
      <c r="G1468" s="191">
        <v>24480.5</v>
      </c>
      <c r="H1468" s="200">
        <f t="shared" si="45"/>
        <v>-1.5491187895474108E-2</v>
      </c>
    </row>
    <row r="1469" spans="2:8" x14ac:dyDescent="0.3">
      <c r="B1469" s="198">
        <v>46086</v>
      </c>
      <c r="C1469" s="192">
        <v>445.19</v>
      </c>
      <c r="D1469" s="201">
        <f t="shared" si="46"/>
        <v>3.7231192190303158E-2</v>
      </c>
      <c r="F1469" s="196">
        <v>46086</v>
      </c>
      <c r="G1469" s="190">
        <v>24765.900390625</v>
      </c>
      <c r="H1469" s="201">
        <f t="shared" si="45"/>
        <v>1.165827457057658E-2</v>
      </c>
    </row>
    <row r="1470" spans="2:8" x14ac:dyDescent="0.3">
      <c r="B1470" s="198">
        <v>46087</v>
      </c>
      <c r="C1470" s="192">
        <v>447.09</v>
      </c>
      <c r="D1470" s="201">
        <f t="shared" si="46"/>
        <v>4.2678406972303448E-3</v>
      </c>
      <c r="F1470" s="197">
        <v>46087</v>
      </c>
      <c r="G1470" s="191">
        <v>24450.44921875</v>
      </c>
      <c r="H1470" s="200">
        <f t="shared" si="45"/>
        <v>-1.273731893044407E-2</v>
      </c>
    </row>
    <row r="1471" spans="2:8" x14ac:dyDescent="0.3">
      <c r="B1471" s="198">
        <v>46090</v>
      </c>
      <c r="C1471" s="192">
        <v>437.2</v>
      </c>
      <c r="D1471" s="201">
        <f t="shared" si="46"/>
        <v>-2.2120825784517628E-2</v>
      </c>
      <c r="F1471" s="196">
        <v>46090</v>
      </c>
      <c r="G1471" s="190">
        <v>24028.05078125</v>
      </c>
      <c r="H1471" s="201">
        <f t="shared" si="45"/>
        <v>-1.7275692308183883E-2</v>
      </c>
    </row>
    <row r="1472" spans="2:8" x14ac:dyDescent="0.3">
      <c r="B1472" s="198">
        <v>46091</v>
      </c>
      <c r="C1472" s="192">
        <v>435.96</v>
      </c>
      <c r="D1472" s="201">
        <f t="shared" si="46"/>
        <v>-2.8362305580970017E-3</v>
      </c>
      <c r="F1472" s="197">
        <v>46091</v>
      </c>
      <c r="G1472" s="191">
        <v>24261.599609375</v>
      </c>
      <c r="H1472" s="200">
        <f t="shared" si="45"/>
        <v>9.7198407915488096E-3</v>
      </c>
    </row>
    <row r="1473" spans="2:8" x14ac:dyDescent="0.3">
      <c r="B1473" s="198">
        <v>46092</v>
      </c>
      <c r="C1473" s="192">
        <v>430.71</v>
      </c>
      <c r="D1473" s="201">
        <f t="shared" si="46"/>
        <v>-1.2042389210019268E-2</v>
      </c>
      <c r="F1473" s="196">
        <v>46092</v>
      </c>
      <c r="G1473" s="190">
        <v>23866.849609375</v>
      </c>
      <c r="H1473" s="201">
        <f t="shared" si="45"/>
        <v>-1.6270567743087452E-2</v>
      </c>
    </row>
    <row r="1474" spans="2:8" x14ac:dyDescent="0.3">
      <c r="B1474" s="198">
        <v>46093</v>
      </c>
      <c r="C1474" s="192">
        <v>410.54</v>
      </c>
      <c r="D1474" s="201">
        <f t="shared" si="46"/>
        <v>-4.6829653363051615E-2</v>
      </c>
      <c r="F1474" s="197">
        <v>46093</v>
      </c>
      <c r="G1474" s="191">
        <v>23639.150390625</v>
      </c>
      <c r="H1474" s="200">
        <f t="shared" si="45"/>
        <v>-9.5403969303329752E-3</v>
      </c>
    </row>
    <row r="1475" spans="2:8" x14ac:dyDescent="0.3">
      <c r="B1475" s="198">
        <v>46094</v>
      </c>
      <c r="C1475" s="192">
        <v>400.8</v>
      </c>
      <c r="D1475" s="201">
        <f t="shared" si="46"/>
        <v>-2.3724850197301136E-2</v>
      </c>
      <c r="F1475" s="196">
        <v>46094</v>
      </c>
      <c r="G1475" s="190">
        <v>23151.099609375</v>
      </c>
      <c r="H1475" s="201">
        <f t="shared" si="45"/>
        <v>-2.0645868112229408E-2</v>
      </c>
    </row>
    <row r="1476" spans="2:8" x14ac:dyDescent="0.3">
      <c r="B1476" s="198">
        <v>46097</v>
      </c>
      <c r="C1476" s="192">
        <v>406.64</v>
      </c>
      <c r="D1476" s="201">
        <f t="shared" si="46"/>
        <v>1.4570858283433071E-2</v>
      </c>
      <c r="F1476" s="197">
        <v>46097</v>
      </c>
      <c r="G1476" s="191">
        <v>23408.80078125</v>
      </c>
      <c r="H1476" s="200">
        <f t="shared" si="45"/>
        <v>1.1131271353117254E-2</v>
      </c>
    </row>
    <row r="1477" spans="2:8" x14ac:dyDescent="0.3">
      <c r="B1477" s="198">
        <v>46098</v>
      </c>
      <c r="C1477" s="192">
        <v>405.84</v>
      </c>
      <c r="D1477" s="201">
        <f t="shared" si="46"/>
        <v>-1.9673421207948342E-3</v>
      </c>
      <c r="F1477" s="196">
        <v>46098</v>
      </c>
      <c r="G1477" s="190">
        <v>23581.150390625</v>
      </c>
      <c r="H1477" s="201">
        <f t="shared" si="45"/>
        <v>7.3625988356075351E-3</v>
      </c>
    </row>
    <row r="1478" spans="2:8" x14ac:dyDescent="0.3">
      <c r="B1478" s="198">
        <v>46099</v>
      </c>
      <c r="C1478" s="192">
        <v>414.58</v>
      </c>
      <c r="D1478" s="201">
        <f t="shared" si="46"/>
        <v>2.1535580524344594E-2</v>
      </c>
      <c r="F1478" s="197">
        <v>46099</v>
      </c>
      <c r="G1478" s="191">
        <v>23777.80078125</v>
      </c>
      <c r="H1478" s="200">
        <f t="shared" ref="H1478:H1485" si="47">(G1478-G1477)/G1477</f>
        <v>8.339304375208979E-3</v>
      </c>
    </row>
    <row r="1479" spans="2:8" x14ac:dyDescent="0.3">
      <c r="B1479" s="198">
        <v>46100</v>
      </c>
      <c r="C1479" s="192">
        <v>404.15</v>
      </c>
      <c r="D1479" s="201">
        <f t="shared" si="46"/>
        <v>-2.5157991220029926E-2</v>
      </c>
      <c r="F1479" s="196">
        <v>46100</v>
      </c>
      <c r="G1479" s="190">
        <v>23002.150390625</v>
      </c>
      <c r="H1479" s="201">
        <f t="shared" si="47"/>
        <v>-3.2620779262169594E-2</v>
      </c>
    </row>
    <row r="1480" spans="2:8" x14ac:dyDescent="0.3">
      <c r="B1480" s="198">
        <v>46101</v>
      </c>
      <c r="C1480" s="192">
        <v>400.95</v>
      </c>
      <c r="D1480" s="201">
        <f t="shared" si="46"/>
        <v>-7.9178522825683259E-3</v>
      </c>
      <c r="F1480" s="197">
        <v>46101</v>
      </c>
      <c r="G1480" s="191">
        <v>23114.5</v>
      </c>
      <c r="H1480" s="200">
        <f t="shared" si="47"/>
        <v>4.8843089653387538E-3</v>
      </c>
    </row>
    <row r="1481" spans="2:8" x14ac:dyDescent="0.3">
      <c r="B1481" s="198">
        <v>46104</v>
      </c>
      <c r="C1481" s="192">
        <v>381.72</v>
      </c>
      <c r="D1481" s="201">
        <f t="shared" si="46"/>
        <v>-4.7961092405536754E-2</v>
      </c>
      <c r="F1481" s="196">
        <v>46104</v>
      </c>
      <c r="G1481" s="190">
        <v>22512.650390625</v>
      </c>
      <c r="H1481" s="201">
        <f t="shared" si="47"/>
        <v>-2.6037751600726817E-2</v>
      </c>
    </row>
    <row r="1482" spans="2:8" x14ac:dyDescent="0.3">
      <c r="B1482" s="198">
        <v>46105</v>
      </c>
      <c r="C1482" s="192">
        <v>387.87</v>
      </c>
      <c r="D1482" s="201">
        <f t="shared" si="46"/>
        <v>1.6111285759195161E-2</v>
      </c>
      <c r="F1482" s="197">
        <v>46105</v>
      </c>
      <c r="G1482" s="191">
        <v>22912.400390625</v>
      </c>
      <c r="H1482" s="200">
        <f t="shared" si="47"/>
        <v>1.7756683156527359E-2</v>
      </c>
    </row>
    <row r="1483" spans="2:8" x14ac:dyDescent="0.3">
      <c r="B1483" s="198">
        <v>46106</v>
      </c>
      <c r="C1483" s="192">
        <v>400.95</v>
      </c>
      <c r="D1483" s="201">
        <f t="shared" si="46"/>
        <v>3.3722639028540446E-2</v>
      </c>
      <c r="F1483" s="196">
        <v>46106</v>
      </c>
      <c r="G1483" s="190">
        <v>23306.44921875</v>
      </c>
      <c r="H1483" s="201">
        <f t="shared" si="47"/>
        <v>1.719805962740734E-2</v>
      </c>
    </row>
    <row r="1484" spans="2:8" x14ac:dyDescent="0.3">
      <c r="B1484" s="198">
        <v>46108</v>
      </c>
      <c r="C1484" s="192">
        <v>388.81</v>
      </c>
      <c r="D1484" s="201">
        <f t="shared" si="46"/>
        <v>-3.0278089537348764E-2</v>
      </c>
      <c r="F1484" s="197">
        <v>46108</v>
      </c>
      <c r="G1484" s="191">
        <v>22819.599609375</v>
      </c>
      <c r="H1484" s="200">
        <f t="shared" si="47"/>
        <v>-2.0889051129389984E-2</v>
      </c>
    </row>
    <row r="1485" spans="2:8" x14ac:dyDescent="0.3">
      <c r="B1485" s="199">
        <v>46111</v>
      </c>
      <c r="C1485" s="194">
        <v>383.62</v>
      </c>
      <c r="D1485" s="202">
        <f t="shared" si="46"/>
        <v>-1.3348422108484859E-2</v>
      </c>
      <c r="F1485" s="204">
        <v>46111</v>
      </c>
      <c r="G1485" s="203">
        <v>22331.400390625</v>
      </c>
      <c r="H1485" s="202">
        <f t="shared" si="47"/>
        <v>-2.1393855593742871E-2</v>
      </c>
    </row>
  </sheetData>
  <mergeCells count="4">
    <mergeCell ref="B1:H1"/>
    <mergeCell ref="B2:D2"/>
    <mergeCell ref="F2:H2"/>
    <mergeCell ref="K3:R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BCE37-E35A-46A1-AA00-4432AC07FECE}">
  <dimension ref="B1:R54"/>
  <sheetViews>
    <sheetView showGridLines="0" topLeftCell="B18" workbookViewId="0">
      <selection activeCell="G2" sqref="G2"/>
    </sheetView>
  </sheetViews>
  <sheetFormatPr defaultRowHeight="14.4" x14ac:dyDescent="0.3"/>
  <cols>
    <col min="1" max="1" width="1.88671875" customWidth="1"/>
    <col min="3" max="3" width="27.33203125" bestFit="1" customWidth="1"/>
    <col min="4" max="4" width="20.21875" bestFit="1" customWidth="1"/>
    <col min="5" max="9" width="9" bestFit="1" customWidth="1"/>
  </cols>
  <sheetData>
    <row r="1" spans="2:18" x14ac:dyDescent="0.3">
      <c r="B1" s="274"/>
      <c r="C1" s="274"/>
      <c r="D1" s="274"/>
      <c r="E1" s="274"/>
      <c r="F1" s="274"/>
      <c r="G1" s="274"/>
      <c r="H1" s="274"/>
      <c r="I1" s="274"/>
    </row>
    <row r="2" spans="2:18" x14ac:dyDescent="0.3">
      <c r="B2" s="275"/>
      <c r="C2" s="276" t="s">
        <v>382</v>
      </c>
      <c r="D2" s="277" t="s">
        <v>497</v>
      </c>
      <c r="E2" s="277"/>
      <c r="F2" s="277"/>
      <c r="G2" s="277"/>
      <c r="H2" s="277"/>
      <c r="I2" s="277"/>
    </row>
    <row r="3" spans="2:18" x14ac:dyDescent="0.3">
      <c r="B3" s="278"/>
      <c r="C3" s="279"/>
      <c r="D3" s="280" t="s">
        <v>36</v>
      </c>
      <c r="E3" s="280"/>
      <c r="F3" s="280"/>
      <c r="G3" s="280"/>
      <c r="H3" s="280"/>
      <c r="I3" s="281"/>
      <c r="K3" s="454"/>
      <c r="L3" s="454"/>
      <c r="M3" s="454"/>
      <c r="N3" s="454"/>
      <c r="O3" s="454"/>
      <c r="P3" s="454"/>
      <c r="Q3" s="454"/>
      <c r="R3" s="454"/>
    </row>
    <row r="4" spans="2:18" x14ac:dyDescent="0.3">
      <c r="B4" s="282"/>
      <c r="C4" s="283"/>
      <c r="D4" s="284"/>
      <c r="E4" s="285">
        <v>44256</v>
      </c>
      <c r="F4" s="285">
        <v>44621</v>
      </c>
      <c r="G4" s="285">
        <v>44986</v>
      </c>
      <c r="H4" s="285">
        <v>45352</v>
      </c>
      <c r="I4" s="286" t="s">
        <v>383</v>
      </c>
    </row>
    <row r="5" spans="2:18" x14ac:dyDescent="0.3">
      <c r="B5" s="287"/>
      <c r="C5" s="288" t="s">
        <v>384</v>
      </c>
      <c r="D5" s="287"/>
      <c r="E5" s="289"/>
      <c r="F5" s="289"/>
      <c r="G5" s="289"/>
      <c r="H5" s="289"/>
      <c r="I5" s="289"/>
    </row>
    <row r="6" spans="2:18" s="293" customFormat="1" x14ac:dyDescent="0.3">
      <c r="B6" s="290"/>
      <c r="C6" s="291" t="s">
        <v>40</v>
      </c>
      <c r="D6" s="290"/>
      <c r="E6" s="292">
        <f>'Consolidated PL'!D11</f>
        <v>8642.35</v>
      </c>
      <c r="F6" s="292">
        <f>'Consolidated PL'!E11</f>
        <v>12921.05</v>
      </c>
      <c r="G6" s="292">
        <f>'Consolidated PL'!F11</f>
        <v>15621.74</v>
      </c>
      <c r="H6" s="292">
        <f>'Consolidated PL'!G11</f>
        <v>19445.05</v>
      </c>
      <c r="I6" s="292">
        <f>'Consolidated PL'!H11</f>
        <v>20834.599999999999</v>
      </c>
    </row>
    <row r="7" spans="2:18" x14ac:dyDescent="0.3">
      <c r="B7" s="294"/>
      <c r="C7" s="295" t="s">
        <v>385</v>
      </c>
      <c r="D7" s="294"/>
      <c r="E7" s="296"/>
      <c r="F7" s="296">
        <f>(F6-E6)/E6</f>
        <v>0.49508524880385529</v>
      </c>
      <c r="G7" s="296">
        <f t="shared" ref="G7:I7" si="0">(G6-F6)/F6</f>
        <v>0.20901474725351274</v>
      </c>
      <c r="H7" s="296">
        <f t="shared" si="0"/>
        <v>0.24474290315931513</v>
      </c>
      <c r="I7" s="296">
        <f t="shared" si="0"/>
        <v>7.1460345949226123E-2</v>
      </c>
    </row>
    <row r="8" spans="2:18" x14ac:dyDescent="0.3">
      <c r="B8" s="297"/>
      <c r="C8" s="298"/>
      <c r="D8" s="297"/>
      <c r="E8" s="299"/>
      <c r="F8" s="299"/>
      <c r="G8" s="299"/>
      <c r="H8" s="299"/>
      <c r="I8" s="299"/>
    </row>
    <row r="9" spans="2:18" x14ac:dyDescent="0.3">
      <c r="B9" s="300"/>
      <c r="C9" s="301" t="s">
        <v>386</v>
      </c>
      <c r="D9" s="300"/>
      <c r="E9" s="302">
        <f>'Consolidated PL'!D17+'Consolidated PL'!D18+'Consolidated PL'!D19</f>
        <v>4034.6600000000003</v>
      </c>
      <c r="F9" s="302">
        <f>'Consolidated PL'!E17+'Consolidated PL'!E18+'Consolidated PL'!E19</f>
        <v>6261.15</v>
      </c>
      <c r="G9" s="302">
        <f>'Consolidated PL'!F17+'Consolidated PL'!F18+'Consolidated PL'!F19</f>
        <v>7404.8899999999994</v>
      </c>
      <c r="H9" s="302">
        <f>'Consolidated PL'!G17+'Consolidated PL'!G18+'Consolidated PL'!G19</f>
        <v>8904.7199999999993</v>
      </c>
      <c r="I9" s="302">
        <f>'Consolidated PL'!H17+'Consolidated PL'!H18+'Consolidated PL'!H19</f>
        <v>9715.42</v>
      </c>
    </row>
    <row r="10" spans="2:18" x14ac:dyDescent="0.3">
      <c r="B10" s="303"/>
      <c r="C10" s="304" t="s">
        <v>387</v>
      </c>
      <c r="D10" s="303"/>
      <c r="E10" s="305">
        <f>'Consolidated PL'!D20</f>
        <v>1007.7</v>
      </c>
      <c r="F10" s="305">
        <f>'Consolidated PL'!E20</f>
        <v>1216.6400000000001</v>
      </c>
      <c r="G10" s="305">
        <f>'Consolidated PL'!F20</f>
        <v>1446.59</v>
      </c>
      <c r="H10" s="305">
        <f>'Consolidated PL'!G20</f>
        <v>1885.03</v>
      </c>
      <c r="I10" s="305">
        <f>'Consolidated PL'!H20</f>
        <v>2200.7399999999998</v>
      </c>
    </row>
    <row r="11" spans="2:18" x14ac:dyDescent="0.3">
      <c r="B11" s="300"/>
      <c r="C11" s="301" t="s">
        <v>388</v>
      </c>
      <c r="D11" s="300"/>
      <c r="E11" s="302">
        <f>'Consolidated PL'!D23</f>
        <v>2126.23</v>
      </c>
      <c r="F11" s="302">
        <f>'Consolidated PL'!E23</f>
        <v>2907.24</v>
      </c>
      <c r="G11" s="302">
        <f>'Consolidated PL'!F23</f>
        <v>3581.62</v>
      </c>
      <c r="H11" s="302">
        <f>'Consolidated PL'!G23</f>
        <v>4506.83</v>
      </c>
      <c r="I11" s="302">
        <f>'Consolidated PL'!H23</f>
        <v>4719.84</v>
      </c>
    </row>
    <row r="12" spans="2:18" s="293" customFormat="1" x14ac:dyDescent="0.3">
      <c r="B12" s="306"/>
      <c r="C12" s="307" t="s">
        <v>19</v>
      </c>
      <c r="D12" s="306"/>
      <c r="E12" s="308">
        <f>SUM('Assumptions '!E9:E11)</f>
        <v>7168.59</v>
      </c>
      <c r="F12" s="308">
        <f>SUM('Assumptions '!F9:F11)</f>
        <v>10385.029999999999</v>
      </c>
      <c r="G12" s="308">
        <f>SUM('Assumptions '!G9:G11)</f>
        <v>12433.099999999999</v>
      </c>
      <c r="H12" s="308">
        <f>SUM('Assumptions '!H9:H11)</f>
        <v>15296.58</v>
      </c>
      <c r="I12" s="308">
        <f>SUM('Assumptions '!I9:I11)</f>
        <v>16636</v>
      </c>
    </row>
    <row r="13" spans="2:18" x14ac:dyDescent="0.3">
      <c r="B13" s="297"/>
      <c r="C13" s="298"/>
      <c r="D13" s="297"/>
      <c r="E13" s="299"/>
      <c r="F13" s="299"/>
      <c r="G13" s="299"/>
      <c r="H13" s="299"/>
      <c r="I13" s="299"/>
    </row>
    <row r="14" spans="2:18" s="293" customFormat="1" x14ac:dyDescent="0.3">
      <c r="B14" s="290"/>
      <c r="C14" s="291" t="s">
        <v>389</v>
      </c>
      <c r="D14" s="290"/>
      <c r="E14" s="292">
        <f>E6-E12</f>
        <v>1473.7600000000002</v>
      </c>
      <c r="F14" s="292">
        <f>F6-F12</f>
        <v>2536.0200000000004</v>
      </c>
      <c r="G14" s="292">
        <f>G6-G12</f>
        <v>3188.6400000000012</v>
      </c>
      <c r="H14" s="292">
        <f>H6-H12</f>
        <v>4148.4699999999993</v>
      </c>
      <c r="I14" s="292">
        <f>I6-I12</f>
        <v>4198.5999999999985</v>
      </c>
    </row>
    <row r="15" spans="2:18" x14ac:dyDescent="0.3">
      <c r="B15" s="297"/>
      <c r="C15" s="298"/>
      <c r="D15" s="297"/>
      <c r="E15" s="299"/>
      <c r="F15" s="299"/>
      <c r="G15" s="299"/>
      <c r="H15" s="299"/>
      <c r="I15" s="299"/>
    </row>
    <row r="16" spans="2:18" x14ac:dyDescent="0.3">
      <c r="B16" s="303"/>
      <c r="C16" s="304" t="s">
        <v>390</v>
      </c>
      <c r="D16" s="303"/>
      <c r="E16" s="305">
        <f>'Consolidated PL'!D22</f>
        <v>531.26</v>
      </c>
      <c r="F16" s="305">
        <f>'Consolidated PL'!E22</f>
        <v>617.19000000000005</v>
      </c>
      <c r="G16" s="305">
        <f>'Consolidated PL'!F22</f>
        <v>680.91</v>
      </c>
      <c r="H16" s="305">
        <f>'Consolidated PL'!G22</f>
        <v>947.39</v>
      </c>
      <c r="I16" s="305">
        <f>'Consolidated PL'!H22</f>
        <v>1216.46</v>
      </c>
    </row>
    <row r="17" spans="2:9" x14ac:dyDescent="0.3">
      <c r="B17" s="297"/>
      <c r="C17" s="298"/>
      <c r="D17" s="297"/>
      <c r="E17" s="299"/>
      <c r="F17" s="299"/>
      <c r="G17" s="299"/>
      <c r="H17" s="299"/>
      <c r="I17" s="299"/>
    </row>
    <row r="18" spans="2:9" s="293" customFormat="1" x14ac:dyDescent="0.3">
      <c r="B18" s="290"/>
      <c r="C18" s="291" t="s">
        <v>391</v>
      </c>
      <c r="D18" s="290"/>
      <c r="E18" s="292">
        <f>E14-E16</f>
        <v>942.50000000000023</v>
      </c>
      <c r="F18" s="292">
        <f>F14-F16</f>
        <v>1918.8300000000004</v>
      </c>
      <c r="G18" s="292">
        <f>G14-G16</f>
        <v>2507.7300000000014</v>
      </c>
      <c r="H18" s="292">
        <f>H14-H16</f>
        <v>3201.0799999999995</v>
      </c>
      <c r="I18" s="292">
        <f>I14-I16</f>
        <v>2982.1399999999985</v>
      </c>
    </row>
    <row r="19" spans="2:9" x14ac:dyDescent="0.3">
      <c r="B19" s="297"/>
      <c r="C19" s="298"/>
      <c r="D19" s="297"/>
      <c r="E19" s="299"/>
      <c r="F19" s="299"/>
      <c r="G19" s="299"/>
      <c r="H19" s="299"/>
      <c r="I19" s="299"/>
    </row>
    <row r="20" spans="2:9" x14ac:dyDescent="0.3">
      <c r="B20" s="300"/>
      <c r="C20" s="301" t="s">
        <v>392</v>
      </c>
      <c r="D20" s="300"/>
      <c r="E20" s="302">
        <f>'Consolidated PL'!D23</f>
        <v>2126.23</v>
      </c>
      <c r="F20" s="302">
        <f>'Consolidated PL'!E23</f>
        <v>2907.24</v>
      </c>
      <c r="G20" s="302">
        <f>'Consolidated PL'!F23</f>
        <v>3581.62</v>
      </c>
      <c r="H20" s="302">
        <f>'Consolidated PL'!G23</f>
        <v>4506.83</v>
      </c>
      <c r="I20" s="302">
        <f>'Consolidated PL'!H23</f>
        <v>4719.84</v>
      </c>
    </row>
    <row r="21" spans="2:9" x14ac:dyDescent="0.3">
      <c r="B21" s="303"/>
      <c r="C21" s="304" t="s">
        <v>393</v>
      </c>
      <c r="D21" s="303"/>
      <c r="E21" s="305">
        <f>'Consolidated PL'!D21</f>
        <v>184.7</v>
      </c>
      <c r="F21" s="305">
        <f>'Consolidated PL'!E21</f>
        <v>186.12</v>
      </c>
      <c r="G21" s="305">
        <f>'Consolidated PL'!F21</f>
        <v>268.10000000000002</v>
      </c>
      <c r="H21" s="305">
        <f>'Consolidated PL'!G21</f>
        <v>450.39</v>
      </c>
      <c r="I21" s="305">
        <f>'Consolidated PL'!H21</f>
        <v>169.58</v>
      </c>
    </row>
    <row r="22" spans="2:9" x14ac:dyDescent="0.3">
      <c r="B22" s="297"/>
      <c r="C22" s="298"/>
      <c r="D22" s="297"/>
      <c r="E22" s="299"/>
      <c r="F22" s="299"/>
      <c r="G22" s="299"/>
      <c r="H22" s="299"/>
      <c r="I22" s="299"/>
    </row>
    <row r="23" spans="2:9" s="293" customFormat="1" x14ac:dyDescent="0.3">
      <c r="B23" s="290"/>
      <c r="C23" s="291" t="s">
        <v>394</v>
      </c>
      <c r="D23" s="290"/>
      <c r="E23" s="292">
        <f>E18+E20-E21</f>
        <v>2884.0300000000007</v>
      </c>
      <c r="F23" s="292">
        <f>F18+F20-F21</f>
        <v>4639.95</v>
      </c>
      <c r="G23" s="292">
        <f>G18+G20-G21</f>
        <v>5821.2500000000009</v>
      </c>
      <c r="H23" s="292">
        <f>H18+H20-H21</f>
        <v>7257.5199999999995</v>
      </c>
      <c r="I23" s="292">
        <f>I18+I20-I21</f>
        <v>7532.3999999999987</v>
      </c>
    </row>
    <row r="24" spans="2:9" x14ac:dyDescent="0.3">
      <c r="B24" s="297"/>
      <c r="C24" s="298"/>
      <c r="D24" s="297"/>
      <c r="E24" s="299"/>
      <c r="F24" s="299"/>
      <c r="G24" s="299"/>
      <c r="H24" s="299"/>
      <c r="I24" s="299"/>
    </row>
    <row r="25" spans="2:9" x14ac:dyDescent="0.3">
      <c r="B25" s="300"/>
      <c r="C25" s="301" t="s">
        <v>395</v>
      </c>
      <c r="D25" s="300"/>
      <c r="E25" s="302">
        <f>'Consolidated PL'!D31</f>
        <v>260.56</v>
      </c>
      <c r="F25" s="302">
        <f>'Consolidated PL'!E31</f>
        <v>473.52</v>
      </c>
      <c r="G25" s="302" t="str">
        <f>'Consolidated PL'!F31</f>
        <v>Varun Beverages Mozambique SA,Maputo Mozambique</v>
      </c>
      <c r="H25" s="302">
        <f>'Consolidated PL'!G31</f>
        <v>798.8</v>
      </c>
      <c r="I25" s="302">
        <f>'Consolidated PL'!H31</f>
        <v>947.61</v>
      </c>
    </row>
    <row r="26" spans="2:9" x14ac:dyDescent="0.3">
      <c r="B26" s="303"/>
      <c r="C26" s="304" t="s">
        <v>396</v>
      </c>
      <c r="D26" s="303"/>
      <c r="E26" s="305">
        <f>'Consolidated PL'!D35</f>
        <v>-52</v>
      </c>
      <c r="F26" s="440" t="s">
        <v>553</v>
      </c>
      <c r="G26" s="305">
        <f>'Consolidated PL'!F35</f>
        <v>-45.89</v>
      </c>
      <c r="H26" s="305">
        <f>'Consolidated PL'!G35</f>
        <v>-39.65</v>
      </c>
      <c r="I26" s="305">
        <f>'Consolidated PL'!H35</f>
        <v>-25.55</v>
      </c>
    </row>
    <row r="27" spans="2:9" x14ac:dyDescent="0.3">
      <c r="B27" s="297"/>
      <c r="C27" s="298"/>
      <c r="D27" s="297"/>
      <c r="E27" s="299"/>
      <c r="F27" s="299" t="s">
        <v>547</v>
      </c>
      <c r="G27" s="299"/>
      <c r="H27" s="299"/>
      <c r="I27" s="299"/>
    </row>
    <row r="28" spans="2:9" s="293" customFormat="1" x14ac:dyDescent="0.3">
      <c r="B28" s="309"/>
      <c r="C28" s="310" t="s">
        <v>397</v>
      </c>
      <c r="D28" s="309"/>
      <c r="E28" s="311">
        <f>E23-E25-E26</f>
        <v>2675.4700000000007</v>
      </c>
      <c r="F28" s="311" t="s">
        <v>548</v>
      </c>
      <c r="G28" s="311" t="e">
        <f>G23-G25-G26</f>
        <v>#VALUE!</v>
      </c>
      <c r="H28" s="311">
        <f>H23-H25-H26</f>
        <v>6498.369999999999</v>
      </c>
      <c r="I28" s="311">
        <f>I23-I25-I26</f>
        <v>6610.3399999999992</v>
      </c>
    </row>
    <row r="29" spans="2:9" x14ac:dyDescent="0.3">
      <c r="B29" s="297"/>
      <c r="C29" s="298"/>
      <c r="D29" s="297"/>
      <c r="E29" s="299"/>
      <c r="F29" s="299" t="s">
        <v>549</v>
      </c>
      <c r="G29" s="299"/>
      <c r="H29" s="299"/>
      <c r="I29" s="299"/>
    </row>
    <row r="30" spans="2:9" x14ac:dyDescent="0.3">
      <c r="B30" s="312"/>
      <c r="C30" s="313" t="s">
        <v>398</v>
      </c>
      <c r="D30" s="314"/>
      <c r="E30" s="315"/>
      <c r="F30" s="315" t="s">
        <v>550</v>
      </c>
      <c r="G30" s="315"/>
      <c r="H30" s="315"/>
      <c r="I30" s="315"/>
    </row>
    <row r="31" spans="2:9" x14ac:dyDescent="0.3">
      <c r="B31" s="300"/>
      <c r="C31" s="301" t="s">
        <v>399</v>
      </c>
      <c r="D31" s="300"/>
      <c r="E31" s="316">
        <f>AVERAGE(F7:I7)</f>
        <v>0.25507581129147733</v>
      </c>
      <c r="F31" s="316" t="s">
        <v>551</v>
      </c>
      <c r="G31" s="317"/>
      <c r="H31" s="317"/>
      <c r="I31" s="317"/>
    </row>
    <row r="32" spans="2:9" x14ac:dyDescent="0.3">
      <c r="B32" s="303"/>
      <c r="C32" s="318" t="s">
        <v>400</v>
      </c>
      <c r="D32" s="319"/>
      <c r="E32" s="320">
        <f>(I6/E6)^(1/4)-1</f>
        <v>0.24605820457092142</v>
      </c>
      <c r="F32" s="320" t="s">
        <v>552</v>
      </c>
      <c r="G32" s="321"/>
      <c r="H32" s="321"/>
      <c r="I32" s="321"/>
    </row>
    <row r="33" spans="2:9" ht="15" thickBot="1" x14ac:dyDescent="0.35">
      <c r="B33" s="297"/>
      <c r="C33" s="298"/>
      <c r="D33" s="297"/>
      <c r="E33" s="299"/>
      <c r="F33" s="299"/>
      <c r="G33" s="299"/>
      <c r="H33" s="299"/>
      <c r="I33" s="299"/>
    </row>
    <row r="34" spans="2:9" x14ac:dyDescent="0.3">
      <c r="B34" s="274"/>
      <c r="C34" s="322" t="s">
        <v>401</v>
      </c>
      <c r="D34" s="323"/>
      <c r="E34" s="324"/>
      <c r="F34" s="324"/>
      <c r="G34" s="324"/>
      <c r="H34" s="324"/>
      <c r="I34" s="324"/>
    </row>
    <row r="35" spans="2:9" x14ac:dyDescent="0.3">
      <c r="B35" s="300"/>
      <c r="C35" s="301" t="s">
        <v>402</v>
      </c>
      <c r="D35" s="300"/>
      <c r="E35" s="316">
        <f>E14/E6</f>
        <v>0.17052769212077734</v>
      </c>
      <c r="F35" s="316">
        <f>F14/F6</f>
        <v>0.19627042693898719</v>
      </c>
      <c r="G35" s="316">
        <f>G14/G6</f>
        <v>0.20411554666765683</v>
      </c>
      <c r="H35" s="316">
        <f>H14/H6</f>
        <v>0.21334324159619025</v>
      </c>
      <c r="I35" s="316">
        <f>I14/I6</f>
        <v>0.20152054755070886</v>
      </c>
    </row>
    <row r="36" spans="2:9" x14ac:dyDescent="0.3">
      <c r="B36" s="303"/>
      <c r="C36" s="325" t="s">
        <v>403</v>
      </c>
      <c r="D36" s="326"/>
      <c r="E36" s="327">
        <f>E18/E6</f>
        <v>0.10905598592975292</v>
      </c>
      <c r="F36" s="327">
        <f>F18/F6</f>
        <v>0.14850418503140228</v>
      </c>
      <c r="G36" s="327">
        <f>G18/G6</f>
        <v>0.16052821260627825</v>
      </c>
      <c r="H36" s="327">
        <f>H18/H6</f>
        <v>0.16462184463398138</v>
      </c>
      <c r="I36" s="327">
        <f>I18/I6</f>
        <v>0.14313401745173887</v>
      </c>
    </row>
    <row r="37" spans="2:9" x14ac:dyDescent="0.3">
      <c r="B37" s="300"/>
      <c r="C37" s="328" t="s">
        <v>404</v>
      </c>
      <c r="D37" s="329"/>
      <c r="E37" s="330">
        <f>E23/E6</f>
        <v>0.33370900275966614</v>
      </c>
      <c r="F37" s="330">
        <f>F23/F6</f>
        <v>0.35910007313647113</v>
      </c>
      <c r="G37" s="330">
        <f>G23/G6</f>
        <v>0.37263774713956327</v>
      </c>
      <c r="H37" s="330">
        <f>H23/H6</f>
        <v>0.37323226219526306</v>
      </c>
      <c r="I37" s="330">
        <f>I23/I6</f>
        <v>0.36153321878029815</v>
      </c>
    </row>
    <row r="38" spans="2:9" ht="15" thickBot="1" x14ac:dyDescent="0.35">
      <c r="B38" s="331"/>
      <c r="C38" s="332" t="s">
        <v>405</v>
      </c>
      <c r="D38" s="333"/>
      <c r="E38" s="334">
        <f>E28/E6</f>
        <v>0.30957667763976238</v>
      </c>
      <c r="F38" s="334" t="e">
        <f>F28/F6</f>
        <v>#VALUE!</v>
      </c>
      <c r="G38" s="334" t="e">
        <f>G28/G6</f>
        <v>#VALUE!</v>
      </c>
      <c r="H38" s="334">
        <f>H28/H6</f>
        <v>0.33419147803682681</v>
      </c>
      <c r="I38" s="334">
        <f>I28/I6</f>
        <v>0.31727702955660292</v>
      </c>
    </row>
    <row r="39" spans="2:9" x14ac:dyDescent="0.3">
      <c r="B39" s="297"/>
      <c r="C39" s="298"/>
      <c r="D39" s="297"/>
      <c r="E39" s="299"/>
      <c r="F39" s="299"/>
      <c r="G39" s="299"/>
      <c r="H39" s="299"/>
      <c r="I39" s="299"/>
    </row>
    <row r="40" spans="2:9" x14ac:dyDescent="0.3">
      <c r="B40" s="312"/>
      <c r="C40" s="313" t="s">
        <v>406</v>
      </c>
      <c r="D40" s="314"/>
      <c r="E40" s="315"/>
      <c r="F40" s="315"/>
      <c r="G40" s="315"/>
      <c r="H40" s="315"/>
      <c r="I40" s="315"/>
    </row>
    <row r="41" spans="2:9" x14ac:dyDescent="0.3">
      <c r="B41" s="300"/>
      <c r="C41" s="301" t="s">
        <v>407</v>
      </c>
      <c r="D41" s="316">
        <f>E25/E23</f>
        <v>9.0345800841184015E-2</v>
      </c>
      <c r="E41" s="316">
        <f>F25/F23</f>
        <v>0.10205282384508453</v>
      </c>
      <c r="F41" s="316" t="e">
        <f>G25/G23</f>
        <v>#VALUE!</v>
      </c>
      <c r="G41" s="316">
        <f>H25/H23</f>
        <v>0.11006514622074759</v>
      </c>
      <c r="H41" s="316">
        <f>I25/I23</f>
        <v>0.12580452445435719</v>
      </c>
      <c r="I41" s="317"/>
    </row>
    <row r="42" spans="2:9" x14ac:dyDescent="0.3">
      <c r="B42" s="303"/>
      <c r="C42" s="318" t="s">
        <v>408</v>
      </c>
      <c r="D42" s="335">
        <v>0.25</v>
      </c>
      <c r="E42" s="335">
        <v>0.25</v>
      </c>
      <c r="F42" s="335">
        <v>0.25</v>
      </c>
      <c r="G42" s="335">
        <v>0.25</v>
      </c>
      <c r="H42" s="335">
        <v>0.25</v>
      </c>
      <c r="I42" s="321"/>
    </row>
    <row r="43" spans="2:9" x14ac:dyDescent="0.3">
      <c r="B43" s="297"/>
      <c r="C43" s="298"/>
      <c r="D43" s="297"/>
      <c r="E43" s="299"/>
      <c r="F43" s="299"/>
      <c r="G43" s="299"/>
      <c r="H43" s="299"/>
      <c r="I43" s="299"/>
    </row>
    <row r="44" spans="2:9" x14ac:dyDescent="0.3">
      <c r="B44" s="312"/>
      <c r="C44" s="313" t="s">
        <v>409</v>
      </c>
      <c r="D44" s="314"/>
      <c r="E44" s="315"/>
      <c r="F44" s="315"/>
      <c r="G44" s="315"/>
      <c r="H44" s="315"/>
      <c r="I44" s="315"/>
    </row>
    <row r="45" spans="2:9" x14ac:dyDescent="0.3">
      <c r="B45" s="300"/>
      <c r="C45" s="301" t="s">
        <v>410</v>
      </c>
      <c r="D45" s="302">
        <f>E18*(1-D42)</f>
        <v>706.87500000000023</v>
      </c>
      <c r="E45" s="302">
        <f>F18*(1-E42)</f>
        <v>1439.1225000000004</v>
      </c>
      <c r="F45" s="302">
        <f>G18*(1-F42)</f>
        <v>1880.797500000001</v>
      </c>
      <c r="G45" s="302">
        <f>H18*(1-G42)</f>
        <v>2400.8099999999995</v>
      </c>
      <c r="H45" s="302">
        <f>I18*(1-H42)</f>
        <v>2236.6049999999987</v>
      </c>
      <c r="I45" s="317"/>
    </row>
    <row r="46" spans="2:9" x14ac:dyDescent="0.3">
      <c r="B46" s="303"/>
      <c r="C46" s="325" t="s">
        <v>411</v>
      </c>
      <c r="D46" s="336">
        <f>'Consolidated BS'!C10</f>
        <v>649.54999999999995</v>
      </c>
      <c r="E46" s="336">
        <f>'Consolidated BS'!D10</f>
        <v>649.61</v>
      </c>
      <c r="F46" s="336">
        <f>'Consolidated BS'!E10</f>
        <v>676.3</v>
      </c>
      <c r="G46" s="336">
        <f>'Consolidated BS'!F10</f>
        <v>676.4</v>
      </c>
      <c r="H46" s="336">
        <f>'Consolidated BS'!G10</f>
        <v>676.4</v>
      </c>
      <c r="I46" s="337"/>
    </row>
    <row r="47" spans="2:9" x14ac:dyDescent="0.3">
      <c r="B47" s="300"/>
      <c r="C47" s="328" t="s">
        <v>412</v>
      </c>
      <c r="D47" s="338">
        <f>'Consolidated BS'!C16</f>
        <v>3694.81</v>
      </c>
      <c r="E47" s="338">
        <f>'Consolidated BS'!D16</f>
        <v>5194.3900000000003</v>
      </c>
      <c r="F47" s="338">
        <f>'Consolidated BS'!E16</f>
        <v>2364.27</v>
      </c>
      <c r="G47" s="338">
        <f>'Consolidated BS'!F16</f>
        <v>2024.12</v>
      </c>
      <c r="H47" s="338">
        <f>'Consolidated BS'!G16</f>
        <v>2024.12</v>
      </c>
      <c r="I47" s="339"/>
    </row>
    <row r="48" spans="2:9" x14ac:dyDescent="0.3">
      <c r="B48" s="303"/>
      <c r="C48" s="325" t="s">
        <v>413</v>
      </c>
      <c r="D48" s="336">
        <f>'Consolidated BS'!C30</f>
        <v>285.27</v>
      </c>
      <c r="E48" s="336">
        <f>'Consolidated BS'!D30</f>
        <v>459.86</v>
      </c>
      <c r="F48" s="336">
        <f>'Consolidated BS'!E30</f>
        <v>2450.0500000000002</v>
      </c>
      <c r="G48" s="336" t="str">
        <f>'Consolidated BS'!F30</f>
        <v>Varun Beverages Zimbabwe (Pvt.) Ltd.,Harare Zimbabwe</v>
      </c>
      <c r="H48" s="336">
        <f>'Consolidated BS'!G30</f>
        <v>1998.49</v>
      </c>
      <c r="I48" s="337"/>
    </row>
    <row r="49" spans="2:9" x14ac:dyDescent="0.3">
      <c r="B49" s="340"/>
      <c r="C49" s="341" t="s">
        <v>414</v>
      </c>
      <c r="D49" s="342">
        <f>D46+D47-D48</f>
        <v>4059.0899999999997</v>
      </c>
      <c r="E49" s="342">
        <f>E46+E47-E48</f>
        <v>5384.14</v>
      </c>
      <c r="F49" s="342">
        <f>F46+F47-F48</f>
        <v>590.51999999999953</v>
      </c>
      <c r="G49" s="342" t="e">
        <f>G46+G47-G48</f>
        <v>#VALUE!</v>
      </c>
      <c r="H49" s="342">
        <f>H46+H47-H48</f>
        <v>702.03</v>
      </c>
      <c r="I49" s="343"/>
    </row>
    <row r="50" spans="2:9" x14ac:dyDescent="0.3">
      <c r="B50" s="297"/>
      <c r="C50" s="298"/>
      <c r="D50" s="297"/>
      <c r="E50" s="299"/>
      <c r="F50" s="299"/>
      <c r="G50" s="299"/>
      <c r="H50" s="299"/>
      <c r="I50" s="299"/>
    </row>
    <row r="51" spans="2:9" x14ac:dyDescent="0.3">
      <c r="B51" s="344"/>
      <c r="C51" s="345" t="s">
        <v>415</v>
      </c>
      <c r="D51" s="346">
        <f>E18/D49</f>
        <v>0.23219490082752545</v>
      </c>
      <c r="E51" s="346">
        <f>F18/E49</f>
        <v>0.35638560661498409</v>
      </c>
      <c r="F51" s="346">
        <f>G18/F49</f>
        <v>4.2466470229628186</v>
      </c>
      <c r="G51" s="346" t="e">
        <f>H18/G49</f>
        <v>#VALUE!</v>
      </c>
      <c r="H51" s="346">
        <f>I18/H49</f>
        <v>4.2478811446804245</v>
      </c>
      <c r="I51" s="347"/>
    </row>
    <row r="52" spans="2:9" x14ac:dyDescent="0.3">
      <c r="B52" s="331"/>
      <c r="C52" s="348" t="s">
        <v>416</v>
      </c>
      <c r="D52" s="349">
        <f>D45/D49</f>
        <v>0.17414617562064411</v>
      </c>
      <c r="E52" s="349">
        <f>E45/E49</f>
        <v>0.26728920496123809</v>
      </c>
      <c r="F52" s="349">
        <f>F45/F49</f>
        <v>3.1849852672221135</v>
      </c>
      <c r="G52" s="349" t="e">
        <f>G45/G49</f>
        <v>#VALUE!</v>
      </c>
      <c r="H52" s="349">
        <f>H45/H49</f>
        <v>3.1859108585103182</v>
      </c>
      <c r="I52" s="350"/>
    </row>
    <row r="54" spans="2:9" x14ac:dyDescent="0.3">
      <c r="C54" t="s">
        <v>424</v>
      </c>
      <c r="D54" s="412" t="e">
        <f>H52*FCFF!C13</f>
        <v>#VALUE!</v>
      </c>
    </row>
  </sheetData>
  <mergeCells count="1">
    <mergeCell ref="K3:R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5D076-F585-4DD9-A622-D797544AE4A2}">
  <dimension ref="B1:R32"/>
  <sheetViews>
    <sheetView showGridLines="0" workbookViewId="0">
      <selection activeCell="G2" sqref="G2"/>
    </sheetView>
  </sheetViews>
  <sheetFormatPr defaultColWidth="8.77734375" defaultRowHeight="14.4" x14ac:dyDescent="0.3"/>
  <cols>
    <col min="1" max="1" width="1.88671875" customWidth="1"/>
    <col min="2" max="2" width="40.77734375" customWidth="1"/>
    <col min="3" max="7" width="17.5546875" customWidth="1"/>
    <col min="8" max="8" width="10.77734375" customWidth="1"/>
    <col min="9" max="9" width="11" customWidth="1"/>
    <col min="10" max="10" width="9.6640625" customWidth="1"/>
  </cols>
  <sheetData>
    <row r="1" spans="2:18" ht="30" customHeight="1" x14ac:dyDescent="0.3">
      <c r="B1" s="397" t="s">
        <v>487</v>
      </c>
      <c r="C1" s="398"/>
      <c r="D1" s="398"/>
      <c r="E1" s="398"/>
      <c r="F1" s="398"/>
      <c r="G1" s="398"/>
    </row>
    <row r="2" spans="2:18" ht="22.05" customHeight="1" x14ac:dyDescent="0.3">
      <c r="B2" s="404" t="s">
        <v>384</v>
      </c>
      <c r="C2" s="403">
        <v>44256</v>
      </c>
      <c r="D2" s="403">
        <v>44621</v>
      </c>
      <c r="E2" s="403">
        <v>44986</v>
      </c>
      <c r="F2" s="403">
        <v>45352</v>
      </c>
      <c r="G2" s="403">
        <v>45717</v>
      </c>
    </row>
    <row r="3" spans="2:18" x14ac:dyDescent="0.3">
      <c r="B3" s="399" t="s">
        <v>488</v>
      </c>
      <c r="C3" s="400"/>
      <c r="D3" s="401">
        <f>C7</f>
        <v>6932.22</v>
      </c>
      <c r="E3" s="401">
        <f t="shared" ref="E3:G3" si="0">D7</f>
        <v>8409.17</v>
      </c>
      <c r="F3" s="401">
        <f t="shared" si="0"/>
        <v>13401.74</v>
      </c>
      <c r="G3" s="401">
        <f t="shared" si="0"/>
        <v>16758.93</v>
      </c>
      <c r="K3" s="454"/>
      <c r="L3" s="454"/>
      <c r="M3" s="454"/>
      <c r="N3" s="454"/>
      <c r="O3" s="454"/>
      <c r="P3" s="454"/>
      <c r="Q3" s="454"/>
      <c r="R3" s="454"/>
    </row>
    <row r="4" spans="2:18" x14ac:dyDescent="0.3">
      <c r="B4" s="399" t="s">
        <v>489</v>
      </c>
      <c r="C4" s="401"/>
      <c r="D4" s="401">
        <f>D5-D3</f>
        <v>2094.1400000000003</v>
      </c>
      <c r="E4" s="401">
        <f t="shared" ref="E4:G4" si="1">E5-E3</f>
        <v>5673.48</v>
      </c>
      <c r="F4" s="401">
        <f t="shared" si="1"/>
        <v>4304.58</v>
      </c>
      <c r="G4" s="401">
        <f t="shared" si="1"/>
        <v>1216.4599999999991</v>
      </c>
    </row>
    <row r="5" spans="2:18" x14ac:dyDescent="0.3">
      <c r="B5" s="405" t="s">
        <v>490</v>
      </c>
      <c r="C5" s="402">
        <f>C6+C7</f>
        <v>7463.4800000000005</v>
      </c>
      <c r="D5" s="402">
        <f>D6+D7</f>
        <v>9026.36</v>
      </c>
      <c r="E5" s="402">
        <f t="shared" ref="E5:G5" si="2">E6+E7</f>
        <v>14082.65</v>
      </c>
      <c r="F5" s="402">
        <f t="shared" si="2"/>
        <v>17706.32</v>
      </c>
      <c r="G5" s="402">
        <f t="shared" si="2"/>
        <v>17975.39</v>
      </c>
    </row>
    <row r="6" spans="2:18" x14ac:dyDescent="0.3">
      <c r="B6" s="399" t="s">
        <v>491</v>
      </c>
      <c r="C6" s="401">
        <f>'Consolidated PL'!D22</f>
        <v>531.26</v>
      </c>
      <c r="D6" s="401">
        <f>'Consolidated PL'!E22</f>
        <v>617.19000000000005</v>
      </c>
      <c r="E6" s="401">
        <f>'Consolidated PL'!F22</f>
        <v>680.91</v>
      </c>
      <c r="F6" s="401">
        <f>'Consolidated PL'!G22</f>
        <v>947.39</v>
      </c>
      <c r="G6" s="401">
        <f>'Consolidated PL'!H22</f>
        <v>1216.46</v>
      </c>
    </row>
    <row r="7" spans="2:18" x14ac:dyDescent="0.3">
      <c r="B7" s="405" t="s">
        <v>492</v>
      </c>
      <c r="C7" s="402">
        <f>'Consolidated BS'!C25</f>
        <v>6932.22</v>
      </c>
      <c r="D7" s="402">
        <f>'Consolidated BS'!D25</f>
        <v>8409.17</v>
      </c>
      <c r="E7" s="402">
        <f>'Consolidated BS'!E25</f>
        <v>13401.74</v>
      </c>
      <c r="F7" s="402">
        <f>'Consolidated BS'!F25</f>
        <v>16758.93</v>
      </c>
      <c r="G7" s="402">
        <f>'Consolidated BS'!G25</f>
        <v>16758.93</v>
      </c>
    </row>
    <row r="9" spans="2:18" x14ac:dyDescent="0.3">
      <c r="B9" s="406" t="s">
        <v>493</v>
      </c>
      <c r="C9" s="407"/>
      <c r="D9" s="407">
        <f>D4-D6</f>
        <v>1476.9500000000003</v>
      </c>
      <c r="E9" s="407">
        <f>E4-E6</f>
        <v>4992.57</v>
      </c>
      <c r="F9" s="407">
        <f>F4-F6</f>
        <v>3357.19</v>
      </c>
      <c r="G9" s="407">
        <f>G4-G6</f>
        <v>0</v>
      </c>
    </row>
    <row r="10" spans="2:18" x14ac:dyDescent="0.3">
      <c r="B10" s="408" t="s">
        <v>494</v>
      </c>
      <c r="C10" s="409"/>
      <c r="D10" s="409">
        <f>IFERROR(D9/D3,0)</f>
        <v>0.21305584646765396</v>
      </c>
      <c r="E10" s="409">
        <f>IFERROR(E9/E3,0)</f>
        <v>0.59370544298664429</v>
      </c>
      <c r="F10" s="409">
        <f>IFERROR(F9/F3,0)</f>
        <v>0.25050403902776802</v>
      </c>
      <c r="G10" s="409">
        <f>IFERROR(G9/G3,0)</f>
        <v>0</v>
      </c>
    </row>
    <row r="12" spans="2:18" x14ac:dyDescent="0.3">
      <c r="B12" s="406" t="s">
        <v>495</v>
      </c>
      <c r="C12" s="410">
        <f>MEDIAN(C10:G10)</f>
        <v>0.23177994274771099</v>
      </c>
      <c r="D12" s="6"/>
      <c r="E12" s="6"/>
      <c r="F12" s="6"/>
      <c r="G12" s="6"/>
    </row>
    <row r="13" spans="2:18" x14ac:dyDescent="0.3">
      <c r="B13" s="406" t="s">
        <v>496</v>
      </c>
      <c r="C13" s="410">
        <f>AVERAGE(C10:G10)</f>
        <v>0.26431633212051658</v>
      </c>
      <c r="D13" s="6"/>
      <c r="E13" s="6"/>
      <c r="F13" s="6"/>
      <c r="G13" s="6"/>
    </row>
    <row r="26" spans="6:6" x14ac:dyDescent="0.3">
      <c r="F26" s="439" t="s">
        <v>553</v>
      </c>
    </row>
    <row r="27" spans="6:6" x14ac:dyDescent="0.3">
      <c r="F27" t="s">
        <v>547</v>
      </c>
    </row>
    <row r="28" spans="6:6" x14ac:dyDescent="0.3">
      <c r="F28" t="s">
        <v>548</v>
      </c>
    </row>
    <row r="29" spans="6:6" x14ac:dyDescent="0.3">
      <c r="F29" t="s">
        <v>549</v>
      </c>
    </row>
    <row r="30" spans="6:6" x14ac:dyDescent="0.3">
      <c r="F30" t="s">
        <v>550</v>
      </c>
    </row>
    <row r="31" spans="6:6" x14ac:dyDescent="0.3">
      <c r="F31" t="s">
        <v>551</v>
      </c>
    </row>
    <row r="32" spans="6:6" x14ac:dyDescent="0.3">
      <c r="F32" t="s">
        <v>552</v>
      </c>
    </row>
  </sheetData>
  <mergeCells count="1">
    <mergeCell ref="K3:R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95E2D-2E3F-4C4F-9DE1-588B2335AC7A}">
  <dimension ref="B1:R32"/>
  <sheetViews>
    <sheetView showGridLines="0" topLeftCell="B1" workbookViewId="0">
      <selection activeCell="G2" sqref="G2"/>
    </sheetView>
  </sheetViews>
  <sheetFormatPr defaultColWidth="8.77734375" defaultRowHeight="14.4" x14ac:dyDescent="0.3"/>
  <cols>
    <col min="2" max="2" width="46" bestFit="1" customWidth="1"/>
    <col min="3" max="7" width="12.6640625" bestFit="1" customWidth="1"/>
    <col min="8" max="8" width="11.33203125" customWidth="1"/>
  </cols>
  <sheetData>
    <row r="1" spans="2:18" ht="40.799999999999997" x14ac:dyDescent="0.3">
      <c r="B1" s="361" t="s">
        <v>461</v>
      </c>
    </row>
    <row r="2" spans="2:18" x14ac:dyDescent="0.3">
      <c r="B2" s="360" t="s">
        <v>443</v>
      </c>
      <c r="C2" s="359">
        <v>44256</v>
      </c>
      <c r="D2" s="359">
        <v>44621</v>
      </c>
      <c r="E2" s="359">
        <v>44986</v>
      </c>
      <c r="F2" s="359">
        <v>45352</v>
      </c>
      <c r="G2" s="359">
        <v>45717</v>
      </c>
    </row>
    <row r="3" spans="2:18" x14ac:dyDescent="0.3">
      <c r="B3" s="355" t="s">
        <v>460</v>
      </c>
      <c r="C3" s="358">
        <f>'Consolidated BS'!C28</f>
        <v>1993.89</v>
      </c>
      <c r="D3" s="358">
        <f>'Consolidated BS'!D28</f>
        <v>2150.5300000000002</v>
      </c>
      <c r="E3" s="358">
        <f>'Consolidated BS'!E28</f>
        <v>2791.23</v>
      </c>
      <c r="F3" s="358" t="str">
        <f>'Consolidated BS'!F28</f>
        <v>Varun Beverages Morocco SA,Casablanca Morocco</v>
      </c>
      <c r="G3" s="358">
        <f>'Consolidated BS'!G28</f>
        <v>2951.79</v>
      </c>
      <c r="K3" s="454"/>
      <c r="L3" s="454"/>
      <c r="M3" s="454"/>
      <c r="N3" s="454"/>
      <c r="O3" s="454"/>
      <c r="P3" s="454"/>
      <c r="Q3" s="454"/>
      <c r="R3" s="454"/>
    </row>
    <row r="4" spans="2:18" x14ac:dyDescent="0.3">
      <c r="B4" s="355" t="s">
        <v>459</v>
      </c>
      <c r="C4" s="358">
        <f>'Consolidated BS'!C29</f>
        <v>299.33999999999997</v>
      </c>
      <c r="D4" s="358">
        <f>'Consolidated BS'!D29</f>
        <v>359.39</v>
      </c>
      <c r="E4" s="358">
        <f>'Consolidated BS'!E29</f>
        <v>845.84</v>
      </c>
      <c r="F4" s="358" t="str">
        <f>'Consolidated BS'!F29</f>
        <v>Varun Beverages Zambia Ltd.,Lusaka Zambia</v>
      </c>
      <c r="G4" s="358">
        <f>'Consolidated BS'!G29</f>
        <v>1249.03</v>
      </c>
    </row>
    <row r="5" spans="2:18" x14ac:dyDescent="0.3">
      <c r="B5" s="355" t="s">
        <v>458</v>
      </c>
      <c r="C5" s="358">
        <f>'Consolidated BS'!C34</f>
        <v>2474.64</v>
      </c>
      <c r="D5" s="358">
        <f>'Consolidated BS'!D34</f>
        <v>2612.96</v>
      </c>
      <c r="E5" s="358">
        <f>'Consolidated BS'!E34</f>
        <v>3776.68</v>
      </c>
      <c r="F5" s="358">
        <f>'Consolidated BS'!F34</f>
        <v>3559.1</v>
      </c>
      <c r="G5" s="358">
        <f>'Consolidated BS'!G34</f>
        <v>3559.1</v>
      </c>
    </row>
    <row r="6" spans="2:18" x14ac:dyDescent="0.3">
      <c r="B6" s="355" t="s">
        <v>457</v>
      </c>
      <c r="C6" s="358">
        <f>C3+C4-C5</f>
        <v>-181.40999999999985</v>
      </c>
      <c r="D6" s="358">
        <f>D3+D4-D5</f>
        <v>-103.03999999999996</v>
      </c>
      <c r="E6" s="358">
        <f>E3+E4-E5</f>
        <v>-139.60999999999967</v>
      </c>
      <c r="F6" s="358" t="e">
        <f>F3+F4-F5</f>
        <v>#VALUE!</v>
      </c>
      <c r="G6" s="358">
        <f>G3+G4-G5</f>
        <v>641.7199999999998</v>
      </c>
    </row>
    <row r="7" spans="2:18" x14ac:dyDescent="0.3">
      <c r="B7" s="357" t="s">
        <v>456</v>
      </c>
      <c r="C7" s="358"/>
      <c r="D7" s="358">
        <f>D6-C6</f>
        <v>78.369999999999891</v>
      </c>
      <c r="E7" s="358">
        <f>E6-D6</f>
        <v>-36.569999999999709</v>
      </c>
      <c r="F7" s="358" t="e">
        <f>F6-E6</f>
        <v>#VALUE!</v>
      </c>
      <c r="G7" s="358" t="e">
        <f>G6-F6</f>
        <v>#VALUE!</v>
      </c>
    </row>
    <row r="8" spans="2:18" x14ac:dyDescent="0.3">
      <c r="B8" s="355" t="s">
        <v>455</v>
      </c>
      <c r="C8" s="362"/>
      <c r="D8" s="362">
        <f>D7/'Consolidated PL'!D11</f>
        <v>9.0681354029864426E-3</v>
      </c>
      <c r="E8" s="362">
        <f>E7/'Consolidated PL'!E11</f>
        <v>-2.8302653422128785E-3</v>
      </c>
      <c r="F8" s="362" t="e">
        <f>F7/'Consolidated PL'!F11</f>
        <v>#VALUE!</v>
      </c>
      <c r="G8" s="362" t="e">
        <f>G7/'Consolidated PL'!G11</f>
        <v>#VALUE!</v>
      </c>
    </row>
    <row r="10" spans="2:18" x14ac:dyDescent="0.3">
      <c r="B10" s="355" t="s">
        <v>454</v>
      </c>
      <c r="C10" s="354" t="e">
        <f>MEDIAN(D8:G8)</f>
        <v>#VALUE!</v>
      </c>
      <c r="D10" s="353"/>
    </row>
    <row r="11" spans="2:18" x14ac:dyDescent="0.3">
      <c r="B11" s="355" t="s">
        <v>453</v>
      </c>
      <c r="C11" s="363" t="e">
        <f>AVERAGE(C8:G8)</f>
        <v>#VALUE!</v>
      </c>
      <c r="D11" s="353"/>
    </row>
    <row r="26" spans="6:6" x14ac:dyDescent="0.3">
      <c r="F26" s="439" t="s">
        <v>553</v>
      </c>
    </row>
    <row r="27" spans="6:6" x14ac:dyDescent="0.3">
      <c r="F27" t="s">
        <v>547</v>
      </c>
    </row>
    <row r="28" spans="6:6" x14ac:dyDescent="0.3">
      <c r="F28" t="s">
        <v>548</v>
      </c>
    </row>
    <row r="29" spans="6:6" x14ac:dyDescent="0.3">
      <c r="F29" t="s">
        <v>549</v>
      </c>
    </row>
    <row r="30" spans="6:6" x14ac:dyDescent="0.3">
      <c r="F30" t="s">
        <v>550</v>
      </c>
    </row>
    <row r="31" spans="6:6" x14ac:dyDescent="0.3">
      <c r="F31" t="s">
        <v>551</v>
      </c>
    </row>
    <row r="32" spans="6:6" x14ac:dyDescent="0.3">
      <c r="F32" t="s">
        <v>552</v>
      </c>
    </row>
  </sheetData>
  <mergeCells count="1">
    <mergeCell ref="K3:R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E6EA9-487A-436D-AEFD-22A0EAAD13E3}">
  <dimension ref="B1:R32"/>
  <sheetViews>
    <sheetView showGridLines="0" workbookViewId="0">
      <selection activeCell="G2" sqref="G2"/>
    </sheetView>
  </sheetViews>
  <sheetFormatPr defaultColWidth="8.77734375" defaultRowHeight="14.4" x14ac:dyDescent="0.3"/>
  <cols>
    <col min="2" max="2" width="60.109375" customWidth="1"/>
    <col min="3" max="3" width="13.44140625" customWidth="1"/>
    <col min="5" max="5" width="14.6640625" customWidth="1"/>
    <col min="6" max="6" width="11.44140625" customWidth="1"/>
    <col min="7" max="7" width="9.77734375" customWidth="1"/>
    <col min="8" max="8" width="12.109375" customWidth="1"/>
  </cols>
  <sheetData>
    <row r="1" spans="2:18" ht="20.399999999999999" x14ac:dyDescent="0.3">
      <c r="B1" s="361" t="s">
        <v>462</v>
      </c>
    </row>
    <row r="2" spans="2:18" x14ac:dyDescent="0.3">
      <c r="B2" s="360" t="s">
        <v>443</v>
      </c>
      <c r="C2" s="359">
        <v>44256</v>
      </c>
      <c r="D2" s="359">
        <v>44621</v>
      </c>
      <c r="E2" s="359">
        <v>44986</v>
      </c>
      <c r="F2" s="359">
        <v>45352</v>
      </c>
      <c r="G2" s="359">
        <v>45717</v>
      </c>
    </row>
    <row r="3" spans="2:18" x14ac:dyDescent="0.3">
      <c r="B3" s="357" t="s">
        <v>391</v>
      </c>
      <c r="C3" s="356">
        <f>'Assumptions '!E18</f>
        <v>942.50000000000023</v>
      </c>
      <c r="D3" s="356">
        <f>'Assumptions '!F18</f>
        <v>1918.8300000000004</v>
      </c>
      <c r="E3" s="356">
        <f>'Assumptions '!G18</f>
        <v>2507.7300000000014</v>
      </c>
      <c r="F3" s="356">
        <f>'Assumptions '!H18</f>
        <v>3201.0799999999995</v>
      </c>
      <c r="G3" s="356">
        <f>'Assumptions '!I18</f>
        <v>2982.1399999999985</v>
      </c>
      <c r="K3" s="454"/>
      <c r="L3" s="454"/>
      <c r="M3" s="454"/>
      <c r="N3" s="454"/>
      <c r="O3" s="454"/>
      <c r="P3" s="454"/>
      <c r="Q3" s="454"/>
      <c r="R3" s="454"/>
    </row>
    <row r="4" spans="2:18" x14ac:dyDescent="0.3">
      <c r="B4" s="355" t="s">
        <v>452</v>
      </c>
      <c r="C4" s="355" t="e" cm="1">
        <f t="array" ref="C4">MEDIAN('Assumptions '!$D$41:H41*C3)</f>
        <v>#VALUE!</v>
      </c>
      <c r="D4" s="355" t="e" cm="1">
        <f t="array" ref="D4">MEDIAN('Assumptions '!$D$41:I41*D3)</f>
        <v>#VALUE!</v>
      </c>
      <c r="E4" s="355" t="e" cm="1">
        <f t="array" ref="E4">MEDIAN('Assumptions '!$D$41:J41*E3)</f>
        <v>#VALUE!</v>
      </c>
      <c r="F4" s="355" t="e" cm="1">
        <f t="array" ref="F4">MEDIAN('Assumptions '!$D$41:K41*F3)</f>
        <v>#VALUE!</v>
      </c>
      <c r="G4" s="355" t="e" cm="1">
        <f t="array" ref="G4">MEDIAN('Assumptions '!$D$41:L41*G3)</f>
        <v>#VALUE!</v>
      </c>
    </row>
    <row r="5" spans="2:18" x14ac:dyDescent="0.3">
      <c r="B5" s="357" t="s">
        <v>451</v>
      </c>
      <c r="C5" s="356" t="e">
        <f>C3-C4</f>
        <v>#VALUE!</v>
      </c>
      <c r="D5" s="356" t="e">
        <f>D3-D4</f>
        <v>#VALUE!</v>
      </c>
      <c r="E5" s="356" t="e">
        <f>E3-E4</f>
        <v>#VALUE!</v>
      </c>
      <c r="F5" s="356" t="e">
        <f>F3-F4</f>
        <v>#VALUE!</v>
      </c>
      <c r="G5" s="356" t="e">
        <f>G3-G4</f>
        <v>#VALUE!</v>
      </c>
    </row>
    <row r="6" spans="2:18" x14ac:dyDescent="0.3">
      <c r="B6" s="355" t="s">
        <v>450</v>
      </c>
      <c r="C6" s="358">
        <f>'Fixed Asset Schedule '!C9</f>
        <v>0</v>
      </c>
      <c r="D6" s="358">
        <f>'Fixed Asset Schedule '!D9</f>
        <v>1476.9500000000003</v>
      </c>
      <c r="E6" s="358">
        <f>'Fixed Asset Schedule '!E9</f>
        <v>4992.57</v>
      </c>
      <c r="F6" s="358">
        <f>'Fixed Asset Schedule '!F9</f>
        <v>3357.19</v>
      </c>
      <c r="G6" s="358">
        <f>'Fixed Asset Schedule '!G9</f>
        <v>0</v>
      </c>
    </row>
    <row r="7" spans="2:18" x14ac:dyDescent="0.3">
      <c r="B7" s="355" t="s">
        <v>449</v>
      </c>
      <c r="C7" s="358">
        <f>'Change in Working Capital'!C7</f>
        <v>0</v>
      </c>
      <c r="D7" s="358">
        <f>'Change in Working Capital'!D7</f>
        <v>78.369999999999891</v>
      </c>
      <c r="E7" s="358">
        <f>'Change in Working Capital'!E7</f>
        <v>-36.569999999999709</v>
      </c>
      <c r="F7" s="358" t="e">
        <f>'Change in Working Capital'!F7</f>
        <v>#VALUE!</v>
      </c>
      <c r="G7" s="358" t="e">
        <f>'Change in Working Capital'!G7</f>
        <v>#VALUE!</v>
      </c>
    </row>
    <row r="8" spans="2:18" x14ac:dyDescent="0.3">
      <c r="B8" s="355" t="s">
        <v>448</v>
      </c>
      <c r="C8" s="358">
        <f>SUM(C6:C7)</f>
        <v>0</v>
      </c>
      <c r="D8" s="358">
        <f>SUM(D6:D7)</f>
        <v>1555.3200000000002</v>
      </c>
      <c r="E8" s="358">
        <f>SUM(E6:E7)</f>
        <v>4956</v>
      </c>
      <c r="F8" s="358" t="e">
        <f>SUM(F6:F7)</f>
        <v>#VALUE!</v>
      </c>
      <c r="G8" s="358" t="e">
        <f>SUM(G6:G7)</f>
        <v>#VALUE!</v>
      </c>
    </row>
    <row r="9" spans="2:18" x14ac:dyDescent="0.3">
      <c r="B9" s="357" t="s">
        <v>447</v>
      </c>
      <c r="C9" s="356" t="e">
        <f>C5-C8</f>
        <v>#VALUE!</v>
      </c>
      <c r="D9" s="356" t="e">
        <f>D5-D8</f>
        <v>#VALUE!</v>
      </c>
      <c r="E9" s="356" t="e">
        <f>E5-E8</f>
        <v>#VALUE!</v>
      </c>
      <c r="F9" s="356" t="e">
        <f>F5-F8</f>
        <v>#VALUE!</v>
      </c>
      <c r="G9" s="356" t="e">
        <f>G5-G8</f>
        <v>#VALUE!</v>
      </c>
    </row>
    <row r="11" spans="2:18" x14ac:dyDescent="0.3">
      <c r="B11" s="355" t="s">
        <v>446</v>
      </c>
      <c r="C11" s="362" t="e">
        <f>C8/FCFF!C5</f>
        <v>#VALUE!</v>
      </c>
      <c r="D11" s="362" t="e">
        <f>D8/FCFF!D5</f>
        <v>#VALUE!</v>
      </c>
      <c r="E11" s="362" t="e">
        <f>E8/FCFF!E5</f>
        <v>#VALUE!</v>
      </c>
      <c r="F11" s="362" t="e">
        <f>F8/FCFF!F5</f>
        <v>#VALUE!</v>
      </c>
      <c r="G11" s="362" t="e">
        <f>G8/FCFF!G5</f>
        <v>#VALUE!</v>
      </c>
    </row>
    <row r="13" spans="2:18" x14ac:dyDescent="0.3">
      <c r="B13" s="355" t="s">
        <v>445</v>
      </c>
      <c r="C13" s="354" t="e">
        <f>MEDIAN(C11:G11)</f>
        <v>#VALUE!</v>
      </c>
    </row>
    <row r="14" spans="2:18" x14ac:dyDescent="0.3">
      <c r="B14" s="355" t="s">
        <v>444</v>
      </c>
      <c r="C14" s="354" t="e">
        <f>AVERAGE(C11:G11)</f>
        <v>#VALUE!</v>
      </c>
    </row>
    <row r="19" spans="6:6" x14ac:dyDescent="0.3">
      <c r="F19" t="s">
        <v>486</v>
      </c>
    </row>
    <row r="26" spans="6:6" x14ac:dyDescent="0.3">
      <c r="F26" s="439" t="s">
        <v>553</v>
      </c>
    </row>
    <row r="27" spans="6:6" x14ac:dyDescent="0.3">
      <c r="F27" t="s">
        <v>547</v>
      </c>
    </row>
    <row r="28" spans="6:6" x14ac:dyDescent="0.3">
      <c r="F28" t="s">
        <v>548</v>
      </c>
    </row>
    <row r="29" spans="6:6" x14ac:dyDescent="0.3">
      <c r="F29" t="s">
        <v>549</v>
      </c>
    </row>
    <row r="30" spans="6:6" x14ac:dyDescent="0.3">
      <c r="F30" t="s">
        <v>550</v>
      </c>
    </row>
    <row r="31" spans="6:6" x14ac:dyDescent="0.3">
      <c r="F31" t="s">
        <v>551</v>
      </c>
    </row>
    <row r="32" spans="6:6" x14ac:dyDescent="0.3">
      <c r="F32" t="s">
        <v>552</v>
      </c>
    </row>
  </sheetData>
  <mergeCells count="1">
    <mergeCell ref="K3:R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FF615-D831-445A-BBC4-14CE6401E048}">
  <dimension ref="B1:R32"/>
  <sheetViews>
    <sheetView showGridLines="0" workbookViewId="0">
      <selection activeCell="G2" sqref="G2"/>
    </sheetView>
  </sheetViews>
  <sheetFormatPr defaultColWidth="8.6640625" defaultRowHeight="14.4" x14ac:dyDescent="0.3"/>
  <cols>
    <col min="1" max="1" width="1.88671875" customWidth="1"/>
    <col min="2" max="2" width="32" customWidth="1"/>
    <col min="3" max="3" width="16" customWidth="1"/>
    <col min="4" max="4" width="14" customWidth="1"/>
    <col min="5" max="5" width="28" customWidth="1"/>
    <col min="6" max="6" width="14" customWidth="1"/>
  </cols>
  <sheetData>
    <row r="1" spans="2:18" ht="17.399999999999999" x14ac:dyDescent="0.35">
      <c r="B1" s="364" t="s">
        <v>463</v>
      </c>
      <c r="C1" s="365"/>
      <c r="D1" s="365"/>
      <c r="E1" s="365"/>
      <c r="F1" s="365"/>
      <c r="G1" s="365"/>
      <c r="H1" s="365"/>
      <c r="I1" s="365"/>
      <c r="J1" s="365"/>
      <c r="K1" s="365"/>
      <c r="L1" s="365"/>
      <c r="M1" s="365"/>
    </row>
    <row r="3" spans="2:18" x14ac:dyDescent="0.3">
      <c r="K3" s="454"/>
      <c r="L3" s="454"/>
      <c r="M3" s="454"/>
      <c r="N3" s="454"/>
      <c r="O3" s="454"/>
      <c r="P3" s="454"/>
      <c r="Q3" s="454"/>
      <c r="R3" s="454"/>
    </row>
    <row r="4" spans="2:18" ht="19.5" customHeight="1" x14ac:dyDescent="0.3">
      <c r="B4" s="486" t="s">
        <v>464</v>
      </c>
      <c r="C4" s="486"/>
      <c r="D4" s="366"/>
      <c r="E4" s="366"/>
      <c r="F4" s="366"/>
    </row>
    <row r="5" spans="2:18" ht="15.75" customHeight="1" x14ac:dyDescent="0.3">
      <c r="B5" s="367" t="s">
        <v>79</v>
      </c>
      <c r="C5" s="368">
        <f>'Consolidated BS'!C16</f>
        <v>3694.81</v>
      </c>
    </row>
    <row r="6" spans="2:18" ht="15.75" customHeight="1" x14ac:dyDescent="0.3">
      <c r="B6" s="367" t="s">
        <v>465</v>
      </c>
      <c r="C6" s="368">
        <f>'Consolidated BS'!C10</f>
        <v>649.54999999999995</v>
      </c>
    </row>
    <row r="7" spans="2:18" ht="15.75" customHeight="1" x14ac:dyDescent="0.3">
      <c r="B7" s="369" t="s">
        <v>466</v>
      </c>
      <c r="C7" s="370">
        <f>SUM(C5:C6)</f>
        <v>4344.3599999999997</v>
      </c>
    </row>
    <row r="8" spans="2:18" ht="15.75" customHeight="1" x14ac:dyDescent="0.3">
      <c r="B8" s="371" t="s">
        <v>467</v>
      </c>
      <c r="C8" s="372">
        <f>C5/C7</f>
        <v>0.85048430608881409</v>
      </c>
    </row>
    <row r="9" spans="2:18" ht="15.75" customHeight="1" x14ac:dyDescent="0.3">
      <c r="B9" s="371" t="s">
        <v>468</v>
      </c>
      <c r="C9" s="372">
        <f>C6/C7</f>
        <v>0.14951569391118599</v>
      </c>
      <c r="I9" t="s">
        <v>486</v>
      </c>
    </row>
    <row r="10" spans="2:18" ht="15.75" customHeight="1" x14ac:dyDescent="0.3">
      <c r="B10" s="373" t="s">
        <v>469</v>
      </c>
      <c r="C10" s="374">
        <f>C5/C6</f>
        <v>5.6882611038411213</v>
      </c>
    </row>
    <row r="11" spans="2:18" ht="15.75" customHeight="1" x14ac:dyDescent="0.3">
      <c r="B11" s="375"/>
      <c r="C11" s="376"/>
    </row>
    <row r="12" spans="2:18" ht="15.75" customHeight="1" x14ac:dyDescent="0.3">
      <c r="B12" s="375"/>
      <c r="C12" s="376"/>
    </row>
    <row r="14" spans="2:18" ht="19.5" customHeight="1" x14ac:dyDescent="0.3">
      <c r="B14" s="486" t="s">
        <v>470</v>
      </c>
      <c r="C14" s="486"/>
      <c r="E14" s="487" t="s">
        <v>471</v>
      </c>
      <c r="F14" s="487"/>
    </row>
    <row r="15" spans="2:18" ht="15.75" customHeight="1" x14ac:dyDescent="0.3">
      <c r="B15" s="371" t="s">
        <v>472</v>
      </c>
      <c r="C15" s="377">
        <v>6.6000000000000003E-2</v>
      </c>
      <c r="E15" s="378" t="s">
        <v>473</v>
      </c>
      <c r="F15" s="379" t="s">
        <v>474</v>
      </c>
    </row>
    <row r="16" spans="2:18" ht="15.75" customHeight="1" x14ac:dyDescent="0.3">
      <c r="B16" s="371" t="s">
        <v>475</v>
      </c>
      <c r="C16" s="396">
        <f>BETA!L5</f>
        <v>0.65919937999680112</v>
      </c>
      <c r="E16" s="371" t="s">
        <v>476</v>
      </c>
      <c r="F16" s="380">
        <f>'Consolidated PL'!H21/'Consolidated BS'!G16</f>
        <v>8.3779617809220802E-2</v>
      </c>
    </row>
    <row r="17" spans="2:6" ht="15.75" customHeight="1" x14ac:dyDescent="0.3">
      <c r="B17" s="381" t="s">
        <v>477</v>
      </c>
      <c r="C17" s="377">
        <v>7.0000000000000007E-2</v>
      </c>
      <c r="E17" s="381" t="s">
        <v>478</v>
      </c>
      <c r="F17" s="372">
        <f>'Assumptions '!D42</f>
        <v>0.25</v>
      </c>
    </row>
    <row r="18" spans="2:6" ht="15.75" customHeight="1" x14ac:dyDescent="0.3">
      <c r="B18" s="382" t="s">
        <v>479</v>
      </c>
      <c r="C18" s="383">
        <f>C15+C16*C17</f>
        <v>0.11214395659977608</v>
      </c>
      <c r="E18" s="384" t="s">
        <v>480</v>
      </c>
      <c r="F18" s="385">
        <f>F16*(1+F17)</f>
        <v>0.10472452226152601</v>
      </c>
    </row>
    <row r="19" spans="2:6" ht="15.75" customHeight="1" x14ac:dyDescent="0.3">
      <c r="B19" s="375"/>
      <c r="C19" s="376"/>
      <c r="E19" s="375"/>
      <c r="F19" s="376"/>
    </row>
    <row r="20" spans="2:6" ht="15.75" customHeight="1" x14ac:dyDescent="0.3">
      <c r="B20" s="375"/>
      <c r="C20" s="376"/>
      <c r="E20" s="375"/>
      <c r="F20" s="376"/>
    </row>
    <row r="21" spans="2:6" ht="19.5" customHeight="1" x14ac:dyDescent="0.3">
      <c r="B21" s="488" t="s">
        <v>481</v>
      </c>
      <c r="C21" s="488"/>
      <c r="D21" s="488"/>
      <c r="E21" s="488"/>
      <c r="F21" s="386"/>
    </row>
    <row r="22" spans="2:6" x14ac:dyDescent="0.3">
      <c r="B22" s="387" t="s">
        <v>473</v>
      </c>
      <c r="C22" s="388" t="s">
        <v>482</v>
      </c>
      <c r="D22" s="388" t="s">
        <v>474</v>
      </c>
      <c r="E22" s="389" t="s">
        <v>483</v>
      </c>
      <c r="F22" s="390"/>
    </row>
    <row r="23" spans="2:6" ht="15.75" customHeight="1" x14ac:dyDescent="0.3">
      <c r="B23" s="378" t="s">
        <v>484</v>
      </c>
      <c r="C23" s="372">
        <f>C8</f>
        <v>0.85048430608881409</v>
      </c>
      <c r="D23" s="372">
        <f>F18</f>
        <v>0.10472452226152601</v>
      </c>
      <c r="E23" s="372">
        <f>C23*D23</f>
        <v>8.9066562646076514E-2</v>
      </c>
      <c r="F23" s="376"/>
    </row>
    <row r="24" spans="2:6" ht="15.75" customHeight="1" thickBot="1" x14ac:dyDescent="0.35">
      <c r="B24" s="378" t="s">
        <v>485</v>
      </c>
      <c r="C24" s="372">
        <f>C9</f>
        <v>0.14951569391118599</v>
      </c>
      <c r="D24" s="372">
        <f>C18</f>
        <v>0.11214395659977608</v>
      </c>
      <c r="E24" s="372">
        <f>C24*D24</f>
        <v>1.6767281488961446E-2</v>
      </c>
      <c r="F24" s="376"/>
    </row>
    <row r="25" spans="2:6" ht="19.5" customHeight="1" thickBot="1" x14ac:dyDescent="0.35">
      <c r="B25" s="391" t="s">
        <v>481</v>
      </c>
      <c r="C25" s="392"/>
      <c r="D25" s="393"/>
      <c r="E25" s="394">
        <f>SUM(E23:E24)</f>
        <v>0.10583384413503796</v>
      </c>
      <c r="F25" s="395"/>
    </row>
    <row r="26" spans="2:6" x14ac:dyDescent="0.3">
      <c r="F26" s="439" t="s">
        <v>553</v>
      </c>
    </row>
    <row r="27" spans="2:6" x14ac:dyDescent="0.3">
      <c r="F27" t="s">
        <v>547</v>
      </c>
    </row>
    <row r="28" spans="2:6" x14ac:dyDescent="0.3">
      <c r="F28" t="s">
        <v>548</v>
      </c>
    </row>
    <row r="29" spans="2:6" x14ac:dyDescent="0.3">
      <c r="F29" t="s">
        <v>549</v>
      </c>
    </row>
    <row r="30" spans="2:6" x14ac:dyDescent="0.3">
      <c r="F30" t="s">
        <v>550</v>
      </c>
    </row>
    <row r="31" spans="2:6" x14ac:dyDescent="0.3">
      <c r="F31" t="s">
        <v>551</v>
      </c>
    </row>
    <row r="32" spans="2:6" x14ac:dyDescent="0.3">
      <c r="F32" t="s">
        <v>552</v>
      </c>
    </row>
  </sheetData>
  <mergeCells count="5">
    <mergeCell ref="B4:C4"/>
    <mergeCell ref="B14:C14"/>
    <mergeCell ref="E14:F14"/>
    <mergeCell ref="B21:E21"/>
    <mergeCell ref="K3:R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A1ED4-6942-4C12-B330-B806491445A7}">
  <dimension ref="B2:R32"/>
  <sheetViews>
    <sheetView showGridLines="0" workbookViewId="0">
      <selection activeCell="G2" sqref="G2"/>
    </sheetView>
  </sheetViews>
  <sheetFormatPr defaultRowHeight="14.4" x14ac:dyDescent="0.3"/>
  <cols>
    <col min="1" max="1" width="1.88671875" style="188" customWidth="1"/>
    <col min="2" max="2" width="31" style="188" bestFit="1" customWidth="1"/>
    <col min="3" max="7" width="11.44140625" style="188" bestFit="1" customWidth="1"/>
    <col min="8" max="9" width="11.5546875" style="188" bestFit="1" customWidth="1"/>
    <col min="10" max="13" width="12.44140625" style="188" bestFit="1" customWidth="1"/>
    <col min="14" max="14" width="12.21875" style="188" customWidth="1"/>
    <col min="15" max="15" width="13.109375" style="188" customWidth="1"/>
    <col min="16" max="16" width="9" style="188" bestFit="1" customWidth="1"/>
    <col min="17" max="16384" width="8.88671875" style="188"/>
  </cols>
  <sheetData>
    <row r="2" spans="2:18" x14ac:dyDescent="0.3">
      <c r="B2" s="413" t="s">
        <v>499</v>
      </c>
    </row>
    <row r="3" spans="2:18" x14ac:dyDescent="0.3">
      <c r="K3" s="489"/>
      <c r="L3" s="489"/>
      <c r="M3" s="489"/>
      <c r="N3" s="489"/>
      <c r="O3" s="489"/>
      <c r="P3" s="489"/>
      <c r="Q3" s="489"/>
      <c r="R3" s="489"/>
    </row>
    <row r="4" spans="2:18" x14ac:dyDescent="0.3">
      <c r="B4" s="414" t="s">
        <v>500</v>
      </c>
    </row>
    <row r="5" spans="2:18" x14ac:dyDescent="0.3">
      <c r="B5" s="415" t="s">
        <v>501</v>
      </c>
      <c r="C5" s="416" t="s">
        <v>502</v>
      </c>
      <c r="D5" s="416" t="s">
        <v>503</v>
      </c>
      <c r="E5" s="416" t="s">
        <v>504</v>
      </c>
      <c r="F5" s="416" t="s">
        <v>505</v>
      </c>
      <c r="G5" s="416" t="s">
        <v>506</v>
      </c>
      <c r="H5" s="416" t="s">
        <v>507</v>
      </c>
      <c r="I5" s="416" t="s">
        <v>508</v>
      </c>
      <c r="J5" s="416" t="s">
        <v>509</v>
      </c>
      <c r="K5" s="416" t="s">
        <v>510</v>
      </c>
      <c r="L5" s="416" t="s">
        <v>511</v>
      </c>
      <c r="M5" s="416" t="s">
        <v>512</v>
      </c>
    </row>
    <row r="6" spans="2:18" x14ac:dyDescent="0.3">
      <c r="B6" s="188" t="s">
        <v>513</v>
      </c>
      <c r="C6" s="417">
        <f>'Consolidated PL'!H9</f>
        <v>21374.81</v>
      </c>
      <c r="D6" s="417">
        <f>C6*(1+D7)</f>
        <v>26224.301781810311</v>
      </c>
      <c r="E6" s="417">
        <f>D6*(1+E7)</f>
        <v>31705.270021646334</v>
      </c>
      <c r="F6" s="417">
        <f>E6*(1+F7)</f>
        <v>37765.034082801903</v>
      </c>
      <c r="G6" s="417">
        <f t="shared" ref="G6:M6" si="0">F6*(1+G7)</f>
        <v>44307.922543681067</v>
      </c>
      <c r="H6" s="417">
        <f t="shared" si="0"/>
        <v>51192.360168321909</v>
      </c>
      <c r="I6" s="417">
        <f t="shared" si="0"/>
        <v>58231.396723174825</v>
      </c>
      <c r="J6" s="417">
        <f t="shared" si="0"/>
        <v>65197.401805222027</v>
      </c>
      <c r="K6" s="417">
        <f t="shared" si="0"/>
        <v>71831.292859685491</v>
      </c>
      <c r="L6" s="417">
        <f t="shared" si="0"/>
        <v>77856.173078238528</v>
      </c>
      <c r="M6" s="417">
        <f t="shared" si="0"/>
        <v>82994.680501402268</v>
      </c>
      <c r="O6" s="188" t="s">
        <v>518</v>
      </c>
      <c r="P6" s="353">
        <v>6.6000000000000003E-2</v>
      </c>
    </row>
    <row r="7" spans="2:18" x14ac:dyDescent="0.3">
      <c r="B7" s="188" t="s">
        <v>514</v>
      </c>
      <c r="C7" s="417"/>
      <c r="D7" s="411">
        <f>N7</f>
        <v>0.22687882520641395</v>
      </c>
      <c r="E7" s="417">
        <f>D7-$P$9</f>
        <v>0.20900340018347907</v>
      </c>
      <c r="F7" s="417">
        <f>E7-$P$9</f>
        <v>0.19112797516054419</v>
      </c>
      <c r="G7" s="417">
        <f>F7-$P$9</f>
        <v>0.17325255013760932</v>
      </c>
      <c r="H7" s="417">
        <f>G7-$P$9</f>
        <v>0.15537712511467444</v>
      </c>
      <c r="I7" s="417">
        <f t="shared" ref="I7:L7" si="1">H7-$P$9</f>
        <v>0.13750170009173956</v>
      </c>
      <c r="J7" s="417">
        <f t="shared" si="1"/>
        <v>0.11962627506880469</v>
      </c>
      <c r="K7" s="417">
        <f t="shared" si="1"/>
        <v>0.10175085004586981</v>
      </c>
      <c r="L7" s="417">
        <f t="shared" si="1"/>
        <v>8.3875425022934935E-2</v>
      </c>
      <c r="M7" s="417">
        <f>L7-$P$9</f>
        <v>6.6000000000000059E-2</v>
      </c>
      <c r="N7" s="188">
        <f>MEDIAN('Assumptions '!F7:I7)</f>
        <v>0.22687882520641395</v>
      </c>
    </row>
    <row r="8" spans="2:18" x14ac:dyDescent="0.3">
      <c r="C8" s="417"/>
      <c r="D8" s="417"/>
      <c r="E8" s="417"/>
      <c r="F8" s="417"/>
      <c r="G8" s="417"/>
      <c r="H8" s="417"/>
      <c r="I8" s="417"/>
      <c r="J8" s="417"/>
      <c r="K8" s="417"/>
      <c r="L8" s="417"/>
      <c r="M8" s="417"/>
    </row>
    <row r="9" spans="2:18" x14ac:dyDescent="0.3">
      <c r="B9" s="414" t="s">
        <v>515</v>
      </c>
      <c r="C9" s="418"/>
      <c r="D9" s="418"/>
      <c r="E9" s="418"/>
      <c r="F9" s="418"/>
      <c r="G9" s="418"/>
      <c r="H9" s="418"/>
      <c r="I9" s="418"/>
      <c r="J9" s="418"/>
      <c r="K9" s="418"/>
      <c r="L9" s="418"/>
      <c r="M9" s="418"/>
      <c r="O9" s="188">
        <f>N7-P6</f>
        <v>0.16087882520641394</v>
      </c>
      <c r="P9" s="419">
        <f>O9/9</f>
        <v>1.7875425022934884E-2</v>
      </c>
    </row>
    <row r="10" spans="2:18" x14ac:dyDescent="0.3">
      <c r="B10" s="415" t="s">
        <v>501</v>
      </c>
      <c r="C10" s="416" t="s">
        <v>502</v>
      </c>
      <c r="D10" s="416" t="s">
        <v>503</v>
      </c>
      <c r="E10" s="416" t="s">
        <v>504</v>
      </c>
      <c r="F10" s="416" t="s">
        <v>505</v>
      </c>
      <c r="G10" s="416" t="s">
        <v>506</v>
      </c>
      <c r="H10" s="416" t="s">
        <v>507</v>
      </c>
      <c r="I10" s="416" t="s">
        <v>508</v>
      </c>
      <c r="J10" s="416" t="s">
        <v>509</v>
      </c>
      <c r="K10" s="416" t="s">
        <v>510</v>
      </c>
      <c r="L10" s="416" t="s">
        <v>511</v>
      </c>
      <c r="M10" s="416" t="s">
        <v>512</v>
      </c>
    </row>
    <row r="11" spans="2:18" x14ac:dyDescent="0.3">
      <c r="B11" s="188" t="s">
        <v>513</v>
      </c>
      <c r="C11" s="417">
        <f>C6</f>
        <v>21374.81</v>
      </c>
      <c r="D11" s="417">
        <f>C11*(1+D12)</f>
        <v>26827.007001951184</v>
      </c>
      <c r="E11" s="417">
        <f t="shared" ref="E11:M11" si="2">D11*(1+E12)</f>
        <v>33110.805621616782</v>
      </c>
      <c r="F11" s="417">
        <f t="shared" si="2"/>
        <v>40176.396510956387</v>
      </c>
      <c r="G11" s="417">
        <f t="shared" si="2"/>
        <v>47912.383388986425</v>
      </c>
      <c r="H11" s="417">
        <f t="shared" si="2"/>
        <v>56139.360481686024</v>
      </c>
      <c r="I11" s="417">
        <f t="shared" si="2"/>
        <v>64608.938908749595</v>
      </c>
      <c r="J11" s="417">
        <f t="shared" si="2"/>
        <v>73009.733662586936</v>
      </c>
      <c r="K11" s="417">
        <f t="shared" si="2"/>
        <v>80981.192912352533</v>
      </c>
      <c r="L11" s="417">
        <f t="shared" si="2"/>
        <v>88135.213762812564</v>
      </c>
      <c r="M11" s="417">
        <f t="shared" si="2"/>
        <v>94084.340691802397</v>
      </c>
    </row>
    <row r="12" spans="2:18" x14ac:dyDescent="0.3">
      <c r="B12" s="188" t="s">
        <v>514</v>
      </c>
      <c r="C12" s="417"/>
      <c r="D12" s="417">
        <f>AVERAGE('Assumptions '!F7:I7)</f>
        <v>0.25507581129147733</v>
      </c>
      <c r="E12" s="417">
        <f>D12-O12</f>
        <v>0.23423405448131318</v>
      </c>
      <c r="F12" s="417">
        <f>E12-O12</f>
        <v>0.21339229767114903</v>
      </c>
      <c r="G12" s="417">
        <f>F12-O12</f>
        <v>0.19255054086098489</v>
      </c>
      <c r="H12" s="417">
        <f>G12-O12</f>
        <v>0.17170878405082074</v>
      </c>
      <c r="I12" s="417">
        <f>H12-O12</f>
        <v>0.15086702724065659</v>
      </c>
      <c r="J12" s="417">
        <f>I12-O12</f>
        <v>0.13002527043049245</v>
      </c>
      <c r="K12" s="417">
        <f>J12-O12</f>
        <v>0.1091835136203283</v>
      </c>
      <c r="L12" s="417">
        <f>K12-O12</f>
        <v>8.8341756810164151E-2</v>
      </c>
      <c r="M12" s="417">
        <v>6.7500000000000004E-2</v>
      </c>
      <c r="N12" s="188">
        <f>D12-M12</f>
        <v>0.18757581129147732</v>
      </c>
      <c r="O12" s="188">
        <f>N12/9</f>
        <v>2.0841756810164147E-2</v>
      </c>
    </row>
    <row r="13" spans="2:18" x14ac:dyDescent="0.3">
      <c r="C13" s="417"/>
      <c r="D13" s="417"/>
      <c r="E13" s="417"/>
      <c r="F13" s="417"/>
      <c r="G13" s="417"/>
      <c r="H13" s="417"/>
      <c r="I13" s="417"/>
      <c r="J13" s="417"/>
      <c r="K13" s="417"/>
      <c r="L13" s="417"/>
      <c r="M13" s="417"/>
    </row>
    <row r="14" spans="2:18" x14ac:dyDescent="0.3">
      <c r="B14" s="414" t="s">
        <v>516</v>
      </c>
      <c r="C14" s="417"/>
      <c r="D14" s="417"/>
      <c r="E14" s="417"/>
      <c r="F14" s="417"/>
      <c r="G14" s="417"/>
      <c r="H14" s="417"/>
      <c r="I14" s="417"/>
      <c r="J14" s="417"/>
      <c r="K14" s="417"/>
      <c r="L14" s="417"/>
      <c r="M14" s="417"/>
    </row>
    <row r="15" spans="2:18" x14ac:dyDescent="0.3">
      <c r="B15" s="415" t="s">
        <v>501</v>
      </c>
      <c r="C15" s="416" t="s">
        <v>502</v>
      </c>
      <c r="D15" s="416" t="s">
        <v>503</v>
      </c>
      <c r="E15" s="416" t="s">
        <v>504</v>
      </c>
      <c r="F15" s="416" t="s">
        <v>505</v>
      </c>
      <c r="G15" s="416" t="s">
        <v>506</v>
      </c>
      <c r="H15" s="416" t="s">
        <v>507</v>
      </c>
      <c r="I15" s="416" t="s">
        <v>508</v>
      </c>
      <c r="J15" s="416" t="s">
        <v>509</v>
      </c>
      <c r="K15" s="416" t="s">
        <v>510</v>
      </c>
      <c r="L15" s="416" t="s">
        <v>511</v>
      </c>
      <c r="M15" s="416" t="s">
        <v>512</v>
      </c>
    </row>
    <row r="16" spans="2:18" x14ac:dyDescent="0.3">
      <c r="B16" s="188" t="s">
        <v>513</v>
      </c>
      <c r="C16" s="417">
        <f>C11</f>
        <v>21374.81</v>
      </c>
      <c r="D16" s="417" t="e">
        <f>C16*(1+D17)</f>
        <v>#VALUE!</v>
      </c>
      <c r="E16" s="417" t="e">
        <f t="shared" ref="E16:M16" si="3">D16*(1+E17)</f>
        <v>#VALUE!</v>
      </c>
      <c r="F16" s="417" t="e">
        <f t="shared" si="3"/>
        <v>#VALUE!</v>
      </c>
      <c r="G16" s="417" t="e">
        <f t="shared" si="3"/>
        <v>#VALUE!</v>
      </c>
      <c r="H16" s="417" t="e">
        <f t="shared" si="3"/>
        <v>#VALUE!</v>
      </c>
      <c r="I16" s="417" t="e">
        <f t="shared" si="3"/>
        <v>#VALUE!</v>
      </c>
      <c r="J16" s="417" t="e">
        <f t="shared" si="3"/>
        <v>#VALUE!</v>
      </c>
      <c r="K16" s="417" t="e">
        <f t="shared" si="3"/>
        <v>#VALUE!</v>
      </c>
      <c r="L16" s="417" t="e">
        <f t="shared" si="3"/>
        <v>#VALUE!</v>
      </c>
      <c r="M16" s="417" t="e">
        <f t="shared" si="3"/>
        <v>#VALUE!</v>
      </c>
    </row>
    <row r="17" spans="2:15" x14ac:dyDescent="0.3">
      <c r="B17" s="188" t="s">
        <v>514</v>
      </c>
      <c r="C17" s="417"/>
      <c r="D17" s="417" t="e">
        <f>'Assumptions '!D54</f>
        <v>#VALUE!</v>
      </c>
      <c r="E17" s="417" t="e">
        <f>D17-$O$17</f>
        <v>#VALUE!</v>
      </c>
      <c r="F17" s="417" t="e">
        <f>E17-$O$17</f>
        <v>#VALUE!</v>
      </c>
      <c r="G17" s="417" t="e">
        <f>F17-$O$17</f>
        <v>#VALUE!</v>
      </c>
      <c r="H17" s="417" t="e">
        <f>G17-$O$17</f>
        <v>#VALUE!</v>
      </c>
      <c r="I17" s="417" t="e">
        <f t="shared" ref="I17:K17" si="4">H17-$O$17</f>
        <v>#VALUE!</v>
      </c>
      <c r="J17" s="417" t="e">
        <f t="shared" si="4"/>
        <v>#VALUE!</v>
      </c>
      <c r="K17" s="417" t="e">
        <f t="shared" si="4"/>
        <v>#VALUE!</v>
      </c>
      <c r="L17" s="417" t="e">
        <f>K17-$O$17</f>
        <v>#VALUE!</v>
      </c>
      <c r="M17" s="417">
        <v>6.7500000000000004E-2</v>
      </c>
      <c r="N17" s="188" t="e">
        <f>D17-M17</f>
        <v>#VALUE!</v>
      </c>
      <c r="O17" s="188" t="e">
        <f>N17/9</f>
        <v>#VALUE!</v>
      </c>
    </row>
    <row r="18" spans="2:15" x14ac:dyDescent="0.3">
      <c r="C18" s="417"/>
      <c r="D18" s="417"/>
      <c r="E18" s="417"/>
      <c r="F18" s="417"/>
      <c r="G18" s="417"/>
      <c r="H18" s="417"/>
      <c r="I18" s="417"/>
      <c r="J18" s="417"/>
      <c r="K18" s="417"/>
      <c r="L18" s="417"/>
      <c r="M18" s="417"/>
    </row>
    <row r="19" spans="2:15" x14ac:dyDescent="0.3">
      <c r="B19" s="414" t="s">
        <v>517</v>
      </c>
      <c r="C19" s="420">
        <v>1</v>
      </c>
      <c r="D19" s="417"/>
      <c r="E19" s="417"/>
      <c r="F19" s="417"/>
      <c r="G19" s="417"/>
      <c r="H19" s="417"/>
      <c r="I19" s="417"/>
      <c r="J19" s="417"/>
      <c r="K19" s="417"/>
      <c r="L19" s="417"/>
      <c r="M19" s="417"/>
    </row>
    <row r="20" spans="2:15" x14ac:dyDescent="0.3">
      <c r="B20" s="415" t="s">
        <v>501</v>
      </c>
      <c r="C20" s="416" t="s">
        <v>502</v>
      </c>
      <c r="D20" s="416" t="s">
        <v>503</v>
      </c>
      <c r="E20" s="416" t="s">
        <v>504</v>
      </c>
      <c r="F20" s="416" t="s">
        <v>505</v>
      </c>
      <c r="G20" s="416" t="s">
        <v>506</v>
      </c>
      <c r="H20" s="416" t="s">
        <v>507</v>
      </c>
      <c r="I20" s="416" t="s">
        <v>508</v>
      </c>
      <c r="J20" s="416" t="s">
        <v>509</v>
      </c>
      <c r="K20" s="416" t="s">
        <v>510</v>
      </c>
      <c r="L20" s="416" t="s">
        <v>511</v>
      </c>
      <c r="M20" s="416" t="s">
        <v>512</v>
      </c>
    </row>
    <row r="21" spans="2:15" x14ac:dyDescent="0.3">
      <c r="B21" s="188" t="s">
        <v>513</v>
      </c>
      <c r="C21" s="417">
        <f>C6</f>
        <v>21374.81</v>
      </c>
      <c r="D21" s="417">
        <f>C21*(1+D22)</f>
        <v>26224.301781810311</v>
      </c>
      <c r="E21" s="417">
        <f t="shared" ref="E21:M21" si="5">D21*(1+E22)</f>
        <v>31705.270021646334</v>
      </c>
      <c r="F21" s="417">
        <f t="shared" si="5"/>
        <v>37765.034082801903</v>
      </c>
      <c r="G21" s="417">
        <f t="shared" si="5"/>
        <v>44307.922543681067</v>
      </c>
      <c r="H21" s="417">
        <f t="shared" si="5"/>
        <v>51192.360168321909</v>
      </c>
      <c r="I21" s="417">
        <f t="shared" si="5"/>
        <v>58231.396723174825</v>
      </c>
      <c r="J21" s="417">
        <f t="shared" si="5"/>
        <v>65197.401805222027</v>
      </c>
      <c r="K21" s="417">
        <f t="shared" si="5"/>
        <v>71831.292859685491</v>
      </c>
      <c r="L21" s="417">
        <f t="shared" si="5"/>
        <v>77856.173078238528</v>
      </c>
      <c r="M21" s="417">
        <f t="shared" si="5"/>
        <v>82994.680501402268</v>
      </c>
    </row>
    <row r="22" spans="2:15" x14ac:dyDescent="0.3">
      <c r="B22" s="188" t="s">
        <v>514</v>
      </c>
      <c r="C22" s="417"/>
      <c r="D22" s="421">
        <f>CHOOSE($C$19,D7,D12,D17)</f>
        <v>0.22687882520641395</v>
      </c>
      <c r="E22" s="421">
        <f>CHOOSE($C$19,E7,E12,E17)</f>
        <v>0.20900340018347907</v>
      </c>
      <c r="F22" s="421">
        <f t="shared" ref="F22:L22" si="6">CHOOSE($C$19,F7,F12,F17)</f>
        <v>0.19112797516054419</v>
      </c>
      <c r="G22" s="421">
        <f t="shared" si="6"/>
        <v>0.17325255013760932</v>
      </c>
      <c r="H22" s="421">
        <f t="shared" si="6"/>
        <v>0.15537712511467444</v>
      </c>
      <c r="I22" s="421">
        <f t="shared" si="6"/>
        <v>0.13750170009173956</v>
      </c>
      <c r="J22" s="421">
        <f t="shared" si="6"/>
        <v>0.11962627506880469</v>
      </c>
      <c r="K22" s="421">
        <f t="shared" si="6"/>
        <v>0.10175085004586981</v>
      </c>
      <c r="L22" s="421">
        <f t="shared" si="6"/>
        <v>8.3875425022934935E-2</v>
      </c>
      <c r="M22" s="421">
        <f>CHOOSE($C$19,M7,M12,M17)</f>
        <v>6.6000000000000059E-2</v>
      </c>
    </row>
    <row r="26" spans="2:15" x14ac:dyDescent="0.3">
      <c r="F26" s="438" t="s">
        <v>553</v>
      </c>
    </row>
    <row r="27" spans="2:15" x14ac:dyDescent="0.3">
      <c r="F27" s="188" t="s">
        <v>547</v>
      </c>
    </row>
    <row r="28" spans="2:15" x14ac:dyDescent="0.3">
      <c r="F28" s="188" t="s">
        <v>548</v>
      </c>
    </row>
    <row r="29" spans="2:15" x14ac:dyDescent="0.3">
      <c r="F29" s="188" t="s">
        <v>549</v>
      </c>
    </row>
    <row r="30" spans="2:15" x14ac:dyDescent="0.3">
      <c r="F30" s="188" t="s">
        <v>550</v>
      </c>
    </row>
    <row r="31" spans="2:15" x14ac:dyDescent="0.3">
      <c r="F31" s="188" t="s">
        <v>551</v>
      </c>
    </row>
    <row r="32" spans="2:15" x14ac:dyDescent="0.3">
      <c r="F32" s="188" t="s">
        <v>552</v>
      </c>
    </row>
  </sheetData>
  <mergeCells count="1">
    <mergeCell ref="K3:R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70172-8F3A-4E59-A24D-F26B6F365CF0}">
  <dimension ref="B1:R32"/>
  <sheetViews>
    <sheetView showGridLines="0" topLeftCell="A5" workbookViewId="0">
      <selection activeCell="G2" sqref="G2"/>
    </sheetView>
  </sheetViews>
  <sheetFormatPr defaultRowHeight="14.4" x14ac:dyDescent="0.3"/>
  <cols>
    <col min="1" max="1" width="1.88671875" style="423" customWidth="1"/>
    <col min="2" max="2" width="29.88671875" style="423" bestFit="1" customWidth="1"/>
    <col min="3" max="3" width="12" style="423" bestFit="1" customWidth="1"/>
    <col min="4" max="4" width="16.109375" style="423" bestFit="1" customWidth="1"/>
    <col min="5" max="5" width="12.5546875" style="423" bestFit="1" customWidth="1"/>
    <col min="6" max="7" width="13.44140625" style="423" bestFit="1" customWidth="1"/>
    <col min="8" max="10" width="14.44140625" style="423" bestFit="1" customWidth="1"/>
    <col min="11" max="12" width="15.44140625" style="423" bestFit="1" customWidth="1"/>
    <col min="13" max="13" width="16.109375" style="423" bestFit="1" customWidth="1"/>
    <col min="14" max="14" width="2.44140625" style="423" customWidth="1"/>
    <col min="15" max="15" width="15.44140625" style="423" bestFit="1" customWidth="1"/>
    <col min="16" max="16" width="2.44140625" style="423" customWidth="1"/>
    <col min="17" max="17" width="44.44140625" style="423" customWidth="1"/>
    <col min="18" max="18" width="7.109375" style="423" bestFit="1" customWidth="1"/>
    <col min="19" max="16384" width="8.88671875" style="423"/>
  </cols>
  <sheetData>
    <row r="1" spans="2:18" x14ac:dyDescent="0.3">
      <c r="B1" s="422" t="s">
        <v>544</v>
      </c>
    </row>
    <row r="2" spans="2:18" x14ac:dyDescent="0.3">
      <c r="D2" s="423">
        <v>1</v>
      </c>
      <c r="E2" s="423">
        <v>2</v>
      </c>
      <c r="F2" s="423">
        <v>3</v>
      </c>
      <c r="G2" s="423">
        <v>4</v>
      </c>
      <c r="H2" s="423">
        <v>5</v>
      </c>
      <c r="I2" s="423">
        <v>6</v>
      </c>
      <c r="J2" s="423">
        <v>7</v>
      </c>
      <c r="K2" s="423">
        <v>8</v>
      </c>
      <c r="L2" s="423">
        <v>9</v>
      </c>
      <c r="M2" s="423">
        <v>10</v>
      </c>
    </row>
    <row r="3" spans="2:18" x14ac:dyDescent="0.3">
      <c r="B3" s="424" t="s">
        <v>519</v>
      </c>
      <c r="C3" s="425" t="s">
        <v>502</v>
      </c>
      <c r="D3" s="425" t="s">
        <v>503</v>
      </c>
      <c r="E3" s="425" t="s">
        <v>504</v>
      </c>
      <c r="F3" s="425" t="s">
        <v>505</v>
      </c>
      <c r="G3" s="425" t="s">
        <v>506</v>
      </c>
      <c r="H3" s="425" t="s">
        <v>507</v>
      </c>
      <c r="I3" s="425" t="s">
        <v>508</v>
      </c>
      <c r="J3" s="425" t="s">
        <v>509</v>
      </c>
      <c r="K3" s="490" t="s">
        <v>510</v>
      </c>
      <c r="L3" s="490"/>
      <c r="M3" s="490"/>
      <c r="N3" s="490"/>
      <c r="O3" s="490"/>
      <c r="P3" s="490"/>
      <c r="Q3" s="490"/>
      <c r="R3" s="490"/>
    </row>
    <row r="4" spans="2:18" x14ac:dyDescent="0.3">
      <c r="B4" s="428" t="s">
        <v>520</v>
      </c>
      <c r="C4" s="423">
        <f>'Growth Scenario'!C21</f>
        <v>21374.81</v>
      </c>
      <c r="D4" s="423">
        <f>'Growth Scenario'!D21</f>
        <v>26224.301781810311</v>
      </c>
      <c r="E4" s="423">
        <f>'Growth Scenario'!E21</f>
        <v>31705.270021646334</v>
      </c>
      <c r="F4" s="423">
        <f>'Growth Scenario'!F21</f>
        <v>37765.034082801903</v>
      </c>
      <c r="G4" s="423">
        <f>'Growth Scenario'!G21</f>
        <v>44307.922543681067</v>
      </c>
      <c r="H4" s="423">
        <f>'Growth Scenario'!H21</f>
        <v>51192.360168321909</v>
      </c>
      <c r="I4" s="423">
        <f>'Growth Scenario'!I21</f>
        <v>58231.396723174825</v>
      </c>
      <c r="J4" s="423">
        <f>'Growth Scenario'!J21</f>
        <v>65197.401805222027</v>
      </c>
      <c r="K4" s="423">
        <f>'Growth Scenario'!K21</f>
        <v>71831.292859685491</v>
      </c>
      <c r="L4" s="423">
        <f>'Growth Scenario'!L21</f>
        <v>77856.173078238528</v>
      </c>
      <c r="M4" s="423">
        <f>'Growth Scenario'!M21</f>
        <v>82994.680501402268</v>
      </c>
      <c r="O4" s="423">
        <f>M4*(1+R3)</f>
        <v>82994.680501402268</v>
      </c>
      <c r="Q4" s="427" t="s">
        <v>521</v>
      </c>
      <c r="R4" s="353">
        <f>'Cost of Capital '!E25</f>
        <v>0.10583384413503796</v>
      </c>
    </row>
    <row r="5" spans="2:18" x14ac:dyDescent="0.3">
      <c r="B5" s="428" t="s">
        <v>522</v>
      </c>
      <c r="D5" s="423">
        <f>'Growth Scenario'!D22</f>
        <v>0.22687882520641395</v>
      </c>
      <c r="E5" s="423">
        <f>'Growth Scenario'!E22</f>
        <v>0.20900340018347907</v>
      </c>
      <c r="F5" s="423">
        <f>'Growth Scenario'!F22</f>
        <v>0.19112797516054419</v>
      </c>
      <c r="G5" s="423">
        <f>'Growth Scenario'!G22</f>
        <v>0.17325255013760932</v>
      </c>
      <c r="H5" s="423">
        <f>'Growth Scenario'!H22</f>
        <v>0.15537712511467444</v>
      </c>
      <c r="I5" s="423">
        <f>'Growth Scenario'!I22</f>
        <v>0.13750170009173956</v>
      </c>
      <c r="J5" s="423">
        <f>'Growth Scenario'!J22</f>
        <v>0.11962627506880469</v>
      </c>
      <c r="K5" s="423">
        <f>'Growth Scenario'!K22</f>
        <v>0.10175085004586981</v>
      </c>
      <c r="L5" s="423">
        <f>'Growth Scenario'!L22</f>
        <v>8.3875425022934935E-2</v>
      </c>
      <c r="M5" s="423">
        <f>'Growth Scenario'!M22</f>
        <v>6.6000000000000059E-2</v>
      </c>
      <c r="O5" s="423">
        <f>R3</f>
        <v>0</v>
      </c>
      <c r="Q5" s="427" t="s">
        <v>523</v>
      </c>
      <c r="R5" s="353">
        <f>R3*R4</f>
        <v>0</v>
      </c>
    </row>
    <row r="6" spans="2:18" x14ac:dyDescent="0.3">
      <c r="B6" s="428" t="s">
        <v>391</v>
      </c>
      <c r="D6" s="423">
        <f>D7*D4</f>
        <v>3806.951708919752</v>
      </c>
      <c r="E6" s="423">
        <f t="shared" ref="E6:L6" si="0">E7*E4</f>
        <v>4602.6175604182863</v>
      </c>
      <c r="F6" s="423">
        <f t="shared" si="0"/>
        <v>5482.3065351793975</v>
      </c>
      <c r="G6" s="423">
        <f>G7*G4</f>
        <v>6432.1301230353092</v>
      </c>
      <c r="H6" s="423">
        <f t="shared" si="0"/>
        <v>7431.5360099160343</v>
      </c>
      <c r="I6" s="423">
        <f t="shared" si="0"/>
        <v>8453.384845572471</v>
      </c>
      <c r="J6" s="423">
        <f t="shared" si="0"/>
        <v>9464.6317863713884</v>
      </c>
      <c r="K6" s="423">
        <f t="shared" si="0"/>
        <v>10427.666116005836</v>
      </c>
      <c r="L6" s="423">
        <f t="shared" si="0"/>
        <v>11302.291043483085</v>
      </c>
      <c r="M6" s="423">
        <f>M7*M4</f>
        <v>12048.242252352968</v>
      </c>
      <c r="O6" s="423">
        <f>O7*O4</f>
        <v>12048.242252352968</v>
      </c>
      <c r="Q6" s="427"/>
    </row>
    <row r="7" spans="2:18" x14ac:dyDescent="0.3">
      <c r="B7" s="428" t="s">
        <v>524</v>
      </c>
      <c r="D7" s="423">
        <f>AVERAGE(Ratios!C13:G13)</f>
        <v>0.14516884913063074</v>
      </c>
      <c r="E7" s="423">
        <f>D7</f>
        <v>0.14516884913063074</v>
      </c>
      <c r="F7" s="423">
        <f t="shared" ref="F7:M7" si="1">E7</f>
        <v>0.14516884913063074</v>
      </c>
      <c r="G7" s="423">
        <f t="shared" si="1"/>
        <v>0.14516884913063074</v>
      </c>
      <c r="H7" s="423">
        <f t="shared" si="1"/>
        <v>0.14516884913063074</v>
      </c>
      <c r="I7" s="423">
        <f t="shared" si="1"/>
        <v>0.14516884913063074</v>
      </c>
      <c r="J7" s="423">
        <f t="shared" si="1"/>
        <v>0.14516884913063074</v>
      </c>
      <c r="K7" s="423">
        <f t="shared" si="1"/>
        <v>0.14516884913063074</v>
      </c>
      <c r="L7" s="423">
        <f t="shared" si="1"/>
        <v>0.14516884913063074</v>
      </c>
      <c r="M7" s="423">
        <f t="shared" si="1"/>
        <v>0.14516884913063074</v>
      </c>
      <c r="O7" s="423">
        <f>M7</f>
        <v>0.14516884913063074</v>
      </c>
      <c r="Q7" s="427" t="s">
        <v>525</v>
      </c>
    </row>
    <row r="8" spans="2:18" x14ac:dyDescent="0.3">
      <c r="B8" s="428" t="s">
        <v>452</v>
      </c>
      <c r="D8" s="423">
        <f>25%*D6</f>
        <v>951.73792722993801</v>
      </c>
      <c r="E8" s="423">
        <f t="shared" ref="E8:M8" si="2">25%*E6</f>
        <v>1150.6543901045716</v>
      </c>
      <c r="F8" s="423">
        <f t="shared" si="2"/>
        <v>1370.5766337948494</v>
      </c>
      <c r="G8" s="423">
        <f t="shared" si="2"/>
        <v>1608.0325307588273</v>
      </c>
      <c r="H8" s="423">
        <f t="shared" si="2"/>
        <v>1857.8840024790086</v>
      </c>
      <c r="I8" s="423">
        <f t="shared" si="2"/>
        <v>2113.3462113931178</v>
      </c>
      <c r="J8" s="423">
        <f t="shared" si="2"/>
        <v>2366.1579465928471</v>
      </c>
      <c r="K8" s="423">
        <f t="shared" si="2"/>
        <v>2606.9165290014589</v>
      </c>
      <c r="L8" s="423">
        <f t="shared" si="2"/>
        <v>2825.5727608707712</v>
      </c>
      <c r="M8" s="423">
        <f t="shared" si="2"/>
        <v>3012.0605630882419</v>
      </c>
      <c r="O8" s="423">
        <f>25%*O6</f>
        <v>3012.0605630882419</v>
      </c>
    </row>
    <row r="9" spans="2:18" s="426" customFormat="1" x14ac:dyDescent="0.3">
      <c r="B9" s="429" t="s">
        <v>526</v>
      </c>
      <c r="D9" s="426">
        <f>D6-D8</f>
        <v>2855.2137816898139</v>
      </c>
      <c r="E9" s="426">
        <f t="shared" ref="E9:L9" si="3">E6-E8</f>
        <v>3451.9631703137147</v>
      </c>
      <c r="F9" s="426">
        <f t="shared" si="3"/>
        <v>4111.7299013845477</v>
      </c>
      <c r="G9" s="426">
        <f t="shared" si="3"/>
        <v>4824.0975922764819</v>
      </c>
      <c r="H9" s="426">
        <f t="shared" si="3"/>
        <v>5573.6520074370255</v>
      </c>
      <c r="I9" s="426">
        <f t="shared" si="3"/>
        <v>6340.0386341793528</v>
      </c>
      <c r="J9" s="426">
        <f t="shared" si="3"/>
        <v>7098.4738397785413</v>
      </c>
      <c r="K9" s="426">
        <f t="shared" si="3"/>
        <v>7820.7495870043767</v>
      </c>
      <c r="L9" s="426">
        <f t="shared" si="3"/>
        <v>8476.7182826123135</v>
      </c>
      <c r="M9" s="426">
        <f>M6-M8</f>
        <v>9036.1816892647257</v>
      </c>
      <c r="O9" s="426">
        <f>O6-O8</f>
        <v>9036.1816892647257</v>
      </c>
    </row>
    <row r="10" spans="2:18" x14ac:dyDescent="0.3">
      <c r="B10" s="428" t="s">
        <v>527</v>
      </c>
      <c r="D10" s="423">
        <f>'Fixed Asset Schedule '!$C$13*Valuation!D4</f>
        <v>6931.5112593896292</v>
      </c>
      <c r="E10" s="423">
        <f>'Fixed Asset Schedule '!$C$13*Valuation!E4</f>
        <v>8380.2206810121297</v>
      </c>
      <c r="F10" s="423">
        <f>'Fixed Asset Schedule '!$C$13*Valuation!F4</f>
        <v>9981.9152911724959</v>
      </c>
      <c r="G10" s="423">
        <f>'Fixed Asset Schedule '!$C$13*Valuation!G4</f>
        <v>11711.30757062573</v>
      </c>
      <c r="H10" s="423">
        <f>'Fixed Asset Schedule '!$C$13*Valuation!H4</f>
        <v>13530.976872283278</v>
      </c>
      <c r="I10" s="423">
        <f>'Fixed Asset Schedule '!$C$13*Valuation!I4</f>
        <v>15391.509196124238</v>
      </c>
      <c r="J10" s="423">
        <f>'Fixed Asset Schedule '!$C$13*Valuation!J4</f>
        <v>17232.738108943831</v>
      </c>
      <c r="K10" s="423">
        <f>'Fixed Asset Schedule '!$C$13*Valuation!K4</f>
        <v>18986.183860146721</v>
      </c>
      <c r="L10" s="423">
        <f>'Fixed Asset Schedule '!$C$13*Valuation!L4</f>
        <v>20578.658100980116</v>
      </c>
      <c r="M10" s="423">
        <f>'Fixed Asset Schedule '!$C$13*Valuation!M4</f>
        <v>21936.849535644804</v>
      </c>
    </row>
    <row r="11" spans="2:18" x14ac:dyDescent="0.3">
      <c r="B11" s="428" t="s">
        <v>528</v>
      </c>
      <c r="C11" s="423">
        <f>'Change in Working Capital'!G6</f>
        <v>641.7199999999998</v>
      </c>
      <c r="D11" s="423" t="e">
        <f>'Change in Working Capital'!$C$10*Valuation!D4</f>
        <v>#VALUE!</v>
      </c>
      <c r="E11" s="423" t="e">
        <f>'Change in Working Capital'!$C$10*Valuation!E4</f>
        <v>#VALUE!</v>
      </c>
      <c r="F11" s="423" t="e">
        <f>'Change in Working Capital'!$C$10*Valuation!F4</f>
        <v>#VALUE!</v>
      </c>
      <c r="G11" s="423" t="e">
        <f>'Change in Working Capital'!$C$10*Valuation!G4</f>
        <v>#VALUE!</v>
      </c>
      <c r="H11" s="423" t="e">
        <f>'Change in Working Capital'!$C$10*Valuation!H4</f>
        <v>#VALUE!</v>
      </c>
      <c r="I11" s="423" t="e">
        <f>'Change in Working Capital'!$C$10*Valuation!I4</f>
        <v>#VALUE!</v>
      </c>
      <c r="J11" s="423" t="e">
        <f>'Change in Working Capital'!$C$10*Valuation!J4</f>
        <v>#VALUE!</v>
      </c>
      <c r="K11" s="423" t="e">
        <f>'Change in Working Capital'!$C$10*Valuation!K4</f>
        <v>#VALUE!</v>
      </c>
      <c r="L11" s="423" t="e">
        <f>'Change in Working Capital'!$C$10*Valuation!L4</f>
        <v>#VALUE!</v>
      </c>
      <c r="M11" s="423" t="e">
        <f>'Change in Working Capital'!$C$10*Valuation!M4</f>
        <v>#VALUE!</v>
      </c>
    </row>
    <row r="12" spans="2:18" x14ac:dyDescent="0.3">
      <c r="B12" s="428" t="s">
        <v>529</v>
      </c>
      <c r="D12" s="423" t="e">
        <f>D11-C11</f>
        <v>#VALUE!</v>
      </c>
      <c r="E12" s="423" t="e">
        <f>E11-D11</f>
        <v>#VALUE!</v>
      </c>
      <c r="F12" s="423" t="e">
        <f t="shared" ref="F12:M12" si="4">F11-E11</f>
        <v>#VALUE!</v>
      </c>
      <c r="G12" s="423" t="e">
        <f t="shared" si="4"/>
        <v>#VALUE!</v>
      </c>
      <c r="H12" s="423" t="e">
        <f t="shared" si="4"/>
        <v>#VALUE!</v>
      </c>
      <c r="I12" s="423" t="e">
        <f t="shared" si="4"/>
        <v>#VALUE!</v>
      </c>
      <c r="J12" s="423" t="e">
        <f t="shared" si="4"/>
        <v>#VALUE!</v>
      </c>
      <c r="K12" s="423" t="e">
        <f t="shared" si="4"/>
        <v>#VALUE!</v>
      </c>
      <c r="L12" s="423" t="e">
        <f t="shared" si="4"/>
        <v>#VALUE!</v>
      </c>
      <c r="M12" s="423" t="e">
        <f t="shared" si="4"/>
        <v>#VALUE!</v>
      </c>
    </row>
    <row r="13" spans="2:18" x14ac:dyDescent="0.3">
      <c r="B13" s="428" t="s">
        <v>448</v>
      </c>
      <c r="D13" s="423" t="e">
        <f>D10+D12</f>
        <v>#VALUE!</v>
      </c>
      <c r="E13" s="423" t="e">
        <f t="shared" ref="E13:L13" si="5">E10+E12</f>
        <v>#VALUE!</v>
      </c>
      <c r="F13" s="423" t="e">
        <f t="shared" si="5"/>
        <v>#VALUE!</v>
      </c>
      <c r="G13" s="423" t="e">
        <f t="shared" si="5"/>
        <v>#VALUE!</v>
      </c>
      <c r="H13" s="423" t="e">
        <f t="shared" si="5"/>
        <v>#VALUE!</v>
      </c>
      <c r="I13" s="423" t="e">
        <f t="shared" si="5"/>
        <v>#VALUE!</v>
      </c>
      <c r="J13" s="423" t="e">
        <f t="shared" si="5"/>
        <v>#VALUE!</v>
      </c>
      <c r="K13" s="423" t="e">
        <f t="shared" si="5"/>
        <v>#VALUE!</v>
      </c>
      <c r="L13" s="423" t="e">
        <f t="shared" si="5"/>
        <v>#VALUE!</v>
      </c>
      <c r="M13" s="423" t="e">
        <f>M10+M12</f>
        <v>#VALUE!</v>
      </c>
      <c r="O13" s="423">
        <f>O9*O15</f>
        <v>0</v>
      </c>
    </row>
    <row r="14" spans="2:18" x14ac:dyDescent="0.3">
      <c r="B14" s="429" t="s">
        <v>530</v>
      </c>
      <c r="D14" s="426" t="e">
        <f>D9-D13</f>
        <v>#VALUE!</v>
      </c>
      <c r="E14" s="426" t="e">
        <f t="shared" ref="E14:J14" si="6">E9-E13</f>
        <v>#VALUE!</v>
      </c>
      <c r="F14" s="426" t="e">
        <f t="shared" si="6"/>
        <v>#VALUE!</v>
      </c>
      <c r="G14" s="426" t="e">
        <f t="shared" si="6"/>
        <v>#VALUE!</v>
      </c>
      <c r="H14" s="426" t="e">
        <f t="shared" si="6"/>
        <v>#VALUE!</v>
      </c>
      <c r="I14" s="426" t="e">
        <f t="shared" si="6"/>
        <v>#VALUE!</v>
      </c>
      <c r="J14" s="426" t="e">
        <f t="shared" si="6"/>
        <v>#VALUE!</v>
      </c>
      <c r="K14" s="426" t="e">
        <f>K9-K13</f>
        <v>#VALUE!</v>
      </c>
      <c r="L14" s="426" t="e">
        <f>L9-L13</f>
        <v>#VALUE!</v>
      </c>
      <c r="M14" s="426" t="e">
        <f>M9-M13</f>
        <v>#VALUE!</v>
      </c>
      <c r="O14" s="423">
        <f>O9-O13</f>
        <v>9036.1816892647257</v>
      </c>
    </row>
    <row r="15" spans="2:18" x14ac:dyDescent="0.3">
      <c r="B15" s="423" t="s">
        <v>531</v>
      </c>
      <c r="D15" s="430" t="e">
        <f>D13/D9</f>
        <v>#VALUE!</v>
      </c>
      <c r="E15" s="430" t="e">
        <f t="shared" ref="E15:M15" si="7">E13/E9</f>
        <v>#VALUE!</v>
      </c>
      <c r="F15" s="430" t="e">
        <f t="shared" si="7"/>
        <v>#VALUE!</v>
      </c>
      <c r="G15" s="430" t="e">
        <f>G13/G9</f>
        <v>#VALUE!</v>
      </c>
      <c r="H15" s="430" t="e">
        <f t="shared" si="7"/>
        <v>#VALUE!</v>
      </c>
      <c r="I15" s="430" t="e">
        <f t="shared" si="7"/>
        <v>#VALUE!</v>
      </c>
      <c r="J15" s="430" t="e">
        <f t="shared" si="7"/>
        <v>#VALUE!</v>
      </c>
      <c r="K15" s="430" t="e">
        <f t="shared" si="7"/>
        <v>#VALUE!</v>
      </c>
      <c r="L15" s="430" t="e">
        <f t="shared" si="7"/>
        <v>#VALUE!</v>
      </c>
      <c r="M15" s="430" t="e">
        <f t="shared" si="7"/>
        <v>#VALUE!</v>
      </c>
      <c r="O15" s="423">
        <f>R5</f>
        <v>0</v>
      </c>
    </row>
    <row r="17" spans="2:13" x14ac:dyDescent="0.3">
      <c r="B17" s="423" t="s">
        <v>532</v>
      </c>
      <c r="M17" s="423" t="e">
        <f>-M14/(R4-R3)</f>
        <v>#VALUE!</v>
      </c>
    </row>
    <row r="19" spans="2:13" x14ac:dyDescent="0.3">
      <c r="B19" s="423" t="s">
        <v>533</v>
      </c>
      <c r="D19" s="423">
        <f>1/(1+$R$4)^D2</f>
        <v>0.9042949854570429</v>
      </c>
      <c r="E19" s="423">
        <f>1/(1+$R$4)^E2</f>
        <v>0.81774942072275347</v>
      </c>
      <c r="F19" s="423">
        <f t="shared" ref="F19:L19" si="8">1/(1+$R$4)^F2</f>
        <v>0.73948670051998766</v>
      </c>
      <c r="G19" s="423">
        <f t="shared" si="8"/>
        <v>0.66871411509239886</v>
      </c>
      <c r="H19" s="423">
        <f t="shared" si="8"/>
        <v>0.60471482098240015</v>
      </c>
      <c r="I19" s="423">
        <f t="shared" si="8"/>
        <v>0.54684058024593796</v>
      </c>
      <c r="J19" s="423">
        <f t="shared" si="8"/>
        <v>0.49450519456082137</v>
      </c>
      <c r="K19" s="423">
        <f t="shared" si="8"/>
        <v>0.44717856772381015</v>
      </c>
      <c r="L19" s="423">
        <f t="shared" si="8"/>
        <v>0.4043813363965042</v>
      </c>
      <c r="M19" s="423">
        <f>1/(1+$R$4)^M2</f>
        <v>0.36568001471577632</v>
      </c>
    </row>
    <row r="21" spans="2:13" x14ac:dyDescent="0.3">
      <c r="B21" s="423" t="s">
        <v>534</v>
      </c>
      <c r="D21" s="423" t="e">
        <f>SUMPRODUCT(D14:M14,D19:M19)</f>
        <v>#VALUE!</v>
      </c>
    </row>
    <row r="22" spans="2:13" x14ac:dyDescent="0.3">
      <c r="B22" s="423" t="s">
        <v>535</v>
      </c>
      <c r="D22" s="423" t="e">
        <f>M17*M19</f>
        <v>#VALUE!</v>
      </c>
    </row>
    <row r="23" spans="2:13" x14ac:dyDescent="0.3">
      <c r="I23" s="431" t="s">
        <v>536</v>
      </c>
      <c r="J23" s="431"/>
      <c r="K23" s="431"/>
      <c r="L23" s="431"/>
      <c r="M23" s="431"/>
    </row>
    <row r="24" spans="2:13" x14ac:dyDescent="0.3">
      <c r="B24" s="426" t="s">
        <v>537</v>
      </c>
      <c r="D24" s="426" t="e">
        <f>D21+D22</f>
        <v>#VALUE!</v>
      </c>
      <c r="I24" s="427" t="e">
        <f>D31</f>
        <v>#VALUE!</v>
      </c>
      <c r="J24" s="426">
        <f>K24-1%</f>
        <v>9.5833844135037968E-2</v>
      </c>
      <c r="K24" s="426">
        <f>R4</f>
        <v>0.10583384413503796</v>
      </c>
      <c r="L24" s="426">
        <f>K24+1%</f>
        <v>0.11583384413503796</v>
      </c>
      <c r="M24" s="426">
        <f>L24+1%</f>
        <v>0.12583384413503795</v>
      </c>
    </row>
    <row r="25" spans="2:13" x14ac:dyDescent="0.3">
      <c r="B25" s="428" t="s">
        <v>538</v>
      </c>
      <c r="D25" s="423">
        <f>'Consolidated BS'!G30</f>
        <v>1998.49</v>
      </c>
      <c r="I25" s="432">
        <f>I26-1%</f>
        <v>4.7E-2</v>
      </c>
      <c r="J25" s="423">
        <v>647.64580620614606</v>
      </c>
      <c r="K25" s="423">
        <v>647.64580620614606</v>
      </c>
      <c r="L25" s="423">
        <v>525.4601059921149</v>
      </c>
      <c r="M25" s="423">
        <v>380.79479708645744</v>
      </c>
    </row>
    <row r="26" spans="2:13" x14ac:dyDescent="0.3">
      <c r="B26" s="428" t="s">
        <v>539</v>
      </c>
      <c r="D26" s="423">
        <f>'Consolidated BS'!G15</f>
        <v>2024.12</v>
      </c>
      <c r="F26" s="437" t="s">
        <v>553</v>
      </c>
      <c r="I26" s="432">
        <f>I27-1%</f>
        <v>5.7000000000000002E-2</v>
      </c>
      <c r="J26" s="423">
        <v>488.12562856699719</v>
      </c>
      <c r="K26" s="423">
        <v>488.12562856699719</v>
      </c>
      <c r="L26" s="423">
        <v>411.63691356881111</v>
      </c>
      <c r="M26" s="423">
        <v>313.33095938802296</v>
      </c>
    </row>
    <row r="27" spans="2:13" x14ac:dyDescent="0.3">
      <c r="B27" s="428" t="s">
        <v>540</v>
      </c>
      <c r="F27" s="423" t="s">
        <v>547</v>
      </c>
      <c r="I27" s="432">
        <v>6.7000000000000004E-2</v>
      </c>
      <c r="J27" s="423">
        <v>384.07289250976413</v>
      </c>
      <c r="K27" s="433">
        <v>384.07289250976413</v>
      </c>
      <c r="L27" s="423">
        <v>332.97384833557277</v>
      </c>
      <c r="M27" s="423">
        <v>263.15812672608257</v>
      </c>
    </row>
    <row r="28" spans="2:13" ht="15" thickBot="1" x14ac:dyDescent="0.35">
      <c r="B28" s="434" t="s">
        <v>541</v>
      </c>
      <c r="C28" s="435"/>
      <c r="D28" s="434" t="e">
        <f>D24+D25-D26-D27</f>
        <v>#VALUE!</v>
      </c>
      <c r="F28" s="423" t="s">
        <v>548</v>
      </c>
      <c r="I28" s="432">
        <f>I27+1%</f>
        <v>7.6999999999999999E-2</v>
      </c>
      <c r="J28" s="423">
        <v>311.96099915341887</v>
      </c>
      <c r="K28" s="436">
        <v>311.96099915341887</v>
      </c>
      <c r="L28" s="423">
        <v>276.13090880691487</v>
      </c>
      <c r="M28" s="423">
        <v>224.7852418787335</v>
      </c>
    </row>
    <row r="29" spans="2:13" ht="15" thickTop="1" x14ac:dyDescent="0.3">
      <c r="F29" s="423" t="s">
        <v>549</v>
      </c>
      <c r="I29" s="432">
        <f>I28+1%</f>
        <v>8.6999999999999994E-2</v>
      </c>
      <c r="J29" s="423">
        <v>259.70008344627172</v>
      </c>
      <c r="K29" s="423">
        <v>259.70008344627172</v>
      </c>
      <c r="L29" s="423">
        <v>233.60487919839622</v>
      </c>
      <c r="M29" s="423">
        <v>194.74247908160174</v>
      </c>
    </row>
    <row r="30" spans="2:13" x14ac:dyDescent="0.3">
      <c r="B30" s="428" t="s">
        <v>542</v>
      </c>
      <c r="D30" s="423">
        <v>338.12</v>
      </c>
      <c r="F30" s="423" t="s">
        <v>550</v>
      </c>
    </row>
    <row r="31" spans="2:13" ht="15" thickBot="1" x14ac:dyDescent="0.35">
      <c r="B31" s="434" t="s">
        <v>543</v>
      </c>
      <c r="C31" s="435"/>
      <c r="D31" s="434" t="e">
        <f>D28/D30</f>
        <v>#VALUE!</v>
      </c>
      <c r="F31" s="434" t="s">
        <v>551</v>
      </c>
    </row>
    <row r="32" spans="2:13" ht="15" thickTop="1" x14ac:dyDescent="0.3">
      <c r="F32" s="423" t="s">
        <v>552</v>
      </c>
    </row>
  </sheetData>
  <mergeCells count="1">
    <mergeCell ref="K3:R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About</vt:lpstr>
      <vt:lpstr>Promoter </vt:lpstr>
      <vt:lpstr>Public </vt:lpstr>
      <vt:lpstr>Consolidated QTR</vt:lpstr>
      <vt:lpstr>Consolidated BS</vt:lpstr>
      <vt:lpstr>Standalone BS</vt:lpstr>
      <vt:lpstr>Consolidated PL</vt:lpstr>
      <vt:lpstr>Ratios</vt:lpstr>
      <vt:lpstr>Standalone PL</vt:lpstr>
      <vt:lpstr>Peers</vt:lpstr>
      <vt:lpstr>Stock Analysis</vt:lpstr>
      <vt:lpstr>BETA</vt:lpstr>
      <vt:lpstr>Assumptions </vt:lpstr>
      <vt:lpstr>Fixed Asset Schedule </vt:lpstr>
      <vt:lpstr>Change in Working Capital</vt:lpstr>
      <vt:lpstr>FCFF</vt:lpstr>
      <vt:lpstr>Cost of Capital </vt:lpstr>
      <vt:lpstr>Growth Scenario</vt:lpstr>
      <vt:lpstr>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 singh</dc:creator>
  <cp:lastModifiedBy>hi singh</cp:lastModifiedBy>
  <dcterms:created xsi:type="dcterms:W3CDTF">2026-04-27T10:15:09Z</dcterms:created>
  <dcterms:modified xsi:type="dcterms:W3CDTF">2026-07-18T19:07:17Z</dcterms:modified>
</cp:coreProperties>
</file>