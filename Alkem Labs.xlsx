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anan\Desktop\cip hero\Finalized\"/>
    </mc:Choice>
  </mc:AlternateContent>
  <xr:revisionPtr revIDLastSave="0" documentId="13_ncr:1_{B9FDE104-013C-482F-A674-E9C1D6DEB3FC}" xr6:coauthVersionLast="47" xr6:coauthVersionMax="47" xr10:uidLastSave="{00000000-0000-0000-0000-000000000000}"/>
  <bookViews>
    <workbookView xWindow="-108" yWindow="-108" windowWidth="23256" windowHeight="13896" firstSheet="10" activeTab="15" xr2:uid="{00000000-000D-0000-FFFF-FFFF00000000}"/>
  </bookViews>
  <sheets>
    <sheet name="About " sheetId="1" r:id="rId1"/>
    <sheet name="Shareholding " sheetId="15" r:id="rId2"/>
    <sheet name="Consolidated Fs" sheetId="2" r:id="rId3"/>
    <sheet name="Quaterly" sheetId="16" r:id="rId4"/>
    <sheet name="Assumptions " sheetId="3" r:id="rId5"/>
    <sheet name="BETA" sheetId="4" r:id="rId6"/>
    <sheet name="Stock" sheetId="14" r:id="rId7"/>
    <sheet name="WACC" sheetId="5" r:id="rId8"/>
    <sheet name="Fixed Asset Schedule " sheetId="6" r:id="rId9"/>
    <sheet name="Change in Working Capital " sheetId="7" r:id="rId10"/>
    <sheet name="FCFF" sheetId="8" r:id="rId11"/>
    <sheet name="Growth Scenario" sheetId="9" r:id="rId12"/>
    <sheet name="Valuation " sheetId="10" r:id="rId13"/>
    <sheet name="Ratios " sheetId="11" r:id="rId14"/>
    <sheet name="Relative Valuation Raw Data " sheetId="12" r:id="rId15"/>
    <sheet name="Relative Valuation " sheetId="13"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 i="10" l="1"/>
  <c r="C5" i="5"/>
  <c r="M13" i="13" l="1"/>
  <c r="N13" i="13" s="1"/>
  <c r="R13" i="13" s="1"/>
  <c r="L13" i="13"/>
  <c r="K13" i="13"/>
  <c r="H13" i="13"/>
  <c r="G13" i="13"/>
  <c r="F13" i="13"/>
  <c r="I13" i="13" s="1"/>
  <c r="E13" i="13"/>
  <c r="D13" i="13"/>
  <c r="M12" i="13"/>
  <c r="N12" i="13" s="1"/>
  <c r="R12" i="13" s="1"/>
  <c r="L12" i="13"/>
  <c r="K12" i="13"/>
  <c r="H12" i="13"/>
  <c r="G12" i="13"/>
  <c r="P25" i="13" s="1"/>
  <c r="Q25" i="13" s="1"/>
  <c r="R25" i="13" s="1"/>
  <c r="E12" i="13"/>
  <c r="D12" i="13"/>
  <c r="P27" i="13" s="1"/>
  <c r="Q27" i="13" s="1"/>
  <c r="R27" i="13" s="1"/>
  <c r="M11" i="13"/>
  <c r="N11" i="13" s="1"/>
  <c r="L11" i="13"/>
  <c r="K11" i="13"/>
  <c r="H11" i="13"/>
  <c r="G11" i="13"/>
  <c r="E11" i="13"/>
  <c r="F11" i="13" s="1"/>
  <c r="I11" i="13" s="1"/>
  <c r="D11" i="13"/>
  <c r="N10" i="13"/>
  <c r="M10" i="13"/>
  <c r="L10" i="13"/>
  <c r="K10" i="13"/>
  <c r="H10" i="13"/>
  <c r="G10" i="13"/>
  <c r="F10" i="13"/>
  <c r="I10" i="13" s="1"/>
  <c r="E10" i="13"/>
  <c r="R10" i="13" s="1"/>
  <c r="D10" i="13"/>
  <c r="N9" i="13"/>
  <c r="M9" i="13"/>
  <c r="L9" i="13"/>
  <c r="K9" i="13"/>
  <c r="H9" i="13"/>
  <c r="G9" i="13"/>
  <c r="I9" i="13" s="1"/>
  <c r="F9" i="13"/>
  <c r="E9" i="13"/>
  <c r="R9" i="13" s="1"/>
  <c r="D9" i="13"/>
  <c r="I29" i="10"/>
  <c r="I28" i="10"/>
  <c r="I26" i="10"/>
  <c r="D26" i="10"/>
  <c r="I25" i="10"/>
  <c r="D25" i="10"/>
  <c r="O5" i="10"/>
  <c r="C21" i="9"/>
  <c r="C6" i="9"/>
  <c r="C11" i="9" s="1"/>
  <c r="C9" i="8"/>
  <c r="G7" i="7"/>
  <c r="G8" i="7" s="1"/>
  <c r="F7" i="7"/>
  <c r="F8" i="7" s="1"/>
  <c r="E7" i="7"/>
  <c r="E8" i="7" s="1"/>
  <c r="G6" i="7"/>
  <c r="F6" i="7"/>
  <c r="E6" i="7"/>
  <c r="D6" i="7"/>
  <c r="C6" i="7"/>
  <c r="G5" i="7"/>
  <c r="F5" i="7"/>
  <c r="E5" i="7"/>
  <c r="D5" i="7"/>
  <c r="C5" i="7"/>
  <c r="G4" i="7"/>
  <c r="F4" i="7"/>
  <c r="E4" i="7"/>
  <c r="D4" i="7"/>
  <c r="D7" i="7" s="1"/>
  <c r="C4" i="7"/>
  <c r="C7" i="7" s="1"/>
  <c r="G7" i="6"/>
  <c r="F7" i="6"/>
  <c r="E7" i="6"/>
  <c r="D7" i="6"/>
  <c r="C7" i="6"/>
  <c r="D3" i="6" s="1"/>
  <c r="G6" i="6"/>
  <c r="G5" i="6" s="1"/>
  <c r="G4" i="6" s="1"/>
  <c r="G9" i="6" s="1"/>
  <c r="F6" i="6"/>
  <c r="F5" i="6" s="1"/>
  <c r="F4" i="6" s="1"/>
  <c r="F9" i="6" s="1"/>
  <c r="E6" i="6"/>
  <c r="E5" i="6" s="1"/>
  <c r="E4" i="6" s="1"/>
  <c r="E9" i="6" s="1"/>
  <c r="D6" i="6"/>
  <c r="D5" i="6" s="1"/>
  <c r="D4" i="6" s="1"/>
  <c r="D9" i="6" s="1"/>
  <c r="C6" i="6"/>
  <c r="C5" i="6" s="1"/>
  <c r="G3" i="6"/>
  <c r="F3" i="6"/>
  <c r="E3" i="6"/>
  <c r="F16" i="5"/>
  <c r="C10" i="5"/>
  <c r="C7" i="5"/>
  <c r="C9" i="5" s="1"/>
  <c r="C24" i="5" s="1"/>
  <c r="C6" i="5"/>
  <c r="C8" i="5"/>
  <c r="C23" i="5" s="1"/>
  <c r="H1237" i="4"/>
  <c r="D1237" i="4"/>
  <c r="H1236" i="4"/>
  <c r="D1236" i="4"/>
  <c r="H1235" i="4"/>
  <c r="D1235" i="4"/>
  <c r="H1234" i="4"/>
  <c r="D1234" i="4"/>
  <c r="H1233" i="4"/>
  <c r="D1233" i="4"/>
  <c r="H1232" i="4"/>
  <c r="D1232" i="4"/>
  <c r="H1231" i="4"/>
  <c r="D1231" i="4"/>
  <c r="H1230" i="4"/>
  <c r="D1230" i="4"/>
  <c r="H1229" i="4"/>
  <c r="D1229" i="4"/>
  <c r="H1228" i="4"/>
  <c r="D1228" i="4"/>
  <c r="H1227" i="4"/>
  <c r="D1227" i="4"/>
  <c r="H1226" i="4"/>
  <c r="D1226" i="4"/>
  <c r="H1225" i="4"/>
  <c r="D1225" i="4"/>
  <c r="H1224" i="4"/>
  <c r="D1224" i="4"/>
  <c r="H1223" i="4"/>
  <c r="D1223" i="4"/>
  <c r="H1222" i="4"/>
  <c r="D1222" i="4"/>
  <c r="H1221" i="4"/>
  <c r="D1221" i="4"/>
  <c r="H1220" i="4"/>
  <c r="D1220" i="4"/>
  <c r="H1219" i="4"/>
  <c r="D1219" i="4"/>
  <c r="H1218" i="4"/>
  <c r="D1218" i="4"/>
  <c r="H1217" i="4"/>
  <c r="D1217" i="4"/>
  <c r="H1216" i="4"/>
  <c r="D1216" i="4"/>
  <c r="H1215" i="4"/>
  <c r="D1215" i="4"/>
  <c r="H1214" i="4"/>
  <c r="D1214" i="4"/>
  <c r="H1213" i="4"/>
  <c r="D1213" i="4"/>
  <c r="H1212" i="4"/>
  <c r="D1212" i="4"/>
  <c r="H1211" i="4"/>
  <c r="D1211" i="4"/>
  <c r="H1210" i="4"/>
  <c r="D1210" i="4"/>
  <c r="H1209" i="4"/>
  <c r="D1209" i="4"/>
  <c r="H1208" i="4"/>
  <c r="D1208" i="4"/>
  <c r="H1207" i="4"/>
  <c r="D1207" i="4"/>
  <c r="H1206" i="4"/>
  <c r="D1206" i="4"/>
  <c r="H1205" i="4"/>
  <c r="D1205" i="4"/>
  <c r="H1204" i="4"/>
  <c r="D1204" i="4"/>
  <c r="H1203" i="4"/>
  <c r="D1203" i="4"/>
  <c r="H1202" i="4"/>
  <c r="D1202" i="4"/>
  <c r="H1201" i="4"/>
  <c r="D1201" i="4"/>
  <c r="H1200" i="4"/>
  <c r="D1200" i="4"/>
  <c r="H1199" i="4"/>
  <c r="D1199" i="4"/>
  <c r="H1198" i="4"/>
  <c r="D1198" i="4"/>
  <c r="H1197" i="4"/>
  <c r="D1197" i="4"/>
  <c r="H1196" i="4"/>
  <c r="D1196" i="4"/>
  <c r="H1195" i="4"/>
  <c r="D1195" i="4"/>
  <c r="H1194" i="4"/>
  <c r="D1194" i="4"/>
  <c r="H1193" i="4"/>
  <c r="D1193" i="4"/>
  <c r="H1192" i="4"/>
  <c r="D1192" i="4"/>
  <c r="H1191" i="4"/>
  <c r="D1191" i="4"/>
  <c r="H1190" i="4"/>
  <c r="D1190" i="4"/>
  <c r="H1189" i="4"/>
  <c r="D1189" i="4"/>
  <c r="H1188" i="4"/>
  <c r="D1188" i="4"/>
  <c r="H1187" i="4"/>
  <c r="D1187" i="4"/>
  <c r="H1186" i="4"/>
  <c r="D1186" i="4"/>
  <c r="H1185" i="4"/>
  <c r="D1185" i="4"/>
  <c r="H1184" i="4"/>
  <c r="D1184" i="4"/>
  <c r="H1183" i="4"/>
  <c r="D1183" i="4"/>
  <c r="H1182" i="4"/>
  <c r="D1182" i="4"/>
  <c r="H1181" i="4"/>
  <c r="D1181" i="4"/>
  <c r="H1180" i="4"/>
  <c r="D1180" i="4"/>
  <c r="H1179" i="4"/>
  <c r="D1179" i="4"/>
  <c r="H1178" i="4"/>
  <c r="D1178" i="4"/>
  <c r="H1177" i="4"/>
  <c r="D1177" i="4"/>
  <c r="H1176" i="4"/>
  <c r="D1176" i="4"/>
  <c r="H1175" i="4"/>
  <c r="D1175" i="4"/>
  <c r="H1174" i="4"/>
  <c r="D1174" i="4"/>
  <c r="H1173" i="4"/>
  <c r="D1173" i="4"/>
  <c r="H1172" i="4"/>
  <c r="D1172" i="4"/>
  <c r="H1171" i="4"/>
  <c r="D1171" i="4"/>
  <c r="H1170" i="4"/>
  <c r="D1170" i="4"/>
  <c r="H1169" i="4"/>
  <c r="D1169" i="4"/>
  <c r="H1168" i="4"/>
  <c r="D1168" i="4"/>
  <c r="H1167" i="4"/>
  <c r="D1167" i="4"/>
  <c r="H1166" i="4"/>
  <c r="D1166" i="4"/>
  <c r="H1165" i="4"/>
  <c r="D1165" i="4"/>
  <c r="H1164" i="4"/>
  <c r="D1164" i="4"/>
  <c r="H1163" i="4"/>
  <c r="D1163" i="4"/>
  <c r="H1162" i="4"/>
  <c r="D1162" i="4"/>
  <c r="H1161" i="4"/>
  <c r="D1161" i="4"/>
  <c r="H1160" i="4"/>
  <c r="D1160" i="4"/>
  <c r="H1159" i="4"/>
  <c r="D1159" i="4"/>
  <c r="H1158" i="4"/>
  <c r="D1158" i="4"/>
  <c r="H1157" i="4"/>
  <c r="D1157" i="4"/>
  <c r="H1156" i="4"/>
  <c r="D1156" i="4"/>
  <c r="H1155" i="4"/>
  <c r="D1155" i="4"/>
  <c r="H1154" i="4"/>
  <c r="D1154" i="4"/>
  <c r="H1153" i="4"/>
  <c r="D1153" i="4"/>
  <c r="H1152" i="4"/>
  <c r="D1152" i="4"/>
  <c r="H1151" i="4"/>
  <c r="D1151" i="4"/>
  <c r="H1150" i="4"/>
  <c r="D1150" i="4"/>
  <c r="H1149" i="4"/>
  <c r="D1149" i="4"/>
  <c r="H1148" i="4"/>
  <c r="D1148" i="4"/>
  <c r="H1147" i="4"/>
  <c r="D1147" i="4"/>
  <c r="H1146" i="4"/>
  <c r="D1146" i="4"/>
  <c r="H1145" i="4"/>
  <c r="D1145" i="4"/>
  <c r="H1144" i="4"/>
  <c r="D1144" i="4"/>
  <c r="H1143" i="4"/>
  <c r="D1143" i="4"/>
  <c r="H1142" i="4"/>
  <c r="D1142" i="4"/>
  <c r="H1141" i="4"/>
  <c r="D1141" i="4"/>
  <c r="H1140" i="4"/>
  <c r="D1140" i="4"/>
  <c r="H1139" i="4"/>
  <c r="D1139" i="4"/>
  <c r="H1138" i="4"/>
  <c r="D1138" i="4"/>
  <c r="H1137" i="4"/>
  <c r="D1137" i="4"/>
  <c r="H1136" i="4"/>
  <c r="D1136" i="4"/>
  <c r="H1135" i="4"/>
  <c r="D1135" i="4"/>
  <c r="H1134" i="4"/>
  <c r="D1134" i="4"/>
  <c r="H1133" i="4"/>
  <c r="D1133" i="4"/>
  <c r="H1132" i="4"/>
  <c r="D1132" i="4"/>
  <c r="H1131" i="4"/>
  <c r="D1131" i="4"/>
  <c r="H1130" i="4"/>
  <c r="D1130" i="4"/>
  <c r="H1129" i="4"/>
  <c r="D1129" i="4"/>
  <c r="H1128" i="4"/>
  <c r="D1128" i="4"/>
  <c r="H1127" i="4"/>
  <c r="D1127" i="4"/>
  <c r="H1126" i="4"/>
  <c r="D1126" i="4"/>
  <c r="H1125" i="4"/>
  <c r="D1125" i="4"/>
  <c r="H1124" i="4"/>
  <c r="D1124" i="4"/>
  <c r="H1123" i="4"/>
  <c r="D1123" i="4"/>
  <c r="H1122" i="4"/>
  <c r="D1122" i="4"/>
  <c r="H1121" i="4"/>
  <c r="D1121" i="4"/>
  <c r="H1120" i="4"/>
  <c r="D1120" i="4"/>
  <c r="H1119" i="4"/>
  <c r="D1119" i="4"/>
  <c r="H1118" i="4"/>
  <c r="D1118" i="4"/>
  <c r="H1117" i="4"/>
  <c r="D1117" i="4"/>
  <c r="H1116" i="4"/>
  <c r="D1116" i="4"/>
  <c r="H1115" i="4"/>
  <c r="D1115" i="4"/>
  <c r="H1114" i="4"/>
  <c r="D1114" i="4"/>
  <c r="H1113" i="4"/>
  <c r="D1113" i="4"/>
  <c r="H1112" i="4"/>
  <c r="D1112" i="4"/>
  <c r="H1111" i="4"/>
  <c r="D1111" i="4"/>
  <c r="H1110" i="4"/>
  <c r="D1110" i="4"/>
  <c r="H1109" i="4"/>
  <c r="D1109" i="4"/>
  <c r="H1108" i="4"/>
  <c r="D1108" i="4"/>
  <c r="H1107" i="4"/>
  <c r="D1107" i="4"/>
  <c r="H1106" i="4"/>
  <c r="D1106" i="4"/>
  <c r="H1105" i="4"/>
  <c r="D1105" i="4"/>
  <c r="H1104" i="4"/>
  <c r="D1104" i="4"/>
  <c r="H1103" i="4"/>
  <c r="D1103" i="4"/>
  <c r="H1102" i="4"/>
  <c r="D1102" i="4"/>
  <c r="H1101" i="4"/>
  <c r="D1101" i="4"/>
  <c r="H1100" i="4"/>
  <c r="D1100" i="4"/>
  <c r="H1099" i="4"/>
  <c r="D1099" i="4"/>
  <c r="H1098" i="4"/>
  <c r="D1098" i="4"/>
  <c r="H1097" i="4"/>
  <c r="D1097" i="4"/>
  <c r="H1096" i="4"/>
  <c r="D1096" i="4"/>
  <c r="H1095" i="4"/>
  <c r="D1095" i="4"/>
  <c r="H1094" i="4"/>
  <c r="D1094" i="4"/>
  <c r="H1093" i="4"/>
  <c r="D1093" i="4"/>
  <c r="H1092" i="4"/>
  <c r="D1092" i="4"/>
  <c r="H1091" i="4"/>
  <c r="D1091" i="4"/>
  <c r="H1090" i="4"/>
  <c r="D1090" i="4"/>
  <c r="H1089" i="4"/>
  <c r="D1089" i="4"/>
  <c r="H1088" i="4"/>
  <c r="D1088" i="4"/>
  <c r="H1087" i="4"/>
  <c r="D1087" i="4"/>
  <c r="H1086" i="4"/>
  <c r="D1086" i="4"/>
  <c r="H1085" i="4"/>
  <c r="D1085" i="4"/>
  <c r="H1084" i="4"/>
  <c r="D1084" i="4"/>
  <c r="H1083" i="4"/>
  <c r="D1083" i="4"/>
  <c r="H1082" i="4"/>
  <c r="D1082" i="4"/>
  <c r="H1081" i="4"/>
  <c r="D1081" i="4"/>
  <c r="H1080" i="4"/>
  <c r="D1080" i="4"/>
  <c r="H1079" i="4"/>
  <c r="D1079" i="4"/>
  <c r="H1078" i="4"/>
  <c r="D1078" i="4"/>
  <c r="H1077" i="4"/>
  <c r="D1077" i="4"/>
  <c r="H1076" i="4"/>
  <c r="D1076" i="4"/>
  <c r="H1075" i="4"/>
  <c r="D1075" i="4"/>
  <c r="H1074" i="4"/>
  <c r="D1074" i="4"/>
  <c r="H1073" i="4"/>
  <c r="D1073" i="4"/>
  <c r="H1072" i="4"/>
  <c r="D1072" i="4"/>
  <c r="H1071" i="4"/>
  <c r="D1071" i="4"/>
  <c r="H1070" i="4"/>
  <c r="D1070" i="4"/>
  <c r="H1069" i="4"/>
  <c r="D1069" i="4"/>
  <c r="H1068" i="4"/>
  <c r="D1068" i="4"/>
  <c r="H1067" i="4"/>
  <c r="D1067" i="4"/>
  <c r="H1066" i="4"/>
  <c r="D1066" i="4"/>
  <c r="H1065" i="4"/>
  <c r="D1065" i="4"/>
  <c r="H1064" i="4"/>
  <c r="D1064" i="4"/>
  <c r="H1063" i="4"/>
  <c r="D1063" i="4"/>
  <c r="H1062" i="4"/>
  <c r="D1062" i="4"/>
  <c r="H1061" i="4"/>
  <c r="D1061" i="4"/>
  <c r="H1060" i="4"/>
  <c r="D1060" i="4"/>
  <c r="H1059" i="4"/>
  <c r="D1059" i="4"/>
  <c r="H1058" i="4"/>
  <c r="D1058" i="4"/>
  <c r="H1057" i="4"/>
  <c r="D1057" i="4"/>
  <c r="H1056" i="4"/>
  <c r="D1056" i="4"/>
  <c r="H1055" i="4"/>
  <c r="D1055" i="4"/>
  <c r="H1054" i="4"/>
  <c r="D1054" i="4"/>
  <c r="H1053" i="4"/>
  <c r="D1053" i="4"/>
  <c r="H1052" i="4"/>
  <c r="D1052" i="4"/>
  <c r="H1051" i="4"/>
  <c r="D1051" i="4"/>
  <c r="H1050" i="4"/>
  <c r="D1050" i="4"/>
  <c r="H1049" i="4"/>
  <c r="D1049" i="4"/>
  <c r="H1048" i="4"/>
  <c r="D1048" i="4"/>
  <c r="H1047" i="4"/>
  <c r="D1047" i="4"/>
  <c r="H1046" i="4"/>
  <c r="D1046" i="4"/>
  <c r="H1045" i="4"/>
  <c r="D1045" i="4"/>
  <c r="H1044" i="4"/>
  <c r="D1044" i="4"/>
  <c r="H1043" i="4"/>
  <c r="D1043" i="4"/>
  <c r="H1042" i="4"/>
  <c r="D1042" i="4"/>
  <c r="H1041" i="4"/>
  <c r="D1041" i="4"/>
  <c r="H1040" i="4"/>
  <c r="D1040" i="4"/>
  <c r="H1039" i="4"/>
  <c r="D1039" i="4"/>
  <c r="H1038" i="4"/>
  <c r="D1038" i="4"/>
  <c r="H1037" i="4"/>
  <c r="D1037" i="4"/>
  <c r="H1036" i="4"/>
  <c r="D1036" i="4"/>
  <c r="H1035" i="4"/>
  <c r="D1035" i="4"/>
  <c r="H1034" i="4"/>
  <c r="D1034" i="4"/>
  <c r="H1033" i="4"/>
  <c r="D1033" i="4"/>
  <c r="H1032" i="4"/>
  <c r="D1032" i="4"/>
  <c r="H1031" i="4"/>
  <c r="D1031" i="4"/>
  <c r="H1030" i="4"/>
  <c r="D1030" i="4"/>
  <c r="H1029" i="4"/>
  <c r="D1029" i="4"/>
  <c r="H1028" i="4"/>
  <c r="D1028" i="4"/>
  <c r="H1027" i="4"/>
  <c r="D1027" i="4"/>
  <c r="H1026" i="4"/>
  <c r="D1026" i="4"/>
  <c r="H1025" i="4"/>
  <c r="D1025" i="4"/>
  <c r="H1024" i="4"/>
  <c r="D1024" i="4"/>
  <c r="H1023" i="4"/>
  <c r="D1023" i="4"/>
  <c r="H1022" i="4"/>
  <c r="D1022" i="4"/>
  <c r="H1021" i="4"/>
  <c r="D1021" i="4"/>
  <c r="H1020" i="4"/>
  <c r="D1020" i="4"/>
  <c r="H1019" i="4"/>
  <c r="D1019" i="4"/>
  <c r="H1018" i="4"/>
  <c r="D1018" i="4"/>
  <c r="H1017" i="4"/>
  <c r="D1017" i="4"/>
  <c r="H1016" i="4"/>
  <c r="D1016" i="4"/>
  <c r="H1015" i="4"/>
  <c r="D1015" i="4"/>
  <c r="H1014" i="4"/>
  <c r="D1014" i="4"/>
  <c r="H1013" i="4"/>
  <c r="D1013" i="4"/>
  <c r="H1012" i="4"/>
  <c r="D1012" i="4"/>
  <c r="H1011" i="4"/>
  <c r="D1011" i="4"/>
  <c r="H1010" i="4"/>
  <c r="D1010" i="4"/>
  <c r="H1009" i="4"/>
  <c r="D1009" i="4"/>
  <c r="H1008" i="4"/>
  <c r="D1008" i="4"/>
  <c r="H1007" i="4"/>
  <c r="D1007" i="4"/>
  <c r="H1006" i="4"/>
  <c r="D1006" i="4"/>
  <c r="H1005" i="4"/>
  <c r="D1005" i="4"/>
  <c r="H1004" i="4"/>
  <c r="D1004" i="4"/>
  <c r="H1003" i="4"/>
  <c r="D1003" i="4"/>
  <c r="H1002" i="4"/>
  <c r="D1002" i="4"/>
  <c r="H1001" i="4"/>
  <c r="D1001" i="4"/>
  <c r="H1000" i="4"/>
  <c r="D1000" i="4"/>
  <c r="H999" i="4"/>
  <c r="D999" i="4"/>
  <c r="H998" i="4"/>
  <c r="D998" i="4"/>
  <c r="H997" i="4"/>
  <c r="D997" i="4"/>
  <c r="H996" i="4"/>
  <c r="D996" i="4"/>
  <c r="H995" i="4"/>
  <c r="D995" i="4"/>
  <c r="H994" i="4"/>
  <c r="D994" i="4"/>
  <c r="H993" i="4"/>
  <c r="D993" i="4"/>
  <c r="H992" i="4"/>
  <c r="D992" i="4"/>
  <c r="H991" i="4"/>
  <c r="D991" i="4"/>
  <c r="H990" i="4"/>
  <c r="D990" i="4"/>
  <c r="H989" i="4"/>
  <c r="D989" i="4"/>
  <c r="H988" i="4"/>
  <c r="D988" i="4"/>
  <c r="H987" i="4"/>
  <c r="D987" i="4"/>
  <c r="H986" i="4"/>
  <c r="D986" i="4"/>
  <c r="H985" i="4"/>
  <c r="D985" i="4"/>
  <c r="H984" i="4"/>
  <c r="D984" i="4"/>
  <c r="H983" i="4"/>
  <c r="D983" i="4"/>
  <c r="H982" i="4"/>
  <c r="D982" i="4"/>
  <c r="H981" i="4"/>
  <c r="D981" i="4"/>
  <c r="H980" i="4"/>
  <c r="D980" i="4"/>
  <c r="H979" i="4"/>
  <c r="D979" i="4"/>
  <c r="H978" i="4"/>
  <c r="D978" i="4"/>
  <c r="H977" i="4"/>
  <c r="D977" i="4"/>
  <c r="H976" i="4"/>
  <c r="D976" i="4"/>
  <c r="H975" i="4"/>
  <c r="D975" i="4"/>
  <c r="H974" i="4"/>
  <c r="D974" i="4"/>
  <c r="H973" i="4"/>
  <c r="D973" i="4"/>
  <c r="H972" i="4"/>
  <c r="D972" i="4"/>
  <c r="H971" i="4"/>
  <c r="D971" i="4"/>
  <c r="H970" i="4"/>
  <c r="D970" i="4"/>
  <c r="H969" i="4"/>
  <c r="D969" i="4"/>
  <c r="H968" i="4"/>
  <c r="D968" i="4"/>
  <c r="H967" i="4"/>
  <c r="D967" i="4"/>
  <c r="H966" i="4"/>
  <c r="D966" i="4"/>
  <c r="H965" i="4"/>
  <c r="D965" i="4"/>
  <c r="H964" i="4"/>
  <c r="D964" i="4"/>
  <c r="H963" i="4"/>
  <c r="D963" i="4"/>
  <c r="H962" i="4"/>
  <c r="D962" i="4"/>
  <c r="H961" i="4"/>
  <c r="D961" i="4"/>
  <c r="H960" i="4"/>
  <c r="D960" i="4"/>
  <c r="H959" i="4"/>
  <c r="D959" i="4"/>
  <c r="H958" i="4"/>
  <c r="D958" i="4"/>
  <c r="H957" i="4"/>
  <c r="D957" i="4"/>
  <c r="H956" i="4"/>
  <c r="D956" i="4"/>
  <c r="H955" i="4"/>
  <c r="D955" i="4"/>
  <c r="H954" i="4"/>
  <c r="D954" i="4"/>
  <c r="H953" i="4"/>
  <c r="D953" i="4"/>
  <c r="H952" i="4"/>
  <c r="D952" i="4"/>
  <c r="H951" i="4"/>
  <c r="D951" i="4"/>
  <c r="H950" i="4"/>
  <c r="D950" i="4"/>
  <c r="H949" i="4"/>
  <c r="D949" i="4"/>
  <c r="H948" i="4"/>
  <c r="D948" i="4"/>
  <c r="H947" i="4"/>
  <c r="D947" i="4"/>
  <c r="H946" i="4"/>
  <c r="D946" i="4"/>
  <c r="H945" i="4"/>
  <c r="D945" i="4"/>
  <c r="H944" i="4"/>
  <c r="D944" i="4"/>
  <c r="H943" i="4"/>
  <c r="D943" i="4"/>
  <c r="H942" i="4"/>
  <c r="D942" i="4"/>
  <c r="H941" i="4"/>
  <c r="D941" i="4"/>
  <c r="H940" i="4"/>
  <c r="D940" i="4"/>
  <c r="H939" i="4"/>
  <c r="D939" i="4"/>
  <c r="H938" i="4"/>
  <c r="D938" i="4"/>
  <c r="H937" i="4"/>
  <c r="D937" i="4"/>
  <c r="H936" i="4"/>
  <c r="D936" i="4"/>
  <c r="H935" i="4"/>
  <c r="D935" i="4"/>
  <c r="H934" i="4"/>
  <c r="D934" i="4"/>
  <c r="H933" i="4"/>
  <c r="D933" i="4"/>
  <c r="H932" i="4"/>
  <c r="D932" i="4"/>
  <c r="H931" i="4"/>
  <c r="D931" i="4"/>
  <c r="H930" i="4"/>
  <c r="D930" i="4"/>
  <c r="H929" i="4"/>
  <c r="D929" i="4"/>
  <c r="H928" i="4"/>
  <c r="D928" i="4"/>
  <c r="H927" i="4"/>
  <c r="D927" i="4"/>
  <c r="H926" i="4"/>
  <c r="D926" i="4"/>
  <c r="H925" i="4"/>
  <c r="D925" i="4"/>
  <c r="H924" i="4"/>
  <c r="D924" i="4"/>
  <c r="H923" i="4"/>
  <c r="D923" i="4"/>
  <c r="H922" i="4"/>
  <c r="D922" i="4"/>
  <c r="H921" i="4"/>
  <c r="D921" i="4"/>
  <c r="H920" i="4"/>
  <c r="D920" i="4"/>
  <c r="H919" i="4"/>
  <c r="D919" i="4"/>
  <c r="H918" i="4"/>
  <c r="D918" i="4"/>
  <c r="H917" i="4"/>
  <c r="D917" i="4"/>
  <c r="H916" i="4"/>
  <c r="D916" i="4"/>
  <c r="H915" i="4"/>
  <c r="D915" i="4"/>
  <c r="H914" i="4"/>
  <c r="D914" i="4"/>
  <c r="H913" i="4"/>
  <c r="D913" i="4"/>
  <c r="H912" i="4"/>
  <c r="D912" i="4"/>
  <c r="H911" i="4"/>
  <c r="D911" i="4"/>
  <c r="H910" i="4"/>
  <c r="D910" i="4"/>
  <c r="H909" i="4"/>
  <c r="D909" i="4"/>
  <c r="H908" i="4"/>
  <c r="D908" i="4"/>
  <c r="H907" i="4"/>
  <c r="D907" i="4"/>
  <c r="H906" i="4"/>
  <c r="D906" i="4"/>
  <c r="H905" i="4"/>
  <c r="D905" i="4"/>
  <c r="H904" i="4"/>
  <c r="D904" i="4"/>
  <c r="H903" i="4"/>
  <c r="D903" i="4"/>
  <c r="H902" i="4"/>
  <c r="D902" i="4"/>
  <c r="H901" i="4"/>
  <c r="D901" i="4"/>
  <c r="H900" i="4"/>
  <c r="D900" i="4"/>
  <c r="H899" i="4"/>
  <c r="D899" i="4"/>
  <c r="H898" i="4"/>
  <c r="D898" i="4"/>
  <c r="H897" i="4"/>
  <c r="D897" i="4"/>
  <c r="H896" i="4"/>
  <c r="D896" i="4"/>
  <c r="H895" i="4"/>
  <c r="D895" i="4"/>
  <c r="H894" i="4"/>
  <c r="D894" i="4"/>
  <c r="H893" i="4"/>
  <c r="D893" i="4"/>
  <c r="H892" i="4"/>
  <c r="D892" i="4"/>
  <c r="H891" i="4"/>
  <c r="D891" i="4"/>
  <c r="H890" i="4"/>
  <c r="D890" i="4"/>
  <c r="H889" i="4"/>
  <c r="D889" i="4"/>
  <c r="H888" i="4"/>
  <c r="D888" i="4"/>
  <c r="H887" i="4"/>
  <c r="D887" i="4"/>
  <c r="H886" i="4"/>
  <c r="D886" i="4"/>
  <c r="H885" i="4"/>
  <c r="D885" i="4"/>
  <c r="H884" i="4"/>
  <c r="D884" i="4"/>
  <c r="H883" i="4"/>
  <c r="D883" i="4"/>
  <c r="H882" i="4"/>
  <c r="D882" i="4"/>
  <c r="H881" i="4"/>
  <c r="D881" i="4"/>
  <c r="H880" i="4"/>
  <c r="D880" i="4"/>
  <c r="H879" i="4"/>
  <c r="D879" i="4"/>
  <c r="H878" i="4"/>
  <c r="D878" i="4"/>
  <c r="H877" i="4"/>
  <c r="D877" i="4"/>
  <c r="H876" i="4"/>
  <c r="D876" i="4"/>
  <c r="H875" i="4"/>
  <c r="D875" i="4"/>
  <c r="H874" i="4"/>
  <c r="D874" i="4"/>
  <c r="H873" i="4"/>
  <c r="D873" i="4"/>
  <c r="H872" i="4"/>
  <c r="D872" i="4"/>
  <c r="H871" i="4"/>
  <c r="D871" i="4"/>
  <c r="H870" i="4"/>
  <c r="D870" i="4"/>
  <c r="H869" i="4"/>
  <c r="D869" i="4"/>
  <c r="H868" i="4"/>
  <c r="D868" i="4"/>
  <c r="H867" i="4"/>
  <c r="D867" i="4"/>
  <c r="H866" i="4"/>
  <c r="D866" i="4"/>
  <c r="H865" i="4"/>
  <c r="D865" i="4"/>
  <c r="H864" i="4"/>
  <c r="D864" i="4"/>
  <c r="H863" i="4"/>
  <c r="D863" i="4"/>
  <c r="H862" i="4"/>
  <c r="D862" i="4"/>
  <c r="H861" i="4"/>
  <c r="D861" i="4"/>
  <c r="H860" i="4"/>
  <c r="D860" i="4"/>
  <c r="H859" i="4"/>
  <c r="D859" i="4"/>
  <c r="H858" i="4"/>
  <c r="D858" i="4"/>
  <c r="H857" i="4"/>
  <c r="D857" i="4"/>
  <c r="H856" i="4"/>
  <c r="D856" i="4"/>
  <c r="H855" i="4"/>
  <c r="D855" i="4"/>
  <c r="H854" i="4"/>
  <c r="D854" i="4"/>
  <c r="H853" i="4"/>
  <c r="D853" i="4"/>
  <c r="H852" i="4"/>
  <c r="D852" i="4"/>
  <c r="H851" i="4"/>
  <c r="D851" i="4"/>
  <c r="H850" i="4"/>
  <c r="D850" i="4"/>
  <c r="H849" i="4"/>
  <c r="D849" i="4"/>
  <c r="H848" i="4"/>
  <c r="D848" i="4"/>
  <c r="H847" i="4"/>
  <c r="D847" i="4"/>
  <c r="H846" i="4"/>
  <c r="D846" i="4"/>
  <c r="H845" i="4"/>
  <c r="D845" i="4"/>
  <c r="H844" i="4"/>
  <c r="D844" i="4"/>
  <c r="H843" i="4"/>
  <c r="D843" i="4"/>
  <c r="H842" i="4"/>
  <c r="D842" i="4"/>
  <c r="H841" i="4"/>
  <c r="D841" i="4"/>
  <c r="H840" i="4"/>
  <c r="D840" i="4"/>
  <c r="H839" i="4"/>
  <c r="D839" i="4"/>
  <c r="H838" i="4"/>
  <c r="D838" i="4"/>
  <c r="H837" i="4"/>
  <c r="D837" i="4"/>
  <c r="H836" i="4"/>
  <c r="D836" i="4"/>
  <c r="H835" i="4"/>
  <c r="D835" i="4"/>
  <c r="H834" i="4"/>
  <c r="D834" i="4"/>
  <c r="H833" i="4"/>
  <c r="D833" i="4"/>
  <c r="H832" i="4"/>
  <c r="D832" i="4"/>
  <c r="H831" i="4"/>
  <c r="D831" i="4"/>
  <c r="H830" i="4"/>
  <c r="D830" i="4"/>
  <c r="H829" i="4"/>
  <c r="D829" i="4"/>
  <c r="H828" i="4"/>
  <c r="D828" i="4"/>
  <c r="H827" i="4"/>
  <c r="D827" i="4"/>
  <c r="H826" i="4"/>
  <c r="D826" i="4"/>
  <c r="H825" i="4"/>
  <c r="D825" i="4"/>
  <c r="H824" i="4"/>
  <c r="D824" i="4"/>
  <c r="H823" i="4"/>
  <c r="D823" i="4"/>
  <c r="H822" i="4"/>
  <c r="D822" i="4"/>
  <c r="H821" i="4"/>
  <c r="D821" i="4"/>
  <c r="H820" i="4"/>
  <c r="D820" i="4"/>
  <c r="H819" i="4"/>
  <c r="D819" i="4"/>
  <c r="H818" i="4"/>
  <c r="D818" i="4"/>
  <c r="H817" i="4"/>
  <c r="D817" i="4"/>
  <c r="H816" i="4"/>
  <c r="D816" i="4"/>
  <c r="H815" i="4"/>
  <c r="D815" i="4"/>
  <c r="H814" i="4"/>
  <c r="D814" i="4"/>
  <c r="H813" i="4"/>
  <c r="D813" i="4"/>
  <c r="H812" i="4"/>
  <c r="D812" i="4"/>
  <c r="H811" i="4"/>
  <c r="D811" i="4"/>
  <c r="H810" i="4"/>
  <c r="D810" i="4"/>
  <c r="H809" i="4"/>
  <c r="D809" i="4"/>
  <c r="H808" i="4"/>
  <c r="D808" i="4"/>
  <c r="H807" i="4"/>
  <c r="D807" i="4"/>
  <c r="H806" i="4"/>
  <c r="D806" i="4"/>
  <c r="H805" i="4"/>
  <c r="D805" i="4"/>
  <c r="H804" i="4"/>
  <c r="D804" i="4"/>
  <c r="H803" i="4"/>
  <c r="D803" i="4"/>
  <c r="H802" i="4"/>
  <c r="D802" i="4"/>
  <c r="H801" i="4"/>
  <c r="D801" i="4"/>
  <c r="H800" i="4"/>
  <c r="D800" i="4"/>
  <c r="H799" i="4"/>
  <c r="D799" i="4"/>
  <c r="H798" i="4"/>
  <c r="D798" i="4"/>
  <c r="H797" i="4"/>
  <c r="D797" i="4"/>
  <c r="H796" i="4"/>
  <c r="D796" i="4"/>
  <c r="H795" i="4"/>
  <c r="D795" i="4"/>
  <c r="H794" i="4"/>
  <c r="D794" i="4"/>
  <c r="H793" i="4"/>
  <c r="D793" i="4"/>
  <c r="H792" i="4"/>
  <c r="D792" i="4"/>
  <c r="H791" i="4"/>
  <c r="D791" i="4"/>
  <c r="H790" i="4"/>
  <c r="D790" i="4"/>
  <c r="H789" i="4"/>
  <c r="D789" i="4"/>
  <c r="H788" i="4"/>
  <c r="D788" i="4"/>
  <c r="H787" i="4"/>
  <c r="D787" i="4"/>
  <c r="H786" i="4"/>
  <c r="D786" i="4"/>
  <c r="H785" i="4"/>
  <c r="D785" i="4"/>
  <c r="H784" i="4"/>
  <c r="D784" i="4"/>
  <c r="H783" i="4"/>
  <c r="D783" i="4"/>
  <c r="H782" i="4"/>
  <c r="D782" i="4"/>
  <c r="H781" i="4"/>
  <c r="D781" i="4"/>
  <c r="H780" i="4"/>
  <c r="D780" i="4"/>
  <c r="H779" i="4"/>
  <c r="D779" i="4"/>
  <c r="H778" i="4"/>
  <c r="D778" i="4"/>
  <c r="H777" i="4"/>
  <c r="D777" i="4"/>
  <c r="H776" i="4"/>
  <c r="D776" i="4"/>
  <c r="H775" i="4"/>
  <c r="D775" i="4"/>
  <c r="H774" i="4"/>
  <c r="D774" i="4"/>
  <c r="H773" i="4"/>
  <c r="D773" i="4"/>
  <c r="H772" i="4"/>
  <c r="D772" i="4"/>
  <c r="H771" i="4"/>
  <c r="D771" i="4"/>
  <c r="H770" i="4"/>
  <c r="D770" i="4"/>
  <c r="H769" i="4"/>
  <c r="D769" i="4"/>
  <c r="H768" i="4"/>
  <c r="D768" i="4"/>
  <c r="H767" i="4"/>
  <c r="D767" i="4"/>
  <c r="H766" i="4"/>
  <c r="D766" i="4"/>
  <c r="H765" i="4"/>
  <c r="D765" i="4"/>
  <c r="H764" i="4"/>
  <c r="D764" i="4"/>
  <c r="H763" i="4"/>
  <c r="D763" i="4"/>
  <c r="H762" i="4"/>
  <c r="D762" i="4"/>
  <c r="H761" i="4"/>
  <c r="D761" i="4"/>
  <c r="H760" i="4"/>
  <c r="D760" i="4"/>
  <c r="H759" i="4"/>
  <c r="D759" i="4"/>
  <c r="H758" i="4"/>
  <c r="D758" i="4"/>
  <c r="H757" i="4"/>
  <c r="D757" i="4"/>
  <c r="H756" i="4"/>
  <c r="D756" i="4"/>
  <c r="H755" i="4"/>
  <c r="D755" i="4"/>
  <c r="H754" i="4"/>
  <c r="D754" i="4"/>
  <c r="H753" i="4"/>
  <c r="D753" i="4"/>
  <c r="H752" i="4"/>
  <c r="D752" i="4"/>
  <c r="H751" i="4"/>
  <c r="D751" i="4"/>
  <c r="H750" i="4"/>
  <c r="D750" i="4"/>
  <c r="H749" i="4"/>
  <c r="D749" i="4"/>
  <c r="H748" i="4"/>
  <c r="D748" i="4"/>
  <c r="H747" i="4"/>
  <c r="D747" i="4"/>
  <c r="H746" i="4"/>
  <c r="D746" i="4"/>
  <c r="H745" i="4"/>
  <c r="D745" i="4"/>
  <c r="H744" i="4"/>
  <c r="D744" i="4"/>
  <c r="H743" i="4"/>
  <c r="D743" i="4"/>
  <c r="H742" i="4"/>
  <c r="D742" i="4"/>
  <c r="H741" i="4"/>
  <c r="D741" i="4"/>
  <c r="H740" i="4"/>
  <c r="D740" i="4"/>
  <c r="H739" i="4"/>
  <c r="D739" i="4"/>
  <c r="H738" i="4"/>
  <c r="D738" i="4"/>
  <c r="H737" i="4"/>
  <c r="D737" i="4"/>
  <c r="H736" i="4"/>
  <c r="D736" i="4"/>
  <c r="H735" i="4"/>
  <c r="D735" i="4"/>
  <c r="H734" i="4"/>
  <c r="D734" i="4"/>
  <c r="H733" i="4"/>
  <c r="D733" i="4"/>
  <c r="H732" i="4"/>
  <c r="D732" i="4"/>
  <c r="H731" i="4"/>
  <c r="D731" i="4"/>
  <c r="H730" i="4"/>
  <c r="D730" i="4"/>
  <c r="H729" i="4"/>
  <c r="D729" i="4"/>
  <c r="H728" i="4"/>
  <c r="D728" i="4"/>
  <c r="H727" i="4"/>
  <c r="D727" i="4"/>
  <c r="H726" i="4"/>
  <c r="D726" i="4"/>
  <c r="H725" i="4"/>
  <c r="D725" i="4"/>
  <c r="H724" i="4"/>
  <c r="D724" i="4"/>
  <c r="H723" i="4"/>
  <c r="D723" i="4"/>
  <c r="H722" i="4"/>
  <c r="D722" i="4"/>
  <c r="H721" i="4"/>
  <c r="D721" i="4"/>
  <c r="H720" i="4"/>
  <c r="D720" i="4"/>
  <c r="H719" i="4"/>
  <c r="D719" i="4"/>
  <c r="H718" i="4"/>
  <c r="D718" i="4"/>
  <c r="H717" i="4"/>
  <c r="D717" i="4"/>
  <c r="H716" i="4"/>
  <c r="D716" i="4"/>
  <c r="H715" i="4"/>
  <c r="D715" i="4"/>
  <c r="H714" i="4"/>
  <c r="D714" i="4"/>
  <c r="H713" i="4"/>
  <c r="D713" i="4"/>
  <c r="H712" i="4"/>
  <c r="D712" i="4"/>
  <c r="H711" i="4"/>
  <c r="D711" i="4"/>
  <c r="H710" i="4"/>
  <c r="D710" i="4"/>
  <c r="H709" i="4"/>
  <c r="D709" i="4"/>
  <c r="H708" i="4"/>
  <c r="D708" i="4"/>
  <c r="H707" i="4"/>
  <c r="D707" i="4"/>
  <c r="H706" i="4"/>
  <c r="D706" i="4"/>
  <c r="H705" i="4"/>
  <c r="D705" i="4"/>
  <c r="H704" i="4"/>
  <c r="D704" i="4"/>
  <c r="H703" i="4"/>
  <c r="D703" i="4"/>
  <c r="H702" i="4"/>
  <c r="D702" i="4"/>
  <c r="H701" i="4"/>
  <c r="D701" i="4"/>
  <c r="H700" i="4"/>
  <c r="D700" i="4"/>
  <c r="H699" i="4"/>
  <c r="D699" i="4"/>
  <c r="H698" i="4"/>
  <c r="D698" i="4"/>
  <c r="H697" i="4"/>
  <c r="D697" i="4"/>
  <c r="H696" i="4"/>
  <c r="D696" i="4"/>
  <c r="H695" i="4"/>
  <c r="D695" i="4"/>
  <c r="H694" i="4"/>
  <c r="D694" i="4"/>
  <c r="H693" i="4"/>
  <c r="D693" i="4"/>
  <c r="H692" i="4"/>
  <c r="D692" i="4"/>
  <c r="H691" i="4"/>
  <c r="D691" i="4"/>
  <c r="H690" i="4"/>
  <c r="D690" i="4"/>
  <c r="H689" i="4"/>
  <c r="D689" i="4"/>
  <c r="H688" i="4"/>
  <c r="D688" i="4"/>
  <c r="H687" i="4"/>
  <c r="D687" i="4"/>
  <c r="H686" i="4"/>
  <c r="D686" i="4"/>
  <c r="H685" i="4"/>
  <c r="D685" i="4"/>
  <c r="H684" i="4"/>
  <c r="D684" i="4"/>
  <c r="H683" i="4"/>
  <c r="D683" i="4"/>
  <c r="H682" i="4"/>
  <c r="D682" i="4"/>
  <c r="H681" i="4"/>
  <c r="D681" i="4"/>
  <c r="H680" i="4"/>
  <c r="D680" i="4"/>
  <c r="H679" i="4"/>
  <c r="D679" i="4"/>
  <c r="H678" i="4"/>
  <c r="D678" i="4"/>
  <c r="H677" i="4"/>
  <c r="D677" i="4"/>
  <c r="H676" i="4"/>
  <c r="D676" i="4"/>
  <c r="H675" i="4"/>
  <c r="D675" i="4"/>
  <c r="H674" i="4"/>
  <c r="D674" i="4"/>
  <c r="H673" i="4"/>
  <c r="D673" i="4"/>
  <c r="H672" i="4"/>
  <c r="D672" i="4"/>
  <c r="H671" i="4"/>
  <c r="D671" i="4"/>
  <c r="H670" i="4"/>
  <c r="D670" i="4"/>
  <c r="H669" i="4"/>
  <c r="D669" i="4"/>
  <c r="H668" i="4"/>
  <c r="D668" i="4"/>
  <c r="H667" i="4"/>
  <c r="D667" i="4"/>
  <c r="H666" i="4"/>
  <c r="D666" i="4"/>
  <c r="H665" i="4"/>
  <c r="D665" i="4"/>
  <c r="H664" i="4"/>
  <c r="D664" i="4"/>
  <c r="H663" i="4"/>
  <c r="D663" i="4"/>
  <c r="H662" i="4"/>
  <c r="D662" i="4"/>
  <c r="H661" i="4"/>
  <c r="D661" i="4"/>
  <c r="H660" i="4"/>
  <c r="D660" i="4"/>
  <c r="H659" i="4"/>
  <c r="D659" i="4"/>
  <c r="H658" i="4"/>
  <c r="D658" i="4"/>
  <c r="H657" i="4"/>
  <c r="D657" i="4"/>
  <c r="H656" i="4"/>
  <c r="D656" i="4"/>
  <c r="H655" i="4"/>
  <c r="D655" i="4"/>
  <c r="H654" i="4"/>
  <c r="D654" i="4"/>
  <c r="H653" i="4"/>
  <c r="D653" i="4"/>
  <c r="H652" i="4"/>
  <c r="D652" i="4"/>
  <c r="H651" i="4"/>
  <c r="D651" i="4"/>
  <c r="H650" i="4"/>
  <c r="D650" i="4"/>
  <c r="H649" i="4"/>
  <c r="D649" i="4"/>
  <c r="H648" i="4"/>
  <c r="D648" i="4"/>
  <c r="H647" i="4"/>
  <c r="D647" i="4"/>
  <c r="H646" i="4"/>
  <c r="D646" i="4"/>
  <c r="H645" i="4"/>
  <c r="D645" i="4"/>
  <c r="H644" i="4"/>
  <c r="D644" i="4"/>
  <c r="H643" i="4"/>
  <c r="D643" i="4"/>
  <c r="H642" i="4"/>
  <c r="D642" i="4"/>
  <c r="H641" i="4"/>
  <c r="D641" i="4"/>
  <c r="H640" i="4"/>
  <c r="D640" i="4"/>
  <c r="H639" i="4"/>
  <c r="D639" i="4"/>
  <c r="H638" i="4"/>
  <c r="D638" i="4"/>
  <c r="H637" i="4"/>
  <c r="D637" i="4"/>
  <c r="H636" i="4"/>
  <c r="D636" i="4"/>
  <c r="H635" i="4"/>
  <c r="D635" i="4"/>
  <c r="H634" i="4"/>
  <c r="D634" i="4"/>
  <c r="H633" i="4"/>
  <c r="D633" i="4"/>
  <c r="H632" i="4"/>
  <c r="D632" i="4"/>
  <c r="H631" i="4"/>
  <c r="D631" i="4"/>
  <c r="H630" i="4"/>
  <c r="D630" i="4"/>
  <c r="H629" i="4"/>
  <c r="D629" i="4"/>
  <c r="H628" i="4"/>
  <c r="D628" i="4"/>
  <c r="H627" i="4"/>
  <c r="D627" i="4"/>
  <c r="H626" i="4"/>
  <c r="D626" i="4"/>
  <c r="H625" i="4"/>
  <c r="D625" i="4"/>
  <c r="H624" i="4"/>
  <c r="D624" i="4"/>
  <c r="H623" i="4"/>
  <c r="D623" i="4"/>
  <c r="H622" i="4"/>
  <c r="D622" i="4"/>
  <c r="H621" i="4"/>
  <c r="D621" i="4"/>
  <c r="H620" i="4"/>
  <c r="D620" i="4"/>
  <c r="H619" i="4"/>
  <c r="D619" i="4"/>
  <c r="H618" i="4"/>
  <c r="D618" i="4"/>
  <c r="H617" i="4"/>
  <c r="D617" i="4"/>
  <c r="H616" i="4"/>
  <c r="D616" i="4"/>
  <c r="H615" i="4"/>
  <c r="D615" i="4"/>
  <c r="H614" i="4"/>
  <c r="D614" i="4"/>
  <c r="H613" i="4"/>
  <c r="D613" i="4"/>
  <c r="H612" i="4"/>
  <c r="D612" i="4"/>
  <c r="H611" i="4"/>
  <c r="D611" i="4"/>
  <c r="H610" i="4"/>
  <c r="D610" i="4"/>
  <c r="H609" i="4"/>
  <c r="D609" i="4"/>
  <c r="H608" i="4"/>
  <c r="D608" i="4"/>
  <c r="H607" i="4"/>
  <c r="D607" i="4"/>
  <c r="H606" i="4"/>
  <c r="D606" i="4"/>
  <c r="H605" i="4"/>
  <c r="D605" i="4"/>
  <c r="H604" i="4"/>
  <c r="D604" i="4"/>
  <c r="H603" i="4"/>
  <c r="D603" i="4"/>
  <c r="H602" i="4"/>
  <c r="D602" i="4"/>
  <c r="H601" i="4"/>
  <c r="D601" i="4"/>
  <c r="H600" i="4"/>
  <c r="D600" i="4"/>
  <c r="H599" i="4"/>
  <c r="D599" i="4"/>
  <c r="H598" i="4"/>
  <c r="D598" i="4"/>
  <c r="H597" i="4"/>
  <c r="D597" i="4"/>
  <c r="H596" i="4"/>
  <c r="D596" i="4"/>
  <c r="H595" i="4"/>
  <c r="D595" i="4"/>
  <c r="H594" i="4"/>
  <c r="D594" i="4"/>
  <c r="H593" i="4"/>
  <c r="D593" i="4"/>
  <c r="H592" i="4"/>
  <c r="D592" i="4"/>
  <c r="H591" i="4"/>
  <c r="D591" i="4"/>
  <c r="H590" i="4"/>
  <c r="D590" i="4"/>
  <c r="H589" i="4"/>
  <c r="D589" i="4"/>
  <c r="H588" i="4"/>
  <c r="D588" i="4"/>
  <c r="H587" i="4"/>
  <c r="D587" i="4"/>
  <c r="H586" i="4"/>
  <c r="D586" i="4"/>
  <c r="H585" i="4"/>
  <c r="D585" i="4"/>
  <c r="H584" i="4"/>
  <c r="D584" i="4"/>
  <c r="H583" i="4"/>
  <c r="D583" i="4"/>
  <c r="H582" i="4"/>
  <c r="D582" i="4"/>
  <c r="H581" i="4"/>
  <c r="D581" i="4"/>
  <c r="H580" i="4"/>
  <c r="D580" i="4"/>
  <c r="H579" i="4"/>
  <c r="D579" i="4"/>
  <c r="H578" i="4"/>
  <c r="D578" i="4"/>
  <c r="H577" i="4"/>
  <c r="D577" i="4"/>
  <c r="H576" i="4"/>
  <c r="D576" i="4"/>
  <c r="H575" i="4"/>
  <c r="D575" i="4"/>
  <c r="H574" i="4"/>
  <c r="D574" i="4"/>
  <c r="H573" i="4"/>
  <c r="D573" i="4"/>
  <c r="H572" i="4"/>
  <c r="D572" i="4"/>
  <c r="H571" i="4"/>
  <c r="D571" i="4"/>
  <c r="H570" i="4"/>
  <c r="D570" i="4"/>
  <c r="H569" i="4"/>
  <c r="D569" i="4"/>
  <c r="H568" i="4"/>
  <c r="D568" i="4"/>
  <c r="H567" i="4"/>
  <c r="D567" i="4"/>
  <c r="H566" i="4"/>
  <c r="D566" i="4"/>
  <c r="H565" i="4"/>
  <c r="D565" i="4"/>
  <c r="H564" i="4"/>
  <c r="D564" i="4"/>
  <c r="H563" i="4"/>
  <c r="D563" i="4"/>
  <c r="H562" i="4"/>
  <c r="D562" i="4"/>
  <c r="H561" i="4"/>
  <c r="D561" i="4"/>
  <c r="H560" i="4"/>
  <c r="D560" i="4"/>
  <c r="H559" i="4"/>
  <c r="D559" i="4"/>
  <c r="H558" i="4"/>
  <c r="D558" i="4"/>
  <c r="H557" i="4"/>
  <c r="D557" i="4"/>
  <c r="H556" i="4"/>
  <c r="D556" i="4"/>
  <c r="H555" i="4"/>
  <c r="D555" i="4"/>
  <c r="H554" i="4"/>
  <c r="D554" i="4"/>
  <c r="H553" i="4"/>
  <c r="D553" i="4"/>
  <c r="H552" i="4"/>
  <c r="D552" i="4"/>
  <c r="H551" i="4"/>
  <c r="D551" i="4"/>
  <c r="H550" i="4"/>
  <c r="D550" i="4"/>
  <c r="H549" i="4"/>
  <c r="D549" i="4"/>
  <c r="H548" i="4"/>
  <c r="D548" i="4"/>
  <c r="H547" i="4"/>
  <c r="D547" i="4"/>
  <c r="H546" i="4"/>
  <c r="D546" i="4"/>
  <c r="H545" i="4"/>
  <c r="D545" i="4"/>
  <c r="H544" i="4"/>
  <c r="D544" i="4"/>
  <c r="H543" i="4"/>
  <c r="D543" i="4"/>
  <c r="H542" i="4"/>
  <c r="D542" i="4"/>
  <c r="H541" i="4"/>
  <c r="D541" i="4"/>
  <c r="H540" i="4"/>
  <c r="D540" i="4"/>
  <c r="H539" i="4"/>
  <c r="D539" i="4"/>
  <c r="H538" i="4"/>
  <c r="D538" i="4"/>
  <c r="H537" i="4"/>
  <c r="D537" i="4"/>
  <c r="H536" i="4"/>
  <c r="D536" i="4"/>
  <c r="H535" i="4"/>
  <c r="D535" i="4"/>
  <c r="H534" i="4"/>
  <c r="D534" i="4"/>
  <c r="H533" i="4"/>
  <c r="D533" i="4"/>
  <c r="H532" i="4"/>
  <c r="D532" i="4"/>
  <c r="H531" i="4"/>
  <c r="D531" i="4"/>
  <c r="H530" i="4"/>
  <c r="D530" i="4"/>
  <c r="H529" i="4"/>
  <c r="D529" i="4"/>
  <c r="H528" i="4"/>
  <c r="D528" i="4"/>
  <c r="H527" i="4"/>
  <c r="D527" i="4"/>
  <c r="H526" i="4"/>
  <c r="D526" i="4"/>
  <c r="H525" i="4"/>
  <c r="D525" i="4"/>
  <c r="H524" i="4"/>
  <c r="D524" i="4"/>
  <c r="H523" i="4"/>
  <c r="D523" i="4"/>
  <c r="H522" i="4"/>
  <c r="D522" i="4"/>
  <c r="H521" i="4"/>
  <c r="D521" i="4"/>
  <c r="H520" i="4"/>
  <c r="D520" i="4"/>
  <c r="H519" i="4"/>
  <c r="D519" i="4"/>
  <c r="H518" i="4"/>
  <c r="D518" i="4"/>
  <c r="H517" i="4"/>
  <c r="D517" i="4"/>
  <c r="H516" i="4"/>
  <c r="D516" i="4"/>
  <c r="H515" i="4"/>
  <c r="D515" i="4"/>
  <c r="H514" i="4"/>
  <c r="D514" i="4"/>
  <c r="H513" i="4"/>
  <c r="D513" i="4"/>
  <c r="H512" i="4"/>
  <c r="D512" i="4"/>
  <c r="H511" i="4"/>
  <c r="D511" i="4"/>
  <c r="H510" i="4"/>
  <c r="D510" i="4"/>
  <c r="H509" i="4"/>
  <c r="D509" i="4"/>
  <c r="H508" i="4"/>
  <c r="D508" i="4"/>
  <c r="H507" i="4"/>
  <c r="D507" i="4"/>
  <c r="H506" i="4"/>
  <c r="D506" i="4"/>
  <c r="H505" i="4"/>
  <c r="D505" i="4"/>
  <c r="H504" i="4"/>
  <c r="D504" i="4"/>
  <c r="H503" i="4"/>
  <c r="D503" i="4"/>
  <c r="H502" i="4"/>
  <c r="D502" i="4"/>
  <c r="H501" i="4"/>
  <c r="D501" i="4"/>
  <c r="H500" i="4"/>
  <c r="D500" i="4"/>
  <c r="H499" i="4"/>
  <c r="D499" i="4"/>
  <c r="H498" i="4"/>
  <c r="D498" i="4"/>
  <c r="H497" i="4"/>
  <c r="D497" i="4"/>
  <c r="H496" i="4"/>
  <c r="D496" i="4"/>
  <c r="H495" i="4"/>
  <c r="D495" i="4"/>
  <c r="H494" i="4"/>
  <c r="D494" i="4"/>
  <c r="H493" i="4"/>
  <c r="D493" i="4"/>
  <c r="H492" i="4"/>
  <c r="D492" i="4"/>
  <c r="H491" i="4"/>
  <c r="D491" i="4"/>
  <c r="H490" i="4"/>
  <c r="D490" i="4"/>
  <c r="H489" i="4"/>
  <c r="D489" i="4"/>
  <c r="H488" i="4"/>
  <c r="D488" i="4"/>
  <c r="H487" i="4"/>
  <c r="D487" i="4"/>
  <c r="H486" i="4"/>
  <c r="D486" i="4"/>
  <c r="H485" i="4"/>
  <c r="D485" i="4"/>
  <c r="H484" i="4"/>
  <c r="D484" i="4"/>
  <c r="H483" i="4"/>
  <c r="D483" i="4"/>
  <c r="H482" i="4"/>
  <c r="D482" i="4"/>
  <c r="H481" i="4"/>
  <c r="D481" i="4"/>
  <c r="H480" i="4"/>
  <c r="D480" i="4"/>
  <c r="H479" i="4"/>
  <c r="D479" i="4"/>
  <c r="H478" i="4"/>
  <c r="D478" i="4"/>
  <c r="H477" i="4"/>
  <c r="D477" i="4"/>
  <c r="H476" i="4"/>
  <c r="D476" i="4"/>
  <c r="H475" i="4"/>
  <c r="D475" i="4"/>
  <c r="H474" i="4"/>
  <c r="D474" i="4"/>
  <c r="H473" i="4"/>
  <c r="D473" i="4"/>
  <c r="H472" i="4"/>
  <c r="D472" i="4"/>
  <c r="H471" i="4"/>
  <c r="D471" i="4"/>
  <c r="H470" i="4"/>
  <c r="D470" i="4"/>
  <c r="H469" i="4"/>
  <c r="D469" i="4"/>
  <c r="H468" i="4"/>
  <c r="D468" i="4"/>
  <c r="H467" i="4"/>
  <c r="D467" i="4"/>
  <c r="H466" i="4"/>
  <c r="D466" i="4"/>
  <c r="H465" i="4"/>
  <c r="D465" i="4"/>
  <c r="H464" i="4"/>
  <c r="D464" i="4"/>
  <c r="H463" i="4"/>
  <c r="D463" i="4"/>
  <c r="H462" i="4"/>
  <c r="D462" i="4"/>
  <c r="H461" i="4"/>
  <c r="D461" i="4"/>
  <c r="H460" i="4"/>
  <c r="D460" i="4"/>
  <c r="H459" i="4"/>
  <c r="D459" i="4"/>
  <c r="H458" i="4"/>
  <c r="D458" i="4"/>
  <c r="H457" i="4"/>
  <c r="D457" i="4"/>
  <c r="H456" i="4"/>
  <c r="D456" i="4"/>
  <c r="H455" i="4"/>
  <c r="D455" i="4"/>
  <c r="H454" i="4"/>
  <c r="D454" i="4"/>
  <c r="H453" i="4"/>
  <c r="D453" i="4"/>
  <c r="H452" i="4"/>
  <c r="D452" i="4"/>
  <c r="H451" i="4"/>
  <c r="D451" i="4"/>
  <c r="H450" i="4"/>
  <c r="D450" i="4"/>
  <c r="H449" i="4"/>
  <c r="D449" i="4"/>
  <c r="H448" i="4"/>
  <c r="D448" i="4"/>
  <c r="H447" i="4"/>
  <c r="D447" i="4"/>
  <c r="H446" i="4"/>
  <c r="D446" i="4"/>
  <c r="H445" i="4"/>
  <c r="D445" i="4"/>
  <c r="H444" i="4"/>
  <c r="D444" i="4"/>
  <c r="H443" i="4"/>
  <c r="D443" i="4"/>
  <c r="H442" i="4"/>
  <c r="D442" i="4"/>
  <c r="H441" i="4"/>
  <c r="D441" i="4"/>
  <c r="H440" i="4"/>
  <c r="D440" i="4"/>
  <c r="H439" i="4"/>
  <c r="D439" i="4"/>
  <c r="H438" i="4"/>
  <c r="D438" i="4"/>
  <c r="H437" i="4"/>
  <c r="D437" i="4"/>
  <c r="H436" i="4"/>
  <c r="D436" i="4"/>
  <c r="H435" i="4"/>
  <c r="D435" i="4"/>
  <c r="H434" i="4"/>
  <c r="D434" i="4"/>
  <c r="H433" i="4"/>
  <c r="D433" i="4"/>
  <c r="H432" i="4"/>
  <c r="D432" i="4"/>
  <c r="H431" i="4"/>
  <c r="D431" i="4"/>
  <c r="H430" i="4"/>
  <c r="D430" i="4"/>
  <c r="H429" i="4"/>
  <c r="D429" i="4"/>
  <c r="H428" i="4"/>
  <c r="D428" i="4"/>
  <c r="H427" i="4"/>
  <c r="D427" i="4"/>
  <c r="H426" i="4"/>
  <c r="D426" i="4"/>
  <c r="H425" i="4"/>
  <c r="D425" i="4"/>
  <c r="H424" i="4"/>
  <c r="D424" i="4"/>
  <c r="H423" i="4"/>
  <c r="D423" i="4"/>
  <c r="H422" i="4"/>
  <c r="D422" i="4"/>
  <c r="H421" i="4"/>
  <c r="D421" i="4"/>
  <c r="H420" i="4"/>
  <c r="D420" i="4"/>
  <c r="H419" i="4"/>
  <c r="D419" i="4"/>
  <c r="H418" i="4"/>
  <c r="D418" i="4"/>
  <c r="H417" i="4"/>
  <c r="D417" i="4"/>
  <c r="H416" i="4"/>
  <c r="D416" i="4"/>
  <c r="H415" i="4"/>
  <c r="D415" i="4"/>
  <c r="H414" i="4"/>
  <c r="D414" i="4"/>
  <c r="H413" i="4"/>
  <c r="D413" i="4"/>
  <c r="H412" i="4"/>
  <c r="D412" i="4"/>
  <c r="H411" i="4"/>
  <c r="D411" i="4"/>
  <c r="H410" i="4"/>
  <c r="D410" i="4"/>
  <c r="H409" i="4"/>
  <c r="D409" i="4"/>
  <c r="H408" i="4"/>
  <c r="D408" i="4"/>
  <c r="H407" i="4"/>
  <c r="D407" i="4"/>
  <c r="H406" i="4"/>
  <c r="D406" i="4"/>
  <c r="H405" i="4"/>
  <c r="D405" i="4"/>
  <c r="H404" i="4"/>
  <c r="D404" i="4"/>
  <c r="H403" i="4"/>
  <c r="D403" i="4"/>
  <c r="H402" i="4"/>
  <c r="D402" i="4"/>
  <c r="H401" i="4"/>
  <c r="D401" i="4"/>
  <c r="H400" i="4"/>
  <c r="D400" i="4"/>
  <c r="H399" i="4"/>
  <c r="D399" i="4"/>
  <c r="H398" i="4"/>
  <c r="D398" i="4"/>
  <c r="H397" i="4"/>
  <c r="D397" i="4"/>
  <c r="H396" i="4"/>
  <c r="D396" i="4"/>
  <c r="H395" i="4"/>
  <c r="D395" i="4"/>
  <c r="H394" i="4"/>
  <c r="D394" i="4"/>
  <c r="H393" i="4"/>
  <c r="D393" i="4"/>
  <c r="H392" i="4"/>
  <c r="D392" i="4"/>
  <c r="H391" i="4"/>
  <c r="D391" i="4"/>
  <c r="H390" i="4"/>
  <c r="D390" i="4"/>
  <c r="H389" i="4"/>
  <c r="D389" i="4"/>
  <c r="H388" i="4"/>
  <c r="D388" i="4"/>
  <c r="H387" i="4"/>
  <c r="D387" i="4"/>
  <c r="H386" i="4"/>
  <c r="D386" i="4"/>
  <c r="H385" i="4"/>
  <c r="D385" i="4"/>
  <c r="H384" i="4"/>
  <c r="D384" i="4"/>
  <c r="H383" i="4"/>
  <c r="D383" i="4"/>
  <c r="H382" i="4"/>
  <c r="D382" i="4"/>
  <c r="H381" i="4"/>
  <c r="D381" i="4"/>
  <c r="H380" i="4"/>
  <c r="D380" i="4"/>
  <c r="H379" i="4"/>
  <c r="D379" i="4"/>
  <c r="H378" i="4"/>
  <c r="D378" i="4"/>
  <c r="H377" i="4"/>
  <c r="D377" i="4"/>
  <c r="H376" i="4"/>
  <c r="D376" i="4"/>
  <c r="H375" i="4"/>
  <c r="D375" i="4"/>
  <c r="H374" i="4"/>
  <c r="D374" i="4"/>
  <c r="H373" i="4"/>
  <c r="D373" i="4"/>
  <c r="H372" i="4"/>
  <c r="D372" i="4"/>
  <c r="H371" i="4"/>
  <c r="D371" i="4"/>
  <c r="H370" i="4"/>
  <c r="D370" i="4"/>
  <c r="H369" i="4"/>
  <c r="D369" i="4"/>
  <c r="H368" i="4"/>
  <c r="D368" i="4"/>
  <c r="H367" i="4"/>
  <c r="D367" i="4"/>
  <c r="H366" i="4"/>
  <c r="D366" i="4"/>
  <c r="H365" i="4"/>
  <c r="D365" i="4"/>
  <c r="H364" i="4"/>
  <c r="D364" i="4"/>
  <c r="H363" i="4"/>
  <c r="D363" i="4"/>
  <c r="H362" i="4"/>
  <c r="D362" i="4"/>
  <c r="H361" i="4"/>
  <c r="D361" i="4"/>
  <c r="H360" i="4"/>
  <c r="D360" i="4"/>
  <c r="H359" i="4"/>
  <c r="D359" i="4"/>
  <c r="H358" i="4"/>
  <c r="D358" i="4"/>
  <c r="H357" i="4"/>
  <c r="D357" i="4"/>
  <c r="H356" i="4"/>
  <c r="D356" i="4"/>
  <c r="H355" i="4"/>
  <c r="D355" i="4"/>
  <c r="H354" i="4"/>
  <c r="D354" i="4"/>
  <c r="H353" i="4"/>
  <c r="D353" i="4"/>
  <c r="H352" i="4"/>
  <c r="D352" i="4"/>
  <c r="H351" i="4"/>
  <c r="D351" i="4"/>
  <c r="H350" i="4"/>
  <c r="D350" i="4"/>
  <c r="H349" i="4"/>
  <c r="D349" i="4"/>
  <c r="H348" i="4"/>
  <c r="D348" i="4"/>
  <c r="H347" i="4"/>
  <c r="D347" i="4"/>
  <c r="H346" i="4"/>
  <c r="D346" i="4"/>
  <c r="H345" i="4"/>
  <c r="D345" i="4"/>
  <c r="H344" i="4"/>
  <c r="D344" i="4"/>
  <c r="H343" i="4"/>
  <c r="D343" i="4"/>
  <c r="H342" i="4"/>
  <c r="D342" i="4"/>
  <c r="H341" i="4"/>
  <c r="D341" i="4"/>
  <c r="H340" i="4"/>
  <c r="D340" i="4"/>
  <c r="H339" i="4"/>
  <c r="D339" i="4"/>
  <c r="H338" i="4"/>
  <c r="D338" i="4"/>
  <c r="H337" i="4"/>
  <c r="D337" i="4"/>
  <c r="H336" i="4"/>
  <c r="D336" i="4"/>
  <c r="H335" i="4"/>
  <c r="D335" i="4"/>
  <c r="H334" i="4"/>
  <c r="D334" i="4"/>
  <c r="H333" i="4"/>
  <c r="D333" i="4"/>
  <c r="H332" i="4"/>
  <c r="D332" i="4"/>
  <c r="H331" i="4"/>
  <c r="D331" i="4"/>
  <c r="H330" i="4"/>
  <c r="D330" i="4"/>
  <c r="H329" i="4"/>
  <c r="D329" i="4"/>
  <c r="H328" i="4"/>
  <c r="D328" i="4"/>
  <c r="H327" i="4"/>
  <c r="D327" i="4"/>
  <c r="H326" i="4"/>
  <c r="D326" i="4"/>
  <c r="H325" i="4"/>
  <c r="D325" i="4"/>
  <c r="H324" i="4"/>
  <c r="D324" i="4"/>
  <c r="H323" i="4"/>
  <c r="D323" i="4"/>
  <c r="H322" i="4"/>
  <c r="D322" i="4"/>
  <c r="H321" i="4"/>
  <c r="D321" i="4"/>
  <c r="H320" i="4"/>
  <c r="D320" i="4"/>
  <c r="H319" i="4"/>
  <c r="D319" i="4"/>
  <c r="H318" i="4"/>
  <c r="D318" i="4"/>
  <c r="H317" i="4"/>
  <c r="D317" i="4"/>
  <c r="H316" i="4"/>
  <c r="D316" i="4"/>
  <c r="H315" i="4"/>
  <c r="D315" i="4"/>
  <c r="H314" i="4"/>
  <c r="D314" i="4"/>
  <c r="H313" i="4"/>
  <c r="D313" i="4"/>
  <c r="H312" i="4"/>
  <c r="D312" i="4"/>
  <c r="H311" i="4"/>
  <c r="D311" i="4"/>
  <c r="H310" i="4"/>
  <c r="D310" i="4"/>
  <c r="H309" i="4"/>
  <c r="D309" i="4"/>
  <c r="H308" i="4"/>
  <c r="D308" i="4"/>
  <c r="H307" i="4"/>
  <c r="D307" i="4"/>
  <c r="H306" i="4"/>
  <c r="D306" i="4"/>
  <c r="H305" i="4"/>
  <c r="D305" i="4"/>
  <c r="H304" i="4"/>
  <c r="D304" i="4"/>
  <c r="H303" i="4"/>
  <c r="D303" i="4"/>
  <c r="H302" i="4"/>
  <c r="D302" i="4"/>
  <c r="H301" i="4"/>
  <c r="D301" i="4"/>
  <c r="H300" i="4"/>
  <c r="D300" i="4"/>
  <c r="H299" i="4"/>
  <c r="D299" i="4"/>
  <c r="H298" i="4"/>
  <c r="D298" i="4"/>
  <c r="H297" i="4"/>
  <c r="D297" i="4"/>
  <c r="H296" i="4"/>
  <c r="D296" i="4"/>
  <c r="H295" i="4"/>
  <c r="D295" i="4"/>
  <c r="H294" i="4"/>
  <c r="D294" i="4"/>
  <c r="H293" i="4"/>
  <c r="D293" i="4"/>
  <c r="H292" i="4"/>
  <c r="D292" i="4"/>
  <c r="H291" i="4"/>
  <c r="D291" i="4"/>
  <c r="H290" i="4"/>
  <c r="D290" i="4"/>
  <c r="H289" i="4"/>
  <c r="D289" i="4"/>
  <c r="H288" i="4"/>
  <c r="D288" i="4"/>
  <c r="H287" i="4"/>
  <c r="D287" i="4"/>
  <c r="H286" i="4"/>
  <c r="D286" i="4"/>
  <c r="H285" i="4"/>
  <c r="D285" i="4"/>
  <c r="H284" i="4"/>
  <c r="D284" i="4"/>
  <c r="H283" i="4"/>
  <c r="D283" i="4"/>
  <c r="H282" i="4"/>
  <c r="D282" i="4"/>
  <c r="H281" i="4"/>
  <c r="D281" i="4"/>
  <c r="H280" i="4"/>
  <c r="D280" i="4"/>
  <c r="H279" i="4"/>
  <c r="D279" i="4"/>
  <c r="H278" i="4"/>
  <c r="D278" i="4"/>
  <c r="H277" i="4"/>
  <c r="D277" i="4"/>
  <c r="H276" i="4"/>
  <c r="D276" i="4"/>
  <c r="H275" i="4"/>
  <c r="D275" i="4"/>
  <c r="H274" i="4"/>
  <c r="D274" i="4"/>
  <c r="H273" i="4"/>
  <c r="D273" i="4"/>
  <c r="H272" i="4"/>
  <c r="D272" i="4"/>
  <c r="H271" i="4"/>
  <c r="D271" i="4"/>
  <c r="H270" i="4"/>
  <c r="D270" i="4"/>
  <c r="H269" i="4"/>
  <c r="D269" i="4"/>
  <c r="H268" i="4"/>
  <c r="D268" i="4"/>
  <c r="H267" i="4"/>
  <c r="D267" i="4"/>
  <c r="H266" i="4"/>
  <c r="D266" i="4"/>
  <c r="H265" i="4"/>
  <c r="D265" i="4"/>
  <c r="H264" i="4"/>
  <c r="D264" i="4"/>
  <c r="H263" i="4"/>
  <c r="D263" i="4"/>
  <c r="H262" i="4"/>
  <c r="D262" i="4"/>
  <c r="H261" i="4"/>
  <c r="D261" i="4"/>
  <c r="H260" i="4"/>
  <c r="D260" i="4"/>
  <c r="H259" i="4"/>
  <c r="D259" i="4"/>
  <c r="H258" i="4"/>
  <c r="D258" i="4"/>
  <c r="H257" i="4"/>
  <c r="D257" i="4"/>
  <c r="H256" i="4"/>
  <c r="D256" i="4"/>
  <c r="H255" i="4"/>
  <c r="D255" i="4"/>
  <c r="H254" i="4"/>
  <c r="D254" i="4"/>
  <c r="H253" i="4"/>
  <c r="D253" i="4"/>
  <c r="H252" i="4"/>
  <c r="D252" i="4"/>
  <c r="H251" i="4"/>
  <c r="D251" i="4"/>
  <c r="H250" i="4"/>
  <c r="D250" i="4"/>
  <c r="H249" i="4"/>
  <c r="D249" i="4"/>
  <c r="H248" i="4"/>
  <c r="D248" i="4"/>
  <c r="H247" i="4"/>
  <c r="D247" i="4"/>
  <c r="H246" i="4"/>
  <c r="D246" i="4"/>
  <c r="H245" i="4"/>
  <c r="D245" i="4"/>
  <c r="H244" i="4"/>
  <c r="D244" i="4"/>
  <c r="H243" i="4"/>
  <c r="D243" i="4"/>
  <c r="H242" i="4"/>
  <c r="D242" i="4"/>
  <c r="H241" i="4"/>
  <c r="D241" i="4"/>
  <c r="H240" i="4"/>
  <c r="D240" i="4"/>
  <c r="H239" i="4"/>
  <c r="D239" i="4"/>
  <c r="H238" i="4"/>
  <c r="D238" i="4"/>
  <c r="H237" i="4"/>
  <c r="D237" i="4"/>
  <c r="H236" i="4"/>
  <c r="D236" i="4"/>
  <c r="H235" i="4"/>
  <c r="D235" i="4"/>
  <c r="H234" i="4"/>
  <c r="D234" i="4"/>
  <c r="H233" i="4"/>
  <c r="D233" i="4"/>
  <c r="H232" i="4"/>
  <c r="D232" i="4"/>
  <c r="H231" i="4"/>
  <c r="D231" i="4"/>
  <c r="H230" i="4"/>
  <c r="D230" i="4"/>
  <c r="H229" i="4"/>
  <c r="D229" i="4"/>
  <c r="H228" i="4"/>
  <c r="D228" i="4"/>
  <c r="H227" i="4"/>
  <c r="D227" i="4"/>
  <c r="H226" i="4"/>
  <c r="D226" i="4"/>
  <c r="H225" i="4"/>
  <c r="D225" i="4"/>
  <c r="H224" i="4"/>
  <c r="D224" i="4"/>
  <c r="H223" i="4"/>
  <c r="D223" i="4"/>
  <c r="H222" i="4"/>
  <c r="D222" i="4"/>
  <c r="H221" i="4"/>
  <c r="D221" i="4"/>
  <c r="H220" i="4"/>
  <c r="D220" i="4"/>
  <c r="H219" i="4"/>
  <c r="D219" i="4"/>
  <c r="H218" i="4"/>
  <c r="D218" i="4"/>
  <c r="H217" i="4"/>
  <c r="D217" i="4"/>
  <c r="H216" i="4"/>
  <c r="D216" i="4"/>
  <c r="H215" i="4"/>
  <c r="D215" i="4"/>
  <c r="H214" i="4"/>
  <c r="D214" i="4"/>
  <c r="H213" i="4"/>
  <c r="D213" i="4"/>
  <c r="H212" i="4"/>
  <c r="D212" i="4"/>
  <c r="H211" i="4"/>
  <c r="D211" i="4"/>
  <c r="H210" i="4"/>
  <c r="D210" i="4"/>
  <c r="H209" i="4"/>
  <c r="D209" i="4"/>
  <c r="H208" i="4"/>
  <c r="D208" i="4"/>
  <c r="H207" i="4"/>
  <c r="D207" i="4"/>
  <c r="H206" i="4"/>
  <c r="D206" i="4"/>
  <c r="H205" i="4"/>
  <c r="D205" i="4"/>
  <c r="H204" i="4"/>
  <c r="D204" i="4"/>
  <c r="H203" i="4"/>
  <c r="D203" i="4"/>
  <c r="H202" i="4"/>
  <c r="D202" i="4"/>
  <c r="H201" i="4"/>
  <c r="D201" i="4"/>
  <c r="H200" i="4"/>
  <c r="D200" i="4"/>
  <c r="H199" i="4"/>
  <c r="D199" i="4"/>
  <c r="H198" i="4"/>
  <c r="D198" i="4"/>
  <c r="H197" i="4"/>
  <c r="D197" i="4"/>
  <c r="H196" i="4"/>
  <c r="D196" i="4"/>
  <c r="H195" i="4"/>
  <c r="D195" i="4"/>
  <c r="H194" i="4"/>
  <c r="D194" i="4"/>
  <c r="H193" i="4"/>
  <c r="D193" i="4"/>
  <c r="H192" i="4"/>
  <c r="D192" i="4"/>
  <c r="H191" i="4"/>
  <c r="D191" i="4"/>
  <c r="H190" i="4"/>
  <c r="D190" i="4"/>
  <c r="H189" i="4"/>
  <c r="D189" i="4"/>
  <c r="H188" i="4"/>
  <c r="D188" i="4"/>
  <c r="H187" i="4"/>
  <c r="D187" i="4"/>
  <c r="H186" i="4"/>
  <c r="D186" i="4"/>
  <c r="H185" i="4"/>
  <c r="D185" i="4"/>
  <c r="H184" i="4"/>
  <c r="D184" i="4"/>
  <c r="H183" i="4"/>
  <c r="D183" i="4"/>
  <c r="H182" i="4"/>
  <c r="D182" i="4"/>
  <c r="H181" i="4"/>
  <c r="D181" i="4"/>
  <c r="H180" i="4"/>
  <c r="D180" i="4"/>
  <c r="H179" i="4"/>
  <c r="D179" i="4"/>
  <c r="H178" i="4"/>
  <c r="D178" i="4"/>
  <c r="H177" i="4"/>
  <c r="D177" i="4"/>
  <c r="H176" i="4"/>
  <c r="D176" i="4"/>
  <c r="H175" i="4"/>
  <c r="D175" i="4"/>
  <c r="H174" i="4"/>
  <c r="D174" i="4"/>
  <c r="H173" i="4"/>
  <c r="D173" i="4"/>
  <c r="H172" i="4"/>
  <c r="D172" i="4"/>
  <c r="H171" i="4"/>
  <c r="D171" i="4"/>
  <c r="H170" i="4"/>
  <c r="D170" i="4"/>
  <c r="H169" i="4"/>
  <c r="D169" i="4"/>
  <c r="H168" i="4"/>
  <c r="D168" i="4"/>
  <c r="H167" i="4"/>
  <c r="D167" i="4"/>
  <c r="H166" i="4"/>
  <c r="D166" i="4"/>
  <c r="H165" i="4"/>
  <c r="D165" i="4"/>
  <c r="H164" i="4"/>
  <c r="D164" i="4"/>
  <c r="H163" i="4"/>
  <c r="D163" i="4"/>
  <c r="H162" i="4"/>
  <c r="D162" i="4"/>
  <c r="H161" i="4"/>
  <c r="D161" i="4"/>
  <c r="H160" i="4"/>
  <c r="D160" i="4"/>
  <c r="H159" i="4"/>
  <c r="D159" i="4"/>
  <c r="H158" i="4"/>
  <c r="D158" i="4"/>
  <c r="H157" i="4"/>
  <c r="D157" i="4"/>
  <c r="H156" i="4"/>
  <c r="D156" i="4"/>
  <c r="H155" i="4"/>
  <c r="D155" i="4"/>
  <c r="H154" i="4"/>
  <c r="D154" i="4"/>
  <c r="H153" i="4"/>
  <c r="D153" i="4"/>
  <c r="H152" i="4"/>
  <c r="D152" i="4"/>
  <c r="H151" i="4"/>
  <c r="D151" i="4"/>
  <c r="H150" i="4"/>
  <c r="D150" i="4"/>
  <c r="H149" i="4"/>
  <c r="D149" i="4"/>
  <c r="H148" i="4"/>
  <c r="D148" i="4"/>
  <c r="H147" i="4"/>
  <c r="D147" i="4"/>
  <c r="H146" i="4"/>
  <c r="D146" i="4"/>
  <c r="H145" i="4"/>
  <c r="D145" i="4"/>
  <c r="H144" i="4"/>
  <c r="D144" i="4"/>
  <c r="H143" i="4"/>
  <c r="D143" i="4"/>
  <c r="H142" i="4"/>
  <c r="D142" i="4"/>
  <c r="H141" i="4"/>
  <c r="D141" i="4"/>
  <c r="H140" i="4"/>
  <c r="D140" i="4"/>
  <c r="H139" i="4"/>
  <c r="D139" i="4"/>
  <c r="H138" i="4"/>
  <c r="D138" i="4"/>
  <c r="H137" i="4"/>
  <c r="D137" i="4"/>
  <c r="H136" i="4"/>
  <c r="D136" i="4"/>
  <c r="H135" i="4"/>
  <c r="D135" i="4"/>
  <c r="H134" i="4"/>
  <c r="D134" i="4"/>
  <c r="H133" i="4"/>
  <c r="D133" i="4"/>
  <c r="H132" i="4"/>
  <c r="D132" i="4"/>
  <c r="H131" i="4"/>
  <c r="D131" i="4"/>
  <c r="H130" i="4"/>
  <c r="D130" i="4"/>
  <c r="H129" i="4"/>
  <c r="D129" i="4"/>
  <c r="H128" i="4"/>
  <c r="D128" i="4"/>
  <c r="H127" i="4"/>
  <c r="D127" i="4"/>
  <c r="H126" i="4"/>
  <c r="D126" i="4"/>
  <c r="H125" i="4"/>
  <c r="D125" i="4"/>
  <c r="H124" i="4"/>
  <c r="D124" i="4"/>
  <c r="H123" i="4"/>
  <c r="D123" i="4"/>
  <c r="H122" i="4"/>
  <c r="D122" i="4"/>
  <c r="H121" i="4"/>
  <c r="D121" i="4"/>
  <c r="H120" i="4"/>
  <c r="D120" i="4"/>
  <c r="H119" i="4"/>
  <c r="D119" i="4"/>
  <c r="H118" i="4"/>
  <c r="D118" i="4"/>
  <c r="H117" i="4"/>
  <c r="D117" i="4"/>
  <c r="H116" i="4"/>
  <c r="D116" i="4"/>
  <c r="H115" i="4"/>
  <c r="D115" i="4"/>
  <c r="H114" i="4"/>
  <c r="D114" i="4"/>
  <c r="H113" i="4"/>
  <c r="D113" i="4"/>
  <c r="H112" i="4"/>
  <c r="D112" i="4"/>
  <c r="H111" i="4"/>
  <c r="D111" i="4"/>
  <c r="H110" i="4"/>
  <c r="D110" i="4"/>
  <c r="H109" i="4"/>
  <c r="D109" i="4"/>
  <c r="H108" i="4"/>
  <c r="D108" i="4"/>
  <c r="H107" i="4"/>
  <c r="D107" i="4"/>
  <c r="H106" i="4"/>
  <c r="D106" i="4"/>
  <c r="H105" i="4"/>
  <c r="D105" i="4"/>
  <c r="H104" i="4"/>
  <c r="D104" i="4"/>
  <c r="H103" i="4"/>
  <c r="D103" i="4"/>
  <c r="H102" i="4"/>
  <c r="D102" i="4"/>
  <c r="H101" i="4"/>
  <c r="D101" i="4"/>
  <c r="H100" i="4"/>
  <c r="D100" i="4"/>
  <c r="H99" i="4"/>
  <c r="D99" i="4"/>
  <c r="H98" i="4"/>
  <c r="D98" i="4"/>
  <c r="H97" i="4"/>
  <c r="D97" i="4"/>
  <c r="H96" i="4"/>
  <c r="D96" i="4"/>
  <c r="H95" i="4"/>
  <c r="D95" i="4"/>
  <c r="H94" i="4"/>
  <c r="D94" i="4"/>
  <c r="H93" i="4"/>
  <c r="D93" i="4"/>
  <c r="H92" i="4"/>
  <c r="D92" i="4"/>
  <c r="H91" i="4"/>
  <c r="D91" i="4"/>
  <c r="H90" i="4"/>
  <c r="D90" i="4"/>
  <c r="H89" i="4"/>
  <c r="D89" i="4"/>
  <c r="H88" i="4"/>
  <c r="D88" i="4"/>
  <c r="H87" i="4"/>
  <c r="D87" i="4"/>
  <c r="H86" i="4"/>
  <c r="D86" i="4"/>
  <c r="H85" i="4"/>
  <c r="D85" i="4"/>
  <c r="H84" i="4"/>
  <c r="D84" i="4"/>
  <c r="H83" i="4"/>
  <c r="D83" i="4"/>
  <c r="H82" i="4"/>
  <c r="D82" i="4"/>
  <c r="H81" i="4"/>
  <c r="D81" i="4"/>
  <c r="H80" i="4"/>
  <c r="D80" i="4"/>
  <c r="H79" i="4"/>
  <c r="D79" i="4"/>
  <c r="H78" i="4"/>
  <c r="D78" i="4"/>
  <c r="H77" i="4"/>
  <c r="D77" i="4"/>
  <c r="H76" i="4"/>
  <c r="D76" i="4"/>
  <c r="H75" i="4"/>
  <c r="D75" i="4"/>
  <c r="H74" i="4"/>
  <c r="D74" i="4"/>
  <c r="H73" i="4"/>
  <c r="D73" i="4"/>
  <c r="H72" i="4"/>
  <c r="D72" i="4"/>
  <c r="H71" i="4"/>
  <c r="D71" i="4"/>
  <c r="H70" i="4"/>
  <c r="D70" i="4"/>
  <c r="H69" i="4"/>
  <c r="D69" i="4"/>
  <c r="H68" i="4"/>
  <c r="D68" i="4"/>
  <c r="H67" i="4"/>
  <c r="D67" i="4"/>
  <c r="H66" i="4"/>
  <c r="D66" i="4"/>
  <c r="H65" i="4"/>
  <c r="D65" i="4"/>
  <c r="H64" i="4"/>
  <c r="D64" i="4"/>
  <c r="H63" i="4"/>
  <c r="D63" i="4"/>
  <c r="H62" i="4"/>
  <c r="D62" i="4"/>
  <c r="H61" i="4"/>
  <c r="D61" i="4"/>
  <c r="H60" i="4"/>
  <c r="D60" i="4"/>
  <c r="H59" i="4"/>
  <c r="D59" i="4"/>
  <c r="H58" i="4"/>
  <c r="D58" i="4"/>
  <c r="H57" i="4"/>
  <c r="D57" i="4"/>
  <c r="H56" i="4"/>
  <c r="D56" i="4"/>
  <c r="H55" i="4"/>
  <c r="D55" i="4"/>
  <c r="H54" i="4"/>
  <c r="D54" i="4"/>
  <c r="H53" i="4"/>
  <c r="D53" i="4"/>
  <c r="H52" i="4"/>
  <c r="D52" i="4"/>
  <c r="H51" i="4"/>
  <c r="D51" i="4"/>
  <c r="H50" i="4"/>
  <c r="D50" i="4"/>
  <c r="H49" i="4"/>
  <c r="D49" i="4"/>
  <c r="H48" i="4"/>
  <c r="D48" i="4"/>
  <c r="H47" i="4"/>
  <c r="D47" i="4"/>
  <c r="H46" i="4"/>
  <c r="D46" i="4"/>
  <c r="H45" i="4"/>
  <c r="D45" i="4"/>
  <c r="H44" i="4"/>
  <c r="D44" i="4"/>
  <c r="H43" i="4"/>
  <c r="D43" i="4"/>
  <c r="H42" i="4"/>
  <c r="D42" i="4"/>
  <c r="H41" i="4"/>
  <c r="D41" i="4"/>
  <c r="H40" i="4"/>
  <c r="D40" i="4"/>
  <c r="H39" i="4"/>
  <c r="D39" i="4"/>
  <c r="H38" i="4"/>
  <c r="D38" i="4"/>
  <c r="H37" i="4"/>
  <c r="D37" i="4"/>
  <c r="H36" i="4"/>
  <c r="D36" i="4"/>
  <c r="H35" i="4"/>
  <c r="D35" i="4"/>
  <c r="H34" i="4"/>
  <c r="D34" i="4"/>
  <c r="H33" i="4"/>
  <c r="D33" i="4"/>
  <c r="H32" i="4"/>
  <c r="D32" i="4"/>
  <c r="H31" i="4"/>
  <c r="D31" i="4"/>
  <c r="H30" i="4"/>
  <c r="D30" i="4"/>
  <c r="H29" i="4"/>
  <c r="D29" i="4"/>
  <c r="H28" i="4"/>
  <c r="D28" i="4"/>
  <c r="H27" i="4"/>
  <c r="D27" i="4"/>
  <c r="H26" i="4"/>
  <c r="D26" i="4"/>
  <c r="H25" i="4"/>
  <c r="D25" i="4"/>
  <c r="H24" i="4"/>
  <c r="D24" i="4"/>
  <c r="H23" i="4"/>
  <c r="D23" i="4"/>
  <c r="H22" i="4"/>
  <c r="D22" i="4"/>
  <c r="H21" i="4"/>
  <c r="D21" i="4"/>
  <c r="H20" i="4"/>
  <c r="D20" i="4"/>
  <c r="H19" i="4"/>
  <c r="D19" i="4"/>
  <c r="H18" i="4"/>
  <c r="D18" i="4"/>
  <c r="H17" i="4"/>
  <c r="D17" i="4"/>
  <c r="H16" i="4"/>
  <c r="D16" i="4"/>
  <c r="H15" i="4"/>
  <c r="D15" i="4"/>
  <c r="H14" i="4"/>
  <c r="D14" i="4"/>
  <c r="H13" i="4"/>
  <c r="D13" i="4"/>
  <c r="H12" i="4"/>
  <c r="D12" i="4"/>
  <c r="H11" i="4"/>
  <c r="D11" i="4"/>
  <c r="H10" i="4"/>
  <c r="D10" i="4"/>
  <c r="H9" i="4"/>
  <c r="D9" i="4"/>
  <c r="H8" i="4"/>
  <c r="D8" i="4"/>
  <c r="H7" i="4"/>
  <c r="D7" i="4"/>
  <c r="H6" i="4"/>
  <c r="K7" i="4" s="1"/>
  <c r="D6" i="4"/>
  <c r="H5" i="4"/>
  <c r="K5" i="4" s="1"/>
  <c r="C16" i="5" s="1"/>
  <c r="C18" i="5" s="1"/>
  <c r="D24" i="5" s="1"/>
  <c r="D5" i="4"/>
  <c r="I49" i="3"/>
  <c r="I48" i="3"/>
  <c r="H48" i="3"/>
  <c r="G48" i="3"/>
  <c r="F48" i="3"/>
  <c r="E48" i="3"/>
  <c r="I47" i="3"/>
  <c r="H47" i="3"/>
  <c r="G47" i="3"/>
  <c r="F47" i="3"/>
  <c r="E47" i="3"/>
  <c r="I46" i="3"/>
  <c r="H46" i="3"/>
  <c r="H49" i="3" s="1"/>
  <c r="G46" i="3"/>
  <c r="G49" i="3" s="1"/>
  <c r="F46" i="3"/>
  <c r="F49" i="3" s="1"/>
  <c r="E46" i="3"/>
  <c r="E49" i="3" s="1"/>
  <c r="F45" i="3"/>
  <c r="I25" i="3"/>
  <c r="H25" i="3"/>
  <c r="G25" i="3"/>
  <c r="F25" i="3"/>
  <c r="E25" i="3"/>
  <c r="I21" i="3"/>
  <c r="H21" i="3"/>
  <c r="G21" i="3"/>
  <c r="F21" i="3"/>
  <c r="E21" i="3"/>
  <c r="I20" i="3"/>
  <c r="H20" i="3"/>
  <c r="G20" i="3"/>
  <c r="F20" i="3"/>
  <c r="E20" i="3"/>
  <c r="F18" i="3"/>
  <c r="I16" i="3"/>
  <c r="H16" i="3"/>
  <c r="G16" i="3"/>
  <c r="F16" i="3"/>
  <c r="E16" i="3"/>
  <c r="F14" i="3"/>
  <c r="F35" i="3" s="1"/>
  <c r="I12" i="3"/>
  <c r="G12" i="3"/>
  <c r="F12" i="3"/>
  <c r="I11" i="3"/>
  <c r="H11" i="3"/>
  <c r="G11" i="3"/>
  <c r="F11" i="3"/>
  <c r="E11" i="3"/>
  <c r="I10" i="3"/>
  <c r="H10" i="3"/>
  <c r="H12" i="3" s="1"/>
  <c r="G10" i="3"/>
  <c r="F10" i="3"/>
  <c r="E10" i="3"/>
  <c r="E12" i="3" s="1"/>
  <c r="E14" i="3" s="1"/>
  <c r="I9" i="3"/>
  <c r="H9" i="3"/>
  <c r="G9" i="3"/>
  <c r="F9" i="3"/>
  <c r="E9" i="3"/>
  <c r="F7" i="3"/>
  <c r="I6" i="3"/>
  <c r="E32" i="3" s="1"/>
  <c r="H6" i="3"/>
  <c r="G6" i="3"/>
  <c r="G14" i="3" s="1"/>
  <c r="F6" i="3"/>
  <c r="E6" i="3"/>
  <c r="F32" i="3" s="1"/>
  <c r="G39" i="11"/>
  <c r="F39" i="11"/>
  <c r="E39" i="11"/>
  <c r="D39" i="11"/>
  <c r="C39" i="11"/>
  <c r="G38" i="11"/>
  <c r="F38" i="11"/>
  <c r="E38" i="11"/>
  <c r="D38" i="11"/>
  <c r="C38" i="11"/>
  <c r="C35" i="11"/>
  <c r="F34" i="11"/>
  <c r="E34" i="11"/>
  <c r="D34" i="11"/>
  <c r="G33" i="11"/>
  <c r="G31" i="11"/>
  <c r="F31" i="11"/>
  <c r="E31" i="11"/>
  <c r="D31" i="11"/>
  <c r="C31" i="11"/>
  <c r="G30" i="11"/>
  <c r="F30" i="11"/>
  <c r="E30" i="11"/>
  <c r="D30" i="11"/>
  <c r="C30" i="11"/>
  <c r="G29" i="11"/>
  <c r="G35" i="11" s="1"/>
  <c r="F29" i="11"/>
  <c r="F35" i="11" s="1"/>
  <c r="E29" i="11"/>
  <c r="E35" i="11" s="1"/>
  <c r="D29" i="11"/>
  <c r="D35" i="11" s="1"/>
  <c r="C29" i="11"/>
  <c r="G28" i="11"/>
  <c r="G34" i="11" s="1"/>
  <c r="F28" i="11"/>
  <c r="E28" i="11"/>
  <c r="D28" i="11"/>
  <c r="C28" i="11"/>
  <c r="C34" i="11" s="1"/>
  <c r="G27" i="11"/>
  <c r="F27" i="11"/>
  <c r="F33" i="11" s="1"/>
  <c r="F36" i="11" s="1"/>
  <c r="E27" i="11"/>
  <c r="E33" i="11" s="1"/>
  <c r="E36" i="11" s="1"/>
  <c r="D27" i="11"/>
  <c r="D33" i="11" s="1"/>
  <c r="D36" i="11" s="1"/>
  <c r="C27" i="11"/>
  <c r="C33" i="11" s="1"/>
  <c r="G24" i="11"/>
  <c r="F24" i="11"/>
  <c r="E24" i="11"/>
  <c r="D24" i="11"/>
  <c r="C24" i="11"/>
  <c r="G22" i="11"/>
  <c r="F22" i="11"/>
  <c r="E22" i="11"/>
  <c r="D22" i="11"/>
  <c r="C22" i="11"/>
  <c r="D19" i="11"/>
  <c r="G18" i="11"/>
  <c r="F18" i="11"/>
  <c r="E18" i="11"/>
  <c r="D18" i="11"/>
  <c r="C18" i="11"/>
  <c r="G17" i="11"/>
  <c r="F17" i="11"/>
  <c r="E17" i="11"/>
  <c r="D17" i="11"/>
  <c r="C17" i="11"/>
  <c r="G9" i="11"/>
  <c r="F9" i="11"/>
  <c r="E9" i="11"/>
  <c r="D9" i="11"/>
  <c r="D8" i="7" l="1"/>
  <c r="Q13" i="13"/>
  <c r="P13" i="13"/>
  <c r="D10" i="6"/>
  <c r="D7" i="8"/>
  <c r="E8" i="8"/>
  <c r="E9" i="7"/>
  <c r="Q10" i="13"/>
  <c r="P10" i="13"/>
  <c r="E18" i="3"/>
  <c r="E35" i="3"/>
  <c r="E24" i="5"/>
  <c r="E10" i="6"/>
  <c r="E7" i="8"/>
  <c r="F8" i="8"/>
  <c r="F9" i="7"/>
  <c r="H14" i="3"/>
  <c r="D5" i="8"/>
  <c r="C36" i="11"/>
  <c r="F7" i="8"/>
  <c r="F9" i="8" s="1"/>
  <c r="F10" i="6"/>
  <c r="G8" i="8"/>
  <c r="G9" i="7"/>
  <c r="R20" i="13"/>
  <c r="R16" i="13"/>
  <c r="R19" i="13"/>
  <c r="R15" i="13"/>
  <c r="R18" i="13"/>
  <c r="R26" i="13" s="1"/>
  <c r="G35" i="3"/>
  <c r="G18" i="3"/>
  <c r="G7" i="8"/>
  <c r="G10" i="6"/>
  <c r="Q11" i="13"/>
  <c r="P11" i="13"/>
  <c r="F51" i="3"/>
  <c r="G36" i="11"/>
  <c r="F52" i="3"/>
  <c r="C16" i="9"/>
  <c r="Q9" i="13"/>
  <c r="P9" i="13"/>
  <c r="R11" i="13"/>
  <c r="R17" i="13" s="1"/>
  <c r="C11" i="10"/>
  <c r="I7" i="3"/>
  <c r="I14" i="3"/>
  <c r="F41" i="3"/>
  <c r="F12" i="13"/>
  <c r="I12" i="13" s="1"/>
  <c r="G7" i="3"/>
  <c r="D12" i="9" s="1"/>
  <c r="F36" i="3"/>
  <c r="D4" i="8"/>
  <c r="H7" i="3"/>
  <c r="F23" i="3"/>
  <c r="D13" i="11"/>
  <c r="C4" i="10"/>
  <c r="G9" i="8" l="1"/>
  <c r="D6" i="8"/>
  <c r="N12" i="9"/>
  <c r="O12" i="9" s="1"/>
  <c r="E12" i="9"/>
  <c r="F12" i="9" s="1"/>
  <c r="G12" i="9" s="1"/>
  <c r="H12" i="9" s="1"/>
  <c r="I12" i="9" s="1"/>
  <c r="J12" i="9" s="1"/>
  <c r="K12" i="9" s="1"/>
  <c r="L12" i="9" s="1"/>
  <c r="D11" i="9"/>
  <c r="E11" i="9" s="1"/>
  <c r="F11" i="9" s="1"/>
  <c r="G11" i="9" s="1"/>
  <c r="H11" i="9" s="1"/>
  <c r="I11" i="9" s="1"/>
  <c r="J11" i="9" s="1"/>
  <c r="K11" i="9" s="1"/>
  <c r="L11" i="9" s="1"/>
  <c r="M11" i="9" s="1"/>
  <c r="P12" i="13"/>
  <c r="P17" i="13" s="1"/>
  <c r="Q12" i="13"/>
  <c r="Q17" i="13" s="1"/>
  <c r="E45" i="3"/>
  <c r="E52" i="3" s="1"/>
  <c r="E51" i="3"/>
  <c r="E36" i="3"/>
  <c r="C19" i="11"/>
  <c r="C13" i="11"/>
  <c r="E23" i="3"/>
  <c r="C4" i="8"/>
  <c r="G51" i="3"/>
  <c r="G45" i="3"/>
  <c r="G52" i="3" s="1"/>
  <c r="E13" i="11"/>
  <c r="G36" i="3"/>
  <c r="E19" i="11"/>
  <c r="G23" i="3"/>
  <c r="E4" i="8"/>
  <c r="D9" i="8"/>
  <c r="D12" i="8" s="1"/>
  <c r="R29" i="13"/>
  <c r="R24" i="13"/>
  <c r="H35" i="3"/>
  <c r="H18" i="3"/>
  <c r="E31" i="3"/>
  <c r="I35" i="3"/>
  <c r="I18" i="3"/>
  <c r="E9" i="8"/>
  <c r="N7" i="9"/>
  <c r="C13" i="6"/>
  <c r="C12" i="6"/>
  <c r="F28" i="3"/>
  <c r="F38" i="3" s="1"/>
  <c r="F37" i="3"/>
  <c r="P15" i="13"/>
  <c r="P18" i="13"/>
  <c r="P24" i="13" s="1"/>
  <c r="P26" i="13" s="1"/>
  <c r="P29" i="13" s="1"/>
  <c r="D8" i="8"/>
  <c r="D9" i="7"/>
  <c r="D10" i="8" l="1"/>
  <c r="G19" i="11"/>
  <c r="G13" i="11"/>
  <c r="I23" i="3"/>
  <c r="I51" i="3"/>
  <c r="I45" i="3"/>
  <c r="I52" i="3" s="1"/>
  <c r="G4" i="8"/>
  <c r="I36" i="3"/>
  <c r="P19" i="13"/>
  <c r="P20" i="13"/>
  <c r="Q18" i="13"/>
  <c r="Q24" i="13" s="1"/>
  <c r="Q26" i="13" s="1"/>
  <c r="Q29" i="13" s="1"/>
  <c r="Q19" i="13"/>
  <c r="Q20" i="13"/>
  <c r="P16" i="13"/>
  <c r="Q16" i="13"/>
  <c r="O9" i="9"/>
  <c r="P9" i="9" s="1"/>
  <c r="D7" i="9"/>
  <c r="F19" i="11"/>
  <c r="H51" i="3"/>
  <c r="H45" i="3"/>
  <c r="H52" i="3" s="1"/>
  <c r="F13" i="11"/>
  <c r="D7" i="10" s="1"/>
  <c r="H23" i="3"/>
  <c r="F4" i="8"/>
  <c r="H36" i="3"/>
  <c r="Q15" i="13"/>
  <c r="E28" i="3"/>
  <c r="E38" i="3" s="1"/>
  <c r="E37" i="3"/>
  <c r="E41" i="3"/>
  <c r="C5" i="8"/>
  <c r="C11" i="7"/>
  <c r="C12" i="7"/>
  <c r="G37" i="3"/>
  <c r="G28" i="3"/>
  <c r="G38" i="3" s="1"/>
  <c r="G41" i="3"/>
  <c r="E5" i="8"/>
  <c r="E6" i="8" s="1"/>
  <c r="E10" i="8" l="1"/>
  <c r="E12" i="8"/>
  <c r="C6" i="8"/>
  <c r="C10" i="8" s="1"/>
  <c r="E7" i="10"/>
  <c r="I37" i="3"/>
  <c r="I28" i="3"/>
  <c r="I38" i="3" s="1"/>
  <c r="G5" i="8"/>
  <c r="G6" i="8" s="1"/>
  <c r="I41" i="3"/>
  <c r="D22" i="9"/>
  <c r="D6" i="9"/>
  <c r="E7" i="9"/>
  <c r="H37" i="3"/>
  <c r="H28" i="3"/>
  <c r="H38" i="3" s="1"/>
  <c r="H41" i="3"/>
  <c r="F17" i="5" s="1"/>
  <c r="F5" i="8"/>
  <c r="F6" i="8" s="1"/>
  <c r="F10" i="8" l="1"/>
  <c r="F12" i="8"/>
  <c r="F18" i="5"/>
  <c r="D23" i="5" s="1"/>
  <c r="E23" i="5" s="1"/>
  <c r="E25" i="5" s="1"/>
  <c r="G10" i="8"/>
  <c r="G12" i="8"/>
  <c r="E6" i="9"/>
  <c r="D5" i="10"/>
  <c r="D21" i="9"/>
  <c r="E22" i="9"/>
  <c r="E5" i="10" s="1"/>
  <c r="F7" i="9"/>
  <c r="F7" i="10"/>
  <c r="G7" i="10" l="1"/>
  <c r="F22" i="9"/>
  <c r="F5" i="10" s="1"/>
  <c r="G7" i="9"/>
  <c r="E21" i="9"/>
  <c r="D4" i="10"/>
  <c r="F6" i="9"/>
  <c r="G6" i="9" s="1"/>
  <c r="K24" i="10"/>
  <c r="G19" i="10"/>
  <c r="F19" i="10"/>
  <c r="E19" i="10"/>
  <c r="D19" i="10"/>
  <c r="R5" i="10"/>
  <c r="O15" i="10" s="1"/>
  <c r="M19" i="10"/>
  <c r="L19" i="10"/>
  <c r="K19" i="10"/>
  <c r="J19" i="10"/>
  <c r="I19" i="10"/>
  <c r="H19" i="10"/>
  <c r="C15" i="8"/>
  <c r="C14" i="8"/>
  <c r="D17" i="9" s="1"/>
  <c r="N17" i="9" l="1"/>
  <c r="O17" i="9" s="1"/>
  <c r="E17" i="9" s="1"/>
  <c r="F17" i="9" s="1"/>
  <c r="G17" i="9" s="1"/>
  <c r="H17" i="9" s="1"/>
  <c r="I17" i="9" s="1"/>
  <c r="J17" i="9" s="1"/>
  <c r="K17" i="9" s="1"/>
  <c r="L17" i="9" s="1"/>
  <c r="D16" i="9"/>
  <c r="D10" i="10"/>
  <c r="D11" i="10"/>
  <c r="D12" i="10" s="1"/>
  <c r="D6" i="10"/>
  <c r="D8" i="10" s="1"/>
  <c r="J24" i="10"/>
  <c r="L24" i="10"/>
  <c r="M24" i="10" s="1"/>
  <c r="H6" i="9"/>
  <c r="E4" i="10"/>
  <c r="F21" i="9"/>
  <c r="G22" i="9"/>
  <c r="G5" i="10" s="1"/>
  <c r="H7" i="9"/>
  <c r="H7" i="10"/>
  <c r="F4" i="10" l="1"/>
  <c r="G21" i="9"/>
  <c r="E10" i="10"/>
  <c r="E11" i="10"/>
  <c r="E12" i="10" s="1"/>
  <c r="E6" i="10"/>
  <c r="I6" i="9"/>
  <c r="D9" i="10"/>
  <c r="D13" i="10"/>
  <c r="E16" i="9"/>
  <c r="F16" i="9" s="1"/>
  <c r="G16" i="9" s="1"/>
  <c r="H16" i="9" s="1"/>
  <c r="I16" i="9" s="1"/>
  <c r="K16" i="9" s="1"/>
  <c r="L16" i="9" s="1"/>
  <c r="M16" i="9" s="1"/>
  <c r="I7" i="10"/>
  <c r="I7" i="9"/>
  <c r="H22" i="9"/>
  <c r="H5" i="10" s="1"/>
  <c r="D15" i="10" l="1"/>
  <c r="J7" i="10"/>
  <c r="D14" i="10"/>
  <c r="E8" i="10"/>
  <c r="E9" i="10" s="1"/>
  <c r="E13" i="10"/>
  <c r="G4" i="10"/>
  <c r="H21" i="9"/>
  <c r="J7" i="9"/>
  <c r="I22" i="9"/>
  <c r="I5" i="10" s="1"/>
  <c r="F10" i="10"/>
  <c r="F11" i="10"/>
  <c r="F12" i="10" s="1"/>
  <c r="F6" i="10"/>
  <c r="E15" i="10" l="1"/>
  <c r="F13" i="10"/>
  <c r="K7" i="9"/>
  <c r="J22" i="9"/>
  <c r="J5" i="10" s="1"/>
  <c r="H4" i="10"/>
  <c r="I21" i="9"/>
  <c r="G10" i="10"/>
  <c r="G11" i="10"/>
  <c r="G12" i="10" s="1"/>
  <c r="G6" i="10"/>
  <c r="E14" i="10"/>
  <c r="J6" i="9"/>
  <c r="K6" i="9" s="1"/>
  <c r="F8" i="10"/>
  <c r="F9" i="10" s="1"/>
  <c r="K7" i="10"/>
  <c r="G13" i="10" l="1"/>
  <c r="F14" i="10"/>
  <c r="F15" i="10"/>
  <c r="L6" i="9"/>
  <c r="G8" i="10"/>
  <c r="G9" i="10" s="1"/>
  <c r="G14" i="10" s="1"/>
  <c r="J21" i="9"/>
  <c r="I4" i="10"/>
  <c r="H10" i="10"/>
  <c r="H11" i="10"/>
  <c r="H12" i="10" s="1"/>
  <c r="H6" i="10"/>
  <c r="L7" i="10"/>
  <c r="L7" i="9"/>
  <c r="K22" i="9"/>
  <c r="K5" i="10" s="1"/>
  <c r="M7" i="10" l="1"/>
  <c r="H8" i="10"/>
  <c r="H9" i="10" s="1"/>
  <c r="H13" i="10"/>
  <c r="I10" i="10"/>
  <c r="I11" i="10"/>
  <c r="I12" i="10" s="1"/>
  <c r="I6" i="10"/>
  <c r="K21" i="9"/>
  <c r="J4" i="10"/>
  <c r="M6" i="9"/>
  <c r="G15" i="10"/>
  <c r="M7" i="9"/>
  <c r="M22" i="9" s="1"/>
  <c r="M5" i="10" s="1"/>
  <c r="L22" i="9"/>
  <c r="L5" i="10" s="1"/>
  <c r="H15" i="10" l="1"/>
  <c r="J10" i="10"/>
  <c r="J11" i="10"/>
  <c r="J12" i="10" s="1"/>
  <c r="J6" i="10"/>
  <c r="L21" i="9"/>
  <c r="K4" i="10"/>
  <c r="I8" i="10"/>
  <c r="I9" i="10" s="1"/>
  <c r="I13" i="10"/>
  <c r="H14" i="10"/>
  <c r="O7" i="10"/>
  <c r="I14" i="10" l="1"/>
  <c r="I15" i="10"/>
  <c r="K10" i="10"/>
  <c r="K11" i="10"/>
  <c r="K12" i="10" s="1"/>
  <c r="K6" i="10"/>
  <c r="M21" i="9"/>
  <c r="M4" i="10" s="1"/>
  <c r="L4" i="10"/>
  <c r="J8" i="10"/>
  <c r="J9" i="10" s="1"/>
  <c r="J13" i="10"/>
  <c r="J14" i="10" l="1"/>
  <c r="J15" i="10"/>
  <c r="L10" i="10"/>
  <c r="L11" i="10"/>
  <c r="L12" i="10" s="1"/>
  <c r="L6" i="10"/>
  <c r="O4" i="10"/>
  <c r="O6" i="10" s="1"/>
  <c r="M10" i="10"/>
  <c r="M11" i="10"/>
  <c r="M12" i="10" s="1"/>
  <c r="M6" i="10"/>
  <c r="K8" i="10"/>
  <c r="K9" i="10" s="1"/>
  <c r="K13" i="10"/>
  <c r="K14" i="10" l="1"/>
  <c r="M13" i="10"/>
  <c r="K15" i="10"/>
  <c r="O8" i="10"/>
  <c r="O9" i="10" s="1"/>
  <c r="M8" i="10"/>
  <c r="M9" i="10" s="1"/>
  <c r="M14" i="10" s="1"/>
  <c r="M17" i="10" s="1"/>
  <c r="L8" i="10"/>
  <c r="L9" i="10" s="1"/>
  <c r="L13" i="10"/>
  <c r="L14" i="10" l="1"/>
  <c r="O13" i="10"/>
  <c r="O14" i="10" s="1"/>
  <c r="D22" i="10"/>
  <c r="D21" i="10"/>
  <c r="L15" i="10"/>
  <c r="M15" i="10"/>
  <c r="D24" i="10" l="1"/>
  <c r="D28" i="10" s="1"/>
  <c r="D31" i="10" s="1"/>
  <c r="I24" i="10" s="1"/>
</calcChain>
</file>

<file path=xl/sharedStrings.xml><?xml version="1.0" encoding="utf-8"?>
<sst xmlns="http://schemas.openxmlformats.org/spreadsheetml/2006/main" count="735" uniqueCount="575">
  <si>
    <t>Ratio Analysis</t>
  </si>
  <si>
    <t>Years</t>
  </si>
  <si>
    <t>Trend</t>
  </si>
  <si>
    <t>SalesGrowth</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</si>
  <si>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</si>
  <si>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</si>
  <si>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</si>
  <si>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</si>
  <si>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</si>
  <si>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</si>
  <si>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</si>
  <si>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</si>
  <si>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</si>
  <si>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</si>
  <si>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</si>
  <si>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</si>
  <si>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</si>
  <si>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</si>
  <si>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</si>
  <si>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</si>
  <si>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</si>
  <si>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</si>
  <si>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</si>
  <si>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Inventory Turnover</t>
  </si>
  <si>
    <t>Fixed Asset Turnover</t>
  </si>
  <si>
    <t>Capital Turnover Ratio</t>
  </si>
  <si>
    <t>Debtor Days</t>
  </si>
  <si>
    <t>Payable Days</t>
  </si>
  <si>
    <t>Inventory Days</t>
  </si>
  <si>
    <t>Cash Conversion Cycle (in days)</t>
  </si>
  <si>
    <t>CFO/Sales</t>
  </si>
  <si>
    <t>CFO/Total Assets</t>
  </si>
  <si>
    <t>CFO/Total Debt</t>
  </si>
  <si>
    <t xml:space="preserve">Subsidaries </t>
  </si>
  <si>
    <t xml:space="preserve">Units </t>
  </si>
  <si>
    <t>Alkem Laboratories Corporation, Makati City Philippines, 1229</t>
  </si>
  <si>
    <t>Taloja, Navi Mumbai Maharashtra</t>
  </si>
  <si>
    <t>Ascend GmbH, Frankfurt am Main Germany, 60439</t>
  </si>
  <si>
    <t>Mandva, Gujarat</t>
  </si>
  <si>
    <t>Pharmacor Pty Limited, Manly Vale NSW Australia, 2093</t>
  </si>
  <si>
    <t>Baddi, Himachal Pradesh</t>
  </si>
  <si>
    <t>S &amp; B Holdings B.V., Amsterdam Netherlands, 1043 BW</t>
  </si>
  <si>
    <t>Daman, Dadra and Nagar Haveli and Daman and Diu</t>
  </si>
  <si>
    <t>ThePharmaNetwork LLC, Montvale New Jersey USA, 07645</t>
  </si>
  <si>
    <t>Sikkim</t>
  </si>
  <si>
    <t>Ascend Laboratories LLC, Montvale New Jersey USA, 07645</t>
  </si>
  <si>
    <t>Indore, Madhya Pradesh</t>
  </si>
  <si>
    <t>Ascend Laboratories UK Limited, United Kingdom</t>
  </si>
  <si>
    <t>Ankleshwar, Gujarat</t>
  </si>
  <si>
    <t>Ascend Laboratories Ltd., Canada</t>
  </si>
  <si>
    <t>Pune, Maharashtra</t>
  </si>
  <si>
    <t>Ascend Laboratories SDN BHD., Malaysia</t>
  </si>
  <si>
    <t>St Louis, Missouri USA</t>
  </si>
  <si>
    <t>Ascend Laboratories SpA, Chile</t>
  </si>
  <si>
    <t>California USA</t>
  </si>
  <si>
    <t>Ascend Laboratories SAS, Colombia</t>
  </si>
  <si>
    <t>Pharmacor Ltd., Kenya</t>
  </si>
  <si>
    <t>Alkem Laboratories Korea Inc., South Korea</t>
  </si>
  <si>
    <t>Enzene Biosciences Limited, India</t>
  </si>
  <si>
    <t>Cachet Pharmaceuticals Private Limited, India</t>
  </si>
  <si>
    <t>Indchemie Health Specialities Private Limited, India</t>
  </si>
  <si>
    <t>The PharmaNetwork LLP, Kazakhstan</t>
  </si>
  <si>
    <t>Consolidated Balance Sheet (₹ in Crores)</t>
  </si>
  <si>
    <t>Consolidated Statement of Cash Flow (₹ in Crores)</t>
  </si>
  <si>
    <t>Years ending March 31</t>
  </si>
  <si>
    <t>For the year ended March 31</t>
  </si>
  <si>
    <t>Particulars</t>
  </si>
  <si>
    <t>FY2021</t>
  </si>
  <si>
    <t>FY2022</t>
  </si>
  <si>
    <t>FY2023</t>
  </si>
  <si>
    <t>FY2024</t>
  </si>
  <si>
    <t>FY2025</t>
  </si>
  <si>
    <t>1 Income</t>
  </si>
  <si>
    <t>I. ASSETS</t>
  </si>
  <si>
    <t>A. CASH FLOW FROM OPERATING ACTIVITIES:</t>
  </si>
  <si>
    <t>(a) Revenue from operations</t>
  </si>
  <si>
    <t>1. Non-current assets</t>
  </si>
  <si>
    <t>Profit before Tax</t>
  </si>
  <si>
    <t>(b) Other income</t>
  </si>
  <si>
    <t>(a) Property, plant and equipment</t>
  </si>
  <si>
    <t>Adjustments for:</t>
  </si>
  <si>
    <t>Total income</t>
  </si>
  <si>
    <t>(b) Right of use assets</t>
  </si>
  <si>
    <t>Depreciation and amortisation expense</t>
  </si>
  <si>
    <t>2 Expenses</t>
  </si>
  <si>
    <t>(c) Capital work in progress</t>
  </si>
  <si>
    <t>Liabilities no longer required written back</t>
  </si>
  <si>
    <t>(a) Cost of materials consumed</t>
  </si>
  <si>
    <t>(d) Goodwill / Goodwill on consolidation</t>
  </si>
  <si>
    <t>Profit on sale of investments (net)</t>
  </si>
  <si>
    <t>(b) Purchases of stock-in-trade</t>
  </si>
  <si>
    <t>(e) Other intangible assets</t>
  </si>
  <si>
    <t>Unrealised gain on fair valuation of investments (net)</t>
  </si>
  <si>
    <t>(c) Changes in inventories</t>
  </si>
  <si>
    <t>(f) Intangible assets under development</t>
  </si>
  <si>
    <t>(Profit) / Loss on sale / write off of property plant and equipment (net)</t>
  </si>
  <si>
    <t>(d) Employee benefits expense</t>
  </si>
  <si>
    <t>(g) Financial assets</t>
  </si>
  <si>
    <t>Employee stock compensation expenses</t>
  </si>
  <si>
    <t>(e) Finance costs</t>
  </si>
  <si>
    <t>(i) Investments</t>
  </si>
  <si>
    <t>Unrealised foreign currency loss on revaluation (net)</t>
  </si>
  <si>
    <t>(f) Depreciation &amp; amortisation</t>
  </si>
  <si>
    <t>(ii) Loans</t>
  </si>
  <si>
    <t>Dividend income</t>
  </si>
  <si>
    <t>(g) Other expenses</t>
  </si>
  <si>
    <t>(iii) Other financial assets</t>
  </si>
  <si>
    <t>Interest Income</t>
  </si>
  <si>
    <t>Total expenses</t>
  </si>
  <si>
    <t>(h) Deferred tax assets (net)</t>
  </si>
  <si>
    <t>Impairment loss on property, plant and equipment and others</t>
  </si>
  <si>
    <t>3 Profit before tax &amp; exceptional</t>
  </si>
  <si>
    <t>(i) Non-current tax assets (net)</t>
  </si>
  <si>
    <t>Interest expenses</t>
  </si>
  <si>
    <t>4 Exceptional items</t>
  </si>
  <si>
    <t>(j) Other non-current assets</t>
  </si>
  <si>
    <t>Provision for doubtful advances</t>
  </si>
  <si>
    <t>5 Profit before tax</t>
  </si>
  <si>
    <t>Total non-current assets</t>
  </si>
  <si>
    <t>Expected credit loss on receivables</t>
  </si>
  <si>
    <t>6 Tax expense (Current &amp; Deferred)</t>
  </si>
  <si>
    <t>2. Current assets</t>
  </si>
  <si>
    <t>Subtotal of Adjustments</t>
  </si>
  <si>
    <t>7 Profit for the year (PAT)</t>
  </si>
  <si>
    <t>(a) Inventories</t>
  </si>
  <si>
    <t>Operating profit before working capital changes</t>
  </si>
  <si>
    <t>8 Other Comprehensive Income</t>
  </si>
  <si>
    <t>(b) Financial assets</t>
  </si>
  <si>
    <t>9 Total Comprehensive Income</t>
  </si>
  <si>
    <t>Adjustments for changes in working capital:</t>
  </si>
  <si>
    <t>(ii) Trade receivables</t>
  </si>
  <si>
    <t>Increase in trade receivables</t>
  </si>
  <si>
    <t>(iii) Cash and cash equivalents</t>
  </si>
  <si>
    <t>Decrease/ (Increase) in loans, other financial assets and other assets</t>
  </si>
  <si>
    <t>(iv) Bank balances other than (iii)</t>
  </si>
  <si>
    <t>Increase in inventories</t>
  </si>
  <si>
    <t>(v) Loans</t>
  </si>
  <si>
    <t>Increase in trade payable, other financial liabilities and other liabilities</t>
  </si>
  <si>
    <t>(vi) Other financial assets</t>
  </si>
  <si>
    <t>Increase / (decrease) in provisions</t>
  </si>
  <si>
    <t>(c) Other current assets</t>
  </si>
  <si>
    <t>Subtotal of adjustments</t>
  </si>
  <si>
    <t>(d) Non-current assets held for sale</t>
  </si>
  <si>
    <t>Cash generated from operations</t>
  </si>
  <si>
    <t>Total current assets</t>
  </si>
  <si>
    <t>Less: Income taxes paid (net of refund)</t>
  </si>
  <si>
    <t>TOTAL ASSETS</t>
  </si>
  <si>
    <t>Net Cash generated from operating activities</t>
  </si>
  <si>
    <t>II. EQUITY AND LIABILITIES</t>
  </si>
  <si>
    <t>B. CASH FLOW FROM INVESTING ACTIVITIES:</t>
  </si>
  <si>
    <t>1. Equity</t>
  </si>
  <si>
    <t>Purchases of property, plant and equipment (including capital work in progress, other intangible assets and intangible assets under development)</t>
  </si>
  <si>
    <t>(a) Equity share capital</t>
  </si>
  <si>
    <t>Proceeds from disposal of property, plant and equipment</t>
  </si>
  <si>
    <t>(b) Other equity</t>
  </si>
  <si>
    <t>Investment made in fixed deposits</t>
  </si>
  <si>
    <t>Equity attr. to owners</t>
  </si>
  <si>
    <t>Redemption of fixed deposits</t>
  </si>
  <si>
    <t>(c) Non-controlling interest</t>
  </si>
  <si>
    <t>Other investments made</t>
  </si>
  <si>
    <t>Total Equity</t>
  </si>
  <si>
    <t>Other investments redeemed</t>
  </si>
  <si>
    <t>2. Liabilities</t>
  </si>
  <si>
    <t>Investments in associate</t>
  </si>
  <si>
    <t>2a. Non-current liabilities</t>
  </si>
  <si>
    <t>Dividend received</t>
  </si>
  <si>
    <t>(a) Financial liabilities</t>
  </si>
  <si>
    <t>Interest received</t>
  </si>
  <si>
    <t>(i) Borrowings</t>
  </si>
  <si>
    <t>Net cash (used in) investing activities</t>
  </si>
  <si>
    <t>(ia) Lease liabilities</t>
  </si>
  <si>
    <t>(ii) Other financial liabilities</t>
  </si>
  <si>
    <t>C. CASH FLOW FROM FINANCING ACTIVITIES:</t>
  </si>
  <si>
    <t>(b) Provisions</t>
  </si>
  <si>
    <t>Proceeds from non-current borrowings (net)</t>
  </si>
  <si>
    <t>(c) Other non-current liabilities</t>
  </si>
  <si>
    <t>Repayment of current borrowings (net)</t>
  </si>
  <si>
    <t>Total non-current liabilities</t>
  </si>
  <si>
    <t>Dividend paid</t>
  </si>
  <si>
    <t>2b. Current liabilities</t>
  </si>
  <si>
    <t>Principal repayment of lease liabilities</t>
  </si>
  <si>
    <t>Interest paid</t>
  </si>
  <si>
    <t>Net cash (used in) financing activities</t>
  </si>
  <si>
    <t>(ii) Trade payables</t>
  </si>
  <si>
    <t>D. Net decrease in Cash and Cash Equivalents (A+B+C)</t>
  </si>
  <si>
    <t>(iii) Other financial liabilities</t>
  </si>
  <si>
    <t>E. Cash &amp; Cash Equivalents at the beginning of the year</t>
  </si>
  <si>
    <t>(b) Other current liabilities</t>
  </si>
  <si>
    <t>F. Add/Less: Effect of exchange difference on foreign currency cash and cash equivalents</t>
  </si>
  <si>
    <t>(c) Provisions</t>
  </si>
  <si>
    <t>G. Cash &amp; Cash Equivalents as at the end of the year (D+E+F) (Refer Note 4 below)</t>
  </si>
  <si>
    <t>(d) Current tax liabilities (net)</t>
  </si>
  <si>
    <t>(e) Liab. classified as held for sale</t>
  </si>
  <si>
    <t>Total current liabilities</t>
  </si>
  <si>
    <t>TOTAL EQUITY &amp; LIABILITIES</t>
  </si>
  <si>
    <t>[</t>
  </si>
  <si>
    <t>Suzlon Energy</t>
  </si>
  <si>
    <t>Consolidated Profit &amp; Loss account</t>
  </si>
  <si>
    <t>Mar 25</t>
  </si>
  <si>
    <t>Revenue From Operations [Net]</t>
  </si>
  <si>
    <t xml:space="preserve">revenue growth </t>
  </si>
  <si>
    <t>less: Material Consumed</t>
  </si>
  <si>
    <t xml:space="preserve">less: Employee Cost </t>
  </si>
  <si>
    <t>less: Other Expenses</t>
  </si>
  <si>
    <t>Total Expenses</t>
  </si>
  <si>
    <t>EBITDA</t>
  </si>
  <si>
    <t xml:space="preserve">less: Depreciation &amp; Amortization </t>
  </si>
  <si>
    <t>EBIT</t>
  </si>
  <si>
    <t xml:space="preserve">add: Other income </t>
  </si>
  <si>
    <t>less: Interest Expense</t>
  </si>
  <si>
    <t xml:space="preserve">EBT </t>
  </si>
  <si>
    <t xml:space="preserve">less: Tax </t>
  </si>
  <si>
    <t xml:space="preserve">less: Non Controlling interest </t>
  </si>
  <si>
    <t>PAT</t>
  </si>
  <si>
    <t xml:space="preserve">Historical Growth </t>
  </si>
  <si>
    <t xml:space="preserve">Average Growth </t>
  </si>
  <si>
    <t>CAGR</t>
  </si>
  <si>
    <t>Margin Analysis</t>
  </si>
  <si>
    <t>PAT Margin</t>
  </si>
  <si>
    <t xml:space="preserve">Tax Rate </t>
  </si>
  <si>
    <t xml:space="preserve">Effective  Tax Rate </t>
  </si>
  <si>
    <t xml:space="preserve">Marginal Tax Rate </t>
  </si>
  <si>
    <t xml:space="preserve">Return on Capital </t>
  </si>
  <si>
    <t>EBIT(1-t)</t>
  </si>
  <si>
    <t xml:space="preserve">Book Equity </t>
  </si>
  <si>
    <t>Book Debt</t>
  </si>
  <si>
    <t xml:space="preserve">Cash and Cash Equivalent </t>
  </si>
  <si>
    <t>Capital Employed</t>
  </si>
  <si>
    <t>Pre Tax Return on Capital</t>
  </si>
  <si>
    <t>Post Tax Return on Capital</t>
  </si>
  <si>
    <t xml:space="preserve">Alkem Labs </t>
  </si>
  <si>
    <t xml:space="preserve">NIFTY </t>
  </si>
  <si>
    <t>Date</t>
  </si>
  <si>
    <t>Closing Price</t>
  </si>
  <si>
    <t>Weighted Average Cost of Capital</t>
  </si>
  <si>
    <t>Capital Structure</t>
  </si>
  <si>
    <t>Total Debt</t>
  </si>
  <si>
    <t>Total Mix</t>
  </si>
  <si>
    <t>% of Debt</t>
  </si>
  <si>
    <t>% of Equity</t>
  </si>
  <si>
    <t xml:space="preserve"> </t>
  </si>
  <si>
    <t>Debt to Equity</t>
  </si>
  <si>
    <t>Cost of Equity</t>
  </si>
  <si>
    <t>Cost of Debt</t>
  </si>
  <si>
    <t>Risk free rate(Rf)</t>
  </si>
  <si>
    <t>Source</t>
  </si>
  <si>
    <t>Cost</t>
  </si>
  <si>
    <t>Beta</t>
  </si>
  <si>
    <t>Cost of debt*</t>
  </si>
  <si>
    <t>Market risk premium</t>
  </si>
  <si>
    <t>Tax rate</t>
  </si>
  <si>
    <t>Cost of equity</t>
  </si>
  <si>
    <t>Cost of Debt after tax</t>
  </si>
  <si>
    <t>WACC</t>
  </si>
  <si>
    <t>Weight</t>
  </si>
  <si>
    <t>Weighted Cost</t>
  </si>
  <si>
    <t xml:space="preserve">Debt </t>
  </si>
  <si>
    <t>Equity</t>
  </si>
  <si>
    <t xml:space="preserve">Alkem Labs                        "Fixed Asset Schedule " </t>
  </si>
  <si>
    <t xml:space="preserve">Particular </t>
  </si>
  <si>
    <t xml:space="preserve">Beginning balance </t>
  </si>
  <si>
    <t xml:space="preserve">Add: Net Purchases </t>
  </si>
  <si>
    <t xml:space="preserve">Total Fixed Assets </t>
  </si>
  <si>
    <t xml:space="preserve">Less: Depreciation </t>
  </si>
  <si>
    <t xml:space="preserve">Closing Balance(Fixed Asests ) </t>
  </si>
  <si>
    <t xml:space="preserve">Net Capital expenditure </t>
  </si>
  <si>
    <t xml:space="preserve">Net Capital expenditure / Sales percentage </t>
  </si>
  <si>
    <t xml:space="preserve">Median Capital expenditure /Sales percentage </t>
  </si>
  <si>
    <t xml:space="preserve">Average  Capital expenditure /Sales percentage </t>
  </si>
  <si>
    <t xml:space="preserve">Inventory </t>
  </si>
  <si>
    <t xml:space="preserve">Trade Receivables </t>
  </si>
  <si>
    <t>Trade Payable</t>
  </si>
  <si>
    <t xml:space="preserve">Non Cash working Capital </t>
  </si>
  <si>
    <t xml:space="preserve">Change in Working Capital </t>
  </si>
  <si>
    <t xml:space="preserve">changein working Capital /percentage of sales </t>
  </si>
  <si>
    <t xml:space="preserve">Median Non Cash working Capital  /Sales percentage </t>
  </si>
  <si>
    <t xml:space="preserve">Average  Non Cash working Capital  /Sales percentage </t>
  </si>
  <si>
    <t xml:space="preserve">Alkem Labs     "Free Cash Flow " </t>
  </si>
  <si>
    <t>Less: Tax on EBIT</t>
  </si>
  <si>
    <t>EBIT * (1- Tax)</t>
  </si>
  <si>
    <t xml:space="preserve">Less: Net Capital expenditure </t>
  </si>
  <si>
    <t xml:space="preserve">Less: Net Change in working Capital </t>
  </si>
  <si>
    <t>Reinvestment</t>
  </si>
  <si>
    <t>Free Cash Flow</t>
  </si>
  <si>
    <t xml:space="preserve">Reinvestment Rate </t>
  </si>
  <si>
    <t xml:space="preserve">Median Reinvestment rate   /Sales percentage </t>
  </si>
  <si>
    <t xml:space="preserve">Average Reinvestment rate   /Sales percentage </t>
  </si>
  <si>
    <t>Alkem Labs  "Growth Scenarios"</t>
  </si>
  <si>
    <t>Scenario 1: High Growth</t>
  </si>
  <si>
    <t>INR Cr.</t>
  </si>
  <si>
    <t>LTM</t>
  </si>
  <si>
    <t>Y1E</t>
  </si>
  <si>
    <t>Y2E</t>
  </si>
  <si>
    <t>Y3E</t>
  </si>
  <si>
    <t>Y4W</t>
  </si>
  <si>
    <t>Y5E</t>
  </si>
  <si>
    <t>Y6E</t>
  </si>
  <si>
    <t>Y7E</t>
  </si>
  <si>
    <t>Y8E</t>
  </si>
  <si>
    <t>Y9E</t>
  </si>
  <si>
    <t>Y10E</t>
  </si>
  <si>
    <t>Sales</t>
  </si>
  <si>
    <t>Risk Free Rate</t>
  </si>
  <si>
    <t>Sales Growth %</t>
  </si>
  <si>
    <t>Scenario 2: Average Growth</t>
  </si>
  <si>
    <t>Scenario 3: EBIT Growth</t>
  </si>
  <si>
    <t>Live Scenario</t>
  </si>
  <si>
    <t>Alkem Labs - "VALUATION"</t>
  </si>
  <si>
    <t>INR Cr</t>
  </si>
  <si>
    <t>Terminal Year</t>
  </si>
  <si>
    <t>Terminal growth rate %</t>
  </si>
  <si>
    <t xml:space="preserve">Sales </t>
  </si>
  <si>
    <t>Cost of Capital %</t>
  </si>
  <si>
    <t>Sales Growth</t>
  </si>
  <si>
    <t>Terminal reinvestment rate %</t>
  </si>
  <si>
    <t>EBIT Margin %</t>
  </si>
  <si>
    <t>Enterprise value = Equity Value + Minority interest</t>
  </si>
  <si>
    <t>EBIT(1-T)</t>
  </si>
  <si>
    <t>Less: Net Capital Expenditure</t>
  </si>
  <si>
    <t>Non Cash Working Capital</t>
  </si>
  <si>
    <t>Less: Change in Working Capital</t>
  </si>
  <si>
    <t>Free Cash Flow To Firm (FCFF)</t>
  </si>
  <si>
    <t>Implied Reinvestment rate %</t>
  </si>
  <si>
    <t>Terminal Value</t>
  </si>
  <si>
    <t>Present Value Interest Factor(PVIF)</t>
  </si>
  <si>
    <t>Present value of FCFF</t>
  </si>
  <si>
    <t>Present value of Terminal value</t>
  </si>
  <si>
    <t>Calculation of Sensitivity Analysis</t>
  </si>
  <si>
    <t>Value of operating assets</t>
  </si>
  <si>
    <t>Add: Cash</t>
  </si>
  <si>
    <t>Less: Debt</t>
  </si>
  <si>
    <t>Less: Minority Interest</t>
  </si>
  <si>
    <t>Equity Value</t>
  </si>
  <si>
    <t>No. of Shares outstanding (Cr)</t>
  </si>
  <si>
    <t xml:space="preserve">intrinsic value per share </t>
  </si>
  <si>
    <t>Current</t>
  </si>
  <si>
    <t> 2,658</t>
  </si>
  <si>
    <t>S.No.</t>
  </si>
  <si>
    <t>Name</t>
  </si>
  <si>
    <t>CMP Rs.</t>
  </si>
  <si>
    <t>Net Profit</t>
  </si>
  <si>
    <t>No. Eq. Shares Cr.</t>
  </si>
  <si>
    <t>Mar Cap Rs.Cr.</t>
  </si>
  <si>
    <t>Cash End Rs.Cr.</t>
  </si>
  <si>
    <t>Debt Rs.Cr.</t>
  </si>
  <si>
    <t>Sales Rs.Cr.</t>
  </si>
  <si>
    <t>EV / EBITDA</t>
  </si>
  <si>
    <t>EBIDT Ann Rs.Cr.</t>
  </si>
  <si>
    <t>Aurobindo Pharma</t>
  </si>
  <si>
    <t>Laurus Labs</t>
  </si>
  <si>
    <t>Glenmark Pharma.</t>
  </si>
  <si>
    <t>Alkem Lab</t>
  </si>
  <si>
    <t>Anthem Bioscienc</t>
  </si>
  <si>
    <t xml:space="preserve">Relative Valuation - Alkem Labs </t>
  </si>
  <si>
    <t>Figures in Crore</t>
  </si>
  <si>
    <t>Comparable Company Valuation</t>
  </si>
  <si>
    <t>Company Name</t>
  </si>
  <si>
    <t>Ticker Name</t>
  </si>
  <si>
    <t>Market Data</t>
  </si>
  <si>
    <t>Financials</t>
  </si>
  <si>
    <t>Valuation</t>
  </si>
  <si>
    <t>No. of shares</t>
  </si>
  <si>
    <t>Share Price</t>
  </si>
  <si>
    <t>Equity value</t>
  </si>
  <si>
    <t>Debt</t>
  </si>
  <si>
    <t>cash</t>
  </si>
  <si>
    <t>Enterprises value</t>
  </si>
  <si>
    <t>Revenue</t>
  </si>
  <si>
    <t>EPS</t>
  </si>
  <si>
    <t>EV/Revenue</t>
  </si>
  <si>
    <t>EV/EBITDA</t>
  </si>
  <si>
    <t>P/E Ratio</t>
  </si>
  <si>
    <t>Max</t>
  </si>
  <si>
    <t>75th Percentile</t>
  </si>
  <si>
    <t>Average</t>
  </si>
  <si>
    <t>median</t>
  </si>
  <si>
    <t>25th Percentile</t>
  </si>
  <si>
    <t>Min.</t>
  </si>
  <si>
    <t>M&amp;M Industry Comparable comps</t>
  </si>
  <si>
    <t xml:space="preserve">Overvalued </t>
  </si>
  <si>
    <t>Overvalued</t>
  </si>
  <si>
    <t>Implied Enterprise Value</t>
  </si>
  <si>
    <t>Net Debt</t>
  </si>
  <si>
    <t>Implied Market Value</t>
  </si>
  <si>
    <t>Share Outstanding</t>
  </si>
  <si>
    <t>Implied Value per Share</t>
  </si>
  <si>
    <t>Recommendation</t>
  </si>
  <si>
    <t>HOLD — Alkem Laboratories trades at ₹5458, valuing the company at ₹65,253 Cr. With FY25 consolidated revenue of ₹12,965 Cr (+2.3% YoY) and PAT of ₹2,215 Cr (+22.3% YoY), the stock offers a balanced risk-reward profile. Current P/E of 27.2x, ROCE of 20.4%, and dividend yield of 0.84% reflect a fairly valued mid-cap pharmaceutical company with steady fundamentals. Suitable for long-term investors with moderate growth expectations.</t>
  </si>
  <si>
    <t>Alkem Laboratories is India's 5th largest pharmaceutical company by domestic market share (4.1% in 9M FY25), with leadership in anti-infectives and strong presence in GI, pain management, and vitamins segments. The company has demonstrated consistent profit growth with FY21-FY25 PAT CAGR of 8.1%, though revenue growth has moderated to 9.2% CAGR over five years due to market maturity and competitive pressures. 
Key investment considerations: (1) Domestic formulations business stabilizing with volume recovery; (2) Export momentum gaining from emerging market focus; (3) Specialty and complex generics portfolio contributing to margin expansion; (4) US FDA compliance maintained with no Form 483 in recent inspections. Risk factors include generic price compression in key markets, forex volatility, and regulatory challenges. Management guidance suggests steady execution with EBITDA margin expansion target of 22-25%. The stock is suitable for value-conscious investors seeking stability over aggressive growth.</t>
  </si>
  <si>
    <t>Financial Year</t>
  </si>
  <si>
    <t>Revenue (₹ Crore)</t>
  </si>
  <si>
    <t>Profit After Tax (PAT) (₹ Crore)</t>
  </si>
  <si>
    <t>Revenue Change (%)</t>
  </si>
  <si>
    <t>PAT Change (%)</t>
  </si>
  <si>
    <t>ROCE (%)</t>
  </si>
  <si>
    <t>FY 2024-25</t>
  </si>
  <si>
    <t>FY 2023-24</t>
  </si>
  <si>
    <t>FY 2022-23</t>
  </si>
  <si>
    <t>FY 2021-22</t>
  </si>
  <si>
    <t>Metric</t>
  </si>
  <si>
    <t>Value</t>
  </si>
  <si>
    <t>FY 2020-21</t>
  </si>
  <si>
    <t>-</t>
  </si>
  <si>
    <t>Market Cap</t>
  </si>
  <si>
    <t>₹ 65,253 Cr.</t>
  </si>
  <si>
    <t>Current Price</t>
  </si>
  <si>
    <t>High / Low</t>
  </si>
  <si>
    <t>₹ 5,934 / ₹ 4,716</t>
  </si>
  <si>
    <t>Stock P/E</t>
  </si>
  <si>
    <t>Book Value</t>
  </si>
  <si>
    <t>Alkem Laboratories posts FY25 revenue of ₹12,965 Cr, PAT up 22% YoY to ₹2,215 Cr; stock trades at ₹5,458</t>
  </si>
  <si>
    <t>Dividend Yield</t>
  </si>
  <si>
    <t>ROCE</t>
  </si>
  <si>
    <t>ROE</t>
  </si>
  <si>
    <t>Face Value</t>
  </si>
  <si>
    <t>Data source: Screener.in | As of May 18, 2026</t>
  </si>
  <si>
    <t>Category of shareholder</t>
  </si>
  <si>
    <t>Entity Type</t>
  </si>
  <si>
    <t>Total</t>
  </si>
  <si>
    <t>A7) Indian</t>
  </si>
  <si>
    <t>Individuals/Hindu undivided Family</t>
  </si>
  <si>
    <t>Sarandhar Singh * (please refer notes)</t>
  </si>
  <si>
    <t>Promoter</t>
  </si>
  <si>
    <t>Basudeo Narain Singh</t>
  </si>
  <si>
    <t>Mritunjay Kumar Singh</t>
  </si>
  <si>
    <t>Madhurima Singh&amp; (please refer notes)</t>
  </si>
  <si>
    <t>Madhurima Singh@ (please refer notes)</t>
  </si>
  <si>
    <t>Seema Singh</t>
  </si>
  <si>
    <t>Archana Singh</t>
  </si>
  <si>
    <t>Jayanti Sinha</t>
  </si>
  <si>
    <t>Promoter Group</t>
  </si>
  <si>
    <t>Aniruddha Singh&amp; (please refer notes)</t>
  </si>
  <si>
    <t>Divya Singh&amp; (please refer notes)</t>
  </si>
  <si>
    <t>Meghna Singh</t>
  </si>
  <si>
    <t>Shrey Shree Anant Singh</t>
  </si>
  <si>
    <t>Raj Kumar Singh</t>
  </si>
  <si>
    <t>Srinivas Singh # (please refer notes)</t>
  </si>
  <si>
    <t>Manju Singh # (please refer notes)</t>
  </si>
  <si>
    <t>Sarandhar Singh # (please refer notes)</t>
  </si>
  <si>
    <t>Satish Kumar Singh # (please refer notes)</t>
  </si>
  <si>
    <t>Inderjit Kaur Arora # (please refer notes)</t>
  </si>
  <si>
    <t>Sandeep Singh# (please refer notes)</t>
  </si>
  <si>
    <t>Annapurna Singh # (please refer notes)</t>
  </si>
  <si>
    <t>Premlata Singh # (please refer notes)</t>
  </si>
  <si>
    <t>Sarvesh Singh # (please refer notes)</t>
  </si>
  <si>
    <t>Sub Total A1</t>
  </si>
  <si>
    <t>A8) Foreign</t>
  </si>
  <si>
    <t>A=A1+A2</t>
  </si>
  <si>
    <t>Shareholding %</t>
  </si>
  <si>
    <t>Category &amp; Name of the Shareholders</t>
  </si>
  <si>
    <t>No. of shareholder</t>
  </si>
  <si>
    <t>Total no. shares held</t>
  </si>
  <si>
    <t>Institutions</t>
  </si>
  <si>
    <t>B2) Institutions (Domestic)</t>
  </si>
  <si>
    <t>Mutual Funds/</t>
  </si>
  <si>
    <t>1,86,14,487</t>
  </si>
  <si>
    <t>Dsp Midcap Fund</t>
  </si>
  <si>
    <t>17,33,169</t>
  </si>
  <si>
    <t>Nippon Life India Trustee Ltd- A/C Nippon India Growth Mid Cap Fund</t>
  </si>
  <si>
    <t>23,04,115</t>
  </si>
  <si>
    <t>Sbi Large &amp; Midcap Fund</t>
  </si>
  <si>
    <t>28,91,770</t>
  </si>
  <si>
    <t>Icici Prudential Multi-Asset Fund</t>
  </si>
  <si>
    <t>37,05,808</t>
  </si>
  <si>
    <t>Hdfc Mutual Fund - Hdfc Mid-Cap Fund</t>
  </si>
  <si>
    <t>48,49,338</t>
  </si>
  <si>
    <t>Venture Capital Funds</t>
  </si>
  <si>
    <t>Alternate Investment Funds</t>
  </si>
  <si>
    <t>3,75,893</t>
  </si>
  <si>
    <t>Banks</t>
  </si>
  <si>
    <t>Insurance Companies</t>
  </si>
  <si>
    <t>50,00,210</t>
  </si>
  <si>
    <t>Hdfc Life Insurance Company Limited</t>
  </si>
  <si>
    <t>15,95,302</t>
  </si>
  <si>
    <t>Life Insurance Corporation Of India - P &amp; Gs Fund</t>
  </si>
  <si>
    <t>18,63,018</t>
  </si>
  <si>
    <t>Provident Funds/ Pension Funds</t>
  </si>
  <si>
    <t>15,94,635</t>
  </si>
  <si>
    <t>Nps Trust- A/C Hdfc Pension Fund Management Limited Scheme E - Tier I</t>
  </si>
  <si>
    <t>Asset reconstruction companies</t>
  </si>
  <si>
    <t>Sovereign Wealth Funds</t>
  </si>
  <si>
    <t>NBFCs registered with RBI</t>
  </si>
  <si>
    <t>Other Financial Institutions</t>
  </si>
  <si>
    <t>Any Other(Institutions (Domestic))</t>
  </si>
  <si>
    <t>Sub Total B1</t>
  </si>
  <si>
    <t>2,55,85,259</t>
  </si>
  <si>
    <t>B23) Institutions (Foreign)</t>
  </si>
  <si>
    <t>Foreign Direct Investment</t>
  </si>
  <si>
    <t>Foreign Venture Capital Investors</t>
  </si>
  <si>
    <t>Foreign Portfolio Investors Category I</t>
  </si>
  <si>
    <t>1,17,80,030</t>
  </si>
  <si>
    <t>Foreign Portfolio Investors Category II</t>
  </si>
  <si>
    <t>3,63,021</t>
  </si>
  <si>
    <t>Overseas Depositories (holding DRs) (balancing figure)</t>
  </si>
  <si>
    <t>Any Other(Institutions (Foreign))</t>
  </si>
  <si>
    <t>Sub Total B2</t>
  </si>
  <si>
    <t>1,21,43,051</t>
  </si>
  <si>
    <t>B32) Central Government/ State Government(s)/ President of India</t>
  </si>
  <si>
    <t>Central Government / President of India</t>
  </si>
  <si>
    <t>State Government / Governor</t>
  </si>
  <si>
    <t>Shareholding by Companies or Bodies Corporate where Central / State Government is a promoter</t>
  </si>
  <si>
    <t>Sub Total B3</t>
  </si>
  <si>
    <t>B37) Non-Institutions</t>
  </si>
  <si>
    <t>Associate companies / Subsidiaries</t>
  </si>
  <si>
    <t>Directors and their relatives (excluding independent directors and nominee directors)</t>
  </si>
  <si>
    <t>Key Managerial Personnel</t>
  </si>
  <si>
    <t>Relatives of promoters (other than 'immediate relatives' of promoters disclosed under 'Promoter and Promoter Group' category)</t>
  </si>
  <si>
    <t>Trusts where any person belonging to 'Promoter and Promoter Group' category is 'trustee', 'beneficiary', or 'author of the trust'</t>
  </si>
  <si>
    <t>Investor Education and Protection Fund (IEPF)</t>
  </si>
  <si>
    <t>Resident Individuals holding nominal share capital up to Rs. 2 lakhs</t>
  </si>
  <si>
    <t>13,87,362</t>
  </si>
  <si>
    <t>Resident Individuals holding nominal share capital in excess of Rs. 2 lakhs</t>
  </si>
  <si>
    <t>1,90,10,123</t>
  </si>
  <si>
    <t>Alok Kumar .</t>
  </si>
  <si>
    <t>27,64,719</t>
  </si>
  <si>
    <t>Ashok Kumar</t>
  </si>
  <si>
    <t>26,88,000</t>
  </si>
  <si>
    <t>Deepak Kumar Singh</t>
  </si>
  <si>
    <t>24,06,140</t>
  </si>
  <si>
    <t>Kishor Kumar Singh</t>
  </si>
  <si>
    <t>29,73,312</t>
  </si>
  <si>
    <t>Rajeev Ranjan</t>
  </si>
  <si>
    <t>14,85,342</t>
  </si>
  <si>
    <t>Rajesh Kumar</t>
  </si>
  <si>
    <t>16,84,535</t>
  </si>
  <si>
    <t>Non Resident Indians (NRIs)</t>
  </si>
  <si>
    <t>Foreign Nationals</t>
  </si>
  <si>
    <t>Foreign Companies</t>
  </si>
  <si>
    <t>Bodies Corporate</t>
  </si>
  <si>
    <t>Any Other (specify)</t>
  </si>
  <si>
    <t>Sub Total B4</t>
  </si>
  <si>
    <t>2,06,23,581</t>
  </si>
  <si>
    <t>B=B1+B2+B3+B4</t>
  </si>
  <si>
    <t>5,83,51,891</t>
  </si>
  <si>
    <t xml:space="preserve">Shareholding % </t>
  </si>
  <si>
    <t xml:space="preserve">PUBLIC HOLDING </t>
  </si>
  <si>
    <t>PROMOTER HOLDING</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</si>
  <si>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</si>
  <si>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</si>
  <si>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</si>
  <si>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</si>
  <si>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</si>
  <si>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</si>
  <si>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</si>
  <si>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</si>
  <si>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</si>
  <si>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</si>
  <si>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</si>
  <si>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</si>
  <si>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</si>
  <si>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</si>
  <si>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</si>
  <si>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</si>
  <si>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</si>
  <si>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</si>
  <si>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</si>
  <si>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</si>
  <si>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</si>
  <si>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</si>
  <si>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</si>
  <si>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</si>
  <si>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 xml:space="preserve">   Change in Working Capital </t>
  </si>
  <si>
    <t>Alkem Laboratories is one of India's leading pharmaceutical companies, focused mainly on branded generic medicines. The company has a strong domestic presence, particularly in anti infectives, gastrointestinal, vitamins, neurology, cardiology, and diabetes therapies, while also exporting products to over 40 countries, including the United States. Alkem operates multiple manufacturing facilities and has gradually expanded into specialty and chronic therapies, which generally provide higher margins and more stable growth than acute care medicines. Its well known brands include Clavam, Pan, Taxim, and Gemcal. The company is known for a strong doctor distribution network, consistent profitability, and a healthy balance sheet, making it a significant player in the Indian pharmaceutical sector.</t>
  </si>
  <si>
    <t>YOY Sales Growth %</t>
  </si>
  <si>
    <t>Material Cost %</t>
  </si>
  <si>
    <t>Employee Cost %</t>
  </si>
  <si>
    <t>Operating Profit</t>
  </si>
  <si>
    <t>OPM %</t>
  </si>
  <si>
    <t>Other Income</t>
  </si>
  <si>
    <t>Exceptional Items</t>
  </si>
  <si>
    <t>Other Income Normal</t>
  </si>
  <si>
    <t>Interest</t>
  </si>
  <si>
    <t>Depreciation</t>
  </si>
  <si>
    <t>Profit Before Tax</t>
  </si>
  <si>
    <t>Tax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</si>
</sst>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
    <numFmt numFmtId="165" formatCode="_ * #,##0.00_ ;_ * \-#,##0.00_ ;_ * \-??_ ;_ @_ "/>
    <numFmt numFmtId="166" formatCode="0.0%;\(0.0%\);\-"/>
    <numFmt numFmtId="167" formatCode="0.0"/>
    <numFmt numFmtId="168" formatCode="0.0%"/>
    <numFmt numFmtId="169" formatCode="#,##0.0"/>
    <numFmt numFmtId="170" formatCode="_ * #,##0.0_ ;_ * \-#,##0.0_ ;_ * &quot;-&quot;??_ ;_ @_ "/>
    <numFmt numFmtId="171" formatCode="0.&quot;X&quot;"/>
    <numFmt numFmtId="172" formatCode="0.000000"/>
    <numFmt numFmtId="173" formatCode="0.0000"/>
  </numFmts>
  <fonts count="63">
    <font>
      <sz val="11"/>
      <color theme="1"/>
      <name val="Calibri"/>
      <family val="2"/>
    </font>
    <font>
      <b/>
      <sz val="11"/>
      <color theme="1"/>
      <name val="Calibri"/>
      <family val="2"/>
    </font>
    <font>
      <i/>
      <sz val="11"/>
      <color theme="1"/>
      <name val="Calibri"/>
      <family val="2"/>
    </font>
    <font>
      <b/>
      <sz val="11"/>
      <color rgb="FF303030"/>
      <name val="Google Sans Text"/>
    </font>
    <font>
      <sz val="11"/>
      <color rgb="FF303030"/>
      <name val="Google Sans Text"/>
    </font>
    <font>
      <b/>
      <sz val="10"/>
      <color rgb="FF000000"/>
      <name val="Arial"/>
      <family val="2"/>
    </font>
    <font>
      <b/>
      <sz val="13"/>
      <color rgb="FFFFFFFF"/>
      <name val="Calibri"/>
      <family val="2"/>
    </font>
    <font>
      <b/>
      <sz val="10"/>
      <color rgb="FFFFFFFF"/>
      <name val="Calibri"/>
      <family val="2"/>
    </font>
    <font>
      <sz val="10"/>
      <color rgb="FF000000"/>
      <name val="Arial"/>
      <family val="2"/>
    </font>
    <font>
      <sz val="10"/>
      <color rgb="FF008000"/>
      <name val="Arial"/>
      <family val="2"/>
    </font>
    <font>
      <sz val="9"/>
      <color rgb="FF000000"/>
      <name val="Calibri"/>
      <family val="2"/>
    </font>
    <font>
      <sz val="10"/>
      <color rgb="FF0000FF"/>
      <name val="Arial"/>
      <family val="2"/>
    </font>
    <font>
      <b/>
      <sz val="9"/>
      <color rgb="FFFFFFFF"/>
      <name val="Calibri"/>
      <family val="2"/>
    </font>
    <font>
      <b/>
      <sz val="11"/>
      <color rgb="FF003366"/>
      <name val="Calibri"/>
      <family val="2"/>
    </font>
    <font>
      <b/>
      <sz val="9"/>
      <color rgb="FFFFFFFF"/>
      <name val="Arial"/>
      <family val="2"/>
    </font>
    <font>
      <b/>
      <sz val="9"/>
      <color rgb="FF2E4D7B"/>
      <name val="Arial"/>
      <family val="2"/>
    </font>
    <font>
      <sz val="8"/>
      <color rgb="FF3A4F6A"/>
      <name val="Arial"/>
      <family val="2"/>
    </font>
    <font>
      <b/>
      <sz val="11"/>
      <name val="Calibri"/>
      <family val="2"/>
    </font>
    <font>
      <sz val="9"/>
      <color rgb="FF1A2B3C"/>
      <name val="Arial"/>
      <family val="2"/>
    </font>
    <font>
      <b/>
      <sz val="11"/>
      <color rgb="FFFFFFFF"/>
      <name val="Arial"/>
      <family val="2"/>
    </font>
    <font>
      <b/>
      <sz val="8"/>
      <color rgb="FF2E4D7B"/>
      <name val="Arial"/>
      <family val="2"/>
    </font>
    <font>
      <i/>
      <sz val="8"/>
      <color rgb="FF7A8A9A"/>
      <name val="Arial"/>
      <family val="2"/>
    </font>
    <font>
      <sz val="9"/>
      <color rgb="FF3A4F6A"/>
      <name val="Arial"/>
      <family val="2"/>
    </font>
    <font>
      <b/>
      <sz val="9"/>
      <color rgb="FF1A2B3C"/>
      <name val="Arial"/>
      <family val="2"/>
    </font>
    <font>
      <b/>
      <sz val="10"/>
      <color rgb="FFC9A84C"/>
      <name val="Arial"/>
      <family val="2"/>
    </font>
    <font>
      <sz val="10"/>
      <color theme="1"/>
      <name val="Arial"/>
      <family val="2"/>
    </font>
    <font>
      <i/>
      <sz val="8"/>
      <color theme="1"/>
      <name val="Arial"/>
      <family val="2"/>
    </font>
    <font>
      <sz val="9"/>
      <color theme="1"/>
      <name val="Arial"/>
      <family val="2"/>
    </font>
    <font>
      <b/>
      <sz val="9"/>
      <color theme="1"/>
      <name val="Arial"/>
      <family val="2"/>
    </font>
    <font>
      <b/>
      <sz val="10"/>
      <color rgb="FFFFFF00"/>
      <name val="Arial"/>
      <family val="2"/>
    </font>
    <font>
      <b/>
      <sz val="10"/>
      <color theme="0"/>
      <name val="Arial"/>
      <family val="2"/>
    </font>
    <font>
      <sz val="10"/>
      <color theme="0"/>
      <name val="Arial"/>
      <family val="2"/>
    </font>
    <font>
      <b/>
      <sz val="11"/>
      <color rgb="FFFFFFFF"/>
      <name val="Calibri"/>
    </font>
    <font>
      <b/>
      <sz val="11"/>
      <name val="Calibri"/>
    </font>
    <font>
      <sz val="11"/>
      <color theme="1"/>
      <name val="Calibri"/>
      <family val="2"/>
    </font>
    <font>
      <u/>
      <sz val="11"/>
      <color theme="10"/>
      <name val="Calibri"/>
      <family val="2"/>
    </font>
    <font>
      <b/>
      <sz val="14"/>
      <color rgb="FFFFFFFF"/>
      <name val="Calibri"/>
      <family val="2"/>
    </font>
    <font>
      <b/>
      <sz val="11"/>
      <color rgb="FFFFFFFF"/>
      <name val="Calibri"/>
      <family val="2"/>
    </font>
    <font>
      <sz val="10"/>
      <color rgb="FF000000"/>
      <name val="Calibri"/>
      <family val="2"/>
    </font>
    <font>
      <b/>
      <sz val="10"/>
      <color rgb="FF000000"/>
      <name val="Calibri"/>
      <family val="2"/>
    </font>
    <font>
      <b/>
      <sz val="11"/>
      <color theme="1"/>
      <name val="Aptos Narrow"/>
      <family val="2"/>
      <scheme val="minor"/>
    </font>
    <font>
      <b/>
      <sz val="11"/>
      <color theme="0"/>
      <name val="Aptos Narrow"/>
      <family val="2"/>
      <scheme val="minor"/>
    </font>
    <font>
      <i/>
      <sz val="11"/>
      <color theme="1"/>
      <name val="Aptos Narrow"/>
      <family val="2"/>
      <scheme val="minor"/>
    </font>
    <font>
      <b/>
      <i/>
      <sz val="11"/>
      <color theme="1"/>
      <name val="Aptos Narrow"/>
      <family val="2"/>
      <scheme val="minor"/>
    </font>
    <font>
      <sz val="9"/>
      <color rgb="FF22222F"/>
      <name val="Arial"/>
      <family val="2"/>
    </font>
    <font>
      <sz val="12"/>
      <color theme="1"/>
      <name val="Calibri"/>
      <family val="2"/>
    </font>
    <font>
      <b/>
      <sz val="12"/>
      <color theme="1"/>
      <name val="Calibri"/>
      <family val="2"/>
    </font>
    <font>
      <sz val="11"/>
      <color rgb="FF606F7B"/>
      <name val="Arial"/>
      <family val="2"/>
    </font>
    <font>
      <sz val="11"/>
      <color rgb="FF22222F"/>
      <name val="Arial"/>
      <family val="2"/>
    </font>
    <font>
      <sz val="11"/>
      <color rgb="FF22222F"/>
      <name val="Aptos Narrow"/>
      <family val="2"/>
      <scheme val="minor"/>
    </font>
    <font>
      <sz val="11"/>
      <color theme="1"/>
      <name val="Aptos Narrow"/>
      <family val="2"/>
      <scheme val="minor"/>
    </font>
    <font>
      <sz val="11"/>
      <color rgb="FF22222F"/>
      <name val="Arial"/>
      <family val="2"/>
    </font>
    <font>
      <b/>
      <sz val="11"/>
      <color theme="1"/>
      <name val="Arial"/>
      <family val="2"/>
    </font>
    <font>
      <b/>
      <u/>
      <sz val="11"/>
      <color theme="10"/>
      <name val="Calibri"/>
      <family val="2"/>
    </font>
    <font>
      <b/>
      <sz val="11"/>
      <color rgb="FF22222F"/>
      <name val="Arial"/>
      <family val="2"/>
    </font>
    <font>
      <sz val="9"/>
      <color rgb="FF000000"/>
      <name val="Arial"/>
    </font>
    <font>
      <b/>
      <sz val="9"/>
      <color rgb="FF000000"/>
      <name val="Arial"/>
    </font>
    <font>
      <sz val="8"/>
      <color rgb="FF000000"/>
      <name val="Arial"/>
    </font>
    <font>
      <sz val="8"/>
      <color rgb="FFFFFFFF"/>
      <name val="Arial"/>
      <family val="2"/>
    </font>
    <font>
      <sz val="8"/>
      <color rgb="FF000000"/>
      <name val="Arial"/>
      <family val="2"/>
    </font>
    <font>
      <sz val="8"/>
      <color rgb="FF000000"/>
      <name val="Arial"/>
      <family val="2"/>
    </font>
    <font>
      <sz val="11"/>
      <color theme="0"/>
      <name val="Calibri"/>
      <family val="2"/>
    </font>
    <font>
      <sz val="16"/>
      <color theme="0"/>
      <name val="Arial"/>
      <family val="2"/>
    </font>
  </fonts>
  <fills count="31">
    <fill>
      <patternFill patternType="none"/>
    </fill>
    <fill>
      <patternFill patternType="gray125"/>
    </fill>
    <fill>
      <patternFill patternType="solid">
        <fgColor rgb="FFFFFFFF"/>
        <bgColor indexed="64"/>
      </patternFill>
    </fill>
    <fill>
      <patternFill patternType="solid">
        <fgColor rgb="FF003366"/>
        <bgColor rgb="FF17375E"/>
      </patternFill>
    </fill>
    <fill>
      <patternFill patternType="solid">
        <fgColor rgb="FF17375E"/>
        <bgColor rgb="FF203864"/>
      </patternFill>
    </fill>
    <fill>
      <patternFill patternType="solid">
        <fgColor rgb="FFE0E0E0"/>
        <bgColor rgb="FFD9D9D9"/>
      </patternFill>
    </fill>
    <fill>
      <patternFill patternType="solid">
        <fgColor rgb="FFFFFFFF"/>
        <bgColor rgb="FFFFFDE7"/>
      </patternFill>
    </fill>
    <fill>
      <patternFill patternType="solid">
        <fgColor rgb="FFD9E1F2"/>
        <bgColor rgb="FFDAE3F3"/>
      </patternFill>
    </fill>
    <fill>
      <patternFill patternType="solid">
        <fgColor theme="0" tint="-0.249977111117893"/>
        <bgColor rgb="FFC9C9C9"/>
      </patternFill>
    </fill>
    <fill>
      <patternFill patternType="solid">
        <fgColor rgb="FFFFD700"/>
        <bgColor rgb="FFFFC000"/>
      </patternFill>
    </fill>
    <fill>
      <patternFill patternType="solid">
        <fgColor rgb="FF2E4D7B"/>
        <bgColor indexed="64"/>
      </patternFill>
    </fill>
    <fill>
      <patternFill patternType="solid">
        <fgColor rgb="FFE8EEF6"/>
        <bgColor indexed="64"/>
      </patternFill>
    </fill>
    <fill>
      <patternFill patternType="solid">
        <fgColor rgb="FFEAF1FB"/>
        <bgColor indexed="64"/>
      </patternFill>
    </fill>
    <fill>
      <patternFill patternType="solid">
        <fgColor rgb="FF14243A"/>
        <bgColor indexed="64"/>
      </patternFill>
    </fill>
    <fill>
      <patternFill patternType="solid">
        <fgColor rgb="FF3D6494"/>
        <bgColor indexed="64"/>
      </patternFill>
    </fill>
    <fill>
      <patternFill patternType="solid">
        <fgColor rgb="FFF0F5FC"/>
        <bgColor indexed="64"/>
      </patternFill>
    </fill>
    <fill>
      <patternFill patternType="solid">
        <fgColor rgb="FFDCE3EC"/>
        <bgColor indexed="64"/>
      </patternFill>
    </fill>
    <fill>
      <patternFill patternType="solid">
        <fgColor theme="0"/>
        <bgColor indexed="64"/>
      </patternFill>
    </fill>
    <fill>
      <patternFill patternType="solid">
        <fgColor theme="3"/>
        <bgColor indexed="64"/>
      </patternFill>
    </fill>
    <fill>
      <patternFill patternType="solid">
        <fgColor rgb="FF1F4E78"/>
        <bgColor rgb="FF1F4E78"/>
      </patternFill>
    </fill>
    <fill>
      <patternFill patternType="solid">
        <fgColor rgb="FF4472C4"/>
        <bgColor indexed="64"/>
      </patternFill>
    </fill>
    <fill>
      <patternFill patternType="solid">
        <fgColor rgb="FFF5F5F5"/>
        <bgColor indexed="64"/>
      </patternFill>
    </fill>
    <fill>
      <patternFill patternType="solid">
        <fgColor rgb="FFE9EFF7"/>
        <bgColor indexed="64"/>
      </patternFill>
    </fill>
    <fill>
      <patternFill patternType="solid">
        <fgColor theme="7" tint="-0.499984740745262"/>
        <bgColor indexed="64"/>
      </patternFill>
    </fill>
    <fill>
      <patternFill patternType="solid">
        <fgColor rgb="FF002060"/>
        <bgColor indexed="64"/>
      </patternFill>
    </fill>
    <fill>
      <patternFill patternType="solid">
        <fgColor theme="0" tint="-0.249977111117893"/>
        <bgColor indexed="64"/>
      </patternFill>
    </fill>
    <fill>
      <patternFill patternType="solid">
        <fgColor rgb="FFF8F8FC"/>
        <bgColor indexed="64"/>
      </patternFill>
    </fill>
    <fill>
      <patternFill patternType="solid">
        <fgColor theme="3" tint="0.89999084444715716"/>
        <bgColor indexed="64"/>
      </patternFill>
    </fill>
    <fill>
      <patternFill patternType="solid">
        <fgColor theme="7" tint="0.59999389629810485"/>
        <bgColor indexed="64"/>
      </patternFill>
    </fill>
    <fill>
      <patternFill patternType="solid">
        <fgColor rgb="FFE8E8E8"/>
        <bgColor rgb="FFE8E8E8"/>
      </patternFill>
    </fill>
    <fill>
      <patternFill patternType="solid">
        <fgColor rgb="FF243166"/>
        <bgColor indexed="64"/>
      </patternFill>
    </fill>
  </fills>
  <borders count="88">
    <border>
      <left/>
      <right/>
      <top/>
      <bottom/>
      <diagonal/>
    </border>
    <border>
      <left style="thin">
        <color indexed="64"/>
      </left>
      <right style="thin">
        <color indexed="64"/>
      </right>
      <top style="thin">
        <color indexed="64"/>
      </top>
      <bottom style="thin">
        <color indexed="64"/>
      </bottom>
      <diagonal/>
    </border>
    <border>
      <left style="thin">
        <color auto="1"/>
      </left>
      <right style="thin">
        <color theme="0"/>
      </right>
      <top style="thin">
        <color auto="1"/>
      </top>
      <bottom style="thin">
        <color theme="0"/>
      </bottom>
      <diagonal/>
    </border>
    <border>
      <left/>
      <right style="thin">
        <color theme="0"/>
      </right>
      <top style="thin">
        <color auto="1"/>
      </top>
      <bottom style="thin">
        <color theme="0"/>
      </bottom>
      <diagonal/>
    </border>
    <border>
      <left style="thin">
        <color auto="1"/>
      </left>
      <right style="thin">
        <color theme="0"/>
      </right>
      <top style="thin">
        <color theme="0"/>
      </top>
      <bottom style="thin">
        <color theme="0"/>
      </bottom>
      <diagonal/>
    </border>
    <border>
      <left/>
      <right/>
      <top/>
      <bottom style="thin">
        <color rgb="FF595959"/>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style="thin">
        <color theme="0"/>
      </bottom>
      <diagonal/>
    </border>
    <border>
      <left/>
      <right style="thin">
        <color auto="1"/>
      </right>
      <top style="thin">
        <color auto="1"/>
      </top>
      <bottom style="thin">
        <color theme="0"/>
      </bottom>
      <diagonal/>
    </border>
    <border>
      <left style="thin">
        <color auto="1"/>
      </left>
      <right style="thin">
        <color theme="0"/>
      </right>
      <top/>
      <bottom style="thin">
        <color theme="0"/>
      </bottom>
      <diagonal/>
    </border>
    <border>
      <left style="thin">
        <color auto="1"/>
      </left>
      <right/>
      <top style="thin">
        <color auto="1"/>
      </top>
      <bottom style="thin">
        <color auto="1"/>
      </bottom>
      <diagonal/>
    </border>
    <border>
      <left/>
      <right/>
      <top style="thin">
        <color rgb="FF595959"/>
      </top>
      <bottom style="thin">
        <color rgb="FF595959"/>
      </bottom>
      <diagonal/>
    </border>
    <border>
      <left/>
      <right/>
      <top style="thin">
        <color auto="1"/>
      </top>
      <bottom style="thin">
        <color theme="0"/>
      </bottom>
      <diagonal/>
    </border>
    <border>
      <left style="thin">
        <color auto="1"/>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right/>
      <top style="medium">
        <color rgb="FF003366"/>
      </top>
      <bottom style="medium">
        <color rgb="FF003366"/>
      </bottom>
      <diagonal/>
    </border>
    <border>
      <left/>
      <right/>
      <top style="thin">
        <color rgb="FFC9A84C"/>
      </top>
      <bottom/>
      <diagonal/>
    </border>
    <border>
      <left/>
      <right/>
      <top style="thin">
        <color rgb="FFC9A84C"/>
      </top>
      <bottom style="thin">
        <color rgb="FFC8D4E3"/>
      </bottom>
      <diagonal/>
    </border>
    <border>
      <left/>
      <right/>
      <top style="thin">
        <color rgb="FFC9A84C"/>
      </top>
      <bottom style="thin">
        <color rgb="FFC9A84C"/>
      </bottom>
      <diagonal/>
    </border>
    <border>
      <left/>
      <right style="thin">
        <color rgb="FFC8D4E3"/>
      </right>
      <top style="thin">
        <color rgb="FFC9A84C"/>
      </top>
      <bottom style="thin">
        <color rgb="FFC9A84C"/>
      </bottom>
      <diagonal/>
    </border>
    <border>
      <left/>
      <right style="thin">
        <color rgb="FFC8D4E3"/>
      </right>
      <top/>
      <bottom/>
      <diagonal/>
    </border>
    <border>
      <left/>
      <right style="medium">
        <color rgb="FFEEEEEE"/>
      </right>
      <top/>
      <bottom/>
      <diagonal/>
    </border>
    <border>
      <left/>
      <right/>
      <top/>
      <bottom style="thin">
        <color rgb="FFC9A84C"/>
      </bottom>
      <diagonal/>
    </border>
    <border>
      <left/>
      <right style="thin">
        <color rgb="FFC8D4E3"/>
      </right>
      <top/>
      <bottom style="thin">
        <color rgb="FFC9A84C"/>
      </bottom>
      <diagonal/>
    </border>
    <border>
      <left/>
      <right style="medium">
        <color rgb="FFEEEEEE"/>
      </right>
      <top/>
      <bottom style="thin">
        <color rgb="FFC9A84C"/>
      </bottom>
      <diagonal/>
    </border>
    <border>
      <left style="medium">
        <color rgb="FFEEEEEE"/>
      </left>
      <right style="medium">
        <color rgb="FFEEEEEE"/>
      </right>
      <top/>
      <bottom style="thin">
        <color rgb="FFC9A84C"/>
      </bottom>
      <diagonal/>
    </border>
    <border>
      <left/>
      <right/>
      <top/>
      <bottom style="thin">
        <color rgb="FFC8D4E3"/>
      </bottom>
      <diagonal/>
    </border>
    <border>
      <left/>
      <right style="thin">
        <color rgb="FFC8D4E3"/>
      </right>
      <top/>
      <bottom style="thin">
        <color rgb="FFC8D4E3"/>
      </bottom>
      <diagonal/>
    </border>
    <border>
      <left/>
      <right style="thin">
        <color rgb="FFC8D4E3"/>
      </right>
      <top style="thin">
        <color rgb="FFC9A84C"/>
      </top>
      <bottom/>
      <diagonal/>
    </border>
    <border>
      <left/>
      <right style="thin">
        <color rgb="FFC8D4E3"/>
      </right>
      <top style="thin">
        <color rgb="FFC0CDD8"/>
      </top>
      <bottom style="thin">
        <color rgb="FFC8D4E3"/>
      </bottom>
      <diagonal/>
    </border>
    <border>
      <left/>
      <right/>
      <top style="thin">
        <color rgb="FFC0CDD8"/>
      </top>
      <bottom style="thin">
        <color rgb="FFC8D4E3"/>
      </bottom>
      <diagonal/>
    </border>
    <border>
      <left/>
      <right style="thin">
        <color rgb="FFC8D4E3"/>
      </right>
      <top style="medium">
        <color rgb="FFC9A84C"/>
      </top>
      <bottom/>
      <diagonal/>
    </border>
    <border>
      <left/>
      <right/>
      <top style="medium">
        <color rgb="FFC9A84C"/>
      </top>
      <bottom/>
      <diagonal/>
    </border>
    <border>
      <left/>
      <right style="thin">
        <color rgb="FFC8D4E3"/>
      </right>
      <top style="thin">
        <color rgb="FFC0CDD8"/>
      </top>
      <bottom/>
      <diagonal/>
    </border>
    <border>
      <left/>
      <right/>
      <top style="thin">
        <color rgb="FFC0CDD8"/>
      </top>
      <bottom/>
      <diagonal/>
    </border>
    <border>
      <left/>
      <right style="thin">
        <color rgb="FFC8D4E3"/>
      </right>
      <top style="thin">
        <color rgb="FFC0CDD8"/>
      </top>
      <bottom style="medium">
        <color rgb="FFC9A84C"/>
      </bottom>
      <diagonal/>
    </border>
    <border>
      <left/>
      <right/>
      <top style="thin">
        <color rgb="FFC0CDD8"/>
      </top>
      <bottom style="medium">
        <color rgb="FFC9A84C"/>
      </bottom>
      <diagonal/>
    </border>
    <border>
      <left/>
      <right style="thin">
        <color rgb="FFC8D4E3"/>
      </right>
      <top style="thin">
        <color rgb="FFC8D4E3"/>
      </top>
      <bottom style="thin">
        <color rgb="FFC9A84C"/>
      </bottom>
      <diagonal/>
    </border>
    <border>
      <left/>
      <right/>
      <top style="thin">
        <color rgb="FFC8D4E3"/>
      </top>
      <bottom style="thin">
        <color rgb="FFC9A84C"/>
      </bottom>
      <diagonal/>
    </border>
    <border>
      <left/>
      <right/>
      <top style="medium">
        <color rgb="FF4472C4"/>
      </top>
      <bottom/>
      <diagonal/>
    </border>
    <border>
      <left/>
      <right style="medium">
        <color rgb="FF4472C4"/>
      </right>
      <top style="medium">
        <color rgb="FF4472C4"/>
      </top>
      <bottom/>
      <diagonal/>
    </border>
    <border>
      <left style="medium">
        <color rgb="FF4472C4"/>
      </left>
      <right/>
      <top style="thin">
        <color rgb="FFBDD7EE"/>
      </top>
      <bottom style="thin">
        <color rgb="FF4472C4"/>
      </bottom>
      <diagonal/>
    </border>
    <border>
      <left/>
      <right/>
      <top style="thin">
        <color rgb="FFBDD7EE"/>
      </top>
      <bottom style="thin">
        <color rgb="FF4472C4"/>
      </bottom>
      <diagonal/>
    </border>
    <border>
      <left/>
      <right style="medium">
        <color rgb="FF4472C4"/>
      </right>
      <top style="thin">
        <color rgb="FFBDD7EE"/>
      </top>
      <bottom style="thin">
        <color rgb="FF4472C4"/>
      </bottom>
      <diagonal/>
    </border>
    <border>
      <left style="medium">
        <color rgb="FF4472C4"/>
      </left>
      <right/>
      <top/>
      <bottom style="thin">
        <color rgb="FFBDD7EE"/>
      </bottom>
      <diagonal/>
    </border>
    <border>
      <left/>
      <right/>
      <top/>
      <bottom style="thin">
        <color rgb="FFBDD7EE"/>
      </bottom>
      <diagonal/>
    </border>
    <border>
      <left/>
      <right style="medium">
        <color rgb="FF4472C4"/>
      </right>
      <top/>
      <bottom style="thin">
        <color rgb="FFBDD7EE"/>
      </bottom>
      <diagonal/>
    </border>
    <border>
      <left style="medium">
        <color rgb="FF4472C4"/>
      </left>
      <right/>
      <top style="thin">
        <color rgb="FFBDD7EE"/>
      </top>
      <bottom style="thin">
        <color rgb="FFBDD7EE"/>
      </bottom>
      <diagonal/>
    </border>
    <border>
      <left/>
      <right/>
      <top style="thin">
        <color rgb="FFBDD7EE"/>
      </top>
      <bottom style="thin">
        <color rgb="FFBDD7EE"/>
      </bottom>
      <diagonal/>
    </border>
    <border>
      <left/>
      <right style="medium">
        <color rgb="FF4472C4"/>
      </right>
      <top style="thin">
        <color rgb="FFBDD7EE"/>
      </top>
      <bottom style="thin">
        <color rgb="FFBDD7EE"/>
      </bottom>
      <diagonal/>
    </border>
    <border>
      <left style="medium">
        <color rgb="FF4472C4"/>
      </left>
      <right/>
      <top style="thin">
        <color rgb="FFBDD7EE"/>
      </top>
      <bottom/>
      <diagonal/>
    </border>
    <border>
      <left/>
      <right/>
      <top style="thin">
        <color rgb="FFBDD7EE"/>
      </top>
      <bottom/>
      <diagonal/>
    </border>
    <border>
      <left style="medium">
        <color rgb="FF4472C4"/>
      </left>
      <right/>
      <top style="thin">
        <color rgb="FFBDD7EE"/>
      </top>
      <bottom style="double">
        <color rgb="FF4472C4"/>
      </bottom>
      <diagonal/>
    </border>
    <border>
      <left/>
      <right/>
      <top style="thin">
        <color rgb="FFBDD7EE"/>
      </top>
      <bottom style="double">
        <color rgb="FF4472C4"/>
      </bottom>
      <diagonal/>
    </border>
    <border>
      <left style="medium">
        <color rgb="FF4472C4"/>
      </left>
      <right/>
      <top style="medium">
        <color rgb="FF4472C4"/>
      </top>
      <bottom style="thin">
        <color rgb="FFBDD7EE"/>
      </bottom>
      <diagonal/>
    </border>
    <border>
      <left/>
      <right/>
      <top style="medium">
        <color rgb="FF4472C4"/>
      </top>
      <bottom style="thin">
        <color rgb="FFBDD7EE"/>
      </bottom>
      <diagonal/>
    </border>
    <border>
      <left/>
      <right style="medium">
        <color rgb="FF4472C4"/>
      </right>
      <top style="medium">
        <color rgb="FF4472C4"/>
      </top>
      <bottom style="thin">
        <color rgb="FFBDD7EE"/>
      </bottom>
      <diagonal/>
    </border>
    <border>
      <left style="medium">
        <color rgb="FF4472C4"/>
      </left>
      <right/>
      <top style="thin">
        <color rgb="FFBDD7EE"/>
      </top>
      <bottom style="medium">
        <color rgb="FF4472C4"/>
      </bottom>
      <diagonal/>
    </border>
    <border>
      <left/>
      <right/>
      <top style="thin">
        <color rgb="FFBDD7EE"/>
      </top>
      <bottom style="medium">
        <color rgb="FF4472C4"/>
      </bottom>
      <diagonal/>
    </border>
    <border>
      <left/>
      <right style="medium">
        <color rgb="FF4472C4"/>
      </right>
      <top style="thin">
        <color rgb="FFBDD7EE"/>
      </top>
      <bottom style="medium">
        <color rgb="FF4472C4"/>
      </bottom>
      <diagonal/>
    </border>
    <border>
      <left/>
      <right/>
      <top/>
      <bottom style="thin">
        <color indexed="64"/>
      </bottom>
      <diagonal/>
    </border>
    <border>
      <left/>
      <right/>
      <top style="thin">
        <color auto="1"/>
      </top>
      <bottom style="thick">
        <color auto="1"/>
      </bottom>
      <diagonal/>
    </border>
    <border>
      <left/>
      <right/>
      <top/>
      <bottom style="medium">
        <color rgb="FFDBE4F0"/>
      </bottom>
      <diagonal/>
    </border>
    <border>
      <left/>
      <right/>
      <top style="medium">
        <color rgb="FF645DF9"/>
      </top>
      <bottom style="medium">
        <color rgb="FF645DF9"/>
      </bottom>
      <diagonal/>
    </border>
    <border>
      <left style="thin">
        <color indexed="64"/>
      </left>
      <right style="thin">
        <color indexed="64"/>
      </right>
      <top style="thin">
        <color indexed="64"/>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top style="thin">
        <color indexed="64"/>
      </top>
      <bottom/>
      <diagonal/>
    </border>
    <border>
      <left/>
      <right style="thin">
        <color auto="1"/>
      </right>
      <top style="thin">
        <color auto="1"/>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medium">
        <color rgb="FF4472C4"/>
      </left>
      <right style="medium">
        <color rgb="FF4472C4"/>
      </right>
      <top style="medium">
        <color rgb="FF4472C4"/>
      </top>
      <bottom/>
      <diagonal/>
    </border>
    <border>
      <left style="thin">
        <color indexed="64"/>
      </left>
      <right style="thin">
        <color indexed="64"/>
      </right>
      <top style="thin">
        <color indexed="64"/>
      </top>
      <bottom style="thin">
        <color auto="1"/>
      </bottom>
      <diagonal/>
    </border>
    <border>
      <left style="thin">
        <color indexed="64"/>
      </left>
      <right style="thin">
        <color indexed="64"/>
      </right>
      <top/>
      <bottom/>
      <diagonal/>
    </border>
    <border>
      <left style="thin">
        <color indexed="64"/>
      </left>
      <right style="thin">
        <color indexed="64"/>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double">
        <color rgb="FFDDDDDD"/>
      </left>
      <right style="double">
        <color rgb="FFDDDDDD"/>
      </right>
      <top style="double">
        <color rgb="FFDDDDDD"/>
      </top>
      <bottom style="double">
        <color rgb="FFDDDDDD"/>
      </bottom>
      <diagonal/>
    </border>
    <border>
      <left style="medium">
        <color rgb="FF000000"/>
      </left>
      <right style="medium">
        <color rgb="FF000000"/>
      </right>
      <top/>
      <bottom style="double">
        <color rgb="FFDDDDDD"/>
      </bottom>
      <diagonal/>
    </border>
    <border>
      <left style="double">
        <color rgb="FFDDDDDD"/>
      </left>
      <right style="double">
        <color rgb="FFDDDDDD"/>
      </right>
      <top/>
      <bottom/>
      <diagonal/>
    </border>
    <border>
      <left/>
      <right/>
      <top/>
      <bottom style="medium">
        <color indexed="64"/>
      </bottom>
      <diagonal/>
    </border>
    <border>
      <left/>
      <right/>
      <top style="medium">
        <color indexed="64"/>
      </top>
      <bottom style="thin">
        <color auto="1"/>
      </bottom>
      <diagonal/>
    </border>
  </borders>
  <cellStyleXfs count="3">
    <xf numFmtId="0" fontId="0" fillId="0" borderId="0"/>
    <xf numFmtId="9" fontId="34" fillId="0" borderId="0"/>
    <xf numFmtId="0" fontId="35" fillId="0" borderId="0"/>
  </cellStyleXfs>
  <cellXfs count="322">
    <xf numFmtId="0" fontId="0" fillId="0" borderId="0" xfId="0"/>
    <xf numFmtId="0" fontId="0" fillId="0" borderId="0" xfId="0" applyAlignment="1">
      <alignment vertical="center"/>
    </xf>
    <xf numFmtId="0" fontId="3" fillId="2" borderId="1" xfId="0" applyFont="1" applyFill="1" applyBorder="1" applyAlignment="1">
      <alignment horizontal="center" vertical="center"/>
    </xf>
    <xf numFmtId="0" fontId="3" fillId="2" borderId="1" xfId="0" applyFont="1" applyFill="1" applyBorder="1" applyAlignment="1">
      <alignment vertical="center"/>
    </xf>
    <xf numFmtId="0" fontId="4" fillId="2" borderId="1" xfId="0" applyFont="1" applyFill="1" applyBorder="1" applyAlignment="1">
      <alignment vertical="top"/>
    </xf>
    <xf numFmtId="0" fontId="4" fillId="2" borderId="1" xfId="0" applyFont="1" applyFill="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vertical="center"/>
    </xf>
    <xf numFmtId="0" fontId="0" fillId="0" borderId="1" xfId="0" applyBorder="1" applyAlignment="1">
      <alignment vertical="top"/>
    </xf>
    <xf numFmtId="0" fontId="0" fillId="0" borderId="1" xfId="0" applyBorder="1" applyAlignment="1">
      <alignment vertical="center"/>
    </xf>
    <xf numFmtId="4" fontId="0" fillId="0" borderId="1" xfId="0" applyNumberFormat="1" applyBorder="1" applyAlignment="1">
      <alignment vertical="center"/>
    </xf>
    <xf numFmtId="4" fontId="1" fillId="0" borderId="1" xfId="0" applyNumberFormat="1" applyFont="1" applyBorder="1" applyAlignment="1">
      <alignment vertical="center"/>
    </xf>
    <xf numFmtId="0" fontId="5" fillId="3" borderId="0" xfId="0" applyFont="1" applyFill="1" applyAlignment="1">
      <alignment horizontal="left" vertical="center" indent="1"/>
    </xf>
    <xf numFmtId="0" fontId="6" fillId="3" borderId="0" xfId="0" applyFont="1" applyFill="1"/>
    <xf numFmtId="0" fontId="7" fillId="4" borderId="0" xfId="0" applyFont="1" applyFill="1"/>
    <xf numFmtId="0" fontId="8" fillId="5" borderId="4" xfId="0" applyFont="1" applyFill="1" applyBorder="1" applyAlignment="1">
      <alignment horizontal="left" vertical="center" indent="1"/>
    </xf>
    <xf numFmtId="164" fontId="9" fillId="6" borderId="5" xfId="0" applyNumberFormat="1" applyFont="1" applyFill="1" applyBorder="1" applyAlignment="1">
      <alignment horizontal="right" vertical="center"/>
    </xf>
    <xf numFmtId="165" fontId="5" fillId="7" borderId="6" xfId="0" applyNumberFormat="1" applyFont="1" applyFill="1" applyBorder="1" applyAlignment="1">
      <alignment horizontal="left" vertical="center" indent="1"/>
    </xf>
    <xf numFmtId="164" fontId="8" fillId="7" borderId="5" xfId="0" applyNumberFormat="1" applyFont="1" applyFill="1" applyBorder="1" applyAlignment="1">
      <alignment horizontal="right" vertical="center"/>
    </xf>
    <xf numFmtId="0" fontId="8" fillId="5" borderId="7" xfId="0" applyFont="1" applyFill="1" applyBorder="1" applyAlignment="1">
      <alignment horizontal="left" vertical="center" indent="1"/>
    </xf>
    <xf numFmtId="166" fontId="8" fillId="6" borderId="5" xfId="0" applyNumberFormat="1" applyFont="1" applyFill="1" applyBorder="1" applyAlignment="1">
      <alignment horizontal="right" vertical="center"/>
    </xf>
    <xf numFmtId="0" fontId="8" fillId="0" borderId="0" xfId="0" applyFont="1"/>
    <xf numFmtId="165" fontId="5" fillId="7" borderId="8" xfId="0" applyNumberFormat="1" applyFont="1" applyFill="1" applyBorder="1" applyAlignment="1">
      <alignment horizontal="left" vertical="center" indent="1"/>
    </xf>
    <xf numFmtId="166" fontId="8" fillId="7" borderId="5" xfId="0" applyNumberFormat="1" applyFont="1" applyFill="1" applyBorder="1" applyAlignment="1">
      <alignment horizontal="right" vertical="center"/>
    </xf>
    <xf numFmtId="0" fontId="10" fillId="0" borderId="0" xfId="0" applyFont="1" applyAlignment="1">
      <alignment horizontal="left" vertical="center" indent="1"/>
    </xf>
    <xf numFmtId="166" fontId="0" fillId="0" borderId="5" xfId="0" applyNumberFormat="1" applyBorder="1" applyAlignment="1">
      <alignment horizontal="right" vertical="center"/>
    </xf>
    <xf numFmtId="166" fontId="11" fillId="6" borderId="5" xfId="0" applyNumberFormat="1" applyFont="1" applyFill="1" applyBorder="1" applyAlignment="1">
      <alignment horizontal="right" vertical="center"/>
    </xf>
    <xf numFmtId="10" fontId="8" fillId="5" borderId="7" xfId="0" applyNumberFormat="1" applyFont="1" applyFill="1" applyBorder="1" applyAlignment="1">
      <alignment horizontal="left" vertical="center" indent="1"/>
    </xf>
    <xf numFmtId="166" fontId="5" fillId="6" borderId="5" xfId="0" applyNumberFormat="1" applyFont="1" applyFill="1" applyBorder="1" applyAlignment="1">
      <alignment horizontal="right" vertical="center"/>
    </xf>
    <xf numFmtId="2" fontId="9" fillId="6" borderId="5" xfId="0" applyNumberFormat="1" applyFont="1" applyFill="1" applyBorder="1" applyAlignment="1">
      <alignment horizontal="right" vertical="center"/>
    </xf>
    <xf numFmtId="166" fontId="9" fillId="6" borderId="5" xfId="0" applyNumberFormat="1" applyFont="1" applyFill="1" applyBorder="1" applyAlignment="1">
      <alignment horizontal="right" vertical="center"/>
    </xf>
    <xf numFmtId="0" fontId="8" fillId="5" borderId="11" xfId="0" applyFont="1" applyFill="1" applyBorder="1" applyAlignment="1">
      <alignment horizontal="left" vertical="center" indent="1"/>
    </xf>
    <xf numFmtId="10" fontId="8" fillId="8" borderId="12" xfId="0" applyNumberFormat="1" applyFont="1" applyFill="1" applyBorder="1" applyAlignment="1">
      <alignment horizontal="left" vertical="center" indent="1"/>
    </xf>
    <xf numFmtId="166" fontId="8" fillId="8" borderId="5" xfId="0" applyNumberFormat="1" applyFont="1" applyFill="1" applyBorder="1" applyAlignment="1">
      <alignment horizontal="right" vertical="center"/>
    </xf>
    <xf numFmtId="165" fontId="8" fillId="8" borderId="12" xfId="0" applyNumberFormat="1" applyFont="1" applyFill="1" applyBorder="1" applyAlignment="1">
      <alignment horizontal="left" vertical="center" indent="1"/>
    </xf>
    <xf numFmtId="166" fontId="8" fillId="7" borderId="13" xfId="0" applyNumberFormat="1" applyFont="1" applyFill="1" applyBorder="1" applyAlignment="1">
      <alignment horizontal="right" vertical="center"/>
    </xf>
    <xf numFmtId="166" fontId="7" fillId="4" borderId="5" xfId="0" applyNumberFormat="1" applyFont="1" applyFill="1" applyBorder="1" applyAlignment="1">
      <alignment horizontal="center" vertical="center" wrapText="1"/>
    </xf>
    <xf numFmtId="10" fontId="5" fillId="4" borderId="15" xfId="0" applyNumberFormat="1" applyFont="1" applyFill="1" applyBorder="1" applyAlignment="1">
      <alignment horizontal="center" vertical="center" wrapText="1"/>
    </xf>
    <xf numFmtId="10" fontId="5" fillId="4" borderId="16" xfId="0" applyNumberFormat="1" applyFont="1" applyFill="1" applyBorder="1" applyAlignment="1">
      <alignment horizontal="center" vertical="center" wrapText="1"/>
    </xf>
    <xf numFmtId="10" fontId="5" fillId="4" borderId="17" xfId="0" applyNumberFormat="1" applyFont="1" applyFill="1" applyBorder="1" applyAlignment="1">
      <alignment horizontal="center" vertical="center" wrapText="1"/>
    </xf>
    <xf numFmtId="0" fontId="12" fillId="4" borderId="0" xfId="0" applyFont="1" applyFill="1" applyAlignment="1">
      <alignment horizontal="center" vertical="center" wrapText="1"/>
    </xf>
    <xf numFmtId="10" fontId="5" fillId="9" borderId="18" xfId="0" applyNumberFormat="1" applyFont="1" applyFill="1" applyBorder="1" applyAlignment="1">
      <alignment horizontal="left" vertical="center" indent="1"/>
    </xf>
    <xf numFmtId="10" fontId="13" fillId="9" borderId="18" xfId="0" applyNumberFormat="1" applyFont="1" applyFill="1" applyBorder="1"/>
    <xf numFmtId="165" fontId="13" fillId="9" borderId="18" xfId="0" applyNumberFormat="1" applyFont="1" applyFill="1" applyBorder="1"/>
    <xf numFmtId="166" fontId="8" fillId="9" borderId="18" xfId="0" applyNumberFormat="1" applyFont="1" applyFill="1" applyBorder="1" applyAlignment="1">
      <alignment horizontal="right" vertical="center"/>
    </xf>
    <xf numFmtId="0" fontId="13" fillId="9" borderId="18" xfId="0" applyFont="1" applyFill="1" applyBorder="1"/>
    <xf numFmtId="14" fontId="0" fillId="0" borderId="0" xfId="0" applyNumberFormat="1"/>
    <xf numFmtId="0" fontId="14" fillId="10" borderId="19" xfId="0" applyFont="1" applyFill="1" applyBorder="1"/>
    <xf numFmtId="0" fontId="15" fillId="11" borderId="20" xfId="0" applyFont="1" applyFill="1" applyBorder="1" applyAlignment="1">
      <alignment horizontal="right"/>
    </xf>
    <xf numFmtId="10" fontId="16" fillId="0" borderId="0" xfId="0" applyNumberFormat="1" applyFont="1" applyAlignment="1">
      <alignment horizontal="right"/>
    </xf>
    <xf numFmtId="4" fontId="11" fillId="12" borderId="1" xfId="0" applyNumberFormat="1" applyFont="1" applyFill="1" applyBorder="1" applyAlignment="1">
      <alignment horizontal="right"/>
    </xf>
    <xf numFmtId="10" fontId="8" fillId="12" borderId="0" xfId="0" applyNumberFormat="1" applyFont="1" applyFill="1" applyAlignment="1">
      <alignment horizontal="right"/>
    </xf>
    <xf numFmtId="4" fontId="11" fillId="0" borderId="1" xfId="0" applyNumberFormat="1" applyFont="1" applyBorder="1" applyAlignment="1">
      <alignment horizontal="right"/>
    </xf>
    <xf numFmtId="10" fontId="8" fillId="0" borderId="0" xfId="0" applyNumberFormat="1" applyFont="1" applyAlignment="1">
      <alignment horizontal="right"/>
    </xf>
    <xf numFmtId="0" fontId="17" fillId="0" borderId="1" xfId="0" applyFont="1" applyBorder="1" applyAlignment="1">
      <alignment horizontal="center" vertical="top"/>
    </xf>
    <xf numFmtId="14" fontId="8" fillId="0" borderId="1" xfId="0" applyNumberFormat="1" applyFont="1" applyBorder="1" applyAlignment="1">
      <alignment horizontal="center" vertical="top"/>
    </xf>
    <xf numFmtId="14" fontId="8" fillId="12" borderId="1" xfId="0" applyNumberFormat="1" applyFont="1" applyFill="1" applyBorder="1" applyAlignment="1">
      <alignment horizontal="center" vertical="top"/>
    </xf>
    <xf numFmtId="0" fontId="17" fillId="0" borderId="0" xfId="0" applyFont="1" applyAlignment="1">
      <alignment horizontal="center" vertical="top"/>
    </xf>
    <xf numFmtId="10" fontId="0" fillId="0" borderId="0" xfId="0" applyNumberFormat="1"/>
    <xf numFmtId="2" fontId="0" fillId="0" borderId="0" xfId="0" applyNumberFormat="1"/>
    <xf numFmtId="167" fontId="0" fillId="0" borderId="0" xfId="0" applyNumberFormat="1"/>
    <xf numFmtId="0" fontId="18" fillId="0" borderId="0" xfId="0" applyFont="1"/>
    <xf numFmtId="0" fontId="19" fillId="13" borderId="21" xfId="0" applyFont="1" applyFill="1" applyBorder="1" applyAlignment="1">
      <alignment horizontal="center"/>
    </xf>
    <xf numFmtId="0" fontId="5" fillId="13" borderId="22" xfId="0" applyFont="1" applyFill="1" applyBorder="1" applyAlignment="1">
      <alignment horizontal="left"/>
    </xf>
    <xf numFmtId="0" fontId="5" fillId="13" borderId="21" xfId="0" applyFont="1" applyFill="1" applyBorder="1" applyAlignment="1">
      <alignment vertical="center"/>
    </xf>
    <xf numFmtId="0" fontId="19" fillId="13" borderId="21" xfId="0" applyFont="1" applyFill="1" applyBorder="1" applyAlignment="1">
      <alignment vertical="center"/>
    </xf>
    <xf numFmtId="0" fontId="20" fillId="11" borderId="0" xfId="0" applyFont="1" applyFill="1" applyAlignment="1">
      <alignment horizontal="center"/>
    </xf>
    <xf numFmtId="0" fontId="20" fillId="11" borderId="23" xfId="0" applyFont="1" applyFill="1" applyBorder="1" applyAlignment="1">
      <alignment horizontal="left"/>
    </xf>
    <xf numFmtId="0" fontId="5" fillId="11" borderId="0" xfId="0" applyFont="1" applyFill="1" applyAlignment="1">
      <alignment vertical="center"/>
    </xf>
    <xf numFmtId="0" fontId="20" fillId="11" borderId="0" xfId="0" applyFont="1" applyFill="1" applyAlignment="1">
      <alignment vertical="center"/>
    </xf>
    <xf numFmtId="0" fontId="20" fillId="11" borderId="24" xfId="0" applyFont="1" applyFill="1" applyBorder="1" applyAlignment="1">
      <alignment vertical="center"/>
    </xf>
    <xf numFmtId="0" fontId="14" fillId="10" borderId="25" xfId="0" applyFont="1" applyFill="1" applyBorder="1" applyAlignment="1">
      <alignment horizontal="right"/>
    </xf>
    <xf numFmtId="0" fontId="14" fillId="10" borderId="26" xfId="0" applyFont="1" applyFill="1" applyBorder="1" applyAlignment="1">
      <alignment horizontal="left"/>
    </xf>
    <xf numFmtId="0" fontId="14" fillId="10" borderId="27" xfId="0" applyFont="1" applyFill="1" applyBorder="1" applyAlignment="1">
      <alignment horizontal="right" vertical="center"/>
    </xf>
    <xf numFmtId="17" fontId="5" fillId="10" borderId="28" xfId="0" applyNumberFormat="1" applyFont="1" applyFill="1" applyBorder="1" applyAlignment="1">
      <alignment horizontal="right" vertical="center"/>
    </xf>
    <xf numFmtId="0" fontId="5" fillId="10" borderId="28" xfId="0" applyFont="1" applyFill="1" applyBorder="1" applyAlignment="1">
      <alignment horizontal="right" vertical="center"/>
    </xf>
    <xf numFmtId="0" fontId="15" fillId="11" borderId="0" xfId="0" applyFont="1" applyFill="1"/>
    <xf numFmtId="0" fontId="5" fillId="11" borderId="23" xfId="0" applyFont="1" applyFill="1" applyBorder="1" applyAlignment="1">
      <alignment horizontal="left"/>
    </xf>
    <xf numFmtId="0" fontId="15" fillId="11" borderId="0" xfId="0" applyFont="1" applyFill="1" applyAlignment="1">
      <alignment horizontal="right"/>
    </xf>
    <xf numFmtId="0" fontId="14" fillId="14" borderId="29" xfId="0" applyFont="1" applyFill="1" applyBorder="1"/>
    <xf numFmtId="0" fontId="5" fillId="14" borderId="30" xfId="0" applyFont="1" applyFill="1" applyBorder="1" applyAlignment="1">
      <alignment horizontal="left"/>
    </xf>
    <xf numFmtId="0" fontId="1" fillId="0" borderId="0" xfId="0" applyFont="1"/>
    <xf numFmtId="0" fontId="21" fillId="15" borderId="0" xfId="0" applyFont="1" applyFill="1"/>
    <xf numFmtId="0" fontId="8" fillId="15" borderId="23" xfId="0" applyFont="1" applyFill="1" applyBorder="1" applyAlignment="1">
      <alignment horizontal="left"/>
    </xf>
    <xf numFmtId="0" fontId="18" fillId="2" borderId="0" xfId="0" applyFont="1" applyFill="1"/>
    <xf numFmtId="0" fontId="18" fillId="2" borderId="23" xfId="0" applyFont="1" applyFill="1" applyBorder="1" applyAlignment="1">
      <alignment horizontal="left"/>
    </xf>
    <xf numFmtId="0" fontId="22" fillId="2" borderId="0" xfId="0" applyFont="1" applyFill="1"/>
    <xf numFmtId="0" fontId="8" fillId="2" borderId="23" xfId="0" applyFont="1" applyFill="1" applyBorder="1" applyAlignment="1">
      <alignment horizontal="left"/>
    </xf>
    <xf numFmtId="0" fontId="22" fillId="12" borderId="0" xfId="0" applyFont="1" applyFill="1"/>
    <xf numFmtId="0" fontId="8" fillId="12" borderId="23" xfId="0" applyFont="1" applyFill="1" applyBorder="1" applyAlignment="1">
      <alignment horizontal="left"/>
    </xf>
    <xf numFmtId="0" fontId="23" fillId="16" borderId="29" xfId="0" applyFont="1" applyFill="1" applyBorder="1"/>
    <xf numFmtId="0" fontId="5" fillId="16" borderId="30" xfId="0" applyFont="1" applyFill="1" applyBorder="1" applyAlignment="1">
      <alignment horizontal="left"/>
    </xf>
    <xf numFmtId="0" fontId="14" fillId="10" borderId="0" xfId="0" applyFont="1" applyFill="1"/>
    <xf numFmtId="0" fontId="5" fillId="10" borderId="31" xfId="0" applyFont="1" applyFill="1" applyBorder="1" applyAlignment="1">
      <alignment horizontal="left"/>
    </xf>
    <xf numFmtId="168" fontId="8" fillId="2" borderId="0" xfId="0" applyNumberFormat="1" applyFont="1" applyFill="1" applyAlignment="1">
      <alignment horizontal="right"/>
    </xf>
    <xf numFmtId="0" fontId="8" fillId="12" borderId="32" xfId="0" applyFont="1" applyFill="1" applyBorder="1" applyAlignment="1">
      <alignment horizontal="left"/>
    </xf>
    <xf numFmtId="0" fontId="22" fillId="12" borderId="33" xfId="0" applyFont="1" applyFill="1" applyBorder="1"/>
    <xf numFmtId="0" fontId="5" fillId="10" borderId="34" xfId="0" applyFont="1" applyFill="1" applyBorder="1" applyAlignment="1">
      <alignment horizontal="left"/>
    </xf>
    <xf numFmtId="0" fontId="14" fillId="10" borderId="35" xfId="0" applyFont="1" applyFill="1" applyBorder="1"/>
    <xf numFmtId="0" fontId="8" fillId="12" borderId="36" xfId="0" applyFont="1" applyFill="1" applyBorder="1" applyAlignment="1">
      <alignment horizontal="left"/>
    </xf>
    <xf numFmtId="0" fontId="22" fillId="12" borderId="37" xfId="0" applyFont="1" applyFill="1" applyBorder="1"/>
    <xf numFmtId="0" fontId="8" fillId="2" borderId="36" xfId="0" applyFont="1" applyFill="1" applyBorder="1" applyAlignment="1">
      <alignment horizontal="left"/>
    </xf>
    <xf numFmtId="0" fontId="22" fillId="2" borderId="37" xfId="0" applyFont="1" applyFill="1" applyBorder="1"/>
    <xf numFmtId="0" fontId="24" fillId="13" borderId="0" xfId="0" applyFont="1" applyFill="1"/>
    <xf numFmtId="0" fontId="5" fillId="13" borderId="38" xfId="0" applyFont="1" applyFill="1" applyBorder="1" applyAlignment="1">
      <alignment horizontal="left"/>
    </xf>
    <xf numFmtId="0" fontId="24" fillId="13" borderId="39" xfId="0" applyFont="1" applyFill="1" applyBorder="1"/>
    <xf numFmtId="9" fontId="11" fillId="12" borderId="33" xfId="0" applyNumberFormat="1" applyFont="1" applyFill="1" applyBorder="1" applyAlignment="1">
      <alignment horizontal="right"/>
    </xf>
    <xf numFmtId="169" fontId="8" fillId="2" borderId="0" xfId="0" applyNumberFormat="1" applyFont="1" applyFill="1" applyAlignment="1">
      <alignment horizontal="right"/>
    </xf>
    <xf numFmtId="169" fontId="9" fillId="12" borderId="37" xfId="0" applyNumberFormat="1" applyFont="1" applyFill="1" applyBorder="1" applyAlignment="1">
      <alignment horizontal="right"/>
    </xf>
    <xf numFmtId="169" fontId="9" fillId="2" borderId="37" xfId="0" applyNumberFormat="1" applyFont="1" applyFill="1" applyBorder="1" applyAlignment="1">
      <alignment horizontal="right"/>
    </xf>
    <xf numFmtId="0" fontId="23" fillId="16" borderId="0" xfId="0" applyFont="1" applyFill="1"/>
    <xf numFmtId="0" fontId="5" fillId="16" borderId="32" xfId="0" applyFont="1" applyFill="1" applyBorder="1" applyAlignment="1">
      <alignment horizontal="left"/>
    </xf>
    <xf numFmtId="169" fontId="8" fillId="16" borderId="33" xfId="0" applyNumberFormat="1" applyFont="1" applyFill="1" applyBorder="1" applyAlignment="1">
      <alignment horizontal="right"/>
    </xf>
    <xf numFmtId="0" fontId="14" fillId="14" borderId="0" xfId="0" applyFont="1" applyFill="1"/>
    <xf numFmtId="0" fontId="5" fillId="14" borderId="31" xfId="0" applyFont="1" applyFill="1" applyBorder="1" applyAlignment="1">
      <alignment horizontal="left"/>
    </xf>
    <xf numFmtId="168" fontId="8" fillId="14" borderId="19" xfId="0" applyNumberFormat="1" applyFont="1" applyFill="1" applyBorder="1" applyAlignment="1">
      <alignment horizontal="right"/>
    </xf>
    <xf numFmtId="168" fontId="9" fillId="0" borderId="0" xfId="0" applyNumberFormat="1" applyFont="1"/>
    <xf numFmtId="169" fontId="25" fillId="17" borderId="29" xfId="0" applyNumberFormat="1" applyFont="1" applyFill="1" applyBorder="1" applyAlignment="1">
      <alignment horizontal="right"/>
    </xf>
    <xf numFmtId="168" fontId="26" fillId="17" borderId="0" xfId="0" applyNumberFormat="1" applyFont="1" applyFill="1" applyAlignment="1">
      <alignment horizontal="right"/>
    </xf>
    <xf numFmtId="168" fontId="25" fillId="17" borderId="0" xfId="0" applyNumberFormat="1" applyFont="1" applyFill="1" applyAlignment="1">
      <alignment horizontal="right"/>
    </xf>
    <xf numFmtId="0" fontId="27" fillId="17" borderId="0" xfId="0" applyFont="1" applyFill="1" applyAlignment="1">
      <alignment horizontal="right"/>
    </xf>
    <xf numFmtId="169" fontId="25" fillId="17" borderId="0" xfId="0" applyNumberFormat="1" applyFont="1" applyFill="1" applyAlignment="1">
      <alignment horizontal="right"/>
    </xf>
    <xf numFmtId="0" fontId="28" fillId="17" borderId="19" xfId="0" applyFont="1" applyFill="1" applyBorder="1" applyAlignment="1">
      <alignment horizontal="right"/>
    </xf>
    <xf numFmtId="168" fontId="27" fillId="17" borderId="0" xfId="0" applyNumberFormat="1" applyFont="1" applyFill="1" applyAlignment="1">
      <alignment horizontal="right"/>
    </xf>
    <xf numFmtId="168" fontId="25" fillId="17" borderId="33" xfId="0" applyNumberFormat="1" applyFont="1" applyFill="1" applyBorder="1" applyAlignment="1">
      <alignment horizontal="right"/>
    </xf>
    <xf numFmtId="0" fontId="27" fillId="17" borderId="33" xfId="0" applyFont="1" applyFill="1" applyBorder="1" applyAlignment="1">
      <alignment horizontal="right"/>
    </xf>
    <xf numFmtId="0" fontId="28" fillId="17" borderId="35" xfId="0" applyFont="1" applyFill="1" applyBorder="1" applyAlignment="1">
      <alignment horizontal="right"/>
    </xf>
    <xf numFmtId="168" fontId="25" fillId="17" borderId="37" xfId="0" applyNumberFormat="1" applyFont="1" applyFill="1" applyBorder="1" applyAlignment="1">
      <alignment horizontal="right"/>
    </xf>
    <xf numFmtId="168" fontId="25" fillId="17" borderId="39" xfId="0" applyNumberFormat="1" applyFont="1" applyFill="1" applyBorder="1" applyAlignment="1">
      <alignment horizontal="right"/>
    </xf>
    <xf numFmtId="169" fontId="25" fillId="17" borderId="33" xfId="0" applyNumberFormat="1" applyFont="1" applyFill="1" applyBorder="1" applyAlignment="1">
      <alignment horizontal="right"/>
    </xf>
    <xf numFmtId="168" fontId="25" fillId="17" borderId="19" xfId="0" applyNumberFormat="1" applyFont="1" applyFill="1" applyBorder="1" applyAlignment="1">
      <alignment horizontal="right"/>
    </xf>
    <xf numFmtId="0" fontId="29" fillId="18" borderId="25" xfId="0" applyFont="1" applyFill="1" applyBorder="1"/>
    <xf numFmtId="169" fontId="1" fillId="0" borderId="0" xfId="0" applyNumberFormat="1" applyFont="1"/>
    <xf numFmtId="169" fontId="0" fillId="0" borderId="0" xfId="0" applyNumberFormat="1"/>
    <xf numFmtId="4" fontId="0" fillId="0" borderId="0" xfId="0" applyNumberFormat="1"/>
    <xf numFmtId="0" fontId="30" fillId="18" borderId="26" xfId="0" applyFont="1" applyFill="1" applyBorder="1" applyAlignment="1">
      <alignment horizontal="left"/>
    </xf>
    <xf numFmtId="0" fontId="30" fillId="18" borderId="25" xfId="0" applyFont="1" applyFill="1" applyBorder="1"/>
    <xf numFmtId="169" fontId="31" fillId="18" borderId="25" xfId="0" applyNumberFormat="1" applyFont="1" applyFill="1" applyBorder="1" applyAlignment="1">
      <alignment horizontal="right"/>
    </xf>
    <xf numFmtId="169" fontId="0" fillId="0" borderId="0" xfId="0" applyNumberFormat="1" applyAlignment="1">
      <alignment horizontal="right"/>
    </xf>
    <xf numFmtId="0" fontId="32" fillId="19" borderId="0" xfId="0" applyFont="1" applyFill="1" applyAlignment="1">
      <alignment horizontal="center" vertical="center"/>
    </xf>
    <xf numFmtId="0" fontId="33" fillId="0" borderId="0" xfId="0" applyFont="1"/>
    <xf numFmtId="169" fontId="30" fillId="18" borderId="25" xfId="0" applyNumberFormat="1" applyFont="1" applyFill="1" applyBorder="1" applyAlignment="1">
      <alignment horizontal="right"/>
    </xf>
    <xf numFmtId="0" fontId="0" fillId="2" borderId="0" xfId="0" applyFill="1"/>
    <xf numFmtId="0" fontId="37" fillId="20" borderId="44" xfId="0" applyFont="1" applyFill="1" applyBorder="1" applyAlignment="1">
      <alignment horizontal="left" indent="1"/>
    </xf>
    <xf numFmtId="17" fontId="37" fillId="20" borderId="45" xfId="0" applyNumberFormat="1" applyFont="1" applyFill="1" applyBorder="1" applyAlignment="1">
      <alignment horizontal="center"/>
    </xf>
    <xf numFmtId="17" fontId="37" fillId="20" borderId="46" xfId="0" applyNumberFormat="1" applyFont="1" applyFill="1" applyBorder="1" applyAlignment="1">
      <alignment horizontal="center"/>
    </xf>
    <xf numFmtId="0" fontId="38" fillId="21" borderId="47" xfId="0" applyFont="1" applyFill="1" applyBorder="1" applyAlignment="1">
      <alignment horizontal="left" indent="1"/>
    </xf>
    <xf numFmtId="4" fontId="38" fillId="21" borderId="48" xfId="0" applyNumberFormat="1" applyFont="1" applyFill="1" applyBorder="1" applyAlignment="1">
      <alignment horizontal="center"/>
    </xf>
    <xf numFmtId="4" fontId="38" fillId="21" borderId="49" xfId="0" applyNumberFormat="1" applyFont="1" applyFill="1" applyBorder="1" applyAlignment="1">
      <alignment horizontal="center"/>
    </xf>
    <xf numFmtId="0" fontId="38" fillId="2" borderId="50" xfId="0" applyFont="1" applyFill="1" applyBorder="1" applyAlignment="1">
      <alignment horizontal="left" indent="2"/>
    </xf>
    <xf numFmtId="4" fontId="39" fillId="2" borderId="51" xfId="0" applyNumberFormat="1" applyFont="1" applyFill="1" applyBorder="1" applyAlignment="1">
      <alignment horizontal="center"/>
    </xf>
    <xf numFmtId="4" fontId="39" fillId="2" borderId="52" xfId="0" applyNumberFormat="1" applyFont="1" applyFill="1" applyBorder="1" applyAlignment="1">
      <alignment horizontal="center"/>
    </xf>
    <xf numFmtId="0" fontId="39" fillId="22" borderId="50" xfId="0" applyFont="1" applyFill="1" applyBorder="1" applyAlignment="1">
      <alignment horizontal="left" indent="1"/>
    </xf>
    <xf numFmtId="4" fontId="39" fillId="22" borderId="51" xfId="0" applyNumberFormat="1" applyFont="1" applyFill="1" applyBorder="1" applyAlignment="1">
      <alignment horizontal="center"/>
    </xf>
    <xf numFmtId="4" fontId="39" fillId="22" borderId="52" xfId="0" applyNumberFormat="1" applyFont="1" applyFill="1" applyBorder="1" applyAlignment="1">
      <alignment horizontal="center"/>
    </xf>
    <xf numFmtId="0" fontId="38" fillId="2" borderId="53" xfId="0" applyFont="1" applyFill="1" applyBorder="1" applyAlignment="1">
      <alignment horizontal="left" indent="2"/>
    </xf>
    <xf numFmtId="4" fontId="39" fillId="2" borderId="54" xfId="0" applyNumberFormat="1" applyFont="1" applyFill="1" applyBorder="1" applyAlignment="1">
      <alignment horizontal="center"/>
    </xf>
    <xf numFmtId="0" fontId="39" fillId="22" borderId="55" xfId="0" applyFont="1" applyFill="1" applyBorder="1" applyAlignment="1">
      <alignment horizontal="left" indent="1"/>
    </xf>
    <xf numFmtId="4" fontId="39" fillId="22" borderId="56" xfId="0" applyNumberFormat="1" applyFont="1" applyFill="1" applyBorder="1" applyAlignment="1">
      <alignment horizontal="center"/>
    </xf>
    <xf numFmtId="0" fontId="38" fillId="2" borderId="0" xfId="0" applyFont="1" applyFill="1" applyAlignment="1">
      <alignment horizontal="left" indent="1"/>
    </xf>
    <xf numFmtId="0" fontId="38" fillId="2" borderId="0" xfId="0" applyFont="1" applyFill="1" applyAlignment="1">
      <alignment horizontal="center"/>
    </xf>
    <xf numFmtId="0" fontId="39" fillId="21" borderId="57" xfId="0" applyFont="1" applyFill="1" applyBorder="1" applyAlignment="1">
      <alignment horizontal="left" indent="1"/>
    </xf>
    <xf numFmtId="4" fontId="39" fillId="21" borderId="58" xfId="0" applyNumberFormat="1" applyFont="1" applyFill="1" applyBorder="1" applyAlignment="1">
      <alignment horizontal="center"/>
    </xf>
    <xf numFmtId="4" fontId="39" fillId="21" borderId="59" xfId="0" applyNumberFormat="1" applyFont="1" applyFill="1" applyBorder="1" applyAlignment="1">
      <alignment horizontal="center"/>
    </xf>
    <xf numFmtId="0" fontId="38" fillId="2" borderId="60" xfId="0" applyFont="1" applyFill="1" applyBorder="1" applyAlignment="1">
      <alignment horizontal="left" indent="1"/>
    </xf>
    <xf numFmtId="10" fontId="38" fillId="2" borderId="61" xfId="0" applyNumberFormat="1" applyFont="1" applyFill="1" applyBorder="1" applyAlignment="1">
      <alignment horizontal="center"/>
    </xf>
    <xf numFmtId="10" fontId="38" fillId="2" borderId="62" xfId="0" applyNumberFormat="1" applyFont="1" applyFill="1" applyBorder="1" applyAlignment="1">
      <alignment horizontal="center"/>
    </xf>
    <xf numFmtId="0" fontId="38" fillId="21" borderId="57" xfId="0" applyFont="1" applyFill="1" applyBorder="1" applyAlignment="1">
      <alignment horizontal="left" indent="1"/>
    </xf>
    <xf numFmtId="10" fontId="38" fillId="21" borderId="59" xfId="0" applyNumberFormat="1" applyFont="1" applyFill="1" applyBorder="1" applyAlignment="1">
      <alignment horizontal="center"/>
    </xf>
    <xf numFmtId="0" fontId="0" fillId="0" borderId="1" xfId="0" applyBorder="1"/>
    <xf numFmtId="4" fontId="0" fillId="0" borderId="1" xfId="0" applyNumberFormat="1" applyBorder="1"/>
    <xf numFmtId="0" fontId="40" fillId="0" borderId="1" xfId="0" applyFont="1" applyBorder="1"/>
    <xf numFmtId="10" fontId="0" fillId="0" borderId="1" xfId="1" applyNumberFormat="1" applyFont="1" applyBorder="1"/>
    <xf numFmtId="10" fontId="0" fillId="0" borderId="1" xfId="0" applyNumberFormat="1" applyBorder="1"/>
    <xf numFmtId="10" fontId="0" fillId="0" borderId="1" xfId="0" applyNumberFormat="1" applyBorder="1" applyAlignment="1">
      <alignment horizontal="right"/>
    </xf>
    <xf numFmtId="4" fontId="40" fillId="0" borderId="1" xfId="0" applyNumberFormat="1" applyFont="1" applyBorder="1"/>
    <xf numFmtId="2" fontId="41" fillId="23" borderId="0" xfId="0" applyNumberFormat="1" applyFont="1" applyFill="1"/>
    <xf numFmtId="2" fontId="40" fillId="17" borderId="0" xfId="0" applyNumberFormat="1" applyFont="1" applyFill="1"/>
    <xf numFmtId="2" fontId="40" fillId="0" borderId="0" xfId="0" applyNumberFormat="1" applyFont="1"/>
    <xf numFmtId="2" fontId="42" fillId="0" borderId="63" xfId="0" applyNumberFormat="1" applyFont="1" applyBorder="1"/>
    <xf numFmtId="2" fontId="40" fillId="0" borderId="63" xfId="0" applyNumberFormat="1" applyFont="1" applyBorder="1" applyAlignment="1">
      <alignment horizontal="right"/>
    </xf>
    <xf numFmtId="2" fontId="0" fillId="0" borderId="0" xfId="0" applyNumberFormat="1" applyAlignment="1">
      <alignment horizontal="right"/>
    </xf>
    <xf numFmtId="10" fontId="0" fillId="0" borderId="0" xfId="0" applyNumberFormat="1" applyAlignment="1">
      <alignment horizontal="right"/>
    </xf>
    <xf numFmtId="2" fontId="40" fillId="0" borderId="0" xfId="0" applyNumberFormat="1" applyFont="1" applyAlignment="1">
      <alignment horizontal="right"/>
    </xf>
    <xf numFmtId="2" fontId="0" fillId="0" borderId="0" xfId="1" applyNumberFormat="1" applyFont="1"/>
    <xf numFmtId="2" fontId="41" fillId="23" borderId="0" xfId="0" applyNumberFormat="1" applyFont="1" applyFill="1" applyAlignment="1">
      <alignment horizontal="right"/>
    </xf>
    <xf numFmtId="2" fontId="0" fillId="0" borderId="0" xfId="1" applyNumberFormat="1" applyFont="1" applyAlignment="1">
      <alignment horizontal="right"/>
    </xf>
    <xf numFmtId="170" fontId="41" fillId="23" borderId="0" xfId="0" applyNumberFormat="1" applyFont="1" applyFill="1"/>
    <xf numFmtId="170" fontId="0" fillId="0" borderId="0" xfId="0" applyNumberFormat="1"/>
    <xf numFmtId="170" fontId="40" fillId="0" borderId="63" xfId="0" applyNumberFormat="1" applyFont="1" applyBorder="1"/>
    <xf numFmtId="170" fontId="40" fillId="0" borderId="63" xfId="0" applyNumberFormat="1" applyFont="1" applyBorder="1" applyAlignment="1">
      <alignment horizontal="right"/>
    </xf>
    <xf numFmtId="170" fontId="40" fillId="0" borderId="0" xfId="0" applyNumberFormat="1" applyFont="1"/>
    <xf numFmtId="170" fontId="0" fillId="0" borderId="0" xfId="0" applyNumberFormat="1" applyAlignment="1">
      <alignment horizontal="left"/>
    </xf>
    <xf numFmtId="170" fontId="42" fillId="0" borderId="0" xfId="0" applyNumberFormat="1" applyFont="1"/>
    <xf numFmtId="170" fontId="43" fillId="0" borderId="0" xfId="0" applyNumberFormat="1" applyFont="1"/>
    <xf numFmtId="170" fontId="0" fillId="0" borderId="0" xfId="1" applyNumberFormat="1" applyFont="1"/>
    <xf numFmtId="170" fontId="41" fillId="24" borderId="0" xfId="0" applyNumberFormat="1" applyFont="1" applyFill="1"/>
    <xf numFmtId="170" fontId="40" fillId="0" borderId="0" xfId="0" applyNumberFormat="1" applyFont="1" applyAlignment="1">
      <alignment horizontal="left"/>
    </xf>
    <xf numFmtId="170" fontId="0" fillId="25" borderId="0" xfId="0" applyNumberFormat="1" applyFill="1"/>
    <xf numFmtId="170" fontId="40" fillId="0" borderId="64" xfId="0" applyNumberFormat="1" applyFont="1" applyBorder="1"/>
    <xf numFmtId="170" fontId="0" fillId="0" borderId="64" xfId="0" applyNumberFormat="1" applyBorder="1"/>
    <xf numFmtId="170" fontId="0" fillId="17" borderId="0" xfId="0" applyNumberFormat="1" applyFill="1"/>
    <xf numFmtId="0" fontId="37" fillId="24" borderId="0" xfId="0" applyFont="1" applyFill="1" applyAlignment="1">
      <alignment horizontal="center"/>
    </xf>
    <xf numFmtId="16" fontId="37" fillId="24" borderId="0" xfId="0" applyNumberFormat="1" applyFont="1" applyFill="1" applyAlignment="1">
      <alignment horizontal="center"/>
    </xf>
    <xf numFmtId="0" fontId="44" fillId="0" borderId="0" xfId="0" applyFont="1"/>
    <xf numFmtId="170" fontId="0" fillId="0" borderId="0" xfId="0" applyNumberFormat="1" applyAlignment="1">
      <alignment horizontal="center"/>
    </xf>
    <xf numFmtId="0" fontId="0" fillId="0" borderId="0" xfId="0" applyAlignment="1">
      <alignment horizontal="center"/>
    </xf>
    <xf numFmtId="0" fontId="47" fillId="2" borderId="65" xfId="0" applyFont="1" applyFill="1" applyBorder="1" applyAlignment="1">
      <alignment horizontal="left" vertical="center" indent="2"/>
    </xf>
    <xf numFmtId="0" fontId="47" fillId="2" borderId="65" xfId="0" applyFont="1" applyFill="1" applyBorder="1" applyAlignment="1">
      <alignment horizontal="left" vertical="center"/>
    </xf>
    <xf numFmtId="0" fontId="47" fillId="2" borderId="65" xfId="0" applyFont="1" applyFill="1" applyBorder="1" applyAlignment="1">
      <alignment horizontal="right" vertical="center" wrapText="1"/>
    </xf>
    <xf numFmtId="0" fontId="48" fillId="26" borderId="0" xfId="0" applyFont="1" applyFill="1" applyAlignment="1">
      <alignment horizontal="left" vertical="center" indent="2"/>
    </xf>
    <xf numFmtId="0" fontId="48" fillId="2" borderId="0" xfId="0" applyFont="1" applyFill="1" applyAlignment="1">
      <alignment horizontal="left" vertical="center" indent="2"/>
    </xf>
    <xf numFmtId="0" fontId="48" fillId="26" borderId="66" xfId="0" applyFont="1" applyFill="1" applyBorder="1" applyAlignment="1">
      <alignment horizontal="left" vertical="center" indent="2"/>
    </xf>
    <xf numFmtId="0" fontId="35" fillId="26" borderId="66" xfId="2" applyFill="1" applyBorder="1" applyAlignment="1">
      <alignment horizontal="left" vertical="center"/>
    </xf>
    <xf numFmtId="0" fontId="41" fillId="24" borderId="0" xfId="0" applyFont="1" applyFill="1"/>
    <xf numFmtId="0" fontId="0" fillId="24" borderId="0" xfId="0" applyFill="1"/>
    <xf numFmtId="0" fontId="40" fillId="0" borderId="0" xfId="0" applyFont="1"/>
    <xf numFmtId="0" fontId="40" fillId="28" borderId="0" xfId="0" applyFont="1" applyFill="1"/>
    <xf numFmtId="0" fontId="40" fillId="28" borderId="0" xfId="0" applyFont="1" applyFill="1" applyAlignment="1">
      <alignment wrapText="1"/>
    </xf>
    <xf numFmtId="0" fontId="40" fillId="28" borderId="71" xfId="0" applyFont="1" applyFill="1" applyBorder="1"/>
    <xf numFmtId="0" fontId="40" fillId="28" borderId="72" xfId="0" applyFont="1" applyFill="1" applyBorder="1"/>
    <xf numFmtId="0" fontId="40" fillId="28" borderId="6" xfId="0" applyFont="1" applyFill="1" applyBorder="1"/>
    <xf numFmtId="0" fontId="34" fillId="0" borderId="67" xfId="2" applyFont="1" applyBorder="1"/>
    <xf numFmtId="167" fontId="49" fillId="0" borderId="7" xfId="0" applyNumberFormat="1" applyFont="1" applyBorder="1"/>
    <xf numFmtId="167" fontId="49" fillId="0" borderId="0" xfId="0" applyNumberFormat="1" applyFont="1"/>
    <xf numFmtId="167" fontId="50" fillId="0" borderId="6" xfId="0" applyNumberFormat="1" applyFont="1" applyBorder="1"/>
    <xf numFmtId="167" fontId="49" fillId="0" borderId="6" xfId="0" applyNumberFormat="1" applyFont="1" applyBorder="1"/>
    <xf numFmtId="167" fontId="49" fillId="0" borderId="71" xfId="0" applyNumberFormat="1" applyFont="1" applyBorder="1"/>
    <xf numFmtId="0" fontId="50" fillId="0" borderId="67" xfId="0" applyFont="1" applyBorder="1"/>
    <xf numFmtId="171" fontId="50" fillId="0" borderId="0" xfId="0" applyNumberFormat="1" applyFont="1"/>
    <xf numFmtId="171" fontId="49" fillId="0" borderId="73" xfId="0" applyNumberFormat="1" applyFont="1" applyBorder="1"/>
    <xf numFmtId="0" fontId="50" fillId="0" borderId="70" xfId="2" applyFont="1" applyBorder="1"/>
    <xf numFmtId="167" fontId="50" fillId="0" borderId="7" xfId="0" applyNumberFormat="1" applyFont="1" applyBorder="1"/>
    <xf numFmtId="0" fontId="50" fillId="0" borderId="70" xfId="0" applyFont="1" applyBorder="1"/>
    <xf numFmtId="172" fontId="0" fillId="0" borderId="0" xfId="0" applyNumberFormat="1"/>
    <xf numFmtId="0" fontId="40" fillId="27" borderId="70" xfId="2" applyFont="1" applyFill="1" applyBorder="1"/>
    <xf numFmtId="167" fontId="40" fillId="27" borderId="7" xfId="0" applyNumberFormat="1" applyFont="1" applyFill="1" applyBorder="1"/>
    <xf numFmtId="167" fontId="40" fillId="27" borderId="0" xfId="0" applyNumberFormat="1" applyFont="1" applyFill="1"/>
    <xf numFmtId="0" fontId="40" fillId="27" borderId="70" xfId="0" applyFont="1" applyFill="1" applyBorder="1"/>
    <xf numFmtId="171" fontId="40" fillId="27" borderId="0" xfId="0" applyNumberFormat="1" applyFont="1" applyFill="1"/>
    <xf numFmtId="171" fontId="40" fillId="27" borderId="73" xfId="0" applyNumberFormat="1" applyFont="1" applyFill="1" applyBorder="1"/>
    <xf numFmtId="0" fontId="50" fillId="17" borderId="0" xfId="2" applyFont="1" applyFill="1" applyAlignment="1">
      <alignment horizontal="left" vertical="center"/>
    </xf>
    <xf numFmtId="0" fontId="50" fillId="0" borderId="0" xfId="0" applyFont="1"/>
    <xf numFmtId="0" fontId="49" fillId="0" borderId="0" xfId="0" applyFont="1"/>
    <xf numFmtId="173" fontId="49" fillId="0" borderId="0" xfId="0" applyNumberFormat="1" applyFont="1"/>
    <xf numFmtId="171" fontId="49" fillId="0" borderId="0" xfId="0" applyNumberFormat="1" applyFont="1"/>
    <xf numFmtId="171" fontId="0" fillId="0" borderId="0" xfId="0" applyNumberFormat="1"/>
    <xf numFmtId="0" fontId="41" fillId="24" borderId="0" xfId="0" applyFont="1" applyFill="1" applyAlignment="1">
      <alignment horizontal="center"/>
    </xf>
    <xf numFmtId="0" fontId="40" fillId="0" borderId="64" xfId="0" applyFont="1" applyBorder="1"/>
    <xf numFmtId="0" fontId="0" fillId="0" borderId="64" xfId="0" applyBorder="1"/>
    <xf numFmtId="2" fontId="40" fillId="0" borderId="64" xfId="0" applyNumberFormat="1" applyFont="1" applyBorder="1"/>
    <xf numFmtId="0" fontId="40" fillId="17" borderId="0" xfId="0" applyFont="1" applyFill="1" applyAlignment="1">
      <alignment horizontal="center"/>
    </xf>
    <xf numFmtId="0" fontId="40" fillId="0" borderId="0" xfId="0" applyFont="1" applyAlignment="1">
      <alignment horizontal="center"/>
    </xf>
    <xf numFmtId="0" fontId="35" fillId="2" borderId="66" xfId="2" applyFill="1" applyBorder="1" applyAlignment="1">
      <alignment horizontal="left" vertical="center"/>
    </xf>
    <xf numFmtId="0" fontId="51" fillId="2" borderId="66" xfId="0" applyFont="1" applyFill="1" applyBorder="1" applyAlignment="1">
      <alignment horizontal="right" vertical="center" wrapText="1"/>
    </xf>
    <xf numFmtId="0" fontId="51" fillId="26" borderId="66" xfId="0" applyFont="1" applyFill="1" applyBorder="1" applyAlignment="1">
      <alignment horizontal="right" vertical="center" wrapText="1"/>
    </xf>
    <xf numFmtId="0" fontId="52" fillId="27" borderId="0" xfId="0" applyFont="1" applyFill="1" applyAlignment="1">
      <alignment horizontal="left" vertical="center" indent="2"/>
    </xf>
    <xf numFmtId="0" fontId="53" fillId="27" borderId="66" xfId="2" applyFont="1" applyFill="1" applyBorder="1" applyAlignment="1">
      <alignment horizontal="left" vertical="center"/>
    </xf>
    <xf numFmtId="0" fontId="54" fillId="27" borderId="0" xfId="0" applyFont="1" applyFill="1" applyAlignment="1">
      <alignment horizontal="right" vertical="center" wrapText="1"/>
    </xf>
    <xf numFmtId="0" fontId="55" fillId="0" borderId="0" xfId="0" applyFont="1" applyAlignment="1">
      <alignment horizontal="left"/>
    </xf>
    <xf numFmtId="2" fontId="55" fillId="0" borderId="74" xfId="0" applyNumberFormat="1" applyFont="1" applyBorder="1" applyAlignment="1">
      <alignment horizontal="right"/>
    </xf>
    <xf numFmtId="0" fontId="55" fillId="0" borderId="74" xfId="0" applyFont="1" applyBorder="1" applyAlignment="1">
      <alignment horizontal="right"/>
    </xf>
    <xf numFmtId="10" fontId="55" fillId="0" borderId="74" xfId="0" applyNumberFormat="1" applyFont="1" applyBorder="1" applyAlignment="1">
      <alignment horizontal="right"/>
    </xf>
    <xf numFmtId="3" fontId="55" fillId="0" borderId="74" xfId="0" applyNumberFormat="1" applyFont="1" applyBorder="1" applyAlignment="1">
      <alignment horizontal="right"/>
    </xf>
    <xf numFmtId="0" fontId="56" fillId="29" borderId="74" xfId="0" applyFont="1" applyFill="1" applyBorder="1" applyAlignment="1">
      <alignment horizontal="right"/>
    </xf>
    <xf numFmtId="0" fontId="56" fillId="29" borderId="74" xfId="0" applyFont="1" applyFill="1" applyBorder="1" applyAlignment="1">
      <alignment horizontal="center" vertical="center"/>
    </xf>
    <xf numFmtId="0" fontId="56" fillId="29" borderId="74" xfId="0" applyFont="1" applyFill="1" applyBorder="1" applyAlignment="1">
      <alignment horizontal="left"/>
    </xf>
    <xf numFmtId="0" fontId="60" fillId="2" borderId="83" xfId="0" applyFont="1" applyFill="1" applyBorder="1" applyAlignment="1">
      <alignment horizontal="left" vertical="center"/>
    </xf>
    <xf numFmtId="0" fontId="59" fillId="2" borderId="83" xfId="0" applyFont="1" applyFill="1" applyBorder="1" applyAlignment="1">
      <alignment horizontal="left" vertical="center"/>
    </xf>
    <xf numFmtId="0" fontId="59" fillId="2" borderId="83" xfId="0" applyFont="1" applyFill="1" applyBorder="1" applyAlignment="1">
      <alignment horizontal="right" vertical="center"/>
    </xf>
    <xf numFmtId="0" fontId="58" fillId="30" borderId="82" xfId="0" applyFont="1" applyFill="1" applyBorder="1" applyAlignment="1">
      <alignment vertical="center"/>
    </xf>
    <xf numFmtId="0" fontId="58" fillId="30" borderId="84" xfId="0" applyFont="1" applyFill="1" applyBorder="1" applyAlignment="1">
      <alignment vertical="center"/>
    </xf>
    <xf numFmtId="0" fontId="60" fillId="2" borderId="85" xfId="0" applyFont="1" applyFill="1" applyBorder="1" applyAlignment="1">
      <alignment horizontal="left" vertical="center"/>
    </xf>
    <xf numFmtId="0" fontId="60" fillId="2" borderId="82" xfId="0" applyFont="1" applyFill="1" applyBorder="1" applyAlignment="1">
      <alignment horizontal="left" vertical="center"/>
    </xf>
    <xf numFmtId="0" fontId="59" fillId="2" borderId="82" xfId="0" applyFont="1" applyFill="1" applyBorder="1" applyAlignment="1">
      <alignment horizontal="right" vertical="center"/>
    </xf>
    <xf numFmtId="0" fontId="59" fillId="2" borderId="82" xfId="0" applyFont="1" applyFill="1" applyBorder="1" applyAlignment="1">
      <alignment horizontal="left" vertical="center"/>
    </xf>
    <xf numFmtId="3" fontId="59" fillId="2" borderId="82" xfId="0" applyNumberFormat="1" applyFont="1" applyFill="1" applyBorder="1" applyAlignment="1">
      <alignment horizontal="right" vertical="center"/>
    </xf>
    <xf numFmtId="0" fontId="58" fillId="30" borderId="81" xfId="0" applyFont="1" applyFill="1" applyBorder="1" applyAlignment="1">
      <alignment vertical="center"/>
    </xf>
    <xf numFmtId="0" fontId="0" fillId="0" borderId="86" xfId="0" applyBorder="1"/>
    <xf numFmtId="0" fontId="2" fillId="0" borderId="87" xfId="0" applyFont="1" applyBorder="1" applyAlignment="1">
      <alignment horizontal="center"/>
    </xf>
    <xf numFmtId="0" fontId="2" fillId="0" borderId="87" xfId="0" applyFont="1" applyBorder="1" applyAlignment="1">
      <alignment horizontal="centerContinuous"/>
    </xf>
    <xf numFmtId="0" fontId="30" fillId="18" borderId="40" xfId="0" applyFont="1" applyFill="1" applyBorder="1" applyAlignment="1">
      <alignment horizontal="left"/>
    </xf>
    <xf numFmtId="0" fontId="61" fillId="18" borderId="0" xfId="0" applyFont="1" applyFill="1"/>
    <xf numFmtId="168" fontId="31" fillId="18" borderId="41" xfId="0" applyNumberFormat="1" applyFont="1" applyFill="1" applyBorder="1" applyAlignment="1">
      <alignment horizontal="right"/>
    </xf>
    <xf numFmtId="10" fontId="0" fillId="0" borderId="80" xfId="0" applyNumberFormat="1" applyBorder="1"/>
    <xf numFmtId="0" fontId="62" fillId="18" borderId="0" xfId="0" applyFont="1" applyFill="1" applyAlignment="1">
      <alignment vertical="center" wrapText="1"/>
    </xf>
    <xf numFmtId="0" fontId="40" fillId="27" borderId="1" xfId="0" applyFont="1" applyFill="1" applyBorder="1"/>
    <xf numFmtId="17" fontId="40" fillId="27" borderId="1" xfId="0" applyNumberFormat="1" applyFont="1" applyFill="1" applyBorder="1"/>
    <xf numFmtId="0" fontId="46" fillId="0" borderId="0" xfId="0" applyFont="1" applyAlignment="1">
      <alignment horizontal="center"/>
    </xf>
    <xf numFmtId="0" fontId="0" fillId="0" borderId="0" xfId="0"/>
    <xf numFmtId="0" fontId="45" fillId="0" borderId="0" xfId="0" applyFont="1" applyAlignment="1">
      <alignment horizontal="center"/>
    </xf>
    <xf numFmtId="0" fontId="0" fillId="0" borderId="0" xfId="0" applyAlignment="1">
      <alignment horizontal="center" wrapText="1"/>
    </xf>
    <xf numFmtId="0" fontId="2" fillId="0" borderId="0" xfId="0" applyFont="1" applyAlignment="1">
      <alignment horizontal="center" vertical="center"/>
    </xf>
    <xf numFmtId="0" fontId="0" fillId="0" borderId="0" xfId="0" applyAlignment="1">
      <alignment horizontal="center" vertical="center"/>
    </xf>
    <xf numFmtId="0" fontId="30" fillId="10" borderId="21" xfId="0" applyFont="1" applyFill="1" applyBorder="1" applyAlignment="1">
      <alignment horizontal="center"/>
    </xf>
    <xf numFmtId="0" fontId="0" fillId="0" borderId="21" xfId="0" applyBorder="1"/>
    <xf numFmtId="0" fontId="57" fillId="0" borderId="0" xfId="0" applyFont="1" applyAlignment="1">
      <alignment horizontal="center" vertical="center" wrapText="1"/>
    </xf>
    <xf numFmtId="0" fontId="55" fillId="0" borderId="75" xfId="0" applyFont="1" applyBorder="1" applyAlignment="1">
      <alignment horizontal="center" vertical="center" wrapText="1"/>
    </xf>
    <xf numFmtId="0" fontId="5" fillId="4" borderId="2" xfId="0" applyFont="1" applyFill="1" applyBorder="1" applyAlignment="1">
      <alignment horizontal="center"/>
    </xf>
    <xf numFmtId="0" fontId="0" fillId="0" borderId="3" xfId="0" applyBorder="1"/>
    <xf numFmtId="0" fontId="5" fillId="4" borderId="9" xfId="0" applyFont="1" applyFill="1" applyBorder="1" applyAlignment="1">
      <alignment horizontal="center"/>
    </xf>
    <xf numFmtId="0" fontId="0" fillId="0" borderId="10" xfId="0" applyBorder="1"/>
    <xf numFmtId="0" fontId="5" fillId="4" borderId="9" xfId="0" applyFont="1" applyFill="1" applyBorder="1" applyAlignment="1">
      <alignment horizontal="center" vertical="center" wrapText="1"/>
    </xf>
    <xf numFmtId="0" fontId="0" fillId="0" borderId="14" xfId="0" applyBorder="1"/>
    <xf numFmtId="0" fontId="36" fillId="20" borderId="76" xfId="0" applyFont="1" applyFill="1" applyBorder="1" applyAlignment="1">
      <alignment horizontal="center" vertical="center" wrapText="1"/>
    </xf>
    <xf numFmtId="0" fontId="0" fillId="0" borderId="42" xfId="0" applyBorder="1"/>
    <xf numFmtId="0" fontId="0" fillId="0" borderId="43" xfId="0" applyBorder="1"/>
    <xf numFmtId="0" fontId="36" fillId="24" borderId="0" xfId="0" applyFont="1" applyFill="1" applyAlignment="1">
      <alignment horizontal="center"/>
    </xf>
    <xf numFmtId="0" fontId="41" fillId="24" borderId="0" xfId="0" applyFont="1" applyFill="1" applyAlignment="1">
      <alignment horizontal="left"/>
    </xf>
    <xf numFmtId="0" fontId="40" fillId="28" borderId="80" xfId="0" applyFont="1" applyFill="1" applyBorder="1" applyAlignment="1">
      <alignment horizontal="center"/>
    </xf>
    <xf numFmtId="0" fontId="0" fillId="0" borderId="68" xfId="0" applyBorder="1"/>
    <xf numFmtId="0" fontId="0" fillId="0" borderId="69" xfId="0" applyBorder="1"/>
    <xf numFmtId="0" fontId="40" fillId="28" borderId="77" xfId="0" applyFont="1" applyFill="1" applyBorder="1" applyAlignment="1">
      <alignment horizontal="center"/>
    </xf>
    <xf numFmtId="0" fontId="0" fillId="0" borderId="79" xfId="0" applyBorder="1"/>
    <xf numFmtId="0" fontId="40" fillId="28" borderId="6" xfId="0" applyFont="1" applyFill="1" applyBorder="1" applyAlignment="1">
      <alignment horizontal="center"/>
    </xf>
    <xf numFmtId="0" fontId="0" fillId="0" borderId="7" xfId="0" applyBorder="1"/>
    <xf numFmtId="0" fontId="40" fillId="28" borderId="12" xfId="0" applyFont="1" applyFill="1" applyBorder="1" applyAlignment="1">
      <alignment horizontal="center"/>
    </xf>
    <xf numFmtId="0" fontId="40" fillId="28" borderId="68" xfId="0" applyFont="1" applyFill="1" applyBorder="1" applyAlignment="1">
      <alignment horizontal="center"/>
    </xf>
    <xf numFmtId="0" fontId="40" fillId="28" borderId="67" xfId="0" applyFont="1" applyFill="1" applyBorder="1" applyAlignment="1">
      <alignment horizontal="center"/>
    </xf>
    <xf numFmtId="0" fontId="0" fillId="0" borderId="78" xfId="0" applyBorder="1"/>
    <xf numFmtId="17" fontId="0" fillId="0" borderId="0" xfId="0" applyNumberFormat="1"/>
    <xf numFmtId="9" fontId="0" fillId="0" borderId="0" xfId="0" applyNumberFormat="1"/>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endParaRPr lang="en-IN"/>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2DB2-44E5-9D66-081DB50F37EA}"/>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2DB2-44E5-9D66-081DB50F37EA}"/>
              </c:ext>
            </c:extLst>
          </c:dPt>
          <c:cat>
            <c:strRef>
              <c:f>WACC!$B$8:$B$9</c:f>
              <c:strCache>
                <c:ptCount val="2"/>
                <c:pt idx="0">
                  <c:v>% of Debt</c:v>
                </c:pt>
                <c:pt idx="1">
                  <c:v>% of Equity</c:v>
                </c:pt>
              </c:strCache>
            </c:strRef>
          </c:cat>
          <c:val>
            <c:numRef>
              <c:f>WACC!$C$8:$C$9</c:f>
              <c:numCache>
                <c:formatCode>0.0%;\(0.0%\);\-</c:formatCode>
                <c:ptCount val="2"/>
                <c:pt idx="0">
                  <c:v>0.10331669871387207</c:v>
                </c:pt>
                <c:pt idx="1">
                  <c:v>0.89668330128612794</c:v>
                </c:pt>
              </c:numCache>
            </c:numRef>
          </c:val>
          <c:extLst>
            <c:ext xmlns:c16="http://schemas.microsoft.com/office/drawing/2014/chart" uri="{C3380CC4-5D6E-409C-BE32-E72D297353CC}">
              <c16:uniqueId val="{00000004-2DB2-44E5-9D66-081DB50F37EA}"/>
            </c:ext>
          </c:extLst>
        </c:ser>
        <c:dLbls>
          <c:showLegendKey val="0"/>
          <c:showVal val="0"/>
          <c:showCatName val="0"/>
          <c:showSerName val="0"/>
          <c:showPercent val="0"/>
          <c:showBubbleSize val="0"/>
          <c:showLeaderLines val="1"/>
        </c:dLbls>
        <c:firstSliceAng val="0"/>
      </c:pieChart>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1</xdr:colOff>
      <xdr:row>2</xdr:row>
      <xdr:rowOff>1</xdr:rowOff>
    </xdr:from>
    <xdr:to>
      <xdr:col>7</xdr:col>
      <xdr:colOff>160021</xdr:colOff>
      <xdr:row>19</xdr:row>
      <xdr:rowOff>62017</xdr:rowOff>
    </xdr:to>
    <xdr:pic>
      <xdr:nvPicPr>
        <xdr:cNvPr id="2" name="Picture 1">
          <a:extLst>
            <a:ext uri="{FF2B5EF4-FFF2-40B4-BE49-F238E27FC236}">
              <a16:creationId xmlns:a16="http://schemas.microsoft.com/office/drawing/2014/main" id="{13982541-14ED-07EF-AF4F-6EEA20B7E57D}"/>
            </a:ext>
          </a:extLst>
        </xdr:cNvPr>
        <xdr:cNvPicPr>
          <a:picLocks noChangeAspect="1"/>
        </xdr:cNvPicPr>
      </xdr:nvPicPr>
      <xdr:blipFill>
        <a:blip xmlns:r="http://schemas.openxmlformats.org/officeDocument/2006/relationships" r:embed="rId1"/>
        <a:stretch>
          <a:fillRect/>
        </a:stretch>
      </xdr:blipFill>
      <xdr:spPr>
        <a:xfrm>
          <a:off x="1219201" y="365761"/>
          <a:ext cx="3208020" cy="31709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11</xdr:col>
      <xdr:colOff>452299</xdr:colOff>
      <xdr:row>19</xdr:row>
      <xdr:rowOff>65689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604345" y="551793"/>
          <a:ext cx="8019747" cy="3008586"/>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xdr:row>
      <xdr:rowOff>19050</xdr:rowOff>
    </xdr:from>
    <xdr:to>
      <xdr:col>7</xdr:col>
      <xdr:colOff>144780</xdr:colOff>
      <xdr:row>11</xdr:row>
      <xdr:rowOff>190500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3" Type="http://schemas.openxmlformats.org/officeDocument/2006/relationships/hyperlink" Target="https://www.screener.in/company/GLENMARK/consolidated/" TargetMode="External"/><Relationship Id="rId2" Type="http://schemas.openxmlformats.org/officeDocument/2006/relationships/hyperlink" Target="https://www.screener.in/company/LAURUSLABS/consolidated/" TargetMode="External"/><Relationship Id="rId1" Type="http://schemas.openxmlformats.org/officeDocument/2006/relationships/hyperlink" Target="https://www.screener.in/company/AUROPHARMA/consolidated/" TargetMode="External"/><Relationship Id="rId5" Type="http://schemas.openxmlformats.org/officeDocument/2006/relationships/hyperlink" Target="https://www.screener.in/company/ANTHEM/consolidated/" TargetMode="External"/><Relationship Id="rId4" Type="http://schemas.openxmlformats.org/officeDocument/2006/relationships/hyperlink" Target="https://www.screener.in/company/ALKEM/consolidated/"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screener.in/company/GLENMARK/consolidated/" TargetMode="External"/><Relationship Id="rId2" Type="http://schemas.openxmlformats.org/officeDocument/2006/relationships/hyperlink" Target="https://www.screener.in/company/LAURUSLABS/consolidated/" TargetMode="External"/><Relationship Id="rId1" Type="http://schemas.openxmlformats.org/officeDocument/2006/relationships/hyperlink" Target="https://www.screener.in/company/AUROPHARMA/consolidated/" TargetMode="External"/><Relationship Id="rId5" Type="http://schemas.openxmlformats.org/officeDocument/2006/relationships/hyperlink" Target="https://www.screener.in/company/ANTHEM/consolidated/" TargetMode="External"/><Relationship Id="rId4" Type="http://schemas.openxmlformats.org/officeDocument/2006/relationships/hyperlink" Target="https://www.screener.in/company/ALKEM/consolidat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Q40"/>
  <sheetViews>
    <sheetView showGridLines="0" workbookViewId="0">
      <selection activeCell="G7" sqref="G7"/>
    </sheetView>
  </sheetViews>
  <sheetFormatPr defaultRowHeight="14.4"/>
  <sheetData>
    <row r="4" spans="10:17">
      <c r="J4" s="291" t="s">
        <v>562</v>
      </c>
      <c r="K4" s="291"/>
      <c r="L4" s="291"/>
      <c r="M4" s="291"/>
      <c r="N4" s="291"/>
      <c r="O4" s="291"/>
      <c r="P4" s="291"/>
      <c r="Q4" s="291"/>
    </row>
    <row r="5" spans="10:17">
      <c r="J5" s="291"/>
      <c r="K5" s="291"/>
      <c r="L5" s="291"/>
      <c r="M5" s="291"/>
      <c r="N5" s="291"/>
      <c r="O5" s="291"/>
      <c r="P5" s="291"/>
      <c r="Q5" s="291"/>
    </row>
    <row r="6" spans="10:17">
      <c r="J6" s="291"/>
      <c r="K6" s="291"/>
      <c r="L6" s="291"/>
      <c r="M6" s="291"/>
      <c r="N6" s="291"/>
      <c r="O6" s="291"/>
      <c r="P6" s="291"/>
      <c r="Q6" s="291"/>
    </row>
    <row r="7" spans="10:17">
      <c r="J7" s="291"/>
      <c r="K7" s="291"/>
      <c r="L7" s="291"/>
      <c r="M7" s="291"/>
      <c r="N7" s="291"/>
      <c r="O7" s="291"/>
      <c r="P7" s="291"/>
      <c r="Q7" s="291"/>
    </row>
    <row r="8" spans="10:17">
      <c r="J8" s="291"/>
      <c r="K8" s="291"/>
      <c r="L8" s="291"/>
      <c r="M8" s="291"/>
      <c r="N8" s="291"/>
      <c r="O8" s="291"/>
      <c r="P8" s="291"/>
      <c r="Q8" s="291"/>
    </row>
    <row r="9" spans="10:17">
      <c r="J9" s="291"/>
      <c r="K9" s="291"/>
      <c r="L9" s="291"/>
      <c r="M9" s="291"/>
      <c r="N9" s="291"/>
      <c r="O9" s="291"/>
      <c r="P9" s="291"/>
      <c r="Q9" s="291"/>
    </row>
    <row r="10" spans="10:17">
      <c r="J10" s="291"/>
      <c r="K10" s="291"/>
      <c r="L10" s="291"/>
      <c r="M10" s="291"/>
      <c r="N10" s="291"/>
      <c r="O10" s="291"/>
      <c r="P10" s="291"/>
      <c r="Q10" s="291"/>
    </row>
    <row r="11" spans="10:17">
      <c r="J11" s="291"/>
      <c r="K11" s="291"/>
      <c r="L11" s="291"/>
      <c r="M11" s="291"/>
      <c r="N11" s="291"/>
      <c r="O11" s="291"/>
      <c r="P11" s="291"/>
      <c r="Q11" s="291"/>
    </row>
    <row r="12" spans="10:17">
      <c r="J12" s="291"/>
      <c r="K12" s="291"/>
      <c r="L12" s="291"/>
      <c r="M12" s="291"/>
      <c r="N12" s="291"/>
      <c r="O12" s="291"/>
      <c r="P12" s="291"/>
      <c r="Q12" s="291"/>
    </row>
    <row r="13" spans="10:17">
      <c r="J13" s="291"/>
      <c r="K13" s="291"/>
      <c r="L13" s="291"/>
      <c r="M13" s="291"/>
      <c r="N13" s="291"/>
      <c r="O13" s="291"/>
      <c r="P13" s="291"/>
      <c r="Q13" s="291"/>
    </row>
    <row r="14" spans="10:17">
      <c r="J14" s="291"/>
      <c r="K14" s="291"/>
      <c r="L14" s="291"/>
      <c r="M14" s="291"/>
      <c r="N14" s="291"/>
      <c r="O14" s="291"/>
      <c r="P14" s="291"/>
      <c r="Q14" s="291"/>
    </row>
    <row r="15" spans="10:17">
      <c r="J15" s="291"/>
      <c r="K15" s="291"/>
      <c r="L15" s="291"/>
      <c r="M15" s="291"/>
      <c r="N15" s="291"/>
      <c r="O15" s="291"/>
      <c r="P15" s="291"/>
      <c r="Q15" s="291"/>
    </row>
    <row r="16" spans="10:17">
      <c r="J16" t="s">
        <v>240</v>
      </c>
    </row>
    <row r="22" spans="2:14" ht="15.6" customHeight="1">
      <c r="B22" s="288" t="s">
        <v>33</v>
      </c>
      <c r="C22" s="289"/>
      <c r="D22" s="289"/>
      <c r="E22" s="289"/>
      <c r="F22" s="289"/>
      <c r="G22" s="289"/>
      <c r="J22" s="290" t="s">
        <v>34</v>
      </c>
      <c r="K22" s="289"/>
      <c r="L22" s="289"/>
      <c r="M22" s="289"/>
      <c r="N22" s="289"/>
    </row>
    <row r="23" spans="2:14">
      <c r="B23" s="206"/>
      <c r="C23" s="206"/>
      <c r="D23" s="206"/>
      <c r="E23" s="206"/>
      <c r="F23" s="206"/>
      <c r="G23" s="206"/>
    </row>
    <row r="24" spans="2:14">
      <c r="B24" t="s">
        <v>35</v>
      </c>
      <c r="J24" t="s">
        <v>36</v>
      </c>
    </row>
    <row r="25" spans="2:14">
      <c r="B25" t="s">
        <v>37</v>
      </c>
      <c r="J25" t="s">
        <v>38</v>
      </c>
    </row>
    <row r="26" spans="2:14">
      <c r="B26" t="s">
        <v>39</v>
      </c>
      <c r="J26" t="s">
        <v>40</v>
      </c>
    </row>
    <row r="27" spans="2:14">
      <c r="B27" t="s">
        <v>41</v>
      </c>
      <c r="J27" t="s">
        <v>42</v>
      </c>
    </row>
    <row r="28" spans="2:14">
      <c r="B28" t="s">
        <v>43</v>
      </c>
      <c r="J28" t="s">
        <v>44</v>
      </c>
    </row>
    <row r="29" spans="2:14">
      <c r="B29" t="s">
        <v>45</v>
      </c>
      <c r="J29" t="s">
        <v>46</v>
      </c>
    </row>
    <row r="30" spans="2:14">
      <c r="B30" t="s">
        <v>47</v>
      </c>
      <c r="J30" t="s">
        <v>48</v>
      </c>
    </row>
    <row r="31" spans="2:14">
      <c r="B31" t="s">
        <v>49</v>
      </c>
      <c r="J31" t="s">
        <v>50</v>
      </c>
    </row>
    <row r="32" spans="2:14">
      <c r="B32" t="s">
        <v>51</v>
      </c>
      <c r="J32" t="s">
        <v>52</v>
      </c>
    </row>
    <row r="33" spans="2:10">
      <c r="B33" t="s">
        <v>53</v>
      </c>
      <c r="J33" t="s">
        <v>54</v>
      </c>
    </row>
    <row r="34" spans="2:10">
      <c r="B34" t="s">
        <v>55</v>
      </c>
    </row>
    <row r="35" spans="2:10">
      <c r="B35" t="s">
        <v>56</v>
      </c>
    </row>
    <row r="36" spans="2:10">
      <c r="B36" t="s">
        <v>57</v>
      </c>
    </row>
    <row r="37" spans="2:10">
      <c r="B37" t="s">
        <v>58</v>
      </c>
    </row>
    <row r="38" spans="2:10">
      <c r="B38" t="s">
        <v>59</v>
      </c>
    </row>
    <row r="39" spans="2:10">
      <c r="B39" t="s">
        <v>60</v>
      </c>
    </row>
    <row r="40" spans="2:10">
      <c r="B40" t="s">
        <v>61</v>
      </c>
    </row>
  </sheetData>
  <mergeCells count="3">
    <mergeCell ref="B22:G22"/>
    <mergeCell ref="J22:N22"/>
    <mergeCell ref="J4:Q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CCB7B-4F1C-4BB0-BC6A-3BD0DDF2DB38}">
  <dimension ref="B3:J99"/>
  <sheetViews>
    <sheetView showGridLines="0" topLeftCell="A60" zoomScale="74" workbookViewId="0">
      <selection activeCell="G7" sqref="G7"/>
    </sheetView>
  </sheetViews>
  <sheetFormatPr defaultRowHeight="14.4" outlineLevelRow="1"/>
  <cols>
    <col min="2" max="2" width="108.77734375" bestFit="1" customWidth="1"/>
    <col min="3" max="3" width="16.77734375" bestFit="1" customWidth="1"/>
    <col min="4" max="4" width="19" bestFit="1" customWidth="1"/>
    <col min="5" max="5" width="15" bestFit="1" customWidth="1"/>
  </cols>
  <sheetData>
    <row r="3" spans="2:10" ht="55.8" hidden="1" customHeight="1" outlineLevel="1">
      <c r="B3" s="270" t="s">
        <v>416</v>
      </c>
      <c r="C3" s="270" t="s">
        <v>417</v>
      </c>
      <c r="D3" s="270" t="s">
        <v>448</v>
      </c>
    </row>
    <row r="4" spans="2:10" hidden="1" outlineLevel="1">
      <c r="B4" s="270"/>
      <c r="C4" s="270"/>
      <c r="D4" s="270"/>
    </row>
    <row r="5" spans="2:10" ht="15" hidden="1" outlineLevel="1" thickBot="1">
      <c r="B5" s="271"/>
      <c r="C5" s="271"/>
      <c r="D5" s="271"/>
    </row>
    <row r="6" spans="2:10" ht="15.6" hidden="1" customHeight="1" outlineLevel="1" thickTop="1" thickBot="1">
      <c r="B6" s="267" t="s">
        <v>419</v>
      </c>
      <c r="C6" s="268"/>
      <c r="D6" s="269">
        <v>0</v>
      </c>
    </row>
    <row r="7" spans="2:10" ht="15.6" hidden="1" customHeight="1" outlineLevel="1" thickTop="1" thickBot="1">
      <c r="B7" s="267" t="s">
        <v>420</v>
      </c>
      <c r="C7" s="268"/>
      <c r="D7" s="269">
        <v>51.2</v>
      </c>
    </row>
    <row r="8" spans="2:10" ht="15.6" hidden="1" customHeight="1" outlineLevel="1" thickTop="1" thickBot="1">
      <c r="B8" s="268" t="s">
        <v>421</v>
      </c>
      <c r="C8" s="268" t="s">
        <v>422</v>
      </c>
      <c r="D8" s="269">
        <v>18.75</v>
      </c>
    </row>
    <row r="9" spans="2:10" ht="15.6" hidden="1" customHeight="1" outlineLevel="1" thickTop="1" thickBot="1">
      <c r="B9" s="268" t="s">
        <v>423</v>
      </c>
      <c r="C9" s="268" t="s">
        <v>422</v>
      </c>
      <c r="D9" s="269">
        <v>7.27</v>
      </c>
    </row>
    <row r="10" spans="2:10" ht="15.6" hidden="1" customHeight="1" outlineLevel="1" thickTop="1" thickBot="1">
      <c r="B10" s="268" t="s">
        <v>424</v>
      </c>
      <c r="C10" s="268" t="s">
        <v>422</v>
      </c>
      <c r="D10" s="269">
        <v>6.42</v>
      </c>
    </row>
    <row r="11" spans="2:10" ht="15.6" hidden="1" customHeight="1" outlineLevel="1" thickTop="1" thickBot="1">
      <c r="B11" s="268" t="s">
        <v>425</v>
      </c>
      <c r="C11" s="268" t="s">
        <v>422</v>
      </c>
      <c r="D11" s="269">
        <v>6.18</v>
      </c>
    </row>
    <row r="12" spans="2:10" ht="15.6" hidden="1" customHeight="1" outlineLevel="1" thickTop="1" thickBot="1">
      <c r="B12" s="268" t="s">
        <v>426</v>
      </c>
      <c r="C12" s="268" t="s">
        <v>422</v>
      </c>
      <c r="D12" s="269">
        <v>2.59</v>
      </c>
    </row>
    <row r="13" spans="2:10" ht="15.6" hidden="1" customHeight="1" outlineLevel="1" thickTop="1" thickBot="1">
      <c r="B13" s="268" t="s">
        <v>427</v>
      </c>
      <c r="C13" s="268" t="s">
        <v>422</v>
      </c>
      <c r="D13" s="269">
        <v>2.16</v>
      </c>
    </row>
    <row r="14" spans="2:10" ht="15.6" hidden="1" customHeight="1" outlineLevel="1" thickTop="1" thickBot="1">
      <c r="B14" s="268" t="s">
        <v>428</v>
      </c>
      <c r="C14" s="268" t="s">
        <v>422</v>
      </c>
      <c r="D14" s="269">
        <v>2</v>
      </c>
    </row>
    <row r="15" spans="2:10" ht="15.6" hidden="1" customHeight="1" outlineLevel="1" thickTop="1" thickBot="1">
      <c r="B15" s="268" t="s">
        <v>429</v>
      </c>
      <c r="C15" s="268" t="s">
        <v>430</v>
      </c>
      <c r="D15" s="269">
        <v>1.04</v>
      </c>
    </row>
    <row r="16" spans="2:10" ht="15.6" hidden="1" customHeight="1" outlineLevel="1" thickTop="1" thickBot="1">
      <c r="B16" s="268" t="s">
        <v>431</v>
      </c>
      <c r="C16" s="268" t="s">
        <v>422</v>
      </c>
      <c r="D16" s="269">
        <v>1.01</v>
      </c>
      <c r="J16" t="s">
        <v>240</v>
      </c>
    </row>
    <row r="17" spans="2:4" ht="15.6" hidden="1" customHeight="1" outlineLevel="1" thickTop="1" thickBot="1">
      <c r="B17" s="268" t="s">
        <v>432</v>
      </c>
      <c r="C17" s="268" t="s">
        <v>422</v>
      </c>
      <c r="D17" s="269">
        <v>1.01</v>
      </c>
    </row>
    <row r="18" spans="2:4" ht="15.6" hidden="1" customHeight="1" outlineLevel="1" thickTop="1" thickBot="1">
      <c r="B18" s="268" t="s">
        <v>433</v>
      </c>
      <c r="C18" s="268" t="s">
        <v>422</v>
      </c>
      <c r="D18" s="269">
        <v>1.01</v>
      </c>
    </row>
    <row r="19" spans="2:4" ht="15.6" hidden="1" customHeight="1" outlineLevel="1" thickTop="1" thickBot="1">
      <c r="B19" s="268" t="s">
        <v>434</v>
      </c>
      <c r="C19" s="268" t="s">
        <v>422</v>
      </c>
      <c r="D19" s="269">
        <v>1</v>
      </c>
    </row>
    <row r="20" spans="2:4" ht="15.6" hidden="1" customHeight="1" outlineLevel="1" thickTop="1" thickBot="1">
      <c r="B20" s="268" t="s">
        <v>435</v>
      </c>
      <c r="C20" s="268" t="s">
        <v>430</v>
      </c>
      <c r="D20" s="269">
        <v>0.45</v>
      </c>
    </row>
    <row r="21" spans="2:4" ht="15.6" hidden="1" customHeight="1" outlineLevel="1" thickTop="1" thickBot="1">
      <c r="B21" s="268" t="s">
        <v>436</v>
      </c>
      <c r="C21" s="268" t="s">
        <v>422</v>
      </c>
      <c r="D21" s="269">
        <v>0.09</v>
      </c>
    </row>
    <row r="22" spans="2:4" ht="15.6" hidden="1" customHeight="1" outlineLevel="1" thickTop="1" thickBot="1">
      <c r="B22" s="268" t="s">
        <v>437</v>
      </c>
      <c r="C22" s="268" t="s">
        <v>422</v>
      </c>
      <c r="D22" s="269">
        <v>0.08</v>
      </c>
    </row>
    <row r="23" spans="2:4" ht="15.6" hidden="1" customHeight="1" outlineLevel="1" thickTop="1" thickBot="1">
      <c r="B23" s="268" t="s">
        <v>438</v>
      </c>
      <c r="C23" s="268" t="s">
        <v>422</v>
      </c>
      <c r="D23" s="269">
        <v>7.0000000000000007E-2</v>
      </c>
    </row>
    <row r="24" spans="2:4" ht="15.6" hidden="1" customHeight="1" outlineLevel="1" thickTop="1" thickBot="1">
      <c r="B24" s="268" t="s">
        <v>439</v>
      </c>
      <c r="C24" s="268" t="s">
        <v>422</v>
      </c>
      <c r="D24" s="269">
        <v>0.06</v>
      </c>
    </row>
    <row r="25" spans="2:4" ht="15.6" hidden="1" customHeight="1" outlineLevel="1" thickTop="1" thickBot="1">
      <c r="B25" s="268" t="s">
        <v>440</v>
      </c>
      <c r="C25" s="268" t="s">
        <v>422</v>
      </c>
      <c r="D25" s="269">
        <v>0.01</v>
      </c>
    </row>
    <row r="26" spans="2:4" ht="15.6" hidden="1" customHeight="1" outlineLevel="1" thickTop="1" thickBot="1">
      <c r="B26" s="268" t="s">
        <v>441</v>
      </c>
      <c r="C26" s="268" t="s">
        <v>422</v>
      </c>
      <c r="D26" s="269">
        <v>0</v>
      </c>
    </row>
    <row r="27" spans="2:4" ht="15.6" hidden="1" customHeight="1" outlineLevel="1" thickTop="1" thickBot="1">
      <c r="B27" s="268" t="s">
        <v>442</v>
      </c>
      <c r="C27" s="268" t="s">
        <v>422</v>
      </c>
      <c r="D27" s="269">
        <v>0</v>
      </c>
    </row>
    <row r="28" spans="2:4" ht="15.6" hidden="1" customHeight="1" outlineLevel="1" thickTop="1" thickBot="1">
      <c r="B28" s="268" t="s">
        <v>443</v>
      </c>
      <c r="C28" s="268" t="s">
        <v>422</v>
      </c>
      <c r="D28" s="269">
        <v>0</v>
      </c>
    </row>
    <row r="29" spans="2:4" ht="15.6" hidden="1" customHeight="1" outlineLevel="1" thickTop="1" thickBot="1">
      <c r="B29" s="268" t="s">
        <v>444</v>
      </c>
      <c r="C29" s="268" t="s">
        <v>422</v>
      </c>
      <c r="D29" s="269">
        <v>0</v>
      </c>
    </row>
    <row r="30" spans="2:4" ht="15.6" hidden="1" customHeight="1" outlineLevel="1" thickTop="1" thickBot="1">
      <c r="B30" s="267" t="s">
        <v>445</v>
      </c>
      <c r="C30" s="268"/>
      <c r="D30" s="269">
        <v>51.2</v>
      </c>
    </row>
    <row r="31" spans="2:4" ht="15.6" hidden="1" customHeight="1" outlineLevel="1" thickTop="1" thickBot="1">
      <c r="B31" s="267" t="s">
        <v>446</v>
      </c>
      <c r="C31" s="268"/>
      <c r="D31" s="269">
        <v>0</v>
      </c>
    </row>
    <row r="32" spans="2:4" ht="15.6" hidden="1" customHeight="1" outlineLevel="1" thickTop="1" thickBot="1">
      <c r="B32" s="267" t="s">
        <v>447</v>
      </c>
      <c r="C32" s="268"/>
      <c r="D32" s="269">
        <v>51.2</v>
      </c>
    </row>
    <row r="33" spans="2:5" collapsed="1">
      <c r="B33" s="272" t="s">
        <v>536</v>
      </c>
    </row>
    <row r="34" spans="2:5" ht="127.2" customHeight="1" outlineLevel="1">
      <c r="B34" s="270" t="s">
        <v>449</v>
      </c>
      <c r="C34" s="270" t="s">
        <v>450</v>
      </c>
      <c r="D34" s="270" t="s">
        <v>451</v>
      </c>
      <c r="E34" s="270" t="s">
        <v>534</v>
      </c>
    </row>
    <row r="35" spans="2:5" outlineLevel="1">
      <c r="B35" s="270"/>
      <c r="C35" s="270"/>
      <c r="D35" s="270"/>
      <c r="E35" s="270"/>
    </row>
    <row r="36" spans="2:5" ht="15" outlineLevel="1" thickBot="1">
      <c r="B36" s="277"/>
      <c r="C36" s="277"/>
      <c r="D36" s="277"/>
      <c r="E36" s="277"/>
    </row>
    <row r="37" spans="2:5" outlineLevel="1">
      <c r="B37" s="273" t="s">
        <v>452</v>
      </c>
      <c r="C37" s="274">
        <v>0</v>
      </c>
      <c r="D37" s="274" t="s">
        <v>402</v>
      </c>
      <c r="E37" s="274">
        <v>0</v>
      </c>
    </row>
    <row r="38" spans="2:5" outlineLevel="1">
      <c r="B38" s="273" t="s">
        <v>453</v>
      </c>
      <c r="C38" s="274">
        <v>0</v>
      </c>
      <c r="D38" s="274" t="s">
        <v>402</v>
      </c>
      <c r="E38" s="274">
        <v>0</v>
      </c>
    </row>
    <row r="39" spans="2:5" outlineLevel="1">
      <c r="B39" s="273" t="s">
        <v>454</v>
      </c>
      <c r="C39" s="274">
        <v>30</v>
      </c>
      <c r="D39" s="274" t="s">
        <v>455</v>
      </c>
      <c r="E39" s="274">
        <v>15.57</v>
      </c>
    </row>
    <row r="40" spans="2:5" outlineLevel="1">
      <c r="B40" s="275" t="s">
        <v>456</v>
      </c>
      <c r="C40" s="274">
        <v>1</v>
      </c>
      <c r="D40" s="274" t="s">
        <v>457</v>
      </c>
      <c r="E40" s="274">
        <v>1.45</v>
      </c>
    </row>
    <row r="41" spans="2:5" outlineLevel="1">
      <c r="B41" s="275" t="s">
        <v>458</v>
      </c>
      <c r="C41" s="274">
        <v>1</v>
      </c>
      <c r="D41" s="274" t="s">
        <v>459</v>
      </c>
      <c r="E41" s="274">
        <v>1.93</v>
      </c>
    </row>
    <row r="42" spans="2:5" outlineLevel="1">
      <c r="B42" s="275" t="s">
        <v>460</v>
      </c>
      <c r="C42" s="274">
        <v>1</v>
      </c>
      <c r="D42" s="274" t="s">
        <v>461</v>
      </c>
      <c r="E42" s="274">
        <v>2.42</v>
      </c>
    </row>
    <row r="43" spans="2:5" outlineLevel="1">
      <c r="B43" s="275" t="s">
        <v>462</v>
      </c>
      <c r="C43" s="274">
        <v>1</v>
      </c>
      <c r="D43" s="274" t="s">
        <v>463</v>
      </c>
      <c r="E43" s="274">
        <v>3.1</v>
      </c>
    </row>
    <row r="44" spans="2:5" outlineLevel="1">
      <c r="B44" s="275" t="s">
        <v>464</v>
      </c>
      <c r="C44" s="274">
        <v>1</v>
      </c>
      <c r="D44" s="274" t="s">
        <v>465</v>
      </c>
      <c r="E44" s="274">
        <v>4.0599999999999996</v>
      </c>
    </row>
    <row r="45" spans="2:5" outlineLevel="1">
      <c r="B45" s="273" t="s">
        <v>466</v>
      </c>
      <c r="C45" s="274">
        <v>0</v>
      </c>
      <c r="D45" s="274" t="s">
        <v>402</v>
      </c>
      <c r="E45" s="274">
        <v>0</v>
      </c>
    </row>
    <row r="46" spans="2:5" outlineLevel="1">
      <c r="B46" s="273" t="s">
        <v>467</v>
      </c>
      <c r="C46" s="274">
        <v>15</v>
      </c>
      <c r="D46" s="274" t="s">
        <v>468</v>
      </c>
      <c r="E46" s="274">
        <v>0.31</v>
      </c>
    </row>
    <row r="47" spans="2:5" outlineLevel="1">
      <c r="B47" s="273" t="s">
        <v>469</v>
      </c>
      <c r="C47" s="274">
        <v>1</v>
      </c>
      <c r="D47" s="274">
        <v>34</v>
      </c>
      <c r="E47" s="274">
        <v>0</v>
      </c>
    </row>
    <row r="48" spans="2:5" outlineLevel="1">
      <c r="B48" s="273" t="s">
        <v>470</v>
      </c>
      <c r="C48" s="274">
        <v>20</v>
      </c>
      <c r="D48" s="274" t="s">
        <v>471</v>
      </c>
      <c r="E48" s="274">
        <v>4.18</v>
      </c>
    </row>
    <row r="49" spans="2:5" outlineLevel="1">
      <c r="B49" s="275" t="s">
        <v>472</v>
      </c>
      <c r="C49" s="274">
        <v>1</v>
      </c>
      <c r="D49" s="274" t="s">
        <v>473</v>
      </c>
      <c r="E49" s="274">
        <v>1.33</v>
      </c>
    </row>
    <row r="50" spans="2:5" outlineLevel="1">
      <c r="B50" s="275" t="s">
        <v>474</v>
      </c>
      <c r="C50" s="274">
        <v>1</v>
      </c>
      <c r="D50" s="274" t="s">
        <v>475</v>
      </c>
      <c r="E50" s="274">
        <v>1.56</v>
      </c>
    </row>
    <row r="51" spans="2:5" outlineLevel="1">
      <c r="B51" s="273" t="s">
        <v>476</v>
      </c>
      <c r="C51" s="274">
        <v>1</v>
      </c>
      <c r="D51" s="274" t="s">
        <v>477</v>
      </c>
      <c r="E51" s="274">
        <v>1.33</v>
      </c>
    </row>
    <row r="52" spans="2:5" outlineLevel="1">
      <c r="B52" s="275" t="s">
        <v>478</v>
      </c>
      <c r="C52" s="274">
        <v>1</v>
      </c>
      <c r="D52" s="274" t="s">
        <v>477</v>
      </c>
      <c r="E52" s="274">
        <v>1.33</v>
      </c>
    </row>
    <row r="53" spans="2:5" outlineLevel="1">
      <c r="B53" s="273" t="s">
        <v>479</v>
      </c>
      <c r="C53" s="274">
        <v>0</v>
      </c>
      <c r="D53" s="274" t="s">
        <v>402</v>
      </c>
      <c r="E53" s="274">
        <v>0</v>
      </c>
    </row>
    <row r="54" spans="2:5" outlineLevel="1">
      <c r="B54" s="273" t="s">
        <v>480</v>
      </c>
      <c r="C54" s="274">
        <v>0</v>
      </c>
      <c r="D54" s="274" t="s">
        <v>402</v>
      </c>
      <c r="E54" s="274">
        <v>0</v>
      </c>
    </row>
    <row r="55" spans="2:5" outlineLevel="1">
      <c r="B55" s="273" t="s">
        <v>481</v>
      </c>
      <c r="C55" s="274">
        <v>0</v>
      </c>
      <c r="D55" s="274" t="s">
        <v>402</v>
      </c>
      <c r="E55" s="274">
        <v>0</v>
      </c>
    </row>
    <row r="56" spans="2:5" outlineLevel="1">
      <c r="B56" s="273" t="s">
        <v>482</v>
      </c>
      <c r="C56" s="274">
        <v>0</v>
      </c>
      <c r="D56" s="274" t="s">
        <v>402</v>
      </c>
      <c r="E56" s="274">
        <v>0</v>
      </c>
    </row>
    <row r="57" spans="2:5" outlineLevel="1">
      <c r="B57" s="273" t="s">
        <v>483</v>
      </c>
      <c r="C57" s="274">
        <v>0</v>
      </c>
      <c r="D57" s="274" t="s">
        <v>402</v>
      </c>
      <c r="E57" s="274">
        <v>0</v>
      </c>
    </row>
    <row r="58" spans="2:5" outlineLevel="1">
      <c r="B58" s="273" t="s">
        <v>484</v>
      </c>
      <c r="C58" s="274">
        <v>67</v>
      </c>
      <c r="D58" s="274" t="s">
        <v>485</v>
      </c>
      <c r="E58" s="274">
        <v>21.4</v>
      </c>
    </row>
    <row r="59" spans="2:5" outlineLevel="1">
      <c r="B59" s="273" t="s">
        <v>486</v>
      </c>
      <c r="C59" s="274">
        <v>0</v>
      </c>
      <c r="D59" s="274" t="s">
        <v>402</v>
      </c>
      <c r="E59" s="274">
        <v>0</v>
      </c>
    </row>
    <row r="60" spans="2:5" outlineLevel="1">
      <c r="B60" s="273" t="s">
        <v>487</v>
      </c>
      <c r="C60" s="274">
        <v>0</v>
      </c>
      <c r="D60" s="274" t="s">
        <v>402</v>
      </c>
      <c r="E60" s="274">
        <v>0</v>
      </c>
    </row>
    <row r="61" spans="2:5" outlineLevel="1">
      <c r="B61" s="273" t="s">
        <v>488</v>
      </c>
      <c r="C61" s="274">
        <v>0</v>
      </c>
      <c r="D61" s="274" t="s">
        <v>402</v>
      </c>
      <c r="E61" s="274">
        <v>0</v>
      </c>
    </row>
    <row r="62" spans="2:5" outlineLevel="1">
      <c r="B62" s="273" t="s">
        <v>480</v>
      </c>
      <c r="C62" s="274">
        <v>0</v>
      </c>
      <c r="D62" s="274" t="s">
        <v>402</v>
      </c>
      <c r="E62" s="274">
        <v>0</v>
      </c>
    </row>
    <row r="63" spans="2:5" outlineLevel="1">
      <c r="B63" s="273" t="s">
        <v>489</v>
      </c>
      <c r="C63" s="274">
        <v>519</v>
      </c>
      <c r="D63" s="274" t="s">
        <v>490</v>
      </c>
      <c r="E63" s="274">
        <v>9.85</v>
      </c>
    </row>
    <row r="64" spans="2:5" outlineLevel="1">
      <c r="B64" s="273" t="s">
        <v>491</v>
      </c>
      <c r="C64" s="274">
        <v>21</v>
      </c>
      <c r="D64" s="274" t="s">
        <v>492</v>
      </c>
      <c r="E64" s="274">
        <v>0.3</v>
      </c>
    </row>
    <row r="65" spans="2:5" outlineLevel="1">
      <c r="B65" s="273" t="s">
        <v>493</v>
      </c>
      <c r="C65" s="274">
        <v>0</v>
      </c>
      <c r="D65" s="274" t="s">
        <v>402</v>
      </c>
      <c r="E65" s="274">
        <v>0</v>
      </c>
    </row>
    <row r="66" spans="2:5" outlineLevel="1">
      <c r="B66" s="273" t="s">
        <v>494</v>
      </c>
      <c r="C66" s="274">
        <v>0</v>
      </c>
      <c r="D66" s="274" t="s">
        <v>402</v>
      </c>
      <c r="E66" s="274">
        <v>0</v>
      </c>
    </row>
    <row r="67" spans="2:5" outlineLevel="1">
      <c r="B67" s="273" t="s">
        <v>495</v>
      </c>
      <c r="C67" s="274">
        <v>540</v>
      </c>
      <c r="D67" s="274" t="s">
        <v>496</v>
      </c>
      <c r="E67" s="274">
        <v>10.16</v>
      </c>
    </row>
    <row r="68" spans="2:5" outlineLevel="1">
      <c r="B68" s="273" t="s">
        <v>497</v>
      </c>
      <c r="C68" s="274">
        <v>0</v>
      </c>
      <c r="D68" s="274" t="s">
        <v>402</v>
      </c>
      <c r="E68" s="274">
        <v>0</v>
      </c>
    </row>
    <row r="69" spans="2:5" outlineLevel="1">
      <c r="B69" s="273" t="s">
        <v>498</v>
      </c>
      <c r="C69" s="274">
        <v>0</v>
      </c>
      <c r="D69" s="274" t="s">
        <v>402</v>
      </c>
      <c r="E69" s="274">
        <v>0</v>
      </c>
    </row>
    <row r="70" spans="2:5" outlineLevel="1">
      <c r="B70" s="273" t="s">
        <v>499</v>
      </c>
      <c r="C70" s="274">
        <v>0</v>
      </c>
      <c r="D70" s="274" t="s">
        <v>402</v>
      </c>
      <c r="E70" s="274">
        <v>0</v>
      </c>
    </row>
    <row r="71" spans="2:5" outlineLevel="1">
      <c r="B71" s="273" t="s">
        <v>500</v>
      </c>
      <c r="C71" s="274">
        <v>0</v>
      </c>
      <c r="D71" s="274" t="s">
        <v>402</v>
      </c>
      <c r="E71" s="274">
        <v>0</v>
      </c>
    </row>
    <row r="72" spans="2:5" outlineLevel="1">
      <c r="B72" s="273" t="s">
        <v>501</v>
      </c>
      <c r="C72" s="274">
        <v>0</v>
      </c>
      <c r="D72" s="274" t="s">
        <v>402</v>
      </c>
      <c r="E72" s="274">
        <v>0</v>
      </c>
    </row>
    <row r="73" spans="2:5" outlineLevel="1">
      <c r="B73" s="273" t="s">
        <v>502</v>
      </c>
      <c r="C73" s="274">
        <v>0</v>
      </c>
      <c r="D73" s="274" t="s">
        <v>402</v>
      </c>
      <c r="E73" s="274">
        <v>0</v>
      </c>
    </row>
    <row r="74" spans="2:5" outlineLevel="1">
      <c r="B74" s="273" t="s">
        <v>503</v>
      </c>
      <c r="C74" s="274">
        <v>0</v>
      </c>
      <c r="D74" s="274" t="s">
        <v>402</v>
      </c>
      <c r="E74" s="274">
        <v>0</v>
      </c>
    </row>
    <row r="75" spans="2:5" outlineLevel="1">
      <c r="B75" s="273" t="s">
        <v>504</v>
      </c>
      <c r="C75" s="274">
        <v>1</v>
      </c>
      <c r="D75" s="274">
        <v>1</v>
      </c>
      <c r="E75" s="274">
        <v>0</v>
      </c>
    </row>
    <row r="76" spans="2:5" outlineLevel="1">
      <c r="B76" s="273" t="s">
        <v>505</v>
      </c>
      <c r="C76" s="274">
        <v>1</v>
      </c>
      <c r="D76" s="274">
        <v>108</v>
      </c>
      <c r="E76" s="274">
        <v>0</v>
      </c>
    </row>
    <row r="77" spans="2:5" outlineLevel="1">
      <c r="B77" s="273" t="s">
        <v>506</v>
      </c>
      <c r="C77" s="274">
        <v>0</v>
      </c>
      <c r="D77" s="274" t="s">
        <v>402</v>
      </c>
      <c r="E77" s="274">
        <v>0</v>
      </c>
    </row>
    <row r="78" spans="2:5" outlineLevel="1">
      <c r="B78" s="273" t="s">
        <v>507</v>
      </c>
      <c r="C78" s="274">
        <v>0</v>
      </c>
      <c r="D78" s="274" t="s">
        <v>402</v>
      </c>
      <c r="E78" s="274">
        <v>0</v>
      </c>
    </row>
    <row r="79" spans="2:5" outlineLevel="1">
      <c r="B79" s="273" t="s">
        <v>508</v>
      </c>
      <c r="C79" s="274">
        <v>1</v>
      </c>
      <c r="D79" s="274">
        <v>416</v>
      </c>
      <c r="E79" s="274">
        <v>0</v>
      </c>
    </row>
    <row r="80" spans="2:5" outlineLevel="1">
      <c r="B80" s="273" t="s">
        <v>509</v>
      </c>
      <c r="C80" s="276">
        <v>57558</v>
      </c>
      <c r="D80" s="274" t="s">
        <v>510</v>
      </c>
      <c r="E80" s="274">
        <v>1.1599999999999999</v>
      </c>
    </row>
    <row r="81" spans="2:5" outlineLevel="1">
      <c r="B81" s="273" t="s">
        <v>511</v>
      </c>
      <c r="C81" s="274">
        <v>17</v>
      </c>
      <c r="D81" s="274" t="s">
        <v>512</v>
      </c>
      <c r="E81" s="274">
        <v>15.9</v>
      </c>
    </row>
    <row r="82" spans="2:5" outlineLevel="1">
      <c r="B82" s="275" t="s">
        <v>513</v>
      </c>
      <c r="C82" s="274">
        <v>1</v>
      </c>
      <c r="D82" s="274" t="s">
        <v>514</v>
      </c>
      <c r="E82" s="274">
        <v>2.31</v>
      </c>
    </row>
    <row r="83" spans="2:5" outlineLevel="1">
      <c r="B83" s="275" t="s">
        <v>515</v>
      </c>
      <c r="C83" s="274">
        <v>1</v>
      </c>
      <c r="D83" s="274" t="s">
        <v>516</v>
      </c>
      <c r="E83" s="274">
        <v>2.25</v>
      </c>
    </row>
    <row r="84" spans="2:5" outlineLevel="1">
      <c r="B84" s="275" t="s">
        <v>517</v>
      </c>
      <c r="C84" s="274">
        <v>1</v>
      </c>
      <c r="D84" s="274" t="s">
        <v>518</v>
      </c>
      <c r="E84" s="274">
        <v>2.0099999999999998</v>
      </c>
    </row>
    <row r="85" spans="2:5" outlineLevel="1">
      <c r="B85" s="275" t="s">
        <v>519</v>
      </c>
      <c r="C85" s="274">
        <v>1</v>
      </c>
      <c r="D85" s="274" t="s">
        <v>520</v>
      </c>
      <c r="E85" s="274">
        <v>2.4900000000000002</v>
      </c>
    </row>
    <row r="86" spans="2:5" outlineLevel="1">
      <c r="B86" s="275" t="s">
        <v>521</v>
      </c>
      <c r="C86" s="274">
        <v>1</v>
      </c>
      <c r="D86" s="274" t="s">
        <v>522</v>
      </c>
      <c r="E86" s="274">
        <v>1.24</v>
      </c>
    </row>
    <row r="87" spans="2:5" outlineLevel="1">
      <c r="B87" s="275" t="s">
        <v>523</v>
      </c>
      <c r="C87" s="274">
        <v>1</v>
      </c>
      <c r="D87" s="274" t="s">
        <v>524</v>
      </c>
      <c r="E87" s="274">
        <v>1.41</v>
      </c>
    </row>
    <row r="88" spans="2:5" outlineLevel="1">
      <c r="B88" s="273" t="s">
        <v>525</v>
      </c>
      <c r="C88" s="276">
        <v>2085</v>
      </c>
      <c r="D88" s="276">
        <v>75595</v>
      </c>
      <c r="E88" s="274">
        <v>0.06</v>
      </c>
    </row>
    <row r="89" spans="2:5" outlineLevel="1">
      <c r="B89" s="273" t="s">
        <v>526</v>
      </c>
      <c r="C89" s="274">
        <v>1</v>
      </c>
      <c r="D89" s="274">
        <v>17</v>
      </c>
      <c r="E89" s="274">
        <v>0</v>
      </c>
    </row>
    <row r="90" spans="2:5" outlineLevel="1">
      <c r="B90" s="273" t="s">
        <v>527</v>
      </c>
      <c r="C90" s="274">
        <v>0</v>
      </c>
      <c r="D90" s="274" t="s">
        <v>402</v>
      </c>
      <c r="E90" s="274">
        <v>0</v>
      </c>
    </row>
    <row r="91" spans="2:5" outlineLevel="1">
      <c r="B91" s="273" t="s">
        <v>528</v>
      </c>
      <c r="C91" s="274">
        <v>520</v>
      </c>
      <c r="D91" s="276">
        <v>90146</v>
      </c>
      <c r="E91" s="274">
        <v>0.08</v>
      </c>
    </row>
    <row r="92" spans="2:5" outlineLevel="1">
      <c r="B92" s="273" t="s">
        <v>529</v>
      </c>
      <c r="C92" s="276">
        <v>2022</v>
      </c>
      <c r="D92" s="276">
        <v>59813</v>
      </c>
      <c r="E92" s="274">
        <v>0.05</v>
      </c>
    </row>
    <row r="93" spans="2:5" outlineLevel="1">
      <c r="B93" s="273" t="s">
        <v>529</v>
      </c>
      <c r="C93" s="274">
        <v>2</v>
      </c>
      <c r="D93" s="276">
        <v>2055</v>
      </c>
      <c r="E93" s="274">
        <v>0</v>
      </c>
    </row>
    <row r="94" spans="2:5" outlineLevel="1">
      <c r="B94" s="273" t="s">
        <v>529</v>
      </c>
      <c r="C94" s="274">
        <v>62</v>
      </c>
      <c r="D94" s="276">
        <v>15345</v>
      </c>
      <c r="E94" s="274">
        <v>0.01</v>
      </c>
    </row>
    <row r="95" spans="2:5" outlineLevel="1">
      <c r="B95" s="273" t="s">
        <v>529</v>
      </c>
      <c r="C95" s="276">
        <v>1937</v>
      </c>
      <c r="D95" s="276">
        <v>40522</v>
      </c>
      <c r="E95" s="274">
        <v>0.03</v>
      </c>
    </row>
    <row r="96" spans="2:5" outlineLevel="1">
      <c r="B96" s="273" t="s">
        <v>529</v>
      </c>
      <c r="C96" s="274">
        <v>21</v>
      </c>
      <c r="D96" s="276">
        <v>1891</v>
      </c>
      <c r="E96" s="274">
        <v>0</v>
      </c>
    </row>
    <row r="97" spans="2:5" outlineLevel="1">
      <c r="B97" s="273" t="s">
        <v>530</v>
      </c>
      <c r="C97" s="276">
        <v>62206</v>
      </c>
      <c r="D97" s="274" t="s">
        <v>531</v>
      </c>
      <c r="E97" s="274">
        <v>17.25</v>
      </c>
    </row>
    <row r="98" spans="2:5" outlineLevel="1">
      <c r="B98" s="273" t="s">
        <v>532</v>
      </c>
      <c r="C98" s="276">
        <v>62813</v>
      </c>
      <c r="D98" s="274" t="s">
        <v>533</v>
      </c>
      <c r="E98" s="274">
        <v>48.8</v>
      </c>
    </row>
    <row r="99" spans="2:5">
      <c r="B99" s="273" t="s">
        <v>535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X62"/>
  <sheetViews>
    <sheetView showGridLines="0" topLeftCell="G1" zoomScale="92" workbookViewId="0">
      <selection activeCell="G7" sqref="G7"/>
    </sheetView>
  </sheetViews>
  <sheetFormatPr defaultRowHeight="14.4"/>
  <cols>
    <col min="2" max="2" width="39.21875" bestFit="1" customWidth="1"/>
    <col min="3" max="3" width="7.88671875" bestFit="1" customWidth="1"/>
    <col min="4" max="7" width="8.6640625" bestFit="1" customWidth="1"/>
    <col min="11" max="11" width="40.6640625" bestFit="1" customWidth="1"/>
    <col min="12" max="14" width="10.88671875" bestFit="1" customWidth="1"/>
    <col min="15" max="15" width="11.44140625" bestFit="1" customWidth="1"/>
    <col min="16" max="16" width="11.77734375" bestFit="1" customWidth="1"/>
    <col min="19" max="19" width="146.77734375" bestFit="1" customWidth="1"/>
    <col min="20" max="20" width="9.5546875" bestFit="1" customWidth="1"/>
    <col min="21" max="24" width="9.88671875" bestFit="1" customWidth="1"/>
  </cols>
  <sheetData>
    <row r="2" spans="2:24" ht="87" customHeight="1">
      <c r="B2" s="293" t="s">
        <v>62</v>
      </c>
      <c r="C2" s="289"/>
      <c r="D2" s="289"/>
      <c r="E2" s="289"/>
      <c r="F2" s="289"/>
      <c r="G2" s="289"/>
      <c r="K2" s="293" t="s">
        <v>62</v>
      </c>
      <c r="L2" s="289"/>
      <c r="M2" s="289"/>
      <c r="N2" s="289"/>
      <c r="O2" s="289"/>
      <c r="P2" s="289"/>
      <c r="Q2" s="1"/>
      <c r="R2" s="1"/>
      <c r="S2" s="293" t="s">
        <v>63</v>
      </c>
      <c r="T2" s="289"/>
      <c r="U2" s="289"/>
      <c r="V2" s="289"/>
      <c r="W2" s="289"/>
      <c r="X2" s="289"/>
    </row>
    <row r="3" spans="2:24" ht="58.2" customHeight="1">
      <c r="B3" s="292" t="s">
        <v>64</v>
      </c>
      <c r="C3" s="289"/>
      <c r="D3" s="289"/>
      <c r="E3" s="289"/>
      <c r="F3" s="289"/>
      <c r="G3" s="289"/>
      <c r="K3" s="292" t="s">
        <v>64</v>
      </c>
      <c r="L3" s="289"/>
      <c r="M3" s="289"/>
      <c r="N3" s="289"/>
      <c r="O3" s="289"/>
      <c r="P3" s="289"/>
      <c r="Q3" s="1"/>
      <c r="R3" s="1"/>
      <c r="S3" s="292" t="s">
        <v>65</v>
      </c>
      <c r="T3" s="289"/>
      <c r="U3" s="289"/>
      <c r="V3" s="289"/>
      <c r="W3" s="289"/>
      <c r="X3" s="289"/>
    </row>
    <row r="4" spans="2:24">
      <c r="B4" s="2" t="s">
        <v>66</v>
      </c>
      <c r="C4" s="2">
        <v>2021</v>
      </c>
      <c r="D4" s="2">
        <v>2022</v>
      </c>
      <c r="E4" s="2">
        <v>2023</v>
      </c>
      <c r="F4" s="2">
        <v>2024</v>
      </c>
      <c r="G4" s="2">
        <v>2025</v>
      </c>
      <c r="K4" s="6" t="s">
        <v>66</v>
      </c>
      <c r="L4" s="6">
        <v>2021</v>
      </c>
      <c r="M4" s="6">
        <v>2022</v>
      </c>
      <c r="N4" s="6">
        <v>2023</v>
      </c>
      <c r="O4" s="6">
        <v>2024</v>
      </c>
      <c r="P4" s="6">
        <v>2025</v>
      </c>
      <c r="S4" s="139" t="s">
        <v>66</v>
      </c>
      <c r="T4" s="139" t="s">
        <v>67</v>
      </c>
      <c r="U4" s="139" t="s">
        <v>68</v>
      </c>
      <c r="V4" s="139" t="s">
        <v>69</v>
      </c>
      <c r="W4" s="139" t="s">
        <v>70</v>
      </c>
      <c r="X4" s="139" t="s">
        <v>71</v>
      </c>
    </row>
    <row r="5" spans="2:24">
      <c r="B5" s="3" t="s">
        <v>72</v>
      </c>
      <c r="C5" s="4"/>
      <c r="D5" s="4"/>
      <c r="E5" s="4"/>
      <c r="F5" s="4"/>
      <c r="G5" s="4"/>
      <c r="K5" s="7" t="s">
        <v>73</v>
      </c>
      <c r="L5" s="8"/>
      <c r="M5" s="8"/>
      <c r="N5" s="8"/>
      <c r="O5" s="8"/>
      <c r="P5" s="8"/>
      <c r="S5" s="140" t="s">
        <v>74</v>
      </c>
    </row>
    <row r="6" spans="2:24">
      <c r="B6" s="5" t="s">
        <v>75</v>
      </c>
      <c r="C6" s="138">
        <v>9654.9</v>
      </c>
      <c r="D6" s="138">
        <v>10732.8</v>
      </c>
      <c r="E6" s="138">
        <v>11981.4</v>
      </c>
      <c r="F6" s="138">
        <v>12667.6</v>
      </c>
      <c r="G6" s="138">
        <v>12964.5</v>
      </c>
      <c r="K6" s="7" t="s">
        <v>76</v>
      </c>
      <c r="L6" s="8"/>
      <c r="M6" s="8"/>
      <c r="N6" s="8"/>
      <c r="O6" s="8"/>
      <c r="P6" s="8"/>
      <c r="S6" t="s">
        <v>77</v>
      </c>
      <c r="T6" s="138">
        <v>1319.1</v>
      </c>
      <c r="U6" s="138">
        <v>1616.3</v>
      </c>
      <c r="V6" s="138">
        <v>2099.5</v>
      </c>
      <c r="W6" s="138">
        <v>2023.1</v>
      </c>
      <c r="X6" s="138">
        <v>2527</v>
      </c>
    </row>
    <row r="7" spans="2:24">
      <c r="B7" s="5" t="s">
        <v>78</v>
      </c>
      <c r="C7" s="138">
        <v>264.5</v>
      </c>
      <c r="D7" s="138">
        <v>320.39999999999998</v>
      </c>
      <c r="E7" s="138">
        <v>353.7</v>
      </c>
      <c r="F7" s="138">
        <v>310.8</v>
      </c>
      <c r="G7" s="138">
        <v>493.7</v>
      </c>
      <c r="K7" s="9" t="s">
        <v>79</v>
      </c>
      <c r="L7" s="138">
        <v>1518.8</v>
      </c>
      <c r="M7" s="138">
        <v>1654.3</v>
      </c>
      <c r="N7" s="138">
        <v>1798.4</v>
      </c>
      <c r="O7" s="138">
        <v>2161.5</v>
      </c>
      <c r="P7" s="138">
        <v>2063.9</v>
      </c>
      <c r="S7" t="s">
        <v>80</v>
      </c>
    </row>
    <row r="8" spans="2:24">
      <c r="B8" s="3" t="s">
        <v>81</v>
      </c>
      <c r="C8" s="138">
        <v>9919.4</v>
      </c>
      <c r="D8" s="138">
        <v>11053.2</v>
      </c>
      <c r="E8" s="138">
        <v>12335.1</v>
      </c>
      <c r="F8" s="138">
        <v>12978.4</v>
      </c>
      <c r="G8" s="138">
        <v>13458.3</v>
      </c>
      <c r="K8" s="9" t="s">
        <v>82</v>
      </c>
      <c r="L8" s="138">
        <v>167.2</v>
      </c>
      <c r="M8" s="138">
        <v>189.5</v>
      </c>
      <c r="N8" s="138">
        <v>215.8</v>
      </c>
      <c r="O8" s="138">
        <v>247.2</v>
      </c>
      <c r="P8" s="138">
        <v>322.2</v>
      </c>
      <c r="S8" t="s">
        <v>83</v>
      </c>
      <c r="T8" s="138">
        <v>215.9</v>
      </c>
      <c r="U8" s="138">
        <v>240</v>
      </c>
      <c r="V8" s="138">
        <v>265</v>
      </c>
      <c r="W8" s="138">
        <v>299.3</v>
      </c>
      <c r="X8" s="138">
        <v>357.2</v>
      </c>
    </row>
    <row r="9" spans="2:24">
      <c r="B9" s="3" t="s">
        <v>84</v>
      </c>
      <c r="C9" s="4"/>
      <c r="D9" s="4"/>
      <c r="E9" s="4"/>
      <c r="F9" s="4"/>
      <c r="G9" s="4"/>
      <c r="K9" s="9" t="s">
        <v>85</v>
      </c>
      <c r="L9" s="138">
        <v>89.5</v>
      </c>
      <c r="M9" s="138">
        <v>102.3</v>
      </c>
      <c r="N9" s="138">
        <v>145.19999999999999</v>
      </c>
      <c r="O9" s="138">
        <v>148.4</v>
      </c>
      <c r="P9" s="138">
        <v>476.6</v>
      </c>
      <c r="S9" t="s">
        <v>86</v>
      </c>
      <c r="T9" s="138">
        <v>-1.8</v>
      </c>
      <c r="U9" s="138">
        <v>-2.1</v>
      </c>
      <c r="V9" s="138">
        <v>-2.5</v>
      </c>
      <c r="W9" s="138">
        <v>-1.9</v>
      </c>
      <c r="X9" s="138">
        <v>-15.5</v>
      </c>
    </row>
    <row r="10" spans="2:24">
      <c r="B10" s="5" t="s">
        <v>87</v>
      </c>
      <c r="C10" s="138">
        <v>2788.3</v>
      </c>
      <c r="D10" s="138">
        <v>3065.8</v>
      </c>
      <c r="E10" s="138">
        <v>3300</v>
      </c>
      <c r="F10" s="138">
        <v>3294.6</v>
      </c>
      <c r="G10" s="138">
        <v>3440.4</v>
      </c>
      <c r="K10" s="9" t="s">
        <v>88</v>
      </c>
      <c r="L10" s="138">
        <v>324.10000000000002</v>
      </c>
      <c r="M10" s="138">
        <v>368.9</v>
      </c>
      <c r="N10" s="138">
        <v>412.3</v>
      </c>
      <c r="O10" s="138">
        <v>418.8</v>
      </c>
      <c r="P10" s="138">
        <v>423</v>
      </c>
      <c r="S10" t="s">
        <v>89</v>
      </c>
      <c r="T10" s="138">
        <v>-9.1999999999999993</v>
      </c>
      <c r="U10" s="138">
        <v>-10.5</v>
      </c>
      <c r="V10" s="138">
        <v>-12</v>
      </c>
      <c r="W10" s="138">
        <v>-14.6</v>
      </c>
      <c r="X10" s="138">
        <v>-11</v>
      </c>
    </row>
    <row r="11" spans="2:24">
      <c r="B11" s="5" t="s">
        <v>90</v>
      </c>
      <c r="C11" s="138">
        <v>1236.8</v>
      </c>
      <c r="D11" s="138">
        <v>1404.7</v>
      </c>
      <c r="E11" s="138">
        <v>1550</v>
      </c>
      <c r="F11" s="138">
        <v>1628.9</v>
      </c>
      <c r="G11" s="138">
        <v>1514</v>
      </c>
      <c r="K11" s="9" t="s">
        <v>91</v>
      </c>
      <c r="L11" s="138">
        <v>27.9</v>
      </c>
      <c r="M11" s="138">
        <v>31.2</v>
      </c>
      <c r="N11" s="138">
        <v>35.4</v>
      </c>
      <c r="O11" s="138">
        <v>37.4</v>
      </c>
      <c r="P11" s="138">
        <v>43.1</v>
      </c>
      <c r="S11" t="s">
        <v>92</v>
      </c>
      <c r="T11" s="138">
        <v>-0.4</v>
      </c>
      <c r="U11" s="138">
        <v>-0.5</v>
      </c>
      <c r="V11" s="138">
        <v>-0.6</v>
      </c>
      <c r="W11" s="138">
        <v>-0.5</v>
      </c>
      <c r="X11" s="138">
        <v>-41.9</v>
      </c>
    </row>
    <row r="12" spans="2:24">
      <c r="B12" s="5" t="s">
        <v>93</v>
      </c>
      <c r="C12" s="138">
        <v>85.2</v>
      </c>
      <c r="D12" s="138">
        <v>42</v>
      </c>
      <c r="E12" s="138">
        <v>25.6</v>
      </c>
      <c r="F12" s="138">
        <v>14.1</v>
      </c>
      <c r="G12" s="138">
        <v>-190.1</v>
      </c>
      <c r="K12" s="9" t="s">
        <v>94</v>
      </c>
      <c r="L12" s="138">
        <v>23.4</v>
      </c>
      <c r="M12" s="138">
        <v>26.8</v>
      </c>
      <c r="N12" s="138">
        <v>30.2</v>
      </c>
      <c r="O12" s="138">
        <v>30.4</v>
      </c>
      <c r="P12" s="138">
        <v>71.5</v>
      </c>
      <c r="S12" t="s">
        <v>95</v>
      </c>
      <c r="T12" s="138">
        <v>1.5</v>
      </c>
      <c r="U12" s="138">
        <v>1.7</v>
      </c>
      <c r="V12" s="138">
        <v>2</v>
      </c>
      <c r="W12" s="138">
        <v>3.2</v>
      </c>
      <c r="X12" s="138">
        <v>-4.5999999999999996</v>
      </c>
    </row>
    <row r="13" spans="2:24">
      <c r="B13" s="5" t="s">
        <v>96</v>
      </c>
      <c r="C13" s="138">
        <v>1649.4</v>
      </c>
      <c r="D13" s="138">
        <v>1814.5</v>
      </c>
      <c r="E13" s="138">
        <v>1950</v>
      </c>
      <c r="F13" s="138">
        <v>2201</v>
      </c>
      <c r="G13" s="138">
        <v>2453.9</v>
      </c>
      <c r="K13" s="9" t="s">
        <v>97</v>
      </c>
      <c r="L13" s="8"/>
      <c r="M13" s="8"/>
      <c r="N13" s="8"/>
      <c r="O13" s="8"/>
      <c r="P13" s="8"/>
      <c r="S13" t="s">
        <v>98</v>
      </c>
      <c r="T13" s="138">
        <v>8.1</v>
      </c>
      <c r="U13" s="138">
        <v>9.1999999999999993</v>
      </c>
      <c r="V13" s="138">
        <v>10.5</v>
      </c>
      <c r="W13" s="138">
        <v>18.899999999999999</v>
      </c>
      <c r="X13" s="138">
        <v>16.600000000000001</v>
      </c>
    </row>
    <row r="14" spans="2:24">
      <c r="B14" s="5" t="s">
        <v>99</v>
      </c>
      <c r="C14" s="138">
        <v>75.8</v>
      </c>
      <c r="D14" s="138">
        <v>85.4</v>
      </c>
      <c r="E14" s="138">
        <v>95</v>
      </c>
      <c r="F14" s="138">
        <v>112.4</v>
      </c>
      <c r="G14" s="138">
        <v>121.7</v>
      </c>
      <c r="K14" s="9" t="s">
        <v>100</v>
      </c>
      <c r="L14" s="138">
        <v>1840.2</v>
      </c>
      <c r="M14" s="138">
        <v>2105.8000000000002</v>
      </c>
      <c r="N14" s="138">
        <v>2380.5</v>
      </c>
      <c r="O14" s="138">
        <v>2550.3000000000002</v>
      </c>
      <c r="P14" s="138">
        <v>32.4</v>
      </c>
      <c r="S14" t="s">
        <v>101</v>
      </c>
      <c r="T14" s="138">
        <v>24.2</v>
      </c>
      <c r="U14" s="138">
        <v>27.6</v>
      </c>
      <c r="V14" s="138">
        <v>31.5</v>
      </c>
      <c r="W14" s="138">
        <v>59.4</v>
      </c>
      <c r="X14" s="138">
        <v>11.2</v>
      </c>
    </row>
    <row r="15" spans="2:24">
      <c r="B15" s="5" t="s">
        <v>102</v>
      </c>
      <c r="C15" s="138">
        <v>215.9</v>
      </c>
      <c r="D15" s="138">
        <v>240</v>
      </c>
      <c r="E15" s="138">
        <v>265</v>
      </c>
      <c r="F15" s="138">
        <v>299.3</v>
      </c>
      <c r="G15" s="138">
        <v>357.2</v>
      </c>
      <c r="K15" s="9" t="s">
        <v>103</v>
      </c>
      <c r="L15" s="138">
        <v>98.6</v>
      </c>
      <c r="M15" s="138">
        <v>112.4</v>
      </c>
      <c r="N15" s="138">
        <v>128.5</v>
      </c>
      <c r="O15" s="138">
        <v>134.80000000000001</v>
      </c>
      <c r="P15" s="138">
        <v>910.9</v>
      </c>
      <c r="S15" t="s">
        <v>104</v>
      </c>
      <c r="T15" s="138">
        <v>-0.1</v>
      </c>
      <c r="U15" s="138">
        <v>-0.1</v>
      </c>
      <c r="V15" s="138">
        <v>-0.2</v>
      </c>
      <c r="W15" s="138">
        <v>-0.2</v>
      </c>
      <c r="X15" s="138">
        <v>-0.2</v>
      </c>
    </row>
    <row r="16" spans="2:24">
      <c r="B16" s="5" t="s">
        <v>105</v>
      </c>
      <c r="C16" s="138">
        <v>2548.9</v>
      </c>
      <c r="D16" s="138">
        <v>2784.6</v>
      </c>
      <c r="E16" s="138">
        <v>3050</v>
      </c>
      <c r="F16" s="138">
        <v>3283.5</v>
      </c>
      <c r="G16" s="138">
        <v>3234.2</v>
      </c>
      <c r="J16" t="s">
        <v>240</v>
      </c>
      <c r="K16" s="9" t="s">
        <v>106</v>
      </c>
      <c r="L16" s="138">
        <v>71.3</v>
      </c>
      <c r="M16" s="138">
        <v>81.599999999999994</v>
      </c>
      <c r="N16" s="138">
        <v>93.2</v>
      </c>
      <c r="O16" s="138">
        <v>120.2</v>
      </c>
      <c r="P16" s="138">
        <v>475.4</v>
      </c>
      <c r="S16" t="s">
        <v>107</v>
      </c>
      <c r="T16" s="138">
        <v>-121.2</v>
      </c>
      <c r="U16" s="138">
        <v>-138</v>
      </c>
      <c r="V16" s="138">
        <v>-157</v>
      </c>
      <c r="W16" s="138">
        <v>-215.7</v>
      </c>
      <c r="X16" s="138">
        <v>-358.8</v>
      </c>
    </row>
    <row r="17" spans="2:24">
      <c r="B17" s="3" t="s">
        <v>108</v>
      </c>
      <c r="C17" s="138">
        <v>8600.2999999999993</v>
      </c>
      <c r="D17" s="138">
        <v>9436.9</v>
      </c>
      <c r="E17" s="138">
        <v>10235.6</v>
      </c>
      <c r="F17" s="138">
        <v>10833.8</v>
      </c>
      <c r="G17" s="138">
        <v>10931.2</v>
      </c>
      <c r="K17" s="9" t="s">
        <v>109</v>
      </c>
      <c r="L17" s="138">
        <v>899.7</v>
      </c>
      <c r="M17" s="138">
        <v>1028.5</v>
      </c>
      <c r="N17" s="138">
        <v>1175.3</v>
      </c>
      <c r="O17" s="138">
        <v>1514.8</v>
      </c>
      <c r="P17" s="138">
        <v>1738.3</v>
      </c>
      <c r="S17" t="s">
        <v>110</v>
      </c>
      <c r="T17" s="138">
        <v>48.1</v>
      </c>
      <c r="U17" s="138">
        <v>54.8</v>
      </c>
      <c r="V17" s="138">
        <v>62.5</v>
      </c>
      <c r="W17" s="138">
        <v>99.2</v>
      </c>
      <c r="X17" s="138">
        <v>13.7</v>
      </c>
    </row>
    <row r="18" spans="2:24">
      <c r="B18" s="3" t="s">
        <v>111</v>
      </c>
      <c r="C18" s="138">
        <v>1319.1</v>
      </c>
      <c r="D18" s="138">
        <v>1616.3</v>
      </c>
      <c r="E18" s="138">
        <v>2099.5</v>
      </c>
      <c r="F18" s="138">
        <v>2144.6</v>
      </c>
      <c r="G18" s="138">
        <v>2527</v>
      </c>
      <c r="K18" s="9" t="s">
        <v>112</v>
      </c>
      <c r="L18" s="138">
        <v>45.1</v>
      </c>
      <c r="M18" s="138">
        <v>51.7</v>
      </c>
      <c r="N18" s="138">
        <v>59.3</v>
      </c>
      <c r="O18" s="138">
        <v>78.2</v>
      </c>
      <c r="P18" s="138">
        <v>64.7</v>
      </c>
      <c r="S18" t="s">
        <v>113</v>
      </c>
      <c r="T18" s="138">
        <v>75.8</v>
      </c>
      <c r="U18" s="138">
        <v>86.4</v>
      </c>
      <c r="V18" s="138">
        <v>98.5</v>
      </c>
      <c r="W18" s="138">
        <v>112.4</v>
      </c>
      <c r="X18" s="138">
        <v>121.7</v>
      </c>
    </row>
    <row r="19" spans="2:24">
      <c r="B19" s="5" t="s">
        <v>114</v>
      </c>
      <c r="F19" s="138">
        <v>-121.5</v>
      </c>
      <c r="K19" s="9" t="s">
        <v>115</v>
      </c>
      <c r="L19" s="138">
        <v>22.6</v>
      </c>
      <c r="M19" s="138">
        <v>25.9</v>
      </c>
      <c r="N19" s="138">
        <v>29.8</v>
      </c>
      <c r="O19" s="138">
        <v>34</v>
      </c>
      <c r="P19" s="138">
        <v>123.3</v>
      </c>
      <c r="S19" t="s">
        <v>116</v>
      </c>
      <c r="T19" s="138">
        <v>16.100000000000001</v>
      </c>
      <c r="U19" s="138">
        <v>18.3</v>
      </c>
      <c r="V19" s="138">
        <v>20.9</v>
      </c>
      <c r="W19" s="138">
        <v>31.8</v>
      </c>
      <c r="X19" s="138">
        <v>2</v>
      </c>
    </row>
    <row r="20" spans="2:24">
      <c r="B20" s="3" t="s">
        <v>117</v>
      </c>
      <c r="C20" s="138">
        <v>1319.1</v>
      </c>
      <c r="D20" s="138">
        <v>1616.3</v>
      </c>
      <c r="E20" s="138">
        <v>2099.5</v>
      </c>
      <c r="F20" s="138">
        <v>2023.1</v>
      </c>
      <c r="G20" s="138">
        <v>2527</v>
      </c>
      <c r="K20" s="7" t="s">
        <v>118</v>
      </c>
      <c r="L20" s="138">
        <v>5130.3999999999996</v>
      </c>
      <c r="M20" s="138">
        <v>5779</v>
      </c>
      <c r="N20" s="138">
        <v>6503.9</v>
      </c>
      <c r="O20" s="138">
        <v>5163.2</v>
      </c>
      <c r="P20" s="138">
        <v>6745.3</v>
      </c>
      <c r="S20" t="s">
        <v>119</v>
      </c>
      <c r="T20" s="138">
        <v>24</v>
      </c>
      <c r="U20" s="138">
        <v>27.4</v>
      </c>
      <c r="V20" s="138">
        <v>31.2</v>
      </c>
      <c r="W20" s="138">
        <v>52.4</v>
      </c>
      <c r="X20" s="138">
        <v>13.4</v>
      </c>
    </row>
    <row r="21" spans="2:24">
      <c r="B21" s="5" t="s">
        <v>120</v>
      </c>
      <c r="C21" s="138">
        <v>254.6</v>
      </c>
      <c r="D21" s="138">
        <v>305.89999999999998</v>
      </c>
      <c r="E21" s="138">
        <v>404</v>
      </c>
      <c r="F21" s="138">
        <v>211.7</v>
      </c>
      <c r="G21" s="138">
        <v>311</v>
      </c>
      <c r="K21" s="7" t="s">
        <v>121</v>
      </c>
      <c r="L21" s="8"/>
      <c r="M21" s="8"/>
      <c r="N21" s="8"/>
      <c r="O21" s="8"/>
      <c r="P21" s="8"/>
      <c r="S21" t="s">
        <v>122</v>
      </c>
      <c r="T21" s="138">
        <v>280</v>
      </c>
      <c r="U21" s="138">
        <v>314.2</v>
      </c>
      <c r="V21" s="138">
        <v>349.8</v>
      </c>
      <c r="W21" s="138">
        <v>383.6</v>
      </c>
      <c r="X21" s="138">
        <v>103.8</v>
      </c>
    </row>
    <row r="22" spans="2:24">
      <c r="B22" s="3" t="s">
        <v>123</v>
      </c>
      <c r="C22" s="138">
        <v>1064.5</v>
      </c>
      <c r="D22" s="138">
        <v>1310.4000000000001</v>
      </c>
      <c r="E22" s="138">
        <v>1695.5</v>
      </c>
      <c r="F22" s="138">
        <v>1811.5</v>
      </c>
      <c r="G22" s="138">
        <v>2215.4</v>
      </c>
      <c r="K22" s="9" t="s">
        <v>124</v>
      </c>
      <c r="L22" s="138">
        <v>1823.9</v>
      </c>
      <c r="M22" s="138">
        <v>2067.8000000000002</v>
      </c>
      <c r="N22" s="138">
        <v>2341.5</v>
      </c>
      <c r="O22" s="138">
        <v>2661.2</v>
      </c>
      <c r="P22" s="138">
        <v>2922.4</v>
      </c>
      <c r="S22" t="s">
        <v>125</v>
      </c>
      <c r="T22" s="138">
        <v>1599.1</v>
      </c>
      <c r="U22" s="138">
        <v>1930.5</v>
      </c>
      <c r="V22" s="138">
        <v>2449.3000000000002</v>
      </c>
      <c r="W22" s="138">
        <v>2406.6999999999998</v>
      </c>
      <c r="X22" s="138">
        <v>2630.8</v>
      </c>
    </row>
    <row r="23" spans="2:24">
      <c r="B23" s="5" t="s">
        <v>126</v>
      </c>
      <c r="C23" s="138">
        <v>-13.6</v>
      </c>
      <c r="D23" s="138">
        <v>-7</v>
      </c>
      <c r="E23" s="138">
        <v>-8.6</v>
      </c>
      <c r="F23" s="138">
        <v>27.3</v>
      </c>
      <c r="G23" s="138">
        <v>18</v>
      </c>
      <c r="K23" s="9" t="s">
        <v>127</v>
      </c>
      <c r="L23" s="8"/>
      <c r="M23" s="8"/>
      <c r="N23" s="8"/>
      <c r="O23" s="8"/>
      <c r="P23" s="8"/>
    </row>
    <row r="24" spans="2:24">
      <c r="B24" s="3" t="s">
        <v>128</v>
      </c>
      <c r="C24" s="138">
        <v>1050.9000000000001</v>
      </c>
      <c r="D24" s="138">
        <v>1303.4000000000001</v>
      </c>
      <c r="E24" s="138">
        <v>1686.9</v>
      </c>
      <c r="F24" s="138">
        <v>1838.8</v>
      </c>
      <c r="G24" s="138">
        <v>2233.4</v>
      </c>
      <c r="K24" s="9" t="s">
        <v>100</v>
      </c>
      <c r="L24" s="138">
        <v>92.4</v>
      </c>
      <c r="M24" s="138">
        <v>105.3</v>
      </c>
      <c r="N24" s="138">
        <v>120.2</v>
      </c>
      <c r="O24" s="138">
        <v>148.9</v>
      </c>
      <c r="P24" s="138">
        <v>902.3</v>
      </c>
      <c r="S24" t="s">
        <v>129</v>
      </c>
    </row>
    <row r="25" spans="2:24">
      <c r="K25" s="9" t="s">
        <v>130</v>
      </c>
      <c r="L25" s="138">
        <v>1589.3</v>
      </c>
      <c r="M25" s="138">
        <v>1805.2</v>
      </c>
      <c r="N25" s="138">
        <v>2053.6999999999998</v>
      </c>
      <c r="O25" s="138">
        <v>2252.8000000000002</v>
      </c>
      <c r="P25" s="138">
        <v>2466.3000000000002</v>
      </c>
      <c r="S25" t="s">
        <v>131</v>
      </c>
      <c r="T25" s="138">
        <v>-120.8</v>
      </c>
      <c r="U25" s="138">
        <v>-137.6</v>
      </c>
      <c r="V25" s="138">
        <v>-156.80000000000001</v>
      </c>
      <c r="W25" s="138">
        <v>-222</v>
      </c>
      <c r="X25" s="138">
        <v>-218.6</v>
      </c>
    </row>
    <row r="26" spans="2:24">
      <c r="K26" s="9" t="s">
        <v>132</v>
      </c>
      <c r="L26" s="138">
        <v>245.1</v>
      </c>
      <c r="M26" s="138">
        <v>278.89999999999998</v>
      </c>
      <c r="N26" s="138">
        <v>318.2</v>
      </c>
      <c r="O26" s="138">
        <v>455.1</v>
      </c>
      <c r="P26" s="138">
        <v>304.10000000000002</v>
      </c>
      <c r="S26" t="s">
        <v>133</v>
      </c>
      <c r="T26" s="138">
        <v>-64.7</v>
      </c>
      <c r="U26" s="138">
        <v>-73.7</v>
      </c>
      <c r="V26" s="138">
        <v>-84</v>
      </c>
      <c r="W26" s="138">
        <v>-135.1</v>
      </c>
      <c r="X26" s="138">
        <v>25</v>
      </c>
    </row>
    <row r="27" spans="2:24">
      <c r="K27" s="9" t="s">
        <v>134</v>
      </c>
      <c r="L27" s="138">
        <v>612.79999999999995</v>
      </c>
      <c r="M27" s="138">
        <v>696.7</v>
      </c>
      <c r="N27" s="138">
        <v>793.8</v>
      </c>
      <c r="O27" s="138">
        <v>1124.3</v>
      </c>
      <c r="P27" s="138">
        <v>1258.9000000000001</v>
      </c>
      <c r="S27" t="s">
        <v>135</v>
      </c>
      <c r="T27" s="138">
        <v>-97.1</v>
      </c>
      <c r="U27" s="138">
        <v>-110.6</v>
      </c>
      <c r="V27" s="138">
        <v>-126</v>
      </c>
      <c r="W27" s="138">
        <v>-73.400000000000006</v>
      </c>
      <c r="X27" s="138">
        <v>-261.2</v>
      </c>
    </row>
    <row r="28" spans="2:24">
      <c r="K28" s="9" t="s">
        <v>136</v>
      </c>
      <c r="L28" s="138">
        <v>18.3</v>
      </c>
      <c r="M28" s="138">
        <v>20.8</v>
      </c>
      <c r="N28" s="138">
        <v>23.7</v>
      </c>
      <c r="O28" s="138">
        <v>30.1</v>
      </c>
      <c r="P28" s="138">
        <v>9</v>
      </c>
      <c r="S28" t="s">
        <v>137</v>
      </c>
      <c r="T28" s="138">
        <v>176.1</v>
      </c>
      <c r="U28" s="138">
        <v>200.6</v>
      </c>
      <c r="V28" s="138">
        <v>228.5</v>
      </c>
      <c r="W28" s="138">
        <v>525.29999999999995</v>
      </c>
      <c r="X28" s="138">
        <v>216.7</v>
      </c>
    </row>
    <row r="29" spans="2:24">
      <c r="K29" s="9" t="s">
        <v>138</v>
      </c>
      <c r="L29" s="138">
        <v>1878.5</v>
      </c>
      <c r="M29" s="138">
        <v>2136.8000000000002</v>
      </c>
      <c r="N29" s="138">
        <v>2430.5</v>
      </c>
      <c r="O29" s="138">
        <v>2930.2</v>
      </c>
      <c r="P29" s="138">
        <v>2115.5</v>
      </c>
      <c r="S29" t="s">
        <v>139</v>
      </c>
      <c r="T29" s="138">
        <v>-56.7</v>
      </c>
      <c r="U29" s="138">
        <v>-64.599999999999994</v>
      </c>
      <c r="V29" s="138">
        <v>-73.599999999999994</v>
      </c>
      <c r="W29" s="138">
        <v>-146.5</v>
      </c>
      <c r="X29" s="138">
        <v>24.2</v>
      </c>
    </row>
    <row r="30" spans="2:24">
      <c r="K30" s="9" t="s">
        <v>140</v>
      </c>
      <c r="L30" s="138">
        <v>142.80000000000001</v>
      </c>
      <c r="M30" s="138">
        <v>162.69999999999999</v>
      </c>
      <c r="N30" s="138">
        <v>185.3</v>
      </c>
      <c r="O30" s="138">
        <v>230.3</v>
      </c>
      <c r="P30" s="138">
        <v>293.7</v>
      </c>
      <c r="S30" t="s">
        <v>141</v>
      </c>
      <c r="T30" s="138">
        <v>-163.19999999999999</v>
      </c>
      <c r="U30" s="138">
        <v>-185.9</v>
      </c>
      <c r="V30" s="138">
        <v>-212</v>
      </c>
      <c r="W30" s="138">
        <v>-51.7</v>
      </c>
      <c r="X30" s="138">
        <v>-213.9</v>
      </c>
    </row>
    <row r="31" spans="2:24">
      <c r="K31" s="9" t="s">
        <v>142</v>
      </c>
      <c r="P31" s="138">
        <v>959.4</v>
      </c>
      <c r="S31" t="s">
        <v>143</v>
      </c>
      <c r="T31" s="138">
        <v>1435.9</v>
      </c>
      <c r="U31" s="138">
        <v>1744.6</v>
      </c>
      <c r="V31" s="138">
        <v>2237.3000000000002</v>
      </c>
      <c r="W31" s="138">
        <v>2355</v>
      </c>
      <c r="X31" s="138">
        <v>2416.9</v>
      </c>
    </row>
    <row r="32" spans="2:24">
      <c r="K32" s="7" t="s">
        <v>144</v>
      </c>
      <c r="L32" s="11">
        <v>6928.82</v>
      </c>
      <c r="M32" s="11">
        <v>8435.43</v>
      </c>
      <c r="N32" s="11">
        <v>8729.68</v>
      </c>
      <c r="O32" s="11">
        <v>10219.34</v>
      </c>
      <c r="P32" s="11">
        <v>10945.82</v>
      </c>
      <c r="S32" t="s">
        <v>145</v>
      </c>
      <c r="T32" s="138">
        <v>-246.5</v>
      </c>
      <c r="U32" s="138">
        <v>-280.89999999999998</v>
      </c>
      <c r="V32" s="138">
        <v>-320</v>
      </c>
      <c r="W32" s="138">
        <v>-406.9</v>
      </c>
      <c r="X32" s="138">
        <v>-504</v>
      </c>
    </row>
    <row r="33" spans="11:24">
      <c r="K33" s="7" t="s">
        <v>146</v>
      </c>
      <c r="L33" s="138">
        <v>11533.5</v>
      </c>
      <c r="M33" s="138">
        <v>13053.2</v>
      </c>
      <c r="N33" s="138">
        <v>14770.8</v>
      </c>
      <c r="O33" s="138">
        <v>15576.4</v>
      </c>
      <c r="P33" s="138">
        <v>17728.900000000001</v>
      </c>
      <c r="S33" t="s">
        <v>147</v>
      </c>
      <c r="T33" s="138">
        <v>1189.4000000000001</v>
      </c>
      <c r="U33" s="138">
        <v>1463.7</v>
      </c>
      <c r="V33" s="138">
        <v>1917.3</v>
      </c>
      <c r="W33" s="138">
        <v>1948.1</v>
      </c>
      <c r="X33" s="138">
        <v>1912.9</v>
      </c>
    </row>
    <row r="34" spans="11:24">
      <c r="K34" s="8"/>
      <c r="L34" s="8"/>
      <c r="M34" s="8"/>
      <c r="N34" s="8"/>
      <c r="O34" s="8"/>
      <c r="P34" s="8"/>
    </row>
    <row r="35" spans="11:24">
      <c r="K35" s="7" t="s">
        <v>148</v>
      </c>
      <c r="L35" s="8"/>
      <c r="M35" s="8"/>
      <c r="N35" s="8"/>
      <c r="O35" s="8"/>
      <c r="P35" s="8"/>
      <c r="S35" s="140" t="s">
        <v>149</v>
      </c>
    </row>
    <row r="36" spans="11:24">
      <c r="K36" s="7" t="s">
        <v>150</v>
      </c>
      <c r="L36" s="8"/>
      <c r="M36" s="8"/>
      <c r="N36" s="8"/>
      <c r="O36" s="8"/>
      <c r="P36" s="8"/>
      <c r="S36" t="s">
        <v>151</v>
      </c>
      <c r="T36" s="138">
        <v>-128.6</v>
      </c>
      <c r="U36" s="138">
        <v>-146.5</v>
      </c>
      <c r="V36" s="138">
        <v>-166.8</v>
      </c>
      <c r="W36" s="138">
        <v>-259.3</v>
      </c>
      <c r="X36" s="138">
        <v>-675.6</v>
      </c>
    </row>
    <row r="37" spans="11:24">
      <c r="K37" s="9" t="s">
        <v>152</v>
      </c>
      <c r="L37" s="138">
        <v>23.9</v>
      </c>
      <c r="M37" s="138">
        <v>23.9</v>
      </c>
      <c r="N37" s="138">
        <v>23.9</v>
      </c>
      <c r="O37" s="138">
        <v>23.9</v>
      </c>
      <c r="P37" s="138">
        <v>23.9</v>
      </c>
      <c r="S37" t="s">
        <v>153</v>
      </c>
      <c r="T37" s="138">
        <v>31.4</v>
      </c>
      <c r="U37" s="138">
        <v>35.799999999999997</v>
      </c>
      <c r="V37" s="138">
        <v>40.799999999999997</v>
      </c>
      <c r="W37" s="138">
        <v>72.5</v>
      </c>
      <c r="X37" s="138">
        <v>40.799999999999997</v>
      </c>
    </row>
    <row r="38" spans="11:24">
      <c r="K38" s="9" t="s">
        <v>154</v>
      </c>
      <c r="L38" s="138">
        <v>7654.3</v>
      </c>
      <c r="M38" s="138">
        <v>8712.5</v>
      </c>
      <c r="N38" s="138">
        <v>9925.7999999999993</v>
      </c>
      <c r="O38" s="138">
        <v>10288.200000000001</v>
      </c>
      <c r="P38" s="138">
        <v>11960.9</v>
      </c>
      <c r="S38" t="s">
        <v>155</v>
      </c>
      <c r="T38" s="138">
        <v>-2375.1</v>
      </c>
      <c r="U38" s="138">
        <v>-2706.3</v>
      </c>
      <c r="V38" s="138">
        <v>-3082</v>
      </c>
      <c r="W38" s="138">
        <v>-3625.9</v>
      </c>
      <c r="X38" s="138">
        <v>-3755.8</v>
      </c>
    </row>
    <row r="39" spans="11:24">
      <c r="K39" s="9" t="s">
        <v>156</v>
      </c>
      <c r="L39" s="138">
        <v>7678.2</v>
      </c>
      <c r="M39" s="138">
        <v>8736.4</v>
      </c>
      <c r="N39" s="138">
        <v>9949.7000000000007</v>
      </c>
      <c r="O39" s="138">
        <v>10312.1</v>
      </c>
      <c r="P39" s="138">
        <v>11984.8</v>
      </c>
      <c r="S39" t="s">
        <v>157</v>
      </c>
      <c r="T39" s="138">
        <v>1918.3</v>
      </c>
      <c r="U39" s="138">
        <v>2186.3000000000002</v>
      </c>
      <c r="V39" s="138">
        <v>2490</v>
      </c>
      <c r="W39" s="138">
        <v>2404.1999999999998</v>
      </c>
      <c r="X39" s="138">
        <v>4053.4</v>
      </c>
    </row>
    <row r="40" spans="11:24">
      <c r="K40" s="9" t="s">
        <v>158</v>
      </c>
      <c r="L40" s="138">
        <v>292.8</v>
      </c>
      <c r="M40" s="138">
        <v>334.2</v>
      </c>
      <c r="N40" s="138">
        <v>380.7</v>
      </c>
      <c r="O40" s="138">
        <v>402.3</v>
      </c>
      <c r="P40" s="138">
        <v>448.8</v>
      </c>
      <c r="S40" t="s">
        <v>159</v>
      </c>
      <c r="T40" s="138">
        <v>-22.1</v>
      </c>
      <c r="U40" s="138">
        <v>-25.2</v>
      </c>
      <c r="V40" s="138">
        <v>-28.7</v>
      </c>
      <c r="W40" s="138">
        <v>-53.4</v>
      </c>
      <c r="X40" s="138">
        <v>-1938.1</v>
      </c>
    </row>
    <row r="41" spans="11:24">
      <c r="K41" s="7" t="s">
        <v>160</v>
      </c>
      <c r="L41" s="138">
        <v>7971</v>
      </c>
      <c r="M41" s="138">
        <v>9070.6</v>
      </c>
      <c r="N41" s="138">
        <v>10330.4</v>
      </c>
      <c r="O41" s="138">
        <v>10714.4</v>
      </c>
      <c r="P41" s="138">
        <v>12433.6</v>
      </c>
      <c r="S41" t="s">
        <v>161</v>
      </c>
      <c r="T41" s="138">
        <v>172.9</v>
      </c>
      <c r="U41" s="138">
        <v>197.2</v>
      </c>
      <c r="V41" s="138">
        <v>224.6</v>
      </c>
      <c r="W41" s="138">
        <v>213.9</v>
      </c>
      <c r="X41" s="138">
        <v>661.6</v>
      </c>
    </row>
    <row r="42" spans="11:24">
      <c r="K42" s="7" t="s">
        <v>162</v>
      </c>
      <c r="L42" s="8"/>
      <c r="M42" s="8"/>
      <c r="N42" s="8"/>
      <c r="O42" s="8"/>
      <c r="P42" s="8"/>
      <c r="S42" t="s">
        <v>163</v>
      </c>
      <c r="X42" s="138">
        <v>-33</v>
      </c>
    </row>
    <row r="43" spans="11:24">
      <c r="K43" s="7" t="s">
        <v>164</v>
      </c>
      <c r="L43" s="8"/>
      <c r="M43" s="8"/>
      <c r="N43" s="8"/>
      <c r="O43" s="8"/>
      <c r="P43" s="8"/>
      <c r="S43" t="s">
        <v>165</v>
      </c>
      <c r="T43" s="138">
        <v>0.2</v>
      </c>
      <c r="U43" s="138">
        <v>0.2</v>
      </c>
      <c r="V43" s="138">
        <v>0.2</v>
      </c>
      <c r="W43" s="138">
        <v>0.2</v>
      </c>
      <c r="X43" s="138">
        <v>0.2</v>
      </c>
    </row>
    <row r="44" spans="11:24">
      <c r="K44" s="9" t="s">
        <v>166</v>
      </c>
      <c r="L44" s="8"/>
      <c r="M44" s="8"/>
      <c r="N44" s="8"/>
      <c r="O44" s="8"/>
      <c r="P44" s="8"/>
      <c r="S44" t="s">
        <v>167</v>
      </c>
      <c r="T44" s="138">
        <v>121.2</v>
      </c>
      <c r="U44" s="138">
        <v>138</v>
      </c>
      <c r="V44" s="138">
        <v>157</v>
      </c>
      <c r="W44" s="138">
        <v>239.3</v>
      </c>
      <c r="X44" s="138">
        <v>347.7</v>
      </c>
    </row>
    <row r="45" spans="11:24">
      <c r="K45" s="9" t="s">
        <v>168</v>
      </c>
      <c r="L45" s="138">
        <v>38.5</v>
      </c>
      <c r="M45" s="138">
        <v>43.9</v>
      </c>
      <c r="N45" s="138">
        <v>50</v>
      </c>
      <c r="O45" s="138">
        <v>40</v>
      </c>
      <c r="P45" s="138">
        <v>310.89999999999998</v>
      </c>
      <c r="S45" s="140" t="s">
        <v>169</v>
      </c>
      <c r="T45" s="138">
        <v>-283.8</v>
      </c>
      <c r="U45" s="138">
        <v>-323.5</v>
      </c>
      <c r="V45" s="138">
        <v>-368.9</v>
      </c>
      <c r="W45" s="138">
        <v>-1008.5</v>
      </c>
      <c r="X45" s="138">
        <v>-1298.8</v>
      </c>
    </row>
    <row r="46" spans="11:24">
      <c r="K46" s="9" t="s">
        <v>170</v>
      </c>
      <c r="L46" s="138">
        <v>145.19999999999999</v>
      </c>
      <c r="M46" s="138">
        <v>165.3</v>
      </c>
      <c r="N46" s="138">
        <v>188.4</v>
      </c>
      <c r="O46" s="138">
        <v>189.3</v>
      </c>
      <c r="P46" s="138">
        <v>267.39999999999998</v>
      </c>
    </row>
    <row r="47" spans="11:24">
      <c r="K47" s="9" t="s">
        <v>171</v>
      </c>
      <c r="L47" s="138">
        <v>238.9</v>
      </c>
      <c r="M47" s="138">
        <v>272.10000000000002</v>
      </c>
      <c r="N47" s="138">
        <v>310</v>
      </c>
      <c r="O47" s="138">
        <v>311</v>
      </c>
      <c r="P47" s="138">
        <v>354</v>
      </c>
      <c r="S47" s="140" t="s">
        <v>172</v>
      </c>
    </row>
    <row r="48" spans="11:24">
      <c r="K48" s="9" t="s">
        <v>173</v>
      </c>
      <c r="L48" s="138">
        <v>192.8</v>
      </c>
      <c r="M48" s="138">
        <v>219.6</v>
      </c>
      <c r="N48" s="138">
        <v>250</v>
      </c>
      <c r="O48" s="138">
        <v>299.89999999999998</v>
      </c>
      <c r="P48" s="138">
        <v>338.2</v>
      </c>
      <c r="S48" t="s">
        <v>174</v>
      </c>
      <c r="T48" s="138">
        <v>22.1</v>
      </c>
      <c r="U48" s="138">
        <v>25.2</v>
      </c>
      <c r="V48" s="138">
        <v>28.7</v>
      </c>
      <c r="W48" s="138">
        <v>40</v>
      </c>
      <c r="X48" s="138">
        <v>287.89999999999998</v>
      </c>
    </row>
    <row r="49" spans="11:24">
      <c r="K49" s="9" t="s">
        <v>175</v>
      </c>
      <c r="L49" s="138">
        <v>19.3</v>
      </c>
      <c r="M49" s="138">
        <v>22</v>
      </c>
      <c r="N49" s="138">
        <v>25.1</v>
      </c>
      <c r="O49" s="138">
        <v>25.8</v>
      </c>
      <c r="P49" s="138">
        <v>22</v>
      </c>
      <c r="S49" t="s">
        <v>176</v>
      </c>
      <c r="T49" s="138">
        <v>-418.5</v>
      </c>
      <c r="U49" s="138">
        <v>-476.9</v>
      </c>
      <c r="V49" s="138">
        <v>-543</v>
      </c>
      <c r="W49" s="138">
        <v>-520.9</v>
      </c>
      <c r="X49" s="138">
        <v>-482</v>
      </c>
    </row>
    <row r="50" spans="11:24">
      <c r="K50" s="7" t="s">
        <v>177</v>
      </c>
      <c r="L50" s="138">
        <v>634.70000000000005</v>
      </c>
      <c r="M50" s="138">
        <v>722.9</v>
      </c>
      <c r="N50" s="138">
        <v>823.5</v>
      </c>
      <c r="O50" s="138">
        <v>865.9</v>
      </c>
      <c r="P50" s="138">
        <v>1292.5</v>
      </c>
      <c r="S50" t="s">
        <v>178</v>
      </c>
      <c r="T50" s="138">
        <v>-313.5</v>
      </c>
      <c r="U50" s="138">
        <v>-357.1</v>
      </c>
      <c r="V50" s="138">
        <v>-406.8</v>
      </c>
      <c r="W50" s="138">
        <v>-540.5</v>
      </c>
      <c r="X50" s="138">
        <v>-504.6</v>
      </c>
    </row>
    <row r="51" spans="11:24">
      <c r="K51" s="7" t="s">
        <v>179</v>
      </c>
      <c r="L51" s="8"/>
      <c r="M51" s="8"/>
      <c r="N51" s="8"/>
      <c r="O51" s="8"/>
      <c r="P51" s="8"/>
      <c r="S51" t="s">
        <v>180</v>
      </c>
      <c r="T51" s="138">
        <v>-19.600000000000001</v>
      </c>
      <c r="U51" s="138">
        <v>-22.3</v>
      </c>
      <c r="V51" s="138">
        <v>-25.4</v>
      </c>
      <c r="W51" s="138">
        <v>-32.299999999999997</v>
      </c>
      <c r="X51" s="138">
        <v>-31.7</v>
      </c>
    </row>
    <row r="52" spans="11:24">
      <c r="K52" s="9" t="s">
        <v>166</v>
      </c>
      <c r="L52" s="8"/>
      <c r="M52" s="8"/>
      <c r="N52" s="8"/>
      <c r="O52" s="8"/>
      <c r="P52" s="8"/>
      <c r="S52" t="s">
        <v>181</v>
      </c>
      <c r="T52" s="138">
        <v>-38.5</v>
      </c>
      <c r="U52" s="138">
        <v>-43.9</v>
      </c>
      <c r="V52" s="138">
        <v>-50</v>
      </c>
      <c r="W52" s="138">
        <v>-32.299999999999997</v>
      </c>
      <c r="X52" s="138">
        <v>-80.599999999999994</v>
      </c>
    </row>
    <row r="53" spans="11:24">
      <c r="K53" s="9" t="s">
        <v>168</v>
      </c>
      <c r="L53" s="138">
        <v>897.1</v>
      </c>
      <c r="M53" s="138">
        <v>1021.5</v>
      </c>
      <c r="N53" s="138">
        <v>1162</v>
      </c>
      <c r="O53" s="138">
        <v>1173.0999999999999</v>
      </c>
      <c r="P53" s="138">
        <v>751.9</v>
      </c>
      <c r="S53" s="140" t="s">
        <v>182</v>
      </c>
      <c r="T53" s="138">
        <v>-768</v>
      </c>
      <c r="U53" s="138">
        <v>-875</v>
      </c>
      <c r="V53" s="138">
        <v>-997.5</v>
      </c>
      <c r="W53" s="138">
        <v>-1145</v>
      </c>
      <c r="X53" s="138">
        <v>-810.9</v>
      </c>
    </row>
    <row r="54" spans="11:24">
      <c r="K54" s="9" t="s">
        <v>170</v>
      </c>
      <c r="L54" s="138">
        <v>11.5</v>
      </c>
      <c r="M54" s="138">
        <v>13.1</v>
      </c>
      <c r="N54" s="138">
        <v>14.9</v>
      </c>
      <c r="O54" s="138">
        <v>15.2</v>
      </c>
      <c r="P54" s="138">
        <v>50.7</v>
      </c>
    </row>
    <row r="55" spans="11:24">
      <c r="K55" s="9" t="s">
        <v>183</v>
      </c>
      <c r="L55" s="10">
        <v>1069.4100000000001</v>
      </c>
      <c r="M55" s="10">
        <v>1173.3800000000001</v>
      </c>
      <c r="N55" s="10">
        <v>1165.02</v>
      </c>
      <c r="O55" s="10">
        <v>1748.12</v>
      </c>
      <c r="P55" s="10">
        <v>1839.35</v>
      </c>
      <c r="S55" s="140" t="s">
        <v>184</v>
      </c>
      <c r="T55" s="138">
        <v>137.6</v>
      </c>
      <c r="U55" s="138">
        <v>265.2</v>
      </c>
      <c r="V55" s="138">
        <v>551.9</v>
      </c>
      <c r="W55" s="138">
        <v>-205.4</v>
      </c>
      <c r="X55" s="138">
        <v>-196.8</v>
      </c>
    </row>
    <row r="56" spans="11:24">
      <c r="K56" s="9" t="s">
        <v>185</v>
      </c>
      <c r="L56" s="138">
        <v>491.8</v>
      </c>
      <c r="M56" s="138">
        <v>560.4</v>
      </c>
      <c r="N56" s="138">
        <v>638.5</v>
      </c>
      <c r="O56" s="138">
        <v>645.70000000000005</v>
      </c>
      <c r="P56" s="138">
        <v>790.9</v>
      </c>
      <c r="S56" s="140" t="s">
        <v>186</v>
      </c>
      <c r="T56" s="138">
        <v>129.6</v>
      </c>
      <c r="U56" s="138">
        <v>267.2</v>
      </c>
      <c r="V56" s="138">
        <v>532.4</v>
      </c>
      <c r="W56" s="138">
        <v>1084.3</v>
      </c>
      <c r="X56" s="138">
        <v>273.8</v>
      </c>
    </row>
    <row r="57" spans="11:24">
      <c r="K57" s="9" t="s">
        <v>187</v>
      </c>
      <c r="L57" s="138">
        <v>163.5</v>
      </c>
      <c r="M57" s="138">
        <v>186.2</v>
      </c>
      <c r="N57" s="138">
        <v>212</v>
      </c>
      <c r="O57" s="138">
        <v>229.7</v>
      </c>
      <c r="P57" s="138">
        <v>305.7</v>
      </c>
      <c r="S57" t="s">
        <v>188</v>
      </c>
      <c r="T57" s="138">
        <v>-0.8</v>
      </c>
      <c r="U57" s="138">
        <v>0</v>
      </c>
      <c r="V57" s="138">
        <v>0</v>
      </c>
      <c r="W57" s="138">
        <v>-2.1</v>
      </c>
      <c r="X57" s="138">
        <v>10.5</v>
      </c>
    </row>
    <row r="58" spans="11:24">
      <c r="K58" s="9" t="s">
        <v>189</v>
      </c>
      <c r="L58" s="138">
        <v>85.6</v>
      </c>
      <c r="M58" s="138">
        <v>97.5</v>
      </c>
      <c r="N58" s="138">
        <v>111</v>
      </c>
      <c r="O58" s="138">
        <v>126.9</v>
      </c>
      <c r="P58" s="138">
        <v>159.1</v>
      </c>
      <c r="S58" s="140" t="s">
        <v>190</v>
      </c>
      <c r="T58" s="138">
        <v>266.39999999999998</v>
      </c>
      <c r="U58" s="138">
        <v>532.4</v>
      </c>
      <c r="V58" s="138">
        <v>1084.3</v>
      </c>
      <c r="W58" s="138">
        <v>876.8</v>
      </c>
      <c r="X58" s="138">
        <v>87.5</v>
      </c>
    </row>
    <row r="59" spans="11:24">
      <c r="K59" s="9" t="s">
        <v>191</v>
      </c>
      <c r="L59" s="138">
        <v>31.2</v>
      </c>
      <c r="M59" s="138">
        <v>35.6</v>
      </c>
      <c r="N59" s="138">
        <v>40.5</v>
      </c>
      <c r="O59" s="138">
        <v>55</v>
      </c>
      <c r="P59" s="138">
        <v>61.1</v>
      </c>
    </row>
    <row r="60" spans="11:24">
      <c r="K60" s="9" t="s">
        <v>192</v>
      </c>
      <c r="P60" s="138">
        <v>44.1</v>
      </c>
    </row>
    <row r="61" spans="11:24">
      <c r="K61" s="7" t="s">
        <v>193</v>
      </c>
      <c r="L61" s="11">
        <v>3604.05</v>
      </c>
      <c r="M61" s="11">
        <v>4805.34</v>
      </c>
      <c r="N61" s="11">
        <v>3707.15</v>
      </c>
      <c r="O61" s="11">
        <v>3758.2</v>
      </c>
      <c r="P61" s="11">
        <v>3964.98</v>
      </c>
    </row>
    <row r="62" spans="11:24">
      <c r="K62" s="7" t="s">
        <v>194</v>
      </c>
      <c r="L62" s="138">
        <v>11676.7</v>
      </c>
      <c r="M62" s="138">
        <v>13291.8</v>
      </c>
      <c r="N62" s="138">
        <v>15136.3</v>
      </c>
      <c r="O62" s="138">
        <v>15525.8</v>
      </c>
      <c r="P62" s="138">
        <v>17728.900000000001</v>
      </c>
    </row>
  </sheetData>
  <mergeCells count="6">
    <mergeCell ref="B3:G3"/>
    <mergeCell ref="K2:P2"/>
    <mergeCell ref="S2:X2"/>
    <mergeCell ref="B2:G2"/>
    <mergeCell ref="K3:P3"/>
    <mergeCell ref="S3:X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8E200-02B3-481B-AF3E-825A00A48A5F}">
  <dimension ref="B2:J16"/>
  <sheetViews>
    <sheetView showGridLines="0" workbookViewId="0">
      <selection activeCell="G7" sqref="G7"/>
    </sheetView>
  </sheetViews>
  <sheetFormatPr defaultRowHeight="14.4"/>
  <sheetData>
    <row r="2" spans="2:10">
      <c r="B2" t="s">
        <v>66</v>
      </c>
      <c r="C2" s="320">
        <v>45901</v>
      </c>
      <c r="D2" s="320">
        <v>45992</v>
      </c>
      <c r="E2" s="320">
        <v>46082</v>
      </c>
    </row>
    <row r="3" spans="2:10">
      <c r="B3" t="s">
        <v>301</v>
      </c>
      <c r="C3">
        <v>4001</v>
      </c>
      <c r="D3">
        <v>3737</v>
      </c>
      <c r="E3">
        <v>3603</v>
      </c>
    </row>
    <row r="4" spans="2:10">
      <c r="B4" t="s">
        <v>563</v>
      </c>
      <c r="C4" s="58">
        <v>0.17169999999999999</v>
      </c>
      <c r="D4" s="58">
        <v>0.1074</v>
      </c>
      <c r="E4" s="58">
        <v>0.1462</v>
      </c>
    </row>
    <row r="5" spans="2:10">
      <c r="B5" t="s">
        <v>564</v>
      </c>
      <c r="C5" s="58">
        <v>0.35020000000000001</v>
      </c>
      <c r="D5" s="58">
        <v>0.34060000000000001</v>
      </c>
      <c r="E5" s="58">
        <v>0.3463</v>
      </c>
    </row>
    <row r="6" spans="2:10">
      <c r="B6" t="s">
        <v>565</v>
      </c>
      <c r="C6" s="58">
        <v>0.17749999999999999</v>
      </c>
      <c r="D6" s="58">
        <v>0.19309999999999999</v>
      </c>
      <c r="E6" s="58">
        <v>0.1976</v>
      </c>
    </row>
    <row r="7" spans="2:10">
      <c r="B7" t="s">
        <v>566</v>
      </c>
      <c r="C7">
        <v>921</v>
      </c>
      <c r="D7">
        <v>828</v>
      </c>
      <c r="E7">
        <v>517</v>
      </c>
    </row>
    <row r="8" spans="2:10">
      <c r="B8" t="s">
        <v>567</v>
      </c>
      <c r="C8" s="321">
        <v>0.23</v>
      </c>
      <c r="D8" s="321">
        <v>0.22</v>
      </c>
      <c r="E8" s="321">
        <v>0.14000000000000001</v>
      </c>
    </row>
    <row r="9" spans="2:10">
      <c r="B9" t="s">
        <v>568</v>
      </c>
      <c r="C9">
        <v>104</v>
      </c>
      <c r="D9">
        <v>90</v>
      </c>
      <c r="E9">
        <v>65</v>
      </c>
    </row>
    <row r="10" spans="2:10">
      <c r="B10" t="s">
        <v>569</v>
      </c>
      <c r="C10">
        <v>0</v>
      </c>
      <c r="D10">
        <v>-53</v>
      </c>
      <c r="E10">
        <v>-135</v>
      </c>
    </row>
    <row r="11" spans="2:10">
      <c r="B11" t="s">
        <v>570</v>
      </c>
      <c r="C11">
        <v>104</v>
      </c>
      <c r="D11">
        <v>143</v>
      </c>
      <c r="E11">
        <v>200</v>
      </c>
    </row>
    <row r="12" spans="2:10">
      <c r="B12" t="s">
        <v>571</v>
      </c>
      <c r="C12">
        <v>35</v>
      </c>
      <c r="D12">
        <v>42</v>
      </c>
      <c r="E12">
        <v>54</v>
      </c>
    </row>
    <row r="13" spans="2:10">
      <c r="B13" t="s">
        <v>572</v>
      </c>
      <c r="C13">
        <v>94</v>
      </c>
      <c r="D13">
        <v>95</v>
      </c>
      <c r="E13">
        <v>106</v>
      </c>
    </row>
    <row r="14" spans="2:10">
      <c r="B14" t="s">
        <v>573</v>
      </c>
      <c r="C14">
        <v>896</v>
      </c>
      <c r="D14">
        <v>781</v>
      </c>
      <c r="E14">
        <v>423</v>
      </c>
    </row>
    <row r="15" spans="2:10">
      <c r="B15" t="s">
        <v>574</v>
      </c>
      <c r="C15" s="321">
        <v>0.13</v>
      </c>
      <c r="D15" s="321">
        <v>0.16</v>
      </c>
      <c r="E15" s="321">
        <v>0.4</v>
      </c>
    </row>
    <row r="16" spans="2:10">
      <c r="B16" t="s">
        <v>340</v>
      </c>
      <c r="C16">
        <v>779</v>
      </c>
      <c r="D16">
        <v>653</v>
      </c>
      <c r="E16">
        <v>251</v>
      </c>
      <c r="J16" t="s">
        <v>240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54"/>
  <sheetViews>
    <sheetView showGridLines="0" topLeftCell="A24" zoomScale="92" workbookViewId="0">
      <selection activeCell="G7" sqref="G7"/>
    </sheetView>
  </sheetViews>
  <sheetFormatPr defaultRowHeight="14.4"/>
  <cols>
    <col min="1" max="1" width="1.88671875" customWidth="1"/>
    <col min="3" max="3" width="27.33203125" bestFit="1" customWidth="1"/>
    <col min="4" max="4" width="20.21875" bestFit="1" customWidth="1"/>
    <col min="5" max="9" width="9" bestFit="1" customWidth="1"/>
    <col min="12" max="12" width="11.33203125" customWidth="1"/>
  </cols>
  <sheetData>
    <row r="1" spans="2:14">
      <c r="B1" s="61"/>
      <c r="C1" s="61"/>
      <c r="D1" s="61"/>
      <c r="E1" s="61"/>
      <c r="F1" s="61"/>
      <c r="G1" s="61"/>
      <c r="H1" s="61"/>
      <c r="I1" s="61"/>
    </row>
    <row r="2" spans="2:14">
      <c r="B2" s="62"/>
      <c r="C2" s="63" t="s">
        <v>195</v>
      </c>
      <c r="D2" s="64" t="s">
        <v>196</v>
      </c>
      <c r="E2" s="65"/>
      <c r="F2" s="65"/>
      <c r="G2" s="65"/>
      <c r="H2" s="65"/>
      <c r="I2" s="65"/>
    </row>
    <row r="3" spans="2:14">
      <c r="B3" s="66"/>
      <c r="C3" s="67"/>
      <c r="D3" s="68" t="s">
        <v>197</v>
      </c>
      <c r="E3" s="69"/>
      <c r="F3" s="69"/>
      <c r="G3" s="69"/>
      <c r="H3" s="69"/>
      <c r="I3" s="70"/>
    </row>
    <row r="4" spans="2:14">
      <c r="B4" s="71"/>
      <c r="C4" s="72"/>
      <c r="D4" s="73"/>
      <c r="E4" s="74">
        <v>44256</v>
      </c>
      <c r="F4" s="74">
        <v>44621</v>
      </c>
      <c r="G4" s="74">
        <v>44986</v>
      </c>
      <c r="H4" s="74">
        <v>45352</v>
      </c>
      <c r="I4" s="75" t="s">
        <v>198</v>
      </c>
    </row>
    <row r="5" spans="2:14">
      <c r="B5" s="76"/>
      <c r="C5" s="77" t="s">
        <v>66</v>
      </c>
      <c r="D5" s="76"/>
      <c r="E5" s="78"/>
      <c r="F5" s="78"/>
      <c r="G5" s="78"/>
      <c r="H5" s="78"/>
      <c r="I5" s="78"/>
    </row>
    <row r="6" spans="2:14" s="81" customFormat="1">
      <c r="B6" s="79"/>
      <c r="C6" s="80" t="s">
        <v>199</v>
      </c>
      <c r="D6" s="79"/>
      <c r="E6" s="117">
        <f>'Consolidated Fs'!C6</f>
        <v>9654.9</v>
      </c>
      <c r="F6" s="117">
        <f>'Consolidated Fs'!D6</f>
        <v>10732.8</v>
      </c>
      <c r="G6" s="117">
        <f>'Consolidated Fs'!E6</f>
        <v>11981.4</v>
      </c>
      <c r="H6" s="117">
        <f>'Consolidated Fs'!F6</f>
        <v>12667.6</v>
      </c>
      <c r="I6" s="117">
        <f>'Consolidated Fs'!G6</f>
        <v>12964.5</v>
      </c>
    </row>
    <row r="7" spans="2:14">
      <c r="B7" s="82"/>
      <c r="C7" s="83" t="s">
        <v>200</v>
      </c>
      <c r="D7" s="82"/>
      <c r="E7" s="118"/>
      <c r="F7" s="119">
        <f>(F6-E6)/E6</f>
        <v>0.11164279277879623</v>
      </c>
      <c r="G7" s="119">
        <f>(G6-F6)/F6</f>
        <v>0.11633497316636855</v>
      </c>
      <c r="H7" s="119">
        <f>(H6-G6)/G6</f>
        <v>5.7272105096232553E-2</v>
      </c>
      <c r="I7" s="119">
        <f>(I6-H6)/H6</f>
        <v>2.3437746692348955E-2</v>
      </c>
    </row>
    <row r="8" spans="2:14">
      <c r="B8" s="84"/>
      <c r="C8" s="85"/>
      <c r="D8" s="84"/>
      <c r="E8" s="120"/>
      <c r="F8" s="120"/>
      <c r="G8" s="120"/>
      <c r="H8" s="120"/>
      <c r="I8" s="120"/>
    </row>
    <row r="9" spans="2:14">
      <c r="B9" s="86"/>
      <c r="C9" s="87" t="s">
        <v>201</v>
      </c>
      <c r="D9" s="86"/>
      <c r="E9" s="121">
        <f>'Consolidated Fs'!C10+'Consolidated Fs'!C11+'Consolidated Fs'!C12</f>
        <v>4110.3</v>
      </c>
      <c r="F9" s="121">
        <f>'Consolidated Fs'!D10+'Consolidated Fs'!D11+'Consolidated Fs'!D12</f>
        <v>4512.5</v>
      </c>
      <c r="G9" s="121">
        <f>'Consolidated Fs'!E10+'Consolidated Fs'!E11+'Consolidated Fs'!E12</f>
        <v>4875.6000000000004</v>
      </c>
      <c r="H9" s="121">
        <f>SUM('Consolidated Fs'!F10:F12)</f>
        <v>4937.6000000000004</v>
      </c>
      <c r="I9" s="121">
        <f>'Consolidated Fs'!G10+'Consolidated Fs'!G11+'Consolidated Fs'!G12</f>
        <v>4764.2999999999993</v>
      </c>
    </row>
    <row r="10" spans="2:14">
      <c r="B10" s="88"/>
      <c r="C10" s="89" t="s">
        <v>202</v>
      </c>
      <c r="D10" s="88"/>
      <c r="E10" s="121">
        <f>'Consolidated Fs'!C13</f>
        <v>1649.4</v>
      </c>
      <c r="F10" s="121">
        <f>'Consolidated Fs'!D13</f>
        <v>1814.5</v>
      </c>
      <c r="G10" s="121">
        <f>'Consolidated Fs'!E13</f>
        <v>1950</v>
      </c>
      <c r="H10" s="121">
        <f>'Consolidated Fs'!F13</f>
        <v>2201</v>
      </c>
      <c r="I10" s="121">
        <f>'Consolidated Fs'!G13</f>
        <v>2453.9</v>
      </c>
    </row>
    <row r="11" spans="2:14">
      <c r="B11" s="86"/>
      <c r="C11" s="87" t="s">
        <v>203</v>
      </c>
      <c r="D11" s="86"/>
      <c r="E11" s="121">
        <f>'Consolidated Fs'!C16</f>
        <v>2548.9</v>
      </c>
      <c r="F11" s="121">
        <f>'Consolidated Fs'!D16</f>
        <v>2784.6</v>
      </c>
      <c r="G11" s="121">
        <f>'Consolidated Fs'!E16</f>
        <v>3050</v>
      </c>
      <c r="H11" s="121">
        <f>'Consolidated Fs'!F16</f>
        <v>3283.5</v>
      </c>
      <c r="I11" s="121">
        <f>'Consolidated Fs'!G16</f>
        <v>3234.2</v>
      </c>
    </row>
    <row r="12" spans="2:14" s="81" customFormat="1">
      <c r="B12" s="90"/>
      <c r="C12" s="91" t="s">
        <v>204</v>
      </c>
      <c r="D12" s="90"/>
      <c r="E12" s="117">
        <f>SUM(E9:E11)</f>
        <v>8308.6</v>
      </c>
      <c r="F12" s="117">
        <f>SUM(F9:F11)</f>
        <v>9111.6</v>
      </c>
      <c r="G12" s="117">
        <f>SUM(G9:G11)</f>
        <v>9875.6</v>
      </c>
      <c r="H12" s="117">
        <f>SUM(H9:H11)</f>
        <v>10422.1</v>
      </c>
      <c r="I12" s="117">
        <f>SUM(I9:I11)</f>
        <v>10452.399999999998</v>
      </c>
      <c r="N12" s="132"/>
    </row>
    <row r="13" spans="2:14">
      <c r="B13" s="84"/>
      <c r="C13" s="85"/>
      <c r="D13" s="84"/>
      <c r="E13" s="120"/>
      <c r="F13" s="120"/>
      <c r="G13" s="120"/>
      <c r="H13" s="120"/>
      <c r="I13" s="120"/>
    </row>
    <row r="14" spans="2:14" s="81" customFormat="1">
      <c r="B14" s="131"/>
      <c r="C14" s="135" t="s">
        <v>205</v>
      </c>
      <c r="D14" s="136"/>
      <c r="E14" s="141">
        <f>E6-E12</f>
        <v>1346.2999999999993</v>
      </c>
      <c r="F14" s="141">
        <f>F6-F12</f>
        <v>1621.1999999999989</v>
      </c>
      <c r="G14" s="141">
        <f>G6-G12</f>
        <v>2105.7999999999993</v>
      </c>
      <c r="H14" s="141">
        <f>H6-H12</f>
        <v>2245.5</v>
      </c>
      <c r="I14" s="136">
        <f>I6-I12</f>
        <v>2512.1000000000022</v>
      </c>
    </row>
    <row r="15" spans="2:14">
      <c r="B15" s="84"/>
      <c r="C15" s="85"/>
      <c r="D15" s="84"/>
      <c r="E15" s="120"/>
      <c r="F15" s="120"/>
      <c r="G15" s="120"/>
      <c r="H15" s="120"/>
      <c r="I15" s="120"/>
      <c r="L15" s="133"/>
    </row>
    <row r="16" spans="2:14">
      <c r="B16" s="88"/>
      <c r="C16" s="89" t="s">
        <v>206</v>
      </c>
      <c r="D16" s="88"/>
      <c r="E16" s="121">
        <f>'Consolidated Fs'!C15</f>
        <v>215.9</v>
      </c>
      <c r="F16" s="121">
        <f>'Consolidated Fs'!D15</f>
        <v>240</v>
      </c>
      <c r="G16" s="121">
        <f>'Consolidated Fs'!E15</f>
        <v>265</v>
      </c>
      <c r="H16" s="121">
        <f>'Consolidated Fs'!F15</f>
        <v>299.3</v>
      </c>
      <c r="I16" s="121">
        <f>'Consolidated Fs'!G15</f>
        <v>357.2</v>
      </c>
      <c r="J16" t="s">
        <v>240</v>
      </c>
      <c r="L16" s="134"/>
    </row>
    <row r="17" spans="2:9">
      <c r="B17" s="84"/>
      <c r="C17" s="85"/>
      <c r="D17" s="84"/>
      <c r="E17" s="120"/>
      <c r="F17" s="120"/>
      <c r="G17" s="120"/>
      <c r="H17" s="120"/>
      <c r="I17" s="120"/>
    </row>
    <row r="18" spans="2:9" s="81" customFormat="1">
      <c r="B18" s="131"/>
      <c r="C18" s="135" t="s">
        <v>207</v>
      </c>
      <c r="D18" s="136"/>
      <c r="E18" s="141">
        <f>E14-E16</f>
        <v>1130.3999999999992</v>
      </c>
      <c r="F18" s="141">
        <f>F14-F16</f>
        <v>1381.1999999999989</v>
      </c>
      <c r="G18" s="141">
        <f>G14-G16</f>
        <v>1840.7999999999993</v>
      </c>
      <c r="H18" s="141">
        <f>H14-H16</f>
        <v>1946.2</v>
      </c>
      <c r="I18" s="136">
        <f>I14-I16</f>
        <v>2154.9000000000024</v>
      </c>
    </row>
    <row r="19" spans="2:9">
      <c r="B19" s="84"/>
      <c r="C19" s="85"/>
      <c r="D19" s="84"/>
      <c r="E19" s="120"/>
      <c r="F19" s="120"/>
      <c r="G19" s="120"/>
      <c r="H19" s="120"/>
      <c r="I19" s="120"/>
    </row>
    <row r="20" spans="2:9">
      <c r="B20" s="86"/>
      <c r="C20" s="87" t="s">
        <v>208</v>
      </c>
      <c r="D20" s="86"/>
      <c r="E20" s="121">
        <f>'Consolidated Fs'!C7</f>
        <v>264.5</v>
      </c>
      <c r="F20" s="121">
        <f>'Consolidated Fs'!D7</f>
        <v>320.39999999999998</v>
      </c>
      <c r="G20" s="121">
        <f>'Consolidated Fs'!E7</f>
        <v>353.7</v>
      </c>
      <c r="H20" s="121">
        <f>'Consolidated Fs'!F7</f>
        <v>310.8</v>
      </c>
      <c r="I20" s="121">
        <f>'Consolidated Fs'!G7</f>
        <v>493.7</v>
      </c>
    </row>
    <row r="21" spans="2:9">
      <c r="B21" s="88"/>
      <c r="C21" s="89" t="s">
        <v>209</v>
      </c>
      <c r="D21" s="88"/>
      <c r="E21" s="121">
        <f>'Consolidated Fs'!C14</f>
        <v>75.8</v>
      </c>
      <c r="F21" s="121">
        <f>'Consolidated Fs'!D14</f>
        <v>85.4</v>
      </c>
      <c r="G21" s="121">
        <f>'Consolidated Fs'!E14</f>
        <v>95</v>
      </c>
      <c r="H21" s="121">
        <f>'Consolidated Fs'!F14</f>
        <v>112.4</v>
      </c>
      <c r="I21" s="121">
        <f>'Consolidated Fs'!G14</f>
        <v>121.7</v>
      </c>
    </row>
    <row r="22" spans="2:9">
      <c r="B22" s="84"/>
      <c r="C22" s="85"/>
      <c r="D22" s="84"/>
      <c r="E22" s="120"/>
      <c r="F22" s="120"/>
      <c r="G22" s="120"/>
      <c r="H22" s="120"/>
      <c r="I22" s="120"/>
    </row>
    <row r="23" spans="2:9" s="81" customFormat="1">
      <c r="B23" s="135"/>
      <c r="C23" s="136" t="s">
        <v>210</v>
      </c>
      <c r="D23" s="137"/>
      <c r="E23" s="141">
        <f>E18+E20-E21</f>
        <v>1319.0999999999992</v>
      </c>
      <c r="F23" s="141">
        <f>F18+F20-F21</f>
        <v>1616.1999999999989</v>
      </c>
      <c r="G23" s="141">
        <f>G18+G20-G21</f>
        <v>2099.4999999999991</v>
      </c>
      <c r="H23" s="136">
        <f>H18+H20-H21</f>
        <v>2144.6</v>
      </c>
      <c r="I23" s="135">
        <f>I18+I20-I21</f>
        <v>2526.9000000000024</v>
      </c>
    </row>
    <row r="24" spans="2:9">
      <c r="B24" s="84"/>
      <c r="C24" s="85"/>
      <c r="D24" s="84"/>
      <c r="E24" s="120"/>
      <c r="F24" s="120"/>
      <c r="G24" s="120"/>
      <c r="H24" s="120"/>
      <c r="I24" s="120"/>
    </row>
    <row r="25" spans="2:9">
      <c r="B25" s="86"/>
      <c r="C25" s="87" t="s">
        <v>211</v>
      </c>
      <c r="D25" s="86"/>
      <c r="E25" s="121">
        <f>'Consolidated Fs'!C21</f>
        <v>254.6</v>
      </c>
      <c r="F25" s="121">
        <f>'Consolidated Fs'!D21</f>
        <v>305.89999999999998</v>
      </c>
      <c r="G25" s="121">
        <f>'Consolidated Fs'!E21</f>
        <v>404</v>
      </c>
      <c r="H25" s="121">
        <f>'Consolidated Fs'!F21</f>
        <v>211.7</v>
      </c>
      <c r="I25" s="121">
        <f>'Consolidated Fs'!G21</f>
        <v>311</v>
      </c>
    </row>
    <row r="26" spans="2:9">
      <c r="B26" s="88"/>
      <c r="C26" s="89" t="s">
        <v>212</v>
      </c>
      <c r="D26" s="88"/>
      <c r="E26" s="121"/>
      <c r="F26" s="121"/>
      <c r="G26" s="121"/>
      <c r="H26" s="121"/>
      <c r="I26" s="121"/>
    </row>
    <row r="27" spans="2:9">
      <c r="B27" s="84"/>
      <c r="C27" s="85"/>
      <c r="D27" s="84"/>
      <c r="E27" s="120"/>
      <c r="F27" s="120"/>
      <c r="G27" s="120"/>
      <c r="H27" s="120"/>
      <c r="I27" s="120"/>
    </row>
    <row r="28" spans="2:9" s="81" customFormat="1">
      <c r="B28" s="131"/>
      <c r="C28" s="135" t="s">
        <v>213</v>
      </c>
      <c r="D28" s="136"/>
      <c r="E28" s="141">
        <f>E23-E25-E26</f>
        <v>1064.4999999999993</v>
      </c>
      <c r="F28" s="141">
        <f>F23-F25-F26</f>
        <v>1310.2999999999988</v>
      </c>
      <c r="G28" s="141">
        <f>G23-G25-G26</f>
        <v>1695.4999999999991</v>
      </c>
      <c r="H28" s="141">
        <f>H23-H25-H26</f>
        <v>1932.8999999999999</v>
      </c>
      <c r="I28" s="136">
        <f>I23-I25-I26</f>
        <v>2215.9000000000024</v>
      </c>
    </row>
    <row r="29" spans="2:9">
      <c r="B29" s="84"/>
      <c r="C29" s="85"/>
      <c r="D29" s="84"/>
      <c r="E29" s="120"/>
      <c r="F29" s="120"/>
      <c r="G29" s="120"/>
      <c r="H29" s="120"/>
      <c r="I29" s="120"/>
    </row>
    <row r="30" spans="2:9">
      <c r="B30" s="92"/>
      <c r="C30" s="93" t="s">
        <v>214</v>
      </c>
      <c r="D30" s="47"/>
      <c r="E30" s="122"/>
      <c r="F30" s="122"/>
      <c r="G30" s="122"/>
      <c r="H30" s="122"/>
      <c r="I30" s="122"/>
    </row>
    <row r="31" spans="2:9">
      <c r="B31" s="86"/>
      <c r="C31" s="87" t="s">
        <v>215</v>
      </c>
      <c r="D31" s="86"/>
      <c r="E31" s="119">
        <f>AVERAGE(F7:I7)</f>
        <v>7.7171904433436564E-2</v>
      </c>
      <c r="F31" s="123"/>
      <c r="G31" s="120"/>
      <c r="H31" s="120"/>
      <c r="I31" s="120"/>
    </row>
    <row r="32" spans="2:9">
      <c r="B32" s="88"/>
      <c r="C32" s="95" t="s">
        <v>216</v>
      </c>
      <c r="D32" s="96"/>
      <c r="E32" s="124">
        <f>(I6/E6)^(1/4)-1</f>
        <v>7.6470166047648336E-2</v>
      </c>
      <c r="F32" s="124">
        <f>_xlfn.RRI(4,E6,I6)</f>
        <v>7.6470166047648336E-2</v>
      </c>
      <c r="G32" s="125"/>
      <c r="H32" s="125"/>
      <c r="I32" s="125"/>
    </row>
    <row r="33" spans="2:11" ht="15" customHeight="1" thickBot="1">
      <c r="B33" s="84"/>
      <c r="C33" s="85"/>
      <c r="D33" s="84"/>
      <c r="E33" s="120"/>
      <c r="F33" s="120"/>
      <c r="G33" s="120"/>
      <c r="H33" s="120"/>
      <c r="I33" s="120"/>
    </row>
    <row r="34" spans="2:11">
      <c r="B34" s="61"/>
      <c r="C34" s="97" t="s">
        <v>217</v>
      </c>
      <c r="D34" s="98"/>
      <c r="E34" s="126"/>
      <c r="F34" s="126"/>
      <c r="G34" s="126"/>
      <c r="H34" s="126"/>
      <c r="I34" s="126"/>
    </row>
    <row r="35" spans="2:11">
      <c r="B35" s="86"/>
      <c r="C35" s="87" t="s">
        <v>9</v>
      </c>
      <c r="D35" s="86"/>
      <c r="E35" s="119">
        <f>E14/E6</f>
        <v>0.13944214854633391</v>
      </c>
      <c r="F35" s="119">
        <f>F14/F6</f>
        <v>0.15105098389982102</v>
      </c>
      <c r="G35" s="119">
        <f>G14/G6</f>
        <v>0.17575575475320074</v>
      </c>
      <c r="H35" s="119">
        <f>H14/H6</f>
        <v>0.17726325428652626</v>
      </c>
      <c r="I35" s="119">
        <f>I14/I6</f>
        <v>0.19376759612788785</v>
      </c>
    </row>
    <row r="36" spans="2:11">
      <c r="B36" s="88"/>
      <c r="C36" s="99" t="s">
        <v>10</v>
      </c>
      <c r="D36" s="100"/>
      <c r="E36" s="127">
        <f>E18/E6</f>
        <v>0.11708044619830338</v>
      </c>
      <c r="F36" s="127">
        <f>F18/F6</f>
        <v>0.12868962432915912</v>
      </c>
      <c r="G36" s="127">
        <f>G18/G6</f>
        <v>0.15363813911562918</v>
      </c>
      <c r="H36" s="127">
        <f>H18/H6</f>
        <v>0.15363604787015694</v>
      </c>
      <c r="I36" s="127">
        <f>I18/I6</f>
        <v>0.166215434455629</v>
      </c>
    </row>
    <row r="37" spans="2:11">
      <c r="B37" s="86"/>
      <c r="C37" s="101" t="s">
        <v>11</v>
      </c>
      <c r="D37" s="102"/>
      <c r="E37" s="127">
        <f>E23/E6</f>
        <v>0.13662492620327493</v>
      </c>
      <c r="F37" s="127">
        <f>F23/F6</f>
        <v>0.15058512224209888</v>
      </c>
      <c r="G37" s="127">
        <f>G23/G6</f>
        <v>0.17522993973993015</v>
      </c>
      <c r="H37" s="127">
        <f>H23/H6</f>
        <v>0.16929805172250464</v>
      </c>
      <c r="I37" s="127">
        <f>I23/I6</f>
        <v>0.19490917505495794</v>
      </c>
    </row>
    <row r="38" spans="2:11" ht="15" customHeight="1" thickBot="1">
      <c r="B38" s="103"/>
      <c r="C38" s="104" t="s">
        <v>218</v>
      </c>
      <c r="D38" s="105"/>
      <c r="E38" s="128">
        <f>E28/E6</f>
        <v>0.11025489647743626</v>
      </c>
      <c r="F38" s="128">
        <f>F28/F6</f>
        <v>0.1220837060226594</v>
      </c>
      <c r="G38" s="128">
        <f>G28/G6</f>
        <v>0.1415110087301984</v>
      </c>
      <c r="H38" s="128">
        <f>H28/H6</f>
        <v>0.15258612523287757</v>
      </c>
      <c r="I38" s="128">
        <f>I28/I6</f>
        <v>0.17092059084422864</v>
      </c>
    </row>
    <row r="39" spans="2:11">
      <c r="B39" s="84"/>
      <c r="C39" s="85"/>
      <c r="D39" s="84"/>
      <c r="E39" s="120"/>
      <c r="F39" s="120"/>
      <c r="G39" s="120"/>
      <c r="H39" s="120"/>
      <c r="I39" s="120"/>
    </row>
    <row r="40" spans="2:11">
      <c r="B40" s="92"/>
      <c r="C40" s="93" t="s">
        <v>219</v>
      </c>
      <c r="D40" s="47"/>
      <c r="E40" s="122"/>
      <c r="F40" s="122"/>
      <c r="G40" s="122"/>
      <c r="H40" s="122"/>
      <c r="I40" s="122"/>
    </row>
    <row r="41" spans="2:11">
      <c r="B41" s="86"/>
      <c r="C41" s="87" t="s">
        <v>220</v>
      </c>
      <c r="E41" s="94">
        <f>E25/E23</f>
        <v>0.19301038586915331</v>
      </c>
      <c r="F41" s="119">
        <f>F25/F23</f>
        <v>0.1892711298106671</v>
      </c>
      <c r="G41" s="119">
        <f>G25/G23</f>
        <v>0.19242676827816155</v>
      </c>
      <c r="H41" s="119">
        <f>H25/H23</f>
        <v>9.8713046721999445E-2</v>
      </c>
      <c r="I41" s="119">
        <f>I25/I23</f>
        <v>0.12307570540979054</v>
      </c>
    </row>
    <row r="42" spans="2:11">
      <c r="B42" s="88"/>
      <c r="C42" s="95" t="s">
        <v>221</v>
      </c>
      <c r="E42" s="106">
        <v>0.25</v>
      </c>
      <c r="F42" s="106">
        <v>0.25</v>
      </c>
      <c r="G42" s="106">
        <v>0.25</v>
      </c>
      <c r="H42" s="106">
        <v>0.25</v>
      </c>
      <c r="I42" s="106">
        <v>0.25</v>
      </c>
      <c r="J42" s="106"/>
      <c r="K42" s="106"/>
    </row>
    <row r="43" spans="2:11">
      <c r="B43" s="84"/>
      <c r="C43" s="85"/>
      <c r="E43" s="84"/>
      <c r="F43" s="120"/>
      <c r="G43" s="120"/>
      <c r="H43" s="120"/>
      <c r="I43" s="120"/>
    </row>
    <row r="44" spans="2:11">
      <c r="B44" s="92"/>
      <c r="C44" s="93" t="s">
        <v>222</v>
      </c>
      <c r="E44" s="47"/>
      <c r="F44" s="122"/>
      <c r="G44" s="122"/>
      <c r="H44" s="122"/>
      <c r="I44" s="122"/>
    </row>
    <row r="45" spans="2:11">
      <c r="B45" s="86"/>
      <c r="C45" s="87" t="s">
        <v>223</v>
      </c>
      <c r="E45" s="107">
        <f>E18*(1-E42)</f>
        <v>847.79999999999939</v>
      </c>
      <c r="F45" s="121">
        <f>F18*(1-F42)</f>
        <v>1035.8999999999992</v>
      </c>
      <c r="G45" s="121">
        <f>G18*(1-G42)</f>
        <v>1380.5999999999995</v>
      </c>
      <c r="H45" s="121">
        <f>H18*(1-H42)</f>
        <v>1459.65</v>
      </c>
      <c r="I45" s="121">
        <f>I18*(1-I42)</f>
        <v>1616.1750000000018</v>
      </c>
    </row>
    <row r="46" spans="2:11">
      <c r="B46" s="88"/>
      <c r="C46" s="99" t="s">
        <v>224</v>
      </c>
      <c r="E46" s="108">
        <f>'Consolidated Fs'!L41</f>
        <v>7971</v>
      </c>
      <c r="F46" s="108">
        <f>'Consolidated Fs'!M41</f>
        <v>9070.6</v>
      </c>
      <c r="G46" s="108">
        <f>'Consolidated Fs'!N41</f>
        <v>10330.4</v>
      </c>
      <c r="H46" s="108">
        <f>'Consolidated Fs'!O41</f>
        <v>10714.4</v>
      </c>
      <c r="I46" s="108">
        <f>'Consolidated Fs'!P41</f>
        <v>12433.6</v>
      </c>
    </row>
    <row r="47" spans="2:11">
      <c r="B47" s="86"/>
      <c r="C47" s="101" t="s">
        <v>225</v>
      </c>
      <c r="E47" s="109">
        <f>'Consolidated Fs'!L45+'Consolidated Fs'!L53</f>
        <v>935.6</v>
      </c>
      <c r="F47" s="109">
        <f>'Consolidated Fs'!M45+'Consolidated Fs'!M53</f>
        <v>1065.4000000000001</v>
      </c>
      <c r="G47" s="109">
        <f>'Consolidated Fs'!N45+'Consolidated Fs'!N53</f>
        <v>1212</v>
      </c>
      <c r="H47" s="109">
        <f>'Consolidated Fs'!O45+'Consolidated Fs'!O53</f>
        <v>1213.0999999999999</v>
      </c>
      <c r="I47" s="109">
        <f>'Consolidated Fs'!P45+'Consolidated Fs'!P53</f>
        <v>1062.8</v>
      </c>
    </row>
    <row r="48" spans="2:11">
      <c r="B48" s="88"/>
      <c r="C48" s="99" t="s">
        <v>226</v>
      </c>
      <c r="E48" s="108">
        <f>'Consolidated Fs'!L26</f>
        <v>245.1</v>
      </c>
      <c r="F48" s="108">
        <f>'Consolidated Fs'!M26</f>
        <v>278.89999999999998</v>
      </c>
      <c r="G48" s="108">
        <f>'Consolidated Fs'!N26</f>
        <v>318.2</v>
      </c>
      <c r="H48" s="108">
        <f>'Consolidated Fs'!O26</f>
        <v>455.1</v>
      </c>
      <c r="I48" s="108">
        <f>'Consolidated Fs'!P26</f>
        <v>304.10000000000002</v>
      </c>
    </row>
    <row r="49" spans="2:9">
      <c r="B49" s="110"/>
      <c r="C49" s="111" t="s">
        <v>227</v>
      </c>
      <c r="E49" s="112">
        <f>E46+E47-E48</f>
        <v>8661.5</v>
      </c>
      <c r="F49" s="129">
        <f>F46+F47-F48</f>
        <v>9857.1</v>
      </c>
      <c r="G49" s="129">
        <f>G46+G47-G48</f>
        <v>11224.199999999999</v>
      </c>
      <c r="H49" s="129">
        <f>H46+H47-H48</f>
        <v>11472.4</v>
      </c>
      <c r="I49" s="129">
        <f>I46+I47-I48</f>
        <v>13192.3</v>
      </c>
    </row>
    <row r="50" spans="2:9">
      <c r="B50" s="84"/>
      <c r="C50" s="85"/>
      <c r="E50" s="84"/>
      <c r="F50" s="120"/>
      <c r="G50" s="120"/>
      <c r="H50" s="120"/>
      <c r="I50" s="120"/>
    </row>
    <row r="51" spans="2:9">
      <c r="B51" s="113"/>
      <c r="C51" s="114" t="s">
        <v>228</v>
      </c>
      <c r="E51" s="115">
        <f>E18/E49</f>
        <v>0.13050857241817226</v>
      </c>
      <c r="F51" s="130">
        <f>F18/F49</f>
        <v>0.14012234835803622</v>
      </c>
      <c r="G51" s="130">
        <f>G18/G49</f>
        <v>0.1640027797081306</v>
      </c>
      <c r="H51" s="130">
        <f>H18/H49</f>
        <v>0.1696419232244343</v>
      </c>
      <c r="I51" s="130">
        <f>I18/I49</f>
        <v>0.16334528474943735</v>
      </c>
    </row>
    <row r="52" spans="2:9">
      <c r="B52" s="103"/>
      <c r="C52" s="281" t="s">
        <v>229</v>
      </c>
      <c r="D52" s="282"/>
      <c r="E52" s="283">
        <f>E45/E49</f>
        <v>9.7881429313629212E-2</v>
      </c>
      <c r="F52" s="283">
        <f>F45/F49</f>
        <v>0.10509176126852716</v>
      </c>
      <c r="G52" s="283">
        <f>G45/G49</f>
        <v>0.12300208478109795</v>
      </c>
      <c r="H52" s="283">
        <f>H45/H49</f>
        <v>0.12723144241832574</v>
      </c>
      <c r="I52" s="283">
        <f>I45/I49</f>
        <v>0.12250896356207802</v>
      </c>
    </row>
    <row r="54" spans="2:9">
      <c r="C54" s="21"/>
      <c r="D54" s="11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S1485"/>
  <sheetViews>
    <sheetView showGridLines="0" workbookViewId="0">
      <selection activeCell="G7" sqref="G7"/>
    </sheetView>
  </sheetViews>
  <sheetFormatPr defaultRowHeight="14.4"/>
  <cols>
    <col min="2" max="2" width="10.5546875" bestFit="1" customWidth="1"/>
    <col min="3" max="3" width="12" bestFit="1" customWidth="1"/>
    <col min="4" max="4" width="12" customWidth="1"/>
    <col min="6" max="6" width="18.109375" bestFit="1" customWidth="1"/>
    <col min="7" max="7" width="12" bestFit="1" customWidth="1"/>
    <col min="8" max="8" width="6.88671875" bestFit="1" customWidth="1"/>
    <col min="11" max="11" width="20.21875" bestFit="1" customWidth="1"/>
  </cols>
  <sheetData>
    <row r="2" spans="2:12">
      <c r="B2" s="294" t="s">
        <v>230</v>
      </c>
      <c r="C2" s="295"/>
      <c r="D2" s="295"/>
      <c r="F2" s="294" t="s">
        <v>231</v>
      </c>
      <c r="G2" s="295"/>
      <c r="H2" s="295"/>
    </row>
    <row r="3" spans="2:12">
      <c r="B3" s="54" t="s">
        <v>232</v>
      </c>
      <c r="C3" s="54" t="s">
        <v>233</v>
      </c>
      <c r="D3" s="57"/>
      <c r="F3" s="54" t="s">
        <v>232</v>
      </c>
      <c r="G3" s="54" t="s">
        <v>233</v>
      </c>
      <c r="H3" s="48"/>
    </row>
    <row r="4" spans="2:12">
      <c r="B4" s="46">
        <v>44287</v>
      </c>
      <c r="C4" s="60">
        <v>2637.82470703125</v>
      </c>
      <c r="F4" s="46">
        <v>44287</v>
      </c>
      <c r="G4" s="60">
        <v>14867.349609375</v>
      </c>
      <c r="H4" s="49"/>
    </row>
    <row r="5" spans="2:12">
      <c r="B5" s="46">
        <v>44291</v>
      </c>
      <c r="C5" s="60">
        <v>2573.19677734375</v>
      </c>
      <c r="D5" s="58">
        <f t="shared" ref="D5:D68" si="0">(C5-C4)/C4</f>
        <v>-2.4500464157163709E-2</v>
      </c>
      <c r="F5" s="46">
        <v>44291</v>
      </c>
      <c r="G5" s="60">
        <v>14637.7998046875</v>
      </c>
      <c r="H5" s="51">
        <f t="shared" ref="H5:H68" si="1">(G5-G4)/G4</f>
        <v>-1.5439860548026079E-2</v>
      </c>
      <c r="K5" s="59">
        <f>SLOPE(D5:D1237,H5:H1237)</f>
        <v>0.52092554903000277</v>
      </c>
    </row>
    <row r="6" spans="2:12">
      <c r="B6" s="46">
        <v>44292</v>
      </c>
      <c r="C6" s="60">
        <v>2587.8330078125</v>
      </c>
      <c r="D6" s="58">
        <f t="shared" si="0"/>
        <v>5.6879561631732779E-3</v>
      </c>
      <c r="F6" s="46">
        <v>44292</v>
      </c>
      <c r="G6" s="60">
        <v>14683.5</v>
      </c>
      <c r="H6" s="53">
        <f t="shared" si="1"/>
        <v>3.1220672452334885E-3</v>
      </c>
    </row>
    <row r="7" spans="2:12">
      <c r="B7" s="46">
        <v>44293</v>
      </c>
      <c r="C7" s="60">
        <v>2591.82470703125</v>
      </c>
      <c r="D7" s="58">
        <f t="shared" si="0"/>
        <v>1.5424871723559129E-3</v>
      </c>
      <c r="F7" s="46">
        <v>44293</v>
      </c>
      <c r="G7" s="60">
        <v>14819.0498046875</v>
      </c>
      <c r="H7" s="51">
        <f t="shared" si="1"/>
        <v>9.231436965811966E-3</v>
      </c>
      <c r="K7" s="59">
        <f>(_xlfn.COVARIANCE.S(D5:D1237,H5:H1237))/_xlfn.VAR.S(H5:H1237)</f>
        <v>0.5209255490300031</v>
      </c>
    </row>
    <row r="8" spans="2:12">
      <c r="B8" s="46">
        <v>44294</v>
      </c>
      <c r="C8" s="60">
        <v>2572.24609375</v>
      </c>
      <c r="D8" s="58">
        <f t="shared" si="0"/>
        <v>-7.5539882107520696E-3</v>
      </c>
      <c r="F8" s="46">
        <v>44294</v>
      </c>
      <c r="G8" s="60">
        <v>14873.7998046875</v>
      </c>
      <c r="H8" s="53">
        <f t="shared" si="1"/>
        <v>3.6945688638337464E-3</v>
      </c>
    </row>
    <row r="9" spans="2:12">
      <c r="B9" s="46">
        <v>44295</v>
      </c>
      <c r="C9" s="60">
        <v>2691.85546875</v>
      </c>
      <c r="D9" s="58">
        <f t="shared" si="0"/>
        <v>4.6499973424247713E-2</v>
      </c>
      <c r="F9" s="46">
        <v>44295</v>
      </c>
      <c r="G9" s="60">
        <v>14834.849609375</v>
      </c>
      <c r="H9" s="51">
        <f t="shared" si="1"/>
        <v>-2.6187118170183242E-3</v>
      </c>
    </row>
    <row r="10" spans="2:12">
      <c r="B10" s="46">
        <v>44298</v>
      </c>
      <c r="C10" s="60">
        <v>2609.4072265625</v>
      </c>
      <c r="D10" s="58">
        <f t="shared" si="0"/>
        <v>-3.062877748996902E-2</v>
      </c>
      <c r="F10" s="46">
        <v>44298</v>
      </c>
      <c r="G10" s="60">
        <v>14310.7998046875</v>
      </c>
      <c r="H10" s="53">
        <f t="shared" si="1"/>
        <v>-3.5325589304007678E-2</v>
      </c>
      <c r="K10" t="s">
        <v>537</v>
      </c>
    </row>
    <row r="11" spans="2:12" ht="15" thickBot="1">
      <c r="B11" s="46">
        <v>44299</v>
      </c>
      <c r="C11" s="60">
        <v>2615.299560546875</v>
      </c>
      <c r="D11" s="58">
        <f t="shared" si="0"/>
        <v>2.2581120816995899E-3</v>
      </c>
      <c r="F11" s="46">
        <v>44299</v>
      </c>
      <c r="G11" s="60">
        <v>14504.7998046875</v>
      </c>
      <c r="H11" s="51">
        <f t="shared" si="1"/>
        <v>1.3556195506030022E-2</v>
      </c>
    </row>
    <row r="12" spans="2:12">
      <c r="B12" s="46">
        <v>44301</v>
      </c>
      <c r="C12" s="60">
        <v>2614.064453125</v>
      </c>
      <c r="D12" s="58">
        <f t="shared" si="0"/>
        <v>-4.7226231385009352E-4</v>
      </c>
      <c r="F12" s="46">
        <v>44301</v>
      </c>
      <c r="G12" s="60">
        <v>14581.4501953125</v>
      </c>
      <c r="H12" s="53">
        <f t="shared" si="1"/>
        <v>5.2844845607747703E-3</v>
      </c>
      <c r="K12" s="280" t="s">
        <v>538</v>
      </c>
      <c r="L12" s="280"/>
    </row>
    <row r="13" spans="2:12">
      <c r="B13" s="46">
        <v>44302</v>
      </c>
      <c r="C13" s="60">
        <v>2652.41357421875</v>
      </c>
      <c r="D13" s="58">
        <f t="shared" si="0"/>
        <v>1.4670304340776793E-2</v>
      </c>
      <c r="F13" s="46">
        <v>44302</v>
      </c>
      <c r="G13" s="60">
        <v>14617.849609375</v>
      </c>
      <c r="H13" s="51">
        <f t="shared" si="1"/>
        <v>2.4962821650072447E-3</v>
      </c>
      <c r="K13" t="s">
        <v>539</v>
      </c>
      <c r="L13">
        <v>0.30810353038023564</v>
      </c>
    </row>
    <row r="14" spans="2:12">
      <c r="B14" s="46">
        <v>44305</v>
      </c>
      <c r="C14" s="60">
        <v>2612.78173828125</v>
      </c>
      <c r="D14" s="58">
        <f t="shared" si="0"/>
        <v>-1.4941801053470058E-2</v>
      </c>
      <c r="F14" s="46">
        <v>44305</v>
      </c>
      <c r="G14" s="60">
        <v>14359.4501953125</v>
      </c>
      <c r="H14" s="53">
        <f t="shared" si="1"/>
        <v>-1.7676978554819603E-2</v>
      </c>
      <c r="K14" t="s">
        <v>540</v>
      </c>
      <c r="L14">
        <v>9.4927785432764783E-2</v>
      </c>
    </row>
    <row r="15" spans="2:12">
      <c r="B15" s="46">
        <v>44306</v>
      </c>
      <c r="C15" s="60">
        <v>2604.750244140625</v>
      </c>
      <c r="D15" s="58">
        <f t="shared" si="0"/>
        <v>-3.0739246309599163E-3</v>
      </c>
      <c r="F15" s="46">
        <v>44306</v>
      </c>
      <c r="G15" s="60">
        <v>14296.400390625</v>
      </c>
      <c r="H15" s="51">
        <f t="shared" si="1"/>
        <v>-4.390823034999069E-3</v>
      </c>
      <c r="K15" t="s">
        <v>541</v>
      </c>
      <c r="L15">
        <v>9.4192552114676045E-2</v>
      </c>
    </row>
    <row r="16" spans="2:12">
      <c r="B16" s="46">
        <v>44308</v>
      </c>
      <c r="C16" s="60">
        <v>2658.638671875</v>
      </c>
      <c r="D16" s="58">
        <f t="shared" si="0"/>
        <v>2.0688520081952884E-2</v>
      </c>
      <c r="F16" s="46">
        <v>44308</v>
      </c>
      <c r="G16" s="60">
        <v>14406.150390625</v>
      </c>
      <c r="H16" s="53">
        <f t="shared" si="1"/>
        <v>7.6767575754222439E-3</v>
      </c>
      <c r="J16" t="s">
        <v>240</v>
      </c>
      <c r="K16" t="s">
        <v>542</v>
      </c>
      <c r="L16">
        <v>1.395487258910913E-2</v>
      </c>
    </row>
    <row r="17" spans="2:19" ht="15" thickBot="1">
      <c r="B17" s="46">
        <v>44309</v>
      </c>
      <c r="C17" s="60">
        <v>2640.67578125</v>
      </c>
      <c r="D17" s="58">
        <f t="shared" si="0"/>
        <v>-6.7564241861913883E-3</v>
      </c>
      <c r="F17" s="46">
        <v>44309</v>
      </c>
      <c r="G17" s="60">
        <v>14341.349609375</v>
      </c>
      <c r="H17" s="51">
        <f t="shared" si="1"/>
        <v>-4.4981330537941623E-3</v>
      </c>
      <c r="K17" s="278" t="s">
        <v>543</v>
      </c>
      <c r="L17" s="278">
        <v>1233</v>
      </c>
    </row>
    <row r="18" spans="2:19">
      <c r="B18" s="46">
        <v>44312</v>
      </c>
      <c r="C18" s="60">
        <v>2659.161376953125</v>
      </c>
      <c r="D18" s="58">
        <f t="shared" si="0"/>
        <v>7.0003276564208081E-3</v>
      </c>
      <c r="F18" s="46">
        <v>44312</v>
      </c>
      <c r="G18" s="60">
        <v>14485</v>
      </c>
      <c r="H18" s="53">
        <f t="shared" si="1"/>
        <v>1.001651828716979E-2</v>
      </c>
    </row>
    <row r="19" spans="2:19" ht="15" thickBot="1">
      <c r="B19" s="46">
        <v>44313</v>
      </c>
      <c r="C19" s="60">
        <v>2632.264892578125</v>
      </c>
      <c r="D19" s="58">
        <f t="shared" si="0"/>
        <v>-1.0114649155222791E-2</v>
      </c>
      <c r="F19" s="46">
        <v>44313</v>
      </c>
      <c r="G19" s="60">
        <v>14653.0498046875</v>
      </c>
      <c r="H19" s="51">
        <f t="shared" si="1"/>
        <v>1.1601643402657923E-2</v>
      </c>
      <c r="K19" t="s">
        <v>544</v>
      </c>
    </row>
    <row r="20" spans="2:19">
      <c r="B20" s="46">
        <v>44314</v>
      </c>
      <c r="C20" s="60">
        <v>2637.15966796875</v>
      </c>
      <c r="D20" s="58">
        <f t="shared" si="0"/>
        <v>1.8595299448874612E-3</v>
      </c>
      <c r="F20" s="46">
        <v>44314</v>
      </c>
      <c r="G20" s="60">
        <v>14864.5498046875</v>
      </c>
      <c r="H20" s="53">
        <f t="shared" si="1"/>
        <v>1.4433855260107101E-2</v>
      </c>
      <c r="K20" s="279"/>
      <c r="L20" s="279" t="s">
        <v>548</v>
      </c>
      <c r="M20" s="279" t="s">
        <v>549</v>
      </c>
      <c r="N20" s="279" t="s">
        <v>550</v>
      </c>
      <c r="O20" s="279" t="s">
        <v>551</v>
      </c>
      <c r="P20" s="279" t="s">
        <v>552</v>
      </c>
    </row>
    <row r="21" spans="2:19">
      <c r="B21" s="46">
        <v>44315</v>
      </c>
      <c r="C21" s="60">
        <v>2624.756591796875</v>
      </c>
      <c r="D21" s="58">
        <f t="shared" si="0"/>
        <v>-4.7031950027615751E-3</v>
      </c>
      <c r="F21" s="46">
        <v>44315</v>
      </c>
      <c r="G21" s="60">
        <v>14894.900390625</v>
      </c>
      <c r="H21" s="51">
        <f t="shared" si="1"/>
        <v>2.0418099664161384E-3</v>
      </c>
      <c r="K21" t="s">
        <v>545</v>
      </c>
      <c r="L21">
        <v>1</v>
      </c>
      <c r="M21">
        <v>2.5143163597005469E-2</v>
      </c>
      <c r="N21">
        <v>2.5143163597005469E-2</v>
      </c>
      <c r="O21">
        <v>129.1124641624412</v>
      </c>
      <c r="P21">
        <v>1.5968345558863875E-28</v>
      </c>
    </row>
    <row r="22" spans="2:19">
      <c r="B22" s="46">
        <v>44316</v>
      </c>
      <c r="C22" s="60">
        <v>2622.237548828125</v>
      </c>
      <c r="D22" s="58">
        <f t="shared" si="0"/>
        <v>-9.5972440896909808E-4</v>
      </c>
      <c r="F22" s="46">
        <v>44316</v>
      </c>
      <c r="G22" s="60">
        <v>14631.099609375</v>
      </c>
      <c r="H22" s="53">
        <f t="shared" si="1"/>
        <v>-1.7710812045177479E-2</v>
      </c>
      <c r="K22" t="s">
        <v>546</v>
      </c>
      <c r="L22">
        <v>1231</v>
      </c>
      <c r="M22">
        <v>0.23972305531224958</v>
      </c>
      <c r="N22">
        <v>1.9473846897826935E-4</v>
      </c>
    </row>
    <row r="23" spans="2:19" ht="15" thickBot="1">
      <c r="B23" s="46">
        <v>44319</v>
      </c>
      <c r="C23" s="60">
        <v>2625.04150390625</v>
      </c>
      <c r="D23" s="58">
        <f t="shared" si="0"/>
        <v>1.0692986527395599E-3</v>
      </c>
      <c r="F23" s="46">
        <v>44319</v>
      </c>
      <c r="G23" s="60">
        <v>14634.150390625</v>
      </c>
      <c r="H23" s="51">
        <f t="shared" si="1"/>
        <v>2.0851346320171222E-4</v>
      </c>
      <c r="K23" s="278" t="s">
        <v>418</v>
      </c>
      <c r="L23" s="278">
        <v>1232</v>
      </c>
      <c r="M23" s="278">
        <v>0.26486621890925505</v>
      </c>
      <c r="N23" s="278"/>
      <c r="O23" s="278"/>
      <c r="P23" s="278"/>
    </row>
    <row r="24" spans="2:19" ht="15" thickBot="1">
      <c r="B24" s="46">
        <v>44320</v>
      </c>
      <c r="C24" s="60">
        <v>2659.8271484375</v>
      </c>
      <c r="D24" s="58">
        <f t="shared" si="0"/>
        <v>1.32514645880785E-2</v>
      </c>
      <c r="F24" s="46">
        <v>44320</v>
      </c>
      <c r="G24" s="60">
        <v>14496.5</v>
      </c>
      <c r="H24" s="53">
        <f t="shared" si="1"/>
        <v>-9.4061074234403283E-3</v>
      </c>
    </row>
    <row r="25" spans="2:19">
      <c r="B25" s="46">
        <v>44321</v>
      </c>
      <c r="C25" s="60">
        <v>2750.923583984375</v>
      </c>
      <c r="D25" s="58">
        <f t="shared" si="0"/>
        <v>3.4249005842499604E-2</v>
      </c>
      <c r="F25" s="46">
        <v>44321</v>
      </c>
      <c r="G25" s="60">
        <v>14617.849609375</v>
      </c>
      <c r="H25" s="51">
        <f t="shared" si="1"/>
        <v>8.3709591539337085E-3</v>
      </c>
      <c r="K25" s="279"/>
      <c r="L25" s="279" t="s">
        <v>553</v>
      </c>
      <c r="M25" s="279" t="s">
        <v>542</v>
      </c>
      <c r="N25" s="279" t="s">
        <v>554</v>
      </c>
      <c r="O25" s="279" t="s">
        <v>555</v>
      </c>
      <c r="P25" s="279" t="s">
        <v>556</v>
      </c>
      <c r="Q25" s="279" t="s">
        <v>557</v>
      </c>
      <c r="R25" s="279" t="s">
        <v>558</v>
      </c>
      <c r="S25" s="279" t="s">
        <v>559</v>
      </c>
    </row>
    <row r="26" spans="2:19">
      <c r="B26" s="46">
        <v>44322</v>
      </c>
      <c r="C26" s="60">
        <v>2720.035400390625</v>
      </c>
      <c r="D26" s="58">
        <f t="shared" si="0"/>
        <v>-1.1228295752589485E-2</v>
      </c>
      <c r="F26" s="46">
        <v>44322</v>
      </c>
      <c r="G26" s="60">
        <v>14724.7998046875</v>
      </c>
      <c r="H26" s="53">
        <f t="shared" si="1"/>
        <v>7.3164109749705355E-3</v>
      </c>
      <c r="K26" t="s">
        <v>547</v>
      </c>
      <c r="L26">
        <v>4.8184429468837412E-4</v>
      </c>
      <c r="M26">
        <v>3.9777239442657621E-4</v>
      </c>
      <c r="N26">
        <v>1.2113567996165115</v>
      </c>
      <c r="O26">
        <v>0.22599117497078478</v>
      </c>
      <c r="P26">
        <v>-2.985425646425912E-4</v>
      </c>
      <c r="Q26">
        <v>1.2622311540193393E-3</v>
      </c>
      <c r="R26">
        <v>-2.985425646425912E-4</v>
      </c>
      <c r="S26">
        <v>1.2622311540193393E-3</v>
      </c>
    </row>
    <row r="27" spans="2:19" ht="15" thickBot="1">
      <c r="B27" s="46">
        <v>44323</v>
      </c>
      <c r="C27" s="60">
        <v>2763.279296875</v>
      </c>
      <c r="D27" s="58">
        <f t="shared" si="0"/>
        <v>1.5898284440770415E-2</v>
      </c>
      <c r="F27" s="46">
        <v>44323</v>
      </c>
      <c r="G27" s="60">
        <v>14823.150390625</v>
      </c>
      <c r="H27" s="51">
        <f t="shared" si="1"/>
        <v>6.6792477481555316E-3</v>
      </c>
      <c r="K27" s="278" t="s">
        <v>560</v>
      </c>
      <c r="L27" s="278">
        <v>0.52092554903000132</v>
      </c>
      <c r="M27" s="278">
        <v>4.5844957365262569E-2</v>
      </c>
      <c r="N27" s="278">
        <v>11.36276657167784</v>
      </c>
      <c r="O27" s="278">
        <v>1.5968345558877255E-28</v>
      </c>
      <c r="P27" s="278">
        <v>0.43098265003618186</v>
      </c>
      <c r="Q27" s="278">
        <v>0.61086844802382079</v>
      </c>
      <c r="R27" s="278">
        <v>0.43098265003618186</v>
      </c>
      <c r="S27" s="278">
        <v>0.61086844802382079</v>
      </c>
    </row>
    <row r="28" spans="2:19">
      <c r="B28" s="46">
        <v>44326</v>
      </c>
      <c r="C28" s="60">
        <v>2880.940673828125</v>
      </c>
      <c r="D28" s="58">
        <f t="shared" si="0"/>
        <v>4.2580341801202855E-2</v>
      </c>
      <c r="F28" s="46">
        <v>44326</v>
      </c>
      <c r="G28" s="60">
        <v>14942.349609375</v>
      </c>
      <c r="H28" s="53">
        <f t="shared" si="1"/>
        <v>8.041422748121637E-3</v>
      </c>
    </row>
    <row r="29" spans="2:19">
      <c r="B29" s="46">
        <v>44327</v>
      </c>
      <c r="C29" s="60">
        <v>2888.828857421875</v>
      </c>
      <c r="D29" s="58">
        <f t="shared" si="0"/>
        <v>2.7380583242862721E-3</v>
      </c>
      <c r="F29" s="46">
        <v>44327</v>
      </c>
      <c r="G29" s="60">
        <v>14850.75</v>
      </c>
      <c r="H29" s="51">
        <f t="shared" si="1"/>
        <v>-6.1302011912189071E-3</v>
      </c>
    </row>
    <row r="30" spans="2:19">
      <c r="B30" s="46">
        <v>44328</v>
      </c>
      <c r="C30" s="60">
        <v>2854.66162109375</v>
      </c>
      <c r="D30" s="58">
        <f t="shared" si="0"/>
        <v>-1.1827366041551325E-2</v>
      </c>
      <c r="F30" s="46">
        <v>44328</v>
      </c>
      <c r="G30" s="60">
        <v>14696.5</v>
      </c>
      <c r="H30" s="53">
        <f t="shared" si="1"/>
        <v>-1.0386680807366631E-2</v>
      </c>
    </row>
    <row r="31" spans="2:19">
      <c r="B31" s="46">
        <v>44330</v>
      </c>
      <c r="C31" s="60">
        <v>2844.68212890625</v>
      </c>
      <c r="D31" s="58">
        <f t="shared" si="0"/>
        <v>-3.4958581828960886E-3</v>
      </c>
      <c r="F31" s="46">
        <v>44330</v>
      </c>
      <c r="G31" s="60">
        <v>14677.7998046875</v>
      </c>
      <c r="H31" s="51">
        <f t="shared" si="1"/>
        <v>-1.2724250884564353E-3</v>
      </c>
    </row>
    <row r="32" spans="2:19">
      <c r="B32" s="46">
        <v>44333</v>
      </c>
      <c r="C32" s="60">
        <v>2831.994140625</v>
      </c>
      <c r="D32" s="58">
        <f t="shared" si="0"/>
        <v>-4.4602481775805284E-3</v>
      </c>
      <c r="F32" s="46">
        <v>44333</v>
      </c>
      <c r="G32" s="60">
        <v>14923.150390625</v>
      </c>
      <c r="H32" s="53">
        <f t="shared" si="1"/>
        <v>1.6715760481972569E-2</v>
      </c>
    </row>
    <row r="33" spans="2:8">
      <c r="B33" s="46">
        <v>44334</v>
      </c>
      <c r="C33" s="60">
        <v>2803.196533203125</v>
      </c>
      <c r="D33" s="58">
        <f t="shared" si="0"/>
        <v>-1.0168667727370221E-2</v>
      </c>
      <c r="F33" s="46">
        <v>44334</v>
      </c>
      <c r="G33" s="60">
        <v>15108.099609375</v>
      </c>
      <c r="H33" s="51">
        <f t="shared" si="1"/>
        <v>1.239344333527514E-2</v>
      </c>
    </row>
    <row r="34" spans="2:8">
      <c r="B34" s="46">
        <v>44335</v>
      </c>
      <c r="C34" s="60">
        <v>2826.00634765625</v>
      </c>
      <c r="D34" s="58">
        <f t="shared" si="0"/>
        <v>8.137072867688281E-3</v>
      </c>
      <c r="F34" s="46">
        <v>44335</v>
      </c>
      <c r="G34" s="60">
        <v>15030.150390625</v>
      </c>
      <c r="H34" s="53">
        <f t="shared" si="1"/>
        <v>-5.1594324081388979E-3</v>
      </c>
    </row>
    <row r="35" spans="2:8">
      <c r="B35" s="46">
        <v>44336</v>
      </c>
      <c r="C35" s="60">
        <v>2842.068115234375</v>
      </c>
      <c r="D35" s="58">
        <f t="shared" si="0"/>
        <v>5.683556794359587E-3</v>
      </c>
      <c r="F35" s="46">
        <v>44336</v>
      </c>
      <c r="G35" s="60">
        <v>14906.0498046875</v>
      </c>
      <c r="H35" s="51">
        <f t="shared" si="1"/>
        <v>-8.2567760609306533E-3</v>
      </c>
    </row>
    <row r="36" spans="2:8">
      <c r="B36" s="46">
        <v>44337</v>
      </c>
      <c r="C36" s="60">
        <v>2854.56640625</v>
      </c>
      <c r="D36" s="58">
        <f t="shared" si="0"/>
        <v>4.3976043180071044E-3</v>
      </c>
      <c r="F36" s="46">
        <v>44337</v>
      </c>
      <c r="G36" s="60">
        <v>15175.2998046875</v>
      </c>
      <c r="H36" s="53">
        <f t="shared" si="1"/>
        <v>1.8063135674974671E-2</v>
      </c>
    </row>
    <row r="37" spans="2:8">
      <c r="B37" s="46">
        <v>44340</v>
      </c>
      <c r="C37" s="60">
        <v>2847.5810546875</v>
      </c>
      <c r="D37" s="58">
        <f t="shared" si="0"/>
        <v>-2.4470797201304379E-3</v>
      </c>
      <c r="F37" s="46">
        <v>44340</v>
      </c>
      <c r="G37" s="60">
        <v>15197.7001953125</v>
      </c>
      <c r="H37" s="51">
        <f t="shared" si="1"/>
        <v>1.4761086049898495E-3</v>
      </c>
    </row>
    <row r="38" spans="2:8">
      <c r="B38" s="46">
        <v>44341</v>
      </c>
      <c r="C38" s="60">
        <v>2760.95068359375</v>
      </c>
      <c r="D38" s="58">
        <f t="shared" si="0"/>
        <v>-3.042244256792789E-2</v>
      </c>
      <c r="F38" s="46">
        <v>44341</v>
      </c>
      <c r="G38" s="60">
        <v>15208.4501953125</v>
      </c>
      <c r="H38" s="53">
        <f t="shared" si="1"/>
        <v>7.0734386531165255E-4</v>
      </c>
    </row>
    <row r="39" spans="2:8">
      <c r="B39" s="46">
        <v>44342</v>
      </c>
      <c r="C39" s="60">
        <v>2790.033447265625</v>
      </c>
      <c r="D39" s="58">
        <f t="shared" si="0"/>
        <v>1.0533604908154266E-2</v>
      </c>
      <c r="F39" s="46">
        <v>44342</v>
      </c>
      <c r="G39" s="60">
        <v>15301.4501953125</v>
      </c>
      <c r="H39" s="51">
        <f t="shared" si="1"/>
        <v>6.1150215048647203E-3</v>
      </c>
    </row>
    <row r="40" spans="2:8">
      <c r="B40" s="46">
        <v>44343</v>
      </c>
      <c r="C40" s="60">
        <v>2788.892822265625</v>
      </c>
      <c r="D40" s="58">
        <f t="shared" si="0"/>
        <v>-4.0882126381598422E-4</v>
      </c>
      <c r="F40" s="46">
        <v>44343</v>
      </c>
      <c r="G40" s="60">
        <v>15337.849609375</v>
      </c>
      <c r="H40" s="53">
        <f t="shared" si="1"/>
        <v>2.3788211965458492E-3</v>
      </c>
    </row>
    <row r="41" spans="2:8">
      <c r="B41" s="46">
        <v>44344</v>
      </c>
      <c r="C41" s="60">
        <v>2810.6572265625</v>
      </c>
      <c r="D41" s="58">
        <f t="shared" si="0"/>
        <v>7.8039586617007946E-3</v>
      </c>
      <c r="F41" s="46">
        <v>44344</v>
      </c>
      <c r="G41" s="60">
        <v>15435.650390625</v>
      </c>
      <c r="H41" s="51">
        <f t="shared" si="1"/>
        <v>6.3764337075140533E-3</v>
      </c>
    </row>
    <row r="42" spans="2:8">
      <c r="B42" s="46">
        <v>44347</v>
      </c>
      <c r="C42" s="60">
        <v>2840.975341796875</v>
      </c>
      <c r="D42" s="58">
        <f t="shared" si="0"/>
        <v>1.0786841934281246E-2</v>
      </c>
      <c r="F42" s="46">
        <v>44347</v>
      </c>
      <c r="G42" s="60">
        <v>15582.7998046875</v>
      </c>
      <c r="H42" s="53">
        <f t="shared" si="1"/>
        <v>9.5330880357249285E-3</v>
      </c>
    </row>
    <row r="43" spans="2:8">
      <c r="B43" s="46">
        <v>44348</v>
      </c>
      <c r="C43" s="60">
        <v>2947.94482421875</v>
      </c>
      <c r="D43" s="58">
        <f t="shared" si="0"/>
        <v>3.7652379747237924E-2</v>
      </c>
      <c r="F43" s="46">
        <v>44348</v>
      </c>
      <c r="G43" s="60">
        <v>15574.849609375</v>
      </c>
      <c r="H43" s="51">
        <f t="shared" si="1"/>
        <v>-5.1019042868717874E-4</v>
      </c>
    </row>
    <row r="44" spans="2:8">
      <c r="B44" s="46">
        <v>44349</v>
      </c>
      <c r="C44" s="60">
        <v>2999.314453125</v>
      </c>
      <c r="D44" s="58">
        <f t="shared" si="0"/>
        <v>1.7425573397515583E-2</v>
      </c>
      <c r="F44" s="46">
        <v>44349</v>
      </c>
      <c r="G44" s="60">
        <v>15576.2001953125</v>
      </c>
      <c r="H44" s="53">
        <f t="shared" si="1"/>
        <v>8.6715825280716621E-5</v>
      </c>
    </row>
    <row r="45" spans="2:8">
      <c r="B45" s="46">
        <v>44350</v>
      </c>
      <c r="C45" s="60">
        <v>3020.84130859375</v>
      </c>
      <c r="D45" s="58">
        <f t="shared" si="0"/>
        <v>7.1772586053193144E-3</v>
      </c>
      <c r="F45" s="46">
        <v>44350</v>
      </c>
      <c r="G45" s="60">
        <v>15690.349609375</v>
      </c>
      <c r="H45" s="51">
        <f t="shared" si="1"/>
        <v>7.3284506253875779E-3</v>
      </c>
    </row>
    <row r="46" spans="2:8">
      <c r="B46" s="46">
        <v>44351</v>
      </c>
      <c r="C46" s="60">
        <v>3008.0107421875</v>
      </c>
      <c r="D46" s="58">
        <f t="shared" si="0"/>
        <v>-4.2473487004263833E-3</v>
      </c>
      <c r="F46" s="46">
        <v>44351</v>
      </c>
      <c r="G46" s="60">
        <v>15670.25</v>
      </c>
      <c r="H46" s="53">
        <f t="shared" si="1"/>
        <v>-1.2810173052479636E-3</v>
      </c>
    </row>
    <row r="47" spans="2:8">
      <c r="B47" s="46">
        <v>44354</v>
      </c>
      <c r="C47" s="60">
        <v>2984.7255859375</v>
      </c>
      <c r="D47" s="58">
        <f t="shared" si="0"/>
        <v>-7.7410482361065167E-3</v>
      </c>
      <c r="F47" s="46">
        <v>44354</v>
      </c>
      <c r="G47" s="60">
        <v>15751.650390625</v>
      </c>
      <c r="H47" s="51">
        <f t="shared" si="1"/>
        <v>5.1945814919991708E-3</v>
      </c>
    </row>
    <row r="48" spans="2:8">
      <c r="B48" s="46">
        <v>44355</v>
      </c>
      <c r="C48" s="60">
        <v>3018.370361328125</v>
      </c>
      <c r="D48" s="58">
        <f t="shared" si="0"/>
        <v>1.127231781345058E-2</v>
      </c>
      <c r="F48" s="46">
        <v>44355</v>
      </c>
      <c r="G48" s="60">
        <v>15740.099609375</v>
      </c>
      <c r="H48" s="53">
        <f t="shared" si="1"/>
        <v>-7.3330609577741419E-4</v>
      </c>
    </row>
    <row r="49" spans="2:8">
      <c r="B49" s="46">
        <v>44356</v>
      </c>
      <c r="C49" s="60">
        <v>2947.279296875</v>
      </c>
      <c r="D49" s="58">
        <f t="shared" si="0"/>
        <v>-2.3552797020523333E-2</v>
      </c>
      <c r="F49" s="46">
        <v>44356</v>
      </c>
      <c r="G49" s="60">
        <v>15635.349609375</v>
      </c>
      <c r="H49" s="51">
        <f t="shared" si="1"/>
        <v>-6.6549769442125761E-3</v>
      </c>
    </row>
    <row r="50" spans="2:8">
      <c r="B50" s="46">
        <v>44357</v>
      </c>
      <c r="C50" s="60">
        <v>2975.981689453125</v>
      </c>
      <c r="D50" s="58">
        <f t="shared" si="0"/>
        <v>9.7386062490101115E-3</v>
      </c>
      <c r="F50" s="46">
        <v>44357</v>
      </c>
      <c r="G50" s="60">
        <v>15737.75</v>
      </c>
      <c r="H50" s="53">
        <f t="shared" si="1"/>
        <v>6.5492869160789623E-3</v>
      </c>
    </row>
    <row r="51" spans="2:8">
      <c r="B51" s="46">
        <v>44358</v>
      </c>
      <c r="C51" s="60">
        <v>3038.709228515625</v>
      </c>
      <c r="D51" s="58">
        <f t="shared" si="0"/>
        <v>2.1077931791316562E-2</v>
      </c>
      <c r="F51" s="46">
        <v>44358</v>
      </c>
      <c r="G51" s="60">
        <v>15799.349609375</v>
      </c>
      <c r="H51" s="51">
        <f t="shared" si="1"/>
        <v>3.9141306333497486E-3</v>
      </c>
    </row>
    <row r="52" spans="2:8">
      <c r="B52" s="46">
        <v>44361</v>
      </c>
      <c r="C52" s="60">
        <v>3063.6572265625</v>
      </c>
      <c r="D52" s="58">
        <f t="shared" si="0"/>
        <v>8.2100642643790616E-3</v>
      </c>
      <c r="F52" s="46">
        <v>44361</v>
      </c>
      <c r="G52" s="60">
        <v>15811.849609375</v>
      </c>
      <c r="H52" s="53">
        <f t="shared" si="1"/>
        <v>7.9117180827385227E-4</v>
      </c>
    </row>
    <row r="53" spans="2:8">
      <c r="B53" s="46">
        <v>44362</v>
      </c>
      <c r="C53" s="60">
        <v>3027.921875</v>
      </c>
      <c r="D53" s="58">
        <f t="shared" si="0"/>
        <v>-1.1664278644708552E-2</v>
      </c>
      <c r="F53" s="46">
        <v>44362</v>
      </c>
      <c r="G53" s="60">
        <v>15869.25</v>
      </c>
      <c r="H53" s="51">
        <f t="shared" si="1"/>
        <v>3.630213545097643E-3</v>
      </c>
    </row>
    <row r="54" spans="2:8">
      <c r="B54" s="46">
        <v>44363</v>
      </c>
      <c r="C54" s="60">
        <v>3025.926025390625</v>
      </c>
      <c r="D54" s="58">
        <f t="shared" si="0"/>
        <v>-6.5914831748259688E-4</v>
      </c>
      <c r="F54" s="46">
        <v>44363</v>
      </c>
      <c r="G54" s="60">
        <v>15767.5498046875</v>
      </c>
      <c r="H54" s="53">
        <f t="shared" si="1"/>
        <v>-6.4086327528081041E-3</v>
      </c>
    </row>
    <row r="55" spans="2:8">
      <c r="B55" s="46">
        <v>44364</v>
      </c>
      <c r="C55" s="60">
        <v>3010.244140625</v>
      </c>
      <c r="D55" s="58">
        <f t="shared" si="0"/>
        <v>-5.1825076469278796E-3</v>
      </c>
      <c r="F55" s="46">
        <v>44364</v>
      </c>
      <c r="G55" s="60">
        <v>15691.400390625</v>
      </c>
      <c r="H55" s="51">
        <f t="shared" si="1"/>
        <v>-4.829502047290931E-3</v>
      </c>
    </row>
    <row r="56" spans="2:8">
      <c r="B56" s="46">
        <v>44365</v>
      </c>
      <c r="C56" s="60">
        <v>2986.388427734375</v>
      </c>
      <c r="D56" s="58">
        <f t="shared" si="0"/>
        <v>-7.9248432273908431E-3</v>
      </c>
      <c r="F56" s="46">
        <v>44365</v>
      </c>
      <c r="G56" s="60">
        <v>15683.349609375</v>
      </c>
      <c r="H56" s="53">
        <f t="shared" si="1"/>
        <v>-5.1306964640390079E-4</v>
      </c>
    </row>
    <row r="57" spans="2:8">
      <c r="B57" s="46">
        <v>44368</v>
      </c>
      <c r="C57" s="60">
        <v>2971.704833984375</v>
      </c>
      <c r="D57" s="58">
        <f t="shared" si="0"/>
        <v>-4.9168398904959982E-3</v>
      </c>
      <c r="F57" s="46">
        <v>44368</v>
      </c>
      <c r="G57" s="60">
        <v>15746.5</v>
      </c>
      <c r="H57" s="51">
        <f t="shared" si="1"/>
        <v>4.0265882096545708E-3</v>
      </c>
    </row>
    <row r="58" spans="2:8">
      <c r="B58" s="46">
        <v>44369</v>
      </c>
      <c r="C58" s="60">
        <v>2993.6591796875</v>
      </c>
      <c r="D58" s="58">
        <f t="shared" si="0"/>
        <v>7.3877948617424617E-3</v>
      </c>
      <c r="F58" s="46">
        <v>44369</v>
      </c>
      <c r="G58" s="60">
        <v>15772.75</v>
      </c>
      <c r="H58" s="53">
        <f t="shared" si="1"/>
        <v>1.6670371193598578E-3</v>
      </c>
    </row>
    <row r="59" spans="2:8">
      <c r="B59" s="46">
        <v>44370</v>
      </c>
      <c r="C59" s="60">
        <v>2955.73779296875</v>
      </c>
      <c r="D59" s="58">
        <f t="shared" si="0"/>
        <v>-1.2667235794927234E-2</v>
      </c>
      <c r="F59" s="46">
        <v>44370</v>
      </c>
      <c r="G59" s="60">
        <v>15686.9501953125</v>
      </c>
      <c r="H59" s="51">
        <f t="shared" si="1"/>
        <v>-5.4397492312691191E-3</v>
      </c>
    </row>
    <row r="60" spans="2:8">
      <c r="B60" s="46">
        <v>44371</v>
      </c>
      <c r="C60" s="60">
        <v>2940.62646484375</v>
      </c>
      <c r="D60" s="58">
        <f t="shared" si="0"/>
        <v>-5.1125401451196208E-3</v>
      </c>
      <c r="F60" s="46">
        <v>44371</v>
      </c>
      <c r="G60" s="60">
        <v>15790.4501953125</v>
      </c>
      <c r="H60" s="53">
        <f t="shared" si="1"/>
        <v>6.5978407983297719E-3</v>
      </c>
    </row>
    <row r="61" spans="2:8">
      <c r="B61" s="46">
        <v>44372</v>
      </c>
      <c r="C61" s="60">
        <v>2986.245849609375</v>
      </c>
      <c r="D61" s="58">
        <f t="shared" si="0"/>
        <v>1.551349187359265E-2</v>
      </c>
      <c r="F61" s="46">
        <v>44372</v>
      </c>
      <c r="G61" s="60">
        <v>15860.349609375</v>
      </c>
      <c r="H61" s="51">
        <f t="shared" si="1"/>
        <v>4.4266891189239247E-3</v>
      </c>
    </row>
    <row r="62" spans="2:8">
      <c r="B62" s="46">
        <v>44375</v>
      </c>
      <c r="C62" s="60">
        <v>2974.888427734375</v>
      </c>
      <c r="D62" s="58">
        <f t="shared" si="0"/>
        <v>-3.8032440887228497E-3</v>
      </c>
      <c r="F62" s="46">
        <v>44375</v>
      </c>
      <c r="G62" s="60">
        <v>15814.7001953125</v>
      </c>
      <c r="H62" s="53">
        <f t="shared" si="1"/>
        <v>-2.8782098242977434E-3</v>
      </c>
    </row>
    <row r="63" spans="2:8">
      <c r="B63" s="46">
        <v>44376</v>
      </c>
      <c r="C63" s="60">
        <v>3037.283447265625</v>
      </c>
      <c r="D63" s="58">
        <f t="shared" si="0"/>
        <v>2.0973902399011649E-2</v>
      </c>
      <c r="F63" s="46">
        <v>44376</v>
      </c>
      <c r="G63" s="60">
        <v>15748.4501953125</v>
      </c>
      <c r="H63" s="51">
        <f t="shared" si="1"/>
        <v>-4.1891404314851697E-3</v>
      </c>
    </row>
    <row r="64" spans="2:8">
      <c r="B64" s="46">
        <v>44377</v>
      </c>
      <c r="C64" s="60">
        <v>3040.705078125</v>
      </c>
      <c r="D64" s="58">
        <f t="shared" si="0"/>
        <v>1.1265431490944289E-3</v>
      </c>
      <c r="F64" s="46">
        <v>44377</v>
      </c>
      <c r="G64" s="60">
        <v>15721.5</v>
      </c>
      <c r="H64" s="53">
        <f t="shared" si="1"/>
        <v>-1.7112919035373831E-3</v>
      </c>
    </row>
    <row r="65" spans="2:8">
      <c r="B65" s="46">
        <v>44378</v>
      </c>
      <c r="C65" s="60">
        <v>3059.85595703125</v>
      </c>
      <c r="D65" s="58">
        <f t="shared" si="0"/>
        <v>6.2981704618519166E-3</v>
      </c>
      <c r="F65" s="46">
        <v>44378</v>
      </c>
      <c r="G65" s="60">
        <v>15680</v>
      </c>
      <c r="H65" s="51">
        <f t="shared" si="1"/>
        <v>-2.6396972299080877E-3</v>
      </c>
    </row>
    <row r="66" spans="2:8">
      <c r="B66" s="46">
        <v>44379</v>
      </c>
      <c r="C66" s="60">
        <v>3036.09521484375</v>
      </c>
      <c r="D66" s="58">
        <f t="shared" si="0"/>
        <v>-7.7653139628681327E-3</v>
      </c>
      <c r="F66" s="46">
        <v>44379</v>
      </c>
      <c r="G66" s="60">
        <v>15722.2001953125</v>
      </c>
      <c r="H66" s="53">
        <f t="shared" si="1"/>
        <v>2.6913389867665818E-3</v>
      </c>
    </row>
    <row r="67" spans="2:8">
      <c r="B67" s="46">
        <v>44382</v>
      </c>
      <c r="C67" s="60">
        <v>3086.752197265625</v>
      </c>
      <c r="D67" s="58">
        <f t="shared" si="0"/>
        <v>1.6684912309142458E-2</v>
      </c>
      <c r="F67" s="46">
        <v>44382</v>
      </c>
      <c r="G67" s="60">
        <v>15834.349609375</v>
      </c>
      <c r="H67" s="51">
        <f t="shared" si="1"/>
        <v>7.1331882732250679E-3</v>
      </c>
    </row>
    <row r="68" spans="2:8">
      <c r="B68" s="46">
        <v>44383</v>
      </c>
      <c r="C68" s="60">
        <v>3150.810546875</v>
      </c>
      <c r="D68" s="58">
        <f t="shared" si="0"/>
        <v>2.075266996363381E-2</v>
      </c>
      <c r="F68" s="46">
        <v>44383</v>
      </c>
      <c r="G68" s="60">
        <v>15818.25</v>
      </c>
      <c r="H68" s="53">
        <f t="shared" si="1"/>
        <v>-1.016752173102705E-3</v>
      </c>
    </row>
    <row r="69" spans="2:8">
      <c r="B69" s="46">
        <v>44384</v>
      </c>
      <c r="C69" s="60">
        <v>3148.719482421875</v>
      </c>
      <c r="D69" s="58">
        <f t="shared" ref="D69:D132" si="2">(C69-C68)/C68</f>
        <v>-6.6365921467380351E-4</v>
      </c>
      <c r="F69" s="46">
        <v>44384</v>
      </c>
      <c r="G69" s="60">
        <v>15879.650390625</v>
      </c>
      <c r="H69" s="51">
        <f t="shared" ref="H69:H132" si="3">(G69-G68)/G68</f>
        <v>3.8816171589777632E-3</v>
      </c>
    </row>
    <row r="70" spans="2:8">
      <c r="B70" s="46">
        <v>44385</v>
      </c>
      <c r="C70" s="60">
        <v>3159.98193359375</v>
      </c>
      <c r="D70" s="58">
        <f t="shared" si="2"/>
        <v>3.5768353563247089E-3</v>
      </c>
      <c r="F70" s="46">
        <v>44385</v>
      </c>
      <c r="G70" s="60">
        <v>15727.900390625</v>
      </c>
      <c r="H70" s="53">
        <f t="shared" si="3"/>
        <v>-9.5562557277451086E-3</v>
      </c>
    </row>
    <row r="71" spans="2:8">
      <c r="B71" s="46">
        <v>44386</v>
      </c>
      <c r="C71" s="60">
        <v>3184.5498046875</v>
      </c>
      <c r="D71" s="58">
        <f t="shared" si="2"/>
        <v>7.774687200761847E-3</v>
      </c>
      <c r="F71" s="46">
        <v>44386</v>
      </c>
      <c r="G71" s="60">
        <v>15689.7998046875</v>
      </c>
      <c r="H71" s="51">
        <f t="shared" si="3"/>
        <v>-2.4224839292732799E-3</v>
      </c>
    </row>
    <row r="72" spans="2:8">
      <c r="B72" s="46">
        <v>44389</v>
      </c>
      <c r="C72" s="60">
        <v>3187.353759765625</v>
      </c>
      <c r="D72" s="58">
        <f t="shared" si="2"/>
        <v>8.8048711751900278E-4</v>
      </c>
      <c r="F72" s="46">
        <v>44389</v>
      </c>
      <c r="G72" s="60">
        <v>15692.599609375</v>
      </c>
      <c r="H72" s="53">
        <f t="shared" si="3"/>
        <v>1.7844744498674405E-4</v>
      </c>
    </row>
    <row r="73" spans="2:8">
      <c r="B73" s="46">
        <v>44390</v>
      </c>
      <c r="C73" s="60">
        <v>3186.498046875</v>
      </c>
      <c r="D73" s="58">
        <f t="shared" si="2"/>
        <v>-2.684712633491687E-4</v>
      </c>
      <c r="F73" s="46">
        <v>44390</v>
      </c>
      <c r="G73" s="60">
        <v>15812.349609375</v>
      </c>
      <c r="H73" s="51">
        <f t="shared" si="3"/>
        <v>7.6309854951285136E-3</v>
      </c>
    </row>
    <row r="74" spans="2:8">
      <c r="B74" s="46">
        <v>44391</v>
      </c>
      <c r="C74" s="60">
        <v>3153.566650390625</v>
      </c>
      <c r="D74" s="58">
        <f t="shared" si="2"/>
        <v>-1.0334667085916099E-2</v>
      </c>
      <c r="F74" s="46">
        <v>44391</v>
      </c>
      <c r="G74" s="60">
        <v>15853.9501953125</v>
      </c>
      <c r="H74" s="53">
        <f t="shared" si="3"/>
        <v>2.6308921169334244E-3</v>
      </c>
    </row>
    <row r="75" spans="2:8">
      <c r="B75" s="46">
        <v>44392</v>
      </c>
      <c r="C75" s="60">
        <v>3166.4443359375</v>
      </c>
      <c r="D75" s="58">
        <f t="shared" si="2"/>
        <v>4.0835304829469421E-3</v>
      </c>
      <c r="F75" s="46">
        <v>44392</v>
      </c>
      <c r="G75" s="60">
        <v>15924.2001953125</v>
      </c>
      <c r="H75" s="51">
        <f t="shared" si="3"/>
        <v>4.4310723280038215E-3</v>
      </c>
    </row>
    <row r="76" spans="2:8">
      <c r="B76" s="46">
        <v>44393</v>
      </c>
      <c r="C76" s="60">
        <v>3184.977294921875</v>
      </c>
      <c r="D76" s="58">
        <f t="shared" si="2"/>
        <v>5.85292429556886E-3</v>
      </c>
      <c r="F76" s="46">
        <v>44393</v>
      </c>
      <c r="G76" s="60">
        <v>15923.400390625</v>
      </c>
      <c r="H76" s="53">
        <f t="shared" si="3"/>
        <v>-5.0225736783655429E-5</v>
      </c>
    </row>
    <row r="77" spans="2:8">
      <c r="B77" s="46">
        <v>44396</v>
      </c>
      <c r="C77" s="60">
        <v>3277.6904296875</v>
      </c>
      <c r="D77" s="58">
        <f t="shared" si="2"/>
        <v>2.9109511993522446E-2</v>
      </c>
      <c r="F77" s="46">
        <v>44396</v>
      </c>
      <c r="G77" s="60">
        <v>15752.400390625</v>
      </c>
      <c r="H77" s="51">
        <f t="shared" si="3"/>
        <v>-1.0738912280361756E-2</v>
      </c>
    </row>
    <row r="78" spans="2:8">
      <c r="B78" s="46">
        <v>44397</v>
      </c>
      <c r="C78" s="60">
        <v>3227.318359375</v>
      </c>
      <c r="D78" s="58">
        <f t="shared" si="2"/>
        <v>-1.5368159804311523E-2</v>
      </c>
      <c r="F78" s="46">
        <v>44397</v>
      </c>
      <c r="G78" s="60">
        <v>15632.099609375</v>
      </c>
      <c r="H78" s="53">
        <f t="shared" si="3"/>
        <v>-7.6369809214344685E-3</v>
      </c>
    </row>
    <row r="79" spans="2:8">
      <c r="B79" s="46">
        <v>44399</v>
      </c>
      <c r="C79" s="60">
        <v>3201.134521484375</v>
      </c>
      <c r="D79" s="58">
        <f t="shared" si="2"/>
        <v>-8.1131871649922204E-3</v>
      </c>
      <c r="F79" s="46">
        <v>44399</v>
      </c>
      <c r="G79" s="60">
        <v>15824.0498046875</v>
      </c>
      <c r="H79" s="51">
        <f t="shared" si="3"/>
        <v>1.2279233123449532E-2</v>
      </c>
    </row>
    <row r="80" spans="2:8">
      <c r="B80" s="46">
        <v>44400</v>
      </c>
      <c r="C80" s="60">
        <v>3226.3681640625</v>
      </c>
      <c r="D80" s="58">
        <f t="shared" si="2"/>
        <v>7.8827185826680253E-3</v>
      </c>
      <c r="F80" s="46">
        <v>44400</v>
      </c>
      <c r="G80" s="60">
        <v>15856.0498046875</v>
      </c>
      <c r="H80" s="53">
        <f t="shared" si="3"/>
        <v>2.0222383267853947E-3</v>
      </c>
    </row>
    <row r="81" spans="2:8">
      <c r="B81" s="46">
        <v>44403</v>
      </c>
      <c r="C81" s="60">
        <v>3257.446533203125</v>
      </c>
      <c r="D81" s="58">
        <f t="shared" si="2"/>
        <v>9.6326170977004966E-3</v>
      </c>
      <c r="F81" s="46">
        <v>44403</v>
      </c>
      <c r="G81" s="60">
        <v>15824.4501953125</v>
      </c>
      <c r="H81" s="51">
        <f t="shared" si="3"/>
        <v>-1.9929055322251985E-3</v>
      </c>
    </row>
    <row r="82" spans="2:8">
      <c r="B82" s="46">
        <v>44404</v>
      </c>
      <c r="C82" s="60">
        <v>3216.246337890625</v>
      </c>
      <c r="D82" s="58">
        <f t="shared" si="2"/>
        <v>-1.2648003548959823E-2</v>
      </c>
      <c r="F82" s="46">
        <v>44404</v>
      </c>
      <c r="G82" s="60">
        <v>15746.4501953125</v>
      </c>
      <c r="H82" s="53">
        <f t="shared" si="3"/>
        <v>-4.9290812026508866E-3</v>
      </c>
    </row>
    <row r="83" spans="2:8">
      <c r="B83" s="46">
        <v>44405</v>
      </c>
      <c r="C83" s="60">
        <v>3203.55810546875</v>
      </c>
      <c r="D83" s="58">
        <f t="shared" si="2"/>
        <v>-3.9450437214322885E-3</v>
      </c>
      <c r="F83" s="46">
        <v>44405</v>
      </c>
      <c r="G83" s="60">
        <v>15709.400390625</v>
      </c>
      <c r="H83" s="51">
        <f t="shared" si="3"/>
        <v>-2.3528988583426387E-3</v>
      </c>
    </row>
    <row r="84" spans="2:8">
      <c r="B84" s="46">
        <v>44406</v>
      </c>
      <c r="C84" s="60">
        <v>3166.4443359375</v>
      </c>
      <c r="D84" s="58">
        <f t="shared" si="2"/>
        <v>-1.1585171334302816E-2</v>
      </c>
      <c r="F84" s="46">
        <v>44406</v>
      </c>
      <c r="G84" s="60">
        <v>15778.4501953125</v>
      </c>
      <c r="H84" s="53">
        <f t="shared" si="3"/>
        <v>4.3954449546468556E-3</v>
      </c>
    </row>
    <row r="85" spans="2:8">
      <c r="B85" s="46">
        <v>44407</v>
      </c>
      <c r="C85" s="60">
        <v>3282.34765625</v>
      </c>
      <c r="D85" s="58">
        <f t="shared" si="2"/>
        <v>3.6603618448951547E-2</v>
      </c>
      <c r="F85" s="46">
        <v>44407</v>
      </c>
      <c r="G85" s="60">
        <v>15763.0498046875</v>
      </c>
      <c r="H85" s="51">
        <f t="shared" si="3"/>
        <v>-9.7603949908687388E-4</v>
      </c>
    </row>
    <row r="86" spans="2:8">
      <c r="B86" s="46">
        <v>44410</v>
      </c>
      <c r="C86" s="60">
        <v>3309.71923828125</v>
      </c>
      <c r="D86" s="58">
        <f t="shared" si="2"/>
        <v>8.33902587348756E-3</v>
      </c>
      <c r="F86" s="46">
        <v>44410</v>
      </c>
      <c r="G86" s="60">
        <v>15885.150390625</v>
      </c>
      <c r="H86" s="53">
        <f t="shared" si="3"/>
        <v>7.7460001364197065E-3</v>
      </c>
    </row>
    <row r="87" spans="2:8">
      <c r="B87" s="46">
        <v>44411</v>
      </c>
      <c r="C87" s="60">
        <v>3333.147216796875</v>
      </c>
      <c r="D87" s="58">
        <f t="shared" si="2"/>
        <v>7.0785395463910227E-3</v>
      </c>
      <c r="F87" s="46">
        <v>44411</v>
      </c>
      <c r="G87" s="60">
        <v>16130.75</v>
      </c>
      <c r="H87" s="51">
        <f t="shared" si="3"/>
        <v>1.5460955882416225E-2</v>
      </c>
    </row>
    <row r="88" spans="2:8">
      <c r="B88" s="46">
        <v>44412</v>
      </c>
      <c r="C88" s="60">
        <v>3230.027099609375</v>
      </c>
      <c r="D88" s="58">
        <f t="shared" si="2"/>
        <v>-3.093776256501431E-2</v>
      </c>
      <c r="F88" s="46">
        <v>44412</v>
      </c>
      <c r="G88" s="60">
        <v>16258.7998046875</v>
      </c>
      <c r="H88" s="53">
        <f t="shared" si="3"/>
        <v>7.9382424678021788E-3</v>
      </c>
    </row>
    <row r="89" spans="2:8">
      <c r="B89" s="46">
        <v>44413</v>
      </c>
      <c r="C89" s="60">
        <v>3231.120361328125</v>
      </c>
      <c r="D89" s="58">
        <f t="shared" si="2"/>
        <v>3.3846828061665928E-4</v>
      </c>
      <c r="F89" s="46">
        <v>44413</v>
      </c>
      <c r="G89" s="60">
        <v>16294.599609375</v>
      </c>
      <c r="H89" s="51">
        <f t="shared" si="3"/>
        <v>2.2018725316476757E-3</v>
      </c>
    </row>
    <row r="90" spans="2:8">
      <c r="B90" s="46">
        <v>44414</v>
      </c>
      <c r="C90" s="60">
        <v>3299.8828125</v>
      </c>
      <c r="D90" s="58">
        <f t="shared" si="2"/>
        <v>2.1281302917360457E-2</v>
      </c>
      <c r="F90" s="46">
        <v>44414</v>
      </c>
      <c r="G90" s="60">
        <v>16238.2001953125</v>
      </c>
      <c r="H90" s="53">
        <f t="shared" si="3"/>
        <v>-3.4612335015615195E-3</v>
      </c>
    </row>
    <row r="91" spans="2:8">
      <c r="B91" s="46">
        <v>44417</v>
      </c>
      <c r="C91" s="60">
        <v>3345.1875</v>
      </c>
      <c r="D91" s="58">
        <f t="shared" si="2"/>
        <v>1.3729180723747292E-2</v>
      </c>
      <c r="F91" s="46">
        <v>44417</v>
      </c>
      <c r="G91" s="60">
        <v>16258.25</v>
      </c>
      <c r="H91" s="51">
        <f t="shared" si="3"/>
        <v>1.2347307242392418E-3</v>
      </c>
    </row>
    <row r="92" spans="2:8">
      <c r="B92" s="46">
        <v>44418</v>
      </c>
      <c r="C92" s="60">
        <v>3385.637939453125</v>
      </c>
      <c r="D92" s="58">
        <f t="shared" si="2"/>
        <v>1.2092129201464791E-2</v>
      </c>
      <c r="F92" s="46">
        <v>44418</v>
      </c>
      <c r="G92" s="60">
        <v>16280.099609375</v>
      </c>
      <c r="H92" s="53">
        <f t="shared" si="3"/>
        <v>1.3439090538649608E-3</v>
      </c>
    </row>
    <row r="93" spans="2:8">
      <c r="B93" s="46">
        <v>44419</v>
      </c>
      <c r="C93" s="60">
        <v>3506.60986328125</v>
      </c>
      <c r="D93" s="58">
        <f t="shared" si="2"/>
        <v>3.5730909799429215E-2</v>
      </c>
      <c r="F93" s="46">
        <v>44419</v>
      </c>
      <c r="G93" s="60">
        <v>16282.25</v>
      </c>
      <c r="H93" s="51">
        <f t="shared" si="3"/>
        <v>1.3208706805219322E-4</v>
      </c>
    </row>
    <row r="94" spans="2:8">
      <c r="B94" s="46">
        <v>44420</v>
      </c>
      <c r="C94" s="60">
        <v>3469.823486328125</v>
      </c>
      <c r="D94" s="58">
        <f t="shared" si="2"/>
        <v>-1.0490581612264896E-2</v>
      </c>
      <c r="F94" s="46">
        <v>44420</v>
      </c>
      <c r="G94" s="60">
        <v>16364.400390625</v>
      </c>
      <c r="H94" s="53">
        <f t="shared" si="3"/>
        <v>5.0453954843464512E-3</v>
      </c>
    </row>
    <row r="95" spans="2:8">
      <c r="B95" s="46">
        <v>44421</v>
      </c>
      <c r="C95" s="60">
        <v>3480.959716796875</v>
      </c>
      <c r="D95" s="58">
        <f t="shared" si="2"/>
        <v>3.2094515794907782E-3</v>
      </c>
      <c r="F95" s="46">
        <v>44421</v>
      </c>
      <c r="G95" s="60">
        <v>16529.099609375</v>
      </c>
      <c r="H95" s="51">
        <f t="shared" si="3"/>
        <v>1.0064482340847301E-2</v>
      </c>
    </row>
    <row r="96" spans="2:8">
      <c r="B96" s="46">
        <v>44424</v>
      </c>
      <c r="C96" s="60">
        <v>3534.44970703125</v>
      </c>
      <c r="D96" s="58">
        <f t="shared" si="2"/>
        <v>1.5366449079047561E-2</v>
      </c>
      <c r="F96" s="46">
        <v>44424</v>
      </c>
      <c r="G96" s="60">
        <v>16563.05078125</v>
      </c>
      <c r="H96" s="53">
        <f t="shared" si="3"/>
        <v>2.0540242770237479E-3</v>
      </c>
    </row>
    <row r="97" spans="2:8">
      <c r="B97" s="46">
        <v>44425</v>
      </c>
      <c r="C97" s="60">
        <v>3524.69384765625</v>
      </c>
      <c r="D97" s="58">
        <f t="shared" si="2"/>
        <v>-2.7602201710756279E-3</v>
      </c>
      <c r="F97" s="46">
        <v>44425</v>
      </c>
      <c r="G97" s="60">
        <v>16614.599609375</v>
      </c>
      <c r="H97" s="51">
        <f t="shared" si="3"/>
        <v>3.1122785775284361E-3</v>
      </c>
    </row>
    <row r="98" spans="2:8">
      <c r="B98" s="46">
        <v>44426</v>
      </c>
      <c r="C98" s="60">
        <v>3618.873046875</v>
      </c>
      <c r="D98" s="58">
        <f t="shared" si="2"/>
        <v>2.6719823987372573E-2</v>
      </c>
      <c r="F98" s="46">
        <v>44426</v>
      </c>
      <c r="G98" s="60">
        <v>16568.849609375</v>
      </c>
      <c r="H98" s="53">
        <f t="shared" si="3"/>
        <v>-2.7536023181795473E-3</v>
      </c>
    </row>
    <row r="99" spans="2:8">
      <c r="B99" s="46">
        <v>44428</v>
      </c>
      <c r="C99" s="60">
        <v>3621.014404296875</v>
      </c>
      <c r="D99" s="58">
        <f t="shared" si="2"/>
        <v>5.9171940936809681E-4</v>
      </c>
      <c r="F99" s="46">
        <v>44428</v>
      </c>
      <c r="G99" s="60">
        <v>16450.5</v>
      </c>
      <c r="H99" s="51">
        <f t="shared" si="3"/>
        <v>-7.142898400624949E-3</v>
      </c>
    </row>
    <row r="100" spans="2:8">
      <c r="B100" s="46">
        <v>44431</v>
      </c>
      <c r="C100" s="60">
        <v>3613.4951171875</v>
      </c>
      <c r="D100" s="58">
        <f t="shared" si="2"/>
        <v>-2.0765692344256463E-3</v>
      </c>
      <c r="F100" s="46">
        <v>44431</v>
      </c>
      <c r="G100" s="60">
        <v>16496.44921875</v>
      </c>
      <c r="H100" s="53">
        <f t="shared" si="3"/>
        <v>2.7931806783988329E-3</v>
      </c>
    </row>
    <row r="101" spans="2:8">
      <c r="B101" s="46">
        <v>44432</v>
      </c>
      <c r="C101" s="60">
        <v>3652.423095703125</v>
      </c>
      <c r="D101" s="58">
        <f t="shared" si="2"/>
        <v>1.0772943439293728E-2</v>
      </c>
      <c r="F101" s="46">
        <v>44432</v>
      </c>
      <c r="G101" s="60">
        <v>16624.599609375</v>
      </c>
      <c r="H101" s="51">
        <f t="shared" si="3"/>
        <v>7.7683620836017982E-3</v>
      </c>
    </row>
    <row r="102" spans="2:8">
      <c r="B102" s="46">
        <v>44433</v>
      </c>
      <c r="C102" s="60">
        <v>3633.007080078125</v>
      </c>
      <c r="D102" s="58">
        <f t="shared" si="2"/>
        <v>-5.3159272943602495E-3</v>
      </c>
      <c r="F102" s="46">
        <v>44433</v>
      </c>
      <c r="G102" s="60">
        <v>16634.650390625</v>
      </c>
      <c r="H102" s="53">
        <f t="shared" si="3"/>
        <v>6.0457283099510741E-4</v>
      </c>
    </row>
    <row r="103" spans="2:8">
      <c r="B103" s="46">
        <v>44434</v>
      </c>
      <c r="C103" s="60">
        <v>3676.551025390625</v>
      </c>
      <c r="D103" s="58">
        <f t="shared" si="2"/>
        <v>1.1985648349345804E-2</v>
      </c>
      <c r="F103" s="46">
        <v>44434</v>
      </c>
      <c r="G103" s="60">
        <v>16636.900390625</v>
      </c>
      <c r="H103" s="51">
        <f t="shared" si="3"/>
        <v>1.3525983096513173E-4</v>
      </c>
    </row>
    <row r="104" spans="2:8">
      <c r="B104" s="46">
        <v>44435</v>
      </c>
      <c r="C104" s="60">
        <v>3700.202880859375</v>
      </c>
      <c r="D104" s="58">
        <f t="shared" si="2"/>
        <v>6.4331639369093335E-3</v>
      </c>
      <c r="F104" s="46">
        <v>44435</v>
      </c>
      <c r="G104" s="60">
        <v>16705.19921875</v>
      </c>
      <c r="H104" s="53">
        <f t="shared" si="3"/>
        <v>4.1052615884799564E-3</v>
      </c>
    </row>
    <row r="105" spans="2:8">
      <c r="B105" s="46">
        <v>44438</v>
      </c>
      <c r="C105" s="60">
        <v>3713.67041015625</v>
      </c>
      <c r="D105" s="58">
        <f t="shared" si="2"/>
        <v>3.6396732099584646E-3</v>
      </c>
      <c r="F105" s="46">
        <v>44438</v>
      </c>
      <c r="G105" s="60">
        <v>16931.05078125</v>
      </c>
      <c r="H105" s="51">
        <f t="shared" si="3"/>
        <v>1.3519836521704158E-2</v>
      </c>
    </row>
    <row r="106" spans="2:8">
      <c r="B106" s="46">
        <v>44439</v>
      </c>
      <c r="C106" s="60">
        <v>3691.58935546875</v>
      </c>
      <c r="D106" s="58">
        <f t="shared" si="2"/>
        <v>-5.9458843270291601E-3</v>
      </c>
      <c r="F106" s="46">
        <v>44439</v>
      </c>
      <c r="G106" s="60">
        <v>17132.19921875</v>
      </c>
      <c r="H106" s="53">
        <f t="shared" si="3"/>
        <v>1.1880446175423345E-2</v>
      </c>
    </row>
    <row r="107" spans="2:8">
      <c r="B107" s="46">
        <v>44440</v>
      </c>
      <c r="C107" s="60">
        <v>3669.983642578125</v>
      </c>
      <c r="D107" s="58">
        <f t="shared" si="2"/>
        <v>-5.852685878676653E-3</v>
      </c>
      <c r="F107" s="46">
        <v>44440</v>
      </c>
      <c r="G107" s="60">
        <v>17076.25</v>
      </c>
      <c r="H107" s="51">
        <f t="shared" si="3"/>
        <v>-3.2657347743637881E-3</v>
      </c>
    </row>
    <row r="108" spans="2:8">
      <c r="B108" s="46">
        <v>44441</v>
      </c>
      <c r="C108" s="60">
        <v>3720.571044921875</v>
      </c>
      <c r="D108" s="58">
        <f t="shared" si="2"/>
        <v>1.3784094772752959E-2</v>
      </c>
      <c r="F108" s="46">
        <v>44441</v>
      </c>
      <c r="G108" s="60">
        <v>17234.150390625</v>
      </c>
      <c r="H108" s="53">
        <f t="shared" si="3"/>
        <v>9.2467837273991649E-3</v>
      </c>
    </row>
    <row r="109" spans="2:8">
      <c r="B109" s="46">
        <v>44442</v>
      </c>
      <c r="C109" s="60">
        <v>3649.996337890625</v>
      </c>
      <c r="D109" s="58">
        <f t="shared" si="2"/>
        <v>-1.8968783603144967E-2</v>
      </c>
      <c r="F109" s="46">
        <v>44442</v>
      </c>
      <c r="G109" s="60">
        <v>17323.599609375</v>
      </c>
      <c r="H109" s="51">
        <f t="shared" si="3"/>
        <v>5.1902308336974016E-3</v>
      </c>
    </row>
    <row r="110" spans="2:8">
      <c r="B110" s="46">
        <v>44445</v>
      </c>
      <c r="C110" s="60">
        <v>3640.668701171875</v>
      </c>
      <c r="D110" s="58">
        <f t="shared" si="2"/>
        <v>-2.5555194732443344E-3</v>
      </c>
      <c r="F110" s="46">
        <v>44445</v>
      </c>
      <c r="G110" s="60">
        <v>17377.80078125</v>
      </c>
      <c r="H110" s="53">
        <f t="shared" si="3"/>
        <v>3.1287476677576867E-3</v>
      </c>
    </row>
    <row r="111" spans="2:8">
      <c r="B111" s="46">
        <v>44446</v>
      </c>
      <c r="C111" s="60">
        <v>3604.786376953125</v>
      </c>
      <c r="D111" s="58">
        <f t="shared" si="2"/>
        <v>-9.8559707471322609E-3</v>
      </c>
      <c r="F111" s="46">
        <v>44446</v>
      </c>
      <c r="G111" s="60">
        <v>17362.099609375</v>
      </c>
      <c r="H111" s="51">
        <f t="shared" si="3"/>
        <v>-9.0351892466974189E-4</v>
      </c>
    </row>
    <row r="112" spans="2:8">
      <c r="B112" s="46">
        <v>44447</v>
      </c>
      <c r="C112" s="60">
        <v>3570.617431640625</v>
      </c>
      <c r="D112" s="58">
        <f t="shared" si="2"/>
        <v>-9.4787712056825495E-3</v>
      </c>
      <c r="F112" s="46">
        <v>44447</v>
      </c>
      <c r="G112" s="60">
        <v>17353.5</v>
      </c>
      <c r="H112" s="53">
        <f t="shared" si="3"/>
        <v>-4.9530929832682655E-4</v>
      </c>
    </row>
    <row r="113" spans="2:8">
      <c r="B113" s="46">
        <v>44448</v>
      </c>
      <c r="C113" s="60">
        <v>3612.5439453125</v>
      </c>
      <c r="D113" s="58">
        <f t="shared" si="2"/>
        <v>1.1742090681669762E-2</v>
      </c>
      <c r="F113" s="46">
        <v>44448</v>
      </c>
      <c r="G113" s="60">
        <v>17369.25</v>
      </c>
      <c r="H113" s="51">
        <f t="shared" si="3"/>
        <v>9.0759789091537728E-4</v>
      </c>
    </row>
    <row r="114" spans="2:8">
      <c r="B114" s="46">
        <v>44452</v>
      </c>
      <c r="C114" s="60">
        <v>3639.478759765625</v>
      </c>
      <c r="D114" s="58">
        <f t="shared" si="2"/>
        <v>7.4559133012276832E-3</v>
      </c>
      <c r="F114" s="46">
        <v>44452</v>
      </c>
      <c r="G114" s="60">
        <v>17355.30078125</v>
      </c>
      <c r="H114" s="53">
        <f t="shared" si="3"/>
        <v>-8.0309850741972161E-4</v>
      </c>
    </row>
    <row r="115" spans="2:8">
      <c r="B115" s="46">
        <v>44453</v>
      </c>
      <c r="C115" s="60">
        <v>3622.775146484375</v>
      </c>
      <c r="D115" s="58">
        <f t="shared" si="2"/>
        <v>-4.5895619630778334E-3</v>
      </c>
      <c r="F115" s="46">
        <v>44453</v>
      </c>
      <c r="G115" s="60">
        <v>17380</v>
      </c>
      <c r="H115" s="51">
        <f t="shared" si="3"/>
        <v>1.4231512931590379E-3</v>
      </c>
    </row>
    <row r="116" spans="2:8">
      <c r="B116" s="46">
        <v>44454</v>
      </c>
      <c r="C116" s="60">
        <v>3666.41455078125</v>
      </c>
      <c r="D116" s="58">
        <f t="shared" si="2"/>
        <v>1.2045849530358982E-2</v>
      </c>
      <c r="F116" s="46">
        <v>44454</v>
      </c>
      <c r="G116" s="60">
        <v>17519.44921875</v>
      </c>
      <c r="H116" s="53">
        <f t="shared" si="3"/>
        <v>8.0235453826237053E-3</v>
      </c>
    </row>
    <row r="117" spans="2:8">
      <c r="B117" s="46">
        <v>44455</v>
      </c>
      <c r="C117" s="60">
        <v>3687.163330078125</v>
      </c>
      <c r="D117" s="58">
        <f t="shared" si="2"/>
        <v>5.6591471066614087E-3</v>
      </c>
      <c r="F117" s="46">
        <v>44455</v>
      </c>
      <c r="G117" s="60">
        <v>17629.5</v>
      </c>
      <c r="H117" s="51">
        <f t="shared" si="3"/>
        <v>6.2816347635072543E-3</v>
      </c>
    </row>
    <row r="118" spans="2:8">
      <c r="B118" s="46">
        <v>44456</v>
      </c>
      <c r="C118" s="60">
        <v>3640.525634765625</v>
      </c>
      <c r="D118" s="58">
        <f t="shared" si="2"/>
        <v>-1.2648665420392924E-2</v>
      </c>
      <c r="F118" s="46">
        <v>44456</v>
      </c>
      <c r="G118" s="60">
        <v>17585.150390625</v>
      </c>
      <c r="H118" s="53">
        <f t="shared" si="3"/>
        <v>-2.5156476006126098E-3</v>
      </c>
    </row>
    <row r="119" spans="2:8">
      <c r="B119" s="46">
        <v>44459</v>
      </c>
      <c r="C119" s="60">
        <v>3605.072021484375</v>
      </c>
      <c r="D119" s="58">
        <f t="shared" si="2"/>
        <v>-9.7385973450321503E-3</v>
      </c>
      <c r="F119" s="46">
        <v>44459</v>
      </c>
      <c r="G119" s="60">
        <v>17396.900390625</v>
      </c>
      <c r="H119" s="51">
        <f t="shared" si="3"/>
        <v>-1.0705054879733066E-2</v>
      </c>
    </row>
    <row r="120" spans="2:8">
      <c r="B120" s="46">
        <v>44460</v>
      </c>
      <c r="C120" s="60">
        <v>3672.743896484375</v>
      </c>
      <c r="D120" s="58">
        <f t="shared" si="2"/>
        <v>1.8771296272781911E-2</v>
      </c>
      <c r="F120" s="46">
        <v>44460</v>
      </c>
      <c r="G120" s="60">
        <v>17562</v>
      </c>
      <c r="H120" s="53">
        <f t="shared" si="3"/>
        <v>9.4901738624640509E-3</v>
      </c>
    </row>
    <row r="121" spans="2:8">
      <c r="B121" s="46">
        <v>44461</v>
      </c>
      <c r="C121" s="60">
        <v>3706.818359375</v>
      </c>
      <c r="D121" s="58">
        <f t="shared" si="2"/>
        <v>9.2776582988108071E-3</v>
      </c>
      <c r="F121" s="46">
        <v>44461</v>
      </c>
      <c r="G121" s="60">
        <v>17546.650390625</v>
      </c>
      <c r="H121" s="51">
        <f t="shared" si="3"/>
        <v>-8.7402399356565307E-4</v>
      </c>
    </row>
    <row r="122" spans="2:8">
      <c r="B122" s="46">
        <v>44462</v>
      </c>
      <c r="C122" s="60">
        <v>3772.10986328125</v>
      </c>
      <c r="D122" s="58">
        <f t="shared" si="2"/>
        <v>1.7613893527078216E-2</v>
      </c>
      <c r="F122" s="46">
        <v>44462</v>
      </c>
      <c r="G122" s="60">
        <v>17822.94921875</v>
      </c>
      <c r="H122" s="53">
        <f t="shared" si="3"/>
        <v>1.5746528367181906E-2</v>
      </c>
    </row>
    <row r="123" spans="2:8">
      <c r="B123" s="46">
        <v>44463</v>
      </c>
      <c r="C123" s="60">
        <v>3810.086669921875</v>
      </c>
      <c r="D123" s="58">
        <f t="shared" si="2"/>
        <v>1.0067789119903858E-2</v>
      </c>
      <c r="F123" s="46">
        <v>44463</v>
      </c>
      <c r="G123" s="60">
        <v>17853.19921875</v>
      </c>
      <c r="H123" s="51">
        <f t="shared" si="3"/>
        <v>1.6972499684943592E-3</v>
      </c>
    </row>
    <row r="124" spans="2:8">
      <c r="B124" s="46">
        <v>44466</v>
      </c>
      <c r="C124" s="60">
        <v>3807.135986328125</v>
      </c>
      <c r="D124" s="58">
        <f t="shared" si="2"/>
        <v>-7.7444001918478749E-4</v>
      </c>
      <c r="F124" s="46">
        <v>44466</v>
      </c>
      <c r="G124" s="60">
        <v>17855.099609375</v>
      </c>
      <c r="H124" s="53">
        <f t="shared" si="3"/>
        <v>1.0644538279750718E-4</v>
      </c>
    </row>
    <row r="125" spans="2:8">
      <c r="B125" s="46">
        <v>44467</v>
      </c>
      <c r="C125" s="60">
        <v>3746.507080078125</v>
      </c>
      <c r="D125" s="58">
        <f t="shared" si="2"/>
        <v>-1.5925069781517014E-2</v>
      </c>
      <c r="F125" s="46">
        <v>44467</v>
      </c>
      <c r="G125" s="60">
        <v>17748.599609375</v>
      </c>
      <c r="H125" s="51">
        <f t="shared" si="3"/>
        <v>-5.9646824901543032E-3</v>
      </c>
    </row>
    <row r="126" spans="2:8">
      <c r="B126" s="46">
        <v>44468</v>
      </c>
      <c r="C126" s="60">
        <v>3746.269287109375</v>
      </c>
      <c r="D126" s="58">
        <f t="shared" si="2"/>
        <v>-6.3470577705418714E-5</v>
      </c>
      <c r="F126" s="46">
        <v>44468</v>
      </c>
      <c r="G126" s="60">
        <v>17711.30078125</v>
      </c>
      <c r="H126" s="53">
        <f t="shared" si="3"/>
        <v>-2.1015082285871364E-3</v>
      </c>
    </row>
    <row r="127" spans="2:8">
      <c r="B127" s="46">
        <v>44469</v>
      </c>
      <c r="C127" s="60">
        <v>3788.8134765625</v>
      </c>
      <c r="D127" s="58">
        <f t="shared" si="2"/>
        <v>1.1356415194048194E-2</v>
      </c>
      <c r="F127" s="46">
        <v>44469</v>
      </c>
      <c r="G127" s="60">
        <v>17618.150390625</v>
      </c>
      <c r="H127" s="51">
        <f t="shared" si="3"/>
        <v>-5.2593760207388773E-3</v>
      </c>
    </row>
    <row r="128" spans="2:8">
      <c r="B128" s="46">
        <v>44470</v>
      </c>
      <c r="C128" s="60">
        <v>3797.66552734375</v>
      </c>
      <c r="D128" s="58">
        <f t="shared" si="2"/>
        <v>2.3363648899605515E-3</v>
      </c>
      <c r="F128" s="46">
        <v>44470</v>
      </c>
      <c r="G128" s="60">
        <v>17532.05078125</v>
      </c>
      <c r="H128" s="53">
        <f t="shared" si="3"/>
        <v>-4.8869834497959255E-3</v>
      </c>
    </row>
    <row r="129" spans="2:8">
      <c r="B129" s="46">
        <v>44473</v>
      </c>
      <c r="C129" s="60">
        <v>3778.487060546875</v>
      </c>
      <c r="D129" s="58">
        <f t="shared" si="2"/>
        <v>-5.0500673792326419E-3</v>
      </c>
      <c r="F129" s="46">
        <v>44473</v>
      </c>
      <c r="G129" s="60">
        <v>17691.25</v>
      </c>
      <c r="H129" s="51">
        <f t="shared" si="3"/>
        <v>9.080467581137671E-3</v>
      </c>
    </row>
    <row r="130" spans="2:8">
      <c r="B130" s="46">
        <v>44474</v>
      </c>
      <c r="C130" s="60">
        <v>3778.962890625</v>
      </c>
      <c r="D130" s="58">
        <f t="shared" si="2"/>
        <v>1.2593137689774999E-4</v>
      </c>
      <c r="F130" s="46">
        <v>44474</v>
      </c>
      <c r="G130" s="60">
        <v>17822.30078125</v>
      </c>
      <c r="H130" s="53">
        <f t="shared" si="3"/>
        <v>7.4076609199463014E-3</v>
      </c>
    </row>
    <row r="131" spans="2:8">
      <c r="B131" s="46">
        <v>44475</v>
      </c>
      <c r="C131" s="60">
        <v>3745.983642578125</v>
      </c>
      <c r="D131" s="58">
        <f t="shared" si="2"/>
        <v>-8.7270632185066487E-3</v>
      </c>
      <c r="F131" s="46">
        <v>44475</v>
      </c>
      <c r="G131" s="60">
        <v>17646</v>
      </c>
      <c r="H131" s="51">
        <f t="shared" si="3"/>
        <v>-9.8921448702895716E-3</v>
      </c>
    </row>
    <row r="132" spans="2:8">
      <c r="B132" s="46">
        <v>44476</v>
      </c>
      <c r="C132" s="60">
        <v>3721.332763671875</v>
      </c>
      <c r="D132" s="58">
        <f t="shared" si="2"/>
        <v>-6.5806157362941261E-3</v>
      </c>
      <c r="F132" s="46">
        <v>44476</v>
      </c>
      <c r="G132" s="60">
        <v>17790.349609375</v>
      </c>
      <c r="H132" s="53">
        <f t="shared" si="3"/>
        <v>8.1803020160376282E-3</v>
      </c>
    </row>
    <row r="133" spans="2:8">
      <c r="B133" s="46">
        <v>44477</v>
      </c>
      <c r="C133" s="60">
        <v>3745.0791015625</v>
      </c>
      <c r="D133" s="58">
        <f t="shared" ref="D133:D196" si="4">(C133-C132)/C132</f>
        <v>6.3811379950860026E-3</v>
      </c>
      <c r="F133" s="46">
        <v>44477</v>
      </c>
      <c r="G133" s="60">
        <v>17895.19921875</v>
      </c>
      <c r="H133" s="51">
        <f t="shared" ref="H133:H196" si="5">(G133-G132)/G132</f>
        <v>5.8936227604963589E-3</v>
      </c>
    </row>
    <row r="134" spans="2:8">
      <c r="B134" s="46">
        <v>44480</v>
      </c>
      <c r="C134" s="60">
        <v>3743.889892578125</v>
      </c>
      <c r="D134" s="58">
        <f t="shared" si="4"/>
        <v>-3.1753908318754738E-4</v>
      </c>
      <c r="F134" s="46">
        <v>44480</v>
      </c>
      <c r="G134" s="60">
        <v>17945.94921875</v>
      </c>
      <c r="H134" s="53">
        <f t="shared" si="5"/>
        <v>2.8359561343595336E-3</v>
      </c>
    </row>
    <row r="135" spans="2:8">
      <c r="B135" s="46">
        <v>44481</v>
      </c>
      <c r="C135" s="60">
        <v>3749.981201171875</v>
      </c>
      <c r="D135" s="58">
        <f t="shared" si="4"/>
        <v>1.6269999301596423E-3</v>
      </c>
      <c r="F135" s="46">
        <v>44481</v>
      </c>
      <c r="G135" s="60">
        <v>17991.94921875</v>
      </c>
      <c r="H135" s="51">
        <f t="shared" si="5"/>
        <v>2.5632525445875558E-3</v>
      </c>
    </row>
    <row r="136" spans="2:8">
      <c r="B136" s="46">
        <v>44482</v>
      </c>
      <c r="C136" s="60">
        <v>3748.077392578125</v>
      </c>
      <c r="D136" s="58">
        <f t="shared" si="4"/>
        <v>-5.0768483670132986E-4</v>
      </c>
      <c r="F136" s="46">
        <v>44482</v>
      </c>
      <c r="G136" s="60">
        <v>18161.75</v>
      </c>
      <c r="H136" s="53">
        <f t="shared" si="5"/>
        <v>9.4375978492116375E-3</v>
      </c>
    </row>
    <row r="137" spans="2:8">
      <c r="B137" s="46">
        <v>44483</v>
      </c>
      <c r="C137" s="60">
        <v>3705.009033203125</v>
      </c>
      <c r="D137" s="58">
        <f t="shared" si="4"/>
        <v>-1.1490787106019525E-2</v>
      </c>
      <c r="F137" s="46">
        <v>44483</v>
      </c>
      <c r="G137" s="60">
        <v>18338.55078125</v>
      </c>
      <c r="H137" s="51">
        <f t="shared" si="5"/>
        <v>9.7347877407188178E-3</v>
      </c>
    </row>
    <row r="138" spans="2:8">
      <c r="B138" s="46">
        <v>44487</v>
      </c>
      <c r="C138" s="60">
        <v>3675.123291015625</v>
      </c>
      <c r="D138" s="58">
        <f t="shared" si="4"/>
        <v>-8.0663075095562201E-3</v>
      </c>
      <c r="F138" s="46">
        <v>44487</v>
      </c>
      <c r="G138" s="60">
        <v>18477.05078125</v>
      </c>
      <c r="H138" s="53">
        <f t="shared" si="5"/>
        <v>7.5523961327198996E-3</v>
      </c>
    </row>
    <row r="139" spans="2:8">
      <c r="B139" s="46">
        <v>44488</v>
      </c>
      <c r="C139" s="60">
        <v>3656.896728515625</v>
      </c>
      <c r="D139" s="58">
        <f t="shared" si="4"/>
        <v>-4.9594424613066696E-3</v>
      </c>
      <c r="F139" s="46">
        <v>44488</v>
      </c>
      <c r="G139" s="60">
        <v>18418.75</v>
      </c>
      <c r="H139" s="51">
        <f t="shared" si="5"/>
        <v>-3.1553077349964326E-3</v>
      </c>
    </row>
    <row r="140" spans="2:8">
      <c r="B140" s="46">
        <v>44489</v>
      </c>
      <c r="C140" s="60">
        <v>3639.717041015625</v>
      </c>
      <c r="D140" s="58">
        <f t="shared" si="4"/>
        <v>-4.697886972316395E-3</v>
      </c>
      <c r="F140" s="46">
        <v>44489</v>
      </c>
      <c r="G140" s="60">
        <v>18266.599609375</v>
      </c>
      <c r="H140" s="53">
        <f t="shared" si="5"/>
        <v>-8.2606252120800815E-3</v>
      </c>
    </row>
    <row r="141" spans="2:8">
      <c r="B141" s="46">
        <v>44490</v>
      </c>
      <c r="C141" s="60">
        <v>3608.2607421875</v>
      </c>
      <c r="D141" s="58">
        <f t="shared" si="4"/>
        <v>-8.6425121715910779E-3</v>
      </c>
      <c r="F141" s="46">
        <v>44490</v>
      </c>
      <c r="G141" s="60">
        <v>18178.099609375</v>
      </c>
      <c r="H141" s="51">
        <f t="shared" si="5"/>
        <v>-4.8449082967023036E-3</v>
      </c>
    </row>
    <row r="142" spans="2:8">
      <c r="B142" s="46">
        <v>44491</v>
      </c>
      <c r="C142" s="60">
        <v>3566.572265625</v>
      </c>
      <c r="D142" s="58">
        <f t="shared" si="4"/>
        <v>-1.155362085535605E-2</v>
      </c>
      <c r="F142" s="46">
        <v>44491</v>
      </c>
      <c r="G142" s="60">
        <v>18114.900390625</v>
      </c>
      <c r="H142" s="53">
        <f t="shared" si="5"/>
        <v>-3.4766680845673349E-3</v>
      </c>
    </row>
    <row r="143" spans="2:8">
      <c r="B143" s="46">
        <v>44494</v>
      </c>
      <c r="C143" s="60">
        <v>3528.97705078125</v>
      </c>
      <c r="D143" s="58">
        <f t="shared" si="4"/>
        <v>-1.0540993436778683E-2</v>
      </c>
      <c r="F143" s="46">
        <v>44494</v>
      </c>
      <c r="G143" s="60">
        <v>18125.400390625</v>
      </c>
      <c r="H143" s="51">
        <f t="shared" si="5"/>
        <v>5.7963332801068358E-4</v>
      </c>
    </row>
    <row r="144" spans="2:8">
      <c r="B144" s="46">
        <v>44495</v>
      </c>
      <c r="C144" s="60">
        <v>3517.650634765625</v>
      </c>
      <c r="D144" s="58">
        <f t="shared" si="4"/>
        <v>-3.2095465208869926E-3</v>
      </c>
      <c r="F144" s="46">
        <v>44495</v>
      </c>
      <c r="G144" s="60">
        <v>18268.400390625</v>
      </c>
      <c r="H144" s="53">
        <f t="shared" si="5"/>
        <v>7.8894808897001737E-3</v>
      </c>
    </row>
    <row r="145" spans="2:8">
      <c r="B145" s="46">
        <v>44496</v>
      </c>
      <c r="C145" s="60">
        <v>3550.91552734375</v>
      </c>
      <c r="D145" s="58">
        <f t="shared" si="4"/>
        <v>9.4565651998983636E-3</v>
      </c>
      <c r="F145" s="46">
        <v>44496</v>
      </c>
      <c r="G145" s="60">
        <v>18210.94921875</v>
      </c>
      <c r="H145" s="51">
        <f t="shared" si="5"/>
        <v>-3.144838663842887E-3</v>
      </c>
    </row>
    <row r="146" spans="2:8">
      <c r="B146" s="46">
        <v>44497</v>
      </c>
      <c r="C146" s="60">
        <v>3515.652099609375</v>
      </c>
      <c r="D146" s="58">
        <f t="shared" si="4"/>
        <v>-9.9307988215517149E-3</v>
      </c>
      <c r="F146" s="46">
        <v>44497</v>
      </c>
      <c r="G146" s="60">
        <v>17857.25</v>
      </c>
      <c r="H146" s="53">
        <f t="shared" si="5"/>
        <v>-1.942233842406365E-2</v>
      </c>
    </row>
    <row r="147" spans="2:8">
      <c r="B147" s="46">
        <v>44498</v>
      </c>
      <c r="C147" s="60">
        <v>3436.558349609375</v>
      </c>
      <c r="D147" s="58">
        <f t="shared" si="4"/>
        <v>-2.2497604358744178E-2</v>
      </c>
      <c r="F147" s="46">
        <v>44498</v>
      </c>
      <c r="G147" s="60">
        <v>17671.650390625</v>
      </c>
      <c r="H147" s="51">
        <f t="shared" si="5"/>
        <v>-1.0393515763905417E-2</v>
      </c>
    </row>
    <row r="148" spans="2:8">
      <c r="B148" s="46">
        <v>44501</v>
      </c>
      <c r="C148" s="60">
        <v>3579.70703125</v>
      </c>
      <c r="D148" s="58">
        <f t="shared" si="4"/>
        <v>4.1654663496953674E-2</v>
      </c>
      <c r="F148" s="46">
        <v>44501</v>
      </c>
      <c r="G148" s="60">
        <v>17929.650390625</v>
      </c>
      <c r="H148" s="53">
        <f t="shared" si="5"/>
        <v>1.4599655057507915E-2</v>
      </c>
    </row>
    <row r="149" spans="2:8">
      <c r="B149" s="46">
        <v>44502</v>
      </c>
      <c r="C149" s="60">
        <v>3521.742919921875</v>
      </c>
      <c r="D149" s="58">
        <f t="shared" si="4"/>
        <v>-1.6192417653766621E-2</v>
      </c>
      <c r="F149" s="46">
        <v>44502</v>
      </c>
      <c r="G149" s="60">
        <v>17888.94921875</v>
      </c>
      <c r="H149" s="51">
        <f t="shared" si="5"/>
        <v>-2.2700482713417379E-3</v>
      </c>
    </row>
    <row r="150" spans="2:8">
      <c r="B150" s="46">
        <v>44503</v>
      </c>
      <c r="C150" s="60">
        <v>3474.9150390625</v>
      </c>
      <c r="D150" s="58">
        <f t="shared" si="4"/>
        <v>-1.3296791368409654E-2</v>
      </c>
      <c r="F150" s="46">
        <v>44503</v>
      </c>
      <c r="G150" s="60">
        <v>17829.19921875</v>
      </c>
      <c r="H150" s="53">
        <f t="shared" si="5"/>
        <v>-3.3400508475575552E-3</v>
      </c>
    </row>
    <row r="151" spans="2:8">
      <c r="B151" s="46">
        <v>44504</v>
      </c>
      <c r="C151" s="60">
        <v>3472.203125</v>
      </c>
      <c r="D151" s="58">
        <f t="shared" si="4"/>
        <v>-7.8042600524462014E-4</v>
      </c>
      <c r="F151" s="46">
        <v>44504</v>
      </c>
      <c r="G151" s="60">
        <v>17916.80078125</v>
      </c>
      <c r="H151" s="51">
        <f t="shared" si="5"/>
        <v>4.9133761659847404E-3</v>
      </c>
    </row>
    <row r="152" spans="2:8">
      <c r="B152" s="46">
        <v>44508</v>
      </c>
      <c r="C152" s="60">
        <v>3426.231689453125</v>
      </c>
      <c r="D152" s="58">
        <f t="shared" si="4"/>
        <v>-1.3239846256654411E-2</v>
      </c>
      <c r="F152" s="46">
        <v>44508</v>
      </c>
      <c r="G152" s="60">
        <v>18068.55078125</v>
      </c>
      <c r="H152" s="53">
        <f t="shared" si="5"/>
        <v>8.4697040421863115E-3</v>
      </c>
    </row>
    <row r="153" spans="2:8">
      <c r="B153" s="46">
        <v>44509</v>
      </c>
      <c r="C153" s="60">
        <v>3410.62255859375</v>
      </c>
      <c r="D153" s="58">
        <f t="shared" si="4"/>
        <v>-4.5557721351489914E-3</v>
      </c>
      <c r="F153" s="46">
        <v>44509</v>
      </c>
      <c r="G153" s="60">
        <v>18044.25</v>
      </c>
      <c r="H153" s="51">
        <f t="shared" si="5"/>
        <v>-1.3449214352717915E-3</v>
      </c>
    </row>
    <row r="154" spans="2:8">
      <c r="B154" s="46">
        <v>44510</v>
      </c>
      <c r="C154" s="60">
        <v>3382.782958984375</v>
      </c>
      <c r="D154" s="58">
        <f t="shared" si="4"/>
        <v>-8.1626152208568274E-3</v>
      </c>
      <c r="F154" s="46">
        <v>44510</v>
      </c>
      <c r="G154" s="60">
        <v>18017.19921875</v>
      </c>
      <c r="H154" s="53">
        <f t="shared" si="5"/>
        <v>-1.499135805034845E-3</v>
      </c>
    </row>
    <row r="155" spans="2:8">
      <c r="B155" s="46">
        <v>44511</v>
      </c>
      <c r="C155" s="60">
        <v>3359.98779296875</v>
      </c>
      <c r="D155" s="58">
        <f t="shared" si="4"/>
        <v>-6.7385836726778572E-3</v>
      </c>
      <c r="F155" s="46">
        <v>44511</v>
      </c>
      <c r="G155" s="60">
        <v>17873.599609375</v>
      </c>
      <c r="H155" s="51">
        <f t="shared" si="5"/>
        <v>-7.970140510271978E-3</v>
      </c>
    </row>
    <row r="156" spans="2:8">
      <c r="B156" s="46">
        <v>44512</v>
      </c>
      <c r="C156" s="60">
        <v>3379.0234375</v>
      </c>
      <c r="D156" s="58">
        <f t="shared" si="4"/>
        <v>5.6653909788258105E-3</v>
      </c>
      <c r="F156" s="46">
        <v>44512</v>
      </c>
      <c r="G156" s="60">
        <v>18102.75</v>
      </c>
      <c r="H156" s="53">
        <f t="shared" si="5"/>
        <v>1.2820606684330492E-2</v>
      </c>
    </row>
    <row r="157" spans="2:8">
      <c r="B157" s="46">
        <v>44515</v>
      </c>
      <c r="C157" s="60">
        <v>3416.1904296875</v>
      </c>
      <c r="D157" s="58">
        <f t="shared" si="4"/>
        <v>1.0999329503023016E-2</v>
      </c>
      <c r="F157" s="46">
        <v>44515</v>
      </c>
      <c r="G157" s="60">
        <v>18109.44921875</v>
      </c>
      <c r="H157" s="51">
        <f t="shared" si="5"/>
        <v>3.7006635732140142E-4</v>
      </c>
    </row>
    <row r="158" spans="2:8">
      <c r="B158" s="46">
        <v>44516</v>
      </c>
      <c r="C158" s="60">
        <v>3379.166259765625</v>
      </c>
      <c r="D158" s="58">
        <f t="shared" si="4"/>
        <v>-1.0837853065837968E-2</v>
      </c>
      <c r="F158" s="46">
        <v>44516</v>
      </c>
      <c r="G158" s="60">
        <v>17999.19921875</v>
      </c>
      <c r="H158" s="53">
        <f t="shared" si="5"/>
        <v>-6.0879819517564533E-3</v>
      </c>
    </row>
    <row r="159" spans="2:8">
      <c r="B159" s="46">
        <v>44517</v>
      </c>
      <c r="C159" s="60">
        <v>3309.257568359375</v>
      </c>
      <c r="D159" s="58">
        <f t="shared" si="4"/>
        <v>-2.0688147913473422E-2</v>
      </c>
      <c r="F159" s="46">
        <v>44517</v>
      </c>
      <c r="G159" s="60">
        <v>17898.650390625</v>
      </c>
      <c r="H159" s="51">
        <f t="shared" si="5"/>
        <v>-5.5862945291619958E-3</v>
      </c>
    </row>
    <row r="160" spans="2:8">
      <c r="B160" s="46">
        <v>44518</v>
      </c>
      <c r="C160" s="60">
        <v>3313.96923828125</v>
      </c>
      <c r="D160" s="58">
        <f t="shared" si="4"/>
        <v>1.4237845874931084E-3</v>
      </c>
      <c r="F160" s="46">
        <v>44518</v>
      </c>
      <c r="G160" s="60">
        <v>17764.80078125</v>
      </c>
      <c r="H160" s="53">
        <f t="shared" si="5"/>
        <v>-7.4781956434608098E-3</v>
      </c>
    </row>
    <row r="161" spans="2:8">
      <c r="B161" s="46">
        <v>44522</v>
      </c>
      <c r="C161" s="60">
        <v>3124.9921875</v>
      </c>
      <c r="D161" s="58">
        <f t="shared" si="4"/>
        <v>-5.7024382905636342E-2</v>
      </c>
      <c r="F161" s="46">
        <v>44522</v>
      </c>
      <c r="G161" s="60">
        <v>17416.55078125</v>
      </c>
      <c r="H161" s="51">
        <f t="shared" si="5"/>
        <v>-1.96033721001568E-2</v>
      </c>
    </row>
    <row r="162" spans="2:8">
      <c r="B162" s="46">
        <v>44523</v>
      </c>
      <c r="C162" s="60">
        <v>3187.714599609375</v>
      </c>
      <c r="D162" s="58">
        <f t="shared" si="4"/>
        <v>2.0071222053055133E-2</v>
      </c>
      <c r="F162" s="46">
        <v>44523</v>
      </c>
      <c r="G162" s="60">
        <v>17503.349609375</v>
      </c>
      <c r="H162" s="53">
        <f t="shared" si="5"/>
        <v>4.9836979327987458E-3</v>
      </c>
    </row>
    <row r="163" spans="2:8">
      <c r="B163" s="46">
        <v>44524</v>
      </c>
      <c r="C163" s="60">
        <v>3171.867431640625</v>
      </c>
      <c r="D163" s="58">
        <f t="shared" si="4"/>
        <v>-4.9713258428756213E-3</v>
      </c>
      <c r="F163" s="46">
        <v>44524</v>
      </c>
      <c r="G163" s="60">
        <v>17415.05078125</v>
      </c>
      <c r="H163" s="51">
        <f t="shared" si="5"/>
        <v>-5.0446817378146927E-3</v>
      </c>
    </row>
    <row r="164" spans="2:8">
      <c r="B164" s="46">
        <v>44525</v>
      </c>
      <c r="C164" s="60">
        <v>3174.10400390625</v>
      </c>
      <c r="D164" s="58">
        <f t="shared" si="4"/>
        <v>7.0512791402134662E-4</v>
      </c>
      <c r="F164" s="46">
        <v>44525</v>
      </c>
      <c r="G164" s="60">
        <v>17536.25</v>
      </c>
      <c r="H164" s="53">
        <f t="shared" si="5"/>
        <v>6.9594525030320176E-3</v>
      </c>
    </row>
    <row r="165" spans="2:8">
      <c r="B165" s="46">
        <v>44526</v>
      </c>
      <c r="C165" s="60">
        <v>3391.11083984375</v>
      </c>
      <c r="D165" s="58">
        <f t="shared" si="4"/>
        <v>6.8367903405319383E-2</v>
      </c>
      <c r="F165" s="46">
        <v>44526</v>
      </c>
      <c r="G165" s="60">
        <v>17026.44921875</v>
      </c>
      <c r="H165" s="51">
        <f t="shared" si="5"/>
        <v>-2.9071254187753939E-2</v>
      </c>
    </row>
    <row r="166" spans="2:8">
      <c r="B166" s="46">
        <v>44529</v>
      </c>
      <c r="C166" s="60">
        <v>3337.620849609375</v>
      </c>
      <c r="D166" s="58">
        <f t="shared" si="4"/>
        <v>-1.5773589469826831E-2</v>
      </c>
      <c r="F166" s="46">
        <v>44529</v>
      </c>
      <c r="G166" s="60">
        <v>17053.94921875</v>
      </c>
      <c r="H166" s="53">
        <f t="shared" si="5"/>
        <v>1.615134174289037E-3</v>
      </c>
    </row>
    <row r="167" spans="2:8">
      <c r="B167" s="46">
        <v>44530</v>
      </c>
      <c r="C167" s="60">
        <v>3420.18798828125</v>
      </c>
      <c r="D167" s="58">
        <f t="shared" si="4"/>
        <v>2.4738321814336224E-2</v>
      </c>
      <c r="F167" s="46">
        <v>44530</v>
      </c>
      <c r="G167" s="60">
        <v>16983.19921875</v>
      </c>
      <c r="H167" s="51">
        <f t="shared" si="5"/>
        <v>-4.1485991949720222E-3</v>
      </c>
    </row>
    <row r="168" spans="2:8">
      <c r="B168" s="46">
        <v>44531</v>
      </c>
      <c r="C168" s="60">
        <v>3274.9931640625</v>
      </c>
      <c r="D168" s="58">
        <f t="shared" si="4"/>
        <v>-4.2452293475165055E-2</v>
      </c>
      <c r="F168" s="46">
        <v>44531</v>
      </c>
      <c r="G168" s="60">
        <v>17166.900390625</v>
      </c>
      <c r="H168" s="53">
        <f t="shared" si="5"/>
        <v>1.0816641170421411E-2</v>
      </c>
    </row>
    <row r="169" spans="2:8">
      <c r="B169" s="46">
        <v>44532</v>
      </c>
      <c r="C169" s="60">
        <v>3305.736083984375</v>
      </c>
      <c r="D169" s="58">
        <f t="shared" si="4"/>
        <v>9.3871707151106289E-3</v>
      </c>
      <c r="F169" s="46">
        <v>44532</v>
      </c>
      <c r="G169" s="60">
        <v>17401.650390625</v>
      </c>
      <c r="H169" s="51">
        <f t="shared" si="5"/>
        <v>1.3674571102433792E-2</v>
      </c>
    </row>
    <row r="170" spans="2:8">
      <c r="B170" s="46">
        <v>44533</v>
      </c>
      <c r="C170" s="60">
        <v>3272.994384765625</v>
      </c>
      <c r="D170" s="58">
        <f t="shared" si="4"/>
        <v>-9.9045109430776802E-3</v>
      </c>
      <c r="F170" s="46">
        <v>44533</v>
      </c>
      <c r="G170" s="60">
        <v>17196.69921875</v>
      </c>
      <c r="H170" s="53">
        <f t="shared" si="5"/>
        <v>-1.1777685867394267E-2</v>
      </c>
    </row>
    <row r="171" spans="2:8">
      <c r="B171" s="46">
        <v>44536</v>
      </c>
      <c r="C171" s="60">
        <v>3245.392822265625</v>
      </c>
      <c r="D171" s="58">
        <f t="shared" si="4"/>
        <v>-8.4331224729481211E-3</v>
      </c>
      <c r="F171" s="46">
        <v>44536</v>
      </c>
      <c r="G171" s="60">
        <v>16912.25</v>
      </c>
      <c r="H171" s="51">
        <f t="shared" si="5"/>
        <v>-1.6540919575999662E-2</v>
      </c>
    </row>
    <row r="172" spans="2:8">
      <c r="B172" s="46">
        <v>44537</v>
      </c>
      <c r="C172" s="60">
        <v>3263.5244140625</v>
      </c>
      <c r="D172" s="58">
        <f t="shared" si="4"/>
        <v>5.5868712324991356E-3</v>
      </c>
      <c r="F172" s="46">
        <v>44537</v>
      </c>
      <c r="G172" s="60">
        <v>17176.69921875</v>
      </c>
      <c r="H172" s="53">
        <f t="shared" si="5"/>
        <v>1.5636548581649395E-2</v>
      </c>
    </row>
    <row r="173" spans="2:8">
      <c r="B173" s="46">
        <v>44538</v>
      </c>
      <c r="C173" s="60">
        <v>3282.798095703125</v>
      </c>
      <c r="D173" s="58">
        <f t="shared" si="4"/>
        <v>5.9057874847128046E-3</v>
      </c>
      <c r="F173" s="46">
        <v>44538</v>
      </c>
      <c r="G173" s="60">
        <v>17469.75</v>
      </c>
      <c r="H173" s="51">
        <f t="shared" si="5"/>
        <v>1.7060948527881727E-2</v>
      </c>
    </row>
    <row r="174" spans="2:8">
      <c r="B174" s="46">
        <v>44539</v>
      </c>
      <c r="C174" s="60">
        <v>3290.840576171875</v>
      </c>
      <c r="D174" s="58">
        <f t="shared" si="4"/>
        <v>2.4498858090836757E-3</v>
      </c>
      <c r="F174" s="46">
        <v>44539</v>
      </c>
      <c r="G174" s="60">
        <v>17516.849609375</v>
      </c>
      <c r="H174" s="53">
        <f t="shared" si="5"/>
        <v>2.6960665936833668E-3</v>
      </c>
    </row>
    <row r="175" spans="2:8">
      <c r="B175" s="46">
        <v>44540</v>
      </c>
      <c r="C175" s="60">
        <v>3249.5810546875</v>
      </c>
      <c r="D175" s="58">
        <f t="shared" si="4"/>
        <v>-1.253768468248645E-2</v>
      </c>
      <c r="F175" s="46">
        <v>44540</v>
      </c>
      <c r="G175" s="60">
        <v>17511.30078125</v>
      </c>
      <c r="H175" s="51">
        <f t="shared" si="5"/>
        <v>-3.1677089480920548E-4</v>
      </c>
    </row>
    <row r="176" spans="2:8">
      <c r="B176" s="46">
        <v>44543</v>
      </c>
      <c r="C176" s="60">
        <v>3274.136474609375</v>
      </c>
      <c r="D176" s="58">
        <f t="shared" si="4"/>
        <v>7.556487900633826E-3</v>
      </c>
      <c r="F176" s="46">
        <v>44543</v>
      </c>
      <c r="G176" s="60">
        <v>17368.25</v>
      </c>
      <c r="H176" s="53">
        <f t="shared" si="5"/>
        <v>-8.1690551168631508E-3</v>
      </c>
    </row>
    <row r="177" spans="2:8">
      <c r="B177" s="46">
        <v>44544</v>
      </c>
      <c r="C177" s="60">
        <v>3299.3115234375</v>
      </c>
      <c r="D177" s="58">
        <f t="shared" si="4"/>
        <v>7.6890652003528785E-3</v>
      </c>
      <c r="F177" s="46">
        <v>44544</v>
      </c>
      <c r="G177" s="60">
        <v>17324.900390625</v>
      </c>
      <c r="H177" s="51">
        <f t="shared" si="5"/>
        <v>-2.4959111813222402E-3</v>
      </c>
    </row>
    <row r="178" spans="2:8">
      <c r="B178" s="46">
        <v>44545</v>
      </c>
      <c r="C178" s="60">
        <v>3265.2373046875</v>
      </c>
      <c r="D178" s="58">
        <f t="shared" si="4"/>
        <v>-1.0327675488642132E-2</v>
      </c>
      <c r="F178" s="46">
        <v>44545</v>
      </c>
      <c r="G178" s="60">
        <v>17221.400390625</v>
      </c>
      <c r="H178" s="53">
        <f t="shared" si="5"/>
        <v>-5.9740603216401067E-3</v>
      </c>
    </row>
    <row r="179" spans="2:8">
      <c r="B179" s="46">
        <v>44546</v>
      </c>
      <c r="C179" s="60">
        <v>3254.57763671875</v>
      </c>
      <c r="D179" s="58">
        <f t="shared" si="4"/>
        <v>-3.2645921181432124E-3</v>
      </c>
      <c r="F179" s="46">
        <v>44546</v>
      </c>
      <c r="G179" s="60">
        <v>17248.400390625</v>
      </c>
      <c r="H179" s="51">
        <f t="shared" si="5"/>
        <v>1.5678167505296654E-3</v>
      </c>
    </row>
    <row r="180" spans="2:8">
      <c r="B180" s="46">
        <v>44547</v>
      </c>
      <c r="C180" s="60">
        <v>3243.06103515625</v>
      </c>
      <c r="D180" s="58">
        <f t="shared" si="4"/>
        <v>-3.538585600960186E-3</v>
      </c>
      <c r="F180" s="46">
        <v>44547</v>
      </c>
      <c r="G180" s="60">
        <v>16985.19921875</v>
      </c>
      <c r="H180" s="53">
        <f t="shared" si="5"/>
        <v>-1.525945397337004E-2</v>
      </c>
    </row>
    <row r="181" spans="2:8">
      <c r="B181" s="46">
        <v>44550</v>
      </c>
      <c r="C181" s="60">
        <v>3210.60498046875</v>
      </c>
      <c r="D181" s="58">
        <f t="shared" si="4"/>
        <v>-1.0007845777696341E-2</v>
      </c>
      <c r="F181" s="46">
        <v>44550</v>
      </c>
      <c r="G181" s="60">
        <v>16614.19921875</v>
      </c>
      <c r="H181" s="51">
        <f t="shared" si="5"/>
        <v>-2.1842546279377886E-2</v>
      </c>
    </row>
    <row r="182" spans="2:8">
      <c r="B182" s="46">
        <v>44551</v>
      </c>
      <c r="C182" s="60">
        <v>3259.3837890625</v>
      </c>
      <c r="D182" s="58">
        <f t="shared" si="4"/>
        <v>1.519302713678226E-2</v>
      </c>
      <c r="F182" s="46">
        <v>44551</v>
      </c>
      <c r="G182" s="60">
        <v>16770.849609375</v>
      </c>
      <c r="H182" s="53">
        <f t="shared" si="5"/>
        <v>9.4287054442089378E-3</v>
      </c>
    </row>
    <row r="183" spans="2:8">
      <c r="B183" s="46">
        <v>44552</v>
      </c>
      <c r="C183" s="60">
        <v>3277.182373046875</v>
      </c>
      <c r="D183" s="58">
        <f t="shared" si="4"/>
        <v>5.4607205337713315E-3</v>
      </c>
      <c r="F183" s="46">
        <v>44552</v>
      </c>
      <c r="G183" s="60">
        <v>16955.44921875</v>
      </c>
      <c r="H183" s="51">
        <f t="shared" si="5"/>
        <v>1.1007170994593368E-2</v>
      </c>
    </row>
    <row r="184" spans="2:8">
      <c r="B184" s="46">
        <v>44553</v>
      </c>
      <c r="C184" s="60">
        <v>3282.892822265625</v>
      </c>
      <c r="D184" s="58">
        <f t="shared" si="4"/>
        <v>1.7424874690268942E-3</v>
      </c>
      <c r="F184" s="46">
        <v>44553</v>
      </c>
      <c r="G184" s="60">
        <v>17072.599609375</v>
      </c>
      <c r="H184" s="53">
        <f t="shared" si="5"/>
        <v>6.9093062126275315E-3</v>
      </c>
    </row>
    <row r="185" spans="2:8">
      <c r="B185" s="46">
        <v>44554</v>
      </c>
      <c r="C185" s="60">
        <v>3294.07666015625</v>
      </c>
      <c r="D185" s="58">
        <f t="shared" si="4"/>
        <v>3.4067021057686223E-3</v>
      </c>
      <c r="F185" s="46">
        <v>44554</v>
      </c>
      <c r="G185" s="60">
        <v>17003.75</v>
      </c>
      <c r="H185" s="51">
        <f t="shared" si="5"/>
        <v>-4.0327548791803756E-3</v>
      </c>
    </row>
    <row r="186" spans="2:8">
      <c r="B186" s="46">
        <v>44557</v>
      </c>
      <c r="C186" s="60">
        <v>3307.877685546875</v>
      </c>
      <c r="D186" s="58">
        <f t="shared" si="4"/>
        <v>4.1896491230930758E-3</v>
      </c>
      <c r="F186" s="46">
        <v>44557</v>
      </c>
      <c r="G186" s="60">
        <v>17086.25</v>
      </c>
      <c r="H186" s="53">
        <f t="shared" si="5"/>
        <v>4.8518709108284937E-3</v>
      </c>
    </row>
    <row r="187" spans="2:8">
      <c r="B187" s="46">
        <v>44558</v>
      </c>
      <c r="C187" s="60">
        <v>3317.0146484375</v>
      </c>
      <c r="D187" s="58">
        <f t="shared" si="4"/>
        <v>2.7621828130305949E-3</v>
      </c>
      <c r="F187" s="46">
        <v>44558</v>
      </c>
      <c r="G187" s="60">
        <v>17233.25</v>
      </c>
      <c r="H187" s="51">
        <f t="shared" si="5"/>
        <v>8.6034091740434561E-3</v>
      </c>
    </row>
    <row r="188" spans="2:8">
      <c r="B188" s="46">
        <v>44559</v>
      </c>
      <c r="C188" s="60">
        <v>3348.137939453125</v>
      </c>
      <c r="D188" s="58">
        <f t="shared" si="4"/>
        <v>9.3829223908570361E-3</v>
      </c>
      <c r="F188" s="46">
        <v>44559</v>
      </c>
      <c r="G188" s="60">
        <v>17213.599609375</v>
      </c>
      <c r="H188" s="53">
        <f t="shared" si="5"/>
        <v>-1.1402602889762524E-3</v>
      </c>
    </row>
    <row r="189" spans="2:8">
      <c r="B189" s="46">
        <v>44560</v>
      </c>
      <c r="C189" s="60">
        <v>3449.265625</v>
      </c>
      <c r="D189" s="58">
        <f t="shared" si="4"/>
        <v>3.0204157467715591E-2</v>
      </c>
      <c r="F189" s="46">
        <v>44560</v>
      </c>
      <c r="G189" s="60">
        <v>17203.94921875</v>
      </c>
      <c r="H189" s="51">
        <f t="shared" si="5"/>
        <v>-5.606259494814862E-4</v>
      </c>
    </row>
    <row r="190" spans="2:8">
      <c r="B190" s="46">
        <v>44561</v>
      </c>
      <c r="C190" s="60">
        <v>3449.3125</v>
      </c>
      <c r="D190" s="58">
        <f t="shared" si="4"/>
        <v>1.358984928857139E-5</v>
      </c>
      <c r="F190" s="46">
        <v>44561</v>
      </c>
      <c r="G190" s="60">
        <v>17354.05078125</v>
      </c>
      <c r="H190" s="53">
        <f t="shared" si="5"/>
        <v>8.7248317576065267E-3</v>
      </c>
    </row>
    <row r="191" spans="2:8">
      <c r="B191" s="46">
        <v>44564</v>
      </c>
      <c r="C191" s="60">
        <v>3465.540771484375</v>
      </c>
      <c r="D191" s="58">
        <f t="shared" si="4"/>
        <v>4.7047843546721268E-3</v>
      </c>
      <c r="F191" s="46">
        <v>44564</v>
      </c>
      <c r="G191" s="60">
        <v>17625.69921875</v>
      </c>
      <c r="H191" s="51">
        <f t="shared" si="5"/>
        <v>1.565331581220793E-2</v>
      </c>
    </row>
    <row r="192" spans="2:8">
      <c r="B192" s="46">
        <v>44565</v>
      </c>
      <c r="C192" s="60">
        <v>3439.556640625</v>
      </c>
      <c r="D192" s="58">
        <f t="shared" si="4"/>
        <v>-7.497857498368247E-3</v>
      </c>
      <c r="F192" s="46">
        <v>44565</v>
      </c>
      <c r="G192" s="60">
        <v>17805.25</v>
      </c>
      <c r="H192" s="53">
        <f t="shared" si="5"/>
        <v>1.0186874235264159E-2</v>
      </c>
    </row>
    <row r="193" spans="2:8">
      <c r="B193" s="46">
        <v>44566</v>
      </c>
      <c r="C193" s="60">
        <v>3429.0869140625</v>
      </c>
      <c r="D193" s="58">
        <f t="shared" si="4"/>
        <v>-3.0439174743747063E-3</v>
      </c>
      <c r="F193" s="46">
        <v>44566</v>
      </c>
      <c r="G193" s="60">
        <v>17925.25</v>
      </c>
      <c r="H193" s="51">
        <f t="shared" si="5"/>
        <v>6.7395852346920151E-3</v>
      </c>
    </row>
    <row r="194" spans="2:8">
      <c r="B194" s="46">
        <v>44567</v>
      </c>
      <c r="C194" s="60">
        <v>3506.277099609375</v>
      </c>
      <c r="D194" s="58">
        <f t="shared" si="4"/>
        <v>2.251041967770552E-2</v>
      </c>
      <c r="F194" s="46">
        <v>44567</v>
      </c>
      <c r="G194" s="60">
        <v>17745.900390625</v>
      </c>
      <c r="H194" s="53">
        <f t="shared" si="5"/>
        <v>-1.0005417462796892E-2</v>
      </c>
    </row>
    <row r="195" spans="2:8">
      <c r="B195" s="46">
        <v>44568</v>
      </c>
      <c r="C195" s="60">
        <v>3505.89599609375</v>
      </c>
      <c r="D195" s="58">
        <f t="shared" si="4"/>
        <v>-1.0869178470448263E-4</v>
      </c>
      <c r="F195" s="46">
        <v>44568</v>
      </c>
      <c r="G195" s="60">
        <v>17812.69921875</v>
      </c>
      <c r="H195" s="51">
        <f t="shared" si="5"/>
        <v>3.7641836511315718E-3</v>
      </c>
    </row>
    <row r="196" spans="2:8">
      <c r="B196" s="46">
        <v>44571</v>
      </c>
      <c r="C196" s="60">
        <v>3556.387939453125</v>
      </c>
      <c r="D196" s="58">
        <f t="shared" si="4"/>
        <v>1.4402008335567526E-2</v>
      </c>
      <c r="F196" s="46">
        <v>44571</v>
      </c>
      <c r="G196" s="60">
        <v>18003.30078125</v>
      </c>
      <c r="H196" s="53">
        <f t="shared" si="5"/>
        <v>1.0700318921871708E-2</v>
      </c>
    </row>
    <row r="197" spans="2:8">
      <c r="B197" s="46">
        <v>44572</v>
      </c>
      <c r="C197" s="60">
        <v>3527.121337890625</v>
      </c>
      <c r="D197" s="58">
        <f t="shared" ref="D197:D260" si="6">(C197-C196)/C196</f>
        <v>-8.2293051435216608E-3</v>
      </c>
      <c r="F197" s="46">
        <v>44572</v>
      </c>
      <c r="G197" s="60">
        <v>18055.75</v>
      </c>
      <c r="H197" s="51">
        <f t="shared" ref="H197:H260" si="7">(G197-G196)/G196</f>
        <v>2.9133112526023332E-3</v>
      </c>
    </row>
    <row r="198" spans="2:8">
      <c r="B198" s="46">
        <v>44573</v>
      </c>
      <c r="C198" s="60">
        <v>3517.555419921875</v>
      </c>
      <c r="D198" s="58">
        <f t="shared" si="6"/>
        <v>-2.7121034555819515E-3</v>
      </c>
      <c r="F198" s="46">
        <v>44573</v>
      </c>
      <c r="G198" s="60">
        <v>18212.349609375</v>
      </c>
      <c r="H198" s="53">
        <f t="shared" si="7"/>
        <v>8.6731157318305808E-3</v>
      </c>
    </row>
    <row r="199" spans="2:8">
      <c r="B199" s="46">
        <v>44574</v>
      </c>
      <c r="C199" s="60">
        <v>3519.173583984375</v>
      </c>
      <c r="D199" s="58">
        <f t="shared" si="6"/>
        <v>4.6002517922971047E-4</v>
      </c>
      <c r="F199" s="46">
        <v>44574</v>
      </c>
      <c r="G199" s="60">
        <v>18257.80078125</v>
      </c>
      <c r="H199" s="51">
        <f t="shared" si="7"/>
        <v>2.495623730592319E-3</v>
      </c>
    </row>
    <row r="200" spans="2:8">
      <c r="B200" s="46">
        <v>44575</v>
      </c>
      <c r="C200" s="60">
        <v>3450.312255859375</v>
      </c>
      <c r="D200" s="58">
        <f t="shared" si="6"/>
        <v>-1.9567471305872858E-2</v>
      </c>
      <c r="F200" s="46">
        <v>44575</v>
      </c>
      <c r="G200" s="60">
        <v>18255.75</v>
      </c>
      <c r="H200" s="53">
        <f t="shared" si="7"/>
        <v>-1.1232356375068276E-4</v>
      </c>
    </row>
    <row r="201" spans="2:8">
      <c r="B201" s="46">
        <v>44578</v>
      </c>
      <c r="C201" s="60">
        <v>3405.0068359375</v>
      </c>
      <c r="D201" s="58">
        <f t="shared" si="6"/>
        <v>-1.3130817318037408E-2</v>
      </c>
      <c r="F201" s="46">
        <v>44578</v>
      </c>
      <c r="G201" s="60">
        <v>18308.099609375</v>
      </c>
      <c r="H201" s="51">
        <f t="shared" si="7"/>
        <v>2.867568266162716E-3</v>
      </c>
    </row>
    <row r="202" spans="2:8">
      <c r="B202" s="46">
        <v>44579</v>
      </c>
      <c r="C202" s="60">
        <v>3319.77490234375</v>
      </c>
      <c r="D202" s="58">
        <f t="shared" si="6"/>
        <v>-2.5031354619963076E-2</v>
      </c>
      <c r="F202" s="46">
        <v>44579</v>
      </c>
      <c r="G202" s="60">
        <v>18113.05078125</v>
      </c>
      <c r="H202" s="53">
        <f t="shared" si="7"/>
        <v>-1.0653690567923372E-2</v>
      </c>
    </row>
    <row r="203" spans="2:8">
      <c r="B203" s="46">
        <v>44580</v>
      </c>
      <c r="C203" s="60">
        <v>3327.484130859375</v>
      </c>
      <c r="D203" s="58">
        <f t="shared" si="6"/>
        <v>2.3222142290979758E-3</v>
      </c>
      <c r="F203" s="46">
        <v>44580</v>
      </c>
      <c r="G203" s="60">
        <v>17938.400390625</v>
      </c>
      <c r="H203" s="51">
        <f t="shared" si="7"/>
        <v>-9.642240433941256E-3</v>
      </c>
    </row>
    <row r="204" spans="2:8">
      <c r="B204" s="46">
        <v>44581</v>
      </c>
      <c r="C204" s="60">
        <v>3356.6083984375</v>
      </c>
      <c r="D204" s="58">
        <f t="shared" si="6"/>
        <v>8.7526390608520192E-3</v>
      </c>
      <c r="F204" s="46">
        <v>44581</v>
      </c>
      <c r="G204" s="60">
        <v>17757</v>
      </c>
      <c r="H204" s="53">
        <f t="shared" si="7"/>
        <v>-1.0112406160797024E-2</v>
      </c>
    </row>
    <row r="205" spans="2:8">
      <c r="B205" s="46">
        <v>44582</v>
      </c>
      <c r="C205" s="60">
        <v>3379.499267578125</v>
      </c>
      <c r="D205" s="58">
        <f t="shared" si="6"/>
        <v>6.8196424555455118E-3</v>
      </c>
      <c r="F205" s="46">
        <v>44582</v>
      </c>
      <c r="G205" s="60">
        <v>17617.150390625</v>
      </c>
      <c r="H205" s="51">
        <f t="shared" si="7"/>
        <v>-7.875745304668582E-3</v>
      </c>
    </row>
    <row r="206" spans="2:8">
      <c r="B206" s="46">
        <v>44585</v>
      </c>
      <c r="C206" s="60">
        <v>3332.00537109375</v>
      </c>
      <c r="D206" s="58">
        <f t="shared" si="6"/>
        <v>-1.4053530633966048E-2</v>
      </c>
      <c r="F206" s="46">
        <v>44585</v>
      </c>
      <c r="G206" s="60">
        <v>17149.099609375</v>
      </c>
      <c r="H206" s="53">
        <f t="shared" si="7"/>
        <v>-2.6567905187383431E-2</v>
      </c>
    </row>
    <row r="207" spans="2:8">
      <c r="B207" s="46">
        <v>44586</v>
      </c>
      <c r="C207" s="60">
        <v>3287.46142578125</v>
      </c>
      <c r="D207" s="58">
        <f t="shared" si="6"/>
        <v>-1.3368509456477315E-2</v>
      </c>
      <c r="F207" s="46">
        <v>44586</v>
      </c>
      <c r="G207" s="60">
        <v>17277.94921875</v>
      </c>
      <c r="H207" s="51">
        <f t="shared" si="7"/>
        <v>7.5134912216942877E-3</v>
      </c>
    </row>
    <row r="208" spans="2:8">
      <c r="B208" s="46">
        <v>44588</v>
      </c>
      <c r="C208" s="60">
        <v>3217.69580078125</v>
      </c>
      <c r="D208" s="58">
        <f t="shared" si="6"/>
        <v>-2.1221731897103711E-2</v>
      </c>
      <c r="F208" s="46">
        <v>44588</v>
      </c>
      <c r="G208" s="60">
        <v>17110.150390625</v>
      </c>
      <c r="H208" s="53">
        <f t="shared" si="7"/>
        <v>-9.7117329146276816E-3</v>
      </c>
    </row>
    <row r="209" spans="2:8">
      <c r="B209" s="46">
        <v>44589</v>
      </c>
      <c r="C209" s="60">
        <v>3252.150634765625</v>
      </c>
      <c r="D209" s="58">
        <f t="shared" si="6"/>
        <v>1.0707921480958341E-2</v>
      </c>
      <c r="F209" s="46">
        <v>44589</v>
      </c>
      <c r="G209" s="60">
        <v>17101.94921875</v>
      </c>
      <c r="H209" s="51">
        <f t="shared" si="7"/>
        <v>-4.7931617710932507E-4</v>
      </c>
    </row>
    <row r="210" spans="2:8">
      <c r="B210" s="46">
        <v>44592</v>
      </c>
      <c r="C210" s="60">
        <v>3368.505859375</v>
      </c>
      <c r="D210" s="58">
        <f t="shared" si="6"/>
        <v>3.5777932106075543E-2</v>
      </c>
      <c r="F210" s="46">
        <v>44592</v>
      </c>
      <c r="G210" s="60">
        <v>17339.849609375</v>
      </c>
      <c r="H210" s="53">
        <f t="shared" si="7"/>
        <v>1.3910717870929826E-2</v>
      </c>
    </row>
    <row r="211" spans="2:8">
      <c r="B211" s="46">
        <v>44593</v>
      </c>
      <c r="C211" s="60">
        <v>3357.179931640625</v>
      </c>
      <c r="D211" s="58">
        <f t="shared" si="6"/>
        <v>-3.3623001435052983E-3</v>
      </c>
      <c r="F211" s="46">
        <v>44593</v>
      </c>
      <c r="G211" s="60">
        <v>17576.849609375</v>
      </c>
      <c r="H211" s="51">
        <f t="shared" si="7"/>
        <v>1.366793861187026E-2</v>
      </c>
    </row>
    <row r="212" spans="2:8">
      <c r="B212" s="46">
        <v>44594</v>
      </c>
      <c r="C212" s="60">
        <v>3379.0234375</v>
      </c>
      <c r="D212" s="58">
        <f t="shared" si="6"/>
        <v>6.5065043590619423E-3</v>
      </c>
      <c r="F212" s="46">
        <v>44594</v>
      </c>
      <c r="G212" s="60">
        <v>17780</v>
      </c>
      <c r="H212" s="53">
        <f t="shared" si="7"/>
        <v>1.1557838585399586E-2</v>
      </c>
    </row>
    <row r="213" spans="2:8">
      <c r="B213" s="46">
        <v>44595</v>
      </c>
      <c r="C213" s="60">
        <v>3367.364501953125</v>
      </c>
      <c r="D213" s="58">
        <f t="shared" si="6"/>
        <v>-3.4503861137764008E-3</v>
      </c>
      <c r="F213" s="46">
        <v>44595</v>
      </c>
      <c r="G213" s="60">
        <v>17560.19921875</v>
      </c>
      <c r="H213" s="51">
        <f t="shared" si="7"/>
        <v>-1.2362248664229471E-2</v>
      </c>
    </row>
    <row r="214" spans="2:8">
      <c r="B214" s="46">
        <v>44596</v>
      </c>
      <c r="C214" s="60">
        <v>3344.568603515625</v>
      </c>
      <c r="D214" s="58">
        <f t="shared" si="6"/>
        <v>-6.7696557424294333E-3</v>
      </c>
      <c r="F214" s="46">
        <v>44596</v>
      </c>
      <c r="G214" s="60">
        <v>17516.30078125</v>
      </c>
      <c r="H214" s="53">
        <f t="shared" si="7"/>
        <v>-2.4998826581151311E-3</v>
      </c>
    </row>
    <row r="215" spans="2:8">
      <c r="B215" s="46">
        <v>44599</v>
      </c>
      <c r="C215" s="60">
        <v>3318.061767578125</v>
      </c>
      <c r="D215" s="58">
        <f t="shared" si="6"/>
        <v>-7.9253377878502722E-3</v>
      </c>
      <c r="F215" s="46">
        <v>44599</v>
      </c>
      <c r="G215" s="60">
        <v>17213.599609375</v>
      </c>
      <c r="H215" s="51">
        <f t="shared" si="7"/>
        <v>-1.7281112927623445E-2</v>
      </c>
    </row>
    <row r="216" spans="2:8">
      <c r="B216" s="46">
        <v>44600</v>
      </c>
      <c r="C216" s="60">
        <v>3322.29736328125</v>
      </c>
      <c r="D216" s="58">
        <f t="shared" si="6"/>
        <v>1.2765270811147644E-3</v>
      </c>
      <c r="F216" s="46">
        <v>44600</v>
      </c>
      <c r="G216" s="60">
        <v>17266.75</v>
      </c>
      <c r="H216" s="53">
        <f t="shared" si="7"/>
        <v>3.0876976246184346E-3</v>
      </c>
    </row>
    <row r="217" spans="2:8">
      <c r="B217" s="46">
        <v>44601</v>
      </c>
      <c r="C217" s="60">
        <v>3349.66064453125</v>
      </c>
      <c r="D217" s="58">
        <f t="shared" si="6"/>
        <v>8.2362528870608964E-3</v>
      </c>
      <c r="F217" s="46">
        <v>44601</v>
      </c>
      <c r="G217" s="60">
        <v>17463.80078125</v>
      </c>
      <c r="H217" s="51">
        <f t="shared" si="7"/>
        <v>1.1412152330345897E-2</v>
      </c>
    </row>
    <row r="218" spans="2:8">
      <c r="B218" s="46">
        <v>44602</v>
      </c>
      <c r="C218" s="60">
        <v>3360.41259765625</v>
      </c>
      <c r="D218" s="58">
        <f t="shared" si="6"/>
        <v>3.2098634058808136E-3</v>
      </c>
      <c r="F218" s="46">
        <v>44602</v>
      </c>
      <c r="G218" s="60">
        <v>17605.849609375</v>
      </c>
      <c r="H218" s="53">
        <f t="shared" si="7"/>
        <v>8.1339010851240717E-3</v>
      </c>
    </row>
    <row r="219" spans="2:8">
      <c r="B219" s="46">
        <v>44603</v>
      </c>
      <c r="C219" s="60">
        <v>3294.078857421875</v>
      </c>
      <c r="D219" s="58">
        <f t="shared" si="6"/>
        <v>-1.9739760611729662E-2</v>
      </c>
      <c r="F219" s="46">
        <v>44603</v>
      </c>
      <c r="G219" s="60">
        <v>17374.75</v>
      </c>
      <c r="H219" s="51">
        <f t="shared" si="7"/>
        <v>-1.3126296912813624E-2</v>
      </c>
    </row>
    <row r="220" spans="2:8">
      <c r="B220" s="46">
        <v>44606</v>
      </c>
      <c r="C220" s="60">
        <v>3230.337158203125</v>
      </c>
      <c r="D220" s="58">
        <f t="shared" si="6"/>
        <v>-1.9350386550441512E-2</v>
      </c>
      <c r="F220" s="46">
        <v>44606</v>
      </c>
      <c r="G220" s="60">
        <v>16842.80078125</v>
      </c>
      <c r="H220" s="53">
        <f t="shared" si="7"/>
        <v>-3.0616222895293456E-2</v>
      </c>
    </row>
    <row r="221" spans="2:8">
      <c r="B221" s="46">
        <v>44607</v>
      </c>
      <c r="C221" s="60">
        <v>3249.583984375</v>
      </c>
      <c r="D221" s="58">
        <f t="shared" si="6"/>
        <v>5.9581477812616461E-3</v>
      </c>
      <c r="F221" s="46">
        <v>44607</v>
      </c>
      <c r="G221" s="60">
        <v>17352.44921875</v>
      </c>
      <c r="H221" s="51">
        <f t="shared" si="7"/>
        <v>3.0259126383977576E-2</v>
      </c>
    </row>
    <row r="222" spans="2:8">
      <c r="B222" s="46">
        <v>44608</v>
      </c>
      <c r="C222" s="60">
        <v>3229.521240234375</v>
      </c>
      <c r="D222" s="58">
        <f t="shared" si="6"/>
        <v>-6.1739423375708549E-3</v>
      </c>
      <c r="F222" s="46">
        <v>44608</v>
      </c>
      <c r="G222" s="60">
        <v>17322.19921875</v>
      </c>
      <c r="H222" s="53">
        <f t="shared" si="7"/>
        <v>-1.7432697608654399E-3</v>
      </c>
    </row>
    <row r="223" spans="2:8">
      <c r="B223" s="46">
        <v>44609</v>
      </c>
      <c r="C223" s="60">
        <v>3244.83251953125</v>
      </c>
      <c r="D223" s="58">
        <f t="shared" si="6"/>
        <v>4.7410368775787394E-3</v>
      </c>
      <c r="F223" s="46">
        <v>44609</v>
      </c>
      <c r="G223" s="60">
        <v>17304.599609375</v>
      </c>
      <c r="H223" s="51">
        <f t="shared" si="7"/>
        <v>-1.0160147191904897E-3</v>
      </c>
    </row>
    <row r="224" spans="2:8">
      <c r="B224" s="46">
        <v>44610</v>
      </c>
      <c r="C224" s="60">
        <v>3192.226318359375</v>
      </c>
      <c r="D224" s="58">
        <f t="shared" si="6"/>
        <v>-1.621230089849892E-2</v>
      </c>
      <c r="F224" s="46">
        <v>44610</v>
      </c>
      <c r="G224" s="60">
        <v>17276.30078125</v>
      </c>
      <c r="H224" s="53">
        <f t="shared" si="7"/>
        <v>-1.6353356196504385E-3</v>
      </c>
    </row>
    <row r="225" spans="2:8">
      <c r="B225" s="46">
        <v>44613</v>
      </c>
      <c r="C225" s="60">
        <v>3187.761962890625</v>
      </c>
      <c r="D225" s="58">
        <f t="shared" si="6"/>
        <v>-1.3985084463072868E-3</v>
      </c>
      <c r="F225" s="46">
        <v>44613</v>
      </c>
      <c r="G225" s="60">
        <v>17206.650390625</v>
      </c>
      <c r="H225" s="51">
        <f t="shared" si="7"/>
        <v>-4.0315569581071253E-3</v>
      </c>
    </row>
    <row r="226" spans="2:8">
      <c r="B226" s="46">
        <v>44614</v>
      </c>
      <c r="C226" s="60">
        <v>3140.052490234375</v>
      </c>
      <c r="D226" s="58">
        <f t="shared" si="6"/>
        <v>-1.4966447687012243E-2</v>
      </c>
      <c r="F226" s="46">
        <v>44614</v>
      </c>
      <c r="G226" s="60">
        <v>17092.19921875</v>
      </c>
      <c r="H226" s="53">
        <f t="shared" si="7"/>
        <v>-6.6515660675803834E-3</v>
      </c>
    </row>
    <row r="227" spans="2:8">
      <c r="B227" s="46">
        <v>44615</v>
      </c>
      <c r="C227" s="60">
        <v>3134.292236328125</v>
      </c>
      <c r="D227" s="58">
        <f t="shared" si="6"/>
        <v>-1.8344451005722047E-3</v>
      </c>
      <c r="F227" s="46">
        <v>44615</v>
      </c>
      <c r="G227" s="60">
        <v>17063.25</v>
      </c>
      <c r="H227" s="51">
        <f t="shared" si="7"/>
        <v>-1.6937094155936908E-3</v>
      </c>
    </row>
    <row r="228" spans="2:8">
      <c r="B228" s="46">
        <v>44616</v>
      </c>
      <c r="C228" s="60">
        <v>3044.4873046875</v>
      </c>
      <c r="D228" s="58">
        <f t="shared" si="6"/>
        <v>-2.8652379825894268E-2</v>
      </c>
      <c r="F228" s="46">
        <v>44616</v>
      </c>
      <c r="G228" s="60">
        <v>16247.9501953125</v>
      </c>
      <c r="H228" s="53">
        <f t="shared" si="7"/>
        <v>-4.7781038470836444E-2</v>
      </c>
    </row>
    <row r="229" spans="2:8">
      <c r="B229" s="46">
        <v>44617</v>
      </c>
      <c r="C229" s="60">
        <v>3167.31494140625</v>
      </c>
      <c r="D229" s="58">
        <f t="shared" si="6"/>
        <v>4.0344276203627523E-2</v>
      </c>
      <c r="F229" s="46">
        <v>44617</v>
      </c>
      <c r="G229" s="60">
        <v>16658.400390625</v>
      </c>
      <c r="H229" s="51">
        <f t="shared" si="7"/>
        <v>2.5261660109649649E-2</v>
      </c>
    </row>
    <row r="230" spans="2:8">
      <c r="B230" s="46">
        <v>44620</v>
      </c>
      <c r="C230" s="60">
        <v>3146.7236328125</v>
      </c>
      <c r="D230" s="58">
        <f t="shared" si="6"/>
        <v>-6.5011875909655216E-3</v>
      </c>
      <c r="F230" s="46">
        <v>44620</v>
      </c>
      <c r="G230" s="60">
        <v>16793.900390625</v>
      </c>
      <c r="H230" s="53">
        <f t="shared" si="7"/>
        <v>8.1340342903665937E-3</v>
      </c>
    </row>
    <row r="231" spans="2:8">
      <c r="B231" s="46">
        <v>44622</v>
      </c>
      <c r="C231" s="60">
        <v>3128.532470703125</v>
      </c>
      <c r="D231" s="58">
        <f t="shared" si="6"/>
        <v>-5.7809849964853693E-3</v>
      </c>
      <c r="F231" s="46">
        <v>44622</v>
      </c>
      <c r="G231" s="60">
        <v>16605.94921875</v>
      </c>
      <c r="H231" s="51">
        <f t="shared" si="7"/>
        <v>-1.1191633122935609E-2</v>
      </c>
    </row>
    <row r="232" spans="2:8">
      <c r="B232" s="46">
        <v>44623</v>
      </c>
      <c r="C232" s="60">
        <v>3119.556640625</v>
      </c>
      <c r="D232" s="58">
        <f t="shared" si="6"/>
        <v>-2.8690225088530783E-3</v>
      </c>
      <c r="F232" s="46">
        <v>44623</v>
      </c>
      <c r="G232" s="60">
        <v>16498.05078125</v>
      </c>
      <c r="H232" s="53">
        <f t="shared" si="7"/>
        <v>-6.4975772284170561E-3</v>
      </c>
    </row>
    <row r="233" spans="2:8">
      <c r="B233" s="46">
        <v>44624</v>
      </c>
      <c r="C233" s="60">
        <v>3049.43115234375</v>
      </c>
      <c r="D233" s="58">
        <f t="shared" si="6"/>
        <v>-2.247931240229074E-2</v>
      </c>
      <c r="F233" s="46">
        <v>44624</v>
      </c>
      <c r="G233" s="60">
        <v>16245.349609375</v>
      </c>
      <c r="H233" s="51">
        <f t="shared" si="7"/>
        <v>-1.5317032007332306E-2</v>
      </c>
    </row>
    <row r="234" spans="2:8">
      <c r="B234" s="46">
        <v>44627</v>
      </c>
      <c r="C234" s="60">
        <v>3130.740966796875</v>
      </c>
      <c r="D234" s="58">
        <f t="shared" si="6"/>
        <v>2.6663928579148743E-2</v>
      </c>
      <c r="F234" s="46">
        <v>44627</v>
      </c>
      <c r="G234" s="60">
        <v>15863.150390625</v>
      </c>
      <c r="H234" s="53">
        <f t="shared" si="7"/>
        <v>-2.3526684739947814E-2</v>
      </c>
    </row>
    <row r="235" spans="2:8">
      <c r="B235" s="46">
        <v>44628</v>
      </c>
      <c r="C235" s="60">
        <v>3134.67578125</v>
      </c>
      <c r="D235" s="58">
        <f t="shared" si="6"/>
        <v>1.2568316877236856E-3</v>
      </c>
      <c r="F235" s="46">
        <v>44628</v>
      </c>
      <c r="G235" s="60">
        <v>16013.4501953125</v>
      </c>
      <c r="H235" s="51">
        <f t="shared" si="7"/>
        <v>9.4747765094836418E-3</v>
      </c>
    </row>
    <row r="236" spans="2:8">
      <c r="B236" s="46">
        <v>44629</v>
      </c>
      <c r="C236" s="60">
        <v>3145.427734375</v>
      </c>
      <c r="D236" s="58">
        <f t="shared" si="6"/>
        <v>3.4300048474909563E-3</v>
      </c>
      <c r="F236" s="46">
        <v>44629</v>
      </c>
      <c r="G236" s="60">
        <v>16345.349609375</v>
      </c>
      <c r="H236" s="53">
        <f t="shared" si="7"/>
        <v>2.0726290088294307E-2</v>
      </c>
    </row>
    <row r="237" spans="2:8">
      <c r="B237" s="46">
        <v>44630</v>
      </c>
      <c r="C237" s="60">
        <v>3168.178955078125</v>
      </c>
      <c r="D237" s="58">
        <f t="shared" si="6"/>
        <v>7.2331086975824903E-3</v>
      </c>
      <c r="F237" s="46">
        <v>44630</v>
      </c>
      <c r="G237" s="60">
        <v>16594.900390625</v>
      </c>
      <c r="H237" s="51">
        <f t="shared" si="7"/>
        <v>1.5267387190474546E-2</v>
      </c>
    </row>
    <row r="238" spans="2:8">
      <c r="B238" s="46">
        <v>44631</v>
      </c>
      <c r="C238" s="60">
        <v>3245.6484375</v>
      </c>
      <c r="D238" s="58">
        <f t="shared" si="6"/>
        <v>2.4452369490587902E-2</v>
      </c>
      <c r="F238" s="46">
        <v>44631</v>
      </c>
      <c r="G238" s="60">
        <v>16630.44921875</v>
      </c>
      <c r="H238" s="53">
        <f t="shared" si="7"/>
        <v>2.14215375134657E-3</v>
      </c>
    </row>
    <row r="239" spans="2:8">
      <c r="B239" s="46">
        <v>44634</v>
      </c>
      <c r="C239" s="60">
        <v>3245.45654296875</v>
      </c>
      <c r="D239" s="58">
        <f t="shared" si="6"/>
        <v>-5.9123634289180467E-5</v>
      </c>
      <c r="F239" s="46">
        <v>44634</v>
      </c>
      <c r="G239" s="60">
        <v>16871.30078125</v>
      </c>
      <c r="H239" s="51">
        <f t="shared" si="7"/>
        <v>1.4482565042708041E-2</v>
      </c>
    </row>
    <row r="240" spans="2:8">
      <c r="B240" s="46">
        <v>44635</v>
      </c>
      <c r="C240" s="60">
        <v>3239.504638671875</v>
      </c>
      <c r="D240" s="58">
        <f t="shared" si="6"/>
        <v>-1.8339189627326062E-3</v>
      </c>
      <c r="F240" s="46">
        <v>44635</v>
      </c>
      <c r="G240" s="60">
        <v>16663</v>
      </c>
      <c r="H240" s="53">
        <f t="shared" si="7"/>
        <v>-1.2346456503312184E-2</v>
      </c>
    </row>
    <row r="241" spans="2:8">
      <c r="B241" s="46">
        <v>44636</v>
      </c>
      <c r="C241" s="60">
        <v>3278.191162109375</v>
      </c>
      <c r="D241" s="58">
        <f t="shared" si="6"/>
        <v>1.1942110832525499E-2</v>
      </c>
      <c r="F241" s="46">
        <v>44636</v>
      </c>
      <c r="G241" s="60">
        <v>16975.349609375</v>
      </c>
      <c r="H241" s="51">
        <f t="shared" si="7"/>
        <v>1.8745100484606612E-2</v>
      </c>
    </row>
    <row r="242" spans="2:8">
      <c r="B242" s="46">
        <v>44637</v>
      </c>
      <c r="C242" s="60">
        <v>3301.2783203125</v>
      </c>
      <c r="D242" s="58">
        <f t="shared" si="6"/>
        <v>7.0426515909064336E-3</v>
      </c>
      <c r="F242" s="46">
        <v>44637</v>
      </c>
      <c r="G242" s="60">
        <v>17287.05078125</v>
      </c>
      <c r="H242" s="53">
        <f t="shared" si="7"/>
        <v>1.8361988356508215E-2</v>
      </c>
    </row>
    <row r="243" spans="2:8">
      <c r="B243" s="46">
        <v>44641</v>
      </c>
      <c r="C243" s="60">
        <v>3356.86083984375</v>
      </c>
      <c r="D243" s="58">
        <f t="shared" si="6"/>
        <v>1.68366657210497E-2</v>
      </c>
      <c r="F243" s="46">
        <v>44641</v>
      </c>
      <c r="G243" s="60">
        <v>17117.599609375</v>
      </c>
      <c r="H243" s="51">
        <f t="shared" si="7"/>
        <v>-9.80220247046369E-3</v>
      </c>
    </row>
    <row r="244" spans="2:8">
      <c r="B244" s="46">
        <v>44642</v>
      </c>
      <c r="C244" s="60">
        <v>3408.410888671875</v>
      </c>
      <c r="D244" s="58">
        <f t="shared" si="6"/>
        <v>1.5356623729008818E-2</v>
      </c>
      <c r="F244" s="46">
        <v>44642</v>
      </c>
      <c r="G244" s="60">
        <v>17315.5</v>
      </c>
      <c r="H244" s="53">
        <f t="shared" si="7"/>
        <v>1.1561223252155842E-2</v>
      </c>
    </row>
    <row r="245" spans="2:8">
      <c r="B245" s="46">
        <v>44643</v>
      </c>
      <c r="C245" s="60">
        <v>3503.159423828125</v>
      </c>
      <c r="D245" s="58">
        <f t="shared" si="6"/>
        <v>2.7798448676230412E-2</v>
      </c>
      <c r="F245" s="46">
        <v>44643</v>
      </c>
      <c r="G245" s="60">
        <v>17245.650390625</v>
      </c>
      <c r="H245" s="51">
        <f t="shared" si="7"/>
        <v>-4.0339354552279749E-3</v>
      </c>
    </row>
    <row r="246" spans="2:8">
      <c r="B246" s="46">
        <v>44644</v>
      </c>
      <c r="C246" s="60">
        <v>3465.000732421875</v>
      </c>
      <c r="D246" s="58">
        <f t="shared" si="6"/>
        <v>-1.089265054473358E-2</v>
      </c>
      <c r="F246" s="46">
        <v>44644</v>
      </c>
      <c r="G246" s="60">
        <v>17222.75</v>
      </c>
      <c r="H246" s="53">
        <f t="shared" si="7"/>
        <v>-1.3278937068937106E-3</v>
      </c>
    </row>
    <row r="247" spans="2:8">
      <c r="B247" s="46">
        <v>44645</v>
      </c>
      <c r="C247" s="60">
        <v>3475.46435546875</v>
      </c>
      <c r="D247" s="58">
        <f t="shared" si="6"/>
        <v>3.019803992815151E-3</v>
      </c>
      <c r="F247" s="46">
        <v>44645</v>
      </c>
      <c r="G247" s="60">
        <v>17153</v>
      </c>
      <c r="H247" s="51">
        <f t="shared" si="7"/>
        <v>-4.0498758909001172E-3</v>
      </c>
    </row>
    <row r="248" spans="2:8">
      <c r="B248" s="46">
        <v>44648</v>
      </c>
      <c r="C248" s="60">
        <v>3460.248779296875</v>
      </c>
      <c r="D248" s="58">
        <f t="shared" si="6"/>
        <v>-4.3779980502268202E-3</v>
      </c>
      <c r="F248" s="46">
        <v>44648</v>
      </c>
      <c r="G248" s="60">
        <v>17222</v>
      </c>
      <c r="H248" s="53">
        <f t="shared" si="7"/>
        <v>4.022619949862998E-3</v>
      </c>
    </row>
    <row r="249" spans="2:8">
      <c r="B249" s="46">
        <v>44649</v>
      </c>
      <c r="C249" s="60">
        <v>3513.958984375</v>
      </c>
      <c r="D249" s="58">
        <f t="shared" si="6"/>
        <v>1.5522064598210464E-2</v>
      </c>
      <c r="F249" s="46">
        <v>44649</v>
      </c>
      <c r="G249" s="60">
        <v>17325.30078125</v>
      </c>
      <c r="H249" s="51">
        <f t="shared" si="7"/>
        <v>5.9981872749970966E-3</v>
      </c>
    </row>
    <row r="250" spans="2:8">
      <c r="B250" s="46">
        <v>44650</v>
      </c>
      <c r="C250" s="60">
        <v>3521.0625</v>
      </c>
      <c r="D250" s="58">
        <f t="shared" si="6"/>
        <v>2.0215135283553815E-3</v>
      </c>
      <c r="F250" s="46">
        <v>44650</v>
      </c>
      <c r="G250" s="60">
        <v>17498.25</v>
      </c>
      <c r="H250" s="53">
        <f t="shared" si="7"/>
        <v>9.9824655821947536E-3</v>
      </c>
    </row>
    <row r="251" spans="2:8">
      <c r="B251" s="46">
        <v>44651</v>
      </c>
      <c r="C251" s="60">
        <v>3475.752685546875</v>
      </c>
      <c r="D251" s="58">
        <f t="shared" si="6"/>
        <v>-1.2868222149741733E-2</v>
      </c>
      <c r="F251" s="46">
        <v>44651</v>
      </c>
      <c r="G251" s="60">
        <v>17464.75</v>
      </c>
      <c r="H251" s="51">
        <f t="shared" si="7"/>
        <v>-1.9144771620019144E-3</v>
      </c>
    </row>
    <row r="252" spans="2:8">
      <c r="B252" s="46">
        <v>44652</v>
      </c>
      <c r="C252" s="60">
        <v>3353.35693359375</v>
      </c>
      <c r="D252" s="58">
        <f t="shared" si="6"/>
        <v>-3.5214171728063341E-2</v>
      </c>
      <c r="F252" s="46">
        <v>44652</v>
      </c>
      <c r="G252" s="60">
        <v>17670.44921875</v>
      </c>
      <c r="H252" s="53">
        <f t="shared" si="7"/>
        <v>1.1777965258592307E-2</v>
      </c>
    </row>
    <row r="253" spans="2:8">
      <c r="B253" s="46">
        <v>44655</v>
      </c>
      <c r="C253" s="60">
        <v>3335.597412109375</v>
      </c>
      <c r="D253" s="58">
        <f t="shared" si="6"/>
        <v>-5.2960426927599223E-3</v>
      </c>
      <c r="F253" s="46">
        <v>44655</v>
      </c>
      <c r="G253" s="60">
        <v>18053.400390625</v>
      </c>
      <c r="H253" s="51">
        <f t="shared" si="7"/>
        <v>2.1671841339984326E-2</v>
      </c>
    </row>
    <row r="254" spans="2:8">
      <c r="B254" s="46">
        <v>44656</v>
      </c>
      <c r="C254" s="60">
        <v>3354.509033203125</v>
      </c>
      <c r="D254" s="58">
        <f t="shared" si="6"/>
        <v>5.6696353777869772E-3</v>
      </c>
      <c r="F254" s="46">
        <v>44656</v>
      </c>
      <c r="G254" s="60">
        <v>17957.400390625</v>
      </c>
      <c r="H254" s="53">
        <f t="shared" si="7"/>
        <v>-5.3175577964720763E-3</v>
      </c>
    </row>
    <row r="255" spans="2:8">
      <c r="B255" s="46">
        <v>44657</v>
      </c>
      <c r="C255" s="60">
        <v>3353.98046875</v>
      </c>
      <c r="D255" s="58">
        <f t="shared" si="6"/>
        <v>-1.575683499114888E-4</v>
      </c>
      <c r="F255" s="46">
        <v>44657</v>
      </c>
      <c r="G255" s="60">
        <v>17807.650390625</v>
      </c>
      <c r="H255" s="51">
        <f t="shared" si="7"/>
        <v>-8.3391803235717699E-3</v>
      </c>
    </row>
    <row r="256" spans="2:8">
      <c r="B256" s="46">
        <v>44658</v>
      </c>
      <c r="C256" s="60">
        <v>3362.8603515625</v>
      </c>
      <c r="D256" s="58">
        <f t="shared" si="6"/>
        <v>2.6475654510324138E-3</v>
      </c>
      <c r="F256" s="46">
        <v>44658</v>
      </c>
      <c r="G256" s="60">
        <v>17639.55078125</v>
      </c>
      <c r="H256" s="53">
        <f t="shared" si="7"/>
        <v>-9.4397411049521492E-3</v>
      </c>
    </row>
    <row r="257" spans="2:8">
      <c r="B257" s="46">
        <v>44659</v>
      </c>
      <c r="C257" s="60">
        <v>3333.62939453125</v>
      </c>
      <c r="D257" s="58">
        <f t="shared" si="6"/>
        <v>-8.6922898887752797E-3</v>
      </c>
      <c r="F257" s="46">
        <v>44659</v>
      </c>
      <c r="G257" s="60">
        <v>17784.349609375</v>
      </c>
      <c r="H257" s="51">
        <f t="shared" si="7"/>
        <v>8.2087593907954979E-3</v>
      </c>
    </row>
    <row r="258" spans="2:8">
      <c r="B258" s="46">
        <v>44662</v>
      </c>
      <c r="C258" s="60">
        <v>3337.948974609375</v>
      </c>
      <c r="D258" s="58">
        <f t="shared" si="6"/>
        <v>1.2957589362546365E-3</v>
      </c>
      <c r="F258" s="46">
        <v>44662</v>
      </c>
      <c r="G258" s="60">
        <v>17674.94921875</v>
      </c>
      <c r="H258" s="53">
        <f t="shared" si="7"/>
        <v>-6.1514979759130298E-3</v>
      </c>
    </row>
    <row r="259" spans="2:8">
      <c r="B259" s="46">
        <v>44663</v>
      </c>
      <c r="C259" s="60">
        <v>3313.56591796875</v>
      </c>
      <c r="D259" s="58">
        <f t="shared" si="6"/>
        <v>-7.3048020883777704E-3</v>
      </c>
      <c r="F259" s="46">
        <v>44663</v>
      </c>
      <c r="G259" s="60">
        <v>17530.30078125</v>
      </c>
      <c r="H259" s="51">
        <f t="shared" si="7"/>
        <v>-8.1838106412522836E-3</v>
      </c>
    </row>
    <row r="260" spans="2:8">
      <c r="B260" s="46">
        <v>44664</v>
      </c>
      <c r="C260" s="60">
        <v>3283.3271484375</v>
      </c>
      <c r="D260" s="58">
        <f t="shared" si="6"/>
        <v>-9.1257485982915582E-3</v>
      </c>
      <c r="F260" s="46">
        <v>44664</v>
      </c>
      <c r="G260" s="60">
        <v>17475.650390625</v>
      </c>
      <c r="H260" s="53">
        <f t="shared" si="7"/>
        <v>-3.1174816283501979E-3</v>
      </c>
    </row>
    <row r="261" spans="2:8">
      <c r="B261" s="46">
        <v>44669</v>
      </c>
      <c r="C261" s="60">
        <v>3306.46240234375</v>
      </c>
      <c r="D261" s="58">
        <f t="shared" ref="D261:D324" si="8">(C261-C260)/C260</f>
        <v>7.0462834985115077E-3</v>
      </c>
      <c r="F261" s="46">
        <v>44669</v>
      </c>
      <c r="G261" s="60">
        <v>17173.650390625</v>
      </c>
      <c r="H261" s="51">
        <f t="shared" ref="H261:H324" si="9">(G261-G260)/G260</f>
        <v>-1.7281188010147601E-2</v>
      </c>
    </row>
    <row r="262" spans="2:8">
      <c r="B262" s="46">
        <v>44670</v>
      </c>
      <c r="C262" s="60">
        <v>3239.74462890625</v>
      </c>
      <c r="D262" s="58">
        <f t="shared" si="8"/>
        <v>-2.0177992464153784E-2</v>
      </c>
      <c r="F262" s="46">
        <v>44670</v>
      </c>
      <c r="G262" s="60">
        <v>16958.650390625</v>
      </c>
      <c r="H262" s="53">
        <f t="shared" si="9"/>
        <v>-1.2519178806467803E-2</v>
      </c>
    </row>
    <row r="263" spans="2:8">
      <c r="B263" s="46">
        <v>44671</v>
      </c>
      <c r="C263" s="60">
        <v>3269.935546875</v>
      </c>
      <c r="D263" s="58">
        <f t="shared" si="8"/>
        <v>9.3189190590440354E-3</v>
      </c>
      <c r="F263" s="46">
        <v>44671</v>
      </c>
      <c r="G263" s="60">
        <v>17136.55078125</v>
      </c>
      <c r="H263" s="51">
        <f t="shared" si="9"/>
        <v>1.0490244596547968E-2</v>
      </c>
    </row>
    <row r="264" spans="2:8">
      <c r="B264" s="46">
        <v>44672</v>
      </c>
      <c r="C264" s="60">
        <v>3267.871337890625</v>
      </c>
      <c r="D264" s="58">
        <f t="shared" si="8"/>
        <v>-6.312690127325952E-4</v>
      </c>
      <c r="F264" s="46">
        <v>44672</v>
      </c>
      <c r="G264" s="60">
        <v>17392.599609375</v>
      </c>
      <c r="H264" s="53">
        <f t="shared" si="9"/>
        <v>1.4941678252146078E-2</v>
      </c>
    </row>
    <row r="265" spans="2:8">
      <c r="B265" s="46">
        <v>44673</v>
      </c>
      <c r="C265" s="60">
        <v>3235.760498046875</v>
      </c>
      <c r="D265" s="58">
        <f t="shared" si="8"/>
        <v>-9.8262252468229658E-3</v>
      </c>
      <c r="F265" s="46">
        <v>44673</v>
      </c>
      <c r="G265" s="60">
        <v>17171.94921875</v>
      </c>
      <c r="H265" s="51">
        <f t="shared" si="9"/>
        <v>-1.2686452605168035E-2</v>
      </c>
    </row>
    <row r="266" spans="2:8">
      <c r="B266" s="46">
        <v>44676</v>
      </c>
      <c r="C266" s="60">
        <v>3178.40283203125</v>
      </c>
      <c r="D266" s="58">
        <f t="shared" si="8"/>
        <v>-1.7726177833695182E-2</v>
      </c>
      <c r="F266" s="46">
        <v>44676</v>
      </c>
      <c r="G266" s="60">
        <v>16953.94921875</v>
      </c>
      <c r="H266" s="53">
        <f t="shared" si="9"/>
        <v>-1.2695122564301929E-2</v>
      </c>
    </row>
    <row r="267" spans="2:8">
      <c r="B267" s="46">
        <v>44677</v>
      </c>
      <c r="C267" s="60">
        <v>3173.410888671875</v>
      </c>
      <c r="D267" s="58">
        <f t="shared" si="8"/>
        <v>-1.5705823406231849E-3</v>
      </c>
      <c r="F267" s="46">
        <v>44677</v>
      </c>
      <c r="G267" s="60">
        <v>17200.80078125</v>
      </c>
      <c r="H267" s="51">
        <f t="shared" si="9"/>
        <v>1.4560121616207138E-2</v>
      </c>
    </row>
    <row r="268" spans="2:8">
      <c r="B268" s="46">
        <v>44678</v>
      </c>
      <c r="C268" s="60">
        <v>3168.467529296875</v>
      </c>
      <c r="D268" s="58">
        <f t="shared" si="8"/>
        <v>-1.5577432448619592E-3</v>
      </c>
      <c r="F268" s="46">
        <v>44678</v>
      </c>
      <c r="G268" s="60">
        <v>17038.400390625</v>
      </c>
      <c r="H268" s="53">
        <f t="shared" si="9"/>
        <v>-9.4414436101153531E-3</v>
      </c>
    </row>
    <row r="269" spans="2:8">
      <c r="B269" s="46">
        <v>44679</v>
      </c>
      <c r="C269" s="60">
        <v>3167.747314453125</v>
      </c>
      <c r="D269" s="58">
        <f t="shared" si="8"/>
        <v>-2.2730699844344791E-4</v>
      </c>
      <c r="F269" s="46">
        <v>44679</v>
      </c>
      <c r="G269" s="60">
        <v>17245.05078125</v>
      </c>
      <c r="H269" s="51">
        <f t="shared" si="9"/>
        <v>1.2128508890934666E-2</v>
      </c>
    </row>
    <row r="270" spans="2:8">
      <c r="B270" s="46">
        <v>44680</v>
      </c>
      <c r="C270" s="60">
        <v>3120.276611328125</v>
      </c>
      <c r="D270" s="58">
        <f t="shared" si="8"/>
        <v>-1.4985634399691779E-2</v>
      </c>
      <c r="F270" s="46">
        <v>44680</v>
      </c>
      <c r="G270" s="60">
        <v>17102.55078125</v>
      </c>
      <c r="H270" s="53">
        <f t="shared" si="9"/>
        <v>-8.2632403816946566E-3</v>
      </c>
    </row>
    <row r="271" spans="2:8">
      <c r="B271" s="46">
        <v>44683</v>
      </c>
      <c r="C271" s="60">
        <v>3141.780029296875</v>
      </c>
      <c r="D271" s="58">
        <f t="shared" si="8"/>
        <v>6.8915101599268834E-3</v>
      </c>
      <c r="F271" s="46">
        <v>44683</v>
      </c>
      <c r="G271" s="60">
        <v>17069.099609375</v>
      </c>
      <c r="H271" s="51">
        <f t="shared" si="9"/>
        <v>-1.9559171203674158E-3</v>
      </c>
    </row>
    <row r="272" spans="2:8">
      <c r="B272" s="46">
        <v>44685</v>
      </c>
      <c r="C272" s="60">
        <v>3063.15869140625</v>
      </c>
      <c r="D272" s="58">
        <f t="shared" si="8"/>
        <v>-2.5024456568406007E-2</v>
      </c>
      <c r="F272" s="46">
        <v>44685</v>
      </c>
      <c r="G272" s="60">
        <v>16677.599609375</v>
      </c>
      <c r="H272" s="53">
        <f t="shared" si="9"/>
        <v>-2.2936183451936345E-2</v>
      </c>
    </row>
    <row r="273" spans="2:8">
      <c r="B273" s="46">
        <v>44686</v>
      </c>
      <c r="C273" s="60">
        <v>3042.903564453125</v>
      </c>
      <c r="D273" s="58">
        <f t="shared" si="8"/>
        <v>-6.6124967700665147E-3</v>
      </c>
      <c r="F273" s="46">
        <v>44686</v>
      </c>
      <c r="G273" s="60">
        <v>16682.650390625</v>
      </c>
      <c r="H273" s="51">
        <f t="shared" si="9"/>
        <v>3.0284821366983761E-4</v>
      </c>
    </row>
    <row r="274" spans="2:8">
      <c r="B274" s="46">
        <v>44687</v>
      </c>
      <c r="C274" s="60">
        <v>2967.7861328125</v>
      </c>
      <c r="D274" s="58">
        <f t="shared" si="8"/>
        <v>-2.4686103272590965E-2</v>
      </c>
      <c r="F274" s="46">
        <v>44687</v>
      </c>
      <c r="G274" s="60">
        <v>16411.25</v>
      </c>
      <c r="H274" s="53">
        <f t="shared" si="9"/>
        <v>-1.6268421639856246E-2</v>
      </c>
    </row>
    <row r="275" spans="2:8">
      <c r="B275" s="46">
        <v>44690</v>
      </c>
      <c r="C275" s="60">
        <v>2961.30615234375</v>
      </c>
      <c r="D275" s="58">
        <f t="shared" si="8"/>
        <v>-2.1834391626491889E-3</v>
      </c>
      <c r="F275" s="46">
        <v>44690</v>
      </c>
      <c r="G275" s="60">
        <v>16301.849609375</v>
      </c>
      <c r="H275" s="51">
        <f t="shared" si="9"/>
        <v>-6.6661826871810496E-3</v>
      </c>
    </row>
    <row r="276" spans="2:8">
      <c r="B276" s="46">
        <v>44691</v>
      </c>
      <c r="C276" s="60">
        <v>2852.58984375</v>
      </c>
      <c r="D276" s="58">
        <f t="shared" si="8"/>
        <v>-3.6712282689078127E-2</v>
      </c>
      <c r="F276" s="46">
        <v>44691</v>
      </c>
      <c r="G276" s="60">
        <v>16240.0498046875</v>
      </c>
      <c r="H276" s="53">
        <f t="shared" si="9"/>
        <v>-3.7909688880922855E-3</v>
      </c>
    </row>
    <row r="277" spans="2:8">
      <c r="B277" s="46">
        <v>44692</v>
      </c>
      <c r="C277" s="60">
        <v>2824.606689453125</v>
      </c>
      <c r="D277" s="58">
        <f t="shared" si="8"/>
        <v>-9.8097363552583118E-3</v>
      </c>
      <c r="F277" s="46">
        <v>44692</v>
      </c>
      <c r="G277" s="60">
        <v>16167.099609375</v>
      </c>
      <c r="H277" s="51">
        <f t="shared" si="9"/>
        <v>-4.4919933245182401E-3</v>
      </c>
    </row>
    <row r="278" spans="2:8">
      <c r="B278" s="46">
        <v>44693</v>
      </c>
      <c r="C278" s="60">
        <v>2837.0859375</v>
      </c>
      <c r="D278" s="58">
        <f t="shared" si="8"/>
        <v>4.4180480395630299E-3</v>
      </c>
      <c r="F278" s="46">
        <v>44693</v>
      </c>
      <c r="G278" s="60">
        <v>15808</v>
      </c>
      <c r="H278" s="53">
        <f t="shared" si="9"/>
        <v>-2.2211752141785831E-2</v>
      </c>
    </row>
    <row r="279" spans="2:8">
      <c r="B279" s="46">
        <v>44694</v>
      </c>
      <c r="C279" s="60">
        <v>2789.423828125</v>
      </c>
      <c r="D279" s="58">
        <f t="shared" si="8"/>
        <v>-1.6799670656786371E-2</v>
      </c>
      <c r="F279" s="46">
        <v>44694</v>
      </c>
      <c r="G279" s="60">
        <v>15782.150390625</v>
      </c>
      <c r="H279" s="51">
        <f t="shared" si="9"/>
        <v>-1.6352232651189271E-3</v>
      </c>
    </row>
    <row r="280" spans="2:8">
      <c r="B280" s="46">
        <v>44697</v>
      </c>
      <c r="C280" s="60">
        <v>2790.048095703125</v>
      </c>
      <c r="D280" s="58">
        <f t="shared" si="8"/>
        <v>2.2379803736910834E-4</v>
      </c>
      <c r="F280" s="46">
        <v>44697</v>
      </c>
      <c r="G280" s="60">
        <v>15842.2998046875</v>
      </c>
      <c r="H280" s="53">
        <f t="shared" si="9"/>
        <v>3.8112305721171107E-3</v>
      </c>
    </row>
    <row r="281" spans="2:8">
      <c r="B281" s="46">
        <v>44698</v>
      </c>
      <c r="C281" s="60">
        <v>2786.544677734375</v>
      </c>
      <c r="D281" s="58">
        <f t="shared" si="8"/>
        <v>-1.2556837189099056E-3</v>
      </c>
      <c r="F281" s="46">
        <v>44698</v>
      </c>
      <c r="G281" s="60">
        <v>16259.2998046875</v>
      </c>
      <c r="H281" s="51">
        <f t="shared" si="9"/>
        <v>2.6321935902047247E-2</v>
      </c>
    </row>
    <row r="282" spans="2:8">
      <c r="B282" s="46">
        <v>44699</v>
      </c>
      <c r="C282" s="60">
        <v>2827.19873046875</v>
      </c>
      <c r="D282" s="58">
        <f t="shared" si="8"/>
        <v>1.4589413569865723E-2</v>
      </c>
      <c r="F282" s="46">
        <v>44699</v>
      </c>
      <c r="G282" s="60">
        <v>16240.2998046875</v>
      </c>
      <c r="H282" s="53">
        <f t="shared" si="9"/>
        <v>-1.1685620062508698E-3</v>
      </c>
    </row>
    <row r="283" spans="2:8">
      <c r="B283" s="46">
        <v>44700</v>
      </c>
      <c r="C283" s="60">
        <v>2800.31982421875</v>
      </c>
      <c r="D283" s="58">
        <f t="shared" si="8"/>
        <v>-9.5072574702038982E-3</v>
      </c>
      <c r="F283" s="46">
        <v>44700</v>
      </c>
      <c r="G283" s="60">
        <v>15809.400390625</v>
      </c>
      <c r="H283" s="51">
        <f t="shared" si="9"/>
        <v>-2.6532725334179351E-2</v>
      </c>
    </row>
    <row r="284" spans="2:8">
      <c r="B284" s="46">
        <v>44701</v>
      </c>
      <c r="C284" s="60">
        <v>2882.49267578125</v>
      </c>
      <c r="D284" s="58">
        <f t="shared" si="8"/>
        <v>2.9344095217918573E-2</v>
      </c>
      <c r="F284" s="46">
        <v>44701</v>
      </c>
      <c r="G284" s="60">
        <v>16266.150390625</v>
      </c>
      <c r="H284" s="53">
        <f t="shared" si="9"/>
        <v>2.8891038794289343E-2</v>
      </c>
    </row>
    <row r="285" spans="2:8">
      <c r="B285" s="46">
        <v>44704</v>
      </c>
      <c r="C285" s="60">
        <v>2866.749267578125</v>
      </c>
      <c r="D285" s="58">
        <f t="shared" si="8"/>
        <v>-5.4617339830214905E-3</v>
      </c>
      <c r="F285" s="46">
        <v>44704</v>
      </c>
      <c r="G285" s="60">
        <v>16214.7001953125</v>
      </c>
      <c r="H285" s="51">
        <f t="shared" si="9"/>
        <v>-3.1630222318707523E-3</v>
      </c>
    </row>
    <row r="286" spans="2:8">
      <c r="B286" s="46">
        <v>44705</v>
      </c>
      <c r="C286" s="60">
        <v>2813.8076171875</v>
      </c>
      <c r="D286" s="58">
        <f t="shared" si="8"/>
        <v>-1.8467485450986421E-2</v>
      </c>
      <c r="F286" s="46">
        <v>44705</v>
      </c>
      <c r="G286" s="60">
        <v>16125.150390625</v>
      </c>
      <c r="H286" s="53">
        <f t="shared" si="9"/>
        <v>-5.5227542667355585E-3</v>
      </c>
    </row>
    <row r="287" spans="2:8">
      <c r="B287" s="46">
        <v>44706</v>
      </c>
      <c r="C287" s="60">
        <v>2849.325927734375</v>
      </c>
      <c r="D287" s="58">
        <f t="shared" si="8"/>
        <v>1.2622863883770706E-2</v>
      </c>
      <c r="F287" s="46">
        <v>44706</v>
      </c>
      <c r="G287" s="60">
        <v>16025.7998046875</v>
      </c>
      <c r="H287" s="51">
        <f t="shared" si="9"/>
        <v>-6.1612191843656494E-3</v>
      </c>
    </row>
    <row r="288" spans="2:8">
      <c r="B288" s="46">
        <v>44707</v>
      </c>
      <c r="C288" s="60">
        <v>2902.940185546875</v>
      </c>
      <c r="D288" s="58">
        <f t="shared" si="8"/>
        <v>1.8816470692466926E-2</v>
      </c>
      <c r="F288" s="46">
        <v>44707</v>
      </c>
      <c r="G288" s="60">
        <v>16170.150390625</v>
      </c>
      <c r="H288" s="53">
        <f t="shared" si="9"/>
        <v>9.0073873189953288E-3</v>
      </c>
    </row>
    <row r="289" spans="2:8">
      <c r="B289" s="46">
        <v>44708</v>
      </c>
      <c r="C289" s="60">
        <v>2921.563720703125</v>
      </c>
      <c r="D289" s="58">
        <f t="shared" si="8"/>
        <v>6.4154043713930591E-3</v>
      </c>
      <c r="F289" s="46">
        <v>44708</v>
      </c>
      <c r="G289" s="60">
        <v>16352.4501953125</v>
      </c>
      <c r="H289" s="51">
        <f t="shared" si="9"/>
        <v>1.1273847198922301E-2</v>
      </c>
    </row>
    <row r="290" spans="2:8">
      <c r="B290" s="46">
        <v>44711</v>
      </c>
      <c r="C290" s="60">
        <v>2954.05859375</v>
      </c>
      <c r="D290" s="58">
        <f t="shared" si="8"/>
        <v>1.1122424890686466E-2</v>
      </c>
      <c r="F290" s="46">
        <v>44711</v>
      </c>
      <c r="G290" s="60">
        <v>16661.400390625</v>
      </c>
      <c r="H290" s="53">
        <f t="shared" si="9"/>
        <v>1.8893205092962884E-2</v>
      </c>
    </row>
    <row r="291" spans="2:8">
      <c r="B291" s="46">
        <v>44712</v>
      </c>
      <c r="C291" s="60">
        <v>3022.984130859375</v>
      </c>
      <c r="D291" s="58">
        <f t="shared" si="8"/>
        <v>2.333248814197628E-2</v>
      </c>
      <c r="F291" s="46">
        <v>44712</v>
      </c>
      <c r="G291" s="60">
        <v>16584.55078125</v>
      </c>
      <c r="H291" s="51">
        <f t="shared" si="9"/>
        <v>-4.6124339835348759E-3</v>
      </c>
    </row>
    <row r="292" spans="2:8">
      <c r="B292" s="46">
        <v>44713</v>
      </c>
      <c r="C292" s="60">
        <v>2988.376953125</v>
      </c>
      <c r="D292" s="58">
        <f t="shared" si="8"/>
        <v>-1.1448018327683666E-2</v>
      </c>
      <c r="F292" s="46">
        <v>44713</v>
      </c>
      <c r="G292" s="60">
        <v>16522.75</v>
      </c>
      <c r="H292" s="53">
        <f t="shared" si="9"/>
        <v>-3.7264067061659654E-3</v>
      </c>
    </row>
    <row r="293" spans="2:8">
      <c r="B293" s="46">
        <v>44714</v>
      </c>
      <c r="C293" s="60">
        <v>2966.25</v>
      </c>
      <c r="D293" s="58">
        <f t="shared" si="8"/>
        <v>-7.4043380310042355E-3</v>
      </c>
      <c r="F293" s="46">
        <v>44714</v>
      </c>
      <c r="G293" s="60">
        <v>16628</v>
      </c>
      <c r="H293" s="51">
        <f t="shared" si="9"/>
        <v>6.3700049931155528E-3</v>
      </c>
    </row>
    <row r="294" spans="2:8">
      <c r="B294" s="46">
        <v>44715</v>
      </c>
      <c r="C294" s="60">
        <v>2976.329833984375</v>
      </c>
      <c r="D294" s="58">
        <f t="shared" si="8"/>
        <v>3.3981741203118416E-3</v>
      </c>
      <c r="F294" s="46">
        <v>44715</v>
      </c>
      <c r="G294" s="60">
        <v>16584.30078125</v>
      </c>
      <c r="H294" s="53">
        <f t="shared" si="9"/>
        <v>-2.6280502014674042E-3</v>
      </c>
    </row>
    <row r="295" spans="2:8">
      <c r="B295" s="46">
        <v>44718</v>
      </c>
      <c r="C295" s="60">
        <v>2989.1455078125</v>
      </c>
      <c r="D295" s="58">
        <f t="shared" si="8"/>
        <v>4.3058647874952821E-3</v>
      </c>
      <c r="F295" s="46">
        <v>44718</v>
      </c>
      <c r="G295" s="60">
        <v>16569.55078125</v>
      </c>
      <c r="H295" s="51">
        <f t="shared" si="9"/>
        <v>-8.893953501299351E-4</v>
      </c>
    </row>
    <row r="296" spans="2:8">
      <c r="B296" s="46">
        <v>44719</v>
      </c>
      <c r="C296" s="60">
        <v>3015.208251953125</v>
      </c>
      <c r="D296" s="58">
        <f t="shared" si="8"/>
        <v>8.719128618030406E-3</v>
      </c>
      <c r="F296" s="46">
        <v>44719</v>
      </c>
      <c r="G296" s="60">
        <v>16416.349609375</v>
      </c>
      <c r="H296" s="53">
        <f t="shared" si="9"/>
        <v>-9.2459460064760173E-3</v>
      </c>
    </row>
    <row r="297" spans="2:8">
      <c r="B297" s="46">
        <v>44720</v>
      </c>
      <c r="C297" s="60">
        <v>3032.439453125</v>
      </c>
      <c r="D297" s="58">
        <f t="shared" si="8"/>
        <v>5.7147632044033288E-3</v>
      </c>
      <c r="F297" s="46">
        <v>44720</v>
      </c>
      <c r="G297" s="60">
        <v>16356.25</v>
      </c>
      <c r="H297" s="51">
        <f t="shared" si="9"/>
        <v>-3.6609606157923498E-3</v>
      </c>
    </row>
    <row r="298" spans="2:8">
      <c r="B298" s="46">
        <v>44721</v>
      </c>
      <c r="C298" s="60">
        <v>3014.104248046875</v>
      </c>
      <c r="D298" s="58">
        <f t="shared" si="8"/>
        <v>-6.0463548774997442E-3</v>
      </c>
      <c r="F298" s="46">
        <v>44721</v>
      </c>
      <c r="G298" s="60">
        <v>16478.099609375</v>
      </c>
      <c r="H298" s="53">
        <f t="shared" si="9"/>
        <v>7.4497277416889565E-3</v>
      </c>
    </row>
    <row r="299" spans="2:8">
      <c r="B299" s="46">
        <v>44722</v>
      </c>
      <c r="C299" s="60">
        <v>3009.54443359375</v>
      </c>
      <c r="D299" s="58">
        <f t="shared" si="8"/>
        <v>-1.5128257279355011E-3</v>
      </c>
      <c r="F299" s="46">
        <v>44722</v>
      </c>
      <c r="G299" s="60">
        <v>16201.7998046875</v>
      </c>
      <c r="H299" s="51">
        <f t="shared" si="9"/>
        <v>-1.6767698414100061E-2</v>
      </c>
    </row>
    <row r="300" spans="2:8">
      <c r="B300" s="46">
        <v>44725</v>
      </c>
      <c r="C300" s="60">
        <v>2970.522216796875</v>
      </c>
      <c r="D300" s="58">
        <f t="shared" si="8"/>
        <v>-1.2966154066806013E-2</v>
      </c>
      <c r="F300" s="46">
        <v>44725</v>
      </c>
      <c r="G300" s="60">
        <v>15774.400390625</v>
      </c>
      <c r="H300" s="53">
        <f t="shared" si="9"/>
        <v>-2.6379749115209097E-2</v>
      </c>
    </row>
    <row r="301" spans="2:8">
      <c r="B301" s="46">
        <v>44726</v>
      </c>
      <c r="C301" s="60">
        <v>2949.642578125</v>
      </c>
      <c r="D301" s="58">
        <f t="shared" si="8"/>
        <v>-7.0289454675042263E-3</v>
      </c>
      <c r="F301" s="46">
        <v>44726</v>
      </c>
      <c r="G301" s="60">
        <v>15732.099609375</v>
      </c>
      <c r="H301" s="51">
        <f t="shared" si="9"/>
        <v>-2.6816094559854137E-3</v>
      </c>
    </row>
    <row r="302" spans="2:8">
      <c r="B302" s="46">
        <v>44727</v>
      </c>
      <c r="C302" s="60">
        <v>2976.857666015625</v>
      </c>
      <c r="D302" s="58">
        <f t="shared" si="8"/>
        <v>9.2265714132472362E-3</v>
      </c>
      <c r="F302" s="46">
        <v>44727</v>
      </c>
      <c r="G302" s="60">
        <v>15692.150390625</v>
      </c>
      <c r="H302" s="53">
        <f t="shared" si="9"/>
        <v>-2.5393443813560425E-3</v>
      </c>
    </row>
    <row r="303" spans="2:8">
      <c r="B303" s="46">
        <v>44728</v>
      </c>
      <c r="C303" s="60">
        <v>2929.1953125</v>
      </c>
      <c r="D303" s="58">
        <f t="shared" si="8"/>
        <v>-1.601096151144461E-2</v>
      </c>
      <c r="F303" s="46">
        <v>44728</v>
      </c>
      <c r="G303" s="60">
        <v>15360.599609375</v>
      </c>
      <c r="H303" s="51">
        <f t="shared" si="9"/>
        <v>-2.1128447854290206E-2</v>
      </c>
    </row>
    <row r="304" spans="2:8">
      <c r="B304" s="46">
        <v>44729</v>
      </c>
      <c r="C304" s="60">
        <v>2974.31396484375</v>
      </c>
      <c r="D304" s="58">
        <f t="shared" si="8"/>
        <v>1.5403087718736748E-2</v>
      </c>
      <c r="F304" s="46">
        <v>44729</v>
      </c>
      <c r="G304" s="60">
        <v>15293.5</v>
      </c>
      <c r="H304" s="53">
        <f t="shared" si="9"/>
        <v>-4.3682936266398898E-3</v>
      </c>
    </row>
    <row r="305" spans="2:8">
      <c r="B305" s="46">
        <v>44732</v>
      </c>
      <c r="C305" s="60">
        <v>2993.368896484375</v>
      </c>
      <c r="D305" s="58">
        <f t="shared" si="8"/>
        <v>6.4064963772666192E-3</v>
      </c>
      <c r="F305" s="46">
        <v>44732</v>
      </c>
      <c r="G305" s="60">
        <v>15350.150390625</v>
      </c>
      <c r="H305" s="51">
        <f t="shared" si="9"/>
        <v>3.7042135956452085E-3</v>
      </c>
    </row>
    <row r="306" spans="2:8">
      <c r="B306" s="46">
        <v>44733</v>
      </c>
      <c r="C306" s="60">
        <v>2952.570068359375</v>
      </c>
      <c r="D306" s="58">
        <f t="shared" si="8"/>
        <v>-1.3629736105335043E-2</v>
      </c>
      <c r="F306" s="46">
        <v>44733</v>
      </c>
      <c r="G306" s="60">
        <v>15638.7998046875</v>
      </c>
      <c r="H306" s="53">
        <f t="shared" si="9"/>
        <v>1.8804337854487124E-2</v>
      </c>
    </row>
    <row r="307" spans="2:8">
      <c r="B307" s="46">
        <v>44734</v>
      </c>
      <c r="C307" s="60">
        <v>2860.70166015625</v>
      </c>
      <c r="D307" s="58">
        <f t="shared" si="8"/>
        <v>-3.1114725840925631E-2</v>
      </c>
      <c r="F307" s="46">
        <v>44734</v>
      </c>
      <c r="G307" s="60">
        <v>15413.2998046875</v>
      </c>
      <c r="H307" s="51">
        <f t="shared" si="9"/>
        <v>-1.4419265085317462E-2</v>
      </c>
    </row>
    <row r="308" spans="2:8">
      <c r="B308" s="46">
        <v>44735</v>
      </c>
      <c r="C308" s="60">
        <v>2912.9716796875</v>
      </c>
      <c r="D308" s="58">
        <f t="shared" si="8"/>
        <v>1.8271747892926044E-2</v>
      </c>
      <c r="F308" s="46">
        <v>44735</v>
      </c>
      <c r="G308" s="60">
        <v>15556.650390625</v>
      </c>
      <c r="H308" s="53">
        <f t="shared" si="9"/>
        <v>9.3004475196092756E-3</v>
      </c>
    </row>
    <row r="309" spans="2:8">
      <c r="B309" s="46">
        <v>44736</v>
      </c>
      <c r="C309" s="60">
        <v>2885.036865234375</v>
      </c>
      <c r="D309" s="58">
        <f t="shared" si="8"/>
        <v>-9.589799532868034E-3</v>
      </c>
      <c r="F309" s="46">
        <v>44736</v>
      </c>
      <c r="G309" s="60">
        <v>15699.25</v>
      </c>
      <c r="H309" s="51">
        <f t="shared" si="9"/>
        <v>9.1664725885294493E-3</v>
      </c>
    </row>
    <row r="310" spans="2:8">
      <c r="B310" s="46">
        <v>44739</v>
      </c>
      <c r="C310" s="60">
        <v>2910.81201171875</v>
      </c>
      <c r="D310" s="58">
        <f t="shared" si="8"/>
        <v>8.9340787270255819E-3</v>
      </c>
      <c r="F310" s="46">
        <v>44739</v>
      </c>
      <c r="G310" s="60">
        <v>15832.0498046875</v>
      </c>
      <c r="H310" s="53">
        <f t="shared" si="9"/>
        <v>8.4589903777250505E-3</v>
      </c>
    </row>
    <row r="311" spans="2:8">
      <c r="B311" s="46">
        <v>44740</v>
      </c>
      <c r="C311" s="60">
        <v>2862.909912109375</v>
      </c>
      <c r="D311" s="58">
        <f t="shared" si="8"/>
        <v>-1.6456610532224032E-2</v>
      </c>
      <c r="F311" s="46">
        <v>44740</v>
      </c>
      <c r="G311" s="60">
        <v>15850.2001953125</v>
      </c>
      <c r="H311" s="51">
        <f t="shared" si="9"/>
        <v>1.14643339611186E-3</v>
      </c>
    </row>
    <row r="312" spans="2:8">
      <c r="B312" s="46">
        <v>44741</v>
      </c>
      <c r="C312" s="60">
        <v>2847.502197265625</v>
      </c>
      <c r="D312" s="58">
        <f t="shared" si="8"/>
        <v>-5.3818371226350215E-3</v>
      </c>
      <c r="F312" s="46">
        <v>44741</v>
      </c>
      <c r="G312" s="60">
        <v>15799.099609375</v>
      </c>
      <c r="H312" s="53">
        <f t="shared" si="9"/>
        <v>-3.2239710103227821E-3</v>
      </c>
    </row>
    <row r="313" spans="2:8">
      <c r="B313" s="46">
        <v>44742</v>
      </c>
      <c r="C313" s="60">
        <v>2878.508544921875</v>
      </c>
      <c r="D313" s="58">
        <f t="shared" si="8"/>
        <v>1.0888963557613585E-2</v>
      </c>
      <c r="F313" s="46">
        <v>44742</v>
      </c>
      <c r="G313" s="60">
        <v>15780.25</v>
      </c>
      <c r="H313" s="51">
        <f t="shared" si="9"/>
        <v>-1.1930812414028243E-3</v>
      </c>
    </row>
    <row r="314" spans="2:8">
      <c r="B314" s="46">
        <v>44743</v>
      </c>
      <c r="C314" s="60">
        <v>2899.388671875</v>
      </c>
      <c r="D314" s="58">
        <f t="shared" si="8"/>
        <v>7.2538005801513795E-3</v>
      </c>
      <c r="F314" s="46">
        <v>44743</v>
      </c>
      <c r="G314" s="60">
        <v>15752.0498046875</v>
      </c>
      <c r="H314" s="53">
        <f t="shared" si="9"/>
        <v>-1.7870563085185596E-3</v>
      </c>
    </row>
    <row r="315" spans="2:8">
      <c r="B315" s="46">
        <v>44746</v>
      </c>
      <c r="C315" s="60">
        <v>2918.779541015625</v>
      </c>
      <c r="D315" s="58">
        <f t="shared" si="8"/>
        <v>6.6879164317370241E-3</v>
      </c>
      <c r="F315" s="46">
        <v>44746</v>
      </c>
      <c r="G315" s="60">
        <v>15835.349609375</v>
      </c>
      <c r="H315" s="51">
        <f t="shared" si="9"/>
        <v>5.288188249805534E-3</v>
      </c>
    </row>
    <row r="316" spans="2:8">
      <c r="B316" s="46">
        <v>44747</v>
      </c>
      <c r="C316" s="60">
        <v>2928.1396484375</v>
      </c>
      <c r="D316" s="58">
        <f t="shared" si="8"/>
        <v>3.2068565954858092E-3</v>
      </c>
      <c r="F316" s="46">
        <v>44747</v>
      </c>
      <c r="G316" s="60">
        <v>15810.849609375</v>
      </c>
      <c r="H316" s="53">
        <f t="shared" si="9"/>
        <v>-1.5471713984448608E-3</v>
      </c>
    </row>
    <row r="317" spans="2:8">
      <c r="B317" s="46">
        <v>44748</v>
      </c>
      <c r="C317" s="60">
        <v>2954.82666015625</v>
      </c>
      <c r="D317" s="58">
        <f t="shared" si="8"/>
        <v>9.1139818870970158E-3</v>
      </c>
      <c r="F317" s="46">
        <v>44748</v>
      </c>
      <c r="G317" s="60">
        <v>15989.7998046875</v>
      </c>
      <c r="H317" s="51">
        <f t="shared" si="9"/>
        <v>1.1318189707300232E-2</v>
      </c>
    </row>
    <row r="318" spans="2:8">
      <c r="B318" s="46">
        <v>44749</v>
      </c>
      <c r="C318" s="60">
        <v>2982.953369140625</v>
      </c>
      <c r="D318" s="58">
        <f t="shared" si="8"/>
        <v>9.5189032113605181E-3</v>
      </c>
      <c r="F318" s="46">
        <v>44749</v>
      </c>
      <c r="G318" s="60">
        <v>16132.900390625</v>
      </c>
      <c r="H318" s="53">
        <f t="shared" si="9"/>
        <v>8.9494920315105666E-3</v>
      </c>
    </row>
    <row r="319" spans="2:8">
      <c r="B319" s="46">
        <v>44750</v>
      </c>
      <c r="C319" s="60">
        <v>2999.80078125</v>
      </c>
      <c r="D319" s="58">
        <f t="shared" si="8"/>
        <v>5.6478965724592141E-3</v>
      </c>
      <c r="F319" s="46">
        <v>44750</v>
      </c>
      <c r="G319" s="60">
        <v>16220.599609375</v>
      </c>
      <c r="H319" s="51">
        <f t="shared" si="9"/>
        <v>5.436047866567313E-3</v>
      </c>
    </row>
    <row r="320" spans="2:8">
      <c r="B320" s="46">
        <v>44753</v>
      </c>
      <c r="C320" s="60">
        <v>3045.68701171875</v>
      </c>
      <c r="D320" s="58">
        <f t="shared" si="8"/>
        <v>1.5296425934534716E-2</v>
      </c>
      <c r="F320" s="46">
        <v>44753</v>
      </c>
      <c r="G320" s="60">
        <v>16216</v>
      </c>
      <c r="H320" s="53">
        <f t="shared" si="9"/>
        <v>-2.8356592763325282E-4</v>
      </c>
    </row>
    <row r="321" spans="2:8">
      <c r="B321" s="46">
        <v>44754</v>
      </c>
      <c r="C321" s="60">
        <v>2966.5859375</v>
      </c>
      <c r="D321" s="58">
        <f t="shared" si="8"/>
        <v>-2.5971504594660064E-2</v>
      </c>
      <c r="F321" s="46">
        <v>44754</v>
      </c>
      <c r="G321" s="60">
        <v>16058.2998046875</v>
      </c>
      <c r="H321" s="51">
        <f t="shared" si="9"/>
        <v>-9.7249750439380861E-3</v>
      </c>
    </row>
    <row r="322" spans="2:8">
      <c r="B322" s="46">
        <v>44755</v>
      </c>
      <c r="C322" s="60">
        <v>3014.82470703125</v>
      </c>
      <c r="D322" s="58">
        <f t="shared" si="8"/>
        <v>1.626070188005467E-2</v>
      </c>
      <c r="F322" s="46">
        <v>44755</v>
      </c>
      <c r="G322" s="60">
        <v>15966.650390625</v>
      </c>
      <c r="H322" s="53">
        <f t="shared" si="9"/>
        <v>-5.707292501522924E-3</v>
      </c>
    </row>
    <row r="323" spans="2:8">
      <c r="B323" s="46">
        <v>44756</v>
      </c>
      <c r="C323" s="60">
        <v>3060.99853515625</v>
      </c>
      <c r="D323" s="58">
        <f t="shared" si="8"/>
        <v>1.5315592982010608E-2</v>
      </c>
      <c r="F323" s="46">
        <v>44756</v>
      </c>
      <c r="G323" s="60">
        <v>15938.650390625</v>
      </c>
      <c r="H323" s="51">
        <f t="shared" si="9"/>
        <v>-1.7536552323109999E-3</v>
      </c>
    </row>
    <row r="324" spans="2:8">
      <c r="B324" s="46">
        <v>44757</v>
      </c>
      <c r="C324" s="60">
        <v>3083.365966796875</v>
      </c>
      <c r="D324" s="58">
        <f t="shared" si="8"/>
        <v>7.3072336963673993E-3</v>
      </c>
      <c r="F324" s="46">
        <v>44757</v>
      </c>
      <c r="G324" s="60">
        <v>16049.2001953125</v>
      </c>
      <c r="H324" s="53">
        <f t="shared" si="9"/>
        <v>6.9359576863875878E-3</v>
      </c>
    </row>
    <row r="325" spans="2:8">
      <c r="B325" s="46">
        <v>44760</v>
      </c>
      <c r="C325" s="60">
        <v>3119.98876953125</v>
      </c>
      <c r="D325" s="58">
        <f t="shared" ref="D325:D388" si="10">(C325-C324)/C324</f>
        <v>1.1877540041871918E-2</v>
      </c>
      <c r="F325" s="46">
        <v>44760</v>
      </c>
      <c r="G325" s="60">
        <v>16278.5</v>
      </c>
      <c r="H325" s="51">
        <f t="shared" ref="H325:H388" si="11">(G325-G324)/G324</f>
        <v>1.4287304158276481E-2</v>
      </c>
    </row>
    <row r="326" spans="2:8">
      <c r="B326" s="46">
        <v>44761</v>
      </c>
      <c r="C326" s="60">
        <v>3116.724365234375</v>
      </c>
      <c r="D326" s="58">
        <f t="shared" si="10"/>
        <v>-1.0462871946059751E-3</v>
      </c>
      <c r="F326" s="46">
        <v>44761</v>
      </c>
      <c r="G326" s="60">
        <v>16340.5498046875</v>
      </c>
      <c r="H326" s="53">
        <f t="shared" si="11"/>
        <v>3.8117642711244892E-3</v>
      </c>
    </row>
    <row r="327" spans="2:8">
      <c r="B327" s="46">
        <v>44762</v>
      </c>
      <c r="C327" s="60">
        <v>3068.1025390625</v>
      </c>
      <c r="D327" s="58">
        <f t="shared" si="10"/>
        <v>-1.5600297130612216E-2</v>
      </c>
      <c r="F327" s="46">
        <v>44762</v>
      </c>
      <c r="G327" s="60">
        <v>16520.849609375</v>
      </c>
      <c r="H327" s="51">
        <f t="shared" si="11"/>
        <v>1.1033888506969248E-2</v>
      </c>
    </row>
    <row r="328" spans="2:8">
      <c r="B328" s="46">
        <v>44763</v>
      </c>
      <c r="C328" s="60">
        <v>3086.245849609375</v>
      </c>
      <c r="D328" s="58">
        <f t="shared" si="10"/>
        <v>5.9135280897159755E-3</v>
      </c>
      <c r="F328" s="46">
        <v>44763</v>
      </c>
      <c r="G328" s="60">
        <v>16605.25</v>
      </c>
      <c r="H328" s="53">
        <f t="shared" si="11"/>
        <v>5.1087197462959628E-3</v>
      </c>
    </row>
    <row r="329" spans="2:8">
      <c r="B329" s="46">
        <v>44764</v>
      </c>
      <c r="C329" s="60">
        <v>3046.88720703125</v>
      </c>
      <c r="D329" s="58">
        <f t="shared" si="10"/>
        <v>-1.2752918755032627E-2</v>
      </c>
      <c r="F329" s="46">
        <v>44764</v>
      </c>
      <c r="G329" s="60">
        <v>16719.44921875</v>
      </c>
      <c r="H329" s="51">
        <f t="shared" si="11"/>
        <v>6.8772959606148657E-3</v>
      </c>
    </row>
    <row r="330" spans="2:8">
      <c r="B330" s="46">
        <v>44767</v>
      </c>
      <c r="C330" s="60">
        <v>2984.63330078125</v>
      </c>
      <c r="D330" s="58">
        <f t="shared" si="10"/>
        <v>-2.0431969423199425E-2</v>
      </c>
      <c r="F330" s="46">
        <v>44767</v>
      </c>
      <c r="G330" s="60">
        <v>16631</v>
      </c>
      <c r="H330" s="53">
        <f t="shared" si="11"/>
        <v>-5.2901993117577557E-3</v>
      </c>
    </row>
    <row r="331" spans="2:8">
      <c r="B331" s="46">
        <v>44768</v>
      </c>
      <c r="C331" s="60">
        <v>2953.578369140625</v>
      </c>
      <c r="D331" s="58">
        <f t="shared" si="10"/>
        <v>-1.0404940410098668E-2</v>
      </c>
      <c r="F331" s="46">
        <v>44768</v>
      </c>
      <c r="G331" s="60">
        <v>16483.849609375</v>
      </c>
      <c r="H331" s="51">
        <f t="shared" si="11"/>
        <v>-8.8479580677650171E-3</v>
      </c>
    </row>
    <row r="332" spans="2:8">
      <c r="B332" s="46">
        <v>44769</v>
      </c>
      <c r="C332" s="60">
        <v>3010.216552734375</v>
      </c>
      <c r="D332" s="58">
        <f t="shared" si="10"/>
        <v>1.9176123506832655E-2</v>
      </c>
      <c r="F332" s="46">
        <v>44769</v>
      </c>
      <c r="G332" s="60">
        <v>16641.80078125</v>
      </c>
      <c r="H332" s="53">
        <f t="shared" si="11"/>
        <v>9.5821774414374099E-3</v>
      </c>
    </row>
    <row r="333" spans="2:8">
      <c r="B333" s="46">
        <v>44770</v>
      </c>
      <c r="C333" s="60">
        <v>3098.48583984375</v>
      </c>
      <c r="D333" s="58">
        <f t="shared" si="10"/>
        <v>2.9323234911187462E-2</v>
      </c>
      <c r="F333" s="46">
        <v>44770</v>
      </c>
      <c r="G333" s="60">
        <v>16929.599609375</v>
      </c>
      <c r="H333" s="51">
        <f t="shared" si="11"/>
        <v>1.7293731123692903E-2</v>
      </c>
    </row>
    <row r="334" spans="2:8">
      <c r="B334" s="46">
        <v>44771</v>
      </c>
      <c r="C334" s="60">
        <v>3096.03759765625</v>
      </c>
      <c r="D334" s="58">
        <f t="shared" si="10"/>
        <v>-7.9014148007965708E-4</v>
      </c>
      <c r="F334" s="46">
        <v>44771</v>
      </c>
      <c r="G334" s="60">
        <v>17158.25</v>
      </c>
      <c r="H334" s="53">
        <f t="shared" si="11"/>
        <v>1.3505953826479256E-2</v>
      </c>
    </row>
    <row r="335" spans="2:8">
      <c r="B335" s="46">
        <v>44774</v>
      </c>
      <c r="C335" s="60">
        <v>3085.669921875</v>
      </c>
      <c r="D335" s="58">
        <f t="shared" si="10"/>
        <v>-3.3486918211518158E-3</v>
      </c>
      <c r="F335" s="46">
        <v>44774</v>
      </c>
      <c r="G335" s="60">
        <v>17340.05078125</v>
      </c>
      <c r="H335" s="51">
        <f t="shared" si="11"/>
        <v>1.059553166843938E-2</v>
      </c>
    </row>
    <row r="336" spans="2:8">
      <c r="B336" s="46">
        <v>44775</v>
      </c>
      <c r="C336" s="60">
        <v>3063.638427734375</v>
      </c>
      <c r="D336" s="58">
        <f t="shared" si="10"/>
        <v>-7.1399387162051397E-3</v>
      </c>
      <c r="F336" s="46">
        <v>44775</v>
      </c>
      <c r="G336" s="60">
        <v>17345.44921875</v>
      </c>
      <c r="H336" s="53">
        <f t="shared" si="11"/>
        <v>3.1132766380577117E-4</v>
      </c>
    </row>
    <row r="337" spans="2:8">
      <c r="B337" s="46">
        <v>44776</v>
      </c>
      <c r="C337" s="60">
        <v>2981.561279296875</v>
      </c>
      <c r="D337" s="58">
        <f t="shared" si="10"/>
        <v>-2.6790742567554808E-2</v>
      </c>
      <c r="F337" s="46">
        <v>44776</v>
      </c>
      <c r="G337" s="60">
        <v>17388.150390625</v>
      </c>
      <c r="H337" s="51">
        <f t="shared" si="11"/>
        <v>2.4618083588657416E-3</v>
      </c>
    </row>
    <row r="338" spans="2:8">
      <c r="B338" s="46">
        <v>44777</v>
      </c>
      <c r="C338" s="60">
        <v>3025.528076171875</v>
      </c>
      <c r="D338" s="58">
        <f t="shared" si="10"/>
        <v>1.4746232847968983E-2</v>
      </c>
      <c r="F338" s="46">
        <v>44777</v>
      </c>
      <c r="G338" s="60">
        <v>17382</v>
      </c>
      <c r="H338" s="53">
        <f t="shared" si="11"/>
        <v>-3.537116074356043E-4</v>
      </c>
    </row>
    <row r="339" spans="2:8">
      <c r="B339" s="46">
        <v>44778</v>
      </c>
      <c r="C339" s="60">
        <v>2988.185302734375</v>
      </c>
      <c r="D339" s="58">
        <f t="shared" si="10"/>
        <v>-1.234256384252394E-2</v>
      </c>
      <c r="F339" s="46">
        <v>44778</v>
      </c>
      <c r="G339" s="60">
        <v>17397.5</v>
      </c>
      <c r="H339" s="51">
        <f t="shared" si="11"/>
        <v>8.9172707398458174E-4</v>
      </c>
    </row>
    <row r="340" spans="2:8">
      <c r="B340" s="46">
        <v>44781</v>
      </c>
      <c r="C340" s="60">
        <v>2868.659423828125</v>
      </c>
      <c r="D340" s="58">
        <f t="shared" si="10"/>
        <v>-3.9999486911630411E-2</v>
      </c>
      <c r="F340" s="46">
        <v>44781</v>
      </c>
      <c r="G340" s="60">
        <v>17525.099609375</v>
      </c>
      <c r="H340" s="53">
        <f t="shared" si="11"/>
        <v>7.3343646716482252E-3</v>
      </c>
    </row>
    <row r="341" spans="2:8">
      <c r="B341" s="46">
        <v>44783</v>
      </c>
      <c r="C341" s="60">
        <v>2843.812744140625</v>
      </c>
      <c r="D341" s="58">
        <f t="shared" si="10"/>
        <v>-8.6614254313755312E-3</v>
      </c>
      <c r="F341" s="46">
        <v>44783</v>
      </c>
      <c r="G341" s="60">
        <v>17534.75</v>
      </c>
      <c r="H341" s="51">
        <f t="shared" si="11"/>
        <v>5.5066109979982946E-4</v>
      </c>
    </row>
    <row r="342" spans="2:8">
      <c r="B342" s="46">
        <v>44784</v>
      </c>
      <c r="C342" s="60">
        <v>2859.48046875</v>
      </c>
      <c r="D342" s="58">
        <f t="shared" si="10"/>
        <v>5.5094079740857366E-3</v>
      </c>
      <c r="F342" s="46">
        <v>44784</v>
      </c>
      <c r="G342" s="60">
        <v>17659</v>
      </c>
      <c r="H342" s="53">
        <f t="shared" si="11"/>
        <v>7.0859293688247619E-3</v>
      </c>
    </row>
    <row r="343" spans="2:8">
      <c r="B343" s="46">
        <v>44785</v>
      </c>
      <c r="C343" s="60">
        <v>2842.2265625</v>
      </c>
      <c r="D343" s="58">
        <f t="shared" si="10"/>
        <v>-6.0339304424563579E-3</v>
      </c>
      <c r="F343" s="46">
        <v>44785</v>
      </c>
      <c r="G343" s="60">
        <v>17698.150390625</v>
      </c>
      <c r="H343" s="51">
        <f t="shared" si="11"/>
        <v>2.2170219505634522E-3</v>
      </c>
    </row>
    <row r="344" spans="2:8">
      <c r="B344" s="46">
        <v>44789</v>
      </c>
      <c r="C344" s="60">
        <v>2832.99951171875</v>
      </c>
      <c r="D344" s="58">
        <f t="shared" si="10"/>
        <v>-3.2464163494179575E-3</v>
      </c>
      <c r="F344" s="46">
        <v>44789</v>
      </c>
      <c r="G344" s="60">
        <v>17825.25</v>
      </c>
      <c r="H344" s="53">
        <f t="shared" si="11"/>
        <v>7.18151934353133E-3</v>
      </c>
    </row>
    <row r="345" spans="2:8">
      <c r="B345" s="46">
        <v>44790</v>
      </c>
      <c r="C345" s="60">
        <v>2823.915771484375</v>
      </c>
      <c r="D345" s="58">
        <f t="shared" si="10"/>
        <v>-3.2064037416173058E-3</v>
      </c>
      <c r="F345" s="46">
        <v>44790</v>
      </c>
      <c r="G345" s="60">
        <v>17944.25</v>
      </c>
      <c r="H345" s="51">
        <f t="shared" si="11"/>
        <v>6.675923198833116E-3</v>
      </c>
    </row>
    <row r="346" spans="2:8">
      <c r="B346" s="46">
        <v>44791</v>
      </c>
      <c r="C346" s="60">
        <v>2810.507080078125</v>
      </c>
      <c r="D346" s="58">
        <f t="shared" si="10"/>
        <v>-4.7482618078236094E-3</v>
      </c>
      <c r="F346" s="46">
        <v>44791</v>
      </c>
      <c r="G346" s="60">
        <v>17956.5</v>
      </c>
      <c r="H346" s="53">
        <f t="shared" si="11"/>
        <v>6.8266993605193866E-4</v>
      </c>
    </row>
    <row r="347" spans="2:8">
      <c r="B347" s="46">
        <v>44792</v>
      </c>
      <c r="C347" s="60">
        <v>2822.04150390625</v>
      </c>
      <c r="D347" s="58">
        <f t="shared" si="10"/>
        <v>4.104036566883287E-3</v>
      </c>
      <c r="F347" s="46">
        <v>44792</v>
      </c>
      <c r="G347" s="60">
        <v>17758.44921875</v>
      </c>
      <c r="H347" s="51">
        <f t="shared" si="11"/>
        <v>-1.1029475746944004E-2</v>
      </c>
    </row>
    <row r="348" spans="2:8">
      <c r="B348" s="46">
        <v>44795</v>
      </c>
      <c r="C348" s="60">
        <v>2819.878662109375</v>
      </c>
      <c r="D348" s="58">
        <f t="shared" si="10"/>
        <v>-7.6641034296668199E-4</v>
      </c>
      <c r="F348" s="46">
        <v>44795</v>
      </c>
      <c r="G348" s="60">
        <v>17490.69921875</v>
      </c>
      <c r="H348" s="53">
        <f t="shared" si="11"/>
        <v>-1.5077330047338822E-2</v>
      </c>
    </row>
    <row r="349" spans="2:8">
      <c r="B349" s="46">
        <v>44796</v>
      </c>
      <c r="C349" s="60">
        <v>2820.167236328125</v>
      </c>
      <c r="D349" s="58">
        <f t="shared" si="10"/>
        <v>1.0233568650579301E-4</v>
      </c>
      <c r="F349" s="46">
        <v>44796</v>
      </c>
      <c r="G349" s="60">
        <v>17577.5</v>
      </c>
      <c r="H349" s="51">
        <f t="shared" si="11"/>
        <v>4.9626821755044369E-3</v>
      </c>
    </row>
    <row r="350" spans="2:8">
      <c r="B350" s="46">
        <v>44797</v>
      </c>
      <c r="C350" s="60">
        <v>2823.242431640625</v>
      </c>
      <c r="D350" s="58">
        <f t="shared" si="10"/>
        <v>1.0904301251665922E-3</v>
      </c>
      <c r="F350" s="46">
        <v>44797</v>
      </c>
      <c r="G350" s="60">
        <v>17604.94921875</v>
      </c>
      <c r="H350" s="53">
        <f t="shared" si="11"/>
        <v>1.5616110795050491E-3</v>
      </c>
    </row>
    <row r="351" spans="2:8">
      <c r="B351" s="46">
        <v>44798</v>
      </c>
      <c r="C351" s="60">
        <v>2807.239013671875</v>
      </c>
      <c r="D351" s="58">
        <f t="shared" si="10"/>
        <v>-5.6684533320258274E-3</v>
      </c>
      <c r="F351" s="46">
        <v>44798</v>
      </c>
      <c r="G351" s="60">
        <v>17522.44921875</v>
      </c>
      <c r="H351" s="51">
        <f t="shared" si="11"/>
        <v>-4.686182219266732E-3</v>
      </c>
    </row>
    <row r="352" spans="2:8">
      <c r="B352" s="46">
        <v>44799</v>
      </c>
      <c r="C352" s="60">
        <v>2797.14599609375</v>
      </c>
      <c r="D352" s="58">
        <f t="shared" si="10"/>
        <v>-3.5953538437481711E-3</v>
      </c>
      <c r="F352" s="46">
        <v>44799</v>
      </c>
      <c r="G352" s="60">
        <v>17558.900390625</v>
      </c>
      <c r="H352" s="53">
        <f t="shared" si="11"/>
        <v>2.0802555293466174E-3</v>
      </c>
    </row>
    <row r="353" spans="2:8">
      <c r="B353" s="46">
        <v>44802</v>
      </c>
      <c r="C353" s="60">
        <v>2798.7802734375</v>
      </c>
      <c r="D353" s="58">
        <f t="shared" si="10"/>
        <v>5.8426601472797237E-4</v>
      </c>
      <c r="F353" s="46">
        <v>44802</v>
      </c>
      <c r="G353" s="60">
        <v>17312.900390625</v>
      </c>
      <c r="H353" s="51">
        <f t="shared" si="11"/>
        <v>-1.400998892455382E-2</v>
      </c>
    </row>
    <row r="354" spans="2:8">
      <c r="B354" s="46">
        <v>44803</v>
      </c>
      <c r="C354" s="60">
        <v>2859.239990234375</v>
      </c>
      <c r="D354" s="58">
        <f t="shared" si="10"/>
        <v>2.1602166261739993E-2</v>
      </c>
      <c r="F354" s="46">
        <v>44803</v>
      </c>
      <c r="G354" s="60">
        <v>17759.30078125</v>
      </c>
      <c r="H354" s="53">
        <f t="shared" si="11"/>
        <v>2.5784263789025638E-2</v>
      </c>
    </row>
    <row r="355" spans="2:8">
      <c r="B355" s="46">
        <v>44805</v>
      </c>
      <c r="C355" s="60">
        <v>2845.0146484375</v>
      </c>
      <c r="D355" s="58">
        <f t="shared" si="10"/>
        <v>-4.9752178360197505E-3</v>
      </c>
      <c r="F355" s="46">
        <v>44805</v>
      </c>
      <c r="G355" s="60">
        <v>17542.80078125</v>
      </c>
      <c r="H355" s="51">
        <f t="shared" si="11"/>
        <v>-1.2190795272107639E-2</v>
      </c>
    </row>
    <row r="356" spans="2:8">
      <c r="B356" s="46">
        <v>44806</v>
      </c>
      <c r="C356" s="60">
        <v>2862.315673828125</v>
      </c>
      <c r="D356" s="58">
        <f t="shared" si="10"/>
        <v>6.0811726927757059E-3</v>
      </c>
      <c r="F356" s="46">
        <v>44806</v>
      </c>
      <c r="G356" s="60">
        <v>17539.44921875</v>
      </c>
      <c r="H356" s="53">
        <f t="shared" si="11"/>
        <v>-1.9105059344812252E-4</v>
      </c>
    </row>
    <row r="357" spans="2:8">
      <c r="B357" s="46">
        <v>44809</v>
      </c>
      <c r="C357" s="60">
        <v>2917.104248046875</v>
      </c>
      <c r="D357" s="58">
        <f t="shared" si="10"/>
        <v>1.9141345840961888E-2</v>
      </c>
      <c r="F357" s="46">
        <v>44809</v>
      </c>
      <c r="G357" s="60">
        <v>17665.80078125</v>
      </c>
      <c r="H357" s="51">
        <f t="shared" si="11"/>
        <v>7.2038500710117975E-3</v>
      </c>
    </row>
    <row r="358" spans="2:8">
      <c r="B358" s="46">
        <v>44810</v>
      </c>
      <c r="C358" s="60">
        <v>2929.9365234375</v>
      </c>
      <c r="D358" s="58">
        <f t="shared" si="10"/>
        <v>4.3989773074502745E-3</v>
      </c>
      <c r="F358" s="46">
        <v>44810</v>
      </c>
      <c r="G358" s="60">
        <v>17655.599609375</v>
      </c>
      <c r="H358" s="53">
        <f t="shared" si="11"/>
        <v>-5.7745312546642362E-4</v>
      </c>
    </row>
    <row r="359" spans="2:8">
      <c r="B359" s="46">
        <v>44811</v>
      </c>
      <c r="C359" s="60">
        <v>2981.84130859375</v>
      </c>
      <c r="D359" s="58">
        <f t="shared" si="10"/>
        <v>1.7715327530493243E-2</v>
      </c>
      <c r="F359" s="46">
        <v>44811</v>
      </c>
      <c r="G359" s="60">
        <v>17624.400390625</v>
      </c>
      <c r="H359" s="51">
        <f t="shared" si="11"/>
        <v>-1.7671004916442166E-3</v>
      </c>
    </row>
    <row r="360" spans="2:8">
      <c r="B360" s="46">
        <v>44812</v>
      </c>
      <c r="C360" s="60">
        <v>3047.10693359375</v>
      </c>
      <c r="D360" s="58">
        <f t="shared" si="10"/>
        <v>2.1887692283255534E-2</v>
      </c>
      <c r="F360" s="46">
        <v>44812</v>
      </c>
      <c r="G360" s="60">
        <v>17798.75</v>
      </c>
      <c r="H360" s="53">
        <f t="shared" si="11"/>
        <v>9.8925129655895866E-3</v>
      </c>
    </row>
    <row r="361" spans="2:8">
      <c r="B361" s="46">
        <v>44813</v>
      </c>
      <c r="C361" s="60">
        <v>3074.548828125</v>
      </c>
      <c r="D361" s="58">
        <f t="shared" si="10"/>
        <v>9.0058849686922866E-3</v>
      </c>
      <c r="F361" s="46">
        <v>44813</v>
      </c>
      <c r="G361" s="60">
        <v>17833.349609375</v>
      </c>
      <c r="H361" s="51">
        <f t="shared" si="11"/>
        <v>1.943934791769085E-3</v>
      </c>
    </row>
    <row r="362" spans="2:8">
      <c r="B362" s="46">
        <v>44816</v>
      </c>
      <c r="C362" s="60">
        <v>3081.56591796875</v>
      </c>
      <c r="D362" s="58">
        <f t="shared" si="10"/>
        <v>2.2823153041382467E-3</v>
      </c>
      <c r="F362" s="46">
        <v>44816</v>
      </c>
      <c r="G362" s="60">
        <v>17936.349609375</v>
      </c>
      <c r="H362" s="53">
        <f t="shared" si="11"/>
        <v>5.77569566324505E-3</v>
      </c>
    </row>
    <row r="363" spans="2:8">
      <c r="B363" s="46">
        <v>44817</v>
      </c>
      <c r="C363" s="60">
        <v>3087.669677734375</v>
      </c>
      <c r="D363" s="58">
        <f t="shared" si="10"/>
        <v>1.9807331493490701E-3</v>
      </c>
      <c r="F363" s="46">
        <v>44817</v>
      </c>
      <c r="G363" s="60">
        <v>18070.05078125</v>
      </c>
      <c r="H363" s="51">
        <f t="shared" si="11"/>
        <v>7.4542019299800475E-3</v>
      </c>
    </row>
    <row r="364" spans="2:8">
      <c r="B364" s="46">
        <v>44818</v>
      </c>
      <c r="C364" s="60">
        <v>3086.27587890625</v>
      </c>
      <c r="D364" s="58">
        <f t="shared" si="10"/>
        <v>-4.5140801108871245E-4</v>
      </c>
      <c r="F364" s="46">
        <v>44818</v>
      </c>
      <c r="G364" s="60">
        <v>18003.75</v>
      </c>
      <c r="H364" s="53">
        <f t="shared" si="11"/>
        <v>-3.6690976717561625E-3</v>
      </c>
    </row>
    <row r="365" spans="2:8">
      <c r="B365" s="46">
        <v>44819</v>
      </c>
      <c r="C365" s="60">
        <v>3066.9560546875</v>
      </c>
      <c r="D365" s="58">
        <f t="shared" si="10"/>
        <v>-6.2599148542730994E-3</v>
      </c>
      <c r="F365" s="46">
        <v>44819</v>
      </c>
      <c r="G365" s="60">
        <v>17877.400390625</v>
      </c>
      <c r="H365" s="51">
        <f t="shared" si="11"/>
        <v>-7.0179606679164064E-3</v>
      </c>
    </row>
    <row r="366" spans="2:8">
      <c r="B366" s="46">
        <v>44820</v>
      </c>
      <c r="C366" s="60">
        <v>3057.295654296875</v>
      </c>
      <c r="D366" s="58">
        <f t="shared" si="10"/>
        <v>-3.1498333260628745E-3</v>
      </c>
      <c r="F366" s="46">
        <v>44820</v>
      </c>
      <c r="G366" s="60">
        <v>17530.849609375</v>
      </c>
      <c r="H366" s="53">
        <f t="shared" si="11"/>
        <v>-1.9384853148544628E-2</v>
      </c>
    </row>
    <row r="367" spans="2:8">
      <c r="B367" s="46">
        <v>44823</v>
      </c>
      <c r="C367" s="60">
        <v>3123.08984375</v>
      </c>
      <c r="D367" s="58">
        <f t="shared" si="10"/>
        <v>2.1520388242679305E-2</v>
      </c>
      <c r="F367" s="46">
        <v>44823</v>
      </c>
      <c r="G367" s="60">
        <v>17622.25</v>
      </c>
      <c r="H367" s="51">
        <f t="shared" si="11"/>
        <v>5.2136885924867933E-3</v>
      </c>
    </row>
    <row r="368" spans="2:8">
      <c r="B368" s="46">
        <v>44824</v>
      </c>
      <c r="C368" s="60">
        <v>3190.951171875</v>
      </c>
      <c r="D368" s="58">
        <f t="shared" si="10"/>
        <v>2.1728906794278004E-2</v>
      </c>
      <c r="F368" s="46">
        <v>44824</v>
      </c>
      <c r="G368" s="60">
        <v>17816.25</v>
      </c>
      <c r="H368" s="53">
        <f t="shared" si="11"/>
        <v>1.1008809885230319E-2</v>
      </c>
    </row>
    <row r="369" spans="2:8">
      <c r="B369" s="46">
        <v>44825</v>
      </c>
      <c r="C369" s="60">
        <v>3119.725830078125</v>
      </c>
      <c r="D369" s="58">
        <f t="shared" si="10"/>
        <v>-2.2321037822406745E-2</v>
      </c>
      <c r="F369" s="46">
        <v>44825</v>
      </c>
      <c r="G369" s="60">
        <v>17718.349609375</v>
      </c>
      <c r="H369" s="51">
        <f t="shared" si="11"/>
        <v>-5.4950054374517648E-3</v>
      </c>
    </row>
    <row r="370" spans="2:8">
      <c r="B370" s="46">
        <v>44826</v>
      </c>
      <c r="C370" s="60">
        <v>3151.97412109375</v>
      </c>
      <c r="D370" s="58">
        <f t="shared" si="10"/>
        <v>1.0336899064882709E-2</v>
      </c>
      <c r="F370" s="46">
        <v>44826</v>
      </c>
      <c r="G370" s="60">
        <v>17629.80078125</v>
      </c>
      <c r="H370" s="53">
        <f t="shared" si="11"/>
        <v>-4.9975776569025207E-3</v>
      </c>
    </row>
    <row r="371" spans="2:8">
      <c r="B371" s="46">
        <v>44827</v>
      </c>
      <c r="C371" s="60">
        <v>3131.45263671875</v>
      </c>
      <c r="D371" s="58">
        <f t="shared" si="10"/>
        <v>-6.5106766701114116E-3</v>
      </c>
      <c r="F371" s="46">
        <v>44827</v>
      </c>
      <c r="G371" s="60">
        <v>17327.349609375</v>
      </c>
      <c r="H371" s="51">
        <f t="shared" si="11"/>
        <v>-1.7155677232420515E-2</v>
      </c>
    </row>
    <row r="372" spans="2:8">
      <c r="B372" s="46">
        <v>44830</v>
      </c>
      <c r="C372" s="60">
        <v>3162.931884765625</v>
      </c>
      <c r="D372" s="58">
        <f t="shared" si="10"/>
        <v>1.0052602321924339E-2</v>
      </c>
      <c r="F372" s="46">
        <v>44830</v>
      </c>
      <c r="G372" s="60">
        <v>17016.30078125</v>
      </c>
      <c r="H372" s="53">
        <f t="shared" si="11"/>
        <v>-1.7951321762256493E-2</v>
      </c>
    </row>
    <row r="373" spans="2:8">
      <c r="B373" s="46">
        <v>44831</v>
      </c>
      <c r="C373" s="60">
        <v>3169.323486328125</v>
      </c>
      <c r="D373" s="58">
        <f t="shared" si="10"/>
        <v>2.0207838155748403E-3</v>
      </c>
      <c r="F373" s="46">
        <v>44831</v>
      </c>
      <c r="G373" s="60">
        <v>17007.400390625</v>
      </c>
      <c r="H373" s="51">
        <f t="shared" si="11"/>
        <v>-5.2305085220444639E-4</v>
      </c>
    </row>
    <row r="374" spans="2:8">
      <c r="B374" s="46">
        <v>44832</v>
      </c>
      <c r="C374" s="60">
        <v>3169.179443359375</v>
      </c>
      <c r="D374" s="58">
        <f t="shared" si="10"/>
        <v>-4.5449121672613951E-5</v>
      </c>
      <c r="F374" s="46">
        <v>44832</v>
      </c>
      <c r="G374" s="60">
        <v>16858.599609375</v>
      </c>
      <c r="H374" s="53">
        <f t="shared" si="11"/>
        <v>-8.7491784653946029E-3</v>
      </c>
    </row>
    <row r="375" spans="2:8">
      <c r="B375" s="46">
        <v>44833</v>
      </c>
      <c r="C375" s="60">
        <v>3133.374755859375</v>
      </c>
      <c r="D375" s="58">
        <f t="shared" si="10"/>
        <v>-1.1297778538550195E-2</v>
      </c>
      <c r="F375" s="46">
        <v>44833</v>
      </c>
      <c r="G375" s="60">
        <v>16818.099609375</v>
      </c>
      <c r="H375" s="51">
        <f t="shared" si="11"/>
        <v>-2.4023347691037229E-3</v>
      </c>
    </row>
    <row r="376" spans="2:8">
      <c r="B376" s="46">
        <v>44834</v>
      </c>
      <c r="C376" s="60">
        <v>3150.051513671875</v>
      </c>
      <c r="D376" s="58">
        <f t="shared" si="10"/>
        <v>5.3222991540717093E-3</v>
      </c>
      <c r="F376" s="46">
        <v>44834</v>
      </c>
      <c r="G376" s="60">
        <v>17094.349609375</v>
      </c>
      <c r="H376" s="53">
        <f t="shared" si="11"/>
        <v>1.6425755966269134E-2</v>
      </c>
    </row>
    <row r="377" spans="2:8">
      <c r="B377" s="46">
        <v>44837</v>
      </c>
      <c r="C377" s="60">
        <v>3143.995849609375</v>
      </c>
      <c r="D377" s="58">
        <f t="shared" si="10"/>
        <v>-1.9224015976301231E-3</v>
      </c>
      <c r="F377" s="46">
        <v>44837</v>
      </c>
      <c r="G377" s="60">
        <v>16887.349609375</v>
      </c>
      <c r="H377" s="51">
        <f t="shared" si="11"/>
        <v>-1.2109264448790473E-2</v>
      </c>
    </row>
    <row r="378" spans="2:8">
      <c r="B378" s="46">
        <v>44838</v>
      </c>
      <c r="C378" s="60">
        <v>3172.976318359375</v>
      </c>
      <c r="D378" s="58">
        <f t="shared" si="10"/>
        <v>9.217718513718989E-3</v>
      </c>
      <c r="F378" s="46">
        <v>44838</v>
      </c>
      <c r="G378" s="60">
        <v>17274.30078125</v>
      </c>
      <c r="H378" s="53">
        <f t="shared" si="11"/>
        <v>2.2913670932719031E-2</v>
      </c>
    </row>
    <row r="379" spans="2:8">
      <c r="B379" s="46">
        <v>44840</v>
      </c>
      <c r="C379" s="60">
        <v>3152.11865234375</v>
      </c>
      <c r="D379" s="58">
        <f t="shared" si="10"/>
        <v>-6.5735334660202262E-3</v>
      </c>
      <c r="F379" s="46">
        <v>44840</v>
      </c>
      <c r="G379" s="60">
        <v>17331.80078125</v>
      </c>
      <c r="H379" s="51">
        <f t="shared" si="11"/>
        <v>3.3286441360574244E-3</v>
      </c>
    </row>
    <row r="380" spans="2:8">
      <c r="B380" s="46">
        <v>44841</v>
      </c>
      <c r="C380" s="60">
        <v>3076.13525390625</v>
      </c>
      <c r="D380" s="58">
        <f t="shared" si="10"/>
        <v>-2.4105500718065526E-2</v>
      </c>
      <c r="F380" s="46">
        <v>44841</v>
      </c>
      <c r="G380" s="60">
        <v>17314.650390625</v>
      </c>
      <c r="H380" s="53">
        <f t="shared" si="11"/>
        <v>-9.8953310400115763E-4</v>
      </c>
    </row>
    <row r="381" spans="2:8">
      <c r="B381" s="46">
        <v>44844</v>
      </c>
      <c r="C381" s="60">
        <v>3051.48046875</v>
      </c>
      <c r="D381" s="58">
        <f t="shared" si="10"/>
        <v>-8.0148573197299962E-3</v>
      </c>
      <c r="F381" s="46">
        <v>44844</v>
      </c>
      <c r="G381" s="60">
        <v>17241</v>
      </c>
      <c r="H381" s="51">
        <f t="shared" si="11"/>
        <v>-4.253645841147213E-3</v>
      </c>
    </row>
    <row r="382" spans="2:8">
      <c r="B382" s="46">
        <v>44845</v>
      </c>
      <c r="C382" s="60">
        <v>3074.548828125</v>
      </c>
      <c r="D382" s="58">
        <f t="shared" si="10"/>
        <v>7.5597270279923042E-3</v>
      </c>
      <c r="F382" s="46">
        <v>44845</v>
      </c>
      <c r="G382" s="60">
        <v>16983.55078125</v>
      </c>
      <c r="H382" s="53">
        <f t="shared" si="11"/>
        <v>-1.4932383199930399E-2</v>
      </c>
    </row>
    <row r="383" spans="2:8">
      <c r="B383" s="46">
        <v>44846</v>
      </c>
      <c r="C383" s="60">
        <v>3031.727783203125</v>
      </c>
      <c r="D383" s="58">
        <f t="shared" si="10"/>
        <v>-1.3927586555191978E-2</v>
      </c>
      <c r="F383" s="46">
        <v>44846</v>
      </c>
      <c r="G383" s="60">
        <v>17123.599609375</v>
      </c>
      <c r="H383" s="51">
        <f t="shared" si="11"/>
        <v>8.2461453396197471E-3</v>
      </c>
    </row>
    <row r="384" spans="2:8">
      <c r="B384" s="46">
        <v>44847</v>
      </c>
      <c r="C384" s="60">
        <v>3004.285400390625</v>
      </c>
      <c r="D384" s="58">
        <f t="shared" si="10"/>
        <v>-9.0517304899670695E-3</v>
      </c>
      <c r="F384" s="46">
        <v>44847</v>
      </c>
      <c r="G384" s="60">
        <v>17014.349609375</v>
      </c>
      <c r="H384" s="53">
        <f t="shared" si="11"/>
        <v>-6.3800837728176449E-3</v>
      </c>
    </row>
    <row r="385" spans="2:8">
      <c r="B385" s="46">
        <v>44848</v>
      </c>
      <c r="C385" s="60">
        <v>2984.72509765625</v>
      </c>
      <c r="D385" s="58">
        <f t="shared" si="10"/>
        <v>-6.5108004491955789E-3</v>
      </c>
      <c r="F385" s="46">
        <v>44848</v>
      </c>
      <c r="G385" s="60">
        <v>17185.69921875</v>
      </c>
      <c r="H385" s="51">
        <f t="shared" si="11"/>
        <v>1.0070888003887344E-2</v>
      </c>
    </row>
    <row r="386" spans="2:8">
      <c r="B386" s="46">
        <v>44851</v>
      </c>
      <c r="C386" s="60">
        <v>3001.25732421875</v>
      </c>
      <c r="D386" s="58">
        <f t="shared" si="10"/>
        <v>5.5389444661023898E-3</v>
      </c>
      <c r="F386" s="46">
        <v>44851</v>
      </c>
      <c r="G386" s="60">
        <v>17311.80078125</v>
      </c>
      <c r="H386" s="53">
        <f t="shared" si="11"/>
        <v>7.3375869608156676E-3</v>
      </c>
    </row>
    <row r="387" spans="2:8">
      <c r="B387" s="46">
        <v>44852</v>
      </c>
      <c r="C387" s="60">
        <v>2985.782470703125</v>
      </c>
      <c r="D387" s="58">
        <f t="shared" si="10"/>
        <v>-5.1561235322110282E-3</v>
      </c>
      <c r="F387" s="46">
        <v>44852</v>
      </c>
      <c r="G387" s="60">
        <v>17486.94921875</v>
      </c>
      <c r="H387" s="51">
        <f t="shared" si="11"/>
        <v>1.0117285874136163E-2</v>
      </c>
    </row>
    <row r="388" spans="2:8">
      <c r="B388" s="46">
        <v>44853</v>
      </c>
      <c r="C388" s="60">
        <v>2960.40625</v>
      </c>
      <c r="D388" s="58">
        <f t="shared" si="10"/>
        <v>-8.4990185829408819E-3</v>
      </c>
      <c r="F388" s="46">
        <v>44853</v>
      </c>
      <c r="G388" s="60">
        <v>17512.25</v>
      </c>
      <c r="H388" s="53">
        <f t="shared" si="11"/>
        <v>1.4468379208691124E-3</v>
      </c>
    </row>
    <row r="389" spans="2:8">
      <c r="B389" s="46">
        <v>44854</v>
      </c>
      <c r="C389" s="60">
        <v>2979.3427734375</v>
      </c>
      <c r="D389" s="58">
        <f t="shared" ref="D389:D452" si="12">(C389-C388)/C388</f>
        <v>6.3965962230690468E-3</v>
      </c>
      <c r="F389" s="46">
        <v>44854</v>
      </c>
      <c r="G389" s="60">
        <v>17563.94921875</v>
      </c>
      <c r="H389" s="51">
        <f t="shared" ref="H389:H452" si="13">(G389-G388)/G388</f>
        <v>2.9521745492441004E-3</v>
      </c>
    </row>
    <row r="390" spans="2:8">
      <c r="B390" s="46">
        <v>44855</v>
      </c>
      <c r="C390" s="60">
        <v>2976.21826171875</v>
      </c>
      <c r="D390" s="58">
        <f t="shared" si="12"/>
        <v>-1.0487251573087736E-3</v>
      </c>
      <c r="F390" s="46">
        <v>44855</v>
      </c>
      <c r="G390" s="60">
        <v>17576.30078125</v>
      </c>
      <c r="H390" s="53">
        <f t="shared" si="13"/>
        <v>7.0323378564624668E-4</v>
      </c>
    </row>
    <row r="391" spans="2:8">
      <c r="B391" s="46">
        <v>44858</v>
      </c>
      <c r="C391" s="60">
        <v>2984.244384765625</v>
      </c>
      <c r="D391" s="58">
        <f t="shared" si="12"/>
        <v>2.6967521670403154E-3</v>
      </c>
      <c r="F391" s="46">
        <v>44858</v>
      </c>
      <c r="G391" s="60">
        <v>17730.75</v>
      </c>
      <c r="H391" s="51">
        <f t="shared" si="13"/>
        <v>8.7873563767617655E-3</v>
      </c>
    </row>
    <row r="392" spans="2:8">
      <c r="B392" s="46">
        <v>44859</v>
      </c>
      <c r="C392" s="60">
        <v>3000.008056640625</v>
      </c>
      <c r="D392" s="58">
        <f t="shared" si="12"/>
        <v>5.2822992498444592E-3</v>
      </c>
      <c r="F392" s="46">
        <v>44859</v>
      </c>
      <c r="G392" s="60">
        <v>17656.349609375</v>
      </c>
      <c r="H392" s="53">
        <f t="shared" si="13"/>
        <v>-4.1961220267050185E-3</v>
      </c>
    </row>
    <row r="393" spans="2:8">
      <c r="B393" s="46">
        <v>44861</v>
      </c>
      <c r="C393" s="60">
        <v>2993.0869140625</v>
      </c>
      <c r="D393" s="58">
        <f t="shared" si="12"/>
        <v>-2.3070413303740312E-3</v>
      </c>
      <c r="F393" s="46">
        <v>44861</v>
      </c>
      <c r="G393" s="60">
        <v>17736.94921875</v>
      </c>
      <c r="H393" s="51">
        <f t="shared" si="13"/>
        <v>4.5649078749666347E-3</v>
      </c>
    </row>
    <row r="394" spans="2:8">
      <c r="B394" s="46">
        <v>44862</v>
      </c>
      <c r="C394" s="60">
        <v>2991.93359375</v>
      </c>
      <c r="D394" s="58">
        <f t="shared" si="12"/>
        <v>-3.8532803945028272E-4</v>
      </c>
      <c r="F394" s="46">
        <v>44862</v>
      </c>
      <c r="G394" s="60">
        <v>17786.80078125</v>
      </c>
      <c r="H394" s="53">
        <f t="shared" si="13"/>
        <v>2.8106052447453111E-3</v>
      </c>
    </row>
    <row r="395" spans="2:8">
      <c r="B395" s="46">
        <v>44865</v>
      </c>
      <c r="C395" s="60">
        <v>3032.784912109375</v>
      </c>
      <c r="D395" s="58">
        <f t="shared" si="12"/>
        <v>1.3653818535515417E-2</v>
      </c>
      <c r="F395" s="46">
        <v>44865</v>
      </c>
      <c r="G395" s="60">
        <v>18012.19921875</v>
      </c>
      <c r="H395" s="51">
        <f t="shared" si="13"/>
        <v>1.2672230395564126E-2</v>
      </c>
    </row>
    <row r="396" spans="2:8">
      <c r="B396" s="46">
        <v>44866</v>
      </c>
      <c r="C396" s="60">
        <v>3101.463134765625</v>
      </c>
      <c r="D396" s="58">
        <f t="shared" si="12"/>
        <v>2.2645266527814081E-2</v>
      </c>
      <c r="F396" s="46">
        <v>44866</v>
      </c>
      <c r="G396" s="60">
        <v>18145.400390625</v>
      </c>
      <c r="H396" s="53">
        <f t="shared" si="13"/>
        <v>7.3950532223928962E-3</v>
      </c>
    </row>
    <row r="397" spans="2:8">
      <c r="B397" s="46">
        <v>44867</v>
      </c>
      <c r="C397" s="60">
        <v>3182.5400390625</v>
      </c>
      <c r="D397" s="58">
        <f t="shared" si="12"/>
        <v>2.6141501856994317E-2</v>
      </c>
      <c r="F397" s="46">
        <v>44867</v>
      </c>
      <c r="G397" s="60">
        <v>18082.849609375</v>
      </c>
      <c r="H397" s="51">
        <f t="shared" si="13"/>
        <v>-3.4471976315450983E-3</v>
      </c>
    </row>
    <row r="398" spans="2:8">
      <c r="B398" s="46">
        <v>44868</v>
      </c>
      <c r="C398" s="60">
        <v>3168.506591796875</v>
      </c>
      <c r="D398" s="58">
        <f t="shared" si="12"/>
        <v>-4.4095116144269838E-3</v>
      </c>
      <c r="F398" s="46">
        <v>44868</v>
      </c>
      <c r="G398" s="60">
        <v>18052.69921875</v>
      </c>
      <c r="H398" s="53">
        <f t="shared" si="13"/>
        <v>-1.6673473084335456E-3</v>
      </c>
    </row>
    <row r="399" spans="2:8">
      <c r="B399" s="46">
        <v>44869</v>
      </c>
      <c r="C399" s="60">
        <v>3128.088623046875</v>
      </c>
      <c r="D399" s="58">
        <f t="shared" si="12"/>
        <v>-1.2756157381726885E-2</v>
      </c>
      <c r="F399" s="46">
        <v>44869</v>
      </c>
      <c r="G399" s="60">
        <v>18117.150390625</v>
      </c>
      <c r="H399" s="51">
        <f t="shared" si="13"/>
        <v>3.5701681556882833E-3</v>
      </c>
    </row>
    <row r="400" spans="2:8">
      <c r="B400" s="46">
        <v>44872</v>
      </c>
      <c r="C400" s="60">
        <v>3101.847412109375</v>
      </c>
      <c r="D400" s="58">
        <f t="shared" si="12"/>
        <v>-8.3888962557397365E-3</v>
      </c>
      <c r="F400" s="46">
        <v>44872</v>
      </c>
      <c r="G400" s="60">
        <v>18202.80078125</v>
      </c>
      <c r="H400" s="53">
        <f t="shared" si="13"/>
        <v>4.7275862251119315E-3</v>
      </c>
    </row>
    <row r="401" spans="2:8">
      <c r="B401" s="46">
        <v>44874</v>
      </c>
      <c r="C401" s="60">
        <v>3063.831787109375</v>
      </c>
      <c r="D401" s="58">
        <f t="shared" si="12"/>
        <v>-1.225580112406236E-2</v>
      </c>
      <c r="F401" s="46">
        <v>44874</v>
      </c>
      <c r="G401" s="60">
        <v>18157</v>
      </c>
      <c r="H401" s="51">
        <f t="shared" si="13"/>
        <v>-2.5161392359563488E-3</v>
      </c>
    </row>
    <row r="402" spans="2:8">
      <c r="B402" s="46">
        <v>44875</v>
      </c>
      <c r="C402" s="60">
        <v>3052.681396484375</v>
      </c>
      <c r="D402" s="58">
        <f t="shared" si="12"/>
        <v>-3.6393612312247822E-3</v>
      </c>
      <c r="F402" s="46">
        <v>44875</v>
      </c>
      <c r="G402" s="60">
        <v>18028.19921875</v>
      </c>
      <c r="H402" s="53">
        <f t="shared" si="13"/>
        <v>-7.093725904609792E-3</v>
      </c>
    </row>
    <row r="403" spans="2:8">
      <c r="B403" s="46">
        <v>44876</v>
      </c>
      <c r="C403" s="60">
        <v>3050.326904296875</v>
      </c>
      <c r="D403" s="58">
        <f t="shared" si="12"/>
        <v>-7.7128657783008547E-4</v>
      </c>
      <c r="F403" s="46">
        <v>44876</v>
      </c>
      <c r="G403" s="60">
        <v>18349.69921875</v>
      </c>
      <c r="H403" s="51">
        <f t="shared" si="13"/>
        <v>1.7833173247033349E-2</v>
      </c>
    </row>
    <row r="404" spans="2:8">
      <c r="B404" s="46">
        <v>44879</v>
      </c>
      <c r="C404" s="60">
        <v>3024.230224609375</v>
      </c>
      <c r="D404" s="58">
        <f t="shared" si="12"/>
        <v>-8.5553714425619879E-3</v>
      </c>
      <c r="F404" s="46">
        <v>44879</v>
      </c>
      <c r="G404" s="60">
        <v>18329.150390625</v>
      </c>
      <c r="H404" s="53">
        <f t="shared" si="13"/>
        <v>-1.1198455015547556E-3</v>
      </c>
    </row>
    <row r="405" spans="2:8">
      <c r="B405" s="46">
        <v>44880</v>
      </c>
      <c r="C405" s="60">
        <v>3008.755126953125</v>
      </c>
      <c r="D405" s="58">
        <f t="shared" si="12"/>
        <v>-5.1170369009352927E-3</v>
      </c>
      <c r="F405" s="46">
        <v>44880</v>
      </c>
      <c r="G405" s="60">
        <v>18403.400390625</v>
      </c>
      <c r="H405" s="51">
        <f t="shared" si="13"/>
        <v>4.0509242609508738E-3</v>
      </c>
    </row>
    <row r="406" spans="2:8">
      <c r="B406" s="46">
        <v>44881</v>
      </c>
      <c r="C406" s="60">
        <v>2983.667724609375</v>
      </c>
      <c r="D406" s="58">
        <f t="shared" si="12"/>
        <v>-8.3381336417215346E-3</v>
      </c>
      <c r="F406" s="46">
        <v>44881</v>
      </c>
      <c r="G406" s="60">
        <v>18409.650390625</v>
      </c>
      <c r="H406" s="53">
        <f t="shared" si="13"/>
        <v>3.3961115159912808E-4</v>
      </c>
    </row>
    <row r="407" spans="2:8">
      <c r="B407" s="46">
        <v>44882</v>
      </c>
      <c r="C407" s="60">
        <v>3009.3798828125</v>
      </c>
      <c r="D407" s="58">
        <f t="shared" si="12"/>
        <v>8.6176345948479442E-3</v>
      </c>
      <c r="F407" s="46">
        <v>44882</v>
      </c>
      <c r="G407" s="60">
        <v>18343.900390625</v>
      </c>
      <c r="H407" s="51">
        <f t="shared" si="13"/>
        <v>-3.5714963948192506E-3</v>
      </c>
    </row>
    <row r="408" spans="2:8">
      <c r="B408" s="46">
        <v>44883</v>
      </c>
      <c r="C408" s="60">
        <v>2997.94091796875</v>
      </c>
      <c r="D408" s="58">
        <f t="shared" si="12"/>
        <v>-3.8011036456651647E-3</v>
      </c>
      <c r="F408" s="46">
        <v>44883</v>
      </c>
      <c r="G408" s="60">
        <v>18307.650390625</v>
      </c>
      <c r="H408" s="53">
        <f t="shared" si="13"/>
        <v>-1.9761337135545203E-3</v>
      </c>
    </row>
    <row r="409" spans="2:8">
      <c r="B409" s="46">
        <v>44886</v>
      </c>
      <c r="C409" s="60">
        <v>2964.683837890625</v>
      </c>
      <c r="D409" s="58">
        <f t="shared" si="12"/>
        <v>-1.1093307369332108E-2</v>
      </c>
      <c r="F409" s="46">
        <v>44886</v>
      </c>
      <c r="G409" s="60">
        <v>18159.94921875</v>
      </c>
      <c r="H409" s="51">
        <f t="shared" si="13"/>
        <v>-8.0677295405769262E-3</v>
      </c>
    </row>
    <row r="410" spans="2:8">
      <c r="B410" s="46">
        <v>44887</v>
      </c>
      <c r="C410" s="60">
        <v>2968.76904296875</v>
      </c>
      <c r="D410" s="58">
        <f t="shared" si="12"/>
        <v>1.377956403280974E-3</v>
      </c>
      <c r="F410" s="46">
        <v>44887</v>
      </c>
      <c r="G410" s="60">
        <v>18244.19921875</v>
      </c>
      <c r="H410" s="53">
        <f t="shared" si="13"/>
        <v>4.6393301536885668E-3</v>
      </c>
    </row>
    <row r="411" spans="2:8">
      <c r="B411" s="46">
        <v>44888</v>
      </c>
      <c r="C411" s="60">
        <v>3004.045166015625</v>
      </c>
      <c r="D411" s="58">
        <f t="shared" si="12"/>
        <v>1.1882407333242435E-2</v>
      </c>
      <c r="F411" s="46">
        <v>44888</v>
      </c>
      <c r="G411" s="60">
        <v>18267.25</v>
      </c>
      <c r="H411" s="51">
        <f t="shared" si="13"/>
        <v>1.2634580983039343E-3</v>
      </c>
    </row>
    <row r="412" spans="2:8">
      <c r="B412" s="46">
        <v>44889</v>
      </c>
      <c r="C412" s="60">
        <v>2979.7265625</v>
      </c>
      <c r="D412" s="58">
        <f t="shared" si="12"/>
        <v>-8.095285580502657E-3</v>
      </c>
      <c r="F412" s="46">
        <v>44889</v>
      </c>
      <c r="G412" s="60">
        <v>18484.099609375</v>
      </c>
      <c r="H412" s="53">
        <f t="shared" si="13"/>
        <v>1.1870949889830161E-2</v>
      </c>
    </row>
    <row r="413" spans="2:8">
      <c r="B413" s="46">
        <v>44890</v>
      </c>
      <c r="C413" s="60">
        <v>2949.3046875</v>
      </c>
      <c r="D413" s="58">
        <f t="shared" si="12"/>
        <v>-1.0209619695599166E-2</v>
      </c>
      <c r="F413" s="46">
        <v>44890</v>
      </c>
      <c r="G413" s="60">
        <v>18512.75</v>
      </c>
      <c r="H413" s="51">
        <f t="shared" si="13"/>
        <v>1.5500019600883741E-3</v>
      </c>
    </row>
    <row r="414" spans="2:8">
      <c r="B414" s="46">
        <v>44893</v>
      </c>
      <c r="C414" s="60">
        <v>2961.126953125</v>
      </c>
      <c r="D414" s="58">
        <f t="shared" si="12"/>
        <v>4.0084924677691513E-3</v>
      </c>
      <c r="F414" s="46">
        <v>44893</v>
      </c>
      <c r="G414" s="60">
        <v>18562.75</v>
      </c>
      <c r="H414" s="53">
        <f t="shared" si="13"/>
        <v>2.7008413120687092E-3</v>
      </c>
    </row>
    <row r="415" spans="2:8">
      <c r="B415" s="46">
        <v>44894</v>
      </c>
      <c r="C415" s="60">
        <v>3000.53662109375</v>
      </c>
      <c r="D415" s="58">
        <f t="shared" si="12"/>
        <v>1.3309009911634941E-2</v>
      </c>
      <c r="F415" s="46">
        <v>44894</v>
      </c>
      <c r="G415" s="60">
        <v>18618.05078125</v>
      </c>
      <c r="H415" s="51">
        <f t="shared" si="13"/>
        <v>2.9791265437502526E-3</v>
      </c>
    </row>
    <row r="416" spans="2:8">
      <c r="B416" s="46">
        <v>44895</v>
      </c>
      <c r="C416" s="60">
        <v>3002.98779296875</v>
      </c>
      <c r="D416" s="58">
        <f t="shared" si="12"/>
        <v>8.1691116774522269E-4</v>
      </c>
      <c r="F416" s="46">
        <v>44895</v>
      </c>
      <c r="G416" s="60">
        <v>18758.349609375</v>
      </c>
      <c r="H416" s="53">
        <f t="shared" si="13"/>
        <v>7.5356346254191742E-3</v>
      </c>
    </row>
    <row r="417" spans="2:8">
      <c r="B417" s="46">
        <v>44896</v>
      </c>
      <c r="C417" s="60">
        <v>3008.65869140625</v>
      </c>
      <c r="D417" s="58">
        <f t="shared" si="12"/>
        <v>1.8884187444177909E-3</v>
      </c>
      <c r="F417" s="46">
        <v>44896</v>
      </c>
      <c r="G417" s="60">
        <v>18812.5</v>
      </c>
      <c r="H417" s="51">
        <f t="shared" si="13"/>
        <v>2.8867353340049093E-3</v>
      </c>
    </row>
    <row r="418" spans="2:8">
      <c r="B418" s="46">
        <v>44897</v>
      </c>
      <c r="C418" s="60">
        <v>2993.6162109375</v>
      </c>
      <c r="D418" s="58">
        <f t="shared" si="12"/>
        <v>-4.9997297838124434E-3</v>
      </c>
      <c r="F418" s="46">
        <v>44897</v>
      </c>
      <c r="G418" s="60">
        <v>18696.099609375</v>
      </c>
      <c r="H418" s="53">
        <f t="shared" si="13"/>
        <v>-6.1873961794019936E-3</v>
      </c>
    </row>
    <row r="419" spans="2:8">
      <c r="B419" s="46">
        <v>44900</v>
      </c>
      <c r="C419" s="60">
        <v>2998.806396484375</v>
      </c>
      <c r="D419" s="58">
        <f t="shared" si="12"/>
        <v>1.7337511495000917E-3</v>
      </c>
      <c r="F419" s="46">
        <v>44900</v>
      </c>
      <c r="G419" s="60">
        <v>18701.05078125</v>
      </c>
      <c r="H419" s="51">
        <f t="shared" si="13"/>
        <v>2.6482378562624241E-4</v>
      </c>
    </row>
    <row r="420" spans="2:8">
      <c r="B420" s="46">
        <v>44901</v>
      </c>
      <c r="C420" s="60">
        <v>2981.264404296875</v>
      </c>
      <c r="D420" s="58">
        <f t="shared" si="12"/>
        <v>-5.8496581199990781E-3</v>
      </c>
      <c r="F420" s="46">
        <v>44901</v>
      </c>
      <c r="G420" s="60">
        <v>18642.75</v>
      </c>
      <c r="H420" s="53">
        <f t="shared" si="13"/>
        <v>-3.1175136590962781E-3</v>
      </c>
    </row>
    <row r="421" spans="2:8">
      <c r="B421" s="46">
        <v>44902</v>
      </c>
      <c r="C421" s="60">
        <v>2962.809326171875</v>
      </c>
      <c r="D421" s="58">
        <f t="shared" si="12"/>
        <v>-6.1903526900870748E-3</v>
      </c>
      <c r="F421" s="46">
        <v>44902</v>
      </c>
      <c r="G421" s="60">
        <v>18560.5</v>
      </c>
      <c r="H421" s="51">
        <f t="shared" si="13"/>
        <v>-4.4119027503989484E-3</v>
      </c>
    </row>
    <row r="422" spans="2:8">
      <c r="B422" s="46">
        <v>44903</v>
      </c>
      <c r="C422" s="60">
        <v>2979.245849609375</v>
      </c>
      <c r="D422" s="58">
        <f t="shared" si="12"/>
        <v>5.5476143173671458E-3</v>
      </c>
      <c r="F422" s="46">
        <v>44903</v>
      </c>
      <c r="G422" s="60">
        <v>18609.349609375</v>
      </c>
      <c r="H422" s="53">
        <f t="shared" si="13"/>
        <v>2.6319123609277765E-3</v>
      </c>
    </row>
    <row r="423" spans="2:8">
      <c r="B423" s="46">
        <v>44904</v>
      </c>
      <c r="C423" s="60">
        <v>3016.4443359375</v>
      </c>
      <c r="D423" s="58">
        <f t="shared" si="12"/>
        <v>1.2485873340396629E-2</v>
      </c>
      <c r="F423" s="46">
        <v>44904</v>
      </c>
      <c r="G423" s="60">
        <v>18496.599609375</v>
      </c>
      <c r="H423" s="51">
        <f t="shared" si="13"/>
        <v>-6.058782405979353E-3</v>
      </c>
    </row>
    <row r="424" spans="2:8">
      <c r="B424" s="46">
        <v>44907</v>
      </c>
      <c r="C424" s="60">
        <v>2995.154296875</v>
      </c>
      <c r="D424" s="58">
        <f t="shared" si="12"/>
        <v>-7.0579916920240904E-3</v>
      </c>
      <c r="F424" s="46">
        <v>44907</v>
      </c>
      <c r="G424" s="60">
        <v>18497.150390625</v>
      </c>
      <c r="H424" s="53">
        <f t="shared" si="13"/>
        <v>2.9777432697458433E-5</v>
      </c>
    </row>
    <row r="425" spans="2:8">
      <c r="B425" s="46">
        <v>44908</v>
      </c>
      <c r="C425" s="60">
        <v>2983.57177734375</v>
      </c>
      <c r="D425" s="58">
        <f t="shared" si="12"/>
        <v>-3.8670860941403401E-3</v>
      </c>
      <c r="F425" s="46">
        <v>44908</v>
      </c>
      <c r="G425" s="60">
        <v>18608</v>
      </c>
      <c r="H425" s="51">
        <f t="shared" si="13"/>
        <v>5.9927938646799584E-3</v>
      </c>
    </row>
    <row r="426" spans="2:8">
      <c r="B426" s="46">
        <v>44909</v>
      </c>
      <c r="C426" s="60">
        <v>2978.621337890625</v>
      </c>
      <c r="D426" s="58">
        <f t="shared" si="12"/>
        <v>-1.6592325650473664E-3</v>
      </c>
      <c r="F426" s="46">
        <v>44909</v>
      </c>
      <c r="G426" s="60">
        <v>18660.30078125</v>
      </c>
      <c r="H426" s="53">
        <f t="shared" si="13"/>
        <v>2.8106610731943251E-3</v>
      </c>
    </row>
    <row r="427" spans="2:8">
      <c r="B427" s="46">
        <v>44910</v>
      </c>
      <c r="C427" s="60">
        <v>2944.498779296875</v>
      </c>
      <c r="D427" s="58">
        <f t="shared" si="12"/>
        <v>-1.1455822920383236E-2</v>
      </c>
      <c r="F427" s="46">
        <v>44910</v>
      </c>
      <c r="G427" s="60">
        <v>18414.900390625</v>
      </c>
      <c r="H427" s="51">
        <f t="shared" si="13"/>
        <v>-1.3150934355333651E-2</v>
      </c>
    </row>
    <row r="428" spans="2:8">
      <c r="B428" s="46">
        <v>44911</v>
      </c>
      <c r="C428" s="60">
        <v>2932.195556640625</v>
      </c>
      <c r="D428" s="58">
        <f t="shared" si="12"/>
        <v>-4.1783758725781918E-3</v>
      </c>
      <c r="F428" s="46">
        <v>44911</v>
      </c>
      <c r="G428" s="60">
        <v>18269</v>
      </c>
      <c r="H428" s="53">
        <f t="shared" si="13"/>
        <v>-7.9229530179418008E-3</v>
      </c>
    </row>
    <row r="429" spans="2:8">
      <c r="B429" s="46">
        <v>44914</v>
      </c>
      <c r="C429" s="60">
        <v>2884.231201171875</v>
      </c>
      <c r="D429" s="58">
        <f t="shared" si="12"/>
        <v>-1.6357829667985067E-2</v>
      </c>
      <c r="F429" s="46">
        <v>44914</v>
      </c>
      <c r="G429" s="60">
        <v>18420.44921875</v>
      </c>
      <c r="H429" s="51">
        <f t="shared" si="13"/>
        <v>8.2899566889265974E-3</v>
      </c>
    </row>
    <row r="430" spans="2:8">
      <c r="B430" s="46">
        <v>44915</v>
      </c>
      <c r="C430" s="60">
        <v>2885.480712890625</v>
      </c>
      <c r="D430" s="58">
        <f t="shared" si="12"/>
        <v>4.3322176053095822E-4</v>
      </c>
      <c r="F430" s="46">
        <v>44915</v>
      </c>
      <c r="G430" s="60">
        <v>18385.30078125</v>
      </c>
      <c r="H430" s="53">
        <f t="shared" si="13"/>
        <v>-1.9081205394395452E-3</v>
      </c>
    </row>
    <row r="431" spans="2:8">
      <c r="B431" s="46">
        <v>44916</v>
      </c>
      <c r="C431" s="60">
        <v>2932.14697265625</v>
      </c>
      <c r="D431" s="58">
        <f t="shared" si="12"/>
        <v>1.6172785199064992E-2</v>
      </c>
      <c r="F431" s="46">
        <v>44916</v>
      </c>
      <c r="G431" s="60">
        <v>18199.099609375</v>
      </c>
      <c r="H431" s="51">
        <f t="shared" si="13"/>
        <v>-1.012771964355866E-2</v>
      </c>
    </row>
    <row r="432" spans="2:8">
      <c r="B432" s="46">
        <v>44917</v>
      </c>
      <c r="C432" s="60">
        <v>2966.606201171875</v>
      </c>
      <c r="D432" s="58">
        <f t="shared" si="12"/>
        <v>1.1752217346870635E-2</v>
      </c>
      <c r="F432" s="46">
        <v>44917</v>
      </c>
      <c r="G432" s="60">
        <v>18127.349609375</v>
      </c>
      <c r="H432" s="53">
        <f t="shared" si="13"/>
        <v>-3.9425027358517802E-3</v>
      </c>
    </row>
    <row r="433" spans="2:8">
      <c r="B433" s="46">
        <v>44918</v>
      </c>
      <c r="C433" s="60">
        <v>2921.622314453125</v>
      </c>
      <c r="D433" s="58">
        <f t="shared" si="12"/>
        <v>-1.5163416937839734E-2</v>
      </c>
      <c r="F433" s="46">
        <v>44918</v>
      </c>
      <c r="G433" s="60">
        <v>17806.80078125</v>
      </c>
      <c r="H433" s="51">
        <f t="shared" si="13"/>
        <v>-1.7683160254117921E-2</v>
      </c>
    </row>
    <row r="434" spans="2:8">
      <c r="B434" s="46">
        <v>44921</v>
      </c>
      <c r="C434" s="60">
        <v>2961.56005859375</v>
      </c>
      <c r="D434" s="58">
        <f t="shared" si="12"/>
        <v>1.366971491936343E-2</v>
      </c>
      <c r="F434" s="46">
        <v>44921</v>
      </c>
      <c r="G434" s="60">
        <v>18014.599609375</v>
      </c>
      <c r="H434" s="53">
        <f t="shared" si="13"/>
        <v>1.1669632893506936E-2</v>
      </c>
    </row>
    <row r="435" spans="2:8">
      <c r="B435" s="46">
        <v>44922</v>
      </c>
      <c r="C435" s="60">
        <v>2950.265869140625</v>
      </c>
      <c r="D435" s="58">
        <f t="shared" si="12"/>
        <v>-3.8135946020584391E-3</v>
      </c>
      <c r="F435" s="46">
        <v>44922</v>
      </c>
      <c r="G435" s="60">
        <v>18132.30078125</v>
      </c>
      <c r="H435" s="51">
        <f t="shared" si="13"/>
        <v>6.533654614990554E-3</v>
      </c>
    </row>
    <row r="436" spans="2:8">
      <c r="B436" s="46">
        <v>44923</v>
      </c>
      <c r="C436" s="60">
        <v>2906.43505859375</v>
      </c>
      <c r="D436" s="58">
        <f t="shared" si="12"/>
        <v>-1.4856562930595254E-2</v>
      </c>
      <c r="F436" s="46">
        <v>44923</v>
      </c>
      <c r="G436" s="60">
        <v>18122.5</v>
      </c>
      <c r="H436" s="53">
        <f t="shared" si="13"/>
        <v>-5.405150382313676E-4</v>
      </c>
    </row>
    <row r="437" spans="2:8">
      <c r="B437" s="46">
        <v>44924</v>
      </c>
      <c r="C437" s="60">
        <v>2886.73046875</v>
      </c>
      <c r="D437" s="58">
        <f t="shared" si="12"/>
        <v>-6.7796422237226496E-3</v>
      </c>
      <c r="F437" s="46">
        <v>44924</v>
      </c>
      <c r="G437" s="60">
        <v>18191</v>
      </c>
      <c r="H437" s="51">
        <f t="shared" si="13"/>
        <v>3.7798317009242652E-3</v>
      </c>
    </row>
    <row r="438" spans="2:8">
      <c r="B438" s="46">
        <v>44925</v>
      </c>
      <c r="C438" s="60">
        <v>2888.1240234375</v>
      </c>
      <c r="D438" s="58">
        <f t="shared" si="12"/>
        <v>4.8274499562248058E-4</v>
      </c>
      <c r="F438" s="46">
        <v>44925</v>
      </c>
      <c r="G438" s="60">
        <v>18105.30078125</v>
      </c>
      <c r="H438" s="53">
        <f t="shared" si="13"/>
        <v>-4.7110779368918698E-3</v>
      </c>
    </row>
    <row r="439" spans="2:8">
      <c r="B439" s="46">
        <v>44928</v>
      </c>
      <c r="C439" s="60">
        <v>2884.711669921875</v>
      </c>
      <c r="D439" s="58">
        <f t="shared" si="12"/>
        <v>-1.1815121123377355E-3</v>
      </c>
      <c r="F439" s="46">
        <v>44928</v>
      </c>
      <c r="G439" s="60">
        <v>18197.44921875</v>
      </c>
      <c r="H439" s="51">
        <f t="shared" si="13"/>
        <v>5.0895833553579895E-3</v>
      </c>
    </row>
    <row r="440" spans="2:8">
      <c r="B440" s="46">
        <v>44929</v>
      </c>
      <c r="C440" s="60">
        <v>2911.2890625</v>
      </c>
      <c r="D440" s="58">
        <f t="shared" si="12"/>
        <v>9.2131885675925396E-3</v>
      </c>
      <c r="F440" s="46">
        <v>44929</v>
      </c>
      <c r="G440" s="60">
        <v>18232.55078125</v>
      </c>
      <c r="H440" s="53">
        <f t="shared" si="13"/>
        <v>1.928927624858137E-3</v>
      </c>
    </row>
    <row r="441" spans="2:8">
      <c r="B441" s="46">
        <v>44930</v>
      </c>
      <c r="C441" s="60">
        <v>2907.58837890625</v>
      </c>
      <c r="D441" s="58">
        <f t="shared" si="12"/>
        <v>-1.2711494854351997E-3</v>
      </c>
      <c r="F441" s="46">
        <v>44930</v>
      </c>
      <c r="G441" s="60">
        <v>18042.94921875</v>
      </c>
      <c r="H441" s="51">
        <f t="shared" si="13"/>
        <v>-1.0399069487028801E-2</v>
      </c>
    </row>
    <row r="442" spans="2:8">
      <c r="B442" s="46">
        <v>44931</v>
      </c>
      <c r="C442" s="60">
        <v>2924.986328125</v>
      </c>
      <c r="D442" s="58">
        <f t="shared" si="12"/>
        <v>5.9836355603039666E-3</v>
      </c>
      <c r="F442" s="46">
        <v>44931</v>
      </c>
      <c r="G442" s="60">
        <v>17992.150390625</v>
      </c>
      <c r="H442" s="53">
        <f t="shared" si="13"/>
        <v>-2.8154392892826255E-3</v>
      </c>
    </row>
    <row r="443" spans="2:8">
      <c r="B443" s="46">
        <v>44932</v>
      </c>
      <c r="C443" s="60">
        <v>2913.740234375</v>
      </c>
      <c r="D443" s="58">
        <f t="shared" si="12"/>
        <v>-3.8448363473921154E-3</v>
      </c>
      <c r="F443" s="46">
        <v>44932</v>
      </c>
      <c r="G443" s="60">
        <v>17859.44921875</v>
      </c>
      <c r="H443" s="51">
        <f t="shared" si="13"/>
        <v>-7.3755037054462009E-3</v>
      </c>
    </row>
    <row r="444" spans="2:8">
      <c r="B444" s="46">
        <v>44935</v>
      </c>
      <c r="C444" s="60">
        <v>2931.5703125</v>
      </c>
      <c r="D444" s="58">
        <f t="shared" si="12"/>
        <v>6.1193094410574899E-3</v>
      </c>
      <c r="F444" s="46">
        <v>44935</v>
      </c>
      <c r="G444" s="60">
        <v>18101.19921875</v>
      </c>
      <c r="H444" s="53">
        <f t="shared" si="13"/>
        <v>1.3536251708490276E-2</v>
      </c>
    </row>
    <row r="445" spans="2:8">
      <c r="B445" s="46">
        <v>44936</v>
      </c>
      <c r="C445" s="60">
        <v>2960.02197265625</v>
      </c>
      <c r="D445" s="58">
        <f t="shared" si="12"/>
        <v>9.7052627511386019E-3</v>
      </c>
      <c r="F445" s="46">
        <v>44936</v>
      </c>
      <c r="G445" s="60">
        <v>17914.150390625</v>
      </c>
      <c r="H445" s="51">
        <f t="shared" si="13"/>
        <v>-1.0333504750958532E-2</v>
      </c>
    </row>
    <row r="446" spans="2:8">
      <c r="B446" s="46">
        <v>44937</v>
      </c>
      <c r="C446" s="60">
        <v>2926.331787109375</v>
      </c>
      <c r="D446" s="58">
        <f t="shared" si="12"/>
        <v>-1.1381734952677485E-2</v>
      </c>
      <c r="F446" s="46">
        <v>44937</v>
      </c>
      <c r="G446" s="60">
        <v>17895.69921875</v>
      </c>
      <c r="H446" s="53">
        <f t="shared" si="13"/>
        <v>-1.0299775022909285E-3</v>
      </c>
    </row>
    <row r="447" spans="2:8">
      <c r="B447" s="46">
        <v>44938</v>
      </c>
      <c r="C447" s="60">
        <v>2942.5283203125</v>
      </c>
      <c r="D447" s="58">
        <f t="shared" si="12"/>
        <v>5.5347562687428223E-3</v>
      </c>
      <c r="F447" s="46">
        <v>44938</v>
      </c>
      <c r="G447" s="60">
        <v>17858.19921875</v>
      </c>
      <c r="H447" s="51">
        <f t="shared" si="13"/>
        <v>-2.0954755408891671E-3</v>
      </c>
    </row>
    <row r="448" spans="2:8">
      <c r="B448" s="46">
        <v>44939</v>
      </c>
      <c r="C448" s="60">
        <v>2907.876953125</v>
      </c>
      <c r="D448" s="58">
        <f t="shared" si="12"/>
        <v>-1.17760522297437E-2</v>
      </c>
      <c r="F448" s="46">
        <v>44939</v>
      </c>
      <c r="G448" s="60">
        <v>17956.599609375</v>
      </c>
      <c r="H448" s="53">
        <f t="shared" si="13"/>
        <v>5.5100959183883276E-3</v>
      </c>
    </row>
    <row r="449" spans="2:8">
      <c r="B449" s="46">
        <v>44942</v>
      </c>
      <c r="C449" s="60">
        <v>2921.76611328125</v>
      </c>
      <c r="D449" s="58">
        <f t="shared" si="12"/>
        <v>4.7763919794899766E-3</v>
      </c>
      <c r="F449" s="46">
        <v>44942</v>
      </c>
      <c r="G449" s="60">
        <v>17894.849609375</v>
      </c>
      <c r="H449" s="51">
        <f t="shared" si="13"/>
        <v>-3.4388470725693972E-3</v>
      </c>
    </row>
    <row r="450" spans="2:8">
      <c r="B450" s="46">
        <v>44943</v>
      </c>
      <c r="C450" s="60">
        <v>2917.008056640625</v>
      </c>
      <c r="D450" s="58">
        <f t="shared" si="12"/>
        <v>-1.6284864893862188E-3</v>
      </c>
      <c r="F450" s="46">
        <v>44943</v>
      </c>
      <c r="G450" s="60">
        <v>18053.30078125</v>
      </c>
      <c r="H450" s="53">
        <f t="shared" si="13"/>
        <v>8.854568511824118E-3</v>
      </c>
    </row>
    <row r="451" spans="2:8">
      <c r="B451" s="46">
        <v>44944</v>
      </c>
      <c r="C451" s="60">
        <v>2940.509765625</v>
      </c>
      <c r="D451" s="58">
        <f t="shared" si="12"/>
        <v>8.056785764054681E-3</v>
      </c>
      <c r="F451" s="46">
        <v>44944</v>
      </c>
      <c r="G451" s="60">
        <v>18165.349609375</v>
      </c>
      <c r="H451" s="51">
        <f t="shared" si="13"/>
        <v>6.2065563235601173E-3</v>
      </c>
    </row>
    <row r="452" spans="2:8">
      <c r="B452" s="46">
        <v>44945</v>
      </c>
      <c r="C452" s="60">
        <v>2915.47021484375</v>
      </c>
      <c r="D452" s="58">
        <f t="shared" si="12"/>
        <v>-8.5153775287421605E-3</v>
      </c>
      <c r="F452" s="46">
        <v>44945</v>
      </c>
      <c r="G452" s="60">
        <v>18107.849609375</v>
      </c>
      <c r="H452" s="53">
        <f t="shared" si="13"/>
        <v>-3.1653670992560848E-3</v>
      </c>
    </row>
    <row r="453" spans="2:8">
      <c r="B453" s="46">
        <v>44946</v>
      </c>
      <c r="C453" s="60">
        <v>2914.749267578125</v>
      </c>
      <c r="D453" s="58">
        <f t="shared" ref="D453:D516" si="14">(C453-C452)/C452</f>
        <v>-2.4728335825706182E-4</v>
      </c>
      <c r="F453" s="46">
        <v>44946</v>
      </c>
      <c r="G453" s="60">
        <v>18027.650390625</v>
      </c>
      <c r="H453" s="51">
        <f t="shared" ref="H453:H516" si="15">(G453-G452)/G452</f>
        <v>-4.4289753051891022E-3</v>
      </c>
    </row>
    <row r="454" spans="2:8">
      <c r="B454" s="46">
        <v>44949</v>
      </c>
      <c r="C454" s="60">
        <v>2928.1103515625</v>
      </c>
      <c r="D454" s="58">
        <f t="shared" si="14"/>
        <v>4.5839565457638041E-3</v>
      </c>
      <c r="F454" s="46">
        <v>44949</v>
      </c>
      <c r="G454" s="60">
        <v>18118.55078125</v>
      </c>
      <c r="H454" s="53">
        <f t="shared" si="15"/>
        <v>5.042276095628709E-3</v>
      </c>
    </row>
    <row r="455" spans="2:8">
      <c r="B455" s="46">
        <v>44950</v>
      </c>
      <c r="C455" s="60">
        <v>2892.497314453125</v>
      </c>
      <c r="D455" s="58">
        <f t="shared" si="14"/>
        <v>-1.2162464126521444E-2</v>
      </c>
      <c r="F455" s="46">
        <v>44950</v>
      </c>
      <c r="G455" s="60">
        <v>18118.30078125</v>
      </c>
      <c r="H455" s="51">
        <f t="shared" si="15"/>
        <v>-1.3798013043003017E-5</v>
      </c>
    </row>
    <row r="456" spans="2:8">
      <c r="B456" s="46">
        <v>44951</v>
      </c>
      <c r="C456" s="60">
        <v>2903.0224609375</v>
      </c>
      <c r="D456" s="58">
        <f t="shared" si="14"/>
        <v>3.6387748509854553E-3</v>
      </c>
      <c r="F456" s="46">
        <v>44951</v>
      </c>
      <c r="G456" s="60">
        <v>17891.94921875</v>
      </c>
      <c r="H456" s="53">
        <f t="shared" si="15"/>
        <v>-1.2492979625012262E-2</v>
      </c>
    </row>
    <row r="457" spans="2:8">
      <c r="B457" s="46">
        <v>44953</v>
      </c>
      <c r="C457" s="60">
        <v>2884.279296875</v>
      </c>
      <c r="D457" s="58">
        <f t="shared" si="14"/>
        <v>-6.4564309490210059E-3</v>
      </c>
      <c r="F457" s="46">
        <v>44953</v>
      </c>
      <c r="G457" s="60">
        <v>17604.349609375</v>
      </c>
      <c r="H457" s="51">
        <f t="shared" si="15"/>
        <v>-1.6074246906178778E-2</v>
      </c>
    </row>
    <row r="458" spans="2:8">
      <c r="B458" s="46">
        <v>44956</v>
      </c>
      <c r="C458" s="60">
        <v>2885.048095703125</v>
      </c>
      <c r="D458" s="58">
        <f t="shared" si="14"/>
        <v>2.6654798269985937E-4</v>
      </c>
      <c r="F458" s="46">
        <v>44956</v>
      </c>
      <c r="G458" s="60">
        <v>17648.94921875</v>
      </c>
      <c r="H458" s="53">
        <f t="shared" si="15"/>
        <v>2.5334426073456854E-3</v>
      </c>
    </row>
    <row r="459" spans="2:8">
      <c r="B459" s="46">
        <v>44957</v>
      </c>
      <c r="C459" s="60">
        <v>2894.468017578125</v>
      </c>
      <c r="D459" s="58">
        <f t="shared" si="14"/>
        <v>3.2650831329396742E-3</v>
      </c>
      <c r="F459" s="46">
        <v>44957</v>
      </c>
      <c r="G459" s="60">
        <v>17662.150390625</v>
      </c>
      <c r="H459" s="51">
        <f t="shared" si="15"/>
        <v>7.4798628016761802E-4</v>
      </c>
    </row>
    <row r="460" spans="2:8">
      <c r="B460" s="46">
        <v>44958</v>
      </c>
      <c r="C460" s="60">
        <v>2912.875</v>
      </c>
      <c r="D460" s="58">
        <f t="shared" si="14"/>
        <v>6.3593663188155E-3</v>
      </c>
      <c r="F460" s="46">
        <v>44958</v>
      </c>
      <c r="G460" s="60">
        <v>17616.30078125</v>
      </c>
      <c r="H460" s="53">
        <f t="shared" si="15"/>
        <v>-2.5959245256645981E-3</v>
      </c>
    </row>
    <row r="461" spans="2:8">
      <c r="B461" s="46">
        <v>44959</v>
      </c>
      <c r="C461" s="60">
        <v>2956.7060546875</v>
      </c>
      <c r="D461" s="58">
        <f t="shared" si="14"/>
        <v>1.5047351735828005E-2</v>
      </c>
      <c r="F461" s="46">
        <v>44959</v>
      </c>
      <c r="G461" s="60">
        <v>17610.400390625</v>
      </c>
      <c r="H461" s="51">
        <f t="shared" si="15"/>
        <v>-3.3493925304000889E-4</v>
      </c>
    </row>
    <row r="462" spans="2:8">
      <c r="B462" s="46">
        <v>44960</v>
      </c>
      <c r="C462" s="60">
        <v>2932.867919921875</v>
      </c>
      <c r="D462" s="58">
        <f t="shared" si="14"/>
        <v>-8.0623958975673347E-3</v>
      </c>
      <c r="F462" s="46">
        <v>44960</v>
      </c>
      <c r="G462" s="60">
        <v>17854.05078125</v>
      </c>
      <c r="H462" s="53">
        <f t="shared" si="15"/>
        <v>1.3835596307890234E-2</v>
      </c>
    </row>
    <row r="463" spans="2:8">
      <c r="B463" s="46">
        <v>44963</v>
      </c>
      <c r="C463" s="60">
        <v>2949.256591796875</v>
      </c>
      <c r="D463" s="58">
        <f t="shared" si="14"/>
        <v>5.5879338321640337E-3</v>
      </c>
      <c r="F463" s="46">
        <v>44963</v>
      </c>
      <c r="G463" s="60">
        <v>17764.599609375</v>
      </c>
      <c r="H463" s="51">
        <f t="shared" si="15"/>
        <v>-5.0101331608701366E-3</v>
      </c>
    </row>
    <row r="464" spans="2:8">
      <c r="B464" s="46">
        <v>44964</v>
      </c>
      <c r="C464" s="60">
        <v>2950.4580078125</v>
      </c>
      <c r="D464" s="58">
        <f t="shared" si="14"/>
        <v>4.0736232275165345E-4</v>
      </c>
      <c r="F464" s="46">
        <v>44964</v>
      </c>
      <c r="G464" s="60">
        <v>17721.5</v>
      </c>
      <c r="H464" s="53">
        <f t="shared" si="15"/>
        <v>-2.4261514654264895E-3</v>
      </c>
    </row>
    <row r="465" spans="2:8">
      <c r="B465" s="46">
        <v>44965</v>
      </c>
      <c r="C465" s="60">
        <v>3057.3916015625</v>
      </c>
      <c r="D465" s="58">
        <f t="shared" si="14"/>
        <v>3.6243048864566509E-2</v>
      </c>
      <c r="F465" s="46">
        <v>44965</v>
      </c>
      <c r="G465" s="60">
        <v>17871.69921875</v>
      </c>
      <c r="H465" s="51">
        <f t="shared" si="15"/>
        <v>8.4755364246818839E-3</v>
      </c>
    </row>
    <row r="466" spans="2:8">
      <c r="B466" s="46">
        <v>44966</v>
      </c>
      <c r="C466" s="60">
        <v>3105.11572265625</v>
      </c>
      <c r="D466" s="58">
        <f t="shared" si="14"/>
        <v>1.560942375499438E-2</v>
      </c>
      <c r="F466" s="46">
        <v>44966</v>
      </c>
      <c r="G466" s="60">
        <v>17893.44921875</v>
      </c>
      <c r="H466" s="53">
        <f t="shared" si="15"/>
        <v>1.2170079483645908E-3</v>
      </c>
    </row>
    <row r="467" spans="2:8">
      <c r="B467" s="46">
        <v>44967</v>
      </c>
      <c r="C467" s="60">
        <v>3164.9501953125</v>
      </c>
      <c r="D467" s="58">
        <f t="shared" si="14"/>
        <v>1.926964338870598E-2</v>
      </c>
      <c r="F467" s="46">
        <v>44967</v>
      </c>
      <c r="G467" s="60">
        <v>17856.5</v>
      </c>
      <c r="H467" s="51">
        <f t="shared" si="15"/>
        <v>-2.0649578680046795E-3</v>
      </c>
    </row>
    <row r="468" spans="2:8">
      <c r="B468" s="46">
        <v>44970</v>
      </c>
      <c r="C468" s="60">
        <v>3139.334228515625</v>
      </c>
      <c r="D468" s="58">
        <f t="shared" si="14"/>
        <v>-8.0936397782227151E-3</v>
      </c>
      <c r="F468" s="46">
        <v>44970</v>
      </c>
      <c r="G468" s="60">
        <v>17770.900390625</v>
      </c>
      <c r="H468" s="53">
        <f t="shared" si="15"/>
        <v>-4.7937507000252013E-3</v>
      </c>
    </row>
    <row r="469" spans="2:8">
      <c r="B469" s="46">
        <v>44971</v>
      </c>
      <c r="C469" s="60">
        <v>3153.031494140625</v>
      </c>
      <c r="D469" s="58">
        <f t="shared" si="14"/>
        <v>4.3631116115586373E-3</v>
      </c>
      <c r="F469" s="46">
        <v>44971</v>
      </c>
      <c r="G469" s="60">
        <v>17929.849609375</v>
      </c>
      <c r="H469" s="51">
        <f t="shared" si="15"/>
        <v>8.944353704995911E-3</v>
      </c>
    </row>
    <row r="470" spans="2:8">
      <c r="B470" s="46">
        <v>44972</v>
      </c>
      <c r="C470" s="60">
        <v>3185.27978515625</v>
      </c>
      <c r="D470" s="58">
        <f t="shared" si="14"/>
        <v>1.0227709769329291E-2</v>
      </c>
      <c r="F470" s="46">
        <v>44972</v>
      </c>
      <c r="G470" s="60">
        <v>18015.849609375</v>
      </c>
      <c r="H470" s="53">
        <f t="shared" si="15"/>
        <v>4.796470794436172E-3</v>
      </c>
    </row>
    <row r="471" spans="2:8">
      <c r="B471" s="46">
        <v>44973</v>
      </c>
      <c r="C471" s="60">
        <v>3179.320068359375</v>
      </c>
      <c r="D471" s="58">
        <f t="shared" si="14"/>
        <v>-1.8710183088618865E-3</v>
      </c>
      <c r="F471" s="46">
        <v>44973</v>
      </c>
      <c r="G471" s="60">
        <v>18035.849609375</v>
      </c>
      <c r="H471" s="51">
        <f t="shared" si="15"/>
        <v>1.110133600892877E-3</v>
      </c>
    </row>
    <row r="472" spans="2:8">
      <c r="B472" s="46">
        <v>44974</v>
      </c>
      <c r="C472" s="60">
        <v>3173.7744140625</v>
      </c>
      <c r="D472" s="58">
        <f t="shared" si="14"/>
        <v>-1.7442894007638321E-3</v>
      </c>
      <c r="F472" s="46">
        <v>44974</v>
      </c>
      <c r="G472" s="60">
        <v>17944.19921875</v>
      </c>
      <c r="H472" s="53">
        <f t="shared" si="15"/>
        <v>-5.0815676893513411E-3</v>
      </c>
    </row>
    <row r="473" spans="2:8">
      <c r="B473" s="46">
        <v>44977</v>
      </c>
      <c r="C473" s="60">
        <v>3187.4931640625</v>
      </c>
      <c r="D473" s="58">
        <f t="shared" si="14"/>
        <v>4.3225346890485841E-3</v>
      </c>
      <c r="F473" s="46">
        <v>44977</v>
      </c>
      <c r="G473" s="60">
        <v>17844.599609375</v>
      </c>
      <c r="H473" s="51">
        <f t="shared" si="15"/>
        <v>-5.5505184801408012E-3</v>
      </c>
    </row>
    <row r="474" spans="2:8">
      <c r="B474" s="46">
        <v>44978</v>
      </c>
      <c r="C474" s="60">
        <v>3167.644775390625</v>
      </c>
      <c r="D474" s="58">
        <f t="shared" si="14"/>
        <v>-6.2269588200709993E-3</v>
      </c>
      <c r="F474" s="46">
        <v>44978</v>
      </c>
      <c r="G474" s="60">
        <v>17826.69921875</v>
      </c>
      <c r="H474" s="53">
        <f t="shared" si="15"/>
        <v>-1.0031264929920697E-3</v>
      </c>
    </row>
    <row r="475" spans="2:8">
      <c r="B475" s="46">
        <v>44979</v>
      </c>
      <c r="C475" s="60">
        <v>3187.83349609375</v>
      </c>
      <c r="D475" s="58">
        <f t="shared" si="14"/>
        <v>6.3734168868841631E-3</v>
      </c>
      <c r="F475" s="46">
        <v>44979</v>
      </c>
      <c r="G475" s="60">
        <v>17554.30078125</v>
      </c>
      <c r="H475" s="51">
        <f t="shared" si="15"/>
        <v>-1.5280363131582609E-2</v>
      </c>
    </row>
    <row r="476" spans="2:8">
      <c r="B476" s="46">
        <v>44980</v>
      </c>
      <c r="C476" s="60">
        <v>3186.958251953125</v>
      </c>
      <c r="D476" s="58">
        <f t="shared" si="14"/>
        <v>-2.7455767112601423E-4</v>
      </c>
      <c r="F476" s="46">
        <v>44980</v>
      </c>
      <c r="G476" s="60">
        <v>17511.25</v>
      </c>
      <c r="H476" s="53">
        <f t="shared" si="15"/>
        <v>-2.4524349779846064E-3</v>
      </c>
    </row>
    <row r="477" spans="2:8">
      <c r="B477" s="46">
        <v>44981</v>
      </c>
      <c r="C477" s="60">
        <v>3208.217529296875</v>
      </c>
      <c r="D477" s="58">
        <f t="shared" si="14"/>
        <v>6.6707109610617795E-3</v>
      </c>
      <c r="F477" s="46">
        <v>44981</v>
      </c>
      <c r="G477" s="60">
        <v>17465.80078125</v>
      </c>
      <c r="H477" s="51">
        <f t="shared" si="15"/>
        <v>-2.5954297237490184E-3</v>
      </c>
    </row>
    <row r="478" spans="2:8">
      <c r="B478" s="46">
        <v>44984</v>
      </c>
      <c r="C478" s="60">
        <v>3184.13623046875</v>
      </c>
      <c r="D478" s="58">
        <f t="shared" si="14"/>
        <v>-7.5061303070065666E-3</v>
      </c>
      <c r="F478" s="46">
        <v>44984</v>
      </c>
      <c r="G478" s="60">
        <v>17392.69921875</v>
      </c>
      <c r="H478" s="53">
        <f t="shared" si="15"/>
        <v>-4.1854114458053631E-3</v>
      </c>
    </row>
    <row r="479" spans="2:8">
      <c r="B479" s="46">
        <v>44985</v>
      </c>
      <c r="C479" s="60">
        <v>3089.1748046875</v>
      </c>
      <c r="D479" s="58">
        <f t="shared" si="14"/>
        <v>-2.982329238070016E-2</v>
      </c>
      <c r="F479" s="46">
        <v>44985</v>
      </c>
      <c r="G479" s="60">
        <v>17303.94921875</v>
      </c>
      <c r="H479" s="51">
        <f t="shared" si="15"/>
        <v>-5.1027157362857215E-3</v>
      </c>
    </row>
    <row r="480" spans="2:8">
      <c r="B480" s="46">
        <v>44986</v>
      </c>
      <c r="C480" s="60">
        <v>3034.883544921875</v>
      </c>
      <c r="D480" s="58">
        <f t="shared" si="14"/>
        <v>-1.7574680359053713E-2</v>
      </c>
      <c r="F480" s="46">
        <v>44986</v>
      </c>
      <c r="G480" s="60">
        <v>17450.900390625</v>
      </c>
      <c r="H480" s="53">
        <f t="shared" si="15"/>
        <v>8.4923487706360379E-3</v>
      </c>
    </row>
    <row r="481" spans="2:8">
      <c r="B481" s="46">
        <v>44987</v>
      </c>
      <c r="C481" s="60">
        <v>3041.98583984375</v>
      </c>
      <c r="D481" s="58">
        <f t="shared" si="14"/>
        <v>2.3402199184080485E-3</v>
      </c>
      <c r="F481" s="46">
        <v>44987</v>
      </c>
      <c r="G481" s="60">
        <v>17321.900390625</v>
      </c>
      <c r="H481" s="51">
        <f t="shared" si="15"/>
        <v>-7.3921687198043708E-3</v>
      </c>
    </row>
    <row r="482" spans="2:8">
      <c r="B482" s="46">
        <v>44988</v>
      </c>
      <c r="C482" s="60">
        <v>3073.802001953125</v>
      </c>
      <c r="D482" s="58">
        <f t="shared" si="14"/>
        <v>1.0459010588625627E-2</v>
      </c>
      <c r="F482" s="46">
        <v>44988</v>
      </c>
      <c r="G482" s="60">
        <v>17594.349609375</v>
      </c>
      <c r="H482" s="53">
        <f t="shared" si="15"/>
        <v>1.5728598629827915E-2</v>
      </c>
    </row>
    <row r="483" spans="2:8">
      <c r="B483" s="46">
        <v>44991</v>
      </c>
      <c r="C483" s="60">
        <v>3072.09912109375</v>
      </c>
      <c r="D483" s="58">
        <f t="shared" si="14"/>
        <v>-5.539982270468209E-4</v>
      </c>
      <c r="F483" s="46">
        <v>44991</v>
      </c>
      <c r="G483" s="60">
        <v>17711.44921875</v>
      </c>
      <c r="H483" s="51">
        <f t="shared" si="15"/>
        <v>6.6555236183669141E-3</v>
      </c>
    </row>
    <row r="484" spans="2:8">
      <c r="B484" s="46">
        <v>44993</v>
      </c>
      <c r="C484" s="60">
        <v>3056.580078125</v>
      </c>
      <c r="D484" s="58">
        <f t="shared" si="14"/>
        <v>-5.0516088046094042E-3</v>
      </c>
      <c r="F484" s="46">
        <v>44993</v>
      </c>
      <c r="G484" s="60">
        <v>17754.400390625</v>
      </c>
      <c r="H484" s="53">
        <f t="shared" si="15"/>
        <v>2.4250512391459354E-3</v>
      </c>
    </row>
    <row r="485" spans="2:8">
      <c r="B485" s="46">
        <v>44994</v>
      </c>
      <c r="C485" s="60">
        <v>3078.27734375</v>
      </c>
      <c r="D485" s="58">
        <f t="shared" si="14"/>
        <v>7.0985431660307652E-3</v>
      </c>
      <c r="F485" s="46">
        <v>44994</v>
      </c>
      <c r="G485" s="60">
        <v>17589.599609375</v>
      </c>
      <c r="H485" s="51">
        <f t="shared" si="15"/>
        <v>-9.2822498999752812E-3</v>
      </c>
    </row>
    <row r="486" spans="2:8">
      <c r="B486" s="46">
        <v>44995</v>
      </c>
      <c r="C486" s="60">
        <v>3060.81298828125</v>
      </c>
      <c r="D486" s="58">
        <f t="shared" si="14"/>
        <v>-5.6734184475641432E-3</v>
      </c>
      <c r="F486" s="46">
        <v>44995</v>
      </c>
      <c r="G486" s="60">
        <v>17412.900390625</v>
      </c>
      <c r="H486" s="53">
        <f t="shared" si="15"/>
        <v>-1.0045664635585105E-2</v>
      </c>
    </row>
    <row r="487" spans="2:8">
      <c r="B487" s="46">
        <v>44998</v>
      </c>
      <c r="C487" s="60">
        <v>2983.753662109375</v>
      </c>
      <c r="D487" s="58">
        <f t="shared" si="14"/>
        <v>-2.5176097483546819E-2</v>
      </c>
      <c r="F487" s="46">
        <v>44998</v>
      </c>
      <c r="G487" s="60">
        <v>17154.30078125</v>
      </c>
      <c r="H487" s="51">
        <f t="shared" si="15"/>
        <v>-1.4851035931626214E-2</v>
      </c>
    </row>
    <row r="488" spans="2:8">
      <c r="B488" s="46">
        <v>44999</v>
      </c>
      <c r="C488" s="60">
        <v>3003.35888671875</v>
      </c>
      <c r="D488" s="58">
        <f t="shared" si="14"/>
        <v>6.5706579126626084E-3</v>
      </c>
      <c r="F488" s="46">
        <v>44999</v>
      </c>
      <c r="G488" s="60">
        <v>17043.30078125</v>
      </c>
      <c r="H488" s="53">
        <f t="shared" si="15"/>
        <v>-6.470680525861203E-3</v>
      </c>
    </row>
    <row r="489" spans="2:8">
      <c r="B489" s="46">
        <v>45000</v>
      </c>
      <c r="C489" s="60">
        <v>2996.59716796875</v>
      </c>
      <c r="D489" s="58">
        <f t="shared" si="14"/>
        <v>-2.2513855336773816E-3</v>
      </c>
      <c r="F489" s="46">
        <v>45000</v>
      </c>
      <c r="G489" s="60">
        <v>16972.150390625</v>
      </c>
      <c r="H489" s="51">
        <f t="shared" si="15"/>
        <v>-4.1746837386848982E-3</v>
      </c>
    </row>
    <row r="490" spans="2:8">
      <c r="B490" s="46">
        <v>45001</v>
      </c>
      <c r="C490" s="60">
        <v>3069.76416015625</v>
      </c>
      <c r="D490" s="58">
        <f t="shared" si="14"/>
        <v>2.4416692697169038E-2</v>
      </c>
      <c r="F490" s="46">
        <v>45001</v>
      </c>
      <c r="G490" s="60">
        <v>16985.599609375</v>
      </c>
      <c r="H490" s="53">
        <f t="shared" si="15"/>
        <v>7.9242868113100259E-4</v>
      </c>
    </row>
    <row r="491" spans="2:8">
      <c r="B491" s="46">
        <v>45002</v>
      </c>
      <c r="C491" s="60">
        <v>3029.09423828125</v>
      </c>
      <c r="D491" s="58">
        <f t="shared" si="14"/>
        <v>-1.324854931947929E-2</v>
      </c>
      <c r="F491" s="46">
        <v>45002</v>
      </c>
      <c r="G491" s="60">
        <v>17100.05078125</v>
      </c>
      <c r="H491" s="51">
        <f t="shared" si="15"/>
        <v>6.7381296219787279E-3</v>
      </c>
    </row>
    <row r="492" spans="2:8">
      <c r="B492" s="46">
        <v>45005</v>
      </c>
      <c r="C492" s="60">
        <v>3030.99169921875</v>
      </c>
      <c r="D492" s="58">
        <f t="shared" si="14"/>
        <v>6.2641198597262711E-4</v>
      </c>
      <c r="F492" s="46">
        <v>45005</v>
      </c>
      <c r="G492" s="60">
        <v>16988.400390625</v>
      </c>
      <c r="H492" s="53">
        <f t="shared" si="15"/>
        <v>-6.5292432199922654E-3</v>
      </c>
    </row>
    <row r="493" spans="2:8">
      <c r="B493" s="46">
        <v>45006</v>
      </c>
      <c r="C493" s="60">
        <v>3032.353515625</v>
      </c>
      <c r="D493" s="58">
        <f t="shared" si="14"/>
        <v>4.492973064231794E-4</v>
      </c>
      <c r="F493" s="46">
        <v>45006</v>
      </c>
      <c r="G493" s="60">
        <v>17107.5</v>
      </c>
      <c r="H493" s="51">
        <f t="shared" si="15"/>
        <v>7.0106429467441077E-3</v>
      </c>
    </row>
    <row r="494" spans="2:8">
      <c r="B494" s="46">
        <v>45007</v>
      </c>
      <c r="C494" s="60">
        <v>3126.34228515625</v>
      </c>
      <c r="D494" s="58">
        <f t="shared" si="14"/>
        <v>3.0995320646800616E-2</v>
      </c>
      <c r="F494" s="46">
        <v>45007</v>
      </c>
      <c r="G494" s="60">
        <v>17151.900390625</v>
      </c>
      <c r="H494" s="53">
        <f t="shared" si="15"/>
        <v>2.5953757489405233E-3</v>
      </c>
    </row>
    <row r="495" spans="2:8">
      <c r="B495" s="46">
        <v>45008</v>
      </c>
      <c r="C495" s="60">
        <v>3064.607177734375</v>
      </c>
      <c r="D495" s="58">
        <f t="shared" si="14"/>
        <v>-1.9746752527703335E-2</v>
      </c>
      <c r="F495" s="46">
        <v>45008</v>
      </c>
      <c r="G495" s="60">
        <v>17076.900390625</v>
      </c>
      <c r="H495" s="51">
        <f t="shared" si="15"/>
        <v>-4.3726933046436068E-3</v>
      </c>
    </row>
    <row r="496" spans="2:8">
      <c r="B496" s="46">
        <v>45009</v>
      </c>
      <c r="C496" s="60">
        <v>3068.4990234375</v>
      </c>
      <c r="D496" s="58">
        <f t="shared" si="14"/>
        <v>1.2699329726174537E-3</v>
      </c>
      <c r="F496" s="46">
        <v>45009</v>
      </c>
      <c r="G496" s="60">
        <v>16945.05078125</v>
      </c>
      <c r="H496" s="53">
        <f t="shared" si="15"/>
        <v>-7.7209333285906939E-3</v>
      </c>
    </row>
    <row r="497" spans="2:8">
      <c r="B497" s="46">
        <v>45012</v>
      </c>
      <c r="C497" s="60">
        <v>3140.693115234375</v>
      </c>
      <c r="D497" s="58">
        <f t="shared" si="14"/>
        <v>2.3527493815526539E-2</v>
      </c>
      <c r="F497" s="46">
        <v>45012</v>
      </c>
      <c r="G497" s="60">
        <v>16985.69921875</v>
      </c>
      <c r="H497" s="51">
        <f t="shared" si="15"/>
        <v>2.3988383407489234E-3</v>
      </c>
    </row>
    <row r="498" spans="2:8">
      <c r="B498" s="46">
        <v>45013</v>
      </c>
      <c r="C498" s="60">
        <v>3153.1962890625</v>
      </c>
      <c r="D498" s="58">
        <f t="shared" si="14"/>
        <v>3.9810237324610261E-3</v>
      </c>
      <c r="F498" s="46">
        <v>45013</v>
      </c>
      <c r="G498" s="60">
        <v>16951.69921875</v>
      </c>
      <c r="H498" s="53">
        <f t="shared" si="15"/>
        <v>-2.0016838613548761E-3</v>
      </c>
    </row>
    <row r="499" spans="2:8">
      <c r="B499" s="46">
        <v>45014</v>
      </c>
      <c r="C499" s="60">
        <v>3211.087890625</v>
      </c>
      <c r="D499" s="58">
        <f t="shared" si="14"/>
        <v>1.8359656759494723E-2</v>
      </c>
      <c r="F499" s="46">
        <v>45014</v>
      </c>
      <c r="G499" s="60">
        <v>17080.69921875</v>
      </c>
      <c r="H499" s="51">
        <f t="shared" si="15"/>
        <v>7.6098565893214518E-3</v>
      </c>
    </row>
    <row r="500" spans="2:8">
      <c r="B500" s="46">
        <v>45016</v>
      </c>
      <c r="C500" s="60">
        <v>3304.2978515625</v>
      </c>
      <c r="D500" s="58">
        <f t="shared" si="14"/>
        <v>2.9027533381952304E-2</v>
      </c>
      <c r="F500" s="46">
        <v>45016</v>
      </c>
      <c r="G500" s="60">
        <v>17359.75</v>
      </c>
      <c r="H500" s="53">
        <f t="shared" si="15"/>
        <v>1.6337198944623856E-2</v>
      </c>
    </row>
    <row r="501" spans="2:8">
      <c r="B501" s="46">
        <v>45019</v>
      </c>
      <c r="C501" s="60">
        <v>3307.898193359375</v>
      </c>
      <c r="D501" s="58">
        <f t="shared" si="14"/>
        <v>1.089593601609646E-3</v>
      </c>
      <c r="F501" s="46">
        <v>45019</v>
      </c>
      <c r="G501" s="60">
        <v>17398.05078125</v>
      </c>
      <c r="H501" s="51">
        <f t="shared" si="15"/>
        <v>2.2062979737611428E-3</v>
      </c>
    </row>
    <row r="502" spans="2:8">
      <c r="B502" s="46">
        <v>45021</v>
      </c>
      <c r="C502" s="60">
        <v>3316.65478515625</v>
      </c>
      <c r="D502" s="58">
        <f t="shared" si="14"/>
        <v>2.6471769338167386E-3</v>
      </c>
      <c r="F502" s="46">
        <v>45021</v>
      </c>
      <c r="G502" s="60">
        <v>17557.05078125</v>
      </c>
      <c r="H502" s="53">
        <f t="shared" si="15"/>
        <v>9.1389548173612303E-3</v>
      </c>
    </row>
    <row r="503" spans="2:8">
      <c r="B503" s="46">
        <v>45022</v>
      </c>
      <c r="C503" s="60">
        <v>3313.58984375</v>
      </c>
      <c r="D503" s="58">
        <f t="shared" si="14"/>
        <v>-9.2410624704361815E-4</v>
      </c>
      <c r="F503" s="46">
        <v>45022</v>
      </c>
      <c r="G503" s="60">
        <v>17599.150390625</v>
      </c>
      <c r="H503" s="51">
        <f t="shared" si="15"/>
        <v>2.3978747854372074E-3</v>
      </c>
    </row>
    <row r="504" spans="2:8">
      <c r="B504" s="46">
        <v>45026</v>
      </c>
      <c r="C504" s="60">
        <v>3281.384765625</v>
      </c>
      <c r="D504" s="58">
        <f t="shared" si="14"/>
        <v>-9.7190900635286265E-3</v>
      </c>
      <c r="F504" s="46">
        <v>45026</v>
      </c>
      <c r="G504" s="60">
        <v>17624.05078125</v>
      </c>
      <c r="H504" s="53">
        <f t="shared" si="15"/>
        <v>1.4148632219350965E-3</v>
      </c>
    </row>
    <row r="505" spans="2:8">
      <c r="B505" s="46">
        <v>45027</v>
      </c>
      <c r="C505" s="60">
        <v>3241.492919921875</v>
      </c>
      <c r="D505" s="58">
        <f t="shared" si="14"/>
        <v>-1.2157015574955552E-2</v>
      </c>
      <c r="F505" s="46">
        <v>45027</v>
      </c>
      <c r="G505" s="60">
        <v>17722.30078125</v>
      </c>
      <c r="H505" s="51">
        <f t="shared" si="15"/>
        <v>5.574768321964148E-3</v>
      </c>
    </row>
    <row r="506" spans="2:8">
      <c r="B506" s="46">
        <v>45028</v>
      </c>
      <c r="C506" s="60">
        <v>3250.29833984375</v>
      </c>
      <c r="D506" s="58">
        <f t="shared" si="14"/>
        <v>2.7164705089305651E-3</v>
      </c>
      <c r="F506" s="46">
        <v>45028</v>
      </c>
      <c r="G506" s="60">
        <v>17812.400390625</v>
      </c>
      <c r="H506" s="53">
        <f t="shared" si="15"/>
        <v>5.0839679614468796E-3</v>
      </c>
    </row>
    <row r="507" spans="2:8">
      <c r="B507" s="46">
        <v>45029</v>
      </c>
      <c r="C507" s="60">
        <v>3254.628173828125</v>
      </c>
      <c r="D507" s="58">
        <f t="shared" si="14"/>
        <v>1.3321343248088255E-3</v>
      </c>
      <c r="F507" s="46">
        <v>45029</v>
      </c>
      <c r="G507" s="60">
        <v>17828</v>
      </c>
      <c r="H507" s="51">
        <f t="shared" si="15"/>
        <v>8.7577244127132723E-4</v>
      </c>
    </row>
    <row r="508" spans="2:8">
      <c r="B508" s="46">
        <v>45033</v>
      </c>
      <c r="C508" s="60">
        <v>3242.271484375</v>
      </c>
      <c r="D508" s="58">
        <f t="shared" si="14"/>
        <v>-3.7966516582417903E-3</v>
      </c>
      <c r="F508" s="46">
        <v>45033</v>
      </c>
      <c r="G508" s="60">
        <v>17706.849609375</v>
      </c>
      <c r="H508" s="53">
        <f t="shared" si="15"/>
        <v>-6.7955121508301549E-3</v>
      </c>
    </row>
    <row r="509" spans="2:8">
      <c r="B509" s="46">
        <v>45034</v>
      </c>
      <c r="C509" s="60">
        <v>3275.839111328125</v>
      </c>
      <c r="D509" s="58">
        <f t="shared" si="14"/>
        <v>1.0353120370978342E-2</v>
      </c>
      <c r="F509" s="46">
        <v>45034</v>
      </c>
      <c r="G509" s="60">
        <v>17660.150390625</v>
      </c>
      <c r="H509" s="51">
        <f t="shared" si="15"/>
        <v>-2.6373533282439362E-3</v>
      </c>
    </row>
    <row r="510" spans="2:8">
      <c r="B510" s="46">
        <v>45035</v>
      </c>
      <c r="C510" s="60">
        <v>3251.3681640625</v>
      </c>
      <c r="D510" s="58">
        <f t="shared" si="14"/>
        <v>-7.4701309905612955E-3</v>
      </c>
      <c r="F510" s="46">
        <v>45035</v>
      </c>
      <c r="G510" s="60">
        <v>17618.75</v>
      </c>
      <c r="H510" s="53">
        <f t="shared" si="15"/>
        <v>-2.3442830162407708E-3</v>
      </c>
    </row>
    <row r="511" spans="2:8">
      <c r="B511" s="46">
        <v>45036</v>
      </c>
      <c r="C511" s="60">
        <v>3265.1845703125</v>
      </c>
      <c r="D511" s="58">
        <f t="shared" si="14"/>
        <v>4.2494130325545047E-3</v>
      </c>
      <c r="F511" s="46">
        <v>45036</v>
      </c>
      <c r="G511" s="60">
        <v>17624.44921875</v>
      </c>
      <c r="H511" s="51">
        <f t="shared" si="15"/>
        <v>3.2347463639588507E-4</v>
      </c>
    </row>
    <row r="512" spans="2:8">
      <c r="B512" s="46">
        <v>45037</v>
      </c>
      <c r="C512" s="60">
        <v>3316.849609375</v>
      </c>
      <c r="D512" s="58">
        <f t="shared" si="14"/>
        <v>1.5823007229743006E-2</v>
      </c>
      <c r="F512" s="46">
        <v>45037</v>
      </c>
      <c r="G512" s="60">
        <v>17624.05078125</v>
      </c>
      <c r="H512" s="53">
        <f t="shared" si="15"/>
        <v>-2.2607089450268724E-5</v>
      </c>
    </row>
    <row r="513" spans="2:8">
      <c r="B513" s="46">
        <v>45040</v>
      </c>
      <c r="C513" s="60">
        <v>3336.11376953125</v>
      </c>
      <c r="D513" s="58">
        <f t="shared" si="14"/>
        <v>5.8079691348683071E-3</v>
      </c>
      <c r="F513" s="46">
        <v>45040</v>
      </c>
      <c r="G513" s="60">
        <v>17743.400390625</v>
      </c>
      <c r="H513" s="51">
        <f t="shared" si="15"/>
        <v>6.7719737565653465E-3</v>
      </c>
    </row>
    <row r="514" spans="2:8">
      <c r="B514" s="46">
        <v>45041</v>
      </c>
      <c r="C514" s="60">
        <v>3328.962890625</v>
      </c>
      <c r="D514" s="58">
        <f t="shared" si="14"/>
        <v>-2.1434757326201002E-3</v>
      </c>
      <c r="F514" s="46">
        <v>45041</v>
      </c>
      <c r="G514" s="60">
        <v>17769.25</v>
      </c>
      <c r="H514" s="53">
        <f t="shared" si="15"/>
        <v>1.4568576938982925E-3</v>
      </c>
    </row>
    <row r="515" spans="2:8">
      <c r="B515" s="46">
        <v>45042</v>
      </c>
      <c r="C515" s="60">
        <v>3334.217041015625</v>
      </c>
      <c r="D515" s="58">
        <f t="shared" si="14"/>
        <v>1.5783144971131095E-3</v>
      </c>
      <c r="F515" s="46">
        <v>45042</v>
      </c>
      <c r="G515" s="60">
        <v>17813.599609375</v>
      </c>
      <c r="H515" s="51">
        <f t="shared" si="15"/>
        <v>2.495862761512163E-3</v>
      </c>
    </row>
    <row r="516" spans="2:8">
      <c r="B516" s="46">
        <v>45043</v>
      </c>
      <c r="C516" s="60">
        <v>3342.633056640625</v>
      </c>
      <c r="D516" s="58">
        <f t="shared" si="14"/>
        <v>2.5241355081180991E-3</v>
      </c>
      <c r="F516" s="46">
        <v>45043</v>
      </c>
      <c r="G516" s="60">
        <v>17915.05078125</v>
      </c>
      <c r="H516" s="53">
        <f t="shared" si="15"/>
        <v>5.6951528101938445E-3</v>
      </c>
    </row>
    <row r="517" spans="2:8">
      <c r="B517" s="46">
        <v>45044</v>
      </c>
      <c r="C517" s="60">
        <v>3415.021728515625</v>
      </c>
      <c r="D517" s="58">
        <f t="shared" ref="D517:D580" si="16">(C517-C516)/C516</f>
        <v>2.1656182610648635E-2</v>
      </c>
      <c r="F517" s="46">
        <v>45044</v>
      </c>
      <c r="G517" s="60">
        <v>18065</v>
      </c>
      <c r="H517" s="51">
        <f t="shared" ref="H517:H580" si="17">(G517-G516)/G516</f>
        <v>8.3700136036978338E-3</v>
      </c>
    </row>
    <row r="518" spans="2:8">
      <c r="B518" s="46">
        <v>45048</v>
      </c>
      <c r="C518" s="60">
        <v>3423.340576171875</v>
      </c>
      <c r="D518" s="58">
        <f t="shared" si="16"/>
        <v>2.435957460178701E-3</v>
      </c>
      <c r="F518" s="46">
        <v>45048</v>
      </c>
      <c r="G518" s="60">
        <v>18147.650390625</v>
      </c>
      <c r="H518" s="53">
        <f t="shared" si="17"/>
        <v>4.5751669319125379E-3</v>
      </c>
    </row>
    <row r="519" spans="2:8">
      <c r="B519" s="46">
        <v>45049</v>
      </c>
      <c r="C519" s="60">
        <v>3422.07568359375</v>
      </c>
      <c r="D519" s="58">
        <f t="shared" si="16"/>
        <v>-3.6949072111880165E-4</v>
      </c>
      <c r="F519" s="46">
        <v>45049</v>
      </c>
      <c r="G519" s="60">
        <v>18089.849609375</v>
      </c>
      <c r="H519" s="51">
        <f t="shared" si="17"/>
        <v>-3.18502836487635E-3</v>
      </c>
    </row>
    <row r="520" spans="2:8">
      <c r="B520" s="46">
        <v>45050</v>
      </c>
      <c r="C520" s="60">
        <v>3386.17333984375</v>
      </c>
      <c r="D520" s="58">
        <f t="shared" si="16"/>
        <v>-1.0491393840914867E-2</v>
      </c>
      <c r="F520" s="46">
        <v>45050</v>
      </c>
      <c r="G520" s="60">
        <v>18255.80078125</v>
      </c>
      <c r="H520" s="53">
        <f t="shared" si="17"/>
        <v>9.173717607303733E-3</v>
      </c>
    </row>
    <row r="521" spans="2:8">
      <c r="B521" s="46">
        <v>45051</v>
      </c>
      <c r="C521" s="60">
        <v>3372.114013671875</v>
      </c>
      <c r="D521" s="58">
        <f t="shared" si="16"/>
        <v>-4.1519806462488266E-3</v>
      </c>
      <c r="F521" s="46">
        <v>45051</v>
      </c>
      <c r="G521" s="60">
        <v>18069</v>
      </c>
      <c r="H521" s="51">
        <f t="shared" si="17"/>
        <v>-1.0232406865540384E-2</v>
      </c>
    </row>
    <row r="522" spans="2:8">
      <c r="B522" s="46">
        <v>45054</v>
      </c>
      <c r="C522" s="60">
        <v>3418.330078125</v>
      </c>
      <c r="D522" s="58">
        <f t="shared" si="16"/>
        <v>1.3705368284033967E-2</v>
      </c>
      <c r="F522" s="46">
        <v>45054</v>
      </c>
      <c r="G522" s="60">
        <v>18264.400390625</v>
      </c>
      <c r="H522" s="53">
        <f t="shared" si="17"/>
        <v>1.0814123118324201E-2</v>
      </c>
    </row>
    <row r="523" spans="2:8">
      <c r="B523" s="46">
        <v>45055</v>
      </c>
      <c r="C523" s="60">
        <v>3520.24853515625</v>
      </c>
      <c r="D523" s="58">
        <f t="shared" si="16"/>
        <v>2.9815276670751949E-2</v>
      </c>
      <c r="F523" s="46">
        <v>45055</v>
      </c>
      <c r="G523" s="60">
        <v>18265.94921875</v>
      </c>
      <c r="H523" s="51">
        <f t="shared" si="17"/>
        <v>8.4800381719347525E-5</v>
      </c>
    </row>
    <row r="524" spans="2:8">
      <c r="B524" s="46">
        <v>45056</v>
      </c>
      <c r="C524" s="60">
        <v>3488.918701171875</v>
      </c>
      <c r="D524" s="58">
        <f t="shared" si="16"/>
        <v>-8.8998926273210974E-3</v>
      </c>
      <c r="F524" s="46">
        <v>45056</v>
      </c>
      <c r="G524" s="60">
        <v>18315.099609375</v>
      </c>
      <c r="H524" s="53">
        <f t="shared" si="17"/>
        <v>2.6908205008337105E-3</v>
      </c>
    </row>
    <row r="525" spans="2:8">
      <c r="B525" s="46">
        <v>45057</v>
      </c>
      <c r="C525" s="60">
        <v>3403.10302734375</v>
      </c>
      <c r="D525" s="58">
        <f t="shared" si="16"/>
        <v>-2.4596639010046526E-2</v>
      </c>
      <c r="F525" s="46">
        <v>45057</v>
      </c>
      <c r="G525" s="60">
        <v>18297</v>
      </c>
      <c r="H525" s="51">
        <f t="shared" si="17"/>
        <v>-9.8823428542727139E-4</v>
      </c>
    </row>
    <row r="526" spans="2:8">
      <c r="B526" s="46">
        <v>45058</v>
      </c>
      <c r="C526" s="60">
        <v>3316.65478515625</v>
      </c>
      <c r="D526" s="58">
        <f t="shared" si="16"/>
        <v>-2.5402769617285464E-2</v>
      </c>
      <c r="F526" s="46">
        <v>45058</v>
      </c>
      <c r="G526" s="60">
        <v>18314.80078125</v>
      </c>
      <c r="H526" s="53">
        <f t="shared" si="17"/>
        <v>9.7287977537301195E-4</v>
      </c>
    </row>
    <row r="527" spans="2:8">
      <c r="B527" s="46">
        <v>45061</v>
      </c>
      <c r="C527" s="60">
        <v>3333.04931640625</v>
      </c>
      <c r="D527" s="58">
        <f t="shared" si="16"/>
        <v>4.9430924567048793E-3</v>
      </c>
      <c r="F527" s="46">
        <v>45061</v>
      </c>
      <c r="G527" s="60">
        <v>18398.849609375</v>
      </c>
      <c r="H527" s="51">
        <f t="shared" si="17"/>
        <v>4.589120522186952E-3</v>
      </c>
    </row>
    <row r="528" spans="2:8">
      <c r="B528" s="46">
        <v>45062</v>
      </c>
      <c r="C528" s="60">
        <v>3321.37353515625</v>
      </c>
      <c r="D528" s="58">
        <f t="shared" si="16"/>
        <v>-3.5030328511877597E-3</v>
      </c>
      <c r="F528" s="46">
        <v>45062</v>
      </c>
      <c r="G528" s="60">
        <v>18286.5</v>
      </c>
      <c r="H528" s="53">
        <f t="shared" si="17"/>
        <v>-6.1063388070606911E-3</v>
      </c>
    </row>
    <row r="529" spans="2:8">
      <c r="B529" s="46">
        <v>45063</v>
      </c>
      <c r="C529" s="60">
        <v>3292.476318359375</v>
      </c>
      <c r="D529" s="58">
        <f t="shared" si="16"/>
        <v>-8.7003814810355448E-3</v>
      </c>
      <c r="F529" s="46">
        <v>45063</v>
      </c>
      <c r="G529" s="60">
        <v>18181.75</v>
      </c>
      <c r="H529" s="51">
        <f t="shared" si="17"/>
        <v>-5.7282694884204198E-3</v>
      </c>
    </row>
    <row r="530" spans="2:8">
      <c r="B530" s="46">
        <v>45064</v>
      </c>
      <c r="C530" s="60">
        <v>3236.38525390625</v>
      </c>
      <c r="D530" s="58">
        <f t="shared" si="16"/>
        <v>-1.7036132998239729E-2</v>
      </c>
      <c r="F530" s="46">
        <v>45064</v>
      </c>
      <c r="G530" s="60">
        <v>18129.94921875</v>
      </c>
      <c r="H530" s="53">
        <f t="shared" si="17"/>
        <v>-2.8490536527011976E-3</v>
      </c>
    </row>
    <row r="531" spans="2:8">
      <c r="B531" s="46">
        <v>45065</v>
      </c>
      <c r="C531" s="60">
        <v>3212.83935546875</v>
      </c>
      <c r="D531" s="58">
        <f t="shared" si="16"/>
        <v>-7.2753694601347561E-3</v>
      </c>
      <c r="F531" s="46">
        <v>45065</v>
      </c>
      <c r="G531" s="60">
        <v>18203.400390625</v>
      </c>
      <c r="H531" s="51">
        <f t="shared" si="17"/>
        <v>4.051372179191587E-3</v>
      </c>
    </row>
    <row r="532" spans="2:8">
      <c r="B532" s="46">
        <v>45068</v>
      </c>
      <c r="C532" s="60">
        <v>3164.336669921875</v>
      </c>
      <c r="D532" s="58">
        <f t="shared" si="16"/>
        <v>-1.5096517497619644E-2</v>
      </c>
      <c r="F532" s="46">
        <v>45068</v>
      </c>
      <c r="G532" s="60">
        <v>18314.400390625</v>
      </c>
      <c r="H532" s="53">
        <f t="shared" si="17"/>
        <v>6.0977618257062847E-3</v>
      </c>
    </row>
    <row r="533" spans="2:8">
      <c r="B533" s="46">
        <v>45069</v>
      </c>
      <c r="C533" s="60">
        <v>3169.833740234375</v>
      </c>
      <c r="D533" s="58">
        <f t="shared" si="16"/>
        <v>1.7371951489080074E-3</v>
      </c>
      <c r="F533" s="46">
        <v>45069</v>
      </c>
      <c r="G533" s="60">
        <v>18348</v>
      </c>
      <c r="H533" s="51">
        <f t="shared" si="17"/>
        <v>1.8346005688616145E-3</v>
      </c>
    </row>
    <row r="534" spans="2:8">
      <c r="B534" s="46">
        <v>45070</v>
      </c>
      <c r="C534" s="60">
        <v>3220.623046875</v>
      </c>
      <c r="D534" s="58">
        <f t="shared" si="16"/>
        <v>1.6022703650340246E-2</v>
      </c>
      <c r="F534" s="46">
        <v>45070</v>
      </c>
      <c r="G534" s="60">
        <v>18285.400390625</v>
      </c>
      <c r="H534" s="53">
        <f t="shared" si="17"/>
        <v>-3.4117947119577064E-3</v>
      </c>
    </row>
    <row r="535" spans="2:8">
      <c r="B535" s="46">
        <v>45071</v>
      </c>
      <c r="C535" s="60">
        <v>3234.5361328125</v>
      </c>
      <c r="D535" s="58">
        <f t="shared" si="16"/>
        <v>4.3199982534435364E-3</v>
      </c>
      <c r="F535" s="46">
        <v>45071</v>
      </c>
      <c r="G535" s="60">
        <v>18321.150390625</v>
      </c>
      <c r="H535" s="51">
        <f t="shared" si="17"/>
        <v>1.955111686716424E-3</v>
      </c>
    </row>
    <row r="536" spans="2:8">
      <c r="B536" s="46">
        <v>45072</v>
      </c>
      <c r="C536" s="60">
        <v>3255.406494140625</v>
      </c>
      <c r="D536" s="58">
        <f t="shared" si="16"/>
        <v>6.4523506528207384E-3</v>
      </c>
      <c r="F536" s="46">
        <v>45072</v>
      </c>
      <c r="G536" s="60">
        <v>18499.349609375</v>
      </c>
      <c r="H536" s="53">
        <f t="shared" si="17"/>
        <v>9.7264208278747162E-3</v>
      </c>
    </row>
    <row r="537" spans="2:8">
      <c r="B537" s="46">
        <v>45075</v>
      </c>
      <c r="C537" s="60">
        <v>3257.936279296875</v>
      </c>
      <c r="D537" s="58">
        <f t="shared" si="16"/>
        <v>7.7710269387351041E-4</v>
      </c>
      <c r="F537" s="46">
        <v>45075</v>
      </c>
      <c r="G537" s="60">
        <v>18598.650390625</v>
      </c>
      <c r="H537" s="51">
        <f t="shared" si="17"/>
        <v>5.3677985089636282E-3</v>
      </c>
    </row>
    <row r="538" spans="2:8">
      <c r="B538" s="46">
        <v>45076</v>
      </c>
      <c r="C538" s="60">
        <v>3267.9091796875</v>
      </c>
      <c r="D538" s="58">
        <f t="shared" si="16"/>
        <v>3.0611097135323172E-3</v>
      </c>
      <c r="F538" s="46">
        <v>45076</v>
      </c>
      <c r="G538" s="60">
        <v>18633.849609375</v>
      </c>
      <c r="H538" s="53">
        <f t="shared" si="17"/>
        <v>1.892568439683281E-3</v>
      </c>
    </row>
    <row r="539" spans="2:8">
      <c r="B539" s="46">
        <v>45077</v>
      </c>
      <c r="C539" s="60">
        <v>3268.784912109375</v>
      </c>
      <c r="D539" s="58">
        <f t="shared" si="16"/>
        <v>2.6797942467873099E-4</v>
      </c>
      <c r="F539" s="46">
        <v>45077</v>
      </c>
      <c r="G539" s="60">
        <v>18534.400390625</v>
      </c>
      <c r="H539" s="51">
        <f t="shared" si="17"/>
        <v>-5.33701950132545E-3</v>
      </c>
    </row>
    <row r="540" spans="2:8">
      <c r="B540" s="46">
        <v>45078</v>
      </c>
      <c r="C540" s="60">
        <v>3288.97412109375</v>
      </c>
      <c r="D540" s="58">
        <f t="shared" si="16"/>
        <v>6.1763650797527483E-3</v>
      </c>
      <c r="F540" s="46">
        <v>45078</v>
      </c>
      <c r="G540" s="60">
        <v>18487.75</v>
      </c>
      <c r="H540" s="53">
        <f t="shared" si="17"/>
        <v>-2.5169624936232909E-3</v>
      </c>
    </row>
    <row r="541" spans="2:8">
      <c r="B541" s="46">
        <v>45079</v>
      </c>
      <c r="C541" s="60">
        <v>3272.822265625</v>
      </c>
      <c r="D541" s="58">
        <f t="shared" si="16"/>
        <v>-4.9109098685698061E-3</v>
      </c>
      <c r="F541" s="46">
        <v>45079</v>
      </c>
      <c r="G541" s="60">
        <v>18534.099609375</v>
      </c>
      <c r="H541" s="51">
        <f t="shared" si="17"/>
        <v>2.5070443604548959E-3</v>
      </c>
    </row>
    <row r="542" spans="2:8">
      <c r="B542" s="46">
        <v>45082</v>
      </c>
      <c r="C542" s="60">
        <v>3303.908935546875</v>
      </c>
      <c r="D542" s="58">
        <f t="shared" si="16"/>
        <v>9.4984290006773341E-3</v>
      </c>
      <c r="F542" s="46">
        <v>45082</v>
      </c>
      <c r="G542" s="60">
        <v>18593.849609375</v>
      </c>
      <c r="H542" s="53">
        <f t="shared" si="17"/>
        <v>3.2237875731377309E-3</v>
      </c>
    </row>
    <row r="543" spans="2:8">
      <c r="B543" s="46">
        <v>45083</v>
      </c>
      <c r="C543" s="60">
        <v>3297.195556640625</v>
      </c>
      <c r="D543" s="58">
        <f t="shared" si="16"/>
        <v>-2.0319503464579533E-3</v>
      </c>
      <c r="F543" s="46">
        <v>45083</v>
      </c>
      <c r="G543" s="60">
        <v>18599</v>
      </c>
      <c r="H543" s="51">
        <f t="shared" si="17"/>
        <v>2.7699431442121478E-4</v>
      </c>
    </row>
    <row r="544" spans="2:8">
      <c r="B544" s="46">
        <v>45084</v>
      </c>
      <c r="C544" s="60">
        <v>3315.4873046875</v>
      </c>
      <c r="D544" s="58">
        <f t="shared" si="16"/>
        <v>5.5476685360790973E-3</v>
      </c>
      <c r="F544" s="46">
        <v>45084</v>
      </c>
      <c r="G544" s="60">
        <v>18726.400390625</v>
      </c>
      <c r="H544" s="53">
        <f t="shared" si="17"/>
        <v>6.8498516385289534E-3</v>
      </c>
    </row>
    <row r="545" spans="2:8">
      <c r="B545" s="46">
        <v>45085</v>
      </c>
      <c r="C545" s="60">
        <v>3349.006103515625</v>
      </c>
      <c r="D545" s="58">
        <f t="shared" si="16"/>
        <v>1.0109765397302373E-2</v>
      </c>
      <c r="F545" s="46">
        <v>45085</v>
      </c>
      <c r="G545" s="60">
        <v>18634.55078125</v>
      </c>
      <c r="H545" s="51">
        <f t="shared" si="17"/>
        <v>-4.904819263662796E-3</v>
      </c>
    </row>
    <row r="546" spans="2:8">
      <c r="B546" s="46">
        <v>45086</v>
      </c>
      <c r="C546" s="60">
        <v>3322.200927734375</v>
      </c>
      <c r="D546" s="58">
        <f t="shared" si="16"/>
        <v>-8.0039196563754297E-3</v>
      </c>
      <c r="F546" s="46">
        <v>45086</v>
      </c>
      <c r="G546" s="60">
        <v>18563.400390625</v>
      </c>
      <c r="H546" s="53">
        <f t="shared" si="17"/>
        <v>-3.8181972541345725E-3</v>
      </c>
    </row>
    <row r="547" spans="2:8">
      <c r="B547" s="46">
        <v>45089</v>
      </c>
      <c r="C547" s="60">
        <v>3257.011962890625</v>
      </c>
      <c r="D547" s="58">
        <f t="shared" si="16"/>
        <v>-1.962222221405693E-2</v>
      </c>
      <c r="F547" s="46">
        <v>45089</v>
      </c>
      <c r="G547" s="60">
        <v>18601.5</v>
      </c>
      <c r="H547" s="51">
        <f t="shared" si="17"/>
        <v>2.0524046550351462E-3</v>
      </c>
    </row>
    <row r="548" spans="2:8">
      <c r="B548" s="46">
        <v>45090</v>
      </c>
      <c r="C548" s="60">
        <v>3297.827880859375</v>
      </c>
      <c r="D548" s="58">
        <f t="shared" si="16"/>
        <v>1.2531706494723936E-2</v>
      </c>
      <c r="F548" s="46">
        <v>45090</v>
      </c>
      <c r="G548" s="60">
        <v>18716.150390625</v>
      </c>
      <c r="H548" s="53">
        <f t="shared" si="17"/>
        <v>6.1635024393194094E-3</v>
      </c>
    </row>
    <row r="549" spans="2:8">
      <c r="B549" s="46">
        <v>45091</v>
      </c>
      <c r="C549" s="60">
        <v>3281.6767578125</v>
      </c>
      <c r="D549" s="58">
        <f t="shared" si="16"/>
        <v>-4.897503335639884E-3</v>
      </c>
      <c r="F549" s="46">
        <v>45091</v>
      </c>
      <c r="G549" s="60">
        <v>18755.900390625</v>
      </c>
      <c r="H549" s="51">
        <f t="shared" si="17"/>
        <v>2.1238341844010264E-3</v>
      </c>
    </row>
    <row r="550" spans="2:8">
      <c r="B550" s="46">
        <v>45092</v>
      </c>
      <c r="C550" s="60">
        <v>3302.643798828125</v>
      </c>
      <c r="D550" s="58">
        <f t="shared" si="16"/>
        <v>6.3891243906670468E-3</v>
      </c>
      <c r="F550" s="46">
        <v>45092</v>
      </c>
      <c r="G550" s="60">
        <v>18688.099609375</v>
      </c>
      <c r="H550" s="53">
        <f t="shared" si="17"/>
        <v>-3.6149041015322157E-3</v>
      </c>
    </row>
    <row r="551" spans="2:8">
      <c r="B551" s="46">
        <v>45093</v>
      </c>
      <c r="C551" s="60">
        <v>3307.070556640625</v>
      </c>
      <c r="D551" s="58">
        <f t="shared" si="16"/>
        <v>1.3403679240464089E-3</v>
      </c>
      <c r="F551" s="46">
        <v>45093</v>
      </c>
      <c r="G551" s="60">
        <v>18826</v>
      </c>
      <c r="H551" s="51">
        <f t="shared" si="17"/>
        <v>7.3790483520229863E-3</v>
      </c>
    </row>
    <row r="552" spans="2:8">
      <c r="B552" s="46">
        <v>45096</v>
      </c>
      <c r="C552" s="60">
        <v>3310.62255859375</v>
      </c>
      <c r="D552" s="58">
        <f t="shared" si="16"/>
        <v>1.0740629485489963E-3</v>
      </c>
      <c r="F552" s="46">
        <v>45096</v>
      </c>
      <c r="G552" s="60">
        <v>18755.44921875</v>
      </c>
      <c r="H552" s="53">
        <f t="shared" si="17"/>
        <v>-3.7475183921172844E-3</v>
      </c>
    </row>
    <row r="553" spans="2:8">
      <c r="B553" s="46">
        <v>45097</v>
      </c>
      <c r="C553" s="60">
        <v>3292.427734375</v>
      </c>
      <c r="D553" s="58">
        <f t="shared" si="16"/>
        <v>-5.4958920555651016E-3</v>
      </c>
      <c r="F553" s="46">
        <v>45097</v>
      </c>
      <c r="G553" s="60">
        <v>18816.69921875</v>
      </c>
      <c r="H553" s="51">
        <f t="shared" si="17"/>
        <v>3.2657175674986124E-3</v>
      </c>
    </row>
    <row r="554" spans="2:8">
      <c r="B554" s="46">
        <v>45098</v>
      </c>
      <c r="C554" s="60">
        <v>3298.265380859375</v>
      </c>
      <c r="D554" s="58">
        <f t="shared" si="16"/>
        <v>1.7730522748992568E-3</v>
      </c>
      <c r="F554" s="46">
        <v>45098</v>
      </c>
      <c r="G554" s="60">
        <v>18856.849609375</v>
      </c>
      <c r="H554" s="53">
        <f t="shared" si="17"/>
        <v>2.133763746671995E-3</v>
      </c>
    </row>
    <row r="555" spans="2:8">
      <c r="B555" s="46">
        <v>45099</v>
      </c>
      <c r="C555" s="60">
        <v>3258.860595703125</v>
      </c>
      <c r="D555" s="58">
        <f t="shared" si="16"/>
        <v>-1.1947123898800083E-2</v>
      </c>
      <c r="F555" s="46">
        <v>45099</v>
      </c>
      <c r="G555" s="60">
        <v>18771.25</v>
      </c>
      <c r="H555" s="51">
        <f t="shared" si="17"/>
        <v>-4.5394438174042985E-3</v>
      </c>
    </row>
    <row r="556" spans="2:8">
      <c r="B556" s="46">
        <v>45100</v>
      </c>
      <c r="C556" s="60">
        <v>3259.395263671875</v>
      </c>
      <c r="D556" s="58">
        <f t="shared" si="16"/>
        <v>1.6406592213701033E-4</v>
      </c>
      <c r="F556" s="46">
        <v>45100</v>
      </c>
      <c r="G556" s="60">
        <v>18665.5</v>
      </c>
      <c r="H556" s="53">
        <f t="shared" si="17"/>
        <v>-5.6336152360657917E-3</v>
      </c>
    </row>
    <row r="557" spans="2:8">
      <c r="B557" s="46">
        <v>45103</v>
      </c>
      <c r="C557" s="60">
        <v>3309.552001953125</v>
      </c>
      <c r="D557" s="58">
        <f t="shared" si="16"/>
        <v>1.5388357110375707E-2</v>
      </c>
      <c r="F557" s="46">
        <v>45103</v>
      </c>
      <c r="G557" s="60">
        <v>18691.19921875</v>
      </c>
      <c r="H557" s="51">
        <f t="shared" si="17"/>
        <v>1.3768299134767352E-3</v>
      </c>
    </row>
    <row r="558" spans="2:8">
      <c r="B558" s="46">
        <v>45104</v>
      </c>
      <c r="C558" s="60">
        <v>3303.665771484375</v>
      </c>
      <c r="D558" s="58">
        <f t="shared" si="16"/>
        <v>-1.7785580843800773E-3</v>
      </c>
      <c r="F558" s="46">
        <v>45104</v>
      </c>
      <c r="G558" s="60">
        <v>18817.400390625</v>
      </c>
      <c r="H558" s="53">
        <f t="shared" si="17"/>
        <v>6.7519034171120394E-3</v>
      </c>
    </row>
    <row r="559" spans="2:8">
      <c r="B559" s="46">
        <v>45105</v>
      </c>
      <c r="C559" s="60">
        <v>3352.994873046875</v>
      </c>
      <c r="D559" s="58">
        <f t="shared" si="16"/>
        <v>1.4931625949660117E-2</v>
      </c>
      <c r="F559" s="46">
        <v>45105</v>
      </c>
      <c r="G559" s="60">
        <v>18972.099609375</v>
      </c>
      <c r="H559" s="51">
        <f t="shared" si="17"/>
        <v>8.2210728123249463E-3</v>
      </c>
    </row>
    <row r="560" spans="2:8">
      <c r="B560" s="46">
        <v>45107</v>
      </c>
      <c r="C560" s="60">
        <v>3417.892333984375</v>
      </c>
      <c r="D560" s="58">
        <f t="shared" si="16"/>
        <v>1.9355073119610086E-2</v>
      </c>
      <c r="F560" s="46">
        <v>45107</v>
      </c>
      <c r="G560" s="60">
        <v>19189.05078125</v>
      </c>
      <c r="H560" s="53">
        <f t="shared" si="17"/>
        <v>1.143527476356883E-2</v>
      </c>
    </row>
    <row r="561" spans="2:8">
      <c r="B561" s="46">
        <v>45110</v>
      </c>
      <c r="C561" s="60">
        <v>3399.454345703125</v>
      </c>
      <c r="D561" s="58">
        <f t="shared" si="16"/>
        <v>-5.3945491781351969E-3</v>
      </c>
      <c r="F561" s="46">
        <v>45110</v>
      </c>
      <c r="G561" s="60">
        <v>19322.55078125</v>
      </c>
      <c r="H561" s="51">
        <f t="shared" si="17"/>
        <v>6.9570924336937751E-3</v>
      </c>
    </row>
    <row r="562" spans="2:8">
      <c r="B562" s="46">
        <v>45111</v>
      </c>
      <c r="C562" s="60">
        <v>3400.330322265625</v>
      </c>
      <c r="D562" s="58">
        <f t="shared" si="16"/>
        <v>2.5768151986133459E-4</v>
      </c>
      <c r="F562" s="46">
        <v>45111</v>
      </c>
      <c r="G562" s="60">
        <v>19389</v>
      </c>
      <c r="H562" s="53">
        <f t="shared" si="17"/>
        <v>3.4389465191355714E-3</v>
      </c>
    </row>
    <row r="563" spans="2:8">
      <c r="B563" s="46">
        <v>45112</v>
      </c>
      <c r="C563" s="60">
        <v>3417.308349609375</v>
      </c>
      <c r="D563" s="58">
        <f t="shared" si="16"/>
        <v>4.993052360994627E-3</v>
      </c>
      <c r="F563" s="46">
        <v>45112</v>
      </c>
      <c r="G563" s="60">
        <v>19398.5</v>
      </c>
      <c r="H563" s="51">
        <f t="shared" si="17"/>
        <v>4.8996853886224153E-4</v>
      </c>
    </row>
    <row r="564" spans="2:8">
      <c r="B564" s="46">
        <v>45113</v>
      </c>
      <c r="C564" s="60">
        <v>3428.0107421875</v>
      </c>
      <c r="D564" s="58">
        <f t="shared" si="16"/>
        <v>3.1318193979622492E-3</v>
      </c>
      <c r="F564" s="46">
        <v>45113</v>
      </c>
      <c r="G564" s="60">
        <v>19497.30078125</v>
      </c>
      <c r="H564" s="53">
        <f t="shared" si="17"/>
        <v>5.0932175812562824E-3</v>
      </c>
    </row>
    <row r="565" spans="2:8">
      <c r="B565" s="46">
        <v>45114</v>
      </c>
      <c r="C565" s="60">
        <v>3396.3896484375</v>
      </c>
      <c r="D565" s="58">
        <f t="shared" si="16"/>
        <v>-9.2243274972416758E-3</v>
      </c>
      <c r="F565" s="46">
        <v>45114</v>
      </c>
      <c r="G565" s="60">
        <v>19331.80078125</v>
      </c>
      <c r="H565" s="51">
        <f t="shared" si="17"/>
        <v>-8.4883544577184066E-3</v>
      </c>
    </row>
    <row r="566" spans="2:8">
      <c r="B566" s="46">
        <v>45117</v>
      </c>
      <c r="C566" s="60">
        <v>3393.373291015625</v>
      </c>
      <c r="D566" s="58">
        <f t="shared" si="16"/>
        <v>-8.8810700010897366E-4</v>
      </c>
      <c r="F566" s="46">
        <v>45117</v>
      </c>
      <c r="G566" s="60">
        <v>19355.900390625</v>
      </c>
      <c r="H566" s="53">
        <f t="shared" si="17"/>
        <v>1.2466303397029789E-3</v>
      </c>
    </row>
    <row r="567" spans="2:8">
      <c r="B567" s="46">
        <v>45118</v>
      </c>
      <c r="C567" s="60">
        <v>3419.059814453125</v>
      </c>
      <c r="D567" s="58">
        <f t="shared" si="16"/>
        <v>7.5696132534278631E-3</v>
      </c>
      <c r="F567" s="46">
        <v>45118</v>
      </c>
      <c r="G567" s="60">
        <v>19439.400390625</v>
      </c>
      <c r="H567" s="51">
        <f t="shared" si="17"/>
        <v>4.3139300324382271E-3</v>
      </c>
    </row>
    <row r="568" spans="2:8">
      <c r="B568" s="46">
        <v>45119</v>
      </c>
      <c r="C568" s="60">
        <v>3433.60546875</v>
      </c>
      <c r="D568" s="58">
        <f t="shared" si="16"/>
        <v>4.2542848286500545E-3</v>
      </c>
      <c r="F568" s="46">
        <v>45119</v>
      </c>
      <c r="G568" s="60">
        <v>19384.30078125</v>
      </c>
      <c r="H568" s="53">
        <f t="shared" si="17"/>
        <v>-2.8344294714755078E-3</v>
      </c>
    </row>
    <row r="569" spans="2:8">
      <c r="B569" s="46">
        <v>45120</v>
      </c>
      <c r="C569" s="60">
        <v>3416.23828125</v>
      </c>
      <c r="D569" s="58">
        <f t="shared" si="16"/>
        <v>-5.0580032150060921E-3</v>
      </c>
      <c r="F569" s="46">
        <v>45120</v>
      </c>
      <c r="G569" s="60">
        <v>19413.75</v>
      </c>
      <c r="H569" s="51">
        <f t="shared" si="17"/>
        <v>1.5192303855749891E-3</v>
      </c>
    </row>
    <row r="570" spans="2:8">
      <c r="B570" s="46">
        <v>45121</v>
      </c>
      <c r="C570" s="60">
        <v>3424.216552734375</v>
      </c>
      <c r="D570" s="58">
        <f t="shared" si="16"/>
        <v>2.3353966636822988E-3</v>
      </c>
      <c r="F570" s="46">
        <v>45121</v>
      </c>
      <c r="G570" s="60">
        <v>19564.5</v>
      </c>
      <c r="H570" s="53">
        <f t="shared" si="17"/>
        <v>7.7651149314274673E-3</v>
      </c>
    </row>
    <row r="571" spans="2:8">
      <c r="B571" s="46">
        <v>45124</v>
      </c>
      <c r="C571" s="60">
        <v>3530.513427734375</v>
      </c>
      <c r="D571" s="58">
        <f t="shared" si="16"/>
        <v>3.1042684761020053E-2</v>
      </c>
      <c r="F571" s="46">
        <v>45124</v>
      </c>
      <c r="G571" s="60">
        <v>19711.44921875</v>
      </c>
      <c r="H571" s="51">
        <f t="shared" si="17"/>
        <v>7.5110132510414268E-3</v>
      </c>
    </row>
    <row r="572" spans="2:8">
      <c r="B572" s="46">
        <v>45125</v>
      </c>
      <c r="C572" s="60">
        <v>3567.53466796875</v>
      </c>
      <c r="D572" s="58">
        <f t="shared" si="16"/>
        <v>1.0486078297720148E-2</v>
      </c>
      <c r="F572" s="46">
        <v>45125</v>
      </c>
      <c r="G572" s="60">
        <v>19749.25</v>
      </c>
      <c r="H572" s="53">
        <f t="shared" si="17"/>
        <v>1.917706853032551E-3</v>
      </c>
    </row>
    <row r="573" spans="2:8">
      <c r="B573" s="46">
        <v>45126</v>
      </c>
      <c r="C573" s="60">
        <v>3541.06982421875</v>
      </c>
      <c r="D573" s="58">
        <f t="shared" si="16"/>
        <v>-7.4182443096112386E-3</v>
      </c>
      <c r="F573" s="46">
        <v>45126</v>
      </c>
      <c r="G573" s="60">
        <v>19833.150390625</v>
      </c>
      <c r="H573" s="51">
        <f t="shared" si="17"/>
        <v>4.248282371482461E-3</v>
      </c>
    </row>
    <row r="574" spans="2:8">
      <c r="B574" s="46">
        <v>45127</v>
      </c>
      <c r="C574" s="60">
        <v>3590.350830078125</v>
      </c>
      <c r="D574" s="58">
        <f t="shared" si="16"/>
        <v>1.3916982241446663E-2</v>
      </c>
      <c r="F574" s="46">
        <v>45127</v>
      </c>
      <c r="G574" s="60">
        <v>19979.150390625</v>
      </c>
      <c r="H574" s="53">
        <f t="shared" si="17"/>
        <v>7.3614124394989332E-3</v>
      </c>
    </row>
    <row r="575" spans="2:8">
      <c r="B575" s="46">
        <v>45128</v>
      </c>
      <c r="C575" s="60">
        <v>3600.9072265625</v>
      </c>
      <c r="D575" s="58">
        <f t="shared" si="16"/>
        <v>2.9402130833396287E-3</v>
      </c>
      <c r="F575" s="46">
        <v>45128</v>
      </c>
      <c r="G575" s="60">
        <v>19745</v>
      </c>
      <c r="H575" s="51">
        <f t="shared" si="17"/>
        <v>-1.1719737128305142E-2</v>
      </c>
    </row>
    <row r="576" spans="2:8">
      <c r="B576" s="46">
        <v>45131</v>
      </c>
      <c r="C576" s="60">
        <v>3679.57177734375</v>
      </c>
      <c r="D576" s="58">
        <f t="shared" si="16"/>
        <v>2.1845758813493453E-2</v>
      </c>
      <c r="F576" s="46">
        <v>45131</v>
      </c>
      <c r="G576" s="60">
        <v>19672.349609375</v>
      </c>
      <c r="H576" s="53">
        <f t="shared" si="17"/>
        <v>-3.6794322929855658E-3</v>
      </c>
    </row>
    <row r="577" spans="2:8">
      <c r="B577" s="46">
        <v>45132</v>
      </c>
      <c r="C577" s="60">
        <v>3843.85791015625</v>
      </c>
      <c r="D577" s="58">
        <f t="shared" si="16"/>
        <v>4.4648166350242172E-2</v>
      </c>
      <c r="F577" s="46">
        <v>45132</v>
      </c>
      <c r="G577" s="60">
        <v>19680.599609375</v>
      </c>
      <c r="H577" s="51">
        <f t="shared" si="17"/>
        <v>4.193703428322768E-4</v>
      </c>
    </row>
    <row r="578" spans="2:8">
      <c r="B578" s="46">
        <v>45133</v>
      </c>
      <c r="C578" s="60">
        <v>3896.64111328125</v>
      </c>
      <c r="D578" s="58">
        <f t="shared" si="16"/>
        <v>1.3731829937193074E-2</v>
      </c>
      <c r="F578" s="46">
        <v>45133</v>
      </c>
      <c r="G578" s="60">
        <v>19778.30078125</v>
      </c>
      <c r="H578" s="53">
        <f t="shared" si="17"/>
        <v>4.9643391875346787E-3</v>
      </c>
    </row>
    <row r="579" spans="2:8">
      <c r="B579" s="46">
        <v>45134</v>
      </c>
      <c r="C579" s="60">
        <v>3919.457763671875</v>
      </c>
      <c r="D579" s="58">
        <f t="shared" si="16"/>
        <v>5.8554662149555136E-3</v>
      </c>
      <c r="F579" s="46">
        <v>45134</v>
      </c>
      <c r="G579" s="60">
        <v>19659.900390625</v>
      </c>
      <c r="H579" s="51">
        <f t="shared" si="17"/>
        <v>-5.9863783008722669E-3</v>
      </c>
    </row>
    <row r="580" spans="2:8">
      <c r="B580" s="46">
        <v>45135</v>
      </c>
      <c r="C580" s="60">
        <v>3887.68994140625</v>
      </c>
      <c r="D580" s="58">
        <f t="shared" si="16"/>
        <v>-8.1051574429683044E-3</v>
      </c>
      <c r="F580" s="46">
        <v>45135</v>
      </c>
      <c r="G580" s="60">
        <v>19646.05078125</v>
      </c>
      <c r="H580" s="53">
        <f t="shared" si="17"/>
        <v>-7.0445979378432207E-4</v>
      </c>
    </row>
    <row r="581" spans="2:8">
      <c r="B581" s="46">
        <v>45138</v>
      </c>
      <c r="C581" s="60">
        <v>3871.1982421875</v>
      </c>
      <c r="D581" s="58">
        <f t="shared" ref="D581:D644" si="18">(C581-C580)/C580</f>
        <v>-4.2420304775603185E-3</v>
      </c>
      <c r="F581" s="46">
        <v>45138</v>
      </c>
      <c r="G581" s="60">
        <v>19753.80078125</v>
      </c>
      <c r="H581" s="51">
        <f t="shared" ref="H581:H644" si="19">(G581-G580)/G580</f>
        <v>5.4845628365592716E-3</v>
      </c>
    </row>
    <row r="582" spans="2:8">
      <c r="B582" s="46">
        <v>45139</v>
      </c>
      <c r="C582" s="60">
        <v>3878.738525390625</v>
      </c>
      <c r="D582" s="58">
        <f t="shared" si="18"/>
        <v>1.9477905112046674E-3</v>
      </c>
      <c r="F582" s="46">
        <v>45139</v>
      </c>
      <c r="G582" s="60">
        <v>19733.55078125</v>
      </c>
      <c r="H582" s="53">
        <f t="shared" si="19"/>
        <v>-1.0251191770254656E-3</v>
      </c>
    </row>
    <row r="583" spans="2:8">
      <c r="B583" s="46">
        <v>45140</v>
      </c>
      <c r="C583" s="60">
        <v>3829.116943359375</v>
      </c>
      <c r="D583" s="58">
        <f t="shared" si="18"/>
        <v>-1.2793226897462144E-2</v>
      </c>
      <c r="F583" s="46">
        <v>45140</v>
      </c>
      <c r="G583" s="60">
        <v>19526.55078125</v>
      </c>
      <c r="H583" s="51">
        <f t="shared" si="19"/>
        <v>-1.0489749274959822E-2</v>
      </c>
    </row>
    <row r="584" spans="2:8">
      <c r="B584" s="46">
        <v>45141</v>
      </c>
      <c r="C584" s="60">
        <v>3914.640625</v>
      </c>
      <c r="D584" s="58">
        <f t="shared" si="18"/>
        <v>2.2335092635116297E-2</v>
      </c>
      <c r="F584" s="46">
        <v>45141</v>
      </c>
      <c r="G584" s="60">
        <v>19381.650390625</v>
      </c>
      <c r="H584" s="53">
        <f t="shared" si="19"/>
        <v>-7.4206854169113091E-3</v>
      </c>
    </row>
    <row r="585" spans="2:8">
      <c r="B585" s="46">
        <v>45142</v>
      </c>
      <c r="C585" s="60">
        <v>3988.197509765625</v>
      </c>
      <c r="D585" s="58">
        <f t="shared" si="18"/>
        <v>1.8790201147934237E-2</v>
      </c>
      <c r="F585" s="46">
        <v>45142</v>
      </c>
      <c r="G585" s="60">
        <v>19517</v>
      </c>
      <c r="H585" s="51">
        <f t="shared" si="19"/>
        <v>6.9833892701144417E-3</v>
      </c>
    </row>
    <row r="586" spans="2:8">
      <c r="B586" s="46">
        <v>45145</v>
      </c>
      <c r="C586" s="60">
        <v>4020.15966796875</v>
      </c>
      <c r="D586" s="58">
        <f t="shared" si="18"/>
        <v>8.014186389932159E-3</v>
      </c>
      <c r="F586" s="46">
        <v>45145</v>
      </c>
      <c r="G586" s="60">
        <v>19597.30078125</v>
      </c>
      <c r="H586" s="53">
        <f t="shared" si="19"/>
        <v>4.1144018676026028E-3</v>
      </c>
    </row>
    <row r="587" spans="2:8">
      <c r="B587" s="46">
        <v>45146</v>
      </c>
      <c r="C587" s="60">
        <v>4020.15966796875</v>
      </c>
      <c r="D587" s="58">
        <f t="shared" si="18"/>
        <v>0</v>
      </c>
      <c r="F587" s="46">
        <v>45146</v>
      </c>
      <c r="G587" s="60">
        <v>19570.849609375</v>
      </c>
      <c r="H587" s="51">
        <f t="shared" si="19"/>
        <v>-1.349735464605796E-3</v>
      </c>
    </row>
    <row r="588" spans="2:8">
      <c r="B588" s="46">
        <v>45147</v>
      </c>
      <c r="C588" s="60">
        <v>4112.98046875</v>
      </c>
      <c r="D588" s="58">
        <f t="shared" si="18"/>
        <v>2.3088834386557885E-2</v>
      </c>
      <c r="F588" s="46">
        <v>45147</v>
      </c>
      <c r="G588" s="60">
        <v>19632.55078125</v>
      </c>
      <c r="H588" s="53">
        <f t="shared" si="19"/>
        <v>3.1527078847636415E-3</v>
      </c>
    </row>
    <row r="589" spans="2:8">
      <c r="B589" s="46">
        <v>45148</v>
      </c>
      <c r="C589" s="60">
        <v>4039.006103515625</v>
      </c>
      <c r="D589" s="58">
        <f t="shared" si="18"/>
        <v>-1.7985586315428573E-2</v>
      </c>
      <c r="F589" s="46">
        <v>45148</v>
      </c>
      <c r="G589" s="60">
        <v>19543.099609375</v>
      </c>
      <c r="H589" s="51">
        <f t="shared" si="19"/>
        <v>-4.5562684580156563E-3</v>
      </c>
    </row>
    <row r="590" spans="2:8">
      <c r="B590" s="46">
        <v>45149</v>
      </c>
      <c r="C590" s="60">
        <v>3727.6005859375</v>
      </c>
      <c r="D590" s="58">
        <f t="shared" si="18"/>
        <v>-7.7099541223042953E-2</v>
      </c>
      <c r="F590" s="46">
        <v>45149</v>
      </c>
      <c r="G590" s="60">
        <v>19428.30078125</v>
      </c>
      <c r="H590" s="53">
        <f t="shared" si="19"/>
        <v>-5.8741361615907628E-3</v>
      </c>
    </row>
    <row r="591" spans="2:8">
      <c r="B591" s="46">
        <v>45152</v>
      </c>
      <c r="C591" s="60">
        <v>3701.609619140625</v>
      </c>
      <c r="D591" s="58">
        <f t="shared" si="18"/>
        <v>-6.9725728917756922E-3</v>
      </c>
      <c r="F591" s="46">
        <v>45152</v>
      </c>
      <c r="G591" s="60">
        <v>19434.55078125</v>
      </c>
      <c r="H591" s="51">
        <f t="shared" si="19"/>
        <v>3.2169565781232879E-4</v>
      </c>
    </row>
    <row r="592" spans="2:8">
      <c r="B592" s="46">
        <v>45154</v>
      </c>
      <c r="C592" s="60">
        <v>3700.8779296875</v>
      </c>
      <c r="D592" s="58">
        <f t="shared" si="18"/>
        <v>-1.9766791434232085E-4</v>
      </c>
      <c r="F592" s="46">
        <v>45154</v>
      </c>
      <c r="G592" s="60">
        <v>19465</v>
      </c>
      <c r="H592" s="53">
        <f t="shared" si="19"/>
        <v>1.5667570139761961E-3</v>
      </c>
    </row>
    <row r="593" spans="2:8">
      <c r="B593" s="46">
        <v>45155</v>
      </c>
      <c r="C593" s="60">
        <v>3695.952880859375</v>
      </c>
      <c r="D593" s="58">
        <f t="shared" si="18"/>
        <v>-1.3307785130164691E-3</v>
      </c>
      <c r="F593" s="46">
        <v>45155</v>
      </c>
      <c r="G593" s="60">
        <v>19365.25</v>
      </c>
      <c r="H593" s="51">
        <f t="shared" si="19"/>
        <v>-5.124582584125353E-3</v>
      </c>
    </row>
    <row r="594" spans="2:8">
      <c r="B594" s="46">
        <v>45156</v>
      </c>
      <c r="C594" s="60">
        <v>3707.31494140625</v>
      </c>
      <c r="D594" s="58">
        <f t="shared" si="18"/>
        <v>3.0741897727422102E-3</v>
      </c>
      <c r="F594" s="46">
        <v>45156</v>
      </c>
      <c r="G594" s="60">
        <v>19310.150390625</v>
      </c>
      <c r="H594" s="53">
        <f t="shared" si="19"/>
        <v>-2.8452826260957128E-3</v>
      </c>
    </row>
    <row r="595" spans="2:8">
      <c r="B595" s="46">
        <v>45159</v>
      </c>
      <c r="C595" s="60">
        <v>3728.57568359375</v>
      </c>
      <c r="D595" s="58">
        <f t="shared" si="18"/>
        <v>5.7348087560738573E-3</v>
      </c>
      <c r="F595" s="46">
        <v>45159</v>
      </c>
      <c r="G595" s="60">
        <v>19393.599609375</v>
      </c>
      <c r="H595" s="51">
        <f t="shared" si="19"/>
        <v>4.3215209131936255E-3</v>
      </c>
    </row>
    <row r="596" spans="2:8">
      <c r="B596" s="46">
        <v>45160</v>
      </c>
      <c r="C596" s="60">
        <v>3674.594482421875</v>
      </c>
      <c r="D596" s="58">
        <f t="shared" si="18"/>
        <v>-1.4477700267531049E-2</v>
      </c>
      <c r="F596" s="46">
        <v>45160</v>
      </c>
      <c r="G596" s="60">
        <v>19396.44921875</v>
      </c>
      <c r="H596" s="53">
        <f t="shared" si="19"/>
        <v>1.4693555773021523E-4</v>
      </c>
    </row>
    <row r="597" spans="2:8">
      <c r="B597" s="46">
        <v>45161</v>
      </c>
      <c r="C597" s="60">
        <v>3667.23095703125</v>
      </c>
      <c r="D597" s="58">
        <f t="shared" si="18"/>
        <v>-2.0039014987503602E-3</v>
      </c>
      <c r="F597" s="46">
        <v>45161</v>
      </c>
      <c r="G597" s="60">
        <v>19444</v>
      </c>
      <c r="H597" s="51">
        <f t="shared" si="19"/>
        <v>2.4515199000461384E-3</v>
      </c>
    </row>
    <row r="598" spans="2:8">
      <c r="B598" s="46">
        <v>45162</v>
      </c>
      <c r="C598" s="60">
        <v>3623.197265625</v>
      </c>
      <c r="D598" s="58">
        <f t="shared" si="18"/>
        <v>-1.2007340667165613E-2</v>
      </c>
      <c r="F598" s="46">
        <v>45162</v>
      </c>
      <c r="G598" s="60">
        <v>19386.69921875</v>
      </c>
      <c r="H598" s="53">
        <f t="shared" si="19"/>
        <v>-2.9469646806212714E-3</v>
      </c>
    </row>
    <row r="599" spans="2:8">
      <c r="B599" s="46">
        <v>45163</v>
      </c>
      <c r="C599" s="60">
        <v>3586.8193359375</v>
      </c>
      <c r="D599" s="58">
        <f t="shared" si="18"/>
        <v>-1.0040284042117929E-2</v>
      </c>
      <c r="F599" s="46">
        <v>45163</v>
      </c>
      <c r="G599" s="60">
        <v>19265.80078125</v>
      </c>
      <c r="H599" s="51">
        <f t="shared" si="19"/>
        <v>-6.2361537740819812E-3</v>
      </c>
    </row>
    <row r="600" spans="2:8">
      <c r="B600" s="46">
        <v>45166</v>
      </c>
      <c r="C600" s="60">
        <v>3620.61279296875</v>
      </c>
      <c r="D600" s="58">
        <f t="shared" si="18"/>
        <v>9.4215665374228503E-3</v>
      </c>
      <c r="F600" s="46">
        <v>45166</v>
      </c>
      <c r="G600" s="60">
        <v>19306.05078125</v>
      </c>
      <c r="H600" s="53">
        <f t="shared" si="19"/>
        <v>2.089194238900902E-3</v>
      </c>
    </row>
    <row r="601" spans="2:8">
      <c r="B601" s="46">
        <v>45167</v>
      </c>
      <c r="C601" s="60">
        <v>3610.6650390625</v>
      </c>
      <c r="D601" s="58">
        <f t="shared" si="18"/>
        <v>-2.7475332147001725E-3</v>
      </c>
      <c r="F601" s="46">
        <v>45167</v>
      </c>
      <c r="G601" s="60">
        <v>19342.650390625</v>
      </c>
      <c r="H601" s="51">
        <f t="shared" si="19"/>
        <v>1.8957584743610782E-3</v>
      </c>
    </row>
    <row r="602" spans="2:8">
      <c r="B602" s="46">
        <v>45168</v>
      </c>
      <c r="C602" s="60">
        <v>3602.521728515625</v>
      </c>
      <c r="D602" s="58">
        <f t="shared" si="18"/>
        <v>-2.2553492109557162E-3</v>
      </c>
      <c r="F602" s="46">
        <v>45168</v>
      </c>
      <c r="G602" s="60">
        <v>19347.44921875</v>
      </c>
      <c r="H602" s="53">
        <f t="shared" si="19"/>
        <v>2.4809568637635602E-4</v>
      </c>
    </row>
    <row r="603" spans="2:8">
      <c r="B603" s="46">
        <v>45169</v>
      </c>
      <c r="C603" s="60">
        <v>3552.78271484375</v>
      </c>
      <c r="D603" s="58">
        <f t="shared" si="18"/>
        <v>-1.3806721352481434E-2</v>
      </c>
      <c r="F603" s="46">
        <v>45169</v>
      </c>
      <c r="G603" s="60">
        <v>19253.80078125</v>
      </c>
      <c r="H603" s="51">
        <f t="shared" si="19"/>
        <v>-4.8403506033882458E-3</v>
      </c>
    </row>
    <row r="604" spans="2:8">
      <c r="B604" s="46">
        <v>45170</v>
      </c>
      <c r="C604" s="60">
        <v>3525.37744140625</v>
      </c>
      <c r="D604" s="58">
        <f t="shared" si="18"/>
        <v>-7.7137488096299953E-3</v>
      </c>
      <c r="F604" s="46">
        <v>45170</v>
      </c>
      <c r="G604" s="60">
        <v>19435.30078125</v>
      </c>
      <c r="H604" s="53">
        <f t="shared" si="19"/>
        <v>9.4267101889176502E-3</v>
      </c>
    </row>
    <row r="605" spans="2:8">
      <c r="B605" s="46">
        <v>45173</v>
      </c>
      <c r="C605" s="60">
        <v>3560.389404296875</v>
      </c>
      <c r="D605" s="58">
        <f t="shared" si="18"/>
        <v>9.9314083307513751E-3</v>
      </c>
      <c r="F605" s="46">
        <v>45173</v>
      </c>
      <c r="G605" s="60">
        <v>19528.80078125</v>
      </c>
      <c r="H605" s="51">
        <f t="shared" si="19"/>
        <v>4.8108337016426897E-3</v>
      </c>
    </row>
    <row r="606" spans="2:8">
      <c r="B606" s="46">
        <v>45174</v>
      </c>
      <c r="C606" s="60">
        <v>3555.9521484375</v>
      </c>
      <c r="D606" s="58">
        <f t="shared" si="18"/>
        <v>-1.2462838626639756E-3</v>
      </c>
      <c r="F606" s="46">
        <v>45174</v>
      </c>
      <c r="G606" s="60">
        <v>19574.900390625</v>
      </c>
      <c r="H606" s="53">
        <f t="shared" si="19"/>
        <v>2.3605960187407502E-3</v>
      </c>
    </row>
    <row r="607" spans="2:8">
      <c r="B607" s="46">
        <v>45175</v>
      </c>
      <c r="C607" s="60">
        <v>3564.729736328125</v>
      </c>
      <c r="D607" s="58">
        <f t="shared" si="18"/>
        <v>2.4684212622157775E-3</v>
      </c>
      <c r="F607" s="46">
        <v>45175</v>
      </c>
      <c r="G607" s="60">
        <v>19611.05078125</v>
      </c>
      <c r="H607" s="51">
        <f t="shared" si="19"/>
        <v>1.8467726478094107E-3</v>
      </c>
    </row>
    <row r="608" spans="2:8">
      <c r="B608" s="46">
        <v>45176</v>
      </c>
      <c r="C608" s="60">
        <v>3547.174560546875</v>
      </c>
      <c r="D608" s="58">
        <f t="shared" si="18"/>
        <v>-4.9246863239996511E-3</v>
      </c>
      <c r="F608" s="46">
        <v>45176</v>
      </c>
      <c r="G608" s="60">
        <v>19727.05078125</v>
      </c>
      <c r="H608" s="53">
        <f t="shared" si="19"/>
        <v>5.9150323607803238E-3</v>
      </c>
    </row>
    <row r="609" spans="2:8">
      <c r="B609" s="46">
        <v>45177</v>
      </c>
      <c r="C609" s="60">
        <v>3531.716552734375</v>
      </c>
      <c r="D609" s="58">
        <f t="shared" si="18"/>
        <v>-4.3578367933820566E-3</v>
      </c>
      <c r="F609" s="46">
        <v>45177</v>
      </c>
      <c r="G609" s="60">
        <v>19819.94921875</v>
      </c>
      <c r="H609" s="51">
        <f t="shared" si="19"/>
        <v>4.7091903665750848E-3</v>
      </c>
    </row>
    <row r="610" spans="2:8">
      <c r="B610" s="46">
        <v>45180</v>
      </c>
      <c r="C610" s="60">
        <v>3540.25</v>
      </c>
      <c r="D610" s="58">
        <f t="shared" si="18"/>
        <v>2.4162322027281931E-3</v>
      </c>
      <c r="F610" s="46">
        <v>45180</v>
      </c>
      <c r="G610" s="60">
        <v>19996.349609375</v>
      </c>
      <c r="H610" s="53">
        <f t="shared" si="19"/>
        <v>8.9001434200508597E-3</v>
      </c>
    </row>
    <row r="611" spans="2:8">
      <c r="B611" s="46">
        <v>45181</v>
      </c>
      <c r="C611" s="60">
        <v>3545.468017578125</v>
      </c>
      <c r="D611" s="58">
        <f t="shared" si="18"/>
        <v>1.4739121751641833E-3</v>
      </c>
      <c r="F611" s="46">
        <v>45181</v>
      </c>
      <c r="G611" s="60">
        <v>19993.19921875</v>
      </c>
      <c r="H611" s="51">
        <f t="shared" si="19"/>
        <v>-1.5754828688947231E-4</v>
      </c>
    </row>
    <row r="612" spans="2:8">
      <c r="B612" s="46">
        <v>45182</v>
      </c>
      <c r="C612" s="60">
        <v>3652.1630859375</v>
      </c>
      <c r="D612" s="58">
        <f t="shared" si="18"/>
        <v>3.0093366469642384E-2</v>
      </c>
      <c r="F612" s="46">
        <v>45182</v>
      </c>
      <c r="G612" s="60">
        <v>20070</v>
      </c>
      <c r="H612" s="53">
        <f t="shared" si="19"/>
        <v>3.8413452699443307E-3</v>
      </c>
    </row>
    <row r="613" spans="2:8">
      <c r="B613" s="46">
        <v>45183</v>
      </c>
      <c r="C613" s="60">
        <v>3617.73583984375</v>
      </c>
      <c r="D613" s="58">
        <f t="shared" si="18"/>
        <v>-9.4265358045785685E-3</v>
      </c>
      <c r="F613" s="46">
        <v>45183</v>
      </c>
      <c r="G613" s="60">
        <v>20103.099609375</v>
      </c>
      <c r="H613" s="51">
        <f t="shared" si="19"/>
        <v>1.6492082399103139E-3</v>
      </c>
    </row>
    <row r="614" spans="2:8">
      <c r="B614" s="46">
        <v>45184</v>
      </c>
      <c r="C614" s="60">
        <v>3585.064208984375</v>
      </c>
      <c r="D614" s="58">
        <f t="shared" si="18"/>
        <v>-9.0309608843043912E-3</v>
      </c>
      <c r="F614" s="46">
        <v>45184</v>
      </c>
      <c r="G614" s="60">
        <v>20192.349609375</v>
      </c>
      <c r="H614" s="53">
        <f t="shared" si="19"/>
        <v>4.439613877174375E-3</v>
      </c>
    </row>
    <row r="615" spans="2:8">
      <c r="B615" s="46">
        <v>45187</v>
      </c>
      <c r="C615" s="60">
        <v>3569.410888671875</v>
      </c>
      <c r="D615" s="58">
        <f t="shared" si="18"/>
        <v>-4.3662594029060591E-3</v>
      </c>
      <c r="F615" s="46">
        <v>45187</v>
      </c>
      <c r="G615" s="60">
        <v>20133.30078125</v>
      </c>
      <c r="H615" s="51">
        <f t="shared" si="19"/>
        <v>-2.9243168460982138E-3</v>
      </c>
    </row>
    <row r="616" spans="2:8">
      <c r="B616" s="46">
        <v>45189</v>
      </c>
      <c r="C616" s="60">
        <v>3594.13427734375</v>
      </c>
      <c r="D616" s="58">
        <f t="shared" si="18"/>
        <v>6.926461940915468E-3</v>
      </c>
      <c r="F616" s="46">
        <v>45189</v>
      </c>
      <c r="G616" s="60">
        <v>19901.400390625</v>
      </c>
      <c r="H616" s="53">
        <f t="shared" si="19"/>
        <v>-1.1518249945432057E-2</v>
      </c>
    </row>
    <row r="617" spans="2:8">
      <c r="B617" s="46">
        <v>45190</v>
      </c>
      <c r="C617" s="60">
        <v>3561.56005859375</v>
      </c>
      <c r="D617" s="58">
        <f t="shared" si="18"/>
        <v>-9.0631613168537552E-3</v>
      </c>
      <c r="F617" s="46">
        <v>45190</v>
      </c>
      <c r="G617" s="60">
        <v>19742.349609375</v>
      </c>
      <c r="H617" s="51">
        <f t="shared" si="19"/>
        <v>-7.9919391664982752E-3</v>
      </c>
    </row>
    <row r="618" spans="2:8">
      <c r="B618" s="46">
        <v>45191</v>
      </c>
      <c r="C618" s="60">
        <v>3462.862060546875</v>
      </c>
      <c r="D618" s="58">
        <f t="shared" si="18"/>
        <v>-2.7712012832333092E-2</v>
      </c>
      <c r="F618" s="46">
        <v>45191</v>
      </c>
      <c r="G618" s="60">
        <v>19674.25</v>
      </c>
      <c r="H618" s="53">
        <f t="shared" si="19"/>
        <v>-3.4494176591149876E-3</v>
      </c>
    </row>
    <row r="619" spans="2:8">
      <c r="B619" s="46">
        <v>45194</v>
      </c>
      <c r="C619" s="60">
        <v>3468.03076171875</v>
      </c>
      <c r="D619" s="58">
        <f t="shared" si="18"/>
        <v>1.4926096048592618E-3</v>
      </c>
      <c r="F619" s="46">
        <v>45194</v>
      </c>
      <c r="G619" s="60">
        <v>19674.55078125</v>
      </c>
      <c r="H619" s="51">
        <f t="shared" si="19"/>
        <v>1.5288066889462116E-5</v>
      </c>
    </row>
    <row r="620" spans="2:8">
      <c r="B620" s="46">
        <v>45195</v>
      </c>
      <c r="C620" s="60">
        <v>3443.11279296875</v>
      </c>
      <c r="D620" s="58">
        <f t="shared" si="18"/>
        <v>-7.1850483637724994E-3</v>
      </c>
      <c r="F620" s="46">
        <v>45195</v>
      </c>
      <c r="G620" s="60">
        <v>19664.69921875</v>
      </c>
      <c r="H620" s="53">
        <f t="shared" si="19"/>
        <v>-5.0072617207548218E-4</v>
      </c>
    </row>
    <row r="621" spans="2:8">
      <c r="B621" s="46">
        <v>45196</v>
      </c>
      <c r="C621" s="60">
        <v>3471.444580078125</v>
      </c>
      <c r="D621" s="58">
        <f t="shared" si="18"/>
        <v>8.2285387708563931E-3</v>
      </c>
      <c r="F621" s="46">
        <v>45196</v>
      </c>
      <c r="G621" s="60">
        <v>19716.44921875</v>
      </c>
      <c r="H621" s="51">
        <f t="shared" si="19"/>
        <v>2.6316191986632139E-3</v>
      </c>
    </row>
    <row r="622" spans="2:8">
      <c r="B622" s="46">
        <v>45197</v>
      </c>
      <c r="C622" s="60">
        <v>3437.6513671875</v>
      </c>
      <c r="D622" s="58">
        <f t="shared" si="18"/>
        <v>-9.7346254883505824E-3</v>
      </c>
      <c r="F622" s="46">
        <v>45197</v>
      </c>
      <c r="G622" s="60">
        <v>19523.55078125</v>
      </c>
      <c r="H622" s="53">
        <f t="shared" si="19"/>
        <v>-9.7836296667737181E-3</v>
      </c>
    </row>
    <row r="623" spans="2:8">
      <c r="B623" s="46">
        <v>45198</v>
      </c>
      <c r="C623" s="60">
        <v>3516.745849609375</v>
      </c>
      <c r="D623" s="58">
        <f t="shared" si="18"/>
        <v>2.300829082810274E-2</v>
      </c>
      <c r="F623" s="46">
        <v>45198</v>
      </c>
      <c r="G623" s="60">
        <v>19638.30078125</v>
      </c>
      <c r="H623" s="51">
        <f t="shared" si="19"/>
        <v>5.8775169171687482E-3</v>
      </c>
    </row>
    <row r="624" spans="2:8">
      <c r="B624" s="46">
        <v>45202</v>
      </c>
      <c r="C624" s="60">
        <v>3485.196044921875</v>
      </c>
      <c r="D624" s="58">
        <f t="shared" si="18"/>
        <v>-8.9713064397316106E-3</v>
      </c>
      <c r="F624" s="46">
        <v>45202</v>
      </c>
      <c r="G624" s="60">
        <v>19528.75</v>
      </c>
      <c r="H624" s="53">
        <f t="shared" si="19"/>
        <v>-5.5784246544688561E-3</v>
      </c>
    </row>
    <row r="625" spans="2:8">
      <c r="B625" s="46">
        <v>45203</v>
      </c>
      <c r="C625" s="60">
        <v>3390.0576171875</v>
      </c>
      <c r="D625" s="58">
        <f t="shared" si="18"/>
        <v>-2.7297869763451901E-2</v>
      </c>
      <c r="F625" s="46">
        <v>45203</v>
      </c>
      <c r="G625" s="60">
        <v>19436.099609375</v>
      </c>
      <c r="H625" s="51">
        <f t="shared" si="19"/>
        <v>-4.7443072713307301E-3</v>
      </c>
    </row>
    <row r="626" spans="2:8">
      <c r="B626" s="46">
        <v>45204</v>
      </c>
      <c r="C626" s="60">
        <v>3372.01513671875</v>
      </c>
      <c r="D626" s="58">
        <f t="shared" si="18"/>
        <v>-5.3221751681372951E-3</v>
      </c>
      <c r="F626" s="46">
        <v>45204</v>
      </c>
      <c r="G626" s="60">
        <v>19545.75</v>
      </c>
      <c r="H626" s="53">
        <f t="shared" si="19"/>
        <v>5.6415841052857201E-3</v>
      </c>
    </row>
    <row r="627" spans="2:8">
      <c r="B627" s="46">
        <v>45205</v>
      </c>
      <c r="C627" s="60">
        <v>3435.407958984375</v>
      </c>
      <c r="D627" s="58">
        <f t="shared" si="18"/>
        <v>1.8799684964436864E-2</v>
      </c>
      <c r="F627" s="46">
        <v>45205</v>
      </c>
      <c r="G627" s="60">
        <v>19653.5</v>
      </c>
      <c r="H627" s="51">
        <f t="shared" si="19"/>
        <v>5.512707366051443E-3</v>
      </c>
    </row>
    <row r="628" spans="2:8">
      <c r="B628" s="46">
        <v>45208</v>
      </c>
      <c r="C628" s="60">
        <v>3463.739990234375</v>
      </c>
      <c r="D628" s="58">
        <f t="shared" si="18"/>
        <v>8.2470645664964714E-3</v>
      </c>
      <c r="F628" s="46">
        <v>45208</v>
      </c>
      <c r="G628" s="60">
        <v>19512.349609375</v>
      </c>
      <c r="H628" s="53">
        <f t="shared" si="19"/>
        <v>-7.181946758847025E-3</v>
      </c>
    </row>
    <row r="629" spans="2:8">
      <c r="B629" s="46">
        <v>45209</v>
      </c>
      <c r="C629" s="60">
        <v>3497.094482421875</v>
      </c>
      <c r="D629" s="58">
        <f t="shared" si="18"/>
        <v>9.6296177777602347E-3</v>
      </c>
      <c r="F629" s="46">
        <v>45209</v>
      </c>
      <c r="G629" s="60">
        <v>19689.849609375</v>
      </c>
      <c r="H629" s="51">
        <f t="shared" si="19"/>
        <v>9.0968029762401072E-3</v>
      </c>
    </row>
    <row r="630" spans="2:8">
      <c r="B630" s="46">
        <v>45210</v>
      </c>
      <c r="C630" s="60">
        <v>3452.2314453125</v>
      </c>
      <c r="D630" s="58">
        <f t="shared" si="18"/>
        <v>-1.2828660287812868E-2</v>
      </c>
      <c r="F630" s="46">
        <v>45210</v>
      </c>
      <c r="G630" s="60">
        <v>19811.349609375</v>
      </c>
      <c r="H630" s="53">
        <f t="shared" si="19"/>
        <v>6.1706921287072586E-3</v>
      </c>
    </row>
    <row r="631" spans="2:8">
      <c r="B631" s="46">
        <v>45211</v>
      </c>
      <c r="C631" s="60">
        <v>3506.066650390625</v>
      </c>
      <c r="D631" s="58">
        <f t="shared" si="18"/>
        <v>1.5594320928633965E-2</v>
      </c>
      <c r="F631" s="46">
        <v>45211</v>
      </c>
      <c r="G631" s="60">
        <v>19794</v>
      </c>
      <c r="H631" s="51">
        <f t="shared" si="19"/>
        <v>-8.7574091200681898E-4</v>
      </c>
    </row>
    <row r="632" spans="2:8">
      <c r="B632" s="46">
        <v>45212</v>
      </c>
      <c r="C632" s="60">
        <v>3523.1337890625</v>
      </c>
      <c r="D632" s="58">
        <f t="shared" si="18"/>
        <v>4.8678876854704066E-3</v>
      </c>
      <c r="F632" s="46">
        <v>45212</v>
      </c>
      <c r="G632" s="60">
        <v>19751.05078125</v>
      </c>
      <c r="H632" s="53">
        <f t="shared" si="19"/>
        <v>-2.1698099802970596E-3</v>
      </c>
    </row>
    <row r="633" spans="2:8">
      <c r="B633" s="46">
        <v>45215</v>
      </c>
      <c r="C633" s="60">
        <v>3520.11083984375</v>
      </c>
      <c r="D633" s="58">
        <f t="shared" si="18"/>
        <v>-8.5802850522869345E-4</v>
      </c>
      <c r="F633" s="46">
        <v>45215</v>
      </c>
      <c r="G633" s="60">
        <v>19731.75</v>
      </c>
      <c r="H633" s="51">
        <f t="shared" si="19"/>
        <v>-9.7720275562870559E-4</v>
      </c>
    </row>
    <row r="634" spans="2:8">
      <c r="B634" s="46">
        <v>45216</v>
      </c>
      <c r="C634" s="60">
        <v>3530.789794921875</v>
      </c>
      <c r="D634" s="58">
        <f t="shared" si="18"/>
        <v>3.0336985293903458E-3</v>
      </c>
      <c r="F634" s="46">
        <v>45216</v>
      </c>
      <c r="G634" s="60">
        <v>19811.5</v>
      </c>
      <c r="H634" s="53">
        <f t="shared" si="19"/>
        <v>4.0417094276990126E-3</v>
      </c>
    </row>
    <row r="635" spans="2:8">
      <c r="B635" s="46">
        <v>45217</v>
      </c>
      <c r="C635" s="60">
        <v>3543.07861328125</v>
      </c>
      <c r="D635" s="58">
        <f t="shared" si="18"/>
        <v>3.4804729460386672E-3</v>
      </c>
      <c r="F635" s="46">
        <v>45217</v>
      </c>
      <c r="G635" s="60">
        <v>19671.099609375</v>
      </c>
      <c r="H635" s="51">
        <f t="shared" si="19"/>
        <v>-7.0868127413371024E-3</v>
      </c>
    </row>
    <row r="636" spans="2:8">
      <c r="B636" s="46">
        <v>45218</v>
      </c>
      <c r="C636" s="60">
        <v>3526.449951171875</v>
      </c>
      <c r="D636" s="58">
        <f t="shared" si="18"/>
        <v>-4.6932805970046412E-3</v>
      </c>
      <c r="F636" s="46">
        <v>45218</v>
      </c>
      <c r="G636" s="60">
        <v>19624.69921875</v>
      </c>
      <c r="H636" s="53">
        <f t="shared" si="19"/>
        <v>-2.3588102112444267E-3</v>
      </c>
    </row>
    <row r="637" spans="2:8">
      <c r="B637" s="46">
        <v>45219</v>
      </c>
      <c r="C637" s="60">
        <v>3496.947998046875</v>
      </c>
      <c r="D637" s="58">
        <f t="shared" si="18"/>
        <v>-8.3659072249688965E-3</v>
      </c>
      <c r="F637" s="46">
        <v>45219</v>
      </c>
      <c r="G637" s="60">
        <v>19542.650390625</v>
      </c>
      <c r="H637" s="51">
        <f t="shared" si="19"/>
        <v>-4.1808960845936532E-3</v>
      </c>
    </row>
    <row r="638" spans="2:8">
      <c r="B638" s="46">
        <v>45222</v>
      </c>
      <c r="C638" s="60">
        <v>3446.477783203125</v>
      </c>
      <c r="D638" s="58">
        <f t="shared" si="18"/>
        <v>-1.4432646659869911E-2</v>
      </c>
      <c r="F638" s="46">
        <v>45222</v>
      </c>
      <c r="G638" s="60">
        <v>19281.75</v>
      </c>
      <c r="H638" s="53">
        <f t="shared" si="19"/>
        <v>-1.3350307425555702E-2</v>
      </c>
    </row>
    <row r="639" spans="2:8">
      <c r="B639" s="46">
        <v>45224</v>
      </c>
      <c r="C639" s="60">
        <v>3496.704345703125</v>
      </c>
      <c r="D639" s="58">
        <f t="shared" si="18"/>
        <v>1.4573302269576765E-2</v>
      </c>
      <c r="F639" s="46">
        <v>45224</v>
      </c>
      <c r="G639" s="60">
        <v>19122.150390625</v>
      </c>
      <c r="H639" s="51">
        <f t="shared" si="19"/>
        <v>-8.2772367329210263E-3</v>
      </c>
    </row>
    <row r="640" spans="2:8">
      <c r="B640" s="46">
        <v>45225</v>
      </c>
      <c r="C640" s="60">
        <v>3472.760986328125</v>
      </c>
      <c r="D640" s="58">
        <f t="shared" si="18"/>
        <v>-6.8474074465067238E-3</v>
      </c>
      <c r="F640" s="46">
        <v>45225</v>
      </c>
      <c r="G640" s="60">
        <v>18857.25</v>
      </c>
      <c r="H640" s="53">
        <f t="shared" si="19"/>
        <v>-1.385306491234754E-2</v>
      </c>
    </row>
    <row r="641" spans="2:8">
      <c r="B641" s="46">
        <v>45226</v>
      </c>
      <c r="C641" s="60">
        <v>3584.28369140625</v>
      </c>
      <c r="D641" s="58">
        <f t="shared" si="18"/>
        <v>3.2113556192659827E-2</v>
      </c>
      <c r="F641" s="46">
        <v>45226</v>
      </c>
      <c r="G641" s="60">
        <v>19047.25</v>
      </c>
      <c r="H641" s="51">
        <f t="shared" si="19"/>
        <v>1.007570032746026E-2</v>
      </c>
    </row>
    <row r="642" spans="2:8">
      <c r="B642" s="46">
        <v>45229</v>
      </c>
      <c r="C642" s="60">
        <v>3600.473388671875</v>
      </c>
      <c r="D642" s="58">
        <f t="shared" si="18"/>
        <v>4.5168571071653009E-3</v>
      </c>
      <c r="F642" s="46">
        <v>45229</v>
      </c>
      <c r="G642" s="60">
        <v>19140.900390625</v>
      </c>
      <c r="H642" s="53">
        <f t="shared" si="19"/>
        <v>4.9167407696649118E-3</v>
      </c>
    </row>
    <row r="643" spans="2:8">
      <c r="B643" s="46">
        <v>45230</v>
      </c>
      <c r="C643" s="60">
        <v>3629.8291015625</v>
      </c>
      <c r="D643" s="58">
        <f t="shared" si="18"/>
        <v>8.1532925595246778E-3</v>
      </c>
      <c r="F643" s="46">
        <v>45230</v>
      </c>
      <c r="G643" s="60">
        <v>19079.599609375</v>
      </c>
      <c r="H643" s="51">
        <f t="shared" si="19"/>
        <v>-3.2026069828995319E-3</v>
      </c>
    </row>
    <row r="644" spans="2:8">
      <c r="B644" s="46">
        <v>45231</v>
      </c>
      <c r="C644" s="60">
        <v>3630.609375</v>
      </c>
      <c r="D644" s="58">
        <f t="shared" si="18"/>
        <v>2.1496148046312228E-4</v>
      </c>
      <c r="F644" s="46">
        <v>45231</v>
      </c>
      <c r="G644" s="60">
        <v>18989.150390625</v>
      </c>
      <c r="H644" s="53">
        <f t="shared" si="19"/>
        <v>-4.7406245729368791E-3</v>
      </c>
    </row>
    <row r="645" spans="2:8">
      <c r="B645" s="46">
        <v>45232</v>
      </c>
      <c r="C645" s="60">
        <v>3698.48876953125</v>
      </c>
      <c r="D645" s="58">
        <f t="shared" ref="D645:D708" si="20">(C645-C644)/C644</f>
        <v>1.8696419118691337E-2</v>
      </c>
      <c r="F645" s="46">
        <v>45232</v>
      </c>
      <c r="G645" s="60">
        <v>19133.25</v>
      </c>
      <c r="H645" s="51">
        <f t="shared" ref="H645:H708" si="21">(G645-G644)/G644</f>
        <v>7.5885232572670764E-3</v>
      </c>
    </row>
    <row r="646" spans="2:8">
      <c r="B646" s="46">
        <v>45233</v>
      </c>
      <c r="C646" s="60">
        <v>3714.775634765625</v>
      </c>
      <c r="D646" s="58">
        <f t="shared" si="20"/>
        <v>4.4036541001689217E-3</v>
      </c>
      <c r="F646" s="46">
        <v>45233</v>
      </c>
      <c r="G646" s="60">
        <v>19230.599609375</v>
      </c>
      <c r="H646" s="53">
        <f t="shared" si="21"/>
        <v>5.0879808383311777E-3</v>
      </c>
    </row>
    <row r="647" spans="2:8">
      <c r="B647" s="46">
        <v>45236</v>
      </c>
      <c r="C647" s="60">
        <v>3730.623779296875</v>
      </c>
      <c r="D647" s="58">
        <f t="shared" si="20"/>
        <v>4.2662454181435112E-3</v>
      </c>
      <c r="F647" s="46">
        <v>45236</v>
      </c>
      <c r="G647" s="60">
        <v>19411.75</v>
      </c>
      <c r="H647" s="51">
        <f t="shared" si="21"/>
        <v>9.4199033989916994E-3</v>
      </c>
    </row>
    <row r="648" spans="2:8">
      <c r="B648" s="46">
        <v>45237</v>
      </c>
      <c r="C648" s="60">
        <v>3927.77587890625</v>
      </c>
      <c r="D648" s="58">
        <f t="shared" si="20"/>
        <v>5.284695302256745E-2</v>
      </c>
      <c r="F648" s="46">
        <v>45237</v>
      </c>
      <c r="G648" s="60">
        <v>19406.69921875</v>
      </c>
      <c r="H648" s="53">
        <f t="shared" si="21"/>
        <v>-2.6019195847875644E-4</v>
      </c>
    </row>
    <row r="649" spans="2:8">
      <c r="B649" s="46">
        <v>45238</v>
      </c>
      <c r="C649" s="60">
        <v>4128.048828125</v>
      </c>
      <c r="D649" s="58">
        <f t="shared" si="20"/>
        <v>5.0988894324214627E-2</v>
      </c>
      <c r="F649" s="46">
        <v>45238</v>
      </c>
      <c r="G649" s="60">
        <v>19443.5</v>
      </c>
      <c r="H649" s="51">
        <f t="shared" si="21"/>
        <v>1.8962926582818634E-3</v>
      </c>
    </row>
    <row r="650" spans="2:8">
      <c r="B650" s="46">
        <v>45239</v>
      </c>
      <c r="C650" s="60">
        <v>4176.81298828125</v>
      </c>
      <c r="D650" s="58">
        <f t="shared" si="20"/>
        <v>1.181288356475162E-2</v>
      </c>
      <c r="F650" s="46">
        <v>45239</v>
      </c>
      <c r="G650" s="60">
        <v>19395.30078125</v>
      </c>
      <c r="H650" s="53">
        <f t="shared" si="21"/>
        <v>-2.4789373698151053E-3</v>
      </c>
    </row>
    <row r="651" spans="2:8">
      <c r="B651" s="46">
        <v>45240</v>
      </c>
      <c r="C651" s="60">
        <v>4199.77978515625</v>
      </c>
      <c r="D651" s="58">
        <f t="shared" si="20"/>
        <v>5.4986414137853917E-3</v>
      </c>
      <c r="F651" s="46">
        <v>45240</v>
      </c>
      <c r="G651" s="60">
        <v>19425.349609375</v>
      </c>
      <c r="H651" s="51">
        <f t="shared" si="21"/>
        <v>1.5492839458333678E-3</v>
      </c>
    </row>
    <row r="652" spans="2:8">
      <c r="B652" s="46">
        <v>45243</v>
      </c>
      <c r="C652" s="60">
        <v>4193.63623046875</v>
      </c>
      <c r="D652" s="58">
        <f t="shared" si="20"/>
        <v>-1.4628278152139906E-3</v>
      </c>
      <c r="F652" s="46">
        <v>45243</v>
      </c>
      <c r="G652" s="60">
        <v>19443.55078125</v>
      </c>
      <c r="H652" s="53">
        <f t="shared" si="21"/>
        <v>9.3698040143461864E-4</v>
      </c>
    </row>
    <row r="653" spans="2:8">
      <c r="B653" s="46">
        <v>45245</v>
      </c>
      <c r="C653" s="60">
        <v>4237.5234375</v>
      </c>
      <c r="D653" s="58">
        <f t="shared" si="20"/>
        <v>1.0465191690301769E-2</v>
      </c>
      <c r="F653" s="46">
        <v>45245</v>
      </c>
      <c r="G653" s="60">
        <v>19675.44921875</v>
      </c>
      <c r="H653" s="51">
        <f t="shared" si="21"/>
        <v>1.1926753508604336E-2</v>
      </c>
    </row>
    <row r="654" spans="2:8">
      <c r="B654" s="46">
        <v>45246</v>
      </c>
      <c r="C654" s="60">
        <v>4253.42041015625</v>
      </c>
      <c r="D654" s="58">
        <f t="shared" si="20"/>
        <v>3.7514772226554796E-3</v>
      </c>
      <c r="F654" s="46">
        <v>45246</v>
      </c>
      <c r="G654" s="60">
        <v>19765.19921875</v>
      </c>
      <c r="H654" s="53">
        <f t="shared" si="21"/>
        <v>4.5615222809993819E-3</v>
      </c>
    </row>
    <row r="655" spans="2:8">
      <c r="B655" s="46">
        <v>45247</v>
      </c>
      <c r="C655" s="60">
        <v>4338.46435546875</v>
      </c>
      <c r="D655" s="58">
        <f t="shared" si="20"/>
        <v>1.9994248654431952E-2</v>
      </c>
      <c r="F655" s="46">
        <v>45247</v>
      </c>
      <c r="G655" s="60">
        <v>19731.80078125</v>
      </c>
      <c r="H655" s="51">
        <f t="shared" si="21"/>
        <v>-1.6897597201204532E-3</v>
      </c>
    </row>
    <row r="656" spans="2:8">
      <c r="B656" s="46">
        <v>45250</v>
      </c>
      <c r="C656" s="60">
        <v>4281.99560546875</v>
      </c>
      <c r="D656" s="58">
        <f t="shared" si="20"/>
        <v>-1.3015838179889536E-2</v>
      </c>
      <c r="F656" s="46">
        <v>45250</v>
      </c>
      <c r="G656" s="60">
        <v>19694</v>
      </c>
      <c r="H656" s="53">
        <f t="shared" si="21"/>
        <v>-1.9157289123818803E-3</v>
      </c>
    </row>
    <row r="657" spans="2:8">
      <c r="B657" s="46">
        <v>45251</v>
      </c>
      <c r="C657" s="60">
        <v>4377.32958984375</v>
      </c>
      <c r="D657" s="58">
        <f t="shared" si="20"/>
        <v>2.226391457600849E-2</v>
      </c>
      <c r="F657" s="46">
        <v>45251</v>
      </c>
      <c r="G657" s="60">
        <v>19783.400390625</v>
      </c>
      <c r="H657" s="51">
        <f t="shared" si="21"/>
        <v>4.5394734754239871E-3</v>
      </c>
    </row>
    <row r="658" spans="2:8">
      <c r="B658" s="46">
        <v>45252</v>
      </c>
      <c r="C658" s="60">
        <v>4418.9248046875</v>
      </c>
      <c r="D658" s="58">
        <f t="shared" si="20"/>
        <v>9.5024178531721553E-3</v>
      </c>
      <c r="F658" s="46">
        <v>45252</v>
      </c>
      <c r="G658" s="60">
        <v>19811.849609375</v>
      </c>
      <c r="H658" s="53">
        <f t="shared" si="21"/>
        <v>1.438034826585301E-3</v>
      </c>
    </row>
    <row r="659" spans="2:8">
      <c r="B659" s="46">
        <v>45253</v>
      </c>
      <c r="C659" s="60">
        <v>4409.3671875</v>
      </c>
      <c r="D659" s="58">
        <f t="shared" si="20"/>
        <v>-2.1628829658656978E-3</v>
      </c>
      <c r="F659" s="46">
        <v>45253</v>
      </c>
      <c r="G659" s="60">
        <v>19802</v>
      </c>
      <c r="H659" s="51">
        <f t="shared" si="21"/>
        <v>-4.9715748752398909E-4</v>
      </c>
    </row>
    <row r="660" spans="2:8">
      <c r="B660" s="46">
        <v>45254</v>
      </c>
      <c r="C660" s="60">
        <v>4445.1103515625</v>
      </c>
      <c r="D660" s="58">
        <f t="shared" si="20"/>
        <v>8.1061890612846594E-3</v>
      </c>
      <c r="F660" s="46">
        <v>45254</v>
      </c>
      <c r="G660" s="60">
        <v>19794.69921875</v>
      </c>
      <c r="H660" s="53">
        <f t="shared" si="21"/>
        <v>-3.6868908443591557E-4</v>
      </c>
    </row>
    <row r="661" spans="2:8">
      <c r="B661" s="46">
        <v>45258</v>
      </c>
      <c r="C661" s="60">
        <v>4441.6005859375</v>
      </c>
      <c r="D661" s="58">
        <f t="shared" si="20"/>
        <v>-7.895789637182534E-4</v>
      </c>
      <c r="F661" s="46">
        <v>45258</v>
      </c>
      <c r="G661" s="60">
        <v>19889.69921875</v>
      </c>
      <c r="H661" s="51">
        <f t="shared" si="21"/>
        <v>4.7992646389905125E-3</v>
      </c>
    </row>
    <row r="662" spans="2:8">
      <c r="B662" s="46">
        <v>45259</v>
      </c>
      <c r="C662" s="60">
        <v>4454.32763671875</v>
      </c>
      <c r="D662" s="58">
        <f t="shared" si="20"/>
        <v>2.8654199167626572E-3</v>
      </c>
      <c r="F662" s="46">
        <v>45259</v>
      </c>
      <c r="G662" s="60">
        <v>20096.599609375</v>
      </c>
      <c r="H662" s="53">
        <f t="shared" si="21"/>
        <v>1.0402389113554579E-2</v>
      </c>
    </row>
    <row r="663" spans="2:8">
      <c r="B663" s="46">
        <v>45260</v>
      </c>
      <c r="C663" s="60">
        <v>4606.7626953125</v>
      </c>
      <c r="D663" s="58">
        <f t="shared" si="20"/>
        <v>3.4221788567407728E-2</v>
      </c>
      <c r="F663" s="46">
        <v>45260</v>
      </c>
      <c r="G663" s="60">
        <v>20133.150390625</v>
      </c>
      <c r="H663" s="51">
        <f t="shared" si="21"/>
        <v>1.8187545137212753E-3</v>
      </c>
    </row>
    <row r="664" spans="2:8">
      <c r="B664" s="46">
        <v>45261</v>
      </c>
      <c r="C664" s="60">
        <v>4532.9833984375</v>
      </c>
      <c r="D664" s="58">
        <f t="shared" si="20"/>
        <v>-1.6015432474972575E-2</v>
      </c>
      <c r="F664" s="46">
        <v>45261</v>
      </c>
      <c r="G664" s="60">
        <v>20267.900390625</v>
      </c>
      <c r="H664" s="53">
        <f t="shared" si="21"/>
        <v>6.6929416105065368E-3</v>
      </c>
    </row>
    <row r="665" spans="2:8">
      <c r="B665" s="46">
        <v>45264</v>
      </c>
      <c r="C665" s="60">
        <v>4499.09228515625</v>
      </c>
      <c r="D665" s="58">
        <f t="shared" si="20"/>
        <v>-7.4765579977487057E-3</v>
      </c>
      <c r="F665" s="46">
        <v>45264</v>
      </c>
      <c r="G665" s="60">
        <v>20686.80078125</v>
      </c>
      <c r="H665" s="51">
        <f t="shared" si="21"/>
        <v>2.0668169003769332E-2</v>
      </c>
    </row>
    <row r="666" spans="2:8">
      <c r="B666" s="46">
        <v>45265</v>
      </c>
      <c r="C666" s="60">
        <v>4537.81103515625</v>
      </c>
      <c r="D666" s="58">
        <f t="shared" si="20"/>
        <v>8.6059026012300002E-3</v>
      </c>
      <c r="F666" s="46">
        <v>45265</v>
      </c>
      <c r="G666" s="60">
        <v>20855.099609375</v>
      </c>
      <c r="H666" s="53">
        <f t="shared" si="21"/>
        <v>8.1355657602475619E-3</v>
      </c>
    </row>
    <row r="667" spans="2:8">
      <c r="B667" s="46">
        <v>45266</v>
      </c>
      <c r="C667" s="60">
        <v>4608.95703125</v>
      </c>
      <c r="D667" s="58">
        <f t="shared" si="20"/>
        <v>1.5678483643887617E-2</v>
      </c>
      <c r="F667" s="46">
        <v>45266</v>
      </c>
      <c r="G667" s="60">
        <v>20937.69921875</v>
      </c>
      <c r="H667" s="51">
        <f t="shared" si="21"/>
        <v>3.9606432442005199E-3</v>
      </c>
    </row>
    <row r="668" spans="2:8">
      <c r="B668" s="46">
        <v>45267</v>
      </c>
      <c r="C668" s="60">
        <v>4768.609375</v>
      </c>
      <c r="D668" s="58">
        <f t="shared" si="20"/>
        <v>3.4639581724783521E-2</v>
      </c>
      <c r="F668" s="46">
        <v>45267</v>
      </c>
      <c r="G668" s="60">
        <v>20901.150390625</v>
      </c>
      <c r="H668" s="53">
        <f t="shared" si="21"/>
        <v>-1.7455990623969808E-3</v>
      </c>
    </row>
    <row r="669" spans="2:8">
      <c r="B669" s="46">
        <v>45268</v>
      </c>
      <c r="C669" s="60">
        <v>4677.470703125</v>
      </c>
      <c r="D669" s="58">
        <f t="shared" si="20"/>
        <v>-1.9112211696937328E-2</v>
      </c>
      <c r="F669" s="46">
        <v>45268</v>
      </c>
      <c r="G669" s="60">
        <v>20969.400390625</v>
      </c>
      <c r="H669" s="51">
        <f t="shared" si="21"/>
        <v>3.2653705047073797E-3</v>
      </c>
    </row>
    <row r="670" spans="2:8">
      <c r="B670" s="46">
        <v>45271</v>
      </c>
      <c r="C670" s="60">
        <v>4608.42041015625</v>
      </c>
      <c r="D670" s="58">
        <f t="shared" si="20"/>
        <v>-1.4762314368450831E-2</v>
      </c>
      <c r="F670" s="46">
        <v>45271</v>
      </c>
      <c r="G670" s="60">
        <v>20997.099609375</v>
      </c>
      <c r="H670" s="53">
        <f t="shared" si="21"/>
        <v>1.3209351833628857E-3</v>
      </c>
    </row>
    <row r="671" spans="2:8">
      <c r="B671" s="46">
        <v>45272</v>
      </c>
      <c r="C671" s="60">
        <v>4676.6416015625</v>
      </c>
      <c r="D671" s="58">
        <f t="shared" si="20"/>
        <v>1.480359544799797E-2</v>
      </c>
      <c r="F671" s="46">
        <v>45272</v>
      </c>
      <c r="G671" s="60">
        <v>20906.400390625</v>
      </c>
      <c r="H671" s="51">
        <f t="shared" si="21"/>
        <v>-4.3196070141755995E-3</v>
      </c>
    </row>
    <row r="672" spans="2:8">
      <c r="B672" s="46">
        <v>45273</v>
      </c>
      <c r="C672" s="60">
        <v>4764.5625</v>
      </c>
      <c r="D672" s="58">
        <f t="shared" si="20"/>
        <v>1.8800007767994235E-2</v>
      </c>
      <c r="F672" s="46">
        <v>45273</v>
      </c>
      <c r="G672" s="60">
        <v>20926.349609375</v>
      </c>
      <c r="H672" s="53">
        <f t="shared" si="21"/>
        <v>9.5421585625738684E-4</v>
      </c>
    </row>
    <row r="673" spans="2:8">
      <c r="B673" s="46">
        <v>45274</v>
      </c>
      <c r="C673" s="60">
        <v>4737.10888671875</v>
      </c>
      <c r="D673" s="58">
        <f t="shared" si="20"/>
        <v>-5.7620428488974595E-3</v>
      </c>
      <c r="F673" s="46">
        <v>45274</v>
      </c>
      <c r="G673" s="60">
        <v>21182.69921875</v>
      </c>
      <c r="H673" s="51">
        <f t="shared" si="21"/>
        <v>1.2250087289956937E-2</v>
      </c>
    </row>
    <row r="674" spans="2:8">
      <c r="B674" s="46">
        <v>45275</v>
      </c>
      <c r="C674" s="60">
        <v>4797.72216796875</v>
      </c>
      <c r="D674" s="58">
        <f t="shared" si="20"/>
        <v>1.2795416508144688E-2</v>
      </c>
      <c r="F674" s="46">
        <v>45275</v>
      </c>
      <c r="G674" s="60">
        <v>21456.650390625</v>
      </c>
      <c r="H674" s="53">
        <f t="shared" si="21"/>
        <v>1.2932779200891942E-2</v>
      </c>
    </row>
    <row r="675" spans="2:8">
      <c r="B675" s="46">
        <v>45278</v>
      </c>
      <c r="C675" s="60">
        <v>4782.02001953125</v>
      </c>
      <c r="D675" s="58">
        <f t="shared" si="20"/>
        <v>-3.272834042440591E-3</v>
      </c>
      <c r="F675" s="46">
        <v>45278</v>
      </c>
      <c r="G675" s="60">
        <v>21418.650390625</v>
      </c>
      <c r="H675" s="51">
        <f t="shared" si="21"/>
        <v>-1.7710126840955215E-3</v>
      </c>
    </row>
    <row r="676" spans="2:8">
      <c r="B676" s="46">
        <v>45279</v>
      </c>
      <c r="C676" s="60">
        <v>4814.59423828125</v>
      </c>
      <c r="D676" s="58">
        <f t="shared" si="20"/>
        <v>6.8118114556101408E-3</v>
      </c>
      <c r="F676" s="46">
        <v>45279</v>
      </c>
      <c r="G676" s="60">
        <v>21453.099609375</v>
      </c>
      <c r="H676" s="53">
        <f t="shared" si="21"/>
        <v>1.6083748565725931E-3</v>
      </c>
    </row>
    <row r="677" spans="2:8">
      <c r="B677" s="46">
        <v>45280</v>
      </c>
      <c r="C677" s="60">
        <v>4756.76025390625</v>
      </c>
      <c r="D677" s="58">
        <f t="shared" si="20"/>
        <v>-1.2012223982481649E-2</v>
      </c>
      <c r="F677" s="46">
        <v>45280</v>
      </c>
      <c r="G677" s="60">
        <v>21150.150390625</v>
      </c>
      <c r="H677" s="51">
        <f t="shared" si="21"/>
        <v>-1.412146609423336E-2</v>
      </c>
    </row>
    <row r="678" spans="2:8">
      <c r="B678" s="46">
        <v>45281</v>
      </c>
      <c r="C678" s="60">
        <v>4788.50537109375</v>
      </c>
      <c r="D678" s="58">
        <f t="shared" si="20"/>
        <v>6.6736845022683077E-3</v>
      </c>
      <c r="F678" s="46">
        <v>45281</v>
      </c>
      <c r="G678" s="60">
        <v>21255.05078125</v>
      </c>
      <c r="H678" s="53">
        <f t="shared" si="21"/>
        <v>4.9597940765233554E-3</v>
      </c>
    </row>
    <row r="679" spans="2:8">
      <c r="B679" s="46">
        <v>45282</v>
      </c>
      <c r="C679" s="60">
        <v>4792.89404296875</v>
      </c>
      <c r="D679" s="58">
        <f t="shared" si="20"/>
        <v>9.1650139968362963E-4</v>
      </c>
      <c r="F679" s="46">
        <v>45282</v>
      </c>
      <c r="G679" s="60">
        <v>21349.400390625</v>
      </c>
      <c r="H679" s="51">
        <f t="shared" si="21"/>
        <v>4.4389265566107177E-3</v>
      </c>
    </row>
    <row r="680" spans="2:8">
      <c r="B680" s="46">
        <v>45286</v>
      </c>
      <c r="C680" s="60">
        <v>4849.5576171875</v>
      </c>
      <c r="D680" s="58">
        <f t="shared" si="20"/>
        <v>1.1822413287411673E-2</v>
      </c>
      <c r="F680" s="46">
        <v>45286</v>
      </c>
      <c r="G680" s="60">
        <v>21441.349609375</v>
      </c>
      <c r="H680" s="53">
        <f t="shared" si="21"/>
        <v>4.3068759341071223E-3</v>
      </c>
    </row>
    <row r="681" spans="2:8">
      <c r="B681" s="46">
        <v>45287</v>
      </c>
      <c r="C681" s="60">
        <v>4949.81591796875</v>
      </c>
      <c r="D681" s="58">
        <f t="shared" si="20"/>
        <v>2.0673700303285556E-2</v>
      </c>
      <c r="F681" s="46">
        <v>45287</v>
      </c>
      <c r="G681" s="60">
        <v>21654.75</v>
      </c>
      <c r="H681" s="51">
        <f t="shared" si="21"/>
        <v>9.9527499207276091E-3</v>
      </c>
    </row>
    <row r="682" spans="2:8">
      <c r="B682" s="46">
        <v>45288</v>
      </c>
      <c r="C682" s="60">
        <v>4999.60400390625</v>
      </c>
      <c r="D682" s="58">
        <f t="shared" si="20"/>
        <v>1.0058573240422945E-2</v>
      </c>
      <c r="F682" s="46">
        <v>45288</v>
      </c>
      <c r="G682" s="60">
        <v>21778.69921875</v>
      </c>
      <c r="H682" s="53">
        <f t="shared" si="21"/>
        <v>5.7238813077962114E-3</v>
      </c>
    </row>
    <row r="683" spans="2:8">
      <c r="B683" s="46">
        <v>45289</v>
      </c>
      <c r="C683" s="60">
        <v>5073.96826171875</v>
      </c>
      <c r="D683" s="58">
        <f t="shared" si="20"/>
        <v>1.4874029574021928E-2</v>
      </c>
      <c r="F683" s="46">
        <v>45289</v>
      </c>
      <c r="G683" s="60">
        <v>21731.400390625</v>
      </c>
      <c r="H683" s="51">
        <f t="shared" si="21"/>
        <v>-2.171793074045436E-3</v>
      </c>
    </row>
    <row r="684" spans="2:8">
      <c r="B684" s="46">
        <v>45292</v>
      </c>
      <c r="C684" s="60">
        <v>4993.41064453125</v>
      </c>
      <c r="D684" s="58">
        <f t="shared" si="20"/>
        <v>-1.5876649799975693E-2</v>
      </c>
      <c r="F684" s="46">
        <v>45292</v>
      </c>
      <c r="G684" s="60">
        <v>21741.900390625</v>
      </c>
      <c r="H684" s="53">
        <f t="shared" si="21"/>
        <v>4.8317180721265139E-4</v>
      </c>
    </row>
    <row r="685" spans="2:8">
      <c r="B685" s="46">
        <v>45293</v>
      </c>
      <c r="C685" s="60">
        <v>5057.779296875</v>
      </c>
      <c r="D685" s="58">
        <f t="shared" si="20"/>
        <v>1.2890718774400442E-2</v>
      </c>
      <c r="F685" s="46">
        <v>45293</v>
      </c>
      <c r="G685" s="60">
        <v>21665.80078125</v>
      </c>
      <c r="H685" s="51">
        <f t="shared" si="21"/>
        <v>-3.5001360510240297E-3</v>
      </c>
    </row>
    <row r="686" spans="2:8">
      <c r="B686" s="46">
        <v>45294</v>
      </c>
      <c r="C686" s="60">
        <v>5110.93115234375</v>
      </c>
      <c r="D686" s="58">
        <f t="shared" si="20"/>
        <v>1.0508931360763489E-2</v>
      </c>
      <c r="F686" s="46">
        <v>45294</v>
      </c>
      <c r="G686" s="60">
        <v>21517.349609375</v>
      </c>
      <c r="H686" s="53">
        <f t="shared" si="21"/>
        <v>-6.8518663756694607E-3</v>
      </c>
    </row>
    <row r="687" spans="2:8">
      <c r="B687" s="46">
        <v>45295</v>
      </c>
      <c r="C687" s="60">
        <v>5139.16552734375</v>
      </c>
      <c r="D687" s="58">
        <f t="shared" si="20"/>
        <v>5.5243113550947354E-3</v>
      </c>
      <c r="F687" s="46">
        <v>45295</v>
      </c>
      <c r="G687" s="60">
        <v>21658.599609375</v>
      </c>
      <c r="H687" s="51">
        <f t="shared" si="21"/>
        <v>6.5644701863494422E-3</v>
      </c>
    </row>
    <row r="688" spans="2:8">
      <c r="B688" s="46">
        <v>45296</v>
      </c>
      <c r="C688" s="60">
        <v>5109.07861328125</v>
      </c>
      <c r="D688" s="58">
        <f t="shared" si="20"/>
        <v>-5.8544356865755298E-3</v>
      </c>
      <c r="F688" s="46">
        <v>45296</v>
      </c>
      <c r="G688" s="60">
        <v>21710.80078125</v>
      </c>
      <c r="H688" s="53">
        <f t="shared" si="21"/>
        <v>2.4101822286056087E-3</v>
      </c>
    </row>
    <row r="689" spans="2:8">
      <c r="B689" s="46">
        <v>45299</v>
      </c>
      <c r="C689" s="60">
        <v>5074.89453125</v>
      </c>
      <c r="D689" s="58">
        <f t="shared" si="20"/>
        <v>-6.6908506638334239E-3</v>
      </c>
      <c r="F689" s="46">
        <v>45299</v>
      </c>
      <c r="G689" s="60">
        <v>21513</v>
      </c>
      <c r="H689" s="51">
        <f t="shared" si="21"/>
        <v>-9.1107086856430358E-3</v>
      </c>
    </row>
    <row r="690" spans="2:8">
      <c r="B690" s="46">
        <v>45300</v>
      </c>
      <c r="C690" s="60">
        <v>5050.51220703125</v>
      </c>
      <c r="D690" s="58">
        <f t="shared" si="20"/>
        <v>-4.8044987080242589E-3</v>
      </c>
      <c r="F690" s="46">
        <v>45300</v>
      </c>
      <c r="G690" s="60">
        <v>21544.849609375</v>
      </c>
      <c r="H690" s="53">
        <f t="shared" si="21"/>
        <v>1.4804820050667038E-3</v>
      </c>
    </row>
    <row r="691" spans="2:8">
      <c r="B691" s="46">
        <v>45301</v>
      </c>
      <c r="C691" s="60">
        <v>4993.2158203125</v>
      </c>
      <c r="D691" s="58">
        <f t="shared" si="20"/>
        <v>-1.1344668495005874E-2</v>
      </c>
      <c r="F691" s="46">
        <v>45301</v>
      </c>
      <c r="G691" s="60">
        <v>21618.69921875</v>
      </c>
      <c r="H691" s="51">
        <f t="shared" si="21"/>
        <v>3.4277152411806657E-3</v>
      </c>
    </row>
    <row r="692" spans="2:8">
      <c r="B692" s="46">
        <v>45302</v>
      </c>
      <c r="C692" s="60">
        <v>4932.7001953125</v>
      </c>
      <c r="D692" s="58">
        <f t="shared" si="20"/>
        <v>-1.2119569267128661E-2</v>
      </c>
      <c r="F692" s="46">
        <v>45302</v>
      </c>
      <c r="G692" s="60">
        <v>21647.19921875</v>
      </c>
      <c r="H692" s="53">
        <f t="shared" si="21"/>
        <v>1.3183031833516521E-3</v>
      </c>
    </row>
    <row r="693" spans="2:8">
      <c r="B693" s="46">
        <v>45303</v>
      </c>
      <c r="C693" s="60">
        <v>4923.87451171875</v>
      </c>
      <c r="D693" s="58">
        <f t="shared" si="20"/>
        <v>-1.7892195439197717E-3</v>
      </c>
      <c r="F693" s="46">
        <v>45303</v>
      </c>
      <c r="G693" s="60">
        <v>21894.55078125</v>
      </c>
      <c r="H693" s="51">
        <f t="shared" si="21"/>
        <v>1.1426492637705911E-2</v>
      </c>
    </row>
    <row r="694" spans="2:8">
      <c r="B694" s="46">
        <v>45306</v>
      </c>
      <c r="C694" s="60">
        <v>4913.04833984375</v>
      </c>
      <c r="D694" s="58">
        <f t="shared" si="20"/>
        <v>-2.1987099486865209E-3</v>
      </c>
      <c r="F694" s="46">
        <v>45306</v>
      </c>
      <c r="G694" s="60">
        <v>22097.44921875</v>
      </c>
      <c r="H694" s="53">
        <f t="shared" si="21"/>
        <v>9.2670746948486215E-3</v>
      </c>
    </row>
    <row r="695" spans="2:8">
      <c r="B695" s="46">
        <v>45307</v>
      </c>
      <c r="C695" s="60">
        <v>4935.47998046875</v>
      </c>
      <c r="D695" s="58">
        <f t="shared" si="20"/>
        <v>4.5657276447056893E-3</v>
      </c>
      <c r="F695" s="46">
        <v>45307</v>
      </c>
      <c r="G695" s="60">
        <v>22032.30078125</v>
      </c>
      <c r="H695" s="51">
        <f t="shared" si="21"/>
        <v>-2.9482333845447023E-3</v>
      </c>
    </row>
    <row r="696" spans="2:8">
      <c r="B696" s="46">
        <v>45308</v>
      </c>
      <c r="C696" s="60">
        <v>4931.1396484375</v>
      </c>
      <c r="D696" s="58">
        <f t="shared" si="20"/>
        <v>-8.7941437275119376E-4</v>
      </c>
      <c r="F696" s="46">
        <v>45308</v>
      </c>
      <c r="G696" s="60">
        <v>21571.94921875</v>
      </c>
      <c r="H696" s="53">
        <f t="shared" si="21"/>
        <v>-2.0894393512082492E-2</v>
      </c>
    </row>
    <row r="697" spans="2:8">
      <c r="B697" s="46">
        <v>45309</v>
      </c>
      <c r="C697" s="60">
        <v>4811.86328125</v>
      </c>
      <c r="D697" s="58">
        <f t="shared" si="20"/>
        <v>-2.4188397752088479E-2</v>
      </c>
      <c r="F697" s="46">
        <v>45309</v>
      </c>
      <c r="G697" s="60">
        <v>21462.25</v>
      </c>
      <c r="H697" s="51">
        <f t="shared" si="21"/>
        <v>-5.0852715087355742E-3</v>
      </c>
    </row>
    <row r="698" spans="2:8">
      <c r="B698" s="46">
        <v>45310</v>
      </c>
      <c r="C698" s="60">
        <v>4841.56005859375</v>
      </c>
      <c r="D698" s="58">
        <f t="shared" si="20"/>
        <v>6.1715754600649275E-3</v>
      </c>
      <c r="F698" s="46">
        <v>45310</v>
      </c>
      <c r="G698" s="60">
        <v>21622.400390625</v>
      </c>
      <c r="H698" s="53">
        <f t="shared" si="21"/>
        <v>7.4619571864552878E-3</v>
      </c>
    </row>
    <row r="699" spans="2:8">
      <c r="B699" s="46">
        <v>45314</v>
      </c>
      <c r="C699" s="60">
        <v>4696.63427734375</v>
      </c>
      <c r="D699" s="58">
        <f t="shared" si="20"/>
        <v>-2.9933694820692622E-2</v>
      </c>
      <c r="F699" s="46">
        <v>45314</v>
      </c>
      <c r="G699" s="60">
        <v>21238.80078125</v>
      </c>
      <c r="H699" s="51">
        <f t="shared" si="21"/>
        <v>-1.7740842942734536E-2</v>
      </c>
    </row>
    <row r="700" spans="2:8">
      <c r="B700" s="46">
        <v>45315</v>
      </c>
      <c r="C700" s="60">
        <v>4875.98779296875</v>
      </c>
      <c r="D700" s="58">
        <f t="shared" si="20"/>
        <v>3.8187669091074301E-2</v>
      </c>
      <c r="F700" s="46">
        <v>45315</v>
      </c>
      <c r="G700" s="60">
        <v>21453.94921875</v>
      </c>
      <c r="H700" s="53">
        <f t="shared" si="21"/>
        <v>1.0129971071150917E-2</v>
      </c>
    </row>
    <row r="701" spans="2:8">
      <c r="B701" s="46">
        <v>45316</v>
      </c>
      <c r="C701" s="60">
        <v>4848.826171875</v>
      </c>
      <c r="D701" s="58">
        <f t="shared" si="20"/>
        <v>-5.5704858680978402E-3</v>
      </c>
      <c r="F701" s="46">
        <v>45316</v>
      </c>
      <c r="G701" s="60">
        <v>21352.599609375</v>
      </c>
      <c r="H701" s="51">
        <f t="shared" si="21"/>
        <v>-4.7240537554001476E-3</v>
      </c>
    </row>
    <row r="702" spans="2:8">
      <c r="B702" s="46">
        <v>45320</v>
      </c>
      <c r="C702" s="60">
        <v>4852.3369140625</v>
      </c>
      <c r="D702" s="58">
        <f t="shared" si="20"/>
        <v>7.2403960526851098E-4</v>
      </c>
      <c r="F702" s="46">
        <v>45320</v>
      </c>
      <c r="G702" s="60">
        <v>21737.599609375</v>
      </c>
      <c r="H702" s="53">
        <f t="shared" si="21"/>
        <v>1.8030591452244681E-2</v>
      </c>
    </row>
    <row r="703" spans="2:8">
      <c r="B703" s="46">
        <v>45321</v>
      </c>
      <c r="C703" s="60">
        <v>4824.00537109375</v>
      </c>
      <c r="D703" s="58">
        <f t="shared" si="20"/>
        <v>-5.8387419238434763E-3</v>
      </c>
      <c r="F703" s="46">
        <v>45321</v>
      </c>
      <c r="G703" s="60">
        <v>21522.099609375</v>
      </c>
      <c r="H703" s="51">
        <f t="shared" si="21"/>
        <v>-9.9136981024831768E-3</v>
      </c>
    </row>
    <row r="704" spans="2:8">
      <c r="B704" s="46">
        <v>45322</v>
      </c>
      <c r="C704" s="60">
        <v>4872.52490234375</v>
      </c>
      <c r="D704" s="58">
        <f t="shared" si="20"/>
        <v>1.0057934748733319E-2</v>
      </c>
      <c r="F704" s="46">
        <v>45322</v>
      </c>
      <c r="G704" s="60">
        <v>21725.69921875</v>
      </c>
      <c r="H704" s="53">
        <f t="shared" si="21"/>
        <v>9.4600254190029057E-3</v>
      </c>
    </row>
    <row r="705" spans="2:8">
      <c r="B705" s="46">
        <v>45323</v>
      </c>
      <c r="C705" s="60">
        <v>4734.71875</v>
      </c>
      <c r="D705" s="58">
        <f t="shared" si="20"/>
        <v>-2.8282287952487096E-2</v>
      </c>
      <c r="F705" s="46">
        <v>45323</v>
      </c>
      <c r="G705" s="60">
        <v>21697.44921875</v>
      </c>
      <c r="H705" s="51">
        <f t="shared" si="21"/>
        <v>-1.3003033741542051E-3</v>
      </c>
    </row>
    <row r="706" spans="2:8">
      <c r="B706" s="46">
        <v>45324</v>
      </c>
      <c r="C706" s="60">
        <v>4796.11279296875</v>
      </c>
      <c r="D706" s="58">
        <f t="shared" si="20"/>
        <v>1.2966777164694313E-2</v>
      </c>
      <c r="F706" s="46">
        <v>45324</v>
      </c>
      <c r="G706" s="60">
        <v>21853.80078125</v>
      </c>
      <c r="H706" s="53">
        <f t="shared" si="21"/>
        <v>7.2059881750933062E-3</v>
      </c>
    </row>
    <row r="707" spans="2:8">
      <c r="B707" s="46">
        <v>45327</v>
      </c>
      <c r="C707" s="60">
        <v>4802.30615234375</v>
      </c>
      <c r="D707" s="58">
        <f t="shared" si="20"/>
        <v>1.2913289662577696E-3</v>
      </c>
      <c r="F707" s="46">
        <v>45327</v>
      </c>
      <c r="G707" s="60">
        <v>21771.69921875</v>
      </c>
      <c r="H707" s="51">
        <f t="shared" si="21"/>
        <v>-3.7568550808077758E-3</v>
      </c>
    </row>
    <row r="708" spans="2:8">
      <c r="B708" s="46">
        <v>45328</v>
      </c>
      <c r="C708" s="60">
        <v>4939.96630859375</v>
      </c>
      <c r="D708" s="58">
        <f t="shared" si="20"/>
        <v>2.8665426960089873E-2</v>
      </c>
      <c r="F708" s="46">
        <v>45328</v>
      </c>
      <c r="G708" s="60">
        <v>21929.400390625</v>
      </c>
      <c r="H708" s="53">
        <f t="shared" si="21"/>
        <v>7.243402101531249E-3</v>
      </c>
    </row>
    <row r="709" spans="2:8">
      <c r="B709" s="46">
        <v>45329</v>
      </c>
      <c r="C709" s="60">
        <v>5001.06591796875</v>
      </c>
      <c r="D709" s="58">
        <f t="shared" ref="D709:D772" si="22">(C709-C708)/C708</f>
        <v>1.2368426332930416E-2</v>
      </c>
      <c r="F709" s="46">
        <v>45329</v>
      </c>
      <c r="G709" s="60">
        <v>21930.5</v>
      </c>
      <c r="H709" s="51">
        <f t="shared" ref="H709:H772" si="23">(G709-G708)/G708</f>
        <v>5.0143157378351857E-5</v>
      </c>
    </row>
    <row r="710" spans="2:8">
      <c r="B710" s="46">
        <v>45330</v>
      </c>
      <c r="C710" s="60">
        <v>5179.83447265625</v>
      </c>
      <c r="D710" s="58">
        <f t="shared" si="22"/>
        <v>3.5746090457473761E-2</v>
      </c>
      <c r="F710" s="46">
        <v>45330</v>
      </c>
      <c r="G710" s="60">
        <v>21717.94921875</v>
      </c>
      <c r="H710" s="53">
        <f t="shared" si="23"/>
        <v>-9.6920171108729851E-3</v>
      </c>
    </row>
    <row r="711" spans="2:8">
      <c r="B711" s="46">
        <v>45331</v>
      </c>
      <c r="C711" s="60">
        <v>5196.17041015625</v>
      </c>
      <c r="D711" s="58">
        <f t="shared" si="22"/>
        <v>3.153756666595339E-3</v>
      </c>
      <c r="F711" s="46">
        <v>45331</v>
      </c>
      <c r="G711" s="60">
        <v>21782.5</v>
      </c>
      <c r="H711" s="51">
        <f t="shared" si="23"/>
        <v>2.9722318898448593E-3</v>
      </c>
    </row>
    <row r="712" spans="2:8">
      <c r="B712" s="46">
        <v>45334</v>
      </c>
      <c r="C712" s="60">
        <v>5022.03564453125</v>
      </c>
      <c r="D712" s="58">
        <f t="shared" si="22"/>
        <v>-3.3512135261122761E-2</v>
      </c>
      <c r="F712" s="46">
        <v>45334</v>
      </c>
      <c r="G712" s="60">
        <v>21616.05078125</v>
      </c>
      <c r="H712" s="53">
        <f t="shared" si="23"/>
        <v>-7.6414194307356824E-3</v>
      </c>
    </row>
    <row r="713" spans="2:8">
      <c r="B713" s="46">
        <v>45335</v>
      </c>
      <c r="C713" s="60">
        <v>5162.572265625</v>
      </c>
      <c r="D713" s="58">
        <f t="shared" si="22"/>
        <v>2.798399514483484E-2</v>
      </c>
      <c r="F713" s="46">
        <v>45335</v>
      </c>
      <c r="G713" s="60">
        <v>21743.25</v>
      </c>
      <c r="H713" s="51">
        <f t="shared" si="23"/>
        <v>5.8844800115076526E-3</v>
      </c>
    </row>
    <row r="714" spans="2:8">
      <c r="B714" s="46">
        <v>45336</v>
      </c>
      <c r="C714" s="60">
        <v>5108.2978515625</v>
      </c>
      <c r="D714" s="58">
        <f t="shared" si="22"/>
        <v>-1.051305652879405E-2</v>
      </c>
      <c r="F714" s="46">
        <v>45336</v>
      </c>
      <c r="G714" s="60">
        <v>21840.05078125</v>
      </c>
      <c r="H714" s="53">
        <f t="shared" si="23"/>
        <v>4.4519922849619994E-3</v>
      </c>
    </row>
    <row r="715" spans="2:8">
      <c r="B715" s="46">
        <v>45337</v>
      </c>
      <c r="C715" s="60">
        <v>5179.2490234375</v>
      </c>
      <c r="D715" s="58">
        <f t="shared" si="22"/>
        <v>1.3889396025194149E-2</v>
      </c>
      <c r="F715" s="46">
        <v>45337</v>
      </c>
      <c r="G715" s="60">
        <v>21910.75</v>
      </c>
      <c r="H715" s="51">
        <f t="shared" si="23"/>
        <v>3.2371361888359849E-3</v>
      </c>
    </row>
    <row r="716" spans="2:8">
      <c r="B716" s="46">
        <v>45338</v>
      </c>
      <c r="C716" s="60">
        <v>5345.21337890625</v>
      </c>
      <c r="D716" s="58">
        <f t="shared" si="22"/>
        <v>3.2044096493085483E-2</v>
      </c>
      <c r="F716" s="46">
        <v>45338</v>
      </c>
      <c r="G716" s="60">
        <v>22040.69921875</v>
      </c>
      <c r="H716" s="53">
        <f t="shared" si="23"/>
        <v>5.9308430222607626E-3</v>
      </c>
    </row>
    <row r="717" spans="2:8">
      <c r="B717" s="46">
        <v>45341</v>
      </c>
      <c r="C717" s="60">
        <v>5371.966796875</v>
      </c>
      <c r="D717" s="58">
        <f t="shared" si="22"/>
        <v>5.0051169284142496E-3</v>
      </c>
      <c r="F717" s="46">
        <v>45341</v>
      </c>
      <c r="G717" s="60">
        <v>22122.25</v>
      </c>
      <c r="H717" s="51">
        <f t="shared" si="23"/>
        <v>3.7000088082788604E-3</v>
      </c>
    </row>
    <row r="718" spans="2:8">
      <c r="B718" s="46">
        <v>45342</v>
      </c>
      <c r="C718" s="60">
        <v>5304.22607421875</v>
      </c>
      <c r="D718" s="58">
        <f t="shared" si="22"/>
        <v>-1.2610041204211534E-2</v>
      </c>
      <c r="F718" s="46">
        <v>45342</v>
      </c>
      <c r="G718" s="60">
        <v>22196.94921875</v>
      </c>
      <c r="H718" s="53">
        <f t="shared" si="23"/>
        <v>3.3766555730090748E-3</v>
      </c>
    </row>
    <row r="719" spans="2:8">
      <c r="B719" s="46">
        <v>45343</v>
      </c>
      <c r="C719" s="60">
        <v>5316.64501953125</v>
      </c>
      <c r="D719" s="58">
        <f t="shared" si="22"/>
        <v>2.3413303163796924E-3</v>
      </c>
      <c r="F719" s="46">
        <v>45343</v>
      </c>
      <c r="G719" s="60">
        <v>22055.05078125</v>
      </c>
      <c r="H719" s="51">
        <f t="shared" si="23"/>
        <v>-6.3927000103301077E-3</v>
      </c>
    </row>
    <row r="720" spans="2:8">
      <c r="B720" s="46">
        <v>45344</v>
      </c>
      <c r="C720" s="60">
        <v>5324.2041015625</v>
      </c>
      <c r="D720" s="58">
        <f t="shared" si="22"/>
        <v>1.4217767038199698E-3</v>
      </c>
      <c r="F720" s="46">
        <v>45344</v>
      </c>
      <c r="G720" s="60">
        <v>22217.44921875</v>
      </c>
      <c r="H720" s="53">
        <f t="shared" si="23"/>
        <v>7.3633218581415499E-3</v>
      </c>
    </row>
    <row r="721" spans="2:8">
      <c r="B721" s="46">
        <v>45345</v>
      </c>
      <c r="C721" s="60">
        <v>5322.19189453125</v>
      </c>
      <c r="D721" s="58">
        <f t="shared" si="22"/>
        <v>-3.779357426698716E-4</v>
      </c>
      <c r="F721" s="46">
        <v>45345</v>
      </c>
      <c r="G721" s="60">
        <v>22212.69921875</v>
      </c>
      <c r="H721" s="51">
        <f t="shared" si="23"/>
        <v>-2.1379592019012364E-4</v>
      </c>
    </row>
    <row r="722" spans="2:8">
      <c r="B722" s="46">
        <v>45348</v>
      </c>
      <c r="C722" s="60">
        <v>4969.4501953125</v>
      </c>
      <c r="D722" s="58">
        <f t="shared" si="22"/>
        <v>-6.6277523661107604E-2</v>
      </c>
      <c r="F722" s="46">
        <v>45348</v>
      </c>
      <c r="G722" s="60">
        <v>22122.05078125</v>
      </c>
      <c r="H722" s="53">
        <f t="shared" si="23"/>
        <v>-4.0809285088361791E-3</v>
      </c>
    </row>
    <row r="723" spans="2:8">
      <c r="B723" s="46">
        <v>45349</v>
      </c>
      <c r="C723" s="60">
        <v>4951.97509765625</v>
      </c>
      <c r="D723" s="58">
        <f t="shared" si="22"/>
        <v>-3.5165052409084647E-3</v>
      </c>
      <c r="F723" s="46">
        <v>45349</v>
      </c>
      <c r="G723" s="60">
        <v>22198.349609375</v>
      </c>
      <c r="H723" s="51">
        <f t="shared" si="23"/>
        <v>3.4489943486464033E-3</v>
      </c>
    </row>
    <row r="724" spans="2:8">
      <c r="B724" s="46">
        <v>45350</v>
      </c>
      <c r="C724" s="60">
        <v>4899.1572265625</v>
      </c>
      <c r="D724" s="58">
        <f t="shared" si="22"/>
        <v>-1.0666021143512713E-2</v>
      </c>
      <c r="F724" s="46">
        <v>45350</v>
      </c>
      <c r="G724" s="60">
        <v>21951.150390625</v>
      </c>
      <c r="H724" s="53">
        <f t="shared" si="23"/>
        <v>-1.1135927809948569E-2</v>
      </c>
    </row>
    <row r="725" spans="2:8">
      <c r="B725" s="46">
        <v>45351</v>
      </c>
      <c r="C725" s="60">
        <v>5033.75537109375</v>
      </c>
      <c r="D725" s="58">
        <f t="shared" si="22"/>
        <v>2.7473734421397812E-2</v>
      </c>
      <c r="F725" s="46">
        <v>45351</v>
      </c>
      <c r="G725" s="60">
        <v>21982.80078125</v>
      </c>
      <c r="H725" s="51">
        <f t="shared" si="23"/>
        <v>1.4418556686904846E-3</v>
      </c>
    </row>
    <row r="726" spans="2:8">
      <c r="B726" s="46">
        <v>45352</v>
      </c>
      <c r="C726" s="60">
        <v>5019.56884765625</v>
      </c>
      <c r="D726" s="58">
        <f t="shared" si="22"/>
        <v>-2.8182782816514795E-3</v>
      </c>
      <c r="F726" s="46">
        <v>45352</v>
      </c>
      <c r="G726" s="60">
        <v>22338.75</v>
      </c>
      <c r="H726" s="53">
        <f t="shared" si="23"/>
        <v>1.6192168700068607E-2</v>
      </c>
    </row>
    <row r="727" spans="2:8">
      <c r="B727" s="46">
        <v>45355</v>
      </c>
      <c r="C727" s="60">
        <v>5031.349609375</v>
      </c>
      <c r="D727" s="58">
        <f t="shared" si="22"/>
        <v>2.3469668563766595E-3</v>
      </c>
      <c r="F727" s="46">
        <v>45355</v>
      </c>
      <c r="G727" s="60">
        <v>22405.599609375</v>
      </c>
      <c r="H727" s="51">
        <f t="shared" si="23"/>
        <v>2.9925402887359411E-3</v>
      </c>
    </row>
    <row r="728" spans="2:8">
      <c r="B728" s="46">
        <v>45356</v>
      </c>
      <c r="C728" s="60">
        <v>5007.24755859375</v>
      </c>
      <c r="D728" s="58">
        <f t="shared" si="22"/>
        <v>-4.7903748800004345E-3</v>
      </c>
      <c r="F728" s="46">
        <v>45356</v>
      </c>
      <c r="G728" s="60">
        <v>22356.30078125</v>
      </c>
      <c r="H728" s="53">
        <f t="shared" si="23"/>
        <v>-2.2002905070379049E-3</v>
      </c>
    </row>
    <row r="729" spans="2:8">
      <c r="B729" s="46">
        <v>45357</v>
      </c>
      <c r="C729" s="60">
        <v>5117.3017578125</v>
      </c>
      <c r="D729" s="58">
        <f t="shared" si="22"/>
        <v>2.197898105314728E-2</v>
      </c>
      <c r="F729" s="46">
        <v>45357</v>
      </c>
      <c r="G729" s="60">
        <v>22474.05078125</v>
      </c>
      <c r="H729" s="51">
        <f t="shared" si="23"/>
        <v>5.2669715420341689E-3</v>
      </c>
    </row>
    <row r="730" spans="2:8">
      <c r="B730" s="46">
        <v>45358</v>
      </c>
      <c r="C730" s="60">
        <v>5050.39501953125</v>
      </c>
      <c r="D730" s="58">
        <f t="shared" si="22"/>
        <v>-1.3074612647007692E-2</v>
      </c>
      <c r="F730" s="46">
        <v>45358</v>
      </c>
      <c r="G730" s="60">
        <v>22493.55078125</v>
      </c>
      <c r="H730" s="53">
        <f t="shared" si="23"/>
        <v>8.6766734621195941E-4</v>
      </c>
    </row>
    <row r="731" spans="2:8">
      <c r="B731" s="46">
        <v>45362</v>
      </c>
      <c r="C731" s="60">
        <v>5063.109375</v>
      </c>
      <c r="D731" s="58">
        <f t="shared" si="22"/>
        <v>2.5174972293414933E-3</v>
      </c>
      <c r="F731" s="46">
        <v>45362</v>
      </c>
      <c r="G731" s="60">
        <v>22332.650390625</v>
      </c>
      <c r="H731" s="51">
        <f t="shared" si="23"/>
        <v>-7.1531788017711326E-3</v>
      </c>
    </row>
    <row r="732" spans="2:8">
      <c r="B732" s="46">
        <v>45363</v>
      </c>
      <c r="C732" s="60">
        <v>4964.4921875</v>
      </c>
      <c r="D732" s="58">
        <f t="shared" si="22"/>
        <v>-1.9477593746431758E-2</v>
      </c>
      <c r="F732" s="46">
        <v>45363</v>
      </c>
      <c r="G732" s="60">
        <v>22335.69921875</v>
      </c>
      <c r="H732" s="53">
        <f t="shared" si="23"/>
        <v>1.3651886684617893E-4</v>
      </c>
    </row>
    <row r="733" spans="2:8">
      <c r="B733" s="46">
        <v>45364</v>
      </c>
      <c r="C733" s="60">
        <v>4855.37158203125</v>
      </c>
      <c r="D733" s="58">
        <f t="shared" si="22"/>
        <v>-2.1980214964080855E-2</v>
      </c>
      <c r="F733" s="46">
        <v>45364</v>
      </c>
      <c r="G733" s="60">
        <v>21997.69921875</v>
      </c>
      <c r="H733" s="51">
        <f t="shared" si="23"/>
        <v>-1.5132725270416491E-2</v>
      </c>
    </row>
    <row r="734" spans="2:8">
      <c r="B734" s="46">
        <v>45365</v>
      </c>
      <c r="C734" s="60">
        <v>4894.34716796875</v>
      </c>
      <c r="D734" s="58">
        <f t="shared" si="22"/>
        <v>8.0273126946124526E-3</v>
      </c>
      <c r="F734" s="46">
        <v>45365</v>
      </c>
      <c r="G734" s="60">
        <v>22146.650390625</v>
      </c>
      <c r="H734" s="53">
        <f t="shared" si="23"/>
        <v>6.7712159528047237E-3</v>
      </c>
    </row>
    <row r="735" spans="2:8">
      <c r="B735" s="46">
        <v>45366</v>
      </c>
      <c r="C735" s="60">
        <v>4953.1044921875</v>
      </c>
      <c r="D735" s="58">
        <f t="shared" si="22"/>
        <v>1.2005140257170486E-2</v>
      </c>
      <c r="F735" s="46">
        <v>45366</v>
      </c>
      <c r="G735" s="60">
        <v>22023.349609375</v>
      </c>
      <c r="H735" s="51">
        <f t="shared" si="23"/>
        <v>-5.5674686273186943E-3</v>
      </c>
    </row>
    <row r="736" spans="2:8">
      <c r="B736" s="46">
        <v>45369</v>
      </c>
      <c r="C736" s="60">
        <v>4884.82373046875</v>
      </c>
      <c r="D736" s="58">
        <f t="shared" si="22"/>
        <v>-1.3785447455519828E-2</v>
      </c>
      <c r="F736" s="46">
        <v>45369</v>
      </c>
      <c r="G736" s="60">
        <v>22055.69921875</v>
      </c>
      <c r="H736" s="53">
        <f t="shared" si="23"/>
        <v>1.4688778023679591E-3</v>
      </c>
    </row>
    <row r="737" spans="2:8">
      <c r="B737" s="46">
        <v>45370</v>
      </c>
      <c r="C737" s="60">
        <v>4782.86962890625</v>
      </c>
      <c r="D737" s="58">
        <f t="shared" si="22"/>
        <v>-2.0871602986729767E-2</v>
      </c>
      <c r="F737" s="46">
        <v>45370</v>
      </c>
      <c r="G737" s="60">
        <v>21817.44921875</v>
      </c>
      <c r="H737" s="51">
        <f t="shared" si="23"/>
        <v>-1.080219664028873E-2</v>
      </c>
    </row>
    <row r="738" spans="2:8">
      <c r="B738" s="46">
        <v>45371</v>
      </c>
      <c r="C738" s="60">
        <v>4696.8193359375</v>
      </c>
      <c r="D738" s="58">
        <f t="shared" si="22"/>
        <v>-1.7991352398294001E-2</v>
      </c>
      <c r="F738" s="46">
        <v>45371</v>
      </c>
      <c r="G738" s="60">
        <v>21839.099609375</v>
      </c>
      <c r="H738" s="53">
        <f t="shared" si="23"/>
        <v>9.9234289068006964E-4</v>
      </c>
    </row>
    <row r="739" spans="2:8">
      <c r="B739" s="46">
        <v>45372</v>
      </c>
      <c r="C739" s="60">
        <v>4708.404296875</v>
      </c>
      <c r="D739" s="58">
        <f t="shared" si="22"/>
        <v>2.4665545146389167E-3</v>
      </c>
      <c r="F739" s="46">
        <v>45372</v>
      </c>
      <c r="G739" s="60">
        <v>22011.94921875</v>
      </c>
      <c r="H739" s="51">
        <f t="shared" si="23"/>
        <v>7.9146856998078725E-3</v>
      </c>
    </row>
    <row r="740" spans="2:8">
      <c r="B740" s="46">
        <v>45373</v>
      </c>
      <c r="C740" s="60">
        <v>4702.3173828125</v>
      </c>
      <c r="D740" s="58">
        <f t="shared" si="22"/>
        <v>-1.2927764224792519E-3</v>
      </c>
      <c r="F740" s="46">
        <v>45373</v>
      </c>
      <c r="G740" s="60">
        <v>22096.75</v>
      </c>
      <c r="H740" s="53">
        <f t="shared" si="23"/>
        <v>3.8524885010077091E-3</v>
      </c>
    </row>
    <row r="741" spans="2:8">
      <c r="B741" s="46">
        <v>45377</v>
      </c>
      <c r="C741" s="60">
        <v>4910.84033203125</v>
      </c>
      <c r="D741" s="58">
        <f t="shared" si="22"/>
        <v>4.4344720324690307E-2</v>
      </c>
      <c r="F741" s="46">
        <v>45377</v>
      </c>
      <c r="G741" s="60">
        <v>22004.69921875</v>
      </c>
      <c r="H741" s="51">
        <f t="shared" si="23"/>
        <v>-4.1658063402989125E-3</v>
      </c>
    </row>
    <row r="742" spans="2:8">
      <c r="B742" s="46">
        <v>45378</v>
      </c>
      <c r="C742" s="60">
        <v>4912.8525390625</v>
      </c>
      <c r="D742" s="58">
        <f t="shared" si="22"/>
        <v>4.0974800547377994E-4</v>
      </c>
      <c r="F742" s="46">
        <v>45378</v>
      </c>
      <c r="G742" s="60">
        <v>22123.650390625</v>
      </c>
      <c r="H742" s="53">
        <f t="shared" si="23"/>
        <v>5.40571678315161E-3</v>
      </c>
    </row>
    <row r="743" spans="2:8">
      <c r="B743" s="46">
        <v>45379</v>
      </c>
      <c r="C743" s="60">
        <v>4851.78759765625</v>
      </c>
      <c r="D743" s="58">
        <f t="shared" si="22"/>
        <v>-1.242963042768281E-2</v>
      </c>
      <c r="F743" s="46">
        <v>45379</v>
      </c>
      <c r="G743" s="60">
        <v>22326.900390625</v>
      </c>
      <c r="H743" s="51">
        <f t="shared" si="23"/>
        <v>9.1870010785438973E-3</v>
      </c>
    </row>
    <row r="744" spans="2:8">
      <c r="B744" s="46">
        <v>45383</v>
      </c>
      <c r="C744" s="60">
        <v>4917.6142578125</v>
      </c>
      <c r="D744" s="58">
        <f t="shared" si="22"/>
        <v>1.3567506580059037E-2</v>
      </c>
      <c r="F744" s="46">
        <v>45383</v>
      </c>
      <c r="G744" s="60">
        <v>22462</v>
      </c>
      <c r="H744" s="53">
        <f t="shared" si="23"/>
        <v>6.0509791780917303E-3</v>
      </c>
    </row>
    <row r="745" spans="2:8">
      <c r="B745" s="46">
        <v>45384</v>
      </c>
      <c r="C745" s="60">
        <v>4864.89501953125</v>
      </c>
      <c r="D745" s="58">
        <f t="shared" si="22"/>
        <v>-1.0720490774056986E-2</v>
      </c>
      <c r="F745" s="46">
        <v>45384</v>
      </c>
      <c r="G745" s="60">
        <v>22453.30078125</v>
      </c>
      <c r="H745" s="51">
        <f t="shared" si="23"/>
        <v>-3.872860275131333E-4</v>
      </c>
    </row>
    <row r="746" spans="2:8">
      <c r="B746" s="46">
        <v>45385</v>
      </c>
      <c r="C746" s="60">
        <v>4805.30224609375</v>
      </c>
      <c r="D746" s="58">
        <f t="shared" si="22"/>
        <v>-1.2249549722707476E-2</v>
      </c>
      <c r="F746" s="46">
        <v>45385</v>
      </c>
      <c r="G746" s="60">
        <v>22434.650390625</v>
      </c>
      <c r="H746" s="53">
        <f t="shared" si="23"/>
        <v>-8.3063024036868183E-4</v>
      </c>
    </row>
    <row r="747" spans="2:8">
      <c r="B747" s="46">
        <v>45386</v>
      </c>
      <c r="C747" s="60">
        <v>4777.27392578125</v>
      </c>
      <c r="D747" s="58">
        <f t="shared" si="22"/>
        <v>-5.8327902964447941E-3</v>
      </c>
      <c r="F747" s="46">
        <v>45386</v>
      </c>
      <c r="G747" s="60">
        <v>22514.650390625</v>
      </c>
      <c r="H747" s="51">
        <f t="shared" si="23"/>
        <v>3.5659124883635554E-3</v>
      </c>
    </row>
    <row r="748" spans="2:8">
      <c r="B748" s="46">
        <v>45387</v>
      </c>
      <c r="C748" s="60">
        <v>4822.9736328125</v>
      </c>
      <c r="D748" s="58">
        <f t="shared" si="22"/>
        <v>9.5660637721912741E-3</v>
      </c>
      <c r="F748" s="46">
        <v>45387</v>
      </c>
      <c r="G748" s="60">
        <v>22513.69921875</v>
      </c>
      <c r="H748" s="53">
        <f t="shared" si="23"/>
        <v>-4.2246797462867275E-5</v>
      </c>
    </row>
    <row r="749" spans="2:8">
      <c r="B749" s="46">
        <v>45390</v>
      </c>
      <c r="C749" s="60">
        <v>4799.1171875</v>
      </c>
      <c r="D749" s="58">
        <f t="shared" si="22"/>
        <v>-4.9464183569646013E-3</v>
      </c>
      <c r="F749" s="46">
        <v>45390</v>
      </c>
      <c r="G749" s="60">
        <v>22666.30078125</v>
      </c>
      <c r="H749" s="51">
        <f t="shared" si="23"/>
        <v>6.7781647528145621E-3</v>
      </c>
    </row>
    <row r="750" spans="2:8">
      <c r="B750" s="46">
        <v>45391</v>
      </c>
      <c r="C750" s="60">
        <v>4793.47265625</v>
      </c>
      <c r="D750" s="58">
        <f t="shared" si="22"/>
        <v>-1.1761603289667532E-3</v>
      </c>
      <c r="F750" s="46">
        <v>45391</v>
      </c>
      <c r="G750" s="60">
        <v>22642.75</v>
      </c>
      <c r="H750" s="53">
        <f t="shared" si="23"/>
        <v>-1.0390218270412109E-3</v>
      </c>
    </row>
    <row r="751" spans="2:8">
      <c r="B751" s="46">
        <v>45392</v>
      </c>
      <c r="C751" s="60">
        <v>4736.4326171875</v>
      </c>
      <c r="D751" s="58">
        <f t="shared" si="22"/>
        <v>-1.1899523196012807E-2</v>
      </c>
      <c r="F751" s="46">
        <v>45392</v>
      </c>
      <c r="G751" s="60">
        <v>22753.80078125</v>
      </c>
      <c r="H751" s="51">
        <f t="shared" si="23"/>
        <v>4.9044741142308243E-3</v>
      </c>
    </row>
    <row r="752" spans="2:8">
      <c r="B752" s="46">
        <v>45394</v>
      </c>
      <c r="C752" s="60">
        <v>4648.76318359375</v>
      </c>
      <c r="D752" s="58">
        <f t="shared" si="22"/>
        <v>-1.8509591644060637E-2</v>
      </c>
      <c r="F752" s="46">
        <v>45394</v>
      </c>
      <c r="G752" s="60">
        <v>22519.400390625</v>
      </c>
      <c r="H752" s="53">
        <f t="shared" si="23"/>
        <v>-1.0301592814249954E-2</v>
      </c>
    </row>
    <row r="753" spans="2:8">
      <c r="B753" s="46">
        <v>45397</v>
      </c>
      <c r="C753" s="60">
        <v>4629.56982421875</v>
      </c>
      <c r="D753" s="58">
        <f t="shared" si="22"/>
        <v>-4.1287023272634157E-3</v>
      </c>
      <c r="F753" s="46">
        <v>45397</v>
      </c>
      <c r="G753" s="60">
        <v>22272.5</v>
      </c>
      <c r="H753" s="51">
        <f t="shared" si="23"/>
        <v>-1.0963897188301094E-2</v>
      </c>
    </row>
    <row r="754" spans="2:8">
      <c r="B754" s="46">
        <v>45398</v>
      </c>
      <c r="C754" s="60">
        <v>4647.87939453125</v>
      </c>
      <c r="D754" s="58">
        <f t="shared" si="22"/>
        <v>3.9549182770107112E-3</v>
      </c>
      <c r="F754" s="46">
        <v>45398</v>
      </c>
      <c r="G754" s="60">
        <v>22147.900390625</v>
      </c>
      <c r="H754" s="53">
        <f t="shared" si="23"/>
        <v>-5.5943252609720511E-3</v>
      </c>
    </row>
    <row r="755" spans="2:8">
      <c r="B755" s="46">
        <v>45400</v>
      </c>
      <c r="C755" s="60">
        <v>4565.95361328125</v>
      </c>
      <c r="D755" s="58">
        <f t="shared" si="22"/>
        <v>-1.7626486037136603E-2</v>
      </c>
      <c r="F755" s="46">
        <v>45400</v>
      </c>
      <c r="G755" s="60">
        <v>21995.849609375</v>
      </c>
      <c r="H755" s="51">
        <f t="shared" si="23"/>
        <v>-6.8652458503182393E-3</v>
      </c>
    </row>
    <row r="756" spans="2:8">
      <c r="B756" s="46">
        <v>45401</v>
      </c>
      <c r="C756" s="60">
        <v>4532.0830078125</v>
      </c>
      <c r="D756" s="58">
        <f t="shared" si="22"/>
        <v>-7.4180791872761557E-3</v>
      </c>
      <c r="F756" s="46">
        <v>45401</v>
      </c>
      <c r="G756" s="60">
        <v>22147</v>
      </c>
      <c r="H756" s="53">
        <f t="shared" si="23"/>
        <v>6.8717686886064708E-3</v>
      </c>
    </row>
    <row r="757" spans="2:8">
      <c r="B757" s="46">
        <v>45404</v>
      </c>
      <c r="C757" s="60">
        <v>4659.072265625</v>
      </c>
      <c r="D757" s="58">
        <f t="shared" si="22"/>
        <v>2.8020064414882351E-2</v>
      </c>
      <c r="F757" s="46">
        <v>45404</v>
      </c>
      <c r="G757" s="60">
        <v>22336.400390625</v>
      </c>
      <c r="H757" s="51">
        <f t="shared" si="23"/>
        <v>8.5519659829773782E-3</v>
      </c>
    </row>
    <row r="758" spans="2:8">
      <c r="B758" s="46">
        <v>45405</v>
      </c>
      <c r="C758" s="60">
        <v>4618.525390625</v>
      </c>
      <c r="D758" s="58">
        <f t="shared" si="22"/>
        <v>-8.7027787268203621E-3</v>
      </c>
      <c r="F758" s="46">
        <v>45405</v>
      </c>
      <c r="G758" s="60">
        <v>22368</v>
      </c>
      <c r="H758" s="53">
        <f t="shared" si="23"/>
        <v>1.4147135985377009E-3</v>
      </c>
    </row>
    <row r="759" spans="2:8">
      <c r="B759" s="46">
        <v>45406</v>
      </c>
      <c r="C759" s="60">
        <v>4634.77392578125</v>
      </c>
      <c r="D759" s="58">
        <f t="shared" si="22"/>
        <v>3.5181218640114855E-3</v>
      </c>
      <c r="F759" s="46">
        <v>45406</v>
      </c>
      <c r="G759" s="60">
        <v>22402.400390625</v>
      </c>
      <c r="H759" s="51">
        <f t="shared" si="23"/>
        <v>1.5379287654238199E-3</v>
      </c>
    </row>
    <row r="760" spans="2:8">
      <c r="B760" s="46">
        <v>45407</v>
      </c>
      <c r="C760" s="60">
        <v>4778.79541015625</v>
      </c>
      <c r="D760" s="58">
        <f t="shared" si="22"/>
        <v>3.1074112067013788E-2</v>
      </c>
      <c r="F760" s="46">
        <v>45407</v>
      </c>
      <c r="G760" s="60">
        <v>22570.349609375</v>
      </c>
      <c r="H760" s="53">
        <f t="shared" si="23"/>
        <v>7.4969296067167743E-3</v>
      </c>
    </row>
    <row r="761" spans="2:8">
      <c r="B761" s="46">
        <v>45408</v>
      </c>
      <c r="C761" s="60">
        <v>4820.76513671875</v>
      </c>
      <c r="D761" s="58">
        <f t="shared" si="22"/>
        <v>8.7824907660417582E-3</v>
      </c>
      <c r="F761" s="46">
        <v>45408</v>
      </c>
      <c r="G761" s="60">
        <v>22419.94921875</v>
      </c>
      <c r="H761" s="51">
        <f t="shared" si="23"/>
        <v>-6.6636269808832953E-3</v>
      </c>
    </row>
    <row r="762" spans="2:8">
      <c r="B762" s="46">
        <v>45411</v>
      </c>
      <c r="C762" s="60">
        <v>4794.35595703125</v>
      </c>
      <c r="D762" s="58">
        <f t="shared" si="22"/>
        <v>-5.4782132998653791E-3</v>
      </c>
      <c r="F762" s="46">
        <v>45411</v>
      </c>
      <c r="G762" s="60">
        <v>22643.400390625</v>
      </c>
      <c r="H762" s="53">
        <f t="shared" si="23"/>
        <v>9.9666225688025117E-3</v>
      </c>
    </row>
    <row r="763" spans="2:8">
      <c r="B763" s="46">
        <v>45412</v>
      </c>
      <c r="C763" s="60">
        <v>4744.8271484375</v>
      </c>
      <c r="D763" s="58">
        <f t="shared" si="22"/>
        <v>-1.0330649004296944E-2</v>
      </c>
      <c r="F763" s="46">
        <v>45412</v>
      </c>
      <c r="G763" s="60">
        <v>22604.849609375</v>
      </c>
      <c r="H763" s="51">
        <f t="shared" si="23"/>
        <v>-1.7025173156396201E-3</v>
      </c>
    </row>
    <row r="764" spans="2:8">
      <c r="B764" s="46">
        <v>45414</v>
      </c>
      <c r="C764" s="60">
        <v>4700.40283203125</v>
      </c>
      <c r="D764" s="58">
        <f t="shared" si="22"/>
        <v>-9.3626838273506326E-3</v>
      </c>
      <c r="F764" s="46">
        <v>45414</v>
      </c>
      <c r="G764" s="60">
        <v>22648.19921875</v>
      </c>
      <c r="H764" s="53">
        <f t="shared" si="23"/>
        <v>1.9177127972141625E-3</v>
      </c>
    </row>
    <row r="765" spans="2:8">
      <c r="B765" s="46">
        <v>45415</v>
      </c>
      <c r="C765" s="60">
        <v>4814.48193359375</v>
      </c>
      <c r="D765" s="58">
        <f t="shared" si="22"/>
        <v>2.4270069106651741E-2</v>
      </c>
      <c r="F765" s="46">
        <v>45415</v>
      </c>
      <c r="G765" s="60">
        <v>22475.849609375</v>
      </c>
      <c r="H765" s="51">
        <f t="shared" si="23"/>
        <v>-7.6098592965534824E-3</v>
      </c>
    </row>
    <row r="766" spans="2:8">
      <c r="B766" s="46">
        <v>45418</v>
      </c>
      <c r="C766" s="60">
        <v>5054.96044921875</v>
      </c>
      <c r="D766" s="58">
        <f t="shared" si="22"/>
        <v>4.9948991177436161E-2</v>
      </c>
      <c r="F766" s="46">
        <v>45418</v>
      </c>
      <c r="G766" s="60">
        <v>22442.69921875</v>
      </c>
      <c r="H766" s="53">
        <f t="shared" si="23"/>
        <v>-1.4749338156797639E-3</v>
      </c>
    </row>
    <row r="767" spans="2:8">
      <c r="B767" s="46">
        <v>45419</v>
      </c>
      <c r="C767" s="60">
        <v>5024.5263671875</v>
      </c>
      <c r="D767" s="58">
        <f t="shared" si="22"/>
        <v>-6.0206370231746563E-3</v>
      </c>
      <c r="F767" s="46">
        <v>45419</v>
      </c>
      <c r="G767" s="60">
        <v>22302.5</v>
      </c>
      <c r="H767" s="51">
        <f t="shared" si="23"/>
        <v>-6.2469855957820357E-3</v>
      </c>
    </row>
    <row r="768" spans="2:8">
      <c r="B768" s="46">
        <v>45420</v>
      </c>
      <c r="C768" s="60">
        <v>5069.6376953125</v>
      </c>
      <c r="D768" s="58">
        <f t="shared" si="22"/>
        <v>8.9782249765068423E-3</v>
      </c>
      <c r="F768" s="46">
        <v>45420</v>
      </c>
      <c r="G768" s="60">
        <v>22302.5</v>
      </c>
      <c r="H768" s="53">
        <f t="shared" si="23"/>
        <v>0</v>
      </c>
    </row>
    <row r="769" spans="2:8">
      <c r="B769" s="46">
        <v>45421</v>
      </c>
      <c r="C769" s="60">
        <v>4975.09521484375</v>
      </c>
      <c r="D769" s="58">
        <f t="shared" si="22"/>
        <v>-1.8648764694993113E-2</v>
      </c>
      <c r="F769" s="46">
        <v>45421</v>
      </c>
      <c r="G769" s="60">
        <v>21957.5</v>
      </c>
      <c r="H769" s="51">
        <f t="shared" si="23"/>
        <v>-1.5469117811904494E-2</v>
      </c>
    </row>
    <row r="770" spans="2:8">
      <c r="B770" s="46">
        <v>45422</v>
      </c>
      <c r="C770" s="60">
        <v>5035.2763671875</v>
      </c>
      <c r="D770" s="58">
        <f t="shared" si="22"/>
        <v>1.2096482528453493E-2</v>
      </c>
      <c r="F770" s="46">
        <v>45422</v>
      </c>
      <c r="G770" s="60">
        <v>22055.19921875</v>
      </c>
      <c r="H770" s="53">
        <f t="shared" si="23"/>
        <v>4.4494691449390869E-3</v>
      </c>
    </row>
    <row r="771" spans="2:8">
      <c r="B771" s="46">
        <v>45425</v>
      </c>
      <c r="C771" s="60">
        <v>5115.33837890625</v>
      </c>
      <c r="D771" s="58">
        <f t="shared" si="22"/>
        <v>1.5900221930314696E-2</v>
      </c>
      <c r="F771" s="46">
        <v>45425</v>
      </c>
      <c r="G771" s="60">
        <v>22104.05078125</v>
      </c>
      <c r="H771" s="51">
        <f t="shared" si="23"/>
        <v>2.214968090538459E-3</v>
      </c>
    </row>
    <row r="772" spans="2:8">
      <c r="B772" s="46">
        <v>45426</v>
      </c>
      <c r="C772" s="60">
        <v>5088.58544921875</v>
      </c>
      <c r="D772" s="58">
        <f t="shared" si="22"/>
        <v>-5.2299433010764484E-3</v>
      </c>
      <c r="F772" s="46">
        <v>45426</v>
      </c>
      <c r="G772" s="60">
        <v>22217.849609375</v>
      </c>
      <c r="H772" s="53">
        <f t="shared" si="23"/>
        <v>5.1483245877054842E-3</v>
      </c>
    </row>
    <row r="773" spans="2:8">
      <c r="B773" s="46">
        <v>45427</v>
      </c>
      <c r="C773" s="60">
        <v>5151.171875</v>
      </c>
      <c r="D773" s="58">
        <f t="shared" ref="D773:D836" si="24">(C773-C772)/C772</f>
        <v>1.2299376006520415E-2</v>
      </c>
      <c r="F773" s="46">
        <v>45427</v>
      </c>
      <c r="G773" s="60">
        <v>22200.55078125</v>
      </c>
      <c r="H773" s="51">
        <f t="shared" ref="H773:H836" si="25">(G773-G772)/G772</f>
        <v>-7.7860046895360301E-4</v>
      </c>
    </row>
    <row r="774" spans="2:8">
      <c r="B774" s="46">
        <v>45428</v>
      </c>
      <c r="C774" s="60">
        <v>5220.97314453125</v>
      </c>
      <c r="D774" s="58">
        <f t="shared" si="24"/>
        <v>1.3550561158716919E-2</v>
      </c>
      <c r="F774" s="46">
        <v>45428</v>
      </c>
      <c r="G774" s="60">
        <v>22403.849609375</v>
      </c>
      <c r="H774" s="53">
        <f t="shared" si="25"/>
        <v>9.1573776762647191E-3</v>
      </c>
    </row>
    <row r="775" spans="2:8">
      <c r="B775" s="46">
        <v>45429</v>
      </c>
      <c r="C775" s="60">
        <v>5338.439453125</v>
      </c>
      <c r="D775" s="58">
        <f t="shared" si="24"/>
        <v>2.2498929862681063E-2</v>
      </c>
      <c r="F775" s="46">
        <v>45429</v>
      </c>
      <c r="G775" s="60">
        <v>22466.099609375</v>
      </c>
      <c r="H775" s="51">
        <f t="shared" si="25"/>
        <v>2.7785403439751347E-3</v>
      </c>
    </row>
    <row r="776" spans="2:8">
      <c r="B776" s="46">
        <v>45433</v>
      </c>
      <c r="C776" s="60">
        <v>5235.79736328125</v>
      </c>
      <c r="D776" s="58">
        <f t="shared" si="24"/>
        <v>-1.9226983980059131E-2</v>
      </c>
      <c r="F776" s="46">
        <v>45433</v>
      </c>
      <c r="G776" s="60">
        <v>22529.05078125</v>
      </c>
      <c r="H776" s="53">
        <f t="shared" si="25"/>
        <v>2.8020516676036979E-3</v>
      </c>
    </row>
    <row r="777" spans="2:8">
      <c r="B777" s="46">
        <v>45434</v>
      </c>
      <c r="C777" s="60">
        <v>5207.42578125</v>
      </c>
      <c r="D777" s="58">
        <f t="shared" si="24"/>
        <v>-5.4187700674247757E-3</v>
      </c>
      <c r="F777" s="46">
        <v>45434</v>
      </c>
      <c r="G777" s="60">
        <v>22597.80078125</v>
      </c>
      <c r="H777" s="51">
        <f t="shared" si="25"/>
        <v>3.051615474950138E-3</v>
      </c>
    </row>
    <row r="778" spans="2:8">
      <c r="B778" s="46">
        <v>45435</v>
      </c>
      <c r="C778" s="60">
        <v>5356.6513671875</v>
      </c>
      <c r="D778" s="58">
        <f t="shared" si="24"/>
        <v>2.8656305861296329E-2</v>
      </c>
      <c r="F778" s="46">
        <v>45435</v>
      </c>
      <c r="G778" s="60">
        <v>22967.650390625</v>
      </c>
      <c r="H778" s="53">
        <f t="shared" si="25"/>
        <v>1.6366619608483058E-2</v>
      </c>
    </row>
    <row r="779" spans="2:8">
      <c r="B779" s="46">
        <v>45436</v>
      </c>
      <c r="C779" s="60">
        <v>5352.13525390625</v>
      </c>
      <c r="D779" s="58">
        <f t="shared" si="24"/>
        <v>-8.4308516117246907E-4</v>
      </c>
      <c r="F779" s="46">
        <v>45436</v>
      </c>
      <c r="G779" s="60">
        <v>22957.099609375</v>
      </c>
      <c r="H779" s="51">
        <f t="shared" si="25"/>
        <v>-4.5937573371922485E-4</v>
      </c>
    </row>
    <row r="780" spans="2:8">
      <c r="B780" s="46">
        <v>45439</v>
      </c>
      <c r="C780" s="60">
        <v>5239.8720703125</v>
      </c>
      <c r="D780" s="58">
        <f t="shared" si="24"/>
        <v>-2.0975401081617814E-2</v>
      </c>
      <c r="F780" s="46">
        <v>45439</v>
      </c>
      <c r="G780" s="60">
        <v>22932.44921875</v>
      </c>
      <c r="H780" s="53">
        <f t="shared" si="25"/>
        <v>-1.0737589261900274E-3</v>
      </c>
    </row>
    <row r="781" spans="2:8">
      <c r="B781" s="46">
        <v>45440</v>
      </c>
      <c r="C781" s="60">
        <v>5216.8505859375</v>
      </c>
      <c r="D781" s="58">
        <f t="shared" si="24"/>
        <v>-4.3935203123436229E-3</v>
      </c>
      <c r="F781" s="46">
        <v>45440</v>
      </c>
      <c r="G781" s="60">
        <v>22888.150390625</v>
      </c>
      <c r="H781" s="51">
        <f t="shared" si="25"/>
        <v>-1.9317094176221025E-3</v>
      </c>
    </row>
    <row r="782" spans="2:8">
      <c r="B782" s="46">
        <v>45441</v>
      </c>
      <c r="C782" s="60">
        <v>5166.38916015625</v>
      </c>
      <c r="D782" s="58">
        <f t="shared" si="24"/>
        <v>-9.6727757389244405E-3</v>
      </c>
      <c r="F782" s="46">
        <v>45441</v>
      </c>
      <c r="G782" s="60">
        <v>22704.69921875</v>
      </c>
      <c r="H782" s="53">
        <f t="shared" si="25"/>
        <v>-8.0151156272610692E-3</v>
      </c>
    </row>
    <row r="783" spans="2:8">
      <c r="B783" s="46">
        <v>45442</v>
      </c>
      <c r="C783" s="60">
        <v>4856.50048828125</v>
      </c>
      <c r="D783" s="58">
        <f t="shared" si="24"/>
        <v>-5.9981674292926834E-2</v>
      </c>
      <c r="F783" s="46">
        <v>45442</v>
      </c>
      <c r="G783" s="60">
        <v>22488.650390625</v>
      </c>
      <c r="H783" s="51">
        <f t="shared" si="25"/>
        <v>-9.5155996581792416E-3</v>
      </c>
    </row>
    <row r="784" spans="2:8">
      <c r="B784" s="46">
        <v>45443</v>
      </c>
      <c r="C784" s="60">
        <v>4722.6396484375</v>
      </c>
      <c r="D784" s="58">
        <f t="shared" si="24"/>
        <v>-2.7563229977379103E-2</v>
      </c>
      <c r="F784" s="46">
        <v>45443</v>
      </c>
      <c r="G784" s="60">
        <v>22530.69921875</v>
      </c>
      <c r="H784" s="53">
        <f t="shared" si="25"/>
        <v>1.869779973213919E-3</v>
      </c>
    </row>
    <row r="785" spans="2:8">
      <c r="B785" s="46">
        <v>45446</v>
      </c>
      <c r="C785" s="60">
        <v>4734.07763671875</v>
      </c>
      <c r="D785" s="58">
        <f t="shared" si="24"/>
        <v>2.4219481333991456E-3</v>
      </c>
      <c r="F785" s="46">
        <v>45446</v>
      </c>
      <c r="G785" s="60">
        <v>23263.900390625</v>
      </c>
      <c r="H785" s="51">
        <f t="shared" si="25"/>
        <v>3.2542317695352818E-2</v>
      </c>
    </row>
    <row r="786" spans="2:8">
      <c r="B786" s="46">
        <v>45447</v>
      </c>
      <c r="C786" s="60">
        <v>4622.501953125</v>
      </c>
      <c r="D786" s="58">
        <f t="shared" si="24"/>
        <v>-2.3568621420219153E-2</v>
      </c>
      <c r="F786" s="46">
        <v>45447</v>
      </c>
      <c r="G786" s="60">
        <v>21884.5</v>
      </c>
      <c r="H786" s="53">
        <f t="shared" si="25"/>
        <v>-5.9293599416410735E-2</v>
      </c>
    </row>
    <row r="787" spans="2:8">
      <c r="B787" s="46">
        <v>45448</v>
      </c>
      <c r="C787" s="60">
        <v>4737.07080078125</v>
      </c>
      <c r="D787" s="58">
        <f t="shared" si="24"/>
        <v>2.4785029583123654E-2</v>
      </c>
      <c r="F787" s="46">
        <v>45448</v>
      </c>
      <c r="G787" s="60">
        <v>22620.349609375</v>
      </c>
      <c r="H787" s="51">
        <f t="shared" si="25"/>
        <v>3.362423676003564E-2</v>
      </c>
    </row>
    <row r="788" spans="2:8">
      <c r="B788" s="46">
        <v>45449</v>
      </c>
      <c r="C788" s="60">
        <v>4765.9833984375</v>
      </c>
      <c r="D788" s="58">
        <f t="shared" si="24"/>
        <v>6.1034759394944359E-3</v>
      </c>
      <c r="F788" s="46">
        <v>45449</v>
      </c>
      <c r="G788" s="60">
        <v>22821.400390625</v>
      </c>
      <c r="H788" s="53">
        <f t="shared" si="25"/>
        <v>8.8880492442377883E-3</v>
      </c>
    </row>
    <row r="789" spans="2:8">
      <c r="B789" s="46">
        <v>45450</v>
      </c>
      <c r="C789" s="60">
        <v>4865.63134765625</v>
      </c>
      <c r="D789" s="58">
        <f t="shared" si="24"/>
        <v>2.0908161210007364E-2</v>
      </c>
      <c r="F789" s="46">
        <v>45450</v>
      </c>
      <c r="G789" s="60">
        <v>23290.150390625</v>
      </c>
      <c r="H789" s="51">
        <f t="shared" si="25"/>
        <v>2.0539931466807E-2</v>
      </c>
    </row>
    <row r="790" spans="2:8">
      <c r="B790" s="46">
        <v>45453</v>
      </c>
      <c r="C790" s="60">
        <v>4939.31103515625</v>
      </c>
      <c r="D790" s="58">
        <f t="shared" si="24"/>
        <v>1.514288326333871E-2</v>
      </c>
      <c r="F790" s="46">
        <v>45453</v>
      </c>
      <c r="G790" s="60">
        <v>23259.19921875</v>
      </c>
      <c r="H790" s="53">
        <f t="shared" si="25"/>
        <v>-1.328938257412833E-3</v>
      </c>
    </row>
    <row r="791" spans="2:8">
      <c r="B791" s="46">
        <v>45454</v>
      </c>
      <c r="C791" s="60">
        <v>4974.35986328125</v>
      </c>
      <c r="D791" s="58">
        <f t="shared" si="24"/>
        <v>7.0958941187414543E-3</v>
      </c>
      <c r="F791" s="46">
        <v>45454</v>
      </c>
      <c r="G791" s="60">
        <v>23264.849609375</v>
      </c>
      <c r="H791" s="51">
        <f t="shared" si="25"/>
        <v>2.4293143421915555E-4</v>
      </c>
    </row>
    <row r="792" spans="2:8">
      <c r="B792" s="46">
        <v>45455</v>
      </c>
      <c r="C792" s="60">
        <v>4985.404296875</v>
      </c>
      <c r="D792" s="58">
        <f t="shared" si="24"/>
        <v>2.2202723359995777E-3</v>
      </c>
      <c r="F792" s="46">
        <v>45455</v>
      </c>
      <c r="G792" s="60">
        <v>23322.94921875</v>
      </c>
      <c r="H792" s="53">
        <f t="shared" si="25"/>
        <v>2.4973129141392641E-3</v>
      </c>
    </row>
    <row r="793" spans="2:8">
      <c r="B793" s="46">
        <v>45456</v>
      </c>
      <c r="C793" s="60">
        <v>4996.7919921875</v>
      </c>
      <c r="D793" s="58">
        <f t="shared" si="24"/>
        <v>2.2842069839026187E-3</v>
      </c>
      <c r="F793" s="46">
        <v>45456</v>
      </c>
      <c r="G793" s="60">
        <v>23398.900390625</v>
      </c>
      <c r="H793" s="51">
        <f t="shared" si="25"/>
        <v>3.2564994745150257E-3</v>
      </c>
    </row>
    <row r="794" spans="2:8">
      <c r="B794" s="46">
        <v>45457</v>
      </c>
      <c r="C794" s="60">
        <v>5008.81884765625</v>
      </c>
      <c r="D794" s="58">
        <f t="shared" si="24"/>
        <v>2.4069153744150302E-3</v>
      </c>
      <c r="F794" s="46">
        <v>45457</v>
      </c>
      <c r="G794" s="60">
        <v>23465.599609375</v>
      </c>
      <c r="H794" s="53">
        <f t="shared" si="25"/>
        <v>2.8505279152657831E-3</v>
      </c>
    </row>
    <row r="795" spans="2:8">
      <c r="B795" s="46">
        <v>45461</v>
      </c>
      <c r="C795" s="60">
        <v>5122.798828125</v>
      </c>
      <c r="D795" s="58">
        <f t="shared" si="24"/>
        <v>2.2755860001222452E-2</v>
      </c>
      <c r="F795" s="46">
        <v>45461</v>
      </c>
      <c r="G795" s="60">
        <v>23557.900390625</v>
      </c>
      <c r="H795" s="51">
        <f t="shared" si="25"/>
        <v>3.9334507869606666E-3</v>
      </c>
    </row>
    <row r="796" spans="2:8">
      <c r="B796" s="46">
        <v>45462</v>
      </c>
      <c r="C796" s="60">
        <v>5090.205078125</v>
      </c>
      <c r="D796" s="58">
        <f t="shared" si="24"/>
        <v>-6.3624887670886083E-3</v>
      </c>
      <c r="F796" s="46">
        <v>45462</v>
      </c>
      <c r="G796" s="60">
        <v>23516</v>
      </c>
      <c r="H796" s="53">
        <f t="shared" si="25"/>
        <v>-1.7786131162042989E-3</v>
      </c>
    </row>
    <row r="797" spans="2:8">
      <c r="B797" s="46">
        <v>45463</v>
      </c>
      <c r="C797" s="60">
        <v>5064.189453125</v>
      </c>
      <c r="D797" s="58">
        <f t="shared" si="24"/>
        <v>-5.1109188334673098E-3</v>
      </c>
      <c r="F797" s="46">
        <v>45463</v>
      </c>
      <c r="G797" s="60">
        <v>23567</v>
      </c>
      <c r="H797" s="51">
        <f t="shared" si="25"/>
        <v>2.1687361796223848E-3</v>
      </c>
    </row>
    <row r="798" spans="2:8">
      <c r="B798" s="46">
        <v>45464</v>
      </c>
      <c r="C798" s="60">
        <v>5035.6201171875</v>
      </c>
      <c r="D798" s="58">
        <f t="shared" si="24"/>
        <v>-5.6414429598147225E-3</v>
      </c>
      <c r="F798" s="46">
        <v>45464</v>
      </c>
      <c r="G798" s="60">
        <v>23501.099609375</v>
      </c>
      <c r="H798" s="53">
        <f t="shared" si="25"/>
        <v>-2.7962995130903384E-3</v>
      </c>
    </row>
    <row r="799" spans="2:8">
      <c r="B799" s="46">
        <v>45467</v>
      </c>
      <c r="C799" s="60">
        <v>4914.37451171875</v>
      </c>
      <c r="D799" s="58">
        <f t="shared" si="24"/>
        <v>-2.4077591765692647E-2</v>
      </c>
      <c r="F799" s="46">
        <v>45467</v>
      </c>
      <c r="G799" s="60">
        <v>23537.849609375</v>
      </c>
      <c r="H799" s="51">
        <f t="shared" si="25"/>
        <v>1.5637566161091365E-3</v>
      </c>
    </row>
    <row r="800" spans="2:8">
      <c r="B800" s="46">
        <v>45468</v>
      </c>
      <c r="C800" s="60">
        <v>4999.73779296875</v>
      </c>
      <c r="D800" s="58">
        <f t="shared" si="24"/>
        <v>1.7370121273102789E-2</v>
      </c>
      <c r="F800" s="46">
        <v>45468</v>
      </c>
      <c r="G800" s="60">
        <v>23721.30078125</v>
      </c>
      <c r="H800" s="53">
        <f t="shared" si="25"/>
        <v>7.7938798539154731E-3</v>
      </c>
    </row>
    <row r="801" spans="2:8">
      <c r="B801" s="46">
        <v>45469</v>
      </c>
      <c r="C801" s="60">
        <v>4882.8115234375</v>
      </c>
      <c r="D801" s="58">
        <f t="shared" si="24"/>
        <v>-2.3386480326165544E-2</v>
      </c>
      <c r="F801" s="46">
        <v>45469</v>
      </c>
      <c r="G801" s="60">
        <v>23868.80078125</v>
      </c>
      <c r="H801" s="51">
        <f t="shared" si="25"/>
        <v>6.2180401218380173E-3</v>
      </c>
    </row>
    <row r="802" spans="2:8">
      <c r="B802" s="46">
        <v>45470</v>
      </c>
      <c r="C802" s="60">
        <v>4833.72412109375</v>
      </c>
      <c r="D802" s="58">
        <f t="shared" si="24"/>
        <v>-1.0053102010620402E-2</v>
      </c>
      <c r="F802" s="46">
        <v>45470</v>
      </c>
      <c r="G802" s="60">
        <v>24044.5</v>
      </c>
      <c r="H802" s="53">
        <f t="shared" si="25"/>
        <v>7.3610408985448281E-3</v>
      </c>
    </row>
    <row r="803" spans="2:8">
      <c r="B803" s="46">
        <v>45471</v>
      </c>
      <c r="C803" s="60">
        <v>4900.2373046875</v>
      </c>
      <c r="D803" s="58">
        <f t="shared" si="24"/>
        <v>1.3760235778350491E-2</v>
      </c>
      <c r="F803" s="46">
        <v>45471</v>
      </c>
      <c r="G803" s="60">
        <v>24010.599609375</v>
      </c>
      <c r="H803" s="51">
        <f t="shared" si="25"/>
        <v>-1.4099020825968517E-3</v>
      </c>
    </row>
    <row r="804" spans="2:8">
      <c r="B804" s="46">
        <v>45474</v>
      </c>
      <c r="C804" s="60">
        <v>4868.08544921875</v>
      </c>
      <c r="D804" s="58">
        <f t="shared" si="24"/>
        <v>-6.5612853969325069E-3</v>
      </c>
      <c r="F804" s="46">
        <v>45474</v>
      </c>
      <c r="G804" s="60">
        <v>24141.94921875</v>
      </c>
      <c r="H804" s="53">
        <f t="shared" si="25"/>
        <v>5.4704843490753228E-3</v>
      </c>
    </row>
    <row r="805" spans="2:8">
      <c r="B805" s="46">
        <v>45475</v>
      </c>
      <c r="C805" s="60">
        <v>4829.9443359375</v>
      </c>
      <c r="D805" s="58">
        <f t="shared" si="24"/>
        <v>-7.8349309351936382E-3</v>
      </c>
      <c r="F805" s="46">
        <v>45475</v>
      </c>
      <c r="G805" s="60">
        <v>24123.849609375</v>
      </c>
      <c r="H805" s="51">
        <f t="shared" si="25"/>
        <v>-7.4971615634676354E-4</v>
      </c>
    </row>
    <row r="806" spans="2:8">
      <c r="B806" s="46">
        <v>45476</v>
      </c>
      <c r="C806" s="60">
        <v>4880.013671875</v>
      </c>
      <c r="D806" s="58">
        <f t="shared" si="24"/>
        <v>1.036644160988689E-2</v>
      </c>
      <c r="F806" s="46">
        <v>45476</v>
      </c>
      <c r="G806" s="60">
        <v>24286.5</v>
      </c>
      <c r="H806" s="53">
        <f t="shared" si="25"/>
        <v>6.742306607722794E-3</v>
      </c>
    </row>
    <row r="807" spans="2:8">
      <c r="B807" s="46">
        <v>45477</v>
      </c>
      <c r="C807" s="60">
        <v>4890.419921875</v>
      </c>
      <c r="D807" s="58">
        <f t="shared" si="24"/>
        <v>2.1324223044649191E-3</v>
      </c>
      <c r="F807" s="46">
        <v>45477</v>
      </c>
      <c r="G807" s="60">
        <v>24302.150390625</v>
      </c>
      <c r="H807" s="51">
        <f t="shared" si="25"/>
        <v>6.4440700080291519E-4</v>
      </c>
    </row>
    <row r="808" spans="2:8">
      <c r="B808" s="46">
        <v>45478</v>
      </c>
      <c r="C808" s="60">
        <v>4971.119140625</v>
      </c>
      <c r="D808" s="58">
        <f t="shared" si="24"/>
        <v>1.6501490677524416E-2</v>
      </c>
      <c r="F808" s="46">
        <v>45478</v>
      </c>
      <c r="G808" s="60">
        <v>24323.849609375</v>
      </c>
      <c r="H808" s="53">
        <f t="shared" si="25"/>
        <v>8.928929498506795E-4</v>
      </c>
    </row>
    <row r="809" spans="2:8">
      <c r="B809" s="46">
        <v>45481</v>
      </c>
      <c r="C809" s="60">
        <v>5126.529296875</v>
      </c>
      <c r="D809" s="58">
        <f t="shared" si="24"/>
        <v>3.1262609455475827E-2</v>
      </c>
      <c r="F809" s="46">
        <v>45481</v>
      </c>
      <c r="G809" s="60">
        <v>24320.55078125</v>
      </c>
      <c r="H809" s="51">
        <f t="shared" si="25"/>
        <v>-1.3562113637343622E-4</v>
      </c>
    </row>
    <row r="810" spans="2:8">
      <c r="B810" s="46">
        <v>45482</v>
      </c>
      <c r="C810" s="60">
        <v>5226.9619140625</v>
      </c>
      <c r="D810" s="58">
        <f t="shared" si="24"/>
        <v>1.9590762360164632E-2</v>
      </c>
      <c r="F810" s="46">
        <v>45482</v>
      </c>
      <c r="G810" s="60">
        <v>24433.19921875</v>
      </c>
      <c r="H810" s="53">
        <f t="shared" si="25"/>
        <v>4.631820986013468E-3</v>
      </c>
    </row>
    <row r="811" spans="2:8">
      <c r="B811" s="46">
        <v>45483</v>
      </c>
      <c r="C811" s="60">
        <v>5130.4072265625</v>
      </c>
      <c r="D811" s="58">
        <f t="shared" si="24"/>
        <v>-1.8472429890914539E-2</v>
      </c>
      <c r="F811" s="46">
        <v>45483</v>
      </c>
      <c r="G811" s="60">
        <v>24324.44921875</v>
      </c>
      <c r="H811" s="51">
        <f t="shared" si="25"/>
        <v>-4.4509111977667423E-3</v>
      </c>
    </row>
    <row r="812" spans="2:8">
      <c r="B812" s="46">
        <v>45484</v>
      </c>
      <c r="C812" s="60">
        <v>5104.39111328125</v>
      </c>
      <c r="D812" s="58">
        <f t="shared" si="24"/>
        <v>-5.0709645711070469E-3</v>
      </c>
      <c r="F812" s="46">
        <v>45484</v>
      </c>
      <c r="G812" s="60">
        <v>24315.94921875</v>
      </c>
      <c r="H812" s="53">
        <f t="shared" si="25"/>
        <v>-3.4944265021417015E-4</v>
      </c>
    </row>
    <row r="813" spans="2:8">
      <c r="B813" s="46">
        <v>45485</v>
      </c>
      <c r="C813" s="60">
        <v>5103.85107421875</v>
      </c>
      <c r="D813" s="58">
        <f t="shared" si="24"/>
        <v>-1.0579891911003021E-4</v>
      </c>
      <c r="F813" s="46">
        <v>45485</v>
      </c>
      <c r="G813" s="60">
        <v>24502.150390625</v>
      </c>
      <c r="H813" s="51">
        <f t="shared" si="25"/>
        <v>7.6575736443560468E-3</v>
      </c>
    </row>
    <row r="814" spans="2:8">
      <c r="B814" s="46">
        <v>45488</v>
      </c>
      <c r="C814" s="60">
        <v>5285.42578125</v>
      </c>
      <c r="D814" s="58">
        <f t="shared" si="24"/>
        <v>3.55760198310731E-2</v>
      </c>
      <c r="F814" s="46">
        <v>45488</v>
      </c>
      <c r="G814" s="60">
        <v>24586.69921875</v>
      </c>
      <c r="H814" s="53">
        <f t="shared" si="25"/>
        <v>3.4506697076412537E-3</v>
      </c>
    </row>
    <row r="815" spans="2:8">
      <c r="B815" s="46">
        <v>45489</v>
      </c>
      <c r="C815" s="60">
        <v>5200.111328125</v>
      </c>
      <c r="D815" s="58">
        <f t="shared" si="24"/>
        <v>-1.6141453244439122E-2</v>
      </c>
      <c r="F815" s="46">
        <v>45489</v>
      </c>
      <c r="G815" s="60">
        <v>24613</v>
      </c>
      <c r="H815" s="51">
        <f t="shared" si="25"/>
        <v>1.0697158254550424E-3</v>
      </c>
    </row>
    <row r="816" spans="2:8">
      <c r="B816" s="46">
        <v>45491</v>
      </c>
      <c r="C816" s="60">
        <v>5176.50048828125</v>
      </c>
      <c r="D816" s="58">
        <f t="shared" si="24"/>
        <v>-4.5404489161702897E-3</v>
      </c>
      <c r="F816" s="46">
        <v>45491</v>
      </c>
      <c r="G816" s="60">
        <v>24800.849609375</v>
      </c>
      <c r="H816" s="53">
        <f t="shared" si="25"/>
        <v>7.63212974342827E-3</v>
      </c>
    </row>
    <row r="817" spans="2:8">
      <c r="B817" s="46">
        <v>45492</v>
      </c>
      <c r="C817" s="60">
        <v>5039.93994140625</v>
      </c>
      <c r="D817" s="58">
        <f t="shared" si="24"/>
        <v>-2.6380862357523335E-2</v>
      </c>
      <c r="F817" s="46">
        <v>45492</v>
      </c>
      <c r="G817" s="60">
        <v>24530.900390625</v>
      </c>
      <c r="H817" s="51">
        <f t="shared" si="25"/>
        <v>-1.0884676251089243E-2</v>
      </c>
    </row>
    <row r="818" spans="2:8">
      <c r="B818" s="46">
        <v>45495</v>
      </c>
      <c r="C818" s="60">
        <v>5121.47412109375</v>
      </c>
      <c r="D818" s="58">
        <f t="shared" si="24"/>
        <v>1.6177609383327341E-2</v>
      </c>
      <c r="F818" s="46">
        <v>45495</v>
      </c>
      <c r="G818" s="60">
        <v>24509.25</v>
      </c>
      <c r="H818" s="53">
        <f t="shared" si="25"/>
        <v>-8.8257627238477363E-4</v>
      </c>
    </row>
    <row r="819" spans="2:8">
      <c r="B819" s="46">
        <v>45496</v>
      </c>
      <c r="C819" s="60">
        <v>5086.08154296875</v>
      </c>
      <c r="D819" s="58">
        <f t="shared" si="24"/>
        <v>-6.9106232479490704E-3</v>
      </c>
      <c r="F819" s="46">
        <v>45496</v>
      </c>
      <c r="G819" s="60">
        <v>24479.05078125</v>
      </c>
      <c r="H819" s="51">
        <f t="shared" si="25"/>
        <v>-1.2321559717249609E-3</v>
      </c>
    </row>
    <row r="820" spans="2:8">
      <c r="B820" s="46">
        <v>45497</v>
      </c>
      <c r="C820" s="60">
        <v>5098.35400390625</v>
      </c>
      <c r="D820" s="58">
        <f t="shared" si="24"/>
        <v>2.4129500940593559E-3</v>
      </c>
      <c r="F820" s="46">
        <v>45497</v>
      </c>
      <c r="G820" s="60">
        <v>24413.5</v>
      </c>
      <c r="H820" s="53">
        <f t="shared" si="25"/>
        <v>-2.6778318259059845E-3</v>
      </c>
    </row>
    <row r="821" spans="2:8">
      <c r="B821" s="46">
        <v>45498</v>
      </c>
      <c r="C821" s="60">
        <v>5087.75048828125</v>
      </c>
      <c r="D821" s="58">
        <f t="shared" si="24"/>
        <v>-2.0797919518487362E-3</v>
      </c>
      <c r="F821" s="46">
        <v>45498</v>
      </c>
      <c r="G821" s="60">
        <v>24406.099609375</v>
      </c>
      <c r="H821" s="51">
        <f t="shared" si="25"/>
        <v>-3.031269840457124E-4</v>
      </c>
    </row>
    <row r="822" spans="2:8">
      <c r="B822" s="46">
        <v>45499</v>
      </c>
      <c r="C822" s="60">
        <v>5193.28857421875</v>
      </c>
      <c r="D822" s="58">
        <f t="shared" si="24"/>
        <v>2.0743565585731583E-2</v>
      </c>
      <c r="F822" s="46">
        <v>45499</v>
      </c>
      <c r="G822" s="60">
        <v>24834.849609375</v>
      </c>
      <c r="H822" s="53">
        <f t="shared" si="25"/>
        <v>1.756732976027461E-2</v>
      </c>
    </row>
    <row r="823" spans="2:8">
      <c r="B823" s="46">
        <v>45502</v>
      </c>
      <c r="C823" s="60">
        <v>5107.0908203125</v>
      </c>
      <c r="D823" s="58">
        <f t="shared" si="24"/>
        <v>-1.6597913378849184E-2</v>
      </c>
      <c r="F823" s="46">
        <v>45502</v>
      </c>
      <c r="G823" s="60">
        <v>24836.099609375</v>
      </c>
      <c r="H823" s="51">
        <f t="shared" si="25"/>
        <v>5.0332497263367071E-5</v>
      </c>
    </row>
    <row r="824" spans="2:8">
      <c r="B824" s="46">
        <v>45503</v>
      </c>
      <c r="C824" s="60">
        <v>5130.99658203125</v>
      </c>
      <c r="D824" s="58">
        <f t="shared" si="24"/>
        <v>4.6808961422164837E-3</v>
      </c>
      <c r="F824" s="46">
        <v>45503</v>
      </c>
      <c r="G824" s="60">
        <v>24857.30078125</v>
      </c>
      <c r="H824" s="53">
        <f t="shared" si="25"/>
        <v>8.5364337430008915E-4</v>
      </c>
    </row>
    <row r="825" spans="2:8">
      <c r="B825" s="46">
        <v>45504</v>
      </c>
      <c r="C825" s="60">
        <v>5212.57958984375</v>
      </c>
      <c r="D825" s="58">
        <f t="shared" si="24"/>
        <v>1.5900031603646687E-2</v>
      </c>
      <c r="F825" s="46">
        <v>45504</v>
      </c>
      <c r="G825" s="60">
        <v>24951.150390625</v>
      </c>
      <c r="H825" s="51">
        <f t="shared" si="25"/>
        <v>3.7755350108564997E-3</v>
      </c>
    </row>
    <row r="826" spans="2:8">
      <c r="B826" s="46">
        <v>45505</v>
      </c>
      <c r="C826" s="60">
        <v>5175.0771484375</v>
      </c>
      <c r="D826" s="58">
        <f t="shared" si="24"/>
        <v>-7.1946031249710196E-3</v>
      </c>
      <c r="F826" s="46">
        <v>45505</v>
      </c>
      <c r="G826" s="60">
        <v>25010.900390625</v>
      </c>
      <c r="H826" s="53">
        <f t="shared" si="25"/>
        <v>2.3946791656728628E-3</v>
      </c>
    </row>
    <row r="827" spans="2:8">
      <c r="B827" s="46">
        <v>45506</v>
      </c>
      <c r="C827" s="60">
        <v>5199.0810546875</v>
      </c>
      <c r="D827" s="58">
        <f t="shared" si="24"/>
        <v>4.6383668419798241E-3</v>
      </c>
      <c r="F827" s="46">
        <v>45506</v>
      </c>
      <c r="G827" s="60">
        <v>24717.69921875</v>
      </c>
      <c r="H827" s="51">
        <f t="shared" si="25"/>
        <v>-1.1722935491954641E-2</v>
      </c>
    </row>
    <row r="828" spans="2:8">
      <c r="B828" s="46">
        <v>45509</v>
      </c>
      <c r="C828" s="60">
        <v>5217.1943359375</v>
      </c>
      <c r="D828" s="58">
        <f t="shared" si="24"/>
        <v>3.4839389998871121E-3</v>
      </c>
      <c r="F828" s="46">
        <v>45509</v>
      </c>
      <c r="G828" s="60">
        <v>24055.599609375</v>
      </c>
      <c r="H828" s="53">
        <f t="shared" si="25"/>
        <v>-2.6786457894622889E-2</v>
      </c>
    </row>
    <row r="829" spans="2:8">
      <c r="B829" s="46">
        <v>45510</v>
      </c>
      <c r="C829" s="60">
        <v>5225.931640625</v>
      </c>
      <c r="D829" s="58">
        <f t="shared" si="24"/>
        <v>1.6747132893469179E-3</v>
      </c>
      <c r="F829" s="46">
        <v>45510</v>
      </c>
      <c r="G829" s="60">
        <v>23992.55078125</v>
      </c>
      <c r="H829" s="51">
        <f t="shared" si="25"/>
        <v>-2.6209626510589443E-3</v>
      </c>
    </row>
    <row r="830" spans="2:8">
      <c r="B830" s="46">
        <v>45511</v>
      </c>
      <c r="C830" s="60">
        <v>5411.62890625</v>
      </c>
      <c r="D830" s="58">
        <f t="shared" si="24"/>
        <v>3.5533810695386622E-2</v>
      </c>
      <c r="F830" s="46">
        <v>45511</v>
      </c>
      <c r="G830" s="60">
        <v>24297.5</v>
      </c>
      <c r="H830" s="53">
        <f t="shared" si="25"/>
        <v>1.2710162480444369E-2</v>
      </c>
    </row>
    <row r="831" spans="2:8">
      <c r="B831" s="46">
        <v>45512</v>
      </c>
      <c r="C831" s="60">
        <v>5583.23779296875</v>
      </c>
      <c r="D831" s="58">
        <f t="shared" si="24"/>
        <v>3.1711133503732197E-2</v>
      </c>
      <c r="F831" s="46">
        <v>45512</v>
      </c>
      <c r="G831" s="60">
        <v>24117</v>
      </c>
      <c r="H831" s="51">
        <f t="shared" si="25"/>
        <v>-7.428747813561066E-3</v>
      </c>
    </row>
    <row r="832" spans="2:8">
      <c r="B832" s="46">
        <v>45513</v>
      </c>
      <c r="C832" s="60">
        <v>5696.04150390625</v>
      </c>
      <c r="D832" s="58">
        <f t="shared" si="24"/>
        <v>2.0203995445001347E-2</v>
      </c>
      <c r="F832" s="46">
        <v>45513</v>
      </c>
      <c r="G832" s="60">
        <v>24367.5</v>
      </c>
      <c r="H832" s="53">
        <f t="shared" si="25"/>
        <v>1.0386864037815649E-2</v>
      </c>
    </row>
    <row r="833" spans="2:8">
      <c r="B833" s="46">
        <v>45516</v>
      </c>
      <c r="C833" s="60">
        <v>5615.46728515625</v>
      </c>
      <c r="D833" s="58">
        <f t="shared" si="24"/>
        <v>-1.4145651623981945E-2</v>
      </c>
      <c r="F833" s="46">
        <v>45516</v>
      </c>
      <c r="G833" s="60">
        <v>24347</v>
      </c>
      <c r="H833" s="51">
        <f t="shared" si="25"/>
        <v>-8.412844977941931E-4</v>
      </c>
    </row>
    <row r="834" spans="2:8">
      <c r="B834" s="46">
        <v>45517</v>
      </c>
      <c r="C834" s="60">
        <v>5610.11181640625</v>
      </c>
      <c r="D834" s="58">
        <f t="shared" si="24"/>
        <v>-9.5369957263511762E-4</v>
      </c>
      <c r="F834" s="46">
        <v>45517</v>
      </c>
      <c r="G834" s="60">
        <v>24139</v>
      </c>
      <c r="H834" s="53">
        <f t="shared" si="25"/>
        <v>-8.5431469996303452E-3</v>
      </c>
    </row>
    <row r="835" spans="2:8">
      <c r="B835" s="46">
        <v>45518</v>
      </c>
      <c r="C835" s="60">
        <v>5583.77880859375</v>
      </c>
      <c r="D835" s="58">
        <f t="shared" si="24"/>
        <v>-4.6938472305474502E-3</v>
      </c>
      <c r="F835" s="46">
        <v>45518</v>
      </c>
      <c r="G835" s="60">
        <v>24143.75</v>
      </c>
      <c r="H835" s="51">
        <f t="shared" si="25"/>
        <v>1.9677699987571978E-4</v>
      </c>
    </row>
    <row r="836" spans="2:8">
      <c r="B836" s="46">
        <v>45520</v>
      </c>
      <c r="C836" s="60">
        <v>5583.1396484375</v>
      </c>
      <c r="D836" s="58">
        <f t="shared" si="24"/>
        <v>-1.1446731293623174E-4</v>
      </c>
      <c r="F836" s="46">
        <v>45520</v>
      </c>
      <c r="G836" s="60">
        <v>24541.150390625</v>
      </c>
      <c r="H836" s="53">
        <f t="shared" si="25"/>
        <v>1.6459762490292518E-2</v>
      </c>
    </row>
    <row r="837" spans="2:8">
      <c r="B837" s="46">
        <v>45523</v>
      </c>
      <c r="C837" s="60">
        <v>5640.86865234375</v>
      </c>
      <c r="D837" s="58">
        <f t="shared" ref="D837:D900" si="26">(C837-C836)/C836</f>
        <v>1.0339881776449218E-2</v>
      </c>
      <c r="F837" s="46">
        <v>45523</v>
      </c>
      <c r="G837" s="60">
        <v>24572.650390625</v>
      </c>
      <c r="H837" s="51">
        <f t="shared" ref="H837:H900" si="27">(G837-G836)/G836</f>
        <v>1.2835584110202657E-3</v>
      </c>
    </row>
    <row r="838" spans="2:8">
      <c r="B838" s="46">
        <v>45524</v>
      </c>
      <c r="C838" s="60">
        <v>5633.3505859375</v>
      </c>
      <c r="D838" s="58">
        <f t="shared" si="26"/>
        <v>-1.3327852268154275E-3</v>
      </c>
      <c r="F838" s="46">
        <v>45524</v>
      </c>
      <c r="G838" s="60">
        <v>24698.849609375</v>
      </c>
      <c r="H838" s="53">
        <f t="shared" si="27"/>
        <v>5.1357593399101852E-3</v>
      </c>
    </row>
    <row r="839" spans="2:8">
      <c r="B839" s="46">
        <v>45525</v>
      </c>
      <c r="C839" s="60">
        <v>5689.310546875</v>
      </c>
      <c r="D839" s="58">
        <f t="shared" si="26"/>
        <v>9.9336904536338495E-3</v>
      </c>
      <c r="F839" s="46">
        <v>45525</v>
      </c>
      <c r="G839" s="60">
        <v>24770.19921875</v>
      </c>
      <c r="H839" s="51">
        <f t="shared" si="27"/>
        <v>2.8887826964992596E-3</v>
      </c>
    </row>
    <row r="840" spans="2:8">
      <c r="B840" s="46">
        <v>45526</v>
      </c>
      <c r="C840" s="60">
        <v>5667.7421875</v>
      </c>
      <c r="D840" s="58">
        <f t="shared" si="26"/>
        <v>-3.7910321817196243E-3</v>
      </c>
      <c r="F840" s="46">
        <v>45526</v>
      </c>
      <c r="G840" s="60">
        <v>24811.5</v>
      </c>
      <c r="H840" s="53">
        <f t="shared" si="27"/>
        <v>1.667357653657345E-3</v>
      </c>
    </row>
    <row r="841" spans="2:8">
      <c r="B841" s="46">
        <v>45527</v>
      </c>
      <c r="C841" s="60">
        <v>5653.78955078125</v>
      </c>
      <c r="D841" s="58">
        <f t="shared" si="26"/>
        <v>-2.461762772047401E-3</v>
      </c>
      <c r="F841" s="46">
        <v>45527</v>
      </c>
      <c r="G841" s="60">
        <v>24823.150390625</v>
      </c>
      <c r="H841" s="51">
        <f t="shared" si="27"/>
        <v>4.6955607782681415E-4</v>
      </c>
    </row>
    <row r="842" spans="2:8">
      <c r="B842" s="46">
        <v>45530</v>
      </c>
      <c r="C842" s="60">
        <v>5717.4619140625</v>
      </c>
      <c r="D842" s="58">
        <f t="shared" si="26"/>
        <v>1.1261891287137076E-2</v>
      </c>
      <c r="F842" s="46">
        <v>45530</v>
      </c>
      <c r="G842" s="60">
        <v>25010.599609375</v>
      </c>
      <c r="H842" s="53">
        <f t="shared" si="27"/>
        <v>7.551387144670978E-3</v>
      </c>
    </row>
    <row r="843" spans="2:8">
      <c r="B843" s="46">
        <v>45531</v>
      </c>
      <c r="C843" s="60">
        <v>5788.55419921875</v>
      </c>
      <c r="D843" s="58">
        <f t="shared" si="26"/>
        <v>1.2434238517862886E-2</v>
      </c>
      <c r="F843" s="46">
        <v>45531</v>
      </c>
      <c r="G843" s="60">
        <v>25017.75</v>
      </c>
      <c r="H843" s="51">
        <f t="shared" si="27"/>
        <v>2.8589441023715959E-4</v>
      </c>
    </row>
    <row r="844" spans="2:8">
      <c r="B844" s="46">
        <v>45532</v>
      </c>
      <c r="C844" s="60">
        <v>5893.103515625</v>
      </c>
      <c r="D844" s="58">
        <f t="shared" si="26"/>
        <v>1.8061386800241146E-2</v>
      </c>
      <c r="F844" s="46">
        <v>45532</v>
      </c>
      <c r="G844" s="60">
        <v>25052.349609375</v>
      </c>
      <c r="H844" s="53">
        <f t="shared" si="27"/>
        <v>1.3830024432652816E-3</v>
      </c>
    </row>
    <row r="845" spans="2:8">
      <c r="B845" s="46">
        <v>45533</v>
      </c>
      <c r="C845" s="60">
        <v>5894.970703125</v>
      </c>
      <c r="D845" s="58">
        <f t="shared" si="26"/>
        <v>3.168428138160701E-4</v>
      </c>
      <c r="F845" s="46">
        <v>45533</v>
      </c>
      <c r="G845" s="60">
        <v>25151.94921875</v>
      </c>
      <c r="H845" s="51">
        <f t="shared" si="27"/>
        <v>3.9756594063228385E-3</v>
      </c>
    </row>
    <row r="846" spans="2:8">
      <c r="B846" s="46">
        <v>45534</v>
      </c>
      <c r="C846" s="60">
        <v>6063.04638671875</v>
      </c>
      <c r="D846" s="58">
        <f t="shared" si="26"/>
        <v>2.8511708040321711E-2</v>
      </c>
      <c r="F846" s="46">
        <v>45534</v>
      </c>
      <c r="G846" s="60">
        <v>25235.900390625</v>
      </c>
      <c r="H846" s="53">
        <f t="shared" si="27"/>
        <v>3.3377600735777966E-3</v>
      </c>
    </row>
    <row r="847" spans="2:8">
      <c r="B847" s="46">
        <v>45537</v>
      </c>
      <c r="C847" s="60">
        <v>5968.02783203125</v>
      </c>
      <c r="D847" s="58">
        <f t="shared" si="26"/>
        <v>-1.5671751233116153E-2</v>
      </c>
      <c r="F847" s="46">
        <v>45537</v>
      </c>
      <c r="G847" s="60">
        <v>25278.69921875</v>
      </c>
      <c r="H847" s="51">
        <f t="shared" si="27"/>
        <v>1.6959501132323192E-3</v>
      </c>
    </row>
    <row r="848" spans="2:8">
      <c r="B848" s="46">
        <v>45538</v>
      </c>
      <c r="C848" s="60">
        <v>6002.517578125</v>
      </c>
      <c r="D848" s="58">
        <f t="shared" si="26"/>
        <v>5.7790860003431371E-3</v>
      </c>
      <c r="F848" s="46">
        <v>45538</v>
      </c>
      <c r="G848" s="60">
        <v>25279.849609375</v>
      </c>
      <c r="H848" s="53">
        <f t="shared" si="27"/>
        <v>4.5508299894905958E-5</v>
      </c>
    </row>
    <row r="849" spans="2:8">
      <c r="B849" s="46">
        <v>45539</v>
      </c>
      <c r="C849" s="60">
        <v>6099.8447265625</v>
      </c>
      <c r="D849" s="58">
        <f t="shared" si="26"/>
        <v>1.6214387908198676E-2</v>
      </c>
      <c r="F849" s="46">
        <v>45539</v>
      </c>
      <c r="G849" s="60">
        <v>25198.69921875</v>
      </c>
      <c r="H849" s="51">
        <f t="shared" si="27"/>
        <v>-3.2100820170585776E-3</v>
      </c>
    </row>
    <row r="850" spans="2:8">
      <c r="B850" s="46">
        <v>45540</v>
      </c>
      <c r="C850" s="60">
        <v>6167.39892578125</v>
      </c>
      <c r="D850" s="58">
        <f t="shared" si="26"/>
        <v>1.1074740792102002E-2</v>
      </c>
      <c r="F850" s="46">
        <v>45540</v>
      </c>
      <c r="G850" s="60">
        <v>25145.099609375</v>
      </c>
      <c r="H850" s="53">
        <f t="shared" si="27"/>
        <v>-2.1270784221717794E-3</v>
      </c>
    </row>
    <row r="851" spans="2:8">
      <c r="B851" s="46">
        <v>45541</v>
      </c>
      <c r="C851" s="60">
        <v>6200.21875</v>
      </c>
      <c r="D851" s="58">
        <f t="shared" si="26"/>
        <v>5.3215017568516657E-3</v>
      </c>
      <c r="F851" s="46">
        <v>45541</v>
      </c>
      <c r="G851" s="60">
        <v>24852.150390625</v>
      </c>
      <c r="H851" s="51">
        <f t="shared" si="27"/>
        <v>-1.1650350298901897E-2</v>
      </c>
    </row>
    <row r="852" spans="2:8">
      <c r="B852" s="46">
        <v>45544</v>
      </c>
      <c r="C852" s="60">
        <v>6159.046875</v>
      </c>
      <c r="D852" s="58">
        <f t="shared" si="26"/>
        <v>-6.6403907120212496E-3</v>
      </c>
      <c r="F852" s="46">
        <v>45544</v>
      </c>
      <c r="G852" s="60">
        <v>24936.400390625</v>
      </c>
      <c r="H852" s="53">
        <f t="shared" si="27"/>
        <v>3.3900486950127948E-3</v>
      </c>
    </row>
    <row r="853" spans="2:8">
      <c r="B853" s="46">
        <v>45545</v>
      </c>
      <c r="C853" s="60">
        <v>6206.99853515625</v>
      </c>
      <c r="D853" s="58">
        <f t="shared" si="26"/>
        <v>7.7855650605435601E-3</v>
      </c>
      <c r="F853" s="46">
        <v>45545</v>
      </c>
      <c r="G853" s="60">
        <v>25041.099609375</v>
      </c>
      <c r="H853" s="51">
        <f t="shared" si="27"/>
        <v>4.1986500501236075E-3</v>
      </c>
    </row>
    <row r="854" spans="2:8">
      <c r="B854" s="46">
        <v>45546</v>
      </c>
      <c r="C854" s="60">
        <v>6168.775390625</v>
      </c>
      <c r="D854" s="58">
        <f t="shared" si="26"/>
        <v>-6.1580721043762582E-3</v>
      </c>
      <c r="F854" s="46">
        <v>45546</v>
      </c>
      <c r="G854" s="60">
        <v>24918.44921875</v>
      </c>
      <c r="H854" s="53">
        <f t="shared" si="27"/>
        <v>-4.8979634496195048E-3</v>
      </c>
    </row>
    <row r="855" spans="2:8">
      <c r="B855" s="46">
        <v>45547</v>
      </c>
      <c r="C855" s="60">
        <v>6237.45947265625</v>
      </c>
      <c r="D855" s="58">
        <f t="shared" si="26"/>
        <v>1.113415186677613E-2</v>
      </c>
      <c r="F855" s="46">
        <v>45547</v>
      </c>
      <c r="G855" s="60">
        <v>25388.900390625</v>
      </c>
      <c r="H855" s="51">
        <f t="shared" si="27"/>
        <v>1.8879632827271085E-2</v>
      </c>
    </row>
    <row r="856" spans="2:8">
      <c r="B856" s="46">
        <v>45548</v>
      </c>
      <c r="C856" s="60">
        <v>6255.53955078125</v>
      </c>
      <c r="D856" s="58">
        <f t="shared" si="26"/>
        <v>2.8986285529003235E-3</v>
      </c>
      <c r="F856" s="46">
        <v>45548</v>
      </c>
      <c r="G856" s="60">
        <v>25356.5</v>
      </c>
      <c r="H856" s="53">
        <f t="shared" si="27"/>
        <v>-1.2761636040355664E-3</v>
      </c>
    </row>
    <row r="857" spans="2:8">
      <c r="B857" s="46">
        <v>45551</v>
      </c>
      <c r="C857" s="60">
        <v>6246.892578125</v>
      </c>
      <c r="D857" s="58">
        <f t="shared" si="26"/>
        <v>-1.3822904620865335E-3</v>
      </c>
      <c r="F857" s="46">
        <v>45551</v>
      </c>
      <c r="G857" s="60">
        <v>25383.75</v>
      </c>
      <c r="H857" s="51">
        <f t="shared" si="27"/>
        <v>1.0746751326089958E-3</v>
      </c>
    </row>
    <row r="858" spans="2:8">
      <c r="B858" s="46">
        <v>45552</v>
      </c>
      <c r="C858" s="60">
        <v>6108.7373046875</v>
      </c>
      <c r="D858" s="58">
        <f t="shared" si="26"/>
        <v>-2.2115839468935961E-2</v>
      </c>
      <c r="F858" s="46">
        <v>45552</v>
      </c>
      <c r="G858" s="60">
        <v>25418.55078125</v>
      </c>
      <c r="H858" s="53">
        <f t="shared" si="27"/>
        <v>1.3709866056039789E-3</v>
      </c>
    </row>
    <row r="859" spans="2:8">
      <c r="B859" s="46">
        <v>45553</v>
      </c>
      <c r="C859" s="60">
        <v>5984.38818359375</v>
      </c>
      <c r="D859" s="58">
        <f t="shared" si="26"/>
        <v>-2.0355945081863565E-2</v>
      </c>
      <c r="F859" s="46">
        <v>45553</v>
      </c>
      <c r="G859" s="60">
        <v>25377.55078125</v>
      </c>
      <c r="H859" s="51">
        <f t="shared" si="27"/>
        <v>-1.6129951842196943E-3</v>
      </c>
    </row>
    <row r="860" spans="2:8">
      <c r="B860" s="46">
        <v>45554</v>
      </c>
      <c r="C860" s="60">
        <v>6030.12890625</v>
      </c>
      <c r="D860" s="58">
        <f t="shared" si="26"/>
        <v>7.6433415167900661E-3</v>
      </c>
      <c r="F860" s="46">
        <v>45554</v>
      </c>
      <c r="G860" s="60">
        <v>25415.80078125</v>
      </c>
      <c r="H860" s="53">
        <f t="shared" si="27"/>
        <v>1.5072376499098844E-3</v>
      </c>
    </row>
    <row r="861" spans="2:8">
      <c r="B861" s="46">
        <v>45555</v>
      </c>
      <c r="C861" s="60">
        <v>5980.89990234375</v>
      </c>
      <c r="D861" s="58">
        <f t="shared" si="26"/>
        <v>-8.1638393924259242E-3</v>
      </c>
      <c r="F861" s="46">
        <v>45555</v>
      </c>
      <c r="G861" s="60">
        <v>25790.94921875</v>
      </c>
      <c r="H861" s="51">
        <f t="shared" si="27"/>
        <v>1.4760441377741608E-2</v>
      </c>
    </row>
    <row r="862" spans="2:8">
      <c r="B862" s="46">
        <v>45558</v>
      </c>
      <c r="C862" s="60">
        <v>5878.41455078125</v>
      </c>
      <c r="D862" s="58">
        <f t="shared" si="26"/>
        <v>-1.7135440023388255E-2</v>
      </c>
      <c r="F862" s="46">
        <v>45558</v>
      </c>
      <c r="G862" s="60">
        <v>25939.05078125</v>
      </c>
      <c r="H862" s="53">
        <f t="shared" si="27"/>
        <v>5.7423850996662926E-3</v>
      </c>
    </row>
    <row r="863" spans="2:8">
      <c r="B863" s="46">
        <v>45559</v>
      </c>
      <c r="C863" s="60">
        <v>5941.64453125</v>
      </c>
      <c r="D863" s="58">
        <f t="shared" si="26"/>
        <v>1.0756298305016043E-2</v>
      </c>
      <c r="F863" s="46">
        <v>45559</v>
      </c>
      <c r="G863" s="60">
        <v>25940.400390625</v>
      </c>
      <c r="H863" s="51">
        <f t="shared" si="27"/>
        <v>5.2030021699003842E-5</v>
      </c>
    </row>
    <row r="864" spans="2:8">
      <c r="B864" s="46">
        <v>45560</v>
      </c>
      <c r="C864" s="60">
        <v>6118.3671875</v>
      </c>
      <c r="D864" s="58">
        <f t="shared" si="26"/>
        <v>2.9743054354822062E-2</v>
      </c>
      <c r="F864" s="46">
        <v>45560</v>
      </c>
      <c r="G864" s="60">
        <v>26004.150390625</v>
      </c>
      <c r="H864" s="53">
        <f t="shared" si="27"/>
        <v>2.4575565157058869E-3</v>
      </c>
    </row>
    <row r="865" spans="2:8">
      <c r="B865" s="46">
        <v>45561</v>
      </c>
      <c r="C865" s="60">
        <v>6089.38037109375</v>
      </c>
      <c r="D865" s="58">
        <f t="shared" si="26"/>
        <v>-4.737671917676157E-3</v>
      </c>
      <c r="F865" s="46">
        <v>45561</v>
      </c>
      <c r="G865" s="60">
        <v>26216.05078125</v>
      </c>
      <c r="H865" s="51">
        <f t="shared" si="27"/>
        <v>8.1487142414540942E-3</v>
      </c>
    </row>
    <row r="866" spans="2:8">
      <c r="B866" s="46">
        <v>45562</v>
      </c>
      <c r="C866" s="60">
        <v>6077.04833984375</v>
      </c>
      <c r="D866" s="58">
        <f t="shared" si="26"/>
        <v>-2.0251701320121297E-3</v>
      </c>
      <c r="F866" s="46">
        <v>45562</v>
      </c>
      <c r="G866" s="60">
        <v>26178.94921875</v>
      </c>
      <c r="H866" s="53">
        <f t="shared" si="27"/>
        <v>-1.4152231703234049E-3</v>
      </c>
    </row>
    <row r="867" spans="2:8">
      <c r="B867" s="46">
        <v>45565</v>
      </c>
      <c r="C867" s="60">
        <v>5947.5400390625</v>
      </c>
      <c r="D867" s="58">
        <f t="shared" si="26"/>
        <v>-2.1311053251319021E-2</v>
      </c>
      <c r="F867" s="46">
        <v>45565</v>
      </c>
      <c r="G867" s="60">
        <v>25810.849609375</v>
      </c>
      <c r="H867" s="51">
        <f t="shared" si="27"/>
        <v>-1.406090085202343E-2</v>
      </c>
    </row>
    <row r="868" spans="2:8">
      <c r="B868" s="46">
        <v>45566</v>
      </c>
      <c r="C868" s="60">
        <v>6044.27880859375</v>
      </c>
      <c r="D868" s="58">
        <f t="shared" si="26"/>
        <v>1.6265341451404295E-2</v>
      </c>
      <c r="F868" s="46">
        <v>45566</v>
      </c>
      <c r="G868" s="60">
        <v>25796.900390625</v>
      </c>
      <c r="H868" s="53">
        <f t="shared" si="27"/>
        <v>-5.4044012347944466E-4</v>
      </c>
    </row>
    <row r="869" spans="2:8">
      <c r="B869" s="46">
        <v>45568</v>
      </c>
      <c r="C869" s="60">
        <v>6052.1884765625</v>
      </c>
      <c r="D869" s="58">
        <f t="shared" si="26"/>
        <v>1.3086206343598911E-3</v>
      </c>
      <c r="F869" s="46">
        <v>45568</v>
      </c>
      <c r="G869" s="60">
        <v>25250.099609375</v>
      </c>
      <c r="H869" s="51">
        <f t="shared" si="27"/>
        <v>-2.1196375260987402E-2</v>
      </c>
    </row>
    <row r="870" spans="2:8">
      <c r="B870" s="46">
        <v>45569</v>
      </c>
      <c r="C870" s="60">
        <v>6086.43212890625</v>
      </c>
      <c r="D870" s="58">
        <f t="shared" si="26"/>
        <v>5.6580611255516592E-3</v>
      </c>
      <c r="F870" s="46">
        <v>45569</v>
      </c>
      <c r="G870" s="60">
        <v>25014.599609375</v>
      </c>
      <c r="H870" s="53">
        <f t="shared" si="27"/>
        <v>-9.3266958801446562E-3</v>
      </c>
    </row>
    <row r="871" spans="2:8">
      <c r="B871" s="46">
        <v>45572</v>
      </c>
      <c r="C871" s="60">
        <v>6053.1220703125</v>
      </c>
      <c r="D871" s="58">
        <f t="shared" si="26"/>
        <v>-5.4728382553632313E-3</v>
      </c>
      <c r="F871" s="46">
        <v>45572</v>
      </c>
      <c r="G871" s="60">
        <v>24795.75</v>
      </c>
      <c r="H871" s="51">
        <f t="shared" si="27"/>
        <v>-8.7488751686027114E-3</v>
      </c>
    </row>
    <row r="872" spans="2:8">
      <c r="B872" s="46">
        <v>45573</v>
      </c>
      <c r="C872" s="60">
        <v>6142.146484375</v>
      </c>
      <c r="D872" s="58">
        <f t="shared" si="26"/>
        <v>1.4707189616928377E-2</v>
      </c>
      <c r="F872" s="46">
        <v>45573</v>
      </c>
      <c r="G872" s="60">
        <v>25013.150390625</v>
      </c>
      <c r="H872" s="53">
        <f t="shared" si="27"/>
        <v>8.7676473034693451E-3</v>
      </c>
    </row>
    <row r="873" spans="2:8">
      <c r="B873" s="46">
        <v>45574</v>
      </c>
      <c r="C873" s="60">
        <v>6184.64404296875</v>
      </c>
      <c r="D873" s="58">
        <f t="shared" si="26"/>
        <v>6.9190076631776036E-3</v>
      </c>
      <c r="F873" s="46">
        <v>45574</v>
      </c>
      <c r="G873" s="60">
        <v>24981.94921875</v>
      </c>
      <c r="H873" s="51">
        <f t="shared" si="27"/>
        <v>-1.2473907279865989E-3</v>
      </c>
    </row>
    <row r="874" spans="2:8">
      <c r="B874" s="46">
        <v>45575</v>
      </c>
      <c r="C874" s="60">
        <v>6030.37451171875</v>
      </c>
      <c r="D874" s="58">
        <f t="shared" si="26"/>
        <v>-2.4943962850277088E-2</v>
      </c>
      <c r="F874" s="46">
        <v>45575</v>
      </c>
      <c r="G874" s="60">
        <v>24998.44921875</v>
      </c>
      <c r="H874" s="53">
        <f t="shared" si="27"/>
        <v>6.6047688495083712E-4</v>
      </c>
    </row>
    <row r="875" spans="2:8">
      <c r="B875" s="46">
        <v>45576</v>
      </c>
      <c r="C875" s="60">
        <v>6083.6318359375</v>
      </c>
      <c r="D875" s="58">
        <f t="shared" si="26"/>
        <v>8.8315118928775846E-3</v>
      </c>
      <c r="F875" s="46">
        <v>45576</v>
      </c>
      <c r="G875" s="60">
        <v>24964.25</v>
      </c>
      <c r="H875" s="51">
        <f t="shared" si="27"/>
        <v>-1.3680536120756241E-3</v>
      </c>
    </row>
    <row r="876" spans="2:8">
      <c r="B876" s="46">
        <v>45579</v>
      </c>
      <c r="C876" s="60">
        <v>6142.73583984375</v>
      </c>
      <c r="D876" s="58">
        <f t="shared" si="26"/>
        <v>9.7152499526858612E-3</v>
      </c>
      <c r="F876" s="46">
        <v>45579</v>
      </c>
      <c r="G876" s="60">
        <v>25127.94921875</v>
      </c>
      <c r="H876" s="53">
        <f t="shared" si="27"/>
        <v>6.5573457544288337E-3</v>
      </c>
    </row>
    <row r="877" spans="2:8">
      <c r="B877" s="46">
        <v>45580</v>
      </c>
      <c r="C877" s="60">
        <v>6156.5419921875</v>
      </c>
      <c r="D877" s="58">
        <f t="shared" si="26"/>
        <v>2.2475575547623063E-3</v>
      </c>
      <c r="F877" s="46">
        <v>45580</v>
      </c>
      <c r="G877" s="60">
        <v>25057.349609375</v>
      </c>
      <c r="H877" s="51">
        <f t="shared" si="27"/>
        <v>-2.8096049048968912E-3</v>
      </c>
    </row>
    <row r="878" spans="2:8">
      <c r="B878" s="46">
        <v>45581</v>
      </c>
      <c r="C878" s="60">
        <v>5988.318359375</v>
      </c>
      <c r="D878" s="58">
        <f t="shared" si="26"/>
        <v>-2.7324370243226089E-2</v>
      </c>
      <c r="F878" s="46">
        <v>45581</v>
      </c>
      <c r="G878" s="60">
        <v>24971.30078125</v>
      </c>
      <c r="H878" s="53">
        <f t="shared" si="27"/>
        <v>-3.4340754096676505E-3</v>
      </c>
    </row>
    <row r="879" spans="2:8">
      <c r="B879" s="46">
        <v>45582</v>
      </c>
      <c r="C879" s="60">
        <v>5918.2587890625</v>
      </c>
      <c r="D879" s="58">
        <f t="shared" si="26"/>
        <v>-1.1699373030630273E-2</v>
      </c>
      <c r="F879" s="46">
        <v>45582</v>
      </c>
      <c r="G879" s="60">
        <v>24749.849609375</v>
      </c>
      <c r="H879" s="51">
        <f t="shared" si="27"/>
        <v>-8.8682273228345102E-3</v>
      </c>
    </row>
    <row r="880" spans="2:8">
      <c r="B880" s="46">
        <v>45583</v>
      </c>
      <c r="C880" s="60">
        <v>6026.10009765625</v>
      </c>
      <c r="D880" s="58">
        <f t="shared" si="26"/>
        <v>1.8221796720523764E-2</v>
      </c>
      <c r="F880" s="46">
        <v>45583</v>
      </c>
      <c r="G880" s="60">
        <v>24854.05078125</v>
      </c>
      <c r="H880" s="53">
        <f t="shared" si="27"/>
        <v>4.2101739412400158E-3</v>
      </c>
    </row>
    <row r="881" spans="2:8">
      <c r="B881" s="46">
        <v>45586</v>
      </c>
      <c r="C881" s="60">
        <v>6051.25537109375</v>
      </c>
      <c r="D881" s="58">
        <f t="shared" si="26"/>
        <v>4.1743869218640629E-3</v>
      </c>
      <c r="F881" s="46">
        <v>45586</v>
      </c>
      <c r="G881" s="60">
        <v>24781.099609375</v>
      </c>
      <c r="H881" s="51">
        <f t="shared" si="27"/>
        <v>-2.9351823779983047E-3</v>
      </c>
    </row>
    <row r="882" spans="2:8">
      <c r="B882" s="46">
        <v>45587</v>
      </c>
      <c r="C882" s="60">
        <v>6003.9912109375</v>
      </c>
      <c r="D882" s="58">
        <f t="shared" si="26"/>
        <v>-7.8106371748953496E-3</v>
      </c>
      <c r="F882" s="46">
        <v>45587</v>
      </c>
      <c r="G882" s="60">
        <v>24472.099609375</v>
      </c>
      <c r="H882" s="53">
        <f t="shared" si="27"/>
        <v>-1.2469180337869326E-2</v>
      </c>
    </row>
    <row r="883" spans="2:8">
      <c r="B883" s="46">
        <v>45588</v>
      </c>
      <c r="C883" s="60">
        <v>5752.73779296875</v>
      </c>
      <c r="D883" s="58">
        <f t="shared" si="26"/>
        <v>-4.1847732473532011E-2</v>
      </c>
      <c r="F883" s="46">
        <v>45588</v>
      </c>
      <c r="G883" s="60">
        <v>24435.5</v>
      </c>
      <c r="H883" s="51">
        <f t="shared" si="27"/>
        <v>-1.4955647434917714E-3</v>
      </c>
    </row>
    <row r="884" spans="2:8">
      <c r="B884" s="46">
        <v>45589</v>
      </c>
      <c r="C884" s="60">
        <v>5857.2880859375</v>
      </c>
      <c r="D884" s="58">
        <f t="shared" si="26"/>
        <v>1.8174006313400201E-2</v>
      </c>
      <c r="F884" s="46">
        <v>45589</v>
      </c>
      <c r="G884" s="60">
        <v>24399.400390625</v>
      </c>
      <c r="H884" s="53">
        <f t="shared" si="27"/>
        <v>-1.4773427748562542E-3</v>
      </c>
    </row>
    <row r="885" spans="2:8">
      <c r="B885" s="46">
        <v>45590</v>
      </c>
      <c r="C885" s="60">
        <v>5839.20751953125</v>
      </c>
      <c r="D885" s="58">
        <f t="shared" si="26"/>
        <v>-3.0868494328730083E-3</v>
      </c>
      <c r="F885" s="46">
        <v>45590</v>
      </c>
      <c r="G885" s="60">
        <v>24180.80078125</v>
      </c>
      <c r="H885" s="51">
        <f t="shared" si="27"/>
        <v>-8.9592205494932031E-3</v>
      </c>
    </row>
    <row r="886" spans="2:8">
      <c r="B886" s="46">
        <v>45593</v>
      </c>
      <c r="C886" s="60">
        <v>5934.52099609375</v>
      </c>
      <c r="D886" s="58">
        <f t="shared" si="26"/>
        <v>1.6323015793443047E-2</v>
      </c>
      <c r="F886" s="46">
        <v>45593</v>
      </c>
      <c r="G886" s="60">
        <v>24339.150390625</v>
      </c>
      <c r="H886" s="53">
        <f t="shared" si="27"/>
        <v>6.5485676346080995E-3</v>
      </c>
    </row>
    <row r="887" spans="2:8">
      <c r="B887" s="46">
        <v>45594</v>
      </c>
      <c r="C887" s="60">
        <v>5825.20556640625</v>
      </c>
      <c r="D887" s="58">
        <f t="shared" si="26"/>
        <v>-1.8420261678988775E-2</v>
      </c>
      <c r="F887" s="46">
        <v>45594</v>
      </c>
      <c r="G887" s="60">
        <v>24466.849609375</v>
      </c>
      <c r="H887" s="51">
        <f t="shared" si="27"/>
        <v>5.2466588480092318E-3</v>
      </c>
    </row>
    <row r="888" spans="2:8">
      <c r="B888" s="46">
        <v>45595</v>
      </c>
      <c r="C888" s="60">
        <v>5694.8134765625</v>
      </c>
      <c r="D888" s="58">
        <f t="shared" si="26"/>
        <v>-2.238411818386573E-2</v>
      </c>
      <c r="F888" s="46">
        <v>45595</v>
      </c>
      <c r="G888" s="60">
        <v>24340.849609375</v>
      </c>
      <c r="H888" s="53">
        <f t="shared" si="27"/>
        <v>-5.149825253829181E-3</v>
      </c>
    </row>
    <row r="889" spans="2:8">
      <c r="B889" s="46">
        <v>45596</v>
      </c>
      <c r="C889" s="60">
        <v>5678.74755859375</v>
      </c>
      <c r="D889" s="58">
        <f t="shared" si="26"/>
        <v>-2.8211491096013386E-3</v>
      </c>
      <c r="F889" s="46">
        <v>45596</v>
      </c>
      <c r="G889" s="60">
        <v>24205.349609375</v>
      </c>
      <c r="H889" s="51">
        <f t="shared" si="27"/>
        <v>-5.566773640794013E-3</v>
      </c>
    </row>
    <row r="890" spans="2:8">
      <c r="B890" s="46">
        <v>45597</v>
      </c>
      <c r="C890" s="60">
        <v>5704.294921875</v>
      </c>
      <c r="D890" s="58">
        <f t="shared" si="26"/>
        <v>4.4987672048546548E-3</v>
      </c>
      <c r="F890" s="46">
        <v>45597</v>
      </c>
      <c r="G890" s="60">
        <v>24304.349609375</v>
      </c>
      <c r="H890" s="53">
        <f t="shared" si="27"/>
        <v>4.0900049616162618E-3</v>
      </c>
    </row>
    <row r="891" spans="2:8">
      <c r="B891" s="46">
        <v>45600</v>
      </c>
      <c r="C891" s="60">
        <v>5697.46630859375</v>
      </c>
      <c r="D891" s="58">
        <f t="shared" si="26"/>
        <v>-1.1971003208588375E-3</v>
      </c>
      <c r="F891" s="46">
        <v>45600</v>
      </c>
      <c r="G891" s="60">
        <v>23995.349609375</v>
      </c>
      <c r="H891" s="51">
        <f t="shared" si="27"/>
        <v>-1.2713773664645128E-2</v>
      </c>
    </row>
    <row r="892" spans="2:8">
      <c r="B892" s="46">
        <v>45601</v>
      </c>
      <c r="C892" s="60">
        <v>5571.7412109375</v>
      </c>
      <c r="D892" s="58">
        <f t="shared" si="26"/>
        <v>-2.2066843548791692E-2</v>
      </c>
      <c r="F892" s="46">
        <v>45601</v>
      </c>
      <c r="G892" s="60">
        <v>24213.30078125</v>
      </c>
      <c r="H892" s="53">
        <f t="shared" si="27"/>
        <v>9.0830588186073483E-3</v>
      </c>
    </row>
    <row r="893" spans="2:8">
      <c r="B893" s="46">
        <v>45602</v>
      </c>
      <c r="C893" s="60">
        <v>5752.00048828125</v>
      </c>
      <c r="D893" s="58">
        <f t="shared" si="26"/>
        <v>3.2352413818124842E-2</v>
      </c>
      <c r="F893" s="46">
        <v>45602</v>
      </c>
      <c r="G893" s="60">
        <v>24484.05078125</v>
      </c>
      <c r="H893" s="51">
        <f t="shared" si="27"/>
        <v>1.1181870759630595E-2</v>
      </c>
    </row>
    <row r="894" spans="2:8">
      <c r="B894" s="46">
        <v>45603</v>
      </c>
      <c r="C894" s="60">
        <v>5624.26171875</v>
      </c>
      <c r="D894" s="58">
        <f t="shared" si="26"/>
        <v>-2.220771187198204E-2</v>
      </c>
      <c r="F894" s="46">
        <v>45603</v>
      </c>
      <c r="G894" s="60">
        <v>24199.349609375</v>
      </c>
      <c r="H894" s="53">
        <f t="shared" si="27"/>
        <v>-1.1628025706147672E-2</v>
      </c>
    </row>
    <row r="895" spans="2:8">
      <c r="B895" s="46">
        <v>45604</v>
      </c>
      <c r="C895" s="60">
        <v>5607.26318359375</v>
      </c>
      <c r="D895" s="58">
        <f t="shared" si="26"/>
        <v>-3.0223584901073824E-3</v>
      </c>
      <c r="F895" s="46">
        <v>45604</v>
      </c>
      <c r="G895" s="60">
        <v>24148.19921875</v>
      </c>
      <c r="H895" s="51">
        <f t="shared" si="27"/>
        <v>-2.1137093124678017E-3</v>
      </c>
    </row>
    <row r="896" spans="2:8">
      <c r="B896" s="46">
        <v>45607</v>
      </c>
      <c r="C896" s="60">
        <v>5526.0498046875</v>
      </c>
      <c r="D896" s="58">
        <f t="shared" si="26"/>
        <v>-1.4483603898577764E-2</v>
      </c>
      <c r="F896" s="46">
        <v>45607</v>
      </c>
      <c r="G896" s="60">
        <v>24141.30078125</v>
      </c>
      <c r="H896" s="53">
        <f t="shared" si="27"/>
        <v>-2.8567088740280355E-4</v>
      </c>
    </row>
    <row r="897" spans="2:8">
      <c r="B897" s="46">
        <v>45608</v>
      </c>
      <c r="C897" s="60">
        <v>5407.69482421875</v>
      </c>
      <c r="D897" s="58">
        <f t="shared" si="26"/>
        <v>-2.1417646357141912E-2</v>
      </c>
      <c r="F897" s="46">
        <v>45608</v>
      </c>
      <c r="G897" s="60">
        <v>23883.44921875</v>
      </c>
      <c r="H897" s="51">
        <f t="shared" si="27"/>
        <v>-1.0680930776533279E-2</v>
      </c>
    </row>
    <row r="898" spans="2:8">
      <c r="B898" s="46">
        <v>45609</v>
      </c>
      <c r="C898" s="60">
        <v>5474.31591796875</v>
      </c>
      <c r="D898" s="58">
        <f t="shared" si="26"/>
        <v>1.2319684434046211E-2</v>
      </c>
      <c r="F898" s="46">
        <v>45609</v>
      </c>
      <c r="G898" s="60">
        <v>23559.05078125</v>
      </c>
      <c r="H898" s="53">
        <f t="shared" si="27"/>
        <v>-1.3582562322921387E-2</v>
      </c>
    </row>
    <row r="899" spans="2:8">
      <c r="B899" s="46">
        <v>45610</v>
      </c>
      <c r="C899" s="60">
        <v>5428.86962890625</v>
      </c>
      <c r="D899" s="58">
        <f t="shared" si="26"/>
        <v>-8.3017293381495022E-3</v>
      </c>
      <c r="F899" s="46">
        <v>45610</v>
      </c>
      <c r="G899" s="60">
        <v>23532.69921875</v>
      </c>
      <c r="H899" s="51">
        <f t="shared" si="27"/>
        <v>-1.1185324376894032E-3</v>
      </c>
    </row>
    <row r="900" spans="2:8">
      <c r="B900" s="46">
        <v>45614</v>
      </c>
      <c r="C900" s="60">
        <v>5419.240234375</v>
      </c>
      <c r="D900" s="58">
        <f t="shared" si="26"/>
        <v>-1.7737384003435768E-3</v>
      </c>
      <c r="F900" s="46">
        <v>45614</v>
      </c>
      <c r="G900" s="60">
        <v>23453.80078125</v>
      </c>
      <c r="H900" s="53">
        <f t="shared" si="27"/>
        <v>-3.3527151631265739E-3</v>
      </c>
    </row>
    <row r="901" spans="2:8">
      <c r="B901" s="46">
        <v>45615</v>
      </c>
      <c r="C901" s="60">
        <v>5433.63525390625</v>
      </c>
      <c r="D901" s="58">
        <f t="shared" ref="D901:D964" si="28">(C901-C900)/C900</f>
        <v>2.6562800150361251E-3</v>
      </c>
      <c r="F901" s="46">
        <v>45615</v>
      </c>
      <c r="G901" s="60">
        <v>23518.5</v>
      </c>
      <c r="H901" s="51">
        <f t="shared" ref="H901:H964" si="29">(G901-G900)/G900</f>
        <v>2.7585814066316875E-3</v>
      </c>
    </row>
    <row r="902" spans="2:8">
      <c r="B902" s="46">
        <v>45617</v>
      </c>
      <c r="C902" s="60">
        <v>5507.28271484375</v>
      </c>
      <c r="D902" s="58">
        <f t="shared" si="28"/>
        <v>1.3553994240698197E-2</v>
      </c>
      <c r="F902" s="46">
        <v>45617</v>
      </c>
      <c r="G902" s="60">
        <v>23349.900390625</v>
      </c>
      <c r="H902" s="53">
        <f t="shared" si="29"/>
        <v>-7.1688079331164827E-3</v>
      </c>
    </row>
    <row r="903" spans="2:8">
      <c r="B903" s="46">
        <v>45618</v>
      </c>
      <c r="C903" s="60">
        <v>5486.25439453125</v>
      </c>
      <c r="D903" s="58">
        <f t="shared" si="28"/>
        <v>-3.8182750734445645E-3</v>
      </c>
      <c r="F903" s="46">
        <v>45618</v>
      </c>
      <c r="G903" s="60">
        <v>23907.25</v>
      </c>
      <c r="H903" s="51">
        <f t="shared" si="29"/>
        <v>2.3869464111237762E-2</v>
      </c>
    </row>
    <row r="904" spans="2:8">
      <c r="B904" s="46">
        <v>45621</v>
      </c>
      <c r="C904" s="60">
        <v>5383.03076171875</v>
      </c>
      <c r="D904" s="58">
        <f t="shared" si="28"/>
        <v>-1.8814955594365856E-2</v>
      </c>
      <c r="F904" s="46">
        <v>45621</v>
      </c>
      <c r="G904" s="60">
        <v>24221.900390625</v>
      </c>
      <c r="H904" s="53">
        <f t="shared" si="29"/>
        <v>1.3161295867362411E-2</v>
      </c>
    </row>
    <row r="905" spans="2:8">
      <c r="B905" s="46">
        <v>45622</v>
      </c>
      <c r="C905" s="60">
        <v>5389.0244140625</v>
      </c>
      <c r="D905" s="58">
        <f t="shared" si="28"/>
        <v>1.11343453326956E-3</v>
      </c>
      <c r="F905" s="46">
        <v>45622</v>
      </c>
      <c r="G905" s="60">
        <v>24194.5</v>
      </c>
      <c r="H905" s="51">
        <f t="shared" si="29"/>
        <v>-1.1312238174179439E-3</v>
      </c>
    </row>
    <row r="906" spans="2:8">
      <c r="B906" s="46">
        <v>45623</v>
      </c>
      <c r="C906" s="60">
        <v>5355.076171875</v>
      </c>
      <c r="D906" s="58">
        <f t="shared" si="28"/>
        <v>-6.2995153814692445E-3</v>
      </c>
      <c r="F906" s="46">
        <v>45623</v>
      </c>
      <c r="G906" s="60">
        <v>24274.900390625</v>
      </c>
      <c r="H906" s="53">
        <f t="shared" si="29"/>
        <v>3.3230854378061129E-3</v>
      </c>
    </row>
    <row r="907" spans="2:8">
      <c r="B907" s="46">
        <v>45624</v>
      </c>
      <c r="C907" s="60">
        <v>5362.2490234375</v>
      </c>
      <c r="D907" s="58">
        <f t="shared" si="28"/>
        <v>1.3394490259862229E-3</v>
      </c>
      <c r="F907" s="46">
        <v>45624</v>
      </c>
      <c r="G907" s="60">
        <v>23914.150390625</v>
      </c>
      <c r="H907" s="51">
        <f t="shared" si="29"/>
        <v>-1.4861029054492934E-2</v>
      </c>
    </row>
    <row r="908" spans="2:8">
      <c r="B908" s="46">
        <v>45625</v>
      </c>
      <c r="C908" s="60">
        <v>5544.32666015625</v>
      </c>
      <c r="D908" s="58">
        <f t="shared" si="28"/>
        <v>3.3955460837965357E-2</v>
      </c>
      <c r="F908" s="46">
        <v>45625</v>
      </c>
      <c r="G908" s="60">
        <v>24131.099609375</v>
      </c>
      <c r="H908" s="53">
        <f t="shared" si="29"/>
        <v>9.0720019405351737E-3</v>
      </c>
    </row>
    <row r="909" spans="2:8">
      <c r="B909" s="46">
        <v>45628</v>
      </c>
      <c r="C909" s="60">
        <v>5593.751953125</v>
      </c>
      <c r="D909" s="58">
        <f t="shared" si="28"/>
        <v>8.914570875475274E-3</v>
      </c>
      <c r="F909" s="46">
        <v>45628</v>
      </c>
      <c r="G909" s="60">
        <v>24276.05078125</v>
      </c>
      <c r="H909" s="51">
        <f t="shared" si="29"/>
        <v>6.0068200049485541E-3</v>
      </c>
    </row>
    <row r="910" spans="2:8">
      <c r="B910" s="46">
        <v>45629</v>
      </c>
      <c r="C910" s="60">
        <v>5539.31494140625</v>
      </c>
      <c r="D910" s="58">
        <f t="shared" si="28"/>
        <v>-9.7317528869577917E-3</v>
      </c>
      <c r="F910" s="46">
        <v>45629</v>
      </c>
      <c r="G910" s="60">
        <v>24457.150390625</v>
      </c>
      <c r="H910" s="53">
        <f t="shared" si="29"/>
        <v>7.4600111445999777E-3</v>
      </c>
    </row>
    <row r="911" spans="2:8">
      <c r="B911" s="46">
        <v>45630</v>
      </c>
      <c r="C911" s="60">
        <v>5574.05029296875</v>
      </c>
      <c r="D911" s="58">
        <f t="shared" si="28"/>
        <v>6.2706944685260732E-3</v>
      </c>
      <c r="F911" s="46">
        <v>45630</v>
      </c>
      <c r="G911" s="60">
        <v>24467.44921875</v>
      </c>
      <c r="H911" s="51">
        <f t="shared" si="29"/>
        <v>4.2109681465375389E-4</v>
      </c>
    </row>
    <row r="912" spans="2:8">
      <c r="B912" s="46">
        <v>45631</v>
      </c>
      <c r="C912" s="60">
        <v>5545.80078125</v>
      </c>
      <c r="D912" s="58">
        <f t="shared" si="28"/>
        <v>-5.0680403358370589E-3</v>
      </c>
      <c r="F912" s="46">
        <v>45631</v>
      </c>
      <c r="G912" s="60">
        <v>24708.400390625</v>
      </c>
      <c r="H912" s="53">
        <f t="shared" si="29"/>
        <v>9.8478255628851284E-3</v>
      </c>
    </row>
    <row r="913" spans="2:8">
      <c r="B913" s="46">
        <v>45632</v>
      </c>
      <c r="C913" s="60">
        <v>5409.65966796875</v>
      </c>
      <c r="D913" s="58">
        <f t="shared" si="28"/>
        <v>-2.4548504111711774E-2</v>
      </c>
      <c r="F913" s="46">
        <v>45632</v>
      </c>
      <c r="G913" s="60">
        <v>24677.80078125</v>
      </c>
      <c r="H913" s="51">
        <f t="shared" si="29"/>
        <v>-1.2384293961259537E-3</v>
      </c>
    </row>
    <row r="914" spans="2:8">
      <c r="B914" s="46">
        <v>45635</v>
      </c>
      <c r="C914" s="60">
        <v>5389.2216796875</v>
      </c>
      <c r="D914" s="58">
        <f t="shared" si="28"/>
        <v>-3.7780543575163892E-3</v>
      </c>
      <c r="F914" s="46">
        <v>45635</v>
      </c>
      <c r="G914" s="60">
        <v>24619</v>
      </c>
      <c r="H914" s="53">
        <f t="shared" si="29"/>
        <v>-2.3827399277279349E-3</v>
      </c>
    </row>
    <row r="915" spans="2:8">
      <c r="B915" s="46">
        <v>45636</v>
      </c>
      <c r="C915" s="60">
        <v>5364.5087890625</v>
      </c>
      <c r="D915" s="58">
        <f t="shared" si="28"/>
        <v>-4.5856140448156521E-3</v>
      </c>
      <c r="F915" s="46">
        <v>45636</v>
      </c>
      <c r="G915" s="60">
        <v>24610.05078125</v>
      </c>
      <c r="H915" s="51">
        <f t="shared" si="29"/>
        <v>-3.6350862138998332E-4</v>
      </c>
    </row>
    <row r="916" spans="2:8">
      <c r="B916" s="46">
        <v>45637</v>
      </c>
      <c r="C916" s="60">
        <v>5394.47900390625</v>
      </c>
      <c r="D916" s="58">
        <f t="shared" si="28"/>
        <v>5.5867584567770995E-3</v>
      </c>
      <c r="F916" s="46">
        <v>45637</v>
      </c>
      <c r="G916" s="60">
        <v>24641.80078125</v>
      </c>
      <c r="H916" s="53">
        <f t="shared" si="29"/>
        <v>1.2901233029632678E-3</v>
      </c>
    </row>
    <row r="917" spans="2:8">
      <c r="B917" s="46">
        <v>45638</v>
      </c>
      <c r="C917" s="60">
        <v>5340.72998046875</v>
      </c>
      <c r="D917" s="58">
        <f t="shared" si="28"/>
        <v>-9.9637098223163464E-3</v>
      </c>
      <c r="F917" s="46">
        <v>45638</v>
      </c>
      <c r="G917" s="60">
        <v>24548.69921875</v>
      </c>
      <c r="H917" s="51">
        <f t="shared" si="29"/>
        <v>-3.778196379659119E-3</v>
      </c>
    </row>
    <row r="918" spans="2:8">
      <c r="B918" s="46">
        <v>45639</v>
      </c>
      <c r="C918" s="60">
        <v>5279.1201171875</v>
      </c>
      <c r="D918" s="58">
        <f t="shared" si="28"/>
        <v>-1.1535850624644867E-2</v>
      </c>
      <c r="F918" s="46">
        <v>45639</v>
      </c>
      <c r="G918" s="60">
        <v>24768.30078125</v>
      </c>
      <c r="H918" s="53">
        <f t="shared" si="29"/>
        <v>8.9455478085890185E-3</v>
      </c>
    </row>
    <row r="919" spans="2:8">
      <c r="B919" s="46">
        <v>45642</v>
      </c>
      <c r="C919" s="60">
        <v>5348.1484375</v>
      </c>
      <c r="D919" s="58">
        <f t="shared" si="28"/>
        <v>1.3075724510939045E-2</v>
      </c>
      <c r="F919" s="46">
        <v>45642</v>
      </c>
      <c r="G919" s="60">
        <v>24668.25</v>
      </c>
      <c r="H919" s="51">
        <f t="shared" si="29"/>
        <v>-4.0394689217332193E-3</v>
      </c>
    </row>
    <row r="920" spans="2:8">
      <c r="B920" s="46">
        <v>45643</v>
      </c>
      <c r="C920" s="60">
        <v>5297.8876953125</v>
      </c>
      <c r="D920" s="58">
        <f t="shared" si="28"/>
        <v>-9.3977836955838976E-3</v>
      </c>
      <c r="F920" s="46">
        <v>45643</v>
      </c>
      <c r="G920" s="60">
        <v>24336</v>
      </c>
      <c r="H920" s="53">
        <f t="shared" si="29"/>
        <v>-1.3468730047733423E-2</v>
      </c>
    </row>
    <row r="921" spans="2:8">
      <c r="B921" s="46">
        <v>45644</v>
      </c>
      <c r="C921" s="60">
        <v>5397.7216796875</v>
      </c>
      <c r="D921" s="58">
        <f t="shared" si="28"/>
        <v>1.8844111109288287E-2</v>
      </c>
      <c r="F921" s="46">
        <v>45644</v>
      </c>
      <c r="G921" s="60">
        <v>24198.849609375</v>
      </c>
      <c r="H921" s="51">
        <f t="shared" si="29"/>
        <v>-5.6356998120069036E-3</v>
      </c>
    </row>
    <row r="922" spans="2:8">
      <c r="B922" s="46">
        <v>45645</v>
      </c>
      <c r="C922" s="60">
        <v>5398.70361328125</v>
      </c>
      <c r="D922" s="58">
        <f t="shared" si="28"/>
        <v>1.8191630691985749E-4</v>
      </c>
      <c r="F922" s="46">
        <v>45645</v>
      </c>
      <c r="G922" s="60">
        <v>23951.69921875</v>
      </c>
      <c r="H922" s="53">
        <f t="shared" si="29"/>
        <v>-1.0213311567061031E-2</v>
      </c>
    </row>
    <row r="923" spans="2:8">
      <c r="B923" s="46">
        <v>45646</v>
      </c>
      <c r="C923" s="60">
        <v>5333.11474609375</v>
      </c>
      <c r="D923" s="58">
        <f t="shared" si="28"/>
        <v>-1.2149003147004784E-2</v>
      </c>
      <c r="F923" s="46">
        <v>45646</v>
      </c>
      <c r="G923" s="60">
        <v>23587.5</v>
      </c>
      <c r="H923" s="51">
        <f t="shared" si="29"/>
        <v>-1.5205569150805617E-2</v>
      </c>
    </row>
    <row r="924" spans="2:8">
      <c r="B924" s="46">
        <v>45649</v>
      </c>
      <c r="C924" s="60">
        <v>5386.568359375</v>
      </c>
      <c r="D924" s="58">
        <f t="shared" si="28"/>
        <v>1.0022963282461193E-2</v>
      </c>
      <c r="F924" s="46">
        <v>45649</v>
      </c>
      <c r="G924" s="60">
        <v>23753.44921875</v>
      </c>
      <c r="H924" s="53">
        <f t="shared" si="29"/>
        <v>7.0354729729729731E-3</v>
      </c>
    </row>
    <row r="925" spans="2:8">
      <c r="B925" s="46">
        <v>45650</v>
      </c>
      <c r="C925" s="60">
        <v>5312.28271484375</v>
      </c>
      <c r="D925" s="58">
        <f t="shared" si="28"/>
        <v>-1.3790903516885715E-2</v>
      </c>
      <c r="F925" s="46">
        <v>45650</v>
      </c>
      <c r="G925" s="60">
        <v>23727.650390625</v>
      </c>
      <c r="H925" s="51">
        <f t="shared" si="29"/>
        <v>-1.0861087115144297E-3</v>
      </c>
    </row>
    <row r="926" spans="2:8">
      <c r="B926" s="46">
        <v>45652</v>
      </c>
      <c r="C926" s="60">
        <v>5314.54345703125</v>
      </c>
      <c r="D926" s="58">
        <f t="shared" si="28"/>
        <v>4.255688766682093E-4</v>
      </c>
      <c r="F926" s="46">
        <v>45652</v>
      </c>
      <c r="G926" s="60">
        <v>23750.19921875</v>
      </c>
      <c r="H926" s="53">
        <f t="shared" si="29"/>
        <v>9.5031862631915877E-4</v>
      </c>
    </row>
    <row r="927" spans="2:8">
      <c r="B927" s="46">
        <v>45653</v>
      </c>
      <c r="C927" s="60">
        <v>5387.3544921875</v>
      </c>
      <c r="D927" s="58">
        <f t="shared" si="28"/>
        <v>1.3700336773033535E-2</v>
      </c>
      <c r="F927" s="46">
        <v>45653</v>
      </c>
      <c r="G927" s="60">
        <v>23813.400390625</v>
      </c>
      <c r="H927" s="51">
        <f t="shared" si="29"/>
        <v>2.6610796521279179E-3</v>
      </c>
    </row>
    <row r="928" spans="2:8">
      <c r="B928" s="46">
        <v>45656</v>
      </c>
      <c r="C928" s="60">
        <v>5472.3994140625</v>
      </c>
      <c r="D928" s="58">
        <f t="shared" si="28"/>
        <v>1.5786026703519942E-2</v>
      </c>
      <c r="F928" s="46">
        <v>45656</v>
      </c>
      <c r="G928" s="60">
        <v>23644.900390625</v>
      </c>
      <c r="H928" s="53">
        <f t="shared" si="29"/>
        <v>-7.0758479358679106E-3</v>
      </c>
    </row>
    <row r="929" spans="2:8">
      <c r="B929" s="46">
        <v>45657</v>
      </c>
      <c r="C929" s="60">
        <v>5535.92529296875</v>
      </c>
      <c r="D929" s="58">
        <f t="shared" si="28"/>
        <v>1.1608414170757836E-2</v>
      </c>
      <c r="F929" s="46">
        <v>45657</v>
      </c>
      <c r="G929" s="60">
        <v>23644.80078125</v>
      </c>
      <c r="H929" s="51">
        <f t="shared" si="29"/>
        <v>-4.2127212783477941E-6</v>
      </c>
    </row>
    <row r="930" spans="2:8">
      <c r="B930" s="46">
        <v>45658</v>
      </c>
      <c r="C930" s="60">
        <v>5474.11865234375</v>
      </c>
      <c r="D930" s="58">
        <f t="shared" si="28"/>
        <v>-1.1164644996835744E-2</v>
      </c>
      <c r="F930" s="46">
        <v>45658</v>
      </c>
      <c r="G930" s="60">
        <v>23742.900390625</v>
      </c>
      <c r="H930" s="53">
        <f t="shared" si="29"/>
        <v>4.1488871182535671E-3</v>
      </c>
    </row>
    <row r="931" spans="2:8">
      <c r="B931" s="46">
        <v>45659</v>
      </c>
      <c r="C931" s="60">
        <v>5482.716796875</v>
      </c>
      <c r="D931" s="58">
        <f t="shared" si="28"/>
        <v>1.5706902018955498E-3</v>
      </c>
      <c r="F931" s="46">
        <v>45659</v>
      </c>
      <c r="G931" s="60">
        <v>24188.650390625</v>
      </c>
      <c r="H931" s="51">
        <f t="shared" si="29"/>
        <v>1.8774033191665436E-2</v>
      </c>
    </row>
    <row r="932" spans="2:8">
      <c r="B932" s="46">
        <v>45660</v>
      </c>
      <c r="C932" s="60">
        <v>5406.95751953125</v>
      </c>
      <c r="D932" s="58">
        <f t="shared" si="28"/>
        <v>-1.3817835235796008E-2</v>
      </c>
      <c r="F932" s="46">
        <v>45660</v>
      </c>
      <c r="G932" s="60">
        <v>24004.75</v>
      </c>
      <c r="H932" s="53">
        <f t="shared" si="29"/>
        <v>-7.602755327609176E-3</v>
      </c>
    </row>
    <row r="933" spans="2:8">
      <c r="B933" s="46">
        <v>45663</v>
      </c>
      <c r="C933" s="60">
        <v>5430.88427734375</v>
      </c>
      <c r="D933" s="58">
        <f t="shared" si="28"/>
        <v>4.4251795443316713E-3</v>
      </c>
      <c r="F933" s="46">
        <v>45663</v>
      </c>
      <c r="G933" s="60">
        <v>23616.05078125</v>
      </c>
      <c r="H933" s="51">
        <f t="shared" si="29"/>
        <v>-1.6192595996625668E-2</v>
      </c>
    </row>
    <row r="934" spans="2:8">
      <c r="B934" s="46">
        <v>45664</v>
      </c>
      <c r="C934" s="60">
        <v>5466.0615234375</v>
      </c>
      <c r="D934" s="58">
        <f t="shared" si="28"/>
        <v>6.4772593738556365E-3</v>
      </c>
      <c r="F934" s="46">
        <v>45664</v>
      </c>
      <c r="G934" s="60">
        <v>23707.900390625</v>
      </c>
      <c r="H934" s="53">
        <f t="shared" si="29"/>
        <v>3.8892874268344705E-3</v>
      </c>
    </row>
    <row r="935" spans="2:8">
      <c r="B935" s="46">
        <v>45665</v>
      </c>
      <c r="C935" s="60">
        <v>5464.98046875</v>
      </c>
      <c r="D935" s="58">
        <f t="shared" si="28"/>
        <v>-1.9777579942425268E-4</v>
      </c>
      <c r="F935" s="46">
        <v>45665</v>
      </c>
      <c r="G935" s="60">
        <v>23688.94921875</v>
      </c>
      <c r="H935" s="51">
        <f t="shared" si="29"/>
        <v>-7.9936103841966573E-4</v>
      </c>
    </row>
    <row r="936" spans="2:8">
      <c r="B936" s="46">
        <v>45666</v>
      </c>
      <c r="C936" s="60">
        <v>5359.1044921875</v>
      </c>
      <c r="D936" s="58">
        <f t="shared" si="28"/>
        <v>-1.9373532470595804E-2</v>
      </c>
      <c r="F936" s="46">
        <v>45666</v>
      </c>
      <c r="G936" s="60">
        <v>23526.5</v>
      </c>
      <c r="H936" s="53">
        <f t="shared" si="29"/>
        <v>-6.8575949591474531E-3</v>
      </c>
    </row>
    <row r="937" spans="2:8">
      <c r="B937" s="46">
        <v>45667</v>
      </c>
      <c r="C937" s="60">
        <v>5282.55908203125</v>
      </c>
      <c r="D937" s="58">
        <f t="shared" si="28"/>
        <v>-1.4283246439370208E-2</v>
      </c>
      <c r="F937" s="46">
        <v>45667</v>
      </c>
      <c r="G937" s="60">
        <v>23431.5</v>
      </c>
      <c r="H937" s="51">
        <f t="shared" si="29"/>
        <v>-4.0379997024631801E-3</v>
      </c>
    </row>
    <row r="938" spans="2:8">
      <c r="B938" s="46">
        <v>45670</v>
      </c>
      <c r="C938" s="60">
        <v>5136.49462890625</v>
      </c>
      <c r="D938" s="58">
        <f t="shared" si="28"/>
        <v>-2.7650320773854039E-2</v>
      </c>
      <c r="F938" s="46">
        <v>45670</v>
      </c>
      <c r="G938" s="60">
        <v>23085.94921875</v>
      </c>
      <c r="H938" s="53">
        <f t="shared" si="29"/>
        <v>-1.4747275302477434E-2</v>
      </c>
    </row>
    <row r="939" spans="2:8">
      <c r="B939" s="46">
        <v>45671</v>
      </c>
      <c r="C939" s="60">
        <v>5173.24365234375</v>
      </c>
      <c r="D939" s="58">
        <f t="shared" si="28"/>
        <v>7.154494668541146E-3</v>
      </c>
      <c r="F939" s="46">
        <v>45671</v>
      </c>
      <c r="G939" s="60">
        <v>23176.05078125</v>
      </c>
      <c r="H939" s="51">
        <f t="shared" si="29"/>
        <v>3.9028744993868871E-3</v>
      </c>
    </row>
    <row r="940" spans="2:8">
      <c r="B940" s="46">
        <v>45672</v>
      </c>
      <c r="C940" s="60">
        <v>5111.044921875</v>
      </c>
      <c r="D940" s="58">
        <f t="shared" si="28"/>
        <v>-1.2023158901585994E-2</v>
      </c>
      <c r="F940" s="46">
        <v>45672</v>
      </c>
      <c r="G940" s="60">
        <v>23213.19921875</v>
      </c>
      <c r="H940" s="53">
        <f t="shared" si="29"/>
        <v>1.6028803979862699E-3</v>
      </c>
    </row>
    <row r="941" spans="2:8">
      <c r="B941" s="46">
        <v>45673</v>
      </c>
      <c r="C941" s="60">
        <v>5091.68701171875</v>
      </c>
      <c r="D941" s="58">
        <f t="shared" si="28"/>
        <v>-3.7874662524289655E-3</v>
      </c>
      <c r="F941" s="46">
        <v>45673</v>
      </c>
      <c r="G941" s="60">
        <v>23311.80078125</v>
      </c>
      <c r="H941" s="51">
        <f t="shared" si="29"/>
        <v>4.2476507253837101E-3</v>
      </c>
    </row>
    <row r="942" spans="2:8">
      <c r="B942" s="46">
        <v>45674</v>
      </c>
      <c r="C942" s="60">
        <v>5164.44970703125</v>
      </c>
      <c r="D942" s="58">
        <f t="shared" si="28"/>
        <v>1.4290488622932505E-2</v>
      </c>
      <c r="F942" s="46">
        <v>45674</v>
      </c>
      <c r="G942" s="60">
        <v>23203.19921875</v>
      </c>
      <c r="H942" s="53">
        <f t="shared" si="29"/>
        <v>-4.6586517926727362E-3</v>
      </c>
    </row>
    <row r="943" spans="2:8">
      <c r="B943" s="46">
        <v>45677</v>
      </c>
      <c r="C943" s="60">
        <v>5146.90966796875</v>
      </c>
      <c r="D943" s="58">
        <f t="shared" si="28"/>
        <v>-3.3963035865408353E-3</v>
      </c>
      <c r="F943" s="46">
        <v>45677</v>
      </c>
      <c r="G943" s="60">
        <v>23344.75</v>
      </c>
      <c r="H943" s="51">
        <f t="shared" si="29"/>
        <v>6.1004855371674738E-3</v>
      </c>
    </row>
    <row r="944" spans="2:8">
      <c r="B944" s="46">
        <v>45678</v>
      </c>
      <c r="C944" s="60">
        <v>5087.265625</v>
      </c>
      <c r="D944" s="58">
        <f t="shared" si="28"/>
        <v>-1.158832130665483E-2</v>
      </c>
      <c r="F944" s="46">
        <v>45678</v>
      </c>
      <c r="G944" s="60">
        <v>23024.650390625</v>
      </c>
      <c r="H944" s="53">
        <f t="shared" si="29"/>
        <v>-1.371184567729361E-2</v>
      </c>
    </row>
    <row r="945" spans="2:8">
      <c r="B945" s="46">
        <v>45679</v>
      </c>
      <c r="C945" s="60">
        <v>5061.865234375</v>
      </c>
      <c r="D945" s="58">
        <f t="shared" si="28"/>
        <v>-4.9929357924965827E-3</v>
      </c>
      <c r="F945" s="46">
        <v>45679</v>
      </c>
      <c r="G945" s="60">
        <v>23155.349609375</v>
      </c>
      <c r="H945" s="51">
        <f t="shared" si="29"/>
        <v>5.6764909144165375E-3</v>
      </c>
    </row>
    <row r="946" spans="2:8">
      <c r="B946" s="46">
        <v>45680</v>
      </c>
      <c r="C946" s="60">
        <v>5093.357421875</v>
      </c>
      <c r="D946" s="58">
        <f t="shared" si="28"/>
        <v>6.221459094986833E-3</v>
      </c>
      <c r="F946" s="46">
        <v>45680</v>
      </c>
      <c r="G946" s="60">
        <v>23205.349609375</v>
      </c>
      <c r="H946" s="53">
        <f t="shared" si="29"/>
        <v>2.1593282262409156E-3</v>
      </c>
    </row>
    <row r="947" spans="2:8">
      <c r="B947" s="46">
        <v>45681</v>
      </c>
      <c r="C947" s="60">
        <v>4935.3544921875</v>
      </c>
      <c r="D947" s="58">
        <f t="shared" si="28"/>
        <v>-3.1021370895532977E-2</v>
      </c>
      <c r="F947" s="46">
        <v>45681</v>
      </c>
      <c r="G947" s="60">
        <v>23092.19921875</v>
      </c>
      <c r="H947" s="51">
        <f t="shared" si="29"/>
        <v>-4.8760476583936943E-3</v>
      </c>
    </row>
    <row r="948" spans="2:8">
      <c r="B948" s="46">
        <v>45684</v>
      </c>
      <c r="C948" s="60">
        <v>4876.544921875</v>
      </c>
      <c r="D948" s="58">
        <f t="shared" si="28"/>
        <v>-1.1915976938554985E-2</v>
      </c>
      <c r="F948" s="46">
        <v>45684</v>
      </c>
      <c r="G948" s="60">
        <v>22829.150390625</v>
      </c>
      <c r="H948" s="53">
        <f t="shared" si="29"/>
        <v>-1.1391241935562993E-2</v>
      </c>
    </row>
    <row r="949" spans="2:8">
      <c r="B949" s="46">
        <v>45685</v>
      </c>
      <c r="C949" s="60">
        <v>4830.55859375</v>
      </c>
      <c r="D949" s="58">
        <f t="shared" si="28"/>
        <v>-9.4301044821132399E-3</v>
      </c>
      <c r="F949" s="46">
        <v>45685</v>
      </c>
      <c r="G949" s="60">
        <v>22957.25</v>
      </c>
      <c r="H949" s="51">
        <f t="shared" si="29"/>
        <v>5.6112298172780566E-3</v>
      </c>
    </row>
    <row r="950" spans="2:8">
      <c r="B950" s="46">
        <v>45686</v>
      </c>
      <c r="C950" s="60">
        <v>4917.27392578125</v>
      </c>
      <c r="D950" s="58">
        <f t="shared" si="28"/>
        <v>1.7951408796375291E-2</v>
      </c>
      <c r="F950" s="46">
        <v>45686</v>
      </c>
      <c r="G950" s="60">
        <v>23163.099609375</v>
      </c>
      <c r="H950" s="53">
        <f t="shared" si="29"/>
        <v>8.9666492883511747E-3</v>
      </c>
    </row>
    <row r="951" spans="2:8">
      <c r="B951" s="46">
        <v>45687</v>
      </c>
      <c r="C951" s="60">
        <v>4962.572265625</v>
      </c>
      <c r="D951" s="58">
        <f t="shared" si="28"/>
        <v>9.2120838756309595E-3</v>
      </c>
      <c r="F951" s="46">
        <v>45687</v>
      </c>
      <c r="G951" s="60">
        <v>23249.5</v>
      </c>
      <c r="H951" s="51">
        <f t="shared" si="29"/>
        <v>3.7300875997627893E-3</v>
      </c>
    </row>
    <row r="952" spans="2:8">
      <c r="B952" s="46">
        <v>45688</v>
      </c>
      <c r="C952" s="60">
        <v>4975.001953125</v>
      </c>
      <c r="D952" s="58">
        <f t="shared" si="28"/>
        <v>2.5046864478122759E-3</v>
      </c>
      <c r="F952" s="46">
        <v>45688</v>
      </c>
      <c r="G952" s="60">
        <v>23508.400390625</v>
      </c>
      <c r="H952" s="53">
        <f t="shared" si="29"/>
        <v>1.1135740150325814E-2</v>
      </c>
    </row>
    <row r="953" spans="2:8">
      <c r="B953" s="46">
        <v>45689</v>
      </c>
      <c r="C953" s="60">
        <v>4942.13427734375</v>
      </c>
      <c r="D953" s="58">
        <f t="shared" si="28"/>
        <v>-6.606565402573256E-3</v>
      </c>
      <c r="F953" s="46">
        <v>45689</v>
      </c>
      <c r="G953" s="60">
        <v>23482.150390625</v>
      </c>
      <c r="H953" s="51">
        <f t="shared" si="29"/>
        <v>-1.1166221250199708E-3</v>
      </c>
    </row>
    <row r="954" spans="2:8">
      <c r="B954" s="46">
        <v>45691</v>
      </c>
      <c r="C954" s="60">
        <v>4960.65625</v>
      </c>
      <c r="D954" s="58">
        <f t="shared" si="28"/>
        <v>3.7477679918897326E-3</v>
      </c>
      <c r="F954" s="46">
        <v>45691</v>
      </c>
      <c r="G954" s="60">
        <v>23361.05078125</v>
      </c>
      <c r="H954" s="53">
        <f t="shared" si="29"/>
        <v>-5.1570919766934014E-3</v>
      </c>
    </row>
    <row r="955" spans="2:8">
      <c r="B955" s="46">
        <v>45692</v>
      </c>
      <c r="C955" s="60">
        <v>5017.10693359375</v>
      </c>
      <c r="D955" s="58">
        <f t="shared" si="28"/>
        <v>1.1379680580316364E-2</v>
      </c>
      <c r="F955" s="46">
        <v>45692</v>
      </c>
      <c r="G955" s="60">
        <v>23739.25</v>
      </c>
      <c r="H955" s="51">
        <f t="shared" si="29"/>
        <v>1.6189306820631095E-2</v>
      </c>
    </row>
    <row r="956" spans="2:8">
      <c r="B956" s="46">
        <v>45693</v>
      </c>
      <c r="C956" s="60">
        <v>5028.94775390625</v>
      </c>
      <c r="D956" s="58">
        <f t="shared" si="28"/>
        <v>2.3600892843674013E-3</v>
      </c>
      <c r="F956" s="46">
        <v>45693</v>
      </c>
      <c r="G956" s="60">
        <v>23696.30078125</v>
      </c>
      <c r="H956" s="53">
        <f t="shared" si="29"/>
        <v>-1.8092070621439178E-3</v>
      </c>
    </row>
    <row r="957" spans="2:8">
      <c r="B957" s="46">
        <v>45694</v>
      </c>
      <c r="C957" s="60">
        <v>5164.302734375</v>
      </c>
      <c r="D957" s="58">
        <f t="shared" si="28"/>
        <v>2.6915169353989136E-2</v>
      </c>
      <c r="F957" s="46">
        <v>45694</v>
      </c>
      <c r="G957" s="60">
        <v>23603.349609375</v>
      </c>
      <c r="H957" s="51">
        <f t="shared" si="29"/>
        <v>-3.9226026346082174E-3</v>
      </c>
    </row>
    <row r="958" spans="2:8">
      <c r="B958" s="46">
        <v>45695</v>
      </c>
      <c r="C958" s="60">
        <v>5061.7666015625</v>
      </c>
      <c r="D958" s="58">
        <f t="shared" si="28"/>
        <v>-1.9854787390753002E-2</v>
      </c>
      <c r="F958" s="46">
        <v>45695</v>
      </c>
      <c r="G958" s="60">
        <v>23559.94921875</v>
      </c>
      <c r="H958" s="53">
        <f t="shared" si="29"/>
        <v>-1.8387386257991884E-3</v>
      </c>
    </row>
    <row r="959" spans="2:8">
      <c r="B959" s="46">
        <v>45698</v>
      </c>
      <c r="C959" s="60">
        <v>4717.3623046875</v>
      </c>
      <c r="D959" s="58">
        <f t="shared" si="28"/>
        <v>-6.8040335318638942E-2</v>
      </c>
      <c r="F959" s="46">
        <v>45698</v>
      </c>
      <c r="G959" s="60">
        <v>23381.599609375</v>
      </c>
      <c r="H959" s="51">
        <f t="shared" si="29"/>
        <v>-7.5700336923078711E-3</v>
      </c>
    </row>
    <row r="960" spans="2:8">
      <c r="B960" s="46">
        <v>45699</v>
      </c>
      <c r="C960" s="60">
        <v>4621.70556640625</v>
      </c>
      <c r="D960" s="58">
        <f t="shared" si="28"/>
        <v>-2.0277589912099565E-2</v>
      </c>
      <c r="F960" s="46">
        <v>45699</v>
      </c>
      <c r="G960" s="60">
        <v>23071.80078125</v>
      </c>
      <c r="H960" s="53">
        <f t="shared" si="29"/>
        <v>-1.3249684936046216E-2</v>
      </c>
    </row>
    <row r="961" spans="2:8">
      <c r="B961" s="46">
        <v>45700</v>
      </c>
      <c r="C961" s="60">
        <v>4626.71630859375</v>
      </c>
      <c r="D961" s="58">
        <f t="shared" si="28"/>
        <v>1.0841759855758741E-3</v>
      </c>
      <c r="F961" s="46">
        <v>45700</v>
      </c>
      <c r="G961" s="60">
        <v>23045.25</v>
      </c>
      <c r="H961" s="51">
        <f t="shared" si="29"/>
        <v>-1.1507892904301298E-3</v>
      </c>
    </row>
    <row r="962" spans="2:8">
      <c r="B962" s="46">
        <v>45701</v>
      </c>
      <c r="C962" s="60">
        <v>4637.4755859375</v>
      </c>
      <c r="D962" s="58">
        <f t="shared" si="28"/>
        <v>2.3254672701167167E-3</v>
      </c>
      <c r="F962" s="46">
        <v>45701</v>
      </c>
      <c r="G962" s="60">
        <v>23031.400390625</v>
      </c>
      <c r="H962" s="53">
        <f t="shared" si="29"/>
        <v>-6.0097457719052736E-4</v>
      </c>
    </row>
    <row r="963" spans="2:8">
      <c r="B963" s="46">
        <v>45702</v>
      </c>
      <c r="C963" s="60">
        <v>4606.724609375</v>
      </c>
      <c r="D963" s="58">
        <f t="shared" si="28"/>
        <v>-6.6309732509963097E-3</v>
      </c>
      <c r="F963" s="46">
        <v>45702</v>
      </c>
      <c r="G963" s="60">
        <v>22929.25</v>
      </c>
      <c r="H963" s="51">
        <f t="shared" si="29"/>
        <v>-4.4352661537064254E-3</v>
      </c>
    </row>
    <row r="964" spans="2:8">
      <c r="B964" s="46">
        <v>45705</v>
      </c>
      <c r="C964" s="60">
        <v>4748.14990234375</v>
      </c>
      <c r="D964" s="58">
        <f t="shared" si="28"/>
        <v>3.0699749813770036E-2</v>
      </c>
      <c r="F964" s="46">
        <v>45705</v>
      </c>
      <c r="G964" s="60">
        <v>22959.5</v>
      </c>
      <c r="H964" s="53">
        <f t="shared" si="29"/>
        <v>1.3192755977626831E-3</v>
      </c>
    </row>
    <row r="965" spans="2:8">
      <c r="B965" s="46">
        <v>45706</v>
      </c>
      <c r="C965" s="60">
        <v>4676.69482421875</v>
      </c>
      <c r="D965" s="58">
        <f t="shared" ref="D965:D1028" si="30">(C965-C964)/C964</f>
        <v>-1.50490358549398E-2</v>
      </c>
      <c r="F965" s="46">
        <v>45706</v>
      </c>
      <c r="G965" s="60">
        <v>22945.30078125</v>
      </c>
      <c r="H965" s="51">
        <f t="shared" ref="H965:H1028" si="31">(G965-G964)/G964</f>
        <v>-6.1844634029486708E-4</v>
      </c>
    </row>
    <row r="966" spans="2:8">
      <c r="B966" s="46">
        <v>45707</v>
      </c>
      <c r="C966" s="60">
        <v>4696.056640625</v>
      </c>
      <c r="D966" s="58">
        <f t="shared" si="30"/>
        <v>4.1400641123690227E-3</v>
      </c>
      <c r="F966" s="46">
        <v>45707</v>
      </c>
      <c r="G966" s="60">
        <v>22932.900390625</v>
      </c>
      <c r="H966" s="53">
        <f t="shared" si="31"/>
        <v>-5.4043269004052947E-4</v>
      </c>
    </row>
    <row r="967" spans="2:8">
      <c r="B967" s="46">
        <v>45708</v>
      </c>
      <c r="C967" s="60">
        <v>4674.5654296875</v>
      </c>
      <c r="D967" s="58">
        <f t="shared" si="30"/>
        <v>-4.5764377609039501E-3</v>
      </c>
      <c r="F967" s="46">
        <v>45708</v>
      </c>
      <c r="G967" s="60">
        <v>22913.150390625</v>
      </c>
      <c r="H967" s="51">
        <f t="shared" si="31"/>
        <v>-8.6120811862392364E-4</v>
      </c>
    </row>
    <row r="968" spans="2:8">
      <c r="B968" s="46">
        <v>45709</v>
      </c>
      <c r="C968" s="60">
        <v>4556.95849609375</v>
      </c>
      <c r="D968" s="58">
        <f t="shared" si="30"/>
        <v>-2.5158902011905768E-2</v>
      </c>
      <c r="F968" s="46">
        <v>45709</v>
      </c>
      <c r="G968" s="60">
        <v>22795.900390625</v>
      </c>
      <c r="H968" s="53">
        <f t="shared" si="31"/>
        <v>-5.1171487988824647E-3</v>
      </c>
    </row>
    <row r="969" spans="2:8">
      <c r="B969" s="46">
        <v>45712</v>
      </c>
      <c r="C969" s="60">
        <v>4564.68310546875</v>
      </c>
      <c r="D969" s="58">
        <f t="shared" si="30"/>
        <v>1.6951239256669942E-3</v>
      </c>
      <c r="F969" s="46">
        <v>45712</v>
      </c>
      <c r="G969" s="60">
        <v>22553.349609375</v>
      </c>
      <c r="H969" s="51">
        <f t="shared" si="31"/>
        <v>-1.0640105330068515E-2</v>
      </c>
    </row>
    <row r="970" spans="2:8">
      <c r="B970" s="46">
        <v>45713</v>
      </c>
      <c r="C970" s="60">
        <v>4519.7705078125</v>
      </c>
      <c r="D970" s="58">
        <f t="shared" si="30"/>
        <v>-9.8391490972160045E-3</v>
      </c>
      <c r="F970" s="46">
        <v>45713</v>
      </c>
      <c r="G970" s="60">
        <v>22547.55078125</v>
      </c>
      <c r="H970" s="53">
        <f t="shared" si="31"/>
        <v>-2.5711604818955748E-4</v>
      </c>
    </row>
    <row r="971" spans="2:8">
      <c r="B971" s="46">
        <v>45715</v>
      </c>
      <c r="C971" s="60">
        <v>4568.1005859375</v>
      </c>
      <c r="D971" s="58">
        <f t="shared" si="30"/>
        <v>1.069303807382712E-2</v>
      </c>
      <c r="F971" s="46">
        <v>45715</v>
      </c>
      <c r="G971" s="60">
        <v>22545.05078125</v>
      </c>
      <c r="H971" s="51">
        <f t="shared" si="31"/>
        <v>-1.1087678764998901E-4</v>
      </c>
    </row>
    <row r="972" spans="2:8">
      <c r="B972" s="46">
        <v>45716</v>
      </c>
      <c r="C972" s="60">
        <v>4601.47607421875</v>
      </c>
      <c r="D972" s="58">
        <f t="shared" si="30"/>
        <v>7.3062069569994883E-3</v>
      </c>
      <c r="F972" s="46">
        <v>45716</v>
      </c>
      <c r="G972" s="60">
        <v>22124.69921875</v>
      </c>
      <c r="H972" s="53">
        <f t="shared" si="31"/>
        <v>-1.8644959666695139E-2</v>
      </c>
    </row>
    <row r="973" spans="2:8">
      <c r="B973" s="46">
        <v>45719</v>
      </c>
      <c r="C973" s="60">
        <v>4556.0673828125</v>
      </c>
      <c r="D973" s="58">
        <f t="shared" si="30"/>
        <v>-9.8682880610130308E-3</v>
      </c>
      <c r="F973" s="46">
        <v>45719</v>
      </c>
      <c r="G973" s="60">
        <v>22119.30078125</v>
      </c>
      <c r="H973" s="51">
        <f t="shared" si="31"/>
        <v>-2.4400049223833022E-4</v>
      </c>
    </row>
    <row r="974" spans="2:8">
      <c r="B974" s="46">
        <v>45720</v>
      </c>
      <c r="C974" s="60">
        <v>4570.2294921875</v>
      </c>
      <c r="D974" s="58">
        <f t="shared" si="30"/>
        <v>3.1084064797693152E-3</v>
      </c>
      <c r="F974" s="46">
        <v>45720</v>
      </c>
      <c r="G974" s="60">
        <v>22082.650390625</v>
      </c>
      <c r="H974" s="53">
        <f t="shared" si="31"/>
        <v>-1.6569416451024373E-3</v>
      </c>
    </row>
    <row r="975" spans="2:8">
      <c r="B975" s="46">
        <v>45721</v>
      </c>
      <c r="C975" s="60">
        <v>4651.29150390625</v>
      </c>
      <c r="D975" s="58">
        <f t="shared" si="30"/>
        <v>1.7736967444921543E-2</v>
      </c>
      <c r="F975" s="46">
        <v>45721</v>
      </c>
      <c r="G975" s="60">
        <v>22337.30078125</v>
      </c>
      <c r="H975" s="51">
        <f t="shared" si="31"/>
        <v>1.153169506922546E-2</v>
      </c>
    </row>
    <row r="976" spans="2:8">
      <c r="B976" s="46">
        <v>45722</v>
      </c>
      <c r="C976" s="60">
        <v>4700.513671875</v>
      </c>
      <c r="D976" s="58">
        <f t="shared" si="30"/>
        <v>1.0582473260902314E-2</v>
      </c>
      <c r="F976" s="46">
        <v>45722</v>
      </c>
      <c r="G976" s="60">
        <v>22544.69921875</v>
      </c>
      <c r="H976" s="53">
        <f t="shared" si="31"/>
        <v>9.2848477768670643E-3</v>
      </c>
    </row>
    <row r="977" spans="2:8">
      <c r="B977" s="46">
        <v>45723</v>
      </c>
      <c r="C977" s="60">
        <v>4692.44140625</v>
      </c>
      <c r="D977" s="58">
        <f t="shared" si="30"/>
        <v>-1.7173156357994451E-3</v>
      </c>
      <c r="F977" s="46">
        <v>45723</v>
      </c>
      <c r="G977" s="60">
        <v>22552.5</v>
      </c>
      <c r="H977" s="51">
        <f t="shared" si="31"/>
        <v>3.4601398645018238E-4</v>
      </c>
    </row>
    <row r="978" spans="2:8">
      <c r="B978" s="46">
        <v>45726</v>
      </c>
      <c r="C978" s="60">
        <v>4587.90771484375</v>
      </c>
      <c r="D978" s="58">
        <f t="shared" si="30"/>
        <v>-2.2277037123365786E-2</v>
      </c>
      <c r="F978" s="46">
        <v>45726</v>
      </c>
      <c r="G978" s="60">
        <v>22460.30078125</v>
      </c>
      <c r="H978" s="53">
        <f t="shared" si="31"/>
        <v>-4.0882039130916746E-3</v>
      </c>
    </row>
    <row r="979" spans="2:8">
      <c r="B979" s="46">
        <v>45727</v>
      </c>
      <c r="C979" s="60">
        <v>4731.759765625</v>
      </c>
      <c r="D979" s="58">
        <f t="shared" si="30"/>
        <v>3.1354608619486836E-2</v>
      </c>
      <c r="F979" s="46">
        <v>45727</v>
      </c>
      <c r="G979" s="60">
        <v>22497.900390625</v>
      </c>
      <c r="H979" s="51">
        <f t="shared" si="31"/>
        <v>1.6740474556061328E-3</v>
      </c>
    </row>
    <row r="980" spans="2:8">
      <c r="B980" s="46">
        <v>45728</v>
      </c>
      <c r="C980" s="60">
        <v>4703.68212890625</v>
      </c>
      <c r="D980" s="58">
        <f t="shared" si="30"/>
        <v>-5.9338677594595367E-3</v>
      </c>
      <c r="F980" s="46">
        <v>45728</v>
      </c>
      <c r="G980" s="60">
        <v>22470.5</v>
      </c>
      <c r="H980" s="53">
        <f t="shared" si="31"/>
        <v>-1.217908789231634E-3</v>
      </c>
    </row>
    <row r="981" spans="2:8">
      <c r="B981" s="46">
        <v>45729</v>
      </c>
      <c r="C981" s="60">
        <v>4661.64111328125</v>
      </c>
      <c r="D981" s="58">
        <f t="shared" si="30"/>
        <v>-8.9378947116002978E-3</v>
      </c>
      <c r="F981" s="46">
        <v>45729</v>
      </c>
      <c r="G981" s="60">
        <v>22397.19921875</v>
      </c>
      <c r="H981" s="51">
        <f t="shared" si="31"/>
        <v>-3.2620894617387242E-3</v>
      </c>
    </row>
    <row r="982" spans="2:8">
      <c r="B982" s="46">
        <v>45733</v>
      </c>
      <c r="C982" s="60">
        <v>4771.7705078125</v>
      </c>
      <c r="D982" s="58">
        <f t="shared" si="30"/>
        <v>2.3624597401435691E-2</v>
      </c>
      <c r="F982" s="46">
        <v>45733</v>
      </c>
      <c r="G982" s="60">
        <v>22508.75</v>
      </c>
      <c r="H982" s="53">
        <f t="shared" si="31"/>
        <v>4.9805683362683286E-3</v>
      </c>
    </row>
    <row r="983" spans="2:8">
      <c r="B983" s="46">
        <v>45734</v>
      </c>
      <c r="C983" s="60">
        <v>4771.7705078125</v>
      </c>
      <c r="D983" s="58">
        <f t="shared" si="30"/>
        <v>0</v>
      </c>
      <c r="F983" s="46">
        <v>45734</v>
      </c>
      <c r="G983" s="60">
        <v>22834.30078125</v>
      </c>
      <c r="H983" s="51">
        <f t="shared" si="31"/>
        <v>1.4463298994835342E-2</v>
      </c>
    </row>
    <row r="984" spans="2:8">
      <c r="B984" s="46">
        <v>45735</v>
      </c>
      <c r="C984" s="60">
        <v>4805.0966796875</v>
      </c>
      <c r="D984" s="58">
        <f t="shared" si="30"/>
        <v>6.9840265411836742E-3</v>
      </c>
      <c r="F984" s="46">
        <v>45735</v>
      </c>
      <c r="G984" s="60">
        <v>22907.599609375</v>
      </c>
      <c r="H984" s="53">
        <f t="shared" si="31"/>
        <v>3.2100316461272198E-3</v>
      </c>
    </row>
    <row r="985" spans="2:8">
      <c r="B985" s="46">
        <v>45736</v>
      </c>
      <c r="C985" s="60">
        <v>4858.9736328125</v>
      </c>
      <c r="D985" s="58">
        <f t="shared" si="30"/>
        <v>1.1212459751903242E-2</v>
      </c>
      <c r="F985" s="46">
        <v>45736</v>
      </c>
      <c r="G985" s="60">
        <v>23190.650390625</v>
      </c>
      <c r="H985" s="51">
        <f t="shared" si="31"/>
        <v>1.2356195589090036E-2</v>
      </c>
    </row>
    <row r="986" spans="2:8">
      <c r="B986" s="46">
        <v>45737</v>
      </c>
      <c r="C986" s="60">
        <v>4931.072265625</v>
      </c>
      <c r="D986" s="58">
        <f t="shared" si="30"/>
        <v>1.4838243271299137E-2</v>
      </c>
      <c r="F986" s="46">
        <v>45737</v>
      </c>
      <c r="G986" s="60">
        <v>23350.400390625</v>
      </c>
      <c r="H986" s="53">
        <f t="shared" si="31"/>
        <v>6.8885519512889631E-3</v>
      </c>
    </row>
    <row r="987" spans="2:8">
      <c r="B987" s="46">
        <v>45740</v>
      </c>
      <c r="C987" s="60">
        <v>5003.91455078125</v>
      </c>
      <c r="D987" s="58">
        <f t="shared" si="30"/>
        <v>1.4772098487390032E-2</v>
      </c>
      <c r="F987" s="46">
        <v>45740</v>
      </c>
      <c r="G987" s="60">
        <v>23658.349609375</v>
      </c>
      <c r="H987" s="51">
        <f t="shared" si="31"/>
        <v>1.3188177230298765E-2</v>
      </c>
    </row>
    <row r="988" spans="2:8">
      <c r="B988" s="46">
        <v>45741</v>
      </c>
      <c r="C988" s="60">
        <v>4984.7509765625</v>
      </c>
      <c r="D988" s="58">
        <f t="shared" si="30"/>
        <v>-3.8297165197910973E-3</v>
      </c>
      <c r="F988" s="46">
        <v>45741</v>
      </c>
      <c r="G988" s="60">
        <v>23668.650390625</v>
      </c>
      <c r="H988" s="53">
        <f t="shared" si="31"/>
        <v>4.3539728764165997E-4</v>
      </c>
    </row>
    <row r="989" spans="2:8">
      <c r="B989" s="46">
        <v>45742</v>
      </c>
      <c r="C989" s="60">
        <v>4955.03955078125</v>
      </c>
      <c r="D989" s="58">
        <f t="shared" si="30"/>
        <v>-5.9604634054837161E-3</v>
      </c>
      <c r="F989" s="46">
        <v>45742</v>
      </c>
      <c r="G989" s="60">
        <v>23486.849609375</v>
      </c>
      <c r="H989" s="51">
        <f t="shared" si="31"/>
        <v>-7.6810793285454976E-3</v>
      </c>
    </row>
    <row r="990" spans="2:8">
      <c r="B990" s="46">
        <v>45743</v>
      </c>
      <c r="C990" s="60">
        <v>4912.4033203125</v>
      </c>
      <c r="D990" s="58">
        <f t="shared" si="30"/>
        <v>-8.6046196063213343E-3</v>
      </c>
      <c r="F990" s="46">
        <v>45743</v>
      </c>
      <c r="G990" s="60">
        <v>23591.94921875</v>
      </c>
      <c r="H990" s="53">
        <f t="shared" si="31"/>
        <v>4.4748278770026483E-3</v>
      </c>
    </row>
    <row r="991" spans="2:8">
      <c r="B991" s="46">
        <v>45744</v>
      </c>
      <c r="C991" s="60">
        <v>4834.708984375</v>
      </c>
      <c r="D991" s="58">
        <f t="shared" si="30"/>
        <v>-1.5815952166679487E-2</v>
      </c>
      <c r="F991" s="46">
        <v>45744</v>
      </c>
      <c r="G991" s="60">
        <v>23519.349609375</v>
      </c>
      <c r="H991" s="51">
        <f t="shared" si="31"/>
        <v>-3.0773044101544836E-3</v>
      </c>
    </row>
    <row r="992" spans="2:8">
      <c r="B992" s="46">
        <v>45748</v>
      </c>
      <c r="C992" s="60">
        <v>4789.0029296875</v>
      </c>
      <c r="D992" s="58">
        <f t="shared" si="30"/>
        <v>-9.4537344099126959E-3</v>
      </c>
      <c r="F992" s="46">
        <v>45748</v>
      </c>
      <c r="G992" s="60">
        <v>23165.69921875</v>
      </c>
      <c r="H992" s="53">
        <f t="shared" si="31"/>
        <v>-1.5036571865236959E-2</v>
      </c>
    </row>
    <row r="993" spans="2:8">
      <c r="B993" s="46">
        <v>45749</v>
      </c>
      <c r="C993" s="60">
        <v>4840.6513671875</v>
      </c>
      <c r="D993" s="58">
        <f t="shared" si="30"/>
        <v>1.0784799729360419E-2</v>
      </c>
      <c r="F993" s="46">
        <v>45749</v>
      </c>
      <c r="G993" s="60">
        <v>23332.349609375</v>
      </c>
      <c r="H993" s="51">
        <f t="shared" si="31"/>
        <v>7.1938424586863083E-3</v>
      </c>
    </row>
    <row r="994" spans="2:8">
      <c r="B994" s="46">
        <v>45750</v>
      </c>
      <c r="C994" s="60">
        <v>4923.69384765625</v>
      </c>
      <c r="D994" s="58">
        <f t="shared" si="30"/>
        <v>1.7155228536319705E-2</v>
      </c>
      <c r="F994" s="46">
        <v>45750</v>
      </c>
      <c r="G994" s="60">
        <v>23250.099609375</v>
      </c>
      <c r="H994" s="53">
        <f t="shared" si="31"/>
        <v>-3.5251486188494162E-3</v>
      </c>
    </row>
    <row r="995" spans="2:8">
      <c r="B995" s="46">
        <v>45751</v>
      </c>
      <c r="C995" s="60">
        <v>4782.21923828125</v>
      </c>
      <c r="D995" s="58">
        <f t="shared" si="30"/>
        <v>-2.8733429362661121E-2</v>
      </c>
      <c r="F995" s="46">
        <v>45751</v>
      </c>
      <c r="G995" s="60">
        <v>22904.44921875</v>
      </c>
      <c r="H995" s="51">
        <f t="shared" si="31"/>
        <v>-1.4866619775066488E-2</v>
      </c>
    </row>
    <row r="996" spans="2:8">
      <c r="B996" s="46">
        <v>45754</v>
      </c>
      <c r="C996" s="60">
        <v>4655.25341796875</v>
      </c>
      <c r="D996" s="58">
        <f t="shared" si="30"/>
        <v>-2.6549560776333636E-2</v>
      </c>
      <c r="F996" s="46">
        <v>45754</v>
      </c>
      <c r="G996" s="60">
        <v>22161.599609375</v>
      </c>
      <c r="H996" s="53">
        <f t="shared" si="31"/>
        <v>-3.2432546283055336E-2</v>
      </c>
    </row>
    <row r="997" spans="2:8">
      <c r="B997" s="46">
        <v>45755</v>
      </c>
      <c r="C997" s="60">
        <v>4790.587890625</v>
      </c>
      <c r="D997" s="58">
        <f t="shared" si="30"/>
        <v>2.9071343814253869E-2</v>
      </c>
      <c r="F997" s="46">
        <v>45755</v>
      </c>
      <c r="G997" s="60">
        <v>22535.849609375</v>
      </c>
      <c r="H997" s="51">
        <f t="shared" si="31"/>
        <v>1.688731890281428E-2</v>
      </c>
    </row>
    <row r="998" spans="2:8">
      <c r="B998" s="46">
        <v>45756</v>
      </c>
      <c r="C998" s="60">
        <v>4792.271484375</v>
      </c>
      <c r="D998" s="58">
        <f t="shared" si="30"/>
        <v>3.5143781691068218E-4</v>
      </c>
      <c r="F998" s="46">
        <v>45756</v>
      </c>
      <c r="G998" s="60">
        <v>22399.150390625</v>
      </c>
      <c r="H998" s="53">
        <f t="shared" si="31"/>
        <v>-6.0658560080704745E-3</v>
      </c>
    </row>
    <row r="999" spans="2:8">
      <c r="B999" s="46">
        <v>45758</v>
      </c>
      <c r="C999" s="60">
        <v>4840.40380859375</v>
      </c>
      <c r="D999" s="58">
        <f t="shared" si="30"/>
        <v>1.0043739044351603E-2</v>
      </c>
      <c r="F999" s="46">
        <v>45758</v>
      </c>
      <c r="G999" s="60">
        <v>22828.55078125</v>
      </c>
      <c r="H999" s="51">
        <f t="shared" si="31"/>
        <v>1.9170387409190411E-2</v>
      </c>
    </row>
    <row r="1000" spans="2:8">
      <c r="B1000" s="46">
        <v>45762</v>
      </c>
      <c r="C1000" s="60">
        <v>4873.4326171875</v>
      </c>
      <c r="D1000" s="58">
        <f t="shared" si="30"/>
        <v>6.8235647065457618E-3</v>
      </c>
      <c r="F1000" s="46">
        <v>45762</v>
      </c>
      <c r="G1000" s="60">
        <v>23328.55078125</v>
      </c>
      <c r="H1000" s="53">
        <f t="shared" si="31"/>
        <v>2.1902397782108445E-2</v>
      </c>
    </row>
    <row r="1001" spans="2:8">
      <c r="B1001" s="46">
        <v>45763</v>
      </c>
      <c r="C1001" s="60">
        <v>4909.87841796875</v>
      </c>
      <c r="D1001" s="58">
        <f t="shared" si="30"/>
        <v>7.4784661334423427E-3</v>
      </c>
      <c r="F1001" s="46">
        <v>45763</v>
      </c>
      <c r="G1001" s="60">
        <v>23437.19921875</v>
      </c>
      <c r="H1001" s="51">
        <f t="shared" si="31"/>
        <v>4.657316201027141E-3</v>
      </c>
    </row>
    <row r="1002" spans="2:8">
      <c r="B1002" s="46">
        <v>45764</v>
      </c>
      <c r="C1002" s="60">
        <v>4905.619140625</v>
      </c>
      <c r="D1002" s="58">
        <f t="shared" si="30"/>
        <v>-8.6749140837424075E-4</v>
      </c>
      <c r="F1002" s="46">
        <v>45764</v>
      </c>
      <c r="G1002" s="60">
        <v>23851.650390625</v>
      </c>
      <c r="H1002" s="53">
        <f t="shared" si="31"/>
        <v>1.7683476937954037E-2</v>
      </c>
    </row>
    <row r="1003" spans="2:8">
      <c r="B1003" s="46">
        <v>45768</v>
      </c>
      <c r="C1003" s="60">
        <v>4952.26611328125</v>
      </c>
      <c r="D1003" s="58">
        <f t="shared" si="30"/>
        <v>9.5088858957580926E-3</v>
      </c>
      <c r="F1003" s="46">
        <v>45768</v>
      </c>
      <c r="G1003" s="60">
        <v>24125.55078125</v>
      </c>
      <c r="H1003" s="51">
        <f t="shared" si="31"/>
        <v>1.1483498464016469E-2</v>
      </c>
    </row>
    <row r="1004" spans="2:8">
      <c r="B1004" s="46">
        <v>45769</v>
      </c>
      <c r="C1004" s="60">
        <v>4965.33935546875</v>
      </c>
      <c r="D1004" s="58">
        <f t="shared" si="30"/>
        <v>2.6398505024678473E-3</v>
      </c>
      <c r="F1004" s="46">
        <v>45769</v>
      </c>
      <c r="G1004" s="60">
        <v>24167.25</v>
      </c>
      <c r="H1004" s="53">
        <f t="shared" si="31"/>
        <v>1.728425565413743E-3</v>
      </c>
    </row>
    <row r="1005" spans="2:8">
      <c r="B1005" s="46">
        <v>45770</v>
      </c>
      <c r="C1005" s="60">
        <v>5182.62744140625</v>
      </c>
      <c r="D1005" s="58">
        <f t="shared" si="30"/>
        <v>4.3760973899635312E-2</v>
      </c>
      <c r="F1005" s="46">
        <v>45770</v>
      </c>
      <c r="G1005" s="60">
        <v>24328.94921875</v>
      </c>
      <c r="H1005" s="51">
        <f t="shared" si="31"/>
        <v>6.6908406521221904E-3</v>
      </c>
    </row>
    <row r="1006" spans="2:8">
      <c r="B1006" s="46">
        <v>45771</v>
      </c>
      <c r="C1006" s="60">
        <v>5151.1337890625</v>
      </c>
      <c r="D1006" s="58">
        <f t="shared" si="30"/>
        <v>-6.0767733547917417E-3</v>
      </c>
      <c r="F1006" s="46">
        <v>45771</v>
      </c>
      <c r="G1006" s="60">
        <v>24246.69921875</v>
      </c>
      <c r="H1006" s="53">
        <f t="shared" si="31"/>
        <v>-3.3807460922566689E-3</v>
      </c>
    </row>
    <row r="1007" spans="2:8">
      <c r="B1007" s="46">
        <v>45772</v>
      </c>
      <c r="C1007" s="60">
        <v>4985.0478515625</v>
      </c>
      <c r="D1007" s="58">
        <f t="shared" si="30"/>
        <v>-3.2242598290235333E-2</v>
      </c>
      <c r="F1007" s="46">
        <v>45772</v>
      </c>
      <c r="G1007" s="60">
        <v>24039.349609375</v>
      </c>
      <c r="H1007" s="51">
        <f t="shared" si="31"/>
        <v>-8.5516633626838701E-3</v>
      </c>
    </row>
    <row r="1008" spans="2:8">
      <c r="B1008" s="46">
        <v>45775</v>
      </c>
      <c r="C1008" s="60">
        <v>4977.421875</v>
      </c>
      <c r="D1008" s="58">
        <f t="shared" si="30"/>
        <v>-1.5297699820694267E-3</v>
      </c>
      <c r="F1008" s="46">
        <v>45775</v>
      </c>
      <c r="G1008" s="60">
        <v>24328.5</v>
      </c>
      <c r="H1008" s="53">
        <f t="shared" si="31"/>
        <v>1.2028211882747256E-2</v>
      </c>
    </row>
    <row r="1009" spans="2:8">
      <c r="B1009" s="46">
        <v>45776</v>
      </c>
      <c r="C1009" s="60">
        <v>4982.37353515625</v>
      </c>
      <c r="D1009" s="58">
        <f t="shared" si="30"/>
        <v>9.9482428466041964E-4</v>
      </c>
      <c r="F1009" s="46">
        <v>45776</v>
      </c>
      <c r="G1009" s="60">
        <v>24335.94921875</v>
      </c>
      <c r="H1009" s="51">
        <f t="shared" si="31"/>
        <v>3.0619309657397702E-4</v>
      </c>
    </row>
    <row r="1010" spans="2:8">
      <c r="B1010" s="46">
        <v>45777</v>
      </c>
      <c r="C1010" s="60">
        <v>5066.75341796875</v>
      </c>
      <c r="D1010" s="58">
        <f t="shared" si="30"/>
        <v>1.6935679795403738E-2</v>
      </c>
      <c r="F1010" s="46">
        <v>45777</v>
      </c>
      <c r="G1010" s="60">
        <v>24334.19921875</v>
      </c>
      <c r="H1010" s="53">
        <f t="shared" si="31"/>
        <v>-7.1910077731904783E-5</v>
      </c>
    </row>
    <row r="1011" spans="2:8">
      <c r="B1011" s="46">
        <v>45779</v>
      </c>
      <c r="C1011" s="60">
        <v>5022.68212890625</v>
      </c>
      <c r="D1011" s="58">
        <f t="shared" si="30"/>
        <v>-8.6981318068894854E-3</v>
      </c>
      <c r="F1011" s="46">
        <v>45779</v>
      </c>
      <c r="G1011" s="60">
        <v>24346.69921875</v>
      </c>
      <c r="H1011" s="51">
        <f t="shared" si="31"/>
        <v>5.1368035116473008E-4</v>
      </c>
    </row>
    <row r="1012" spans="2:8">
      <c r="B1012" s="46">
        <v>45782</v>
      </c>
      <c r="C1012" s="60">
        <v>5036.54736328125</v>
      </c>
      <c r="D1012" s="58">
        <f t="shared" si="30"/>
        <v>2.7605239629248293E-3</v>
      </c>
      <c r="F1012" s="46">
        <v>45782</v>
      </c>
      <c r="G1012" s="60">
        <v>24461.150390625</v>
      </c>
      <c r="H1012" s="53">
        <f t="shared" si="31"/>
        <v>4.700890697612853E-3</v>
      </c>
    </row>
    <row r="1013" spans="2:8">
      <c r="B1013" s="46">
        <v>45783</v>
      </c>
      <c r="C1013" s="60">
        <v>4975.14404296875</v>
      </c>
      <c r="D1013" s="58">
        <f t="shared" si="30"/>
        <v>-1.2191550259242767E-2</v>
      </c>
      <c r="F1013" s="46">
        <v>45783</v>
      </c>
      <c r="G1013" s="60">
        <v>24379.599609375</v>
      </c>
      <c r="H1013" s="51">
        <f t="shared" si="31"/>
        <v>-3.3338898599493184E-3</v>
      </c>
    </row>
    <row r="1014" spans="2:8">
      <c r="B1014" s="46">
        <v>45784</v>
      </c>
      <c r="C1014" s="60">
        <v>4984.55224609375</v>
      </c>
      <c r="D1014" s="58">
        <f t="shared" si="30"/>
        <v>1.8910413535255094E-3</v>
      </c>
      <c r="F1014" s="46">
        <v>45784</v>
      </c>
      <c r="G1014" s="60">
        <v>24414.400390625</v>
      </c>
      <c r="H1014" s="53">
        <f t="shared" si="31"/>
        <v>1.4274549954716078E-3</v>
      </c>
    </row>
    <row r="1015" spans="2:8">
      <c r="B1015" s="46">
        <v>45785</v>
      </c>
      <c r="C1015" s="60">
        <v>4891.95263671875</v>
      </c>
      <c r="D1015" s="58">
        <f t="shared" si="30"/>
        <v>-1.8577317440612171E-2</v>
      </c>
      <c r="F1015" s="46">
        <v>45785</v>
      </c>
      <c r="G1015" s="60">
        <v>24273.80078125</v>
      </c>
      <c r="H1015" s="51">
        <f t="shared" si="31"/>
        <v>-5.7588802970966885E-3</v>
      </c>
    </row>
    <row r="1016" spans="2:8">
      <c r="B1016" s="46">
        <v>45786</v>
      </c>
      <c r="C1016" s="60">
        <v>4898.88525390625</v>
      </c>
      <c r="D1016" s="58">
        <f t="shared" si="30"/>
        <v>1.4171472420775549E-3</v>
      </c>
      <c r="F1016" s="46">
        <v>45786</v>
      </c>
      <c r="G1016" s="60">
        <v>24008</v>
      </c>
      <c r="H1016" s="53">
        <f t="shared" si="31"/>
        <v>-1.0950109694206379E-2</v>
      </c>
    </row>
    <row r="1017" spans="2:8">
      <c r="B1017" s="46">
        <v>45789</v>
      </c>
      <c r="C1017" s="60">
        <v>4972.1728515625</v>
      </c>
      <c r="D1017" s="58">
        <f t="shared" si="30"/>
        <v>1.4960055983718395E-2</v>
      </c>
      <c r="F1017" s="46">
        <v>45789</v>
      </c>
      <c r="G1017" s="60">
        <v>24924.69921875</v>
      </c>
      <c r="H1017" s="51">
        <f t="shared" si="31"/>
        <v>3.8183073090219927E-2</v>
      </c>
    </row>
    <row r="1018" spans="2:8">
      <c r="B1018" s="46">
        <v>45790</v>
      </c>
      <c r="C1018" s="60">
        <v>5077.15234375</v>
      </c>
      <c r="D1018" s="58">
        <f t="shared" si="30"/>
        <v>2.1113403600703524E-2</v>
      </c>
      <c r="F1018" s="46">
        <v>45790</v>
      </c>
      <c r="G1018" s="60">
        <v>24578.349609375</v>
      </c>
      <c r="H1018" s="53">
        <f t="shared" si="31"/>
        <v>-1.389583907654352E-2</v>
      </c>
    </row>
    <row r="1019" spans="2:8">
      <c r="B1019" s="46">
        <v>45791</v>
      </c>
      <c r="C1019" s="60">
        <v>5077.6474609375</v>
      </c>
      <c r="D1019" s="58">
        <f t="shared" si="30"/>
        <v>9.7518678577666033E-5</v>
      </c>
      <c r="F1019" s="46">
        <v>45791</v>
      </c>
      <c r="G1019" s="60">
        <v>24666.900390625</v>
      </c>
      <c r="H1019" s="51">
        <f t="shared" si="31"/>
        <v>3.6027960647212775E-3</v>
      </c>
    </row>
    <row r="1020" spans="2:8">
      <c r="B1020" s="46">
        <v>45792</v>
      </c>
      <c r="C1020" s="60">
        <v>5226.2041015625</v>
      </c>
      <c r="D1020" s="58">
        <f t="shared" si="30"/>
        <v>2.9256982050812085E-2</v>
      </c>
      <c r="F1020" s="46">
        <v>45792</v>
      </c>
      <c r="G1020" s="60">
        <v>25062.099609375</v>
      </c>
      <c r="H1020" s="53">
        <f t="shared" si="31"/>
        <v>1.6021438141461865E-2</v>
      </c>
    </row>
    <row r="1021" spans="2:8">
      <c r="B1021" s="46">
        <v>45793</v>
      </c>
      <c r="C1021" s="60">
        <v>5170.74267578125</v>
      </c>
      <c r="D1021" s="58">
        <f t="shared" si="30"/>
        <v>-1.0612181365949422E-2</v>
      </c>
      <c r="F1021" s="46">
        <v>45793</v>
      </c>
      <c r="G1021" s="60">
        <v>25019.80078125</v>
      </c>
      <c r="H1021" s="51">
        <f t="shared" si="31"/>
        <v>-1.6877607536591724E-3</v>
      </c>
    </row>
    <row r="1022" spans="2:8">
      <c r="B1022" s="46">
        <v>45796</v>
      </c>
      <c r="C1022" s="60">
        <v>5272.75146484375</v>
      </c>
      <c r="D1022" s="58">
        <f t="shared" si="30"/>
        <v>1.972807301749694E-2</v>
      </c>
      <c r="F1022" s="46">
        <v>45796</v>
      </c>
      <c r="G1022" s="60">
        <v>24945.44921875</v>
      </c>
      <c r="H1022" s="53">
        <f t="shared" si="31"/>
        <v>-2.9717088137536066E-3</v>
      </c>
    </row>
    <row r="1023" spans="2:8">
      <c r="B1023" s="46">
        <v>45797</v>
      </c>
      <c r="C1023" s="60">
        <v>5208.376953125</v>
      </c>
      <c r="D1023" s="58">
        <f t="shared" si="30"/>
        <v>-1.2208903102672154E-2</v>
      </c>
      <c r="F1023" s="46">
        <v>45797</v>
      </c>
      <c r="G1023" s="60">
        <v>24683.900390625</v>
      </c>
      <c r="H1023" s="51">
        <f t="shared" si="31"/>
        <v>-1.0484831354666864E-2</v>
      </c>
    </row>
    <row r="1024" spans="2:8">
      <c r="B1024" s="46">
        <v>45798</v>
      </c>
      <c r="C1024" s="60">
        <v>5322.2705078125</v>
      </c>
      <c r="D1024" s="58">
        <f t="shared" si="30"/>
        <v>2.1867379360697853E-2</v>
      </c>
      <c r="F1024" s="46">
        <v>45798</v>
      </c>
      <c r="G1024" s="60">
        <v>24813.44921875</v>
      </c>
      <c r="H1024" s="53">
        <f t="shared" si="31"/>
        <v>5.2483127088862724E-3</v>
      </c>
    </row>
    <row r="1025" spans="2:8">
      <c r="B1025" s="46">
        <v>45799</v>
      </c>
      <c r="C1025" s="60">
        <v>5247.9921875</v>
      </c>
      <c r="D1025" s="58">
        <f t="shared" si="30"/>
        <v>-1.3956133985198179E-2</v>
      </c>
      <c r="F1025" s="46">
        <v>45799</v>
      </c>
      <c r="G1025" s="60">
        <v>24609.69921875</v>
      </c>
      <c r="H1025" s="51">
        <f t="shared" si="31"/>
        <v>-8.2112727740421762E-3</v>
      </c>
    </row>
    <row r="1026" spans="2:8">
      <c r="B1026" s="46">
        <v>45800</v>
      </c>
      <c r="C1026" s="60">
        <v>5237.09814453125</v>
      </c>
      <c r="D1026" s="58">
        <f t="shared" si="30"/>
        <v>-2.0758496925163345E-3</v>
      </c>
      <c r="F1026" s="46">
        <v>45800</v>
      </c>
      <c r="G1026" s="60">
        <v>24853.150390625</v>
      </c>
      <c r="H1026" s="53">
        <f t="shared" si="31"/>
        <v>9.8924887180057795E-3</v>
      </c>
    </row>
    <row r="1027" spans="2:8">
      <c r="B1027" s="46">
        <v>45803</v>
      </c>
      <c r="C1027" s="60">
        <v>5198.47314453125</v>
      </c>
      <c r="D1027" s="58">
        <f t="shared" si="30"/>
        <v>-7.3752675497085144E-3</v>
      </c>
      <c r="F1027" s="46">
        <v>45803</v>
      </c>
      <c r="G1027" s="60">
        <v>25001.150390625</v>
      </c>
      <c r="H1027" s="51">
        <f t="shared" si="31"/>
        <v>5.9549794562796321E-3</v>
      </c>
    </row>
    <row r="1028" spans="2:8">
      <c r="B1028" s="46">
        <v>45804</v>
      </c>
      <c r="C1028" s="60">
        <v>5215.3095703125</v>
      </c>
      <c r="D1028" s="58">
        <f t="shared" si="30"/>
        <v>3.2387251627839569E-3</v>
      </c>
      <c r="F1028" s="46">
        <v>45804</v>
      </c>
      <c r="G1028" s="60">
        <v>24826.19921875</v>
      </c>
      <c r="H1028" s="53">
        <f t="shared" si="31"/>
        <v>-6.9977248703165145E-3</v>
      </c>
    </row>
    <row r="1029" spans="2:8">
      <c r="B1029" s="46">
        <v>45805</v>
      </c>
      <c r="C1029" s="60">
        <v>5213.82421875</v>
      </c>
      <c r="D1029" s="58">
        <f t="shared" ref="D1029:D1092" si="32">(C1029-C1028)/C1028</f>
        <v>-2.8480602013640353E-4</v>
      </c>
      <c r="F1029" s="46">
        <v>45805</v>
      </c>
      <c r="G1029" s="60">
        <v>24752.44921875</v>
      </c>
      <c r="H1029" s="51">
        <f t="shared" ref="H1029:H1092" si="33">(G1029-G1028)/G1028</f>
        <v>-2.9706520659956788E-3</v>
      </c>
    </row>
    <row r="1030" spans="2:8">
      <c r="B1030" s="46">
        <v>45806</v>
      </c>
      <c r="C1030" s="60">
        <v>5243.53515625</v>
      </c>
      <c r="D1030" s="58">
        <f t="shared" si="32"/>
        <v>5.6984923644248049E-3</v>
      </c>
      <c r="F1030" s="46">
        <v>45806</v>
      </c>
      <c r="G1030" s="60">
        <v>24833.599609375</v>
      </c>
      <c r="H1030" s="53">
        <f t="shared" si="33"/>
        <v>3.2784792287758142E-3</v>
      </c>
    </row>
    <row r="1031" spans="2:8">
      <c r="B1031" s="46">
        <v>45807</v>
      </c>
      <c r="C1031" s="60">
        <v>5049.421875</v>
      </c>
      <c r="D1031" s="58">
        <f t="shared" si="32"/>
        <v>-3.7019544155936064E-2</v>
      </c>
      <c r="F1031" s="46">
        <v>45807</v>
      </c>
      <c r="G1031" s="60">
        <v>24750.69921875</v>
      </c>
      <c r="H1031" s="51">
        <f t="shared" si="33"/>
        <v>-3.3382349691143463E-3</v>
      </c>
    </row>
    <row r="1032" spans="2:8">
      <c r="B1032" s="46">
        <v>45810</v>
      </c>
      <c r="C1032" s="60">
        <v>5047.44140625</v>
      </c>
      <c r="D1032" s="58">
        <f t="shared" si="32"/>
        <v>-3.9221693077487213E-4</v>
      </c>
      <c r="F1032" s="46">
        <v>45810</v>
      </c>
      <c r="G1032" s="60">
        <v>24716.599609375</v>
      </c>
      <c r="H1032" s="53">
        <f t="shared" si="33"/>
        <v>-1.3777230725331466E-3</v>
      </c>
    </row>
    <row r="1033" spans="2:8">
      <c r="B1033" s="46">
        <v>45811</v>
      </c>
      <c r="C1033" s="60">
        <v>4948.40380859375</v>
      </c>
      <c r="D1033" s="58">
        <f t="shared" si="32"/>
        <v>-1.9621346675489208E-2</v>
      </c>
      <c r="F1033" s="46">
        <v>45811</v>
      </c>
      <c r="G1033" s="60">
        <v>24542.5</v>
      </c>
      <c r="H1033" s="51">
        <f t="shared" si="33"/>
        <v>-7.0438333802585072E-3</v>
      </c>
    </row>
    <row r="1034" spans="2:8">
      <c r="B1034" s="46">
        <v>45812</v>
      </c>
      <c r="C1034" s="60">
        <v>4821.63623046875</v>
      </c>
      <c r="D1034" s="58">
        <f t="shared" si="32"/>
        <v>-2.561787255616577E-2</v>
      </c>
      <c r="F1034" s="46">
        <v>45812</v>
      </c>
      <c r="G1034" s="60">
        <v>24620.19921875</v>
      </c>
      <c r="H1034" s="53">
        <f t="shared" si="33"/>
        <v>3.1659048079861465E-3</v>
      </c>
    </row>
    <row r="1035" spans="2:8">
      <c r="B1035" s="46">
        <v>45813</v>
      </c>
      <c r="C1035" s="60">
        <v>4796.876953125</v>
      </c>
      <c r="D1035" s="58">
        <f t="shared" si="32"/>
        <v>-5.1350363570133849E-3</v>
      </c>
      <c r="F1035" s="46">
        <v>45813</v>
      </c>
      <c r="G1035" s="60">
        <v>24750.900390625</v>
      </c>
      <c r="H1035" s="51">
        <f t="shared" si="33"/>
        <v>5.3086967621066988E-3</v>
      </c>
    </row>
    <row r="1036" spans="2:8">
      <c r="B1036" s="46">
        <v>45814</v>
      </c>
      <c r="C1036" s="60">
        <v>4815.69384765625</v>
      </c>
      <c r="D1036" s="58">
        <f t="shared" si="32"/>
        <v>3.9227386308067465E-3</v>
      </c>
      <c r="F1036" s="46">
        <v>45814</v>
      </c>
      <c r="G1036" s="60">
        <v>25003.05078125</v>
      </c>
      <c r="H1036" s="53">
        <f t="shared" si="33"/>
        <v>1.0187523954502602E-2</v>
      </c>
    </row>
    <row r="1037" spans="2:8">
      <c r="B1037" s="46">
        <v>45817</v>
      </c>
      <c r="C1037" s="60">
        <v>4826.587890625</v>
      </c>
      <c r="D1037" s="58">
        <f t="shared" si="32"/>
        <v>2.262195918881351E-3</v>
      </c>
      <c r="F1037" s="46">
        <v>45817</v>
      </c>
      <c r="G1037" s="60">
        <v>25103.19921875</v>
      </c>
      <c r="H1037" s="51">
        <f t="shared" si="33"/>
        <v>4.0054487100870968E-3</v>
      </c>
    </row>
    <row r="1038" spans="2:8">
      <c r="B1038" s="46">
        <v>45818</v>
      </c>
      <c r="C1038" s="60">
        <v>4911.2646484375</v>
      </c>
      <c r="D1038" s="58">
        <f t="shared" si="32"/>
        <v>1.7543813503732783E-2</v>
      </c>
      <c r="F1038" s="46">
        <v>45818</v>
      </c>
      <c r="G1038" s="60">
        <v>25104.25</v>
      </c>
      <c r="H1038" s="53">
        <f t="shared" si="33"/>
        <v>4.185845958690213E-5</v>
      </c>
    </row>
    <row r="1039" spans="2:8">
      <c r="B1039" s="46">
        <v>45819</v>
      </c>
      <c r="C1039" s="60">
        <v>4838.47216796875</v>
      </c>
      <c r="D1039" s="58">
        <f t="shared" si="32"/>
        <v>-1.482153491604421E-2</v>
      </c>
      <c r="F1039" s="46">
        <v>45819</v>
      </c>
      <c r="G1039" s="60">
        <v>25141.400390625</v>
      </c>
      <c r="H1039" s="51">
        <f t="shared" si="33"/>
        <v>1.4798446727147794E-3</v>
      </c>
    </row>
    <row r="1040" spans="2:8">
      <c r="B1040" s="46">
        <v>45820</v>
      </c>
      <c r="C1040" s="60">
        <v>4799.84814453125</v>
      </c>
      <c r="D1040" s="58">
        <f t="shared" si="32"/>
        <v>-7.9826900097091681E-3</v>
      </c>
      <c r="F1040" s="46">
        <v>45820</v>
      </c>
      <c r="G1040" s="60">
        <v>24888.19921875</v>
      </c>
      <c r="H1040" s="53">
        <f t="shared" si="33"/>
        <v>-1.0071084662786582E-2</v>
      </c>
    </row>
    <row r="1041" spans="2:8">
      <c r="B1041" s="46">
        <v>45821</v>
      </c>
      <c r="C1041" s="60">
        <v>4800.837890625</v>
      </c>
      <c r="D1041" s="58">
        <f t="shared" si="32"/>
        <v>2.0620362643715637E-4</v>
      </c>
      <c r="F1041" s="46">
        <v>45821</v>
      </c>
      <c r="G1041" s="60">
        <v>24718.599609375</v>
      </c>
      <c r="H1041" s="51">
        <f t="shared" si="33"/>
        <v>-6.814458847919736E-3</v>
      </c>
    </row>
    <row r="1042" spans="2:8">
      <c r="B1042" s="46">
        <v>45824</v>
      </c>
      <c r="C1042" s="60">
        <v>4821.140625</v>
      </c>
      <c r="D1042" s="58">
        <f t="shared" si="32"/>
        <v>4.2289981119018527E-3</v>
      </c>
      <c r="F1042" s="46">
        <v>45824</v>
      </c>
      <c r="G1042" s="60">
        <v>24946.5</v>
      </c>
      <c r="H1042" s="53">
        <f t="shared" si="33"/>
        <v>9.2197937677086055E-3</v>
      </c>
    </row>
    <row r="1043" spans="2:8">
      <c r="B1043" s="46">
        <v>45825</v>
      </c>
      <c r="C1043" s="60">
        <v>4766.669921875</v>
      </c>
      <c r="D1043" s="58">
        <f t="shared" si="32"/>
        <v>-1.1298302074522043E-2</v>
      </c>
      <c r="F1043" s="46">
        <v>45825</v>
      </c>
      <c r="G1043" s="60">
        <v>24853.400390625</v>
      </c>
      <c r="H1043" s="51">
        <f t="shared" si="33"/>
        <v>-3.7319707924959415E-3</v>
      </c>
    </row>
    <row r="1044" spans="2:8">
      <c r="B1044" s="46">
        <v>45826</v>
      </c>
      <c r="C1044" s="60">
        <v>4758.7470703125</v>
      </c>
      <c r="D1044" s="58">
        <f t="shared" si="32"/>
        <v>-1.6621355563431789E-3</v>
      </c>
      <c r="F1044" s="46">
        <v>45826</v>
      </c>
      <c r="G1044" s="60">
        <v>24812.05078125</v>
      </c>
      <c r="H1044" s="53">
        <f t="shared" si="33"/>
        <v>-1.6637405234334682E-3</v>
      </c>
    </row>
    <row r="1045" spans="2:8">
      <c r="B1045" s="46">
        <v>45827</v>
      </c>
      <c r="C1045" s="60">
        <v>4735.96875</v>
      </c>
      <c r="D1045" s="58">
        <f t="shared" si="32"/>
        <v>-4.7866213471614875E-3</v>
      </c>
      <c r="F1045" s="46">
        <v>45827</v>
      </c>
      <c r="G1045" s="60">
        <v>24793.25</v>
      </c>
      <c r="H1045" s="51">
        <f t="shared" si="33"/>
        <v>-7.5772782410260889E-4</v>
      </c>
    </row>
    <row r="1046" spans="2:8">
      <c r="B1046" s="46">
        <v>45828</v>
      </c>
      <c r="C1046" s="60">
        <v>4727.55029296875</v>
      </c>
      <c r="D1046" s="58">
        <f t="shared" si="32"/>
        <v>-1.7775575548825149E-3</v>
      </c>
      <c r="F1046" s="46">
        <v>45828</v>
      </c>
      <c r="G1046" s="60">
        <v>25112.400390625</v>
      </c>
      <c r="H1046" s="53">
        <f t="shared" si="33"/>
        <v>1.2872470959837859E-2</v>
      </c>
    </row>
    <row r="1047" spans="2:8">
      <c r="B1047" s="46">
        <v>45831</v>
      </c>
      <c r="C1047" s="60">
        <v>4714.1806640625</v>
      </c>
      <c r="D1047" s="58">
        <f t="shared" si="32"/>
        <v>-2.8280246803792969E-3</v>
      </c>
      <c r="F1047" s="46">
        <v>45831</v>
      </c>
      <c r="G1047" s="60">
        <v>24971.900390625</v>
      </c>
      <c r="H1047" s="51">
        <f t="shared" si="33"/>
        <v>-5.5948454872697742E-3</v>
      </c>
    </row>
    <row r="1048" spans="2:8">
      <c r="B1048" s="46">
        <v>45832</v>
      </c>
      <c r="C1048" s="60">
        <v>4764.689453125</v>
      </c>
      <c r="D1048" s="58">
        <f t="shared" si="32"/>
        <v>1.0714224307851083E-2</v>
      </c>
      <c r="F1048" s="46">
        <v>45832</v>
      </c>
      <c r="G1048" s="60">
        <v>25044.349609375</v>
      </c>
      <c r="H1048" s="53">
        <f t="shared" si="33"/>
        <v>2.9012296868362901E-3</v>
      </c>
    </row>
    <row r="1049" spans="2:8">
      <c r="B1049" s="46">
        <v>45833</v>
      </c>
      <c r="C1049" s="60">
        <v>4807.275390625</v>
      </c>
      <c r="D1049" s="58">
        <f t="shared" si="32"/>
        <v>8.9378201704350974E-3</v>
      </c>
      <c r="F1049" s="46">
        <v>45833</v>
      </c>
      <c r="G1049" s="60">
        <v>25244.75</v>
      </c>
      <c r="H1049" s="51">
        <f t="shared" si="33"/>
        <v>8.0018205204252114E-3</v>
      </c>
    </row>
    <row r="1050" spans="2:8">
      <c r="B1050" s="46">
        <v>45834</v>
      </c>
      <c r="C1050" s="60">
        <v>4794.40087890625</v>
      </c>
      <c r="D1050" s="58">
        <f t="shared" si="32"/>
        <v>-2.6781306816450489E-3</v>
      </c>
      <c r="F1050" s="46">
        <v>45834</v>
      </c>
      <c r="G1050" s="60">
        <v>25549</v>
      </c>
      <c r="H1050" s="53">
        <f t="shared" si="33"/>
        <v>1.205201081412967E-2</v>
      </c>
    </row>
    <row r="1051" spans="2:8">
      <c r="B1051" s="46">
        <v>45835</v>
      </c>
      <c r="C1051" s="60">
        <v>4859.2705078125</v>
      </c>
      <c r="D1051" s="58">
        <f t="shared" si="32"/>
        <v>1.3530288881694172E-2</v>
      </c>
      <c r="F1051" s="46">
        <v>45835</v>
      </c>
      <c r="G1051" s="60">
        <v>25637.80078125</v>
      </c>
      <c r="H1051" s="51">
        <f t="shared" si="33"/>
        <v>3.4757047731809464E-3</v>
      </c>
    </row>
    <row r="1052" spans="2:8">
      <c r="B1052" s="46">
        <v>45838</v>
      </c>
      <c r="C1052" s="60">
        <v>4891.45751953125</v>
      </c>
      <c r="D1052" s="58">
        <f t="shared" si="32"/>
        <v>6.6238361636795648E-3</v>
      </c>
      <c r="F1052" s="46">
        <v>45838</v>
      </c>
      <c r="G1052" s="60">
        <v>25517.05078125</v>
      </c>
      <c r="H1052" s="53">
        <f t="shared" si="33"/>
        <v>-4.7098423546652075E-3</v>
      </c>
    </row>
    <row r="1053" spans="2:8">
      <c r="B1053" s="46">
        <v>45839</v>
      </c>
      <c r="C1053" s="60">
        <v>4802.32373046875</v>
      </c>
      <c r="D1053" s="58">
        <f t="shared" si="32"/>
        <v>-1.8222337351718781E-2</v>
      </c>
      <c r="F1053" s="46">
        <v>45839</v>
      </c>
      <c r="G1053" s="60">
        <v>25541.80078125</v>
      </c>
      <c r="H1053" s="51">
        <f t="shared" si="33"/>
        <v>9.6993967728380148E-4</v>
      </c>
    </row>
    <row r="1054" spans="2:8">
      <c r="B1054" s="46">
        <v>45840</v>
      </c>
      <c r="C1054" s="60">
        <v>4827.875</v>
      </c>
      <c r="D1054" s="58">
        <f t="shared" si="32"/>
        <v>5.3206053913312434E-3</v>
      </c>
      <c r="F1054" s="46">
        <v>45840</v>
      </c>
      <c r="G1054" s="60">
        <v>25453.400390625</v>
      </c>
      <c r="H1054" s="53">
        <f t="shared" si="33"/>
        <v>-3.4610085397695964E-3</v>
      </c>
    </row>
    <row r="1055" spans="2:8">
      <c r="B1055" s="46">
        <v>45841</v>
      </c>
      <c r="C1055" s="60">
        <v>4775.58349609375</v>
      </c>
      <c r="D1055" s="58">
        <f t="shared" si="32"/>
        <v>-1.083116358775859E-2</v>
      </c>
      <c r="F1055" s="46">
        <v>45841</v>
      </c>
      <c r="G1055" s="60">
        <v>25405.30078125</v>
      </c>
      <c r="H1055" s="51">
        <f t="shared" si="33"/>
        <v>-1.8897125192245848E-3</v>
      </c>
    </row>
    <row r="1056" spans="2:8">
      <c r="B1056" s="46">
        <v>45842</v>
      </c>
      <c r="C1056" s="60">
        <v>4839.2646484375</v>
      </c>
      <c r="D1056" s="58">
        <f t="shared" si="32"/>
        <v>1.3334737502933163E-2</v>
      </c>
      <c r="F1056" s="46">
        <v>45842</v>
      </c>
      <c r="G1056" s="60">
        <v>25461</v>
      </c>
      <c r="H1056" s="53">
        <f t="shared" si="33"/>
        <v>2.1924250859926041E-3</v>
      </c>
    </row>
    <row r="1057" spans="2:8">
      <c r="B1057" s="46">
        <v>45845</v>
      </c>
      <c r="C1057" s="60">
        <v>4830.35107421875</v>
      </c>
      <c r="D1057" s="58">
        <f t="shared" si="32"/>
        <v>-1.8419274138330112E-3</v>
      </c>
      <c r="F1057" s="46">
        <v>45845</v>
      </c>
      <c r="G1057" s="60">
        <v>25461.30078125</v>
      </c>
      <c r="H1057" s="51">
        <f t="shared" si="33"/>
        <v>1.1813410706570834E-5</v>
      </c>
    </row>
    <row r="1058" spans="2:8">
      <c r="B1058" s="46">
        <v>45846</v>
      </c>
      <c r="C1058" s="60">
        <v>4754.6865234375</v>
      </c>
      <c r="D1058" s="58">
        <f t="shared" si="32"/>
        <v>-1.5664399878737141E-2</v>
      </c>
      <c r="F1058" s="46">
        <v>45846</v>
      </c>
      <c r="G1058" s="60">
        <v>25522.5</v>
      </c>
      <c r="H1058" s="53">
        <f t="shared" si="33"/>
        <v>2.4036171315751404E-3</v>
      </c>
    </row>
    <row r="1059" spans="2:8">
      <c r="B1059" s="46">
        <v>45847</v>
      </c>
      <c r="C1059" s="60">
        <v>4759.1435546875</v>
      </c>
      <c r="D1059" s="58">
        <f t="shared" si="32"/>
        <v>9.3739749782235828E-4</v>
      </c>
      <c r="F1059" s="46">
        <v>45847</v>
      </c>
      <c r="G1059" s="60">
        <v>25476.099609375</v>
      </c>
      <c r="H1059" s="51">
        <f t="shared" si="33"/>
        <v>-1.8180190273288275E-3</v>
      </c>
    </row>
    <row r="1060" spans="2:8">
      <c r="B1060" s="46">
        <v>45848</v>
      </c>
      <c r="C1060" s="60">
        <v>4687.2421875</v>
      </c>
      <c r="D1060" s="58">
        <f t="shared" si="32"/>
        <v>-1.510804756386914E-2</v>
      </c>
      <c r="F1060" s="46">
        <v>45848</v>
      </c>
      <c r="G1060" s="60">
        <v>25355.25</v>
      </c>
      <c r="H1060" s="53">
        <f t="shared" si="33"/>
        <v>-4.7436464461980792E-3</v>
      </c>
    </row>
    <row r="1061" spans="2:8">
      <c r="B1061" s="46">
        <v>45849</v>
      </c>
      <c r="C1061" s="60">
        <v>4760.4306640625</v>
      </c>
      <c r="D1061" s="58">
        <f t="shared" si="32"/>
        <v>1.5614400458691894E-2</v>
      </c>
      <c r="F1061" s="46">
        <v>45849</v>
      </c>
      <c r="G1061" s="60">
        <v>25149.849609375</v>
      </c>
      <c r="H1061" s="51">
        <f t="shared" si="33"/>
        <v>-8.1009018102759789E-3</v>
      </c>
    </row>
    <row r="1062" spans="2:8">
      <c r="B1062" s="46">
        <v>45852</v>
      </c>
      <c r="C1062" s="60">
        <v>4794.10400390625</v>
      </c>
      <c r="D1062" s="58">
        <f t="shared" si="32"/>
        <v>7.0735910719080903E-3</v>
      </c>
      <c r="F1062" s="46">
        <v>45852</v>
      </c>
      <c r="G1062" s="60">
        <v>25082.30078125</v>
      </c>
      <c r="H1062" s="53">
        <f t="shared" si="33"/>
        <v>-2.685854157148523E-3</v>
      </c>
    </row>
    <row r="1063" spans="2:8">
      <c r="B1063" s="46">
        <v>45853</v>
      </c>
      <c r="C1063" s="60">
        <v>4885.71337890625</v>
      </c>
      <c r="D1063" s="58">
        <f t="shared" si="32"/>
        <v>1.9108758367644176E-2</v>
      </c>
      <c r="F1063" s="46">
        <v>45853</v>
      </c>
      <c r="G1063" s="60">
        <v>25195.80078125</v>
      </c>
      <c r="H1063" s="51">
        <f t="shared" si="33"/>
        <v>4.5251032187942535E-3</v>
      </c>
    </row>
    <row r="1064" spans="2:8">
      <c r="B1064" s="46">
        <v>45854</v>
      </c>
      <c r="C1064" s="60">
        <v>4954.04931640625</v>
      </c>
      <c r="D1064" s="58">
        <f t="shared" si="32"/>
        <v>1.3986890388420239E-2</v>
      </c>
      <c r="F1064" s="46">
        <v>45854</v>
      </c>
      <c r="G1064" s="60">
        <v>25212.05078125</v>
      </c>
      <c r="H1064" s="53">
        <f t="shared" si="33"/>
        <v>6.4494874130346306E-4</v>
      </c>
    </row>
    <row r="1065" spans="2:8">
      <c r="B1065" s="46">
        <v>45855</v>
      </c>
      <c r="C1065" s="60">
        <v>4970.390625</v>
      </c>
      <c r="D1065" s="58">
        <f t="shared" si="32"/>
        <v>3.2985760839385945E-3</v>
      </c>
      <c r="F1065" s="46">
        <v>45855</v>
      </c>
      <c r="G1065" s="60">
        <v>25111.44921875</v>
      </c>
      <c r="H1065" s="51">
        <f t="shared" si="33"/>
        <v>-3.9902173517283477E-3</v>
      </c>
    </row>
    <row r="1066" spans="2:8">
      <c r="B1066" s="46">
        <v>45856</v>
      </c>
      <c r="C1066" s="60">
        <v>4950.38427734375</v>
      </c>
      <c r="D1066" s="58">
        <f t="shared" si="32"/>
        <v>-4.0251057040914164E-3</v>
      </c>
      <c r="F1066" s="46">
        <v>45856</v>
      </c>
      <c r="G1066" s="60">
        <v>24968.400390625</v>
      </c>
      <c r="H1066" s="53">
        <f t="shared" si="33"/>
        <v>-5.6965580472428303E-3</v>
      </c>
    </row>
    <row r="1067" spans="2:8">
      <c r="B1067" s="46">
        <v>45859</v>
      </c>
      <c r="C1067" s="60">
        <v>4951.5732421875</v>
      </c>
      <c r="D1067" s="58">
        <f t="shared" si="32"/>
        <v>2.4017627261614693E-4</v>
      </c>
      <c r="F1067" s="46">
        <v>45859</v>
      </c>
      <c r="G1067" s="60">
        <v>25090.69921875</v>
      </c>
      <c r="H1067" s="51">
        <f t="shared" si="33"/>
        <v>4.8981443028653171E-3</v>
      </c>
    </row>
    <row r="1068" spans="2:8">
      <c r="B1068" s="46">
        <v>45860</v>
      </c>
      <c r="C1068" s="60">
        <v>4923.94140625</v>
      </c>
      <c r="D1068" s="58">
        <f t="shared" si="32"/>
        <v>-5.5804154732229791E-3</v>
      </c>
      <c r="F1068" s="46">
        <v>45860</v>
      </c>
      <c r="G1068" s="60">
        <v>25060.900390625</v>
      </c>
      <c r="H1068" s="53">
        <f t="shared" si="33"/>
        <v>-1.1876443882732318E-3</v>
      </c>
    </row>
    <row r="1069" spans="2:8">
      <c r="B1069" s="46">
        <v>45861</v>
      </c>
      <c r="C1069" s="60">
        <v>4927.2099609375</v>
      </c>
      <c r="D1069" s="58">
        <f t="shared" si="32"/>
        <v>6.6380860733866493E-4</v>
      </c>
      <c r="F1069" s="46">
        <v>45861</v>
      </c>
      <c r="G1069" s="60">
        <v>25219.900390625</v>
      </c>
      <c r="H1069" s="51">
        <f t="shared" si="33"/>
        <v>6.3445445902446549E-3</v>
      </c>
    </row>
    <row r="1070" spans="2:8">
      <c r="B1070" s="46">
        <v>45862</v>
      </c>
      <c r="C1070" s="60">
        <v>4950.48388671875</v>
      </c>
      <c r="D1070" s="58">
        <f t="shared" si="32"/>
        <v>4.7235506434196422E-3</v>
      </c>
      <c r="F1070" s="46">
        <v>45862</v>
      </c>
      <c r="G1070" s="60">
        <v>25062.099609375</v>
      </c>
      <c r="H1070" s="53">
        <f t="shared" si="33"/>
        <v>-6.2569946274910479E-3</v>
      </c>
    </row>
    <row r="1071" spans="2:8">
      <c r="B1071" s="46">
        <v>45863</v>
      </c>
      <c r="C1071" s="60">
        <v>4963.6552734375</v>
      </c>
      <c r="D1071" s="58">
        <f t="shared" si="32"/>
        <v>2.6606261165876008E-3</v>
      </c>
      <c r="F1071" s="46">
        <v>45863</v>
      </c>
      <c r="G1071" s="60">
        <v>24837</v>
      </c>
      <c r="H1071" s="51">
        <f t="shared" si="33"/>
        <v>-8.9816740370306722E-3</v>
      </c>
    </row>
    <row r="1072" spans="2:8">
      <c r="B1072" s="46">
        <v>45866</v>
      </c>
      <c r="C1072" s="60">
        <v>4998.81396484375</v>
      </c>
      <c r="D1072" s="58">
        <f t="shared" si="32"/>
        <v>7.0832258626819201E-3</v>
      </c>
      <c r="F1072" s="46">
        <v>45866</v>
      </c>
      <c r="G1072" s="60">
        <v>24680.900390625</v>
      </c>
      <c r="H1072" s="53">
        <f t="shared" si="33"/>
        <v>-6.2849623293876073E-3</v>
      </c>
    </row>
    <row r="1073" spans="2:8">
      <c r="B1073" s="46">
        <v>45867</v>
      </c>
      <c r="C1073" s="60">
        <v>5021.89013671875</v>
      </c>
      <c r="D1073" s="58">
        <f t="shared" si="32"/>
        <v>4.6163294007924337E-3</v>
      </c>
      <c r="F1073" s="46">
        <v>45867</v>
      </c>
      <c r="G1073" s="60">
        <v>24821.099609375</v>
      </c>
      <c r="H1073" s="51">
        <f t="shared" si="33"/>
        <v>5.6804742343700898E-3</v>
      </c>
    </row>
    <row r="1074" spans="2:8">
      <c r="B1074" s="46">
        <v>45868</v>
      </c>
      <c r="C1074" s="60">
        <v>5050.51123046875</v>
      </c>
      <c r="D1074" s="58">
        <f t="shared" si="32"/>
        <v>5.6992672023487793E-3</v>
      </c>
      <c r="F1074" s="46">
        <v>45868</v>
      </c>
      <c r="G1074" s="60">
        <v>24855.05078125</v>
      </c>
      <c r="H1074" s="53">
        <f t="shared" si="33"/>
        <v>1.3678351245235141E-3</v>
      </c>
    </row>
    <row r="1075" spans="2:8">
      <c r="B1075" s="46">
        <v>45869</v>
      </c>
      <c r="C1075" s="60">
        <v>4982.6708984375</v>
      </c>
      <c r="D1075" s="58">
        <f t="shared" si="32"/>
        <v>-1.3432369305899668E-2</v>
      </c>
      <c r="F1075" s="46">
        <v>45869</v>
      </c>
      <c r="G1075" s="60">
        <v>24768.349609375</v>
      </c>
      <c r="H1075" s="51">
        <f t="shared" si="33"/>
        <v>-3.4882717656889721E-3</v>
      </c>
    </row>
    <row r="1076" spans="2:8">
      <c r="B1076" s="46">
        <v>45870</v>
      </c>
      <c r="C1076" s="60">
        <v>4851.84228515625</v>
      </c>
      <c r="D1076" s="58">
        <f t="shared" si="32"/>
        <v>-2.6256723742737281E-2</v>
      </c>
      <c r="F1076" s="46">
        <v>45870</v>
      </c>
      <c r="G1076" s="60">
        <v>24565.349609375</v>
      </c>
      <c r="H1076" s="53">
        <f t="shared" si="33"/>
        <v>-8.1959437427822409E-3</v>
      </c>
    </row>
    <row r="1077" spans="2:8">
      <c r="B1077" s="46">
        <v>45873</v>
      </c>
      <c r="C1077" s="60">
        <v>4855.30859375</v>
      </c>
      <c r="D1077" s="58">
        <f t="shared" si="32"/>
        <v>7.1443142419423677E-4</v>
      </c>
      <c r="F1077" s="46">
        <v>45873</v>
      </c>
      <c r="G1077" s="60">
        <v>24722.75</v>
      </c>
      <c r="H1077" s="51">
        <f t="shared" si="33"/>
        <v>6.4074150430544043E-3</v>
      </c>
    </row>
    <row r="1078" spans="2:8">
      <c r="B1078" s="46">
        <v>45874</v>
      </c>
      <c r="C1078" s="60">
        <v>4873.630859375</v>
      </c>
      <c r="D1078" s="58">
        <f t="shared" si="32"/>
        <v>3.7736562509302399E-3</v>
      </c>
      <c r="F1078" s="46">
        <v>45874</v>
      </c>
      <c r="G1078" s="60">
        <v>24649.55078125</v>
      </c>
      <c r="H1078" s="53">
        <f t="shared" si="33"/>
        <v>-2.9608040671041855E-3</v>
      </c>
    </row>
    <row r="1079" spans="2:8">
      <c r="B1079" s="46">
        <v>45875</v>
      </c>
      <c r="C1079" s="60">
        <v>4824.11181640625</v>
      </c>
      <c r="D1079" s="58">
        <f t="shared" si="32"/>
        <v>-1.0160606003529036E-2</v>
      </c>
      <c r="F1079" s="46">
        <v>45875</v>
      </c>
      <c r="G1079" s="60">
        <v>24574.19921875</v>
      </c>
      <c r="H1079" s="51">
        <f t="shared" si="33"/>
        <v>-3.0569142281212337E-3</v>
      </c>
    </row>
    <row r="1080" spans="2:8">
      <c r="B1080" s="46">
        <v>45876</v>
      </c>
      <c r="C1080" s="60">
        <v>4825.1025390625</v>
      </c>
      <c r="D1080" s="58">
        <f t="shared" si="32"/>
        <v>2.0536892467555709E-4</v>
      </c>
      <c r="F1080" s="46">
        <v>45876</v>
      </c>
      <c r="G1080" s="60">
        <v>24596.150390625</v>
      </c>
      <c r="H1080" s="53">
        <f t="shared" si="33"/>
        <v>8.9326092295415906E-4</v>
      </c>
    </row>
    <row r="1081" spans="2:8">
      <c r="B1081" s="46">
        <v>45877</v>
      </c>
      <c r="C1081" s="60">
        <v>4725.90234375</v>
      </c>
      <c r="D1081" s="58">
        <f t="shared" si="32"/>
        <v>-2.055918905544632E-2</v>
      </c>
      <c r="F1081" s="46">
        <v>45877</v>
      </c>
      <c r="G1081" s="60">
        <v>24363.30078125</v>
      </c>
      <c r="H1081" s="51">
        <f t="shared" si="33"/>
        <v>-9.4669127354072569E-3</v>
      </c>
    </row>
    <row r="1082" spans="2:8">
      <c r="B1082" s="46">
        <v>45880</v>
      </c>
      <c r="C1082" s="60">
        <v>4805.75830078125</v>
      </c>
      <c r="D1082" s="58">
        <f t="shared" si="32"/>
        <v>1.68975046928042E-2</v>
      </c>
      <c r="F1082" s="46">
        <v>45880</v>
      </c>
      <c r="G1082" s="60">
        <v>24585.05078125</v>
      </c>
      <c r="H1082" s="53">
        <f t="shared" si="33"/>
        <v>9.1018044718578876E-3</v>
      </c>
    </row>
    <row r="1083" spans="2:8">
      <c r="B1083" s="46">
        <v>45881</v>
      </c>
      <c r="C1083" s="60">
        <v>5107.8232421875</v>
      </c>
      <c r="D1083" s="58">
        <f t="shared" si="32"/>
        <v>6.2854792625993014E-2</v>
      </c>
      <c r="F1083" s="46">
        <v>45881</v>
      </c>
      <c r="G1083" s="60">
        <v>24487.400390625</v>
      </c>
      <c r="H1083" s="51">
        <f t="shared" si="33"/>
        <v>-3.9719417907191756E-3</v>
      </c>
    </row>
    <row r="1084" spans="2:8">
      <c r="B1084" s="46">
        <v>45882</v>
      </c>
      <c r="C1084" s="60">
        <v>5345.408203125</v>
      </c>
      <c r="D1084" s="58">
        <f t="shared" si="32"/>
        <v>4.6513935520554696E-2</v>
      </c>
      <c r="F1084" s="46">
        <v>45882</v>
      </c>
      <c r="G1084" s="60">
        <v>24619.349609375</v>
      </c>
      <c r="H1084" s="53">
        <f t="shared" si="33"/>
        <v>5.3884535167120782E-3</v>
      </c>
    </row>
    <row r="1085" spans="2:8">
      <c r="B1085" s="46">
        <v>45883</v>
      </c>
      <c r="C1085" s="60">
        <v>5304.73583984375</v>
      </c>
      <c r="D1085" s="58">
        <f t="shared" si="32"/>
        <v>-7.6088414084956825E-3</v>
      </c>
      <c r="F1085" s="46">
        <v>45883</v>
      </c>
      <c r="G1085" s="60">
        <v>24631.30078125</v>
      </c>
      <c r="H1085" s="51">
        <f t="shared" si="33"/>
        <v>4.8543816407111817E-4</v>
      </c>
    </row>
    <row r="1086" spans="2:8">
      <c r="B1086" s="46">
        <v>45887</v>
      </c>
      <c r="C1086" s="60">
        <v>5303.248046875</v>
      </c>
      <c r="D1086" s="58">
        <f t="shared" si="32"/>
        <v>-2.8046504362671951E-4</v>
      </c>
      <c r="F1086" s="46">
        <v>45887</v>
      </c>
      <c r="G1086" s="60">
        <v>24876.94921875</v>
      </c>
      <c r="H1086" s="53">
        <f t="shared" si="33"/>
        <v>9.9730192766349594E-3</v>
      </c>
    </row>
    <row r="1087" spans="2:8">
      <c r="B1087" s="46">
        <v>45888</v>
      </c>
      <c r="C1087" s="60">
        <v>5348.8798828125</v>
      </c>
      <c r="D1087" s="58">
        <f t="shared" si="32"/>
        <v>8.6045071877015235E-3</v>
      </c>
      <c r="F1087" s="46">
        <v>45888</v>
      </c>
      <c r="G1087" s="60">
        <v>24980.650390625</v>
      </c>
      <c r="H1087" s="51">
        <f t="shared" si="33"/>
        <v>4.1685646806256856E-3</v>
      </c>
    </row>
    <row r="1088" spans="2:8">
      <c r="B1088" s="46">
        <v>45889</v>
      </c>
      <c r="C1088" s="60">
        <v>5349.8720703125</v>
      </c>
      <c r="D1088" s="58">
        <f t="shared" si="32"/>
        <v>1.8549444402148304E-4</v>
      </c>
      <c r="F1088" s="46">
        <v>45889</v>
      </c>
      <c r="G1088" s="60">
        <v>25050.55078125</v>
      </c>
      <c r="H1088" s="53">
        <f t="shared" si="33"/>
        <v>2.7981813736616301E-3</v>
      </c>
    </row>
    <row r="1089" spans="2:8">
      <c r="B1089" s="46">
        <v>45890</v>
      </c>
      <c r="C1089" s="60">
        <v>5378.64013671875</v>
      </c>
      <c r="D1089" s="58">
        <f t="shared" si="32"/>
        <v>5.3773372574439119E-3</v>
      </c>
      <c r="F1089" s="46">
        <v>45890</v>
      </c>
      <c r="G1089" s="60">
        <v>25083.75</v>
      </c>
      <c r="H1089" s="51">
        <f t="shared" si="33"/>
        <v>1.325288974278728E-3</v>
      </c>
    </row>
    <row r="1090" spans="2:8">
      <c r="B1090" s="46">
        <v>45891</v>
      </c>
      <c r="C1090" s="60">
        <v>5382.60791015625</v>
      </c>
      <c r="D1090" s="58">
        <f t="shared" si="32"/>
        <v>7.3769081712920614E-4</v>
      </c>
      <c r="F1090" s="46">
        <v>45891</v>
      </c>
      <c r="G1090" s="60">
        <v>24870.099609375</v>
      </c>
      <c r="H1090" s="53">
        <f t="shared" si="33"/>
        <v>-8.5174820600986689E-3</v>
      </c>
    </row>
    <row r="1091" spans="2:8">
      <c r="B1091" s="46">
        <v>45894</v>
      </c>
      <c r="C1091" s="60">
        <v>5372.19189453125</v>
      </c>
      <c r="D1091" s="58">
        <f t="shared" si="32"/>
        <v>-1.9351243484308773E-3</v>
      </c>
      <c r="F1091" s="46">
        <v>45894</v>
      </c>
      <c r="G1091" s="60">
        <v>24967.75</v>
      </c>
      <c r="H1091" s="51">
        <f t="shared" si="33"/>
        <v>3.9264173509055761E-3</v>
      </c>
    </row>
    <row r="1092" spans="2:8">
      <c r="B1092" s="46">
        <v>45895</v>
      </c>
      <c r="C1092" s="60">
        <v>5378.64013671875</v>
      </c>
      <c r="D1092" s="58">
        <f t="shared" si="32"/>
        <v>1.2003000477447839E-3</v>
      </c>
      <c r="F1092" s="46">
        <v>45895</v>
      </c>
      <c r="G1092" s="60">
        <v>24712.05078125</v>
      </c>
      <c r="H1092" s="53">
        <f t="shared" si="33"/>
        <v>-1.0241179872034925E-2</v>
      </c>
    </row>
    <row r="1093" spans="2:8">
      <c r="B1093" s="46">
        <v>45897</v>
      </c>
      <c r="C1093" s="60">
        <v>5333.0078125</v>
      </c>
      <c r="D1093" s="58">
        <f t="shared" ref="D1093:D1156" si="34">(C1093-C1092)/C1092</f>
        <v>-8.4839890862429199E-3</v>
      </c>
      <c r="F1093" s="46">
        <v>45897</v>
      </c>
      <c r="G1093" s="60">
        <v>24500.900390625</v>
      </c>
      <c r="H1093" s="51">
        <f t="shared" ref="H1093:H1156" si="35">(G1093-G1092)/G1092</f>
        <v>-8.5444301039235507E-3</v>
      </c>
    </row>
    <row r="1094" spans="2:8">
      <c r="B1094" s="46">
        <v>45898</v>
      </c>
      <c r="C1094" s="60">
        <v>5261.087890625</v>
      </c>
      <c r="D1094" s="58">
        <f t="shared" si="34"/>
        <v>-1.3485808459989012E-2</v>
      </c>
      <c r="F1094" s="46">
        <v>45898</v>
      </c>
      <c r="G1094" s="60">
        <v>24426.849609375</v>
      </c>
      <c r="H1094" s="53">
        <f t="shared" si="35"/>
        <v>-3.0223697933295024E-3</v>
      </c>
    </row>
    <row r="1095" spans="2:8">
      <c r="B1095" s="46">
        <v>45901</v>
      </c>
      <c r="C1095" s="60">
        <v>5258.11181640625</v>
      </c>
      <c r="D1095" s="58">
        <f t="shared" si="34"/>
        <v>-5.6567658260437315E-4</v>
      </c>
      <c r="F1095" s="46">
        <v>45901</v>
      </c>
      <c r="G1095" s="60">
        <v>24625.05078125</v>
      </c>
      <c r="H1095" s="51">
        <f t="shared" si="35"/>
        <v>8.1140701746053485E-3</v>
      </c>
    </row>
    <row r="1096" spans="2:8">
      <c r="B1096" s="46">
        <v>45902</v>
      </c>
      <c r="C1096" s="60">
        <v>5204.54345703125</v>
      </c>
      <c r="D1096" s="58">
        <f t="shared" si="34"/>
        <v>-1.0187755841908331E-2</v>
      </c>
      <c r="F1096" s="46">
        <v>45902</v>
      </c>
      <c r="G1096" s="60">
        <v>24579.599609375</v>
      </c>
      <c r="H1096" s="53">
        <f t="shared" si="35"/>
        <v>-1.8457290617896885E-3</v>
      </c>
    </row>
    <row r="1097" spans="2:8">
      <c r="B1097" s="46">
        <v>45903</v>
      </c>
      <c r="C1097" s="60">
        <v>5249.6796875</v>
      </c>
      <c r="D1097" s="58">
        <f t="shared" si="34"/>
        <v>8.6724668246879015E-3</v>
      </c>
      <c r="F1097" s="46">
        <v>45903</v>
      </c>
      <c r="G1097" s="60">
        <v>24715.05078125</v>
      </c>
      <c r="H1097" s="51">
        <f t="shared" si="35"/>
        <v>5.5107151470171652E-3</v>
      </c>
    </row>
    <row r="1098" spans="2:8">
      <c r="B1098" s="46">
        <v>45904</v>
      </c>
      <c r="C1098" s="60">
        <v>5259.103515625</v>
      </c>
      <c r="D1098" s="58">
        <f t="shared" si="34"/>
        <v>1.7951244049116092E-3</v>
      </c>
      <c r="F1098" s="46">
        <v>45904</v>
      </c>
      <c r="G1098" s="60">
        <v>24734.30078125</v>
      </c>
      <c r="H1098" s="53">
        <f t="shared" si="35"/>
        <v>7.7887762280480347E-4</v>
      </c>
    </row>
    <row r="1099" spans="2:8">
      <c r="B1099" s="46">
        <v>45905</v>
      </c>
      <c r="C1099" s="60">
        <v>5290.84765625</v>
      </c>
      <c r="D1099" s="58">
        <f t="shared" si="34"/>
        <v>6.0360364709853929E-3</v>
      </c>
      <c r="F1099" s="46">
        <v>45905</v>
      </c>
      <c r="G1099" s="60">
        <v>24741</v>
      </c>
      <c r="H1099" s="51">
        <f t="shared" si="35"/>
        <v>2.708473067117542E-4</v>
      </c>
    </row>
    <row r="1100" spans="2:8">
      <c r="B1100" s="46">
        <v>45908</v>
      </c>
      <c r="C1100" s="60">
        <v>5290.35205078125</v>
      </c>
      <c r="D1100" s="58">
        <f t="shared" si="34"/>
        <v>-9.3672224367403326E-5</v>
      </c>
      <c r="F1100" s="46">
        <v>45908</v>
      </c>
      <c r="G1100" s="60">
        <v>24773.150390625</v>
      </c>
      <c r="H1100" s="53">
        <f t="shared" si="35"/>
        <v>1.2994782193524919E-3</v>
      </c>
    </row>
    <row r="1101" spans="2:8">
      <c r="B1101" s="46">
        <v>45909</v>
      </c>
      <c r="C1101" s="60">
        <v>5293.32763671875</v>
      </c>
      <c r="D1101" s="58">
        <f t="shared" si="34"/>
        <v>5.6245518425575888E-4</v>
      </c>
      <c r="F1101" s="46">
        <v>45909</v>
      </c>
      <c r="G1101" s="60">
        <v>24868.599609375</v>
      </c>
      <c r="H1101" s="51">
        <f t="shared" si="35"/>
        <v>3.852930178235273E-3</v>
      </c>
    </row>
    <row r="1102" spans="2:8">
      <c r="B1102" s="46">
        <v>45910</v>
      </c>
      <c r="C1102" s="60">
        <v>5277.95166015625</v>
      </c>
      <c r="D1102" s="58">
        <f t="shared" si="34"/>
        <v>-2.9047845925576081E-3</v>
      </c>
      <c r="F1102" s="46">
        <v>45910</v>
      </c>
      <c r="G1102" s="60">
        <v>24973.099609375</v>
      </c>
      <c r="H1102" s="53">
        <f t="shared" si="35"/>
        <v>4.20208623088714E-3</v>
      </c>
    </row>
    <row r="1103" spans="2:8">
      <c r="B1103" s="46">
        <v>45911</v>
      </c>
      <c r="C1103" s="60">
        <v>5350.3681640625</v>
      </c>
      <c r="D1103" s="58">
        <f t="shared" si="34"/>
        <v>1.3720569753021604E-2</v>
      </c>
      <c r="F1103" s="46">
        <v>45911</v>
      </c>
      <c r="G1103" s="60">
        <v>25005.5</v>
      </c>
      <c r="H1103" s="51">
        <f t="shared" si="35"/>
        <v>1.2974116602184522E-3</v>
      </c>
    </row>
    <row r="1104" spans="2:8">
      <c r="B1104" s="46">
        <v>45912</v>
      </c>
      <c r="C1104" s="60">
        <v>5404.43212890625</v>
      </c>
      <c r="D1104" s="58">
        <f t="shared" si="34"/>
        <v>1.0104718626072935E-2</v>
      </c>
      <c r="F1104" s="46">
        <v>45912</v>
      </c>
      <c r="G1104" s="60">
        <v>25114</v>
      </c>
      <c r="H1104" s="53">
        <f t="shared" si="35"/>
        <v>4.3390454100097975E-3</v>
      </c>
    </row>
    <row r="1105" spans="2:8">
      <c r="B1105" s="46">
        <v>45915</v>
      </c>
      <c r="C1105" s="60">
        <v>5456.51220703125</v>
      </c>
      <c r="D1105" s="58">
        <f t="shared" si="34"/>
        <v>9.636549573163013E-3</v>
      </c>
      <c r="F1105" s="46">
        <v>45915</v>
      </c>
      <c r="G1105" s="60">
        <v>25069.19921875</v>
      </c>
      <c r="H1105" s="51">
        <f t="shared" si="35"/>
        <v>-1.7838966811340288E-3</v>
      </c>
    </row>
    <row r="1106" spans="2:8">
      <c r="B1106" s="46">
        <v>45916</v>
      </c>
      <c r="C1106" s="60">
        <v>5458.9921875</v>
      </c>
      <c r="D1106" s="58">
        <f t="shared" si="34"/>
        <v>4.5449920657270818E-4</v>
      </c>
      <c r="F1106" s="46">
        <v>45916</v>
      </c>
      <c r="G1106" s="60">
        <v>25239.099609375</v>
      </c>
      <c r="H1106" s="53">
        <f t="shared" si="35"/>
        <v>6.7772563910987009E-3</v>
      </c>
    </row>
    <row r="1107" spans="2:8">
      <c r="B1107" s="46">
        <v>45917</v>
      </c>
      <c r="C1107" s="60">
        <v>5428.736328125</v>
      </c>
      <c r="D1107" s="58">
        <f t="shared" si="34"/>
        <v>-5.5423892058830684E-3</v>
      </c>
      <c r="F1107" s="46">
        <v>45917</v>
      </c>
      <c r="G1107" s="60">
        <v>25330.25</v>
      </c>
      <c r="H1107" s="51">
        <f t="shared" si="35"/>
        <v>3.6114755294654973E-3</v>
      </c>
    </row>
    <row r="1108" spans="2:8">
      <c r="B1108" s="46">
        <v>45918</v>
      </c>
      <c r="C1108" s="60">
        <v>5435.68017578125</v>
      </c>
      <c r="D1108" s="58">
        <f t="shared" si="34"/>
        <v>1.2790909774482077E-3</v>
      </c>
      <c r="F1108" s="46">
        <v>45918</v>
      </c>
      <c r="G1108" s="60">
        <v>25423.599609375</v>
      </c>
      <c r="H1108" s="53">
        <f t="shared" si="35"/>
        <v>3.6853015416350018E-3</v>
      </c>
    </row>
    <row r="1109" spans="2:8">
      <c r="B1109" s="46">
        <v>45919</v>
      </c>
      <c r="C1109" s="60">
        <v>5497.1845703125</v>
      </c>
      <c r="D1109" s="58">
        <f t="shared" si="34"/>
        <v>1.1314939904905315E-2</v>
      </c>
      <c r="F1109" s="46">
        <v>45919</v>
      </c>
      <c r="G1109" s="60">
        <v>25327.05078125</v>
      </c>
      <c r="H1109" s="51">
        <f t="shared" si="35"/>
        <v>-3.7976065391384403E-3</v>
      </c>
    </row>
    <row r="1110" spans="2:8">
      <c r="B1110" s="46">
        <v>45922</v>
      </c>
      <c r="C1110" s="60">
        <v>5451.05615234375</v>
      </c>
      <c r="D1110" s="58">
        <f t="shared" si="34"/>
        <v>-8.3912805507506769E-3</v>
      </c>
      <c r="F1110" s="46">
        <v>45922</v>
      </c>
      <c r="G1110" s="60">
        <v>25202.349609375</v>
      </c>
      <c r="H1110" s="53">
        <f t="shared" si="35"/>
        <v>-4.9236357186648108E-3</v>
      </c>
    </row>
    <row r="1111" spans="2:8">
      <c r="B1111" s="46">
        <v>45923</v>
      </c>
      <c r="C1111" s="60">
        <v>5500.16064453125</v>
      </c>
      <c r="D1111" s="58">
        <f t="shared" si="34"/>
        <v>9.0082528624084914E-3</v>
      </c>
      <c r="F1111" s="46">
        <v>45923</v>
      </c>
      <c r="G1111" s="60">
        <v>25169.5</v>
      </c>
      <c r="H1111" s="51">
        <f t="shared" si="35"/>
        <v>-1.3034343973539794E-3</v>
      </c>
    </row>
    <row r="1112" spans="2:8">
      <c r="B1112" s="46">
        <v>45924</v>
      </c>
      <c r="C1112" s="60">
        <v>5531.40869140625</v>
      </c>
      <c r="D1112" s="58">
        <f t="shared" si="34"/>
        <v>5.681297128306533E-3</v>
      </c>
      <c r="F1112" s="46">
        <v>45924</v>
      </c>
      <c r="G1112" s="60">
        <v>25056.900390625</v>
      </c>
      <c r="H1112" s="53">
        <f t="shared" si="35"/>
        <v>-4.4736530076084149E-3</v>
      </c>
    </row>
    <row r="1113" spans="2:8">
      <c r="B1113" s="46">
        <v>45925</v>
      </c>
      <c r="C1113" s="60">
        <v>5463.9521484375</v>
      </c>
      <c r="D1113" s="58">
        <f t="shared" si="34"/>
        <v>-1.2195183312625653E-2</v>
      </c>
      <c r="F1113" s="46">
        <v>45925</v>
      </c>
      <c r="G1113" s="60">
        <v>24890.849609375</v>
      </c>
      <c r="H1113" s="51">
        <f t="shared" si="35"/>
        <v>-6.6269482123226878E-3</v>
      </c>
    </row>
    <row r="1114" spans="2:8">
      <c r="B1114" s="46">
        <v>45926</v>
      </c>
      <c r="C1114" s="60">
        <v>5389.55224609375</v>
      </c>
      <c r="D1114" s="58">
        <f t="shared" si="34"/>
        <v>-1.3616499618325863E-2</v>
      </c>
      <c r="F1114" s="46">
        <v>45926</v>
      </c>
      <c r="G1114" s="60">
        <v>24654.69921875</v>
      </c>
      <c r="H1114" s="53">
        <f t="shared" si="35"/>
        <v>-9.4874379272315099E-3</v>
      </c>
    </row>
    <row r="1115" spans="2:8">
      <c r="B1115" s="46">
        <v>45929</v>
      </c>
      <c r="C1115" s="60">
        <v>5365.744140625</v>
      </c>
      <c r="D1115" s="58">
        <f t="shared" si="34"/>
        <v>-4.4174551765419259E-3</v>
      </c>
      <c r="F1115" s="46">
        <v>45929</v>
      </c>
      <c r="G1115" s="60">
        <v>24634.900390625</v>
      </c>
      <c r="H1115" s="51">
        <f t="shared" si="35"/>
        <v>-8.030448049409952E-4</v>
      </c>
    </row>
    <row r="1116" spans="2:8">
      <c r="B1116" s="46">
        <v>45930</v>
      </c>
      <c r="C1116" s="60">
        <v>5381.6162109375</v>
      </c>
      <c r="D1116" s="58">
        <f t="shared" si="34"/>
        <v>2.9580371140565092E-3</v>
      </c>
      <c r="F1116" s="46">
        <v>45930</v>
      </c>
      <c r="G1116" s="60">
        <v>24611.099609375</v>
      </c>
      <c r="H1116" s="53">
        <f t="shared" si="35"/>
        <v>-9.6614075448251335E-4</v>
      </c>
    </row>
    <row r="1117" spans="2:8">
      <c r="B1117" s="46">
        <v>45931</v>
      </c>
      <c r="C1117" s="60">
        <v>5415.84033203125</v>
      </c>
      <c r="D1117" s="58">
        <f t="shared" si="34"/>
        <v>6.359450349542487E-3</v>
      </c>
      <c r="F1117" s="46">
        <v>45931</v>
      </c>
      <c r="G1117" s="60">
        <v>24836.30078125</v>
      </c>
      <c r="H1117" s="51">
        <f t="shared" si="35"/>
        <v>9.1503904924758045E-3</v>
      </c>
    </row>
    <row r="1118" spans="2:8">
      <c r="B1118" s="46">
        <v>45933</v>
      </c>
      <c r="C1118" s="60">
        <v>5398.47998046875</v>
      </c>
      <c r="D1118" s="58">
        <f t="shared" si="34"/>
        <v>-3.2054769893832664E-3</v>
      </c>
      <c r="F1118" s="46">
        <v>45933</v>
      </c>
      <c r="G1118" s="60">
        <v>24894.25</v>
      </c>
      <c r="H1118" s="53">
        <f t="shared" si="35"/>
        <v>2.3332467769817144E-3</v>
      </c>
    </row>
    <row r="1119" spans="2:8">
      <c r="B1119" s="46">
        <v>45936</v>
      </c>
      <c r="C1119" s="60">
        <v>5450.064453125</v>
      </c>
      <c r="D1119" s="58">
        <f t="shared" si="34"/>
        <v>9.5553698157404155E-3</v>
      </c>
      <c r="F1119" s="46">
        <v>45936</v>
      </c>
      <c r="G1119" s="60">
        <v>25077.650390625</v>
      </c>
      <c r="H1119" s="51">
        <f t="shared" si="35"/>
        <v>7.3671787912871446E-3</v>
      </c>
    </row>
    <row r="1120" spans="2:8">
      <c r="B1120" s="46">
        <v>45937</v>
      </c>
      <c r="C1120" s="60">
        <v>5448.080078125</v>
      </c>
      <c r="D1120" s="58">
        <f t="shared" si="34"/>
        <v>-3.6410119863118016E-4</v>
      </c>
      <c r="F1120" s="46">
        <v>45937</v>
      </c>
      <c r="G1120" s="60">
        <v>25108.30078125</v>
      </c>
      <c r="H1120" s="53">
        <f t="shared" si="35"/>
        <v>1.2222193924698109E-3</v>
      </c>
    </row>
    <row r="1121" spans="2:8">
      <c r="B1121" s="46">
        <v>45938</v>
      </c>
      <c r="C1121" s="60">
        <v>5449.568359375</v>
      </c>
      <c r="D1121" s="58">
        <f t="shared" si="34"/>
        <v>2.7317536245028979E-4</v>
      </c>
      <c r="F1121" s="46">
        <v>45938</v>
      </c>
      <c r="G1121" s="60">
        <v>25046.150390625</v>
      </c>
      <c r="H1121" s="51">
        <f t="shared" si="35"/>
        <v>-2.4752925801897249E-3</v>
      </c>
    </row>
    <row r="1122" spans="2:8">
      <c r="B1122" s="46">
        <v>45939</v>
      </c>
      <c r="C1122" s="60">
        <v>5436.67236328125</v>
      </c>
      <c r="D1122" s="58">
        <f t="shared" si="34"/>
        <v>-2.3664252365170838E-3</v>
      </c>
      <c r="F1122" s="46">
        <v>45939</v>
      </c>
      <c r="G1122" s="60">
        <v>25181.80078125</v>
      </c>
      <c r="H1122" s="53">
        <f t="shared" si="35"/>
        <v>5.4160175719369296E-3</v>
      </c>
    </row>
    <row r="1123" spans="2:8">
      <c r="B1123" s="46">
        <v>45940</v>
      </c>
      <c r="C1123" s="60">
        <v>5410.88037109375</v>
      </c>
      <c r="D1123" s="58">
        <f t="shared" si="34"/>
        <v>-4.7440769765153728E-3</v>
      </c>
      <c r="F1123" s="46">
        <v>45940</v>
      </c>
      <c r="G1123" s="60">
        <v>25285.349609375</v>
      </c>
      <c r="H1123" s="51">
        <f t="shared" si="35"/>
        <v>4.1120501676790702E-3</v>
      </c>
    </row>
    <row r="1124" spans="2:8">
      <c r="B1124" s="46">
        <v>45943</v>
      </c>
      <c r="C1124" s="60">
        <v>5448.576171875</v>
      </c>
      <c r="D1124" s="58">
        <f t="shared" si="34"/>
        <v>6.9666668260917781E-3</v>
      </c>
      <c r="F1124" s="46">
        <v>45943</v>
      </c>
      <c r="G1124" s="60">
        <v>25227.349609375</v>
      </c>
      <c r="H1124" s="53">
        <f t="shared" si="35"/>
        <v>-2.2938183927065595E-3</v>
      </c>
    </row>
    <row r="1125" spans="2:8">
      <c r="B1125" s="46">
        <v>45944</v>
      </c>
      <c r="C1125" s="60">
        <v>5449.072265625</v>
      </c>
      <c r="D1125" s="58">
        <f t="shared" si="34"/>
        <v>9.1050163262979759E-5</v>
      </c>
      <c r="F1125" s="46">
        <v>45944</v>
      </c>
      <c r="G1125" s="60">
        <v>25145.5</v>
      </c>
      <c r="H1125" s="51">
        <f t="shared" si="35"/>
        <v>-3.2444791324643557E-3</v>
      </c>
    </row>
    <row r="1126" spans="2:8">
      <c r="B1126" s="46">
        <v>45945</v>
      </c>
      <c r="C1126" s="60">
        <v>5521.984375</v>
      </c>
      <c r="D1126" s="58">
        <f t="shared" si="34"/>
        <v>1.3380646433147845E-2</v>
      </c>
      <c r="F1126" s="46">
        <v>45945</v>
      </c>
      <c r="G1126" s="60">
        <v>25323.55078125</v>
      </c>
      <c r="H1126" s="53">
        <f t="shared" si="35"/>
        <v>7.0808208725219226E-3</v>
      </c>
    </row>
    <row r="1127" spans="2:8">
      <c r="B1127" s="46">
        <v>45946</v>
      </c>
      <c r="C1127" s="60">
        <v>5479.82421875</v>
      </c>
      <c r="D1127" s="58">
        <f t="shared" si="34"/>
        <v>-7.6349647856437481E-3</v>
      </c>
      <c r="F1127" s="46">
        <v>45946</v>
      </c>
      <c r="G1127" s="60">
        <v>25585.30078125</v>
      </c>
      <c r="H1127" s="51">
        <f t="shared" si="35"/>
        <v>1.0336228211479895E-2</v>
      </c>
    </row>
    <row r="1128" spans="2:8">
      <c r="B1128" s="46">
        <v>45947</v>
      </c>
      <c r="C1128" s="60">
        <v>5536.86474609375</v>
      </c>
      <c r="D1128" s="58">
        <f t="shared" si="34"/>
        <v>1.0409189248913807E-2</v>
      </c>
      <c r="F1128" s="46">
        <v>45947</v>
      </c>
      <c r="G1128" s="60">
        <v>25709.849609375</v>
      </c>
      <c r="H1128" s="53">
        <f t="shared" si="35"/>
        <v>4.8679837376105692E-3</v>
      </c>
    </row>
    <row r="1129" spans="2:8">
      <c r="B1129" s="46">
        <v>45950</v>
      </c>
      <c r="C1129" s="60">
        <v>5512.560546875</v>
      </c>
      <c r="D1129" s="58">
        <f t="shared" si="34"/>
        <v>-4.3895237346905716E-3</v>
      </c>
      <c r="F1129" s="46">
        <v>45950</v>
      </c>
      <c r="G1129" s="60">
        <v>25843.150390625</v>
      </c>
      <c r="H1129" s="51">
        <f t="shared" si="35"/>
        <v>5.1848137299641134E-3</v>
      </c>
    </row>
    <row r="1130" spans="2:8">
      <c r="B1130" s="46">
        <v>45951</v>
      </c>
      <c r="C1130" s="60">
        <v>5503.13623046875</v>
      </c>
      <c r="D1130" s="58">
        <f t="shared" si="34"/>
        <v>-1.7096077813771179E-3</v>
      </c>
      <c r="F1130" s="46">
        <v>45951</v>
      </c>
      <c r="G1130" s="60">
        <v>25868.599609375</v>
      </c>
      <c r="H1130" s="53">
        <f t="shared" si="35"/>
        <v>9.8475682590277742E-4</v>
      </c>
    </row>
    <row r="1131" spans="2:8">
      <c r="B1131" s="46">
        <v>45953</v>
      </c>
      <c r="C1131" s="60">
        <v>5489.74462890625</v>
      </c>
      <c r="D1131" s="58">
        <f t="shared" si="34"/>
        <v>-2.4334490373608868E-3</v>
      </c>
      <c r="F1131" s="46">
        <v>45953</v>
      </c>
      <c r="G1131" s="60">
        <v>25891.400390625</v>
      </c>
      <c r="H1131" s="51">
        <f t="shared" si="35"/>
        <v>8.8140763683770514E-4</v>
      </c>
    </row>
    <row r="1132" spans="2:8">
      <c r="B1132" s="46">
        <v>45954</v>
      </c>
      <c r="C1132" s="60">
        <v>5500.65625</v>
      </c>
      <c r="D1132" s="58">
        <f t="shared" si="34"/>
        <v>1.9876372821232631E-3</v>
      </c>
      <c r="F1132" s="46">
        <v>45954</v>
      </c>
      <c r="G1132" s="60">
        <v>25795.150390625</v>
      </c>
      <c r="H1132" s="53">
        <f t="shared" si="35"/>
        <v>-3.7174505259611641E-3</v>
      </c>
    </row>
    <row r="1133" spans="2:8">
      <c r="B1133" s="46">
        <v>45957</v>
      </c>
      <c r="C1133" s="60">
        <v>5431.71240234375</v>
      </c>
      <c r="D1133" s="58">
        <f t="shared" si="34"/>
        <v>-1.2533749524204498E-2</v>
      </c>
      <c r="F1133" s="46">
        <v>45957</v>
      </c>
      <c r="G1133" s="60">
        <v>25966.05078125</v>
      </c>
      <c r="H1133" s="51">
        <f t="shared" si="35"/>
        <v>6.6252915000298701E-3</v>
      </c>
    </row>
    <row r="1134" spans="2:8">
      <c r="B1134" s="46">
        <v>45958</v>
      </c>
      <c r="C1134" s="60">
        <v>5388.56005859375</v>
      </c>
      <c r="D1134" s="58">
        <f t="shared" si="34"/>
        <v>-7.9445192516783541E-3</v>
      </c>
      <c r="F1134" s="46">
        <v>45958</v>
      </c>
      <c r="G1134" s="60">
        <v>25936.19921875</v>
      </c>
      <c r="H1134" s="53">
        <f t="shared" si="35"/>
        <v>-1.1496381468049702E-3</v>
      </c>
    </row>
    <row r="1135" spans="2:8">
      <c r="B1135" s="46">
        <v>45959</v>
      </c>
      <c r="C1135" s="60">
        <v>5490.736328125</v>
      </c>
      <c r="D1135" s="58">
        <f t="shared" si="34"/>
        <v>1.8961701905557845E-2</v>
      </c>
      <c r="F1135" s="46">
        <v>45959</v>
      </c>
      <c r="G1135" s="60">
        <v>26053.900390625</v>
      </c>
      <c r="H1135" s="51">
        <f t="shared" si="35"/>
        <v>4.5381040946782421E-3</v>
      </c>
    </row>
    <row r="1136" spans="2:8">
      <c r="B1136" s="46">
        <v>45960</v>
      </c>
      <c r="C1136" s="60">
        <v>5480.81640625</v>
      </c>
      <c r="D1136" s="58">
        <f t="shared" si="34"/>
        <v>-1.8066651323589411E-3</v>
      </c>
      <c r="F1136" s="46">
        <v>45960</v>
      </c>
      <c r="G1136" s="60">
        <v>25877.849609375</v>
      </c>
      <c r="H1136" s="53">
        <f t="shared" si="35"/>
        <v>-6.7571756478100502E-3</v>
      </c>
    </row>
    <row r="1137" spans="2:8">
      <c r="B1137" s="46">
        <v>45961</v>
      </c>
      <c r="C1137" s="60">
        <v>5462.46435546875</v>
      </c>
      <c r="D1137" s="58">
        <f t="shared" si="34"/>
        <v>-3.3484155317303464E-3</v>
      </c>
      <c r="F1137" s="46">
        <v>45961</v>
      </c>
      <c r="G1137" s="60">
        <v>25722.099609375</v>
      </c>
      <c r="H1137" s="51">
        <f t="shared" si="35"/>
        <v>-6.0186608373972101E-3</v>
      </c>
    </row>
    <row r="1138" spans="2:8">
      <c r="B1138" s="46">
        <v>45964</v>
      </c>
      <c r="C1138" s="60">
        <v>5583.48876953125</v>
      </c>
      <c r="D1138" s="58">
        <f t="shared" si="34"/>
        <v>2.2155643714422836E-2</v>
      </c>
      <c r="F1138" s="46">
        <v>45964</v>
      </c>
      <c r="G1138" s="60">
        <v>25763.349609375</v>
      </c>
      <c r="H1138" s="53">
        <f t="shared" si="35"/>
        <v>1.6036793506920993E-3</v>
      </c>
    </row>
    <row r="1139" spans="2:8">
      <c r="B1139" s="46">
        <v>45965</v>
      </c>
      <c r="C1139" s="60">
        <v>5618.70458984375</v>
      </c>
      <c r="D1139" s="58">
        <f t="shared" si="34"/>
        <v>6.3071355143885189E-3</v>
      </c>
      <c r="F1139" s="46">
        <v>45965</v>
      </c>
      <c r="G1139" s="60">
        <v>25597.650390625</v>
      </c>
      <c r="H1139" s="51">
        <f t="shared" si="35"/>
        <v>-6.4315867797603409E-3</v>
      </c>
    </row>
    <row r="1140" spans="2:8">
      <c r="B1140" s="46">
        <v>45967</v>
      </c>
      <c r="C1140" s="60">
        <v>5598.36865234375</v>
      </c>
      <c r="D1140" s="58">
        <f t="shared" si="34"/>
        <v>-3.6193284723953639E-3</v>
      </c>
      <c r="F1140" s="46">
        <v>45967</v>
      </c>
      <c r="G1140" s="60">
        <v>25509.69921875</v>
      </c>
      <c r="H1140" s="53">
        <f t="shared" si="35"/>
        <v>-3.4359080045569977E-3</v>
      </c>
    </row>
    <row r="1141" spans="2:8">
      <c r="B1141" s="46">
        <v>45968</v>
      </c>
      <c r="C1141" s="60">
        <v>5623.1689453125</v>
      </c>
      <c r="D1141" s="58">
        <f t="shared" si="34"/>
        <v>4.4299142319553014E-3</v>
      </c>
      <c r="F1141" s="46">
        <v>45968</v>
      </c>
      <c r="G1141" s="60">
        <v>25492.30078125</v>
      </c>
      <c r="H1141" s="51">
        <f t="shared" si="35"/>
        <v>-6.8203224784445498E-4</v>
      </c>
    </row>
    <row r="1142" spans="2:8">
      <c r="B1142" s="46">
        <v>45971</v>
      </c>
      <c r="C1142" s="60">
        <v>5634.0810546875</v>
      </c>
      <c r="D1142" s="58">
        <f t="shared" si="34"/>
        <v>1.9405622489959838E-3</v>
      </c>
      <c r="F1142" s="46">
        <v>45971</v>
      </c>
      <c r="G1142" s="60">
        <v>25574.349609375</v>
      </c>
      <c r="H1142" s="53">
        <f t="shared" si="35"/>
        <v>3.2185728871263058E-3</v>
      </c>
    </row>
    <row r="1143" spans="2:8">
      <c r="B1143" s="46">
        <v>45972</v>
      </c>
      <c r="C1143" s="60">
        <v>5650.94482421875</v>
      </c>
      <c r="D1143" s="58">
        <f t="shared" si="34"/>
        <v>2.9931712674278106E-3</v>
      </c>
      <c r="F1143" s="46">
        <v>45972</v>
      </c>
      <c r="G1143" s="60">
        <v>25694.94921875</v>
      </c>
      <c r="H1143" s="51">
        <f t="shared" si="35"/>
        <v>4.7156471705849679E-3</v>
      </c>
    </row>
    <row r="1144" spans="2:8">
      <c r="B1144" s="46">
        <v>45973</v>
      </c>
      <c r="C1144" s="60">
        <v>5721.376953125</v>
      </c>
      <c r="D1144" s="58">
        <f t="shared" si="34"/>
        <v>1.2463779261194137E-2</v>
      </c>
      <c r="F1144" s="46">
        <v>45973</v>
      </c>
      <c r="G1144" s="60">
        <v>25875.80078125</v>
      </c>
      <c r="H1144" s="53">
        <f t="shared" si="35"/>
        <v>7.0384090258497119E-3</v>
      </c>
    </row>
    <row r="1145" spans="2:8">
      <c r="B1145" s="46">
        <v>45974</v>
      </c>
      <c r="C1145" s="60">
        <v>5679.712890625</v>
      </c>
      <c r="D1145" s="58">
        <f t="shared" si="34"/>
        <v>-7.2821740013552516E-3</v>
      </c>
      <c r="F1145" s="46">
        <v>45974</v>
      </c>
      <c r="G1145" s="60">
        <v>25879.150390625</v>
      </c>
      <c r="H1145" s="51">
        <f t="shared" si="35"/>
        <v>1.2944949620369539E-4</v>
      </c>
    </row>
    <row r="1146" spans="2:8">
      <c r="B1146" s="46">
        <v>45975</v>
      </c>
      <c r="C1146" s="60">
        <v>5676.73681640625</v>
      </c>
      <c r="D1146" s="58">
        <f t="shared" si="34"/>
        <v>-5.2398321465550529E-4</v>
      </c>
      <c r="F1146" s="46">
        <v>45975</v>
      </c>
      <c r="G1146" s="60">
        <v>25910.05078125</v>
      </c>
      <c r="H1146" s="53">
        <f t="shared" si="35"/>
        <v>1.1940264714483827E-3</v>
      </c>
    </row>
    <row r="1147" spans="2:8">
      <c r="B1147" s="46">
        <v>45978</v>
      </c>
      <c r="C1147" s="60">
        <v>5677.23291015625</v>
      </c>
      <c r="D1147" s="58">
        <f t="shared" si="34"/>
        <v>8.7390655238102114E-5</v>
      </c>
      <c r="F1147" s="46">
        <v>45978</v>
      </c>
      <c r="G1147" s="60">
        <v>26013.44921875</v>
      </c>
      <c r="H1147" s="51">
        <f t="shared" si="35"/>
        <v>3.9906690408659891E-3</v>
      </c>
    </row>
    <row r="1148" spans="2:8">
      <c r="B1148" s="46">
        <v>45979</v>
      </c>
      <c r="C1148" s="60">
        <v>5667.31298828125</v>
      </c>
      <c r="D1148" s="58">
        <f t="shared" si="34"/>
        <v>-1.7473163479436995E-3</v>
      </c>
      <c r="F1148" s="46">
        <v>45979</v>
      </c>
      <c r="G1148" s="60">
        <v>25910.05078125</v>
      </c>
      <c r="H1148" s="53">
        <f t="shared" si="35"/>
        <v>-3.974806902018682E-3</v>
      </c>
    </row>
    <row r="1149" spans="2:8">
      <c r="B1149" s="46">
        <v>45980</v>
      </c>
      <c r="C1149" s="60">
        <v>5678.22509765625</v>
      </c>
      <c r="D1149" s="58">
        <f t="shared" si="34"/>
        <v>1.9254467500848867E-3</v>
      </c>
      <c r="F1149" s="46">
        <v>45980</v>
      </c>
      <c r="G1149" s="60">
        <v>26052.650390625</v>
      </c>
      <c r="H1149" s="51">
        <f t="shared" si="35"/>
        <v>5.503640675154263E-3</v>
      </c>
    </row>
    <row r="1150" spans="2:8">
      <c r="B1150" s="46">
        <v>45981</v>
      </c>
      <c r="C1150" s="60">
        <v>5654.4169921875</v>
      </c>
      <c r="D1150" s="58">
        <f t="shared" si="34"/>
        <v>-4.1928780665241782E-3</v>
      </c>
      <c r="F1150" s="46">
        <v>45981</v>
      </c>
      <c r="G1150" s="60">
        <v>26192.150390625</v>
      </c>
      <c r="H1150" s="53">
        <f t="shared" si="35"/>
        <v>5.3545415882216276E-3</v>
      </c>
    </row>
    <row r="1151" spans="2:8">
      <c r="B1151" s="46">
        <v>45982</v>
      </c>
      <c r="C1151" s="60">
        <v>5654.4169921875</v>
      </c>
      <c r="D1151" s="58">
        <f t="shared" si="34"/>
        <v>0</v>
      </c>
      <c r="F1151" s="46">
        <v>45982</v>
      </c>
      <c r="G1151" s="60">
        <v>26068.150390625</v>
      </c>
      <c r="H1151" s="51">
        <f t="shared" si="35"/>
        <v>-4.7342428227803521E-3</v>
      </c>
    </row>
    <row r="1152" spans="2:8">
      <c r="B1152" s="46">
        <v>45985</v>
      </c>
      <c r="C1152" s="60">
        <v>5580.0166015625</v>
      </c>
      <c r="D1152" s="58">
        <f t="shared" si="34"/>
        <v>-1.3157924278983366E-2</v>
      </c>
      <c r="F1152" s="46">
        <v>45985</v>
      </c>
      <c r="G1152" s="60">
        <v>25959.5</v>
      </c>
      <c r="H1152" s="53">
        <f t="shared" si="35"/>
        <v>-4.167936312968119E-3</v>
      </c>
    </row>
    <row r="1153" spans="2:8">
      <c r="B1153" s="46">
        <v>45986</v>
      </c>
      <c r="C1153" s="60">
        <v>5655.40869140625</v>
      </c>
      <c r="D1153" s="58">
        <f t="shared" si="34"/>
        <v>1.3511087014085035E-2</v>
      </c>
      <c r="F1153" s="46">
        <v>45986</v>
      </c>
      <c r="G1153" s="60">
        <v>25884.80078125</v>
      </c>
      <c r="H1153" s="51">
        <f t="shared" si="35"/>
        <v>-2.8775291800689534E-3</v>
      </c>
    </row>
    <row r="1154" spans="2:8">
      <c r="B1154" s="46">
        <v>45987</v>
      </c>
      <c r="C1154" s="60">
        <v>5726.8330078125</v>
      </c>
      <c r="D1154" s="58">
        <f t="shared" si="34"/>
        <v>1.2629381942773429E-2</v>
      </c>
      <c r="F1154" s="46">
        <v>45987</v>
      </c>
      <c r="G1154" s="60">
        <v>26205.30078125</v>
      </c>
      <c r="H1154" s="53">
        <f t="shared" si="35"/>
        <v>1.2381783530362669E-2</v>
      </c>
    </row>
    <row r="1155" spans="2:8">
      <c r="B1155" s="46">
        <v>45988</v>
      </c>
      <c r="C1155" s="60">
        <v>5641.02490234375</v>
      </c>
      <c r="D1155" s="58">
        <f t="shared" si="34"/>
        <v>-1.4983518002304462E-2</v>
      </c>
      <c r="F1155" s="46">
        <v>45988</v>
      </c>
      <c r="G1155" s="60">
        <v>26215.55078125</v>
      </c>
      <c r="H1155" s="51">
        <f t="shared" si="35"/>
        <v>3.9114223818922608E-4</v>
      </c>
    </row>
    <row r="1156" spans="2:8">
      <c r="B1156" s="46">
        <v>45989</v>
      </c>
      <c r="C1156" s="60">
        <v>5639.53662109375</v>
      </c>
      <c r="D1156" s="58">
        <f t="shared" si="34"/>
        <v>-2.6383171068463897E-4</v>
      </c>
      <c r="F1156" s="46">
        <v>45989</v>
      </c>
      <c r="G1156" s="60">
        <v>26202.94921875</v>
      </c>
      <c r="H1156" s="53">
        <f t="shared" si="35"/>
        <v>-4.8069035837358583E-4</v>
      </c>
    </row>
    <row r="1157" spans="2:8">
      <c r="B1157" s="46">
        <v>45992</v>
      </c>
      <c r="C1157" s="60">
        <v>5564.640625</v>
      </c>
      <c r="D1157" s="58">
        <f t="shared" ref="D1157:D1220" si="36">(C1157-C1156)/C1156</f>
        <v>-1.328052305106309E-2</v>
      </c>
      <c r="F1157" s="46">
        <v>45992</v>
      </c>
      <c r="G1157" s="60">
        <v>26175.75</v>
      </c>
      <c r="H1157" s="51">
        <f t="shared" ref="H1157:H1220" si="37">(G1157-G1156)/G1156</f>
        <v>-1.0380212747402153E-3</v>
      </c>
    </row>
    <row r="1158" spans="2:8">
      <c r="B1158" s="46">
        <v>45993</v>
      </c>
      <c r="C1158" s="60">
        <v>5593.40869140625</v>
      </c>
      <c r="D1158" s="58">
        <f t="shared" si="36"/>
        <v>5.1697977182938023E-3</v>
      </c>
      <c r="F1158" s="46">
        <v>45993</v>
      </c>
      <c r="G1158" s="60">
        <v>26032.19921875</v>
      </c>
      <c r="H1158" s="53">
        <f t="shared" si="37"/>
        <v>-5.4841133969418263E-3</v>
      </c>
    </row>
    <row r="1159" spans="2:8">
      <c r="B1159" s="46">
        <v>45994</v>
      </c>
      <c r="C1159" s="60">
        <v>5602.3369140625</v>
      </c>
      <c r="D1159" s="58">
        <f t="shared" si="36"/>
        <v>1.5962042376712756E-3</v>
      </c>
      <c r="F1159" s="46">
        <v>45994</v>
      </c>
      <c r="G1159" s="60">
        <v>25986</v>
      </c>
      <c r="H1159" s="51">
        <f t="shared" si="37"/>
        <v>-1.7746951904364832E-3</v>
      </c>
    </row>
    <row r="1160" spans="2:8">
      <c r="B1160" s="46">
        <v>45995</v>
      </c>
      <c r="C1160" s="60">
        <v>5613.74462890625</v>
      </c>
      <c r="D1160" s="58">
        <f t="shared" si="36"/>
        <v>2.0362422001281902E-3</v>
      </c>
      <c r="F1160" s="46">
        <v>45995</v>
      </c>
      <c r="G1160" s="60">
        <v>26033.75</v>
      </c>
      <c r="H1160" s="53">
        <f t="shared" si="37"/>
        <v>1.8375278996382667E-3</v>
      </c>
    </row>
    <row r="1161" spans="2:8">
      <c r="B1161" s="46">
        <v>45996</v>
      </c>
      <c r="C1161" s="60">
        <v>5630.11279296875</v>
      </c>
      <c r="D1161" s="58">
        <f t="shared" si="36"/>
        <v>2.9157300776058064E-3</v>
      </c>
      <c r="F1161" s="46">
        <v>45996</v>
      </c>
      <c r="G1161" s="60">
        <v>26186.44921875</v>
      </c>
      <c r="H1161" s="51">
        <f t="shared" si="37"/>
        <v>5.8654330916598644E-3</v>
      </c>
    </row>
    <row r="1162" spans="2:8">
      <c r="B1162" s="46">
        <v>45999</v>
      </c>
      <c r="C1162" s="60">
        <v>5554.224609375</v>
      </c>
      <c r="D1162" s="58">
        <f t="shared" si="36"/>
        <v>-1.3478981040757138E-2</v>
      </c>
      <c r="F1162" s="46">
        <v>45999</v>
      </c>
      <c r="G1162" s="60">
        <v>25960.55078125</v>
      </c>
      <c r="H1162" s="53">
        <f t="shared" si="37"/>
        <v>-8.6265394598918129E-3</v>
      </c>
    </row>
    <row r="1163" spans="2:8">
      <c r="B1163" s="46">
        <v>46000</v>
      </c>
      <c r="C1163" s="60">
        <v>5622.1767578125</v>
      </c>
      <c r="D1163" s="58">
        <f t="shared" si="36"/>
        <v>1.223431769806415E-2</v>
      </c>
      <c r="F1163" s="46">
        <v>46000</v>
      </c>
      <c r="G1163" s="60">
        <v>25839.650390625</v>
      </c>
      <c r="H1163" s="51">
        <f t="shared" si="37"/>
        <v>-4.6570811090926572E-3</v>
      </c>
    </row>
    <row r="1164" spans="2:8">
      <c r="B1164" s="46">
        <v>46001</v>
      </c>
      <c r="C1164" s="60">
        <v>5553.728515625</v>
      </c>
      <c r="D1164" s="58">
        <f t="shared" si="36"/>
        <v>-1.2174686982650493E-2</v>
      </c>
      <c r="F1164" s="46">
        <v>46001</v>
      </c>
      <c r="G1164" s="60">
        <v>25758</v>
      </c>
      <c r="H1164" s="53">
        <f t="shared" si="37"/>
        <v>-3.159887590995579E-3</v>
      </c>
    </row>
    <row r="1165" spans="2:8">
      <c r="B1165" s="46">
        <v>46002</v>
      </c>
      <c r="C1165" s="60">
        <v>5581.0087890625</v>
      </c>
      <c r="D1165" s="58">
        <f t="shared" si="36"/>
        <v>4.9120646356315386E-3</v>
      </c>
      <c r="F1165" s="46">
        <v>46002</v>
      </c>
      <c r="G1165" s="60">
        <v>25898.55078125</v>
      </c>
      <c r="H1165" s="51">
        <f t="shared" si="37"/>
        <v>5.4565875164997281E-3</v>
      </c>
    </row>
    <row r="1166" spans="2:8">
      <c r="B1166" s="46">
        <v>46003</v>
      </c>
      <c r="C1166" s="60">
        <v>5585.96875</v>
      </c>
      <c r="D1166" s="58">
        <f t="shared" si="36"/>
        <v>8.8872121957958355E-4</v>
      </c>
      <c r="F1166" s="46">
        <v>46003</v>
      </c>
      <c r="G1166" s="60">
        <v>26046.94921875</v>
      </c>
      <c r="H1166" s="53">
        <f t="shared" si="37"/>
        <v>5.7299900196514974E-3</v>
      </c>
    </row>
    <row r="1167" spans="2:8">
      <c r="B1167" s="46">
        <v>46006</v>
      </c>
      <c r="C1167" s="60">
        <v>5579.5205078125</v>
      </c>
      <c r="D1167" s="58">
        <f t="shared" si="36"/>
        <v>-1.1543641713892511E-3</v>
      </c>
      <c r="F1167" s="46">
        <v>46006</v>
      </c>
      <c r="G1167" s="60">
        <v>26027.30078125</v>
      </c>
      <c r="H1167" s="51">
        <f t="shared" si="37"/>
        <v>-7.5434698071496196E-4</v>
      </c>
    </row>
    <row r="1168" spans="2:8">
      <c r="B1168" s="46">
        <v>46007</v>
      </c>
      <c r="C1168" s="60">
        <v>5618.208984375</v>
      </c>
      <c r="D1168" s="58">
        <f t="shared" si="36"/>
        <v>6.9340145821362269E-3</v>
      </c>
      <c r="F1168" s="46">
        <v>46007</v>
      </c>
      <c r="G1168" s="60">
        <v>25860.099609375</v>
      </c>
      <c r="H1168" s="53">
        <f t="shared" si="37"/>
        <v>-6.4240688375742476E-3</v>
      </c>
    </row>
    <row r="1169" spans="2:8">
      <c r="B1169" s="46">
        <v>46008</v>
      </c>
      <c r="C1169" s="60">
        <v>5583.48876953125</v>
      </c>
      <c r="D1169" s="58">
        <f t="shared" si="36"/>
        <v>-6.1799436333378876E-3</v>
      </c>
      <c r="F1169" s="46">
        <v>46008</v>
      </c>
      <c r="G1169" s="60">
        <v>25818.55078125</v>
      </c>
      <c r="H1169" s="51">
        <f t="shared" si="37"/>
        <v>-1.6066770334456639E-3</v>
      </c>
    </row>
    <row r="1170" spans="2:8">
      <c r="B1170" s="46">
        <v>46009</v>
      </c>
      <c r="C1170" s="60">
        <v>5476.84814453125</v>
      </c>
      <c r="D1170" s="58">
        <f t="shared" si="36"/>
        <v>-1.9099281721838727E-2</v>
      </c>
      <c r="F1170" s="46">
        <v>46009</v>
      </c>
      <c r="G1170" s="60">
        <v>25815.55078125</v>
      </c>
      <c r="H1170" s="53">
        <f t="shared" si="37"/>
        <v>-1.1619552256893776E-4</v>
      </c>
    </row>
    <row r="1171" spans="2:8">
      <c r="B1171" s="46">
        <v>46010</v>
      </c>
      <c r="C1171" s="60">
        <v>5511.072265625</v>
      </c>
      <c r="D1171" s="58">
        <f t="shared" si="36"/>
        <v>6.2488716485454348E-3</v>
      </c>
      <c r="F1171" s="46">
        <v>46010</v>
      </c>
      <c r="G1171" s="60">
        <v>25966.400390625</v>
      </c>
      <c r="H1171" s="51">
        <f t="shared" si="37"/>
        <v>5.8433620360547577E-3</v>
      </c>
    </row>
    <row r="1172" spans="2:8">
      <c r="B1172" s="46">
        <v>46013</v>
      </c>
      <c r="C1172" s="60">
        <v>5579.02490234375</v>
      </c>
      <c r="D1172" s="58">
        <f t="shared" si="36"/>
        <v>1.2330202444014518E-2</v>
      </c>
      <c r="F1172" s="46">
        <v>46013</v>
      </c>
      <c r="G1172" s="60">
        <v>26172.400390625</v>
      </c>
      <c r="H1172" s="53">
        <f t="shared" si="37"/>
        <v>7.9333291061157232E-3</v>
      </c>
    </row>
    <row r="1173" spans="2:8">
      <c r="B1173" s="46">
        <v>46014</v>
      </c>
      <c r="C1173" s="60">
        <v>5552.24072265625</v>
      </c>
      <c r="D1173" s="58">
        <f t="shared" si="36"/>
        <v>-4.8008711479756898E-3</v>
      </c>
      <c r="F1173" s="46">
        <v>46014</v>
      </c>
      <c r="G1173" s="60">
        <v>26177.150390625</v>
      </c>
      <c r="H1173" s="51">
        <f t="shared" si="37"/>
        <v>1.814888939916057E-4</v>
      </c>
    </row>
    <row r="1174" spans="2:8">
      <c r="B1174" s="46">
        <v>46015</v>
      </c>
      <c r="C1174" s="60">
        <v>5521.48828125</v>
      </c>
      <c r="D1174" s="58">
        <f t="shared" si="36"/>
        <v>-5.5387442552270521E-3</v>
      </c>
      <c r="F1174" s="46">
        <v>46015</v>
      </c>
      <c r="G1174" s="60">
        <v>26142.099609375</v>
      </c>
      <c r="H1174" s="53">
        <f t="shared" si="37"/>
        <v>-1.3389838361685454E-3</v>
      </c>
    </row>
    <row r="1175" spans="2:8">
      <c r="B1175" s="46">
        <v>46017</v>
      </c>
      <c r="C1175" s="60">
        <v>5490.736328125</v>
      </c>
      <c r="D1175" s="58">
        <f t="shared" si="36"/>
        <v>-5.5695043724765672E-3</v>
      </c>
      <c r="F1175" s="46">
        <v>46017</v>
      </c>
      <c r="G1175" s="60">
        <v>26042.30078125</v>
      </c>
      <c r="H1175" s="51">
        <f t="shared" si="37"/>
        <v>-3.8175521330050493E-3</v>
      </c>
    </row>
    <row r="1176" spans="2:8">
      <c r="B1176" s="46">
        <v>46020</v>
      </c>
      <c r="C1176" s="60">
        <v>5460.97607421875</v>
      </c>
      <c r="D1176" s="58">
        <f t="shared" si="36"/>
        <v>-5.4200843252680203E-3</v>
      </c>
      <c r="F1176" s="46">
        <v>46020</v>
      </c>
      <c r="G1176" s="60">
        <v>25942.099609375</v>
      </c>
      <c r="H1176" s="53">
        <f t="shared" si="37"/>
        <v>-3.8476313101775974E-3</v>
      </c>
    </row>
    <row r="1177" spans="2:8">
      <c r="B1177" s="46">
        <v>46021</v>
      </c>
      <c r="C1177" s="60">
        <v>5425.26416015625</v>
      </c>
      <c r="D1177" s="58">
        <f t="shared" si="36"/>
        <v>-6.5394745512795463E-3</v>
      </c>
      <c r="F1177" s="46">
        <v>46021</v>
      </c>
      <c r="G1177" s="60">
        <v>25938.849609375</v>
      </c>
      <c r="H1177" s="51">
        <f t="shared" si="37"/>
        <v>-1.2527898855285829E-4</v>
      </c>
    </row>
    <row r="1178" spans="2:8">
      <c r="B1178" s="46">
        <v>46022</v>
      </c>
      <c r="C1178" s="60">
        <v>5462.46435546875</v>
      </c>
      <c r="D1178" s="58">
        <f t="shared" si="36"/>
        <v>6.8568449782966182E-3</v>
      </c>
      <c r="F1178" s="46">
        <v>46022</v>
      </c>
      <c r="G1178" s="60">
        <v>26129.599609375</v>
      </c>
      <c r="H1178" s="53">
        <f t="shared" si="37"/>
        <v>7.353834224439075E-3</v>
      </c>
    </row>
    <row r="1179" spans="2:8">
      <c r="B1179" s="46">
        <v>46023</v>
      </c>
      <c r="C1179" s="60">
        <v>5419.80810546875</v>
      </c>
      <c r="D1179" s="58">
        <f t="shared" si="36"/>
        <v>-7.8089754411476689E-3</v>
      </c>
      <c r="F1179" s="46">
        <v>46023</v>
      </c>
      <c r="G1179" s="60">
        <v>26146.55078125</v>
      </c>
      <c r="H1179" s="51">
        <f t="shared" si="37"/>
        <v>6.4873446698043217E-4</v>
      </c>
    </row>
    <row r="1180" spans="2:8">
      <c r="B1180" s="46">
        <v>46024</v>
      </c>
      <c r="C1180" s="60">
        <v>5547.7763671875</v>
      </c>
      <c r="D1180" s="58">
        <f t="shared" si="36"/>
        <v>2.3611216343550276E-2</v>
      </c>
      <c r="F1180" s="46">
        <v>46024</v>
      </c>
      <c r="G1180" s="60">
        <v>26328.55078125</v>
      </c>
      <c r="H1180" s="53">
        <f t="shared" si="37"/>
        <v>6.9607651702386052E-3</v>
      </c>
    </row>
    <row r="1181" spans="2:8">
      <c r="B1181" s="46">
        <v>46027</v>
      </c>
      <c r="C1181" s="60">
        <v>5508.0966796875</v>
      </c>
      <c r="D1181" s="58">
        <f t="shared" si="36"/>
        <v>-7.1523588684444415E-3</v>
      </c>
      <c r="F1181" s="46">
        <v>46027</v>
      </c>
      <c r="G1181" s="60">
        <v>26250.30078125</v>
      </c>
      <c r="H1181" s="51">
        <f t="shared" si="37"/>
        <v>-2.9720587604740519E-3</v>
      </c>
    </row>
    <row r="1182" spans="2:8">
      <c r="B1182" s="46">
        <v>46028</v>
      </c>
      <c r="C1182" s="60">
        <v>5610.27294921875</v>
      </c>
      <c r="D1182" s="58">
        <f t="shared" si="36"/>
        <v>1.8550195371125355E-2</v>
      </c>
      <c r="F1182" s="46">
        <v>46028</v>
      </c>
      <c r="G1182" s="60">
        <v>26178.69921875</v>
      </c>
      <c r="H1182" s="53">
        <f t="shared" si="37"/>
        <v>-2.7276473171363958E-3</v>
      </c>
    </row>
    <row r="1183" spans="2:8">
      <c r="B1183" s="46">
        <v>46029</v>
      </c>
      <c r="C1183" s="60">
        <v>5760.0654296875</v>
      </c>
      <c r="D1183" s="58">
        <f t="shared" si="36"/>
        <v>2.6699677863197213E-2</v>
      </c>
      <c r="F1183" s="46">
        <v>46029</v>
      </c>
      <c r="G1183" s="60">
        <v>26140.75</v>
      </c>
      <c r="H1183" s="51">
        <f t="shared" si="37"/>
        <v>-1.4496220164682432E-3</v>
      </c>
    </row>
    <row r="1184" spans="2:8">
      <c r="B1184" s="46">
        <v>46030</v>
      </c>
      <c r="C1184" s="60">
        <v>5746.67333984375</v>
      </c>
      <c r="D1184" s="58">
        <f t="shared" si="36"/>
        <v>-2.3249891875753502E-3</v>
      </c>
      <c r="F1184" s="46">
        <v>46030</v>
      </c>
      <c r="G1184" s="60">
        <v>25876.849609375</v>
      </c>
      <c r="H1184" s="53">
        <f t="shared" si="37"/>
        <v>-1.0095364158449929E-2</v>
      </c>
    </row>
    <row r="1185" spans="2:8">
      <c r="B1185" s="46">
        <v>46031</v>
      </c>
      <c r="C1185" s="60">
        <v>5752.625</v>
      </c>
      <c r="D1185" s="58">
        <f t="shared" si="36"/>
        <v>1.0356705182779406E-3</v>
      </c>
      <c r="F1185" s="46">
        <v>46031</v>
      </c>
      <c r="G1185" s="60">
        <v>25683.30078125</v>
      </c>
      <c r="H1185" s="51">
        <f t="shared" si="37"/>
        <v>-7.4796132854935563E-3</v>
      </c>
    </row>
    <row r="1186" spans="2:8">
      <c r="B1186" s="46">
        <v>46034</v>
      </c>
      <c r="C1186" s="60">
        <v>5820.08154296875</v>
      </c>
      <c r="D1186" s="58">
        <f t="shared" si="36"/>
        <v>1.1726219416136111E-2</v>
      </c>
      <c r="F1186" s="46">
        <v>46034</v>
      </c>
      <c r="G1186" s="60">
        <v>25790.25</v>
      </c>
      <c r="H1186" s="53">
        <f t="shared" si="37"/>
        <v>4.1641539637334267E-3</v>
      </c>
    </row>
    <row r="1187" spans="2:8">
      <c r="B1187" s="46">
        <v>46035</v>
      </c>
      <c r="C1187" s="60">
        <v>5816.609375</v>
      </c>
      <c r="D1187" s="58">
        <f t="shared" si="36"/>
        <v>-5.9658407586139957E-4</v>
      </c>
      <c r="F1187" s="46">
        <v>46035</v>
      </c>
      <c r="G1187" s="60">
        <v>25732.30078125</v>
      </c>
      <c r="H1187" s="51">
        <f t="shared" si="37"/>
        <v>-2.2469428853927357E-3</v>
      </c>
    </row>
    <row r="1188" spans="2:8">
      <c r="B1188" s="46">
        <v>46036</v>
      </c>
      <c r="C1188" s="60">
        <v>5783.873046875</v>
      </c>
      <c r="D1188" s="58">
        <f t="shared" si="36"/>
        <v>-5.6280774613646804E-3</v>
      </c>
      <c r="F1188" s="46">
        <v>46036</v>
      </c>
      <c r="G1188" s="60">
        <v>25665.599609375</v>
      </c>
      <c r="H1188" s="53">
        <f t="shared" si="37"/>
        <v>-2.5921184600641006E-3</v>
      </c>
    </row>
    <row r="1189" spans="2:8">
      <c r="B1189" s="46">
        <v>46038</v>
      </c>
      <c r="C1189" s="60">
        <v>5789.8251953125</v>
      </c>
      <c r="D1189" s="58">
        <f t="shared" si="36"/>
        <v>1.0290938942229928E-3</v>
      </c>
      <c r="F1189" s="46">
        <v>46038</v>
      </c>
      <c r="G1189" s="60">
        <v>25694.349609375</v>
      </c>
      <c r="H1189" s="51">
        <f t="shared" si="37"/>
        <v>1.1201764399651254E-3</v>
      </c>
    </row>
    <row r="1190" spans="2:8">
      <c r="B1190" s="46">
        <v>46041</v>
      </c>
      <c r="C1190" s="60">
        <v>5702.033203125</v>
      </c>
      <c r="D1190" s="58">
        <f t="shared" si="36"/>
        <v>-1.5163150738743766E-2</v>
      </c>
      <c r="F1190" s="46">
        <v>46041</v>
      </c>
      <c r="G1190" s="60">
        <v>25585.5</v>
      </c>
      <c r="H1190" s="53">
        <f t="shared" si="37"/>
        <v>-4.2363247573810724E-3</v>
      </c>
    </row>
    <row r="1191" spans="2:8">
      <c r="B1191" s="46">
        <v>46042</v>
      </c>
      <c r="C1191" s="60">
        <v>5674.7529296875</v>
      </c>
      <c r="D1191" s="58">
        <f t="shared" si="36"/>
        <v>-4.7843063106944106E-3</v>
      </c>
      <c r="F1191" s="46">
        <v>46042</v>
      </c>
      <c r="G1191" s="60">
        <v>25232.5</v>
      </c>
      <c r="H1191" s="51">
        <f t="shared" si="37"/>
        <v>-1.3796877137441129E-2</v>
      </c>
    </row>
    <row r="1192" spans="2:8">
      <c r="B1192" s="46">
        <v>46043</v>
      </c>
      <c r="C1192" s="60">
        <v>5611.2646484375</v>
      </c>
      <c r="D1192" s="58">
        <f t="shared" si="36"/>
        <v>-1.1187849415938573E-2</v>
      </c>
      <c r="F1192" s="46">
        <v>46043</v>
      </c>
      <c r="G1192" s="60">
        <v>25157.5</v>
      </c>
      <c r="H1192" s="53">
        <f t="shared" si="37"/>
        <v>-2.9723570791637768E-3</v>
      </c>
    </row>
    <row r="1193" spans="2:8">
      <c r="B1193" s="46">
        <v>46044</v>
      </c>
      <c r="C1193" s="60">
        <v>5712.44921875</v>
      </c>
      <c r="D1193" s="58">
        <f t="shared" si="36"/>
        <v>1.8032400296905553E-2</v>
      </c>
      <c r="F1193" s="46">
        <v>46044</v>
      </c>
      <c r="G1193" s="60">
        <v>25289.900390625</v>
      </c>
      <c r="H1193" s="51">
        <f t="shared" si="37"/>
        <v>5.2628596094603996E-3</v>
      </c>
    </row>
    <row r="1194" spans="2:8">
      <c r="B1194" s="46">
        <v>46045</v>
      </c>
      <c r="C1194" s="60">
        <v>5704.51318359375</v>
      </c>
      <c r="D1194" s="58">
        <f t="shared" si="36"/>
        <v>-1.389252639691135E-3</v>
      </c>
      <c r="F1194" s="46">
        <v>46045</v>
      </c>
      <c r="G1194" s="60">
        <v>25048.650390625</v>
      </c>
      <c r="H1194" s="53">
        <f t="shared" si="37"/>
        <v>-9.5393811867061241E-3</v>
      </c>
    </row>
    <row r="1195" spans="2:8">
      <c r="B1195" s="46">
        <v>46049</v>
      </c>
      <c r="C1195" s="60">
        <v>5707.98486328125</v>
      </c>
      <c r="D1195" s="58">
        <f t="shared" si="36"/>
        <v>6.0858474260075228E-4</v>
      </c>
      <c r="F1195" s="46">
        <v>46049</v>
      </c>
      <c r="G1195" s="60">
        <v>25175.400390625</v>
      </c>
      <c r="H1195" s="51">
        <f t="shared" si="37"/>
        <v>5.0601528634628126E-3</v>
      </c>
    </row>
    <row r="1196" spans="2:8">
      <c r="B1196" s="46">
        <v>46050</v>
      </c>
      <c r="C1196" s="60">
        <v>5676.73681640625</v>
      </c>
      <c r="D1196" s="58">
        <f t="shared" si="36"/>
        <v>-5.4744445935753549E-3</v>
      </c>
      <c r="F1196" s="46">
        <v>46050</v>
      </c>
      <c r="G1196" s="60">
        <v>25342.75</v>
      </c>
      <c r="H1196" s="53">
        <f t="shared" si="37"/>
        <v>6.6473464881741809E-3</v>
      </c>
    </row>
    <row r="1197" spans="2:8">
      <c r="B1197" s="46">
        <v>46051</v>
      </c>
      <c r="C1197" s="60">
        <v>5667.31298828125</v>
      </c>
      <c r="D1197" s="58">
        <f t="shared" si="36"/>
        <v>-1.6600783918261524E-3</v>
      </c>
      <c r="F1197" s="46">
        <v>46051</v>
      </c>
      <c r="G1197" s="60">
        <v>25418.900390625</v>
      </c>
      <c r="H1197" s="51">
        <f t="shared" si="37"/>
        <v>3.004819548983437E-3</v>
      </c>
    </row>
    <row r="1198" spans="2:8">
      <c r="B1198" s="46">
        <v>46052</v>
      </c>
      <c r="C1198" s="60">
        <v>5632.0966796875</v>
      </c>
      <c r="D1198" s="58">
        <f t="shared" si="36"/>
        <v>-6.2139339518691734E-3</v>
      </c>
      <c r="F1198" s="46">
        <v>46052</v>
      </c>
      <c r="G1198" s="60">
        <v>25320.650390625</v>
      </c>
      <c r="H1198" s="53">
        <f t="shared" si="37"/>
        <v>-3.8652340774047241E-3</v>
      </c>
    </row>
    <row r="1199" spans="2:8">
      <c r="B1199" s="46">
        <v>46055</v>
      </c>
      <c r="C1199" s="60">
        <v>5477.34423828125</v>
      </c>
      <c r="D1199" s="58">
        <f t="shared" si="36"/>
        <v>-2.747687943006627E-2</v>
      </c>
      <c r="F1199" s="46">
        <v>46055</v>
      </c>
      <c r="G1199" s="60">
        <v>25088.400390625</v>
      </c>
      <c r="H1199" s="51">
        <f t="shared" si="37"/>
        <v>-9.1723552285209401E-3</v>
      </c>
    </row>
    <row r="1200" spans="2:8">
      <c r="B1200" s="46">
        <v>46056</v>
      </c>
      <c r="C1200" s="60">
        <v>5656.89697265625</v>
      </c>
      <c r="D1200" s="58">
        <f t="shared" si="36"/>
        <v>3.2780984098115099E-2</v>
      </c>
      <c r="F1200" s="46">
        <v>46056</v>
      </c>
      <c r="G1200" s="60">
        <v>25727.55078125</v>
      </c>
      <c r="H1200" s="53">
        <f t="shared" si="37"/>
        <v>2.5475932330218904E-2</v>
      </c>
    </row>
    <row r="1201" spans="2:8">
      <c r="B1201" s="46">
        <v>46057</v>
      </c>
      <c r="C1201" s="60">
        <v>5608.28857421875</v>
      </c>
      <c r="D1201" s="58">
        <f t="shared" si="36"/>
        <v>-8.5927671429157151E-3</v>
      </c>
      <c r="F1201" s="46">
        <v>46057</v>
      </c>
      <c r="G1201" s="60">
        <v>25776</v>
      </c>
      <c r="H1201" s="51">
        <f t="shared" si="37"/>
        <v>1.8831648283174059E-3</v>
      </c>
    </row>
    <row r="1202" spans="2:8">
      <c r="B1202" s="46">
        <v>46058</v>
      </c>
      <c r="C1202" s="60">
        <v>5617.216796875</v>
      </c>
      <c r="D1202" s="58">
        <f t="shared" si="36"/>
        <v>1.5919691966802415E-3</v>
      </c>
      <c r="F1202" s="46">
        <v>46058</v>
      </c>
      <c r="G1202" s="60">
        <v>25642.80078125</v>
      </c>
      <c r="H1202" s="53">
        <f t="shared" si="37"/>
        <v>-5.1675674561607694E-3</v>
      </c>
    </row>
    <row r="1203" spans="2:8">
      <c r="B1203" s="46">
        <v>46059</v>
      </c>
      <c r="C1203" s="60">
        <v>5638.544921875</v>
      </c>
      <c r="D1203" s="58">
        <f t="shared" si="36"/>
        <v>3.7969203915834931E-3</v>
      </c>
      <c r="F1203" s="46">
        <v>46059</v>
      </c>
      <c r="G1203" s="60">
        <v>25693.69921875</v>
      </c>
      <c r="H1203" s="51">
        <f t="shared" si="37"/>
        <v>1.9849016468285676E-3</v>
      </c>
    </row>
    <row r="1204" spans="2:8">
      <c r="B1204" s="46">
        <v>46062</v>
      </c>
      <c r="C1204" s="60">
        <v>5704.51318359375</v>
      </c>
      <c r="D1204" s="58">
        <f t="shared" si="36"/>
        <v>1.1699518693701106E-2</v>
      </c>
      <c r="F1204" s="46">
        <v>46062</v>
      </c>
      <c r="G1204" s="60">
        <v>25867.30078125</v>
      </c>
      <c r="H1204" s="53">
        <f t="shared" si="37"/>
        <v>6.7565810988132885E-3</v>
      </c>
    </row>
    <row r="1205" spans="2:8">
      <c r="B1205" s="46">
        <v>46063</v>
      </c>
      <c r="C1205" s="60">
        <v>5765.025390625</v>
      </c>
      <c r="D1205" s="58">
        <f t="shared" si="36"/>
        <v>1.0607777576057471E-2</v>
      </c>
      <c r="F1205" s="46">
        <v>46063</v>
      </c>
      <c r="G1205" s="60">
        <v>25935.150390625</v>
      </c>
      <c r="H1205" s="51">
        <f t="shared" si="37"/>
        <v>2.6229876069706129E-3</v>
      </c>
    </row>
    <row r="1206" spans="2:8">
      <c r="B1206" s="46">
        <v>46064</v>
      </c>
      <c r="C1206" s="60">
        <v>5842.8974609375</v>
      </c>
      <c r="D1206" s="58">
        <f t="shared" si="36"/>
        <v>1.3507671698919909E-2</v>
      </c>
      <c r="F1206" s="46">
        <v>46064</v>
      </c>
      <c r="G1206" s="60">
        <v>25953.849609375</v>
      </c>
      <c r="H1206" s="53">
        <f t="shared" si="37"/>
        <v>7.2099904833246569E-4</v>
      </c>
    </row>
    <row r="1207" spans="2:8">
      <c r="B1207" s="46">
        <v>46065</v>
      </c>
      <c r="C1207" s="60">
        <v>5823.55322265625</v>
      </c>
      <c r="D1207" s="58">
        <f t="shared" si="36"/>
        <v>-3.3107269827299338E-3</v>
      </c>
      <c r="F1207" s="46">
        <v>46065</v>
      </c>
      <c r="G1207" s="60">
        <v>25807.19921875</v>
      </c>
      <c r="H1207" s="51">
        <f t="shared" si="37"/>
        <v>-5.6504292362096155E-3</v>
      </c>
    </row>
    <row r="1208" spans="2:8">
      <c r="B1208" s="46">
        <v>46066</v>
      </c>
      <c r="C1208" s="60">
        <v>5359.2958984375</v>
      </c>
      <c r="D1208" s="58">
        <f t="shared" si="36"/>
        <v>-7.9720628706985888E-2</v>
      </c>
      <c r="F1208" s="46">
        <v>46066</v>
      </c>
      <c r="G1208" s="60">
        <v>25471.099609375</v>
      </c>
      <c r="H1208" s="53">
        <f t="shared" si="37"/>
        <v>-1.3023482576552116E-2</v>
      </c>
    </row>
    <row r="1209" spans="2:8">
      <c r="B1209" s="46">
        <v>46069</v>
      </c>
      <c r="C1209" s="60">
        <v>5436.67236328125</v>
      </c>
      <c r="D1209" s="58">
        <f t="shared" si="36"/>
        <v>1.4437804202285055E-2</v>
      </c>
      <c r="F1209" s="46">
        <v>46069</v>
      </c>
      <c r="G1209" s="60">
        <v>25682.75</v>
      </c>
      <c r="H1209" s="51">
        <f t="shared" si="37"/>
        <v>8.3094328030933959E-3</v>
      </c>
    </row>
    <row r="1210" spans="2:8">
      <c r="B1210" s="46">
        <v>46070</v>
      </c>
      <c r="C1210" s="60">
        <v>5412.8642578125</v>
      </c>
      <c r="D1210" s="58">
        <f t="shared" si="36"/>
        <v>-4.3791687042882338E-3</v>
      </c>
      <c r="F1210" s="46">
        <v>46070</v>
      </c>
      <c r="G1210" s="60">
        <v>25725.400390625</v>
      </c>
      <c r="H1210" s="53">
        <f t="shared" si="37"/>
        <v>1.6606629206373927E-3</v>
      </c>
    </row>
    <row r="1211" spans="2:8">
      <c r="B1211" s="46">
        <v>46071</v>
      </c>
      <c r="C1211" s="60">
        <v>5420.30419921875</v>
      </c>
      <c r="D1211" s="58">
        <f t="shared" si="36"/>
        <v>1.3744925148477126E-3</v>
      </c>
      <c r="F1211" s="46">
        <v>46071</v>
      </c>
      <c r="G1211" s="60">
        <v>25819.349609375</v>
      </c>
      <c r="H1211" s="51">
        <f t="shared" si="37"/>
        <v>3.6520021971839754E-3</v>
      </c>
    </row>
    <row r="1212" spans="2:8">
      <c r="B1212" s="46">
        <v>46072</v>
      </c>
      <c r="C1212" s="60">
        <v>5334</v>
      </c>
      <c r="D1212" s="58">
        <f t="shared" si="36"/>
        <v>-1.5922390339492269E-2</v>
      </c>
      <c r="F1212" s="46">
        <v>46072</v>
      </c>
      <c r="G1212" s="60">
        <v>25454.349609375</v>
      </c>
      <c r="H1212" s="53">
        <f t="shared" si="37"/>
        <v>-1.4136684522350191E-2</v>
      </c>
    </row>
    <row r="1213" spans="2:8">
      <c r="B1213" s="46">
        <v>46073</v>
      </c>
      <c r="C1213" s="60">
        <v>5392</v>
      </c>
      <c r="D1213" s="58">
        <f t="shared" si="36"/>
        <v>1.0873640794900637E-2</v>
      </c>
      <c r="F1213" s="46">
        <v>46073</v>
      </c>
      <c r="G1213" s="60">
        <v>25571.25</v>
      </c>
      <c r="H1213" s="51">
        <f t="shared" si="37"/>
        <v>4.5925506806877847E-3</v>
      </c>
    </row>
    <row r="1214" spans="2:8">
      <c r="B1214" s="46">
        <v>46076</v>
      </c>
      <c r="C1214" s="60">
        <v>5490.5</v>
      </c>
      <c r="D1214" s="58">
        <f t="shared" si="36"/>
        <v>1.826780415430267E-2</v>
      </c>
      <c r="F1214" s="46">
        <v>46076</v>
      </c>
      <c r="G1214" s="60">
        <v>25713</v>
      </c>
      <c r="H1214" s="53">
        <f t="shared" si="37"/>
        <v>5.5433347998240208E-3</v>
      </c>
    </row>
    <row r="1215" spans="2:8">
      <c r="B1215" s="46">
        <v>46077</v>
      </c>
      <c r="C1215" s="60">
        <v>5495.5</v>
      </c>
      <c r="D1215" s="58">
        <f t="shared" si="36"/>
        <v>9.1066387396411986E-4</v>
      </c>
      <c r="F1215" s="46">
        <v>46077</v>
      </c>
      <c r="G1215" s="60">
        <v>25424.650390625</v>
      </c>
      <c r="H1215" s="51">
        <f t="shared" si="37"/>
        <v>-1.1214156627970288E-2</v>
      </c>
    </row>
    <row r="1216" spans="2:8">
      <c r="B1216" s="46">
        <v>46078</v>
      </c>
      <c r="C1216" s="60">
        <v>5625</v>
      </c>
      <c r="D1216" s="58">
        <f t="shared" si="36"/>
        <v>2.3564734783004276E-2</v>
      </c>
      <c r="F1216" s="46">
        <v>46078</v>
      </c>
      <c r="G1216" s="60">
        <v>25482.5</v>
      </c>
      <c r="H1216" s="53">
        <f t="shared" si="37"/>
        <v>2.2753354908011348E-3</v>
      </c>
    </row>
    <row r="1217" spans="2:8">
      <c r="B1217" s="46">
        <v>46079</v>
      </c>
      <c r="C1217" s="60">
        <v>5752</v>
      </c>
      <c r="D1217" s="58">
        <f t="shared" si="36"/>
        <v>2.2577777777777776E-2</v>
      </c>
      <c r="F1217" s="46">
        <v>46079</v>
      </c>
      <c r="G1217" s="60">
        <v>25496.55078125</v>
      </c>
      <c r="H1217" s="51">
        <f t="shared" si="37"/>
        <v>5.5138943392524285E-4</v>
      </c>
    </row>
    <row r="1218" spans="2:8">
      <c r="B1218" s="46">
        <v>46080</v>
      </c>
      <c r="C1218" s="60">
        <v>5639.5</v>
      </c>
      <c r="D1218" s="58">
        <f t="shared" si="36"/>
        <v>-1.9558414464534074E-2</v>
      </c>
      <c r="F1218" s="46">
        <v>46080</v>
      </c>
      <c r="G1218" s="60">
        <v>25178.650390625</v>
      </c>
      <c r="H1218" s="53">
        <f t="shared" si="37"/>
        <v>-1.2468368500212268E-2</v>
      </c>
    </row>
    <row r="1219" spans="2:8">
      <c r="B1219" s="46">
        <v>46083</v>
      </c>
      <c r="C1219" s="60">
        <v>5566</v>
      </c>
      <c r="D1219" s="58">
        <f t="shared" si="36"/>
        <v>-1.3033070307651388E-2</v>
      </c>
      <c r="F1219" s="46">
        <v>46083</v>
      </c>
      <c r="G1219" s="60">
        <v>24865.69921875</v>
      </c>
      <c r="H1219" s="51">
        <f t="shared" si="37"/>
        <v>-1.2429227421638295E-2</v>
      </c>
    </row>
    <row r="1220" spans="2:8">
      <c r="B1220" s="46">
        <v>46085</v>
      </c>
      <c r="C1220" s="60">
        <v>5466.5</v>
      </c>
      <c r="D1220" s="58">
        <f t="shared" si="36"/>
        <v>-1.7876392382321235E-2</v>
      </c>
      <c r="F1220" s="46">
        <v>46085</v>
      </c>
      <c r="G1220" s="60">
        <v>24480.5</v>
      </c>
      <c r="H1220" s="53">
        <f t="shared" si="37"/>
        <v>-1.5491187895474108E-2</v>
      </c>
    </row>
    <row r="1221" spans="2:8">
      <c r="B1221" s="46">
        <v>46086</v>
      </c>
      <c r="C1221" s="60">
        <v>5550</v>
      </c>
      <c r="D1221" s="58">
        <f t="shared" ref="D1221:D1237" si="38">(C1221-C1220)/C1220</f>
        <v>1.5274855940729901E-2</v>
      </c>
      <c r="F1221" s="46">
        <v>46086</v>
      </c>
      <c r="G1221" s="60">
        <v>24765.900390625</v>
      </c>
      <c r="H1221" s="51">
        <f t="shared" ref="H1221:H1237" si="39">(G1221-G1220)/G1220</f>
        <v>1.165827457057658E-2</v>
      </c>
    </row>
    <row r="1222" spans="2:8">
      <c r="B1222" s="46">
        <v>46087</v>
      </c>
      <c r="C1222" s="60">
        <v>5530</v>
      </c>
      <c r="D1222" s="58">
        <f t="shared" si="38"/>
        <v>-3.6036036036036037E-3</v>
      </c>
      <c r="F1222" s="46">
        <v>46087</v>
      </c>
      <c r="G1222" s="60">
        <v>24450.44921875</v>
      </c>
      <c r="H1222" s="53">
        <f t="shared" si="39"/>
        <v>-1.273731893044407E-2</v>
      </c>
    </row>
    <row r="1223" spans="2:8">
      <c r="B1223" s="46">
        <v>46090</v>
      </c>
      <c r="C1223" s="60">
        <v>5460</v>
      </c>
      <c r="D1223" s="58">
        <f t="shared" si="38"/>
        <v>-1.2658227848101266E-2</v>
      </c>
      <c r="F1223" s="46">
        <v>46090</v>
      </c>
      <c r="G1223" s="60">
        <v>24028.05078125</v>
      </c>
      <c r="H1223" s="51">
        <f t="shared" si="39"/>
        <v>-1.7275692308183883E-2</v>
      </c>
    </row>
    <row r="1224" spans="2:8">
      <c r="B1224" s="46">
        <v>46091</v>
      </c>
      <c r="C1224" s="60">
        <v>5616.5</v>
      </c>
      <c r="D1224" s="58">
        <f t="shared" si="38"/>
        <v>2.8663003663003662E-2</v>
      </c>
      <c r="F1224" s="46">
        <v>46091</v>
      </c>
      <c r="G1224" s="60">
        <v>24261.599609375</v>
      </c>
      <c r="H1224" s="53">
        <f t="shared" si="39"/>
        <v>9.7198407915488096E-3</v>
      </c>
    </row>
    <row r="1225" spans="2:8">
      <c r="B1225" s="46">
        <v>46092</v>
      </c>
      <c r="C1225" s="60">
        <v>5544.5</v>
      </c>
      <c r="D1225" s="58">
        <f t="shared" si="38"/>
        <v>-1.2819371494703106E-2</v>
      </c>
      <c r="F1225" s="46">
        <v>46092</v>
      </c>
      <c r="G1225" s="60">
        <v>23866.849609375</v>
      </c>
      <c r="H1225" s="51">
        <f t="shared" si="39"/>
        <v>-1.6270567743087452E-2</v>
      </c>
    </row>
    <row r="1226" spans="2:8">
      <c r="B1226" s="46">
        <v>46093</v>
      </c>
      <c r="C1226" s="60">
        <v>5444</v>
      </c>
      <c r="D1226" s="58">
        <f t="shared" si="38"/>
        <v>-1.8126070881053297E-2</v>
      </c>
      <c r="F1226" s="46">
        <v>46093</v>
      </c>
      <c r="G1226" s="60">
        <v>23639.150390625</v>
      </c>
      <c r="H1226" s="53">
        <f t="shared" si="39"/>
        <v>-9.5403969303329752E-3</v>
      </c>
    </row>
    <row r="1227" spans="2:8">
      <c r="B1227" s="46">
        <v>46094</v>
      </c>
      <c r="C1227" s="60">
        <v>5355.5</v>
      </c>
      <c r="D1227" s="58">
        <f t="shared" si="38"/>
        <v>-1.6256429096252755E-2</v>
      </c>
      <c r="F1227" s="46">
        <v>46094</v>
      </c>
      <c r="G1227" s="60">
        <v>23151.099609375</v>
      </c>
      <c r="H1227" s="51">
        <f t="shared" si="39"/>
        <v>-2.0645868112229408E-2</v>
      </c>
    </row>
    <row r="1228" spans="2:8">
      <c r="B1228" s="46">
        <v>46097</v>
      </c>
      <c r="C1228" s="60">
        <v>5323</v>
      </c>
      <c r="D1228" s="58">
        <f t="shared" si="38"/>
        <v>-6.0685276818224256E-3</v>
      </c>
      <c r="F1228" s="46">
        <v>46097</v>
      </c>
      <c r="G1228" s="60">
        <v>23408.80078125</v>
      </c>
      <c r="H1228" s="53">
        <f t="shared" si="39"/>
        <v>1.1131271353117254E-2</v>
      </c>
    </row>
    <row r="1229" spans="2:8">
      <c r="B1229" s="46">
        <v>46098</v>
      </c>
      <c r="C1229" s="60">
        <v>5333.5</v>
      </c>
      <c r="D1229" s="58">
        <f t="shared" si="38"/>
        <v>1.9725718579748264E-3</v>
      </c>
      <c r="F1229" s="46">
        <v>46098</v>
      </c>
      <c r="G1229" s="60">
        <v>23581.150390625</v>
      </c>
      <c r="H1229" s="51">
        <f t="shared" si="39"/>
        <v>7.3625988356075351E-3</v>
      </c>
    </row>
    <row r="1230" spans="2:8">
      <c r="B1230" s="46">
        <v>46099</v>
      </c>
      <c r="C1230" s="60">
        <v>5351.5</v>
      </c>
      <c r="D1230" s="58">
        <f t="shared" si="38"/>
        <v>3.3748945345457955E-3</v>
      </c>
      <c r="F1230" s="46">
        <v>46099</v>
      </c>
      <c r="G1230" s="60">
        <v>23777.80078125</v>
      </c>
      <c r="H1230" s="53">
        <f t="shared" si="39"/>
        <v>8.339304375208979E-3</v>
      </c>
    </row>
    <row r="1231" spans="2:8">
      <c r="B1231" s="46">
        <v>46100</v>
      </c>
      <c r="C1231" s="60">
        <v>5240</v>
      </c>
      <c r="D1231" s="58">
        <f t="shared" si="38"/>
        <v>-2.0835279828085584E-2</v>
      </c>
      <c r="F1231" s="46">
        <v>46100</v>
      </c>
      <c r="G1231" s="60">
        <v>23002.150390625</v>
      </c>
      <c r="H1231" s="51">
        <f t="shared" si="39"/>
        <v>-3.2620779262169594E-2</v>
      </c>
    </row>
    <row r="1232" spans="2:8">
      <c r="B1232" s="46">
        <v>46101</v>
      </c>
      <c r="C1232" s="60">
        <v>5257.5</v>
      </c>
      <c r="D1232" s="58">
        <f t="shared" si="38"/>
        <v>3.3396946564885495E-3</v>
      </c>
      <c r="F1232" s="46">
        <v>46101</v>
      </c>
      <c r="G1232" s="60">
        <v>23114.5</v>
      </c>
      <c r="H1232" s="53">
        <f t="shared" si="39"/>
        <v>4.8843089653387538E-3</v>
      </c>
    </row>
    <row r="1233" spans="2:8">
      <c r="B1233" s="46">
        <v>46104</v>
      </c>
      <c r="C1233" s="60">
        <v>5144.5</v>
      </c>
      <c r="D1233" s="58">
        <f t="shared" si="38"/>
        <v>-2.1493105087969568E-2</v>
      </c>
      <c r="F1233" s="46">
        <v>46104</v>
      </c>
      <c r="G1233" s="60">
        <v>22512.650390625</v>
      </c>
      <c r="H1233" s="51">
        <f t="shared" si="39"/>
        <v>-2.6037751600726817E-2</v>
      </c>
    </row>
    <row r="1234" spans="2:8">
      <c r="B1234" s="46">
        <v>46105</v>
      </c>
      <c r="C1234" s="60">
        <v>5297</v>
      </c>
      <c r="D1234" s="58">
        <f t="shared" si="38"/>
        <v>2.9643308387598405E-2</v>
      </c>
      <c r="F1234" s="46">
        <v>46105</v>
      </c>
      <c r="G1234" s="60">
        <v>22912.400390625</v>
      </c>
      <c r="H1234" s="53">
        <f t="shared" si="39"/>
        <v>1.7756683156527359E-2</v>
      </c>
    </row>
    <row r="1235" spans="2:8">
      <c r="B1235" s="46">
        <v>46106</v>
      </c>
      <c r="C1235" s="60">
        <v>5435.5</v>
      </c>
      <c r="D1235" s="58">
        <f t="shared" si="38"/>
        <v>2.614687558995658E-2</v>
      </c>
      <c r="F1235" s="46">
        <v>46106</v>
      </c>
      <c r="G1235" s="60">
        <v>23306.44921875</v>
      </c>
      <c r="H1235" s="51">
        <f t="shared" si="39"/>
        <v>1.719805962740734E-2</v>
      </c>
    </row>
    <row r="1236" spans="2:8">
      <c r="B1236" s="46">
        <v>46108</v>
      </c>
      <c r="C1236" s="60">
        <v>5344.5</v>
      </c>
      <c r="D1236" s="58">
        <f t="shared" si="38"/>
        <v>-1.6741790083708949E-2</v>
      </c>
      <c r="F1236" s="46">
        <v>46108</v>
      </c>
      <c r="G1236" s="60">
        <v>22819.599609375</v>
      </c>
      <c r="H1236" s="53">
        <f t="shared" si="39"/>
        <v>-2.0889051129389984E-2</v>
      </c>
    </row>
    <row r="1237" spans="2:8">
      <c r="B1237" s="46">
        <v>46111</v>
      </c>
      <c r="C1237" s="60">
        <v>5299</v>
      </c>
      <c r="D1237" s="58">
        <f t="shared" si="38"/>
        <v>-8.5134250163719713E-3</v>
      </c>
      <c r="F1237" s="46">
        <v>46111</v>
      </c>
      <c r="G1237" s="60">
        <v>22331.400390625</v>
      </c>
      <c r="H1237" s="51">
        <f t="shared" si="39"/>
        <v>-2.1393855593742871E-2</v>
      </c>
    </row>
    <row r="1238" spans="2:8">
      <c r="F1238" s="55"/>
      <c r="G1238" s="52"/>
      <c r="H1238" s="53"/>
    </row>
    <row r="1239" spans="2:8">
      <c r="F1239" s="56"/>
      <c r="G1239" s="50"/>
      <c r="H1239" s="51"/>
    </row>
    <row r="1240" spans="2:8">
      <c r="F1240" s="55"/>
      <c r="G1240" s="52"/>
      <c r="H1240" s="53"/>
    </row>
    <row r="1241" spans="2:8">
      <c r="F1241" s="56"/>
      <c r="G1241" s="50"/>
      <c r="H1241" s="51"/>
    </row>
    <row r="1242" spans="2:8">
      <c r="F1242" s="55"/>
      <c r="G1242" s="52"/>
      <c r="H1242" s="53"/>
    </row>
    <row r="1243" spans="2:8">
      <c r="F1243" s="56"/>
      <c r="G1243" s="50"/>
      <c r="H1243" s="51"/>
    </row>
    <row r="1244" spans="2:8">
      <c r="F1244" s="55"/>
      <c r="G1244" s="52"/>
      <c r="H1244" s="53"/>
    </row>
    <row r="1245" spans="2:8">
      <c r="F1245" s="56"/>
      <c r="G1245" s="50"/>
      <c r="H1245" s="51"/>
    </row>
    <row r="1246" spans="2:8">
      <c r="F1246" s="55"/>
      <c r="G1246" s="52"/>
      <c r="H1246" s="53"/>
    </row>
    <row r="1247" spans="2:8">
      <c r="F1247" s="56"/>
      <c r="G1247" s="50"/>
      <c r="H1247" s="51"/>
    </row>
    <row r="1248" spans="2:8">
      <c r="F1248" s="55"/>
      <c r="G1248" s="52"/>
      <c r="H1248" s="53"/>
    </row>
    <row r="1249" spans="6:8">
      <c r="F1249" s="56"/>
      <c r="G1249" s="50"/>
      <c r="H1249" s="51"/>
    </row>
    <row r="1250" spans="6:8">
      <c r="F1250" s="55"/>
      <c r="G1250" s="52"/>
      <c r="H1250" s="53"/>
    </row>
    <row r="1251" spans="6:8">
      <c r="F1251" s="56"/>
      <c r="G1251" s="50"/>
      <c r="H1251" s="51"/>
    </row>
    <row r="1252" spans="6:8">
      <c r="F1252" s="55"/>
      <c r="G1252" s="52"/>
      <c r="H1252" s="53"/>
    </row>
    <row r="1253" spans="6:8">
      <c r="F1253" s="56"/>
      <c r="G1253" s="50"/>
      <c r="H1253" s="51"/>
    </row>
    <row r="1254" spans="6:8">
      <c r="F1254" s="55"/>
      <c r="G1254" s="52"/>
      <c r="H1254" s="53"/>
    </row>
    <row r="1255" spans="6:8">
      <c r="F1255" s="56"/>
      <c r="G1255" s="50"/>
      <c r="H1255" s="51"/>
    </row>
    <row r="1256" spans="6:8">
      <c r="F1256" s="55"/>
      <c r="G1256" s="52"/>
      <c r="H1256" s="53"/>
    </row>
    <row r="1257" spans="6:8">
      <c r="F1257" s="56"/>
      <c r="G1257" s="50"/>
      <c r="H1257" s="51"/>
    </row>
    <row r="1258" spans="6:8">
      <c r="F1258" s="55"/>
      <c r="G1258" s="52"/>
      <c r="H1258" s="53"/>
    </row>
    <row r="1259" spans="6:8">
      <c r="F1259" s="56"/>
      <c r="G1259" s="50"/>
      <c r="H1259" s="51"/>
    </row>
    <row r="1260" spans="6:8">
      <c r="F1260" s="55"/>
      <c r="G1260" s="52"/>
      <c r="H1260" s="53"/>
    </row>
    <row r="1261" spans="6:8">
      <c r="F1261" s="56"/>
      <c r="G1261" s="50"/>
      <c r="H1261" s="51"/>
    </row>
    <row r="1262" spans="6:8">
      <c r="F1262" s="55"/>
      <c r="G1262" s="52"/>
      <c r="H1262" s="53"/>
    </row>
    <row r="1263" spans="6:8">
      <c r="F1263" s="56"/>
      <c r="G1263" s="50"/>
      <c r="H1263" s="51"/>
    </row>
    <row r="1264" spans="6:8">
      <c r="F1264" s="55"/>
      <c r="G1264" s="52"/>
      <c r="H1264" s="53"/>
    </row>
    <row r="1265" spans="6:8">
      <c r="F1265" s="56"/>
      <c r="G1265" s="50"/>
      <c r="H1265" s="51"/>
    </row>
    <row r="1266" spans="6:8">
      <c r="F1266" s="55"/>
      <c r="G1266" s="52"/>
      <c r="H1266" s="53"/>
    </row>
    <row r="1267" spans="6:8">
      <c r="F1267" s="56"/>
      <c r="G1267" s="50"/>
      <c r="H1267" s="51"/>
    </row>
    <row r="1268" spans="6:8">
      <c r="F1268" s="55"/>
      <c r="G1268" s="52"/>
      <c r="H1268" s="53"/>
    </row>
    <row r="1269" spans="6:8">
      <c r="F1269" s="56"/>
      <c r="G1269" s="50"/>
      <c r="H1269" s="51"/>
    </row>
    <row r="1270" spans="6:8">
      <c r="F1270" s="55"/>
      <c r="G1270" s="52"/>
      <c r="H1270" s="53"/>
    </row>
    <row r="1271" spans="6:8">
      <c r="F1271" s="56"/>
      <c r="G1271" s="50"/>
      <c r="H1271" s="51"/>
    </row>
    <row r="1272" spans="6:8">
      <c r="F1272" s="55"/>
      <c r="G1272" s="52"/>
      <c r="H1272" s="53"/>
    </row>
    <row r="1273" spans="6:8">
      <c r="F1273" s="56"/>
      <c r="G1273" s="50"/>
      <c r="H1273" s="51"/>
    </row>
    <row r="1274" spans="6:8">
      <c r="F1274" s="55"/>
      <c r="G1274" s="52"/>
      <c r="H1274" s="53"/>
    </row>
    <row r="1275" spans="6:8">
      <c r="F1275" s="56"/>
      <c r="G1275" s="50"/>
      <c r="H1275" s="51"/>
    </row>
    <row r="1276" spans="6:8">
      <c r="F1276" s="55"/>
      <c r="G1276" s="52"/>
      <c r="H1276" s="53"/>
    </row>
    <row r="1277" spans="6:8">
      <c r="F1277" s="56"/>
      <c r="G1277" s="50"/>
      <c r="H1277" s="51"/>
    </row>
    <row r="1278" spans="6:8">
      <c r="F1278" s="55"/>
      <c r="G1278" s="52"/>
      <c r="H1278" s="53"/>
    </row>
    <row r="1279" spans="6:8">
      <c r="F1279" s="56"/>
      <c r="G1279" s="50"/>
      <c r="H1279" s="51"/>
    </row>
    <row r="1280" spans="6:8">
      <c r="F1280" s="55"/>
      <c r="G1280" s="52"/>
      <c r="H1280" s="53"/>
    </row>
    <row r="1281" spans="6:8">
      <c r="F1281" s="56"/>
      <c r="G1281" s="50"/>
      <c r="H1281" s="51"/>
    </row>
    <row r="1282" spans="6:8">
      <c r="F1282" s="55"/>
      <c r="G1282" s="52"/>
      <c r="H1282" s="53"/>
    </row>
    <row r="1283" spans="6:8">
      <c r="F1283" s="56"/>
      <c r="G1283" s="50"/>
      <c r="H1283" s="51"/>
    </row>
    <row r="1284" spans="6:8">
      <c r="F1284" s="55"/>
      <c r="G1284" s="52"/>
      <c r="H1284" s="53"/>
    </row>
    <row r="1285" spans="6:8">
      <c r="F1285" s="56"/>
      <c r="G1285" s="50"/>
      <c r="H1285" s="51"/>
    </row>
    <row r="1286" spans="6:8">
      <c r="F1286" s="55"/>
      <c r="G1286" s="52"/>
      <c r="H1286" s="53"/>
    </row>
    <row r="1287" spans="6:8">
      <c r="F1287" s="56"/>
      <c r="G1287" s="50"/>
      <c r="H1287" s="51"/>
    </row>
    <row r="1288" spans="6:8">
      <c r="F1288" s="55"/>
      <c r="G1288" s="52"/>
      <c r="H1288" s="53"/>
    </row>
    <row r="1289" spans="6:8">
      <c r="F1289" s="56"/>
      <c r="G1289" s="50"/>
      <c r="H1289" s="51"/>
    </row>
    <row r="1290" spans="6:8">
      <c r="F1290" s="55"/>
      <c r="G1290" s="52"/>
      <c r="H1290" s="53"/>
    </row>
    <row r="1291" spans="6:8">
      <c r="F1291" s="56"/>
      <c r="G1291" s="50"/>
      <c r="H1291" s="51"/>
    </row>
    <row r="1292" spans="6:8">
      <c r="F1292" s="55"/>
      <c r="G1292" s="52"/>
      <c r="H1292" s="53"/>
    </row>
    <row r="1293" spans="6:8">
      <c r="F1293" s="56"/>
      <c r="G1293" s="50"/>
      <c r="H1293" s="51"/>
    </row>
    <row r="1294" spans="6:8">
      <c r="F1294" s="55"/>
      <c r="G1294" s="52"/>
      <c r="H1294" s="53"/>
    </row>
    <row r="1295" spans="6:8">
      <c r="F1295" s="56"/>
      <c r="G1295" s="50"/>
      <c r="H1295" s="51"/>
    </row>
    <row r="1296" spans="6:8">
      <c r="F1296" s="55"/>
      <c r="G1296" s="52"/>
      <c r="H1296" s="53"/>
    </row>
    <row r="1297" spans="6:8">
      <c r="F1297" s="56"/>
      <c r="G1297" s="50"/>
      <c r="H1297" s="51"/>
    </row>
    <row r="1298" spans="6:8">
      <c r="F1298" s="55"/>
      <c r="G1298" s="52"/>
      <c r="H1298" s="53"/>
    </row>
    <row r="1299" spans="6:8">
      <c r="F1299" s="56"/>
      <c r="G1299" s="50"/>
      <c r="H1299" s="51"/>
    </row>
    <row r="1300" spans="6:8">
      <c r="F1300" s="55"/>
      <c r="G1300" s="52"/>
      <c r="H1300" s="53"/>
    </row>
    <row r="1301" spans="6:8">
      <c r="F1301" s="56"/>
      <c r="G1301" s="50"/>
      <c r="H1301" s="51"/>
    </row>
    <row r="1302" spans="6:8">
      <c r="F1302" s="55"/>
      <c r="G1302" s="52"/>
      <c r="H1302" s="53"/>
    </row>
    <row r="1303" spans="6:8">
      <c r="F1303" s="56"/>
      <c r="G1303" s="50"/>
      <c r="H1303" s="51"/>
    </row>
    <row r="1304" spans="6:8">
      <c r="F1304" s="55"/>
      <c r="G1304" s="52"/>
      <c r="H1304" s="53"/>
    </row>
    <row r="1305" spans="6:8">
      <c r="F1305" s="56"/>
      <c r="G1305" s="50"/>
      <c r="H1305" s="51"/>
    </row>
    <row r="1306" spans="6:8">
      <c r="F1306" s="55"/>
      <c r="G1306" s="52"/>
      <c r="H1306" s="53"/>
    </row>
    <row r="1307" spans="6:8">
      <c r="F1307" s="56"/>
      <c r="G1307" s="50"/>
      <c r="H1307" s="51"/>
    </row>
    <row r="1308" spans="6:8">
      <c r="F1308" s="55"/>
      <c r="G1308" s="52"/>
      <c r="H1308" s="53"/>
    </row>
    <row r="1309" spans="6:8">
      <c r="F1309" s="56"/>
      <c r="G1309" s="50"/>
      <c r="H1309" s="51"/>
    </row>
    <row r="1310" spans="6:8">
      <c r="F1310" s="55"/>
      <c r="G1310" s="52"/>
      <c r="H1310" s="53"/>
    </row>
    <row r="1311" spans="6:8">
      <c r="F1311" s="56"/>
      <c r="G1311" s="50"/>
      <c r="H1311" s="51"/>
    </row>
    <row r="1312" spans="6:8">
      <c r="F1312" s="55"/>
      <c r="G1312" s="52"/>
      <c r="H1312" s="53"/>
    </row>
    <row r="1313" spans="6:8">
      <c r="F1313" s="56"/>
      <c r="G1313" s="50"/>
      <c r="H1313" s="51"/>
    </row>
    <row r="1314" spans="6:8">
      <c r="F1314" s="55"/>
      <c r="G1314" s="52"/>
      <c r="H1314" s="53"/>
    </row>
    <row r="1315" spans="6:8">
      <c r="F1315" s="56"/>
      <c r="G1315" s="50"/>
      <c r="H1315" s="51"/>
    </row>
    <row r="1316" spans="6:8">
      <c r="F1316" s="55"/>
      <c r="G1316" s="52"/>
      <c r="H1316" s="53"/>
    </row>
    <row r="1317" spans="6:8">
      <c r="F1317" s="56"/>
      <c r="G1317" s="50"/>
      <c r="H1317" s="51"/>
    </row>
    <row r="1318" spans="6:8">
      <c r="F1318" s="55"/>
      <c r="G1318" s="52"/>
      <c r="H1318" s="53"/>
    </row>
    <row r="1319" spans="6:8">
      <c r="F1319" s="56"/>
      <c r="G1319" s="50"/>
      <c r="H1319" s="51"/>
    </row>
    <row r="1320" spans="6:8">
      <c r="F1320" s="55"/>
      <c r="G1320" s="52"/>
      <c r="H1320" s="53"/>
    </row>
    <row r="1321" spans="6:8">
      <c r="F1321" s="56"/>
      <c r="G1321" s="50"/>
      <c r="H1321" s="51"/>
    </row>
    <row r="1322" spans="6:8">
      <c r="F1322" s="55"/>
      <c r="G1322" s="52"/>
      <c r="H1322" s="53"/>
    </row>
    <row r="1323" spans="6:8">
      <c r="F1323" s="56"/>
      <c r="G1323" s="50"/>
      <c r="H1323" s="51"/>
    </row>
    <row r="1324" spans="6:8">
      <c r="F1324" s="55"/>
      <c r="G1324" s="52"/>
      <c r="H1324" s="53"/>
    </row>
    <row r="1325" spans="6:8">
      <c r="F1325" s="56"/>
      <c r="G1325" s="50"/>
      <c r="H1325" s="51"/>
    </row>
    <row r="1326" spans="6:8">
      <c r="F1326" s="55"/>
      <c r="G1326" s="52"/>
      <c r="H1326" s="53"/>
    </row>
    <row r="1327" spans="6:8">
      <c r="F1327" s="56"/>
      <c r="G1327" s="50"/>
      <c r="H1327" s="51"/>
    </row>
    <row r="1328" spans="6:8">
      <c r="F1328" s="55"/>
      <c r="G1328" s="52"/>
      <c r="H1328" s="53"/>
    </row>
    <row r="1329" spans="6:8">
      <c r="F1329" s="56"/>
      <c r="G1329" s="50"/>
      <c r="H1329" s="51"/>
    </row>
    <row r="1330" spans="6:8">
      <c r="F1330" s="55"/>
      <c r="G1330" s="52"/>
      <c r="H1330" s="53"/>
    </row>
    <row r="1331" spans="6:8">
      <c r="F1331" s="56"/>
      <c r="G1331" s="50"/>
      <c r="H1331" s="51"/>
    </row>
    <row r="1332" spans="6:8">
      <c r="F1332" s="55"/>
      <c r="G1332" s="52"/>
      <c r="H1332" s="53"/>
    </row>
    <row r="1333" spans="6:8">
      <c r="F1333" s="56"/>
      <c r="G1333" s="50"/>
      <c r="H1333" s="51"/>
    </row>
    <row r="1334" spans="6:8">
      <c r="F1334" s="55"/>
      <c r="G1334" s="52"/>
      <c r="H1334" s="53"/>
    </row>
    <row r="1335" spans="6:8">
      <c r="F1335" s="56"/>
      <c r="G1335" s="50"/>
      <c r="H1335" s="51"/>
    </row>
    <row r="1336" spans="6:8">
      <c r="F1336" s="55"/>
      <c r="G1336" s="52"/>
      <c r="H1336" s="53"/>
    </row>
    <row r="1337" spans="6:8">
      <c r="F1337" s="56"/>
      <c r="G1337" s="50"/>
      <c r="H1337" s="51"/>
    </row>
    <row r="1338" spans="6:8">
      <c r="F1338" s="55"/>
      <c r="G1338" s="52"/>
      <c r="H1338" s="53"/>
    </row>
    <row r="1339" spans="6:8">
      <c r="F1339" s="56"/>
      <c r="G1339" s="50"/>
      <c r="H1339" s="51"/>
    </row>
    <row r="1340" spans="6:8">
      <c r="F1340" s="55"/>
      <c r="G1340" s="52"/>
      <c r="H1340" s="53"/>
    </row>
    <row r="1341" spans="6:8">
      <c r="F1341" s="56"/>
      <c r="G1341" s="50"/>
      <c r="H1341" s="51"/>
    </row>
    <row r="1342" spans="6:8">
      <c r="F1342" s="55"/>
      <c r="G1342" s="52"/>
      <c r="H1342" s="53"/>
    </row>
    <row r="1343" spans="6:8">
      <c r="F1343" s="56"/>
      <c r="G1343" s="50"/>
      <c r="H1343" s="51"/>
    </row>
    <row r="1344" spans="6:8">
      <c r="F1344" s="55"/>
      <c r="G1344" s="52"/>
      <c r="H1344" s="53"/>
    </row>
    <row r="1345" spans="6:8">
      <c r="F1345" s="56"/>
      <c r="G1345" s="50"/>
      <c r="H1345" s="51"/>
    </row>
    <row r="1346" spans="6:8">
      <c r="F1346" s="55"/>
      <c r="G1346" s="52"/>
      <c r="H1346" s="53"/>
    </row>
    <row r="1347" spans="6:8">
      <c r="F1347" s="56"/>
      <c r="G1347" s="50"/>
      <c r="H1347" s="51"/>
    </row>
    <row r="1348" spans="6:8">
      <c r="F1348" s="55"/>
      <c r="G1348" s="52"/>
      <c r="H1348" s="53"/>
    </row>
    <row r="1349" spans="6:8">
      <c r="F1349" s="56"/>
      <c r="G1349" s="50"/>
      <c r="H1349" s="51"/>
    </row>
    <row r="1350" spans="6:8">
      <c r="F1350" s="55"/>
      <c r="G1350" s="52"/>
      <c r="H1350" s="53"/>
    </row>
    <row r="1351" spans="6:8">
      <c r="F1351" s="56"/>
      <c r="G1351" s="50"/>
      <c r="H1351" s="51"/>
    </row>
    <row r="1352" spans="6:8">
      <c r="F1352" s="55"/>
      <c r="G1352" s="52"/>
      <c r="H1352" s="53"/>
    </row>
    <row r="1353" spans="6:8">
      <c r="F1353" s="56"/>
      <c r="G1353" s="50"/>
      <c r="H1353" s="51"/>
    </row>
    <row r="1354" spans="6:8">
      <c r="F1354" s="55"/>
      <c r="G1354" s="52"/>
      <c r="H1354" s="53"/>
    </row>
    <row r="1355" spans="6:8">
      <c r="F1355" s="56"/>
      <c r="G1355" s="50"/>
      <c r="H1355" s="51"/>
    </row>
    <row r="1356" spans="6:8">
      <c r="F1356" s="55"/>
      <c r="G1356" s="52"/>
      <c r="H1356" s="53"/>
    </row>
    <row r="1357" spans="6:8">
      <c r="F1357" s="56"/>
      <c r="G1357" s="50"/>
      <c r="H1357" s="51"/>
    </row>
    <row r="1358" spans="6:8">
      <c r="F1358" s="55"/>
      <c r="G1358" s="52"/>
      <c r="H1358" s="53"/>
    </row>
    <row r="1359" spans="6:8">
      <c r="F1359" s="56"/>
      <c r="G1359" s="50"/>
      <c r="H1359" s="51"/>
    </row>
    <row r="1360" spans="6:8">
      <c r="F1360" s="55"/>
      <c r="G1360" s="52"/>
      <c r="H1360" s="53"/>
    </row>
    <row r="1361" spans="6:8">
      <c r="F1361" s="56"/>
      <c r="G1361" s="50"/>
      <c r="H1361" s="51"/>
    </row>
    <row r="1362" spans="6:8">
      <c r="F1362" s="55"/>
      <c r="G1362" s="52"/>
      <c r="H1362" s="53"/>
    </row>
    <row r="1363" spans="6:8">
      <c r="F1363" s="56"/>
      <c r="G1363" s="50"/>
      <c r="H1363" s="51"/>
    </row>
    <row r="1364" spans="6:8">
      <c r="F1364" s="55"/>
      <c r="G1364" s="52"/>
      <c r="H1364" s="53"/>
    </row>
    <row r="1365" spans="6:8">
      <c r="F1365" s="56"/>
      <c r="G1365" s="50"/>
      <c r="H1365" s="51"/>
    </row>
    <row r="1366" spans="6:8">
      <c r="F1366" s="55"/>
      <c r="G1366" s="52"/>
      <c r="H1366" s="53"/>
    </row>
    <row r="1367" spans="6:8">
      <c r="F1367" s="56"/>
      <c r="G1367" s="50"/>
      <c r="H1367" s="51"/>
    </row>
    <row r="1368" spans="6:8">
      <c r="F1368" s="55"/>
      <c r="G1368" s="52"/>
      <c r="H1368" s="53"/>
    </row>
    <row r="1369" spans="6:8">
      <c r="F1369" s="56"/>
      <c r="G1369" s="50"/>
      <c r="H1369" s="51"/>
    </row>
    <row r="1370" spans="6:8">
      <c r="F1370" s="55"/>
      <c r="G1370" s="52"/>
      <c r="H1370" s="53"/>
    </row>
    <row r="1371" spans="6:8">
      <c r="F1371" s="56"/>
      <c r="G1371" s="50"/>
      <c r="H1371" s="51"/>
    </row>
    <row r="1372" spans="6:8">
      <c r="F1372" s="55"/>
      <c r="G1372" s="52"/>
      <c r="H1372" s="53"/>
    </row>
    <row r="1373" spans="6:8">
      <c r="F1373" s="56"/>
      <c r="G1373" s="50"/>
      <c r="H1373" s="51"/>
    </row>
    <row r="1374" spans="6:8">
      <c r="F1374" s="55"/>
      <c r="G1374" s="52"/>
      <c r="H1374" s="53"/>
    </row>
    <row r="1375" spans="6:8">
      <c r="F1375" s="56"/>
      <c r="G1375" s="50"/>
      <c r="H1375" s="51"/>
    </row>
    <row r="1376" spans="6:8">
      <c r="F1376" s="55"/>
      <c r="G1376" s="52"/>
      <c r="H1376" s="53"/>
    </row>
    <row r="1377" spans="6:8">
      <c r="F1377" s="56"/>
      <c r="G1377" s="50"/>
      <c r="H1377" s="51"/>
    </row>
    <row r="1378" spans="6:8">
      <c r="F1378" s="55"/>
      <c r="G1378" s="52"/>
      <c r="H1378" s="53"/>
    </row>
    <row r="1379" spans="6:8">
      <c r="F1379" s="56"/>
      <c r="G1379" s="50"/>
      <c r="H1379" s="51"/>
    </row>
    <row r="1380" spans="6:8">
      <c r="F1380" s="55"/>
      <c r="G1380" s="52"/>
      <c r="H1380" s="53"/>
    </row>
    <row r="1381" spans="6:8">
      <c r="F1381" s="56"/>
      <c r="G1381" s="50"/>
      <c r="H1381" s="51"/>
    </row>
    <row r="1382" spans="6:8">
      <c r="F1382" s="55"/>
      <c r="G1382" s="52"/>
      <c r="H1382" s="53"/>
    </row>
    <row r="1383" spans="6:8">
      <c r="F1383" s="56"/>
      <c r="G1383" s="50"/>
      <c r="H1383" s="51"/>
    </row>
    <row r="1384" spans="6:8">
      <c r="F1384" s="55"/>
      <c r="G1384" s="52"/>
      <c r="H1384" s="53"/>
    </row>
    <row r="1385" spans="6:8">
      <c r="F1385" s="56"/>
      <c r="G1385" s="50"/>
      <c r="H1385" s="51"/>
    </row>
    <row r="1386" spans="6:8">
      <c r="F1386" s="55"/>
      <c r="G1386" s="52"/>
      <c r="H1386" s="53"/>
    </row>
    <row r="1387" spans="6:8">
      <c r="F1387" s="56"/>
      <c r="G1387" s="50"/>
      <c r="H1387" s="51"/>
    </row>
    <row r="1388" spans="6:8">
      <c r="F1388" s="55"/>
      <c r="G1388" s="52"/>
      <c r="H1388" s="53"/>
    </row>
    <row r="1389" spans="6:8">
      <c r="F1389" s="56"/>
      <c r="G1389" s="50"/>
      <c r="H1389" s="51"/>
    </row>
    <row r="1390" spans="6:8">
      <c r="F1390" s="55"/>
      <c r="G1390" s="52"/>
      <c r="H1390" s="53"/>
    </row>
    <row r="1391" spans="6:8">
      <c r="F1391" s="56"/>
      <c r="G1391" s="50"/>
      <c r="H1391" s="51"/>
    </row>
    <row r="1392" spans="6:8">
      <c r="F1392" s="55"/>
      <c r="G1392" s="52"/>
      <c r="H1392" s="53"/>
    </row>
    <row r="1393" spans="6:8">
      <c r="F1393" s="56"/>
      <c r="G1393" s="50"/>
      <c r="H1393" s="51"/>
    </row>
    <row r="1394" spans="6:8">
      <c r="F1394" s="55"/>
      <c r="G1394" s="52"/>
      <c r="H1394" s="53"/>
    </row>
    <row r="1395" spans="6:8">
      <c r="F1395" s="56"/>
      <c r="G1395" s="50"/>
      <c r="H1395" s="51"/>
    </row>
    <row r="1396" spans="6:8">
      <c r="F1396" s="55"/>
      <c r="G1396" s="52"/>
      <c r="H1396" s="53"/>
    </row>
    <row r="1397" spans="6:8">
      <c r="F1397" s="56"/>
      <c r="G1397" s="50"/>
      <c r="H1397" s="51"/>
    </row>
    <row r="1398" spans="6:8">
      <c r="F1398" s="55"/>
      <c r="G1398" s="52"/>
      <c r="H1398" s="53"/>
    </row>
    <row r="1399" spans="6:8">
      <c r="F1399" s="56"/>
      <c r="G1399" s="50"/>
      <c r="H1399" s="51"/>
    </row>
    <row r="1400" spans="6:8">
      <c r="F1400" s="55"/>
      <c r="G1400" s="52"/>
      <c r="H1400" s="53"/>
    </row>
    <row r="1401" spans="6:8">
      <c r="F1401" s="56"/>
      <c r="G1401" s="50"/>
      <c r="H1401" s="51"/>
    </row>
    <row r="1402" spans="6:8">
      <c r="F1402" s="55"/>
      <c r="G1402" s="52"/>
      <c r="H1402" s="53"/>
    </row>
    <row r="1403" spans="6:8">
      <c r="F1403" s="56"/>
      <c r="G1403" s="50"/>
      <c r="H1403" s="51"/>
    </row>
    <row r="1404" spans="6:8">
      <c r="F1404" s="55"/>
      <c r="G1404" s="52"/>
      <c r="H1404" s="53"/>
    </row>
    <row r="1405" spans="6:8">
      <c r="F1405" s="56"/>
      <c r="G1405" s="50"/>
      <c r="H1405" s="51"/>
    </row>
    <row r="1406" spans="6:8">
      <c r="F1406" s="55"/>
      <c r="G1406" s="52"/>
      <c r="H1406" s="53"/>
    </row>
    <row r="1407" spans="6:8">
      <c r="F1407" s="56"/>
      <c r="G1407" s="50"/>
      <c r="H1407" s="51"/>
    </row>
    <row r="1408" spans="6:8">
      <c r="F1408" s="55"/>
      <c r="G1408" s="52"/>
      <c r="H1408" s="53"/>
    </row>
    <row r="1409" spans="6:8">
      <c r="F1409" s="56"/>
      <c r="G1409" s="50"/>
      <c r="H1409" s="51"/>
    </row>
    <row r="1410" spans="6:8">
      <c r="F1410" s="55"/>
      <c r="G1410" s="52"/>
      <c r="H1410" s="53"/>
    </row>
    <row r="1411" spans="6:8">
      <c r="F1411" s="56"/>
      <c r="G1411" s="50"/>
      <c r="H1411" s="51"/>
    </row>
    <row r="1412" spans="6:8">
      <c r="F1412" s="55"/>
      <c r="G1412" s="52"/>
      <c r="H1412" s="53"/>
    </row>
    <row r="1413" spans="6:8">
      <c r="F1413" s="56"/>
      <c r="G1413" s="50"/>
      <c r="H1413" s="51"/>
    </row>
    <row r="1414" spans="6:8">
      <c r="F1414" s="55"/>
      <c r="G1414" s="52"/>
      <c r="H1414" s="53"/>
    </row>
    <row r="1415" spans="6:8">
      <c r="F1415" s="56"/>
      <c r="G1415" s="50"/>
      <c r="H1415" s="51"/>
    </row>
    <row r="1416" spans="6:8">
      <c r="F1416" s="55"/>
      <c r="G1416" s="52"/>
      <c r="H1416" s="53"/>
    </row>
    <row r="1417" spans="6:8">
      <c r="F1417" s="56"/>
      <c r="G1417" s="50"/>
      <c r="H1417" s="51"/>
    </row>
    <row r="1418" spans="6:8">
      <c r="F1418" s="55"/>
      <c r="G1418" s="52"/>
      <c r="H1418" s="53"/>
    </row>
    <row r="1419" spans="6:8">
      <c r="F1419" s="56"/>
      <c r="G1419" s="50"/>
      <c r="H1419" s="51"/>
    </row>
    <row r="1420" spans="6:8">
      <c r="F1420" s="55"/>
      <c r="G1420" s="52"/>
      <c r="H1420" s="53"/>
    </row>
    <row r="1421" spans="6:8">
      <c r="F1421" s="56"/>
      <c r="G1421" s="50"/>
      <c r="H1421" s="51"/>
    </row>
    <row r="1422" spans="6:8">
      <c r="F1422" s="55"/>
      <c r="G1422" s="52"/>
      <c r="H1422" s="53"/>
    </row>
    <row r="1423" spans="6:8">
      <c r="F1423" s="56"/>
      <c r="G1423" s="50"/>
      <c r="H1423" s="51"/>
    </row>
    <row r="1424" spans="6:8">
      <c r="F1424" s="55"/>
      <c r="G1424" s="52"/>
      <c r="H1424" s="53"/>
    </row>
    <row r="1425" spans="6:8">
      <c r="F1425" s="56"/>
      <c r="G1425" s="50"/>
      <c r="H1425" s="51"/>
    </row>
    <row r="1426" spans="6:8">
      <c r="F1426" s="55"/>
      <c r="G1426" s="52"/>
      <c r="H1426" s="53"/>
    </row>
    <row r="1427" spans="6:8">
      <c r="F1427" s="56"/>
      <c r="G1427" s="50"/>
      <c r="H1427" s="51"/>
    </row>
    <row r="1428" spans="6:8">
      <c r="F1428" s="55"/>
      <c r="G1428" s="52"/>
      <c r="H1428" s="53"/>
    </row>
    <row r="1429" spans="6:8">
      <c r="F1429" s="56"/>
      <c r="G1429" s="50"/>
      <c r="H1429" s="51"/>
    </row>
    <row r="1430" spans="6:8">
      <c r="F1430" s="55"/>
      <c r="G1430" s="52"/>
      <c r="H1430" s="53"/>
    </row>
    <row r="1431" spans="6:8">
      <c r="F1431" s="56"/>
      <c r="G1431" s="50"/>
      <c r="H1431" s="51"/>
    </row>
    <row r="1432" spans="6:8">
      <c r="F1432" s="55"/>
      <c r="G1432" s="52"/>
      <c r="H1432" s="53"/>
    </row>
    <row r="1433" spans="6:8">
      <c r="F1433" s="56"/>
      <c r="G1433" s="50"/>
      <c r="H1433" s="51"/>
    </row>
    <row r="1434" spans="6:8">
      <c r="F1434" s="55"/>
      <c r="G1434" s="52"/>
      <c r="H1434" s="53"/>
    </row>
    <row r="1435" spans="6:8">
      <c r="F1435" s="56"/>
      <c r="G1435" s="50"/>
      <c r="H1435" s="51"/>
    </row>
    <row r="1436" spans="6:8">
      <c r="F1436" s="55"/>
      <c r="G1436" s="52"/>
      <c r="H1436" s="53"/>
    </row>
    <row r="1437" spans="6:8">
      <c r="F1437" s="56"/>
      <c r="G1437" s="50"/>
      <c r="H1437" s="51"/>
    </row>
    <row r="1438" spans="6:8">
      <c r="F1438" s="55"/>
      <c r="G1438" s="52"/>
      <c r="H1438" s="53"/>
    </row>
    <row r="1439" spans="6:8">
      <c r="F1439" s="56"/>
      <c r="G1439" s="50"/>
      <c r="H1439" s="51"/>
    </row>
    <row r="1440" spans="6:8">
      <c r="F1440" s="55"/>
      <c r="G1440" s="52"/>
      <c r="H1440" s="53"/>
    </row>
    <row r="1441" spans="6:8">
      <c r="F1441" s="56"/>
      <c r="G1441" s="50"/>
      <c r="H1441" s="51"/>
    </row>
    <row r="1442" spans="6:8">
      <c r="F1442" s="55"/>
      <c r="G1442" s="52"/>
      <c r="H1442" s="53"/>
    </row>
    <row r="1443" spans="6:8">
      <c r="F1443" s="56"/>
      <c r="G1443" s="50"/>
      <c r="H1443" s="51"/>
    </row>
    <row r="1444" spans="6:8">
      <c r="F1444" s="55"/>
      <c r="G1444" s="52"/>
      <c r="H1444" s="53"/>
    </row>
    <row r="1445" spans="6:8">
      <c r="F1445" s="56"/>
      <c r="G1445" s="50"/>
      <c r="H1445" s="51"/>
    </row>
    <row r="1446" spans="6:8">
      <c r="F1446" s="55"/>
      <c r="G1446" s="52"/>
      <c r="H1446" s="53"/>
    </row>
    <row r="1447" spans="6:8">
      <c r="F1447" s="56"/>
      <c r="G1447" s="50"/>
      <c r="H1447" s="51"/>
    </row>
    <row r="1448" spans="6:8">
      <c r="F1448" s="55"/>
      <c r="G1448" s="52"/>
      <c r="H1448" s="53"/>
    </row>
    <row r="1449" spans="6:8">
      <c r="F1449" s="56"/>
      <c r="G1449" s="50"/>
      <c r="H1449" s="51"/>
    </row>
    <row r="1450" spans="6:8">
      <c r="F1450" s="55"/>
      <c r="G1450" s="52"/>
      <c r="H1450" s="53"/>
    </row>
    <row r="1451" spans="6:8">
      <c r="F1451" s="56"/>
      <c r="G1451" s="50"/>
      <c r="H1451" s="51"/>
    </row>
    <row r="1452" spans="6:8">
      <c r="F1452" s="55"/>
      <c r="G1452" s="52"/>
      <c r="H1452" s="53"/>
    </row>
    <row r="1453" spans="6:8">
      <c r="F1453" s="56"/>
      <c r="G1453" s="50"/>
      <c r="H1453" s="51"/>
    </row>
    <row r="1454" spans="6:8">
      <c r="F1454" s="55"/>
      <c r="G1454" s="52"/>
      <c r="H1454" s="53"/>
    </row>
    <row r="1455" spans="6:8">
      <c r="F1455" s="56"/>
      <c r="G1455" s="50"/>
      <c r="H1455" s="51"/>
    </row>
    <row r="1456" spans="6:8">
      <c r="F1456" s="55"/>
      <c r="G1456" s="52"/>
      <c r="H1456" s="53"/>
    </row>
    <row r="1457" spans="6:8">
      <c r="F1457" s="56"/>
      <c r="G1457" s="50"/>
      <c r="H1457" s="51"/>
    </row>
    <row r="1458" spans="6:8">
      <c r="F1458" s="55"/>
      <c r="G1458" s="52"/>
      <c r="H1458" s="53"/>
    </row>
    <row r="1459" spans="6:8">
      <c r="F1459" s="56"/>
      <c r="G1459" s="50"/>
      <c r="H1459" s="51"/>
    </row>
    <row r="1460" spans="6:8">
      <c r="F1460" s="55"/>
      <c r="G1460" s="52"/>
      <c r="H1460" s="53"/>
    </row>
    <row r="1461" spans="6:8">
      <c r="F1461" s="56"/>
      <c r="G1461" s="50"/>
      <c r="H1461" s="51"/>
    </row>
    <row r="1462" spans="6:8">
      <c r="F1462" s="55"/>
      <c r="G1462" s="52"/>
      <c r="H1462" s="53"/>
    </row>
    <row r="1463" spans="6:8">
      <c r="F1463" s="56"/>
      <c r="G1463" s="50"/>
      <c r="H1463" s="51"/>
    </row>
    <row r="1464" spans="6:8">
      <c r="F1464" s="55"/>
      <c r="G1464" s="52"/>
      <c r="H1464" s="53"/>
    </row>
    <row r="1465" spans="6:8">
      <c r="F1465" s="56"/>
      <c r="G1465" s="50"/>
      <c r="H1465" s="51"/>
    </row>
    <row r="1466" spans="6:8">
      <c r="F1466" s="55"/>
      <c r="G1466" s="52"/>
      <c r="H1466" s="53"/>
    </row>
    <row r="1467" spans="6:8">
      <c r="F1467" s="56"/>
      <c r="G1467" s="50"/>
      <c r="H1467" s="51"/>
    </row>
    <row r="1468" spans="6:8">
      <c r="F1468" s="55"/>
      <c r="G1468" s="52"/>
      <c r="H1468" s="53"/>
    </row>
    <row r="1469" spans="6:8">
      <c r="F1469" s="56"/>
      <c r="G1469" s="50"/>
      <c r="H1469" s="51"/>
    </row>
    <row r="1470" spans="6:8">
      <c r="F1470" s="55"/>
      <c r="G1470" s="52"/>
      <c r="H1470" s="53"/>
    </row>
    <row r="1471" spans="6:8">
      <c r="F1471" s="56"/>
      <c r="G1471" s="50"/>
      <c r="H1471" s="51"/>
    </row>
    <row r="1472" spans="6:8">
      <c r="F1472" s="55"/>
      <c r="G1472" s="52"/>
      <c r="H1472" s="53"/>
    </row>
    <row r="1473" spans="6:8">
      <c r="F1473" s="56"/>
      <c r="G1473" s="50"/>
      <c r="H1473" s="51"/>
    </row>
    <row r="1474" spans="6:8">
      <c r="F1474" s="55"/>
      <c r="G1474" s="52"/>
      <c r="H1474" s="53"/>
    </row>
    <row r="1475" spans="6:8">
      <c r="F1475" s="56"/>
      <c r="G1475" s="50"/>
      <c r="H1475" s="51"/>
    </row>
    <row r="1476" spans="6:8">
      <c r="F1476" s="55"/>
      <c r="G1476" s="52"/>
      <c r="H1476" s="53"/>
    </row>
    <row r="1477" spans="6:8">
      <c r="F1477" s="56"/>
      <c r="G1477" s="50"/>
      <c r="H1477" s="51"/>
    </row>
    <row r="1478" spans="6:8">
      <c r="F1478" s="55"/>
      <c r="G1478" s="52"/>
      <c r="H1478" s="53"/>
    </row>
    <row r="1479" spans="6:8">
      <c r="F1479" s="56"/>
      <c r="G1479" s="50"/>
      <c r="H1479" s="51"/>
    </row>
    <row r="1480" spans="6:8">
      <c r="F1480" s="55"/>
      <c r="G1480" s="52"/>
      <c r="H1480" s="53"/>
    </row>
    <row r="1481" spans="6:8">
      <c r="F1481" s="56"/>
      <c r="G1481" s="50"/>
      <c r="H1481" s="51"/>
    </row>
    <row r="1482" spans="6:8">
      <c r="F1482" s="55"/>
      <c r="G1482" s="52"/>
      <c r="H1482" s="53"/>
    </row>
    <row r="1483" spans="6:8">
      <c r="F1483" s="56"/>
      <c r="G1483" s="50"/>
      <c r="H1483" s="51"/>
    </row>
    <row r="1484" spans="6:8">
      <c r="F1484" s="55"/>
      <c r="G1484" s="52"/>
      <c r="H1484" s="53"/>
    </row>
    <row r="1485" spans="6:8">
      <c r="F1485" s="56"/>
      <c r="G1485" s="50"/>
      <c r="H1485" s="51"/>
    </row>
  </sheetData>
  <mergeCells count="2">
    <mergeCell ref="F2:H2"/>
    <mergeCell ref="B2: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3:V48"/>
  <sheetViews>
    <sheetView showGridLines="0" zoomScale="58" workbookViewId="0">
      <selection activeCell="G7" sqref="G7"/>
    </sheetView>
  </sheetViews>
  <sheetFormatPr defaultRowHeight="14.4"/>
  <cols>
    <col min="2" max="3" width="20" customWidth="1"/>
    <col min="13" max="13" width="35" customWidth="1"/>
    <col min="14" max="14" width="16" customWidth="1"/>
    <col min="15" max="15" width="18" customWidth="1"/>
    <col min="16" max="16" width="26" customWidth="1"/>
    <col min="17" max="17" width="16" customWidth="1"/>
    <col min="18" max="19" width="14" customWidth="1"/>
  </cols>
  <sheetData>
    <row r="3" spans="10:22">
      <c r="M3" s="266" t="s">
        <v>386</v>
      </c>
    </row>
    <row r="4" spans="10:22">
      <c r="M4" s="296" t="s">
        <v>387</v>
      </c>
      <c r="N4" s="289"/>
      <c r="O4" s="289"/>
      <c r="P4" s="289"/>
      <c r="Q4" s="289"/>
      <c r="R4" s="289"/>
      <c r="S4" s="289"/>
      <c r="T4" s="289"/>
      <c r="U4" s="289"/>
      <c r="V4" s="289"/>
    </row>
    <row r="5" spans="10:22">
      <c r="M5" s="289"/>
      <c r="N5" s="289"/>
      <c r="O5" s="289"/>
      <c r="P5" s="289"/>
      <c r="Q5" s="289"/>
      <c r="R5" s="289"/>
      <c r="S5" s="289"/>
      <c r="T5" s="289"/>
      <c r="U5" s="289"/>
      <c r="V5" s="289"/>
    </row>
    <row r="6" spans="10:22">
      <c r="M6" s="289"/>
      <c r="N6" s="289"/>
      <c r="O6" s="289"/>
      <c r="P6" s="289"/>
      <c r="Q6" s="289"/>
      <c r="R6" s="289"/>
      <c r="S6" s="289"/>
      <c r="T6" s="289"/>
      <c r="U6" s="289"/>
      <c r="V6" s="289"/>
    </row>
    <row r="7" spans="10:22">
      <c r="M7" s="289"/>
      <c r="N7" s="289"/>
      <c r="O7" s="289"/>
      <c r="P7" s="289"/>
      <c r="Q7" s="289"/>
      <c r="R7" s="289"/>
      <c r="S7" s="289"/>
      <c r="T7" s="289"/>
      <c r="U7" s="289"/>
      <c r="V7" s="289"/>
    </row>
    <row r="8" spans="10:22">
      <c r="M8" s="289"/>
      <c r="N8" s="289"/>
      <c r="O8" s="289"/>
      <c r="P8" s="289"/>
      <c r="Q8" s="289"/>
      <c r="R8" s="289"/>
      <c r="S8" s="289"/>
      <c r="T8" s="289"/>
      <c r="U8" s="289"/>
      <c r="V8" s="289"/>
    </row>
    <row r="9" spans="10:22">
      <c r="M9" s="289"/>
      <c r="N9" s="289"/>
      <c r="O9" s="289"/>
      <c r="P9" s="289"/>
      <c r="Q9" s="289"/>
      <c r="R9" s="289"/>
      <c r="S9" s="289"/>
      <c r="T9" s="289"/>
      <c r="U9" s="289"/>
      <c r="V9" s="289"/>
    </row>
    <row r="10" spans="10:22">
      <c r="M10" s="289"/>
      <c r="N10" s="289"/>
      <c r="O10" s="289"/>
      <c r="P10" s="289"/>
      <c r="Q10" s="289"/>
      <c r="R10" s="289"/>
      <c r="S10" s="289"/>
      <c r="T10" s="289"/>
      <c r="U10" s="289"/>
      <c r="V10" s="289"/>
    </row>
    <row r="11" spans="10:22">
      <c r="M11" s="289"/>
      <c r="N11" s="289"/>
      <c r="O11" s="289"/>
      <c r="P11" s="289"/>
      <c r="Q11" s="289"/>
      <c r="R11" s="289"/>
      <c r="S11" s="289"/>
      <c r="T11" s="289"/>
      <c r="U11" s="289"/>
      <c r="V11" s="289"/>
    </row>
    <row r="12" spans="10:22">
      <c r="M12" s="289"/>
      <c r="N12" s="289"/>
      <c r="O12" s="289"/>
      <c r="P12" s="289"/>
      <c r="Q12" s="289"/>
      <c r="R12" s="289"/>
      <c r="S12" s="289"/>
      <c r="T12" s="289"/>
      <c r="U12" s="289"/>
      <c r="V12" s="289"/>
    </row>
    <row r="13" spans="10:22" ht="14.4" customHeight="1">
      <c r="M13" s="296" t="s">
        <v>388</v>
      </c>
      <c r="N13" s="289"/>
      <c r="O13" s="289"/>
      <c r="P13" s="289"/>
      <c r="Q13" s="289"/>
      <c r="R13" s="289"/>
      <c r="S13" s="289"/>
      <c r="T13" s="289"/>
      <c r="U13" s="289"/>
      <c r="V13" s="289"/>
    </row>
    <row r="14" spans="10:22">
      <c r="M14" s="289"/>
      <c r="N14" s="289"/>
      <c r="O14" s="289"/>
      <c r="P14" s="289"/>
      <c r="Q14" s="289"/>
      <c r="R14" s="289"/>
      <c r="S14" s="289"/>
      <c r="T14" s="289"/>
      <c r="U14" s="289"/>
      <c r="V14" s="289"/>
    </row>
    <row r="15" spans="10:22">
      <c r="M15" s="289"/>
      <c r="N15" s="289"/>
      <c r="O15" s="289"/>
      <c r="P15" s="289"/>
      <c r="Q15" s="289"/>
      <c r="R15" s="289"/>
      <c r="S15" s="289"/>
      <c r="T15" s="289"/>
      <c r="U15" s="289"/>
      <c r="V15" s="289"/>
    </row>
    <row r="16" spans="10:22">
      <c r="J16" t="s">
        <v>240</v>
      </c>
      <c r="M16" s="289"/>
      <c r="N16" s="289"/>
      <c r="O16" s="289"/>
      <c r="P16" s="289"/>
      <c r="Q16" s="289"/>
      <c r="R16" s="289"/>
      <c r="S16" s="289"/>
      <c r="T16" s="289"/>
      <c r="U16" s="289"/>
      <c r="V16" s="289"/>
    </row>
    <row r="17" spans="2:22">
      <c r="M17" s="289"/>
      <c r="N17" s="289"/>
      <c r="O17" s="289"/>
      <c r="P17" s="289"/>
      <c r="Q17" s="289"/>
      <c r="R17" s="289"/>
      <c r="S17" s="289"/>
      <c r="T17" s="289"/>
      <c r="U17" s="289"/>
      <c r="V17" s="289"/>
    </row>
    <row r="18" spans="2:22">
      <c r="M18" s="289"/>
      <c r="N18" s="289"/>
      <c r="O18" s="289"/>
      <c r="P18" s="289"/>
      <c r="Q18" s="289"/>
      <c r="R18" s="289"/>
      <c r="S18" s="289"/>
      <c r="T18" s="289"/>
      <c r="U18" s="289"/>
      <c r="V18" s="289"/>
    </row>
    <row r="19" spans="2:22">
      <c r="M19" s="289"/>
      <c r="N19" s="289"/>
      <c r="O19" s="289"/>
      <c r="P19" s="289"/>
      <c r="Q19" s="289"/>
      <c r="R19" s="289"/>
      <c r="S19" s="289"/>
      <c r="T19" s="289"/>
      <c r="U19" s="289"/>
      <c r="V19" s="289"/>
    </row>
    <row r="20" spans="2:22">
      <c r="M20" s="289"/>
      <c r="N20" s="289"/>
      <c r="O20" s="289"/>
      <c r="P20" s="289"/>
      <c r="Q20" s="289"/>
      <c r="R20" s="289"/>
      <c r="S20" s="289"/>
      <c r="T20" s="289"/>
      <c r="U20" s="289"/>
      <c r="V20" s="289"/>
    </row>
    <row r="22" spans="2:22">
      <c r="N22" s="264" t="s">
        <v>389</v>
      </c>
      <c r="O22" s="264" t="s">
        <v>390</v>
      </c>
      <c r="P22" s="264" t="s">
        <v>391</v>
      </c>
      <c r="Q22" s="265" t="s">
        <v>392</v>
      </c>
      <c r="R22" s="265" t="s">
        <v>393</v>
      </c>
      <c r="S22" s="265" t="s">
        <v>394</v>
      </c>
    </row>
    <row r="23" spans="2:22">
      <c r="N23" s="261" t="s">
        <v>395</v>
      </c>
      <c r="O23" s="263">
        <v>12965</v>
      </c>
      <c r="P23" s="263">
        <v>2215</v>
      </c>
      <c r="Q23" s="262">
        <v>2.34449005367856E-2</v>
      </c>
      <c r="R23" s="262">
        <v>0.22308117062396471</v>
      </c>
      <c r="S23" s="262">
        <v>0.20399999999999999</v>
      </c>
    </row>
    <row r="24" spans="2:22">
      <c r="N24" s="261" t="s">
        <v>396</v>
      </c>
      <c r="O24" s="263">
        <v>12668</v>
      </c>
      <c r="P24" s="263">
        <v>1811</v>
      </c>
      <c r="Q24" s="262">
        <v>9.2163117510130177E-2</v>
      </c>
      <c r="R24" s="262">
        <v>0.79841112214498511</v>
      </c>
      <c r="S24" s="262">
        <v>0.20399999999999999</v>
      </c>
    </row>
    <row r="25" spans="2:22">
      <c r="N25" s="261" t="s">
        <v>397</v>
      </c>
      <c r="O25" s="263">
        <v>11599</v>
      </c>
      <c r="P25" s="263">
        <v>1007</v>
      </c>
      <c r="Q25" s="262">
        <v>9.0746661651307126E-2</v>
      </c>
      <c r="R25" s="262">
        <v>-0.40059523809523812</v>
      </c>
      <c r="S25" s="262">
        <v>0.20399999999999999</v>
      </c>
    </row>
    <row r="26" spans="2:22">
      <c r="N26" s="261" t="s">
        <v>398</v>
      </c>
      <c r="O26" s="263">
        <v>10634</v>
      </c>
      <c r="P26" s="263">
        <v>1680</v>
      </c>
      <c r="Q26" s="262">
        <v>0.19954878736604631</v>
      </c>
      <c r="R26" s="262">
        <v>3.8318912237330027E-2</v>
      </c>
      <c r="S26" s="262">
        <v>0.20399999999999999</v>
      </c>
    </row>
    <row r="27" spans="2:22">
      <c r="B27" s="264" t="s">
        <v>399</v>
      </c>
      <c r="C27" s="264" t="s">
        <v>400</v>
      </c>
      <c r="N27" s="261" t="s">
        <v>401</v>
      </c>
      <c r="O27" s="263">
        <v>8865</v>
      </c>
      <c r="P27" s="263">
        <v>1618</v>
      </c>
      <c r="Q27" s="261" t="s">
        <v>402</v>
      </c>
      <c r="R27" s="261" t="s">
        <v>402</v>
      </c>
      <c r="S27" s="262">
        <v>0.20399999999999999</v>
      </c>
    </row>
    <row r="28" spans="2:22">
      <c r="B28" s="261" t="s">
        <v>403</v>
      </c>
      <c r="C28" s="261" t="s">
        <v>404</v>
      </c>
    </row>
    <row r="29" spans="2:22">
      <c r="B29" s="261" t="s">
        <v>405</v>
      </c>
      <c r="C29" s="260">
        <v>5458</v>
      </c>
    </row>
    <row r="30" spans="2:22">
      <c r="B30" s="261" t="s">
        <v>406</v>
      </c>
      <c r="C30" s="261" t="s">
        <v>407</v>
      </c>
    </row>
    <row r="31" spans="2:22">
      <c r="B31" s="261" t="s">
        <v>408</v>
      </c>
      <c r="C31" s="260">
        <v>27.2</v>
      </c>
    </row>
    <row r="32" spans="2:22" ht="14.4" customHeight="1">
      <c r="B32" s="261" t="s">
        <v>409</v>
      </c>
      <c r="C32" s="260">
        <v>1116</v>
      </c>
      <c r="M32" s="297" t="s">
        <v>410</v>
      </c>
      <c r="N32" s="289"/>
      <c r="O32" s="289"/>
      <c r="P32" s="289"/>
      <c r="Q32" s="289"/>
      <c r="R32" s="289"/>
      <c r="S32" s="289"/>
      <c r="T32" s="289"/>
    </row>
    <row r="33" spans="2:3">
      <c r="B33" s="261" t="s">
        <v>411</v>
      </c>
      <c r="C33" s="262">
        <v>8.3999999999999995E-3</v>
      </c>
    </row>
    <row r="34" spans="2:3">
      <c r="B34" s="261" t="s">
        <v>412</v>
      </c>
      <c r="C34" s="262">
        <v>0.20399999999999999</v>
      </c>
    </row>
    <row r="35" spans="2:3">
      <c r="B35" s="261" t="s">
        <v>413</v>
      </c>
      <c r="C35" s="262">
        <v>0.19400000000000001</v>
      </c>
    </row>
    <row r="36" spans="2:3">
      <c r="B36" s="261" t="s">
        <v>414</v>
      </c>
      <c r="C36" s="260">
        <v>2</v>
      </c>
    </row>
    <row r="48" spans="2:3">
      <c r="B48" s="259" t="s">
        <v>415</v>
      </c>
    </row>
  </sheetData>
  <mergeCells count="3">
    <mergeCell ref="M13:V20"/>
    <mergeCell ref="M32:T32"/>
    <mergeCell ref="M4:V1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M25"/>
  <sheetViews>
    <sheetView showGridLines="0" workbookViewId="0">
      <selection activeCell="G7" sqref="G7"/>
    </sheetView>
  </sheetViews>
  <sheetFormatPr defaultColWidth="8.6640625" defaultRowHeight="14.4"/>
  <cols>
    <col min="1" max="1" width="1.88671875" customWidth="1"/>
    <col min="2" max="2" width="32" customWidth="1"/>
    <col min="3" max="3" width="16" customWidth="1"/>
    <col min="4" max="4" width="14" customWidth="1"/>
    <col min="5" max="5" width="28" customWidth="1"/>
    <col min="6" max="6" width="14" customWidth="1"/>
  </cols>
  <sheetData>
    <row r="1" spans="2:13" ht="17.399999999999999" customHeight="1">
      <c r="B1" s="12" t="s">
        <v>234</v>
      </c>
      <c r="C1" s="13"/>
      <c r="D1" s="13"/>
      <c r="E1" s="13"/>
      <c r="F1" s="13"/>
      <c r="G1" s="13"/>
      <c r="H1" s="13"/>
      <c r="I1" s="13"/>
      <c r="J1" s="13"/>
      <c r="K1" s="13"/>
      <c r="L1" s="13"/>
      <c r="M1" s="13"/>
    </row>
    <row r="4" spans="2:13" ht="19.5" customHeight="1">
      <c r="B4" s="298" t="s">
        <v>235</v>
      </c>
      <c r="C4" s="299"/>
      <c r="D4" s="14"/>
      <c r="E4" s="14"/>
      <c r="F4" s="14"/>
    </row>
    <row r="5" spans="2:13" ht="15.75" customHeight="1">
      <c r="B5" s="15" t="s">
        <v>236</v>
      </c>
      <c r="C5" s="16">
        <f>'Consolidated Fs'!P45+'Consolidated Fs'!P53+'Consolidated Fs'!P46+'Consolidated Fs'!P54</f>
        <v>1380.8999999999999</v>
      </c>
    </row>
    <row r="6" spans="2:13" ht="15.75" customHeight="1">
      <c r="B6" s="15" t="s">
        <v>160</v>
      </c>
      <c r="C6" s="16">
        <f>'Consolidated Fs'!P39</f>
        <v>11984.8</v>
      </c>
    </row>
    <row r="7" spans="2:13" ht="15.75" customHeight="1">
      <c r="B7" s="17" t="s">
        <v>237</v>
      </c>
      <c r="C7" s="18">
        <f>SUM(C5:C6)</f>
        <v>13365.699999999999</v>
      </c>
    </row>
    <row r="8" spans="2:13" ht="15.75" customHeight="1">
      <c r="B8" s="19" t="s">
        <v>238</v>
      </c>
      <c r="C8" s="20">
        <f>C5/C7</f>
        <v>0.10331669871387207</v>
      </c>
    </row>
    <row r="9" spans="2:13" ht="15.75" customHeight="1">
      <c r="B9" s="19" t="s">
        <v>239</v>
      </c>
      <c r="C9" s="20">
        <f>C6/C7</f>
        <v>0.89668330128612794</v>
      </c>
      <c r="I9" s="21" t="s">
        <v>240</v>
      </c>
    </row>
    <row r="10" spans="2:13" ht="15.75" customHeight="1">
      <c r="B10" s="22" t="s">
        <v>241</v>
      </c>
      <c r="C10" s="23">
        <f>C5/C6</f>
        <v>0.11522094653227422</v>
      </c>
    </row>
    <row r="11" spans="2:13" ht="15.75" customHeight="1">
      <c r="B11" s="24"/>
      <c r="C11" s="25"/>
    </row>
    <row r="12" spans="2:13" ht="15.75" customHeight="1">
      <c r="B12" s="24"/>
      <c r="C12" s="25"/>
    </row>
    <row r="14" spans="2:13" ht="19.5" customHeight="1">
      <c r="B14" s="298" t="s">
        <v>242</v>
      </c>
      <c r="C14" s="299"/>
      <c r="E14" s="300" t="s">
        <v>243</v>
      </c>
      <c r="F14" s="301"/>
    </row>
    <row r="15" spans="2:13" ht="15.75" customHeight="1">
      <c r="B15" s="19" t="s">
        <v>244</v>
      </c>
      <c r="C15" s="26">
        <v>6.6000000000000003E-2</v>
      </c>
      <c r="E15" s="27" t="s">
        <v>245</v>
      </c>
      <c r="F15" s="28" t="s">
        <v>246</v>
      </c>
    </row>
    <row r="16" spans="2:13" ht="15.75" customHeight="1">
      <c r="B16" s="19" t="s">
        <v>247</v>
      </c>
      <c r="C16" s="29">
        <f>BETA!K5</f>
        <v>0.52092554903000277</v>
      </c>
      <c r="E16" s="19" t="s">
        <v>248</v>
      </c>
      <c r="F16" s="30">
        <f>'Consolidated Fs'!G14/('Consolidated Fs'!P45+'Consolidated Fs'!P46+'Consolidated Fs'!P54+'Consolidated Fs'!P53)</f>
        <v>8.8130929104207403E-2</v>
      </c>
      <c r="J16" t="s">
        <v>240</v>
      </c>
    </row>
    <row r="17" spans="2:6" ht="15.75" customHeight="1">
      <c r="B17" s="31" t="s">
        <v>249</v>
      </c>
      <c r="C17" s="26">
        <v>7.0000000000000007E-2</v>
      </c>
      <c r="E17" s="31" t="s">
        <v>250</v>
      </c>
      <c r="F17" s="26">
        <f>AVERAGE('Assumptions '!E41:I41)</f>
        <v>0.15929940721795438</v>
      </c>
    </row>
    <row r="18" spans="2:6" ht="15.75" customHeight="1">
      <c r="B18" s="32" t="s">
        <v>251</v>
      </c>
      <c r="C18" s="33">
        <f>C15+C16*C17</f>
        <v>0.10246478843210019</v>
      </c>
      <c r="E18" s="34" t="s">
        <v>252</v>
      </c>
      <c r="F18" s="35">
        <f>F16*(1-F17)</f>
        <v>7.4091724340339601E-2</v>
      </c>
    </row>
    <row r="19" spans="2:6" ht="15.75" customHeight="1">
      <c r="B19" s="24"/>
      <c r="C19" s="25"/>
      <c r="E19" s="24"/>
      <c r="F19" s="25"/>
    </row>
    <row r="20" spans="2:6" ht="15.75" customHeight="1">
      <c r="B20" s="24"/>
      <c r="C20" s="25"/>
      <c r="E20" s="24"/>
      <c r="F20" s="25"/>
    </row>
    <row r="21" spans="2:6" ht="19.5" customHeight="1">
      <c r="B21" s="302" t="s">
        <v>253</v>
      </c>
      <c r="C21" s="303"/>
      <c r="D21" s="303"/>
      <c r="E21" s="301"/>
      <c r="F21" s="36"/>
    </row>
    <row r="22" spans="2:6">
      <c r="B22" s="37" t="s">
        <v>245</v>
      </c>
      <c r="C22" s="38" t="s">
        <v>254</v>
      </c>
      <c r="D22" s="38" t="s">
        <v>246</v>
      </c>
      <c r="E22" s="39" t="s">
        <v>255</v>
      </c>
      <c r="F22" s="40"/>
    </row>
    <row r="23" spans="2:6" ht="15.75" customHeight="1">
      <c r="B23" s="27" t="s">
        <v>256</v>
      </c>
      <c r="C23" s="20">
        <f>C8</f>
        <v>0.10331669871387207</v>
      </c>
      <c r="D23" s="20">
        <f>F18</f>
        <v>7.4091724340339601E-2</v>
      </c>
      <c r="E23" s="20">
        <f>C23*D23</f>
        <v>7.6549123608621282E-3</v>
      </c>
      <c r="F23" s="25"/>
    </row>
    <row r="24" spans="2:6" ht="15" customHeight="1" thickBot="1">
      <c r="B24" s="27" t="s">
        <v>257</v>
      </c>
      <c r="C24" s="20">
        <f>C9</f>
        <v>0.89668330128612794</v>
      </c>
      <c r="D24" s="20">
        <f>C18</f>
        <v>0.10246478843210019</v>
      </c>
      <c r="E24" s="20">
        <f>C24*D24</f>
        <v>9.1878464756880246E-2</v>
      </c>
      <c r="F24" s="25"/>
    </row>
    <row r="25" spans="2:6" ht="15" customHeight="1" thickBot="1">
      <c r="B25" s="41" t="s">
        <v>253</v>
      </c>
      <c r="C25" s="42"/>
      <c r="D25" s="43"/>
      <c r="E25" s="44">
        <f>SUM(E23:E24)</f>
        <v>9.9533377117742378E-2</v>
      </c>
      <c r="F25" s="45"/>
    </row>
  </sheetData>
  <mergeCells count="4">
    <mergeCell ref="B14:C14"/>
    <mergeCell ref="B4:C4"/>
    <mergeCell ref="E14:F14"/>
    <mergeCell ref="B21:E2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6"/>
  <sheetViews>
    <sheetView showGridLines="0" workbookViewId="0">
      <selection activeCell="G7" sqref="G7"/>
    </sheetView>
  </sheetViews>
  <sheetFormatPr defaultColWidth="8.77734375" defaultRowHeight="14.4"/>
  <cols>
    <col min="1" max="1" width="0.88671875" customWidth="1"/>
    <col min="2" max="2" width="51.88671875" customWidth="1"/>
    <col min="3" max="7" width="17.5546875" customWidth="1"/>
    <col min="8" max="8" width="10.77734375" customWidth="1"/>
    <col min="9" max="9" width="11" customWidth="1"/>
    <col min="10" max="10" width="9.6640625" customWidth="1"/>
  </cols>
  <sheetData>
    <row r="1" spans="1:10" ht="18" customHeight="1">
      <c r="A1" s="142"/>
      <c r="B1" s="304" t="s">
        <v>258</v>
      </c>
      <c r="C1" s="305"/>
      <c r="D1" s="305"/>
      <c r="E1" s="305"/>
      <c r="F1" s="305"/>
      <c r="G1" s="306"/>
    </row>
    <row r="2" spans="1:10" ht="22.05" customHeight="1">
      <c r="A2" s="142"/>
      <c r="B2" s="143" t="s">
        <v>259</v>
      </c>
      <c r="C2" s="144">
        <v>44256</v>
      </c>
      <c r="D2" s="144">
        <v>44621</v>
      </c>
      <c r="E2" s="144">
        <v>44986</v>
      </c>
      <c r="F2" s="144">
        <v>45352</v>
      </c>
      <c r="G2" s="145">
        <v>45717</v>
      </c>
    </row>
    <row r="3" spans="1:10">
      <c r="A3" s="142"/>
      <c r="B3" s="146" t="s">
        <v>260</v>
      </c>
      <c r="C3" s="147"/>
      <c r="D3" s="147">
        <f>C7</f>
        <v>1518.8</v>
      </c>
      <c r="E3" s="147">
        <f>D7</f>
        <v>1654.3</v>
      </c>
      <c r="F3" s="147">
        <f>E7</f>
        <v>1798.4</v>
      </c>
      <c r="G3" s="148">
        <f>F7</f>
        <v>2161.5</v>
      </c>
    </row>
    <row r="4" spans="1:10">
      <c r="A4" s="142"/>
      <c r="B4" s="149" t="s">
        <v>261</v>
      </c>
      <c r="C4" s="150"/>
      <c r="D4" s="150">
        <f>D5-D3</f>
        <v>375.5</v>
      </c>
      <c r="E4" s="150">
        <f>E5-E3</f>
        <v>409.10000000000014</v>
      </c>
      <c r="F4" s="150">
        <f>F5-F3</f>
        <v>662.40000000000009</v>
      </c>
      <c r="G4" s="151">
        <f>G5-G3</f>
        <v>259.59999999999991</v>
      </c>
    </row>
    <row r="5" spans="1:10">
      <c r="A5" s="142"/>
      <c r="B5" s="152" t="s">
        <v>262</v>
      </c>
      <c r="C5" s="153">
        <f>C6+C7</f>
        <v>1734.7</v>
      </c>
      <c r="D5" s="153">
        <f>D6+D7</f>
        <v>1894.3</v>
      </c>
      <c r="E5" s="153">
        <f>E6+E7</f>
        <v>2063.4</v>
      </c>
      <c r="F5" s="153">
        <f>F6+F7</f>
        <v>2460.8000000000002</v>
      </c>
      <c r="G5" s="154">
        <f>G6+G7</f>
        <v>2421.1</v>
      </c>
    </row>
    <row r="6" spans="1:10">
      <c r="A6" s="142"/>
      <c r="B6" s="155" t="s">
        <v>263</v>
      </c>
      <c r="C6" s="156">
        <f>'Consolidated Fs'!C15</f>
        <v>215.9</v>
      </c>
      <c r="D6" s="156">
        <f>'Consolidated Fs'!D15</f>
        <v>240</v>
      </c>
      <c r="E6" s="156">
        <f>'Consolidated Fs'!E15</f>
        <v>265</v>
      </c>
      <c r="F6" s="156">
        <f>'Consolidated Fs'!F15</f>
        <v>299.3</v>
      </c>
      <c r="G6" s="156">
        <f>'Consolidated Fs'!G15</f>
        <v>357.2</v>
      </c>
    </row>
    <row r="7" spans="1:10" ht="15" customHeight="1" thickBot="1">
      <c r="A7" s="142"/>
      <c r="B7" s="157" t="s">
        <v>264</v>
      </c>
      <c r="C7" s="158">
        <f>'Consolidated Fs'!L7</f>
        <v>1518.8</v>
      </c>
      <c r="D7" s="158">
        <f>'Consolidated Fs'!M7</f>
        <v>1654.3</v>
      </c>
      <c r="E7" s="158">
        <f>'Consolidated Fs'!N7</f>
        <v>1798.4</v>
      </c>
      <c r="F7" s="158">
        <f>'Consolidated Fs'!O7</f>
        <v>2161.5</v>
      </c>
      <c r="G7" s="158">
        <f>'Consolidated Fs'!P7</f>
        <v>2063.9</v>
      </c>
    </row>
    <row r="8" spans="1:10" ht="15.6" customHeight="1" thickTop="1" thickBot="1">
      <c r="A8" s="142"/>
      <c r="B8" s="159"/>
      <c r="C8" s="160"/>
      <c r="D8" s="160"/>
      <c r="E8" s="160"/>
      <c r="F8" s="160"/>
      <c r="G8" s="160"/>
    </row>
    <row r="9" spans="1:10">
      <c r="A9" s="142"/>
      <c r="B9" s="161" t="s">
        <v>265</v>
      </c>
      <c r="C9" s="162"/>
      <c r="D9" s="162">
        <f>D4-D6</f>
        <v>135.5</v>
      </c>
      <c r="E9" s="162">
        <f>E4-E6</f>
        <v>144.10000000000014</v>
      </c>
      <c r="F9" s="162">
        <f>F4-F6</f>
        <v>363.10000000000008</v>
      </c>
      <c r="G9" s="163">
        <f>G4-G6</f>
        <v>-97.60000000000008</v>
      </c>
    </row>
    <row r="10" spans="1:10" ht="15" customHeight="1" thickBot="1">
      <c r="A10" s="142"/>
      <c r="B10" s="164" t="s">
        <v>266</v>
      </c>
      <c r="C10" s="165"/>
      <c r="D10" s="165">
        <f>IFERROR(D9/D3,0)</f>
        <v>8.9215169870950753E-2</v>
      </c>
      <c r="E10" s="165">
        <f>IFERROR(E9/E3,0)</f>
        <v>8.7106328960889892E-2</v>
      </c>
      <c r="F10" s="165">
        <f>IFERROR(F9/F3,0)</f>
        <v>0.20190169039145911</v>
      </c>
      <c r="G10" s="166">
        <f>IFERROR(G9/G3,0)</f>
        <v>-4.5153828359935269E-2</v>
      </c>
    </row>
    <row r="11" spans="1:10" ht="15" customHeight="1" thickBot="1">
      <c r="A11" s="142"/>
      <c r="B11" s="159"/>
      <c r="C11" s="160"/>
      <c r="D11" s="160"/>
      <c r="E11" s="160"/>
      <c r="F11" s="160"/>
      <c r="G11" s="160"/>
    </row>
    <row r="12" spans="1:10">
      <c r="A12" s="142"/>
      <c r="B12" s="167" t="s">
        <v>267</v>
      </c>
      <c r="C12" s="168">
        <f>MEDIAN(D10:G10)</f>
        <v>8.8160749415920323E-2</v>
      </c>
      <c r="D12" s="160"/>
      <c r="E12" s="160"/>
      <c r="F12" s="160"/>
      <c r="G12" s="160"/>
    </row>
    <row r="13" spans="1:10" ht="15" customHeight="1" thickBot="1">
      <c r="A13" s="142"/>
      <c r="B13" s="164" t="s">
        <v>268</v>
      </c>
      <c r="C13" s="166">
        <f>AVERAGE(D10:G10)</f>
        <v>8.3267340215841132E-2</v>
      </c>
      <c r="D13" s="160"/>
      <c r="E13" s="160"/>
      <c r="F13" s="160"/>
      <c r="G13" s="160"/>
    </row>
    <row r="16" spans="1:10">
      <c r="J16" t="s">
        <v>240</v>
      </c>
    </row>
  </sheetData>
  <mergeCells count="1">
    <mergeCell ref="B1:G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J16"/>
  <sheetViews>
    <sheetView showGridLines="0" workbookViewId="0">
      <selection activeCell="G7" sqref="G7"/>
    </sheetView>
  </sheetViews>
  <sheetFormatPr defaultColWidth="8.77734375" defaultRowHeight="14.4"/>
  <cols>
    <col min="2" max="2" width="46" bestFit="1" customWidth="1"/>
    <col min="3" max="7" width="12.6640625" bestFit="1" customWidth="1"/>
    <col min="8" max="8" width="11.33203125" customWidth="1"/>
  </cols>
  <sheetData>
    <row r="2" spans="2:10" ht="40.799999999999997" customHeight="1">
      <c r="B2" s="285" t="s">
        <v>561</v>
      </c>
    </row>
    <row r="3" spans="2:10">
      <c r="B3" s="286" t="s">
        <v>259</v>
      </c>
      <c r="C3" s="287">
        <v>44256</v>
      </c>
      <c r="D3" s="287">
        <v>44621</v>
      </c>
      <c r="E3" s="287">
        <v>44986</v>
      </c>
      <c r="F3" s="287">
        <v>45352</v>
      </c>
      <c r="G3" s="287">
        <v>45717</v>
      </c>
    </row>
    <row r="4" spans="2:10">
      <c r="B4" s="169" t="s">
        <v>269</v>
      </c>
      <c r="C4" s="170">
        <f>'Consolidated Fs'!L22</f>
        <v>1823.9</v>
      </c>
      <c r="D4" s="170">
        <f>'Consolidated Fs'!M22</f>
        <v>2067.8000000000002</v>
      </c>
      <c r="E4" s="170">
        <f>'Consolidated Fs'!N22</f>
        <v>2341.5</v>
      </c>
      <c r="F4" s="170">
        <f>'Consolidated Fs'!O22</f>
        <v>2661.2</v>
      </c>
      <c r="G4" s="170">
        <f>'Consolidated Fs'!P22</f>
        <v>2922.4</v>
      </c>
    </row>
    <row r="5" spans="2:10">
      <c r="B5" s="169" t="s">
        <v>270</v>
      </c>
      <c r="C5" s="170">
        <f>'Consolidated Fs'!L25</f>
        <v>1589.3</v>
      </c>
      <c r="D5" s="170">
        <f>'Consolidated Fs'!M25</f>
        <v>1805.2</v>
      </c>
      <c r="E5" s="170">
        <f>'Consolidated Fs'!N25</f>
        <v>2053.6999999999998</v>
      </c>
      <c r="F5" s="170">
        <f>'Consolidated Fs'!O25</f>
        <v>2252.8000000000002</v>
      </c>
      <c r="G5" s="170">
        <f>'Consolidated Fs'!P25</f>
        <v>2466.3000000000002</v>
      </c>
    </row>
    <row r="6" spans="2:10">
      <c r="B6" s="169" t="s">
        <v>271</v>
      </c>
      <c r="C6" s="170">
        <f>'Consolidated Fs'!L55</f>
        <v>1069.4100000000001</v>
      </c>
      <c r="D6" s="170">
        <f>'Consolidated Fs'!M55</f>
        <v>1173.3800000000001</v>
      </c>
      <c r="E6" s="170">
        <f>'Consolidated Fs'!N55</f>
        <v>1165.02</v>
      </c>
      <c r="F6" s="170">
        <f>'Consolidated Fs'!O55</f>
        <v>1748.12</v>
      </c>
      <c r="G6" s="170">
        <f>'Consolidated Fs'!P55</f>
        <v>1839.35</v>
      </c>
    </row>
    <row r="7" spans="2:10">
      <c r="B7" s="169" t="s">
        <v>272</v>
      </c>
      <c r="C7" s="170">
        <f>C4+C5-C6</f>
        <v>2343.79</v>
      </c>
      <c r="D7" s="170">
        <f>D4+D5-D6</f>
        <v>2699.62</v>
      </c>
      <c r="E7" s="170">
        <f>E4+E5-E6</f>
        <v>3230.18</v>
      </c>
      <c r="F7" s="170">
        <f>F4+F5-F6</f>
        <v>3165.88</v>
      </c>
      <c r="G7" s="170">
        <f>G4+G5-G6</f>
        <v>3549.3500000000008</v>
      </c>
    </row>
    <row r="8" spans="2:10">
      <c r="B8" s="171" t="s">
        <v>273</v>
      </c>
      <c r="C8" s="170"/>
      <c r="D8" s="170">
        <f>D7-C7</f>
        <v>355.82999999999993</v>
      </c>
      <c r="E8" s="170">
        <f>E7-D7</f>
        <v>530.55999999999995</v>
      </c>
      <c r="F8" s="170">
        <f>F7-E7</f>
        <v>-64.299999999999727</v>
      </c>
      <c r="G8" s="170">
        <f>G7-F7</f>
        <v>383.47000000000071</v>
      </c>
    </row>
    <row r="9" spans="2:10">
      <c r="B9" s="169" t="s">
        <v>274</v>
      </c>
      <c r="C9" s="172"/>
      <c r="D9" s="172">
        <f>D8/'Consolidated Fs'!D6</f>
        <v>3.3153510733452587E-2</v>
      </c>
      <c r="E9" s="172">
        <f>E8/'Consolidated Fs'!E6</f>
        <v>4.4281970387433853E-2</v>
      </c>
      <c r="F9" s="172">
        <f>F8/'Consolidated Fs'!F6</f>
        <v>-5.075941772711463E-3</v>
      </c>
      <c r="G9" s="172">
        <f>G8/'Consolidated Fs'!G6</f>
        <v>2.9578464267808299E-2</v>
      </c>
    </row>
    <row r="11" spans="2:10">
      <c r="B11" s="169" t="s">
        <v>275</v>
      </c>
      <c r="C11" s="173">
        <f>MEDIAN(D9:G9)</f>
        <v>3.1365987500630445E-2</v>
      </c>
      <c r="D11" s="58"/>
    </row>
    <row r="12" spans="2:10">
      <c r="B12" s="169" t="s">
        <v>276</v>
      </c>
      <c r="C12" s="174">
        <f>AVERAGE(D9:G9)</f>
        <v>2.5484500903995819E-2</v>
      </c>
      <c r="D12" s="58"/>
    </row>
    <row r="16" spans="2:10">
      <c r="J16" t="s">
        <v>240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20"/>
  <sheetViews>
    <sheetView showGridLines="0" workbookViewId="0">
      <selection activeCell="G7" sqref="G7"/>
    </sheetView>
  </sheetViews>
  <sheetFormatPr defaultColWidth="8.77734375" defaultRowHeight="14.4"/>
  <cols>
    <col min="1" max="1" width="1.88671875" customWidth="1"/>
    <col min="2" max="2" width="60.109375" customWidth="1"/>
    <col min="3" max="3" width="13.44140625" customWidth="1"/>
    <col min="5" max="5" width="14.6640625" customWidth="1"/>
    <col min="6" max="6" width="11.44140625" customWidth="1"/>
    <col min="7" max="7" width="9.77734375" customWidth="1"/>
    <col min="8" max="8" width="12.109375" customWidth="1"/>
  </cols>
  <sheetData>
    <row r="2" spans="2:10" ht="20.399999999999999" customHeight="1">
      <c r="B2" s="285" t="s">
        <v>277</v>
      </c>
    </row>
    <row r="3" spans="2:10">
      <c r="B3" s="286" t="s">
        <v>259</v>
      </c>
      <c r="C3" s="287">
        <v>44256</v>
      </c>
      <c r="D3" s="287">
        <v>44621</v>
      </c>
      <c r="E3" s="287">
        <v>44986</v>
      </c>
      <c r="F3" s="287">
        <v>45352</v>
      </c>
      <c r="G3" s="287">
        <v>45717</v>
      </c>
    </row>
    <row r="4" spans="2:10">
      <c r="B4" s="171" t="s">
        <v>207</v>
      </c>
      <c r="C4" s="175">
        <f>'Assumptions '!E18</f>
        <v>1130.3999999999992</v>
      </c>
      <c r="D4" s="175">
        <f>'Assumptions '!F18</f>
        <v>1381.1999999999989</v>
      </c>
      <c r="E4" s="175">
        <f>'Assumptions '!G18</f>
        <v>1840.7999999999993</v>
      </c>
      <c r="F4" s="175">
        <f>'Assumptions '!H18</f>
        <v>1946.2</v>
      </c>
      <c r="G4" s="175">
        <f>'Assumptions '!I18</f>
        <v>2154.9000000000024</v>
      </c>
    </row>
    <row r="5" spans="2:10">
      <c r="B5" s="169" t="s">
        <v>278</v>
      </c>
      <c r="C5" s="173">
        <f>'Assumptions '!E25/'Assumptions '!E23</f>
        <v>0.19301038586915331</v>
      </c>
      <c r="D5" s="173">
        <f>'Assumptions '!F25/'Assumptions '!F23</f>
        <v>0.1892711298106671</v>
      </c>
      <c r="E5" s="173">
        <f>'Assumptions '!G25/'Assumptions '!G23</f>
        <v>0.19242676827816155</v>
      </c>
      <c r="F5" s="173">
        <f>'Assumptions '!H25/'Assumptions '!H23</f>
        <v>9.8713046721999445E-2</v>
      </c>
      <c r="G5" s="173">
        <f>'Assumptions '!I25/'Assumptions '!I23</f>
        <v>0.12307570540979054</v>
      </c>
    </row>
    <row r="6" spans="2:10">
      <c r="B6" s="171" t="s">
        <v>279</v>
      </c>
      <c r="C6" s="175">
        <f>C4*(1-C5)</f>
        <v>912.22105981350842</v>
      </c>
      <c r="D6" s="175">
        <f t="shared" ref="D6:G6" si="0">D4*(1-D5)</f>
        <v>1119.7787155055057</v>
      </c>
      <c r="E6" s="175">
        <f t="shared" si="0"/>
        <v>1486.5808049535597</v>
      </c>
      <c r="F6" s="175">
        <f t="shared" si="0"/>
        <v>1754.0846684696448</v>
      </c>
      <c r="G6" s="175">
        <f t="shared" si="0"/>
        <v>1889.6841624124445</v>
      </c>
    </row>
    <row r="7" spans="2:10">
      <c r="B7" s="169" t="s">
        <v>280</v>
      </c>
      <c r="C7" s="170">
        <v>0</v>
      </c>
      <c r="D7" s="170">
        <f>'Fixed Asset Schedule '!D9</f>
        <v>135.5</v>
      </c>
      <c r="E7" s="170">
        <f>'Fixed Asset Schedule '!E9</f>
        <v>144.10000000000014</v>
      </c>
      <c r="F7" s="170">
        <f>'Fixed Asset Schedule '!F9</f>
        <v>363.10000000000008</v>
      </c>
      <c r="G7" s="170">
        <f>'Fixed Asset Schedule '!G9</f>
        <v>-97.60000000000008</v>
      </c>
    </row>
    <row r="8" spans="2:10">
      <c r="B8" s="169" t="s">
        <v>281</v>
      </c>
      <c r="C8" s="170">
        <v>0</v>
      </c>
      <c r="D8" s="170">
        <f>'Change in Working Capital '!D8</f>
        <v>355.82999999999993</v>
      </c>
      <c r="E8" s="170">
        <f>'Change in Working Capital '!E8</f>
        <v>530.55999999999995</v>
      </c>
      <c r="F8" s="170">
        <f>'Change in Working Capital '!F8</f>
        <v>-64.299999999999727</v>
      </c>
      <c r="G8" s="170">
        <f>'Change in Working Capital '!G8</f>
        <v>383.47000000000071</v>
      </c>
    </row>
    <row r="9" spans="2:10">
      <c r="B9" s="169" t="s">
        <v>282</v>
      </c>
      <c r="C9" s="170">
        <f>SUM(C7:C8)</f>
        <v>0</v>
      </c>
      <c r="D9" s="170">
        <f>SUM(D7:D8)</f>
        <v>491.32999999999993</v>
      </c>
      <c r="E9" s="170">
        <f>SUM(E7:E8)</f>
        <v>674.66000000000008</v>
      </c>
      <c r="F9" s="170">
        <f>SUM(F7:F8)</f>
        <v>298.80000000000035</v>
      </c>
      <c r="G9" s="170">
        <f>SUM(G7:G8)</f>
        <v>285.87000000000063</v>
      </c>
    </row>
    <row r="10" spans="2:10">
      <c r="B10" s="171" t="s">
        <v>283</v>
      </c>
      <c r="C10" s="175">
        <f>C6-C9</f>
        <v>912.22105981350842</v>
      </c>
      <c r="D10" s="175">
        <f>D6-D9</f>
        <v>628.44871550550579</v>
      </c>
      <c r="E10" s="175">
        <f>E6-E9</f>
        <v>811.92080495355958</v>
      </c>
      <c r="F10" s="175">
        <f>F6-F9</f>
        <v>1455.2846684696444</v>
      </c>
      <c r="G10" s="175">
        <f>G6-G9</f>
        <v>1603.8141624124439</v>
      </c>
    </row>
    <row r="12" spans="2:10">
      <c r="B12" s="169" t="s">
        <v>284</v>
      </c>
      <c r="C12" s="172">
        <v>0</v>
      </c>
      <c r="D12" s="172">
        <f>D9/D6</f>
        <v>0.43877419100451204</v>
      </c>
      <c r="E12" s="172">
        <f>E9/E6</f>
        <v>0.45383338581522736</v>
      </c>
      <c r="F12" s="172">
        <f>F9/F6</f>
        <v>0.17034525491901659</v>
      </c>
      <c r="G12" s="172">
        <f>G9/G6</f>
        <v>0.15127924850417745</v>
      </c>
    </row>
    <row r="14" spans="2:10">
      <c r="B14" s="169" t="s">
        <v>285</v>
      </c>
      <c r="C14" s="173">
        <f>MEDIAN(D12:G12)</f>
        <v>0.30455972296176431</v>
      </c>
    </row>
    <row r="15" spans="2:10">
      <c r="B15" s="169" t="s">
        <v>286</v>
      </c>
      <c r="C15" s="173">
        <f>AVERAGE(D12:G12)</f>
        <v>0.30355802006073335</v>
      </c>
    </row>
    <row r="16" spans="2:10">
      <c r="J16" t="s">
        <v>240</v>
      </c>
    </row>
    <row r="20" spans="6:6">
      <c r="F20" t="s">
        <v>240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Q22"/>
  <sheetViews>
    <sheetView showGridLines="0" workbookViewId="0">
      <selection activeCell="G7" sqref="G7"/>
    </sheetView>
  </sheetViews>
  <sheetFormatPr defaultRowHeight="14.4"/>
  <cols>
    <col min="1" max="1" width="1.88671875" style="59" customWidth="1"/>
    <col min="2" max="2" width="31" style="59" bestFit="1" customWidth="1"/>
    <col min="3" max="7" width="11.44140625" style="59" bestFit="1" customWidth="1"/>
    <col min="8" max="9" width="11.5546875" style="59" bestFit="1" customWidth="1"/>
    <col min="10" max="13" width="12.44140625" style="59" bestFit="1" customWidth="1"/>
    <col min="14" max="14" width="12.21875" style="59" customWidth="1"/>
    <col min="15" max="15" width="13.109375" style="59" customWidth="1"/>
    <col min="16" max="16" width="9" style="59" bestFit="1" customWidth="1"/>
    <col min="17" max="17" width="8.88671875" style="59" customWidth="1"/>
    <col min="18" max="16384" width="8.88671875" style="59"/>
  </cols>
  <sheetData>
    <row r="2" spans="2:17">
      <c r="B2" s="176" t="s">
        <v>287</v>
      </c>
    </row>
    <row r="3" spans="2:17">
      <c r="Q3" s="177"/>
    </row>
    <row r="4" spans="2:17">
      <c r="B4" s="178" t="s">
        <v>288</v>
      </c>
    </row>
    <row r="5" spans="2:17">
      <c r="B5" s="179" t="s">
        <v>289</v>
      </c>
      <c r="C5" s="180" t="s">
        <v>290</v>
      </c>
      <c r="D5" s="180" t="s">
        <v>291</v>
      </c>
      <c r="E5" s="180" t="s">
        <v>292</v>
      </c>
      <c r="F5" s="180" t="s">
        <v>293</v>
      </c>
      <c r="G5" s="180" t="s">
        <v>294</v>
      </c>
      <c r="H5" s="180" t="s">
        <v>295</v>
      </c>
      <c r="I5" s="180" t="s">
        <v>296</v>
      </c>
      <c r="J5" s="180" t="s">
        <v>297</v>
      </c>
      <c r="K5" s="180" t="s">
        <v>298</v>
      </c>
      <c r="L5" s="180" t="s">
        <v>299</v>
      </c>
      <c r="M5" s="180" t="s">
        <v>300</v>
      </c>
    </row>
    <row r="6" spans="2:17">
      <c r="B6" s="59" t="s">
        <v>301</v>
      </c>
      <c r="C6" s="181">
        <f>'Consolidated Fs'!G6</f>
        <v>12964.5</v>
      </c>
      <c r="D6" s="181">
        <f t="shared" ref="D6:M6" si="0">C6*(1+D7)</f>
        <v>14059.448596750404</v>
      </c>
      <c r="E6" s="181">
        <f t="shared" si="0"/>
        <v>15218.040252637378</v>
      </c>
      <c r="F6" s="181">
        <f t="shared" si="0"/>
        <v>16440.897954449742</v>
      </c>
      <c r="G6" s="181">
        <f t="shared" si="0"/>
        <v>17728.301909097521</v>
      </c>
      <c r="H6" s="181">
        <f t="shared" si="0"/>
        <v>19080.158294673514</v>
      </c>
      <c r="I6" s="181">
        <f t="shared" si="0"/>
        <v>20495.969207652466</v>
      </c>
      <c r="J6" s="181">
        <f t="shared" si="0"/>
        <v>21974.804277049236</v>
      </c>
      <c r="K6" s="181">
        <f t="shared" si="0"/>
        <v>23515.274432191265</v>
      </c>
      <c r="L6" s="181">
        <f t="shared" si="0"/>
        <v>25115.508319947421</v>
      </c>
      <c r="M6" s="181">
        <f t="shared" si="0"/>
        <v>26773.131869063953</v>
      </c>
      <c r="O6" s="59" t="s">
        <v>302</v>
      </c>
      <c r="P6" s="59">
        <v>6.6000000000000003E-2</v>
      </c>
    </row>
    <row r="7" spans="2:17">
      <c r="B7" s="59" t="s">
        <v>303</v>
      </c>
      <c r="C7" s="181"/>
      <c r="D7" s="182">
        <f>N7</f>
        <v>8.445744893751439E-2</v>
      </c>
      <c r="E7" s="182">
        <f t="shared" ref="E7:M7" si="1">D7-$P$9</f>
        <v>8.2406621277790568E-2</v>
      </c>
      <c r="F7" s="182">
        <f t="shared" si="1"/>
        <v>8.0355793618066745E-2</v>
      </c>
      <c r="G7" s="182">
        <f t="shared" si="1"/>
        <v>7.8304965958342923E-2</v>
      </c>
      <c r="H7" s="182">
        <f t="shared" si="1"/>
        <v>7.6254138298619101E-2</v>
      </c>
      <c r="I7" s="182">
        <f t="shared" si="1"/>
        <v>7.4203310638895278E-2</v>
      </c>
      <c r="J7" s="182">
        <f t="shared" si="1"/>
        <v>7.2152482979171456E-2</v>
      </c>
      <c r="K7" s="182">
        <f t="shared" si="1"/>
        <v>7.0101655319447634E-2</v>
      </c>
      <c r="L7" s="182">
        <f t="shared" si="1"/>
        <v>6.8050827659723812E-2</v>
      </c>
      <c r="M7" s="182">
        <f t="shared" si="1"/>
        <v>6.5999999999999989E-2</v>
      </c>
      <c r="N7" s="58">
        <f>MEDIAN('Assumptions '!F7:I7)</f>
        <v>8.445744893751439E-2</v>
      </c>
    </row>
    <row r="8" spans="2:17">
      <c r="C8" s="181"/>
      <c r="D8" s="181"/>
      <c r="E8" s="181"/>
      <c r="F8" s="181"/>
      <c r="G8" s="181"/>
      <c r="H8" s="181"/>
      <c r="I8" s="181"/>
      <c r="J8" s="181"/>
      <c r="K8" s="181"/>
      <c r="L8" s="181"/>
      <c r="M8" s="181"/>
    </row>
    <row r="9" spans="2:17">
      <c r="B9" s="178" t="s">
        <v>304</v>
      </c>
      <c r="C9" s="183"/>
      <c r="D9" s="183"/>
      <c r="E9" s="183"/>
      <c r="F9" s="183"/>
      <c r="G9" s="183"/>
      <c r="H9" s="183"/>
      <c r="I9" s="183"/>
      <c r="J9" s="183"/>
      <c r="K9" s="183"/>
      <c r="L9" s="183"/>
      <c r="M9" s="183"/>
      <c r="O9" s="58">
        <f>N7-P6</f>
        <v>1.8457448937514387E-2</v>
      </c>
      <c r="P9" s="184">
        <f>O9/9</f>
        <v>2.0508276597238206E-3</v>
      </c>
    </row>
    <row r="10" spans="2:17">
      <c r="B10" s="179" t="s">
        <v>289</v>
      </c>
      <c r="C10" s="180" t="s">
        <v>290</v>
      </c>
      <c r="D10" s="180" t="s">
        <v>291</v>
      </c>
      <c r="E10" s="180" t="s">
        <v>292</v>
      </c>
      <c r="F10" s="180" t="s">
        <v>293</v>
      </c>
      <c r="G10" s="180" t="s">
        <v>294</v>
      </c>
      <c r="H10" s="180" t="s">
        <v>295</v>
      </c>
      <c r="I10" s="180" t="s">
        <v>296</v>
      </c>
      <c r="J10" s="180" t="s">
        <v>297</v>
      </c>
      <c r="K10" s="180" t="s">
        <v>298</v>
      </c>
      <c r="L10" s="180" t="s">
        <v>299</v>
      </c>
      <c r="M10" s="180" t="s">
        <v>300</v>
      </c>
    </row>
    <row r="11" spans="2:17">
      <c r="B11" s="59" t="s">
        <v>301</v>
      </c>
      <c r="C11" s="181">
        <f>C6</f>
        <v>12964.5</v>
      </c>
      <c r="D11" s="181">
        <f t="shared" ref="D11:M11" si="2">C11*(1+D12)</f>
        <v>13964.995155027287</v>
      </c>
      <c r="E11" s="181">
        <f t="shared" si="2"/>
        <v>15027.692860038587</v>
      </c>
      <c r="F11" s="181">
        <f t="shared" si="2"/>
        <v>16155.10933524467</v>
      </c>
      <c r="G11" s="181">
        <f t="shared" si="2"/>
        <v>17349.746331108487</v>
      </c>
      <c r="H11" s="181">
        <f t="shared" si="2"/>
        <v>18614.079257602112</v>
      </c>
      <c r="I11" s="181">
        <f t="shared" si="2"/>
        <v>19950.544538910675</v>
      </c>
      <c r="J11" s="181">
        <f t="shared" si="2"/>
        <v>21361.526215345602</v>
      </c>
      <c r="K11" s="181">
        <f t="shared" si="2"/>
        <v>22849.341821571914</v>
      </c>
      <c r="L11" s="181">
        <f t="shared" si="2"/>
        <v>24416.227577913032</v>
      </c>
      <c r="M11" s="181">
        <f t="shared" si="2"/>
        <v>26064.32293942216</v>
      </c>
    </row>
    <row r="12" spans="2:17">
      <c r="B12" s="59" t="s">
        <v>303</v>
      </c>
      <c r="C12" s="181"/>
      <c r="D12" s="182">
        <f>AVERAGE('Assumptions '!F7:I7)</f>
        <v>7.7171904433436564E-2</v>
      </c>
      <c r="E12" s="182">
        <f>D12-O12</f>
        <v>7.6097248385276942E-2</v>
      </c>
      <c r="F12" s="182">
        <f>E12-O12</f>
        <v>7.5022592337117319E-2</v>
      </c>
      <c r="G12" s="182">
        <f>F12-O12</f>
        <v>7.3947936288957697E-2</v>
      </c>
      <c r="H12" s="182">
        <f>G12-O12</f>
        <v>7.2873280240798075E-2</v>
      </c>
      <c r="I12" s="182">
        <f>H12-O12</f>
        <v>7.1798624192638452E-2</v>
      </c>
      <c r="J12" s="182">
        <f>I12-O12</f>
        <v>7.072396814447883E-2</v>
      </c>
      <c r="K12" s="182">
        <f>J12-O12</f>
        <v>6.9649312096319207E-2</v>
      </c>
      <c r="L12" s="182">
        <f>K12-O12</f>
        <v>6.8574656048159585E-2</v>
      </c>
      <c r="M12" s="182">
        <v>6.7500000000000004E-2</v>
      </c>
      <c r="N12" s="58">
        <f>D12-M12</f>
        <v>9.6719044334365595E-3</v>
      </c>
      <c r="O12" s="58">
        <f>N12/9</f>
        <v>1.0746560481596178E-3</v>
      </c>
    </row>
    <row r="13" spans="2:17">
      <c r="C13" s="181"/>
      <c r="D13" s="181"/>
      <c r="E13" s="181"/>
      <c r="F13" s="181"/>
      <c r="G13" s="181"/>
      <c r="H13" s="181"/>
      <c r="I13" s="181"/>
      <c r="J13" s="181"/>
      <c r="K13" s="181"/>
      <c r="L13" s="181"/>
      <c r="M13" s="181"/>
    </row>
    <row r="14" spans="2:17">
      <c r="B14" s="178" t="s">
        <v>305</v>
      </c>
      <c r="C14" s="181"/>
      <c r="D14" s="181"/>
      <c r="E14" s="181"/>
      <c r="F14" s="181"/>
      <c r="G14" s="181"/>
      <c r="H14" s="181"/>
      <c r="I14" s="181"/>
      <c r="J14" s="181"/>
      <c r="K14" s="181"/>
      <c r="L14" s="181"/>
      <c r="M14" s="181"/>
    </row>
    <row r="15" spans="2:17">
      <c r="B15" s="179" t="s">
        <v>289</v>
      </c>
      <c r="C15" s="180" t="s">
        <v>290</v>
      </c>
      <c r="D15" s="180" t="s">
        <v>291</v>
      </c>
      <c r="E15" s="180" t="s">
        <v>292</v>
      </c>
      <c r="F15" s="180" t="s">
        <v>293</v>
      </c>
      <c r="G15" s="180" t="s">
        <v>294</v>
      </c>
      <c r="H15" s="180" t="s">
        <v>295</v>
      </c>
      <c r="I15" s="180" t="s">
        <v>296</v>
      </c>
      <c r="J15" s="180" t="s">
        <v>297</v>
      </c>
      <c r="K15" s="180" t="s">
        <v>298</v>
      </c>
      <c r="L15" s="180" t="s">
        <v>299</v>
      </c>
      <c r="M15" s="180" t="s">
        <v>300</v>
      </c>
    </row>
    <row r="16" spans="2:17">
      <c r="B16" s="59" t="s">
        <v>301</v>
      </c>
      <c r="C16" s="181">
        <f>C11</f>
        <v>12964.5</v>
      </c>
      <c r="D16" s="181">
        <f t="shared" ref="D16:M16" si="3">C16*(1+D17)</f>
        <v>13448.222297028291</v>
      </c>
      <c r="E16" s="181">
        <f t="shared" si="3"/>
        <v>13995.102277887885</v>
      </c>
      <c r="F16" s="181">
        <f t="shared" si="3"/>
        <v>14611.165237140434</v>
      </c>
      <c r="G16" s="181">
        <f t="shared" si="3"/>
        <v>15303.357462381933</v>
      </c>
      <c r="H16" s="181">
        <f t="shared" si="3"/>
        <v>16079.673797428713</v>
      </c>
      <c r="I16" s="181">
        <f t="shared" si="3"/>
        <v>16949.307550914211</v>
      </c>
      <c r="J16" s="181" t="s">
        <v>240</v>
      </c>
      <c r="K16" s="181" t="e">
        <f t="shared" si="3"/>
        <v>#VALUE!</v>
      </c>
      <c r="L16" s="181" t="e">
        <f t="shared" si="3"/>
        <v>#VALUE!</v>
      </c>
      <c r="M16" s="181" t="e">
        <f t="shared" si="3"/>
        <v>#VALUE!</v>
      </c>
    </row>
    <row r="17" spans="2:15">
      <c r="B17" s="59" t="s">
        <v>303</v>
      </c>
      <c r="C17" s="181"/>
      <c r="D17" s="182">
        <f>'Assumptions '!I52*FCFF!C14</f>
        <v>3.7311296002799359E-2</v>
      </c>
      <c r="E17" s="182">
        <f t="shared" ref="E17:L17" si="4">D17-$O$17</f>
        <v>4.0665596446932767E-2</v>
      </c>
      <c r="F17" s="182">
        <f t="shared" si="4"/>
        <v>4.4019896891066175E-2</v>
      </c>
      <c r="G17" s="182">
        <f t="shared" si="4"/>
        <v>4.7374197335199583E-2</v>
      </c>
      <c r="H17" s="182">
        <f t="shared" si="4"/>
        <v>5.0728497779332991E-2</v>
      </c>
      <c r="I17" s="182">
        <f t="shared" si="4"/>
        <v>5.40827982234664E-2</v>
      </c>
      <c r="J17" s="182">
        <f t="shared" si="4"/>
        <v>5.7437098667599808E-2</v>
      </c>
      <c r="K17" s="182">
        <f t="shared" si="4"/>
        <v>6.0791399111733216E-2</v>
      </c>
      <c r="L17" s="182">
        <f t="shared" si="4"/>
        <v>6.4145699555866617E-2</v>
      </c>
      <c r="M17" s="182">
        <v>6.7500000000000004E-2</v>
      </c>
      <c r="N17" s="58">
        <f>D17-M17</f>
        <v>-3.0188703997200646E-2</v>
      </c>
      <c r="O17" s="58">
        <f>N17/9</f>
        <v>-3.3543004441334051E-3</v>
      </c>
    </row>
    <row r="18" spans="2:15">
      <c r="C18" s="181"/>
      <c r="D18" s="181"/>
      <c r="E18" s="181"/>
      <c r="F18" s="181"/>
      <c r="G18" s="181"/>
      <c r="H18" s="181"/>
      <c r="I18" s="181"/>
      <c r="J18" s="181"/>
      <c r="K18" s="181"/>
      <c r="L18" s="181"/>
      <c r="M18" s="181"/>
    </row>
    <row r="19" spans="2:15">
      <c r="B19" s="178" t="s">
        <v>306</v>
      </c>
      <c r="C19" s="185">
        <v>1</v>
      </c>
      <c r="D19" s="181"/>
      <c r="E19" s="181"/>
      <c r="F19" s="181"/>
      <c r="G19" s="181"/>
      <c r="H19" s="181"/>
      <c r="I19" s="181"/>
      <c r="J19" s="181"/>
      <c r="K19" s="181"/>
      <c r="L19" s="181"/>
      <c r="M19" s="181"/>
    </row>
    <row r="20" spans="2:15">
      <c r="B20" s="179" t="s">
        <v>289</v>
      </c>
      <c r="C20" s="180" t="s">
        <v>290</v>
      </c>
      <c r="D20" s="180" t="s">
        <v>291</v>
      </c>
      <c r="E20" s="180" t="s">
        <v>292</v>
      </c>
      <c r="F20" s="180" t="s">
        <v>293</v>
      </c>
      <c r="G20" s="180" t="s">
        <v>294</v>
      </c>
      <c r="H20" s="180" t="s">
        <v>295</v>
      </c>
      <c r="I20" s="180" t="s">
        <v>296</v>
      </c>
      <c r="J20" s="180" t="s">
        <v>297</v>
      </c>
      <c r="K20" s="180" t="s">
        <v>298</v>
      </c>
      <c r="L20" s="180" t="s">
        <v>299</v>
      </c>
      <c r="M20" s="180" t="s">
        <v>300</v>
      </c>
    </row>
    <row r="21" spans="2:15">
      <c r="B21" s="59" t="s">
        <v>301</v>
      </c>
      <c r="C21" s="181">
        <f>C6</f>
        <v>12964.5</v>
      </c>
      <c r="D21" s="181">
        <f t="shared" ref="D21:M21" si="5">C21*(1+D22)</f>
        <v>14059.448596750404</v>
      </c>
      <c r="E21" s="181">
        <f t="shared" si="5"/>
        <v>15218.040252637378</v>
      </c>
      <c r="F21" s="181">
        <f t="shared" si="5"/>
        <v>16440.897954449742</v>
      </c>
      <c r="G21" s="181">
        <f t="shared" si="5"/>
        <v>17728.301909097521</v>
      </c>
      <c r="H21" s="181">
        <f t="shared" si="5"/>
        <v>19080.158294673514</v>
      </c>
      <c r="I21" s="181">
        <f t="shared" si="5"/>
        <v>20495.969207652466</v>
      </c>
      <c r="J21" s="181">
        <f t="shared" si="5"/>
        <v>21974.804277049236</v>
      </c>
      <c r="K21" s="181">
        <f t="shared" si="5"/>
        <v>23515.274432191265</v>
      </c>
      <c r="L21" s="181">
        <f t="shared" si="5"/>
        <v>25115.508319947421</v>
      </c>
      <c r="M21" s="181">
        <f t="shared" si="5"/>
        <v>26773.131869063953</v>
      </c>
    </row>
    <row r="22" spans="2:15">
      <c r="B22" s="59" t="s">
        <v>303</v>
      </c>
      <c r="C22" s="181"/>
      <c r="D22" s="186">
        <f t="shared" ref="D22:M22" si="6">CHOOSE($C$19,D7,D12,D17)</f>
        <v>8.445744893751439E-2</v>
      </c>
      <c r="E22" s="186">
        <f t="shared" si="6"/>
        <v>8.2406621277790568E-2</v>
      </c>
      <c r="F22" s="186">
        <f t="shared" si="6"/>
        <v>8.0355793618066745E-2</v>
      </c>
      <c r="G22" s="186">
        <f t="shared" si="6"/>
        <v>7.8304965958342923E-2</v>
      </c>
      <c r="H22" s="186">
        <f t="shared" si="6"/>
        <v>7.6254138298619101E-2</v>
      </c>
      <c r="I22" s="186">
        <f t="shared" si="6"/>
        <v>7.4203310638895278E-2</v>
      </c>
      <c r="J22" s="186">
        <f t="shared" si="6"/>
        <v>7.2152482979171456E-2</v>
      </c>
      <c r="K22" s="186">
        <f t="shared" si="6"/>
        <v>7.0101655319447634E-2</v>
      </c>
      <c r="L22" s="186">
        <f t="shared" si="6"/>
        <v>6.8050827659723812E-2</v>
      </c>
      <c r="M22" s="186">
        <f t="shared" si="6"/>
        <v>6.5999999999999989E-2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R32"/>
  <sheetViews>
    <sheetView showGridLines="0" zoomScale="64" zoomScaleNormal="100" workbookViewId="0">
      <selection activeCell="G7" sqref="G7"/>
    </sheetView>
  </sheetViews>
  <sheetFormatPr defaultRowHeight="14.4"/>
  <cols>
    <col min="1" max="1" width="1.88671875" style="188" customWidth="1"/>
    <col min="2" max="2" width="29.88671875" style="188" bestFit="1" customWidth="1"/>
    <col min="3" max="3" width="12" style="188" bestFit="1" customWidth="1"/>
    <col min="4" max="4" width="16.109375" style="188" bestFit="1" customWidth="1"/>
    <col min="5" max="5" width="12.5546875" style="188" bestFit="1" customWidth="1"/>
    <col min="6" max="7" width="13.44140625" style="188" bestFit="1" customWidth="1"/>
    <col min="8" max="10" width="14.44140625" style="188" bestFit="1" customWidth="1"/>
    <col min="11" max="12" width="15.44140625" style="188" bestFit="1" customWidth="1"/>
    <col min="13" max="13" width="16.109375" style="188" bestFit="1" customWidth="1"/>
    <col min="14" max="14" width="2.44140625" style="188" customWidth="1"/>
    <col min="15" max="15" width="15.44140625" style="188" bestFit="1" customWidth="1"/>
    <col min="16" max="16" width="2.44140625" style="188" customWidth="1"/>
    <col min="17" max="17" width="44.44140625" style="188" customWidth="1"/>
    <col min="18" max="18" width="7.109375" style="188" bestFit="1" customWidth="1"/>
    <col min="19" max="19" width="8.88671875" style="188" customWidth="1"/>
    <col min="20" max="16384" width="8.88671875" style="188"/>
  </cols>
  <sheetData>
    <row r="1" spans="2:18">
      <c r="B1" s="187" t="s">
        <v>307</v>
      </c>
    </row>
    <row r="2" spans="2:18">
      <c r="D2" s="188">
        <v>1</v>
      </c>
      <c r="E2" s="188">
        <v>2</v>
      </c>
      <c r="F2" s="188">
        <v>3</v>
      </c>
      <c r="G2" s="188">
        <v>4</v>
      </c>
      <c r="H2" s="188">
        <v>5</v>
      </c>
      <c r="I2" s="188">
        <v>6</v>
      </c>
      <c r="J2" s="188">
        <v>7</v>
      </c>
      <c r="K2" s="188">
        <v>8</v>
      </c>
      <c r="L2" s="188">
        <v>9</v>
      </c>
      <c r="M2" s="188">
        <v>10</v>
      </c>
    </row>
    <row r="3" spans="2:18">
      <c r="B3" s="189" t="s">
        <v>308</v>
      </c>
      <c r="C3" s="190" t="s">
        <v>290</v>
      </c>
      <c r="D3" s="190" t="s">
        <v>291</v>
      </c>
      <c r="E3" s="190" t="s">
        <v>292</v>
      </c>
      <c r="F3" s="190" t="s">
        <v>293</v>
      </c>
      <c r="G3" s="190" t="s">
        <v>294</v>
      </c>
      <c r="H3" s="190" t="s">
        <v>295</v>
      </c>
      <c r="I3" s="190" t="s">
        <v>296</v>
      </c>
      <c r="J3" s="190" t="s">
        <v>297</v>
      </c>
      <c r="K3" s="190" t="s">
        <v>298</v>
      </c>
      <c r="L3" s="190" t="s">
        <v>299</v>
      </c>
      <c r="M3" s="190" t="s">
        <v>300</v>
      </c>
      <c r="N3" s="191"/>
      <c r="O3" s="189" t="s">
        <v>309</v>
      </c>
      <c r="Q3" s="192" t="s">
        <v>310</v>
      </c>
      <c r="R3" s="58">
        <v>0.05</v>
      </c>
    </row>
    <row r="4" spans="2:18">
      <c r="B4" s="193" t="s">
        <v>311</v>
      </c>
      <c r="C4" s="188">
        <f>'Growth Scenario'!C21</f>
        <v>12964.5</v>
      </c>
      <c r="D4" s="188">
        <f>'Growth Scenario'!D21</f>
        <v>14059.448596750404</v>
      </c>
      <c r="E4" s="188">
        <f>'Growth Scenario'!E21</f>
        <v>15218.040252637378</v>
      </c>
      <c r="F4" s="188">
        <f>'Growth Scenario'!F21</f>
        <v>16440.897954449742</v>
      </c>
      <c r="G4" s="188">
        <f>'Growth Scenario'!G21</f>
        <v>17728.301909097521</v>
      </c>
      <c r="H4" s="188">
        <f>'Growth Scenario'!H21</f>
        <v>19080.158294673514</v>
      </c>
      <c r="I4" s="188">
        <f>'Growth Scenario'!I21</f>
        <v>20495.969207652466</v>
      </c>
      <c r="J4" s="188">
        <f>'Growth Scenario'!J21</f>
        <v>21974.804277049236</v>
      </c>
      <c r="K4" s="188">
        <f>'Growth Scenario'!K21</f>
        <v>23515.274432191265</v>
      </c>
      <c r="L4" s="188">
        <f>'Growth Scenario'!L21</f>
        <v>25115.508319947421</v>
      </c>
      <c r="M4" s="188">
        <f>'Growth Scenario'!M21</f>
        <v>26773.131869063953</v>
      </c>
      <c r="O4" s="188">
        <f>M4*(1+R3)</f>
        <v>28111.78846251715</v>
      </c>
      <c r="Q4" s="192" t="s">
        <v>312</v>
      </c>
      <c r="R4" s="58">
        <f>WACC!E25</f>
        <v>9.9533377117742378E-2</v>
      </c>
    </row>
    <row r="5" spans="2:18">
      <c r="B5" s="193" t="s">
        <v>313</v>
      </c>
      <c r="D5" s="58">
        <f>'Growth Scenario'!D22</f>
        <v>8.445744893751439E-2</v>
      </c>
      <c r="E5" s="58">
        <f>'Growth Scenario'!E22</f>
        <v>8.2406621277790568E-2</v>
      </c>
      <c r="F5" s="58">
        <f>'Growth Scenario'!F22</f>
        <v>8.0355793618066745E-2</v>
      </c>
      <c r="G5" s="58">
        <f>'Growth Scenario'!G22</f>
        <v>7.8304965958342923E-2</v>
      </c>
      <c r="H5" s="58">
        <f>'Growth Scenario'!H22</f>
        <v>7.6254138298619101E-2</v>
      </c>
      <c r="I5" s="58">
        <f>'Growth Scenario'!I22</f>
        <v>7.4203310638895278E-2</v>
      </c>
      <c r="J5" s="58">
        <f>'Growth Scenario'!J22</f>
        <v>7.2152482979171456E-2</v>
      </c>
      <c r="K5" s="58">
        <f>'Growth Scenario'!K22</f>
        <v>7.0101655319447634E-2</v>
      </c>
      <c r="L5" s="58">
        <f>'Growth Scenario'!L22</f>
        <v>6.8050827659723812E-2</v>
      </c>
      <c r="M5" s="58">
        <f>'Growth Scenario'!M22</f>
        <v>6.5999999999999989E-2</v>
      </c>
      <c r="O5" s="188">
        <f>R3</f>
        <v>0.05</v>
      </c>
      <c r="Q5" s="192" t="s">
        <v>314</v>
      </c>
      <c r="R5" s="58">
        <f>R4*R3</f>
        <v>4.9766688558871191E-3</v>
      </c>
    </row>
    <row r="6" spans="2:18">
      <c r="B6" s="193" t="s">
        <v>207</v>
      </c>
      <c r="D6" s="188">
        <f t="shared" ref="D6:M6" si="0">D7*D4</f>
        <v>2022.4789333901929</v>
      </c>
      <c r="E6" s="188">
        <f t="shared" si="0"/>
        <v>2189.1445888963881</v>
      </c>
      <c r="F6" s="188">
        <f t="shared" si="0"/>
        <v>2365.0550396818544</v>
      </c>
      <c r="G6" s="188">
        <f t="shared" si="0"/>
        <v>2550.2505940537499</v>
      </c>
      <c r="H6" s="188">
        <f t="shared" si="0"/>
        <v>2744.7177555488593</v>
      </c>
      <c r="I6" s="188">
        <f t="shared" si="0"/>
        <v>2948.3848997799428</v>
      </c>
      <c r="J6" s="188">
        <f t="shared" si="0"/>
        <v>3161.1181910773616</v>
      </c>
      <c r="K6" s="188">
        <f t="shared" si="0"/>
        <v>3382.7178089323024</v>
      </c>
      <c r="L6" s="188">
        <f t="shared" si="0"/>
        <v>3612.9145555694331</v>
      </c>
      <c r="M6" s="188">
        <f t="shared" si="0"/>
        <v>3851.3669162370161</v>
      </c>
      <c r="O6" s="188">
        <f>O7*O4</f>
        <v>4043.9352620488667</v>
      </c>
      <c r="Q6" s="192"/>
    </row>
    <row r="7" spans="2:18">
      <c r="B7" s="193" t="s">
        <v>315</v>
      </c>
      <c r="D7" s="58">
        <f>AVERAGE('Ratios '!C13:G13)</f>
        <v>0.14385193839377552</v>
      </c>
      <c r="E7" s="58">
        <f t="shared" ref="E7:M7" si="1">D7</f>
        <v>0.14385193839377552</v>
      </c>
      <c r="F7" s="58">
        <f t="shared" si="1"/>
        <v>0.14385193839377552</v>
      </c>
      <c r="G7" s="58">
        <f t="shared" si="1"/>
        <v>0.14385193839377552</v>
      </c>
      <c r="H7" s="58">
        <f t="shared" si="1"/>
        <v>0.14385193839377552</v>
      </c>
      <c r="I7" s="58">
        <f t="shared" si="1"/>
        <v>0.14385193839377552</v>
      </c>
      <c r="J7" s="58">
        <f t="shared" si="1"/>
        <v>0.14385193839377552</v>
      </c>
      <c r="K7" s="58">
        <f t="shared" si="1"/>
        <v>0.14385193839377552</v>
      </c>
      <c r="L7" s="58">
        <f t="shared" si="1"/>
        <v>0.14385193839377552</v>
      </c>
      <c r="M7" s="58">
        <f t="shared" si="1"/>
        <v>0.14385193839377552</v>
      </c>
      <c r="O7" s="188">
        <f>M7</f>
        <v>0.14385193839377552</v>
      </c>
      <c r="Q7" s="192" t="s">
        <v>316</v>
      </c>
    </row>
    <row r="8" spans="2:18">
      <c r="B8" s="193" t="s">
        <v>278</v>
      </c>
      <c r="D8" s="188">
        <f>AVERAGE(WACC!$F$17)*D6</f>
        <v>322.17969519985837</v>
      </c>
      <c r="E8" s="188">
        <f>AVERAGE(WACC!$F$17)*E6</f>
        <v>348.72943532558708</v>
      </c>
      <c r="F8" s="188">
        <f>AVERAGE(WACC!$F$17)*F6</f>
        <v>376.75186585915498</v>
      </c>
      <c r="G8" s="188">
        <f>AVERAGE(WACC!$F$17)*G6</f>
        <v>406.25340788999836</v>
      </c>
      <c r="H8" s="188">
        <f>AVERAGE(WACC!$F$17)*H6</f>
        <v>437.23191143952749</v>
      </c>
      <c r="I8" s="188">
        <f>AVERAGE(WACC!$F$17)*I6</f>
        <v>469.67596678531271</v>
      </c>
      <c r="J8" s="188">
        <f>AVERAGE(WACC!$F$17)*J6</f>
        <v>503.56425398451597</v>
      </c>
      <c r="K8" s="188">
        <f>AVERAGE(WACC!$F$17)*K6</f>
        <v>538.86494174853328</v>
      </c>
      <c r="L8" s="188">
        <f>AVERAGE(WACC!$F$17)*L6</f>
        <v>575.53514703132976</v>
      </c>
      <c r="M8" s="188">
        <f>AVERAGE(WACC!$F$17)*M6</f>
        <v>613.52046673539758</v>
      </c>
      <c r="O8" s="188">
        <f>WACC!F17*O6</f>
        <v>644.19649007216742</v>
      </c>
    </row>
    <row r="9" spans="2:18" s="191" customFormat="1">
      <c r="B9" s="194" t="s">
        <v>317</v>
      </c>
      <c r="D9" s="191">
        <f t="shared" ref="D9:M9" si="2">D6-D8</f>
        <v>1700.2992381903346</v>
      </c>
      <c r="E9" s="191">
        <f t="shared" si="2"/>
        <v>1840.4151535708011</v>
      </c>
      <c r="F9" s="191">
        <f t="shared" si="2"/>
        <v>1988.3031738226994</v>
      </c>
      <c r="G9" s="191">
        <f t="shared" si="2"/>
        <v>2143.9971861637514</v>
      </c>
      <c r="H9" s="191">
        <f t="shared" si="2"/>
        <v>2307.485844109332</v>
      </c>
      <c r="I9" s="191">
        <f t="shared" si="2"/>
        <v>2478.7089329946302</v>
      </c>
      <c r="J9" s="191">
        <f t="shared" si="2"/>
        <v>2657.5539370928454</v>
      </c>
      <c r="K9" s="191">
        <f t="shared" si="2"/>
        <v>2843.8528671837694</v>
      </c>
      <c r="L9" s="191">
        <f t="shared" si="2"/>
        <v>3037.3794085381032</v>
      </c>
      <c r="M9" s="191">
        <f t="shared" si="2"/>
        <v>3237.8464495016187</v>
      </c>
      <c r="O9" s="191">
        <f>O6-O8</f>
        <v>3399.7387719766994</v>
      </c>
    </row>
    <row r="10" spans="2:18">
      <c r="B10" s="193" t="s">
        <v>318</v>
      </c>
      <c r="D10" s="188">
        <f>'Fixed Asset Schedule '!$C$13*'Valuation '!D4</f>
        <v>1170.692889552746</v>
      </c>
      <c r="E10" s="188">
        <f>'Fixed Asset Schedule '!$C$13*'Valuation '!E4</f>
        <v>1267.1657351347214</v>
      </c>
      <c r="F10" s="188">
        <f>'Fixed Asset Schedule '!$C$13*'Valuation '!F4</f>
        <v>1368.9898434270931</v>
      </c>
      <c r="G10" s="188">
        <f>'Fixed Asset Schedule '!$C$13*'Valuation '!G4</f>
        <v>1476.1885465139692</v>
      </c>
      <c r="H10" s="188">
        <f>'Fixed Asset Schedule '!$C$13*'Valuation '!H4</f>
        <v>1588.7540320946828</v>
      </c>
      <c r="I10" s="188">
        <f>'Fixed Asset Schedule '!$C$13*'Valuation '!I4</f>
        <v>1706.6448410670016</v>
      </c>
      <c r="J10" s="188">
        <f>'Fixed Asset Schedule '!$C$13*'Valuation '!J4</f>
        <v>1829.7835039135796</v>
      </c>
      <c r="K10" s="188">
        <f>'Fixed Asset Schedule '!$C$13*'Valuation '!K4</f>
        <v>1958.0543564141406</v>
      </c>
      <c r="L10" s="188">
        <f>'Fixed Asset Schedule '!$C$13*'Valuation '!L4</f>
        <v>2091.3015759708505</v>
      </c>
      <c r="M10" s="188">
        <f>'Fixed Asset Schedule '!$C$13*'Valuation '!M4</f>
        <v>2229.3274799849269</v>
      </c>
    </row>
    <row r="11" spans="2:18">
      <c r="B11" s="193" t="s">
        <v>319</v>
      </c>
      <c r="C11" s="188">
        <f>'Change in Working Capital '!G7</f>
        <v>3549.3500000000008</v>
      </c>
      <c r="D11" s="188">
        <f>'Change in Working Capital '!$C$11*'Valuation '!D4</f>
        <v>440.98848895142942</v>
      </c>
      <c r="E11" s="188">
        <f>'Change in Working Capital '!$C$11*'Valuation '!E4</f>
        <v>477.328860348315</v>
      </c>
      <c r="F11" s="205">
        <f>'Change in Working Capital '!$C$11*'Valuation '!F4</f>
        <v>515.68499973841119</v>
      </c>
      <c r="G11" s="188">
        <f>'Change in Working Capital '!$C$11*'Valuation '!G4</f>
        <v>556.06569608815573</v>
      </c>
      <c r="H11" s="188">
        <f>'Change in Working Capital '!$C$11*'Valuation '!H4</f>
        <v>598.46800658077973</v>
      </c>
      <c r="I11" s="188">
        <f>'Change in Working Capital '!$C$11*'Valuation '!I4</f>
        <v>642.87631398053372</v>
      </c>
      <c r="J11" s="188">
        <f>'Change in Working Capital '!$C$11*'Valuation '!J4</f>
        <v>689.26143628272678</v>
      </c>
      <c r="K11" s="188">
        <f>'Change in Working Capital '!$C$11*'Valuation '!K4</f>
        <v>737.57980391400588</v>
      </c>
      <c r="L11" s="188">
        <f>'Change in Working Capital '!$C$11*'Valuation '!L4</f>
        <v>787.77272003545079</v>
      </c>
      <c r="M11" s="188">
        <f>'Change in Working Capital '!$C$11*'Valuation '!M4</f>
        <v>839.76571955779059</v>
      </c>
    </row>
    <row r="12" spans="2:18">
      <c r="B12" s="193" t="s">
        <v>320</v>
      </c>
      <c r="D12" s="188">
        <f t="shared" ref="D12:M12" si="3">D11-C11</f>
        <v>-3108.3615110485716</v>
      </c>
      <c r="E12" s="188">
        <f t="shared" si="3"/>
        <v>36.340371396885587</v>
      </c>
      <c r="F12" s="188">
        <f t="shared" si="3"/>
        <v>38.356139390096189</v>
      </c>
      <c r="G12" s="188">
        <f t="shared" si="3"/>
        <v>40.380696349744539</v>
      </c>
      <c r="H12" s="188">
        <f t="shared" si="3"/>
        <v>42.402310492623997</v>
      </c>
      <c r="I12" s="188">
        <f t="shared" si="3"/>
        <v>44.408307399753994</v>
      </c>
      <c r="J12" s="188">
        <f t="shared" si="3"/>
        <v>46.385122302193054</v>
      </c>
      <c r="K12" s="188">
        <f t="shared" si="3"/>
        <v>48.318367631279102</v>
      </c>
      <c r="L12" s="188">
        <f t="shared" si="3"/>
        <v>50.19291612144491</v>
      </c>
      <c r="M12" s="188">
        <f t="shared" si="3"/>
        <v>51.992999522339801</v>
      </c>
    </row>
    <row r="13" spans="2:18">
      <c r="B13" s="193" t="s">
        <v>282</v>
      </c>
      <c r="D13" s="188">
        <f t="shared" ref="D13:M13" si="4">D10+D12</f>
        <v>-1937.6686214958256</v>
      </c>
      <c r="E13" s="188">
        <f t="shared" si="4"/>
        <v>1303.506106531607</v>
      </c>
      <c r="F13" s="188">
        <f t="shared" si="4"/>
        <v>1407.3459828171892</v>
      </c>
      <c r="G13" s="188">
        <f t="shared" si="4"/>
        <v>1516.5692428637137</v>
      </c>
      <c r="H13" s="188">
        <f t="shared" si="4"/>
        <v>1631.1563425873069</v>
      </c>
      <c r="I13" s="188">
        <f t="shared" si="4"/>
        <v>1751.0531484667556</v>
      </c>
      <c r="J13" s="188">
        <f t="shared" si="4"/>
        <v>1876.1686262157727</v>
      </c>
      <c r="K13" s="188">
        <f t="shared" si="4"/>
        <v>2006.3727240454195</v>
      </c>
      <c r="L13" s="188">
        <f t="shared" si="4"/>
        <v>2141.4944920922953</v>
      </c>
      <c r="M13" s="188">
        <f t="shared" si="4"/>
        <v>2281.3204795072666</v>
      </c>
      <c r="O13" s="188">
        <f>O9*O15</f>
        <v>16.919374064648359</v>
      </c>
    </row>
    <row r="14" spans="2:18">
      <c r="B14" s="194" t="s">
        <v>321</v>
      </c>
      <c r="D14" s="191">
        <f t="shared" ref="D14:M14" si="5">D9-D13</f>
        <v>3637.9678596861604</v>
      </c>
      <c r="E14" s="191">
        <f t="shared" si="5"/>
        <v>536.90904703919409</v>
      </c>
      <c r="F14" s="191">
        <f t="shared" si="5"/>
        <v>580.95719100551014</v>
      </c>
      <c r="G14" s="191">
        <f t="shared" si="5"/>
        <v>627.42794330003767</v>
      </c>
      <c r="H14" s="191">
        <f t="shared" si="5"/>
        <v>676.32950152202511</v>
      </c>
      <c r="I14" s="191">
        <f t="shared" si="5"/>
        <v>727.65578452787463</v>
      </c>
      <c r="J14" s="191">
        <f t="shared" si="5"/>
        <v>781.3853108770727</v>
      </c>
      <c r="K14" s="191">
        <f t="shared" si="5"/>
        <v>837.48014313834983</v>
      </c>
      <c r="L14" s="191">
        <f t="shared" si="5"/>
        <v>895.8849164458079</v>
      </c>
      <c r="M14" s="191">
        <f t="shared" si="5"/>
        <v>956.52596999435218</v>
      </c>
      <c r="O14" s="188">
        <f>O9-O13</f>
        <v>3382.819397912051</v>
      </c>
    </row>
    <row r="15" spans="2:18">
      <c r="B15" s="188" t="s">
        <v>322</v>
      </c>
      <c r="D15" s="195">
        <f t="shared" ref="D15:M15" si="6">D13/D9</f>
        <v>-1.1396044754793446</v>
      </c>
      <c r="E15" s="195">
        <f t="shared" si="6"/>
        <v>0.70826742759780303</v>
      </c>
      <c r="F15" s="195">
        <f t="shared" si="6"/>
        <v>0.70781257171733758</v>
      </c>
      <c r="G15" s="195">
        <f t="shared" si="6"/>
        <v>0.70735598565654234</v>
      </c>
      <c r="H15" s="195">
        <f t="shared" si="6"/>
        <v>0.70689765952471872</v>
      </c>
      <c r="I15" s="195">
        <f t="shared" si="6"/>
        <v>0.70643758335563678</v>
      </c>
      <c r="J15" s="195">
        <f t="shared" si="6"/>
        <v>0.70597574710681255</v>
      </c>
      <c r="K15" s="195">
        <f t="shared" si="6"/>
        <v>0.70551214065877621</v>
      </c>
      <c r="L15" s="195">
        <f t="shared" si="6"/>
        <v>0.70504675381433524</v>
      </c>
      <c r="M15" s="195">
        <f t="shared" si="6"/>
        <v>0.70457957629782464</v>
      </c>
      <c r="O15" s="188">
        <f>R5</f>
        <v>4.9766688558871191E-3</v>
      </c>
    </row>
    <row r="16" spans="2:18">
      <c r="J16" s="188" t="s">
        <v>240</v>
      </c>
    </row>
    <row r="17" spans="2:13">
      <c r="B17" s="188" t="s">
        <v>323</v>
      </c>
      <c r="M17" s="188">
        <f>M14/(R4-R3)</f>
        <v>19310.736025945906</v>
      </c>
    </row>
    <row r="19" spans="2:13">
      <c r="B19" s="188" t="s">
        <v>324</v>
      </c>
      <c r="D19" s="188">
        <f t="shared" ref="D19:M19" si="7">1/(1+$R$4)^D2</f>
        <v>0.90947671149496723</v>
      </c>
      <c r="E19" s="188">
        <f t="shared" si="7"/>
        <v>0.82714788875169976</v>
      </c>
      <c r="F19" s="188">
        <f t="shared" si="7"/>
        <v>0.75227174178190082</v>
      </c>
      <c r="G19" s="188">
        <f t="shared" si="7"/>
        <v>0.6841736298663943</v>
      </c>
      <c r="H19" s="188">
        <f t="shared" si="7"/>
        <v>0.62223998298246319</v>
      </c>
      <c r="I19" s="188">
        <f t="shared" si="7"/>
        <v>0.56591277348357494</v>
      </c>
      <c r="J19" s="188">
        <f t="shared" si="7"/>
        <v>0.51468448822083801</v>
      </c>
      <c r="K19" s="188">
        <f t="shared" si="7"/>
        <v>0.46809355580455791</v>
      </c>
      <c r="L19" s="188">
        <f t="shared" si="7"/>
        <v>0.42572018780511528</v>
      </c>
      <c r="M19" s="188">
        <f t="shared" si="7"/>
        <v>0.38718259642201602</v>
      </c>
    </row>
    <row r="21" spans="2:13">
      <c r="B21" s="188" t="s">
        <v>325</v>
      </c>
      <c r="D21" s="188">
        <f>SUMPRODUCT(D14:M14,D19:M19)</f>
        <v>6997.6189828066435</v>
      </c>
    </row>
    <row r="22" spans="2:13">
      <c r="B22" s="188" t="s">
        <v>326</v>
      </c>
      <c r="D22" s="188">
        <f>M17*M19</f>
        <v>7476.7809133458995</v>
      </c>
    </row>
    <row r="23" spans="2:13">
      <c r="I23" s="196" t="s">
        <v>327</v>
      </c>
      <c r="J23" s="196"/>
      <c r="K23" s="196"/>
      <c r="L23" s="196"/>
      <c r="M23" s="196"/>
    </row>
    <row r="24" spans="2:13">
      <c r="B24" s="191" t="s">
        <v>328</v>
      </c>
      <c r="D24" s="191">
        <f>D21+D22</f>
        <v>14474.399896152543</v>
      </c>
      <c r="I24" s="192">
        <f>D31</f>
        <v>84.664814173781139</v>
      </c>
      <c r="J24" s="191">
        <f>K24-1%</f>
        <v>8.9533377117742383E-2</v>
      </c>
      <c r="K24" s="191">
        <f>R4</f>
        <v>9.9533377117742378E-2</v>
      </c>
      <c r="L24" s="191">
        <f>K24+1%</f>
        <v>0.10953337711774237</v>
      </c>
      <c r="M24" s="191">
        <f>L24+1%</f>
        <v>0.11953337711774237</v>
      </c>
    </row>
    <row r="25" spans="2:13">
      <c r="B25" s="193" t="s">
        <v>329</v>
      </c>
      <c r="D25" s="188">
        <f>'Consolidated Fs'!P26</f>
        <v>304.10000000000002</v>
      </c>
      <c r="I25" s="197">
        <f>I26-1%</f>
        <v>4.7E-2</v>
      </c>
      <c r="J25" s="188">
        <v>647.64580620614606</v>
      </c>
      <c r="K25" s="188">
        <v>647.64580620614606</v>
      </c>
      <c r="L25" s="188">
        <v>525.4601059921149</v>
      </c>
      <c r="M25" s="188">
        <v>380.79479708645738</v>
      </c>
    </row>
    <row r="26" spans="2:13">
      <c r="B26" s="193" t="s">
        <v>330</v>
      </c>
      <c r="D26" s="188">
        <f>'Consolidated Fs'!P45+'Consolidated Fs'!P53</f>
        <v>1062.8</v>
      </c>
      <c r="I26" s="197">
        <f>I27-1%</f>
        <v>5.7000000000000002E-2</v>
      </c>
      <c r="J26" s="188">
        <v>488.12562856699719</v>
      </c>
      <c r="K26" s="188">
        <v>488.12562856699719</v>
      </c>
      <c r="L26" s="188">
        <v>411.63691356881111</v>
      </c>
      <c r="M26" s="188">
        <v>313.33095938802302</v>
      </c>
    </row>
    <row r="27" spans="2:13">
      <c r="B27" s="193" t="s">
        <v>331</v>
      </c>
      <c r="I27" s="197">
        <v>6.7000000000000004E-2</v>
      </c>
      <c r="J27" s="188">
        <v>384.07289250976407</v>
      </c>
      <c r="K27" s="198">
        <v>384.07289250976407</v>
      </c>
      <c r="L27" s="188">
        <v>332.97384833557282</v>
      </c>
      <c r="M27" s="188">
        <v>263.15812672608263</v>
      </c>
    </row>
    <row r="28" spans="2:13" ht="15" customHeight="1" thickBot="1">
      <c r="B28" s="199" t="s">
        <v>332</v>
      </c>
      <c r="C28" s="200"/>
      <c r="D28" s="199">
        <f>D24+D25-D26-D27</f>
        <v>13715.699896152544</v>
      </c>
      <c r="I28" s="197">
        <f>I27+1%</f>
        <v>7.6999999999999999E-2</v>
      </c>
      <c r="J28" s="188">
        <v>311.96099915341892</v>
      </c>
      <c r="K28" s="201">
        <v>311.96099915341892</v>
      </c>
      <c r="L28" s="188">
        <v>276.13090880691487</v>
      </c>
      <c r="M28" s="188">
        <v>224.7852418787335</v>
      </c>
    </row>
    <row r="29" spans="2:13" ht="15" customHeight="1" thickTop="1">
      <c r="I29" s="197">
        <f>I28+1%</f>
        <v>8.6999999999999994E-2</v>
      </c>
      <c r="J29" s="188">
        <v>259.70008344627172</v>
      </c>
      <c r="K29" s="188">
        <v>259.70008344627172</v>
      </c>
      <c r="L29" s="188">
        <v>233.60487919839619</v>
      </c>
      <c r="M29" s="188">
        <v>194.74247908160169</v>
      </c>
    </row>
    <row r="30" spans="2:13">
      <c r="B30" s="193" t="s">
        <v>333</v>
      </c>
      <c r="D30" s="204">
        <v>162</v>
      </c>
    </row>
    <row r="31" spans="2:13" ht="15" customHeight="1" thickBot="1">
      <c r="B31" s="199" t="s">
        <v>334</v>
      </c>
      <c r="C31" s="200"/>
      <c r="D31" s="199">
        <f>D28/D30</f>
        <v>84.664814173781139</v>
      </c>
      <c r="F31" s="199" t="s">
        <v>335</v>
      </c>
      <c r="G31" s="199" t="s">
        <v>336</v>
      </c>
    </row>
    <row r="32" spans="2:13" ht="15" customHeight="1" thickTop="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J40"/>
  <sheetViews>
    <sheetView showGridLines="0" topLeftCell="A3" zoomScale="73" workbookViewId="0">
      <selection activeCell="G7" sqref="G7"/>
    </sheetView>
  </sheetViews>
  <sheetFormatPr defaultRowHeight="14.4"/>
  <cols>
    <col min="2" max="2" width="33.33203125" customWidth="1"/>
    <col min="3" max="10" width="16.6640625" customWidth="1"/>
  </cols>
  <sheetData>
    <row r="2" spans="2:10" ht="18" customHeight="1">
      <c r="B2" s="307" t="s">
        <v>0</v>
      </c>
      <c r="C2" s="289"/>
      <c r="D2" s="289"/>
      <c r="E2" s="289"/>
      <c r="F2" s="289"/>
      <c r="G2" s="289"/>
      <c r="H2" s="289"/>
      <c r="I2" s="289"/>
      <c r="J2" s="289"/>
    </row>
    <row r="3" spans="2:10">
      <c r="B3" s="202" t="s">
        <v>1</v>
      </c>
      <c r="C3" s="203">
        <v>46102</v>
      </c>
      <c r="D3" s="203">
        <v>46103</v>
      </c>
      <c r="E3" s="203">
        <v>46104</v>
      </c>
      <c r="F3" s="203">
        <v>46105</v>
      </c>
      <c r="G3" s="203">
        <v>46106</v>
      </c>
      <c r="H3" s="202" t="s">
        <v>2</v>
      </c>
      <c r="I3" s="202"/>
      <c r="J3" s="202"/>
    </row>
    <row r="5" spans="2:10">
      <c r="B5" t="s">
        <v>3</v>
      </c>
      <c r="C5" s="58"/>
      <c r="D5" s="58">
        <v>0.49685043765757769</v>
      </c>
      <c r="E5" s="58">
        <v>0.2102033189557079</v>
      </c>
      <c r="F5" s="58">
        <v>0.25273235213097689</v>
      </c>
      <c r="G5" s="58">
        <v>7.3101584840792988E-2</v>
      </c>
      <c r="H5" s="284"/>
      <c r="I5" s="58"/>
      <c r="J5" s="58"/>
    </row>
    <row r="6" spans="2:10">
      <c r="B6" t="s">
        <v>4</v>
      </c>
      <c r="C6" s="58"/>
      <c r="D6" s="58">
        <v>0.72078221691455868</v>
      </c>
      <c r="E6" s="58">
        <v>0.25734024179620058</v>
      </c>
      <c r="F6" s="58">
        <v>0.30101547995383537</v>
      </c>
      <c r="G6" s="58">
        <v>1.208397312744197E-2</v>
      </c>
      <c r="H6" s="284"/>
      <c r="I6" s="58"/>
      <c r="J6" s="58"/>
    </row>
    <row r="7" spans="2:10">
      <c r="B7" t="s">
        <v>5</v>
      </c>
      <c r="C7" s="58"/>
      <c r="D7" s="58">
        <v>1.0358938992042439</v>
      </c>
      <c r="E7" s="58">
        <v>0.30690577070402331</v>
      </c>
      <c r="F7" s="58">
        <v>0.27648510804592108</v>
      </c>
      <c r="G7" s="58">
        <v>-6.8395666462569199E-2</v>
      </c>
      <c r="H7" s="284"/>
      <c r="I7" s="58"/>
      <c r="J7" s="58"/>
    </row>
    <row r="8" spans="2:10">
      <c r="B8" t="s">
        <v>6</v>
      </c>
      <c r="C8" s="58"/>
      <c r="D8" s="58">
        <v>0.57696030977734736</v>
      </c>
      <c r="E8" s="58">
        <v>0.2395007477880407</v>
      </c>
      <c r="F8" s="58">
        <v>0.24261557789425131</v>
      </c>
      <c r="G8" s="58">
        <v>1.7230474719044968E-2</v>
      </c>
      <c r="H8" s="284"/>
      <c r="I8" s="58"/>
      <c r="J8" s="58"/>
    </row>
    <row r="9" spans="2:10">
      <c r="B9" t="s">
        <v>7</v>
      </c>
      <c r="C9" s="58"/>
      <c r="D9" s="58">
        <f>('Consolidated Fs'!U50-'Consolidated Fs'!T50)/'Consolidated Fs'!T50</f>
        <v>0.13907496012759177</v>
      </c>
      <c r="E9" s="58">
        <f>('Consolidated Fs'!V50-'Consolidated Fs'!U50)/'Consolidated Fs'!U50</f>
        <v>0.13917670120414447</v>
      </c>
      <c r="F9" s="58">
        <f>('Consolidated Fs'!W50-'Consolidated Fs'!V50)/'Consolidated Fs'!V50</f>
        <v>0.32866273352999015</v>
      </c>
      <c r="G9" s="58">
        <f>('Consolidated Fs'!X50-'Consolidated Fs'!W50)/'Consolidated Fs'!W50</f>
        <v>-6.6419981498612349E-2</v>
      </c>
      <c r="H9" s="284"/>
      <c r="I9" s="58"/>
      <c r="J9" s="58"/>
    </row>
    <row r="10" spans="2:10">
      <c r="H10" s="284"/>
    </row>
    <row r="11" spans="2:10">
      <c r="B11" t="s">
        <v>8</v>
      </c>
      <c r="C11" s="58">
        <v>0.53315244117630045</v>
      </c>
      <c r="D11" s="58">
        <v>0.51543024754180189</v>
      </c>
      <c r="E11" s="58">
        <v>0.52598814216598155</v>
      </c>
      <c r="F11" s="58">
        <v>0.54205723307474141</v>
      </c>
      <c r="G11" s="58">
        <v>0.53368819175794113</v>
      </c>
      <c r="H11" s="284"/>
      <c r="I11" s="58"/>
      <c r="J11" s="58"/>
    </row>
    <row r="12" spans="2:10">
      <c r="B12" t="s">
        <v>9</v>
      </c>
      <c r="C12" s="58">
        <v>0.17052769212077731</v>
      </c>
      <c r="D12" s="58">
        <v>0.19627042693898719</v>
      </c>
      <c r="E12" s="58">
        <v>0.2041155466676568</v>
      </c>
      <c r="F12" s="58">
        <v>0.21334324159619031</v>
      </c>
      <c r="G12" s="58">
        <v>0.20152054755070889</v>
      </c>
      <c r="H12" s="284"/>
      <c r="I12" s="58"/>
      <c r="J12" s="58"/>
    </row>
    <row r="13" spans="2:10">
      <c r="B13" t="s">
        <v>10</v>
      </c>
      <c r="C13" s="58">
        <f>'Assumptions '!E18/'Assumptions '!E6</f>
        <v>0.11708044619830338</v>
      </c>
      <c r="D13" s="58">
        <f>'Assumptions '!F18/'Assumptions '!F6</f>
        <v>0.12868962432915912</v>
      </c>
      <c r="E13" s="58">
        <f>'Assumptions '!G18/'Assumptions '!G6</f>
        <v>0.15363813911562918</v>
      </c>
      <c r="F13" s="58">
        <f>'Assumptions '!H18/'Assumptions '!H6</f>
        <v>0.15363604787015694</v>
      </c>
      <c r="G13" s="58">
        <f>'Assumptions '!I18/'Assumptions '!I6</f>
        <v>0.166215434455629</v>
      </c>
      <c r="H13" s="284"/>
      <c r="I13" s="58"/>
      <c r="J13" s="58"/>
    </row>
    <row r="14" spans="2:10">
      <c r="B14" t="s">
        <v>11</v>
      </c>
      <c r="C14" s="58">
        <v>0.33370900275966608</v>
      </c>
      <c r="D14" s="58">
        <v>0.35910007313647108</v>
      </c>
      <c r="E14" s="58">
        <v>0.37263774713956332</v>
      </c>
      <c r="F14" s="58">
        <v>0.37323226219526312</v>
      </c>
      <c r="G14" s="58">
        <v>0.36153321878029809</v>
      </c>
      <c r="H14" s="284"/>
      <c r="I14" s="58"/>
      <c r="J14" s="58"/>
    </row>
    <row r="15" spans="2:10">
      <c r="B15" t="s">
        <v>12</v>
      </c>
      <c r="C15" s="58">
        <v>0.30957667763976238</v>
      </c>
      <c r="D15" s="58">
        <v>0.32652996467005402</v>
      </c>
      <c r="E15" s="58">
        <v>0.33476360507856368</v>
      </c>
      <c r="F15" s="58">
        <v>0.33419147803682681</v>
      </c>
      <c r="G15" s="58">
        <v>0.31727702955660292</v>
      </c>
      <c r="H15" s="284"/>
      <c r="I15" s="58"/>
      <c r="J15" s="58"/>
    </row>
    <row r="16" spans="2:10">
      <c r="H16" s="284"/>
      <c r="J16" t="s">
        <v>240</v>
      </c>
    </row>
    <row r="17" spans="2:10">
      <c r="B17" t="s">
        <v>13</v>
      </c>
      <c r="C17" s="58">
        <f>('Consolidated Fs'!C13+'Consolidated Fs'!C16)/'Consolidated Fs'!C6</f>
        <v>0.4348361971641343</v>
      </c>
      <c r="D17" s="58">
        <f>('Consolidated Fs'!D13+'Consolidated Fs'!D16)/'Consolidated Fs'!D6</f>
        <v>0.42850887000596311</v>
      </c>
      <c r="E17" s="58">
        <f>('Consolidated Fs'!E13+'Consolidated Fs'!E16)/'Consolidated Fs'!E6</f>
        <v>0.41731350259569</v>
      </c>
      <c r="F17" s="58">
        <f>('Consolidated Fs'!F13+'Consolidated Fs'!F16)/'Consolidated Fs'!F6</f>
        <v>0.43295494016230379</v>
      </c>
      <c r="G17" s="58">
        <f>('Consolidated Fs'!G13+'Consolidated Fs'!G16)/'Consolidated Fs'!G6</f>
        <v>0.43874426318022297</v>
      </c>
      <c r="H17" s="284"/>
      <c r="I17" s="58"/>
      <c r="J17" s="58"/>
    </row>
    <row r="18" spans="2:10">
      <c r="B18" t="s">
        <v>14</v>
      </c>
      <c r="C18" s="58">
        <f>'Consolidated Fs'!C15/'Consolidated Fs'!C6</f>
        <v>2.2361702348030536E-2</v>
      </c>
      <c r="D18" s="58">
        <f>'Consolidated Fs'!D15/'Consolidated Fs'!D6</f>
        <v>2.2361359570661897E-2</v>
      </c>
      <c r="E18" s="58">
        <f>'Consolidated Fs'!E15/'Consolidated Fs'!E6</f>
        <v>2.2117615637571569E-2</v>
      </c>
      <c r="F18" s="58">
        <f>'Consolidated Fs'!F15/'Consolidated Fs'!F6</f>
        <v>2.3627206416369319E-2</v>
      </c>
      <c r="G18" s="58">
        <f>'Consolidated Fs'!G15/'Consolidated Fs'!G6</f>
        <v>2.7552161672258858E-2</v>
      </c>
      <c r="H18" s="284"/>
      <c r="I18" s="58"/>
      <c r="J18" s="58"/>
    </row>
    <row r="19" spans="2:10">
      <c r="B19" t="s">
        <v>15</v>
      </c>
      <c r="C19" s="58">
        <f>'Assumptions '!E18/'Assumptions '!E6</f>
        <v>0.11708044619830338</v>
      </c>
      <c r="D19" s="58">
        <f>'Assumptions '!F18/'Assumptions '!F6</f>
        <v>0.12868962432915912</v>
      </c>
      <c r="E19" s="58">
        <f>'Assumptions '!G18/'Assumptions '!G6</f>
        <v>0.15363813911562918</v>
      </c>
      <c r="F19" s="58">
        <f>'Assumptions '!H18/'Assumptions '!H6</f>
        <v>0.15363604787015694</v>
      </c>
      <c r="G19" s="58">
        <f>'Assumptions '!I18/'Assumptions '!I6</f>
        <v>0.166215434455629</v>
      </c>
      <c r="H19" s="284"/>
      <c r="I19" s="58"/>
      <c r="J19" s="58"/>
    </row>
    <row r="20" spans="2:10">
      <c r="H20" s="284"/>
    </row>
    <row r="21" spans="2:10">
      <c r="B21" t="s">
        <v>16</v>
      </c>
      <c r="C21" s="59">
        <v>0.21694795090646271</v>
      </c>
      <c r="D21" s="59">
        <v>0.32834188911704321</v>
      </c>
      <c r="E21" s="59">
        <v>0.82475654235883455</v>
      </c>
      <c r="F21" s="59">
        <v>1.1853568942277779</v>
      </c>
      <c r="G21" s="59">
        <v>1.1042836194510679</v>
      </c>
      <c r="H21" s="284"/>
      <c r="I21" s="59"/>
      <c r="J21" s="59"/>
    </row>
    <row r="22" spans="2:10">
      <c r="B22" t="s">
        <v>17</v>
      </c>
      <c r="C22">
        <f>('Consolidated Fs'!C22-ABS('Consolidated Fs'!T50))/'Consolidated Fs'!C22</f>
        <v>0.70549553781117891</v>
      </c>
      <c r="D22" s="58">
        <f>('Consolidated Fs'!D22-ABS('Consolidated Fs'!U50))/'Consolidated Fs'!D22</f>
        <v>0.72748778998778996</v>
      </c>
      <c r="E22" s="58">
        <f>('Consolidated Fs'!E22-ABS('Consolidated Fs'!V50))/'Consolidated Fs'!E22</f>
        <v>0.76007077558242409</v>
      </c>
      <c r="F22" s="58">
        <f>('Consolidated Fs'!F22-ABS('Consolidated Fs'!W50))/'Consolidated Fs'!F22</f>
        <v>0.70162848468120342</v>
      </c>
      <c r="G22" s="58">
        <f>('Consolidated Fs'!G22-ABS('Consolidated Fs'!X50))/'Consolidated Fs'!G22</f>
        <v>0.77223074839758066</v>
      </c>
      <c r="H22" s="284"/>
      <c r="I22" s="58"/>
      <c r="J22" s="58"/>
    </row>
    <row r="23" spans="2:10">
      <c r="B23" t="s">
        <v>18</v>
      </c>
      <c r="C23" s="58">
        <v>0.52435726072930688</v>
      </c>
      <c r="D23" s="58">
        <v>0.60827836768235988</v>
      </c>
      <c r="E23" s="58">
        <v>0.31484909839534791</v>
      </c>
      <c r="F23" s="58">
        <v>0.33191476538210668</v>
      </c>
      <c r="G23" s="58">
        <v>0.33763381435590079</v>
      </c>
      <c r="H23" s="284"/>
      <c r="I23" s="58"/>
      <c r="J23" s="58"/>
    </row>
    <row r="24" spans="2:10">
      <c r="B24" t="s">
        <v>19</v>
      </c>
      <c r="C24" s="59">
        <f>('Consolidated Fs'!C22/'Consolidated Fs'!L41)*('Consolidated Fs'!C22-ABS('Consolidated Fs'!T50))/'Consolidated Fs'!C22</f>
        <v>9.4216534939154425E-2</v>
      </c>
      <c r="D24" s="59">
        <f>('Consolidated Fs'!D22/((('Consolidated Fs'!L41+'Consolidated Fs'!M41)/2)))*('Consolidated Fs'!D22-ABS('Consolidated Fs'!U50))/'Consolidated Fs'!D22</f>
        <v>0.1118791662754671</v>
      </c>
      <c r="E24" s="59">
        <f>('Consolidated Fs'!E22/((('Consolidated Fs'!M41+'Consolidated Fs'!N41)/2)))*('Consolidated Fs'!E22-ABS('Consolidated Fs'!V50))/'Consolidated Fs'!E22</f>
        <v>0.13284882222565847</v>
      </c>
      <c r="F24" s="59">
        <f>('Consolidated Fs'!F22/((('Consolidated Fs'!N41+'Consolidated Fs'!O41)/2)))*('Consolidated Fs'!F22-ABS('Consolidated Fs'!W50))/'Consolidated Fs'!F22</f>
        <v>0.1207899338553942</v>
      </c>
      <c r="G24" s="59">
        <f>('Consolidated Fs'!G22/((('Consolidated Fs'!O41+'Consolidated Fs'!P41)/2)))*('Consolidated Fs'!G22-ABS('Consolidated Fs'!X50))/'Consolidated Fs'!G22</f>
        <v>0.14781406601002248</v>
      </c>
      <c r="H24" s="284"/>
      <c r="I24" s="59"/>
      <c r="J24" s="59"/>
    </row>
    <row r="25" spans="2:10">
      <c r="B25" t="s">
        <v>20</v>
      </c>
      <c r="C25" s="59">
        <v>0.19596816976127321</v>
      </c>
      <c r="D25" s="59">
        <v>9.6996607307578045E-2</v>
      </c>
      <c r="E25" s="59">
        <v>0.10690943602381429</v>
      </c>
      <c r="F25" s="59">
        <v>0.1406993889562273</v>
      </c>
      <c r="G25" s="59">
        <v>5.6865204182231593E-2</v>
      </c>
      <c r="H25" s="284"/>
      <c r="I25" s="59"/>
      <c r="J25" s="59"/>
    </row>
    <row r="26" spans="2:10">
      <c r="H26" s="284"/>
    </row>
    <row r="27" spans="2:10">
      <c r="B27" t="s">
        <v>21</v>
      </c>
      <c r="C27" s="59">
        <f>'Consolidated Fs'!C6/'Consolidated Fs'!L25</f>
        <v>6.0749386522368338</v>
      </c>
      <c r="D27" s="59">
        <f>'Consolidated Fs'!D6/((('Consolidated Fs'!L25+'Consolidated Fs'!M25)/2))</f>
        <v>6.3236411842686691</v>
      </c>
      <c r="E27" s="59">
        <f>'Consolidated Fs'!E6/((('Consolidated Fs'!M25+'Consolidated Fs'!N25)/2))</f>
        <v>6.2097488921713442</v>
      </c>
      <c r="F27" s="59">
        <f>'Consolidated Fs'!F6/((('Consolidated Fs'!N25+'Consolidated Fs'!O25)/2))</f>
        <v>5.8830140485312903</v>
      </c>
      <c r="G27" s="59">
        <f>'Consolidated Fs'!G6/((('Consolidated Fs'!O25+'Consolidated Fs'!P25)/2))</f>
        <v>5.4944798796380665</v>
      </c>
      <c r="H27" s="284"/>
      <c r="I27" s="59"/>
      <c r="J27" s="59"/>
    </row>
    <row r="28" spans="2:10">
      <c r="B28" t="s">
        <v>22</v>
      </c>
      <c r="C28" s="59">
        <f>('Consolidated Fs'!C10+'Consolidated Fs'!C11+'Consolidated Fs'!C12)/'Consolidated Fs'!L55</f>
        <v>3.8435211939293628</v>
      </c>
      <c r="D28" s="59">
        <f>('Consolidated Fs'!D10+'Consolidated Fs'!D11+'Consolidated Fs'!D12)/((('Consolidated Fs'!L55+'Consolidated Fs'!M55)/2))</f>
        <v>4.0240058141867943</v>
      </c>
      <c r="E28" s="59">
        <f>('Consolidated Fs'!E10+'Consolidated Fs'!E11+'Consolidated Fs'!E12)/((('Consolidated Fs'!M55+'Consolidated Fs'!N55)/2))</f>
        <v>4.1700307902839553</v>
      </c>
      <c r="F28" s="59">
        <f>('Consolidated Fs'!F10+'Consolidated Fs'!F11+'Consolidated Fs'!F12)/((('Consolidated Fs'!N55+'Consolidated Fs'!O55)/2))</f>
        <v>3.3898817083971253</v>
      </c>
      <c r="G28" s="59">
        <f>('Consolidated Fs'!G10+'Consolidated Fs'!G11+'Consolidated Fs'!G12)/((('Consolidated Fs'!O55+'Consolidated Fs'!P55)/2))</f>
        <v>2.6560779602338136</v>
      </c>
      <c r="H28" s="284"/>
      <c r="I28" s="59"/>
      <c r="J28" s="59"/>
    </row>
    <row r="29" spans="2:10">
      <c r="B29" t="s">
        <v>23</v>
      </c>
      <c r="C29" s="59">
        <f>('Consolidated Fs'!C10+'Consolidated Fs'!C11+'Consolidated Fs'!C12)/'Consolidated Fs'!L22</f>
        <v>2.2535774987663797</v>
      </c>
      <c r="D29" s="59">
        <f>('Consolidated Fs'!D10+'Consolidated Fs'!D11+'Consolidated Fs'!D12)/((('Consolidated Fs'!L22+'Consolidated Fs'!M22)/2))</f>
        <v>2.3190379525657168</v>
      </c>
      <c r="E29" s="59">
        <f>('Consolidated Fs'!E10+'Consolidated Fs'!E11+'Consolidated Fs'!E12)/((('Consolidated Fs'!M22+'Consolidated Fs'!N22)/2))</f>
        <v>2.2115074955208311</v>
      </c>
      <c r="F29" s="59">
        <f>('Consolidated Fs'!F10+'Consolidated Fs'!F11+'Consolidated Fs'!F12)/((('Consolidated Fs'!N22+'Consolidated Fs'!O22)/2))</f>
        <v>1.9739740540108344</v>
      </c>
      <c r="G29" s="59">
        <f>('Consolidated Fs'!G10+'Consolidated Fs'!G11+'Consolidated Fs'!G12)/((('Consolidated Fs'!O22+'Consolidated Fs'!P22)/2))</f>
        <v>1.7065334192993764</v>
      </c>
      <c r="H29" s="284"/>
      <c r="I29" s="59"/>
      <c r="J29" s="59"/>
    </row>
    <row r="30" spans="2:10">
      <c r="B30" t="s">
        <v>24</v>
      </c>
      <c r="C30" s="59">
        <f>'Consolidated Fs'!C6/'Consolidated Fs'!L20</f>
        <v>1.8819000467799782</v>
      </c>
      <c r="D30" s="59">
        <f>'Consolidated Fs'!D6/((('Consolidated Fs'!L20+'Consolidated Fs'!M20)/2))</f>
        <v>1.9676242506462316</v>
      </c>
      <c r="E30" s="59">
        <f>'Consolidated Fs'!E6/((('Consolidated Fs'!M20+'Consolidated Fs'!N20)/2))</f>
        <v>1.9509073590113084</v>
      </c>
      <c r="F30" s="59">
        <f>'Consolidated Fs'!F6/((('Consolidated Fs'!N20+'Consolidated Fs'!O20)/2))</f>
        <v>2.1715079154202845</v>
      </c>
      <c r="G30" s="59">
        <f>'Consolidated Fs'!G6/((('Consolidated Fs'!O20+'Consolidated Fs'!P20)/2))</f>
        <v>2.1773523113742286</v>
      </c>
      <c r="H30" s="284"/>
      <c r="I30" s="59"/>
      <c r="J30" s="59"/>
    </row>
    <row r="31" spans="2:10">
      <c r="B31" t="s">
        <v>25</v>
      </c>
      <c r="C31" s="59">
        <f>'Consolidated Fs'!C6/('Consolidated Fs'!L41+'Consolidated Fs'!L50)</f>
        <v>1.12191919309295</v>
      </c>
      <c r="D31" s="59">
        <f>'Consolidated Fs'!D6/(((('Consolidated Fs'!L41+'Consolidated Fs'!L50)+('Consolidated Fs'!M41+'Consolidated Fs'!M50))/2))</f>
        <v>1.1666594199747813</v>
      </c>
      <c r="E31" s="59">
        <f>'Consolidated Fs'!E6/(((('Consolidated Fs'!M41+'Consolidated Fs'!M50)+('Consolidated Fs'!N41+'Consolidated Fs'!N50))/2))</f>
        <v>1.14395103926979</v>
      </c>
      <c r="F31" s="59">
        <f>'Consolidated Fs'!F6/(((('Consolidated Fs'!N41+'Consolidated Fs'!N50)+('Consolidated Fs'!O41+'Consolidated Fs'!O50))/2))</f>
        <v>1.1144091280977559</v>
      </c>
      <c r="G31" s="59">
        <f>'Consolidated Fs'!G6/(((('Consolidated Fs'!O41+'Consolidated Fs'!O50)+('Consolidated Fs'!P41+'Consolidated Fs'!P50))/2))</f>
        <v>1.0246024721019189</v>
      </c>
      <c r="H31" s="284"/>
      <c r="I31" s="59"/>
      <c r="J31" s="59"/>
    </row>
    <row r="32" spans="2:10">
      <c r="H32" s="284"/>
    </row>
    <row r="33" spans="2:10">
      <c r="B33" t="s">
        <v>26</v>
      </c>
      <c r="C33" s="59">
        <f t="shared" ref="C33:G35" si="0">365/C27</f>
        <v>60.082911267853632</v>
      </c>
      <c r="D33" s="59">
        <f t="shared" si="0"/>
        <v>57.719909995527736</v>
      </c>
      <c r="E33" s="59">
        <f t="shared" si="0"/>
        <v>58.778544243577542</v>
      </c>
      <c r="F33" s="59">
        <f t="shared" si="0"/>
        <v>62.04302709274053</v>
      </c>
      <c r="G33" s="59">
        <f t="shared" si="0"/>
        <v>66.430309691850823</v>
      </c>
      <c r="H33" s="284"/>
      <c r="I33" s="59"/>
      <c r="J33" s="59"/>
    </row>
    <row r="34" spans="2:10">
      <c r="B34" t="s">
        <v>27</v>
      </c>
      <c r="C34" s="59">
        <f t="shared" si="0"/>
        <v>94.965002554558069</v>
      </c>
      <c r="D34" s="59">
        <f t="shared" si="0"/>
        <v>90.705634349030461</v>
      </c>
      <c r="E34" s="59">
        <f t="shared" si="0"/>
        <v>87.529329723521201</v>
      </c>
      <c r="F34" s="59">
        <f t="shared" si="0"/>
        <v>107.6733737038237</v>
      </c>
      <c r="G34" s="59">
        <f t="shared" si="0"/>
        <v>137.42066515542683</v>
      </c>
      <c r="H34" s="284"/>
      <c r="I34" s="59"/>
      <c r="J34" s="59"/>
    </row>
    <row r="35" spans="2:10">
      <c r="B35" t="s">
        <v>28</v>
      </c>
      <c r="C35" s="59">
        <f t="shared" si="0"/>
        <v>161.96469844050313</v>
      </c>
      <c r="D35" s="59">
        <f t="shared" si="0"/>
        <v>157.39285318559556</v>
      </c>
      <c r="E35" s="59">
        <f t="shared" si="0"/>
        <v>165.04578923619655</v>
      </c>
      <c r="F35" s="59">
        <f t="shared" si="0"/>
        <v>184.90617911535966</v>
      </c>
      <c r="G35" s="59">
        <f t="shared" si="0"/>
        <v>213.88388640513827</v>
      </c>
      <c r="H35" s="284"/>
      <c r="I35" s="59"/>
      <c r="J35" s="59"/>
    </row>
    <row r="36" spans="2:10">
      <c r="B36" t="s">
        <v>29</v>
      </c>
      <c r="C36" s="59">
        <f>C33+C35-C34</f>
        <v>127.08260715379869</v>
      </c>
      <c r="D36" s="59">
        <f>D33+D35-D34</f>
        <v>124.40712883209282</v>
      </c>
      <c r="E36" s="59">
        <f>E33+E35-E34</f>
        <v>136.29500375625292</v>
      </c>
      <c r="F36" s="59">
        <f>F33+F35-F34</f>
        <v>139.27583250427648</v>
      </c>
      <c r="G36" s="59">
        <f>G33+G35-G34</f>
        <v>142.89353094156229</v>
      </c>
      <c r="H36" s="284"/>
      <c r="I36" s="59"/>
      <c r="J36" s="59"/>
    </row>
    <row r="37" spans="2:10">
      <c r="H37" s="284"/>
    </row>
    <row r="38" spans="2:10">
      <c r="B38" t="s">
        <v>30</v>
      </c>
      <c r="C38" s="58">
        <f>'Consolidated Fs'!T33/'Consolidated Fs'!C6</f>
        <v>0.12319133289832107</v>
      </c>
      <c r="D38" s="58">
        <f>'Consolidated Fs'!U33/'Consolidated Fs'!D6</f>
        <v>0.13637634168157425</v>
      </c>
      <c r="E38" s="58">
        <f>'Consolidated Fs'!V33/'Consolidated Fs'!E6</f>
        <v>0.16002303570534329</v>
      </c>
      <c r="F38" s="58">
        <f>'Consolidated Fs'!W33/'Consolidated Fs'!F6</f>
        <v>0.15378603681833969</v>
      </c>
      <c r="G38" s="58">
        <f>'Consolidated Fs'!X33/'Consolidated Fs'!G6</f>
        <v>0.14754907632380732</v>
      </c>
      <c r="H38" s="284"/>
      <c r="I38" s="58"/>
      <c r="J38" s="58"/>
    </row>
    <row r="39" spans="2:10">
      <c r="B39" t="s">
        <v>31</v>
      </c>
      <c r="C39" s="58">
        <f>'Consolidated Fs'!T33/'Consolidated Fs'!L33</f>
        <v>0.10312567737460442</v>
      </c>
      <c r="D39" s="58">
        <f>'Consolidated Fs'!U33/((('Consolidated Fs'!L33+'Consolidated Fs'!M33)/2))</f>
        <v>0.11906437220123074</v>
      </c>
      <c r="E39" s="58">
        <f>'Consolidated Fs'!V33/((('Consolidated Fs'!M33+'Consolidated Fs'!N33)/2))</f>
        <v>0.13781627372052904</v>
      </c>
      <c r="F39" s="58">
        <f>'Consolidated Fs'!W33/((('Consolidated Fs'!N33+'Consolidated Fs'!O33)/2))</f>
        <v>0.1283874624347551</v>
      </c>
      <c r="G39" s="58">
        <f>'Consolidated Fs'!X33/((('Consolidated Fs'!O33+'Consolidated Fs'!P33)/2))</f>
        <v>0.11487060617979721</v>
      </c>
      <c r="H39" s="284"/>
      <c r="I39" s="58"/>
      <c r="J39" s="58"/>
    </row>
    <row r="40" spans="2:10">
      <c r="B40" t="s">
        <v>32</v>
      </c>
      <c r="C40" s="58"/>
      <c r="D40" s="58"/>
      <c r="E40" s="58"/>
      <c r="F40" s="58"/>
      <c r="G40" s="58"/>
      <c r="H40" s="58"/>
      <c r="I40" s="58"/>
      <c r="J40" s="58"/>
    </row>
  </sheetData>
  <mergeCells count="1">
    <mergeCell ref="B2:J2"/>
  </mergeCell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CEFD6D3C-1BCB-4D14-85C1-4E7A768CCFBD}">
          <x14:colorSeries rgb="FF376092"/>
          <x14:colorNegative rgb="FFD00000"/>
          <x14:colorAxis rgb="FF000000"/>
          <x14:colorMarkers rgb="FFD00000"/>
          <x14:colorFirst rgb="FFD00000"/>
          <x14:colorLast rgb="FFD00000"/>
          <x14:colorHigh rgb="FFD00000"/>
          <x14:colorLow rgb="FFD00000"/>
          <x14:sparklines>
            <x14:sparkline>
              <xm:f>'Ratios '!C5:G5</xm:f>
              <xm:sqref>H5</xm:sqref>
            </x14:sparkline>
            <x14:sparkline>
              <xm:f>'Ratios '!C6:G6</xm:f>
              <xm:sqref>H6</xm:sqref>
            </x14:sparkline>
            <x14:sparkline>
              <xm:f>'Ratios '!C7:G7</xm:f>
              <xm:sqref>H7</xm:sqref>
            </x14:sparkline>
            <x14:sparkline>
              <xm:f>'Ratios '!C8:G8</xm:f>
              <xm:sqref>H8</xm:sqref>
            </x14:sparkline>
            <x14:sparkline>
              <xm:f>'Ratios '!C9:G9</xm:f>
              <xm:sqref>H9</xm:sqref>
            </x14:sparkline>
            <x14:sparkline>
              <xm:f>'Ratios '!C10:G10</xm:f>
              <xm:sqref>H10</xm:sqref>
            </x14:sparkline>
            <x14:sparkline>
              <xm:f>'Ratios '!C11:G11</xm:f>
              <xm:sqref>H11</xm:sqref>
            </x14:sparkline>
            <x14:sparkline>
              <xm:f>'Ratios '!C12:G12</xm:f>
              <xm:sqref>H12</xm:sqref>
            </x14:sparkline>
            <x14:sparkline>
              <xm:f>'Ratios '!C13:G13</xm:f>
              <xm:sqref>H13</xm:sqref>
            </x14:sparkline>
            <x14:sparkline>
              <xm:f>'Ratios '!C14:G14</xm:f>
              <xm:sqref>H14</xm:sqref>
            </x14:sparkline>
            <x14:sparkline>
              <xm:f>'Ratios '!C15:G15</xm:f>
              <xm:sqref>H15</xm:sqref>
            </x14:sparkline>
            <x14:sparkline>
              <xm:f>'Ratios '!C16:G16</xm:f>
              <xm:sqref>H16</xm:sqref>
            </x14:sparkline>
            <x14:sparkline>
              <xm:f>'Ratios '!C17:G17</xm:f>
              <xm:sqref>H17</xm:sqref>
            </x14:sparkline>
            <x14:sparkline>
              <xm:f>'Ratios '!C18:G18</xm:f>
              <xm:sqref>H18</xm:sqref>
            </x14:sparkline>
            <x14:sparkline>
              <xm:f>'Ratios '!C19:G19</xm:f>
              <xm:sqref>H19</xm:sqref>
            </x14:sparkline>
            <x14:sparkline>
              <xm:f>'Ratios '!C20:G20</xm:f>
              <xm:sqref>H20</xm:sqref>
            </x14:sparkline>
            <x14:sparkline>
              <xm:f>'Ratios '!C21:G21</xm:f>
              <xm:sqref>H21</xm:sqref>
            </x14:sparkline>
            <x14:sparkline>
              <xm:f>'Ratios '!C22:G22</xm:f>
              <xm:sqref>H22</xm:sqref>
            </x14:sparkline>
            <x14:sparkline>
              <xm:f>'Ratios '!C23:G23</xm:f>
              <xm:sqref>H23</xm:sqref>
            </x14:sparkline>
            <x14:sparkline>
              <xm:f>'Ratios '!C24:G24</xm:f>
              <xm:sqref>H24</xm:sqref>
            </x14:sparkline>
            <x14:sparkline>
              <xm:f>'Ratios '!C25:G25</xm:f>
              <xm:sqref>H25</xm:sqref>
            </x14:sparkline>
            <x14:sparkline>
              <xm:f>'Ratios '!C26:G26</xm:f>
              <xm:sqref>H26</xm:sqref>
            </x14:sparkline>
            <x14:sparkline>
              <xm:f>'Ratios '!C27:G27</xm:f>
              <xm:sqref>H27</xm:sqref>
            </x14:sparkline>
            <x14:sparkline>
              <xm:f>'Ratios '!C28:G28</xm:f>
              <xm:sqref>H28</xm:sqref>
            </x14:sparkline>
            <x14:sparkline>
              <xm:f>'Ratios '!C29:G29</xm:f>
              <xm:sqref>H29</xm:sqref>
            </x14:sparkline>
            <x14:sparkline>
              <xm:f>'Ratios '!C30:G30</xm:f>
              <xm:sqref>H30</xm:sqref>
            </x14:sparkline>
            <x14:sparkline>
              <xm:f>'Ratios '!C31:G31</xm:f>
              <xm:sqref>H31</xm:sqref>
            </x14:sparkline>
            <x14:sparkline>
              <xm:f>'Ratios '!C32:G32</xm:f>
              <xm:sqref>H32</xm:sqref>
            </x14:sparkline>
            <x14:sparkline>
              <xm:f>'Ratios '!C33:G33</xm:f>
              <xm:sqref>H33</xm:sqref>
            </x14:sparkline>
            <x14:sparkline>
              <xm:f>'Ratios '!C34:G34</xm:f>
              <xm:sqref>H34</xm:sqref>
            </x14:sparkline>
            <x14:sparkline>
              <xm:f>'Ratios '!C35:G35</xm:f>
              <xm:sqref>H35</xm:sqref>
            </x14:sparkline>
            <x14:sparkline>
              <xm:f>'Ratios '!C36:G36</xm:f>
              <xm:sqref>H36</xm:sqref>
            </x14:sparkline>
            <x14:sparkline>
              <xm:f>'Ratios '!C37:G37</xm:f>
              <xm:sqref>H37</xm:sqref>
            </x14:sparkline>
            <x14:sparkline>
              <xm:f>'Ratios '!C38:G38</xm:f>
              <xm:sqref>H38</xm:sqref>
            </x14:sparkline>
            <x14:sparkline>
              <xm:f>'Ratios '!C39:G39</xm:f>
              <xm:sqref>H39</xm:sqref>
            </x14:sparkline>
          </x14:sparklines>
        </x14:sparklineGroup>
      </x14:sparklineGroup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L16"/>
  <sheetViews>
    <sheetView showGridLines="0" workbookViewId="0">
      <selection activeCell="G7" sqref="G7"/>
    </sheetView>
  </sheetViews>
  <sheetFormatPr defaultRowHeight="14.4"/>
  <cols>
    <col min="2" max="2" width="8.6640625" bestFit="1" customWidth="1"/>
    <col min="3" max="3" width="16.21875" bestFit="1" customWidth="1"/>
    <col min="4" max="4" width="8.44140625" bestFit="1" customWidth="1"/>
    <col min="5" max="5" width="8.21875" bestFit="1" customWidth="1"/>
    <col min="6" max="6" width="7.88671875" bestFit="1" customWidth="1"/>
    <col min="7" max="7" width="9.33203125" bestFit="1" customWidth="1"/>
    <col min="8" max="8" width="8.21875" bestFit="1" customWidth="1"/>
    <col min="9" max="9" width="8.77734375" bestFit="1" customWidth="1"/>
    <col min="10" max="10" width="9.33203125" bestFit="1" customWidth="1"/>
    <col min="11" max="11" width="8.109375" bestFit="1" customWidth="1"/>
    <col min="12" max="12" width="8.21875" bestFit="1" customWidth="1"/>
  </cols>
  <sheetData>
    <row r="2" spans="2:12" ht="42" customHeight="1" thickBot="1">
      <c r="B2" s="207" t="s">
        <v>337</v>
      </c>
      <c r="C2" s="208" t="s">
        <v>338</v>
      </c>
      <c r="D2" s="209" t="s">
        <v>339</v>
      </c>
      <c r="E2" s="209" t="s">
        <v>340</v>
      </c>
      <c r="F2" s="209" t="s">
        <v>341</v>
      </c>
      <c r="G2" s="209" t="s">
        <v>342</v>
      </c>
      <c r="H2" s="209" t="s">
        <v>343</v>
      </c>
      <c r="I2" s="209" t="s">
        <v>344</v>
      </c>
      <c r="J2" s="209" t="s">
        <v>345</v>
      </c>
      <c r="K2" s="209" t="s">
        <v>346</v>
      </c>
      <c r="L2" s="209" t="s">
        <v>347</v>
      </c>
    </row>
    <row r="3" spans="2:12" ht="15" customHeight="1" thickBot="1">
      <c r="B3" s="210">
        <v>1</v>
      </c>
      <c r="C3" s="253" t="s">
        <v>348</v>
      </c>
      <c r="D3" s="254">
        <v>1452.7</v>
      </c>
      <c r="E3" s="254">
        <v>3502.97</v>
      </c>
      <c r="F3" s="254">
        <v>58.08</v>
      </c>
      <c r="G3" s="254">
        <v>84373.1</v>
      </c>
      <c r="H3" s="254">
        <v>9870.2900000000009</v>
      </c>
      <c r="I3" s="254">
        <v>8072.84</v>
      </c>
      <c r="J3" s="254">
        <v>33653.08</v>
      </c>
      <c r="K3" s="254">
        <v>11.25</v>
      </c>
      <c r="L3" s="254">
        <v>7339.34</v>
      </c>
    </row>
    <row r="4" spans="2:12" ht="15" customHeight="1" thickBot="1">
      <c r="B4" s="211">
        <v>2</v>
      </c>
      <c r="C4" s="253" t="s">
        <v>349</v>
      </c>
      <c r="D4" s="254">
        <v>1363</v>
      </c>
      <c r="E4" s="254">
        <v>890.14</v>
      </c>
      <c r="F4" s="254">
        <v>53.99</v>
      </c>
      <c r="G4" s="254">
        <v>73582.460000000006</v>
      </c>
      <c r="H4" s="254">
        <v>113.7</v>
      </c>
      <c r="I4" s="254">
        <v>2518.48</v>
      </c>
      <c r="J4" s="254">
        <v>6812.9</v>
      </c>
      <c r="K4" s="254">
        <v>41.46</v>
      </c>
      <c r="L4" s="254">
        <v>1832.66</v>
      </c>
    </row>
    <row r="5" spans="2:12" ht="15" customHeight="1" thickBot="1">
      <c r="B5" s="210">
        <v>3</v>
      </c>
      <c r="C5" s="253" t="s">
        <v>350</v>
      </c>
      <c r="D5" s="254">
        <v>2315</v>
      </c>
      <c r="E5" s="254">
        <v>1065.01</v>
      </c>
      <c r="F5" s="254">
        <v>28.22</v>
      </c>
      <c r="G5" s="254">
        <v>65329.45</v>
      </c>
      <c r="H5" s="254">
        <v>1705.23</v>
      </c>
      <c r="I5" s="254">
        <v>1224.17</v>
      </c>
      <c r="J5" s="254">
        <v>16468.13</v>
      </c>
      <c r="K5" s="254">
        <v>13.72</v>
      </c>
      <c r="L5" s="254">
        <v>2465.11</v>
      </c>
    </row>
    <row r="6" spans="2:12" ht="15" customHeight="1" thickBot="1">
      <c r="B6" s="256">
        <v>4</v>
      </c>
      <c r="C6" s="257" t="s">
        <v>351</v>
      </c>
      <c r="D6" s="258">
        <v>5400.2</v>
      </c>
      <c r="E6" s="258">
        <v>2422.44</v>
      </c>
      <c r="F6" s="258">
        <v>11.96</v>
      </c>
      <c r="G6" s="258">
        <v>64567.5</v>
      </c>
      <c r="H6" s="258">
        <v>1563.08</v>
      </c>
      <c r="I6" s="258">
        <v>2355.6</v>
      </c>
      <c r="J6" s="258">
        <v>14252.7</v>
      </c>
      <c r="K6" s="258">
        <v>19.18</v>
      </c>
      <c r="L6" s="258">
        <v>3001.29</v>
      </c>
    </row>
    <row r="7" spans="2:12" ht="15" customHeight="1" thickBot="1">
      <c r="B7" s="212">
        <v>5</v>
      </c>
      <c r="C7" s="213" t="s">
        <v>352</v>
      </c>
      <c r="D7" s="255">
        <v>761.5</v>
      </c>
      <c r="E7" s="255">
        <v>591.79</v>
      </c>
      <c r="F7" s="255">
        <v>56.32</v>
      </c>
      <c r="G7" s="255">
        <v>42887.27</v>
      </c>
      <c r="H7" s="255">
        <v>274.88</v>
      </c>
      <c r="I7" s="255">
        <v>53.04</v>
      </c>
      <c r="J7" s="255">
        <v>2124.33</v>
      </c>
      <c r="K7" s="255">
        <v>43.11</v>
      </c>
      <c r="L7" s="255">
        <v>989.59</v>
      </c>
    </row>
    <row r="16" spans="2:12">
      <c r="J16" t="s">
        <v>240</v>
      </c>
    </row>
  </sheetData>
  <hyperlinks>
    <hyperlink ref="C3" r:id="rId1" display="https://www.screener.in/company/AUROPHARMA/consolidated/" xr:uid="{00000000-0004-0000-0B00-000000000000}"/>
    <hyperlink ref="C4" r:id="rId2" display="https://www.screener.in/company/LAURUSLABS/consolidated/" xr:uid="{00000000-0004-0000-0B00-000001000000}"/>
    <hyperlink ref="C5" r:id="rId3" display="https://www.screener.in/company/GLENMARK/consolidated/" xr:uid="{00000000-0004-0000-0B00-000002000000}"/>
    <hyperlink ref="C6" r:id="rId4" display="https://www.screener.in/company/ALKEM/consolidated/" xr:uid="{00000000-0004-0000-0B00-000003000000}"/>
    <hyperlink ref="C7" r:id="rId5" display="https://www.screener.in/company/ANTHEM/consolidated/" xr:uid="{00000000-0004-0000-0B00-000004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T31"/>
  <sheetViews>
    <sheetView showGridLines="0" tabSelected="1" topLeftCell="A2" workbookViewId="0">
      <selection activeCell="D7" sqref="D7:I7"/>
    </sheetView>
  </sheetViews>
  <sheetFormatPr defaultRowHeight="14.4"/>
  <cols>
    <col min="1" max="1" width="1.88671875" customWidth="1"/>
    <col min="2" max="2" width="31.5546875" bestFit="1" customWidth="1"/>
    <col min="3" max="3" width="13.5546875" bestFit="1" customWidth="1"/>
    <col min="4" max="4" width="12" bestFit="1" customWidth="1"/>
    <col min="5" max="5" width="10.33203125" bestFit="1" customWidth="1"/>
    <col min="6" max="6" width="11.33203125" bestFit="1" customWidth="1"/>
    <col min="7" max="7" width="9" bestFit="1" customWidth="1"/>
    <col min="8" max="8" width="8" bestFit="1" customWidth="1"/>
    <col min="9" max="9" width="11" bestFit="1" customWidth="1"/>
    <col min="16" max="16" width="11.44140625" bestFit="1" customWidth="1"/>
    <col min="17" max="18" width="12" bestFit="1" customWidth="1"/>
  </cols>
  <sheetData>
    <row r="2" spans="2:20">
      <c r="B2" s="214" t="s">
        <v>353</v>
      </c>
      <c r="C2" s="214"/>
      <c r="D2" s="214"/>
      <c r="E2" s="214"/>
      <c r="F2" s="214"/>
      <c r="G2" s="214"/>
      <c r="H2" s="214"/>
      <c r="I2" s="214"/>
      <c r="J2" s="215"/>
      <c r="K2" s="215"/>
      <c r="L2" s="215"/>
      <c r="M2" s="215"/>
      <c r="N2" s="215"/>
      <c r="O2" s="215"/>
      <c r="P2" s="215"/>
      <c r="Q2" s="215"/>
      <c r="R2" s="215"/>
    </row>
    <row r="4" spans="2:20">
      <c r="B4" s="216" t="s">
        <v>354</v>
      </c>
    </row>
    <row r="5" spans="2:20">
      <c r="B5" s="308" t="s">
        <v>355</v>
      </c>
      <c r="C5" s="289"/>
      <c r="D5" s="289"/>
      <c r="E5" s="289"/>
      <c r="F5" s="289"/>
      <c r="G5" s="289"/>
      <c r="H5" s="289"/>
      <c r="I5" s="289"/>
      <c r="J5" s="289"/>
      <c r="K5" s="289"/>
      <c r="L5" s="289"/>
      <c r="M5" s="289"/>
      <c r="N5" s="289"/>
      <c r="O5" s="289"/>
      <c r="P5" s="289"/>
      <c r="Q5" s="289"/>
      <c r="R5" s="289"/>
    </row>
    <row r="7" spans="2:20">
      <c r="B7" s="314" t="s">
        <v>356</v>
      </c>
      <c r="C7" s="312" t="s">
        <v>357</v>
      </c>
      <c r="D7" s="316" t="s">
        <v>358</v>
      </c>
      <c r="E7" s="310"/>
      <c r="F7" s="310"/>
      <c r="G7" s="310"/>
      <c r="H7" s="310"/>
      <c r="I7" s="310"/>
      <c r="J7" s="318"/>
      <c r="K7" s="317" t="s">
        <v>359</v>
      </c>
      <c r="L7" s="310"/>
      <c r="M7" s="310"/>
      <c r="N7" s="310"/>
      <c r="O7" s="312"/>
      <c r="P7" s="309" t="s">
        <v>360</v>
      </c>
      <c r="Q7" s="310"/>
      <c r="R7" s="311"/>
    </row>
    <row r="8" spans="2:20" ht="29.4" customHeight="1" thickBot="1">
      <c r="B8" s="315"/>
      <c r="C8" s="313"/>
      <c r="D8" s="217" t="s">
        <v>361</v>
      </c>
      <c r="E8" s="217" t="s">
        <v>362</v>
      </c>
      <c r="F8" s="217" t="s">
        <v>363</v>
      </c>
      <c r="G8" s="217" t="s">
        <v>364</v>
      </c>
      <c r="H8" s="217" t="s">
        <v>365</v>
      </c>
      <c r="I8" s="218" t="s">
        <v>366</v>
      </c>
      <c r="J8" s="319"/>
      <c r="K8" s="219" t="s">
        <v>367</v>
      </c>
      <c r="L8" s="219" t="s">
        <v>205</v>
      </c>
      <c r="M8" s="219" t="s">
        <v>340</v>
      </c>
      <c r="N8" s="220" t="s">
        <v>368</v>
      </c>
      <c r="O8" s="313"/>
      <c r="P8" s="221" t="s">
        <v>369</v>
      </c>
      <c r="Q8" s="219" t="s">
        <v>370</v>
      </c>
      <c r="R8" s="220" t="s">
        <v>371</v>
      </c>
    </row>
    <row r="9" spans="2:20" ht="15" customHeight="1" thickBot="1">
      <c r="B9" s="253" t="s">
        <v>348</v>
      </c>
      <c r="C9" s="222"/>
      <c r="D9" s="223">
        <f>'Relative Valuation Raw Data '!F3</f>
        <v>58.08</v>
      </c>
      <c r="E9" s="224">
        <f>'Relative Valuation Raw Data '!D3</f>
        <v>1452.7</v>
      </c>
      <c r="F9" s="224">
        <f>IFERROR(D9*E9,0)</f>
        <v>84372.816000000006</v>
      </c>
      <c r="G9" s="224">
        <f>'Relative Valuation Raw Data '!I3</f>
        <v>8072.84</v>
      </c>
      <c r="H9" s="224">
        <f>'Relative Valuation Raw Data '!H3</f>
        <v>9870.2900000000009</v>
      </c>
      <c r="I9" s="224">
        <f>IFERROR(F9+G9-H9,0)</f>
        <v>82575.366000000009</v>
      </c>
      <c r="J9" s="225"/>
      <c r="K9" s="226">
        <f>'Relative Valuation Raw Data '!J3</f>
        <v>33653.08</v>
      </c>
      <c r="L9" s="227">
        <f>'Relative Valuation Raw Data '!L3</f>
        <v>7339.34</v>
      </c>
      <c r="M9" s="227">
        <f>'Relative Valuation Raw Data '!E3</f>
        <v>3502.97</v>
      </c>
      <c r="N9" s="227">
        <f>IFERROR(M9/D9,0)</f>
        <v>60.312844352617077</v>
      </c>
      <c r="O9" s="228"/>
      <c r="P9" s="229">
        <f>IFERROR(I9/K9,0)</f>
        <v>2.4537238790624811</v>
      </c>
      <c r="Q9" s="229">
        <f>IFERROR(I9/L9,0)</f>
        <v>11.251061539593479</v>
      </c>
      <c r="R9" s="230">
        <f>IFERROR(E9/N9,0)</f>
        <v>24.086080097745629</v>
      </c>
    </row>
    <row r="10" spans="2:20" ht="15" customHeight="1" thickBot="1">
      <c r="B10" s="253" t="s">
        <v>349</v>
      </c>
      <c r="C10" s="231"/>
      <c r="D10" s="223">
        <f>'Relative Valuation Raw Data '!F4</f>
        <v>53.99</v>
      </c>
      <c r="E10" s="224">
        <f>'Relative Valuation Raw Data '!D4</f>
        <v>1363</v>
      </c>
      <c r="F10" s="224">
        <f>IFERROR(D10*E10,0)</f>
        <v>73588.37000000001</v>
      </c>
      <c r="G10" s="224">
        <f>'Relative Valuation Raw Data '!I4</f>
        <v>2518.48</v>
      </c>
      <c r="H10" s="224">
        <f>'Relative Valuation Raw Data '!H4</f>
        <v>113.7</v>
      </c>
      <c r="I10" s="224">
        <f>IFERROR(F10+G10-H10,0)</f>
        <v>75993.150000000009</v>
      </c>
      <c r="J10" s="232"/>
      <c r="K10" s="226">
        <f>'Relative Valuation Raw Data '!J4</f>
        <v>6812.9</v>
      </c>
      <c r="L10" s="227">
        <f>'Relative Valuation Raw Data '!L4</f>
        <v>1832.66</v>
      </c>
      <c r="M10" s="227">
        <f>'Relative Valuation Raw Data '!E4</f>
        <v>890.14</v>
      </c>
      <c r="N10" s="224">
        <f>IFERROR(M10/D10,0)</f>
        <v>16.487127245786255</v>
      </c>
      <c r="O10" s="233"/>
      <c r="P10" s="229">
        <f>IFERROR(I10/K10,0)</f>
        <v>11.154302866620677</v>
      </c>
      <c r="Q10" s="229">
        <f>IFERROR(I10/L10,0)</f>
        <v>41.466038435934657</v>
      </c>
      <c r="R10" s="230">
        <f>IFERROR(E10/N10,0)</f>
        <v>82.670557440402646</v>
      </c>
      <c r="T10" s="234"/>
    </row>
    <row r="11" spans="2:20" ht="15" customHeight="1" thickBot="1">
      <c r="B11" s="253" t="s">
        <v>350</v>
      </c>
      <c r="C11" s="231"/>
      <c r="D11" s="223">
        <f>'Relative Valuation Raw Data '!F5</f>
        <v>28.22</v>
      </c>
      <c r="E11" s="224">
        <f>'Relative Valuation Raw Data '!D5</f>
        <v>2315</v>
      </c>
      <c r="F11" s="224">
        <f>IFERROR(D11*E11,0)</f>
        <v>65329.299999999996</v>
      </c>
      <c r="G11" s="224">
        <f>'Relative Valuation Raw Data '!I5</f>
        <v>1224.17</v>
      </c>
      <c r="H11" s="224">
        <f>'Relative Valuation Raw Data '!H5</f>
        <v>1705.23</v>
      </c>
      <c r="I11" s="224">
        <f>IFERROR(F11+G11-H11,0)</f>
        <v>64848.24</v>
      </c>
      <c r="J11" s="232"/>
      <c r="K11" s="226">
        <f>'Relative Valuation Raw Data '!J5</f>
        <v>16468.13</v>
      </c>
      <c r="L11" s="227">
        <f>'Relative Valuation Raw Data '!L5</f>
        <v>2465.11</v>
      </c>
      <c r="M11" s="227">
        <f>'Relative Valuation Raw Data '!E5</f>
        <v>1065.01</v>
      </c>
      <c r="N11" s="224">
        <f>IFERROR(M11/D11,0)</f>
        <v>37.73954642097803</v>
      </c>
      <c r="O11" s="233"/>
      <c r="P11" s="229">
        <f>IFERROR(I11/K11,0)</f>
        <v>3.9378022884201176</v>
      </c>
      <c r="Q11" s="229">
        <f>IFERROR(I11/L11,0)</f>
        <v>26.30642851637452</v>
      </c>
      <c r="R11" s="230">
        <f>IFERROR(E11/N11,0)</f>
        <v>61.34148975126994</v>
      </c>
    </row>
    <row r="12" spans="2:20" ht="15" customHeight="1" thickBot="1">
      <c r="B12" s="253" t="s">
        <v>351</v>
      </c>
      <c r="C12" s="235"/>
      <c r="D12" s="223">
        <f>'Relative Valuation Raw Data '!F6</f>
        <v>11.96</v>
      </c>
      <c r="E12" s="224">
        <f>'Relative Valuation Raw Data '!D6</f>
        <v>5400.2</v>
      </c>
      <c r="F12" s="237">
        <f>IFERROR(D12*E12,0)</f>
        <v>64586.392</v>
      </c>
      <c r="G12" s="224">
        <f>'Relative Valuation Raw Data '!I6</f>
        <v>2355.6</v>
      </c>
      <c r="H12" s="224">
        <f>'Relative Valuation Raw Data '!H6</f>
        <v>1563.08</v>
      </c>
      <c r="I12" s="237">
        <f>IFERROR(F12+G12-H12,0)</f>
        <v>65378.911999999997</v>
      </c>
      <c r="J12" s="236"/>
      <c r="K12" s="226">
        <f>'Relative Valuation Raw Data '!J6</f>
        <v>14252.7</v>
      </c>
      <c r="L12" s="227">
        <f>'Relative Valuation Raw Data '!L6</f>
        <v>3001.29</v>
      </c>
      <c r="M12" s="227">
        <f>'Relative Valuation Raw Data '!E6</f>
        <v>2422.44</v>
      </c>
      <c r="N12" s="237">
        <f>IFERROR(M12/D12,0)</f>
        <v>202.54515050167223</v>
      </c>
      <c r="O12" s="238"/>
      <c r="P12" s="239">
        <f>IFERROR(I12/K12,0)</f>
        <v>4.5871246851473755</v>
      </c>
      <c r="Q12" s="239">
        <f>IFERROR(I12/L12,0)</f>
        <v>21.783603717068328</v>
      </c>
      <c r="R12" s="240">
        <f>IFERROR(E12/N12,0)</f>
        <v>26.661709681147936</v>
      </c>
    </row>
    <row r="13" spans="2:20" ht="15" customHeight="1" thickBot="1">
      <c r="B13" s="213" t="s">
        <v>352</v>
      </c>
      <c r="C13" s="231"/>
      <c r="D13" s="223">
        <f>'Relative Valuation Raw Data '!F7</f>
        <v>56.32</v>
      </c>
      <c r="E13" s="224">
        <f>'Relative Valuation Raw Data '!D7</f>
        <v>761.5</v>
      </c>
      <c r="F13" s="224">
        <f>IFERROR(D13*E13,0)</f>
        <v>42887.68</v>
      </c>
      <c r="G13" s="224">
        <f>'Relative Valuation Raw Data '!I7</f>
        <v>53.04</v>
      </c>
      <c r="H13" s="224">
        <f>'Relative Valuation Raw Data '!H7</f>
        <v>274.88</v>
      </c>
      <c r="I13" s="224">
        <f>IFERROR(F13+G13-H13,0)</f>
        <v>42665.840000000004</v>
      </c>
      <c r="J13" s="232"/>
      <c r="K13" s="226">
        <f>'Relative Valuation Raw Data '!J7</f>
        <v>2124.33</v>
      </c>
      <c r="L13" s="227">
        <f>'Relative Valuation Raw Data '!L7</f>
        <v>989.59</v>
      </c>
      <c r="M13" s="227">
        <f>'Relative Valuation Raw Data '!E7</f>
        <v>591.79</v>
      </c>
      <c r="N13" s="224">
        <f>IFERROR(M13/D13,0)</f>
        <v>10.507634943181818</v>
      </c>
      <c r="O13" s="233"/>
      <c r="P13" s="229">
        <f>IFERROR(I13/K13,0)</f>
        <v>20.084374838184278</v>
      </c>
      <c r="Q13" s="229">
        <f>IFERROR(I13/L13,0)</f>
        <v>43.11466364858174</v>
      </c>
      <c r="R13" s="230">
        <f>IFERROR(E13/N13,0)</f>
        <v>72.471113063755723</v>
      </c>
    </row>
    <row r="14" spans="2:20">
      <c r="B14" s="241"/>
      <c r="C14" s="242"/>
      <c r="D14" s="224"/>
      <c r="E14" s="243"/>
      <c r="F14" s="243"/>
      <c r="G14" s="243"/>
      <c r="H14" s="243"/>
      <c r="I14" s="243"/>
      <c r="J14" s="242"/>
      <c r="K14" s="243"/>
      <c r="L14" s="243"/>
      <c r="M14" s="243"/>
      <c r="N14" s="244"/>
      <c r="O14" s="242"/>
      <c r="P14" s="229"/>
      <c r="Q14" s="229"/>
      <c r="R14" s="245"/>
    </row>
    <row r="15" spans="2:20">
      <c r="B15" t="s">
        <v>372</v>
      </c>
      <c r="P15" s="246">
        <f>IFERROR(MAX(P9:P13),0)</f>
        <v>20.084374838184278</v>
      </c>
      <c r="Q15" s="246">
        <f>IFERROR(MAX(Q9:Q13),0)</f>
        <v>43.11466364858174</v>
      </c>
      <c r="R15" s="246">
        <f>IFERROR(MAX(R9:R13),0)</f>
        <v>82.670557440402646</v>
      </c>
    </row>
    <row r="16" spans="2:20">
      <c r="B16" t="s">
        <v>373</v>
      </c>
      <c r="J16" t="s">
        <v>240</v>
      </c>
      <c r="P16" s="59">
        <f>IFERROR(QUARTILE(P9:P13,3),0)</f>
        <v>11.154302866620677</v>
      </c>
      <c r="Q16" s="59">
        <f>IFERROR(QUARTILE(Q9:Q13,3),0)</f>
        <v>41.466038435934657</v>
      </c>
      <c r="R16" s="59">
        <f>IFERROR(QUARTILE(R9:R13,3),0)</f>
        <v>72.471113063755723</v>
      </c>
      <c r="S16" s="59"/>
    </row>
    <row r="17" spans="2:18">
      <c r="B17" s="216" t="s">
        <v>374</v>
      </c>
      <c r="P17" s="246">
        <f>IFERROR(AVERAGE(P9:P13),0)</f>
        <v>8.4434657114869864</v>
      </c>
      <c r="Q17" s="246">
        <f>IFERROR(AVERAGE(Q9:Q13),0)</f>
        <v>28.784359171510545</v>
      </c>
      <c r="R17" s="246">
        <f>IFERROR(AVERAGE(R9:R13),0)</f>
        <v>53.44619000686437</v>
      </c>
    </row>
    <row r="18" spans="2:18">
      <c r="B18" s="216" t="s">
        <v>375</v>
      </c>
      <c r="M18" s="229"/>
      <c r="P18" s="246">
        <f>IFERROR(MEDIAN(P9:P13),0)</f>
        <v>4.5871246851473755</v>
      </c>
      <c r="Q18" s="246">
        <f>IFERROR(MEDIAN(Q9:Q13),0)</f>
        <v>26.30642851637452</v>
      </c>
      <c r="R18" s="246">
        <f>IFERROR(MEDIAN(R9:R13),0)</f>
        <v>61.34148975126994</v>
      </c>
    </row>
    <row r="19" spans="2:18">
      <c r="B19" t="s">
        <v>376</v>
      </c>
      <c r="P19" s="246">
        <f>IFERROR(QUARTILE(P9:P13,1),0)</f>
        <v>3.9378022884201176</v>
      </c>
      <c r="Q19" s="246">
        <f>IFERROR(QUARTILE(Q9:Q13,1),0)</f>
        <v>21.783603717068328</v>
      </c>
      <c r="R19" s="246">
        <f>IFERROR(QUARTILE(R9:R13,1),0)</f>
        <v>26.661709681147936</v>
      </c>
    </row>
    <row r="20" spans="2:18">
      <c r="B20" t="s">
        <v>377</v>
      </c>
      <c r="P20" s="246">
        <f>IFERROR(MIN(P9:P13),0)</f>
        <v>2.4537238790624811</v>
      </c>
      <c r="Q20" s="246">
        <f>IFERROR(MIN(Q9:Q13),0)</f>
        <v>11.251061539593479</v>
      </c>
      <c r="R20" s="246">
        <f>IFERROR(MIN(R9:R13),0)</f>
        <v>24.086080097745629</v>
      </c>
    </row>
    <row r="22" spans="2:18">
      <c r="B22" s="214" t="s">
        <v>378</v>
      </c>
      <c r="C22" s="214"/>
      <c r="D22" s="214"/>
      <c r="E22" s="214"/>
      <c r="F22" s="214"/>
      <c r="G22" s="214"/>
      <c r="H22" s="214"/>
      <c r="I22" s="214"/>
      <c r="J22" s="214"/>
      <c r="K22" s="214"/>
      <c r="L22" s="214"/>
      <c r="M22" s="214"/>
      <c r="N22" s="214"/>
      <c r="O22" s="214"/>
      <c r="P22" s="247" t="s">
        <v>369</v>
      </c>
      <c r="Q22" s="247" t="s">
        <v>370</v>
      </c>
      <c r="R22" s="247" t="s">
        <v>371</v>
      </c>
    </row>
    <row r="23" spans="2:18">
      <c r="P23" s="247" t="s">
        <v>379</v>
      </c>
      <c r="Q23" s="247" t="s">
        <v>380</v>
      </c>
      <c r="R23" s="247" t="s">
        <v>380</v>
      </c>
    </row>
    <row r="24" spans="2:18">
      <c r="B24" t="s">
        <v>381</v>
      </c>
      <c r="P24" s="59">
        <f>P18*K12</f>
        <v>65378.912000000004</v>
      </c>
      <c r="Q24" s="59">
        <f>Q18*L12</f>
        <v>78953.220841909686</v>
      </c>
      <c r="R24" s="59">
        <f>SUM(R26+R25)</f>
        <v>149388.59843306633</v>
      </c>
    </row>
    <row r="25" spans="2:18">
      <c r="B25" t="s">
        <v>382</v>
      </c>
      <c r="P25" s="59">
        <f>G12-H12</f>
        <v>792.52</v>
      </c>
      <c r="Q25" s="59">
        <f>P25</f>
        <v>792.52</v>
      </c>
      <c r="R25" s="59">
        <f>Q25</f>
        <v>792.52</v>
      </c>
    </row>
    <row r="26" spans="2:18">
      <c r="B26" t="s">
        <v>383</v>
      </c>
      <c r="P26" s="59">
        <f>P24-P25</f>
        <v>64586.392000000007</v>
      </c>
      <c r="Q26" s="59">
        <f>Q24-Q25</f>
        <v>78160.700841909682</v>
      </c>
      <c r="R26" s="59">
        <f>R18*M12</f>
        <v>148596.07843306634</v>
      </c>
    </row>
    <row r="27" spans="2:18">
      <c r="B27" t="s">
        <v>384</v>
      </c>
      <c r="P27" s="59">
        <f>D12</f>
        <v>11.96</v>
      </c>
      <c r="Q27" s="59">
        <f>P27</f>
        <v>11.96</v>
      </c>
      <c r="R27" s="59">
        <f>Q27</f>
        <v>11.96</v>
      </c>
    </row>
    <row r="29" spans="2:18" ht="15" customHeight="1" thickBot="1">
      <c r="B29" s="248" t="s">
        <v>385</v>
      </c>
      <c r="C29" s="249"/>
      <c r="D29" s="249"/>
      <c r="E29" s="249"/>
      <c r="F29" s="249"/>
      <c r="G29" s="249"/>
      <c r="H29" s="249"/>
      <c r="I29" s="249"/>
      <c r="J29" s="249"/>
      <c r="K29" s="249"/>
      <c r="L29" s="249"/>
      <c r="M29" s="249"/>
      <c r="N29" s="249"/>
      <c r="O29" s="249"/>
      <c r="P29" s="248">
        <f>P26/P27</f>
        <v>5400.2</v>
      </c>
      <c r="Q29" s="250">
        <f>Q26/Q27</f>
        <v>6535.1756556780665</v>
      </c>
      <c r="R29" s="250">
        <f>R26/R27</f>
        <v>12424.421273667755</v>
      </c>
    </row>
    <row r="30" spans="2:18" ht="15" customHeight="1" thickTop="1">
      <c r="P30" s="251"/>
      <c r="Q30" s="251"/>
      <c r="R30" s="251"/>
    </row>
    <row r="31" spans="2:18">
      <c r="P31" s="252"/>
      <c r="Q31" s="252"/>
      <c r="R31" s="252"/>
    </row>
  </sheetData>
  <mergeCells count="8">
    <mergeCell ref="B5:R5"/>
    <mergeCell ref="P7:R7"/>
    <mergeCell ref="C7:C8"/>
    <mergeCell ref="B7:B8"/>
    <mergeCell ref="D7:I7"/>
    <mergeCell ref="K7:N7"/>
    <mergeCell ref="J7:J8"/>
    <mergeCell ref="O7:O8"/>
  </mergeCells>
  <hyperlinks>
    <hyperlink ref="B9" r:id="rId1" display="https://www.screener.in/company/AUROPHARMA/consolidated/" xr:uid="{00000000-0004-0000-0C00-000000000000}"/>
    <hyperlink ref="B10" r:id="rId2" display="https://www.screener.in/company/LAURUSLABS/consolidated/" xr:uid="{00000000-0004-0000-0C00-000001000000}"/>
    <hyperlink ref="B11" r:id="rId3" display="https://www.screener.in/company/GLENMARK/consolidated/" xr:uid="{00000000-0004-0000-0C00-000002000000}"/>
    <hyperlink ref="B12" r:id="rId4" display="https://www.screener.in/company/ALKEM/consolidated/" xr:uid="{00000000-0004-0000-0C00-000003000000}"/>
    <hyperlink ref="B13" r:id="rId5" display="https://www.screener.in/company/ANTHEM/consolidated/" xr:uid="{00000000-0004-0000-0C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About </vt:lpstr>
      <vt:lpstr>Shareholding </vt:lpstr>
      <vt:lpstr>Consolidated Fs</vt:lpstr>
      <vt:lpstr>Quaterly</vt:lpstr>
      <vt:lpstr>Assumptions </vt:lpstr>
      <vt:lpstr>BETA</vt:lpstr>
      <vt:lpstr>Stock</vt:lpstr>
      <vt:lpstr>WACC</vt:lpstr>
      <vt:lpstr>Fixed Asset Schedule </vt:lpstr>
      <vt:lpstr>Change in Working Capital </vt:lpstr>
      <vt:lpstr>FCFF</vt:lpstr>
      <vt:lpstr>Growth Scenario</vt:lpstr>
      <vt:lpstr>Valuation </vt:lpstr>
      <vt:lpstr>Ratios </vt:lpstr>
      <vt:lpstr>Relative Valuation Raw Data </vt:lpstr>
      <vt:lpstr>Relative Valuation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 singh</dc:creator>
  <cp:lastModifiedBy>hi singh</cp:lastModifiedBy>
  <dcterms:created xsi:type="dcterms:W3CDTF">2026-05-23T06:10:41Z</dcterms:created>
  <dcterms:modified xsi:type="dcterms:W3CDTF">2026-06-10T06:22:25Z</dcterms:modified>
</cp:coreProperties>
</file>